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viazcan/SteelheadAutomator/"/>
    </mc:Choice>
  </mc:AlternateContent>
  <xr:revisionPtr revIDLastSave="0" documentId="13_ncr:1_{BAE3CC45-14C9-CE41-9188-0640176CEFBE}" xr6:coauthVersionLast="47" xr6:coauthVersionMax="47" xr10:uidLastSave="{00000000-0000-0000-0000-000000000000}"/>
  <bookViews>
    <workbookView xWindow="0" yWindow="680" windowWidth="34120" windowHeight="19760" tabRatio="500" xr2:uid="{00000000-000D-0000-FFFF-FFFF00000000}"/>
  </bookViews>
  <sheets>
    <sheet name="Upload" sheetId="1" r:id="rId1"/>
    <sheet name="Listas" sheetId="9" r:id="rId2"/>
    <sheet name="Cálculo MP" sheetId="10" r:id="rId3"/>
    <sheet name="Ayuda" sheetId="8" r:id="rId4"/>
  </sheets>
  <definedNames>
    <definedName name="_xlnm._FilterDatabase" localSheetId="0" hidden="1">Upload!$A$3:$G$13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" l="1"/>
  <c r="A70" i="10"/>
  <c r="B70" i="10"/>
  <c r="C70" i="10"/>
  <c r="D70" i="10"/>
  <c r="E70" i="10"/>
  <c r="F70" i="10"/>
  <c r="G70" i="10"/>
  <c r="J70" i="10" s="1"/>
  <c r="AY69" i="1" s="1"/>
  <c r="H70" i="10"/>
  <c r="K70" i="10"/>
  <c r="L70" i="10"/>
  <c r="M70" i="10"/>
  <c r="N70" i="10"/>
  <c r="O70" i="10" s="1"/>
  <c r="BD69" i="1" s="1"/>
  <c r="P70" i="10"/>
  <c r="R70" i="10" s="1"/>
  <c r="BG69" i="1" s="1"/>
  <c r="Q70" i="10"/>
  <c r="A71" i="10"/>
  <c r="B71" i="10"/>
  <c r="C71" i="10"/>
  <c r="D71" i="10"/>
  <c r="E71" i="10"/>
  <c r="F71" i="10"/>
  <c r="G71" i="10"/>
  <c r="H71" i="10"/>
  <c r="J71" i="10"/>
  <c r="K71" i="10"/>
  <c r="L71" i="10"/>
  <c r="M71" i="10"/>
  <c r="N71" i="10"/>
  <c r="O71" i="10"/>
  <c r="P71" i="10"/>
  <c r="R71" i="10" s="1"/>
  <c r="BG70" i="1" s="1"/>
  <c r="Q71" i="10"/>
  <c r="A72" i="10"/>
  <c r="B72" i="10"/>
  <c r="C72" i="10"/>
  <c r="D72" i="10"/>
  <c r="E72" i="10"/>
  <c r="F72" i="10"/>
  <c r="G72" i="10"/>
  <c r="H72" i="10"/>
  <c r="J72" i="10"/>
  <c r="K72" i="10"/>
  <c r="L72" i="10"/>
  <c r="M72" i="10"/>
  <c r="N72" i="10"/>
  <c r="O72" i="10"/>
  <c r="P72" i="10"/>
  <c r="R72" i="10" s="1"/>
  <c r="BG71" i="1" s="1"/>
  <c r="Q72" i="10"/>
  <c r="A73" i="10"/>
  <c r="B73" i="10"/>
  <c r="C73" i="10"/>
  <c r="D73" i="10"/>
  <c r="E73" i="10"/>
  <c r="F73" i="10"/>
  <c r="G73" i="10"/>
  <c r="H73" i="10"/>
  <c r="J73" i="10"/>
  <c r="K73" i="10"/>
  <c r="L73" i="10"/>
  <c r="M73" i="10"/>
  <c r="N73" i="10"/>
  <c r="O73" i="10" s="1"/>
  <c r="BD72" i="1" s="1"/>
  <c r="P73" i="10"/>
  <c r="R73" i="10" s="1"/>
  <c r="BG72" i="1" s="1"/>
  <c r="Q73" i="10"/>
  <c r="A74" i="10"/>
  <c r="B74" i="10"/>
  <c r="C74" i="10"/>
  <c r="D74" i="10"/>
  <c r="E74" i="10"/>
  <c r="F74" i="10"/>
  <c r="G74" i="10"/>
  <c r="H74" i="10"/>
  <c r="J74" i="10"/>
  <c r="K74" i="10"/>
  <c r="L74" i="10"/>
  <c r="M74" i="10"/>
  <c r="N74" i="10"/>
  <c r="O74" i="10" s="1"/>
  <c r="BD73" i="1" s="1"/>
  <c r="P74" i="10"/>
  <c r="R74" i="10" s="1"/>
  <c r="BG73" i="1" s="1"/>
  <c r="Q74" i="10"/>
  <c r="A75" i="10"/>
  <c r="B75" i="10"/>
  <c r="C75" i="10"/>
  <c r="D75" i="10"/>
  <c r="E75" i="10"/>
  <c r="F75" i="10"/>
  <c r="G75" i="10"/>
  <c r="J75" i="10" s="1"/>
  <c r="AY74" i="1" s="1"/>
  <c r="H75" i="10"/>
  <c r="K75" i="10"/>
  <c r="L75" i="10"/>
  <c r="M75" i="10"/>
  <c r="N75" i="10"/>
  <c r="O75" i="10" s="1"/>
  <c r="BD74" i="1" s="1"/>
  <c r="P75" i="10"/>
  <c r="R75" i="10" s="1"/>
  <c r="BG74" i="1" s="1"/>
  <c r="Q75" i="10"/>
  <c r="A76" i="10"/>
  <c r="B76" i="10"/>
  <c r="C76" i="10"/>
  <c r="D76" i="10"/>
  <c r="E76" i="10"/>
  <c r="F76" i="10"/>
  <c r="G76" i="10"/>
  <c r="H76" i="10"/>
  <c r="J76" i="10"/>
  <c r="K76" i="10"/>
  <c r="L76" i="10"/>
  <c r="M76" i="10"/>
  <c r="N76" i="10"/>
  <c r="O76" i="10" s="1"/>
  <c r="BD75" i="1" s="1"/>
  <c r="P76" i="10"/>
  <c r="R76" i="10" s="1"/>
  <c r="BG75" i="1" s="1"/>
  <c r="Q76" i="10"/>
  <c r="A77" i="10"/>
  <c r="B77" i="10"/>
  <c r="C77" i="10"/>
  <c r="D77" i="10"/>
  <c r="E77" i="10"/>
  <c r="F77" i="10"/>
  <c r="G77" i="10"/>
  <c r="H77" i="10"/>
  <c r="J77" i="10"/>
  <c r="K77" i="10"/>
  <c r="L77" i="10"/>
  <c r="M77" i="10"/>
  <c r="N77" i="10"/>
  <c r="O77" i="10" s="1"/>
  <c r="BD76" i="1" s="1"/>
  <c r="P77" i="10"/>
  <c r="R77" i="10" s="1"/>
  <c r="BG76" i="1" s="1"/>
  <c r="Q77" i="10"/>
  <c r="A78" i="10"/>
  <c r="B78" i="10"/>
  <c r="C78" i="10"/>
  <c r="D78" i="10"/>
  <c r="E78" i="10"/>
  <c r="F78" i="10"/>
  <c r="G78" i="10"/>
  <c r="H78" i="10"/>
  <c r="J78" i="10"/>
  <c r="K78" i="10"/>
  <c r="L78" i="10"/>
  <c r="M78" i="10"/>
  <c r="N78" i="10"/>
  <c r="O78" i="10" s="1"/>
  <c r="BD77" i="1" s="1"/>
  <c r="P78" i="10"/>
  <c r="R78" i="10" s="1"/>
  <c r="BG77" i="1" s="1"/>
  <c r="Q78" i="10"/>
  <c r="A79" i="10"/>
  <c r="B79" i="10"/>
  <c r="C79" i="10"/>
  <c r="D79" i="10"/>
  <c r="E79" i="10"/>
  <c r="F79" i="10"/>
  <c r="G79" i="10"/>
  <c r="H79" i="10"/>
  <c r="J79" i="10"/>
  <c r="K79" i="10"/>
  <c r="L79" i="10"/>
  <c r="M79" i="10"/>
  <c r="N79" i="10"/>
  <c r="O79" i="10" s="1"/>
  <c r="BD78" i="1" s="1"/>
  <c r="P79" i="10"/>
  <c r="R79" i="10" s="1"/>
  <c r="BG78" i="1" s="1"/>
  <c r="Q79" i="10"/>
  <c r="A80" i="10"/>
  <c r="B80" i="10"/>
  <c r="C80" i="10"/>
  <c r="D80" i="10"/>
  <c r="E80" i="10"/>
  <c r="F80" i="10"/>
  <c r="G80" i="10"/>
  <c r="H80" i="10"/>
  <c r="J80" i="10"/>
  <c r="K80" i="10"/>
  <c r="L80" i="10"/>
  <c r="M80" i="10"/>
  <c r="N80" i="10"/>
  <c r="O80" i="10" s="1"/>
  <c r="BD79" i="1" s="1"/>
  <c r="P80" i="10"/>
  <c r="R80" i="10" s="1"/>
  <c r="BG79" i="1" s="1"/>
  <c r="Q80" i="10"/>
  <c r="A81" i="10"/>
  <c r="B81" i="10"/>
  <c r="C81" i="10"/>
  <c r="D81" i="10"/>
  <c r="E81" i="10"/>
  <c r="F81" i="10"/>
  <c r="G81" i="10"/>
  <c r="H81" i="10"/>
  <c r="J81" i="10"/>
  <c r="K81" i="10"/>
  <c r="L81" i="10"/>
  <c r="M81" i="10"/>
  <c r="N81" i="10"/>
  <c r="O81" i="10" s="1"/>
  <c r="BD80" i="1" s="1"/>
  <c r="P81" i="10"/>
  <c r="R81" i="10" s="1"/>
  <c r="BG80" i="1" s="1"/>
  <c r="Q81" i="10"/>
  <c r="A82" i="10"/>
  <c r="B82" i="10"/>
  <c r="C82" i="10"/>
  <c r="D82" i="10"/>
  <c r="E82" i="10"/>
  <c r="F82" i="10"/>
  <c r="G82" i="10"/>
  <c r="H82" i="10"/>
  <c r="N82" i="10"/>
  <c r="O82" i="10" s="1"/>
  <c r="BD81" i="1" s="1"/>
  <c r="P82" i="10"/>
  <c r="R82" i="10" s="1"/>
  <c r="BG81" i="1" s="1"/>
  <c r="Q82" i="10"/>
  <c r="A83" i="10"/>
  <c r="B83" i="10"/>
  <c r="C83" i="10"/>
  <c r="D83" i="10"/>
  <c r="E83" i="10"/>
  <c r="F83" i="10"/>
  <c r="G83" i="10"/>
  <c r="H83" i="10"/>
  <c r="J83" i="10"/>
  <c r="K83" i="10"/>
  <c r="L83" i="10"/>
  <c r="M83" i="10"/>
  <c r="N83" i="10"/>
  <c r="O83" i="10" s="1"/>
  <c r="BD82" i="1" s="1"/>
  <c r="P83" i="10"/>
  <c r="R83" i="10" s="1"/>
  <c r="BG82" i="1" s="1"/>
  <c r="Q83" i="10"/>
  <c r="A84" i="10"/>
  <c r="B84" i="10"/>
  <c r="C84" i="10"/>
  <c r="D84" i="10"/>
  <c r="E84" i="10"/>
  <c r="F84" i="10"/>
  <c r="G84" i="10"/>
  <c r="H84" i="10"/>
  <c r="J84" i="10"/>
  <c r="K84" i="10"/>
  <c r="L84" i="10"/>
  <c r="M84" i="10"/>
  <c r="N84" i="10"/>
  <c r="O84" i="10" s="1"/>
  <c r="BD83" i="1" s="1"/>
  <c r="P84" i="10"/>
  <c r="R84" i="10" s="1"/>
  <c r="BG83" i="1" s="1"/>
  <c r="Q84" i="10"/>
  <c r="A85" i="10"/>
  <c r="B85" i="10"/>
  <c r="C85" i="10"/>
  <c r="D85" i="10"/>
  <c r="E85" i="10"/>
  <c r="F85" i="10"/>
  <c r="G85" i="10"/>
  <c r="H85" i="10"/>
  <c r="J85" i="10"/>
  <c r="K85" i="10"/>
  <c r="L85" i="10"/>
  <c r="M85" i="10"/>
  <c r="N85" i="10"/>
  <c r="O85" i="10" s="1"/>
  <c r="BD84" i="1" s="1"/>
  <c r="P85" i="10"/>
  <c r="R85" i="10" s="1"/>
  <c r="BG84" i="1" s="1"/>
  <c r="Q85" i="10"/>
  <c r="A86" i="10"/>
  <c r="B86" i="10"/>
  <c r="C86" i="10"/>
  <c r="D86" i="10"/>
  <c r="E86" i="10"/>
  <c r="F86" i="10"/>
  <c r="G86" i="10"/>
  <c r="H86" i="10"/>
  <c r="J86" i="10"/>
  <c r="K86" i="10"/>
  <c r="L86" i="10"/>
  <c r="M86" i="10"/>
  <c r="N86" i="10"/>
  <c r="O86" i="10"/>
  <c r="P86" i="10"/>
  <c r="R86" i="10" s="1"/>
  <c r="BG85" i="1" s="1"/>
  <c r="Q86" i="10"/>
  <c r="A87" i="10"/>
  <c r="B87" i="10"/>
  <c r="C87" i="10"/>
  <c r="D87" i="10"/>
  <c r="E87" i="10"/>
  <c r="F87" i="10"/>
  <c r="G87" i="10"/>
  <c r="H87" i="10"/>
  <c r="J87" i="10"/>
  <c r="K87" i="10"/>
  <c r="L87" i="10"/>
  <c r="M87" i="10"/>
  <c r="N87" i="10"/>
  <c r="O87" i="10" s="1"/>
  <c r="BD86" i="1" s="1"/>
  <c r="P87" i="10"/>
  <c r="R87" i="10" s="1"/>
  <c r="BG86" i="1" s="1"/>
  <c r="Q87" i="10"/>
  <c r="A88" i="10"/>
  <c r="B88" i="10"/>
  <c r="C88" i="10"/>
  <c r="D88" i="10"/>
  <c r="E88" i="10"/>
  <c r="F88" i="10"/>
  <c r="G88" i="10"/>
  <c r="H88" i="10"/>
  <c r="J88" i="10"/>
  <c r="K88" i="10"/>
  <c r="L88" i="10"/>
  <c r="M88" i="10"/>
  <c r="N88" i="10"/>
  <c r="O88" i="10" s="1"/>
  <c r="BD87" i="1" s="1"/>
  <c r="P88" i="10"/>
  <c r="R88" i="10" s="1"/>
  <c r="BG87" i="1" s="1"/>
  <c r="Q88" i="10"/>
  <c r="A89" i="10"/>
  <c r="B89" i="10"/>
  <c r="C89" i="10"/>
  <c r="D89" i="10"/>
  <c r="E89" i="10"/>
  <c r="F89" i="10"/>
  <c r="G89" i="10"/>
  <c r="H89" i="10"/>
  <c r="J89" i="10"/>
  <c r="K89" i="10"/>
  <c r="L89" i="10"/>
  <c r="M89" i="10"/>
  <c r="N89" i="10"/>
  <c r="O89" i="10" s="1"/>
  <c r="BD88" i="1" s="1"/>
  <c r="P89" i="10"/>
  <c r="R89" i="10" s="1"/>
  <c r="BG88" i="1" s="1"/>
  <c r="Q89" i="10"/>
  <c r="A90" i="10"/>
  <c r="B90" i="10"/>
  <c r="C90" i="10"/>
  <c r="D90" i="10"/>
  <c r="E90" i="10"/>
  <c r="F90" i="10"/>
  <c r="G90" i="10"/>
  <c r="H90" i="10"/>
  <c r="J90" i="10"/>
  <c r="K90" i="10"/>
  <c r="L90" i="10"/>
  <c r="M90" i="10"/>
  <c r="N90" i="10"/>
  <c r="O90" i="10" s="1"/>
  <c r="BD89" i="1" s="1"/>
  <c r="P90" i="10"/>
  <c r="R90" i="10" s="1"/>
  <c r="BG89" i="1" s="1"/>
  <c r="Q90" i="10"/>
  <c r="A91" i="10"/>
  <c r="B91" i="10"/>
  <c r="C91" i="10"/>
  <c r="D91" i="10"/>
  <c r="E91" i="10"/>
  <c r="F91" i="10"/>
  <c r="G91" i="10"/>
  <c r="H91" i="10"/>
  <c r="J91" i="10"/>
  <c r="K91" i="10"/>
  <c r="L91" i="10"/>
  <c r="M91" i="10"/>
  <c r="N91" i="10"/>
  <c r="O91" i="10" s="1"/>
  <c r="BD90" i="1" s="1"/>
  <c r="P91" i="10"/>
  <c r="R91" i="10" s="1"/>
  <c r="BG90" i="1" s="1"/>
  <c r="Q91" i="10"/>
  <c r="A92" i="10"/>
  <c r="B92" i="10"/>
  <c r="C92" i="10"/>
  <c r="D92" i="10"/>
  <c r="E92" i="10"/>
  <c r="F92" i="10"/>
  <c r="G92" i="10"/>
  <c r="H92" i="10"/>
  <c r="J92" i="10"/>
  <c r="K92" i="10"/>
  <c r="L92" i="10"/>
  <c r="M92" i="10"/>
  <c r="N92" i="10"/>
  <c r="O92" i="10" s="1"/>
  <c r="BD91" i="1" s="1"/>
  <c r="P92" i="10"/>
  <c r="R92" i="10" s="1"/>
  <c r="BG91" i="1" s="1"/>
  <c r="Q92" i="10"/>
  <c r="A93" i="10"/>
  <c r="B93" i="10"/>
  <c r="C93" i="10"/>
  <c r="D93" i="10"/>
  <c r="E93" i="10"/>
  <c r="F93" i="10"/>
  <c r="G93" i="10"/>
  <c r="H93" i="10"/>
  <c r="J93" i="10"/>
  <c r="K93" i="10"/>
  <c r="L93" i="10"/>
  <c r="M93" i="10"/>
  <c r="N93" i="10"/>
  <c r="O93" i="10" s="1"/>
  <c r="BD92" i="1" s="1"/>
  <c r="P93" i="10"/>
  <c r="R93" i="10" s="1"/>
  <c r="BG92" i="1" s="1"/>
  <c r="Q93" i="10"/>
  <c r="A94" i="10"/>
  <c r="B94" i="10"/>
  <c r="C94" i="10"/>
  <c r="D94" i="10"/>
  <c r="E94" i="10"/>
  <c r="F94" i="10"/>
  <c r="G94" i="10"/>
  <c r="H94" i="10"/>
  <c r="J94" i="10"/>
  <c r="K94" i="10"/>
  <c r="L94" i="10"/>
  <c r="M94" i="10"/>
  <c r="N94" i="10"/>
  <c r="O94" i="10" s="1"/>
  <c r="BD93" i="1" s="1"/>
  <c r="P94" i="10"/>
  <c r="R94" i="10" s="1"/>
  <c r="BG93" i="1" s="1"/>
  <c r="Q94" i="10"/>
  <c r="A95" i="10"/>
  <c r="B95" i="10"/>
  <c r="C95" i="10"/>
  <c r="D95" i="10"/>
  <c r="E95" i="10"/>
  <c r="F95" i="10"/>
  <c r="G95" i="10"/>
  <c r="H95" i="10"/>
  <c r="J95" i="10"/>
  <c r="K95" i="10"/>
  <c r="L95" i="10"/>
  <c r="M95" i="10"/>
  <c r="N95" i="10"/>
  <c r="O95" i="10" s="1"/>
  <c r="BD94" i="1" s="1"/>
  <c r="P95" i="10"/>
  <c r="R95" i="10" s="1"/>
  <c r="BG94" i="1" s="1"/>
  <c r="Q95" i="10"/>
  <c r="A96" i="10"/>
  <c r="B96" i="10"/>
  <c r="C96" i="10"/>
  <c r="D96" i="10"/>
  <c r="E96" i="10"/>
  <c r="F96" i="10"/>
  <c r="G96" i="10"/>
  <c r="H96" i="10"/>
  <c r="J96" i="10"/>
  <c r="K96" i="10"/>
  <c r="L96" i="10"/>
  <c r="M96" i="10"/>
  <c r="N96" i="10"/>
  <c r="O96" i="10" s="1"/>
  <c r="BD95" i="1" s="1"/>
  <c r="P96" i="10"/>
  <c r="R96" i="10" s="1"/>
  <c r="BG95" i="1" s="1"/>
  <c r="Q96" i="10"/>
  <c r="A97" i="10"/>
  <c r="B97" i="10"/>
  <c r="C97" i="10"/>
  <c r="D97" i="10"/>
  <c r="E97" i="10"/>
  <c r="F97" i="10"/>
  <c r="G97" i="10"/>
  <c r="H97" i="10"/>
  <c r="J97" i="10"/>
  <c r="K97" i="10"/>
  <c r="L97" i="10"/>
  <c r="M97" i="10"/>
  <c r="N97" i="10"/>
  <c r="O97" i="10" s="1"/>
  <c r="BD96" i="1" s="1"/>
  <c r="P97" i="10"/>
  <c r="R97" i="10" s="1"/>
  <c r="BG96" i="1" s="1"/>
  <c r="Q97" i="10"/>
  <c r="A98" i="10"/>
  <c r="B98" i="10"/>
  <c r="C98" i="10"/>
  <c r="D98" i="10"/>
  <c r="E98" i="10"/>
  <c r="F98" i="10"/>
  <c r="G98" i="10"/>
  <c r="H98" i="10"/>
  <c r="J98" i="10"/>
  <c r="K98" i="10"/>
  <c r="L98" i="10"/>
  <c r="M98" i="10"/>
  <c r="N98" i="10"/>
  <c r="O98" i="10" s="1"/>
  <c r="BD97" i="1" s="1"/>
  <c r="P98" i="10"/>
  <c r="R98" i="10" s="1"/>
  <c r="BG97" i="1" s="1"/>
  <c r="Q98" i="10"/>
  <c r="A99" i="10"/>
  <c r="B99" i="10"/>
  <c r="C99" i="10"/>
  <c r="D99" i="10"/>
  <c r="E99" i="10"/>
  <c r="F99" i="10"/>
  <c r="G99" i="10"/>
  <c r="H99" i="10"/>
  <c r="J99" i="10"/>
  <c r="K99" i="10"/>
  <c r="L99" i="10"/>
  <c r="M99" i="10"/>
  <c r="N99" i="10"/>
  <c r="O99" i="10" s="1"/>
  <c r="BD98" i="1" s="1"/>
  <c r="P99" i="10"/>
  <c r="R99" i="10" s="1"/>
  <c r="BG98" i="1" s="1"/>
  <c r="Q99" i="10"/>
  <c r="A100" i="10"/>
  <c r="B100" i="10"/>
  <c r="C100" i="10"/>
  <c r="D100" i="10"/>
  <c r="E100" i="10"/>
  <c r="F100" i="10"/>
  <c r="G100" i="10"/>
  <c r="H100" i="10"/>
  <c r="P100" i="10"/>
  <c r="R100" i="10" s="1"/>
  <c r="BG99" i="1" s="1"/>
  <c r="Q100" i="10"/>
  <c r="A101" i="10"/>
  <c r="B101" i="10"/>
  <c r="C101" i="10"/>
  <c r="D101" i="10"/>
  <c r="E101" i="10"/>
  <c r="F101" i="10"/>
  <c r="G101" i="10"/>
  <c r="H101" i="10"/>
  <c r="J101" i="10"/>
  <c r="K101" i="10"/>
  <c r="L101" i="10"/>
  <c r="M101" i="10"/>
  <c r="N101" i="10"/>
  <c r="O101" i="10" s="1"/>
  <c r="BD100" i="1" s="1"/>
  <c r="P101" i="10"/>
  <c r="R101" i="10" s="1"/>
  <c r="BG100" i="1" s="1"/>
  <c r="Q101" i="10"/>
  <c r="A102" i="10"/>
  <c r="B102" i="10"/>
  <c r="C102" i="10"/>
  <c r="D102" i="10"/>
  <c r="E102" i="10"/>
  <c r="F102" i="10"/>
  <c r="G102" i="10"/>
  <c r="H102" i="10"/>
  <c r="J102" i="10"/>
  <c r="K102" i="10"/>
  <c r="L102" i="10"/>
  <c r="M102" i="10"/>
  <c r="N102" i="10"/>
  <c r="O102" i="10" s="1"/>
  <c r="BD101" i="1" s="1"/>
  <c r="P102" i="10"/>
  <c r="R102" i="10" s="1"/>
  <c r="BG101" i="1" s="1"/>
  <c r="Q102" i="10"/>
  <c r="A103" i="10"/>
  <c r="B103" i="10"/>
  <c r="C103" i="10"/>
  <c r="D103" i="10"/>
  <c r="E103" i="10"/>
  <c r="F103" i="10"/>
  <c r="G103" i="10"/>
  <c r="H103" i="10"/>
  <c r="J103" i="10"/>
  <c r="K103" i="10"/>
  <c r="L103" i="10"/>
  <c r="M103" i="10"/>
  <c r="N103" i="10"/>
  <c r="O103" i="10" s="1"/>
  <c r="BD102" i="1" s="1"/>
  <c r="P103" i="10"/>
  <c r="R103" i="10" s="1"/>
  <c r="BG102" i="1" s="1"/>
  <c r="Q103" i="10"/>
  <c r="A104" i="10"/>
  <c r="B104" i="10"/>
  <c r="C104" i="10"/>
  <c r="D104" i="10"/>
  <c r="E104" i="10"/>
  <c r="F104" i="10"/>
  <c r="G104" i="10"/>
  <c r="H104" i="10"/>
  <c r="J104" i="10"/>
  <c r="K104" i="10"/>
  <c r="L104" i="10"/>
  <c r="M104" i="10"/>
  <c r="N104" i="10"/>
  <c r="O104" i="10" s="1"/>
  <c r="BD103" i="1" s="1"/>
  <c r="P104" i="10"/>
  <c r="R104" i="10" s="1"/>
  <c r="BG103" i="1" s="1"/>
  <c r="Q104" i="10"/>
  <c r="A105" i="10"/>
  <c r="B105" i="10"/>
  <c r="C105" i="10"/>
  <c r="D105" i="10"/>
  <c r="E105" i="10"/>
  <c r="F105" i="10"/>
  <c r="G105" i="10"/>
  <c r="H105" i="10"/>
  <c r="J105" i="10"/>
  <c r="K105" i="10"/>
  <c r="L105" i="10"/>
  <c r="M105" i="10"/>
  <c r="N105" i="10"/>
  <c r="O105" i="10"/>
  <c r="P105" i="10"/>
  <c r="R105" i="10" s="1"/>
  <c r="BG104" i="1" s="1"/>
  <c r="Q105" i="10"/>
  <c r="A106" i="10"/>
  <c r="B106" i="10"/>
  <c r="C106" i="10"/>
  <c r="D106" i="10"/>
  <c r="E106" i="10"/>
  <c r="F106" i="10"/>
  <c r="G106" i="10"/>
  <c r="H106" i="10"/>
  <c r="J106" i="10"/>
  <c r="K106" i="10"/>
  <c r="L106" i="10"/>
  <c r="M106" i="10"/>
  <c r="N106" i="10"/>
  <c r="O106" i="10" s="1"/>
  <c r="BD105" i="1" s="1"/>
  <c r="P106" i="10"/>
  <c r="R106" i="10" s="1"/>
  <c r="BG105" i="1" s="1"/>
  <c r="Q106" i="10"/>
  <c r="A107" i="10"/>
  <c r="B107" i="10"/>
  <c r="C107" i="10"/>
  <c r="D107" i="10"/>
  <c r="E107" i="10"/>
  <c r="F107" i="10"/>
  <c r="G107" i="10"/>
  <c r="H107" i="10"/>
  <c r="J107" i="10"/>
  <c r="K107" i="10"/>
  <c r="L107" i="10"/>
  <c r="M107" i="10"/>
  <c r="N107" i="10"/>
  <c r="O107" i="10" s="1"/>
  <c r="BD106" i="1" s="1"/>
  <c r="P107" i="10"/>
  <c r="R107" i="10" s="1"/>
  <c r="BG106" i="1" s="1"/>
  <c r="Q107" i="10"/>
  <c r="A108" i="10"/>
  <c r="B108" i="10"/>
  <c r="C108" i="10"/>
  <c r="D108" i="10"/>
  <c r="E108" i="10"/>
  <c r="F108" i="10"/>
  <c r="G108" i="10"/>
  <c r="H108" i="10"/>
  <c r="J108" i="10"/>
  <c r="K108" i="10"/>
  <c r="L108" i="10"/>
  <c r="M108" i="10"/>
  <c r="N108" i="10"/>
  <c r="O108" i="10" s="1"/>
  <c r="BD107" i="1" s="1"/>
  <c r="P108" i="10"/>
  <c r="R108" i="10" s="1"/>
  <c r="BG107" i="1" s="1"/>
  <c r="Q108" i="10"/>
  <c r="A109" i="10"/>
  <c r="B109" i="10"/>
  <c r="C109" i="10"/>
  <c r="D109" i="10"/>
  <c r="E109" i="10"/>
  <c r="F109" i="10"/>
  <c r="G109" i="10"/>
  <c r="H109" i="10"/>
  <c r="J109" i="10"/>
  <c r="K109" i="10"/>
  <c r="L109" i="10"/>
  <c r="M109" i="10"/>
  <c r="N109" i="10"/>
  <c r="O109" i="10" s="1"/>
  <c r="BD108" i="1" s="1"/>
  <c r="P109" i="10"/>
  <c r="R109" i="10" s="1"/>
  <c r="BG108" i="1" s="1"/>
  <c r="Q109" i="10"/>
  <c r="A110" i="10"/>
  <c r="B110" i="10"/>
  <c r="C110" i="10"/>
  <c r="D110" i="10"/>
  <c r="E110" i="10"/>
  <c r="F110" i="10"/>
  <c r="G110" i="10"/>
  <c r="H110" i="10"/>
  <c r="J110" i="10"/>
  <c r="K110" i="10"/>
  <c r="L110" i="10"/>
  <c r="M110" i="10"/>
  <c r="N110" i="10"/>
  <c r="O110" i="10" s="1"/>
  <c r="BD109" i="1" s="1"/>
  <c r="P110" i="10"/>
  <c r="R110" i="10" s="1"/>
  <c r="BG109" i="1" s="1"/>
  <c r="Q110" i="10"/>
  <c r="A111" i="10"/>
  <c r="B111" i="10"/>
  <c r="C111" i="10"/>
  <c r="D111" i="10"/>
  <c r="E111" i="10"/>
  <c r="F111" i="10"/>
  <c r="G111" i="10"/>
  <c r="H111" i="10"/>
  <c r="J111" i="10"/>
  <c r="K111" i="10"/>
  <c r="L111" i="10"/>
  <c r="M111" i="10"/>
  <c r="N111" i="10"/>
  <c r="O111" i="10" s="1"/>
  <c r="BD110" i="1" s="1"/>
  <c r="P111" i="10"/>
  <c r="R111" i="10" s="1"/>
  <c r="BG110" i="1" s="1"/>
  <c r="Q111" i="10"/>
  <c r="A112" i="10"/>
  <c r="B112" i="10"/>
  <c r="C112" i="10"/>
  <c r="D112" i="10"/>
  <c r="E112" i="10"/>
  <c r="F112" i="10"/>
  <c r="G112" i="10"/>
  <c r="H112" i="10"/>
  <c r="J112" i="10"/>
  <c r="K112" i="10"/>
  <c r="L112" i="10"/>
  <c r="M112" i="10"/>
  <c r="N112" i="10"/>
  <c r="O112" i="10" s="1"/>
  <c r="BD111" i="1" s="1"/>
  <c r="P112" i="10"/>
  <c r="R112" i="10" s="1"/>
  <c r="BG111" i="1" s="1"/>
  <c r="Q112" i="10"/>
  <c r="A113" i="10"/>
  <c r="B113" i="10"/>
  <c r="C113" i="10"/>
  <c r="D113" i="10"/>
  <c r="E113" i="10"/>
  <c r="F113" i="10"/>
  <c r="G113" i="10"/>
  <c r="H113" i="10"/>
  <c r="J113" i="10"/>
  <c r="K113" i="10"/>
  <c r="L113" i="10"/>
  <c r="M113" i="10"/>
  <c r="N113" i="10"/>
  <c r="O113" i="10" s="1"/>
  <c r="BD112" i="1" s="1"/>
  <c r="P113" i="10"/>
  <c r="R113" i="10" s="1"/>
  <c r="BG112" i="1" s="1"/>
  <c r="Q113" i="10"/>
  <c r="A114" i="10"/>
  <c r="B114" i="10"/>
  <c r="C114" i="10"/>
  <c r="D114" i="10"/>
  <c r="E114" i="10"/>
  <c r="F114" i="10"/>
  <c r="G114" i="10"/>
  <c r="H114" i="10"/>
  <c r="J114" i="10"/>
  <c r="K114" i="10"/>
  <c r="L114" i="10"/>
  <c r="M114" i="10"/>
  <c r="N114" i="10"/>
  <c r="O114" i="10" s="1"/>
  <c r="BD113" i="1" s="1"/>
  <c r="P114" i="10"/>
  <c r="R114" i="10" s="1"/>
  <c r="BG113" i="1" s="1"/>
  <c r="Q114" i="10"/>
  <c r="A115" i="10"/>
  <c r="B115" i="10"/>
  <c r="C115" i="10"/>
  <c r="D115" i="10"/>
  <c r="E115" i="10"/>
  <c r="F115" i="10"/>
  <c r="G115" i="10"/>
  <c r="H115" i="10"/>
  <c r="J115" i="10"/>
  <c r="K115" i="10"/>
  <c r="L115" i="10"/>
  <c r="M115" i="10"/>
  <c r="N115" i="10"/>
  <c r="O115" i="10" s="1"/>
  <c r="BD114" i="1" s="1"/>
  <c r="P115" i="10"/>
  <c r="R115" i="10" s="1"/>
  <c r="BG114" i="1" s="1"/>
  <c r="Q115" i="10"/>
  <c r="A116" i="10"/>
  <c r="B116" i="10"/>
  <c r="C116" i="10"/>
  <c r="D116" i="10"/>
  <c r="E116" i="10"/>
  <c r="F116" i="10"/>
  <c r="G116" i="10"/>
  <c r="H116" i="10"/>
  <c r="J116" i="10"/>
  <c r="K116" i="10"/>
  <c r="L116" i="10"/>
  <c r="M116" i="10"/>
  <c r="N116" i="10"/>
  <c r="O116" i="10" s="1"/>
  <c r="BD115" i="1" s="1"/>
  <c r="P116" i="10"/>
  <c r="R116" i="10" s="1"/>
  <c r="BG115" i="1" s="1"/>
  <c r="Q116" i="10"/>
  <c r="A117" i="10"/>
  <c r="B117" i="10"/>
  <c r="C117" i="10"/>
  <c r="D117" i="10"/>
  <c r="E117" i="10"/>
  <c r="F117" i="10"/>
  <c r="G117" i="10"/>
  <c r="H117" i="10"/>
  <c r="J117" i="10"/>
  <c r="K117" i="10"/>
  <c r="L117" i="10"/>
  <c r="M117" i="10"/>
  <c r="N117" i="10"/>
  <c r="O117" i="10" s="1"/>
  <c r="BD116" i="1" s="1"/>
  <c r="P117" i="10"/>
  <c r="R117" i="10" s="1"/>
  <c r="BG116" i="1" s="1"/>
  <c r="Q117" i="10"/>
  <c r="A118" i="10"/>
  <c r="B118" i="10"/>
  <c r="C118" i="10"/>
  <c r="D118" i="10"/>
  <c r="E118" i="10"/>
  <c r="F118" i="10"/>
  <c r="G118" i="10"/>
  <c r="H118" i="10"/>
  <c r="J118" i="10"/>
  <c r="K118" i="10"/>
  <c r="L118" i="10"/>
  <c r="M118" i="10"/>
  <c r="N118" i="10"/>
  <c r="O118" i="10" s="1"/>
  <c r="BD117" i="1" s="1"/>
  <c r="P118" i="10"/>
  <c r="R118" i="10" s="1"/>
  <c r="BG117" i="1" s="1"/>
  <c r="Q118" i="10"/>
  <c r="A119" i="10"/>
  <c r="B119" i="10"/>
  <c r="C119" i="10"/>
  <c r="D119" i="10"/>
  <c r="E119" i="10"/>
  <c r="F119" i="10"/>
  <c r="G119" i="10"/>
  <c r="H119" i="10"/>
  <c r="J119" i="10"/>
  <c r="K119" i="10"/>
  <c r="L119" i="10"/>
  <c r="M119" i="10"/>
  <c r="N119" i="10"/>
  <c r="O119" i="10" s="1"/>
  <c r="BD118" i="1" s="1"/>
  <c r="P119" i="10"/>
  <c r="R119" i="10" s="1"/>
  <c r="BG118" i="1" s="1"/>
  <c r="Q119" i="10"/>
  <c r="A120" i="10"/>
  <c r="B120" i="10"/>
  <c r="C120" i="10"/>
  <c r="D120" i="10"/>
  <c r="E120" i="10"/>
  <c r="F120" i="10"/>
  <c r="G120" i="10"/>
  <c r="H120" i="10"/>
  <c r="J120" i="10"/>
  <c r="K120" i="10"/>
  <c r="L120" i="10"/>
  <c r="M120" i="10"/>
  <c r="N120" i="10"/>
  <c r="O120" i="10" s="1"/>
  <c r="BD119" i="1" s="1"/>
  <c r="P120" i="10"/>
  <c r="R120" i="10" s="1"/>
  <c r="BG119" i="1" s="1"/>
  <c r="Q120" i="10"/>
  <c r="A121" i="10"/>
  <c r="B121" i="10"/>
  <c r="C121" i="10"/>
  <c r="D121" i="10"/>
  <c r="E121" i="10"/>
  <c r="F121" i="10"/>
  <c r="G121" i="10"/>
  <c r="H121" i="10"/>
  <c r="J121" i="10"/>
  <c r="K121" i="10"/>
  <c r="L121" i="10"/>
  <c r="M121" i="10"/>
  <c r="N121" i="10"/>
  <c r="O121" i="10" s="1"/>
  <c r="BD120" i="1" s="1"/>
  <c r="P121" i="10"/>
  <c r="R121" i="10" s="1"/>
  <c r="BG120" i="1" s="1"/>
  <c r="Q121" i="10"/>
  <c r="A122" i="10"/>
  <c r="B122" i="10"/>
  <c r="C122" i="10"/>
  <c r="D122" i="10"/>
  <c r="E122" i="10"/>
  <c r="F122" i="10"/>
  <c r="G122" i="10"/>
  <c r="H122" i="10"/>
  <c r="A123" i="10"/>
  <c r="B123" i="10"/>
  <c r="C123" i="10"/>
  <c r="D123" i="10"/>
  <c r="E123" i="10"/>
  <c r="F123" i="10"/>
  <c r="G123" i="10"/>
  <c r="H123" i="10"/>
  <c r="J123" i="10"/>
  <c r="K123" i="10"/>
  <c r="L123" i="10"/>
  <c r="M123" i="10"/>
  <c r="N123" i="10"/>
  <c r="O123" i="10"/>
  <c r="P123" i="10"/>
  <c r="Q123" i="10"/>
  <c r="R123" i="10"/>
  <c r="BG122" i="1" s="1"/>
  <c r="A124" i="10"/>
  <c r="B124" i="10"/>
  <c r="C124" i="10"/>
  <c r="D124" i="10"/>
  <c r="E124" i="10"/>
  <c r="F124" i="10"/>
  <c r="G124" i="10"/>
  <c r="H124" i="10"/>
  <c r="J124" i="10"/>
  <c r="AY123" i="1" s="1"/>
  <c r="K124" i="10"/>
  <c r="AZ123" i="1" s="1"/>
  <c r="L124" i="10"/>
  <c r="BA123" i="1" s="1"/>
  <c r="M124" i="10"/>
  <c r="BB123" i="1" s="1"/>
  <c r="N124" i="10"/>
  <c r="BC123" i="1" s="1"/>
  <c r="O124" i="10"/>
  <c r="BD123" i="1" s="1"/>
  <c r="P124" i="10"/>
  <c r="BE123" i="1" s="1"/>
  <c r="Q124" i="10"/>
  <c r="BF123" i="1" s="1"/>
  <c r="R124" i="10"/>
  <c r="BG123" i="1" s="1"/>
  <c r="A125" i="10"/>
  <c r="B125" i="10"/>
  <c r="C125" i="10"/>
  <c r="D125" i="10"/>
  <c r="E125" i="10"/>
  <c r="F125" i="10"/>
  <c r="G125" i="10"/>
  <c r="H125" i="10"/>
  <c r="J125" i="10"/>
  <c r="AY124" i="1" s="1"/>
  <c r="K125" i="10"/>
  <c r="AZ124" i="1" s="1"/>
  <c r="L125" i="10"/>
  <c r="BA124" i="1" s="1"/>
  <c r="M125" i="10"/>
  <c r="BB124" i="1" s="1"/>
  <c r="N125" i="10"/>
  <c r="BC124" i="1" s="1"/>
  <c r="O125" i="10"/>
  <c r="BD124" i="1" s="1"/>
  <c r="P125" i="10"/>
  <c r="BE124" i="1" s="1"/>
  <c r="Q125" i="10"/>
  <c r="BF124" i="1" s="1"/>
  <c r="R125" i="10"/>
  <c r="BG124" i="1" s="1"/>
  <c r="A126" i="10"/>
  <c r="B126" i="10"/>
  <c r="C126" i="10"/>
  <c r="D126" i="10"/>
  <c r="E126" i="10"/>
  <c r="F126" i="10"/>
  <c r="G126" i="10"/>
  <c r="H126" i="10"/>
  <c r="J126" i="10"/>
  <c r="AY125" i="1" s="1"/>
  <c r="K126" i="10"/>
  <c r="AZ125" i="1" s="1"/>
  <c r="L126" i="10"/>
  <c r="BA125" i="1" s="1"/>
  <c r="M126" i="10"/>
  <c r="BB125" i="1" s="1"/>
  <c r="N126" i="10"/>
  <c r="BC125" i="1" s="1"/>
  <c r="O126" i="10"/>
  <c r="BD125" i="1" s="1"/>
  <c r="P126" i="10"/>
  <c r="BE125" i="1" s="1"/>
  <c r="Q126" i="10"/>
  <c r="BF125" i="1" s="1"/>
  <c r="R126" i="10"/>
  <c r="BG125" i="1" s="1"/>
  <c r="A127" i="10"/>
  <c r="B127" i="10"/>
  <c r="C127" i="10"/>
  <c r="D127" i="10"/>
  <c r="E127" i="10"/>
  <c r="F127" i="10"/>
  <c r="G127" i="10"/>
  <c r="H127" i="10"/>
  <c r="J127" i="10"/>
  <c r="AY126" i="1" s="1"/>
  <c r="K127" i="10"/>
  <c r="AZ126" i="1" s="1"/>
  <c r="L127" i="10"/>
  <c r="BA126" i="1" s="1"/>
  <c r="M127" i="10"/>
  <c r="BB126" i="1" s="1"/>
  <c r="N127" i="10"/>
  <c r="BC126" i="1" s="1"/>
  <c r="O127" i="10"/>
  <c r="BD126" i="1" s="1"/>
  <c r="P127" i="10"/>
  <c r="BE126" i="1" s="1"/>
  <c r="Q127" i="10"/>
  <c r="BF126" i="1" s="1"/>
  <c r="R127" i="10"/>
  <c r="BG126" i="1" s="1"/>
  <c r="A128" i="10"/>
  <c r="B128" i="10"/>
  <c r="C128" i="10"/>
  <c r="D128" i="10"/>
  <c r="E128" i="10"/>
  <c r="F128" i="10"/>
  <c r="G128" i="10"/>
  <c r="H128" i="10"/>
  <c r="J128" i="10"/>
  <c r="AY127" i="1" s="1"/>
  <c r="K128" i="10"/>
  <c r="AZ127" i="1" s="1"/>
  <c r="L128" i="10"/>
  <c r="BA127" i="1" s="1"/>
  <c r="M128" i="10"/>
  <c r="BB127" i="1" s="1"/>
  <c r="N128" i="10"/>
  <c r="BC127" i="1" s="1"/>
  <c r="O128" i="10"/>
  <c r="BD127" i="1" s="1"/>
  <c r="P128" i="10"/>
  <c r="BE127" i="1" s="1"/>
  <c r="Q128" i="10"/>
  <c r="BF127" i="1" s="1"/>
  <c r="R128" i="10"/>
  <c r="BG127" i="1" s="1"/>
  <c r="A129" i="10"/>
  <c r="B129" i="10"/>
  <c r="C129" i="10"/>
  <c r="D129" i="10"/>
  <c r="E129" i="10"/>
  <c r="F129" i="10"/>
  <c r="G129" i="10"/>
  <c r="H129" i="10"/>
  <c r="J129" i="10"/>
  <c r="AY128" i="1" s="1"/>
  <c r="K129" i="10"/>
  <c r="AZ128" i="1" s="1"/>
  <c r="L129" i="10"/>
  <c r="BA128" i="1" s="1"/>
  <c r="M129" i="10"/>
  <c r="BB128" i="1" s="1"/>
  <c r="N129" i="10"/>
  <c r="BC128" i="1" s="1"/>
  <c r="O129" i="10"/>
  <c r="BD128" i="1" s="1"/>
  <c r="P129" i="10"/>
  <c r="Q129" i="10"/>
  <c r="BF128" i="1" s="1"/>
  <c r="A130" i="10"/>
  <c r="B130" i="10"/>
  <c r="C130" i="10"/>
  <c r="D130" i="10"/>
  <c r="E130" i="10"/>
  <c r="F130" i="10"/>
  <c r="G130" i="10"/>
  <c r="H130" i="10"/>
  <c r="J130" i="10"/>
  <c r="AY129" i="1" s="1"/>
  <c r="K130" i="10"/>
  <c r="AZ129" i="1" s="1"/>
  <c r="L130" i="10"/>
  <c r="BA129" i="1" s="1"/>
  <c r="M130" i="10"/>
  <c r="BB129" i="1" s="1"/>
  <c r="N130" i="10"/>
  <c r="P130" i="10"/>
  <c r="Q130" i="10"/>
  <c r="BF129" i="1" s="1"/>
  <c r="A131" i="10"/>
  <c r="B131" i="10"/>
  <c r="C131" i="10"/>
  <c r="D131" i="10"/>
  <c r="E131" i="10"/>
  <c r="F131" i="10"/>
  <c r="G131" i="10"/>
  <c r="H131" i="10"/>
  <c r="J131" i="10"/>
  <c r="AY130" i="1" s="1"/>
  <c r="K131" i="10"/>
  <c r="AZ130" i="1" s="1"/>
  <c r="L131" i="10"/>
  <c r="BA130" i="1" s="1"/>
  <c r="M131" i="10"/>
  <c r="BB130" i="1" s="1"/>
  <c r="N131" i="10"/>
  <c r="P131" i="10"/>
  <c r="Q131" i="10"/>
  <c r="BF130" i="1" s="1"/>
  <c r="A132" i="10"/>
  <c r="B132" i="10"/>
  <c r="C132" i="10"/>
  <c r="D132" i="10"/>
  <c r="E132" i="10"/>
  <c r="F132" i="10"/>
  <c r="G132" i="10"/>
  <c r="H132" i="10"/>
  <c r="J132" i="10"/>
  <c r="AY131" i="1" s="1"/>
  <c r="K132" i="10"/>
  <c r="AZ131" i="1" s="1"/>
  <c r="L132" i="10"/>
  <c r="BA131" i="1" s="1"/>
  <c r="M132" i="10"/>
  <c r="BB131" i="1" s="1"/>
  <c r="N132" i="10"/>
  <c r="P132" i="10"/>
  <c r="Q132" i="10"/>
  <c r="BF131" i="1" s="1"/>
  <c r="A133" i="10"/>
  <c r="B133" i="10"/>
  <c r="C133" i="10"/>
  <c r="D133" i="10"/>
  <c r="E133" i="10"/>
  <c r="F133" i="10"/>
  <c r="G133" i="10"/>
  <c r="H133" i="10"/>
  <c r="J133" i="10"/>
  <c r="AY132" i="1" s="1"/>
  <c r="K133" i="10"/>
  <c r="AZ132" i="1" s="1"/>
  <c r="L133" i="10"/>
  <c r="BA132" i="1" s="1"/>
  <c r="M133" i="10"/>
  <c r="BB132" i="1" s="1"/>
  <c r="N133" i="10"/>
  <c r="P133" i="10"/>
  <c r="Q133" i="10"/>
  <c r="BF132" i="1" s="1"/>
  <c r="A134" i="10"/>
  <c r="B134" i="10"/>
  <c r="C134" i="10"/>
  <c r="D134" i="10"/>
  <c r="E134" i="10"/>
  <c r="F134" i="10"/>
  <c r="G134" i="10"/>
  <c r="H134" i="10"/>
  <c r="J134" i="10"/>
  <c r="AY133" i="1" s="1"/>
  <c r="K134" i="10"/>
  <c r="AZ133" i="1" s="1"/>
  <c r="L134" i="10"/>
  <c r="BA133" i="1" s="1"/>
  <c r="M134" i="10"/>
  <c r="BB133" i="1" s="1"/>
  <c r="N134" i="10"/>
  <c r="P134" i="10"/>
  <c r="Q134" i="10"/>
  <c r="BF133" i="1" s="1"/>
  <c r="A135" i="10"/>
  <c r="B135" i="10"/>
  <c r="C135" i="10"/>
  <c r="D135" i="10"/>
  <c r="E135" i="10"/>
  <c r="F135" i="10"/>
  <c r="G135" i="10"/>
  <c r="H135" i="10"/>
  <c r="J135" i="10"/>
  <c r="AY134" i="1" s="1"/>
  <c r="K135" i="10"/>
  <c r="AZ134" i="1" s="1"/>
  <c r="L135" i="10"/>
  <c r="BA134" i="1" s="1"/>
  <c r="M135" i="10"/>
  <c r="BB134" i="1" s="1"/>
  <c r="N135" i="10"/>
  <c r="P135" i="10"/>
  <c r="Q135" i="10"/>
  <c r="BF134" i="1" s="1"/>
  <c r="A136" i="10"/>
  <c r="B136" i="10"/>
  <c r="C136" i="10"/>
  <c r="D136" i="10"/>
  <c r="E136" i="10"/>
  <c r="F136" i="10"/>
  <c r="G136" i="10"/>
  <c r="H136" i="10"/>
  <c r="J136" i="10"/>
  <c r="AY135" i="1" s="1"/>
  <c r="K136" i="10"/>
  <c r="AZ135" i="1" s="1"/>
  <c r="L136" i="10"/>
  <c r="BA135" i="1" s="1"/>
  <c r="M136" i="10"/>
  <c r="BB135" i="1" s="1"/>
  <c r="N136" i="10"/>
  <c r="P136" i="10"/>
  <c r="Q136" i="10"/>
  <c r="BF135" i="1" s="1"/>
  <c r="A137" i="10"/>
  <c r="B137" i="10"/>
  <c r="C137" i="10"/>
  <c r="D137" i="10"/>
  <c r="E137" i="10"/>
  <c r="F137" i="10"/>
  <c r="G137" i="10"/>
  <c r="H137" i="10"/>
  <c r="J137" i="10"/>
  <c r="AY136" i="1" s="1"/>
  <c r="K137" i="10"/>
  <c r="AZ136" i="1" s="1"/>
  <c r="L137" i="10"/>
  <c r="BA136" i="1" s="1"/>
  <c r="M137" i="10"/>
  <c r="BB136" i="1" s="1"/>
  <c r="N137" i="10"/>
  <c r="P137" i="10"/>
  <c r="Q137" i="10"/>
  <c r="BF136" i="1" s="1"/>
  <c r="A138" i="10"/>
  <c r="B138" i="10"/>
  <c r="C138" i="10"/>
  <c r="D138" i="10"/>
  <c r="E138" i="10"/>
  <c r="F138" i="10"/>
  <c r="G138" i="10"/>
  <c r="H138" i="10"/>
  <c r="J138" i="10"/>
  <c r="AY137" i="1" s="1"/>
  <c r="K138" i="10"/>
  <c r="AZ137" i="1" s="1"/>
  <c r="L138" i="10"/>
  <c r="BA137" i="1" s="1"/>
  <c r="M138" i="10"/>
  <c r="BB137" i="1" s="1"/>
  <c r="N138" i="10"/>
  <c r="P138" i="10"/>
  <c r="Q138" i="10"/>
  <c r="BF137" i="1" s="1"/>
  <c r="A139" i="10"/>
  <c r="B139" i="10"/>
  <c r="C139" i="10"/>
  <c r="D139" i="10"/>
  <c r="E139" i="10"/>
  <c r="F139" i="10"/>
  <c r="G139" i="10"/>
  <c r="H139" i="10"/>
  <c r="J139" i="10"/>
  <c r="AY138" i="1" s="1"/>
  <c r="K139" i="10"/>
  <c r="AZ138" i="1" s="1"/>
  <c r="L139" i="10"/>
  <c r="BA138" i="1" s="1"/>
  <c r="M139" i="10"/>
  <c r="BB138" i="1" s="1"/>
  <c r="N139" i="10"/>
  <c r="P139" i="10"/>
  <c r="Q139" i="10"/>
  <c r="BF138" i="1" s="1"/>
  <c r="A140" i="10"/>
  <c r="B140" i="10"/>
  <c r="C140" i="10"/>
  <c r="D140" i="10"/>
  <c r="E140" i="10"/>
  <c r="F140" i="10"/>
  <c r="G140" i="10"/>
  <c r="H140" i="10"/>
  <c r="J140" i="10"/>
  <c r="AY139" i="1" s="1"/>
  <c r="K140" i="10"/>
  <c r="AZ139" i="1" s="1"/>
  <c r="L140" i="10"/>
  <c r="BA139" i="1" s="1"/>
  <c r="M140" i="10"/>
  <c r="BB139" i="1" s="1"/>
  <c r="N140" i="10"/>
  <c r="P140" i="10"/>
  <c r="Q140" i="10"/>
  <c r="BF139" i="1" s="1"/>
  <c r="A141" i="10"/>
  <c r="B141" i="10"/>
  <c r="C141" i="10"/>
  <c r="D141" i="10"/>
  <c r="E141" i="10"/>
  <c r="F141" i="10"/>
  <c r="G141" i="10"/>
  <c r="H141" i="10"/>
  <c r="J141" i="10"/>
  <c r="AY140" i="1" s="1"/>
  <c r="K141" i="10"/>
  <c r="AZ140" i="1" s="1"/>
  <c r="L141" i="10"/>
  <c r="BA140" i="1" s="1"/>
  <c r="M141" i="10"/>
  <c r="BB140" i="1" s="1"/>
  <c r="N141" i="10"/>
  <c r="P141" i="10"/>
  <c r="Q141" i="10"/>
  <c r="BF140" i="1" s="1"/>
  <c r="A142" i="10"/>
  <c r="B142" i="10"/>
  <c r="C142" i="10"/>
  <c r="D142" i="10"/>
  <c r="E142" i="10"/>
  <c r="F142" i="10"/>
  <c r="G142" i="10"/>
  <c r="H142" i="10"/>
  <c r="J142" i="10"/>
  <c r="AY141" i="1" s="1"/>
  <c r="K142" i="10"/>
  <c r="AZ141" i="1" s="1"/>
  <c r="L142" i="10"/>
  <c r="BA141" i="1" s="1"/>
  <c r="M142" i="10"/>
  <c r="BB141" i="1" s="1"/>
  <c r="N142" i="10"/>
  <c r="P142" i="10"/>
  <c r="Q142" i="10"/>
  <c r="BF141" i="1" s="1"/>
  <c r="A143" i="10"/>
  <c r="B143" i="10"/>
  <c r="C143" i="10"/>
  <c r="D143" i="10"/>
  <c r="E143" i="10"/>
  <c r="F143" i="10"/>
  <c r="G143" i="10"/>
  <c r="H143" i="10"/>
  <c r="J143" i="10"/>
  <c r="AY142" i="1" s="1"/>
  <c r="K143" i="10"/>
  <c r="AZ142" i="1" s="1"/>
  <c r="L143" i="10"/>
  <c r="BA142" i="1" s="1"/>
  <c r="M143" i="10"/>
  <c r="BB142" i="1" s="1"/>
  <c r="N143" i="10"/>
  <c r="P143" i="10"/>
  <c r="Q143" i="10"/>
  <c r="BF142" i="1" s="1"/>
  <c r="A144" i="10"/>
  <c r="B144" i="10"/>
  <c r="C144" i="10"/>
  <c r="D144" i="10"/>
  <c r="E144" i="10"/>
  <c r="F144" i="10"/>
  <c r="G144" i="10"/>
  <c r="H144" i="10"/>
  <c r="J144" i="10"/>
  <c r="AY143" i="1" s="1"/>
  <c r="K144" i="10"/>
  <c r="AZ143" i="1" s="1"/>
  <c r="L144" i="10"/>
  <c r="BA143" i="1" s="1"/>
  <c r="M144" i="10"/>
  <c r="BB143" i="1" s="1"/>
  <c r="N144" i="10"/>
  <c r="P144" i="10"/>
  <c r="Q144" i="10"/>
  <c r="BF143" i="1" s="1"/>
  <c r="A145" i="10"/>
  <c r="B145" i="10"/>
  <c r="C145" i="10"/>
  <c r="D145" i="10"/>
  <c r="E145" i="10"/>
  <c r="F145" i="10"/>
  <c r="G145" i="10"/>
  <c r="H145" i="10"/>
  <c r="J145" i="10"/>
  <c r="AY144" i="1" s="1"/>
  <c r="K145" i="10"/>
  <c r="AZ144" i="1" s="1"/>
  <c r="L145" i="10"/>
  <c r="BA144" i="1" s="1"/>
  <c r="M145" i="10"/>
  <c r="BB144" i="1" s="1"/>
  <c r="N145" i="10"/>
  <c r="P145" i="10"/>
  <c r="Q145" i="10"/>
  <c r="BF144" i="1" s="1"/>
  <c r="A146" i="10"/>
  <c r="B146" i="10"/>
  <c r="C146" i="10"/>
  <c r="D146" i="10"/>
  <c r="E146" i="10"/>
  <c r="F146" i="10"/>
  <c r="G146" i="10"/>
  <c r="H146" i="10"/>
  <c r="J146" i="10"/>
  <c r="AY145" i="1" s="1"/>
  <c r="K146" i="10"/>
  <c r="AZ145" i="1" s="1"/>
  <c r="L146" i="10"/>
  <c r="BA145" i="1" s="1"/>
  <c r="M146" i="10"/>
  <c r="BB145" i="1" s="1"/>
  <c r="N146" i="10"/>
  <c r="P146" i="10"/>
  <c r="Q146" i="10"/>
  <c r="BF145" i="1" s="1"/>
  <c r="A147" i="10"/>
  <c r="B147" i="10"/>
  <c r="C147" i="10"/>
  <c r="D147" i="10"/>
  <c r="E147" i="10"/>
  <c r="F147" i="10"/>
  <c r="G147" i="10"/>
  <c r="H147" i="10"/>
  <c r="J147" i="10"/>
  <c r="AY146" i="1" s="1"/>
  <c r="K147" i="10"/>
  <c r="AZ146" i="1" s="1"/>
  <c r="L147" i="10"/>
  <c r="BA146" i="1" s="1"/>
  <c r="M147" i="10"/>
  <c r="BB146" i="1" s="1"/>
  <c r="N147" i="10"/>
  <c r="P147" i="10"/>
  <c r="Q147" i="10"/>
  <c r="BF146" i="1" s="1"/>
  <c r="A148" i="10"/>
  <c r="B148" i="10"/>
  <c r="C148" i="10"/>
  <c r="D148" i="10"/>
  <c r="E148" i="10"/>
  <c r="F148" i="10"/>
  <c r="G148" i="10"/>
  <c r="H148" i="10"/>
  <c r="J148" i="10"/>
  <c r="AY147" i="1" s="1"/>
  <c r="K148" i="10"/>
  <c r="AZ147" i="1" s="1"/>
  <c r="L148" i="10"/>
  <c r="BA147" i="1" s="1"/>
  <c r="M148" i="10"/>
  <c r="BB147" i="1" s="1"/>
  <c r="N148" i="10"/>
  <c r="P148" i="10"/>
  <c r="Q148" i="10"/>
  <c r="BF147" i="1" s="1"/>
  <c r="A149" i="10"/>
  <c r="B149" i="10"/>
  <c r="C149" i="10"/>
  <c r="D149" i="10"/>
  <c r="E149" i="10"/>
  <c r="F149" i="10"/>
  <c r="G149" i="10"/>
  <c r="H149" i="10"/>
  <c r="J149" i="10"/>
  <c r="AY148" i="1" s="1"/>
  <c r="K149" i="10"/>
  <c r="AZ148" i="1" s="1"/>
  <c r="L149" i="10"/>
  <c r="BA148" i="1" s="1"/>
  <c r="M149" i="10"/>
  <c r="BB148" i="1" s="1"/>
  <c r="N149" i="10"/>
  <c r="P149" i="10"/>
  <c r="Q149" i="10"/>
  <c r="BF148" i="1" s="1"/>
  <c r="A150" i="10"/>
  <c r="B150" i="10"/>
  <c r="C150" i="10"/>
  <c r="D150" i="10"/>
  <c r="E150" i="10"/>
  <c r="F150" i="10"/>
  <c r="G150" i="10"/>
  <c r="H150" i="10"/>
  <c r="N150" i="10"/>
  <c r="P150" i="10"/>
  <c r="Q150" i="10"/>
  <c r="BF149" i="1" s="1"/>
  <c r="A151" i="10"/>
  <c r="B151" i="10"/>
  <c r="C151" i="10"/>
  <c r="D151" i="10"/>
  <c r="E151" i="10"/>
  <c r="F151" i="10"/>
  <c r="G151" i="10"/>
  <c r="H151" i="10"/>
  <c r="J151" i="10"/>
  <c r="AY150" i="1" s="1"/>
  <c r="K151" i="10"/>
  <c r="AZ150" i="1" s="1"/>
  <c r="L151" i="10"/>
  <c r="BA150" i="1" s="1"/>
  <c r="M151" i="10"/>
  <c r="BB150" i="1" s="1"/>
  <c r="N151" i="10"/>
  <c r="P151" i="10"/>
  <c r="Q151" i="10"/>
  <c r="BF150" i="1" s="1"/>
  <c r="A152" i="10"/>
  <c r="B152" i="10"/>
  <c r="C152" i="10"/>
  <c r="D152" i="10"/>
  <c r="E152" i="10"/>
  <c r="F152" i="10"/>
  <c r="G152" i="10"/>
  <c r="H152" i="10"/>
  <c r="N152" i="10"/>
  <c r="P152" i="10"/>
  <c r="Q152" i="10"/>
  <c r="BF151" i="1" s="1"/>
  <c r="A153" i="10"/>
  <c r="B153" i="10"/>
  <c r="C153" i="10"/>
  <c r="D153" i="10"/>
  <c r="E153" i="10"/>
  <c r="F153" i="10"/>
  <c r="G153" i="10"/>
  <c r="H153" i="10"/>
  <c r="J153" i="10"/>
  <c r="AY152" i="1" s="1"/>
  <c r="K153" i="10"/>
  <c r="AZ152" i="1" s="1"/>
  <c r="L153" i="10"/>
  <c r="BA152" i="1" s="1"/>
  <c r="M153" i="10"/>
  <c r="BB152" i="1" s="1"/>
  <c r="N153" i="10"/>
  <c r="BC152" i="1" s="1"/>
  <c r="O153" i="10"/>
  <c r="BD152" i="1" s="1"/>
  <c r="P153" i="10"/>
  <c r="Q153" i="10"/>
  <c r="BF152" i="1" s="1"/>
  <c r="A154" i="10"/>
  <c r="B154" i="10"/>
  <c r="C154" i="10"/>
  <c r="D154" i="10"/>
  <c r="E154" i="10"/>
  <c r="F154" i="10"/>
  <c r="G154" i="10"/>
  <c r="H154" i="10"/>
  <c r="J154" i="10"/>
  <c r="AY153" i="1" s="1"/>
  <c r="K154" i="10"/>
  <c r="AZ153" i="1" s="1"/>
  <c r="L154" i="10"/>
  <c r="BA153" i="1" s="1"/>
  <c r="M154" i="10"/>
  <c r="BB153" i="1" s="1"/>
  <c r="N154" i="10"/>
  <c r="P154" i="10"/>
  <c r="Q154" i="10"/>
  <c r="BF153" i="1" s="1"/>
  <c r="A155" i="10"/>
  <c r="B155" i="10"/>
  <c r="C155" i="10"/>
  <c r="D155" i="10"/>
  <c r="E155" i="10"/>
  <c r="F155" i="10"/>
  <c r="G155" i="10"/>
  <c r="H155" i="10"/>
  <c r="J155" i="10"/>
  <c r="AY154" i="1" s="1"/>
  <c r="K155" i="10"/>
  <c r="AZ154" i="1" s="1"/>
  <c r="L155" i="10"/>
  <c r="BA154" i="1" s="1"/>
  <c r="M155" i="10"/>
  <c r="BB154" i="1" s="1"/>
  <c r="N155" i="10"/>
  <c r="P155" i="10"/>
  <c r="Q155" i="10"/>
  <c r="BF154" i="1" s="1"/>
  <c r="A156" i="10"/>
  <c r="B156" i="10"/>
  <c r="C156" i="10"/>
  <c r="D156" i="10"/>
  <c r="E156" i="10"/>
  <c r="F156" i="10"/>
  <c r="G156" i="10"/>
  <c r="H156" i="10"/>
  <c r="J156" i="10"/>
  <c r="AY155" i="1" s="1"/>
  <c r="K156" i="10"/>
  <c r="AZ155" i="1" s="1"/>
  <c r="L156" i="10"/>
  <c r="BA155" i="1" s="1"/>
  <c r="M156" i="10"/>
  <c r="BB155" i="1" s="1"/>
  <c r="N156" i="10"/>
  <c r="P156" i="10"/>
  <c r="Q156" i="10"/>
  <c r="BF155" i="1" s="1"/>
  <c r="A157" i="10"/>
  <c r="B157" i="10"/>
  <c r="C157" i="10"/>
  <c r="D157" i="10"/>
  <c r="E157" i="10"/>
  <c r="F157" i="10"/>
  <c r="G157" i="10"/>
  <c r="H157" i="10"/>
  <c r="J157" i="10"/>
  <c r="AY156" i="1" s="1"/>
  <c r="K157" i="10"/>
  <c r="AZ156" i="1" s="1"/>
  <c r="L157" i="10"/>
  <c r="BA156" i="1" s="1"/>
  <c r="M157" i="10"/>
  <c r="BB156" i="1" s="1"/>
  <c r="N157" i="10"/>
  <c r="P157" i="10"/>
  <c r="Q157" i="10"/>
  <c r="BF156" i="1" s="1"/>
  <c r="A158" i="10"/>
  <c r="B158" i="10"/>
  <c r="C158" i="10"/>
  <c r="D158" i="10"/>
  <c r="E158" i="10"/>
  <c r="F158" i="10"/>
  <c r="G158" i="10"/>
  <c r="H158" i="10"/>
  <c r="J158" i="10"/>
  <c r="AY157" i="1" s="1"/>
  <c r="K158" i="10"/>
  <c r="AZ157" i="1" s="1"/>
  <c r="L158" i="10"/>
  <c r="BA157" i="1" s="1"/>
  <c r="M158" i="10"/>
  <c r="BB157" i="1" s="1"/>
  <c r="N158" i="10"/>
  <c r="P158" i="10"/>
  <c r="Q158" i="10"/>
  <c r="BF157" i="1" s="1"/>
  <c r="A159" i="10"/>
  <c r="B159" i="10"/>
  <c r="C159" i="10"/>
  <c r="D159" i="10"/>
  <c r="E159" i="10"/>
  <c r="F159" i="10"/>
  <c r="G159" i="10"/>
  <c r="H159" i="10"/>
  <c r="J159" i="10"/>
  <c r="AY158" i="1" s="1"/>
  <c r="K159" i="10"/>
  <c r="AZ158" i="1" s="1"/>
  <c r="L159" i="10"/>
  <c r="BA158" i="1" s="1"/>
  <c r="M159" i="10"/>
  <c r="BB158" i="1" s="1"/>
  <c r="N159" i="10"/>
  <c r="P159" i="10"/>
  <c r="Q159" i="10"/>
  <c r="BF158" i="1" s="1"/>
  <c r="A160" i="10"/>
  <c r="B160" i="10"/>
  <c r="C160" i="10"/>
  <c r="D160" i="10"/>
  <c r="E160" i="10"/>
  <c r="F160" i="10"/>
  <c r="G160" i="10"/>
  <c r="H160" i="10"/>
  <c r="J160" i="10"/>
  <c r="AY159" i="1" s="1"/>
  <c r="K160" i="10"/>
  <c r="AZ159" i="1" s="1"/>
  <c r="L160" i="10"/>
  <c r="BA159" i="1" s="1"/>
  <c r="M160" i="10"/>
  <c r="BB159" i="1" s="1"/>
  <c r="N160" i="10"/>
  <c r="P160" i="10"/>
  <c r="Q160" i="10"/>
  <c r="BF159" i="1" s="1"/>
  <c r="A161" i="10"/>
  <c r="B161" i="10"/>
  <c r="C161" i="10"/>
  <c r="D161" i="10"/>
  <c r="E161" i="10"/>
  <c r="F161" i="10"/>
  <c r="G161" i="10"/>
  <c r="H161" i="10"/>
  <c r="J161" i="10"/>
  <c r="AY160" i="1" s="1"/>
  <c r="K161" i="10"/>
  <c r="AZ160" i="1" s="1"/>
  <c r="L161" i="10"/>
  <c r="BA160" i="1" s="1"/>
  <c r="M161" i="10"/>
  <c r="BB160" i="1" s="1"/>
  <c r="N161" i="10"/>
  <c r="P161" i="10"/>
  <c r="Q161" i="10"/>
  <c r="BF160" i="1" s="1"/>
  <c r="A162" i="10"/>
  <c r="B162" i="10"/>
  <c r="C162" i="10"/>
  <c r="D162" i="10"/>
  <c r="E162" i="10"/>
  <c r="F162" i="10"/>
  <c r="G162" i="10"/>
  <c r="H162" i="10"/>
  <c r="J162" i="10"/>
  <c r="AY161" i="1" s="1"/>
  <c r="K162" i="10"/>
  <c r="AZ161" i="1" s="1"/>
  <c r="L162" i="10"/>
  <c r="BA161" i="1" s="1"/>
  <c r="M162" i="10"/>
  <c r="BB161" i="1" s="1"/>
  <c r="N162" i="10"/>
  <c r="P162" i="10"/>
  <c r="Q162" i="10"/>
  <c r="BF161" i="1" s="1"/>
  <c r="A163" i="10"/>
  <c r="B163" i="10"/>
  <c r="C163" i="10"/>
  <c r="D163" i="10"/>
  <c r="E163" i="10"/>
  <c r="F163" i="10"/>
  <c r="G163" i="10"/>
  <c r="J163" i="10" s="1"/>
  <c r="AY162" i="1" s="1"/>
  <c r="H163" i="10"/>
  <c r="K163" i="10"/>
  <c r="AZ162" i="1" s="1"/>
  <c r="L163" i="10"/>
  <c r="BA162" i="1" s="1"/>
  <c r="M163" i="10"/>
  <c r="BB162" i="1" s="1"/>
  <c r="N163" i="10"/>
  <c r="P163" i="10"/>
  <c r="Q163" i="10"/>
  <c r="BF162" i="1" s="1"/>
  <c r="A164" i="10"/>
  <c r="B164" i="10"/>
  <c r="C164" i="10"/>
  <c r="D164" i="10"/>
  <c r="E164" i="10"/>
  <c r="F164" i="10"/>
  <c r="G164" i="10"/>
  <c r="J164" i="10" s="1"/>
  <c r="AY163" i="1" s="1"/>
  <c r="H164" i="10"/>
  <c r="K164" i="10"/>
  <c r="AZ163" i="1" s="1"/>
  <c r="L164" i="10"/>
  <c r="BA163" i="1" s="1"/>
  <c r="M164" i="10"/>
  <c r="BB163" i="1" s="1"/>
  <c r="N164" i="10"/>
  <c r="P164" i="10"/>
  <c r="Q164" i="10"/>
  <c r="BF163" i="1" s="1"/>
  <c r="A165" i="10"/>
  <c r="B165" i="10"/>
  <c r="C165" i="10"/>
  <c r="D165" i="10"/>
  <c r="E165" i="10"/>
  <c r="F165" i="10"/>
  <c r="G165" i="10"/>
  <c r="H165" i="10"/>
  <c r="J165" i="10"/>
  <c r="AY164" i="1" s="1"/>
  <c r="K165" i="10"/>
  <c r="AZ164" i="1" s="1"/>
  <c r="L165" i="10"/>
  <c r="BA164" i="1" s="1"/>
  <c r="M165" i="10"/>
  <c r="BB164" i="1" s="1"/>
  <c r="N165" i="10"/>
  <c r="P165" i="10"/>
  <c r="Q165" i="10"/>
  <c r="BF164" i="1" s="1"/>
  <c r="A166" i="10"/>
  <c r="B166" i="10"/>
  <c r="C166" i="10"/>
  <c r="D166" i="10"/>
  <c r="E166" i="10"/>
  <c r="F166" i="10"/>
  <c r="G166" i="10"/>
  <c r="H166" i="10"/>
  <c r="J166" i="10"/>
  <c r="AY165" i="1" s="1"/>
  <c r="K166" i="10"/>
  <c r="AZ165" i="1" s="1"/>
  <c r="L166" i="10"/>
  <c r="BA165" i="1" s="1"/>
  <c r="M166" i="10"/>
  <c r="BB165" i="1" s="1"/>
  <c r="N166" i="10"/>
  <c r="P166" i="10"/>
  <c r="Q166" i="10"/>
  <c r="BF165" i="1" s="1"/>
  <c r="A167" i="10"/>
  <c r="B167" i="10"/>
  <c r="C167" i="10"/>
  <c r="D167" i="10"/>
  <c r="E167" i="10"/>
  <c r="F167" i="10"/>
  <c r="G167" i="10"/>
  <c r="H167" i="10"/>
  <c r="J167" i="10"/>
  <c r="AY166" i="1" s="1"/>
  <c r="K167" i="10"/>
  <c r="AZ166" i="1" s="1"/>
  <c r="L167" i="10"/>
  <c r="BA166" i="1" s="1"/>
  <c r="M167" i="10"/>
  <c r="BB166" i="1" s="1"/>
  <c r="N167" i="10"/>
  <c r="P167" i="10"/>
  <c r="Q167" i="10"/>
  <c r="BF166" i="1" s="1"/>
  <c r="A168" i="10"/>
  <c r="B168" i="10"/>
  <c r="C168" i="10"/>
  <c r="D168" i="10"/>
  <c r="E168" i="10"/>
  <c r="F168" i="10"/>
  <c r="G168" i="10"/>
  <c r="H168" i="10"/>
  <c r="J168" i="10"/>
  <c r="AY167" i="1" s="1"/>
  <c r="K168" i="10"/>
  <c r="AZ167" i="1" s="1"/>
  <c r="L168" i="10"/>
  <c r="BA167" i="1" s="1"/>
  <c r="M168" i="10"/>
  <c r="BB167" i="1" s="1"/>
  <c r="N168" i="10"/>
  <c r="P168" i="10"/>
  <c r="Q168" i="10"/>
  <c r="BF167" i="1" s="1"/>
  <c r="A169" i="10"/>
  <c r="B169" i="10"/>
  <c r="C169" i="10"/>
  <c r="D169" i="10"/>
  <c r="E169" i="10"/>
  <c r="F169" i="10"/>
  <c r="G169" i="10"/>
  <c r="H169" i="10"/>
  <c r="J169" i="10"/>
  <c r="AY168" i="1" s="1"/>
  <c r="K169" i="10"/>
  <c r="AZ168" i="1" s="1"/>
  <c r="L169" i="10"/>
  <c r="BA168" i="1" s="1"/>
  <c r="M169" i="10"/>
  <c r="BB168" i="1" s="1"/>
  <c r="N169" i="10"/>
  <c r="P169" i="10"/>
  <c r="Q169" i="10"/>
  <c r="BF168" i="1" s="1"/>
  <c r="A170" i="10"/>
  <c r="B170" i="10"/>
  <c r="C170" i="10"/>
  <c r="D170" i="10"/>
  <c r="E170" i="10"/>
  <c r="F170" i="10"/>
  <c r="G170" i="10"/>
  <c r="H170" i="10"/>
  <c r="J170" i="10"/>
  <c r="AY169" i="1" s="1"/>
  <c r="K170" i="10"/>
  <c r="AZ169" i="1" s="1"/>
  <c r="L170" i="10"/>
  <c r="BA169" i="1" s="1"/>
  <c r="M170" i="10"/>
  <c r="BB169" i="1" s="1"/>
  <c r="N170" i="10"/>
  <c r="P170" i="10"/>
  <c r="Q170" i="10"/>
  <c r="BF169" i="1" s="1"/>
  <c r="A171" i="10"/>
  <c r="B171" i="10"/>
  <c r="C171" i="10"/>
  <c r="D171" i="10"/>
  <c r="E171" i="10"/>
  <c r="F171" i="10"/>
  <c r="G171" i="10"/>
  <c r="H171" i="10"/>
  <c r="J171" i="10"/>
  <c r="AY170" i="1" s="1"/>
  <c r="K171" i="10"/>
  <c r="AZ170" i="1" s="1"/>
  <c r="L171" i="10"/>
  <c r="BA170" i="1" s="1"/>
  <c r="M171" i="10"/>
  <c r="BB170" i="1" s="1"/>
  <c r="N171" i="10"/>
  <c r="P171" i="10"/>
  <c r="Q171" i="10"/>
  <c r="BF170" i="1" s="1"/>
  <c r="A172" i="10"/>
  <c r="B172" i="10"/>
  <c r="C172" i="10"/>
  <c r="D172" i="10"/>
  <c r="E172" i="10"/>
  <c r="F172" i="10"/>
  <c r="G172" i="10"/>
  <c r="H172" i="10"/>
  <c r="J172" i="10"/>
  <c r="AY171" i="1" s="1"/>
  <c r="K172" i="10"/>
  <c r="AZ171" i="1" s="1"/>
  <c r="L172" i="10"/>
  <c r="BA171" i="1" s="1"/>
  <c r="M172" i="10"/>
  <c r="BB171" i="1" s="1"/>
  <c r="N172" i="10"/>
  <c r="P172" i="10"/>
  <c r="Q172" i="10"/>
  <c r="BF171" i="1" s="1"/>
  <c r="A173" i="10"/>
  <c r="B173" i="10"/>
  <c r="C173" i="10"/>
  <c r="D173" i="10"/>
  <c r="E173" i="10"/>
  <c r="F173" i="10"/>
  <c r="G173" i="10"/>
  <c r="H173" i="10"/>
  <c r="J173" i="10"/>
  <c r="AY172" i="1" s="1"/>
  <c r="K173" i="10"/>
  <c r="AZ172" i="1" s="1"/>
  <c r="L173" i="10"/>
  <c r="BA172" i="1" s="1"/>
  <c r="M173" i="10"/>
  <c r="BB172" i="1" s="1"/>
  <c r="N173" i="10"/>
  <c r="P173" i="10"/>
  <c r="Q173" i="10"/>
  <c r="BF172" i="1" s="1"/>
  <c r="A174" i="10"/>
  <c r="B174" i="10"/>
  <c r="C174" i="10"/>
  <c r="D174" i="10"/>
  <c r="E174" i="10"/>
  <c r="F174" i="10"/>
  <c r="G174" i="10"/>
  <c r="H174" i="10"/>
  <c r="J174" i="10"/>
  <c r="AY173" i="1" s="1"/>
  <c r="K174" i="10"/>
  <c r="AZ173" i="1" s="1"/>
  <c r="L174" i="10"/>
  <c r="BA173" i="1" s="1"/>
  <c r="M174" i="10"/>
  <c r="BB173" i="1" s="1"/>
  <c r="N174" i="10"/>
  <c r="P174" i="10"/>
  <c r="Q174" i="10"/>
  <c r="BF173" i="1" s="1"/>
  <c r="A175" i="10"/>
  <c r="B175" i="10"/>
  <c r="C175" i="10"/>
  <c r="D175" i="10"/>
  <c r="E175" i="10"/>
  <c r="F175" i="10"/>
  <c r="G175" i="10"/>
  <c r="H175" i="10"/>
  <c r="J175" i="10"/>
  <c r="AY174" i="1" s="1"/>
  <c r="K175" i="10"/>
  <c r="AZ174" i="1" s="1"/>
  <c r="L175" i="10"/>
  <c r="BA174" i="1" s="1"/>
  <c r="M175" i="10"/>
  <c r="BB174" i="1" s="1"/>
  <c r="N175" i="10"/>
  <c r="BC174" i="1" s="1"/>
  <c r="O175" i="10"/>
  <c r="BD174" i="1" s="1"/>
  <c r="P175" i="10"/>
  <c r="BE174" i="1" s="1"/>
  <c r="Q175" i="10"/>
  <c r="BF174" i="1" s="1"/>
  <c r="R175" i="10"/>
  <c r="BG174" i="1" s="1"/>
  <c r="A176" i="10"/>
  <c r="B176" i="10"/>
  <c r="C176" i="10"/>
  <c r="D176" i="10"/>
  <c r="E176" i="10"/>
  <c r="F176" i="10"/>
  <c r="G176" i="10"/>
  <c r="H176" i="10"/>
  <c r="J176" i="10"/>
  <c r="AY175" i="1" s="1"/>
  <c r="K176" i="10"/>
  <c r="AZ175" i="1" s="1"/>
  <c r="L176" i="10"/>
  <c r="BA175" i="1" s="1"/>
  <c r="M176" i="10"/>
  <c r="BB175" i="1" s="1"/>
  <c r="N176" i="10"/>
  <c r="BC175" i="1" s="1"/>
  <c r="O176" i="10"/>
  <c r="BD175" i="1" s="1"/>
  <c r="P176" i="10"/>
  <c r="BE175" i="1" s="1"/>
  <c r="Q176" i="10"/>
  <c r="BF175" i="1" s="1"/>
  <c r="R176" i="10"/>
  <c r="BG175" i="1" s="1"/>
  <c r="A177" i="10"/>
  <c r="B177" i="10"/>
  <c r="C177" i="10"/>
  <c r="D177" i="10"/>
  <c r="E177" i="10"/>
  <c r="F177" i="10"/>
  <c r="G177" i="10"/>
  <c r="H177" i="10"/>
  <c r="J177" i="10"/>
  <c r="AY176" i="1" s="1"/>
  <c r="K177" i="10"/>
  <c r="AZ176" i="1" s="1"/>
  <c r="L177" i="10"/>
  <c r="BA176" i="1" s="1"/>
  <c r="M177" i="10"/>
  <c r="BB176" i="1" s="1"/>
  <c r="N177" i="10"/>
  <c r="BC176" i="1" s="1"/>
  <c r="O177" i="10"/>
  <c r="BD176" i="1" s="1"/>
  <c r="P177" i="10"/>
  <c r="BE176" i="1" s="1"/>
  <c r="Q177" i="10"/>
  <c r="BF176" i="1" s="1"/>
  <c r="R177" i="10"/>
  <c r="BG176" i="1" s="1"/>
  <c r="A178" i="10"/>
  <c r="B178" i="10"/>
  <c r="C178" i="10"/>
  <c r="D178" i="10"/>
  <c r="E178" i="10"/>
  <c r="F178" i="10"/>
  <c r="G178" i="10"/>
  <c r="H178" i="10"/>
  <c r="J178" i="10"/>
  <c r="AY177" i="1" s="1"/>
  <c r="K178" i="10"/>
  <c r="AZ177" i="1" s="1"/>
  <c r="L178" i="10"/>
  <c r="BA177" i="1" s="1"/>
  <c r="M178" i="10"/>
  <c r="BB177" i="1" s="1"/>
  <c r="N178" i="10"/>
  <c r="BC177" i="1" s="1"/>
  <c r="O178" i="10"/>
  <c r="BD177" i="1" s="1"/>
  <c r="P178" i="10"/>
  <c r="BE177" i="1" s="1"/>
  <c r="Q178" i="10"/>
  <c r="BF177" i="1" s="1"/>
  <c r="R178" i="10"/>
  <c r="BG177" i="1" s="1"/>
  <c r="A179" i="10"/>
  <c r="B179" i="10"/>
  <c r="C179" i="10"/>
  <c r="D179" i="10"/>
  <c r="E179" i="10"/>
  <c r="F179" i="10"/>
  <c r="G179" i="10"/>
  <c r="H179" i="10"/>
  <c r="J179" i="10"/>
  <c r="AY178" i="1" s="1"/>
  <c r="K179" i="10"/>
  <c r="AZ178" i="1" s="1"/>
  <c r="L179" i="10"/>
  <c r="BA178" i="1" s="1"/>
  <c r="M179" i="10"/>
  <c r="BB178" i="1" s="1"/>
  <c r="N179" i="10"/>
  <c r="BC178" i="1" s="1"/>
  <c r="O179" i="10"/>
  <c r="BD178" i="1" s="1"/>
  <c r="P179" i="10"/>
  <c r="BE178" i="1" s="1"/>
  <c r="Q179" i="10"/>
  <c r="BF178" i="1" s="1"/>
  <c r="R179" i="10"/>
  <c r="BG178" i="1" s="1"/>
  <c r="A180" i="10"/>
  <c r="B180" i="10"/>
  <c r="C180" i="10"/>
  <c r="D180" i="10"/>
  <c r="E180" i="10"/>
  <c r="F180" i="10"/>
  <c r="G180" i="10"/>
  <c r="H180" i="10"/>
  <c r="J180" i="10"/>
  <c r="AY179" i="1" s="1"/>
  <c r="K180" i="10"/>
  <c r="AZ179" i="1" s="1"/>
  <c r="L180" i="10"/>
  <c r="BA179" i="1" s="1"/>
  <c r="M180" i="10"/>
  <c r="BB179" i="1" s="1"/>
  <c r="N180" i="10"/>
  <c r="BC179" i="1" s="1"/>
  <c r="O180" i="10"/>
  <c r="BD179" i="1" s="1"/>
  <c r="P180" i="10"/>
  <c r="BE179" i="1" s="1"/>
  <c r="Q180" i="10"/>
  <c r="BF179" i="1" s="1"/>
  <c r="R180" i="10"/>
  <c r="BG179" i="1" s="1"/>
  <c r="A181" i="10"/>
  <c r="B181" i="10"/>
  <c r="C181" i="10"/>
  <c r="D181" i="10"/>
  <c r="E181" i="10"/>
  <c r="F181" i="10"/>
  <c r="G181" i="10"/>
  <c r="H181" i="10"/>
  <c r="J181" i="10"/>
  <c r="AY180" i="1" s="1"/>
  <c r="K181" i="10"/>
  <c r="AZ180" i="1" s="1"/>
  <c r="L181" i="10"/>
  <c r="BA180" i="1" s="1"/>
  <c r="M181" i="10"/>
  <c r="BB180" i="1" s="1"/>
  <c r="N181" i="10"/>
  <c r="BC180" i="1" s="1"/>
  <c r="O181" i="10"/>
  <c r="BD180" i="1" s="1"/>
  <c r="P181" i="10"/>
  <c r="BE180" i="1" s="1"/>
  <c r="Q181" i="10"/>
  <c r="BF180" i="1" s="1"/>
  <c r="R181" i="10"/>
  <c r="BG180" i="1" s="1"/>
  <c r="A182" i="10"/>
  <c r="B182" i="10"/>
  <c r="C182" i="10"/>
  <c r="D182" i="10"/>
  <c r="E182" i="10"/>
  <c r="F182" i="10"/>
  <c r="G182" i="10"/>
  <c r="H182" i="10"/>
  <c r="J182" i="10"/>
  <c r="AY181" i="1" s="1"/>
  <c r="K182" i="10"/>
  <c r="AZ181" i="1" s="1"/>
  <c r="L182" i="10"/>
  <c r="BA181" i="1" s="1"/>
  <c r="M182" i="10"/>
  <c r="BB181" i="1" s="1"/>
  <c r="N182" i="10"/>
  <c r="BC181" i="1" s="1"/>
  <c r="O182" i="10"/>
  <c r="BD181" i="1" s="1"/>
  <c r="P182" i="10"/>
  <c r="BE181" i="1" s="1"/>
  <c r="Q182" i="10"/>
  <c r="BF181" i="1" s="1"/>
  <c r="R182" i="10"/>
  <c r="BG181" i="1" s="1"/>
  <c r="A183" i="10"/>
  <c r="B183" i="10"/>
  <c r="C183" i="10"/>
  <c r="D183" i="10"/>
  <c r="E183" i="10"/>
  <c r="F183" i="10"/>
  <c r="G183" i="10"/>
  <c r="H183" i="10"/>
  <c r="J183" i="10"/>
  <c r="AY182" i="1" s="1"/>
  <c r="K183" i="10"/>
  <c r="AZ182" i="1" s="1"/>
  <c r="L183" i="10"/>
  <c r="BA182" i="1" s="1"/>
  <c r="M183" i="10"/>
  <c r="BB182" i="1" s="1"/>
  <c r="N183" i="10"/>
  <c r="BC182" i="1" s="1"/>
  <c r="O183" i="10"/>
  <c r="BD182" i="1" s="1"/>
  <c r="P183" i="10"/>
  <c r="BE182" i="1" s="1"/>
  <c r="Q183" i="10"/>
  <c r="BF182" i="1" s="1"/>
  <c r="R183" i="10"/>
  <c r="BG182" i="1" s="1"/>
  <c r="A184" i="10"/>
  <c r="B184" i="10"/>
  <c r="C184" i="10"/>
  <c r="D184" i="10"/>
  <c r="E184" i="10"/>
  <c r="F184" i="10"/>
  <c r="G184" i="10"/>
  <c r="H184" i="10"/>
  <c r="J184" i="10"/>
  <c r="AY183" i="1" s="1"/>
  <c r="K184" i="10"/>
  <c r="AZ183" i="1" s="1"/>
  <c r="L184" i="10"/>
  <c r="BA183" i="1" s="1"/>
  <c r="M184" i="10"/>
  <c r="BB183" i="1" s="1"/>
  <c r="N184" i="10"/>
  <c r="BC183" i="1" s="1"/>
  <c r="O184" i="10"/>
  <c r="BD183" i="1" s="1"/>
  <c r="P184" i="10"/>
  <c r="BE183" i="1" s="1"/>
  <c r="Q184" i="10"/>
  <c r="BF183" i="1" s="1"/>
  <c r="R184" i="10"/>
  <c r="BG183" i="1" s="1"/>
  <c r="A185" i="10"/>
  <c r="B185" i="10"/>
  <c r="C185" i="10"/>
  <c r="D185" i="10"/>
  <c r="E185" i="10"/>
  <c r="F185" i="10"/>
  <c r="G185" i="10"/>
  <c r="H185" i="10"/>
  <c r="J185" i="10"/>
  <c r="AY184" i="1" s="1"/>
  <c r="K185" i="10"/>
  <c r="AZ184" i="1" s="1"/>
  <c r="L185" i="10"/>
  <c r="BA184" i="1" s="1"/>
  <c r="M185" i="10"/>
  <c r="BB184" i="1" s="1"/>
  <c r="N185" i="10"/>
  <c r="BC184" i="1" s="1"/>
  <c r="O185" i="10"/>
  <c r="BD184" i="1" s="1"/>
  <c r="P185" i="10"/>
  <c r="BE184" i="1" s="1"/>
  <c r="Q185" i="10"/>
  <c r="BF184" i="1" s="1"/>
  <c r="R185" i="10"/>
  <c r="BG184" i="1" s="1"/>
  <c r="A186" i="10"/>
  <c r="B186" i="10"/>
  <c r="C186" i="10"/>
  <c r="D186" i="10"/>
  <c r="E186" i="10"/>
  <c r="F186" i="10"/>
  <c r="G186" i="10"/>
  <c r="H186" i="10"/>
  <c r="J186" i="10"/>
  <c r="AY185" i="1" s="1"/>
  <c r="K186" i="10"/>
  <c r="AZ185" i="1" s="1"/>
  <c r="L186" i="10"/>
  <c r="BA185" i="1" s="1"/>
  <c r="M186" i="10"/>
  <c r="BB185" i="1" s="1"/>
  <c r="N186" i="10"/>
  <c r="BC185" i="1" s="1"/>
  <c r="O186" i="10"/>
  <c r="BD185" i="1" s="1"/>
  <c r="P186" i="10"/>
  <c r="BE185" i="1" s="1"/>
  <c r="Q186" i="10"/>
  <c r="BF185" i="1" s="1"/>
  <c r="R186" i="10"/>
  <c r="BG185" i="1" s="1"/>
  <c r="A187" i="10"/>
  <c r="B187" i="10"/>
  <c r="C187" i="10"/>
  <c r="D187" i="10"/>
  <c r="E187" i="10"/>
  <c r="F187" i="10"/>
  <c r="G187" i="10"/>
  <c r="H187" i="10"/>
  <c r="J187" i="10"/>
  <c r="AY186" i="1" s="1"/>
  <c r="K187" i="10"/>
  <c r="AZ186" i="1" s="1"/>
  <c r="L187" i="10"/>
  <c r="BA186" i="1" s="1"/>
  <c r="M187" i="10"/>
  <c r="BB186" i="1" s="1"/>
  <c r="N187" i="10"/>
  <c r="BC186" i="1" s="1"/>
  <c r="O187" i="10"/>
  <c r="BD186" i="1" s="1"/>
  <c r="P187" i="10"/>
  <c r="BE186" i="1" s="1"/>
  <c r="Q187" i="10"/>
  <c r="BF186" i="1" s="1"/>
  <c r="R187" i="10"/>
  <c r="BG186" i="1" s="1"/>
  <c r="A188" i="10"/>
  <c r="B188" i="10"/>
  <c r="C188" i="10"/>
  <c r="D188" i="10"/>
  <c r="E188" i="10"/>
  <c r="F188" i="10"/>
  <c r="G188" i="10"/>
  <c r="H188" i="10"/>
  <c r="J188" i="10"/>
  <c r="AY187" i="1" s="1"/>
  <c r="K188" i="10"/>
  <c r="AZ187" i="1" s="1"/>
  <c r="L188" i="10"/>
  <c r="BA187" i="1" s="1"/>
  <c r="M188" i="10"/>
  <c r="BB187" i="1" s="1"/>
  <c r="N188" i="10"/>
  <c r="BC187" i="1" s="1"/>
  <c r="O188" i="10"/>
  <c r="BD187" i="1" s="1"/>
  <c r="P188" i="10"/>
  <c r="BE187" i="1" s="1"/>
  <c r="Q188" i="10"/>
  <c r="BF187" i="1" s="1"/>
  <c r="R188" i="10"/>
  <c r="BG187" i="1" s="1"/>
  <c r="A189" i="10"/>
  <c r="B189" i="10"/>
  <c r="C189" i="10"/>
  <c r="D189" i="10"/>
  <c r="E189" i="10"/>
  <c r="F189" i="10"/>
  <c r="G189" i="10"/>
  <c r="H189" i="10"/>
  <c r="J189" i="10"/>
  <c r="AY188" i="1" s="1"/>
  <c r="K189" i="10"/>
  <c r="AZ188" i="1" s="1"/>
  <c r="L189" i="10"/>
  <c r="BA188" i="1" s="1"/>
  <c r="M189" i="10"/>
  <c r="BB188" i="1" s="1"/>
  <c r="N189" i="10"/>
  <c r="BC188" i="1" s="1"/>
  <c r="O189" i="10"/>
  <c r="BD188" i="1" s="1"/>
  <c r="P189" i="10"/>
  <c r="BE188" i="1" s="1"/>
  <c r="Q189" i="10"/>
  <c r="BF188" i="1" s="1"/>
  <c r="R189" i="10"/>
  <c r="BG188" i="1" s="1"/>
  <c r="A190" i="10"/>
  <c r="B190" i="10"/>
  <c r="C190" i="10"/>
  <c r="D190" i="10"/>
  <c r="E190" i="10"/>
  <c r="F190" i="10"/>
  <c r="G190" i="10"/>
  <c r="H190" i="10"/>
  <c r="J190" i="10"/>
  <c r="AY189" i="1" s="1"/>
  <c r="K190" i="10"/>
  <c r="AZ189" i="1" s="1"/>
  <c r="L190" i="10"/>
  <c r="BA189" i="1" s="1"/>
  <c r="M190" i="10"/>
  <c r="BB189" i="1" s="1"/>
  <c r="N190" i="10"/>
  <c r="BC189" i="1" s="1"/>
  <c r="O190" i="10"/>
  <c r="BD189" i="1" s="1"/>
  <c r="P190" i="10"/>
  <c r="BE189" i="1" s="1"/>
  <c r="Q190" i="10"/>
  <c r="BF189" i="1" s="1"/>
  <c r="R190" i="10"/>
  <c r="BG189" i="1" s="1"/>
  <c r="A191" i="10"/>
  <c r="B191" i="10"/>
  <c r="C191" i="10"/>
  <c r="D191" i="10"/>
  <c r="E191" i="10"/>
  <c r="F191" i="10"/>
  <c r="G191" i="10"/>
  <c r="H191" i="10"/>
  <c r="J191" i="10"/>
  <c r="AY190" i="1" s="1"/>
  <c r="K191" i="10"/>
  <c r="AZ190" i="1" s="1"/>
  <c r="L191" i="10"/>
  <c r="BA190" i="1" s="1"/>
  <c r="M191" i="10"/>
  <c r="BB190" i="1" s="1"/>
  <c r="N191" i="10"/>
  <c r="BC190" i="1" s="1"/>
  <c r="O191" i="10"/>
  <c r="BD190" i="1" s="1"/>
  <c r="P191" i="10"/>
  <c r="BE190" i="1" s="1"/>
  <c r="Q191" i="10"/>
  <c r="BF190" i="1" s="1"/>
  <c r="R191" i="10"/>
  <c r="BG190" i="1" s="1"/>
  <c r="A192" i="10"/>
  <c r="B192" i="10"/>
  <c r="C192" i="10"/>
  <c r="D192" i="10"/>
  <c r="E192" i="10"/>
  <c r="F192" i="10"/>
  <c r="G192" i="10"/>
  <c r="H192" i="10"/>
  <c r="J192" i="10"/>
  <c r="AY191" i="1" s="1"/>
  <c r="K192" i="10"/>
  <c r="AZ191" i="1" s="1"/>
  <c r="L192" i="10"/>
  <c r="BA191" i="1" s="1"/>
  <c r="M192" i="10"/>
  <c r="BB191" i="1" s="1"/>
  <c r="N192" i="10"/>
  <c r="BC191" i="1" s="1"/>
  <c r="O192" i="10"/>
  <c r="BD191" i="1" s="1"/>
  <c r="P192" i="10"/>
  <c r="BE191" i="1" s="1"/>
  <c r="Q192" i="10"/>
  <c r="BF191" i="1" s="1"/>
  <c r="R192" i="10"/>
  <c r="BG191" i="1" s="1"/>
  <c r="A193" i="10"/>
  <c r="B193" i="10"/>
  <c r="C193" i="10"/>
  <c r="D193" i="10"/>
  <c r="E193" i="10"/>
  <c r="F193" i="10"/>
  <c r="G193" i="10"/>
  <c r="H193" i="10"/>
  <c r="J193" i="10"/>
  <c r="AY192" i="1" s="1"/>
  <c r="K193" i="10"/>
  <c r="AZ192" i="1" s="1"/>
  <c r="L193" i="10"/>
  <c r="BA192" i="1" s="1"/>
  <c r="M193" i="10"/>
  <c r="BB192" i="1" s="1"/>
  <c r="N193" i="10"/>
  <c r="BC192" i="1" s="1"/>
  <c r="O193" i="10"/>
  <c r="BD192" i="1" s="1"/>
  <c r="P193" i="10"/>
  <c r="Q193" i="10"/>
  <c r="BF192" i="1" s="1"/>
  <c r="A194" i="10"/>
  <c r="B194" i="10"/>
  <c r="C194" i="10"/>
  <c r="D194" i="10"/>
  <c r="E194" i="10"/>
  <c r="F194" i="10"/>
  <c r="G194" i="10"/>
  <c r="H194" i="10"/>
  <c r="J194" i="10"/>
  <c r="AY193" i="1" s="1"/>
  <c r="K194" i="10"/>
  <c r="AZ193" i="1" s="1"/>
  <c r="L194" i="10"/>
  <c r="BA193" i="1" s="1"/>
  <c r="M194" i="10"/>
  <c r="BB193" i="1" s="1"/>
  <c r="N194" i="10"/>
  <c r="P194" i="10"/>
  <c r="Q194" i="10"/>
  <c r="BF193" i="1" s="1"/>
  <c r="A195" i="10"/>
  <c r="B195" i="10"/>
  <c r="C195" i="10"/>
  <c r="D195" i="10"/>
  <c r="E195" i="10"/>
  <c r="F195" i="10"/>
  <c r="G195" i="10"/>
  <c r="H195" i="10"/>
  <c r="J195" i="10"/>
  <c r="AY194" i="1" s="1"/>
  <c r="K195" i="10"/>
  <c r="AZ194" i="1" s="1"/>
  <c r="L195" i="10"/>
  <c r="BA194" i="1" s="1"/>
  <c r="M195" i="10"/>
  <c r="BB194" i="1" s="1"/>
  <c r="N195" i="10"/>
  <c r="P195" i="10"/>
  <c r="Q195" i="10"/>
  <c r="BF194" i="1" s="1"/>
  <c r="A196" i="10"/>
  <c r="B196" i="10"/>
  <c r="C196" i="10"/>
  <c r="D196" i="10"/>
  <c r="E196" i="10"/>
  <c r="F196" i="10"/>
  <c r="G196" i="10"/>
  <c r="H196" i="10"/>
  <c r="J196" i="10"/>
  <c r="AY195" i="1" s="1"/>
  <c r="K196" i="10"/>
  <c r="AZ195" i="1" s="1"/>
  <c r="L196" i="10"/>
  <c r="BA195" i="1" s="1"/>
  <c r="M196" i="10"/>
  <c r="BB195" i="1" s="1"/>
  <c r="N196" i="10"/>
  <c r="P196" i="10"/>
  <c r="Q196" i="10"/>
  <c r="BF195" i="1" s="1"/>
  <c r="A197" i="10"/>
  <c r="B197" i="10"/>
  <c r="C197" i="10"/>
  <c r="D197" i="10"/>
  <c r="E197" i="10"/>
  <c r="F197" i="10"/>
  <c r="G197" i="10"/>
  <c r="H197" i="10"/>
  <c r="J197" i="10"/>
  <c r="AY196" i="1" s="1"/>
  <c r="K197" i="10"/>
  <c r="AZ196" i="1" s="1"/>
  <c r="L197" i="10"/>
  <c r="BA196" i="1" s="1"/>
  <c r="M197" i="10"/>
  <c r="BB196" i="1" s="1"/>
  <c r="N197" i="10"/>
  <c r="P197" i="10"/>
  <c r="Q197" i="10"/>
  <c r="BF196" i="1" s="1"/>
  <c r="A198" i="10"/>
  <c r="B198" i="10"/>
  <c r="C198" i="10"/>
  <c r="D198" i="10"/>
  <c r="E198" i="10"/>
  <c r="F198" i="10"/>
  <c r="G198" i="10"/>
  <c r="H198" i="10"/>
  <c r="J198" i="10"/>
  <c r="AY197" i="1" s="1"/>
  <c r="K198" i="10"/>
  <c r="AZ197" i="1" s="1"/>
  <c r="L198" i="10"/>
  <c r="BA197" i="1" s="1"/>
  <c r="M198" i="10"/>
  <c r="BB197" i="1" s="1"/>
  <c r="N198" i="10"/>
  <c r="P198" i="10"/>
  <c r="Q198" i="10"/>
  <c r="BF197" i="1" s="1"/>
  <c r="A199" i="10"/>
  <c r="B199" i="10"/>
  <c r="C199" i="10"/>
  <c r="D199" i="10"/>
  <c r="E199" i="10"/>
  <c r="F199" i="10"/>
  <c r="G199" i="10"/>
  <c r="H199" i="10"/>
  <c r="J199" i="10"/>
  <c r="AY198" i="1" s="1"/>
  <c r="K199" i="10"/>
  <c r="AZ198" i="1" s="1"/>
  <c r="L199" i="10"/>
  <c r="BA198" i="1" s="1"/>
  <c r="M199" i="10"/>
  <c r="BB198" i="1" s="1"/>
  <c r="N199" i="10"/>
  <c r="P199" i="10"/>
  <c r="Q199" i="10"/>
  <c r="BF198" i="1" s="1"/>
  <c r="A200" i="10"/>
  <c r="B200" i="10"/>
  <c r="C200" i="10"/>
  <c r="D200" i="10"/>
  <c r="E200" i="10"/>
  <c r="F200" i="10"/>
  <c r="G200" i="10"/>
  <c r="H200" i="10"/>
  <c r="J200" i="10"/>
  <c r="AY199" i="1" s="1"/>
  <c r="K200" i="10"/>
  <c r="AZ199" i="1" s="1"/>
  <c r="L200" i="10"/>
  <c r="BA199" i="1" s="1"/>
  <c r="M200" i="10"/>
  <c r="BB199" i="1" s="1"/>
  <c r="N200" i="10"/>
  <c r="P200" i="10"/>
  <c r="Q200" i="10"/>
  <c r="BF199" i="1" s="1"/>
  <c r="A201" i="10"/>
  <c r="B201" i="10"/>
  <c r="C201" i="10"/>
  <c r="D201" i="10"/>
  <c r="E201" i="10"/>
  <c r="F201" i="10"/>
  <c r="G201" i="10"/>
  <c r="H201" i="10"/>
  <c r="J201" i="10"/>
  <c r="AY200" i="1" s="1"/>
  <c r="K201" i="10"/>
  <c r="AZ200" i="1" s="1"/>
  <c r="L201" i="10"/>
  <c r="BA200" i="1" s="1"/>
  <c r="M201" i="10"/>
  <c r="BB200" i="1" s="1"/>
  <c r="N201" i="10"/>
  <c r="P201" i="10"/>
  <c r="Q201" i="10"/>
  <c r="BF200" i="1" s="1"/>
  <c r="A202" i="10"/>
  <c r="B202" i="10"/>
  <c r="C202" i="10"/>
  <c r="D202" i="10"/>
  <c r="E202" i="10"/>
  <c r="F202" i="10"/>
  <c r="G202" i="10"/>
  <c r="H202" i="10"/>
  <c r="J202" i="10"/>
  <c r="AY201" i="1" s="1"/>
  <c r="K202" i="10"/>
  <c r="AZ201" i="1" s="1"/>
  <c r="L202" i="10"/>
  <c r="BA201" i="1" s="1"/>
  <c r="M202" i="10"/>
  <c r="BB201" i="1" s="1"/>
  <c r="N202" i="10"/>
  <c r="P202" i="10"/>
  <c r="Q202" i="10"/>
  <c r="BF201" i="1" s="1"/>
  <c r="A203" i="10"/>
  <c r="B203" i="10"/>
  <c r="C203" i="10"/>
  <c r="D203" i="10"/>
  <c r="E203" i="10"/>
  <c r="F203" i="10"/>
  <c r="G203" i="10"/>
  <c r="H203" i="10"/>
  <c r="J203" i="10"/>
  <c r="AY202" i="1" s="1"/>
  <c r="K203" i="10"/>
  <c r="AZ202" i="1" s="1"/>
  <c r="L203" i="10"/>
  <c r="BA202" i="1" s="1"/>
  <c r="M203" i="10"/>
  <c r="BB202" i="1" s="1"/>
  <c r="N203" i="10"/>
  <c r="P203" i="10"/>
  <c r="Q203" i="10"/>
  <c r="BF202" i="1" s="1"/>
  <c r="A204" i="10"/>
  <c r="B204" i="10"/>
  <c r="C204" i="10"/>
  <c r="D204" i="10"/>
  <c r="E204" i="10"/>
  <c r="F204" i="10"/>
  <c r="G204" i="10"/>
  <c r="H204" i="10"/>
  <c r="J204" i="10"/>
  <c r="AY203" i="1" s="1"/>
  <c r="K204" i="10"/>
  <c r="AZ203" i="1" s="1"/>
  <c r="L204" i="10"/>
  <c r="BA203" i="1" s="1"/>
  <c r="M204" i="10"/>
  <c r="BB203" i="1" s="1"/>
  <c r="N204" i="10"/>
  <c r="P204" i="10"/>
  <c r="Q204" i="10"/>
  <c r="BF203" i="1" s="1"/>
  <c r="A205" i="10"/>
  <c r="B205" i="10"/>
  <c r="C205" i="10"/>
  <c r="D205" i="10"/>
  <c r="E205" i="10"/>
  <c r="F205" i="10"/>
  <c r="G205" i="10"/>
  <c r="H205" i="10"/>
  <c r="J205" i="10"/>
  <c r="AY204" i="1" s="1"/>
  <c r="K205" i="10"/>
  <c r="AZ204" i="1" s="1"/>
  <c r="L205" i="10"/>
  <c r="BA204" i="1" s="1"/>
  <c r="M205" i="10"/>
  <c r="BB204" i="1" s="1"/>
  <c r="N205" i="10"/>
  <c r="P205" i="10"/>
  <c r="Q205" i="10"/>
  <c r="BF204" i="1" s="1"/>
  <c r="A206" i="10"/>
  <c r="B206" i="10"/>
  <c r="C206" i="10"/>
  <c r="D206" i="10"/>
  <c r="E206" i="10"/>
  <c r="F206" i="10"/>
  <c r="G206" i="10"/>
  <c r="H206" i="10"/>
  <c r="J206" i="10"/>
  <c r="AY205" i="1" s="1"/>
  <c r="K206" i="10"/>
  <c r="AZ205" i="1" s="1"/>
  <c r="L206" i="10"/>
  <c r="BA205" i="1" s="1"/>
  <c r="M206" i="10"/>
  <c r="BB205" i="1" s="1"/>
  <c r="N206" i="10"/>
  <c r="P206" i="10"/>
  <c r="Q206" i="10"/>
  <c r="BF205" i="1" s="1"/>
  <c r="A207" i="10"/>
  <c r="B207" i="10"/>
  <c r="C207" i="10"/>
  <c r="D207" i="10"/>
  <c r="E207" i="10"/>
  <c r="F207" i="10"/>
  <c r="G207" i="10"/>
  <c r="H207" i="10"/>
  <c r="J207" i="10"/>
  <c r="AY206" i="1" s="1"/>
  <c r="K207" i="10"/>
  <c r="AZ206" i="1" s="1"/>
  <c r="L207" i="10"/>
  <c r="BA206" i="1" s="1"/>
  <c r="M207" i="10"/>
  <c r="BB206" i="1" s="1"/>
  <c r="N207" i="10"/>
  <c r="P207" i="10"/>
  <c r="Q207" i="10"/>
  <c r="BF206" i="1" s="1"/>
  <c r="A208" i="10"/>
  <c r="B208" i="10"/>
  <c r="C208" i="10"/>
  <c r="D208" i="10"/>
  <c r="E208" i="10"/>
  <c r="F208" i="10"/>
  <c r="G208" i="10"/>
  <c r="H208" i="10"/>
  <c r="J208" i="10"/>
  <c r="AY207" i="1" s="1"/>
  <c r="K208" i="10"/>
  <c r="AZ207" i="1" s="1"/>
  <c r="L208" i="10"/>
  <c r="BA207" i="1" s="1"/>
  <c r="M208" i="10"/>
  <c r="BB207" i="1" s="1"/>
  <c r="N208" i="10"/>
  <c r="P208" i="10"/>
  <c r="Q208" i="10"/>
  <c r="BF207" i="1" s="1"/>
  <c r="A209" i="10"/>
  <c r="B209" i="10"/>
  <c r="C209" i="10"/>
  <c r="D209" i="10"/>
  <c r="E209" i="10"/>
  <c r="F209" i="10"/>
  <c r="G209" i="10"/>
  <c r="H209" i="10"/>
  <c r="J209" i="10"/>
  <c r="AY208" i="1" s="1"/>
  <c r="K209" i="10"/>
  <c r="AZ208" i="1" s="1"/>
  <c r="L209" i="10"/>
  <c r="BA208" i="1" s="1"/>
  <c r="M209" i="10"/>
  <c r="BB208" i="1" s="1"/>
  <c r="N209" i="10"/>
  <c r="P209" i="10"/>
  <c r="Q209" i="10"/>
  <c r="BF208" i="1" s="1"/>
  <c r="A210" i="10"/>
  <c r="B210" i="10"/>
  <c r="C210" i="10"/>
  <c r="D210" i="10"/>
  <c r="E210" i="10"/>
  <c r="F210" i="10"/>
  <c r="G210" i="10"/>
  <c r="H210" i="10"/>
  <c r="J210" i="10"/>
  <c r="AY209" i="1" s="1"/>
  <c r="K210" i="10"/>
  <c r="AZ209" i="1" s="1"/>
  <c r="L210" i="10"/>
  <c r="BA209" i="1" s="1"/>
  <c r="M210" i="10"/>
  <c r="BB209" i="1" s="1"/>
  <c r="N210" i="10"/>
  <c r="P210" i="10"/>
  <c r="Q210" i="10"/>
  <c r="BF209" i="1" s="1"/>
  <c r="A211" i="10"/>
  <c r="B211" i="10"/>
  <c r="C211" i="10"/>
  <c r="D211" i="10"/>
  <c r="E211" i="10"/>
  <c r="F211" i="10"/>
  <c r="G211" i="10"/>
  <c r="H211" i="10"/>
  <c r="J211" i="10"/>
  <c r="AY210" i="1" s="1"/>
  <c r="K211" i="10"/>
  <c r="AZ210" i="1" s="1"/>
  <c r="L211" i="10"/>
  <c r="BA210" i="1" s="1"/>
  <c r="M211" i="10"/>
  <c r="BB210" i="1" s="1"/>
  <c r="N211" i="10"/>
  <c r="P211" i="10"/>
  <c r="Q211" i="10"/>
  <c r="BF210" i="1" s="1"/>
  <c r="A212" i="10"/>
  <c r="B212" i="10"/>
  <c r="C212" i="10"/>
  <c r="D212" i="10"/>
  <c r="E212" i="10"/>
  <c r="F212" i="10"/>
  <c r="G212" i="10"/>
  <c r="H212" i="10"/>
  <c r="J212" i="10"/>
  <c r="AY211" i="1" s="1"/>
  <c r="K212" i="10"/>
  <c r="AZ211" i="1" s="1"/>
  <c r="L212" i="10"/>
  <c r="BA211" i="1" s="1"/>
  <c r="M212" i="10"/>
  <c r="BB211" i="1" s="1"/>
  <c r="N212" i="10"/>
  <c r="P212" i="10"/>
  <c r="Q212" i="10"/>
  <c r="BF211" i="1" s="1"/>
  <c r="A213" i="10"/>
  <c r="B213" i="10"/>
  <c r="C213" i="10"/>
  <c r="D213" i="10"/>
  <c r="E213" i="10"/>
  <c r="F213" i="10"/>
  <c r="G213" i="10"/>
  <c r="H213" i="10"/>
  <c r="J213" i="10"/>
  <c r="AY212" i="1" s="1"/>
  <c r="K213" i="10"/>
  <c r="AZ212" i="1" s="1"/>
  <c r="L213" i="10"/>
  <c r="BA212" i="1" s="1"/>
  <c r="M213" i="10"/>
  <c r="BB212" i="1" s="1"/>
  <c r="N213" i="10"/>
  <c r="P213" i="10"/>
  <c r="Q213" i="10"/>
  <c r="BF212" i="1" s="1"/>
  <c r="A214" i="10"/>
  <c r="B214" i="10"/>
  <c r="C214" i="10"/>
  <c r="D214" i="10"/>
  <c r="E214" i="10"/>
  <c r="F214" i="10"/>
  <c r="G214" i="10"/>
  <c r="H214" i="10"/>
  <c r="J214" i="10"/>
  <c r="AY213" i="1" s="1"/>
  <c r="K214" i="10"/>
  <c r="AZ213" i="1" s="1"/>
  <c r="L214" i="10"/>
  <c r="BA213" i="1" s="1"/>
  <c r="M214" i="10"/>
  <c r="BB213" i="1" s="1"/>
  <c r="N214" i="10"/>
  <c r="P214" i="10"/>
  <c r="Q214" i="10"/>
  <c r="BF213" i="1" s="1"/>
  <c r="A215" i="10"/>
  <c r="B215" i="10"/>
  <c r="C215" i="10"/>
  <c r="D215" i="10"/>
  <c r="E215" i="10"/>
  <c r="F215" i="10"/>
  <c r="G215" i="10"/>
  <c r="H215" i="10"/>
  <c r="J215" i="10"/>
  <c r="AY214" i="1" s="1"/>
  <c r="K215" i="10"/>
  <c r="AZ214" i="1" s="1"/>
  <c r="L215" i="10"/>
  <c r="BA214" i="1" s="1"/>
  <c r="M215" i="10"/>
  <c r="BB214" i="1" s="1"/>
  <c r="N215" i="10"/>
  <c r="P215" i="10"/>
  <c r="Q215" i="10"/>
  <c r="BF214" i="1" s="1"/>
  <c r="A216" i="10"/>
  <c r="B216" i="10"/>
  <c r="C216" i="10"/>
  <c r="D216" i="10"/>
  <c r="E216" i="10"/>
  <c r="F216" i="10"/>
  <c r="G216" i="10"/>
  <c r="H216" i="10"/>
  <c r="J216" i="10"/>
  <c r="AY215" i="1" s="1"/>
  <c r="K216" i="10"/>
  <c r="AZ215" i="1" s="1"/>
  <c r="L216" i="10"/>
  <c r="BA215" i="1" s="1"/>
  <c r="M216" i="10"/>
  <c r="BB215" i="1" s="1"/>
  <c r="N216" i="10"/>
  <c r="P216" i="10"/>
  <c r="Q216" i="10"/>
  <c r="BF215" i="1" s="1"/>
  <c r="A217" i="10"/>
  <c r="B217" i="10"/>
  <c r="C217" i="10"/>
  <c r="D217" i="10"/>
  <c r="E217" i="10"/>
  <c r="F217" i="10"/>
  <c r="G217" i="10"/>
  <c r="H217" i="10"/>
  <c r="J217" i="10"/>
  <c r="AY216" i="1" s="1"/>
  <c r="K217" i="10"/>
  <c r="AZ216" i="1" s="1"/>
  <c r="L217" i="10"/>
  <c r="BA216" i="1" s="1"/>
  <c r="M217" i="10"/>
  <c r="BB216" i="1" s="1"/>
  <c r="N217" i="10"/>
  <c r="P217" i="10"/>
  <c r="Q217" i="10"/>
  <c r="BF216" i="1" s="1"/>
  <c r="A218" i="10"/>
  <c r="B218" i="10"/>
  <c r="C218" i="10"/>
  <c r="D218" i="10"/>
  <c r="E218" i="10"/>
  <c r="F218" i="10"/>
  <c r="G218" i="10"/>
  <c r="H218" i="10"/>
  <c r="J218" i="10"/>
  <c r="AY217" i="1" s="1"/>
  <c r="K218" i="10"/>
  <c r="AZ217" i="1" s="1"/>
  <c r="L218" i="10"/>
  <c r="BA217" i="1" s="1"/>
  <c r="M218" i="10"/>
  <c r="BB217" i="1" s="1"/>
  <c r="N218" i="10"/>
  <c r="P218" i="10"/>
  <c r="Q218" i="10"/>
  <c r="BF217" i="1" s="1"/>
  <c r="A219" i="10"/>
  <c r="B219" i="10"/>
  <c r="C219" i="10"/>
  <c r="D219" i="10"/>
  <c r="E219" i="10"/>
  <c r="F219" i="10"/>
  <c r="G219" i="10"/>
  <c r="J219" i="10" s="1"/>
  <c r="AY218" i="1" s="1"/>
  <c r="H219" i="10"/>
  <c r="K219" i="10"/>
  <c r="AZ218" i="1" s="1"/>
  <c r="L219" i="10"/>
  <c r="BA218" i="1" s="1"/>
  <c r="M219" i="10"/>
  <c r="BB218" i="1" s="1"/>
  <c r="N219" i="10"/>
  <c r="P219" i="10"/>
  <c r="Q219" i="10"/>
  <c r="BF218" i="1" s="1"/>
  <c r="A220" i="10"/>
  <c r="B220" i="10"/>
  <c r="C220" i="10"/>
  <c r="D220" i="10"/>
  <c r="E220" i="10"/>
  <c r="F220" i="10"/>
  <c r="G220" i="10"/>
  <c r="H220" i="10"/>
  <c r="J220" i="10"/>
  <c r="AY219" i="1" s="1"/>
  <c r="K220" i="10"/>
  <c r="AZ219" i="1" s="1"/>
  <c r="L220" i="10"/>
  <c r="BA219" i="1" s="1"/>
  <c r="M220" i="10"/>
  <c r="BB219" i="1" s="1"/>
  <c r="N220" i="10"/>
  <c r="P220" i="10"/>
  <c r="Q220" i="10"/>
  <c r="BF219" i="1" s="1"/>
  <c r="A221" i="10"/>
  <c r="B221" i="10"/>
  <c r="C221" i="10"/>
  <c r="D221" i="10"/>
  <c r="E221" i="10"/>
  <c r="F221" i="10"/>
  <c r="G221" i="10"/>
  <c r="H221" i="10"/>
  <c r="J221" i="10"/>
  <c r="AY220" i="1" s="1"/>
  <c r="K221" i="10"/>
  <c r="AZ220" i="1" s="1"/>
  <c r="L221" i="10"/>
  <c r="BA220" i="1" s="1"/>
  <c r="M221" i="10"/>
  <c r="BB220" i="1" s="1"/>
  <c r="N221" i="10"/>
  <c r="P221" i="10"/>
  <c r="Q221" i="10"/>
  <c r="BF220" i="1" s="1"/>
  <c r="A222" i="10"/>
  <c r="B222" i="10"/>
  <c r="C222" i="10"/>
  <c r="D222" i="10"/>
  <c r="E222" i="10"/>
  <c r="F222" i="10"/>
  <c r="G222" i="10"/>
  <c r="H222" i="10"/>
  <c r="J222" i="10"/>
  <c r="AY221" i="1" s="1"/>
  <c r="K222" i="10"/>
  <c r="AZ221" i="1" s="1"/>
  <c r="L222" i="10"/>
  <c r="BA221" i="1" s="1"/>
  <c r="M222" i="10"/>
  <c r="BB221" i="1" s="1"/>
  <c r="N222" i="10"/>
  <c r="P222" i="10"/>
  <c r="Q222" i="10"/>
  <c r="BF221" i="1" s="1"/>
  <c r="A223" i="10"/>
  <c r="B223" i="10"/>
  <c r="C223" i="10"/>
  <c r="D223" i="10"/>
  <c r="E223" i="10"/>
  <c r="F223" i="10"/>
  <c r="G223" i="10"/>
  <c r="H223" i="10"/>
  <c r="J223" i="10"/>
  <c r="AY222" i="1" s="1"/>
  <c r="K223" i="10"/>
  <c r="AZ222" i="1" s="1"/>
  <c r="L223" i="10"/>
  <c r="BA222" i="1" s="1"/>
  <c r="M223" i="10"/>
  <c r="BB222" i="1" s="1"/>
  <c r="N223" i="10"/>
  <c r="P223" i="10"/>
  <c r="Q223" i="10"/>
  <c r="BF222" i="1" s="1"/>
  <c r="A224" i="10"/>
  <c r="B224" i="10"/>
  <c r="C224" i="10"/>
  <c r="D224" i="10"/>
  <c r="E224" i="10"/>
  <c r="F224" i="10"/>
  <c r="G224" i="10"/>
  <c r="H224" i="10"/>
  <c r="J224" i="10"/>
  <c r="AY223" i="1" s="1"/>
  <c r="K224" i="10"/>
  <c r="AZ223" i="1" s="1"/>
  <c r="L224" i="10"/>
  <c r="BA223" i="1" s="1"/>
  <c r="M224" i="10"/>
  <c r="BB223" i="1" s="1"/>
  <c r="N224" i="10"/>
  <c r="P224" i="10"/>
  <c r="Q224" i="10"/>
  <c r="BF223" i="1" s="1"/>
  <c r="A225" i="10"/>
  <c r="B225" i="10"/>
  <c r="C225" i="10"/>
  <c r="D225" i="10"/>
  <c r="E225" i="10"/>
  <c r="F225" i="10"/>
  <c r="G225" i="10"/>
  <c r="H225" i="10"/>
  <c r="J225" i="10"/>
  <c r="AY224" i="1" s="1"/>
  <c r="K225" i="10"/>
  <c r="AZ224" i="1" s="1"/>
  <c r="L225" i="10"/>
  <c r="BA224" i="1" s="1"/>
  <c r="M225" i="10"/>
  <c r="BB224" i="1" s="1"/>
  <c r="N225" i="10"/>
  <c r="P225" i="10"/>
  <c r="Q225" i="10"/>
  <c r="BF224" i="1" s="1"/>
  <c r="A226" i="10"/>
  <c r="B226" i="10"/>
  <c r="C226" i="10"/>
  <c r="D226" i="10"/>
  <c r="E226" i="10"/>
  <c r="F226" i="10"/>
  <c r="G226" i="10"/>
  <c r="H226" i="10"/>
  <c r="J226" i="10"/>
  <c r="AY225" i="1" s="1"/>
  <c r="K226" i="10"/>
  <c r="AZ225" i="1" s="1"/>
  <c r="L226" i="10"/>
  <c r="BA225" i="1" s="1"/>
  <c r="M226" i="10"/>
  <c r="BB225" i="1" s="1"/>
  <c r="N226" i="10"/>
  <c r="P226" i="10"/>
  <c r="Q226" i="10"/>
  <c r="BF225" i="1" s="1"/>
  <c r="A227" i="10"/>
  <c r="B227" i="10"/>
  <c r="C227" i="10"/>
  <c r="D227" i="10"/>
  <c r="E227" i="10"/>
  <c r="F227" i="10"/>
  <c r="G227" i="10"/>
  <c r="H227" i="10"/>
  <c r="A228" i="10"/>
  <c r="B228" i="10"/>
  <c r="C228" i="10"/>
  <c r="D228" i="10"/>
  <c r="E228" i="10"/>
  <c r="F228" i="10"/>
  <c r="G228" i="10"/>
  <c r="H228" i="10"/>
  <c r="J228" i="10"/>
  <c r="AY227" i="1" s="1"/>
  <c r="K228" i="10"/>
  <c r="AZ227" i="1" s="1"/>
  <c r="L228" i="10"/>
  <c r="BA227" i="1" s="1"/>
  <c r="M228" i="10"/>
  <c r="BB227" i="1" s="1"/>
  <c r="N228" i="10"/>
  <c r="BC227" i="1" s="1"/>
  <c r="O228" i="10"/>
  <c r="BD227" i="1" s="1"/>
  <c r="P228" i="10"/>
  <c r="BE227" i="1" s="1"/>
  <c r="Q228" i="10"/>
  <c r="BF227" i="1" s="1"/>
  <c r="R228" i="10"/>
  <c r="BG227" i="1" s="1"/>
  <c r="A229" i="10"/>
  <c r="B229" i="10"/>
  <c r="C229" i="10"/>
  <c r="D229" i="10"/>
  <c r="E229" i="10"/>
  <c r="F229" i="10"/>
  <c r="G229" i="10"/>
  <c r="H229" i="10"/>
  <c r="J229" i="10"/>
  <c r="AY228" i="1" s="1"/>
  <c r="K229" i="10"/>
  <c r="AZ228" i="1" s="1"/>
  <c r="L229" i="10"/>
  <c r="BA228" i="1" s="1"/>
  <c r="M229" i="10"/>
  <c r="BB228" i="1" s="1"/>
  <c r="N229" i="10"/>
  <c r="BC228" i="1" s="1"/>
  <c r="O229" i="10"/>
  <c r="BD228" i="1" s="1"/>
  <c r="P229" i="10"/>
  <c r="BE228" i="1" s="1"/>
  <c r="Q229" i="10"/>
  <c r="BF228" i="1" s="1"/>
  <c r="R229" i="10"/>
  <c r="BG228" i="1" s="1"/>
  <c r="A230" i="10"/>
  <c r="B230" i="10"/>
  <c r="C230" i="10"/>
  <c r="D230" i="10"/>
  <c r="E230" i="10"/>
  <c r="F230" i="10"/>
  <c r="G230" i="10"/>
  <c r="H230" i="10"/>
  <c r="J230" i="10"/>
  <c r="AY229" i="1" s="1"/>
  <c r="K230" i="10"/>
  <c r="AZ229" i="1" s="1"/>
  <c r="L230" i="10"/>
  <c r="BA229" i="1" s="1"/>
  <c r="M230" i="10"/>
  <c r="BB229" i="1" s="1"/>
  <c r="N230" i="10"/>
  <c r="BC229" i="1" s="1"/>
  <c r="O230" i="10"/>
  <c r="BD229" i="1" s="1"/>
  <c r="P230" i="10"/>
  <c r="BE229" i="1" s="1"/>
  <c r="Q230" i="10"/>
  <c r="BF229" i="1" s="1"/>
  <c r="R230" i="10"/>
  <c r="BG229" i="1" s="1"/>
  <c r="A231" i="10"/>
  <c r="B231" i="10"/>
  <c r="C231" i="10"/>
  <c r="D231" i="10"/>
  <c r="E231" i="10"/>
  <c r="F231" i="10"/>
  <c r="G231" i="10"/>
  <c r="H231" i="10"/>
  <c r="J231" i="10"/>
  <c r="AY230" i="1" s="1"/>
  <c r="K231" i="10"/>
  <c r="AZ230" i="1" s="1"/>
  <c r="L231" i="10"/>
  <c r="BA230" i="1" s="1"/>
  <c r="M231" i="10"/>
  <c r="BB230" i="1" s="1"/>
  <c r="N231" i="10"/>
  <c r="BC230" i="1" s="1"/>
  <c r="O231" i="10"/>
  <c r="BD230" i="1" s="1"/>
  <c r="P231" i="10"/>
  <c r="BE230" i="1" s="1"/>
  <c r="Q231" i="10"/>
  <c r="BF230" i="1" s="1"/>
  <c r="R231" i="10"/>
  <c r="BG230" i="1" s="1"/>
  <c r="A232" i="10"/>
  <c r="B232" i="10"/>
  <c r="C232" i="10"/>
  <c r="D232" i="10"/>
  <c r="E232" i="10"/>
  <c r="F232" i="10"/>
  <c r="G232" i="10"/>
  <c r="H232" i="10"/>
  <c r="J232" i="10"/>
  <c r="AY231" i="1" s="1"/>
  <c r="K232" i="10"/>
  <c r="AZ231" i="1" s="1"/>
  <c r="L232" i="10"/>
  <c r="BA231" i="1" s="1"/>
  <c r="M232" i="10"/>
  <c r="BB231" i="1" s="1"/>
  <c r="N232" i="10"/>
  <c r="BC231" i="1" s="1"/>
  <c r="O232" i="10"/>
  <c r="BD231" i="1" s="1"/>
  <c r="P232" i="10"/>
  <c r="BE231" i="1" s="1"/>
  <c r="Q232" i="10"/>
  <c r="BF231" i="1" s="1"/>
  <c r="R232" i="10"/>
  <c r="BG231" i="1" s="1"/>
  <c r="A233" i="10"/>
  <c r="B233" i="10"/>
  <c r="C233" i="10"/>
  <c r="D233" i="10"/>
  <c r="E233" i="10"/>
  <c r="F233" i="10"/>
  <c r="G233" i="10"/>
  <c r="H233" i="10"/>
  <c r="J233" i="10"/>
  <c r="AY232" i="1" s="1"/>
  <c r="K233" i="10"/>
  <c r="AZ232" i="1" s="1"/>
  <c r="L233" i="10"/>
  <c r="BA232" i="1" s="1"/>
  <c r="M233" i="10"/>
  <c r="BB232" i="1" s="1"/>
  <c r="N233" i="10"/>
  <c r="BC232" i="1" s="1"/>
  <c r="O233" i="10"/>
  <c r="BD232" i="1" s="1"/>
  <c r="P233" i="10"/>
  <c r="BE232" i="1" s="1"/>
  <c r="Q233" i="10"/>
  <c r="BF232" i="1" s="1"/>
  <c r="R233" i="10"/>
  <c r="BG232" i="1" s="1"/>
  <c r="A234" i="10"/>
  <c r="B234" i="10"/>
  <c r="C234" i="10"/>
  <c r="D234" i="10"/>
  <c r="E234" i="10"/>
  <c r="F234" i="10"/>
  <c r="G234" i="10"/>
  <c r="H234" i="10"/>
  <c r="J234" i="10"/>
  <c r="AY233" i="1" s="1"/>
  <c r="K234" i="10"/>
  <c r="AZ233" i="1" s="1"/>
  <c r="L234" i="10"/>
  <c r="BA233" i="1" s="1"/>
  <c r="M234" i="10"/>
  <c r="BB233" i="1" s="1"/>
  <c r="N234" i="10"/>
  <c r="BC233" i="1" s="1"/>
  <c r="O234" i="10"/>
  <c r="BD233" i="1" s="1"/>
  <c r="P234" i="10"/>
  <c r="BE233" i="1" s="1"/>
  <c r="Q234" i="10"/>
  <c r="BF233" i="1" s="1"/>
  <c r="R234" i="10"/>
  <c r="BG233" i="1" s="1"/>
  <c r="A235" i="10"/>
  <c r="B235" i="10"/>
  <c r="C235" i="10"/>
  <c r="D235" i="10"/>
  <c r="E235" i="10"/>
  <c r="F235" i="10"/>
  <c r="G235" i="10"/>
  <c r="H235" i="10"/>
  <c r="J235" i="10"/>
  <c r="AY234" i="1" s="1"/>
  <c r="K235" i="10"/>
  <c r="AZ234" i="1" s="1"/>
  <c r="L235" i="10"/>
  <c r="BA234" i="1" s="1"/>
  <c r="M235" i="10"/>
  <c r="BB234" i="1" s="1"/>
  <c r="N235" i="10"/>
  <c r="BC234" i="1" s="1"/>
  <c r="O235" i="10"/>
  <c r="BD234" i="1" s="1"/>
  <c r="P235" i="10"/>
  <c r="BE234" i="1" s="1"/>
  <c r="Q235" i="10"/>
  <c r="BF234" i="1" s="1"/>
  <c r="R235" i="10"/>
  <c r="BG234" i="1" s="1"/>
  <c r="A236" i="10"/>
  <c r="B236" i="10"/>
  <c r="C236" i="10"/>
  <c r="D236" i="10"/>
  <c r="E236" i="10"/>
  <c r="F236" i="10"/>
  <c r="G236" i="10"/>
  <c r="H236" i="10"/>
  <c r="J236" i="10"/>
  <c r="AY235" i="1" s="1"/>
  <c r="K236" i="10"/>
  <c r="AZ235" i="1" s="1"/>
  <c r="L236" i="10"/>
  <c r="BA235" i="1" s="1"/>
  <c r="M236" i="10"/>
  <c r="BB235" i="1" s="1"/>
  <c r="N236" i="10"/>
  <c r="BC235" i="1" s="1"/>
  <c r="O236" i="10"/>
  <c r="BD235" i="1" s="1"/>
  <c r="P236" i="10"/>
  <c r="BE235" i="1" s="1"/>
  <c r="Q236" i="10"/>
  <c r="BF235" i="1" s="1"/>
  <c r="R236" i="10"/>
  <c r="BG235" i="1" s="1"/>
  <c r="A237" i="10"/>
  <c r="B237" i="10"/>
  <c r="C237" i="10"/>
  <c r="D237" i="10"/>
  <c r="E237" i="10"/>
  <c r="F237" i="10"/>
  <c r="G237" i="10"/>
  <c r="H237" i="10"/>
  <c r="J237" i="10"/>
  <c r="AY236" i="1" s="1"/>
  <c r="K237" i="10"/>
  <c r="AZ236" i="1" s="1"/>
  <c r="L237" i="10"/>
  <c r="BA236" i="1" s="1"/>
  <c r="M237" i="10"/>
  <c r="BB236" i="1" s="1"/>
  <c r="N237" i="10"/>
  <c r="BC236" i="1" s="1"/>
  <c r="O237" i="10"/>
  <c r="BD236" i="1" s="1"/>
  <c r="P237" i="10"/>
  <c r="BE236" i="1" s="1"/>
  <c r="Q237" i="10"/>
  <c r="BF236" i="1" s="1"/>
  <c r="R237" i="10"/>
  <c r="BG236" i="1" s="1"/>
  <c r="A238" i="10"/>
  <c r="B238" i="10"/>
  <c r="C238" i="10"/>
  <c r="D238" i="10"/>
  <c r="E238" i="10"/>
  <c r="F238" i="10"/>
  <c r="G238" i="10"/>
  <c r="H238" i="10"/>
  <c r="J238" i="10"/>
  <c r="AY237" i="1" s="1"/>
  <c r="K238" i="10"/>
  <c r="AZ237" i="1" s="1"/>
  <c r="L238" i="10"/>
  <c r="BA237" i="1" s="1"/>
  <c r="M238" i="10"/>
  <c r="BB237" i="1" s="1"/>
  <c r="N238" i="10"/>
  <c r="BC237" i="1" s="1"/>
  <c r="O238" i="10"/>
  <c r="BD237" i="1" s="1"/>
  <c r="P238" i="10"/>
  <c r="BE237" i="1" s="1"/>
  <c r="Q238" i="10"/>
  <c r="BF237" i="1" s="1"/>
  <c r="R238" i="10"/>
  <c r="BG237" i="1" s="1"/>
  <c r="A239" i="10"/>
  <c r="B239" i="10"/>
  <c r="C239" i="10"/>
  <c r="D239" i="10"/>
  <c r="E239" i="10"/>
  <c r="F239" i="10"/>
  <c r="G239" i="10"/>
  <c r="H239" i="10"/>
  <c r="J239" i="10"/>
  <c r="AY238" i="1" s="1"/>
  <c r="K239" i="10"/>
  <c r="AZ238" i="1" s="1"/>
  <c r="L239" i="10"/>
  <c r="BA238" i="1" s="1"/>
  <c r="M239" i="10"/>
  <c r="BB238" i="1" s="1"/>
  <c r="N239" i="10"/>
  <c r="BC238" i="1" s="1"/>
  <c r="O239" i="10"/>
  <c r="BD238" i="1" s="1"/>
  <c r="P239" i="10"/>
  <c r="BE238" i="1" s="1"/>
  <c r="Q239" i="10"/>
  <c r="BF238" i="1" s="1"/>
  <c r="R239" i="10"/>
  <c r="BG238" i="1" s="1"/>
  <c r="A240" i="10"/>
  <c r="B240" i="10"/>
  <c r="C240" i="10"/>
  <c r="D240" i="10"/>
  <c r="E240" i="10"/>
  <c r="F240" i="10"/>
  <c r="G240" i="10"/>
  <c r="H240" i="10"/>
  <c r="J240" i="10"/>
  <c r="AY239" i="1" s="1"/>
  <c r="K240" i="10"/>
  <c r="AZ239" i="1" s="1"/>
  <c r="L240" i="10"/>
  <c r="BA239" i="1" s="1"/>
  <c r="M240" i="10"/>
  <c r="BB239" i="1" s="1"/>
  <c r="N240" i="10"/>
  <c r="BC239" i="1" s="1"/>
  <c r="O240" i="10"/>
  <c r="BD239" i="1" s="1"/>
  <c r="P240" i="10"/>
  <c r="BE239" i="1" s="1"/>
  <c r="Q240" i="10"/>
  <c r="BF239" i="1" s="1"/>
  <c r="R240" i="10"/>
  <c r="BG239" i="1" s="1"/>
  <c r="A241" i="10"/>
  <c r="B241" i="10"/>
  <c r="C241" i="10"/>
  <c r="D241" i="10"/>
  <c r="E241" i="10"/>
  <c r="F241" i="10"/>
  <c r="G241" i="10"/>
  <c r="H241" i="10"/>
  <c r="J241" i="10"/>
  <c r="AY240" i="1" s="1"/>
  <c r="K241" i="10"/>
  <c r="AZ240" i="1" s="1"/>
  <c r="L241" i="10"/>
  <c r="BA240" i="1" s="1"/>
  <c r="M241" i="10"/>
  <c r="BB240" i="1" s="1"/>
  <c r="N241" i="10"/>
  <c r="BC240" i="1" s="1"/>
  <c r="O241" i="10"/>
  <c r="BD240" i="1" s="1"/>
  <c r="P241" i="10"/>
  <c r="BE240" i="1" s="1"/>
  <c r="Q241" i="10"/>
  <c r="BF240" i="1" s="1"/>
  <c r="R241" i="10"/>
  <c r="BG240" i="1" s="1"/>
  <c r="A242" i="10"/>
  <c r="B242" i="10"/>
  <c r="C242" i="10"/>
  <c r="D242" i="10"/>
  <c r="E242" i="10"/>
  <c r="F242" i="10"/>
  <c r="G242" i="10"/>
  <c r="H242" i="10"/>
  <c r="J242" i="10"/>
  <c r="AY241" i="1" s="1"/>
  <c r="K242" i="10"/>
  <c r="AZ241" i="1" s="1"/>
  <c r="L242" i="10"/>
  <c r="BA241" i="1" s="1"/>
  <c r="M242" i="10"/>
  <c r="BB241" i="1" s="1"/>
  <c r="N242" i="10"/>
  <c r="BC241" i="1" s="1"/>
  <c r="O242" i="10"/>
  <c r="BD241" i="1" s="1"/>
  <c r="P242" i="10"/>
  <c r="BE241" i="1" s="1"/>
  <c r="Q242" i="10"/>
  <c r="BF241" i="1" s="1"/>
  <c r="R242" i="10"/>
  <c r="BG241" i="1" s="1"/>
  <c r="A243" i="10"/>
  <c r="B243" i="10"/>
  <c r="C243" i="10"/>
  <c r="D243" i="10"/>
  <c r="E243" i="10"/>
  <c r="F243" i="10"/>
  <c r="G243" i="10"/>
  <c r="H243" i="10"/>
  <c r="J243" i="10"/>
  <c r="AY242" i="1" s="1"/>
  <c r="K243" i="10"/>
  <c r="AZ242" i="1" s="1"/>
  <c r="L243" i="10"/>
  <c r="BA242" i="1" s="1"/>
  <c r="M243" i="10"/>
  <c r="BB242" i="1" s="1"/>
  <c r="N243" i="10"/>
  <c r="BC242" i="1" s="1"/>
  <c r="O243" i="10"/>
  <c r="BD242" i="1" s="1"/>
  <c r="P243" i="10"/>
  <c r="BE242" i="1" s="1"/>
  <c r="Q243" i="10"/>
  <c r="BF242" i="1" s="1"/>
  <c r="R243" i="10"/>
  <c r="BG242" i="1" s="1"/>
  <c r="A244" i="10"/>
  <c r="B244" i="10"/>
  <c r="C244" i="10"/>
  <c r="D244" i="10"/>
  <c r="E244" i="10"/>
  <c r="F244" i="10"/>
  <c r="G244" i="10"/>
  <c r="H244" i="10"/>
  <c r="J244" i="10"/>
  <c r="AY243" i="1" s="1"/>
  <c r="K244" i="10"/>
  <c r="AZ243" i="1" s="1"/>
  <c r="L244" i="10"/>
  <c r="BA243" i="1" s="1"/>
  <c r="M244" i="10"/>
  <c r="BB243" i="1" s="1"/>
  <c r="N244" i="10"/>
  <c r="BC243" i="1" s="1"/>
  <c r="O244" i="10"/>
  <c r="BD243" i="1" s="1"/>
  <c r="P244" i="10"/>
  <c r="BE243" i="1" s="1"/>
  <c r="Q244" i="10"/>
  <c r="BF243" i="1" s="1"/>
  <c r="R244" i="10"/>
  <c r="BG243" i="1" s="1"/>
  <c r="A245" i="10"/>
  <c r="B245" i="10"/>
  <c r="C245" i="10"/>
  <c r="D245" i="10"/>
  <c r="E245" i="10"/>
  <c r="F245" i="10"/>
  <c r="G245" i="10"/>
  <c r="H245" i="10"/>
  <c r="J245" i="10"/>
  <c r="AY244" i="1" s="1"/>
  <c r="K245" i="10"/>
  <c r="AZ244" i="1" s="1"/>
  <c r="L245" i="10"/>
  <c r="BA244" i="1" s="1"/>
  <c r="M245" i="10"/>
  <c r="BB244" i="1" s="1"/>
  <c r="N245" i="10"/>
  <c r="BC244" i="1" s="1"/>
  <c r="O245" i="10"/>
  <c r="BD244" i="1" s="1"/>
  <c r="P245" i="10"/>
  <c r="BE244" i="1" s="1"/>
  <c r="Q245" i="10"/>
  <c r="BF244" i="1" s="1"/>
  <c r="R245" i="10"/>
  <c r="BG244" i="1" s="1"/>
  <c r="A246" i="10"/>
  <c r="B246" i="10"/>
  <c r="C246" i="10"/>
  <c r="D246" i="10"/>
  <c r="E246" i="10"/>
  <c r="F246" i="10"/>
  <c r="G246" i="10"/>
  <c r="H246" i="10"/>
  <c r="J246" i="10"/>
  <c r="AY245" i="1" s="1"/>
  <c r="K246" i="10"/>
  <c r="AZ245" i="1" s="1"/>
  <c r="L246" i="10"/>
  <c r="BA245" i="1" s="1"/>
  <c r="M246" i="10"/>
  <c r="BB245" i="1" s="1"/>
  <c r="N246" i="10"/>
  <c r="BC245" i="1" s="1"/>
  <c r="O246" i="10"/>
  <c r="BD245" i="1" s="1"/>
  <c r="P246" i="10"/>
  <c r="BE245" i="1" s="1"/>
  <c r="Q246" i="10"/>
  <c r="BF245" i="1" s="1"/>
  <c r="R246" i="10"/>
  <c r="BG245" i="1" s="1"/>
  <c r="A247" i="10"/>
  <c r="B247" i="10"/>
  <c r="C247" i="10"/>
  <c r="D247" i="10"/>
  <c r="E247" i="10"/>
  <c r="F247" i="10"/>
  <c r="G247" i="10"/>
  <c r="H247" i="10"/>
  <c r="J247" i="10"/>
  <c r="AY246" i="1" s="1"/>
  <c r="K247" i="10"/>
  <c r="AZ246" i="1" s="1"/>
  <c r="L247" i="10"/>
  <c r="BA246" i="1" s="1"/>
  <c r="M247" i="10"/>
  <c r="BB246" i="1" s="1"/>
  <c r="N247" i="10"/>
  <c r="BC246" i="1" s="1"/>
  <c r="O247" i="10"/>
  <c r="BD246" i="1" s="1"/>
  <c r="P247" i="10"/>
  <c r="BE246" i="1" s="1"/>
  <c r="Q247" i="10"/>
  <c r="BF246" i="1" s="1"/>
  <c r="R247" i="10"/>
  <c r="BG246" i="1" s="1"/>
  <c r="A248" i="10"/>
  <c r="B248" i="10"/>
  <c r="C248" i="10"/>
  <c r="D248" i="10"/>
  <c r="E248" i="10"/>
  <c r="F248" i="10"/>
  <c r="G248" i="10"/>
  <c r="H248" i="10"/>
  <c r="J248" i="10"/>
  <c r="AY247" i="1" s="1"/>
  <c r="K248" i="10"/>
  <c r="AZ247" i="1" s="1"/>
  <c r="L248" i="10"/>
  <c r="BA247" i="1" s="1"/>
  <c r="M248" i="10"/>
  <c r="BB247" i="1" s="1"/>
  <c r="N248" i="10"/>
  <c r="BC247" i="1" s="1"/>
  <c r="O248" i="10"/>
  <c r="BD247" i="1" s="1"/>
  <c r="P248" i="10"/>
  <c r="BE247" i="1" s="1"/>
  <c r="Q248" i="10"/>
  <c r="BF247" i="1" s="1"/>
  <c r="R248" i="10"/>
  <c r="BG247" i="1" s="1"/>
  <c r="A249" i="10"/>
  <c r="B249" i="10"/>
  <c r="C249" i="10"/>
  <c r="D249" i="10"/>
  <c r="E249" i="10"/>
  <c r="F249" i="10"/>
  <c r="G249" i="10"/>
  <c r="H249" i="10"/>
  <c r="J249" i="10"/>
  <c r="AY248" i="1" s="1"/>
  <c r="K249" i="10"/>
  <c r="AZ248" i="1" s="1"/>
  <c r="L249" i="10"/>
  <c r="BA248" i="1" s="1"/>
  <c r="M249" i="10"/>
  <c r="BB248" i="1" s="1"/>
  <c r="N249" i="10"/>
  <c r="BC248" i="1" s="1"/>
  <c r="O249" i="10"/>
  <c r="BD248" i="1" s="1"/>
  <c r="P249" i="10"/>
  <c r="BE248" i="1" s="1"/>
  <c r="Q249" i="10"/>
  <c r="BF248" i="1" s="1"/>
  <c r="R249" i="10"/>
  <c r="BG248" i="1" s="1"/>
  <c r="A250" i="10"/>
  <c r="B250" i="10"/>
  <c r="C250" i="10"/>
  <c r="D250" i="10"/>
  <c r="E250" i="10"/>
  <c r="F250" i="10"/>
  <c r="G250" i="10"/>
  <c r="H250" i="10"/>
  <c r="J250" i="10"/>
  <c r="AY249" i="1" s="1"/>
  <c r="K250" i="10"/>
  <c r="AZ249" i="1" s="1"/>
  <c r="L250" i="10"/>
  <c r="BA249" i="1" s="1"/>
  <c r="M250" i="10"/>
  <c r="BB249" i="1" s="1"/>
  <c r="N250" i="10"/>
  <c r="BC249" i="1" s="1"/>
  <c r="O250" i="10"/>
  <c r="BD249" i="1" s="1"/>
  <c r="P250" i="10"/>
  <c r="BE249" i="1" s="1"/>
  <c r="Q250" i="10"/>
  <c r="BF249" i="1" s="1"/>
  <c r="R250" i="10"/>
  <c r="BG249" i="1" s="1"/>
  <c r="A251" i="10"/>
  <c r="B251" i="10"/>
  <c r="C251" i="10"/>
  <c r="D251" i="10"/>
  <c r="E251" i="10"/>
  <c r="F251" i="10"/>
  <c r="G251" i="10"/>
  <c r="H251" i="10"/>
  <c r="J251" i="10"/>
  <c r="AY250" i="1" s="1"/>
  <c r="K251" i="10"/>
  <c r="AZ250" i="1" s="1"/>
  <c r="L251" i="10"/>
  <c r="BA250" i="1" s="1"/>
  <c r="M251" i="10"/>
  <c r="BB250" i="1" s="1"/>
  <c r="N251" i="10"/>
  <c r="BC250" i="1" s="1"/>
  <c r="O251" i="10"/>
  <c r="BD250" i="1" s="1"/>
  <c r="P251" i="10"/>
  <c r="BE250" i="1" s="1"/>
  <c r="Q251" i="10"/>
  <c r="BF250" i="1" s="1"/>
  <c r="R251" i="10"/>
  <c r="BG250" i="1" s="1"/>
  <c r="A252" i="10"/>
  <c r="B252" i="10"/>
  <c r="C252" i="10"/>
  <c r="D252" i="10"/>
  <c r="E252" i="10"/>
  <c r="F252" i="10"/>
  <c r="G252" i="10"/>
  <c r="H252" i="10"/>
  <c r="J252" i="10"/>
  <c r="AY251" i="1" s="1"/>
  <c r="K252" i="10"/>
  <c r="AZ251" i="1" s="1"/>
  <c r="L252" i="10"/>
  <c r="BA251" i="1" s="1"/>
  <c r="M252" i="10"/>
  <c r="BB251" i="1" s="1"/>
  <c r="N252" i="10"/>
  <c r="BC251" i="1" s="1"/>
  <c r="O252" i="10"/>
  <c r="BD251" i="1" s="1"/>
  <c r="P252" i="10"/>
  <c r="Q252" i="10"/>
  <c r="BF251" i="1" s="1"/>
  <c r="A253" i="10"/>
  <c r="B253" i="10"/>
  <c r="C253" i="10"/>
  <c r="D253" i="10"/>
  <c r="E253" i="10"/>
  <c r="F253" i="10"/>
  <c r="G253" i="10"/>
  <c r="H253" i="10"/>
  <c r="J253" i="10"/>
  <c r="AY252" i="1" s="1"/>
  <c r="K253" i="10"/>
  <c r="AZ252" i="1" s="1"/>
  <c r="L253" i="10"/>
  <c r="BA252" i="1" s="1"/>
  <c r="M253" i="10"/>
  <c r="BB252" i="1" s="1"/>
  <c r="N253" i="10"/>
  <c r="P253" i="10"/>
  <c r="Q253" i="10"/>
  <c r="BF252" i="1" s="1"/>
  <c r="A254" i="10"/>
  <c r="B254" i="10"/>
  <c r="C254" i="10"/>
  <c r="D254" i="10"/>
  <c r="E254" i="10"/>
  <c r="F254" i="10"/>
  <c r="G254" i="10"/>
  <c r="H254" i="10"/>
  <c r="J254" i="10"/>
  <c r="AY253" i="1" s="1"/>
  <c r="K254" i="10"/>
  <c r="AZ253" i="1" s="1"/>
  <c r="L254" i="10"/>
  <c r="BA253" i="1" s="1"/>
  <c r="M254" i="10"/>
  <c r="BB253" i="1" s="1"/>
  <c r="N254" i="10"/>
  <c r="P254" i="10"/>
  <c r="Q254" i="10"/>
  <c r="BF253" i="1" s="1"/>
  <c r="A255" i="10"/>
  <c r="B255" i="10"/>
  <c r="C255" i="10"/>
  <c r="D255" i="10"/>
  <c r="E255" i="10"/>
  <c r="F255" i="10"/>
  <c r="G255" i="10"/>
  <c r="H255" i="10"/>
  <c r="J255" i="10"/>
  <c r="AY254" i="1" s="1"/>
  <c r="K255" i="10"/>
  <c r="AZ254" i="1" s="1"/>
  <c r="L255" i="10"/>
  <c r="BA254" i="1" s="1"/>
  <c r="M255" i="10"/>
  <c r="BB254" i="1" s="1"/>
  <c r="N255" i="10"/>
  <c r="P255" i="10"/>
  <c r="Q255" i="10"/>
  <c r="BF254" i="1" s="1"/>
  <c r="A256" i="10"/>
  <c r="B256" i="10"/>
  <c r="C256" i="10"/>
  <c r="D256" i="10"/>
  <c r="E256" i="10"/>
  <c r="F256" i="10"/>
  <c r="G256" i="10"/>
  <c r="H256" i="10"/>
  <c r="J256" i="10"/>
  <c r="AY255" i="1" s="1"/>
  <c r="K256" i="10"/>
  <c r="AZ255" i="1" s="1"/>
  <c r="L256" i="10"/>
  <c r="BA255" i="1" s="1"/>
  <c r="M256" i="10"/>
  <c r="BB255" i="1" s="1"/>
  <c r="N256" i="10"/>
  <c r="P256" i="10"/>
  <c r="Q256" i="10"/>
  <c r="BF255" i="1" s="1"/>
  <c r="A257" i="10"/>
  <c r="B257" i="10"/>
  <c r="C257" i="10"/>
  <c r="D257" i="10"/>
  <c r="E257" i="10"/>
  <c r="F257" i="10"/>
  <c r="G257" i="10"/>
  <c r="H257" i="10"/>
  <c r="J257" i="10"/>
  <c r="AY256" i="1" s="1"/>
  <c r="K257" i="10"/>
  <c r="AZ256" i="1" s="1"/>
  <c r="L257" i="10"/>
  <c r="BA256" i="1" s="1"/>
  <c r="M257" i="10"/>
  <c r="BB256" i="1" s="1"/>
  <c r="N257" i="10"/>
  <c r="P257" i="10"/>
  <c r="Q257" i="10"/>
  <c r="BF256" i="1" s="1"/>
  <c r="A258" i="10"/>
  <c r="B258" i="10"/>
  <c r="C258" i="10"/>
  <c r="D258" i="10"/>
  <c r="E258" i="10"/>
  <c r="F258" i="10"/>
  <c r="G258" i="10"/>
  <c r="J258" i="10" s="1"/>
  <c r="AY257" i="1" s="1"/>
  <c r="H258" i="10"/>
  <c r="K258" i="10"/>
  <c r="AZ257" i="1" s="1"/>
  <c r="L258" i="10"/>
  <c r="BA257" i="1" s="1"/>
  <c r="M258" i="10"/>
  <c r="BB257" i="1" s="1"/>
  <c r="N258" i="10"/>
  <c r="P258" i="10"/>
  <c r="Q258" i="10"/>
  <c r="BF257" i="1" s="1"/>
  <c r="A259" i="10"/>
  <c r="B259" i="10"/>
  <c r="C259" i="10"/>
  <c r="D259" i="10"/>
  <c r="E259" i="10"/>
  <c r="F259" i="10"/>
  <c r="G259" i="10"/>
  <c r="H259" i="10"/>
  <c r="J259" i="10"/>
  <c r="AY258" i="1" s="1"/>
  <c r="K259" i="10"/>
  <c r="AZ258" i="1" s="1"/>
  <c r="L259" i="10"/>
  <c r="BA258" i="1" s="1"/>
  <c r="M259" i="10"/>
  <c r="BB258" i="1" s="1"/>
  <c r="N259" i="10"/>
  <c r="P259" i="10"/>
  <c r="Q259" i="10"/>
  <c r="BF258" i="1" s="1"/>
  <c r="A260" i="10"/>
  <c r="B260" i="10"/>
  <c r="C260" i="10"/>
  <c r="D260" i="10"/>
  <c r="E260" i="10"/>
  <c r="F260" i="10"/>
  <c r="G260" i="10"/>
  <c r="H260" i="10"/>
  <c r="J260" i="10"/>
  <c r="AY259" i="1" s="1"/>
  <c r="K260" i="10"/>
  <c r="AZ259" i="1" s="1"/>
  <c r="L260" i="10"/>
  <c r="BA259" i="1" s="1"/>
  <c r="M260" i="10"/>
  <c r="BB259" i="1" s="1"/>
  <c r="N260" i="10"/>
  <c r="P260" i="10"/>
  <c r="Q260" i="10"/>
  <c r="BF259" i="1" s="1"/>
  <c r="A261" i="10"/>
  <c r="B261" i="10"/>
  <c r="C261" i="10"/>
  <c r="D261" i="10"/>
  <c r="E261" i="10"/>
  <c r="F261" i="10"/>
  <c r="G261" i="10"/>
  <c r="H261" i="10"/>
  <c r="L261" i="10"/>
  <c r="BA260" i="1" s="1"/>
  <c r="M261" i="10"/>
  <c r="BB260" i="1" s="1"/>
  <c r="N261" i="10"/>
  <c r="P261" i="10"/>
  <c r="Q261" i="10"/>
  <c r="BF260" i="1" s="1"/>
  <c r="A262" i="10"/>
  <c r="B262" i="10"/>
  <c r="C262" i="10"/>
  <c r="D262" i="10"/>
  <c r="E262" i="10"/>
  <c r="F262" i="10"/>
  <c r="G262" i="10"/>
  <c r="H262" i="10"/>
  <c r="J262" i="10"/>
  <c r="AY261" i="1" s="1"/>
  <c r="K262" i="10"/>
  <c r="AZ261" i="1" s="1"/>
  <c r="L262" i="10"/>
  <c r="BA261" i="1" s="1"/>
  <c r="M262" i="10"/>
  <c r="BB261" i="1" s="1"/>
  <c r="N262" i="10"/>
  <c r="P262" i="10"/>
  <c r="Q262" i="10"/>
  <c r="BF261" i="1" s="1"/>
  <c r="A263" i="10"/>
  <c r="B263" i="10"/>
  <c r="C263" i="10"/>
  <c r="D263" i="10"/>
  <c r="E263" i="10"/>
  <c r="F263" i="10"/>
  <c r="G263" i="10"/>
  <c r="H263" i="10"/>
  <c r="J263" i="10"/>
  <c r="AY262" i="1" s="1"/>
  <c r="K263" i="10"/>
  <c r="AZ262" i="1" s="1"/>
  <c r="L263" i="10"/>
  <c r="BA262" i="1" s="1"/>
  <c r="M263" i="10"/>
  <c r="BB262" i="1" s="1"/>
  <c r="N263" i="10"/>
  <c r="P263" i="10"/>
  <c r="Q263" i="10"/>
  <c r="BF262" i="1" s="1"/>
  <c r="A264" i="10"/>
  <c r="B264" i="10"/>
  <c r="C264" i="10"/>
  <c r="D264" i="10"/>
  <c r="E264" i="10"/>
  <c r="F264" i="10"/>
  <c r="G264" i="10"/>
  <c r="H264" i="10"/>
  <c r="J264" i="10"/>
  <c r="AY263" i="1" s="1"/>
  <c r="K264" i="10"/>
  <c r="AZ263" i="1" s="1"/>
  <c r="L264" i="10"/>
  <c r="BA263" i="1" s="1"/>
  <c r="M264" i="10"/>
  <c r="BB263" i="1" s="1"/>
  <c r="N264" i="10"/>
  <c r="P264" i="10"/>
  <c r="Q264" i="10"/>
  <c r="BF263" i="1" s="1"/>
  <c r="A265" i="10"/>
  <c r="B265" i="10"/>
  <c r="C265" i="10"/>
  <c r="D265" i="10"/>
  <c r="E265" i="10"/>
  <c r="F265" i="10"/>
  <c r="G265" i="10"/>
  <c r="H265" i="10"/>
  <c r="J265" i="10"/>
  <c r="AY264" i="1" s="1"/>
  <c r="K265" i="10"/>
  <c r="AZ264" i="1" s="1"/>
  <c r="L265" i="10"/>
  <c r="BA264" i="1" s="1"/>
  <c r="M265" i="10"/>
  <c r="BB264" i="1" s="1"/>
  <c r="N265" i="10"/>
  <c r="P265" i="10"/>
  <c r="Q265" i="10"/>
  <c r="BF264" i="1" s="1"/>
  <c r="A266" i="10"/>
  <c r="B266" i="10"/>
  <c r="C266" i="10"/>
  <c r="D266" i="10"/>
  <c r="E266" i="10"/>
  <c r="F266" i="10"/>
  <c r="G266" i="10"/>
  <c r="H266" i="10"/>
  <c r="J266" i="10"/>
  <c r="AY265" i="1" s="1"/>
  <c r="K266" i="10"/>
  <c r="AZ265" i="1" s="1"/>
  <c r="L266" i="10"/>
  <c r="BA265" i="1" s="1"/>
  <c r="M266" i="10"/>
  <c r="BB265" i="1" s="1"/>
  <c r="N266" i="10"/>
  <c r="P266" i="10"/>
  <c r="Q266" i="10"/>
  <c r="BF265" i="1" s="1"/>
  <c r="A267" i="10"/>
  <c r="B267" i="10"/>
  <c r="C267" i="10"/>
  <c r="D267" i="10"/>
  <c r="E267" i="10"/>
  <c r="F267" i="10"/>
  <c r="G267" i="10"/>
  <c r="H267" i="10"/>
  <c r="J267" i="10"/>
  <c r="AY266" i="1" s="1"/>
  <c r="K267" i="10"/>
  <c r="AZ266" i="1" s="1"/>
  <c r="L267" i="10"/>
  <c r="BA266" i="1" s="1"/>
  <c r="M267" i="10"/>
  <c r="BB266" i="1" s="1"/>
  <c r="N267" i="10"/>
  <c r="P267" i="10"/>
  <c r="Q267" i="10"/>
  <c r="BF266" i="1" s="1"/>
  <c r="A268" i="10"/>
  <c r="B268" i="10"/>
  <c r="C268" i="10"/>
  <c r="D268" i="10"/>
  <c r="E268" i="10"/>
  <c r="F268" i="10"/>
  <c r="G268" i="10"/>
  <c r="H268" i="10"/>
  <c r="J268" i="10"/>
  <c r="AY267" i="1" s="1"/>
  <c r="K268" i="10"/>
  <c r="AZ267" i="1" s="1"/>
  <c r="L268" i="10"/>
  <c r="BA267" i="1" s="1"/>
  <c r="M268" i="10"/>
  <c r="BB267" i="1" s="1"/>
  <c r="N268" i="10"/>
  <c r="P268" i="10"/>
  <c r="Q268" i="10"/>
  <c r="BF267" i="1" s="1"/>
  <c r="A269" i="10"/>
  <c r="B269" i="10"/>
  <c r="C269" i="10"/>
  <c r="D269" i="10"/>
  <c r="E269" i="10"/>
  <c r="F269" i="10"/>
  <c r="G269" i="10"/>
  <c r="H269" i="10"/>
  <c r="J269" i="10"/>
  <c r="AY268" i="1" s="1"/>
  <c r="K269" i="10"/>
  <c r="AZ268" i="1" s="1"/>
  <c r="L269" i="10"/>
  <c r="BA268" i="1" s="1"/>
  <c r="M269" i="10"/>
  <c r="BB268" i="1" s="1"/>
  <c r="N269" i="10"/>
  <c r="P269" i="10"/>
  <c r="Q269" i="10"/>
  <c r="BF268" i="1" s="1"/>
  <c r="A270" i="10"/>
  <c r="B270" i="10"/>
  <c r="C270" i="10"/>
  <c r="D270" i="10"/>
  <c r="E270" i="10"/>
  <c r="F270" i="10"/>
  <c r="G270" i="10"/>
  <c r="H270" i="10"/>
  <c r="J270" i="10"/>
  <c r="AY269" i="1" s="1"/>
  <c r="K270" i="10"/>
  <c r="AZ269" i="1" s="1"/>
  <c r="L270" i="10"/>
  <c r="BA269" i="1" s="1"/>
  <c r="M270" i="10"/>
  <c r="BB269" i="1" s="1"/>
  <c r="N270" i="10"/>
  <c r="P270" i="10"/>
  <c r="Q270" i="10"/>
  <c r="BF269" i="1" s="1"/>
  <c r="A271" i="10"/>
  <c r="B271" i="10"/>
  <c r="C271" i="10"/>
  <c r="D271" i="10"/>
  <c r="E271" i="10"/>
  <c r="F271" i="10"/>
  <c r="G271" i="10"/>
  <c r="H271" i="10"/>
  <c r="J271" i="10"/>
  <c r="AY270" i="1" s="1"/>
  <c r="K271" i="10"/>
  <c r="AZ270" i="1" s="1"/>
  <c r="L271" i="10"/>
  <c r="BA270" i="1" s="1"/>
  <c r="M271" i="10"/>
  <c r="BB270" i="1" s="1"/>
  <c r="N271" i="10"/>
  <c r="P271" i="10"/>
  <c r="Q271" i="10"/>
  <c r="BF270" i="1" s="1"/>
  <c r="A272" i="10"/>
  <c r="B272" i="10"/>
  <c r="C272" i="10"/>
  <c r="D272" i="10"/>
  <c r="E272" i="10"/>
  <c r="F272" i="10"/>
  <c r="G272" i="10"/>
  <c r="H272" i="10"/>
  <c r="J272" i="10"/>
  <c r="AY271" i="1" s="1"/>
  <c r="K272" i="10"/>
  <c r="AZ271" i="1" s="1"/>
  <c r="L272" i="10"/>
  <c r="BA271" i="1" s="1"/>
  <c r="M272" i="10"/>
  <c r="BB271" i="1" s="1"/>
  <c r="N272" i="10"/>
  <c r="P272" i="10"/>
  <c r="Q272" i="10"/>
  <c r="BF271" i="1" s="1"/>
  <c r="A273" i="10"/>
  <c r="B273" i="10"/>
  <c r="C273" i="10"/>
  <c r="D273" i="10"/>
  <c r="E273" i="10"/>
  <c r="F273" i="10"/>
  <c r="G273" i="10"/>
  <c r="H273" i="10"/>
  <c r="J273" i="10"/>
  <c r="AY272" i="1" s="1"/>
  <c r="K273" i="10"/>
  <c r="AZ272" i="1" s="1"/>
  <c r="L273" i="10"/>
  <c r="BA272" i="1" s="1"/>
  <c r="M273" i="10"/>
  <c r="BB272" i="1" s="1"/>
  <c r="N273" i="10"/>
  <c r="P273" i="10"/>
  <c r="Q273" i="10"/>
  <c r="BF272" i="1" s="1"/>
  <c r="A274" i="10"/>
  <c r="B274" i="10"/>
  <c r="C274" i="10"/>
  <c r="D274" i="10"/>
  <c r="E274" i="10"/>
  <c r="F274" i="10"/>
  <c r="G274" i="10"/>
  <c r="H274" i="10"/>
  <c r="J274" i="10"/>
  <c r="AY273" i="1" s="1"/>
  <c r="K274" i="10"/>
  <c r="AZ273" i="1" s="1"/>
  <c r="L274" i="10"/>
  <c r="BA273" i="1" s="1"/>
  <c r="M274" i="10"/>
  <c r="BB273" i="1" s="1"/>
  <c r="N274" i="10"/>
  <c r="P274" i="10"/>
  <c r="Q274" i="10"/>
  <c r="BF273" i="1" s="1"/>
  <c r="A275" i="10"/>
  <c r="B275" i="10"/>
  <c r="C275" i="10"/>
  <c r="D275" i="10"/>
  <c r="E275" i="10"/>
  <c r="F275" i="10"/>
  <c r="G275" i="10"/>
  <c r="H275" i="10"/>
  <c r="J275" i="10"/>
  <c r="AY274" i="1" s="1"/>
  <c r="K275" i="10"/>
  <c r="AZ274" i="1" s="1"/>
  <c r="L275" i="10"/>
  <c r="BA274" i="1" s="1"/>
  <c r="M275" i="10"/>
  <c r="BB274" i="1" s="1"/>
  <c r="N275" i="10"/>
  <c r="P275" i="10"/>
  <c r="Q275" i="10"/>
  <c r="BF274" i="1" s="1"/>
  <c r="A276" i="10"/>
  <c r="B276" i="10"/>
  <c r="C276" i="10"/>
  <c r="D276" i="10"/>
  <c r="E276" i="10"/>
  <c r="F276" i="10"/>
  <c r="G276" i="10"/>
  <c r="H276" i="10"/>
  <c r="J276" i="10"/>
  <c r="AY275" i="1" s="1"/>
  <c r="K276" i="10"/>
  <c r="AZ275" i="1" s="1"/>
  <c r="L276" i="10"/>
  <c r="BA275" i="1" s="1"/>
  <c r="M276" i="10"/>
  <c r="BB275" i="1" s="1"/>
  <c r="N276" i="10"/>
  <c r="P276" i="10"/>
  <c r="Q276" i="10"/>
  <c r="BF275" i="1" s="1"/>
  <c r="A277" i="10"/>
  <c r="B277" i="10"/>
  <c r="C277" i="10"/>
  <c r="D277" i="10"/>
  <c r="E277" i="10"/>
  <c r="F277" i="10"/>
  <c r="G277" i="10"/>
  <c r="H277" i="10"/>
  <c r="J277" i="10"/>
  <c r="AY276" i="1" s="1"/>
  <c r="K277" i="10"/>
  <c r="AZ276" i="1" s="1"/>
  <c r="L277" i="10"/>
  <c r="BA276" i="1" s="1"/>
  <c r="M277" i="10"/>
  <c r="BB276" i="1" s="1"/>
  <c r="N277" i="10"/>
  <c r="BC276" i="1" s="1"/>
  <c r="O277" i="10"/>
  <c r="BD276" i="1" s="1"/>
  <c r="P277" i="10"/>
  <c r="Q277" i="10"/>
  <c r="BF276" i="1" s="1"/>
  <c r="A278" i="10"/>
  <c r="B278" i="10"/>
  <c r="C278" i="10"/>
  <c r="D278" i="10"/>
  <c r="E278" i="10"/>
  <c r="F278" i="10"/>
  <c r="G278" i="10"/>
  <c r="H278" i="10"/>
  <c r="J278" i="10"/>
  <c r="AY277" i="1" s="1"/>
  <c r="K278" i="10"/>
  <c r="AZ277" i="1" s="1"/>
  <c r="L278" i="10"/>
  <c r="BA277" i="1" s="1"/>
  <c r="M278" i="10"/>
  <c r="BB277" i="1" s="1"/>
  <c r="N278" i="10"/>
  <c r="BC277" i="1" s="1"/>
  <c r="O278" i="10"/>
  <c r="BD277" i="1" s="1"/>
  <c r="P278" i="10"/>
  <c r="Q278" i="10"/>
  <c r="BF277" i="1" s="1"/>
  <c r="A279" i="10"/>
  <c r="B279" i="10"/>
  <c r="C279" i="10"/>
  <c r="D279" i="10"/>
  <c r="E279" i="10"/>
  <c r="F279" i="10"/>
  <c r="G279" i="10"/>
  <c r="H279" i="10"/>
  <c r="J279" i="10"/>
  <c r="AY278" i="1" s="1"/>
  <c r="K279" i="10"/>
  <c r="AZ278" i="1" s="1"/>
  <c r="L279" i="10"/>
  <c r="BA278" i="1" s="1"/>
  <c r="M279" i="10"/>
  <c r="BB278" i="1" s="1"/>
  <c r="N279" i="10"/>
  <c r="P279" i="10"/>
  <c r="Q279" i="10"/>
  <c r="BF278" i="1" s="1"/>
  <c r="A280" i="10"/>
  <c r="B280" i="10"/>
  <c r="C280" i="10"/>
  <c r="D280" i="10"/>
  <c r="E280" i="10"/>
  <c r="F280" i="10"/>
  <c r="G280" i="10"/>
  <c r="H280" i="10"/>
  <c r="J280" i="10"/>
  <c r="AY279" i="1" s="1"/>
  <c r="K280" i="10"/>
  <c r="AZ279" i="1" s="1"/>
  <c r="L280" i="10"/>
  <c r="BA279" i="1" s="1"/>
  <c r="M280" i="10"/>
  <c r="BB279" i="1" s="1"/>
  <c r="N280" i="10"/>
  <c r="BC279" i="1" s="1"/>
  <c r="O280" i="10"/>
  <c r="BD279" i="1" s="1"/>
  <c r="P280" i="10"/>
  <c r="BE279" i="1" s="1"/>
  <c r="Q280" i="10"/>
  <c r="BF279" i="1" s="1"/>
  <c r="R280" i="10"/>
  <c r="BG279" i="1" s="1"/>
  <c r="A281" i="10"/>
  <c r="B281" i="10"/>
  <c r="C281" i="10"/>
  <c r="D281" i="10"/>
  <c r="E281" i="10"/>
  <c r="F281" i="10"/>
  <c r="G281" i="10"/>
  <c r="H281" i="10"/>
  <c r="J281" i="10"/>
  <c r="AY280" i="1" s="1"/>
  <c r="K281" i="10"/>
  <c r="AZ280" i="1" s="1"/>
  <c r="L281" i="10"/>
  <c r="BA280" i="1" s="1"/>
  <c r="M281" i="10"/>
  <c r="BB280" i="1" s="1"/>
  <c r="N281" i="10"/>
  <c r="BC280" i="1" s="1"/>
  <c r="O281" i="10"/>
  <c r="BD280" i="1" s="1"/>
  <c r="P281" i="10"/>
  <c r="BE280" i="1" s="1"/>
  <c r="Q281" i="10"/>
  <c r="BF280" i="1" s="1"/>
  <c r="R281" i="10"/>
  <c r="BG280" i="1" s="1"/>
  <c r="A282" i="10"/>
  <c r="B282" i="10"/>
  <c r="C282" i="10"/>
  <c r="D282" i="10"/>
  <c r="E282" i="10"/>
  <c r="F282" i="10"/>
  <c r="G282" i="10"/>
  <c r="H282" i="10"/>
  <c r="J282" i="10"/>
  <c r="AY281" i="1" s="1"/>
  <c r="K282" i="10"/>
  <c r="AZ281" i="1" s="1"/>
  <c r="L282" i="10"/>
  <c r="BA281" i="1" s="1"/>
  <c r="M282" i="10"/>
  <c r="BB281" i="1" s="1"/>
  <c r="N282" i="10"/>
  <c r="BC281" i="1" s="1"/>
  <c r="O282" i="10"/>
  <c r="BD281" i="1" s="1"/>
  <c r="P282" i="10"/>
  <c r="BE281" i="1" s="1"/>
  <c r="Q282" i="10"/>
  <c r="BF281" i="1" s="1"/>
  <c r="R282" i="10"/>
  <c r="BG281" i="1" s="1"/>
  <c r="A283" i="10"/>
  <c r="B283" i="10"/>
  <c r="C283" i="10"/>
  <c r="D283" i="10"/>
  <c r="E283" i="10"/>
  <c r="F283" i="10"/>
  <c r="G283" i="10"/>
  <c r="H283" i="10"/>
  <c r="J283" i="10"/>
  <c r="AY282" i="1" s="1"/>
  <c r="K283" i="10"/>
  <c r="AZ282" i="1" s="1"/>
  <c r="L283" i="10"/>
  <c r="BA282" i="1" s="1"/>
  <c r="M283" i="10"/>
  <c r="BB282" i="1" s="1"/>
  <c r="N283" i="10"/>
  <c r="BC282" i="1" s="1"/>
  <c r="O283" i="10"/>
  <c r="BD282" i="1" s="1"/>
  <c r="P283" i="10"/>
  <c r="BE282" i="1" s="1"/>
  <c r="Q283" i="10"/>
  <c r="BF282" i="1" s="1"/>
  <c r="R283" i="10"/>
  <c r="BG282" i="1" s="1"/>
  <c r="A284" i="10"/>
  <c r="B284" i="10"/>
  <c r="C284" i="10"/>
  <c r="D284" i="10"/>
  <c r="E284" i="10"/>
  <c r="F284" i="10"/>
  <c r="G284" i="10"/>
  <c r="H284" i="10"/>
  <c r="J284" i="10"/>
  <c r="AY283" i="1" s="1"/>
  <c r="K284" i="10"/>
  <c r="AZ283" i="1" s="1"/>
  <c r="L284" i="10"/>
  <c r="BA283" i="1" s="1"/>
  <c r="M284" i="10"/>
  <c r="BB283" i="1" s="1"/>
  <c r="N284" i="10"/>
  <c r="BC283" i="1" s="1"/>
  <c r="O284" i="10"/>
  <c r="BD283" i="1" s="1"/>
  <c r="P284" i="10"/>
  <c r="BE283" i="1" s="1"/>
  <c r="Q284" i="10"/>
  <c r="BF283" i="1" s="1"/>
  <c r="R284" i="10"/>
  <c r="BG283" i="1" s="1"/>
  <c r="A285" i="10"/>
  <c r="B285" i="10"/>
  <c r="C285" i="10"/>
  <c r="D285" i="10"/>
  <c r="E285" i="10"/>
  <c r="F285" i="10"/>
  <c r="G285" i="10"/>
  <c r="H285" i="10"/>
  <c r="J285" i="10"/>
  <c r="AY284" i="1" s="1"/>
  <c r="K285" i="10"/>
  <c r="AZ284" i="1" s="1"/>
  <c r="L285" i="10"/>
  <c r="BA284" i="1" s="1"/>
  <c r="M285" i="10"/>
  <c r="BB284" i="1" s="1"/>
  <c r="N285" i="10"/>
  <c r="BC284" i="1" s="1"/>
  <c r="O285" i="10"/>
  <c r="BD284" i="1" s="1"/>
  <c r="P285" i="10"/>
  <c r="BE284" i="1" s="1"/>
  <c r="Q285" i="10"/>
  <c r="BF284" i="1" s="1"/>
  <c r="R285" i="10"/>
  <c r="BG284" i="1" s="1"/>
  <c r="A286" i="10"/>
  <c r="B286" i="10"/>
  <c r="C286" i="10"/>
  <c r="D286" i="10"/>
  <c r="E286" i="10"/>
  <c r="F286" i="10"/>
  <c r="G286" i="10"/>
  <c r="H286" i="10"/>
  <c r="J286" i="10"/>
  <c r="AY285" i="1" s="1"/>
  <c r="K286" i="10"/>
  <c r="AZ285" i="1" s="1"/>
  <c r="L286" i="10"/>
  <c r="BA285" i="1" s="1"/>
  <c r="M286" i="10"/>
  <c r="BB285" i="1" s="1"/>
  <c r="N286" i="10"/>
  <c r="BC285" i="1" s="1"/>
  <c r="O286" i="10"/>
  <c r="BD285" i="1" s="1"/>
  <c r="P286" i="10"/>
  <c r="BE285" i="1" s="1"/>
  <c r="Q286" i="10"/>
  <c r="BF285" i="1" s="1"/>
  <c r="R286" i="10"/>
  <c r="BG285" i="1" s="1"/>
  <c r="A287" i="10"/>
  <c r="B287" i="10"/>
  <c r="C287" i="10"/>
  <c r="D287" i="10"/>
  <c r="E287" i="10"/>
  <c r="F287" i="10"/>
  <c r="G287" i="10"/>
  <c r="H287" i="10"/>
  <c r="J287" i="10"/>
  <c r="AY286" i="1" s="1"/>
  <c r="K287" i="10"/>
  <c r="AZ286" i="1" s="1"/>
  <c r="L287" i="10"/>
  <c r="BA286" i="1" s="1"/>
  <c r="M287" i="10"/>
  <c r="BB286" i="1" s="1"/>
  <c r="N287" i="10"/>
  <c r="BC286" i="1" s="1"/>
  <c r="O287" i="10"/>
  <c r="BD286" i="1" s="1"/>
  <c r="P287" i="10"/>
  <c r="BE286" i="1" s="1"/>
  <c r="Q287" i="10"/>
  <c r="BF286" i="1" s="1"/>
  <c r="R287" i="10"/>
  <c r="BG286" i="1" s="1"/>
  <c r="A288" i="10"/>
  <c r="B288" i="10"/>
  <c r="C288" i="10"/>
  <c r="D288" i="10"/>
  <c r="E288" i="10"/>
  <c r="F288" i="10"/>
  <c r="G288" i="10"/>
  <c r="H288" i="10"/>
  <c r="J288" i="10"/>
  <c r="AY287" i="1" s="1"/>
  <c r="K288" i="10"/>
  <c r="AZ287" i="1" s="1"/>
  <c r="L288" i="10"/>
  <c r="BA287" i="1" s="1"/>
  <c r="M288" i="10"/>
  <c r="BB287" i="1" s="1"/>
  <c r="N288" i="10"/>
  <c r="BC287" i="1" s="1"/>
  <c r="O288" i="10"/>
  <c r="BD287" i="1" s="1"/>
  <c r="P288" i="10"/>
  <c r="BE287" i="1" s="1"/>
  <c r="Q288" i="10"/>
  <c r="BF287" i="1" s="1"/>
  <c r="R288" i="10"/>
  <c r="BG287" i="1" s="1"/>
  <c r="A289" i="10"/>
  <c r="B289" i="10"/>
  <c r="C289" i="10"/>
  <c r="D289" i="10"/>
  <c r="E289" i="10"/>
  <c r="F289" i="10"/>
  <c r="G289" i="10"/>
  <c r="H289" i="10"/>
  <c r="J289" i="10"/>
  <c r="AY288" i="1" s="1"/>
  <c r="K289" i="10"/>
  <c r="AZ288" i="1" s="1"/>
  <c r="L289" i="10"/>
  <c r="BA288" i="1" s="1"/>
  <c r="M289" i="10"/>
  <c r="BB288" i="1" s="1"/>
  <c r="N289" i="10"/>
  <c r="BC288" i="1" s="1"/>
  <c r="O289" i="10"/>
  <c r="BD288" i="1" s="1"/>
  <c r="P289" i="10"/>
  <c r="BE288" i="1" s="1"/>
  <c r="Q289" i="10"/>
  <c r="BF288" i="1" s="1"/>
  <c r="R289" i="10"/>
  <c r="BG288" i="1" s="1"/>
  <c r="A290" i="10"/>
  <c r="B290" i="10"/>
  <c r="C290" i="10"/>
  <c r="D290" i="10"/>
  <c r="E290" i="10"/>
  <c r="F290" i="10"/>
  <c r="G290" i="10"/>
  <c r="H290" i="10"/>
  <c r="J290" i="10"/>
  <c r="AY289" i="1" s="1"/>
  <c r="K290" i="10"/>
  <c r="AZ289" i="1" s="1"/>
  <c r="L290" i="10"/>
  <c r="BA289" i="1" s="1"/>
  <c r="M290" i="10"/>
  <c r="BB289" i="1" s="1"/>
  <c r="N290" i="10"/>
  <c r="BC289" i="1" s="1"/>
  <c r="O290" i="10"/>
  <c r="BD289" i="1" s="1"/>
  <c r="P290" i="10"/>
  <c r="BE289" i="1" s="1"/>
  <c r="Q290" i="10"/>
  <c r="BF289" i="1" s="1"/>
  <c r="R290" i="10"/>
  <c r="BG289" i="1" s="1"/>
  <c r="A291" i="10"/>
  <c r="B291" i="10"/>
  <c r="C291" i="10"/>
  <c r="D291" i="10"/>
  <c r="E291" i="10"/>
  <c r="F291" i="10"/>
  <c r="G291" i="10"/>
  <c r="H291" i="10"/>
  <c r="J291" i="10"/>
  <c r="AY290" i="1" s="1"/>
  <c r="K291" i="10"/>
  <c r="AZ290" i="1" s="1"/>
  <c r="L291" i="10"/>
  <c r="BA290" i="1" s="1"/>
  <c r="M291" i="10"/>
  <c r="BB290" i="1" s="1"/>
  <c r="N291" i="10"/>
  <c r="BC290" i="1" s="1"/>
  <c r="O291" i="10"/>
  <c r="BD290" i="1" s="1"/>
  <c r="P291" i="10"/>
  <c r="BE290" i="1" s="1"/>
  <c r="Q291" i="10"/>
  <c r="BF290" i="1" s="1"/>
  <c r="R291" i="10"/>
  <c r="BG290" i="1" s="1"/>
  <c r="A292" i="10"/>
  <c r="B292" i="10"/>
  <c r="C292" i="10"/>
  <c r="D292" i="10"/>
  <c r="E292" i="10"/>
  <c r="F292" i="10"/>
  <c r="G292" i="10"/>
  <c r="H292" i="10"/>
  <c r="J292" i="10"/>
  <c r="AY291" i="1" s="1"/>
  <c r="K292" i="10"/>
  <c r="AZ291" i="1" s="1"/>
  <c r="L292" i="10"/>
  <c r="BA291" i="1" s="1"/>
  <c r="M292" i="10"/>
  <c r="BB291" i="1" s="1"/>
  <c r="N292" i="10"/>
  <c r="BC291" i="1" s="1"/>
  <c r="O292" i="10"/>
  <c r="BD291" i="1" s="1"/>
  <c r="P292" i="10"/>
  <c r="BE291" i="1" s="1"/>
  <c r="Q292" i="10"/>
  <c r="BF291" i="1" s="1"/>
  <c r="R292" i="10"/>
  <c r="BG291" i="1" s="1"/>
  <c r="A293" i="10"/>
  <c r="B293" i="10"/>
  <c r="C293" i="10"/>
  <c r="D293" i="10"/>
  <c r="E293" i="10"/>
  <c r="F293" i="10"/>
  <c r="G293" i="10"/>
  <c r="H293" i="10"/>
  <c r="J293" i="10"/>
  <c r="AY292" i="1" s="1"/>
  <c r="K293" i="10"/>
  <c r="AZ292" i="1" s="1"/>
  <c r="L293" i="10"/>
  <c r="BA292" i="1" s="1"/>
  <c r="M293" i="10"/>
  <c r="BB292" i="1" s="1"/>
  <c r="N293" i="10"/>
  <c r="BC292" i="1" s="1"/>
  <c r="O293" i="10"/>
  <c r="BD292" i="1" s="1"/>
  <c r="P293" i="10"/>
  <c r="BE292" i="1" s="1"/>
  <c r="Q293" i="10"/>
  <c r="BF292" i="1" s="1"/>
  <c r="R293" i="10"/>
  <c r="BG292" i="1" s="1"/>
  <c r="A294" i="10"/>
  <c r="B294" i="10"/>
  <c r="C294" i="10"/>
  <c r="D294" i="10"/>
  <c r="E294" i="10"/>
  <c r="F294" i="10"/>
  <c r="G294" i="10"/>
  <c r="H294" i="10"/>
  <c r="J294" i="10"/>
  <c r="AY293" i="1" s="1"/>
  <c r="K294" i="10"/>
  <c r="AZ293" i="1" s="1"/>
  <c r="L294" i="10"/>
  <c r="BA293" i="1" s="1"/>
  <c r="M294" i="10"/>
  <c r="BB293" i="1" s="1"/>
  <c r="N294" i="10"/>
  <c r="BC293" i="1" s="1"/>
  <c r="O294" i="10"/>
  <c r="BD293" i="1" s="1"/>
  <c r="P294" i="10"/>
  <c r="BE293" i="1" s="1"/>
  <c r="Q294" i="10"/>
  <c r="BF293" i="1" s="1"/>
  <c r="R294" i="10"/>
  <c r="BG293" i="1" s="1"/>
  <c r="A295" i="10"/>
  <c r="B295" i="10"/>
  <c r="C295" i="10"/>
  <c r="D295" i="10"/>
  <c r="E295" i="10"/>
  <c r="F295" i="10"/>
  <c r="G295" i="10"/>
  <c r="H295" i="10"/>
  <c r="J295" i="10"/>
  <c r="AY294" i="1" s="1"/>
  <c r="K295" i="10"/>
  <c r="AZ294" i="1" s="1"/>
  <c r="L295" i="10"/>
  <c r="BA294" i="1" s="1"/>
  <c r="M295" i="10"/>
  <c r="BB294" i="1" s="1"/>
  <c r="N295" i="10"/>
  <c r="BC294" i="1" s="1"/>
  <c r="O295" i="10"/>
  <c r="BD294" i="1" s="1"/>
  <c r="P295" i="10"/>
  <c r="BE294" i="1" s="1"/>
  <c r="Q295" i="10"/>
  <c r="BF294" i="1" s="1"/>
  <c r="R295" i="10"/>
  <c r="BG294" i="1" s="1"/>
  <c r="A296" i="10"/>
  <c r="B296" i="10"/>
  <c r="C296" i="10"/>
  <c r="D296" i="10"/>
  <c r="E296" i="10"/>
  <c r="F296" i="10"/>
  <c r="G296" i="10"/>
  <c r="H296" i="10"/>
  <c r="J296" i="10"/>
  <c r="AY295" i="1" s="1"/>
  <c r="K296" i="10"/>
  <c r="AZ295" i="1" s="1"/>
  <c r="L296" i="10"/>
  <c r="BA295" i="1" s="1"/>
  <c r="M296" i="10"/>
  <c r="BB295" i="1" s="1"/>
  <c r="N296" i="10"/>
  <c r="BC295" i="1" s="1"/>
  <c r="O296" i="10"/>
  <c r="BD295" i="1" s="1"/>
  <c r="P296" i="10"/>
  <c r="BE295" i="1" s="1"/>
  <c r="Q296" i="10"/>
  <c r="BF295" i="1" s="1"/>
  <c r="R296" i="10"/>
  <c r="BG295" i="1" s="1"/>
  <c r="A297" i="10"/>
  <c r="B297" i="10"/>
  <c r="C297" i="10"/>
  <c r="D297" i="10"/>
  <c r="E297" i="10"/>
  <c r="F297" i="10"/>
  <c r="G297" i="10"/>
  <c r="H297" i="10"/>
  <c r="J297" i="10"/>
  <c r="AY296" i="1" s="1"/>
  <c r="K297" i="10"/>
  <c r="AZ296" i="1" s="1"/>
  <c r="L297" i="10"/>
  <c r="BA296" i="1" s="1"/>
  <c r="M297" i="10"/>
  <c r="BB296" i="1" s="1"/>
  <c r="N297" i="10"/>
  <c r="BC296" i="1" s="1"/>
  <c r="O297" i="10"/>
  <c r="BD296" i="1" s="1"/>
  <c r="P297" i="10"/>
  <c r="BE296" i="1" s="1"/>
  <c r="Q297" i="10"/>
  <c r="BF296" i="1" s="1"/>
  <c r="R297" i="10"/>
  <c r="BG296" i="1" s="1"/>
  <c r="A298" i="10"/>
  <c r="B298" i="10"/>
  <c r="C298" i="10"/>
  <c r="D298" i="10"/>
  <c r="E298" i="10"/>
  <c r="F298" i="10"/>
  <c r="G298" i="10"/>
  <c r="H298" i="10"/>
  <c r="J298" i="10"/>
  <c r="AY297" i="1" s="1"/>
  <c r="K298" i="10"/>
  <c r="AZ297" i="1" s="1"/>
  <c r="L298" i="10"/>
  <c r="BA297" i="1" s="1"/>
  <c r="M298" i="10"/>
  <c r="BB297" i="1" s="1"/>
  <c r="N298" i="10"/>
  <c r="P298" i="10"/>
  <c r="Q298" i="10"/>
  <c r="BF297" i="1" s="1"/>
  <c r="A299" i="10"/>
  <c r="B299" i="10"/>
  <c r="C299" i="10"/>
  <c r="D299" i="10"/>
  <c r="E299" i="10"/>
  <c r="F299" i="10"/>
  <c r="G299" i="10"/>
  <c r="H299" i="10"/>
  <c r="J299" i="10"/>
  <c r="AY298" i="1" s="1"/>
  <c r="K299" i="10"/>
  <c r="AZ298" i="1" s="1"/>
  <c r="L299" i="10"/>
  <c r="BA298" i="1" s="1"/>
  <c r="M299" i="10"/>
  <c r="BB298" i="1" s="1"/>
  <c r="N299" i="10"/>
  <c r="P299" i="10"/>
  <c r="Q299" i="10"/>
  <c r="BF298" i="1" s="1"/>
  <c r="A300" i="10"/>
  <c r="B300" i="10"/>
  <c r="C300" i="10"/>
  <c r="D300" i="10"/>
  <c r="E300" i="10"/>
  <c r="F300" i="10"/>
  <c r="G300" i="10"/>
  <c r="H300" i="10"/>
  <c r="J300" i="10"/>
  <c r="AY299" i="1" s="1"/>
  <c r="K300" i="10"/>
  <c r="AZ299" i="1" s="1"/>
  <c r="L300" i="10"/>
  <c r="BA299" i="1" s="1"/>
  <c r="M300" i="10"/>
  <c r="BB299" i="1" s="1"/>
  <c r="N300" i="10"/>
  <c r="P300" i="10"/>
  <c r="Q300" i="10"/>
  <c r="BF299" i="1" s="1"/>
  <c r="A301" i="10"/>
  <c r="B301" i="10"/>
  <c r="C301" i="10"/>
  <c r="D301" i="10"/>
  <c r="E301" i="10"/>
  <c r="F301" i="10"/>
  <c r="G301" i="10"/>
  <c r="H301" i="10"/>
  <c r="J301" i="10"/>
  <c r="AY300" i="1" s="1"/>
  <c r="K301" i="10"/>
  <c r="AZ300" i="1" s="1"/>
  <c r="L301" i="10"/>
  <c r="BA300" i="1" s="1"/>
  <c r="M301" i="10"/>
  <c r="BB300" i="1" s="1"/>
  <c r="N301" i="10"/>
  <c r="P301" i="10"/>
  <c r="Q301" i="10"/>
  <c r="BF300" i="1" s="1"/>
  <c r="A302" i="10"/>
  <c r="B302" i="10"/>
  <c r="C302" i="10"/>
  <c r="D302" i="10"/>
  <c r="E302" i="10"/>
  <c r="F302" i="10"/>
  <c r="G302" i="10"/>
  <c r="H302" i="10"/>
  <c r="J302" i="10"/>
  <c r="K302" i="10"/>
  <c r="L302" i="10"/>
  <c r="M302" i="10"/>
  <c r="N302" i="10"/>
  <c r="P302" i="10"/>
  <c r="Q302" i="10"/>
  <c r="A303" i="10"/>
  <c r="B303" i="10"/>
  <c r="C303" i="10"/>
  <c r="D303" i="10"/>
  <c r="E303" i="10"/>
  <c r="F303" i="10"/>
  <c r="G303" i="10"/>
  <c r="H303" i="10"/>
  <c r="J303" i="10"/>
  <c r="K303" i="10"/>
  <c r="L303" i="10"/>
  <c r="M303" i="10"/>
  <c r="N303" i="10"/>
  <c r="O303" i="10" s="1"/>
  <c r="P303" i="10"/>
  <c r="R303" i="10" s="1"/>
  <c r="Q303" i="10"/>
  <c r="AZ69" i="1"/>
  <c r="BA69" i="1"/>
  <c r="BB69" i="1"/>
  <c r="BC69" i="1"/>
  <c r="BE69" i="1"/>
  <c r="BF69" i="1"/>
  <c r="AY70" i="1"/>
  <c r="AZ70" i="1"/>
  <c r="BA70" i="1"/>
  <c r="BB70" i="1"/>
  <c r="BC70" i="1"/>
  <c r="BD70" i="1"/>
  <c r="BE70" i="1"/>
  <c r="BF70" i="1"/>
  <c r="AY71" i="1"/>
  <c r="AZ71" i="1"/>
  <c r="BA71" i="1"/>
  <c r="BB71" i="1"/>
  <c r="BC71" i="1"/>
  <c r="BD71" i="1"/>
  <c r="BE71" i="1"/>
  <c r="BF71" i="1"/>
  <c r="AY72" i="1"/>
  <c r="AZ72" i="1"/>
  <c r="BA72" i="1"/>
  <c r="BB72" i="1"/>
  <c r="BC72" i="1"/>
  <c r="BE72" i="1"/>
  <c r="BF72" i="1"/>
  <c r="AY73" i="1"/>
  <c r="AZ73" i="1"/>
  <c r="BA73" i="1"/>
  <c r="BB73" i="1"/>
  <c r="BC73" i="1"/>
  <c r="BE73" i="1"/>
  <c r="BF73" i="1"/>
  <c r="AZ74" i="1"/>
  <c r="BA74" i="1"/>
  <c r="BB74" i="1"/>
  <c r="BC74" i="1"/>
  <c r="BE74" i="1"/>
  <c r="BF74" i="1"/>
  <c r="AY75" i="1"/>
  <c r="AZ75" i="1"/>
  <c r="BA75" i="1"/>
  <c r="BB75" i="1"/>
  <c r="BC75" i="1"/>
  <c r="BE75" i="1"/>
  <c r="BF75" i="1"/>
  <c r="AY76" i="1"/>
  <c r="AZ76" i="1"/>
  <c r="BA76" i="1"/>
  <c r="BB76" i="1"/>
  <c r="BC76" i="1"/>
  <c r="BE76" i="1"/>
  <c r="BF76" i="1"/>
  <c r="AY77" i="1"/>
  <c r="AZ77" i="1"/>
  <c r="BA77" i="1"/>
  <c r="BB77" i="1"/>
  <c r="BC77" i="1"/>
  <c r="BE77" i="1"/>
  <c r="BF77" i="1"/>
  <c r="AY78" i="1"/>
  <c r="AZ78" i="1"/>
  <c r="BA78" i="1"/>
  <c r="BB78" i="1"/>
  <c r="BC78" i="1"/>
  <c r="BE78" i="1"/>
  <c r="BF78" i="1"/>
  <c r="AY79" i="1"/>
  <c r="AZ79" i="1"/>
  <c r="BA79" i="1"/>
  <c r="BB79" i="1"/>
  <c r="BC79" i="1"/>
  <c r="BE79" i="1"/>
  <c r="BF79" i="1"/>
  <c r="AY80" i="1"/>
  <c r="AZ80" i="1"/>
  <c r="BA80" i="1"/>
  <c r="BB80" i="1"/>
  <c r="BC80" i="1"/>
  <c r="BE80" i="1"/>
  <c r="BF80" i="1"/>
  <c r="BC81" i="1"/>
  <c r="BE81" i="1"/>
  <c r="BF81" i="1"/>
  <c r="AY82" i="1"/>
  <c r="AZ82" i="1"/>
  <c r="BA82" i="1"/>
  <c r="BB82" i="1"/>
  <c r="BC82" i="1"/>
  <c r="BE82" i="1"/>
  <c r="BF82" i="1"/>
  <c r="AY83" i="1"/>
  <c r="AZ83" i="1"/>
  <c r="BA83" i="1"/>
  <c r="BB83" i="1"/>
  <c r="BC83" i="1"/>
  <c r="BE83" i="1"/>
  <c r="BF83" i="1"/>
  <c r="AY84" i="1"/>
  <c r="AZ84" i="1"/>
  <c r="BA84" i="1"/>
  <c r="BB84" i="1"/>
  <c r="BC84" i="1"/>
  <c r="BE84" i="1"/>
  <c r="BF84" i="1"/>
  <c r="AY85" i="1"/>
  <c r="AZ85" i="1"/>
  <c r="BA85" i="1"/>
  <c r="BB85" i="1"/>
  <c r="BC85" i="1"/>
  <c r="BD85" i="1"/>
  <c r="BE85" i="1"/>
  <c r="BF85" i="1"/>
  <c r="AY86" i="1"/>
  <c r="AZ86" i="1"/>
  <c r="BA86" i="1"/>
  <c r="BB86" i="1"/>
  <c r="BC86" i="1"/>
  <c r="BE86" i="1"/>
  <c r="BF86" i="1"/>
  <c r="AY87" i="1"/>
  <c r="AZ87" i="1"/>
  <c r="BA87" i="1"/>
  <c r="BB87" i="1"/>
  <c r="BC87" i="1"/>
  <c r="BE87" i="1"/>
  <c r="BF87" i="1"/>
  <c r="AY88" i="1"/>
  <c r="AZ88" i="1"/>
  <c r="BA88" i="1"/>
  <c r="BB88" i="1"/>
  <c r="BC88" i="1"/>
  <c r="BE88" i="1"/>
  <c r="BF88" i="1"/>
  <c r="AY89" i="1"/>
  <c r="AZ89" i="1"/>
  <c r="BA89" i="1"/>
  <c r="BB89" i="1"/>
  <c r="BC89" i="1"/>
  <c r="BE89" i="1"/>
  <c r="BF89" i="1"/>
  <c r="AY90" i="1"/>
  <c r="AZ90" i="1"/>
  <c r="BA90" i="1"/>
  <c r="BB90" i="1"/>
  <c r="BC90" i="1"/>
  <c r="BE90" i="1"/>
  <c r="BF90" i="1"/>
  <c r="AY91" i="1"/>
  <c r="AZ91" i="1"/>
  <c r="BA91" i="1"/>
  <c r="BB91" i="1"/>
  <c r="BC91" i="1"/>
  <c r="BE91" i="1"/>
  <c r="BF91" i="1"/>
  <c r="AY92" i="1"/>
  <c r="AZ92" i="1"/>
  <c r="BA92" i="1"/>
  <c r="BB92" i="1"/>
  <c r="BC92" i="1"/>
  <c r="BE92" i="1"/>
  <c r="BF92" i="1"/>
  <c r="AY93" i="1"/>
  <c r="AZ93" i="1"/>
  <c r="BA93" i="1"/>
  <c r="BB93" i="1"/>
  <c r="BC93" i="1"/>
  <c r="BE93" i="1"/>
  <c r="BF93" i="1"/>
  <c r="AY94" i="1"/>
  <c r="AZ94" i="1"/>
  <c r="BA94" i="1"/>
  <c r="BB94" i="1"/>
  <c r="BC94" i="1"/>
  <c r="BE94" i="1"/>
  <c r="BF94" i="1"/>
  <c r="AY95" i="1"/>
  <c r="AZ95" i="1"/>
  <c r="BA95" i="1"/>
  <c r="BB95" i="1"/>
  <c r="BC95" i="1"/>
  <c r="BE95" i="1"/>
  <c r="BF95" i="1"/>
  <c r="AY96" i="1"/>
  <c r="AZ96" i="1"/>
  <c r="BA96" i="1"/>
  <c r="BB96" i="1"/>
  <c r="BC96" i="1"/>
  <c r="BE96" i="1"/>
  <c r="BF96" i="1"/>
  <c r="AY97" i="1"/>
  <c r="AZ97" i="1"/>
  <c r="BA97" i="1"/>
  <c r="BB97" i="1"/>
  <c r="BC97" i="1"/>
  <c r="BE97" i="1"/>
  <c r="BF97" i="1"/>
  <c r="AY98" i="1"/>
  <c r="AZ98" i="1"/>
  <c r="BA98" i="1"/>
  <c r="BB98" i="1"/>
  <c r="BC98" i="1"/>
  <c r="BE98" i="1"/>
  <c r="BF98" i="1"/>
  <c r="BE99" i="1"/>
  <c r="BF99" i="1"/>
  <c r="AY100" i="1"/>
  <c r="AZ100" i="1"/>
  <c r="BA100" i="1"/>
  <c r="BB100" i="1"/>
  <c r="BC100" i="1"/>
  <c r="BE100" i="1"/>
  <c r="BF100" i="1"/>
  <c r="AY101" i="1"/>
  <c r="AZ101" i="1"/>
  <c r="BA101" i="1"/>
  <c r="BB101" i="1"/>
  <c r="BC101" i="1"/>
  <c r="BE101" i="1"/>
  <c r="BF101" i="1"/>
  <c r="AY102" i="1"/>
  <c r="AZ102" i="1"/>
  <c r="BA102" i="1"/>
  <c r="BB102" i="1"/>
  <c r="BC102" i="1"/>
  <c r="BE102" i="1"/>
  <c r="BF102" i="1"/>
  <c r="AY103" i="1"/>
  <c r="AZ103" i="1"/>
  <c r="BA103" i="1"/>
  <c r="BB103" i="1"/>
  <c r="BC103" i="1"/>
  <c r="BE103" i="1"/>
  <c r="BF103" i="1"/>
  <c r="AY104" i="1"/>
  <c r="AZ104" i="1"/>
  <c r="BA104" i="1"/>
  <c r="BB104" i="1"/>
  <c r="BC104" i="1"/>
  <c r="BD104" i="1"/>
  <c r="BE104" i="1"/>
  <c r="BF104" i="1"/>
  <c r="AY105" i="1"/>
  <c r="AZ105" i="1"/>
  <c r="BA105" i="1"/>
  <c r="BB105" i="1"/>
  <c r="BC105" i="1"/>
  <c r="BE105" i="1"/>
  <c r="BF105" i="1"/>
  <c r="AY106" i="1"/>
  <c r="AZ106" i="1"/>
  <c r="BA106" i="1"/>
  <c r="BB106" i="1"/>
  <c r="BC106" i="1"/>
  <c r="BE106" i="1"/>
  <c r="BF106" i="1"/>
  <c r="AY107" i="1"/>
  <c r="AZ107" i="1"/>
  <c r="BA107" i="1"/>
  <c r="BB107" i="1"/>
  <c r="BC107" i="1"/>
  <c r="BE107" i="1"/>
  <c r="BF107" i="1"/>
  <c r="AY108" i="1"/>
  <c r="AZ108" i="1"/>
  <c r="BA108" i="1"/>
  <c r="BB108" i="1"/>
  <c r="BC108" i="1"/>
  <c r="BE108" i="1"/>
  <c r="BF108" i="1"/>
  <c r="AY109" i="1"/>
  <c r="AZ109" i="1"/>
  <c r="BA109" i="1"/>
  <c r="BB109" i="1"/>
  <c r="BC109" i="1"/>
  <c r="BE109" i="1"/>
  <c r="BF109" i="1"/>
  <c r="AY110" i="1"/>
  <c r="AZ110" i="1"/>
  <c r="BA110" i="1"/>
  <c r="BB110" i="1"/>
  <c r="BC110" i="1"/>
  <c r="BE110" i="1"/>
  <c r="BF110" i="1"/>
  <c r="AY111" i="1"/>
  <c r="AZ111" i="1"/>
  <c r="BA111" i="1"/>
  <c r="BB111" i="1"/>
  <c r="BC111" i="1"/>
  <c r="BE111" i="1"/>
  <c r="BF111" i="1"/>
  <c r="AY112" i="1"/>
  <c r="AZ112" i="1"/>
  <c r="BA112" i="1"/>
  <c r="BB112" i="1"/>
  <c r="BC112" i="1"/>
  <c r="BE112" i="1"/>
  <c r="BF112" i="1"/>
  <c r="AY113" i="1"/>
  <c r="AZ113" i="1"/>
  <c r="BA113" i="1"/>
  <c r="BB113" i="1"/>
  <c r="BC113" i="1"/>
  <c r="BE113" i="1"/>
  <c r="BF113" i="1"/>
  <c r="AY114" i="1"/>
  <c r="AZ114" i="1"/>
  <c r="BA114" i="1"/>
  <c r="BB114" i="1"/>
  <c r="BC114" i="1"/>
  <c r="BE114" i="1"/>
  <c r="BF114" i="1"/>
  <c r="AY115" i="1"/>
  <c r="AZ115" i="1"/>
  <c r="BA115" i="1"/>
  <c r="BB115" i="1"/>
  <c r="BC115" i="1"/>
  <c r="BE115" i="1"/>
  <c r="BF115" i="1"/>
  <c r="AY116" i="1"/>
  <c r="AZ116" i="1"/>
  <c r="BA116" i="1"/>
  <c r="BB116" i="1"/>
  <c r="BC116" i="1"/>
  <c r="BE116" i="1"/>
  <c r="BF116" i="1"/>
  <c r="AY117" i="1"/>
  <c r="AZ117" i="1"/>
  <c r="BA117" i="1"/>
  <c r="BB117" i="1"/>
  <c r="BC117" i="1"/>
  <c r="BE117" i="1"/>
  <c r="BF117" i="1"/>
  <c r="AY118" i="1"/>
  <c r="AZ118" i="1"/>
  <c r="BA118" i="1"/>
  <c r="BB118" i="1"/>
  <c r="BC118" i="1"/>
  <c r="BE118" i="1"/>
  <c r="BF118" i="1"/>
  <c r="AY119" i="1"/>
  <c r="AZ119" i="1"/>
  <c r="BA119" i="1"/>
  <c r="BB119" i="1"/>
  <c r="BC119" i="1"/>
  <c r="BE119" i="1"/>
  <c r="BF119" i="1"/>
  <c r="AY120" i="1"/>
  <c r="AZ120" i="1"/>
  <c r="BA120" i="1"/>
  <c r="BB120" i="1"/>
  <c r="BC120" i="1"/>
  <c r="BE120" i="1"/>
  <c r="BF120" i="1"/>
  <c r="AY122" i="1"/>
  <c r="AZ122" i="1"/>
  <c r="BA122" i="1"/>
  <c r="BB122" i="1"/>
  <c r="BC122" i="1"/>
  <c r="BD122" i="1"/>
  <c r="BE122" i="1"/>
  <c r="BF122" i="1"/>
  <c r="AH23" i="1"/>
  <c r="F24" i="10" s="1"/>
  <c r="AH24" i="1"/>
  <c r="F25" i="10" s="1"/>
  <c r="AH25" i="1"/>
  <c r="F26" i="10" s="1"/>
  <c r="AH26" i="1"/>
  <c r="F27" i="10" s="1"/>
  <c r="AH27" i="1"/>
  <c r="F28" i="10" s="1"/>
  <c r="AH28" i="1"/>
  <c r="F29" i="10" s="1"/>
  <c r="AH29" i="1"/>
  <c r="F30" i="10" s="1"/>
  <c r="AH30" i="1"/>
  <c r="F31" i="10" s="1"/>
  <c r="AH31" i="1"/>
  <c r="F32" i="10" s="1"/>
  <c r="AH32" i="1"/>
  <c r="F33" i="10" s="1"/>
  <c r="AH33" i="1"/>
  <c r="F34" i="10" s="1"/>
  <c r="AH34" i="1"/>
  <c r="F35" i="10" s="1"/>
  <c r="AH35" i="1"/>
  <c r="F36" i="10" s="1"/>
  <c r="AH36" i="1"/>
  <c r="F37" i="10" s="1"/>
  <c r="AH37" i="1"/>
  <c r="F38" i="10" s="1"/>
  <c r="AH38" i="1"/>
  <c r="F39" i="10" s="1"/>
  <c r="AH39" i="1"/>
  <c r="F40" i="10" s="1"/>
  <c r="AH40" i="1"/>
  <c r="F41" i="10" s="1"/>
  <c r="AH41" i="1"/>
  <c r="F42" i="10" s="1"/>
  <c r="AH42" i="1"/>
  <c r="F43" i="10" s="1"/>
  <c r="AH43" i="1"/>
  <c r="F44" i="10" s="1"/>
  <c r="AH44" i="1"/>
  <c r="F45" i="10" s="1"/>
  <c r="AH45" i="1"/>
  <c r="F46" i="10" s="1"/>
  <c r="AH46" i="1"/>
  <c r="F47" i="10" s="1"/>
  <c r="AH47" i="1"/>
  <c r="F48" i="10" s="1"/>
  <c r="AH48" i="1"/>
  <c r="F49" i="10" s="1"/>
  <c r="AH49" i="1"/>
  <c r="F50" i="10" s="1"/>
  <c r="AH50" i="1"/>
  <c r="F51" i="10" s="1"/>
  <c r="AH51" i="1"/>
  <c r="F52" i="10" s="1"/>
  <c r="AH52" i="1"/>
  <c r="F53" i="10" s="1"/>
  <c r="AH53" i="1"/>
  <c r="F54" i="10" s="1"/>
  <c r="AH54" i="1"/>
  <c r="F55" i="10" s="1"/>
  <c r="AH55" i="1"/>
  <c r="F56" i="10" s="1"/>
  <c r="AH56" i="1"/>
  <c r="F57" i="10" s="1"/>
  <c r="AH57" i="1"/>
  <c r="F58" i="10" s="1"/>
  <c r="AH58" i="1"/>
  <c r="F59" i="10" s="1"/>
  <c r="AH59" i="1"/>
  <c r="F60" i="10" s="1"/>
  <c r="AH60" i="1"/>
  <c r="F61" i="10" s="1"/>
  <c r="AH61" i="1"/>
  <c r="F62" i="10" s="1"/>
  <c r="AH62" i="1"/>
  <c r="F63" i="10" s="1"/>
  <c r="AH63" i="1"/>
  <c r="F64" i="10" s="1"/>
  <c r="AH64" i="1"/>
  <c r="F65" i="10" s="1"/>
  <c r="AH65" i="1"/>
  <c r="F66" i="10" s="1"/>
  <c r="AH66" i="1"/>
  <c r="F67" i="10" s="1"/>
  <c r="AH67" i="1"/>
  <c r="F68" i="10" s="1"/>
  <c r="AH68" i="1"/>
  <c r="F69" i="10" s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19" i="1"/>
  <c r="F20" i="10" s="1"/>
  <c r="AH20" i="1"/>
  <c r="F21" i="10" s="1"/>
  <c r="AH21" i="1"/>
  <c r="F22" i="10" s="1"/>
  <c r="AH22" i="1"/>
  <c r="F23" i="10" s="1"/>
  <c r="AH18" i="1"/>
  <c r="F19" i="10" s="1"/>
  <c r="AF19" i="1"/>
  <c r="E20" i="10" s="1"/>
  <c r="AF20" i="1"/>
  <c r="E21" i="10" s="1"/>
  <c r="AF21" i="1"/>
  <c r="E22" i="10" s="1"/>
  <c r="AF22" i="1"/>
  <c r="E23" i="10" s="1"/>
  <c r="AF23" i="1"/>
  <c r="E24" i="10" s="1"/>
  <c r="AF24" i="1"/>
  <c r="E25" i="10" s="1"/>
  <c r="AF25" i="1"/>
  <c r="E26" i="10" s="1"/>
  <c r="AF26" i="1"/>
  <c r="E27" i="10" s="1"/>
  <c r="AF27" i="1"/>
  <c r="E28" i="10" s="1"/>
  <c r="AF28" i="1"/>
  <c r="E29" i="10" s="1"/>
  <c r="AF29" i="1"/>
  <c r="E30" i="10" s="1"/>
  <c r="AF30" i="1"/>
  <c r="E31" i="10" s="1"/>
  <c r="AF31" i="1"/>
  <c r="E32" i="10" s="1"/>
  <c r="AF32" i="1"/>
  <c r="E33" i="10" s="1"/>
  <c r="AF33" i="1"/>
  <c r="E34" i="10" s="1"/>
  <c r="AF34" i="1"/>
  <c r="E35" i="10" s="1"/>
  <c r="AF35" i="1"/>
  <c r="E36" i="10" s="1"/>
  <c r="AF36" i="1"/>
  <c r="E37" i="10" s="1"/>
  <c r="AF37" i="1"/>
  <c r="E38" i="10" s="1"/>
  <c r="AF38" i="1"/>
  <c r="E39" i="10" s="1"/>
  <c r="AF39" i="1"/>
  <c r="E40" i="10" s="1"/>
  <c r="AF40" i="1"/>
  <c r="E41" i="10" s="1"/>
  <c r="AF41" i="1"/>
  <c r="E42" i="10" s="1"/>
  <c r="AF42" i="1"/>
  <c r="E43" i="10" s="1"/>
  <c r="AF43" i="1"/>
  <c r="E44" i="10" s="1"/>
  <c r="AF44" i="1"/>
  <c r="E45" i="10" s="1"/>
  <c r="AF45" i="1"/>
  <c r="E46" i="10" s="1"/>
  <c r="AF46" i="1"/>
  <c r="E47" i="10" s="1"/>
  <c r="AF47" i="1"/>
  <c r="E48" i="10" s="1"/>
  <c r="AF48" i="1"/>
  <c r="E49" i="10" s="1"/>
  <c r="AF49" i="1"/>
  <c r="E50" i="10" s="1"/>
  <c r="AF50" i="1"/>
  <c r="E51" i="10" s="1"/>
  <c r="AF51" i="1"/>
  <c r="E52" i="10" s="1"/>
  <c r="AF52" i="1"/>
  <c r="E53" i="10" s="1"/>
  <c r="AF53" i="1"/>
  <c r="E54" i="10" s="1"/>
  <c r="AF54" i="1"/>
  <c r="E55" i="10" s="1"/>
  <c r="AF55" i="1"/>
  <c r="E56" i="10" s="1"/>
  <c r="AF56" i="1"/>
  <c r="E57" i="10" s="1"/>
  <c r="AF57" i="1"/>
  <c r="E58" i="10" s="1"/>
  <c r="AF58" i="1"/>
  <c r="E59" i="10" s="1"/>
  <c r="AF59" i="1"/>
  <c r="E60" i="10" s="1"/>
  <c r="AF60" i="1"/>
  <c r="E61" i="10" s="1"/>
  <c r="AF61" i="1"/>
  <c r="E62" i="10" s="1"/>
  <c r="AF62" i="1"/>
  <c r="E63" i="10" s="1"/>
  <c r="AF63" i="1"/>
  <c r="E64" i="10" s="1"/>
  <c r="AF64" i="1"/>
  <c r="E65" i="10" s="1"/>
  <c r="AF65" i="1"/>
  <c r="E66" i="10" s="1"/>
  <c r="AF66" i="1"/>
  <c r="E67" i="10" s="1"/>
  <c r="AF67" i="1"/>
  <c r="E68" i="10" s="1"/>
  <c r="AF68" i="1"/>
  <c r="E69" i="10" s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18" i="1"/>
  <c r="E19" i="10" s="1"/>
  <c r="BO19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2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BO6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BO94" i="1"/>
  <c r="BO95" i="1"/>
  <c r="BO96" i="1"/>
  <c r="BO97" i="1"/>
  <c r="BO98" i="1"/>
  <c r="BO99" i="1"/>
  <c r="BO100" i="1"/>
  <c r="BO101" i="1"/>
  <c r="BO102" i="1"/>
  <c r="BO103" i="1"/>
  <c r="BO104" i="1"/>
  <c r="BO105" i="1"/>
  <c r="BO106" i="1"/>
  <c r="BO107" i="1"/>
  <c r="BO108" i="1"/>
  <c r="BO109" i="1"/>
  <c r="BO110" i="1"/>
  <c r="BO111" i="1"/>
  <c r="BO112" i="1"/>
  <c r="BO113" i="1"/>
  <c r="BO114" i="1"/>
  <c r="BO115" i="1"/>
  <c r="BO116" i="1"/>
  <c r="BO117" i="1"/>
  <c r="BO118" i="1"/>
  <c r="BO119" i="1"/>
  <c r="BO120" i="1"/>
  <c r="BO121" i="1"/>
  <c r="BO122" i="1"/>
  <c r="BO123" i="1"/>
  <c r="BO124" i="1"/>
  <c r="BO125" i="1"/>
  <c r="BO126" i="1"/>
  <c r="BO127" i="1"/>
  <c r="BO128" i="1"/>
  <c r="BO129" i="1"/>
  <c r="BO130" i="1"/>
  <c r="BO131" i="1"/>
  <c r="BO132" i="1"/>
  <c r="BO133" i="1"/>
  <c r="BO134" i="1"/>
  <c r="BO135" i="1"/>
  <c r="BO136" i="1"/>
  <c r="BO137" i="1"/>
  <c r="BO138" i="1"/>
  <c r="BO139" i="1"/>
  <c r="BO140" i="1"/>
  <c r="BO141" i="1"/>
  <c r="BO142" i="1"/>
  <c r="BO143" i="1"/>
  <c r="BO144" i="1"/>
  <c r="BO145" i="1"/>
  <c r="BO146" i="1"/>
  <c r="BO147" i="1"/>
  <c r="BO148" i="1"/>
  <c r="BO149" i="1"/>
  <c r="BO150" i="1"/>
  <c r="BO151" i="1"/>
  <c r="BO152" i="1"/>
  <c r="BO153" i="1"/>
  <c r="BO154" i="1"/>
  <c r="BO155" i="1"/>
  <c r="BO156" i="1"/>
  <c r="BO157" i="1"/>
  <c r="BO158" i="1"/>
  <c r="BO159" i="1"/>
  <c r="BO160" i="1"/>
  <c r="BO161" i="1"/>
  <c r="BO162" i="1"/>
  <c r="BO163" i="1"/>
  <c r="BO164" i="1"/>
  <c r="BO165" i="1"/>
  <c r="BO166" i="1"/>
  <c r="BO167" i="1"/>
  <c r="BO168" i="1"/>
  <c r="BO169" i="1"/>
  <c r="BO170" i="1"/>
  <c r="BO171" i="1"/>
  <c r="BO172" i="1"/>
  <c r="BO173" i="1"/>
  <c r="BO174" i="1"/>
  <c r="BO175" i="1"/>
  <c r="BO176" i="1"/>
  <c r="BO177" i="1"/>
  <c r="BO178" i="1"/>
  <c r="BO179" i="1"/>
  <c r="BO180" i="1"/>
  <c r="BO181" i="1"/>
  <c r="BO182" i="1"/>
  <c r="BO183" i="1"/>
  <c r="BO184" i="1"/>
  <c r="BO185" i="1"/>
  <c r="BO186" i="1"/>
  <c r="BO187" i="1"/>
  <c r="BO188" i="1"/>
  <c r="BO189" i="1"/>
  <c r="BO190" i="1"/>
  <c r="BO191" i="1"/>
  <c r="BO192" i="1"/>
  <c r="BO193" i="1"/>
  <c r="BO194" i="1"/>
  <c r="BO195" i="1"/>
  <c r="BO196" i="1"/>
  <c r="BO197" i="1"/>
  <c r="BO198" i="1"/>
  <c r="BO199" i="1"/>
  <c r="BO200" i="1"/>
  <c r="BO201" i="1"/>
  <c r="BO202" i="1"/>
  <c r="BO203" i="1"/>
  <c r="BO204" i="1"/>
  <c r="BO205" i="1"/>
  <c r="BO206" i="1"/>
  <c r="BO207" i="1"/>
  <c r="BO208" i="1"/>
  <c r="BO209" i="1"/>
  <c r="BO210" i="1"/>
  <c r="BO211" i="1"/>
  <c r="BO212" i="1"/>
  <c r="BO213" i="1"/>
  <c r="BO214" i="1"/>
  <c r="BO215" i="1"/>
  <c r="BO216" i="1"/>
  <c r="BO217" i="1"/>
  <c r="BO218" i="1"/>
  <c r="BO219" i="1"/>
  <c r="BO220" i="1"/>
  <c r="BO221" i="1"/>
  <c r="BO222" i="1"/>
  <c r="BO223" i="1"/>
  <c r="BO224" i="1"/>
  <c r="BO225" i="1"/>
  <c r="BO226" i="1"/>
  <c r="BO227" i="1"/>
  <c r="BO228" i="1"/>
  <c r="BO229" i="1"/>
  <c r="BO230" i="1"/>
  <c r="BO231" i="1"/>
  <c r="BO232" i="1"/>
  <c r="BO233" i="1"/>
  <c r="BO234" i="1"/>
  <c r="BO235" i="1"/>
  <c r="BO236" i="1"/>
  <c r="BO237" i="1"/>
  <c r="BO238" i="1"/>
  <c r="BO239" i="1"/>
  <c r="BO240" i="1"/>
  <c r="BO241" i="1"/>
  <c r="BO242" i="1"/>
  <c r="BO243" i="1"/>
  <c r="BO244" i="1"/>
  <c r="BO245" i="1"/>
  <c r="BO246" i="1"/>
  <c r="BO247" i="1"/>
  <c r="BO248" i="1"/>
  <c r="BO249" i="1"/>
  <c r="BO250" i="1"/>
  <c r="BO251" i="1"/>
  <c r="BO252" i="1"/>
  <c r="BO253" i="1"/>
  <c r="BO254" i="1"/>
  <c r="BO255" i="1"/>
  <c r="BO256" i="1"/>
  <c r="BO257" i="1"/>
  <c r="BO258" i="1"/>
  <c r="BO259" i="1"/>
  <c r="BO260" i="1"/>
  <c r="BO261" i="1"/>
  <c r="BO262" i="1"/>
  <c r="BO263" i="1"/>
  <c r="BO264" i="1"/>
  <c r="BO265" i="1"/>
  <c r="BO266" i="1"/>
  <c r="BO267" i="1"/>
  <c r="BO268" i="1"/>
  <c r="BO269" i="1"/>
  <c r="BO270" i="1"/>
  <c r="BO271" i="1"/>
  <c r="BO272" i="1"/>
  <c r="BO273" i="1"/>
  <c r="BO274" i="1"/>
  <c r="BO275" i="1"/>
  <c r="BO276" i="1"/>
  <c r="BO277" i="1"/>
  <c r="BO278" i="1"/>
  <c r="BO279" i="1"/>
  <c r="BO280" i="1"/>
  <c r="BO281" i="1"/>
  <c r="BO282" i="1"/>
  <c r="BO283" i="1"/>
  <c r="BO284" i="1"/>
  <c r="BO285" i="1"/>
  <c r="BO286" i="1"/>
  <c r="BO287" i="1"/>
  <c r="BO288" i="1"/>
  <c r="BO289" i="1"/>
  <c r="BO290" i="1"/>
  <c r="BO291" i="1"/>
  <c r="BO292" i="1"/>
  <c r="BO293" i="1"/>
  <c r="BO294" i="1"/>
  <c r="BO295" i="1"/>
  <c r="BO296" i="1"/>
  <c r="BO297" i="1"/>
  <c r="BO298" i="1"/>
  <c r="BO299" i="1"/>
  <c r="BO300" i="1"/>
  <c r="BO18" i="1"/>
  <c r="H69" i="10"/>
  <c r="G69" i="10"/>
  <c r="D69" i="10"/>
  <c r="C69" i="10"/>
  <c r="B69" i="10"/>
  <c r="A69" i="10"/>
  <c r="H68" i="10"/>
  <c r="G68" i="10"/>
  <c r="D68" i="10"/>
  <c r="C68" i="10"/>
  <c r="B68" i="10"/>
  <c r="A68" i="10"/>
  <c r="H67" i="10"/>
  <c r="G67" i="10"/>
  <c r="D67" i="10"/>
  <c r="C67" i="10"/>
  <c r="B67" i="10"/>
  <c r="A67" i="10"/>
  <c r="H66" i="10"/>
  <c r="G66" i="10"/>
  <c r="D66" i="10"/>
  <c r="C66" i="10"/>
  <c r="B66" i="10"/>
  <c r="A66" i="10"/>
  <c r="H65" i="10"/>
  <c r="G65" i="10"/>
  <c r="D65" i="10"/>
  <c r="C65" i="10"/>
  <c r="B65" i="10"/>
  <c r="A65" i="10"/>
  <c r="H64" i="10"/>
  <c r="G64" i="10"/>
  <c r="D64" i="10"/>
  <c r="C64" i="10"/>
  <c r="B64" i="10"/>
  <c r="A64" i="10"/>
  <c r="H63" i="10"/>
  <c r="G63" i="10"/>
  <c r="D63" i="10"/>
  <c r="C63" i="10"/>
  <c r="B63" i="10"/>
  <c r="A63" i="10"/>
  <c r="H62" i="10"/>
  <c r="G62" i="10"/>
  <c r="D62" i="10"/>
  <c r="C62" i="10"/>
  <c r="B62" i="10"/>
  <c r="A62" i="10"/>
  <c r="H61" i="10"/>
  <c r="G61" i="10"/>
  <c r="D61" i="10"/>
  <c r="C61" i="10"/>
  <c r="B61" i="10"/>
  <c r="A61" i="10"/>
  <c r="H60" i="10"/>
  <c r="G60" i="10"/>
  <c r="D60" i="10"/>
  <c r="C60" i="10"/>
  <c r="B60" i="10"/>
  <c r="A60" i="10"/>
  <c r="H59" i="10"/>
  <c r="G59" i="10"/>
  <c r="D59" i="10"/>
  <c r="C59" i="10"/>
  <c r="B59" i="10"/>
  <c r="A59" i="10"/>
  <c r="H58" i="10"/>
  <c r="G58" i="10"/>
  <c r="D58" i="10"/>
  <c r="C58" i="10"/>
  <c r="B58" i="10"/>
  <c r="A58" i="10"/>
  <c r="H57" i="10"/>
  <c r="G57" i="10"/>
  <c r="D57" i="10"/>
  <c r="C57" i="10"/>
  <c r="B57" i="10"/>
  <c r="A57" i="10"/>
  <c r="H56" i="10"/>
  <c r="G56" i="10"/>
  <c r="D56" i="10"/>
  <c r="C56" i="10"/>
  <c r="B56" i="10"/>
  <c r="A56" i="10"/>
  <c r="H55" i="10"/>
  <c r="G55" i="10"/>
  <c r="D55" i="10"/>
  <c r="C55" i="10"/>
  <c r="B55" i="10"/>
  <c r="A55" i="10"/>
  <c r="H54" i="10"/>
  <c r="G54" i="10"/>
  <c r="D54" i="10"/>
  <c r="C54" i="10"/>
  <c r="B54" i="10"/>
  <c r="A54" i="10"/>
  <c r="H53" i="10"/>
  <c r="G53" i="10"/>
  <c r="D53" i="10"/>
  <c r="C53" i="10"/>
  <c r="B53" i="10"/>
  <c r="A53" i="10"/>
  <c r="H52" i="10"/>
  <c r="G52" i="10"/>
  <c r="D52" i="10"/>
  <c r="C52" i="10"/>
  <c r="B52" i="10"/>
  <c r="A52" i="10"/>
  <c r="H51" i="10"/>
  <c r="G51" i="10"/>
  <c r="D51" i="10"/>
  <c r="C51" i="10"/>
  <c r="B51" i="10"/>
  <c r="A51" i="10"/>
  <c r="H50" i="10"/>
  <c r="G50" i="10"/>
  <c r="D50" i="10"/>
  <c r="C50" i="10"/>
  <c r="B50" i="10"/>
  <c r="A50" i="10"/>
  <c r="H49" i="10"/>
  <c r="G49" i="10"/>
  <c r="D49" i="10"/>
  <c r="C49" i="10"/>
  <c r="B49" i="10"/>
  <c r="A49" i="10"/>
  <c r="H48" i="10"/>
  <c r="G48" i="10"/>
  <c r="D48" i="10"/>
  <c r="C48" i="10"/>
  <c r="B48" i="10"/>
  <c r="A48" i="10"/>
  <c r="H47" i="10"/>
  <c r="G47" i="10"/>
  <c r="D47" i="10"/>
  <c r="C47" i="10"/>
  <c r="B47" i="10"/>
  <c r="A47" i="10"/>
  <c r="H46" i="10"/>
  <c r="G46" i="10"/>
  <c r="D46" i="10"/>
  <c r="C46" i="10"/>
  <c r="B46" i="10"/>
  <c r="A46" i="10"/>
  <c r="H45" i="10"/>
  <c r="G45" i="10"/>
  <c r="D45" i="10"/>
  <c r="C45" i="10"/>
  <c r="B45" i="10"/>
  <c r="A45" i="10"/>
  <c r="H44" i="10"/>
  <c r="G44" i="10"/>
  <c r="D44" i="10"/>
  <c r="C44" i="10"/>
  <c r="B44" i="10"/>
  <c r="A44" i="10"/>
  <c r="H43" i="10"/>
  <c r="G43" i="10"/>
  <c r="D43" i="10"/>
  <c r="C43" i="10"/>
  <c r="B43" i="10"/>
  <c r="A43" i="10"/>
  <c r="H42" i="10"/>
  <c r="G42" i="10"/>
  <c r="D42" i="10"/>
  <c r="C42" i="10"/>
  <c r="B42" i="10"/>
  <c r="A42" i="10"/>
  <c r="H41" i="10"/>
  <c r="G41" i="10"/>
  <c r="D41" i="10"/>
  <c r="C41" i="10"/>
  <c r="B41" i="10"/>
  <c r="A41" i="10"/>
  <c r="H40" i="10"/>
  <c r="G40" i="10"/>
  <c r="D40" i="10"/>
  <c r="C40" i="10"/>
  <c r="B40" i="10"/>
  <c r="A40" i="10"/>
  <c r="H39" i="10"/>
  <c r="G39" i="10"/>
  <c r="D39" i="10"/>
  <c r="C39" i="10"/>
  <c r="B39" i="10"/>
  <c r="A39" i="10"/>
  <c r="H38" i="10"/>
  <c r="G38" i="10"/>
  <c r="D38" i="10"/>
  <c r="C38" i="10"/>
  <c r="B38" i="10"/>
  <c r="A38" i="10"/>
  <c r="H37" i="10"/>
  <c r="G37" i="10"/>
  <c r="D37" i="10"/>
  <c r="C37" i="10"/>
  <c r="B37" i="10"/>
  <c r="A37" i="10"/>
  <c r="H36" i="10"/>
  <c r="G36" i="10"/>
  <c r="D36" i="10"/>
  <c r="C36" i="10"/>
  <c r="B36" i="10"/>
  <c r="A36" i="10"/>
  <c r="H35" i="10"/>
  <c r="G35" i="10"/>
  <c r="D35" i="10"/>
  <c r="C35" i="10"/>
  <c r="B35" i="10"/>
  <c r="A35" i="10"/>
  <c r="H34" i="10"/>
  <c r="G34" i="10"/>
  <c r="D34" i="10"/>
  <c r="C34" i="10"/>
  <c r="B34" i="10"/>
  <c r="A34" i="10"/>
  <c r="H33" i="10"/>
  <c r="G33" i="10"/>
  <c r="D33" i="10"/>
  <c r="C33" i="10"/>
  <c r="B33" i="10"/>
  <c r="A33" i="10"/>
  <c r="H32" i="10"/>
  <c r="G32" i="10"/>
  <c r="D32" i="10"/>
  <c r="C32" i="10"/>
  <c r="B32" i="10"/>
  <c r="A32" i="10"/>
  <c r="H31" i="10"/>
  <c r="G31" i="10"/>
  <c r="D31" i="10"/>
  <c r="C31" i="10"/>
  <c r="B31" i="10"/>
  <c r="A31" i="10"/>
  <c r="H30" i="10"/>
  <c r="G30" i="10"/>
  <c r="D30" i="10"/>
  <c r="C30" i="10"/>
  <c r="B30" i="10"/>
  <c r="A30" i="10"/>
  <c r="H29" i="10"/>
  <c r="G29" i="10"/>
  <c r="D29" i="10"/>
  <c r="C29" i="10"/>
  <c r="B29" i="10"/>
  <c r="A29" i="10"/>
  <c r="H28" i="10"/>
  <c r="G28" i="10"/>
  <c r="D28" i="10"/>
  <c r="C28" i="10"/>
  <c r="B28" i="10"/>
  <c r="A28" i="10"/>
  <c r="H27" i="10"/>
  <c r="G27" i="10"/>
  <c r="D27" i="10"/>
  <c r="C27" i="10"/>
  <c r="B27" i="10"/>
  <c r="A27" i="10"/>
  <c r="H26" i="10"/>
  <c r="G26" i="10"/>
  <c r="D26" i="10"/>
  <c r="C26" i="10"/>
  <c r="B26" i="10"/>
  <c r="A26" i="10"/>
  <c r="H25" i="10"/>
  <c r="G25" i="10"/>
  <c r="D25" i="10"/>
  <c r="C25" i="10"/>
  <c r="B25" i="10"/>
  <c r="A25" i="10"/>
  <c r="H24" i="10"/>
  <c r="G24" i="10"/>
  <c r="D24" i="10"/>
  <c r="C24" i="10"/>
  <c r="B24" i="10"/>
  <c r="A24" i="10"/>
  <c r="H23" i="10"/>
  <c r="G23" i="10"/>
  <c r="D23" i="10"/>
  <c r="C23" i="10"/>
  <c r="B23" i="10"/>
  <c r="A23" i="10"/>
  <c r="H22" i="10"/>
  <c r="G22" i="10"/>
  <c r="D22" i="10"/>
  <c r="C22" i="10"/>
  <c r="B22" i="10"/>
  <c r="A22" i="10"/>
  <c r="H21" i="10"/>
  <c r="G21" i="10"/>
  <c r="D21" i="10"/>
  <c r="C21" i="10"/>
  <c r="B21" i="10"/>
  <c r="A21" i="10"/>
  <c r="H20" i="10"/>
  <c r="G20" i="10"/>
  <c r="D20" i="10"/>
  <c r="C20" i="10"/>
  <c r="B20" i="10"/>
  <c r="A20" i="10"/>
  <c r="H19" i="10"/>
  <c r="G19" i="10"/>
  <c r="D19" i="10"/>
  <c r="C19" i="10"/>
  <c r="B19" i="10"/>
  <c r="A19" i="10"/>
  <c r="F18" i="10"/>
  <c r="E18" i="10"/>
  <c r="D18" i="10"/>
  <c r="C18" i="10"/>
  <c r="B18" i="10"/>
  <c r="M82" i="10" l="1"/>
  <c r="BB81" i="1" s="1"/>
  <c r="J82" i="10"/>
  <c r="AY81" i="1" s="1"/>
  <c r="K82" i="10"/>
  <c r="AZ81" i="1" s="1"/>
  <c r="L82" i="10"/>
  <c r="BA81" i="1" s="1"/>
  <c r="M100" i="10"/>
  <c r="BB99" i="1" s="1"/>
  <c r="N100" i="10"/>
  <c r="K100" i="10"/>
  <c r="AZ99" i="1" s="1"/>
  <c r="J100" i="10"/>
  <c r="AY99" i="1" s="1"/>
  <c r="L100" i="10"/>
  <c r="BA99" i="1" s="1"/>
  <c r="N122" i="10"/>
  <c r="M122" i="10"/>
  <c r="BB121" i="1" s="1"/>
  <c r="L122" i="10"/>
  <c r="BA121" i="1" s="1"/>
  <c r="K122" i="10"/>
  <c r="AZ121" i="1" s="1"/>
  <c r="J122" i="10"/>
  <c r="AY121" i="1" s="1"/>
  <c r="Q122" i="10"/>
  <c r="BF121" i="1" s="1"/>
  <c r="P122" i="10"/>
  <c r="BE128" i="1"/>
  <c r="R129" i="10"/>
  <c r="BG128" i="1" s="1"/>
  <c r="O130" i="10"/>
  <c r="BD129" i="1" s="1"/>
  <c r="BC129" i="1"/>
  <c r="R130" i="10"/>
  <c r="BG129" i="1" s="1"/>
  <c r="BE129" i="1"/>
  <c r="O131" i="10"/>
  <c r="BD130" i="1" s="1"/>
  <c r="BC130" i="1"/>
  <c r="BE130" i="1"/>
  <c r="R131" i="10"/>
  <c r="BG130" i="1" s="1"/>
  <c r="BC131" i="1"/>
  <c r="O132" i="10"/>
  <c r="BD131" i="1" s="1"/>
  <c r="BE131" i="1"/>
  <c r="R132" i="10"/>
  <c r="BG131" i="1" s="1"/>
  <c r="BC132" i="1"/>
  <c r="O133" i="10"/>
  <c r="BD132" i="1" s="1"/>
  <c r="BE132" i="1"/>
  <c r="R133" i="10"/>
  <c r="BG132" i="1" s="1"/>
  <c r="O134" i="10"/>
  <c r="BD133" i="1" s="1"/>
  <c r="BC133" i="1"/>
  <c r="R134" i="10"/>
  <c r="BG133" i="1" s="1"/>
  <c r="BE133" i="1"/>
  <c r="O135" i="10"/>
  <c r="BD134" i="1" s="1"/>
  <c r="BC134" i="1"/>
  <c r="R135" i="10"/>
  <c r="BG134" i="1" s="1"/>
  <c r="BE134" i="1"/>
  <c r="O136" i="10"/>
  <c r="BD135" i="1" s="1"/>
  <c r="BC135" i="1"/>
  <c r="R136" i="10"/>
  <c r="BG135" i="1" s="1"/>
  <c r="BE135" i="1"/>
  <c r="BC136" i="1"/>
  <c r="O137" i="10"/>
  <c r="BD136" i="1" s="1"/>
  <c r="R137" i="10"/>
  <c r="BG136" i="1" s="1"/>
  <c r="BE136" i="1"/>
  <c r="O138" i="10"/>
  <c r="BD137" i="1" s="1"/>
  <c r="BC137" i="1"/>
  <c r="R138" i="10"/>
  <c r="BG137" i="1" s="1"/>
  <c r="BE137" i="1"/>
  <c r="O139" i="10"/>
  <c r="BD138" i="1" s="1"/>
  <c r="BC138" i="1"/>
  <c r="R139" i="10"/>
  <c r="BG138" i="1" s="1"/>
  <c r="BE138" i="1"/>
  <c r="O140" i="10"/>
  <c r="BD139" i="1" s="1"/>
  <c r="BC139" i="1"/>
  <c r="BE139" i="1"/>
  <c r="R140" i="10"/>
  <c r="BG139" i="1" s="1"/>
  <c r="BC140" i="1"/>
  <c r="O141" i="10"/>
  <c r="BD140" i="1" s="1"/>
  <c r="R141" i="10"/>
  <c r="BG140" i="1" s="1"/>
  <c r="BE140" i="1"/>
  <c r="BC141" i="1"/>
  <c r="O142" i="10"/>
  <c r="BD141" i="1" s="1"/>
  <c r="BE141" i="1"/>
  <c r="R142" i="10"/>
  <c r="BG141" i="1" s="1"/>
  <c r="BC142" i="1"/>
  <c r="O143" i="10"/>
  <c r="BD142" i="1" s="1"/>
  <c r="BE142" i="1"/>
  <c r="R143" i="10"/>
  <c r="BG142" i="1" s="1"/>
  <c r="BC143" i="1"/>
  <c r="O144" i="10"/>
  <c r="BD143" i="1" s="1"/>
  <c r="R144" i="10"/>
  <c r="BG143" i="1" s="1"/>
  <c r="BE143" i="1"/>
  <c r="BC144" i="1"/>
  <c r="O145" i="10"/>
  <c r="BD144" i="1" s="1"/>
  <c r="R145" i="10"/>
  <c r="BG144" i="1" s="1"/>
  <c r="BE144" i="1"/>
  <c r="BC145" i="1"/>
  <c r="O146" i="10"/>
  <c r="BD145" i="1" s="1"/>
  <c r="BE145" i="1"/>
  <c r="R146" i="10"/>
  <c r="BG145" i="1" s="1"/>
  <c r="BC146" i="1"/>
  <c r="O147" i="10"/>
  <c r="BD146" i="1" s="1"/>
  <c r="BE146" i="1"/>
  <c r="R147" i="10"/>
  <c r="BG146" i="1" s="1"/>
  <c r="O148" i="10"/>
  <c r="BD147" i="1" s="1"/>
  <c r="BC147" i="1"/>
  <c r="BE147" i="1"/>
  <c r="R148" i="10"/>
  <c r="BG147" i="1" s="1"/>
  <c r="O149" i="10"/>
  <c r="BD148" i="1" s="1"/>
  <c r="BC148" i="1"/>
  <c r="R149" i="10"/>
  <c r="BG148" i="1" s="1"/>
  <c r="BE148" i="1"/>
  <c r="L150" i="10"/>
  <c r="BA149" i="1" s="1"/>
  <c r="M150" i="10"/>
  <c r="BB149" i="1" s="1"/>
  <c r="K150" i="10"/>
  <c r="AZ149" i="1" s="1"/>
  <c r="J150" i="10"/>
  <c r="AY149" i="1" s="1"/>
  <c r="O150" i="10"/>
  <c r="BD149" i="1" s="1"/>
  <c r="BC149" i="1"/>
  <c r="BE149" i="1"/>
  <c r="R150" i="10"/>
  <c r="BG149" i="1" s="1"/>
  <c r="BC150" i="1"/>
  <c r="O151" i="10"/>
  <c r="BD150" i="1" s="1"/>
  <c r="BE150" i="1"/>
  <c r="R151" i="10"/>
  <c r="BG150" i="1" s="1"/>
  <c r="K152" i="10"/>
  <c r="AZ151" i="1" s="1"/>
  <c r="L152" i="10"/>
  <c r="BA151" i="1" s="1"/>
  <c r="M152" i="10"/>
  <c r="BB151" i="1" s="1"/>
  <c r="J152" i="10"/>
  <c r="AY151" i="1" s="1"/>
  <c r="BC151" i="1"/>
  <c r="O152" i="10"/>
  <c r="BD151" i="1" s="1"/>
  <c r="R152" i="10"/>
  <c r="BG151" i="1" s="1"/>
  <c r="BE151" i="1"/>
  <c r="R153" i="10"/>
  <c r="BG152" i="1" s="1"/>
  <c r="BE152" i="1"/>
  <c r="O154" i="10"/>
  <c r="BD153" i="1" s="1"/>
  <c r="BC153" i="1"/>
  <c r="BE153" i="1"/>
  <c r="R154" i="10"/>
  <c r="BG153" i="1" s="1"/>
  <c r="BC154" i="1"/>
  <c r="O155" i="10"/>
  <c r="BD154" i="1" s="1"/>
  <c r="BE154" i="1"/>
  <c r="R155" i="10"/>
  <c r="BG154" i="1" s="1"/>
  <c r="O156" i="10"/>
  <c r="BD155" i="1" s="1"/>
  <c r="BC155" i="1"/>
  <c r="BE155" i="1"/>
  <c r="R156" i="10"/>
  <c r="BG155" i="1" s="1"/>
  <c r="O157" i="10"/>
  <c r="BD156" i="1" s="1"/>
  <c r="BC156" i="1"/>
  <c r="R157" i="10"/>
  <c r="BG156" i="1" s="1"/>
  <c r="BE156" i="1"/>
  <c r="BC157" i="1"/>
  <c r="O158" i="10"/>
  <c r="BD157" i="1" s="1"/>
  <c r="BE157" i="1"/>
  <c r="R158" i="10"/>
  <c r="BG157" i="1" s="1"/>
  <c r="O159" i="10"/>
  <c r="BD158" i="1" s="1"/>
  <c r="BC158" i="1"/>
  <c r="BE158" i="1"/>
  <c r="R159" i="10"/>
  <c r="BG158" i="1" s="1"/>
  <c r="BC159" i="1"/>
  <c r="O160" i="10"/>
  <c r="BD159" i="1" s="1"/>
  <c r="R160" i="10"/>
  <c r="BG159" i="1" s="1"/>
  <c r="BE159" i="1"/>
  <c r="O161" i="10"/>
  <c r="BD160" i="1" s="1"/>
  <c r="BC160" i="1"/>
  <c r="R161" i="10"/>
  <c r="BG160" i="1" s="1"/>
  <c r="BE160" i="1"/>
  <c r="BC161" i="1"/>
  <c r="O162" i="10"/>
  <c r="BD161" i="1" s="1"/>
  <c r="R162" i="10"/>
  <c r="BG161" i="1" s="1"/>
  <c r="BE161" i="1"/>
  <c r="O163" i="10"/>
  <c r="BD162" i="1" s="1"/>
  <c r="BC162" i="1"/>
  <c r="R163" i="10"/>
  <c r="BG162" i="1" s="1"/>
  <c r="BE162" i="1"/>
  <c r="BC163" i="1"/>
  <c r="O164" i="10"/>
  <c r="BD163" i="1" s="1"/>
  <c r="R164" i="10"/>
  <c r="BG163" i="1" s="1"/>
  <c r="BE163" i="1"/>
  <c r="O165" i="10"/>
  <c r="BD164" i="1" s="1"/>
  <c r="BC164" i="1"/>
  <c r="R165" i="10"/>
  <c r="BG164" i="1" s="1"/>
  <c r="BE164" i="1"/>
  <c r="O166" i="10"/>
  <c r="BD165" i="1" s="1"/>
  <c r="BC165" i="1"/>
  <c r="BE165" i="1"/>
  <c r="R166" i="10"/>
  <c r="BG165" i="1" s="1"/>
  <c r="O167" i="10"/>
  <c r="BD166" i="1" s="1"/>
  <c r="BC166" i="1"/>
  <c r="BE166" i="1"/>
  <c r="R167" i="10"/>
  <c r="BG166" i="1" s="1"/>
  <c r="O168" i="10"/>
  <c r="BD167" i="1" s="1"/>
  <c r="BC167" i="1"/>
  <c r="R168" i="10"/>
  <c r="BG167" i="1" s="1"/>
  <c r="BE167" i="1"/>
  <c r="BC168" i="1"/>
  <c r="O169" i="10"/>
  <c r="BD168" i="1" s="1"/>
  <c r="R169" i="10"/>
  <c r="BG168" i="1" s="1"/>
  <c r="BE168" i="1"/>
  <c r="O170" i="10"/>
  <c r="BD169" i="1" s="1"/>
  <c r="BC169" i="1"/>
  <c r="R170" i="10"/>
  <c r="BG169" i="1" s="1"/>
  <c r="BE169" i="1"/>
  <c r="O171" i="10"/>
  <c r="BD170" i="1" s="1"/>
  <c r="BC170" i="1"/>
  <c r="R171" i="10"/>
  <c r="BG170" i="1" s="1"/>
  <c r="BE170" i="1"/>
  <c r="BC171" i="1"/>
  <c r="O172" i="10"/>
  <c r="BD171" i="1" s="1"/>
  <c r="BE171" i="1"/>
  <c r="R172" i="10"/>
  <c r="BG171" i="1" s="1"/>
  <c r="O173" i="10"/>
  <c r="BD172" i="1" s="1"/>
  <c r="BC172" i="1"/>
  <c r="BE172" i="1"/>
  <c r="R173" i="10"/>
  <c r="BG172" i="1" s="1"/>
  <c r="O174" i="10"/>
  <c r="BD173" i="1" s="1"/>
  <c r="BC173" i="1"/>
  <c r="R174" i="10"/>
  <c r="BG173" i="1" s="1"/>
  <c r="BE173" i="1"/>
  <c r="R193" i="10"/>
  <c r="BG192" i="1" s="1"/>
  <c r="BE192" i="1"/>
  <c r="BC193" i="1"/>
  <c r="O194" i="10"/>
  <c r="BD193" i="1" s="1"/>
  <c r="BE193" i="1"/>
  <c r="R194" i="10"/>
  <c r="BG193" i="1" s="1"/>
  <c r="BC194" i="1"/>
  <c r="O195" i="10"/>
  <c r="BD194" i="1" s="1"/>
  <c r="R195" i="10"/>
  <c r="BG194" i="1" s="1"/>
  <c r="BE194" i="1"/>
  <c r="O196" i="10"/>
  <c r="BD195" i="1" s="1"/>
  <c r="BC195" i="1"/>
  <c r="BE195" i="1"/>
  <c r="R196" i="10"/>
  <c r="BG195" i="1" s="1"/>
  <c r="BC196" i="1"/>
  <c r="O197" i="10"/>
  <c r="BD196" i="1" s="1"/>
  <c r="R197" i="10"/>
  <c r="BG196" i="1" s="1"/>
  <c r="BE196" i="1"/>
  <c r="BC197" i="1"/>
  <c r="O198" i="10"/>
  <c r="BD197" i="1" s="1"/>
  <c r="R198" i="10"/>
  <c r="BG197" i="1" s="1"/>
  <c r="BE197" i="1"/>
  <c r="O199" i="10"/>
  <c r="BD198" i="1" s="1"/>
  <c r="BC198" i="1"/>
  <c r="R199" i="10"/>
  <c r="BG198" i="1" s="1"/>
  <c r="BE198" i="1"/>
  <c r="O200" i="10"/>
  <c r="BD199" i="1" s="1"/>
  <c r="BC199" i="1"/>
  <c r="BE199" i="1"/>
  <c r="R200" i="10"/>
  <c r="BG199" i="1" s="1"/>
  <c r="O201" i="10"/>
  <c r="BD200" i="1" s="1"/>
  <c r="BC200" i="1"/>
  <c r="R201" i="10"/>
  <c r="BG200" i="1" s="1"/>
  <c r="BE200" i="1"/>
  <c r="BC201" i="1"/>
  <c r="O202" i="10"/>
  <c r="BD201" i="1" s="1"/>
  <c r="BE201" i="1"/>
  <c r="R202" i="10"/>
  <c r="BG201" i="1" s="1"/>
  <c r="O203" i="10"/>
  <c r="BD202" i="1" s="1"/>
  <c r="BC202" i="1"/>
  <c r="R203" i="10"/>
  <c r="BG202" i="1" s="1"/>
  <c r="BE202" i="1"/>
  <c r="O204" i="10"/>
  <c r="BD203" i="1" s="1"/>
  <c r="BC203" i="1"/>
  <c r="R204" i="10"/>
  <c r="BG203" i="1" s="1"/>
  <c r="BE203" i="1"/>
  <c r="BC204" i="1"/>
  <c r="O205" i="10"/>
  <c r="BD204" i="1" s="1"/>
  <c r="BE204" i="1"/>
  <c r="R205" i="10"/>
  <c r="BG204" i="1" s="1"/>
  <c r="BC205" i="1"/>
  <c r="O206" i="10"/>
  <c r="BD205" i="1" s="1"/>
  <c r="R206" i="10"/>
  <c r="BG205" i="1" s="1"/>
  <c r="BE205" i="1"/>
  <c r="O207" i="10"/>
  <c r="BD206" i="1" s="1"/>
  <c r="BC206" i="1"/>
  <c r="R207" i="10"/>
  <c r="BG206" i="1" s="1"/>
  <c r="BE206" i="1"/>
  <c r="O208" i="10"/>
  <c r="BD207" i="1" s="1"/>
  <c r="BC207" i="1"/>
  <c r="R208" i="10"/>
  <c r="BG207" i="1" s="1"/>
  <c r="BE207" i="1"/>
  <c r="BC208" i="1"/>
  <c r="O209" i="10"/>
  <c r="BD208" i="1" s="1"/>
  <c r="BE208" i="1"/>
  <c r="R209" i="10"/>
  <c r="BG208" i="1" s="1"/>
  <c r="BC209" i="1"/>
  <c r="O210" i="10"/>
  <c r="BD209" i="1" s="1"/>
  <c r="BE209" i="1"/>
  <c r="R210" i="10"/>
  <c r="BG209" i="1" s="1"/>
  <c r="O211" i="10"/>
  <c r="BD210" i="1" s="1"/>
  <c r="BC210" i="1"/>
  <c r="BE210" i="1"/>
  <c r="R211" i="10"/>
  <c r="BG210" i="1" s="1"/>
  <c r="BC211" i="1"/>
  <c r="O212" i="10"/>
  <c r="BD211" i="1" s="1"/>
  <c r="R212" i="10"/>
  <c r="BG211" i="1" s="1"/>
  <c r="BE211" i="1"/>
  <c r="O213" i="10"/>
  <c r="BD212" i="1" s="1"/>
  <c r="BC212" i="1"/>
  <c r="R213" i="10"/>
  <c r="BG212" i="1" s="1"/>
  <c r="BE212" i="1"/>
  <c r="O214" i="10"/>
  <c r="BD213" i="1" s="1"/>
  <c r="BC213" i="1"/>
  <c r="BE213" i="1"/>
  <c r="R214" i="10"/>
  <c r="BG213" i="1" s="1"/>
  <c r="BC214" i="1"/>
  <c r="O215" i="10"/>
  <c r="BD214" i="1" s="1"/>
  <c r="BE214" i="1"/>
  <c r="R215" i="10"/>
  <c r="BG214" i="1" s="1"/>
  <c r="O216" i="10"/>
  <c r="BD215" i="1" s="1"/>
  <c r="BC215" i="1"/>
  <c r="BE215" i="1"/>
  <c r="R216" i="10"/>
  <c r="BG215" i="1" s="1"/>
  <c r="O217" i="10"/>
  <c r="BD216" i="1" s="1"/>
  <c r="BC216" i="1"/>
  <c r="R217" i="10"/>
  <c r="BG216" i="1" s="1"/>
  <c r="BE216" i="1"/>
  <c r="O218" i="10"/>
  <c r="BD217" i="1" s="1"/>
  <c r="BC217" i="1"/>
  <c r="R218" i="10"/>
  <c r="BG217" i="1" s="1"/>
  <c r="BE217" i="1"/>
  <c r="O219" i="10"/>
  <c r="BD218" i="1" s="1"/>
  <c r="BC218" i="1"/>
  <c r="BE218" i="1"/>
  <c r="R219" i="10"/>
  <c r="BG218" i="1" s="1"/>
  <c r="BC219" i="1"/>
  <c r="O220" i="10"/>
  <c r="BD219" i="1" s="1"/>
  <c r="BE219" i="1"/>
  <c r="R220" i="10"/>
  <c r="BG219" i="1" s="1"/>
  <c r="BC220" i="1"/>
  <c r="O221" i="10"/>
  <c r="BD220" i="1" s="1"/>
  <c r="BE220" i="1"/>
  <c r="R221" i="10"/>
  <c r="BG220" i="1" s="1"/>
  <c r="O222" i="10"/>
  <c r="BD221" i="1" s="1"/>
  <c r="BC221" i="1"/>
  <c r="R222" i="10"/>
  <c r="BG221" i="1" s="1"/>
  <c r="BE221" i="1"/>
  <c r="O223" i="10"/>
  <c r="BD222" i="1" s="1"/>
  <c r="BC222" i="1"/>
  <c r="R223" i="10"/>
  <c r="BG222" i="1" s="1"/>
  <c r="BE222" i="1"/>
  <c r="O224" i="10"/>
  <c r="BD223" i="1" s="1"/>
  <c r="BC223" i="1"/>
  <c r="R224" i="10"/>
  <c r="BG223" i="1" s="1"/>
  <c r="BE223" i="1"/>
  <c r="O225" i="10"/>
  <c r="BD224" i="1" s="1"/>
  <c r="BC224" i="1"/>
  <c r="R225" i="10"/>
  <c r="BG224" i="1" s="1"/>
  <c r="BE224" i="1"/>
  <c r="BC225" i="1"/>
  <c r="O226" i="10"/>
  <c r="BD225" i="1" s="1"/>
  <c r="BE225" i="1"/>
  <c r="R226" i="10"/>
  <c r="BG225" i="1" s="1"/>
  <c r="K227" i="10"/>
  <c r="AZ226" i="1" s="1"/>
  <c r="J227" i="10"/>
  <c r="AY226" i="1" s="1"/>
  <c r="N227" i="10"/>
  <c r="L227" i="10"/>
  <c r="BA226" i="1" s="1"/>
  <c r="M227" i="10"/>
  <c r="BB226" i="1" s="1"/>
  <c r="Q227" i="10"/>
  <c r="BF226" i="1" s="1"/>
  <c r="P227" i="10"/>
  <c r="R252" i="10"/>
  <c r="BG251" i="1" s="1"/>
  <c r="BE251" i="1"/>
  <c r="BC252" i="1"/>
  <c r="O253" i="10"/>
  <c r="BD252" i="1" s="1"/>
  <c r="R253" i="10"/>
  <c r="BG252" i="1" s="1"/>
  <c r="BE252" i="1"/>
  <c r="O254" i="10"/>
  <c r="BD253" i="1" s="1"/>
  <c r="BC253" i="1"/>
  <c r="R254" i="10"/>
  <c r="BG253" i="1" s="1"/>
  <c r="BE253" i="1"/>
  <c r="O255" i="10"/>
  <c r="BD254" i="1" s="1"/>
  <c r="BC254" i="1"/>
  <c r="BE254" i="1"/>
  <c r="R255" i="10"/>
  <c r="BG254" i="1" s="1"/>
  <c r="O256" i="10"/>
  <c r="BD255" i="1" s="1"/>
  <c r="BC255" i="1"/>
  <c r="BE255" i="1"/>
  <c r="R256" i="10"/>
  <c r="BG255" i="1" s="1"/>
  <c r="O257" i="10"/>
  <c r="BD256" i="1" s="1"/>
  <c r="BC256" i="1"/>
  <c r="R257" i="10"/>
  <c r="BG256" i="1" s="1"/>
  <c r="BE256" i="1"/>
  <c r="O258" i="10"/>
  <c r="BD257" i="1" s="1"/>
  <c r="BC257" i="1"/>
  <c r="R258" i="10"/>
  <c r="BG257" i="1" s="1"/>
  <c r="BE257" i="1"/>
  <c r="BC258" i="1"/>
  <c r="O259" i="10"/>
  <c r="BD258" i="1" s="1"/>
  <c r="BE258" i="1"/>
  <c r="R259" i="10"/>
  <c r="BG258" i="1" s="1"/>
  <c r="O260" i="10"/>
  <c r="BD259" i="1" s="1"/>
  <c r="BC259" i="1"/>
  <c r="R260" i="10"/>
  <c r="BG259" i="1" s="1"/>
  <c r="BE259" i="1"/>
  <c r="J261" i="10"/>
  <c r="AY260" i="1" s="1"/>
  <c r="K261" i="10"/>
  <c r="AZ260" i="1" s="1"/>
  <c r="BC260" i="1"/>
  <c r="O261" i="10"/>
  <c r="BD260" i="1" s="1"/>
  <c r="R261" i="10"/>
  <c r="BG260" i="1" s="1"/>
  <c r="BE260" i="1"/>
  <c r="BC261" i="1"/>
  <c r="O262" i="10"/>
  <c r="BD261" i="1" s="1"/>
  <c r="BE261" i="1"/>
  <c r="R262" i="10"/>
  <c r="BG261" i="1" s="1"/>
  <c r="O263" i="10"/>
  <c r="BD262" i="1" s="1"/>
  <c r="BC262" i="1"/>
  <c r="BE262" i="1"/>
  <c r="R263" i="10"/>
  <c r="BG262" i="1" s="1"/>
  <c r="BC263" i="1"/>
  <c r="O264" i="10"/>
  <c r="BD263" i="1" s="1"/>
  <c r="BE263" i="1"/>
  <c r="R264" i="10"/>
  <c r="BG263" i="1" s="1"/>
  <c r="O265" i="10"/>
  <c r="BD264" i="1" s="1"/>
  <c r="BC264" i="1"/>
  <c r="BE264" i="1"/>
  <c r="R265" i="10"/>
  <c r="BG264" i="1" s="1"/>
  <c r="BC265" i="1"/>
  <c r="O266" i="10"/>
  <c r="BD265" i="1" s="1"/>
  <c r="BE265" i="1"/>
  <c r="R266" i="10"/>
  <c r="BG265" i="1" s="1"/>
  <c r="BC266" i="1"/>
  <c r="O267" i="10"/>
  <c r="BD266" i="1" s="1"/>
  <c r="R267" i="10"/>
  <c r="BG266" i="1" s="1"/>
  <c r="BE266" i="1"/>
  <c r="O268" i="10"/>
  <c r="BD267" i="1" s="1"/>
  <c r="BC267" i="1"/>
  <c r="R268" i="10"/>
  <c r="BG267" i="1" s="1"/>
  <c r="BE267" i="1"/>
  <c r="BC268" i="1"/>
  <c r="O269" i="10"/>
  <c r="BD268" i="1" s="1"/>
  <c r="BE268" i="1"/>
  <c r="R269" i="10"/>
  <c r="BG268" i="1" s="1"/>
  <c r="BC269" i="1"/>
  <c r="O270" i="10"/>
  <c r="BD269" i="1" s="1"/>
  <c r="BE269" i="1"/>
  <c r="R270" i="10"/>
  <c r="BG269" i="1" s="1"/>
  <c r="O271" i="10"/>
  <c r="BD270" i="1" s="1"/>
  <c r="BC270" i="1"/>
  <c r="BE270" i="1"/>
  <c r="R271" i="10"/>
  <c r="BG270" i="1" s="1"/>
  <c r="O272" i="10"/>
  <c r="BD271" i="1" s="1"/>
  <c r="BC271" i="1"/>
  <c r="BE271" i="1"/>
  <c r="R272" i="10"/>
  <c r="BG271" i="1" s="1"/>
  <c r="O273" i="10"/>
  <c r="BD272" i="1" s="1"/>
  <c r="BC272" i="1"/>
  <c r="BE272" i="1"/>
  <c r="R273" i="10"/>
  <c r="BG272" i="1" s="1"/>
  <c r="O274" i="10"/>
  <c r="BD273" i="1" s="1"/>
  <c r="BC273" i="1"/>
  <c r="R274" i="10"/>
  <c r="BG273" i="1" s="1"/>
  <c r="BE273" i="1"/>
  <c r="O275" i="10"/>
  <c r="BD274" i="1" s="1"/>
  <c r="BC274" i="1"/>
  <c r="R275" i="10"/>
  <c r="BG274" i="1" s="1"/>
  <c r="BE274" i="1"/>
  <c r="O276" i="10"/>
  <c r="BD275" i="1" s="1"/>
  <c r="BC275" i="1"/>
  <c r="R276" i="10"/>
  <c r="BG275" i="1" s="1"/>
  <c r="BE275" i="1"/>
  <c r="R277" i="10"/>
  <c r="BG276" i="1" s="1"/>
  <c r="BE276" i="1"/>
  <c r="BE277" i="1"/>
  <c r="R278" i="10"/>
  <c r="BG277" i="1" s="1"/>
  <c r="BC278" i="1"/>
  <c r="O279" i="10"/>
  <c r="BD278" i="1" s="1"/>
  <c r="BE278" i="1"/>
  <c r="R279" i="10"/>
  <c r="BG278" i="1" s="1"/>
  <c r="BC297" i="1"/>
  <c r="O298" i="10"/>
  <c r="BD297" i="1" s="1"/>
  <c r="BE297" i="1"/>
  <c r="R298" i="10"/>
  <c r="BG297" i="1" s="1"/>
  <c r="O299" i="10"/>
  <c r="BD298" i="1" s="1"/>
  <c r="BC298" i="1"/>
  <c r="R299" i="10"/>
  <c r="BG298" i="1" s="1"/>
  <c r="BE298" i="1"/>
  <c r="O300" i="10"/>
  <c r="BD299" i="1" s="1"/>
  <c r="BC299" i="1"/>
  <c r="BE299" i="1"/>
  <c r="R300" i="10"/>
  <c r="BG299" i="1" s="1"/>
  <c r="BC300" i="1"/>
  <c r="O301" i="10"/>
  <c r="BD300" i="1" s="1"/>
  <c r="R301" i="10"/>
  <c r="BG300" i="1" s="1"/>
  <c r="BE300" i="1"/>
  <c r="O302" i="10"/>
  <c r="R302" i="10"/>
  <c r="Q21" i="10"/>
  <c r="BF20" i="1" s="1"/>
  <c r="P21" i="10"/>
  <c r="P69" i="10"/>
  <c r="Q69" i="10"/>
  <c r="BF68" i="1" s="1"/>
  <c r="M69" i="10"/>
  <c r="BB68" i="1" s="1"/>
  <c r="L69" i="10"/>
  <c r="BA68" i="1" s="1"/>
  <c r="N69" i="10"/>
  <c r="K69" i="10"/>
  <c r="AZ68" i="1" s="1"/>
  <c r="J69" i="10"/>
  <c r="AY68" i="1" s="1"/>
  <c r="Q68" i="10"/>
  <c r="BF67" i="1" s="1"/>
  <c r="P68" i="10"/>
  <c r="N68" i="10"/>
  <c r="J68" i="10"/>
  <c r="AY67" i="1" s="1"/>
  <c r="K68" i="10"/>
  <c r="AZ67" i="1" s="1"/>
  <c r="M68" i="10"/>
  <c r="BB67" i="1" s="1"/>
  <c r="L68" i="10"/>
  <c r="BA67" i="1" s="1"/>
  <c r="P67" i="10"/>
  <c r="Q67" i="10"/>
  <c r="BF66" i="1" s="1"/>
  <c r="J67" i="10"/>
  <c r="AY66" i="1" s="1"/>
  <c r="N67" i="10"/>
  <c r="M67" i="10"/>
  <c r="BB66" i="1" s="1"/>
  <c r="K67" i="10"/>
  <c r="AZ66" i="1" s="1"/>
  <c r="L67" i="10"/>
  <c r="BA66" i="1" s="1"/>
  <c r="P66" i="10"/>
  <c r="Q66" i="10"/>
  <c r="BF65" i="1" s="1"/>
  <c r="J66" i="10"/>
  <c r="AY65" i="1" s="1"/>
  <c r="N66" i="10"/>
  <c r="M66" i="10"/>
  <c r="BB65" i="1" s="1"/>
  <c r="K66" i="10"/>
  <c r="AZ65" i="1" s="1"/>
  <c r="L66" i="10"/>
  <c r="BA65" i="1" s="1"/>
  <c r="Q65" i="10"/>
  <c r="BF64" i="1" s="1"/>
  <c r="P65" i="10"/>
  <c r="J65" i="10"/>
  <c r="AY64" i="1" s="1"/>
  <c r="M65" i="10"/>
  <c r="BB64" i="1" s="1"/>
  <c r="N65" i="10"/>
  <c r="K65" i="10"/>
  <c r="AZ64" i="1" s="1"/>
  <c r="L65" i="10"/>
  <c r="BA64" i="1" s="1"/>
  <c r="Q64" i="10"/>
  <c r="BF63" i="1" s="1"/>
  <c r="P64" i="10"/>
  <c r="L64" i="10"/>
  <c r="BA63" i="1" s="1"/>
  <c r="M64" i="10"/>
  <c r="BB63" i="1" s="1"/>
  <c r="J64" i="10"/>
  <c r="AY63" i="1" s="1"/>
  <c r="K64" i="10"/>
  <c r="AZ63" i="1" s="1"/>
  <c r="N64" i="10"/>
  <c r="Q63" i="10"/>
  <c r="BF62" i="1" s="1"/>
  <c r="P63" i="10"/>
  <c r="J63" i="10"/>
  <c r="AY62" i="1" s="1"/>
  <c r="K63" i="10"/>
  <c r="AZ62" i="1" s="1"/>
  <c r="L63" i="10"/>
  <c r="BA62" i="1" s="1"/>
  <c r="M63" i="10"/>
  <c r="BB62" i="1" s="1"/>
  <c r="N63" i="10"/>
  <c r="P62" i="10"/>
  <c r="Q62" i="10"/>
  <c r="BF61" i="1" s="1"/>
  <c r="J62" i="10"/>
  <c r="AY61" i="1" s="1"/>
  <c r="K62" i="10"/>
  <c r="AZ61" i="1" s="1"/>
  <c r="L62" i="10"/>
  <c r="BA61" i="1" s="1"/>
  <c r="M62" i="10"/>
  <c r="BB61" i="1" s="1"/>
  <c r="N62" i="10"/>
  <c r="P61" i="10"/>
  <c r="Q61" i="10"/>
  <c r="BF60" i="1" s="1"/>
  <c r="L61" i="10"/>
  <c r="BA60" i="1" s="1"/>
  <c r="M61" i="10"/>
  <c r="BB60" i="1" s="1"/>
  <c r="K61" i="10"/>
  <c r="AZ60" i="1" s="1"/>
  <c r="N61" i="10"/>
  <c r="J61" i="10"/>
  <c r="AY60" i="1" s="1"/>
  <c r="P60" i="10"/>
  <c r="Q60" i="10"/>
  <c r="BF59" i="1" s="1"/>
  <c r="K60" i="10"/>
  <c r="AZ59" i="1" s="1"/>
  <c r="J60" i="10"/>
  <c r="AY59" i="1" s="1"/>
  <c r="L60" i="10"/>
  <c r="BA59" i="1" s="1"/>
  <c r="M60" i="10"/>
  <c r="BB59" i="1" s="1"/>
  <c r="N60" i="10"/>
  <c r="P59" i="10"/>
  <c r="Q59" i="10"/>
  <c r="BF58" i="1" s="1"/>
  <c r="J59" i="10"/>
  <c r="AY58" i="1" s="1"/>
  <c r="N59" i="10"/>
  <c r="L59" i="10"/>
  <c r="BA58" i="1" s="1"/>
  <c r="M59" i="10"/>
  <c r="BB58" i="1" s="1"/>
  <c r="K59" i="10"/>
  <c r="AZ58" i="1" s="1"/>
  <c r="Q58" i="10"/>
  <c r="BF57" i="1" s="1"/>
  <c r="P58" i="10"/>
  <c r="N58" i="10"/>
  <c r="J58" i="10"/>
  <c r="AY57" i="1" s="1"/>
  <c r="L58" i="10"/>
  <c r="BA57" i="1" s="1"/>
  <c r="M58" i="10"/>
  <c r="BB57" i="1" s="1"/>
  <c r="K58" i="10"/>
  <c r="AZ57" i="1" s="1"/>
  <c r="Q57" i="10"/>
  <c r="BF56" i="1" s="1"/>
  <c r="P57" i="10"/>
  <c r="N57" i="10"/>
  <c r="M57" i="10"/>
  <c r="BB56" i="1" s="1"/>
  <c r="L57" i="10"/>
  <c r="BA56" i="1" s="1"/>
  <c r="K57" i="10"/>
  <c r="AZ56" i="1" s="1"/>
  <c r="J57" i="10"/>
  <c r="AY56" i="1" s="1"/>
  <c r="Q56" i="10"/>
  <c r="BF55" i="1" s="1"/>
  <c r="P56" i="10"/>
  <c r="M56" i="10"/>
  <c r="BB55" i="1" s="1"/>
  <c r="L56" i="10"/>
  <c r="BA55" i="1" s="1"/>
  <c r="K56" i="10"/>
  <c r="AZ55" i="1" s="1"/>
  <c r="J56" i="10"/>
  <c r="AY55" i="1" s="1"/>
  <c r="N56" i="10"/>
  <c r="O56" i="10" s="1"/>
  <c r="Q55" i="10"/>
  <c r="BF54" i="1" s="1"/>
  <c r="P55" i="10"/>
  <c r="N55" i="10"/>
  <c r="O55" i="10" s="1"/>
  <c r="L55" i="10"/>
  <c r="BA54" i="1" s="1"/>
  <c r="M55" i="10"/>
  <c r="BB54" i="1" s="1"/>
  <c r="K55" i="10"/>
  <c r="AZ54" i="1" s="1"/>
  <c r="J55" i="10"/>
  <c r="AY54" i="1" s="1"/>
  <c r="P54" i="10"/>
  <c r="Q54" i="10"/>
  <c r="BF53" i="1" s="1"/>
  <c r="N54" i="10"/>
  <c r="O54" i="10" s="1"/>
  <c r="L54" i="10"/>
  <c r="BA53" i="1" s="1"/>
  <c r="M54" i="10"/>
  <c r="BB53" i="1" s="1"/>
  <c r="K54" i="10"/>
  <c r="AZ53" i="1" s="1"/>
  <c r="J54" i="10"/>
  <c r="AY53" i="1" s="1"/>
  <c r="P53" i="10"/>
  <c r="Q53" i="10"/>
  <c r="BF52" i="1" s="1"/>
  <c r="J53" i="10"/>
  <c r="AY52" i="1" s="1"/>
  <c r="N53" i="10"/>
  <c r="M53" i="10"/>
  <c r="BB52" i="1" s="1"/>
  <c r="L53" i="10"/>
  <c r="BA52" i="1" s="1"/>
  <c r="K53" i="10"/>
  <c r="AZ52" i="1" s="1"/>
  <c r="P52" i="10"/>
  <c r="Q52" i="10"/>
  <c r="BF51" i="1" s="1"/>
  <c r="L52" i="10"/>
  <c r="BA51" i="1" s="1"/>
  <c r="K52" i="10"/>
  <c r="AZ51" i="1" s="1"/>
  <c r="N52" i="10"/>
  <c r="M52" i="10"/>
  <c r="BB51" i="1" s="1"/>
  <c r="J52" i="10"/>
  <c r="AY51" i="1" s="1"/>
  <c r="P51" i="10"/>
  <c r="Q51" i="10"/>
  <c r="BF50" i="1" s="1"/>
  <c r="M51" i="10"/>
  <c r="BB50" i="1" s="1"/>
  <c r="K51" i="10"/>
  <c r="AZ50" i="1" s="1"/>
  <c r="N51" i="10"/>
  <c r="J51" i="10"/>
  <c r="AY50" i="1" s="1"/>
  <c r="L51" i="10"/>
  <c r="BA50" i="1" s="1"/>
  <c r="Q50" i="10"/>
  <c r="BF49" i="1" s="1"/>
  <c r="P50" i="10"/>
  <c r="K50" i="10"/>
  <c r="AZ49" i="1" s="1"/>
  <c r="N50" i="10"/>
  <c r="L50" i="10"/>
  <c r="BA49" i="1" s="1"/>
  <c r="J50" i="10"/>
  <c r="AY49" i="1" s="1"/>
  <c r="M50" i="10"/>
  <c r="BB49" i="1" s="1"/>
  <c r="Q49" i="10"/>
  <c r="BF48" i="1" s="1"/>
  <c r="P49" i="10"/>
  <c r="K49" i="10"/>
  <c r="AZ48" i="1" s="1"/>
  <c r="N49" i="10"/>
  <c r="L49" i="10"/>
  <c r="BA48" i="1" s="1"/>
  <c r="M49" i="10"/>
  <c r="BB48" i="1" s="1"/>
  <c r="J49" i="10"/>
  <c r="AY48" i="1" s="1"/>
  <c r="Q48" i="10"/>
  <c r="BF47" i="1" s="1"/>
  <c r="P48" i="10"/>
  <c r="J48" i="10"/>
  <c r="AY47" i="1" s="1"/>
  <c r="M48" i="10"/>
  <c r="BB47" i="1" s="1"/>
  <c r="N48" i="10"/>
  <c r="K48" i="10"/>
  <c r="AZ47" i="1" s="1"/>
  <c r="L48" i="10"/>
  <c r="BA47" i="1" s="1"/>
  <c r="Q47" i="10"/>
  <c r="BF46" i="1" s="1"/>
  <c r="P47" i="10"/>
  <c r="J47" i="10"/>
  <c r="AY46" i="1" s="1"/>
  <c r="M47" i="10"/>
  <c r="BB46" i="1" s="1"/>
  <c r="K47" i="10"/>
  <c r="AZ46" i="1" s="1"/>
  <c r="L47" i="10"/>
  <c r="BA46" i="1" s="1"/>
  <c r="N47" i="10"/>
  <c r="P46" i="10"/>
  <c r="Q46" i="10"/>
  <c r="BF45" i="1" s="1"/>
  <c r="J46" i="10"/>
  <c r="AY45" i="1" s="1"/>
  <c r="M46" i="10"/>
  <c r="BB45" i="1" s="1"/>
  <c r="K46" i="10"/>
  <c r="AZ45" i="1" s="1"/>
  <c r="N46" i="10"/>
  <c r="L46" i="10"/>
  <c r="BA45" i="1" s="1"/>
  <c r="P45" i="10"/>
  <c r="Q45" i="10"/>
  <c r="BF44" i="1" s="1"/>
  <c r="L45" i="10"/>
  <c r="BA44" i="1" s="1"/>
  <c r="M45" i="10"/>
  <c r="BB44" i="1" s="1"/>
  <c r="K45" i="10"/>
  <c r="AZ44" i="1" s="1"/>
  <c r="J45" i="10"/>
  <c r="AY44" i="1" s="1"/>
  <c r="N45" i="10"/>
  <c r="P44" i="10"/>
  <c r="Q44" i="10"/>
  <c r="BF43" i="1" s="1"/>
  <c r="M44" i="10"/>
  <c r="BB43" i="1" s="1"/>
  <c r="N44" i="10"/>
  <c r="J44" i="10"/>
  <c r="AY43" i="1" s="1"/>
  <c r="K44" i="10"/>
  <c r="AZ43" i="1" s="1"/>
  <c r="L44" i="10"/>
  <c r="BA43" i="1" s="1"/>
  <c r="P43" i="10"/>
  <c r="Q43" i="10"/>
  <c r="BF42" i="1" s="1"/>
  <c r="M43" i="10"/>
  <c r="BB42" i="1" s="1"/>
  <c r="L43" i="10"/>
  <c r="BA42" i="1" s="1"/>
  <c r="N43" i="10"/>
  <c r="O43" i="10" s="1"/>
  <c r="K43" i="10"/>
  <c r="AZ42" i="1" s="1"/>
  <c r="J43" i="10"/>
  <c r="AY42" i="1" s="1"/>
  <c r="P42" i="10"/>
  <c r="Q42" i="10"/>
  <c r="BF41" i="1" s="1"/>
  <c r="J42" i="10"/>
  <c r="AY41" i="1" s="1"/>
  <c r="M42" i="10"/>
  <c r="BB41" i="1" s="1"/>
  <c r="L42" i="10"/>
  <c r="BA41" i="1" s="1"/>
  <c r="K42" i="10"/>
  <c r="AZ41" i="1" s="1"/>
  <c r="N42" i="10"/>
  <c r="O42" i="10" s="1"/>
  <c r="P41" i="10"/>
  <c r="Q41" i="10"/>
  <c r="BF40" i="1" s="1"/>
  <c r="K41" i="10"/>
  <c r="AZ40" i="1" s="1"/>
  <c r="N41" i="10"/>
  <c r="J41" i="10"/>
  <c r="AY40" i="1" s="1"/>
  <c r="L41" i="10"/>
  <c r="BA40" i="1" s="1"/>
  <c r="M41" i="10"/>
  <c r="BB40" i="1" s="1"/>
  <c r="Q40" i="10"/>
  <c r="BF39" i="1" s="1"/>
  <c r="P40" i="10"/>
  <c r="K40" i="10"/>
  <c r="AZ39" i="1" s="1"/>
  <c r="M40" i="10"/>
  <c r="BB39" i="1" s="1"/>
  <c r="L40" i="10"/>
  <c r="BA39" i="1" s="1"/>
  <c r="J40" i="10"/>
  <c r="AY39" i="1" s="1"/>
  <c r="N40" i="10"/>
  <c r="P39" i="10"/>
  <c r="Q39" i="10"/>
  <c r="BF38" i="1" s="1"/>
  <c r="J39" i="10"/>
  <c r="AY38" i="1" s="1"/>
  <c r="K39" i="10"/>
  <c r="AZ38" i="1" s="1"/>
  <c r="N39" i="10"/>
  <c r="M39" i="10"/>
  <c r="BB38" i="1" s="1"/>
  <c r="L39" i="10"/>
  <c r="BA38" i="1" s="1"/>
  <c r="P38" i="10"/>
  <c r="Q38" i="10"/>
  <c r="BF37" i="1" s="1"/>
  <c r="L38" i="10"/>
  <c r="BA37" i="1" s="1"/>
  <c r="N38" i="10"/>
  <c r="J38" i="10"/>
  <c r="AY37" i="1" s="1"/>
  <c r="M38" i="10"/>
  <c r="BB37" i="1" s="1"/>
  <c r="K38" i="10"/>
  <c r="AZ37" i="1" s="1"/>
  <c r="P37" i="10"/>
  <c r="Q37" i="10"/>
  <c r="BF36" i="1" s="1"/>
  <c r="N37" i="10"/>
  <c r="M37" i="10"/>
  <c r="BB36" i="1" s="1"/>
  <c r="J37" i="10"/>
  <c r="AY36" i="1" s="1"/>
  <c r="L37" i="10"/>
  <c r="BA36" i="1" s="1"/>
  <c r="K37" i="10"/>
  <c r="AZ36" i="1" s="1"/>
  <c r="Q36" i="10"/>
  <c r="BF35" i="1" s="1"/>
  <c r="P36" i="10"/>
  <c r="N36" i="10"/>
  <c r="K36" i="10"/>
  <c r="AZ35" i="1" s="1"/>
  <c r="J36" i="10"/>
  <c r="AY35" i="1" s="1"/>
  <c r="M36" i="10"/>
  <c r="BB35" i="1" s="1"/>
  <c r="L36" i="10"/>
  <c r="BA35" i="1" s="1"/>
  <c r="Q35" i="10"/>
  <c r="BF34" i="1" s="1"/>
  <c r="P35" i="10"/>
  <c r="J35" i="10"/>
  <c r="AY34" i="1" s="1"/>
  <c r="K35" i="10"/>
  <c r="AZ34" i="1" s="1"/>
  <c r="M35" i="10"/>
  <c r="BB34" i="1" s="1"/>
  <c r="L35" i="10"/>
  <c r="BA34" i="1" s="1"/>
  <c r="N35" i="10"/>
  <c r="Q34" i="10"/>
  <c r="BF33" i="1" s="1"/>
  <c r="P34" i="10"/>
  <c r="J34" i="10"/>
  <c r="AY33" i="1" s="1"/>
  <c r="L34" i="10"/>
  <c r="BA33" i="1" s="1"/>
  <c r="K34" i="10"/>
  <c r="AZ33" i="1" s="1"/>
  <c r="M34" i="10"/>
  <c r="BB33" i="1" s="1"/>
  <c r="N34" i="10"/>
  <c r="Q33" i="10"/>
  <c r="BF32" i="1" s="1"/>
  <c r="P33" i="10"/>
  <c r="J33" i="10"/>
  <c r="AY32" i="1" s="1"/>
  <c r="K33" i="10"/>
  <c r="AZ32" i="1" s="1"/>
  <c r="M33" i="10"/>
  <c r="BB32" i="1" s="1"/>
  <c r="N33" i="10"/>
  <c r="L33" i="10"/>
  <c r="BA32" i="1" s="1"/>
  <c r="P32" i="10"/>
  <c r="Q32" i="10"/>
  <c r="BF31" i="1" s="1"/>
  <c r="K32" i="10"/>
  <c r="AZ31" i="1" s="1"/>
  <c r="M32" i="10"/>
  <c r="BB31" i="1" s="1"/>
  <c r="N32" i="10"/>
  <c r="L32" i="10"/>
  <c r="BA31" i="1" s="1"/>
  <c r="J32" i="10"/>
  <c r="AY31" i="1" s="1"/>
  <c r="P31" i="10"/>
  <c r="Q31" i="10"/>
  <c r="BF30" i="1" s="1"/>
  <c r="N31" i="10"/>
  <c r="J31" i="10"/>
  <c r="AY30" i="1" s="1"/>
  <c r="L31" i="10"/>
  <c r="BA30" i="1" s="1"/>
  <c r="K31" i="10"/>
  <c r="AZ30" i="1" s="1"/>
  <c r="M31" i="10"/>
  <c r="BB30" i="1" s="1"/>
  <c r="Q30" i="10"/>
  <c r="BF29" i="1" s="1"/>
  <c r="P30" i="10"/>
  <c r="M30" i="10"/>
  <c r="BB29" i="1" s="1"/>
  <c r="J30" i="10"/>
  <c r="AY29" i="1" s="1"/>
  <c r="L30" i="10"/>
  <c r="BA29" i="1" s="1"/>
  <c r="K30" i="10"/>
  <c r="AZ29" i="1" s="1"/>
  <c r="N30" i="10"/>
  <c r="Q29" i="10"/>
  <c r="BF28" i="1" s="1"/>
  <c r="P29" i="10"/>
  <c r="N29" i="10"/>
  <c r="M29" i="10"/>
  <c r="BB28" i="1" s="1"/>
  <c r="K29" i="10"/>
  <c r="AZ28" i="1" s="1"/>
  <c r="L29" i="10"/>
  <c r="BA28" i="1" s="1"/>
  <c r="J29" i="10"/>
  <c r="AY28" i="1" s="1"/>
  <c r="Q28" i="10"/>
  <c r="BF27" i="1" s="1"/>
  <c r="P28" i="10"/>
  <c r="M28" i="10"/>
  <c r="BB27" i="1" s="1"/>
  <c r="K28" i="10"/>
  <c r="AZ27" i="1" s="1"/>
  <c r="L28" i="10"/>
  <c r="BA27" i="1" s="1"/>
  <c r="J28" i="10"/>
  <c r="AY27" i="1" s="1"/>
  <c r="N28" i="10"/>
  <c r="Q27" i="10"/>
  <c r="BF26" i="1" s="1"/>
  <c r="P27" i="10"/>
  <c r="K27" i="10"/>
  <c r="AZ26" i="1" s="1"/>
  <c r="J27" i="10"/>
  <c r="AY26" i="1" s="1"/>
  <c r="L27" i="10"/>
  <c r="BA26" i="1" s="1"/>
  <c r="N27" i="10"/>
  <c r="M27" i="10"/>
  <c r="BB26" i="1" s="1"/>
  <c r="P26" i="10"/>
  <c r="Q26" i="10"/>
  <c r="BF25" i="1" s="1"/>
  <c r="K26" i="10"/>
  <c r="AZ25" i="1" s="1"/>
  <c r="N26" i="10"/>
  <c r="J26" i="10"/>
  <c r="AY25" i="1" s="1"/>
  <c r="L26" i="10"/>
  <c r="BA25" i="1" s="1"/>
  <c r="M26" i="10"/>
  <c r="BB25" i="1" s="1"/>
  <c r="Q25" i="10"/>
  <c r="BF24" i="1" s="1"/>
  <c r="P25" i="10"/>
  <c r="M25" i="10"/>
  <c r="BB24" i="1" s="1"/>
  <c r="L25" i="10"/>
  <c r="BA24" i="1" s="1"/>
  <c r="K25" i="10"/>
  <c r="AZ24" i="1" s="1"/>
  <c r="J25" i="10"/>
  <c r="AY24" i="1" s="1"/>
  <c r="N25" i="10"/>
  <c r="Q24" i="10"/>
  <c r="BF23" i="1" s="1"/>
  <c r="P24" i="10"/>
  <c r="L24" i="10"/>
  <c r="BA23" i="1" s="1"/>
  <c r="M24" i="10"/>
  <c r="BB23" i="1" s="1"/>
  <c r="J24" i="10"/>
  <c r="AY23" i="1" s="1"/>
  <c r="K24" i="10"/>
  <c r="AZ23" i="1" s="1"/>
  <c r="N24" i="10"/>
  <c r="P23" i="10"/>
  <c r="Q23" i="10"/>
  <c r="BF22" i="1" s="1"/>
  <c r="P22" i="10"/>
  <c r="Q22" i="10"/>
  <c r="BF21" i="1" s="1"/>
  <c r="Q20" i="10"/>
  <c r="BF19" i="1" s="1"/>
  <c r="P20" i="10"/>
  <c r="Q19" i="10"/>
  <c r="BF18" i="1" s="1"/>
  <c r="P19" i="10"/>
  <c r="N23" i="10"/>
  <c r="M23" i="10"/>
  <c r="BB22" i="1" s="1"/>
  <c r="L23" i="10"/>
  <c r="BA22" i="1" s="1"/>
  <c r="K23" i="10"/>
  <c r="AZ22" i="1" s="1"/>
  <c r="J23" i="10"/>
  <c r="AY22" i="1" s="1"/>
  <c r="N22" i="10"/>
  <c r="M22" i="10"/>
  <c r="BB21" i="1" s="1"/>
  <c r="L22" i="10"/>
  <c r="BA21" i="1" s="1"/>
  <c r="K22" i="10"/>
  <c r="AZ21" i="1" s="1"/>
  <c r="J22" i="10"/>
  <c r="AY21" i="1" s="1"/>
  <c r="N21" i="10"/>
  <c r="M21" i="10"/>
  <c r="BB20" i="1" s="1"/>
  <c r="L21" i="10"/>
  <c r="BA20" i="1" s="1"/>
  <c r="K21" i="10"/>
  <c r="AZ20" i="1" s="1"/>
  <c r="J21" i="10"/>
  <c r="AY20" i="1" s="1"/>
  <c r="N20" i="10"/>
  <c r="M20" i="10"/>
  <c r="BB19" i="1" s="1"/>
  <c r="L20" i="10"/>
  <c r="BA19" i="1" s="1"/>
  <c r="K20" i="10"/>
  <c r="AZ19" i="1" s="1"/>
  <c r="J20" i="10"/>
  <c r="AY19" i="1" s="1"/>
  <c r="N19" i="10"/>
  <c r="O19" i="10" s="1"/>
  <c r="M19" i="10"/>
  <c r="BB18" i="1" s="1"/>
  <c r="K19" i="10"/>
  <c r="AZ18" i="1" s="1"/>
  <c r="L19" i="10"/>
  <c r="BA18" i="1" s="1"/>
  <c r="J19" i="10"/>
  <c r="AY18" i="1" s="1"/>
  <c r="BD41" i="1"/>
  <c r="BC41" i="1"/>
  <c r="BD42" i="1"/>
  <c r="BC42" i="1"/>
  <c r="BD53" i="1"/>
  <c r="BC53" i="1"/>
  <c r="BD54" i="1"/>
  <c r="BC54" i="1"/>
  <c r="BD55" i="1"/>
  <c r="BC55" i="1"/>
  <c r="BC99" i="1" l="1"/>
  <c r="O100" i="10"/>
  <c r="BD99" i="1" s="1"/>
  <c r="BC121" i="1"/>
  <c r="O122" i="10"/>
  <c r="BD121" i="1" s="1"/>
  <c r="BE121" i="1"/>
  <c r="R122" i="10"/>
  <c r="BG121" i="1" s="1"/>
  <c r="BC226" i="1"/>
  <c r="O227" i="10"/>
  <c r="BD226" i="1" s="1"/>
  <c r="BE226" i="1"/>
  <c r="R227" i="10"/>
  <c r="BG226" i="1" s="1"/>
  <c r="O57" i="10"/>
  <c r="BD56" i="1" s="1"/>
  <c r="BC56" i="1"/>
  <c r="O46" i="10"/>
  <c r="BD45" i="1" s="1"/>
  <c r="BC45" i="1"/>
  <c r="O45" i="10"/>
  <c r="BD44" i="1" s="1"/>
  <c r="BC44" i="1"/>
  <c r="O44" i="10"/>
  <c r="BD43" i="1" s="1"/>
  <c r="BC43" i="1"/>
  <c r="O35" i="10"/>
  <c r="BD34" i="1" s="1"/>
  <c r="BC34" i="1"/>
  <c r="O34" i="10"/>
  <c r="BD33" i="1" s="1"/>
  <c r="BC33" i="1"/>
  <c r="O33" i="10"/>
  <c r="BD32" i="1" s="1"/>
  <c r="BC32" i="1"/>
  <c r="O32" i="10"/>
  <c r="BD31" i="1" s="1"/>
  <c r="BC31" i="1"/>
  <c r="O31" i="10"/>
  <c r="BD30" i="1" s="1"/>
  <c r="BC30" i="1"/>
  <c r="R21" i="10"/>
  <c r="BG20" i="1" s="1"/>
  <c r="BE20" i="1"/>
  <c r="O69" i="10"/>
  <c r="BD68" i="1" s="1"/>
  <c r="BC68" i="1"/>
  <c r="O68" i="10"/>
  <c r="BD67" i="1" s="1"/>
  <c r="BC67" i="1"/>
  <c r="O67" i="10"/>
  <c r="BD66" i="1" s="1"/>
  <c r="BC66" i="1"/>
  <c r="O30" i="10"/>
  <c r="BD29" i="1" s="1"/>
  <c r="BC29" i="1"/>
  <c r="O66" i="10"/>
  <c r="BD65" i="1" s="1"/>
  <c r="BC65" i="1"/>
  <c r="O41" i="10"/>
  <c r="BD40" i="1" s="1"/>
  <c r="BC40" i="1"/>
  <c r="O29" i="10"/>
  <c r="BD28" i="1" s="1"/>
  <c r="BC28" i="1"/>
  <c r="O65" i="10"/>
  <c r="BD64" i="1" s="1"/>
  <c r="BC64" i="1"/>
  <c r="O64" i="10"/>
  <c r="BD63" i="1" s="1"/>
  <c r="BC63" i="1"/>
  <c r="O63" i="10"/>
  <c r="BD62" i="1" s="1"/>
  <c r="BC62" i="1"/>
  <c r="O62" i="10"/>
  <c r="BD61" i="1" s="1"/>
  <c r="BC61" i="1"/>
  <c r="O61" i="10"/>
  <c r="BD60" i="1" s="1"/>
  <c r="BC60" i="1"/>
  <c r="O60" i="10"/>
  <c r="BD59" i="1" s="1"/>
  <c r="BC59" i="1"/>
  <c r="O59" i="10"/>
  <c r="BD58" i="1" s="1"/>
  <c r="BC58" i="1"/>
  <c r="O58" i="10"/>
  <c r="BD57" i="1" s="1"/>
  <c r="BC57" i="1"/>
  <c r="O53" i="10"/>
  <c r="BD52" i="1" s="1"/>
  <c r="BC52" i="1"/>
  <c r="O52" i="10"/>
  <c r="BD51" i="1" s="1"/>
  <c r="BC51" i="1"/>
  <c r="O51" i="10"/>
  <c r="BD50" i="1" s="1"/>
  <c r="BC50" i="1"/>
  <c r="O50" i="10"/>
  <c r="BD49" i="1" s="1"/>
  <c r="BC49" i="1"/>
  <c r="O49" i="10"/>
  <c r="BD48" i="1" s="1"/>
  <c r="BC48" i="1"/>
  <c r="O48" i="10"/>
  <c r="BD47" i="1" s="1"/>
  <c r="BC47" i="1"/>
  <c r="O47" i="10"/>
  <c r="BD46" i="1" s="1"/>
  <c r="BC46" i="1"/>
  <c r="O40" i="10"/>
  <c r="BD39" i="1" s="1"/>
  <c r="BC39" i="1"/>
  <c r="O39" i="10"/>
  <c r="BD38" i="1" s="1"/>
  <c r="BC38" i="1"/>
  <c r="O38" i="10"/>
  <c r="BD37" i="1" s="1"/>
  <c r="BC37" i="1"/>
  <c r="O37" i="10"/>
  <c r="BD36" i="1" s="1"/>
  <c r="BC36" i="1"/>
  <c r="O36" i="10"/>
  <c r="BD35" i="1" s="1"/>
  <c r="BC35" i="1"/>
  <c r="O28" i="10"/>
  <c r="BD27" i="1" s="1"/>
  <c r="BC27" i="1"/>
  <c r="O27" i="10"/>
  <c r="BD26" i="1" s="1"/>
  <c r="BC26" i="1"/>
  <c r="O26" i="10"/>
  <c r="BD25" i="1" s="1"/>
  <c r="BC25" i="1"/>
  <c r="O25" i="10"/>
  <c r="BD24" i="1" s="1"/>
  <c r="BC24" i="1"/>
  <c r="O24" i="10"/>
  <c r="BD23" i="1" s="1"/>
  <c r="BC23" i="1"/>
  <c r="R69" i="10"/>
  <c r="BG68" i="1" s="1"/>
  <c r="BE68" i="1"/>
  <c r="R68" i="10"/>
  <c r="BG67" i="1" s="1"/>
  <c r="BE67" i="1"/>
  <c r="R67" i="10"/>
  <c r="BG66" i="1" s="1"/>
  <c r="BE66" i="1"/>
  <c r="R66" i="10"/>
  <c r="BG65" i="1" s="1"/>
  <c r="BE65" i="1"/>
  <c r="R65" i="10"/>
  <c r="BG64" i="1" s="1"/>
  <c r="BE64" i="1"/>
  <c r="R64" i="10"/>
  <c r="BG63" i="1" s="1"/>
  <c r="BE63" i="1"/>
  <c r="R63" i="10"/>
  <c r="BG62" i="1" s="1"/>
  <c r="BE62" i="1"/>
  <c r="R62" i="10"/>
  <c r="BG61" i="1" s="1"/>
  <c r="BE61" i="1"/>
  <c r="R61" i="10"/>
  <c r="BG60" i="1" s="1"/>
  <c r="BE60" i="1"/>
  <c r="R60" i="10"/>
  <c r="BG59" i="1" s="1"/>
  <c r="BE59" i="1"/>
  <c r="R59" i="10"/>
  <c r="BG58" i="1" s="1"/>
  <c r="BE58" i="1"/>
  <c r="R58" i="10"/>
  <c r="BG57" i="1" s="1"/>
  <c r="BE57" i="1"/>
  <c r="R57" i="10"/>
  <c r="BG56" i="1" s="1"/>
  <c r="BE56" i="1"/>
  <c r="R56" i="10"/>
  <c r="BG55" i="1" s="1"/>
  <c r="BE55" i="1"/>
  <c r="R55" i="10"/>
  <c r="BG54" i="1" s="1"/>
  <c r="BE54" i="1"/>
  <c r="R54" i="10"/>
  <c r="BG53" i="1" s="1"/>
  <c r="BE53" i="1"/>
  <c r="R53" i="10"/>
  <c r="BG52" i="1" s="1"/>
  <c r="BE52" i="1"/>
  <c r="R52" i="10"/>
  <c r="BG51" i="1" s="1"/>
  <c r="BE51" i="1"/>
  <c r="R51" i="10"/>
  <c r="BG50" i="1" s="1"/>
  <c r="BE50" i="1"/>
  <c r="R50" i="10"/>
  <c r="BG49" i="1" s="1"/>
  <c r="BE49" i="1"/>
  <c r="R49" i="10"/>
  <c r="BG48" i="1" s="1"/>
  <c r="BE48" i="1"/>
  <c r="R48" i="10"/>
  <c r="BG47" i="1" s="1"/>
  <c r="BE47" i="1"/>
  <c r="R47" i="10"/>
  <c r="BG46" i="1" s="1"/>
  <c r="BE46" i="1"/>
  <c r="R46" i="10"/>
  <c r="BG45" i="1" s="1"/>
  <c r="BE45" i="1"/>
  <c r="R45" i="10"/>
  <c r="BG44" i="1" s="1"/>
  <c r="BE44" i="1"/>
  <c r="R44" i="10"/>
  <c r="BG43" i="1" s="1"/>
  <c r="BE43" i="1"/>
  <c r="R43" i="10"/>
  <c r="BG42" i="1" s="1"/>
  <c r="BE42" i="1"/>
  <c r="R42" i="10"/>
  <c r="BG41" i="1" s="1"/>
  <c r="BE41" i="1"/>
  <c r="R41" i="10"/>
  <c r="BG40" i="1" s="1"/>
  <c r="BE40" i="1"/>
  <c r="R40" i="10"/>
  <c r="BG39" i="1" s="1"/>
  <c r="BE39" i="1"/>
  <c r="R39" i="10"/>
  <c r="BG38" i="1" s="1"/>
  <c r="BE38" i="1"/>
  <c r="R38" i="10"/>
  <c r="BG37" i="1" s="1"/>
  <c r="BE37" i="1"/>
  <c r="R37" i="10"/>
  <c r="BG36" i="1" s="1"/>
  <c r="BE36" i="1"/>
  <c r="R36" i="10"/>
  <c r="BG35" i="1" s="1"/>
  <c r="BE35" i="1"/>
  <c r="R35" i="10"/>
  <c r="BG34" i="1" s="1"/>
  <c r="BE34" i="1"/>
  <c r="R34" i="10"/>
  <c r="BG33" i="1" s="1"/>
  <c r="BE33" i="1"/>
  <c r="R33" i="10"/>
  <c r="BG32" i="1" s="1"/>
  <c r="BE32" i="1"/>
  <c r="R32" i="10"/>
  <c r="BG31" i="1" s="1"/>
  <c r="BE31" i="1"/>
  <c r="R31" i="10"/>
  <c r="BG30" i="1" s="1"/>
  <c r="BE30" i="1"/>
  <c r="R30" i="10"/>
  <c r="BG29" i="1" s="1"/>
  <c r="BE29" i="1"/>
  <c r="R29" i="10"/>
  <c r="BG28" i="1" s="1"/>
  <c r="BE28" i="1"/>
  <c r="R28" i="10"/>
  <c r="BG27" i="1" s="1"/>
  <c r="BE27" i="1"/>
  <c r="R27" i="10"/>
  <c r="BG26" i="1" s="1"/>
  <c r="BE26" i="1"/>
  <c r="R26" i="10"/>
  <c r="BG25" i="1" s="1"/>
  <c r="BE25" i="1"/>
  <c r="R25" i="10"/>
  <c r="BG24" i="1" s="1"/>
  <c r="BE24" i="1"/>
  <c r="R24" i="10"/>
  <c r="BG23" i="1" s="1"/>
  <c r="BE23" i="1"/>
  <c r="R23" i="10"/>
  <c r="BG22" i="1" s="1"/>
  <c r="BE22" i="1"/>
  <c r="R22" i="10"/>
  <c r="BG21" i="1" s="1"/>
  <c r="BE21" i="1"/>
  <c r="R20" i="10"/>
  <c r="BG19" i="1" s="1"/>
  <c r="BE19" i="1"/>
  <c r="R19" i="10"/>
  <c r="BG18" i="1" s="1"/>
  <c r="BE18" i="1"/>
  <c r="O23" i="10"/>
  <c r="BD22" i="1" s="1"/>
  <c r="BC22" i="1"/>
  <c r="O22" i="10"/>
  <c r="BD21" i="1" s="1"/>
  <c r="BC21" i="1"/>
  <c r="O21" i="10"/>
  <c r="BD20" i="1" s="1"/>
  <c r="BC20" i="1"/>
  <c r="O20" i="10"/>
  <c r="BD19" i="1" s="1"/>
  <c r="BC19" i="1"/>
  <c r="BC18" i="1"/>
  <c r="BD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Omar Viazcán Gómez</author>
    <author>DL v8.3</author>
  </authors>
  <commentList>
    <comment ref="C3" authorId="0" shapeId="0" xr:uid="{116BFF6E-5974-7E42-896C-A0B502365EC1}">
      <text>
        <r>
          <rPr>
            <sz val="10"/>
            <color rgb="FF000000"/>
            <rFont val="Tahoma"/>
            <family val="2"/>
          </rPr>
          <t>Seleccionar si se requiere crear cotización y Números de Parte o Solo Números de Parte</t>
        </r>
      </text>
    </comment>
    <comment ref="C4" authorId="0" shapeId="0" xr:uid="{EC3ABFD8-011C-2D44-A265-366FF06C7FC6}">
      <text>
        <r>
          <rPr>
            <sz val="10"/>
            <color rgb="FF000000"/>
            <rFont val="Tahoma"/>
            <family val="2"/>
          </rPr>
          <t>Se requiere para nombrar la cotización. También es el nombre del archivo que se exporta.</t>
        </r>
      </text>
    </comment>
    <comment ref="C5" authorId="0" shapeId="0" xr:uid="{6F06E08F-71CB-604D-AE00-8A482A9A48E6}">
      <text>
        <r>
          <rPr>
            <b/>
            <sz val="10"/>
            <color rgb="FF000000"/>
            <rFont val="Tahoma"/>
            <family val="2"/>
          </rPr>
          <t>Seleccionar el cliente y su dirección de entrega (planta)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C6" authorId="0" shapeId="0" xr:uid="{A43D8E4E-3F27-C84E-BB79-CA0B3A978648}">
      <text>
        <r>
          <rPr>
            <b/>
            <sz val="10"/>
            <color rgb="FF000000"/>
            <rFont val="Tahoma"/>
            <family val="2"/>
          </rPr>
          <t>Seleccionar proceso default si todos los números de parte van al mismo, si no, seleccionar el proceso en cada línea y dejar en blanco esta casilla.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C9" authorId="0" shapeId="0" xr:uid="{CC908256-A7E7-914F-B0A4-A17230745ED2}">
      <text>
        <r>
          <rPr>
            <b/>
            <sz val="10"/>
            <color rgb="FF000000"/>
            <rFont val="Tahoma"/>
            <family val="2"/>
          </rPr>
          <t>Visibles al cliente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C10" authorId="0" shapeId="0" xr:uid="{9315DD4F-ED79-C740-B0C4-FE54EF1F5C6C}">
      <text>
        <r>
          <rPr>
            <sz val="10"/>
            <color rgb="FF000000"/>
            <rFont val="Tahoma"/>
            <family val="2"/>
          </rPr>
          <t>Visible sólo internamente</t>
        </r>
      </text>
    </comment>
    <comment ref="C11" authorId="0" shapeId="0" xr:uid="{C4313C44-9E8C-AA41-97E4-11F0E3B1789D}">
      <text>
        <r>
          <rPr>
            <sz val="10"/>
            <color rgb="FF000000"/>
            <rFont val="Tahoma"/>
            <family val="2"/>
          </rPr>
          <t>Cotizador asignado</t>
        </r>
      </text>
    </comment>
    <comment ref="A16" authorId="1" shapeId="0" xr:uid="{00000000-0006-0000-0000-000001000000}">
      <text>
        <r>
          <rPr>
            <sz val="11"/>
            <color rgb="FF000000"/>
            <rFont val="Calibri"/>
            <family val="2"/>
            <charset val="1"/>
          </rPr>
          <t xml:space="preserve">Sí=archiva PN.
</t>
        </r>
        <r>
          <rPr>
            <sz val="11"/>
            <color rgb="FF000000"/>
            <rFont val="Calibri"/>
            <family val="2"/>
            <charset val="1"/>
          </rPr>
          <t>Vacío=no archivar. -(guión)=desarchivar.</t>
        </r>
      </text>
    </comment>
    <comment ref="B16" authorId="1" shapeId="0" xr:uid="{00000000-0006-0000-0000-000002000000}">
      <text>
        <r>
          <rPr>
            <sz val="11"/>
            <color rgb="FF000000"/>
            <rFont val="Calibri"/>
            <family val="2"/>
            <charset val="1"/>
          </rPr>
          <t xml:space="preserve">Sí=activa opt-in validación al primer recibo.
</t>
        </r>
        <r>
          <rPr>
            <sz val="11"/>
            <color rgb="FF000000"/>
            <rFont val="Calibri"/>
            <family val="2"/>
            <charset val="1"/>
          </rPr>
          <t>processNodeId:231176.</t>
        </r>
      </text>
    </comment>
    <comment ref="C16" authorId="1" shapeId="0" xr:uid="{00000000-0006-0000-0000-000003000000}">
      <text>
        <r>
          <rPr>
            <sz val="11"/>
            <color rgb="FF000000"/>
            <rFont val="Calibri"/>
            <family val="2"/>
            <charset val="1"/>
          </rPr>
          <t xml:space="preserve">Sí=crea PN NUEVO aunque exista uno con el mismo nombre.
</t>
        </r>
        <r>
          <rPr>
            <sz val="11"/>
            <color rgb="FF000000"/>
            <rFont val="Calibri"/>
            <family val="2"/>
            <charset val="1"/>
          </rPr>
          <t xml:space="preserve">Política: un PN se considera "existente" solo si coincide
</t>
        </r>
        <r>
          <rPr>
            <sz val="11"/>
            <color rgb="FF000000"/>
            <rFont val="Calibri"/>
            <family val="2"/>
            <charset val="1"/>
          </rPr>
          <t xml:space="preserve">Nombre + Cliente + Acabado (labels) + Spec.
</t>
        </r>
        <r>
          <rPr>
            <sz val="11"/>
            <color rgb="FF000000"/>
            <rFont val="Calibri"/>
            <family val="2"/>
            <charset val="1"/>
          </rPr>
          <t xml:space="preserve">Si alguno difiere, se recomienda forzar duplicado.
</t>
        </r>
        <r>
          <rPr>
            <sz val="11"/>
            <color rgb="FF000000"/>
            <rFont val="Calibri"/>
            <family val="2"/>
            <charset val="1"/>
          </rPr>
          <t>El preview muestra discrepancias.</t>
        </r>
      </text>
    </comment>
    <comment ref="D16" authorId="1" shapeId="0" xr:uid="{00000000-0006-0000-0000-000004000000}">
      <text>
        <r>
          <rPr>
            <sz val="11"/>
            <color rgb="FF000000"/>
            <rFont val="Calibri"/>
            <family val="2"/>
            <charset val="1"/>
          </rPr>
          <t xml:space="preserve">Sí=archiva el PN viejo al forzar duplicado.
</t>
        </r>
        <r>
          <rPr>
            <sz val="11"/>
            <color rgb="FF000000"/>
            <rFont val="Calibri"/>
            <family val="2"/>
            <charset val="1"/>
          </rPr>
          <t>Solo aplica si "Forzar duplicar"=Sí.</t>
        </r>
      </text>
    </comment>
    <comment ref="E16" authorId="1" shapeId="0" xr:uid="{00000000-0006-0000-0000-000005000000}">
      <text>
        <r>
          <rPr>
            <sz val="11"/>
            <color rgb="FF000000"/>
            <rFont val="Calibri"/>
            <family val="2"/>
            <charset val="1"/>
          </rPr>
          <t>REQUERIDO. Nombre exacto del PN.</t>
        </r>
      </text>
    </comment>
    <comment ref="F16" authorId="1" shapeId="0" xr:uid="{00000000-0006-0000-0000-000006000000}">
      <text>
        <r>
          <rPr>
            <sz val="11"/>
            <color rgb="FF000000"/>
            <rFont val="Calibri"/>
            <family val="2"/>
            <charset val="1"/>
          </rPr>
          <t>Comas separan múltiples. DatosAdicionalesNP.NumeroParteAlterno.</t>
        </r>
      </text>
    </comment>
    <comment ref="G16" authorId="1" shapeId="0" xr:uid="{00000000-0006-0000-0000-000007000000}">
      <text>
        <r>
          <rPr>
            <sz val="11"/>
            <color rgb="FF000000"/>
            <rFont val="Calibri"/>
            <family val="2"/>
            <charset val="1"/>
          </rPr>
          <t>Part Number Group. Debe existir en SH.</t>
        </r>
      </text>
    </comment>
    <comment ref="H16" authorId="1" shapeId="0" xr:uid="{00000000-0006-0000-0000-000008000000}">
      <text>
        <r>
          <rPr>
            <sz val="11"/>
            <color rgb="FF000000"/>
            <rFont val="Calibri"/>
            <family val="2"/>
            <charset val="1"/>
          </rPr>
          <t>REQUERIDO. quantityPerParent.</t>
        </r>
      </text>
    </comment>
    <comment ref="I16" authorId="1" shapeId="0" xr:uid="{00000000-0006-0000-0000-000009000000}">
      <text>
        <r>
          <rPr>
            <sz val="11"/>
            <color rgb="FF000000"/>
            <rFont val="Calibri"/>
            <family val="2"/>
            <charset val="1"/>
          </rPr>
          <t>Precio unitario. 0 es válido.</t>
        </r>
      </text>
    </comment>
    <comment ref="J16" authorId="1" shapeId="0" xr:uid="{00000000-0006-0000-0000-00000A000000}">
      <text>
        <r>
          <rPr>
            <sz val="11"/>
            <color rgb="FF000000"/>
            <rFont val="Calibri"/>
            <family val="2"/>
            <charset val="1"/>
          </rPr>
          <t>Vacío=PZA. Opciones: PZA,KGM,CMK,FTK,LM,LBR,LO.</t>
        </r>
      </text>
    </comment>
    <comment ref="K16" authorId="1" shapeId="0" xr:uid="{00000000-0006-0000-0000-00000B000000}">
      <text>
        <r>
          <rPr>
            <sz val="11"/>
            <color rgb="FF000000"/>
            <rFont val="Calibri"/>
            <family val="2"/>
            <charset val="1"/>
          </rPr>
          <t>Sí=marca este precio como default del PN.</t>
        </r>
      </text>
    </comment>
    <comment ref="L16" authorId="1" shapeId="0" xr:uid="{00000000-0006-0000-0000-00000C000000}">
      <text>
        <r>
          <rPr>
            <sz val="11"/>
            <color rgb="FF000000"/>
            <rFont val="Calibri"/>
            <family val="2"/>
            <charset val="1"/>
          </rPr>
          <t>descriptionMarkdown. Acepta markdown.</t>
        </r>
      </text>
    </comment>
    <comment ref="M16" authorId="1" shapeId="0" xr:uid="{00000000-0006-0000-0000-00000D000000}">
      <text>
        <r>
          <rPr>
            <sz val="11"/>
            <color theme="1"/>
            <rFont val="Calibri"/>
            <family val="2"/>
            <charset val="1"/>
          </rPr>
          <t>Substrato. DatosAdicionalesNP.BaseMetal.
Agregar nuevos: SH &gt; PN Custom Inputs schema.</t>
        </r>
      </text>
    </comment>
    <comment ref="N16" authorId="1" shapeId="0" xr:uid="{00000000-0006-0000-0000-00000E000000}">
      <text>
        <r>
          <rPr>
            <sz val="11"/>
            <color rgb="FF000000"/>
            <rFont val="Calibri"/>
            <family val="2"/>
            <charset val="1"/>
          </rPr>
          <t xml:space="preserve">Label del catálogo SH.
</t>
        </r>
        <r>
          <rPr>
            <sz val="11"/>
            <color rgb="FF000000"/>
            <rFont val="Calibri"/>
            <family val="2"/>
            <charset val="1"/>
          </rPr>
          <t>Agregar nuevas: SH &gt; Domain Settings &gt; Labels.</t>
        </r>
      </text>
    </comment>
    <comment ref="R16" authorId="1" shapeId="0" xr:uid="{00000000-0006-0000-0000-00000F000000}">
      <text>
        <r>
          <rPr>
            <sz val="11"/>
            <color theme="1"/>
            <rFont val="Calibri"/>
            <family val="2"/>
            <charset val="1"/>
          </rPr>
          <t>Override del proceso default. Vacío=usa header.</t>
        </r>
      </text>
    </comment>
    <comment ref="S16" authorId="1" shapeId="0" xr:uid="{00000000-0006-0000-0000-000011000000}">
      <text>
        <r>
          <rPr>
            <sz val="11"/>
            <color rgb="FF000000"/>
            <rFont val="Calibri"/>
            <family val="2"/>
            <charset val="1"/>
          </rPr>
          <t>Producto contable. Agregar: SH &gt; Products.</t>
        </r>
      </text>
    </comment>
    <comment ref="AE16" authorId="1" shapeId="0" xr:uid="{00000000-0006-0000-0000-000012000000}">
      <text>
        <r>
          <rPr>
            <sz val="11"/>
            <color rgb="FF000000"/>
            <rFont val="Calibri"/>
            <family val="2"/>
            <charset val="1"/>
          </rPr>
          <t xml:space="preserve">Formato: "Nombre Spec | Parámetro"
</t>
        </r>
        <r>
          <rPr>
            <sz val="11"/>
            <color rgb="FF000000"/>
            <rFont val="Calibri"/>
            <family val="2"/>
            <charset val="1"/>
          </rPr>
          <t xml:space="preserve">Si 1 param, basta el nombre.
</t>
        </r>
        <r>
          <rPr>
            <sz val="11"/>
            <color rgb="FF000000"/>
            <rFont val="Calibri"/>
            <family val="2"/>
            <charset val="1"/>
          </rPr>
          <t>Agregar: SH &gt; Specs.</t>
        </r>
      </text>
    </comment>
    <comment ref="AF16" authorId="1" shapeId="0" xr:uid="{00000000-0006-0000-0000-000013000000}">
      <text>
        <r>
          <rPr>
            <sz val="11"/>
            <color theme="1"/>
            <rFont val="Calibri"/>
            <family val="2"/>
            <charset val="1"/>
          </rPr>
          <t>Espesor objetivo en µm.
Se calcula auto del punto medio del rango.
Puedes escribir encima para override.
Alimenta Cálculo MP.</t>
        </r>
      </text>
    </comment>
    <comment ref="AG16" authorId="1" shapeId="0" xr:uid="{00000000-0006-0000-0000-000014000000}">
      <text>
        <r>
          <rPr>
            <sz val="11"/>
            <color theme="1"/>
            <rFont val="Calibri"/>
            <family val="2"/>
            <charset val="1"/>
          </rPr>
          <t>Segunda spec.</t>
        </r>
      </text>
    </comment>
    <comment ref="AH16" authorId="1" shapeId="0" xr:uid="{00000000-0006-0000-0000-000015000000}">
      <text>
        <r>
          <rPr>
            <sz val="11"/>
            <color theme="1"/>
            <rFont val="Calibri"/>
            <family val="2"/>
            <charset val="1"/>
          </rPr>
          <t>Idem Spec 1.</t>
        </r>
      </text>
    </comment>
    <comment ref="AI16" authorId="1" shapeId="0" xr:uid="{00000000-0006-0000-0000-000016000000}">
      <text>
        <r>
          <rPr>
            <sz val="11"/>
            <color rgb="FF000000"/>
            <rFont val="Calibri"/>
            <family val="2"/>
            <charset val="1"/>
          </rPr>
          <t>kg/pza. Auto genera LBR.</t>
        </r>
      </text>
    </comment>
    <comment ref="AJ16" authorId="1" shapeId="0" xr:uid="{00000000-0006-0000-0000-000017000000}">
      <text>
        <r>
          <rPr>
            <sz val="11"/>
            <color rgb="FF000000"/>
            <rFont val="Calibri"/>
            <family val="2"/>
            <charset val="1"/>
          </rPr>
          <t xml:space="preserve">cm²/pza. Auto genera FTK.
</t>
        </r>
        <r>
          <rPr>
            <sz val="11"/>
            <color rgb="FF000000"/>
            <rFont val="Calibri"/>
            <family val="2"/>
            <charset val="1"/>
          </rPr>
          <t>Usado en Cálculo MP para predictive metals.</t>
        </r>
      </text>
    </comment>
    <comment ref="AK16" authorId="1" shapeId="0" xr:uid="{00000000-0006-0000-0000-000018000000}">
      <text>
        <r>
          <rPr>
            <sz val="11"/>
            <color theme="1"/>
            <rFont val="Calibri"/>
            <family val="2"/>
            <charset val="1"/>
          </rPr>
          <t>m/pza. Auto genera FOT.
Usado en Cálculo MP para epóxicas.</t>
        </r>
      </text>
    </comment>
    <comment ref="AL16" authorId="1" shapeId="0" xr:uid="{00000000-0006-0000-0000-000019000000}">
      <text>
        <r>
          <rPr>
            <sz val="11"/>
            <color rgb="FF000000"/>
            <rFont val="Calibri"/>
            <family val="2"/>
            <charset val="1"/>
          </rPr>
          <t>Genera LO (1/n). Si se deja en blanco, no aplicará cargo de lote mínimo.</t>
        </r>
      </text>
    </comment>
    <comment ref="AM16" authorId="1" shapeId="0" xr:uid="{00000000-0006-0000-0000-00001A000000}">
      <text>
        <r>
          <rPr>
            <sz val="11"/>
            <color rgb="FF000000"/>
            <rFont val="Calibri"/>
            <family val="2"/>
            <charset val="1"/>
          </rPr>
          <t>Solo FlyBar/Barril. Agregar: SH &gt; Rack Types.</t>
        </r>
      </text>
    </comment>
    <comment ref="AO16" authorId="1" shapeId="0" xr:uid="{00000000-0006-0000-0000-00001B000000}">
      <text>
        <r>
          <rPr>
            <sz val="11"/>
            <color theme="1"/>
            <rFont val="Calibri"/>
            <family val="2"/>
            <charset val="1"/>
          </rPr>
          <t>Cualquier tipo.</t>
        </r>
      </text>
    </comment>
    <comment ref="AQ16" authorId="1" shapeId="0" xr:uid="{00000000-0006-0000-0000-00001C000000}">
      <text>
        <r>
          <rPr>
            <sz val="11"/>
            <color theme="1"/>
            <rFont val="Calibri"/>
            <family val="2"/>
            <charset val="1"/>
          </rPr>
          <t>Geom Genérica 831. DimTypeId:1284.</t>
        </r>
      </text>
    </comment>
    <comment ref="AR16" authorId="1" shapeId="0" xr:uid="{00000000-0006-0000-0000-00001D000000}">
      <text>
        <r>
          <rPr>
            <sz val="11"/>
            <color theme="1"/>
            <rFont val="Calibri"/>
            <family val="2"/>
            <charset val="1"/>
          </rPr>
          <t>DimTypeId:1011.</t>
        </r>
      </text>
    </comment>
    <comment ref="AS16" authorId="1" shapeId="0" xr:uid="{00000000-0006-0000-0000-00001E000000}">
      <text>
        <r>
          <rPr>
            <sz val="11"/>
            <color theme="1"/>
            <rFont val="Calibri"/>
            <family val="2"/>
            <charset val="1"/>
          </rPr>
          <t>DimTypeId:1012.</t>
        </r>
      </text>
    </comment>
    <comment ref="AT16" authorId="1" shapeId="0" xr:uid="{00000000-0006-0000-0000-00001F000000}">
      <text>
        <r>
          <rPr>
            <sz val="11"/>
            <color rgb="FF000000"/>
            <rFont val="Calibri"/>
            <family val="2"/>
            <charset val="1"/>
          </rPr>
          <t>DimTypeId:1013.</t>
        </r>
      </text>
    </comment>
    <comment ref="AU16" authorId="1" shapeId="0" xr:uid="{00000000-0006-0000-0000-000020000000}">
      <text>
        <r>
          <rPr>
            <sz val="11"/>
            <color theme="1"/>
            <rFont val="Calibri"/>
            <family val="2"/>
            <charset val="1"/>
          </rPr>
          <t>DimTypeId:1014.</t>
        </r>
      </text>
    </comment>
    <comment ref="AV16" authorId="1" shapeId="0" xr:uid="{00000000-0006-0000-0000-000021000000}">
      <text>
        <r>
          <rPr>
            <sz val="11"/>
            <color theme="1"/>
            <rFont val="Calibri"/>
            <family val="2"/>
            <charset val="1"/>
          </rPr>
          <t>Dim Custom Value. Pendiente IDs.</t>
        </r>
      </text>
    </comment>
    <comment ref="AW16" authorId="1" shapeId="0" xr:uid="{00000000-0006-0000-0000-000022000000}">
      <text>
        <r>
          <rPr>
            <sz val="11"/>
            <color theme="1"/>
            <rFont val="Calibri"/>
            <family val="2"/>
            <charset val="1"/>
          </rPr>
          <t>Dim Custom Value. Pendiente IDs.</t>
        </r>
      </text>
    </comment>
    <comment ref="AX16" authorId="1" shapeId="0" xr:uid="{00000000-0006-0000-0000-000023000000}">
      <text>
        <r>
          <rPr>
            <sz val="11"/>
            <color theme="1"/>
            <rFont val="Calibri"/>
            <family val="2"/>
            <charset val="1"/>
          </rPr>
          <t>Default: Servicios de enchapado.
DatosFacturacion.CodigoSAT.</t>
        </r>
      </text>
    </comment>
    <comment ref="AY16" authorId="1" shapeId="0" xr:uid="{00000000-0006-0000-0000-000024000000}">
      <text>
        <r>
          <rPr>
            <sz val="11"/>
            <color theme="1"/>
            <rFont val="Calibri"/>
            <family val="2"/>
            <charset val="1"/>
          </rPr>
          <t>ID:364506. Fórmula auto desde Cálculo MP.</t>
        </r>
      </text>
    </comment>
    <comment ref="AZ16" authorId="1" shapeId="0" xr:uid="{00000000-0006-0000-0000-000025000000}">
      <text>
        <r>
          <rPr>
            <sz val="11"/>
            <color theme="1"/>
            <rFont val="Calibri"/>
            <family val="2"/>
            <charset val="1"/>
          </rPr>
          <t>ID:397490.</t>
        </r>
      </text>
    </comment>
    <comment ref="BA16" authorId="1" shapeId="0" xr:uid="{00000000-0006-0000-0000-000026000000}">
      <text>
        <r>
          <rPr>
            <sz val="11"/>
            <color rgb="FF000000"/>
            <rFont val="Calibri"/>
            <family val="2"/>
            <charset val="1"/>
          </rPr>
          <t>ID:412305.</t>
        </r>
      </text>
    </comment>
    <comment ref="BB16" authorId="1" shapeId="0" xr:uid="{00000000-0006-0000-0000-000027000000}">
      <text>
        <r>
          <rPr>
            <sz val="11"/>
            <color theme="1"/>
            <rFont val="Calibri"/>
            <family val="2"/>
            <charset val="1"/>
          </rPr>
          <t>ID:412805.</t>
        </r>
      </text>
    </comment>
    <comment ref="BC16" authorId="1" shapeId="0" xr:uid="{00000000-0006-0000-0000-000028000000}">
      <text>
        <r>
          <rPr>
            <sz val="11"/>
            <color theme="1"/>
            <rFont val="Calibri"/>
            <family val="2"/>
            <charset val="1"/>
          </rPr>
          <t>ID:412479.</t>
        </r>
      </text>
    </comment>
    <comment ref="BD16" authorId="1" shapeId="0" xr:uid="{00000000-0006-0000-0000-000029000000}">
      <text>
        <r>
          <rPr>
            <sz val="11"/>
            <color theme="1"/>
            <rFont val="Calibri"/>
            <family val="2"/>
            <charset val="1"/>
          </rPr>
          <t>ID:412723. 0.0012×cobre_kg.</t>
        </r>
      </text>
    </comment>
    <comment ref="BE16" authorId="1" shapeId="0" xr:uid="{00000000-0006-0000-0000-00002A000000}">
      <text>
        <r>
          <rPr>
            <sz val="11"/>
            <color theme="1"/>
            <rFont val="Calibri"/>
            <family val="2"/>
            <charset val="1"/>
          </rPr>
          <t>ID:702767. 1069.98 g/m × LM / 453.592.</t>
        </r>
      </text>
    </comment>
    <comment ref="BF16" authorId="1" shapeId="0" xr:uid="{00000000-0006-0000-0000-00002B000000}">
      <text>
        <r>
          <rPr>
            <sz val="11"/>
            <color theme="1"/>
            <rFont val="Calibri"/>
            <family val="2"/>
            <charset val="1"/>
          </rPr>
          <t>ID:702769. 165.60 g/m × LM / 453.592.</t>
        </r>
      </text>
    </comment>
    <comment ref="BG16" authorId="1" shapeId="0" xr:uid="{00000000-0006-0000-0000-00002C000000}">
      <text>
        <r>
          <rPr>
            <sz val="11"/>
            <color rgb="FF000000"/>
            <rFont val="Calibri"/>
            <family val="2"/>
            <charset val="1"/>
          </rPr>
          <t xml:space="preserve">ID:702768. MT </t>
        </r>
        <r>
          <rPr>
            <sz val="11"/>
            <color rgb="FF000000"/>
            <rFont val="Calibri"/>
            <family val="2"/>
            <charset val="1"/>
          </rPr>
          <t>×</t>
        </r>
        <r>
          <rPr>
            <sz val="11"/>
            <color rgb="FF000000"/>
            <rFont val="Calibri"/>
            <family val="2"/>
            <charset val="1"/>
          </rPr>
          <t xml:space="preserve"> 1.07.</t>
        </r>
      </text>
    </comment>
    <comment ref="BO16" authorId="1" shapeId="0" xr:uid="{00000000-0006-0000-0000-00002D000000}">
      <text>
        <r>
          <rPr>
            <sz val="11"/>
            <color rgb="FF000000"/>
            <rFont val="Calibri"/>
            <family val="2"/>
            <charset val="1"/>
          </rPr>
          <t>=Cant</t>
        </r>
        <r>
          <rPr>
            <sz val="11"/>
            <color rgb="FF000000"/>
            <rFont val="Calibri"/>
            <family val="2"/>
            <charset val="1"/>
          </rPr>
          <t>×</t>
        </r>
        <r>
          <rPr>
            <sz val="11"/>
            <color rgb="FF000000"/>
            <rFont val="Calibri"/>
            <family val="2"/>
            <charset val="1"/>
          </rPr>
          <t>Precio. Rojo si no cuadra.</t>
        </r>
      </text>
    </comment>
  </commentList>
</comments>
</file>

<file path=xl/sharedStrings.xml><?xml version="1.0" encoding="utf-8"?>
<sst xmlns="http://schemas.openxmlformats.org/spreadsheetml/2006/main" count="6487" uniqueCount="1240">
  <si>
    <t>Modo:</t>
  </si>
  <si>
    <t>Cliente:</t>
  </si>
  <si>
    <t>WIELAND METAL SERVICES — Karen Ramos La Griega 117 Parque Industr</t>
  </si>
  <si>
    <t>Proceso (default):</t>
  </si>
  <si>
    <t>T300 (FIB)-T205 (PLA)-T300 (ANT)-CU-SOLERA WIELAND (16.3)</t>
  </si>
  <si>
    <t>USD</t>
  </si>
  <si>
    <t>Empresa Emisora:</t>
  </si>
  <si>
    <t>Notas Externas:</t>
  </si>
  <si>
    <t>Proyecto de Barras</t>
  </si>
  <si>
    <t>Notas Internas:</t>
  </si>
  <si>
    <t>Los "ganchos"</t>
  </si>
  <si>
    <t>Asignado:</t>
  </si>
  <si>
    <t>OMAR FIDEL VIAZCAN GOMEZ</t>
  </si>
  <si>
    <t>Válida Hasta (días):</t>
  </si>
  <si>
    <t>30</t>
  </si>
  <si>
    <t>Vacío = no tocar.  Guión (-) = borrar dato.  Espesor: se calcula auto del punto medio del rango de la Spec.</t>
  </si>
  <si>
    <t>PARÁMETROS</t>
  </si>
  <si>
    <t>IDENTIFICACIÓN</t>
  </si>
  <si>
    <t>ACABADOS (Labels)</t>
  </si>
  <si>
    <t>PROCESO</t>
  </si>
  <si>
    <t>PRODUCTOS ×3</t>
  </si>
  <si>
    <t>SPECS ×2</t>
  </si>
  <si>
    <t>CONV. UNIDADES</t>
  </si>
  <si>
    <t>RACKS ×2</t>
  </si>
  <si>
    <t>DIMENSIONES ×5</t>
  </si>
  <si>
    <t>ASIG. CONTABLE</t>
  </si>
  <si>
    <t>PREDICTIVE USAGE</t>
  </si>
  <si>
    <t>CHECK</t>
  </si>
  <si>
    <t>Archivado</t>
  </si>
  <si>
    <t>Validación
1er recibo</t>
  </si>
  <si>
    <t>Forzar
duplicar</t>
  </si>
  <si>
    <t>Archivar
anterior</t>
  </si>
  <si>
    <t>Número de
parte</t>
  </si>
  <si>
    <t>PN alterno</t>
  </si>
  <si>
    <t>Grupo</t>
  </si>
  <si>
    <t>Cantidad</t>
  </si>
  <si>
    <t>Precio</t>
  </si>
  <si>
    <t>Unidad
precio</t>
  </si>
  <si>
    <t>Precio
default</t>
  </si>
  <si>
    <t>Descripción</t>
  </si>
  <si>
    <t>Metal base</t>
  </si>
  <si>
    <t>Etiqueta 1</t>
  </si>
  <si>
    <t>Etiqueta 2</t>
  </si>
  <si>
    <t>Etiqueta 3</t>
  </si>
  <si>
    <t>Etiqueta 4</t>
  </si>
  <si>
    <t>Proceso</t>
  </si>
  <si>
    <t>Producto 1</t>
  </si>
  <si>
    <t>Precio P1</t>
  </si>
  <si>
    <t>Cant P1</t>
  </si>
  <si>
    <t>Unidad P1</t>
  </si>
  <si>
    <t>Producto 2</t>
  </si>
  <si>
    <t>Precio P2</t>
  </si>
  <si>
    <t>Cant P2</t>
  </si>
  <si>
    <t>Unidad P2</t>
  </si>
  <si>
    <t>Producto 3</t>
  </si>
  <si>
    <t>Precio P3</t>
  </si>
  <si>
    <t>Cant P3</t>
  </si>
  <si>
    <t>Unidad P3</t>
  </si>
  <si>
    <t>Spec 1</t>
  </si>
  <si>
    <t>Esp. Spec 1
(µm)</t>
  </si>
  <si>
    <t>Spec 2</t>
  </si>
  <si>
    <t>Esp. Spec 2
(µm)</t>
  </si>
  <si>
    <t>KGM
(kg/pza)</t>
  </si>
  <si>
    <t>CMK
(cm²/pza)</t>
  </si>
  <si>
    <t>LM
(m/pza)</t>
  </si>
  <si>
    <t>Mín Pzas
Lote</t>
  </si>
  <si>
    <t>Pzas/Rack
Línea</t>
  </si>
  <si>
    <t>Pzas/Rack
Sec.</t>
  </si>
  <si>
    <t>Longitud
(m)</t>
  </si>
  <si>
    <t>Ancho
(m)</t>
  </si>
  <si>
    <t>Alto
(m)</t>
  </si>
  <si>
    <t>Diám.Ext
(m)</t>
  </si>
  <si>
    <t>Diám.Int
(m)</t>
  </si>
  <si>
    <t>Línea</t>
  </si>
  <si>
    <t>Departamento</t>
  </si>
  <si>
    <t>Código SAT</t>
  </si>
  <si>
    <t>Plata
(kg/pza)</t>
  </si>
  <si>
    <t>Estaño
(kg/pza)</t>
  </si>
  <si>
    <t>Níquel
(kg/pza)</t>
  </si>
  <si>
    <t>Zinc
(kg/pza)</t>
  </si>
  <si>
    <t>Cobre
(kg/pza)</t>
  </si>
  <si>
    <t>Antitarnish
(L/pza)</t>
  </si>
  <si>
    <t>Epóx. MT
(lb/pza)</t>
  </si>
  <si>
    <t>Epóx. BT
(lb/pza)</t>
  </si>
  <si>
    <t>Epóx. MTR
(lb/pza)</t>
  </si>
  <si>
    <t>Total
línea</t>
  </si>
  <si>
    <t>Sí/No</t>
  </si>
  <si>
    <t>Texto</t>
  </si>
  <si>
    <t>$/ud</t>
  </si>
  <si>
    <t>Desp.</t>
  </si>
  <si>
    <t>Auto</t>
  </si>
  <si>
    <t>Auto/Input</t>
  </si>
  <si>
    <t>Peso</t>
  </si>
  <si>
    <t>Área</t>
  </si>
  <si>
    <t>Long</t>
  </si>
  <si>
    <t>Cargo</t>
  </si>
  <si>
    <t>FL/BA</t>
  </si>
  <si>
    <t>Todos</t>
  </si>
  <si>
    <t>Fórmula</t>
  </si>
  <si>
    <t>Proyecto Barras</t>
  </si>
  <si>
    <t>KGM</t>
  </si>
  <si>
    <t>Cobre</t>
  </si>
  <si>
    <t>Plata Flash</t>
  </si>
  <si>
    <t>Plateado Flash</t>
  </si>
  <si>
    <t>80065-DS-004 (Plata) | 7.26 - 9.26 µm</t>
  </si>
  <si>
    <t>T205-FL01</t>
  </si>
  <si>
    <t>73181106 - Servicios de enchapado</t>
  </si>
  <si>
    <t>Empaque</t>
  </si>
  <si>
    <t>Empacado</t>
  </si>
  <si>
    <t>80065-DS-005 (Plata Flash) | 0.076 - 0.2 µm</t>
  </si>
  <si>
    <t>Fierro</t>
  </si>
  <si>
    <t>Plata</t>
  </si>
  <si>
    <t>Antitarnish</t>
  </si>
  <si>
    <t>Activo</t>
  </si>
  <si>
    <t>Etiquetas</t>
  </si>
  <si>
    <t>Activo, Industrial, Rojo Gómez, CDMX</t>
  </si>
  <si>
    <t>Industrial</t>
  </si>
  <si>
    <t>Prospecto</t>
  </si>
  <si>
    <t>Obsoleto</t>
  </si>
  <si>
    <t>Activo, Automotriz</t>
  </si>
  <si>
    <t>Activo, Industrial</t>
  </si>
  <si>
    <t>Activo, Industrial, Proquipa</t>
  </si>
  <si>
    <t>Activo, Industrial, Tlaxcala</t>
  </si>
  <si>
    <t>Activo, Automotriz, Proquipa</t>
  </si>
  <si>
    <t>Activo, Industrial, Automotriz</t>
  </si>
  <si>
    <t>Dimer</t>
  </si>
  <si>
    <t>Activo, Proquipa</t>
  </si>
  <si>
    <t>Activo, Automotriz, Industrial</t>
  </si>
  <si>
    <t>Industrial, Activo</t>
  </si>
  <si>
    <t>ECOPLATING</t>
  </si>
  <si>
    <t>Automotriz, Prospecto</t>
  </si>
  <si>
    <t>Tratamiento Térmico</t>
  </si>
  <si>
    <t>M100-CE02 Inspección (ANT) y Empaque</t>
  </si>
  <si>
    <t>M101 (EST)-AL-VARIOS</t>
  </si>
  <si>
    <t>M101 (EST)-CU-VARIOS</t>
  </si>
  <si>
    <t>M102 (EST)-AL-VARIOS</t>
  </si>
  <si>
    <t>M102 (EST)-CU-VARIOS</t>
  </si>
  <si>
    <t>M102 (PLA)-M100 (ANT)-CU-VARIOS</t>
  </si>
  <si>
    <t>M103 (EST)-(NIQ)-AL-EATON</t>
  </si>
  <si>
    <t>Prueba de bloqueo</t>
  </si>
  <si>
    <t>RT Desniquelado Bujía</t>
  </si>
  <si>
    <t>T100 (SAB)-T107 (PLA)-CU-C5 (60.0)</t>
  </si>
  <si>
    <t>T101 (BRI)-CU-VARIOS (4.0)</t>
  </si>
  <si>
    <t>T101 (CRO)-AL-MAT. MECANICO ELECTRICO (4.0)</t>
  </si>
  <si>
    <t>T101 (DEC)-AL-VARIOS (4.0)</t>
  </si>
  <si>
    <t>T101 (DEC)-CU-VARIOS (4.0)</t>
  </si>
  <si>
    <t>T101 (DEC)-FE-VARIOS (4.0)</t>
  </si>
  <si>
    <t>T101 (DEC)-INOX-VARIOS (4.0)</t>
  </si>
  <si>
    <t>T101 (DEC)-LA-VARIOS (4.0)</t>
  </si>
  <si>
    <t>T101 (DES)-INOX/CU-VARIOS (4.0)</t>
  </si>
  <si>
    <t>T101 (IRI)-AL-VARIOS (4.0)</t>
  </si>
  <si>
    <t>T101 (LAV)-AL-VARIOS (4.0)</t>
  </si>
  <si>
    <t>T101 (LAV)-CU-VARIOS (4.0)</t>
  </si>
  <si>
    <t>T101 (LAV)-CU/BR-HUBBELL (4.0)</t>
  </si>
  <si>
    <t>T101 (LAV)-FE-VARIOS (4.0)</t>
  </si>
  <si>
    <t>T101 (LAV)-INOX-VARIOS (4.0)</t>
  </si>
  <si>
    <t>T101 (LAV)-LA-VARIOS (4.0)</t>
  </si>
  <si>
    <t>T101 (NOX)-AL-VARIOS (4.0)</t>
  </si>
  <si>
    <t>T101 (PAS)-CU-VARIOS (4.0)</t>
  </si>
  <si>
    <t>T101 (PAS)-FE-VARIOS (4.0)</t>
  </si>
  <si>
    <t>T101 (PAS)-INOX-VARIOS (4.0)</t>
  </si>
  <si>
    <t>T101 (PRE)-T108 (NSU)-T109 (PAS)-LA-VARIOS (13.0)</t>
  </si>
  <si>
    <t>T101 (PRE)-T108 (NWO)-T108 (NEL)-T109(PAS)-FE-BUJIA (13.0)</t>
  </si>
  <si>
    <t>T101 (PRE)-T112 (NWO)-T109 (NSU)-CU/LA/FE/INOX-VARIOS (13.2)</t>
  </si>
  <si>
    <t>T101 (PRE)-T112 (NWO)-T109 (NSU)-INOX-RPK (15.0)</t>
  </si>
  <si>
    <t>T101 (PRE)-T112 (NWO)-T112 (NEL)-T109 (PAS)-LA-VARIOS (13.2)</t>
  </si>
  <si>
    <t>T101 (PRE)-T112 (NWO)-T203 (PLA)-LA-VARIOS (16.0)</t>
  </si>
  <si>
    <t>T101 (PRE)-T112 (NWO)-T204 (PLA)-LA-VARIOS (16.1)</t>
  </si>
  <si>
    <t>T101 (PRE)-T203 (PLA)-LA-VARIOS (16.0)</t>
  </si>
  <si>
    <t>T102 (COB)-AL-VARIOS (12.0)</t>
  </si>
  <si>
    <t>T102 (COB)-T102 (EST)-FE-VARIOS (12.0)</t>
  </si>
  <si>
    <t>T102 (EST)-AL-VARIOS (12.0)</t>
  </si>
  <si>
    <t>T102 (EST)-CU-VARIOS (12.0)</t>
  </si>
  <si>
    <t>T102 (IRI)-AL-FISHER (12.0)</t>
  </si>
  <si>
    <t>T104 (EST)-CU-VARIOS (6.0)</t>
  </si>
  <si>
    <t>T105-LI Zinc Semiautomático (7)</t>
  </si>
  <si>
    <t>T107 (COB)</t>
  </si>
  <si>
    <t>T107 (PLA)-CU-C4 (60.0)</t>
  </si>
  <si>
    <t>T108 (NEL)-T100 (HOR)-T108 (DEC)-T100 (FIB)-FE-CAGES FISHER (13.0)</t>
  </si>
  <si>
    <t>T108 (NWO)-T108 (NEL)-T100 (HOR)-T108 (DEC)-T100 (FIB)-FE-CAGES FISHER (13.0)</t>
  </si>
  <si>
    <t>T109 (LAV)-T000 (TRT)-T109 (NBR)-FE-BIMETALES (15.0)</t>
  </si>
  <si>
    <t>T109 (NSU)-FE-BUJIA (15.0)</t>
  </si>
  <si>
    <t>T109 (NSU)-FE-BUJIA RENAULT (15.0)</t>
  </si>
  <si>
    <t>T110 (DEC)-CU-VARIOS (26.0)</t>
  </si>
  <si>
    <t xml:space="preserve">T111 (AND)-AL-VARIOS (14.0) </t>
  </si>
  <si>
    <t>T111 (COB)-T110 (PLA)-AL-VARIOS (26.0)</t>
  </si>
  <si>
    <t>T111 (COB)-T203 (PLA)-AL-HEATER (16.0)</t>
  </si>
  <si>
    <t>T111 (ESM)-AL-VARIOS (14.0)</t>
  </si>
  <si>
    <t>T111 (ESM)-CU-VARIOS (14.0)</t>
  </si>
  <si>
    <t>T111 (EST)-AL-VARIOS (14.0)</t>
  </si>
  <si>
    <t>T111 (EST)-CU-VARIOS (14.0)</t>
  </si>
  <si>
    <t>T112 (NWO)-T203 (PLA)-FE-VARIOS (16.0)</t>
  </si>
  <si>
    <t>T112 (NWO)-T204 (PLA)-FE-VARIOS (16.1)</t>
  </si>
  <si>
    <t>T112 (NWO)-T301 (EST)-CU/FE/LA-VARIOS (24.0)</t>
  </si>
  <si>
    <t>T114 (FMS)-FE-GM (7.1)</t>
  </si>
  <si>
    <t>T114 (FMS)-FE-PISTON (7.1)</t>
  </si>
  <si>
    <t>T114 (FMS)-FE-PIÑON (7.1)</t>
  </si>
  <si>
    <t>T115 (NCR)-FE-VARIOS (23.0)</t>
  </si>
  <si>
    <t>T116 (FZI)-FE-VARIOS (7.2)</t>
  </si>
  <si>
    <t>T116 (PAV)-FE-VARIOS (7.2)</t>
  </si>
  <si>
    <t>T201 (COB)-AL-VARIOS (25.0)</t>
  </si>
  <si>
    <t>T201 (ESM)-AL-VARIOS (25.0)</t>
  </si>
  <si>
    <t>T201 (ESM)-CU-VARIOS (25.0)</t>
  </si>
  <si>
    <t>T201 (EST)-AL-VARIOS (25.0)</t>
  </si>
  <si>
    <t>T201 (EST)-CU-VARIOS (25.0)</t>
  </si>
  <si>
    <t>T201 (NSU)-CU-VARIOS (25.0)</t>
  </si>
  <si>
    <t>T202 (DEC)-CU-BARE (16.2)</t>
  </si>
  <si>
    <t>T202 (LES)-T202 (PLA)-CU-VARIOS (16.2)</t>
  </si>
  <si>
    <t>T203 (LES)-T203 (PLA)-CU-VARIOS (16.0)</t>
  </si>
  <si>
    <t>T204 (DEC)-CU-BARE (16.1)</t>
  </si>
  <si>
    <t>T205 (DEC)-CU-BARE (16.3)</t>
  </si>
  <si>
    <t>T205 (DEC)-T205 (EST)-T401 (EBT)-CU-VARIOS (16.3)</t>
  </si>
  <si>
    <t>T205 (EST)-AL-VARIOS (16.3)</t>
  </si>
  <si>
    <t>T205 (EST)-CU-VARIOS (16.3)</t>
  </si>
  <si>
    <t>T205 (PLA)-CU-MAQUILA QRO (16.3)</t>
  </si>
  <si>
    <t>T205 (PLA)-T300 (ANT)-CU-MAQUILA RG (16.3)</t>
  </si>
  <si>
    <t>T205 (PLA)-T300 (ANT)-CU-SOLERA RG (16.3)</t>
  </si>
  <si>
    <t>T206 (LAV)-T000 (TRT)-T206 (EST)-FE-BIMETALES (18.0)</t>
  </si>
  <si>
    <t>T207 (ELE)-FE-FISHER (16.4)</t>
  </si>
  <si>
    <t>T300 (ANT)</t>
  </si>
  <si>
    <t>T300 (FIB)-T205 (PLA)-CU-ZION (16.3)</t>
  </si>
  <si>
    <t>T300 (LES)-T110 (PLA)-CU-VARIOS (26.0)</t>
  </si>
  <si>
    <t>T300 (LES)-T110 (PLA)-T300 (ANT)-CU-VARIOS (26.0)</t>
  </si>
  <si>
    <t>T300 (LES)-T204 (DEC)-T204 (EST)-T401 (EBT)-CU-VARIOS (16.1)</t>
  </si>
  <si>
    <t>T300 (LES)-T204 (EST)-CU-VARIOS (16.1)</t>
  </si>
  <si>
    <t>T300 (LES)-T204 (NWO)-T204 (PLA)-CU-VARIOS (16.1)</t>
  </si>
  <si>
    <t>T300 (LES)-T204 (PLA)-CU-VARIOS (16.1)</t>
  </si>
  <si>
    <t>T300 (LES)-T204 (PLA)-T300 (ANT)-CU-VARIOS (16.1)</t>
  </si>
  <si>
    <t>T301 (EST)-CU/FE-VARIOS (24.0)</t>
  </si>
  <si>
    <t>T301 (LES)-T301 (EST)-CU-CELCO (24.0)</t>
  </si>
  <si>
    <t>T400 (ANT)</t>
  </si>
  <si>
    <t>T401 (EBT)-T110 (DEC)-T110 (PLA)-T300 (ANT)-CU-VARIOS (26.0)</t>
  </si>
  <si>
    <t>T401 (EBT)-T204 (DEC)-T204 (PLA)-T300 (ANT)-CU-VARIOS (16.1)</t>
  </si>
  <si>
    <t>T401 (EBT)-T205 (DEC)-T205 (PLA)-T300 (ANT)-CU-VARIOS (16.3)</t>
  </si>
  <si>
    <t>T401 (EMT)-T110 (DEC)-T110 (PLA)-T300 (ANT)-CU-VARIOS (26.0)</t>
  </si>
  <si>
    <t>T401 (EMT)-T204 (DEC)-T204 (EST)-CU-VARIOS (16.1)</t>
  </si>
  <si>
    <t>T401 (EMT)-T204 (DEC)-T204 (PLA)-T300 (ANT)-CU-VARIOS (16.1)</t>
  </si>
  <si>
    <t>T401 (EMT)-T205 (DEC)-T205 (EST)-CU-VARIOS (16.3)</t>
  </si>
  <si>
    <t>T401 (EMT)-T205 (DEC)-T205 (PLA)-T300 (ANT)-CU-VARIOS (16.3)</t>
  </si>
  <si>
    <t>T500-CE04 Ensamble de Kits</t>
  </si>
  <si>
    <t>T500-CE04 Recibo de Componentes de Kits</t>
  </si>
  <si>
    <t>TEST</t>
  </si>
  <si>
    <t>TEST CK</t>
  </si>
  <si>
    <t>Estaño</t>
  </si>
  <si>
    <t>Prelimpieza</t>
  </si>
  <si>
    <t>Sandblast</t>
  </si>
  <si>
    <t>Abrillantado</t>
  </si>
  <si>
    <t>Aceitado</t>
  </si>
  <si>
    <t>Cobrizado</t>
  </si>
  <si>
    <t>Cromato Verde Olivo</t>
  </si>
  <si>
    <t>Decapado</t>
  </si>
  <si>
    <t>Desengrase</t>
  </si>
  <si>
    <t>Ensamble de Kits</t>
  </si>
  <si>
    <t>Fibrado</t>
  </si>
  <si>
    <t>Fosfato de Manganeso</t>
  </si>
  <si>
    <t>Horneado</t>
  </si>
  <si>
    <t>Metales</t>
  </si>
  <si>
    <t>Pasivado</t>
  </si>
  <si>
    <t>Plateado</t>
  </si>
  <si>
    <t>281D SILVER FLASH PART FABRICADAS</t>
  </si>
  <si>
    <t>281E EPOXICO BT</t>
  </si>
  <si>
    <t>281G ESTAÑADO SOBRE COBRE</t>
  </si>
  <si>
    <t>281J Silver Flash Soleras de Cobre</t>
  </si>
  <si>
    <t>281K PLATEADO TRENCILLAS, BARRAS CU</t>
  </si>
  <si>
    <t>281M DECAPADO, ACABADO PLATEADO/CU</t>
  </si>
  <si>
    <t>281N DECAPADO, ACABADO ESTAÑADO/CU</t>
  </si>
  <si>
    <t>281P PLATA SOLO AREAS DE CONTACTO</t>
  </si>
  <si>
    <t>281Q ESTAÑADO SOBRE ALUMINIO</t>
  </si>
  <si>
    <t>281R ZINCADO TRIVALENTE</t>
  </si>
  <si>
    <t>281S BARNIZADO PIEZAS DE COBRE</t>
  </si>
  <si>
    <t>281T ESTAÑADO BARRAS DE ALUMINIO</t>
  </si>
  <si>
    <t>281U ENCAPSULADO EPÓXICO</t>
  </si>
  <si>
    <t>281W ANTI TARNISH TREAT OVER CU</t>
  </si>
  <si>
    <t>Anodizado Convencional</t>
  </si>
  <si>
    <t>Anodizado Decorativo</t>
  </si>
  <si>
    <t>Anodizado Duro</t>
  </si>
  <si>
    <t>Arranque de línea</t>
  </si>
  <si>
    <t>Bimetal</t>
  </si>
  <si>
    <t>Bright Dip</t>
  </si>
  <si>
    <t>Casetas</t>
  </si>
  <si>
    <t>Cianuro de Plata</t>
  </si>
  <si>
    <t>Cobrizado-Plateado</t>
  </si>
  <si>
    <t>Cromado Decorativo</t>
  </si>
  <si>
    <t>Cromado Duro</t>
  </si>
  <si>
    <t>Cromatizado</t>
  </si>
  <si>
    <t>Decapado Estañado</t>
  </si>
  <si>
    <t>Decapado Plateado</t>
  </si>
  <si>
    <t>Decapado no oxidante</t>
  </si>
  <si>
    <t>Desbarbado</t>
  </si>
  <si>
    <t>Descuento por Scrap</t>
  </si>
  <si>
    <t>Desniquelado</t>
  </si>
  <si>
    <t>Electropulido</t>
  </si>
  <si>
    <t>Equipo de Protección Personal</t>
  </si>
  <si>
    <t>Estañado</t>
  </si>
  <si>
    <t>Estañado Mate</t>
  </si>
  <si>
    <t>Fabricación de Herramentales</t>
  </si>
  <si>
    <t>Flete</t>
  </si>
  <si>
    <t>Fletes</t>
  </si>
  <si>
    <t>Fosfatizado de Manganeso</t>
  </si>
  <si>
    <t>Fosfatizado de Zinc</t>
  </si>
  <si>
    <t>Fundición de Plata</t>
  </si>
  <si>
    <t>Granallado</t>
  </si>
  <si>
    <t>Iridizado</t>
  </si>
  <si>
    <t>Jornada Extraordinaria</t>
  </si>
  <si>
    <t>Lavado</t>
  </si>
  <si>
    <t>Limpieza de Recubrimiento</t>
  </si>
  <si>
    <t>Maquila de Tratamiento Térmico</t>
  </si>
  <si>
    <t>Materia Prima</t>
  </si>
  <si>
    <t>Niquelado Brillante</t>
  </si>
  <si>
    <t>Niquelado Electroless</t>
  </si>
  <si>
    <t>Niquelado Estaño</t>
  </si>
  <si>
    <t>Niquelado Plateado</t>
  </si>
  <si>
    <t>Niquelado Sulfamato</t>
  </si>
  <si>
    <t>Niquelado Woods</t>
  </si>
  <si>
    <t>Pavonado</t>
  </si>
  <si>
    <t>Pintura Epóxica BT</t>
  </si>
  <si>
    <t>Pintura Epóxica MT</t>
  </si>
  <si>
    <t>Plateado Selectivo</t>
  </si>
  <si>
    <t>Pre-Limpieza</t>
  </si>
  <si>
    <t>Preparación previa al acabado</t>
  </si>
  <si>
    <t>Refacciones</t>
  </si>
  <si>
    <t>Retrabajo Ecoplating</t>
  </si>
  <si>
    <t>Servicio Logístico</t>
  </si>
  <si>
    <t>Tiempo de Ingeniería y Línea</t>
  </si>
  <si>
    <t>Tricapa Estaño Níquel Cobre</t>
  </si>
  <si>
    <t>Zinc Cromo Trivalente</t>
  </si>
  <si>
    <t>Zinc Níquel</t>
  </si>
  <si>
    <t>Zincado</t>
  </si>
  <si>
    <t>En desarrollo</t>
  </si>
  <si>
    <t>Plata Mate</t>
  </si>
  <si>
    <t>Níquel Sulfamato</t>
  </si>
  <si>
    <t>Rebabeo</t>
  </si>
  <si>
    <t>Plata Semibrillante</t>
  </si>
  <si>
    <t>Níquel Electroless</t>
  </si>
  <si>
    <t>Sellado</t>
  </si>
  <si>
    <t>Lavado de Bimetales</t>
  </si>
  <si>
    <t>Epóxico BT</t>
  </si>
  <si>
    <t>Fosfato de Zinc</t>
  </si>
  <si>
    <t>Níquel Woods</t>
  </si>
  <si>
    <t>Deshidrogenado</t>
  </si>
  <si>
    <t>Pulido</t>
  </si>
  <si>
    <t>Zinc</t>
  </si>
  <si>
    <t>Limpieza Especial PCL</t>
  </si>
  <si>
    <t>Estaño Mate</t>
  </si>
  <si>
    <t>Epóxico MT</t>
  </si>
  <si>
    <t>NP Desconocido</t>
  </si>
  <si>
    <t>Flexset - Silver</t>
  </si>
  <si>
    <t>Muestras</t>
  </si>
  <si>
    <t>Bus Ways</t>
  </si>
  <si>
    <t>Níquel Cromvet</t>
  </si>
  <si>
    <t>Limpieza Especial ISP</t>
  </si>
  <si>
    <t>Evabrite</t>
  </si>
  <si>
    <t>Epóxico Rojo</t>
  </si>
  <si>
    <t>SRG</t>
  </si>
  <si>
    <t>SQR</t>
  </si>
  <si>
    <t>SMY</t>
  </si>
  <si>
    <t>SCM</t>
  </si>
  <si>
    <t>Anodizado Negro</t>
  </si>
  <si>
    <t>Querétaro</t>
  </si>
  <si>
    <t>Cobre Flash</t>
  </si>
  <si>
    <t>Rojo Gómez</t>
  </si>
  <si>
    <t>No Oxide</t>
  </si>
  <si>
    <t>Anodizado Natural</t>
  </si>
  <si>
    <t>Níquel</t>
  </si>
  <si>
    <t>CDMX</t>
  </si>
  <si>
    <t>STX</t>
  </si>
  <si>
    <t>CGR</t>
  </si>
  <si>
    <t>Barnizado</t>
  </si>
  <si>
    <t>Tlaxcala</t>
  </si>
  <si>
    <t>Cromo Duro</t>
  </si>
  <si>
    <t>Brill 61</t>
  </si>
  <si>
    <t>Limpieza Mecánica</t>
  </si>
  <si>
    <t>Producción</t>
  </si>
  <si>
    <t>Unidad</t>
  </si>
  <si>
    <t>—</t>
  </si>
  <si>
    <t>1.28.031 (Zinc Trivalente)</t>
  </si>
  <si>
    <t>1.28.003 (Pavonado)</t>
  </si>
  <si>
    <t>48053-005-01 (Lavado Bimetales)</t>
  </si>
  <si>
    <t>48951-008-01 (Desengrase)</t>
  </si>
  <si>
    <t>48057-004-01 (Bright Dip)</t>
  </si>
  <si>
    <t>48860-031-01 (Lavado)</t>
  </si>
  <si>
    <t>CJ02 Caja de Plástico</t>
  </si>
  <si>
    <t>M101-BA01 Barril</t>
  </si>
  <si>
    <t>M102-FL01 FlyBar Cobre</t>
  </si>
  <si>
    <t>M102-FL02 FlyBar Cobre y Acero</t>
  </si>
  <si>
    <t>M102-RA01 Bastón 6"</t>
  </si>
  <si>
    <t>M102-RA02 Bastón 4"</t>
  </si>
  <si>
    <t>M102-RA03 Bastón 3"</t>
  </si>
  <si>
    <t>M102-RA04 Gancho 1 Nivel</t>
  </si>
  <si>
    <t>M102-RA05 Parrilla 1" a 1.75"</t>
  </si>
  <si>
    <t>M102-RA06 Parrilla 2" a 2.75"</t>
  </si>
  <si>
    <t>M102-RA07 Parrilla 2" a 3.75"</t>
  </si>
  <si>
    <t>M102-RA08 Clip 4</t>
  </si>
  <si>
    <t>M102-RA09 Clip 5</t>
  </si>
  <si>
    <t>M102-RA10 Clip 6</t>
  </si>
  <si>
    <t>M102-RA11 Parrilla ABB</t>
  </si>
  <si>
    <t>M102-RA12 Gancho 2 Niveles</t>
  </si>
  <si>
    <t>M102-RA13 Baston Modificado 4" a 6"</t>
  </si>
  <si>
    <t>M102-RA14 Gancho EAV</t>
  </si>
  <si>
    <t>M102-RA15 Gancho 4 Niveles</t>
  </si>
  <si>
    <t>M102-RA16 Angulo</t>
  </si>
  <si>
    <t>M102-RA17 Clip 400</t>
  </si>
  <si>
    <t>M102-RA18 Clip 28</t>
  </si>
  <si>
    <t>M102-RA19 Clip 37</t>
  </si>
  <si>
    <t>M103-FL01 FlyBar Eaton</t>
  </si>
  <si>
    <t>M103-RA01 Racks Eaton</t>
  </si>
  <si>
    <t>MADERA</t>
  </si>
  <si>
    <t>T101-FL01</t>
  </si>
  <si>
    <t>T102-BA01</t>
  </si>
  <si>
    <t>T102-LI Estaño e Iridizado (12)</t>
  </si>
  <si>
    <t>T103-FL01</t>
  </si>
  <si>
    <t>T103-RA01</t>
  </si>
  <si>
    <t>T103-RA02</t>
  </si>
  <si>
    <t>T103-RA04</t>
  </si>
  <si>
    <t>T103-RA09</t>
  </si>
  <si>
    <t>T105-FL01</t>
  </si>
  <si>
    <t>T106-BA01</t>
  </si>
  <si>
    <t>T107-FL01</t>
  </si>
  <si>
    <t>T107-RA01</t>
  </si>
  <si>
    <t>T107-RA02</t>
  </si>
  <si>
    <t>T108-BA01</t>
  </si>
  <si>
    <t>T108-FL01</t>
  </si>
  <si>
    <t>T109-BA01</t>
  </si>
  <si>
    <t>T110-FL01</t>
  </si>
  <si>
    <t>T111-FL01</t>
  </si>
  <si>
    <t>T111-RA01</t>
  </si>
  <si>
    <t>T111-RA02</t>
  </si>
  <si>
    <t>T111-RA03</t>
  </si>
  <si>
    <t>T111-RA04</t>
  </si>
  <si>
    <t>T111-RA05</t>
  </si>
  <si>
    <t>T111-RA06</t>
  </si>
  <si>
    <t>T111-RA07</t>
  </si>
  <si>
    <t>T111-RA08</t>
  </si>
  <si>
    <t>T112-BA01</t>
  </si>
  <si>
    <t>T113-BA01</t>
  </si>
  <si>
    <t>T114-CA01</t>
  </si>
  <si>
    <t>T114-FL01</t>
  </si>
  <si>
    <t>T115-FL01</t>
  </si>
  <si>
    <t>T117-FL01</t>
  </si>
  <si>
    <t>T201-FL01</t>
  </si>
  <si>
    <t>T202-FL01</t>
  </si>
  <si>
    <t>T203-BA01</t>
  </si>
  <si>
    <t>T204-FL01</t>
  </si>
  <si>
    <t>T205-RA01</t>
  </si>
  <si>
    <t>T205-RA02</t>
  </si>
  <si>
    <t>T205-RA03</t>
  </si>
  <si>
    <t>T205-RA04</t>
  </si>
  <si>
    <t>T205-RA05</t>
  </si>
  <si>
    <t>T205-RA06</t>
  </si>
  <si>
    <t>T205-RA07</t>
  </si>
  <si>
    <t>T205-RA08</t>
  </si>
  <si>
    <t>T205-RA09</t>
  </si>
  <si>
    <t>T205-RA10</t>
  </si>
  <si>
    <t>T206-BA01</t>
  </si>
  <si>
    <t>T301-BA01</t>
  </si>
  <si>
    <t>T401-FL01</t>
  </si>
  <si>
    <t>Clientes</t>
  </si>
  <si>
    <t>Procesos</t>
  </si>
  <si>
    <t>Productos</t>
  </si>
  <si>
    <t>Specs</t>
  </si>
  <si>
    <t>Racks Línea</t>
  </si>
  <si>
    <t>Racks Todos</t>
  </si>
  <si>
    <t>CódigoSAT</t>
  </si>
  <si>
    <t>MetalBase</t>
  </si>
  <si>
    <t>1.28.001 (Zinc negro azul) | 3.81 - 11.43 μm</t>
  </si>
  <si>
    <t>BRAININ DE MEXICO — Av. San Luis Tlatilco 42 Parque Industri</t>
  </si>
  <si>
    <t>73181109 - Servicios de niquelado</t>
  </si>
  <si>
    <t>Aluminio</t>
  </si>
  <si>
    <t>73181119 - Servicio de recubrimiento con pintura en polvo</t>
  </si>
  <si>
    <t>CONTROLES Y MEDIDORES ESPECIALIZADOS — Paseo de la Reforma 2608 Int Piso 3, Ofi</t>
  </si>
  <si>
    <t>73151500 - Servicios de ensamble</t>
  </si>
  <si>
    <t>Latón</t>
  </si>
  <si>
    <t>CUPRUM — Av. Diego Díaz de Berlanga Colonia Nogal</t>
  </si>
  <si>
    <t>73151506 - Servicio de subensamble o ensamble definitivo</t>
  </si>
  <si>
    <t>Acero Inoxidable</t>
  </si>
  <si>
    <t>DISEÑO Y METALMECANICA — Coltongo 158, Azcapotzalco,, Cuidad de M</t>
  </si>
  <si>
    <t>11191500 - Cuerpos sólidos de metal</t>
  </si>
  <si>
    <t>Bronce</t>
  </si>
  <si>
    <t>DISPOSITIVOS MECANICOS R.B. — Avenida de la Piedra 42 Ignacio Lopez Ra</t>
  </si>
  <si>
    <t>1.28.037 (Zinc) | 5 - 9 µm</t>
  </si>
  <si>
    <t>30262200 - Barras de cobre</t>
  </si>
  <si>
    <t>Bimetálica</t>
  </si>
  <si>
    <t xml:space="preserve">EATON INDUSTRIES — </t>
  </si>
  <si>
    <t>1.28.041 (Níquel) | 5 - 10 µm</t>
  </si>
  <si>
    <t>31281500 - Componentes estampados</t>
  </si>
  <si>
    <t>Varios</t>
  </si>
  <si>
    <t>ECOPLATING MONTERREY — Quinta Avenida 203 Parque Industrial Esc</t>
  </si>
  <si>
    <t>40001-053-02 (Estaño) | &gt; 5.08 µm &lt; 10.0 µm</t>
  </si>
  <si>
    <t>31281813 - Componentes de cobre perforados</t>
  </si>
  <si>
    <t>ESTAMPADOS MONTERREY — DIAZ ORDAZ 339 Santa Catarina Centro San</t>
  </si>
  <si>
    <t>40004-014-01 (Estaño) | 5 - 10 µm</t>
  </si>
  <si>
    <t>39121400 - Lengüetas de conexión conectadores y terminales</t>
  </si>
  <si>
    <t>FALCO ELECTRONICS MEXICO — Calle 37 611 Itzincab Mérida, Yucatán  9</t>
  </si>
  <si>
    <t>40004-015-01 (Estaño) | 5.08 - 10 µm</t>
  </si>
  <si>
    <t>FEDERAL MOGUL — Tenneco Puebla, Carretera Resurrección 7</t>
  </si>
  <si>
    <t>40004-017-01 (Zinc) | Espesor</t>
  </si>
  <si>
    <t>FEDERAL-MOGUL DE MEXICO — Poniente 150 956 Industrial Vallejo Ciud</t>
  </si>
  <si>
    <t xml:space="preserve">FISHER CONTROLES DE MEXICO — INDUSTRIAS QUIMICAS 203 Zona Industrial </t>
  </si>
  <si>
    <t>40004-086-01 (Plata Flash) | &gt;= 1.27 µm</t>
  </si>
  <si>
    <t>GRAMMER AUTOMOTIVE PUEBLA — Ivan Cortés Blvd TETLA 107 Lote 1 Manzan</t>
  </si>
  <si>
    <t>GRUPO COLLADO — Av. Gavilan 200 Guadalupe del Moral Ciud</t>
  </si>
  <si>
    <t>HIRSCHVOGEL COMPONENTS MEXICO — Dr. Manfred Hirschvogel Parque Industria</t>
  </si>
  <si>
    <t>HOFFMANN PRECISION METAL — Parque Industrial El Marques, El Colorad</t>
  </si>
  <si>
    <t>48057-002-02 (Níquel Bimetales) | 0.5 - 2.0 μm</t>
  </si>
  <si>
    <t>HOFFMANN PRECISION METAL — Privada del Conde 4, Int. 2</t>
  </si>
  <si>
    <t>HUBBELL PRODUCTS MEXICO — CINCO SUR 104 PARQUE INDUSTRIAL TOLUCA 2</t>
  </si>
  <si>
    <t>IMPRO INDUSTRIES MEXICO — Rocío de la Cruz Pichado Bernalejo 115 E</t>
  </si>
  <si>
    <t>48057-006-01 (Plata) | 2.5 - 4.0 μm</t>
  </si>
  <si>
    <t>INDUSTRIA EN ENGRANES Y MAQUINADOS — Col. Pro-hogar 02600</t>
  </si>
  <si>
    <t>48057-007-01 (Estaño Bimetales) | 1.9 - 5.0 μm</t>
  </si>
  <si>
    <t>INDUSTRIA EN ENGRANES Y MAQUINADOS — Moldeadores 318</t>
  </si>
  <si>
    <t>INDUSTRIAL ELECTRIC MANUFACTURING — 3600 Port Jacksonville Pkwy Jacksonville</t>
  </si>
  <si>
    <t>INDUSTRIAL TAMTO DE PUEBLA — Av. Hidalgo 24</t>
  </si>
  <si>
    <t>INDUSTRIAL TAMTO DE PUEBLA — Col. Santa Cruz Buenavista, Puebla, 7217</t>
  </si>
  <si>
    <t>INDUSTRIAS MECANICO ELECTRICAS — Av. Central 23</t>
  </si>
  <si>
    <t>48957-014-01 (Niquel) | 5.0 - 10.0 μm</t>
  </si>
  <si>
    <t>INDUSTRIAS MECANICO ELECTRICAS — Col. R�stica Xalostoc, Ecatepec, 55340</t>
  </si>
  <si>
    <t>50-25681 (Zinc) | &gt;= 5.08 µm Sn / &gt;=2.54 µm Ni / = 1.27µm</t>
  </si>
  <si>
    <t>INDUSTRIAS UNIDAS — IUSA CARRETERA PANAMERICANA MEXICO QUERE</t>
  </si>
  <si>
    <t>80065-DS-001 (Estaño s/Cobre) | 5.08 - 8.89 µm</t>
  </si>
  <si>
    <t>INTEGRACION Y DIGITALIZACION INDUSTRIAL — Sandino Martinez Villa union 451 Monterr</t>
  </si>
  <si>
    <t>80065-DS-002 (Estaño s/Aluminio) | 5.08 - 8.89 µm</t>
  </si>
  <si>
    <t xml:space="preserve">INTERNATIONAL METALS DE MEXICO — IMMSA Avenida Alfredo del Mazo #14 Lote </t>
  </si>
  <si>
    <t xml:space="preserve">JABIL EMS SWITZERLAND GMBH — </t>
  </si>
  <si>
    <t xml:space="preserve">JINRONG MEXICO PRECISION MACHINERY — </t>
  </si>
  <si>
    <t>KEATS DE MEXICO — KEATS DE MEXICO Av. Brasil 17 Parque Ind</t>
  </si>
  <si>
    <t>80282-DS-005 (Epóxico BT) | 4 -11 mils (milipulgadas)</t>
  </si>
  <si>
    <t xml:space="preserve">KEMET ELECTRONICS CORPORATION — BILLY MITCHELL BLVD BROWNSVILLE, Texas  </t>
  </si>
  <si>
    <t>KERN LIEBERS MEXICO — Kern liebers AVENIDA EL TEPEYAC 11080 In</t>
  </si>
  <si>
    <t>ABD01030 (Plata) | 2 - 5 µm</t>
  </si>
  <si>
    <t>KWD INDUSTRIAS — Calle 4 Norte 100 Parque Industrial Tolu</t>
  </si>
  <si>
    <t>ACP5-618 (Plata) | 0.076 - 0.2 μm</t>
  </si>
  <si>
    <t>LEV INDUSTRIAL — Antigua Carretera a Quer�taro S/N Bodega</t>
  </si>
  <si>
    <t>ASTM B 545 (Niquel) | 5.0 - 8.0 μm</t>
  </si>
  <si>
    <t>LEV INDUSTRIAL — San Francisco 2da Secci�n, Tepeji del R�</t>
  </si>
  <si>
    <t>MACOR DE MEXICO — Doctor Coss 2330 Del Norte Monterrey, Nu</t>
  </si>
  <si>
    <t xml:space="preserve">MANUFACTURAS METALICAS CORREA — Priv. de los Gómez Los Gómez Soledad de </t>
  </si>
  <si>
    <t>MAQGARBEN Y SERVICIOS — Priv. Elias Flores, 810, Moderno Apodaca</t>
  </si>
  <si>
    <t>MECANOMATIC — España 440, San Nicolás Tolentino, Iztap</t>
  </si>
  <si>
    <t xml:space="preserve">METALWORKING — </t>
  </si>
  <si>
    <t>MJCELCO MEXICO — AVENIDA LUIS DONALDO COLOSIO Parque Indu</t>
  </si>
  <si>
    <t>DIN EN 12476 (Medición de Grano - Con aceite) | 2.54 - 7.62 µm</t>
  </si>
  <si>
    <t>MUCCINI — Aguascalientes, 1430, LOC 3 Reynosa, Tam</t>
  </si>
  <si>
    <t>DIN EN 12476 (Medición de Grano - Sin aceite) | 3 - 12 µm</t>
  </si>
  <si>
    <t>NEW DYNACAST DE MEXICO — San Mart�n Obispo Tepetlixpan, Cuautitl�</t>
  </si>
  <si>
    <t>DS258-103-00 (Estaño) | &gt; 5.08 µm &lt; 10.0 µm</t>
  </si>
  <si>
    <t>NEW DYNACAST DE MEXICO — Tejocotes Lote 77 2A</t>
  </si>
  <si>
    <t>E27550 (Plata) | 1.27 - 3.5 μm</t>
  </si>
  <si>
    <t>NICRO — NICRO Pirul 33 Bellavista Puente de Viga</t>
  </si>
  <si>
    <t>E27780 (Epóxico MT) | 50 - 100 mils</t>
  </si>
  <si>
    <t>NUEVA GENERACION MANUFACTURAS — Av. Tezozomoc 239</t>
  </si>
  <si>
    <t>Eco CU s/FE | 12.7 - 22 µm</t>
  </si>
  <si>
    <t>NUEVA GENERACION MANUFACTURAS — Fraccionamiento Industrial San Antonio A</t>
  </si>
  <si>
    <t xml:space="preserve">OLSON METAL PRODUCTS LLC — OLSON WEST ALGONQUIN ROAD 511 ARLINGTON </t>
  </si>
  <si>
    <t xml:space="preserve">POLLMANN DE MEXICO — Circuito Corral de Piedras 52 Corral de </t>
  </si>
  <si>
    <t>POLLMANN DE MEXICO — POLLMAN DE MEXICO Circuito Corral de Pie</t>
  </si>
  <si>
    <t xml:space="preserve">PROCESOS TECNICOS RAMIREZ — RAMIREZ Avenida de la Piedra 42 Ignacio </t>
  </si>
  <si>
    <t>PRODUCTOS EL ROBLE — BREA 188 Granjas México Ciudad de México</t>
  </si>
  <si>
    <t xml:space="preserve">PROGRESSIVE STAMPING DE MEXICO — PROGRESSIVE STAMPING DE MEXICO Calle 2, </t>
  </si>
  <si>
    <t>RESORTES Y PARTES — GUIZAR Y VALENCIA San Andrés Atoto Nauca</t>
  </si>
  <si>
    <t>ROYAL POWER SOLUTIONS — Royal Power Solutions //Eaton Carr Estat</t>
  </si>
  <si>
    <t>RPK MEXICO — controller@rpk.com.mx Oriente 5 Ciudad I</t>
  </si>
  <si>
    <t>SANMINA CORPORATION — SANMINA 2700 North First Street San Jose</t>
  </si>
  <si>
    <t>SANMINA-SCI DE MEXICO — Sanmina Mty AVENIDA INDUSTRIAL RIO SAN J</t>
  </si>
  <si>
    <t>SANMINA-SCI RSP DE MEXICO — SANMINA GDL Carretera.Guadalajara-Chapal</t>
  </si>
  <si>
    <t>SANMINA-SCI SYSTEMS DE MEXICO — Av. Solidaridad Iberoamericana 7020</t>
  </si>
  <si>
    <t>SANMINA-SCI SYSTEMS DE MEXICO — Club de Golf Atlas, El Salto Jalisco, 45</t>
  </si>
  <si>
    <t xml:space="preserve">SCHNEIDER ELECTRIC MEXICO — Javier Rojo Gómez 1121-A, Guadalupe del </t>
  </si>
  <si>
    <t>SCHNEIDER ELECTRIC USA INC — 5914 San Bernardo, Suite 4-960, Laredo,,</t>
  </si>
  <si>
    <t>SCHNEIDER ELECTRIC USA INC — Vesta Industrial Park Querétaro, Av. Ves</t>
  </si>
  <si>
    <t>Steelhead Manufacturing — 12501 Grand River Rd Brighton, MI  48116</t>
  </si>
  <si>
    <t>Steelhead Manufacturing — av 1 de mayo 1801 toluca, mexico 51200 t</t>
  </si>
  <si>
    <t xml:space="preserve">STK INDUSTRIAS — CARRETERA A VILLA DE GARCIA 2501-BODEGA </t>
  </si>
  <si>
    <t xml:space="preserve">TECNOLOGIA HERGO — PRIV. DE JOSE CLARK FLORES 104, Moderna </t>
  </si>
  <si>
    <t>THYSSENKRUPP MATERIALS DE MEXICO — KM 117 AUTOPISTA MEXICO PUEBLA Sin Numer</t>
  </si>
  <si>
    <t>TINPRECISION — TINPRECISION 20 de Noviembre 1001 Santia</t>
  </si>
  <si>
    <t>TROQUELADOS INDUSTRIALES DE PRECISION — ING. RICARDO RAMIREZ Adolfo Lopez Mateos</t>
  </si>
  <si>
    <t>ZION &amp; EBENEZER TECHNOLOGIES — Estado de México 1 Int. 2 y 3, Prof. Cri</t>
  </si>
  <si>
    <t>Cálculo de consumo de materia prima por pieza</t>
  </si>
  <si>
    <t>Metales: densidad×área×espesor/10⁷=kg. AT:0.0012L/kg_Cu. Epóx:g/m×LM/453.592=lb. MTR:MT×1.07</t>
  </si>
  <si>
    <t>Espesor se lee automáticamente de Upload (punto medio del rango de la Spec). Puede editarse directamente.</t>
  </si>
  <si>
    <t>#</t>
  </si>
  <si>
    <t>Material</t>
  </si>
  <si>
    <t>Símbolo</t>
  </si>
  <si>
    <t>Densidad
(g/cm³)</t>
  </si>
  <si>
    <t>ID</t>
  </si>
  <si>
    <t>BOM Item SH</t>
  </si>
  <si>
    <t>Keyword</t>
  </si>
  <si>
    <t>Ag</t>
  </si>
  <si>
    <t>Plata Fina</t>
  </si>
  <si>
    <t>Sn</t>
  </si>
  <si>
    <t>Estaño Puro</t>
  </si>
  <si>
    <t>Ni</t>
  </si>
  <si>
    <t>Níquel Metálico</t>
  </si>
  <si>
    <t>Zn</t>
  </si>
  <si>
    <t>Zinc Metálico</t>
  </si>
  <si>
    <t>Cu</t>
  </si>
  <si>
    <t>Placa Cobre Electrolítico</t>
  </si>
  <si>
    <t>Sterlingshield S</t>
  </si>
  <si>
    <t>LTS</t>
  </si>
  <si>
    <t>Epóxica MT</t>
  </si>
  <si>
    <t>Epoxy MT</t>
  </si>
  <si>
    <t>LBR</t>
  </si>
  <si>
    <t>Epóx</t>
  </si>
  <si>
    <t>Epóxica BT</t>
  </si>
  <si>
    <t>Epoxica BT</t>
  </si>
  <si>
    <t>Epóxica MT Roja</t>
  </si>
  <si>
    <t>Epoxica MT Red</t>
  </si>
  <si>
    <t>CÁLCULO POR NÚMERO DE PARTE</t>
  </si>
  <si>
    <t>PN</t>
  </si>
  <si>
    <t>Área
(cm²)</t>
  </si>
  <si>
    <t>Esp.1
(µm)</t>
  </si>
  <si>
    <t>Esp.2
(µm)</t>
  </si>
  <si>
    <t>Spec1
keyword</t>
  </si>
  <si>
    <t>Spec2
keyword</t>
  </si>
  <si>
    <t>Plata
(kg)</t>
  </si>
  <si>
    <t>Estaño
(kg)</t>
  </si>
  <si>
    <t>Níquel
(kg)</t>
  </si>
  <si>
    <t>Zinc
(kg)</t>
  </si>
  <si>
    <t>Cobre
(kg)</t>
  </si>
  <si>
    <t>AT
(L)</t>
  </si>
  <si>
    <t>MT
(lb)</t>
  </si>
  <si>
    <t>BT
(lb)</t>
  </si>
  <si>
    <t>MTR
(lb)</t>
  </si>
  <si>
    <t>CALC</t>
  </si>
  <si>
    <t>Líneas</t>
  </si>
  <si>
    <t>Departamentos</t>
  </si>
  <si>
    <t>T101-LI Pre Limpieza (4 - 5)</t>
  </si>
  <si>
    <t>T103-LI Cromo Duro (11)</t>
  </si>
  <si>
    <t>T104-LI Zinc y Estaño Manual (6)</t>
  </si>
  <si>
    <t>Administración</t>
  </si>
  <si>
    <t>Almacén</t>
  </si>
  <si>
    <t>Almacén de Materia Prima</t>
  </si>
  <si>
    <t>Calidad</t>
  </si>
  <si>
    <t>Compras</t>
  </si>
  <si>
    <t>Contabilidad</t>
  </si>
  <si>
    <t>Dirección</t>
  </si>
  <si>
    <t>Ingeniería de Procesos</t>
  </si>
  <si>
    <t>Laboratorio</t>
  </si>
  <si>
    <t>Mantenimiento</t>
  </si>
  <si>
    <t>Recursos Humanos</t>
  </si>
  <si>
    <t>Sistemas</t>
  </si>
  <si>
    <t>T106-LI Zinc Automático (8)</t>
  </si>
  <si>
    <t>T107-LI Plata (9)</t>
  </si>
  <si>
    <t>T108-LI Electroless Níquel (14)</t>
  </si>
  <si>
    <t>T109-LI Varios Manual (10)</t>
  </si>
  <si>
    <t>T110-LI Rack Automático (13)</t>
  </si>
  <si>
    <t>T111-LI Ensamble (13.1)</t>
  </si>
  <si>
    <t>T112-LI Barril Automático (15)</t>
  </si>
  <si>
    <t>T113-LI Rack Automático (16)</t>
  </si>
  <si>
    <t>T114-LI Barril Automático (16.1)</t>
  </si>
  <si>
    <t>T115-LI Anodizado (17)</t>
  </si>
  <si>
    <t>T116-LI Rack Automático (18)</t>
  </si>
  <si>
    <t>T117-LI Rack Automático (19)</t>
  </si>
  <si>
    <t>T200-LI CuSO4 Automático (1)</t>
  </si>
  <si>
    <t>T201-LI Níquel Automático (2)</t>
  </si>
  <si>
    <t>T202-LI Cromo Decorativo (3)</t>
  </si>
  <si>
    <t>T203-LI Zinc (7.1)</t>
  </si>
  <si>
    <t>T204-LI Varios Manual (10.1)</t>
  </si>
  <si>
    <t>T205-LI Plata (9.1)</t>
  </si>
  <si>
    <t>T206-LI Electroless Níquel (14.1)</t>
  </si>
  <si>
    <t>T207-LI Enjuague Rack Auto (2.1)</t>
  </si>
  <si>
    <t>T208-LI Pre Limpieza (4.1)</t>
  </si>
  <si>
    <t>Logística</t>
  </si>
  <si>
    <t>Planta 1</t>
  </si>
  <si>
    <t>Planta 2</t>
  </si>
  <si>
    <t>Seguridad e Higiene</t>
  </si>
  <si>
    <t>Taller Mecánico</t>
  </si>
  <si>
    <t>Tratamiento de Aguas</t>
  </si>
  <si>
    <t>Ventas</t>
  </si>
  <si>
    <t>Ventas Internacionales</t>
  </si>
  <si>
    <t>Fin</t>
  </si>
  <si>
    <t>T100 (PUL)-T103 (CRD)-T103 (ACE)-T100 (ABR)-FE-FISHER (11.0)</t>
  </si>
  <si>
    <t>T101 (DEC)-T109 (NBR)-FE/AC-GRANEL (15.0)</t>
  </si>
  <si>
    <t>T101 (DEC)-T109 (NSU)-FE/AC-GRANEL (15.0)</t>
  </si>
  <si>
    <t>T101 (ROD)-T108 (NWO)-T108 (NEL)-T109 (PAS)-INOX/FE-VARIOS (13.0)</t>
  </si>
  <si>
    <t>T101 (ROD)-T109 (NBR)-FE/AC-GRANEL (15.0)</t>
  </si>
  <si>
    <t>T101 (ROD)-T109 (NBR)-T100 (HOR)-FE/AC-GRANEL (15.0)</t>
  </si>
  <si>
    <t>T101 (ROD)-T109 (NSU)-FE/AC-GRANEL (15.0)</t>
  </si>
  <si>
    <t>T101 (ROD)-T109 (NSU)-T100 (HOR)-FE/AC-GRANEL (15.0)</t>
  </si>
  <si>
    <t>T101 (ROD)-T112 (NEL)-T109 (PAS)-FE-VARIOS (13.2)</t>
  </si>
  <si>
    <t>T101 (ROD)-T112 (NWO)-T112 (NEL)-T112 (ACE)-INOX-MONEDA (13.2)</t>
  </si>
  <si>
    <t>T103 (CRD)-FE-VEEBALL (11.0)</t>
  </si>
  <si>
    <t>T109 (NBR)-FE/AC-GRANEL (15.0)</t>
  </si>
  <si>
    <t>T109 (NBR)-T100 (HOR)-FE/AC-GRANEL (15.0)</t>
  </si>
  <si>
    <t>T109 (NSU)-FE/AC-GRANEL (15.0)</t>
  </si>
  <si>
    <t>T109 (NSU)-T100 (HOR)-FE/AC-GRANEL (15.0)</t>
  </si>
  <si>
    <t>T200 (REB)-T109 (NBR)-FE/AC-GRANEL (15.0)</t>
  </si>
  <si>
    <t>T200 (REB)-T109 (NBR)-T100 (HOR)-FE/AC-GRANEL (15.0)</t>
  </si>
  <si>
    <t>T200 (REB)-T109 (NSU)-FE/AC-GRANEL (15.0)</t>
  </si>
  <si>
    <t>T200 (REB)-T109 (NSU)-T100 (HOR)-FE/AC-GRANEL (15.0)</t>
  </si>
  <si>
    <t>T201 (DEC)-T201 (EST)-T401 (EBT)-CU-VARIOS (25.0)</t>
  </si>
  <si>
    <t>T401 (EMT)-T201 (DEC)-T201 (EST)-CU-VARIOS (25.0)</t>
  </si>
  <si>
    <t>Cancelación por NC</t>
  </si>
  <si>
    <t>1.28.032 (Níquel) | 2.54 - 7.62 μm</t>
  </si>
  <si>
    <t>1.28.032 (Níquel) | 5.8 - 8.89 μm</t>
  </si>
  <si>
    <t>1.28.032 (Níquel) | 7.62 - 15.24 μm</t>
  </si>
  <si>
    <t>40004-022-01 (Estaño s/Aluminio) | 5.08 µm - 7.54 µm</t>
  </si>
  <si>
    <t>48053-001-01 (Deshidrogenado)</t>
  </si>
  <si>
    <t>48057-002-01 (Níquel) | 2.5 - 5.0 μm</t>
  </si>
  <si>
    <t>48057-003-01 (Zinc Cromato Claro | 6.0 - 10.0 μm</t>
  </si>
  <si>
    <t>48951-001-01 (Rebabeo)</t>
  </si>
  <si>
    <t>48951-001-02 (Rebabeo)</t>
  </si>
  <si>
    <t>80065-DS-008 (Plata) | 0.5 - 1.0 μm</t>
  </si>
  <si>
    <t>A-48057-003 (Zinc) | 5.0 -8.0 μm</t>
  </si>
  <si>
    <t>ASTM B 633 (Zinc Cromato Claro) | 8.0 - 12.0 μm</t>
  </si>
  <si>
    <t>ASTM B689  TYPE I CLASS 5 (Niquel) | 7.6 - 12.7 μm</t>
  </si>
  <si>
    <t>ASTM B689 (Níquel) | 15.0 - 25.0 μm</t>
  </si>
  <si>
    <t>ASTM B700 (Plata) | 7.6 - 12.7 μm</t>
  </si>
  <si>
    <t>ASTM B700-97 (Plata) | 0.4 - 2.5 μm</t>
  </si>
  <si>
    <t>AUD-CONSERVAION-PROD-CLIENTE</t>
  </si>
  <si>
    <t>BURNDY DI-EI-01/81 (Estaño) | 5.0 - 12.0 μm</t>
  </si>
  <si>
    <t>F4383 (Estaño) | 7.62 - 25.4 μm</t>
  </si>
  <si>
    <t>T104-FL01</t>
  </si>
  <si>
    <t>T116-FL01</t>
  </si>
  <si>
    <t>T207-FL01</t>
  </si>
  <si>
    <t>T103-RA05</t>
  </si>
  <si>
    <t>T103-RA06</t>
  </si>
  <si>
    <t>T103-RA07</t>
  </si>
  <si>
    <t>T103-RA08</t>
  </si>
  <si>
    <t>T103-RA10</t>
  </si>
  <si>
    <t>T103-RA11</t>
  </si>
  <si>
    <t>T103-RA12</t>
  </si>
  <si>
    <t>T201-RA01</t>
  </si>
  <si>
    <t>T201-RA02</t>
  </si>
  <si>
    <t>T204-RA01</t>
  </si>
  <si>
    <t>T204-RA02</t>
  </si>
  <si>
    <t>T204-RA03</t>
  </si>
  <si>
    <t>T204-RA04</t>
  </si>
  <si>
    <t>T204-RA05</t>
  </si>
  <si>
    <t>T205-RA11</t>
  </si>
  <si>
    <t>T205-RA12</t>
  </si>
  <si>
    <t>PruebaSoloPN</t>
  </si>
  <si>
    <t>REFERENCIA IBMS</t>
  </si>
  <si>
    <t>QuoteIBMS</t>
  </si>
  <si>
    <t>EstacionIBMS</t>
  </si>
  <si>
    <t>Plano</t>
  </si>
  <si>
    <t>Piezas por Carga</t>
  </si>
  <si>
    <t>Cargas por Hora</t>
  </si>
  <si>
    <t>Tiempo de Entrega</t>
  </si>
  <si>
    <t>Notas adicionales</t>
  </si>
  <si>
    <t>T101 (BDP)-CU-VARIOS (4.0)</t>
  </si>
  <si>
    <t>T114 (FMS)-T114 (ACE)-FE-PIÑON (7.1)</t>
  </si>
  <si>
    <t>T114 (FMS)-T114 (ACE)-FE-PISTON (7.1)</t>
  </si>
  <si>
    <t>T116 (FZI)-T116 (ACE)-FE-VARIOS (7.2)</t>
  </si>
  <si>
    <t>T116 (PAV)-T116 (ACE)-FE-VARIOS (7.2)</t>
  </si>
  <si>
    <t>T207 (AND)-AL-VARIOS (16.4)</t>
  </si>
  <si>
    <t>T207 (AND)-T207 (TIN)-AL-VARIOS (16.4)</t>
  </si>
  <si>
    <t>T401 (EBT)-CU-VARIOS (30.0)</t>
  </si>
  <si>
    <t>T401 (EMR)-CU-VARIOS (30.0)</t>
  </si>
  <si>
    <t>T401 (EMT)-CU-VARIOS (30.0)</t>
  </si>
  <si>
    <t>Cromato Amarillo Especial</t>
  </si>
  <si>
    <t>Cromato Negro</t>
  </si>
  <si>
    <t>Cromato Trivalente Tropicalizado</t>
  </si>
  <si>
    <t>Cromato Tropicalizado (Amarillo)</t>
  </si>
  <si>
    <t>Níquel Brillante (Sulfato)</t>
  </si>
  <si>
    <t>Rodado</t>
  </si>
  <si>
    <t>Tinta Azul</t>
  </si>
  <si>
    <t>Tinta Negra</t>
  </si>
  <si>
    <t>Tinta Roja</t>
  </si>
  <si>
    <t>Tinta Verde</t>
  </si>
  <si>
    <t>Zinc Claro (Azul)</t>
  </si>
  <si>
    <t>ABIGAHIL FLORES SANCHEZ</t>
  </si>
  <si>
    <t>ALAN EMANUEL URBINA AZOTEA</t>
  </si>
  <si>
    <t>ALEJANDRO LOPEZ ZARATE</t>
  </si>
  <si>
    <t>ALEJANDRO MARTINEZ ENRIQUEZ</t>
  </si>
  <si>
    <t>ALEJANDRO ROCHA RAMIREZ</t>
  </si>
  <si>
    <t>ALEXA RENEE PAGES DE ROSENZWEIG</t>
  </si>
  <si>
    <t>ALFONSO ESTRADA SANCHEZ</t>
  </si>
  <si>
    <t>ALFONSO FLORES HERNANDEZ</t>
  </si>
  <si>
    <t>ALFONSO GONZALEZ BECERRIL</t>
  </si>
  <si>
    <t>AMALIO ALVARADO ESCANDON</t>
  </si>
  <si>
    <t>ANA LAURA GONZALEZ MARTINEZ</t>
  </si>
  <si>
    <t>ANDRES LOPEZ RICO</t>
  </si>
  <si>
    <t>ANGEL CESAR CALDERON CONTRERAS</t>
  </si>
  <si>
    <t>ANGEL DANIEL GUADARRAMA DOMINGUEZ</t>
  </si>
  <si>
    <t>ANGEL FRANCISCO HERNANDEZ PUGA</t>
  </si>
  <si>
    <t>ANGEL PASCUAL MARCIAL DEL</t>
  </si>
  <si>
    <t>ANGEL VILLEGAS GUADARRAMA</t>
  </si>
  <si>
    <t>ANGELICA PEREZ FLORES</t>
  </si>
  <si>
    <t>ANGELINA FLORES SANCHEZ</t>
  </si>
  <si>
    <t>ANTONIO CORRAL TEMAHUAYA</t>
  </si>
  <si>
    <t>ANUHAR SILVA GARCIA</t>
  </si>
  <si>
    <t>ANYELO RICARDO GONZALEZ TORRES</t>
  </si>
  <si>
    <t>ARI EDUARDO MARTINEZ VALDEZ</t>
  </si>
  <si>
    <t>ARIADNA PAOLA CEBALLOS ROMERO</t>
  </si>
  <si>
    <t>ARTURO MORALES MARIN</t>
  </si>
  <si>
    <t>AURELIANO GARCIA GARCIA</t>
  </si>
  <si>
    <t>BENITO RODOLFO ALVARADO SALAS</t>
  </si>
  <si>
    <t>BERNARDO ROMERO HERNANDEZ</t>
  </si>
  <si>
    <t>BRANDON DIAZ MONDRAGON</t>
  </si>
  <si>
    <t>BRAULIO HERNANDEZ CUADROS</t>
  </si>
  <si>
    <t>BRAYAN NOE PICHARDO FRIAS</t>
  </si>
  <si>
    <t>BRAYAN OSCAR GONZALEZ LUJA</t>
  </si>
  <si>
    <t>BRENDA MARLEN MARTINEZ FLORES</t>
  </si>
  <si>
    <t>BRYAN AGUILAR MEJIA</t>
  </si>
  <si>
    <t>CARLOS ALBERTO ARZATE VAZQUEZ</t>
  </si>
  <si>
    <t>CARLOS ALBERTO BERNAL VALDES</t>
  </si>
  <si>
    <t>CARLOS ALBERTO FERNANDEZ REYES</t>
  </si>
  <si>
    <t>CARLOS ALBERTO ORTEGA HERNANDEZ</t>
  </si>
  <si>
    <t>CARLOS ALEXANDER GONZALEZ RAMIREZ</t>
  </si>
  <si>
    <t>CARLOS GARCIA AVILES</t>
  </si>
  <si>
    <t>CARLOS JACALES PIEDRA</t>
  </si>
  <si>
    <t>CARLOS MILLAN DURAN</t>
  </si>
  <si>
    <t>CARLOS SANTANA HERNANDEZ</t>
  </si>
  <si>
    <t>CARLOS SANTANA VALDES</t>
  </si>
  <si>
    <t>CARMEN DOMINGUEZ CASTILLO</t>
  </si>
  <si>
    <t>CATALINA BALLESTEROS RODRIGUEZ</t>
  </si>
  <si>
    <t>CELIA MALVAEZ DOMINGUEZ</t>
  </si>
  <si>
    <t>CESAR ALEJANDRO REYES HERNANDEZ</t>
  </si>
  <si>
    <t>CESAR GARCIA APOLONIO</t>
  </si>
  <si>
    <t>CHRISTIAN GONZALEZ VENTA</t>
  </si>
  <si>
    <t>CHRYSTIAN GEOVANI HERNANDEZ NAVA</t>
  </si>
  <si>
    <t>CRISTIAN GEOVANI RUIZ GUTIERREZ</t>
  </si>
  <si>
    <t>CRISTIAN REYES PICHARDO</t>
  </si>
  <si>
    <t>CRUZ OROZCO ALDAMA</t>
  </si>
  <si>
    <t>DAISY VILLAGRAN SEGUNDO</t>
  </si>
  <si>
    <t>DAMIAN AGUILAR OLMOS</t>
  </si>
  <si>
    <t>DANIEL SHARSHI LAZARO</t>
  </si>
  <si>
    <t>DANIEL VILLANUEVA HERNANDEZ</t>
  </si>
  <si>
    <t>DAVID ALBERTO MARTINEZ SANCHEZ</t>
  </si>
  <si>
    <t>DAVID ALEJANDRO ALVAREZ DOMINGUEZ</t>
  </si>
  <si>
    <t>DAVID CRUZ GARCIA</t>
  </si>
  <si>
    <t>DAVID GONZALEZ BECERRIL</t>
  </si>
  <si>
    <t>DAVID MACEDO ZARATE</t>
  </si>
  <si>
    <t>DAVID ROBERTO RIVERA PADILLA</t>
  </si>
  <si>
    <t>deployment</t>
  </si>
  <si>
    <t>DIANA IRIS VILLAGRAN SEGUNDO</t>
  </si>
  <si>
    <t>DIANA RUBI HEREDIA SANCHEZ</t>
  </si>
  <si>
    <t>DIEGO FERNANDO MILLAN ALVAREZ</t>
  </si>
  <si>
    <t>DIEGO REYES VARELA</t>
  </si>
  <si>
    <t>DIEGO RIVERA TREJO</t>
  </si>
  <si>
    <t>DIEGO SAENZ ORTIZ</t>
  </si>
  <si>
    <t>DOLORES BELTRAN GONZALEZ</t>
  </si>
  <si>
    <t>DULCE MARIA ROMERO SANCHEZ</t>
  </si>
  <si>
    <t>EDUARDO A. CHI PECH</t>
  </si>
  <si>
    <t>EDUARDO MONDRAGON BLANCAS</t>
  </si>
  <si>
    <t>ELDER DAVID CONCEPCION NAVARRETE</t>
  </si>
  <si>
    <t>ELIUD GERMAN MUNOZ ALVAREZ</t>
  </si>
  <si>
    <t>EMANUEL HERNANDEZ ALBARRAN</t>
  </si>
  <si>
    <t>EMANUEL RUIZ ESQUIVEL</t>
  </si>
  <si>
    <t>EMILIO PICHARDO FRIAS</t>
  </si>
  <si>
    <t>ERICA GONZALEZ GARDUNO</t>
  </si>
  <si>
    <t>ERICK ALEJANDRO ROSALES BERNAL</t>
  </si>
  <si>
    <t>ERICK EFREN ESCAMILLA LOPEZ</t>
  </si>
  <si>
    <t>ERICK GABRIEL REYES LOPEZ</t>
  </si>
  <si>
    <t>ERICK JIMENEZ MONDRAGON</t>
  </si>
  <si>
    <t>ERNESTO GERARDO RIOS ALVAREZ</t>
  </si>
  <si>
    <t>ERNESTO MARTINEZ DE LA CRUZ</t>
  </si>
  <si>
    <t>ERNESTO SANCHEZ CRISANTOS</t>
  </si>
  <si>
    <t>ERON ROSARIO VALLEJO</t>
  </si>
  <si>
    <t>ESTEBAN CLEMENTE NOLASCO</t>
  </si>
  <si>
    <t>ESTEBAN JESUS MARTINEZ VALLEJO</t>
  </si>
  <si>
    <t>EUGENIO CHAVEZ SANCHEZ</t>
  </si>
  <si>
    <t>EULOGIO LOPEZ COLIN</t>
  </si>
  <si>
    <t>EVELIN MARTINEZ GUTIERREZ</t>
  </si>
  <si>
    <t>EYMI CELAYA DIAZ</t>
  </si>
  <si>
    <t>FABIAN JESUS TREVILLA PEREZ</t>
  </si>
  <si>
    <t>FELIPE PORFIRIO GARCIA</t>
  </si>
  <si>
    <t>FELIPE TERRON VAZQUEZ</t>
  </si>
  <si>
    <t>FERNANDO HERNANDEZ SALAZAR</t>
  </si>
  <si>
    <t>FERNANDO OCTAVIO ANAYA ALBARRAN</t>
  </si>
  <si>
    <t>FERNANDO OLIVARES VELAZQUEZ</t>
  </si>
  <si>
    <t>FERNANDO PAGES</t>
  </si>
  <si>
    <t>FRANCISCO JAVIER DIAZ HERNANDEZ</t>
  </si>
  <si>
    <t>FROYLAN QUIRINO MARTINEZ</t>
  </si>
  <si>
    <t>GABRIEL CORREA GONZALEZ</t>
  </si>
  <si>
    <t>GABRIEL IGNACIO MATA VEGA</t>
  </si>
  <si>
    <t>GALDINO VIVANCO EVARISTO</t>
  </si>
  <si>
    <t>GERARDO FLORES SALGADO</t>
  </si>
  <si>
    <t>GERARDO GUTIERREZ ALVA</t>
  </si>
  <si>
    <t>GERARDO VALLEJO PEREZ</t>
  </si>
  <si>
    <t>GERMAN GONZALEZ BECERRIL</t>
  </si>
  <si>
    <t>GERMAN MOYA CONTRERAS</t>
  </si>
  <si>
    <t>GILBERTO ARMANDO ARELLANO ONTIVEROS</t>
  </si>
  <si>
    <t>GIOVANNI JAVIER LOURIDO PONCE</t>
  </si>
  <si>
    <t>GREGORIO MAURO CIENEGA GONZALEZ</t>
  </si>
  <si>
    <t>GUADALUPE ESPINOSA OSORIO</t>
  </si>
  <si>
    <t>GUADALUPE LETICIA ORTEGA SANTANA</t>
  </si>
  <si>
    <t>GUILLERMO GARCIA ROSALES</t>
  </si>
  <si>
    <t>GUILLERMO MARTINEZ LOPEZ</t>
  </si>
  <si>
    <t>GUILLERMO TEPEPA GRANDA</t>
  </si>
  <si>
    <t>GUSTAVO ADOLFO GARCIA MORALES</t>
  </si>
  <si>
    <t>GUSTAVO ANGEL ANGELES GONZALEZ</t>
  </si>
  <si>
    <t>HECTOR PUGA GRANADOS</t>
  </si>
  <si>
    <t>HECTOR VAZQUEZ MONTES</t>
  </si>
  <si>
    <t>HERMINO TORAL MORA</t>
  </si>
  <si>
    <t>HORACIO CELAYA ENGUILO</t>
  </si>
  <si>
    <t>HUGO VILLANUEVA MARTINEZ</t>
  </si>
  <si>
    <t>ISMAEL HERNANDEZ NAVA</t>
  </si>
  <si>
    <t>ISRAEL DE JESUS ANGELES</t>
  </si>
  <si>
    <t>ISRAEL GOMEZ JIMENEZ</t>
  </si>
  <si>
    <t>ISRAEL MEJIA CORANGUEZ</t>
  </si>
  <si>
    <t>JACOBO REYES ALVAREZ</t>
  </si>
  <si>
    <t>JAIR JIMENEZ MONDRAGON</t>
  </si>
  <si>
    <t>JANELI PAULETTE MARTINEZ ARRIAGA</t>
  </si>
  <si>
    <t>JAROL ALEXIS FLORES HERNANDEZ</t>
  </si>
  <si>
    <t>JAVIER ALVAREZ MIRANDA</t>
  </si>
  <si>
    <t>JAVIER VALDEZ BECERRIL</t>
  </si>
  <si>
    <t>JAZMIN MONDRAGON BOTELLO</t>
  </si>
  <si>
    <t>JESUS ANGELES TIRZO</t>
  </si>
  <si>
    <t>JESUS AXEL GUADALUPE ALCANTARA</t>
  </si>
  <si>
    <t>JESUS FLORES ROMERO</t>
  </si>
  <si>
    <t>JESUS HERNANDEZ GOMEZ</t>
  </si>
  <si>
    <t>JESUS ROMERO GARCIA</t>
  </si>
  <si>
    <t>JESUS SANCHEZ GALVAN</t>
  </si>
  <si>
    <t>JOEL ADRIAN GUADARRAMA MARTINEZ</t>
  </si>
  <si>
    <t>JONATAN OMAR ALCANTARA ESCOBEDO</t>
  </si>
  <si>
    <t>JONATHAN HERNANDEZ SANCHEZ</t>
  </si>
  <si>
    <t>JORGE ALBERTO LOPEZ COLIN</t>
  </si>
  <si>
    <t>JORGE CAMPOS GARCIA</t>
  </si>
  <si>
    <t>JORGE EMILIANO AVELINO BELMONT</t>
  </si>
  <si>
    <t>JORGE MEJIA VAZQUEZ</t>
  </si>
  <si>
    <t>JORGE TURRAL ROSAS</t>
  </si>
  <si>
    <t>JOSE ADRIAN PEREZ CARBAJAL</t>
  </si>
  <si>
    <t>JOSE ADRIAN ZAMORA FLORES</t>
  </si>
  <si>
    <t>JOSE ALBERTO GOMEZ VALDES</t>
  </si>
  <si>
    <t>JOSE ANGEL DOMINGUEZ NAVA</t>
  </si>
  <si>
    <t>JOSE ANGEL MIRANDA SANTIN</t>
  </si>
  <si>
    <t>JOSE ANTONIO GUTIERREZ MORA</t>
  </si>
  <si>
    <t>JOSE ANTONIO HERNANDEZ NAVA</t>
  </si>
  <si>
    <t>JOSE DANIEL CONTRERAS PICHARDO</t>
  </si>
  <si>
    <t>JOSE DE JESUS AGUILAR MARTINEZ</t>
  </si>
  <si>
    <t>JOSE GUADALUPE FELIX MUNGUIA</t>
  </si>
  <si>
    <t>JOSE GUADALUPE GONZALEZ MAYA</t>
  </si>
  <si>
    <t>JOSE LUIS FLORES DOMINGUEZ</t>
  </si>
  <si>
    <t>JOSE LUIS JIMENEZ MONDRAGON</t>
  </si>
  <si>
    <t>JOSE LUIS JULIAN ALBINO</t>
  </si>
  <si>
    <t>JOSE LUIS LOPEZ COLIN</t>
  </si>
  <si>
    <t>JOSE LUIS MARTINEZ ACEVES</t>
  </si>
  <si>
    <t>JOSE LUIS RIVAS REBOLLO</t>
  </si>
  <si>
    <t>JOSE LUIS SAMANO GARCIA</t>
  </si>
  <si>
    <t>JOSE MANUEL GALVAN ERASTO</t>
  </si>
  <si>
    <t>JOSE MANUEL JIMENEZ JIMENEZ</t>
  </si>
  <si>
    <t>JOSE MANUEL REBOLLAR DELGADO</t>
  </si>
  <si>
    <t>JOSE MARCO ANTONIO VELAZQUEZ GUADARRAMA</t>
  </si>
  <si>
    <t>JOSE MIGUEL REGINO ALVARADO</t>
  </si>
  <si>
    <t>JOSE RAUL GONZALEZ ARRIAGA</t>
  </si>
  <si>
    <t>JOSE YAEL ALVAREZ DOMINGUEZ</t>
  </si>
  <si>
    <t>JOSUE GALVAN COLIN</t>
  </si>
  <si>
    <t>JOSUE GONZALES AVILES</t>
  </si>
  <si>
    <t>JUAN ANTONIO SALDANA CLAVEL</t>
  </si>
  <si>
    <t>JUAN CARLOS CHAVEZ MONDRAGON</t>
  </si>
  <si>
    <t>JUAN CARLOS GONZALEZ GUTIERREZ</t>
  </si>
  <si>
    <t>JUAN CARLOS NAVA REYES</t>
  </si>
  <si>
    <t>JUAN CARLOS PORTILLO MEDINA</t>
  </si>
  <si>
    <t>JUAN CERRITOS JASSO</t>
  </si>
  <si>
    <t>JUAN ERNESTO GARDUNO PALMA</t>
  </si>
  <si>
    <t>JUAN MORALES AGUILAR</t>
  </si>
  <si>
    <t>JUANA CAPULIN EVARISTO</t>
  </si>
  <si>
    <t>JULIANA FRANCELLY LINARES ALCANTARA</t>
  </si>
  <si>
    <t>JULIO MARTINEZ ARAUJO</t>
  </si>
  <si>
    <t>KARINA ALVAREZ MENDIETA</t>
  </si>
  <si>
    <t>KARLA HERNANDEZ BENITEZ</t>
  </si>
  <si>
    <t>KEVIN ISRAEL PEREZ NUÑEZ</t>
  </si>
  <si>
    <t>KEVIN RODRIGO LARA RUIZ</t>
  </si>
  <si>
    <t>KEVIN YAHIR CARBAJAL ARRIAGA</t>
  </si>
  <si>
    <t>LARISSA YUDID CASTILLO PRADO</t>
  </si>
  <si>
    <t>LAZARO MORALES ESTRADA</t>
  </si>
  <si>
    <t>LEANDRO HERNANDEZ REYES</t>
  </si>
  <si>
    <t>LIDIA BELTRAN GONZALEZ</t>
  </si>
  <si>
    <t>LIZBETH REYES ALCANTARA</t>
  </si>
  <si>
    <t>LIZETH DAVILA DAVID</t>
  </si>
  <si>
    <t>LORENZO ORTEGA ROMERO</t>
  </si>
  <si>
    <t>LUIS ANGEL HUARACHE SABINO</t>
  </si>
  <si>
    <t>LUIS BARRANCO MELITON</t>
  </si>
  <si>
    <t>LUIS DANIEL NUÑEZ PIÑA</t>
  </si>
  <si>
    <t>LUIS GUSTAVO VELAZQUEZ CAMACHO</t>
  </si>
  <si>
    <t>LUIS JAVIER ESQUIVEL GOMEZ</t>
  </si>
  <si>
    <t>LUIS ORLANDO MORENO MARTINEZ</t>
  </si>
  <si>
    <t>MARCO ANTONIO ROMERO HERRERA</t>
  </si>
  <si>
    <t>MARIA ALTAGRACIA ALMAZAN DOMINGUEZ</t>
  </si>
  <si>
    <t>MARIA DE LA LUZ PEREZ CABRERA</t>
  </si>
  <si>
    <t>MARIA DEL CARMEN ESQUIVEL DE JESUS</t>
  </si>
  <si>
    <t>MARIA EUGENIA ALMAZAN DOMINGUEZ</t>
  </si>
  <si>
    <t>MARIA GUADALUPE ROSALES VALLE</t>
  </si>
  <si>
    <t>MARIA INES IGNACIO REYES</t>
  </si>
  <si>
    <t>MARIA ITZEL ESCOBAR ALBARRAN</t>
  </si>
  <si>
    <t>MARIA TERESA ANGELES TIRZO</t>
  </si>
  <si>
    <t>MARICRUZ SALAZAR RICO</t>
  </si>
  <si>
    <t>MARIO MENDOZA MORENO</t>
  </si>
  <si>
    <t>MARTHA CEJUDO ROJAS</t>
  </si>
  <si>
    <t>MARTHA JACQUELINE CARTA DESALES</t>
  </si>
  <si>
    <t>MARTIN ALVAREZ ROJAS</t>
  </si>
  <si>
    <t>MARTIN REYES TELLEZ</t>
  </si>
  <si>
    <t>MAURICIO ALBERTO CARBAJAL LOPEZ</t>
  </si>
  <si>
    <t>MAURICIO ALBERTO CASTRO TREJO</t>
  </si>
  <si>
    <t>MAXIMINO SIERRA MENDOZA</t>
  </si>
  <si>
    <t>MIGUEL ANGEL REYES CASTILLO</t>
  </si>
  <si>
    <t>MIGUEL ANGEL VAZQUEZ TAPIA</t>
  </si>
  <si>
    <t>MIGUEL ESCARAMUZA SANCHEZ</t>
  </si>
  <si>
    <t>MONICA ORTEGA RUIZ</t>
  </si>
  <si>
    <t>NESTOR LOPEZ IGLESIAS</t>
  </si>
  <si>
    <t>NOE GUADARRAMA MARTINEZ</t>
  </si>
  <si>
    <t>NOE RODOLFO CARBAJAL PADILLA</t>
  </si>
  <si>
    <t>NOE SARANDINGUA FRANCES</t>
  </si>
  <si>
    <t>NORBERTO ROMERO LERMA</t>
  </si>
  <si>
    <t>OBED HERNANDEZ ROBLES</t>
  </si>
  <si>
    <t>OBED RAMIRO VALDEZ BELTRAN</t>
  </si>
  <si>
    <t>OCTAVIO NERI BERNAL</t>
  </si>
  <si>
    <t>OCTAVIO SALGADO REYES</t>
  </si>
  <si>
    <t>OMAR FLORES HERNANDEZ</t>
  </si>
  <si>
    <t>OSCAR DAVID AGUILAR FLORES</t>
  </si>
  <si>
    <t>OSCAR GONZALEZ BALDERAS</t>
  </si>
  <si>
    <t>OSCAR MARTINEZ FUENTES</t>
  </si>
  <si>
    <t>OSVALDO MARTINEZ LOPEZ</t>
  </si>
  <si>
    <t>OSVALDO NAVA REYES</t>
  </si>
  <si>
    <t>PABLO GUADARRAMA SALINAS</t>
  </si>
  <si>
    <t>PAOLA BENITEZ VALLE</t>
  </si>
  <si>
    <t>PAOLA PALMA GUADARRAMA</t>
  </si>
  <si>
    <t>PASCUAL GIOVANNI LOPEZ MARTINEZ</t>
  </si>
  <si>
    <t>PAULA SUSANA VELAZQUEZ GARCIA</t>
  </si>
  <si>
    <t>PEDRO CUEVAS PEREZ</t>
  </si>
  <si>
    <t>PEDRO RAMIREZ CONTRERAS</t>
  </si>
  <si>
    <t>PERLA ITZEL GARCIA MARTINEZ</t>
  </si>
  <si>
    <t>Prueba</t>
  </si>
  <si>
    <t>RAFAEL OSCAR GARCIA GALEANA</t>
  </si>
  <si>
    <t>RAMON CAMILO PAGES DE ROSENZWEIG</t>
  </si>
  <si>
    <t>RAMON VALLEJO GIL</t>
  </si>
  <si>
    <t>RICARDO AMBRIZ CORRAL</t>
  </si>
  <si>
    <t>RICARDO MIGUEL MACARIO</t>
  </si>
  <si>
    <t>ROBERTO JESUS OROZCO MOLINA</t>
  </si>
  <si>
    <t>ROCIO GONZALEZ MARTINEZ</t>
  </si>
  <si>
    <t>RODRIGO MEJIA PERALTA</t>
  </si>
  <si>
    <t>RODRIGO MONTES HERNANDEZ</t>
  </si>
  <si>
    <t>ROGELIO ANGELES JIMENEZ</t>
  </si>
  <si>
    <t>ROLANDO HERNANDEZ ROMERO</t>
  </si>
  <si>
    <t>ROSALIA ALEJANDRA SABAS CHAVEZ</t>
  </si>
  <si>
    <t>ROSANNA KATHLEEN PAGES DE ROSENZWEIG</t>
  </si>
  <si>
    <t>RUBEN ANGEL OROZCO REYES</t>
  </si>
  <si>
    <t>RUFINO GONZALEZ BALDERAS</t>
  </si>
  <si>
    <t>RUTH ANDREA ALVAREZ VALDES</t>
  </si>
  <si>
    <t>SALVADOR ARRIAGA LOPEZ</t>
  </si>
  <si>
    <t>SALVADOR GONZALEZ DE AQUINO</t>
  </si>
  <si>
    <t>SAUL NOE MARTINEZ LOPEZ</t>
  </si>
  <si>
    <t>SEBASTIAN MOTA CONTRERAS</t>
  </si>
  <si>
    <t>SERGIO CESAR HERNANDEZ GUZMAN</t>
  </si>
  <si>
    <t>SERGIO MUNGUIA VENTOLERO</t>
  </si>
  <si>
    <t>SERGIO ROSALES PEREZ</t>
  </si>
  <si>
    <t>Support - Ecoplating</t>
  </si>
  <si>
    <t>TELESFORO FERNANDO MARTINEZ GARCIA</t>
  </si>
  <si>
    <t>TRINIDAD DOMINGUEZ CASTILLO</t>
  </si>
  <si>
    <t>URIEL ENRIQUE LOYOLA MENDOZA</t>
  </si>
  <si>
    <t>USIEL VIEYRA ALMONTE</t>
  </si>
  <si>
    <t>VENANCIO FELIX MUNGUIA</t>
  </si>
  <si>
    <t>VERONICA FLORES FLORES</t>
  </si>
  <si>
    <t>VERONICA GONZALEZ TORRES</t>
  </si>
  <si>
    <t>VICENTE RIVERA VEGA</t>
  </si>
  <si>
    <t>ZULMA CELESTE ALMANZA HERRERA</t>
  </si>
  <si>
    <t>Bimetales</t>
  </si>
  <si>
    <t>FPN123</t>
  </si>
  <si>
    <t>GM</t>
  </si>
  <si>
    <t>Kits</t>
  </si>
  <si>
    <t>Moneda</t>
  </si>
  <si>
    <t>Nuevo</t>
  </si>
  <si>
    <t>RFQ873FS</t>
  </si>
  <si>
    <t>S17A9813A1</t>
  </si>
  <si>
    <t>S18A2476A1</t>
  </si>
  <si>
    <t>S18A2479A1</t>
  </si>
  <si>
    <t>S18A2482A1</t>
  </si>
  <si>
    <t>S18A6259A2</t>
  </si>
  <si>
    <t>S39B1449E4</t>
  </si>
  <si>
    <t>Usuarios</t>
  </si>
  <si>
    <t>Grupos de Partes</t>
  </si>
  <si>
    <t>BOOSTER PRECISION COMPONENTS (BELUSA) S.R.O. — Beluša-Hloža 2520, Booster Precision Com</t>
  </si>
  <si>
    <t>CGR DE MEXICO — Sin Nombre 7, Fraccionamiento Industrial</t>
  </si>
  <si>
    <t>RESISTENCIAS JOV — Juárez 13, San José Iturbide,, Guanajuat</t>
  </si>
  <si>
    <t>Tlaxcala, Activo, Industrial, Querétaro</t>
  </si>
  <si>
    <t>Test Customer, Prospecto</t>
  </si>
  <si>
    <t>Nombre Cotización/Layout:</t>
  </si>
  <si>
    <t>Divisa:</t>
  </si>
  <si>
    <t>Carga Masiva Steelhead v8.4</t>
  </si>
  <si>
    <t>T100 (LMC)-T104 (EST)-CU-HUBBELL (6.0)</t>
  </si>
  <si>
    <t>T104 (ZIN)-T100 (HOR)-T104 (CAZ)-FE-VARIOS (6.0)</t>
  </si>
  <si>
    <t>T104 (ZIN)-T100 (HOR)-T104 (CTR)-FE-VARIOS (6.0)</t>
  </si>
  <si>
    <t>T104 (ZIN)-T100 (HOR)-T104 (CVO)-FE-VARIOS (6.0)</t>
  </si>
  <si>
    <t>T104 (ZIN)-T104 (CAZ)-FE-VARIOS (6.0)</t>
  </si>
  <si>
    <t>T104 (ZIN)-T104 (CTR)-FE-VARIOS (6.0)</t>
  </si>
  <si>
    <t>T104 (ZIN)-T104 (CVO)-FE-VARIOS (6.0)</t>
  </si>
  <si>
    <t>T105 (ZIN)-T100 (HOR)-T105 (CAZ)-FE-VARIOS (7.0)</t>
  </si>
  <si>
    <t>T105 (ZIN)-T105 (CAZ)-FE-VARIOS (7.0)</t>
  </si>
  <si>
    <t>T105 (ZIN)-T105 (CTR)-FE-VARIOS (7.0)</t>
  </si>
  <si>
    <t>T105 (ZIN)-T105 (CVO)-FE-VARIOS (7.0)</t>
  </si>
  <si>
    <t>T106 (ZIN)-T100 (HOR)-T106 (CAM)-FE-VARIOS (10.0)</t>
  </si>
  <si>
    <t>T106 (ZIN)-T100 (HOR)-T106 (CAZ)-FE-VARIOS (10.0)</t>
  </si>
  <si>
    <t>T106 (ZIN)-T106 (CAM)-FE-VARIOS (10.0)</t>
  </si>
  <si>
    <t>T106 (ZIN)-T106 (CAT)-FE-VARIOS (10.0)</t>
  </si>
  <si>
    <t>T106 (ZIN)-T106 (CAZ)-FE-VARIOS (10.0)</t>
  </si>
  <si>
    <t>T106 (ZIN)-T106 (CNE)-FE-VARIOS (10.0)</t>
  </si>
  <si>
    <t>T106 (ZIN)-T106 (CNT)-FE-VARIOS (10.0)</t>
  </si>
  <si>
    <t>T106 (ZIN)-T106 (CRJ)-FE-VARIOS (10.0)</t>
  </si>
  <si>
    <t>T106 (ZIN)-T106 (CTR)-FE-VARIOS (10.0)</t>
  </si>
  <si>
    <t>T106 (ZIN)-T106 (CTV)-FE-VARIOS (10.0)</t>
  </si>
  <si>
    <t>T106 (ZIN)-T106 (CVO)-FE-VARIOS (10.0)</t>
  </si>
  <si>
    <t>T108 (COB)-T108 (NWO)-T108 (NEL)-T108 (NCV)-T109 (PAS)-ZA-CROMVET (13.0)</t>
  </si>
  <si>
    <t>T108 (NWO)-T108 (COB)-T108 (NWO)-T108 (NEL)-T109 (PAS)-FE/ZA-VARIOS (13.0)</t>
  </si>
  <si>
    <t>T113 (ZIN)-T100 (HOR)-T113 (CAZ)-FE-VARIOS (17.0)</t>
  </si>
  <si>
    <t>T113 (ZIN)-T113 (CAZ)-FE-VARIOS (17.0)</t>
  </si>
  <si>
    <t>T117 (ZNQ)-T117 (CNN)-FE-BONETE (28.0)</t>
  </si>
  <si>
    <t>(seleccione)</t>
  </si>
  <si>
    <t>(seleccione o escriba)</t>
  </si>
  <si>
    <t>Rack Flybar o Barril (Carga)</t>
  </si>
  <si>
    <t>Rack Específico</t>
  </si>
  <si>
    <t>STEELHEAD AUTOMATOR v9 — GUÍA DE USO</t>
  </si>
  <si>
    <t>EXTENSIÓN CHROME</t>
  </si>
  <si>
    <t xml:space="preserve">   Instalar desde Chrome Web Store (link proporcionado por admin).</t>
  </si>
  <si>
    <t xml:space="preserve">   Funciona en Chrome y Microsoft Edge.</t>
  </si>
  <si>
    <t xml:space="preserve">   La extensión debe estar activa mientras se usa app.gosteelhead.com.</t>
  </si>
  <si>
    <t>MENÚ PRINCIPAL</t>
  </si>
  <si>
    <t xml:space="preserve">   📊 Carga Masiva — Cotizaciones y Números de Parte</t>
  </si>
  <si>
    <t xml:space="preserve">   🔍 Explorador Steelhead — Captura de APIs y hashes</t>
  </si>
  <si>
    <t>CARGA MASIVA — FLUJO</t>
  </si>
  <si>
    <t xml:space="preserve">   1. Descargar Plantilla (botón en extensión)</t>
  </si>
  <si>
    <t xml:space="preserve">   2. Actualizar Catálogos (botón en extensión, estando en Steelhead)</t>
  </si>
  <si>
    <t xml:space="preserve">   3. En Excel: ejecutar macro RefrescarListas (seleccionar archivo de catálogos)</t>
  </si>
  <si>
    <t xml:space="preserve">   4. Llenar datos en hoja Upload</t>
  </si>
  <si>
    <t xml:space="preserve">   5. Exportar CSV (macro ExportarCSV)</t>
  </si>
  <si>
    <t xml:space="preserve">   6. En Steelhead: clic en extensión → Carga Masiva → Cargar CSV</t>
  </si>
  <si>
    <t>MODOS</t>
  </si>
  <si>
    <t xml:space="preserve">   COTIZACIÓN+NP — Crea cotización con números de parte, precios y productos</t>
  </si>
  <si>
    <t xml:space="preserve">   SOLO_PN — Solo crea/modifica números de parte sin cotización</t>
  </si>
  <si>
    <t>HEADER (filas 3-12)</t>
  </si>
  <si>
    <t xml:space="preserve">   Modo          COTIZACIÓN+NP o SOLO_PN</t>
  </si>
  <si>
    <t xml:space="preserve">   Nombre Cot.   Requerido en modo COTIZACIÓN+NP</t>
  </si>
  <si>
    <t xml:space="preserve">   Cliente       Seleccionar del dropdown (nombre — dirección)</t>
  </si>
  <si>
    <t xml:space="preserve">   Proceso       Seleccionar del dropdown (default para todos los PNs)</t>
  </si>
  <si>
    <t xml:space="preserve">   Divisa        USD o MXN</t>
  </si>
  <si>
    <t xml:space="preserve">   Empresa       ECO, ECOPLATING, PRO o PROQUIPA</t>
  </si>
  <si>
    <t xml:space="preserve">   Notas Ext.    Visible al cliente (solo COTIZACIÓN)</t>
  </si>
  <si>
    <t xml:space="preserve">   Notas Int.    Solo equipo (solo COTIZACIÓN)</t>
  </si>
  <si>
    <t xml:space="preserve">   Asignado      Seleccionar del dropdown de usuarios</t>
  </si>
  <si>
    <t xml:space="preserve">   Válida hasta  Días desde hoy (solo COTIZACIÓN)</t>
  </si>
  <si>
    <t>CÓDIGO DE COLORES</t>
  </si>
  <si>
    <t xml:space="preserve">   Verde claro    Editable — el usuario llena</t>
  </si>
  <si>
    <t xml:space="preserve">   Azul claro     Fórmula — no tocar</t>
  </si>
  <si>
    <t xml:space="preserve">   Amarillo       Híbrida — se calcula auto pero se puede sobreescribir</t>
  </si>
  <si>
    <t>PLACEHOLDERS EN DROPDOWNS</t>
  </si>
  <si>
    <t xml:space="preserve">   (seleccione)              Campo con dropdown — elegir del listado</t>
  </si>
  <si>
    <t xml:space="preserve">   (seleccione o escriba)    Campo híbrido — elegir o escribir valor nuevo</t>
  </si>
  <si>
    <t>CONVENCIONES</t>
  </si>
  <si>
    <t xml:space="preserve">   Vacío    No tocar (mantiene valor existente en Steelhead)</t>
  </si>
  <si>
    <t xml:space="preserve">   Guión (-)    Borrar dato (envía valor vacío a Steelhead)</t>
  </si>
  <si>
    <t xml:space="preserve">   Checkbox ✓   TRUE = activar, □ = desactivar</t>
  </si>
  <si>
    <t>COLUMNAS DE DATOS (fila 18+)</t>
  </si>
  <si>
    <t xml:space="preserve">   PARÁMETROS (A-D)</t>
  </si>
  <si>
    <t xml:space="preserve">      A  Archivado — archivar el PN después de crear</t>
  </si>
  <si>
    <t xml:space="preserve">      B  Validación 1er recibo — activar opt-in de validación</t>
  </si>
  <si>
    <t xml:space="preserve">      C  Forzar duplicar — crear PN nuevo aunque ya exista uno con el mismo nombre</t>
  </si>
  <si>
    <t xml:space="preserve">      D  Archivar anterior — archivar el PN viejo al forzar duplicado</t>
  </si>
  <si>
    <t xml:space="preserve">   IDENTIFICACIÓN (E-L)</t>
  </si>
  <si>
    <t xml:space="preserve">      E  Número de parte — REQUERIDO</t>
  </si>
  <si>
    <t xml:space="preserve">      F  PN alterno — números alternos separados por coma</t>
  </si>
  <si>
    <t xml:space="preserve">      G  Grupo — familia/grupo del PN (se crea si no existe)</t>
  </si>
  <si>
    <t xml:space="preserve">      H  Cantidad — requerido en COTIZACIÓN+NP</t>
  </si>
  <si>
    <t xml:space="preserve">      I  Precio — precio unitario</t>
  </si>
  <si>
    <t xml:space="preserve">      J  Unidad precio — PZA, KGM, CMK, FTK, LM, LBR, LO</t>
  </si>
  <si>
    <t xml:space="preserve">      K  Precio default — marcar como precio predeterminado</t>
  </si>
  <si>
    <t xml:space="preserve">      L  Descripción — texto libre</t>
  </si>
  <si>
    <t xml:space="preserve">   ACABADOS / LABELS (M-Q)</t>
  </si>
  <si>
    <t xml:space="preserve">      M  Metal base — material base del PN</t>
  </si>
  <si>
    <t xml:space="preserve">      N-Q  Etiquetas 1-4 — seleccionar del catálogo</t>
  </si>
  <si>
    <t xml:space="preserve">   PROCESO (R)</t>
  </si>
  <si>
    <t xml:space="preserve">      R  Proceso override — sobreescribe el proceso default del header</t>
  </si>
  <si>
    <t xml:space="preserve">   PRODUCTOS ×3 (S-AD) — Solo COTIZACIÓN+NP</t>
  </si>
  <si>
    <t xml:space="preserve">      S/W/AA  Producto — seleccionar del catálogo</t>
  </si>
  <si>
    <t xml:space="preserve">      T/X/AB  Precio producto</t>
  </si>
  <si>
    <t xml:space="preserve">      U/Y/AC  Cantidad producto</t>
  </si>
  <si>
    <t xml:space="preserve">      V/Z/AD  Unidad producto</t>
  </si>
  <si>
    <t xml:space="preserve">   SPECS ×2 (AE-AH)</t>
  </si>
  <si>
    <t xml:space="preserve">      AE  Spec 1 — seleccionar del catálogo (formato: "Nombre | rango µm")</t>
  </si>
  <si>
    <t xml:space="preserve">      AF  Espesor 1 — se calcula auto del rango, se puede sobreescribir</t>
  </si>
  <si>
    <t xml:space="preserve">      AG  Spec 2</t>
  </si>
  <si>
    <t xml:space="preserve">      AH  Espesor 2</t>
  </si>
  <si>
    <t xml:space="preserve">   CONVERSIONES DE UNIDADES (AI-AL)</t>
  </si>
  <si>
    <t xml:space="preserve">      AI  KGM — kg por pieza</t>
  </si>
  <si>
    <t xml:space="preserve">      AJ  CMK — cm² por pieza</t>
  </si>
  <si>
    <t xml:space="preserve">      AK  LM — metros lineales por pieza</t>
  </si>
  <si>
    <t xml:space="preserve">      AL  Mín Pzas Lote — mínimo de piezas por lote</t>
  </si>
  <si>
    <t xml:space="preserve">   RACKS ×2 (AM-AP)</t>
  </si>
  <si>
    <t xml:space="preserve">      AM  Rack Línea — tipo FL/BA/Barril</t>
  </si>
  <si>
    <t xml:space="preserve">      AN  Pzas/Rack Línea</t>
  </si>
  <si>
    <t xml:space="preserve">      AO  Rack Secundario</t>
  </si>
  <si>
    <t xml:space="preserve">      AP  Pzas/Rack Sec.</t>
  </si>
  <si>
    <t xml:space="preserve">   DIMENSIONES ×5 (AQ-AU) — en metros</t>
  </si>
  <si>
    <t xml:space="preserve">      AQ  Longitud</t>
  </si>
  <si>
    <t xml:space="preserve">      AR  Ancho</t>
  </si>
  <si>
    <t xml:space="preserve">      AS  Alto</t>
  </si>
  <si>
    <t xml:space="preserve">      AT  Diámetro Exterior</t>
  </si>
  <si>
    <t xml:space="preserve">      AU  Diámetro Interior</t>
  </si>
  <si>
    <t xml:space="preserve">   ASIGNACIÓN CONTABLE (AV-AX)</t>
  </si>
  <si>
    <t xml:space="preserve">      AV  Línea — dimensión contable</t>
  </si>
  <si>
    <t xml:space="preserve">      AW  Departamento — dimensión contable</t>
  </si>
  <si>
    <t xml:space="preserve">      AX  Código SAT — clasificación fiscal (trae default)</t>
  </si>
  <si>
    <t xml:space="preserve">   PREDICTIVE USAGE (AY-BG) — consumo por pieza</t>
  </si>
  <si>
    <t xml:space="preserve">      AY  Plata (kg)</t>
  </si>
  <si>
    <t xml:space="preserve">      AZ  Estaño (kg)</t>
  </si>
  <si>
    <t xml:space="preserve">      BA  Níquel (kg)</t>
  </si>
  <si>
    <t xml:space="preserve">      BB  Zinc (kg)</t>
  </si>
  <si>
    <t xml:space="preserve">      BC  Cobre (kg)</t>
  </si>
  <si>
    <t xml:space="preserve">      BD  Antitarnish (L)</t>
  </si>
  <si>
    <t xml:space="preserve">      BE  Epóx. MT (lb)</t>
  </si>
  <si>
    <t xml:space="preserve">      BF  Epóx. BT (lb)</t>
  </si>
  <si>
    <t xml:space="preserve">      BG  Epóx. MTR (lb)</t>
  </si>
  <si>
    <t xml:space="preserve">   REFERENCIA IBMS (BH-BN)</t>
  </si>
  <si>
    <t xml:space="preserve">      BH  Quote IBMS — referencia del sistema anterior</t>
  </si>
  <si>
    <t xml:space="preserve">      BI  Estación IBMS</t>
  </si>
  <si>
    <t xml:space="preserve">      BJ  Plano — número de plano</t>
  </si>
  <si>
    <t xml:space="preserve">      BK  Piezas por Carga</t>
  </si>
  <si>
    <t xml:space="preserve">      BL  Cargas por Hora</t>
  </si>
  <si>
    <t xml:space="preserve">      BM  Tiempo de Entrega — días</t>
  </si>
  <si>
    <t xml:space="preserve">      BN  Notas adicionales</t>
  </si>
  <si>
    <t xml:space="preserve">   CHECK (BO)</t>
  </si>
  <si>
    <t xml:space="preserve">      BO  Total línea — fórmula de verificación</t>
  </si>
  <si>
    <t>MACROS DISPONIBLES</t>
  </si>
  <si>
    <t xml:space="preserve">   ExportarCSV         Exporta hoja Upload como CSV UTF-8</t>
  </si>
  <si>
    <t xml:space="preserve">   RefrescarListas     Lee catálogos del archivo descargado por la extensión</t>
  </si>
  <si>
    <t xml:space="preserve">   LimpiarDatos        Borra datos y restaura defaults/placeholders</t>
  </si>
  <si>
    <t xml:space="preserve">   LimpiarEspacios     Limpia espacios sin borrar datos</t>
  </si>
  <si>
    <t xml:space="preserve">   SombrearModoSoloPN  Sombrea/restaura columnas según modo (automático al cambiar C3)</t>
  </si>
  <si>
    <t>CATÁLOGOS (se actualizan desde la extensión)</t>
  </si>
  <si>
    <t xml:space="preserve">   Clientes        Nombre + dirección de entrega</t>
  </si>
  <si>
    <t xml:space="preserve">   Procesos        Workflows activos</t>
  </si>
  <si>
    <t xml:space="preserve">   Productos       Productos activos</t>
  </si>
  <si>
    <t xml:space="preserve">   Etiquetas       Tags para números de parte</t>
  </si>
  <si>
    <t xml:space="preserve">   Especificaciones  Specs con parámetros de espesor</t>
  </si>
  <si>
    <t xml:space="preserve">   Racks           Línea (FL/BA/Barril) y todos</t>
  </si>
  <si>
    <t xml:space="preserve">   Líneas          Dimensiones contables</t>
  </si>
  <si>
    <t xml:space="preserve">   Departamentos   Dimensiones contables</t>
  </si>
  <si>
    <t xml:space="preserve">   Usuarios        Vendedores/asignados</t>
  </si>
  <si>
    <t xml:space="preserve">   Grupos PN       Familias de números de parte</t>
  </si>
  <si>
    <t>NOTAS TÉCNICAS</t>
  </si>
  <si>
    <t xml:space="preserve">   • Los hashes de la API se actualizan automáticamente vía GitHub Pages</t>
  </si>
  <si>
    <t xml:space="preserve">   • La extensión funciona en app.gosteelhead.com solamente</t>
  </si>
  <si>
    <t xml:space="preserve">   • El CSV debe ser UTF-8 (la macro ExportarCSV lo genera correctamente)</t>
  </si>
  <si>
    <t xml:space="preserve">   • Los predictive usage se calculan en la hoja Cálculo MP</t>
  </si>
  <si>
    <t xml:space="preserve">   • Los catálogos se descargan como archivo .xlsx separado</t>
  </si>
  <si>
    <t>SOPORTE</t>
  </si>
  <si>
    <t xml:space="preserve">   Contacto: oviazcan@gmail.com</t>
  </si>
  <si>
    <t xml:space="preserve">   Repo: github.com/oviazcan/SteelheadAutomator</t>
  </si>
  <si>
    <t>SOLO_PN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</si>
</sst>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7" x14ac:knownFonts="1">
    <font>
      <sz val="11"/>
      <color theme="1"/>
      <name val="Calibri"/>
      <family val="2"/>
      <charset val="1"/>
    </font>
    <font>
      <sz val="12"/>
      <color theme="1"/>
      <name val="Calibri"/>
      <family val="2"/>
      <scheme val="minor"/>
    </font>
    <font>
      <b/>
      <sz val="14"/>
      <color rgb="FFFFFFFF"/>
      <name val="Arial"/>
      <family val="2"/>
    </font>
    <font>
      <i/>
      <sz val="9"/>
      <color rgb="FF666666"/>
      <name val="Arial"/>
      <family val="2"/>
    </font>
    <font>
      <i/>
      <sz val="10"/>
      <color rgb="FF2E7D32"/>
      <name val="Arial"/>
      <family val="2"/>
    </font>
    <font>
      <b/>
      <sz val="8"/>
      <color rgb="FFFFFFFF"/>
      <name val="Arial"/>
      <family val="2"/>
    </font>
    <font>
      <sz val="8"/>
      <color rgb="FF999999"/>
      <name val="Arial"/>
      <family val="2"/>
    </font>
    <font>
      <sz val="10"/>
      <color rgb="FF2F3E4C"/>
      <name val="Arial"/>
      <family val="2"/>
    </font>
    <font>
      <sz val="10"/>
      <color rgb="FFE65100"/>
      <name val="Arial"/>
      <family val="2"/>
    </font>
    <font>
      <b/>
      <sz val="12"/>
      <color rgb="FF2F3E4C"/>
      <name val="Arial"/>
      <family val="2"/>
    </font>
    <font>
      <b/>
      <sz val="9"/>
      <color rgb="FFFFFFFF"/>
      <name val="Arial"/>
      <family val="2"/>
    </font>
    <font>
      <b/>
      <sz val="11"/>
      <color rgb="FF334155"/>
      <name val="Arial"/>
      <family val="2"/>
    </font>
    <font>
      <i/>
      <sz val="9"/>
      <color rgb="FF94A3B8"/>
      <name val="Arial"/>
      <family val="2"/>
    </font>
    <font>
      <sz val="10"/>
      <color rgb="FF64748B"/>
      <name val="Arial"/>
      <family val="2"/>
    </font>
    <font>
      <b/>
      <sz val="10"/>
      <color rgb="FFFFFFFF"/>
      <name val="Arial"/>
      <family val="2"/>
    </font>
    <font>
      <sz val="10"/>
      <color rgb="FF94A3B8"/>
      <name val="Arial"/>
      <family val="2"/>
    </font>
    <font>
      <b/>
      <sz val="14"/>
      <color rgb="FF1E3A5F"/>
      <name val="Arial"/>
      <family val="2"/>
    </font>
    <font>
      <sz val="10"/>
      <name val="Arial"/>
      <family val="2"/>
    </font>
    <font>
      <b/>
      <sz val="11"/>
      <color rgb="FF1E3A5F"/>
      <name val="Arial"/>
      <family val="2"/>
    </font>
    <font>
      <sz val="10"/>
      <color rgb="FFFF0000"/>
      <name val="Arial"/>
      <family val="2"/>
    </font>
    <font>
      <sz val="11"/>
      <color rgb="FF1E293B"/>
      <name val="Calibri"/>
      <family val="2"/>
    </font>
    <font>
      <i/>
      <sz val="9"/>
      <color rgb="FF94A3B8"/>
      <name val="Calibri"/>
      <family val="2"/>
    </font>
    <font>
      <b/>
      <sz val="10"/>
      <color rgb="FFFFFFFF"/>
      <name val="Calibri"/>
      <family val="2"/>
    </font>
    <font>
      <i/>
      <sz val="8"/>
      <color rgb="FF94A3B8"/>
      <name val="Calibri"/>
      <family val="2"/>
    </font>
    <font>
      <sz val="11"/>
      <color rgb="FF000000"/>
      <name val="Calibri"/>
      <family val="2"/>
      <charset val="1"/>
    </font>
    <font>
      <b/>
      <sz val="9"/>
      <color rgb="FF2F3E4C"/>
      <name val="Arial"/>
      <family val="2"/>
    </font>
    <font>
      <sz val="9"/>
      <color rgb="FF2F3E4C"/>
      <name val="Arial"/>
      <family val="2"/>
    </font>
    <font>
      <sz val="10"/>
      <color rgb="FF000000"/>
      <name val="Tahoma"/>
      <family val="2"/>
    </font>
    <font>
      <b/>
      <sz val="16"/>
      <color theme="0"/>
      <name val="Arial"/>
      <family val="2"/>
    </font>
    <font>
      <b/>
      <sz val="10"/>
      <color rgb="FF000000"/>
      <name val="Tahoma"/>
      <family val="2"/>
    </font>
    <font>
      <b/>
      <sz val="11"/>
      <color theme="1"/>
      <name val="Calibri"/>
      <family val="2"/>
    </font>
    <font>
      <b/>
      <sz val="14"/>
      <color rgb="FF002060"/>
      <name val="Trebuchet MS"/>
      <family val="2"/>
    </font>
    <font>
      <sz val="14"/>
      <color rgb="FF002060"/>
      <name val="Trebuchet MS"/>
      <family val="2"/>
    </font>
    <font>
      <b/>
      <sz val="14"/>
      <color rgb="FFFF0000"/>
      <name val="Trebuchet MS"/>
      <family val="2"/>
    </font>
    <font>
      <sz val="14"/>
      <color rgb="FFFF0000"/>
      <name val="Trebuchet MS"/>
      <family val="2"/>
    </font>
    <font>
      <b/>
      <sz val="14"/>
      <color rgb="FF000000"/>
      <name val="Trebuchet MS"/>
      <family val="2"/>
    </font>
    <font>
      <b/>
      <sz val="11"/>
      <color rgb="FF1E293B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rgb="FF2F3E4C"/>
        <bgColor rgb="FF3B5068"/>
      </patternFill>
    </fill>
    <fill>
      <patternFill patternType="solid">
        <fgColor rgb="FF616161"/>
      </patternFill>
    </fill>
    <fill>
      <patternFill patternType="solid">
        <fgColor rgb="FFF8FAFC"/>
      </patternFill>
    </fill>
    <fill>
      <patternFill patternType="solid">
        <fgColor rgb="FFFFFBEB"/>
      </patternFill>
    </fill>
    <fill>
      <patternFill patternType="solid">
        <fgColor rgb="FF1D4ED8"/>
      </patternFill>
    </fill>
    <fill>
      <patternFill patternType="solid">
        <fgColor rgb="FF059669"/>
      </patternFill>
    </fill>
    <fill>
      <patternFill patternType="solid">
        <fgColor rgb="FF92400E"/>
      </patternFill>
    </fill>
    <fill>
      <patternFill patternType="solid">
        <fgColor rgb="FFC2410C"/>
      </patternFill>
    </fill>
    <fill>
      <patternFill patternType="solid">
        <fgColor rgb="FF7E22CE"/>
      </patternFill>
    </fill>
    <fill>
      <patternFill patternType="solid">
        <fgColor rgb="FF0F766E"/>
      </patternFill>
    </fill>
    <fill>
      <patternFill patternType="solid">
        <fgColor rgb="FF78350F"/>
      </patternFill>
    </fill>
    <fill>
      <patternFill patternType="solid">
        <fgColor rgb="FF1E3A8A"/>
      </patternFill>
    </fill>
    <fill>
      <patternFill patternType="solid">
        <fgColor rgb="FF5B21B6"/>
      </patternFill>
    </fill>
    <fill>
      <patternFill patternType="solid">
        <fgColor rgb="FF9A3412"/>
      </patternFill>
    </fill>
    <fill>
      <patternFill patternType="solid">
        <fgColor rgb="FF475569"/>
      </patternFill>
    </fill>
    <fill>
      <patternFill patternType="solid">
        <fgColor rgb="FF334155"/>
      </patternFill>
    </fill>
    <fill>
      <patternFill patternType="solid">
        <fgColor rgb="FFF0F9FF"/>
      </patternFill>
    </fill>
    <fill>
      <patternFill patternType="solid">
        <fgColor rgb="FFF0FDF4"/>
      </patternFill>
    </fill>
    <fill>
      <patternFill patternType="solid">
        <fgColor rgb="FFF1F5F9"/>
      </patternFill>
    </fill>
    <fill>
      <patternFill patternType="solid">
        <fgColor rgb="FFE8F5E9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</fills>
  <borders count="11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/>
      <bottom style="thin">
        <color rgb="FFCBD5E1"/>
      </bottom>
      <diagonal/>
    </border>
    <border>
      <left/>
      <right/>
      <top style="thin">
        <color theme="4"/>
      </top>
      <bottom/>
      <diagonal/>
    </border>
    <border>
      <left style="thin">
        <color rgb="FFE2E8F0"/>
      </left>
      <right/>
      <top style="thin">
        <color rgb="FFE2E8F0"/>
      </top>
      <bottom style="thin">
        <color rgb="FFE2E8F0"/>
      </bottom>
      <diagonal/>
    </border>
    <border>
      <left style="thin">
        <color rgb="FFE2E8F0"/>
      </left>
      <right/>
      <top/>
      <bottom/>
      <diagonal/>
    </border>
    <border>
      <left/>
      <right style="thin">
        <color rgb="FFE2E8F0"/>
      </right>
      <top/>
      <bottom/>
      <diagonal/>
    </border>
    <border>
      <left/>
      <right style="thin">
        <color rgb="FFCCCCCC"/>
      </right>
      <top/>
      <bottom/>
      <diagonal/>
    </border>
  </borders>
  <cellStyleXfs count="2">
    <xf numFmtId="0" fontId="0" fillId="0" borderId="0"/>
    <xf numFmtId="0" fontId="1" fillId="0" borderId="0"/>
  </cellStyleXfs>
  <cellXfs count="118">
    <xf numFmtId="0" fontId="0" fillId="0" borderId="0" xfId="0"/>
    <xf numFmtId="0" fontId="2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10" fillId="3" borderId="0" xfId="0" applyFont="1" applyFill="1" applyAlignment="1">
      <alignment horizontal="center" vertical="center"/>
    </xf>
    <xf numFmtId="0" fontId="6" fillId="0" borderId="0" xfId="0" applyFont="1"/>
    <xf numFmtId="0" fontId="12" fillId="0" borderId="0" xfId="0" applyFont="1"/>
    <xf numFmtId="0" fontId="14" fillId="15" borderId="2" xfId="0" applyFont="1" applyFill="1" applyBorder="1" applyAlignment="1">
      <alignment horizontal="center" vertical="center" wrapText="1"/>
    </xf>
    <xf numFmtId="0" fontId="13" fillId="0" borderId="0" xfId="0" applyFont="1"/>
    <xf numFmtId="0" fontId="14" fillId="17" borderId="2" xfId="0" applyFont="1" applyFill="1" applyBorder="1" applyAlignment="1">
      <alignment horizontal="center" vertical="center" wrapText="1"/>
    </xf>
    <xf numFmtId="0" fontId="17" fillId="0" borderId="2" xfId="0" applyFont="1" applyBorder="1"/>
    <xf numFmtId="0" fontId="17" fillId="18" borderId="2" xfId="0" applyFont="1" applyFill="1" applyBorder="1"/>
    <xf numFmtId="0" fontId="18" fillId="0" borderId="0" xfId="0" applyFont="1"/>
    <xf numFmtId="0" fontId="12" fillId="0" borderId="0" xfId="0" applyFont="1" applyAlignment="1">
      <alignment horizontal="center" vertical="center" wrapText="1"/>
    </xf>
    <xf numFmtId="0" fontId="13" fillId="19" borderId="2" xfId="0" applyFont="1" applyFill="1" applyBorder="1"/>
    <xf numFmtId="0" fontId="21" fillId="0" borderId="0" xfId="0" applyFont="1" applyAlignment="1">
      <alignment vertical="center"/>
    </xf>
    <xf numFmtId="0" fontId="12" fillId="0" borderId="0" xfId="0" applyFont="1" applyAlignment="1">
      <alignment horizontal="left" vertical="center" wrapText="1"/>
    </xf>
    <xf numFmtId="0" fontId="5" fillId="0" borderId="0" xfId="0" applyFont="1" applyAlignment="1">
      <alignment horizontal="center" vertical="center" wrapText="1"/>
    </xf>
    <xf numFmtId="0" fontId="5" fillId="0" borderId="0" xfId="0" applyFont="1"/>
    <xf numFmtId="0" fontId="21" fillId="0" borderId="1" xfId="0" applyFont="1" applyBorder="1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left" vertical="center" wrapText="1"/>
    </xf>
    <xf numFmtId="4" fontId="7" fillId="0" borderId="1" xfId="0" applyNumberFormat="1" applyFont="1" applyBorder="1" applyAlignment="1">
      <alignment horizontal="right" vertical="center"/>
    </xf>
    <xf numFmtId="3" fontId="7" fillId="0" borderId="1" xfId="0" applyNumberFormat="1" applyFont="1" applyBorder="1" applyAlignment="1">
      <alignment horizontal="right" vertical="center"/>
    </xf>
    <xf numFmtId="164" fontId="7" fillId="0" borderId="1" xfId="0" applyNumberFormat="1" applyFont="1" applyBorder="1" applyAlignment="1">
      <alignment horizontal="right" vertical="center"/>
    </xf>
    <xf numFmtId="4" fontId="8" fillId="0" borderId="1" xfId="0" applyNumberFormat="1" applyFont="1" applyBorder="1" applyAlignment="1">
      <alignment horizontal="right" vertical="center"/>
    </xf>
    <xf numFmtId="0" fontId="22" fillId="16" borderId="2" xfId="0" applyFont="1" applyFill="1" applyBorder="1" applyAlignment="1">
      <alignment horizontal="center" vertical="center" wrapText="1"/>
    </xf>
    <xf numFmtId="0" fontId="22" fillId="8" borderId="2" xfId="0" applyFont="1" applyFill="1" applyBorder="1" applyAlignment="1">
      <alignment horizontal="center" vertical="center" wrapText="1"/>
    </xf>
    <xf numFmtId="0" fontId="0" fillId="21" borderId="0" xfId="0" applyFill="1" applyAlignment="1">
      <alignment horizontal="center" vertical="center"/>
    </xf>
    <xf numFmtId="3" fontId="23" fillId="21" borderId="5" xfId="0" applyNumberFormat="1" applyFont="1" applyFill="1" applyBorder="1" applyAlignment="1">
      <alignment horizontal="center" vertical="center"/>
    </xf>
    <xf numFmtId="0" fontId="7" fillId="21" borderId="1" xfId="0" applyFont="1" applyFill="1" applyBorder="1" applyAlignment="1">
      <alignment horizontal="center" vertical="center"/>
    </xf>
    <xf numFmtId="0" fontId="23" fillId="21" borderId="5" xfId="0" applyFont="1" applyFill="1" applyBorder="1" applyAlignment="1">
      <alignment horizontal="center" vertical="center"/>
    </xf>
    <xf numFmtId="4" fontId="23" fillId="21" borderId="5" xfId="0" applyNumberFormat="1" applyFont="1" applyFill="1" applyBorder="1" applyAlignment="1">
      <alignment horizontal="center" vertical="center"/>
    </xf>
    <xf numFmtId="0" fontId="7" fillId="21" borderId="1" xfId="0" applyFont="1" applyFill="1" applyBorder="1" applyAlignment="1">
      <alignment vertical="center"/>
    </xf>
    <xf numFmtId="0" fontId="0" fillId="21" borderId="0" xfId="0" applyFill="1" applyAlignment="1">
      <alignment vertical="center"/>
    </xf>
    <xf numFmtId="0" fontId="4" fillId="21" borderId="1" xfId="0" applyFont="1" applyFill="1" applyBorder="1" applyAlignment="1">
      <alignment vertical="center"/>
    </xf>
    <xf numFmtId="3" fontId="7" fillId="21" borderId="1" xfId="0" applyNumberFormat="1" applyFont="1" applyFill="1" applyBorder="1" applyAlignment="1">
      <alignment vertical="center"/>
    </xf>
    <xf numFmtId="4" fontId="7" fillId="21" borderId="1" xfId="0" applyNumberFormat="1" applyFont="1" applyFill="1" applyBorder="1" applyAlignment="1">
      <alignment vertical="center"/>
    </xf>
    <xf numFmtId="0" fontId="15" fillId="21" borderId="0" xfId="0" applyFont="1" applyFill="1" applyAlignment="1">
      <alignment vertical="center"/>
    </xf>
    <xf numFmtId="0" fontId="13" fillId="21" borderId="0" xfId="0" applyFont="1" applyFill="1" applyAlignment="1">
      <alignment horizontal="center" vertical="center"/>
    </xf>
    <xf numFmtId="4" fontId="8" fillId="21" borderId="1" xfId="0" applyNumberFormat="1" applyFont="1" applyFill="1" applyBorder="1" applyAlignment="1">
      <alignment vertical="center"/>
    </xf>
    <xf numFmtId="0" fontId="23" fillId="22" borderId="5" xfId="0" applyFont="1" applyFill="1" applyBorder="1" applyAlignment="1">
      <alignment horizontal="center" vertical="center"/>
    </xf>
    <xf numFmtId="0" fontId="19" fillId="23" borderId="0" xfId="0" applyFont="1" applyFill="1" applyAlignment="1">
      <alignment horizontal="center" vertical="center"/>
    </xf>
    <xf numFmtId="0" fontId="13" fillId="23" borderId="0" xfId="0" applyFont="1" applyFill="1" applyAlignment="1">
      <alignment horizontal="center" vertical="center"/>
    </xf>
    <xf numFmtId="0" fontId="23" fillId="23" borderId="5" xfId="0" applyFont="1" applyFill="1" applyBorder="1" applyAlignment="1">
      <alignment horizontal="center" vertical="center"/>
    </xf>
    <xf numFmtId="3" fontId="7" fillId="21" borderId="1" xfId="0" applyNumberFormat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21" borderId="1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4" fontId="7" fillId="21" borderId="1" xfId="0" applyNumberFormat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5" fillId="0" borderId="1" xfId="0" applyFont="1" applyBorder="1" applyAlignment="1">
      <alignment horizontal="left" vertical="center" wrapText="1"/>
    </xf>
    <xf numFmtId="0" fontId="26" fillId="21" borderId="1" xfId="0" applyFont="1" applyFill="1" applyBorder="1" applyAlignment="1">
      <alignment horizontal="left" vertical="center" wrapText="1"/>
    </xf>
    <xf numFmtId="0" fontId="26" fillId="22" borderId="1" xfId="0" applyFont="1" applyFill="1" applyBorder="1" applyAlignment="1">
      <alignment horizontal="left" vertical="center" wrapText="1"/>
    </xf>
    <xf numFmtId="4" fontId="26" fillId="23" borderId="1" xfId="0" applyNumberFormat="1" applyFont="1" applyFill="1" applyBorder="1" applyAlignment="1">
      <alignment horizontal="right" vertical="center"/>
    </xf>
    <xf numFmtId="0" fontId="7" fillId="24" borderId="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0" fillId="0" borderId="6" xfId="0" applyBorder="1"/>
    <xf numFmtId="1" fontId="0" fillId="21" borderId="0" xfId="0" applyNumberFormat="1" applyFill="1" applyAlignment="1">
      <alignment horizontal="center" vertical="center"/>
    </xf>
    <xf numFmtId="0" fontId="30" fillId="25" borderId="0" xfId="0" applyFont="1" applyFill="1" applyAlignment="1">
      <alignment horizontal="center"/>
    </xf>
    <xf numFmtId="0" fontId="0" fillId="25" borderId="0" xfId="0" applyFill="1"/>
    <xf numFmtId="0" fontId="13" fillId="26" borderId="0" xfId="0" applyFont="1" applyFill="1" applyAlignment="1">
      <alignment horizontal="center" vertical="center"/>
    </xf>
    <xf numFmtId="3" fontId="36" fillId="20" borderId="2" xfId="0" applyNumberFormat="1" applyFont="1" applyFill="1" applyBorder="1" applyAlignment="1">
      <alignment horizontal="center" vertical="center" wrapText="1"/>
    </xf>
    <xf numFmtId="0" fontId="36" fillId="20" borderId="2" xfId="0" applyFont="1" applyFill="1" applyBorder="1" applyAlignment="1">
      <alignment horizontal="center" vertical="center" wrapText="1"/>
    </xf>
    <xf numFmtId="4" fontId="36" fillId="20" borderId="2" xfId="0" applyNumberFormat="1" applyFont="1" applyFill="1" applyBorder="1" applyAlignment="1">
      <alignment horizontal="center" vertical="center" wrapText="1"/>
    </xf>
    <xf numFmtId="0" fontId="36" fillId="24" borderId="2" xfId="0" applyFont="1" applyFill="1" applyBorder="1" applyAlignment="1">
      <alignment horizontal="center" vertical="center" wrapText="1"/>
    </xf>
    <xf numFmtId="0" fontId="36" fillId="21" borderId="2" xfId="0" applyFont="1" applyFill="1" applyBorder="1" applyAlignment="1">
      <alignment horizontal="center" vertical="center" wrapText="1"/>
    </xf>
    <xf numFmtId="0" fontId="22" fillId="14" borderId="7" xfId="0" applyFont="1" applyFill="1" applyBorder="1" applyAlignment="1">
      <alignment horizontal="center" vertical="center" wrapText="1"/>
    </xf>
    <xf numFmtId="0" fontId="22" fillId="14" borderId="3" xfId="0" applyFont="1" applyFill="1" applyBorder="1" applyAlignment="1">
      <alignment horizontal="center" vertical="center" wrapText="1"/>
    </xf>
    <xf numFmtId="0" fontId="22" fillId="14" borderId="4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left" vertical="center"/>
    </xf>
    <xf numFmtId="0" fontId="11" fillId="4" borderId="9" xfId="0" applyFont="1" applyFill="1" applyBorder="1" applyAlignment="1">
      <alignment horizontal="left" vertical="center"/>
    </xf>
    <xf numFmtId="0" fontId="11" fillId="21" borderId="8" xfId="0" applyFont="1" applyFill="1" applyBorder="1" applyAlignment="1">
      <alignment horizontal="left" vertical="center"/>
    </xf>
    <xf numFmtId="0" fontId="11" fillId="21" borderId="9" xfId="0" applyFont="1" applyFill="1" applyBorder="1" applyAlignment="1">
      <alignment horizontal="left" vertical="center"/>
    </xf>
    <xf numFmtId="0" fontId="11" fillId="24" borderId="8" xfId="0" applyFont="1" applyFill="1" applyBorder="1" applyAlignment="1">
      <alignment horizontal="left" vertical="center"/>
    </xf>
    <xf numFmtId="0" fontId="11" fillId="24" borderId="9" xfId="0" applyFont="1" applyFill="1" applyBorder="1" applyAlignment="1">
      <alignment horizontal="left" vertical="center"/>
    </xf>
    <xf numFmtId="3" fontId="11" fillId="21" borderId="8" xfId="0" applyNumberFormat="1" applyFont="1" applyFill="1" applyBorder="1" applyAlignment="1">
      <alignment horizontal="left" vertical="center"/>
    </xf>
    <xf numFmtId="3" fontId="11" fillId="21" borderId="10" xfId="0" applyNumberFormat="1" applyFont="1" applyFill="1" applyBorder="1" applyAlignment="1">
      <alignment horizontal="left" vertical="center"/>
    </xf>
    <xf numFmtId="0" fontId="22" fillId="28" borderId="2" xfId="0" applyFont="1" applyFill="1" applyBorder="1" applyAlignment="1">
      <alignment horizontal="center" vertical="center" wrapText="1"/>
    </xf>
    <xf numFmtId="0" fontId="0" fillId="28" borderId="3" xfId="0" applyFill="1" applyBorder="1"/>
    <xf numFmtId="0" fontId="0" fillId="28" borderId="4" xfId="0" applyFill="1" applyBorder="1"/>
    <xf numFmtId="0" fontId="28" fillId="2" borderId="0" xfId="0" applyFont="1" applyFill="1" applyAlignment="1">
      <alignment horizontal="center" vertical="center"/>
    </xf>
    <xf numFmtId="0" fontId="22" fillId="14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4" xfId="0" applyBorder="1"/>
    <xf numFmtId="0" fontId="20" fillId="21" borderId="2" xfId="0" applyFont="1" applyFill="1" applyBorder="1" applyAlignment="1">
      <alignment vertical="center"/>
    </xf>
    <xf numFmtId="0" fontId="0" fillId="21" borderId="4" xfId="0" applyFill="1" applyBorder="1"/>
    <xf numFmtId="0" fontId="22" fillId="7" borderId="2" xfId="0" applyFont="1" applyFill="1" applyBorder="1" applyAlignment="1">
      <alignment horizontal="center" vertical="center" wrapText="1"/>
    </xf>
    <xf numFmtId="0" fontId="20" fillId="20" borderId="2" xfId="0" applyFont="1" applyFill="1" applyBorder="1" applyAlignment="1">
      <alignment vertical="center"/>
    </xf>
    <xf numFmtId="0" fontId="22" fillId="13" borderId="2" xfId="0" applyFont="1" applyFill="1" applyBorder="1" applyAlignment="1">
      <alignment horizontal="center" vertical="center" wrapText="1"/>
    </xf>
    <xf numFmtId="0" fontId="20" fillId="24" borderId="2" xfId="0" applyFont="1" applyFill="1" applyBorder="1" applyAlignment="1">
      <alignment vertical="center"/>
    </xf>
    <xf numFmtId="0" fontId="0" fillId="24" borderId="4" xfId="0" applyFill="1" applyBorder="1"/>
    <xf numFmtId="3" fontId="22" fillId="9" borderId="2" xfId="0" applyNumberFormat="1" applyFont="1" applyFill="1" applyBorder="1" applyAlignment="1">
      <alignment horizontal="center" vertical="center" wrapText="1"/>
    </xf>
    <xf numFmtId="0" fontId="22" fillId="11" borderId="2" xfId="0" applyFont="1" applyFill="1" applyBorder="1" applyAlignment="1">
      <alignment horizontal="center" vertical="center" wrapText="1"/>
    </xf>
    <xf numFmtId="3" fontId="22" fillId="27" borderId="2" xfId="0" applyNumberFormat="1" applyFont="1" applyFill="1" applyBorder="1" applyAlignment="1">
      <alignment horizontal="center" vertical="center" wrapText="1"/>
    </xf>
    <xf numFmtId="0" fontId="0" fillId="27" borderId="3" xfId="0" applyFill="1" applyBorder="1"/>
    <xf numFmtId="0" fontId="0" fillId="27" borderId="4" xfId="0" applyFill="1" applyBorder="1"/>
    <xf numFmtId="4" fontId="22" fillId="10" borderId="2" xfId="0" applyNumberFormat="1" applyFont="1" applyFill="1" applyBorder="1" applyAlignment="1">
      <alignment horizontal="center" vertical="center" wrapText="1"/>
    </xf>
    <xf numFmtId="0" fontId="22" fillId="12" borderId="2" xfId="0" applyFont="1" applyFill="1" applyBorder="1" applyAlignment="1">
      <alignment horizontal="center" vertical="center" wrapText="1"/>
    </xf>
    <xf numFmtId="4" fontId="20" fillId="21" borderId="2" xfId="0" applyNumberFormat="1" applyFont="1" applyFill="1" applyBorder="1" applyAlignment="1">
      <alignment vertical="center"/>
    </xf>
    <xf numFmtId="0" fontId="22" fillId="6" borderId="2" xfId="0" applyFont="1" applyFill="1" applyBorder="1" applyAlignment="1">
      <alignment horizontal="center" vertical="center" wrapText="1"/>
    </xf>
    <xf numFmtId="3" fontId="12" fillId="5" borderId="2" xfId="0" applyNumberFormat="1" applyFont="1" applyFill="1" applyBorder="1" applyAlignment="1">
      <alignment horizontal="right" vertical="center"/>
    </xf>
    <xf numFmtId="0" fontId="16" fillId="0" borderId="0" xfId="0" applyFont="1"/>
    <xf numFmtId="0" fontId="0" fillId="0" borderId="0" xfId="0"/>
    <xf numFmtId="4" fontId="36" fillId="21" borderId="2" xfId="0" applyNumberFormat="1" applyFont="1" applyFill="1" applyBorder="1" applyAlignment="1">
      <alignment horizontal="center" vertical="center" wrapText="1"/>
    </xf>
    <xf numFmtId="3" fontId="11" fillId="24" borderId="8" xfId="0" applyNumberFormat="1" applyFont="1" applyFill="1" applyBorder="1" applyAlignment="1">
      <alignment horizontal="left" vertical="center"/>
    </xf>
    <xf numFmtId="3" fontId="11" fillId="24" borderId="10" xfId="0" applyNumberFormat="1" applyFont="1" applyFill="1" applyBorder="1" applyAlignment="1">
      <alignment horizontal="left" vertical="center"/>
    </xf>
    <xf numFmtId="4" fontId="20" fillId="24" borderId="2" xfId="0" applyNumberFormat="1" applyFont="1" applyFill="1" applyBorder="1" applyAlignment="1">
      <alignment vertical="center"/>
    </xf>
    <xf numFmtId="3" fontId="36" fillId="24" borderId="2" xfId="0" applyNumberFormat="1" applyFont="1" applyFill="1" applyBorder="1" applyAlignment="1">
      <alignment horizontal="center" vertical="center" wrapText="1"/>
    </xf>
    <xf numFmtId="164" fontId="36" fillId="24" borderId="2" xfId="0" applyNumberFormat="1" applyFont="1" applyFill="1" applyBorder="1" applyAlignment="1">
      <alignment horizontal="center" vertical="center" wrapText="1"/>
    </xf>
    <xf numFmtId="3" fontId="23" fillId="24" borderId="5" xfId="0" applyNumberFormat="1" applyFont="1" applyFill="1" applyBorder="1" applyAlignment="1">
      <alignment horizontal="center" vertical="center"/>
    </xf>
    <xf numFmtId="164" fontId="23" fillId="24" borderId="5" xfId="0" applyNumberFormat="1" applyFont="1" applyFill="1" applyBorder="1" applyAlignment="1">
      <alignment horizontal="center" vertical="center"/>
    </xf>
    <xf numFmtId="3" fontId="7" fillId="24" borderId="1" xfId="0" applyNumberFormat="1" applyFont="1" applyFill="1" applyBorder="1" applyAlignment="1">
      <alignment vertical="center"/>
    </xf>
    <xf numFmtId="164" fontId="7" fillId="24" borderId="1" xfId="0" applyNumberFormat="1" applyFont="1" applyFill="1" applyBorder="1" applyAlignment="1">
      <alignment vertical="center"/>
    </xf>
    <xf numFmtId="164" fontId="7" fillId="24" borderId="1" xfId="0" applyNumberFormat="1" applyFont="1" applyFill="1" applyBorder="1" applyAlignment="1">
      <alignment horizontal="center" vertical="center"/>
    </xf>
    <xf numFmtId="3" fontId="7" fillId="24" borderId="1" xfId="0" applyNumberFormat="1" applyFont="1" applyFill="1" applyBorder="1" applyAlignment="1">
      <alignment horizontal="center" vertical="center"/>
    </xf>
    <xf numFmtId="0" fontId="7" fillId="24" borderId="1" xfId="0" applyFont="1" applyFill="1" applyBorder="1" applyAlignment="1">
      <alignment vertical="center"/>
    </xf>
  </cellXfs>
  <cellStyles count="2">
    <cellStyle name="Normal" xfId="0" builtinId="0"/>
    <cellStyle name="Normal 2" xfId="1" xr:uid="{EB202A6D-D625-F341-9162-E24DEF25C7E9}"/>
  </cellStyles>
  <dxfs count="1">
    <dxf>
      <font>
        <color rgb="FF991B1B"/>
      </font>
      <fill>
        <patternFill patternType="solid">
          <fgColor rgb="FFFEE2E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6A1B9A"/>
      <rgbColor rgb="FF008080"/>
      <rgbColor rgb="FFCCCCCC"/>
      <rgbColor rgb="FF666666"/>
      <rgbColor rgb="FF9999FF"/>
      <rgbColor rgb="FF795548"/>
      <rgbColor rgb="FFFFF3E0"/>
      <rgbColor rgb="FFE8F5E9"/>
      <rgbColor rgb="FF660066"/>
      <rgbColor rgb="FFFF8A65"/>
      <rgbColor rgb="FF1565C0"/>
      <rgbColor rgb="FFCFD8DC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EF3F6"/>
      <rgbColor rgb="FFF1F8E9"/>
      <rgbColor rgb="FFFFFFF0"/>
      <rgbColor rgb="FF90CAF9"/>
      <rgbColor rgb="FFF5F5F5"/>
      <rgbColor rgb="FFCE93D8"/>
      <rgbColor rgb="FFFFB74D"/>
      <rgbColor rgb="FF3366FF"/>
      <rgbColor rgb="FF42A5F5"/>
      <rgbColor rgb="FF66BB6A"/>
      <rgbColor rgb="FFFFCC00"/>
      <rgbColor rgb="FFFF9900"/>
      <rgbColor rgb="FFE65100"/>
      <rgbColor rgb="FF4A6A8A"/>
      <rgbColor rgb="FF999999"/>
      <rgbColor rgb="FF003366"/>
      <rgbColor rgb="FF2E7D32"/>
      <rgbColor rgb="FF003300"/>
      <rgbColor rgb="FF333300"/>
      <rgbColor rgb="FF993300"/>
      <rgbColor rgb="FF993366"/>
      <rgbColor rgb="FF3B5068"/>
      <rgbColor rgb="FF2F3E4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825500</xdr:colOff>
          <xdr:row>6</xdr:row>
          <xdr:rowOff>101600</xdr:rowOff>
        </xdr:from>
        <xdr:to>
          <xdr:col>5</xdr:col>
          <xdr:colOff>1371600</xdr:colOff>
          <xdr:row>7</xdr:row>
          <xdr:rowOff>177800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2060"/>
                  </a:solidFill>
                  <a:latin typeface="Trebuchet MS" pitchFamily="2" charset="0"/>
                </a:rPr>
                <a:t>Refrescar Listas</a:t>
              </a:r>
              <a:r>
                <a:rPr lang="es-MX" sz="1400" b="0" i="0" u="none" strike="noStrike" baseline="0">
                  <a:solidFill>
                    <a:srgbClr val="002060"/>
                  </a:solidFill>
                  <a:latin typeface="Trebuchet MS" pitchFamily="2" charset="0"/>
                </a:rPr>
                <a:t> 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825500</xdr:colOff>
          <xdr:row>8</xdr:row>
          <xdr:rowOff>12700</xdr:rowOff>
        </xdr:from>
        <xdr:to>
          <xdr:col>5</xdr:col>
          <xdr:colOff>1371600</xdr:colOff>
          <xdr:row>9</xdr:row>
          <xdr:rowOff>88900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Exportar ↗️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825500</xdr:colOff>
          <xdr:row>9</xdr:row>
          <xdr:rowOff>190500</xdr:rowOff>
        </xdr:from>
        <xdr:to>
          <xdr:col>5</xdr:col>
          <xdr:colOff>1371600</xdr:colOff>
          <xdr:row>10</xdr:row>
          <xdr:rowOff>266700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FF0000"/>
                  </a:solidFill>
                  <a:latin typeface="Trebuchet MS" pitchFamily="2" charset="0"/>
                </a:rPr>
                <a:t>Borrar Datos</a:t>
              </a:r>
              <a:r>
                <a:rPr lang="es-MX" sz="1400" b="0" i="0" u="none" strike="noStrike" baseline="0">
                  <a:solidFill>
                    <a:srgbClr val="FF0000"/>
                  </a:solidFill>
                  <a:latin typeface="Trebuchet MS" pitchFamily="2" charset="0"/>
                </a:rPr>
                <a:t> 🗑️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4018D9D-BA09-CA47-8488-E6E4339C13F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1D4ED8"/>
  </sheetPr>
  <dimension ref="A1:BO301"/>
  <sheetViews>
    <sheetView tabSelected="1" zoomScaleNormal="100" workbookViewId="0">
      <pane xSplit="4" ySplit="17" topLeftCell="AO18" activePane="bottomRight" state="frozen"/>
      <selection pane="topRight"/>
      <selection pane="bottomLeft" activeCell="A14" sqref="A14"/>
      <selection pane="bottomRight" activeCell="AX19" sqref="AX19"/>
    </sheetView>
  </sheetViews>
  <sheetFormatPr baseColWidth="10" defaultColWidth="8.6640625" defaultRowHeight="15" x14ac:dyDescent="0.2"/>
  <cols>
    <col min="1" max="1" width="11.1640625" customWidth="1"/>
    <col min="2" max="2" width="11.83203125" customWidth="1"/>
    <col min="3" max="3" width="10.6640625" customWidth="1"/>
    <col min="4" max="4" width="13.5" customWidth="1"/>
    <col min="5" max="5" width="16.5" customWidth="1"/>
    <col min="6" max="6" width="18" customWidth="1"/>
    <col min="7" max="7" width="16" customWidth="1"/>
    <col min="8" max="8" width="8" customWidth="1"/>
    <col min="9" max="9" width="9" customWidth="1"/>
    <col min="10" max="11" width="8" customWidth="1"/>
    <col min="12" max="12" width="30" customWidth="1"/>
    <col min="13" max="13" width="12" customWidth="1"/>
    <col min="14" max="17" width="16" customWidth="1"/>
    <col min="18" max="18" width="44" customWidth="1"/>
    <col min="19" max="19" width="30" customWidth="1"/>
    <col min="20" max="20" width="8" customWidth="1"/>
    <col min="21" max="21" width="7" customWidth="1"/>
    <col min="22" max="22" width="8" customWidth="1"/>
    <col min="23" max="23" width="30" customWidth="1"/>
    <col min="24" max="24" width="8" customWidth="1"/>
    <col min="25" max="25" width="7" customWidth="1"/>
    <col min="26" max="26" width="8" customWidth="1"/>
    <col min="27" max="27" width="30" customWidth="1"/>
    <col min="28" max="28" width="8" customWidth="1"/>
    <col min="29" max="29" width="7" customWidth="1"/>
    <col min="30" max="30" width="8" customWidth="1"/>
    <col min="31" max="31" width="38" customWidth="1"/>
    <col min="32" max="32" width="9" customWidth="1"/>
    <col min="33" max="33" width="38" customWidth="1"/>
    <col min="34" max="38" width="10" customWidth="1"/>
    <col min="39" max="39" width="14" customWidth="1"/>
    <col min="40" max="40" width="9" customWidth="1"/>
    <col min="41" max="41" width="14" customWidth="1"/>
    <col min="42" max="42" width="9" customWidth="1"/>
    <col min="43" max="47" width="10" customWidth="1"/>
    <col min="48" max="48" width="12" customWidth="1"/>
    <col min="49" max="49" width="13" customWidth="1"/>
    <col min="50" max="50" width="34" customWidth="1"/>
    <col min="51" max="56" width="10.5" bestFit="1" customWidth="1"/>
    <col min="57" max="67" width="10" customWidth="1"/>
  </cols>
  <sheetData>
    <row r="1" spans="1:67" ht="28" customHeight="1" x14ac:dyDescent="0.2">
      <c r="A1" s="82" t="s">
        <v>1071</v>
      </c>
      <c r="B1" s="82"/>
      <c r="C1" s="82"/>
      <c r="D1" s="82"/>
      <c r="E1" s="82"/>
      <c r="F1" s="82"/>
    </row>
    <row r="2" spans="1:67" ht="4" customHeight="1" x14ac:dyDescent="0.2"/>
    <row r="3" spans="1:67" ht="22" customHeight="1" x14ac:dyDescent="0.2">
      <c r="A3" s="71" t="s">
        <v>0</v>
      </c>
      <c r="B3" s="72"/>
      <c r="C3" s="89" t="s">
        <v>1239</v>
      </c>
      <c r="D3" s="85"/>
      <c r="E3" s="17"/>
      <c r="H3" s="18"/>
    </row>
    <row r="4" spans="1:67" ht="22" customHeight="1" x14ac:dyDescent="0.2">
      <c r="A4" s="75" t="s">
        <v>1069</v>
      </c>
      <c r="B4" s="76"/>
      <c r="C4" s="91" t="s">
        <v>732</v>
      </c>
      <c r="D4" s="92"/>
      <c r="E4" s="17"/>
      <c r="H4" s="18"/>
    </row>
    <row r="5" spans="1:67" ht="22" customHeight="1" x14ac:dyDescent="0.2">
      <c r="A5" s="73" t="s">
        <v>1</v>
      </c>
      <c r="B5" s="74"/>
      <c r="C5" s="86" t="s">
        <v>561</v>
      </c>
      <c r="D5" s="87"/>
      <c r="E5" s="17" t="str">
        <f>VLOOKUP($C5,Listas!$A$2:$I$81,9,0)</f>
        <v>Activo, Industrial</v>
      </c>
      <c r="H5" s="18"/>
    </row>
    <row r="6" spans="1:67" ht="22" customHeight="1" x14ac:dyDescent="0.2">
      <c r="A6" s="73" t="s">
        <v>3</v>
      </c>
      <c r="B6" s="74"/>
      <c r="C6" s="86"/>
      <c r="D6" s="87"/>
      <c r="E6" s="17"/>
      <c r="H6" s="18"/>
    </row>
    <row r="7" spans="1:67" ht="22" customHeight="1" x14ac:dyDescent="0.2">
      <c r="A7" s="73" t="s">
        <v>1070</v>
      </c>
      <c r="B7" s="74"/>
      <c r="C7" s="86" t="s">
        <v>5</v>
      </c>
      <c r="D7" s="87"/>
      <c r="E7" s="17"/>
      <c r="H7" s="8"/>
    </row>
    <row r="8" spans="1:67" ht="22" customHeight="1" x14ac:dyDescent="0.2">
      <c r="A8" s="73" t="s">
        <v>6</v>
      </c>
      <c r="B8" s="74"/>
      <c r="C8" s="86" t="s">
        <v>129</v>
      </c>
      <c r="D8" s="87"/>
      <c r="E8" s="17"/>
      <c r="H8" s="8"/>
      <c r="J8" s="19"/>
      <c r="U8" s="19"/>
      <c r="W8" s="19"/>
      <c r="AA8" s="19"/>
      <c r="AE8" s="19"/>
      <c r="AF8" s="20"/>
      <c r="AI8" s="20"/>
      <c r="AN8" s="20"/>
    </row>
    <row r="9" spans="1:67" ht="22" customHeight="1" x14ac:dyDescent="0.2">
      <c r="A9" s="75" t="s">
        <v>7</v>
      </c>
      <c r="B9" s="76"/>
      <c r="C9" s="91" t="s">
        <v>8</v>
      </c>
      <c r="D9" s="92"/>
      <c r="E9" s="21"/>
      <c r="F9" s="22"/>
      <c r="G9" s="22"/>
      <c r="H9" s="8"/>
      <c r="J9" s="22"/>
      <c r="U9" s="22"/>
      <c r="W9" s="22"/>
      <c r="X9" s="22"/>
      <c r="Y9" s="22"/>
      <c r="Z9" s="22"/>
      <c r="AA9" s="22"/>
      <c r="AC9" s="22"/>
      <c r="AE9" s="22"/>
      <c r="AF9" s="7"/>
      <c r="AG9" s="7"/>
      <c r="AH9" s="7"/>
      <c r="AI9" s="7"/>
      <c r="AJ9" s="7"/>
      <c r="AK9" s="7"/>
      <c r="AL9" s="7"/>
      <c r="AM9" s="7"/>
      <c r="AN9" s="7"/>
    </row>
    <row r="10" spans="1:67" ht="22" customHeight="1" x14ac:dyDescent="0.2">
      <c r="A10" s="106" t="s">
        <v>9</v>
      </c>
      <c r="B10" s="107"/>
      <c r="C10" s="108" t="s">
        <v>10</v>
      </c>
      <c r="D10" s="92"/>
      <c r="E10" s="21"/>
      <c r="F10" s="24"/>
      <c r="G10" s="23"/>
      <c r="H10" s="25"/>
      <c r="I10" s="23"/>
      <c r="J10" s="23"/>
      <c r="K10" s="26"/>
      <c r="L10" s="27"/>
      <c r="M10" s="23"/>
      <c r="N10" s="23"/>
      <c r="O10" s="26"/>
      <c r="P10" s="27"/>
      <c r="Q10" s="23"/>
      <c r="R10" s="23"/>
      <c r="S10" s="27"/>
      <c r="T10" s="23"/>
      <c r="U10" s="23"/>
      <c r="V10" s="23"/>
      <c r="W10" s="28"/>
      <c r="X10" s="28"/>
      <c r="Y10" s="28"/>
      <c r="Z10" s="27"/>
      <c r="AA10" s="23"/>
      <c r="AB10" s="27"/>
      <c r="AC10" s="23"/>
      <c r="AD10" s="27"/>
      <c r="AE10" s="29"/>
    </row>
    <row r="11" spans="1:67" ht="22" customHeight="1" x14ac:dyDescent="0.2">
      <c r="A11" s="77" t="s">
        <v>11</v>
      </c>
      <c r="B11" s="78"/>
      <c r="C11" s="100" t="s">
        <v>12</v>
      </c>
      <c r="D11" s="87"/>
      <c r="E11" s="21"/>
      <c r="F11" s="24"/>
      <c r="G11" s="23"/>
      <c r="H11" s="25"/>
      <c r="I11" s="23"/>
      <c r="J11" s="23"/>
      <c r="K11" s="26"/>
      <c r="L11" s="27"/>
      <c r="M11" s="23"/>
      <c r="N11" s="23"/>
      <c r="O11" s="26"/>
      <c r="P11" s="27"/>
      <c r="Q11" s="23"/>
      <c r="R11" s="23"/>
      <c r="S11" s="27"/>
      <c r="T11" s="23"/>
      <c r="U11" s="23"/>
      <c r="V11" s="23"/>
      <c r="W11" s="28"/>
      <c r="X11" s="28"/>
      <c r="Y11" s="28"/>
      <c r="Z11" s="27"/>
      <c r="AA11" s="23"/>
      <c r="AB11" s="27"/>
      <c r="AC11" s="23"/>
      <c r="AD11" s="27"/>
      <c r="AE11" s="29"/>
    </row>
    <row r="12" spans="1:67" ht="22" customHeight="1" x14ac:dyDescent="0.2">
      <c r="A12" s="106" t="s">
        <v>13</v>
      </c>
      <c r="B12" s="107"/>
      <c r="C12" s="108" t="s">
        <v>14</v>
      </c>
      <c r="D12" s="92"/>
      <c r="E12" s="21"/>
      <c r="F12" s="24"/>
      <c r="G12" s="23"/>
      <c r="H12" s="25"/>
      <c r="I12" s="23"/>
      <c r="J12" s="23"/>
      <c r="K12" s="26"/>
      <c r="L12" s="27"/>
      <c r="M12" s="23"/>
      <c r="N12" s="23"/>
      <c r="O12" s="26"/>
      <c r="P12" s="27"/>
      <c r="Q12" s="23"/>
      <c r="R12" s="23"/>
      <c r="S12" s="27"/>
      <c r="T12" s="23"/>
      <c r="U12" s="23"/>
      <c r="V12" s="23"/>
      <c r="W12" s="28"/>
      <c r="X12" s="28"/>
      <c r="Y12" s="28"/>
      <c r="Z12" s="27"/>
      <c r="AA12" s="23"/>
      <c r="AB12" s="27"/>
      <c r="AC12" s="23"/>
      <c r="AD12" s="27"/>
      <c r="AE12" s="29"/>
    </row>
    <row r="13" spans="1:67" ht="24" customHeight="1" x14ac:dyDescent="0.2">
      <c r="A13" s="102" t="s">
        <v>15</v>
      </c>
      <c r="B13" s="84"/>
      <c r="C13" s="84"/>
      <c r="D13" s="84"/>
      <c r="E13" s="84"/>
      <c r="F13" s="84"/>
      <c r="G13" s="85"/>
      <c r="H13" s="52"/>
      <c r="I13" s="53"/>
      <c r="J13" s="54"/>
      <c r="K13" s="55"/>
      <c r="L13" s="27"/>
      <c r="M13" s="23"/>
      <c r="N13" s="23"/>
      <c r="O13" s="26"/>
      <c r="P13" s="27"/>
      <c r="Q13" s="23"/>
      <c r="R13" s="23"/>
      <c r="S13" s="27"/>
      <c r="T13" s="23"/>
      <c r="U13" s="23"/>
      <c r="V13" s="23"/>
      <c r="W13" s="28"/>
      <c r="X13" s="28"/>
      <c r="Y13" s="28"/>
      <c r="Z13" s="27"/>
      <c r="AA13" s="23"/>
      <c r="AB13" s="27"/>
      <c r="AC13" s="23"/>
      <c r="AD13" s="27"/>
      <c r="AE13" s="29"/>
    </row>
    <row r="14" spans="1:67" ht="4" customHeight="1" x14ac:dyDescent="0.2">
      <c r="A14" s="27"/>
      <c r="B14" s="23"/>
      <c r="C14" s="26"/>
      <c r="D14" s="23"/>
      <c r="E14" s="23"/>
      <c r="F14" s="24"/>
      <c r="G14" s="23"/>
      <c r="H14" s="23"/>
      <c r="I14" s="23"/>
      <c r="J14" s="23"/>
      <c r="K14" s="26"/>
      <c r="L14" s="27"/>
      <c r="M14" s="23"/>
      <c r="N14" s="23"/>
      <c r="O14" s="26"/>
      <c r="P14" s="27"/>
      <c r="Q14" s="23"/>
      <c r="R14" s="23"/>
      <c r="S14" s="27"/>
      <c r="T14" s="23"/>
      <c r="U14" s="23"/>
      <c r="V14" s="23"/>
      <c r="W14" s="28"/>
      <c r="X14" s="28"/>
      <c r="Y14" s="28"/>
      <c r="Z14" s="27"/>
      <c r="AA14" s="23"/>
      <c r="AB14" s="27"/>
      <c r="AC14" s="23"/>
      <c r="AD14" s="27"/>
      <c r="AE14" s="29"/>
    </row>
    <row r="15" spans="1:67" ht="22" customHeight="1" x14ac:dyDescent="0.2">
      <c r="A15" s="95" t="s">
        <v>16</v>
      </c>
      <c r="B15" s="96"/>
      <c r="C15" s="96"/>
      <c r="D15" s="97"/>
      <c r="E15" s="101" t="s">
        <v>17</v>
      </c>
      <c r="F15" s="84"/>
      <c r="G15" s="84"/>
      <c r="H15" s="84"/>
      <c r="I15" s="84"/>
      <c r="J15" s="84"/>
      <c r="K15" s="84"/>
      <c r="L15" s="85"/>
      <c r="M15" s="88" t="s">
        <v>18</v>
      </c>
      <c r="N15" s="84"/>
      <c r="O15" s="84"/>
      <c r="P15" s="84"/>
      <c r="Q15" s="85"/>
      <c r="R15" s="31" t="s">
        <v>19</v>
      </c>
      <c r="S15" s="93" t="s">
        <v>20</v>
      </c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5"/>
      <c r="AE15" s="98" t="s">
        <v>21</v>
      </c>
      <c r="AF15" s="84"/>
      <c r="AG15" s="84"/>
      <c r="AH15" s="85"/>
      <c r="AI15" s="94" t="s">
        <v>22</v>
      </c>
      <c r="AJ15" s="84"/>
      <c r="AK15" s="84"/>
      <c r="AL15" s="85"/>
      <c r="AM15" s="99" t="s">
        <v>23</v>
      </c>
      <c r="AN15" s="84"/>
      <c r="AO15" s="84"/>
      <c r="AP15" s="85"/>
      <c r="AQ15" s="90" t="s">
        <v>24</v>
      </c>
      <c r="AR15" s="84"/>
      <c r="AS15" s="84"/>
      <c r="AT15" s="84"/>
      <c r="AU15" s="85"/>
      <c r="AV15" s="83" t="s">
        <v>25</v>
      </c>
      <c r="AW15" s="84"/>
      <c r="AX15" s="85"/>
      <c r="AY15" s="79" t="s">
        <v>26</v>
      </c>
      <c r="AZ15" s="80"/>
      <c r="BA15" s="80"/>
      <c r="BB15" s="80"/>
      <c r="BC15" s="80"/>
      <c r="BD15" s="80"/>
      <c r="BE15" s="80"/>
      <c r="BF15" s="80"/>
      <c r="BG15" s="81"/>
      <c r="BH15" s="68" t="s">
        <v>733</v>
      </c>
      <c r="BI15" s="69"/>
      <c r="BJ15" s="69"/>
      <c r="BK15" s="69"/>
      <c r="BL15" s="69"/>
      <c r="BM15" s="69"/>
      <c r="BN15" s="70"/>
      <c r="BO15" s="30" t="s">
        <v>27</v>
      </c>
    </row>
    <row r="16" spans="1:67" ht="36" customHeight="1" x14ac:dyDescent="0.2">
      <c r="A16" s="63" t="s">
        <v>28</v>
      </c>
      <c r="B16" s="64" t="s">
        <v>29</v>
      </c>
      <c r="C16" s="65" t="s">
        <v>30</v>
      </c>
      <c r="D16" s="64" t="s">
        <v>31</v>
      </c>
      <c r="E16" s="64" t="s">
        <v>32</v>
      </c>
      <c r="F16" s="64" t="s">
        <v>33</v>
      </c>
      <c r="G16" s="64" t="s">
        <v>34</v>
      </c>
      <c r="H16" s="67" t="s">
        <v>35</v>
      </c>
      <c r="I16" s="67" t="s">
        <v>36</v>
      </c>
      <c r="J16" s="67" t="s">
        <v>37</v>
      </c>
      <c r="K16" s="105" t="s">
        <v>38</v>
      </c>
      <c r="L16" s="63" t="s">
        <v>39</v>
      </c>
      <c r="M16" s="64" t="s">
        <v>40</v>
      </c>
      <c r="N16" s="64" t="s">
        <v>41</v>
      </c>
      <c r="O16" s="65" t="s">
        <v>42</v>
      </c>
      <c r="P16" s="63" t="s">
        <v>43</v>
      </c>
      <c r="Q16" s="64" t="s">
        <v>44</v>
      </c>
      <c r="R16" s="64" t="s">
        <v>45</v>
      </c>
      <c r="S16" s="109" t="s">
        <v>46</v>
      </c>
      <c r="T16" s="66" t="s">
        <v>47</v>
      </c>
      <c r="U16" s="66" t="s">
        <v>48</v>
      </c>
      <c r="V16" s="66" t="s">
        <v>49</v>
      </c>
      <c r="W16" s="110" t="s">
        <v>50</v>
      </c>
      <c r="X16" s="110" t="s">
        <v>51</v>
      </c>
      <c r="Y16" s="110" t="s">
        <v>52</v>
      </c>
      <c r="Z16" s="109" t="s">
        <v>53</v>
      </c>
      <c r="AA16" s="66" t="s">
        <v>54</v>
      </c>
      <c r="AB16" s="109" t="s">
        <v>55</v>
      </c>
      <c r="AC16" s="66" t="s">
        <v>56</v>
      </c>
      <c r="AD16" s="109" t="s">
        <v>57</v>
      </c>
      <c r="AE16" s="65" t="s">
        <v>58</v>
      </c>
      <c r="AF16" s="64" t="s">
        <v>59</v>
      </c>
      <c r="AG16" s="64" t="s">
        <v>60</v>
      </c>
      <c r="AH16" s="64" t="s">
        <v>61</v>
      </c>
      <c r="AI16" s="64" t="s">
        <v>62</v>
      </c>
      <c r="AJ16" s="64" t="s">
        <v>63</v>
      </c>
      <c r="AK16" s="64" t="s">
        <v>64</v>
      </c>
      <c r="AL16" s="64" t="s">
        <v>65</v>
      </c>
      <c r="AM16" s="64" t="s">
        <v>1101</v>
      </c>
      <c r="AN16" s="64" t="s">
        <v>66</v>
      </c>
      <c r="AO16" s="64" t="s">
        <v>1102</v>
      </c>
      <c r="AP16" s="64" t="s">
        <v>67</v>
      </c>
      <c r="AQ16" s="64" t="s">
        <v>68</v>
      </c>
      <c r="AR16" s="64" t="s">
        <v>69</v>
      </c>
      <c r="AS16" s="64" t="s">
        <v>70</v>
      </c>
      <c r="AT16" s="64" t="s">
        <v>71</v>
      </c>
      <c r="AU16" s="64" t="s">
        <v>72</v>
      </c>
      <c r="AV16" s="64" t="s">
        <v>73</v>
      </c>
      <c r="AW16" s="64" t="s">
        <v>74</v>
      </c>
      <c r="AX16" s="64" t="s">
        <v>75</v>
      </c>
      <c r="AY16" s="64" t="s">
        <v>76</v>
      </c>
      <c r="AZ16" s="64" t="s">
        <v>77</v>
      </c>
      <c r="BA16" s="64" t="s">
        <v>78</v>
      </c>
      <c r="BB16" s="64" t="s">
        <v>79</v>
      </c>
      <c r="BC16" s="64" t="s">
        <v>80</v>
      </c>
      <c r="BD16" s="64" t="s">
        <v>81</v>
      </c>
      <c r="BE16" s="64" t="s">
        <v>82</v>
      </c>
      <c r="BF16" s="64" t="s">
        <v>83</v>
      </c>
      <c r="BG16" s="64" t="s">
        <v>84</v>
      </c>
      <c r="BH16" s="64" t="s">
        <v>734</v>
      </c>
      <c r="BI16" s="64" t="s">
        <v>735</v>
      </c>
      <c r="BJ16" s="64" t="s">
        <v>736</v>
      </c>
      <c r="BK16" s="64" t="s">
        <v>737</v>
      </c>
      <c r="BL16" s="64" t="s">
        <v>738</v>
      </c>
      <c r="BM16" s="64" t="s">
        <v>739</v>
      </c>
      <c r="BN16" s="64" t="s">
        <v>740</v>
      </c>
      <c r="BO16" s="64" t="s">
        <v>85</v>
      </c>
    </row>
    <row r="17" spans="1:67" ht="18" customHeight="1" x14ac:dyDescent="0.2">
      <c r="A17" s="33" t="s">
        <v>86</v>
      </c>
      <c r="B17" s="35" t="s">
        <v>86</v>
      </c>
      <c r="C17" s="36" t="s">
        <v>86</v>
      </c>
      <c r="D17" s="35" t="s">
        <v>86</v>
      </c>
      <c r="E17" s="35"/>
      <c r="F17" s="35" t="s">
        <v>87</v>
      </c>
      <c r="G17" s="35" t="s">
        <v>87</v>
      </c>
      <c r="H17" s="35"/>
      <c r="I17" s="35" t="s">
        <v>88</v>
      </c>
      <c r="J17" s="35" t="s">
        <v>89</v>
      </c>
      <c r="K17" s="36" t="s">
        <v>86</v>
      </c>
      <c r="L17" s="33"/>
      <c r="M17" s="35" t="s">
        <v>89</v>
      </c>
      <c r="N17" s="35" t="s">
        <v>89</v>
      </c>
      <c r="O17" s="36" t="s">
        <v>89</v>
      </c>
      <c r="P17" s="33" t="s">
        <v>89</v>
      </c>
      <c r="Q17" s="35" t="s">
        <v>89</v>
      </c>
      <c r="R17" s="35" t="s">
        <v>89</v>
      </c>
      <c r="S17" s="111" t="s">
        <v>89</v>
      </c>
      <c r="T17" s="57"/>
      <c r="U17" s="57"/>
      <c r="V17" s="57"/>
      <c r="W17" s="112" t="s">
        <v>89</v>
      </c>
      <c r="X17" s="112"/>
      <c r="Y17" s="112"/>
      <c r="Z17" s="111"/>
      <c r="AA17" s="57" t="s">
        <v>89</v>
      </c>
      <c r="AB17" s="111"/>
      <c r="AC17" s="57"/>
      <c r="AD17" s="111"/>
      <c r="AE17" s="36" t="s">
        <v>89</v>
      </c>
      <c r="AF17" s="48" t="s">
        <v>91</v>
      </c>
      <c r="AG17" s="35" t="s">
        <v>89</v>
      </c>
      <c r="AH17" s="48" t="s">
        <v>91</v>
      </c>
      <c r="AI17" s="35" t="s">
        <v>92</v>
      </c>
      <c r="AJ17" s="35" t="s">
        <v>93</v>
      </c>
      <c r="AK17" s="35" t="s">
        <v>94</v>
      </c>
      <c r="AL17" s="35" t="s">
        <v>95</v>
      </c>
      <c r="AM17" s="35" t="s">
        <v>96</v>
      </c>
      <c r="AN17" s="35"/>
      <c r="AO17" s="35" t="s">
        <v>97</v>
      </c>
      <c r="AP17" s="35"/>
      <c r="AQ17" s="35"/>
      <c r="AR17" s="35"/>
      <c r="AS17" s="35"/>
      <c r="AT17" s="35"/>
      <c r="AU17" s="35"/>
      <c r="AV17" s="35" t="s">
        <v>89</v>
      </c>
      <c r="AW17" s="35" t="s">
        <v>89</v>
      </c>
      <c r="AX17" s="35" t="s">
        <v>89</v>
      </c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45" t="s">
        <v>98</v>
      </c>
    </row>
    <row r="18" spans="1:67" ht="19.5" customHeight="1" x14ac:dyDescent="0.2">
      <c r="A18" s="49" t="b">
        <v>0</v>
      </c>
      <c r="B18" s="50" t="b">
        <v>1</v>
      </c>
      <c r="C18" s="51" t="b">
        <v>0</v>
      </c>
      <c r="D18" s="51" t="b">
        <v>0</v>
      </c>
      <c r="E18" s="37"/>
      <c r="F18" s="58"/>
      <c r="G18" s="37" t="s">
        <v>1100</v>
      </c>
      <c r="H18" s="34"/>
      <c r="I18" s="34"/>
      <c r="J18" s="34" t="s">
        <v>1099</v>
      </c>
      <c r="K18" s="51" t="b">
        <v>1</v>
      </c>
      <c r="L18" s="40"/>
      <c r="M18" s="37" t="s">
        <v>1099</v>
      </c>
      <c r="N18" s="37" t="s">
        <v>1099</v>
      </c>
      <c r="O18" s="41" t="s">
        <v>1099</v>
      </c>
      <c r="P18" s="40" t="s">
        <v>1099</v>
      </c>
      <c r="Q18" s="37" t="s">
        <v>1099</v>
      </c>
      <c r="R18" s="37" t="s">
        <v>1099</v>
      </c>
      <c r="S18" s="113" t="s">
        <v>1099</v>
      </c>
      <c r="T18" s="56"/>
      <c r="U18" s="56"/>
      <c r="V18" s="56"/>
      <c r="W18" s="114" t="s">
        <v>1099</v>
      </c>
      <c r="X18" s="115"/>
      <c r="Y18" s="115"/>
      <c r="Z18" s="116"/>
      <c r="AA18" s="117" t="s">
        <v>1099</v>
      </c>
      <c r="AB18" s="116"/>
      <c r="AC18" s="56"/>
      <c r="AD18" s="116"/>
      <c r="AE18" s="44" t="s">
        <v>1099</v>
      </c>
      <c r="AF18" s="46" t="str">
        <f>IFERROR((VALUE(TRIM(LEFT(MID(AE18,FIND("|",AE18)+1,99),FIND("-",MID(AE18,FIND("|",AE18)+1,99))-1)))+VALUE(TRIM(SUBSTITUTE(SUBSTITUTE(SUBSTITUTE(MID(MID(AE18,FIND("|",AE18)+1,99),FIND("-",MID(AE18,FIND("|",AE18)+1,99))+1,20),"µm",""),"μm","")," ",""))))/2,"")</f>
        <v/>
      </c>
      <c r="AG18" s="38" t="s">
        <v>1099</v>
      </c>
      <c r="AH18" s="47" t="str">
        <f>IFERROR((VALUE(TRIM(LEFT(MID(AG18,FIND("|",AG18)+1,99),FIND("-",MID(AG18,FIND("|",AG18)+1,99))-1)))+VALUE(TRIM(SUBSTITUTE(SUBSTITUTE(SUBSTITUTE(MID(MID(AG18,FIND("|",AG18)+1,99),FIND("-",MID(AG18,FIND("|",AG18)+1,99))+1,20),"µm",""),"μm","")," ",""))))/2,"")</f>
        <v/>
      </c>
      <c r="AI18" s="32"/>
      <c r="AJ18" s="32"/>
      <c r="AK18" s="32"/>
      <c r="AL18" s="32"/>
      <c r="AM18" s="32" t="s">
        <v>1099</v>
      </c>
      <c r="AN18" s="32"/>
      <c r="AO18" s="32" t="s">
        <v>1099</v>
      </c>
      <c r="AP18" s="32"/>
      <c r="AQ18" s="32"/>
      <c r="AR18" s="32"/>
      <c r="AS18" s="32"/>
      <c r="AT18" s="32"/>
      <c r="AU18" s="32"/>
      <c r="AV18" s="38" t="s">
        <v>1099</v>
      </c>
      <c r="AW18" s="38" t="s">
        <v>1099</v>
      </c>
      <c r="AX18" s="42" t="s">
        <v>106</v>
      </c>
      <c r="AY18" s="62" t="str">
        <f>IF('Cálculo MP'!J19="","",'Cálculo MP'!J19)</f>
        <v/>
      </c>
      <c r="AZ18" s="62" t="str">
        <f>IF('Cálculo MP'!K19="","",'Cálculo MP'!K19)</f>
        <v/>
      </c>
      <c r="BA18" s="62" t="str">
        <f>IF('Cálculo MP'!L19="","",'Cálculo MP'!L19)</f>
        <v/>
      </c>
      <c r="BB18" s="62" t="str">
        <f>IF('Cálculo MP'!M19="","",'Cálculo MP'!M19)</f>
        <v/>
      </c>
      <c r="BC18" s="62" t="str">
        <f>IF('Cálculo MP'!N19="","",'Cálculo MP'!N19)</f>
        <v/>
      </c>
      <c r="BD18" s="62" t="str">
        <f>IF('Cálculo MP'!O19="","",'Cálculo MP'!O19)</f>
        <v/>
      </c>
      <c r="BE18" s="62" t="str">
        <f>IF('Cálculo MP'!P19="","",'Cálculo MP'!P19)</f>
        <v/>
      </c>
      <c r="BF18" s="62" t="str">
        <f>IF('Cálculo MP'!Q19="","",'Cálculo MP'!Q19)</f>
        <v/>
      </c>
      <c r="BG18" s="62" t="str">
        <f>IF('Cálculo MP'!R19="","",'Cálculo MP'!R19)</f>
        <v/>
      </c>
      <c r="BH18" s="43"/>
      <c r="BI18" s="43"/>
      <c r="BJ18" s="43"/>
      <c r="BK18" s="43"/>
      <c r="BL18" s="43"/>
      <c r="BM18" s="43"/>
      <c r="BN18" s="43"/>
      <c r="BO18" s="62" t="str">
        <f>IF(E18="","",H18*I18)</f>
        <v/>
      </c>
    </row>
    <row r="19" spans="1:67" ht="19.5" customHeight="1" x14ac:dyDescent="0.2">
      <c r="A19" s="49" t="b">
        <v>0</v>
      </c>
      <c r="B19" s="50" t="b">
        <v>1</v>
      </c>
      <c r="C19" s="51" t="b">
        <v>0</v>
      </c>
      <c r="D19" s="50" t="b">
        <v>0</v>
      </c>
      <c r="E19" s="37"/>
      <c r="F19" s="39"/>
      <c r="G19" s="37" t="s">
        <v>1100</v>
      </c>
      <c r="H19" s="34"/>
      <c r="I19" s="34"/>
      <c r="J19" s="34" t="s">
        <v>1099</v>
      </c>
      <c r="K19" s="51" t="b">
        <v>1</v>
      </c>
      <c r="L19" s="40"/>
      <c r="M19" s="37" t="s">
        <v>1099</v>
      </c>
      <c r="N19" s="37" t="s">
        <v>1099</v>
      </c>
      <c r="O19" s="41" t="s">
        <v>1099</v>
      </c>
      <c r="P19" s="40" t="s">
        <v>1099</v>
      </c>
      <c r="Q19" s="37" t="s">
        <v>1099</v>
      </c>
      <c r="R19" s="37" t="s">
        <v>1099</v>
      </c>
      <c r="S19" s="113" t="s">
        <v>1099</v>
      </c>
      <c r="T19" s="56"/>
      <c r="U19" s="56"/>
      <c r="V19" s="56"/>
      <c r="W19" s="114" t="s">
        <v>1099</v>
      </c>
      <c r="X19" s="115"/>
      <c r="Y19" s="115"/>
      <c r="Z19" s="115"/>
      <c r="AA19" s="117" t="s">
        <v>1099</v>
      </c>
      <c r="AB19" s="116"/>
      <c r="AC19" s="56"/>
      <c r="AD19" s="116"/>
      <c r="AE19" s="44" t="s">
        <v>1099</v>
      </c>
      <c r="AF19" s="46" t="str">
        <f t="shared" ref="AF19:AF82" si="0">IFERROR((VALUE(TRIM(LEFT(MID(AE19,FIND("|",AE19)+1,99),FIND("-",MID(AE19,FIND("|",AE19)+1,99))-1)))+VALUE(TRIM(SUBSTITUTE(SUBSTITUTE(SUBSTITUTE(MID(MID(AE19,FIND("|",AE19)+1,99),FIND("-",MID(AE19,FIND("|",AE19)+1,99))+1,20),"µm",""),"μm","")," ",""))))/2,"")</f>
        <v/>
      </c>
      <c r="AG19" s="38" t="s">
        <v>1099</v>
      </c>
      <c r="AH19" s="47" t="str">
        <f t="shared" ref="AH19:AH82" si="1">IFERROR((VALUE(TRIM(LEFT(MID(AG19,FIND("|",AG19)+1,99),FIND("-",MID(AG19,FIND("|",AG19)+1,99))-1)))+VALUE(TRIM(SUBSTITUTE(SUBSTITUTE(SUBSTITUTE(MID(MID(AG19,FIND("|",AG19)+1,99),FIND("-",MID(AG19,FIND("|",AG19)+1,99))+1,20),"µm",""),"μm","")," ",""))))/2,"")</f>
        <v/>
      </c>
      <c r="AI19" s="32"/>
      <c r="AJ19" s="32"/>
      <c r="AK19" s="32"/>
      <c r="AL19" s="59"/>
      <c r="AM19" s="32" t="s">
        <v>1099</v>
      </c>
      <c r="AN19" s="32"/>
      <c r="AO19" s="32" t="s">
        <v>1099</v>
      </c>
      <c r="AP19" s="32"/>
      <c r="AQ19" s="32"/>
      <c r="AR19" s="32"/>
      <c r="AS19" s="32"/>
      <c r="AT19" s="32"/>
      <c r="AU19" s="32"/>
      <c r="AV19" s="38" t="s">
        <v>1099</v>
      </c>
      <c r="AW19" s="38" t="s">
        <v>1099</v>
      </c>
      <c r="AX19" s="42" t="s">
        <v>106</v>
      </c>
      <c r="AY19" s="62" t="str">
        <f>IF('Cálculo MP'!J20="","",'Cálculo MP'!J20)</f>
        <v/>
      </c>
      <c r="AZ19" s="62" t="str">
        <f>IF('Cálculo MP'!K20="","",'Cálculo MP'!K20)</f>
        <v/>
      </c>
      <c r="BA19" s="62" t="str">
        <f>IF('Cálculo MP'!L20="","",'Cálculo MP'!L20)</f>
        <v/>
      </c>
      <c r="BB19" s="62" t="str">
        <f>IF('Cálculo MP'!M20="","",'Cálculo MP'!M20)</f>
        <v/>
      </c>
      <c r="BC19" s="62" t="str">
        <f>IF('Cálculo MP'!N20="","",'Cálculo MP'!N20)</f>
        <v/>
      </c>
      <c r="BD19" s="62" t="str">
        <f>IF('Cálculo MP'!O20="","",'Cálculo MP'!O20)</f>
        <v/>
      </c>
      <c r="BE19" s="62" t="str">
        <f>IF('Cálculo MP'!P20="","",'Cálculo MP'!P20)</f>
        <v/>
      </c>
      <c r="BF19" s="62" t="str">
        <f>IF('Cálculo MP'!Q20="","",'Cálculo MP'!Q20)</f>
        <v/>
      </c>
      <c r="BG19" s="62" t="str">
        <f>IF('Cálculo MP'!R20="","",'Cálculo MP'!R20)</f>
        <v/>
      </c>
      <c r="BH19" s="43"/>
      <c r="BI19" s="43"/>
      <c r="BJ19" s="43"/>
      <c r="BK19" s="43"/>
      <c r="BL19" s="43"/>
      <c r="BM19" s="43"/>
      <c r="BN19" s="43"/>
      <c r="BO19" s="62" t="str">
        <f t="shared" ref="BO19:BO82" si="2">IF(E19="","",H19*I19)</f>
        <v/>
      </c>
    </row>
    <row r="20" spans="1:67" ht="19.5" customHeight="1" x14ac:dyDescent="0.2">
      <c r="A20" s="49" t="b">
        <v>0</v>
      </c>
      <c r="B20" s="50" t="b">
        <v>1</v>
      </c>
      <c r="C20" s="51" t="b">
        <v>0</v>
      </c>
      <c r="D20" s="51" t="b">
        <v>0</v>
      </c>
      <c r="E20" s="37"/>
      <c r="F20" s="39"/>
      <c r="G20" s="37" t="s">
        <v>1100</v>
      </c>
      <c r="H20" s="34"/>
      <c r="I20" s="34"/>
      <c r="J20" s="34" t="s">
        <v>1099</v>
      </c>
      <c r="K20" s="51" t="b">
        <v>1</v>
      </c>
      <c r="L20" s="40"/>
      <c r="M20" s="37" t="s">
        <v>1099</v>
      </c>
      <c r="N20" s="37" t="s">
        <v>1099</v>
      </c>
      <c r="O20" s="41" t="s">
        <v>1099</v>
      </c>
      <c r="P20" s="40" t="s">
        <v>1099</v>
      </c>
      <c r="Q20" s="37" t="s">
        <v>1099</v>
      </c>
      <c r="R20" s="37" t="s">
        <v>1099</v>
      </c>
      <c r="S20" s="113" t="s">
        <v>1099</v>
      </c>
      <c r="T20" s="56"/>
      <c r="U20" s="56"/>
      <c r="V20" s="56"/>
      <c r="W20" s="114" t="s">
        <v>1099</v>
      </c>
      <c r="X20" s="115"/>
      <c r="Y20" s="115"/>
      <c r="Z20" s="115"/>
      <c r="AA20" s="117" t="s">
        <v>1099</v>
      </c>
      <c r="AB20" s="116"/>
      <c r="AC20" s="56"/>
      <c r="AD20" s="116"/>
      <c r="AE20" s="44" t="s">
        <v>1099</v>
      </c>
      <c r="AF20" s="46" t="str">
        <f t="shared" si="0"/>
        <v/>
      </c>
      <c r="AG20" s="38" t="s">
        <v>1099</v>
      </c>
      <c r="AH20" s="47" t="str">
        <f t="shared" si="1"/>
        <v/>
      </c>
      <c r="AI20" s="32"/>
      <c r="AJ20" s="32"/>
      <c r="AK20" s="32"/>
      <c r="AL20" s="59"/>
      <c r="AM20" s="32" t="s">
        <v>1099</v>
      </c>
      <c r="AN20" s="32"/>
      <c r="AO20" s="32" t="s">
        <v>1099</v>
      </c>
      <c r="AP20" s="32"/>
      <c r="AQ20" s="32"/>
      <c r="AR20" s="32"/>
      <c r="AS20" s="32"/>
      <c r="AT20" s="32"/>
      <c r="AU20" s="32"/>
      <c r="AV20" s="38" t="s">
        <v>1099</v>
      </c>
      <c r="AW20" s="38" t="s">
        <v>1099</v>
      </c>
      <c r="AX20" s="42" t="s">
        <v>106</v>
      </c>
      <c r="AY20" s="62" t="str">
        <f>IF('Cálculo MP'!J21="","",'Cálculo MP'!J21)</f>
        <v/>
      </c>
      <c r="AZ20" s="62" t="str">
        <f>IF('Cálculo MP'!K21="","",'Cálculo MP'!K21)</f>
        <v/>
      </c>
      <c r="BA20" s="62" t="str">
        <f>IF('Cálculo MP'!L21="","",'Cálculo MP'!L21)</f>
        <v/>
      </c>
      <c r="BB20" s="62" t="str">
        <f>IF('Cálculo MP'!M21="","",'Cálculo MP'!M21)</f>
        <v/>
      </c>
      <c r="BC20" s="62" t="str">
        <f>IF('Cálculo MP'!N21="","",'Cálculo MP'!N21)</f>
        <v/>
      </c>
      <c r="BD20" s="62" t="str">
        <f>IF('Cálculo MP'!O21="","",'Cálculo MP'!O21)</f>
        <v/>
      </c>
      <c r="BE20" s="62" t="str">
        <f>IF('Cálculo MP'!P21="","",'Cálculo MP'!P21)</f>
        <v/>
      </c>
      <c r="BF20" s="62" t="str">
        <f>IF('Cálculo MP'!Q21="","",'Cálculo MP'!Q21)</f>
        <v/>
      </c>
      <c r="BG20" s="62" t="str">
        <f>IF('Cálculo MP'!R21="","",'Cálculo MP'!R21)</f>
        <v/>
      </c>
      <c r="BH20" s="43"/>
      <c r="BI20" s="43"/>
      <c r="BJ20" s="43"/>
      <c r="BK20" s="43"/>
      <c r="BL20" s="43"/>
      <c r="BM20" s="43"/>
      <c r="BN20" s="43"/>
      <c r="BO20" s="62" t="str">
        <f t="shared" si="2"/>
        <v/>
      </c>
    </row>
    <row r="21" spans="1:67" ht="19.5" customHeight="1" x14ac:dyDescent="0.2">
      <c r="A21" s="49" t="b">
        <v>0</v>
      </c>
      <c r="B21" s="50" t="b">
        <v>1</v>
      </c>
      <c r="C21" s="51" t="b">
        <v>0</v>
      </c>
      <c r="D21" s="51" t="b">
        <v>0</v>
      </c>
      <c r="E21" s="37"/>
      <c r="F21" s="39"/>
      <c r="G21" s="37" t="s">
        <v>1100</v>
      </c>
      <c r="H21" s="34"/>
      <c r="I21" s="34"/>
      <c r="J21" s="34" t="s">
        <v>1099</v>
      </c>
      <c r="K21" s="51" t="b">
        <v>1</v>
      </c>
      <c r="L21" s="40"/>
      <c r="M21" s="37" t="s">
        <v>1099</v>
      </c>
      <c r="N21" s="37" t="s">
        <v>1099</v>
      </c>
      <c r="O21" s="41" t="s">
        <v>1099</v>
      </c>
      <c r="P21" s="40" t="s">
        <v>1099</v>
      </c>
      <c r="Q21" s="37" t="s">
        <v>1099</v>
      </c>
      <c r="R21" s="37" t="s">
        <v>1099</v>
      </c>
      <c r="S21" s="113" t="s">
        <v>1099</v>
      </c>
      <c r="T21" s="56"/>
      <c r="U21" s="56"/>
      <c r="V21" s="56"/>
      <c r="W21" s="114" t="s">
        <v>1099</v>
      </c>
      <c r="X21" s="115"/>
      <c r="Y21" s="115"/>
      <c r="Z21" s="116"/>
      <c r="AA21" s="117" t="s">
        <v>1099</v>
      </c>
      <c r="AB21" s="116"/>
      <c r="AC21" s="56"/>
      <c r="AD21" s="116"/>
      <c r="AE21" s="44" t="s">
        <v>1099</v>
      </c>
      <c r="AF21" s="46" t="str">
        <f t="shared" si="0"/>
        <v/>
      </c>
      <c r="AG21" s="38" t="s">
        <v>1099</v>
      </c>
      <c r="AH21" s="47" t="str">
        <f t="shared" si="1"/>
        <v/>
      </c>
      <c r="AI21" s="32"/>
      <c r="AJ21" s="32"/>
      <c r="AK21" s="32"/>
      <c r="AL21" s="59"/>
      <c r="AM21" s="32" t="s">
        <v>1099</v>
      </c>
      <c r="AN21" s="32"/>
      <c r="AO21" s="32" t="s">
        <v>1099</v>
      </c>
      <c r="AP21" s="32"/>
      <c r="AQ21" s="32"/>
      <c r="AR21" s="32"/>
      <c r="AS21" s="32"/>
      <c r="AT21" s="32"/>
      <c r="AU21" s="32"/>
      <c r="AV21" s="38" t="s">
        <v>1099</v>
      </c>
      <c r="AW21" s="38" t="s">
        <v>1099</v>
      </c>
      <c r="AX21" s="42" t="s">
        <v>106</v>
      </c>
      <c r="AY21" s="62" t="str">
        <f>IF('Cálculo MP'!J22="","",'Cálculo MP'!J22)</f>
        <v/>
      </c>
      <c r="AZ21" s="62" t="str">
        <f>IF('Cálculo MP'!K22="","",'Cálculo MP'!K22)</f>
        <v/>
      </c>
      <c r="BA21" s="62" t="str">
        <f>IF('Cálculo MP'!L22="","",'Cálculo MP'!L22)</f>
        <v/>
      </c>
      <c r="BB21" s="62" t="str">
        <f>IF('Cálculo MP'!M22="","",'Cálculo MP'!M22)</f>
        <v/>
      </c>
      <c r="BC21" s="62" t="str">
        <f>IF('Cálculo MP'!N22="","",'Cálculo MP'!N22)</f>
        <v/>
      </c>
      <c r="BD21" s="62" t="str">
        <f>IF('Cálculo MP'!O22="","",'Cálculo MP'!O22)</f>
        <v/>
      </c>
      <c r="BE21" s="62" t="str">
        <f>IF('Cálculo MP'!P22="","",'Cálculo MP'!P22)</f>
        <v/>
      </c>
      <c r="BF21" s="62" t="str">
        <f>IF('Cálculo MP'!Q22="","",'Cálculo MP'!Q22)</f>
        <v/>
      </c>
      <c r="BG21" s="62" t="str">
        <f>IF('Cálculo MP'!R22="","",'Cálculo MP'!R22)</f>
        <v/>
      </c>
      <c r="BH21" s="43"/>
      <c r="BI21" s="43"/>
      <c r="BJ21" s="43"/>
      <c r="BK21" s="43"/>
      <c r="BL21" s="43"/>
      <c r="BM21" s="43"/>
      <c r="BN21" s="43"/>
      <c r="BO21" s="62" t="str">
        <f t="shared" si="2"/>
        <v/>
      </c>
    </row>
    <row r="22" spans="1:67" ht="19.5" customHeight="1" x14ac:dyDescent="0.2">
      <c r="A22" s="49" t="b">
        <v>0</v>
      </c>
      <c r="B22" s="50" t="b">
        <v>1</v>
      </c>
      <c r="C22" s="51" t="b">
        <v>0</v>
      </c>
      <c r="D22" s="51" t="b">
        <v>0</v>
      </c>
      <c r="E22" s="37"/>
      <c r="F22" s="39"/>
      <c r="G22" s="37" t="s">
        <v>1100</v>
      </c>
      <c r="H22" s="34"/>
      <c r="I22" s="34"/>
      <c r="J22" s="34" t="s">
        <v>1099</v>
      </c>
      <c r="K22" s="51" t="b">
        <v>1</v>
      </c>
      <c r="L22" s="40"/>
      <c r="M22" s="37" t="s">
        <v>1099</v>
      </c>
      <c r="N22" s="37" t="s">
        <v>1099</v>
      </c>
      <c r="O22" s="41" t="s">
        <v>1099</v>
      </c>
      <c r="P22" s="40" t="s">
        <v>1099</v>
      </c>
      <c r="Q22" s="37" t="s">
        <v>1099</v>
      </c>
      <c r="R22" s="37" t="s">
        <v>1099</v>
      </c>
      <c r="S22" s="113" t="s">
        <v>1099</v>
      </c>
      <c r="T22" s="56"/>
      <c r="U22" s="56"/>
      <c r="V22" s="56"/>
      <c r="W22" s="114" t="s">
        <v>1099</v>
      </c>
      <c r="X22" s="115"/>
      <c r="Y22" s="115"/>
      <c r="Z22" s="116"/>
      <c r="AA22" s="117" t="s">
        <v>1099</v>
      </c>
      <c r="AB22" s="116"/>
      <c r="AC22" s="56"/>
      <c r="AD22" s="116"/>
      <c r="AE22" s="44" t="s">
        <v>1099</v>
      </c>
      <c r="AF22" s="46" t="str">
        <f t="shared" si="0"/>
        <v/>
      </c>
      <c r="AG22" s="38" t="s">
        <v>1099</v>
      </c>
      <c r="AH22" s="47" t="str">
        <f t="shared" si="1"/>
        <v/>
      </c>
      <c r="AI22" s="32"/>
      <c r="AJ22" s="32"/>
      <c r="AK22" s="32"/>
      <c r="AL22" s="59"/>
      <c r="AM22" s="32" t="s">
        <v>1099</v>
      </c>
      <c r="AN22" s="32"/>
      <c r="AO22" s="32" t="s">
        <v>1099</v>
      </c>
      <c r="AP22" s="32"/>
      <c r="AQ22" s="32"/>
      <c r="AR22" s="32"/>
      <c r="AS22" s="32"/>
      <c r="AT22" s="32"/>
      <c r="AU22" s="32"/>
      <c r="AV22" s="38" t="s">
        <v>1099</v>
      </c>
      <c r="AW22" s="38" t="s">
        <v>1099</v>
      </c>
      <c r="AX22" s="42" t="s">
        <v>106</v>
      </c>
      <c r="AY22" s="62" t="str">
        <f>IF('Cálculo MP'!J23="","",'Cálculo MP'!J23)</f>
        <v/>
      </c>
      <c r="AZ22" s="62" t="str">
        <f>IF('Cálculo MP'!K23="","",'Cálculo MP'!K23)</f>
        <v/>
      </c>
      <c r="BA22" s="62" t="str">
        <f>IF('Cálculo MP'!L23="","",'Cálculo MP'!L23)</f>
        <v/>
      </c>
      <c r="BB22" s="62" t="str">
        <f>IF('Cálculo MP'!M23="","",'Cálculo MP'!M23)</f>
        <v/>
      </c>
      <c r="BC22" s="62" t="str">
        <f>IF('Cálculo MP'!N23="","",'Cálculo MP'!N23)</f>
        <v/>
      </c>
      <c r="BD22" s="62" t="str">
        <f>IF('Cálculo MP'!O23="","",'Cálculo MP'!O23)</f>
        <v/>
      </c>
      <c r="BE22" s="62" t="str">
        <f>IF('Cálculo MP'!P23="","",'Cálculo MP'!P23)</f>
        <v/>
      </c>
      <c r="BF22" s="62" t="str">
        <f>IF('Cálculo MP'!Q23="","",'Cálculo MP'!Q23)</f>
        <v/>
      </c>
      <c r="BG22" s="62" t="str">
        <f>IF('Cálculo MP'!R23="","",'Cálculo MP'!R23)</f>
        <v/>
      </c>
      <c r="BH22" s="43"/>
      <c r="BI22" s="43"/>
      <c r="BJ22" s="43"/>
      <c r="BK22" s="43"/>
      <c r="BL22" s="43"/>
      <c r="BM22" s="43"/>
      <c r="BN22" s="43"/>
      <c r="BO22" s="62" t="str">
        <f t="shared" si="2"/>
        <v/>
      </c>
    </row>
    <row r="23" spans="1:67" ht="19.5" customHeight="1" x14ac:dyDescent="0.2">
      <c r="A23" s="49" t="b">
        <v>0</v>
      </c>
      <c r="B23" s="50" t="b">
        <v>1</v>
      </c>
      <c r="C23" s="51" t="b">
        <v>0</v>
      </c>
      <c r="D23" s="51" t="b">
        <v>0</v>
      </c>
      <c r="E23" s="37"/>
      <c r="F23" s="39"/>
      <c r="G23" s="37" t="s">
        <v>1100</v>
      </c>
      <c r="H23" s="34"/>
      <c r="I23" s="34"/>
      <c r="J23" s="34" t="s">
        <v>1099</v>
      </c>
      <c r="K23" s="51" t="b">
        <v>1</v>
      </c>
      <c r="L23" s="40"/>
      <c r="M23" s="37" t="s">
        <v>1099</v>
      </c>
      <c r="N23" s="37" t="s">
        <v>1099</v>
      </c>
      <c r="O23" s="41" t="s">
        <v>1099</v>
      </c>
      <c r="P23" s="40" t="s">
        <v>1099</v>
      </c>
      <c r="Q23" s="37" t="s">
        <v>1099</v>
      </c>
      <c r="R23" s="37" t="s">
        <v>1099</v>
      </c>
      <c r="S23" s="113" t="s">
        <v>1099</v>
      </c>
      <c r="T23" s="56"/>
      <c r="U23" s="56"/>
      <c r="V23" s="56"/>
      <c r="W23" s="114" t="s">
        <v>1099</v>
      </c>
      <c r="X23" s="115"/>
      <c r="Y23" s="115"/>
      <c r="Z23" s="116"/>
      <c r="AA23" s="117" t="s">
        <v>1099</v>
      </c>
      <c r="AB23" s="116"/>
      <c r="AC23" s="56"/>
      <c r="AD23" s="116"/>
      <c r="AE23" s="44" t="s">
        <v>1099</v>
      </c>
      <c r="AF23" s="46" t="str">
        <f t="shared" si="0"/>
        <v/>
      </c>
      <c r="AG23" s="38" t="s">
        <v>1099</v>
      </c>
      <c r="AH23" s="47" t="str">
        <f t="shared" si="1"/>
        <v/>
      </c>
      <c r="AI23" s="32"/>
      <c r="AJ23" s="32"/>
      <c r="AK23" s="32"/>
      <c r="AL23" s="32"/>
      <c r="AM23" s="32" t="s">
        <v>1099</v>
      </c>
      <c r="AN23" s="32"/>
      <c r="AO23" s="32" t="s">
        <v>1099</v>
      </c>
      <c r="AP23" s="32"/>
      <c r="AQ23" s="32"/>
      <c r="AR23" s="32"/>
      <c r="AS23" s="32"/>
      <c r="AT23" s="32"/>
      <c r="AU23" s="32"/>
      <c r="AV23" s="38" t="s">
        <v>1099</v>
      </c>
      <c r="AW23" s="38" t="s">
        <v>1099</v>
      </c>
      <c r="AX23" s="42" t="s">
        <v>106</v>
      </c>
      <c r="AY23" s="62" t="str">
        <f>IF('Cálculo MP'!J24="","",'Cálculo MP'!J24)</f>
        <v/>
      </c>
      <c r="AZ23" s="62" t="str">
        <f>IF('Cálculo MP'!K24="","",'Cálculo MP'!K24)</f>
        <v/>
      </c>
      <c r="BA23" s="62" t="str">
        <f>IF('Cálculo MP'!L24="","",'Cálculo MP'!L24)</f>
        <v/>
      </c>
      <c r="BB23" s="62" t="str">
        <f>IF('Cálculo MP'!M24="","",'Cálculo MP'!M24)</f>
        <v/>
      </c>
      <c r="BC23" s="62" t="str">
        <f>IF('Cálculo MP'!N24="","",'Cálculo MP'!N24)</f>
        <v/>
      </c>
      <c r="BD23" s="62" t="str">
        <f>IF('Cálculo MP'!O24="","",'Cálculo MP'!O24)</f>
        <v/>
      </c>
      <c r="BE23" s="62" t="str">
        <f>IF('Cálculo MP'!P24="","",'Cálculo MP'!P24)</f>
        <v/>
      </c>
      <c r="BF23" s="62" t="str">
        <f>IF('Cálculo MP'!Q24="","",'Cálculo MP'!Q24)</f>
        <v/>
      </c>
      <c r="BG23" s="62" t="str">
        <f>IF('Cálculo MP'!R24="","",'Cálculo MP'!R24)</f>
        <v/>
      </c>
      <c r="BH23" s="43"/>
      <c r="BI23" s="43"/>
      <c r="BJ23" s="43"/>
      <c r="BK23" s="43"/>
      <c r="BL23" s="43"/>
      <c r="BM23" s="43"/>
      <c r="BN23" s="43"/>
      <c r="BO23" s="62" t="str">
        <f t="shared" si="2"/>
        <v/>
      </c>
    </row>
    <row r="24" spans="1:67" ht="19.5" customHeight="1" x14ac:dyDescent="0.2">
      <c r="A24" s="49" t="b">
        <v>0</v>
      </c>
      <c r="B24" s="50" t="b">
        <v>1</v>
      </c>
      <c r="C24" s="51" t="b">
        <v>0</v>
      </c>
      <c r="D24" s="51" t="b">
        <v>0</v>
      </c>
      <c r="E24" s="37"/>
      <c r="F24" s="39"/>
      <c r="G24" s="37" t="s">
        <v>1100</v>
      </c>
      <c r="H24" s="34"/>
      <c r="I24" s="34"/>
      <c r="J24" s="34" t="s">
        <v>1099</v>
      </c>
      <c r="K24" s="51" t="b">
        <v>1</v>
      </c>
      <c r="L24" s="40"/>
      <c r="M24" s="37" t="s">
        <v>1099</v>
      </c>
      <c r="N24" s="37" t="s">
        <v>1099</v>
      </c>
      <c r="O24" s="41" t="s">
        <v>1099</v>
      </c>
      <c r="P24" s="40" t="s">
        <v>1099</v>
      </c>
      <c r="Q24" s="37" t="s">
        <v>1099</v>
      </c>
      <c r="R24" s="37" t="s">
        <v>1099</v>
      </c>
      <c r="S24" s="113" t="s">
        <v>1099</v>
      </c>
      <c r="T24" s="56"/>
      <c r="U24" s="56"/>
      <c r="V24" s="56"/>
      <c r="W24" s="114" t="s">
        <v>1099</v>
      </c>
      <c r="X24" s="115"/>
      <c r="Y24" s="115"/>
      <c r="Z24" s="116"/>
      <c r="AA24" s="117" t="s">
        <v>1099</v>
      </c>
      <c r="AB24" s="116"/>
      <c r="AC24" s="56"/>
      <c r="AD24" s="116"/>
      <c r="AE24" s="44" t="s">
        <v>1099</v>
      </c>
      <c r="AF24" s="46" t="str">
        <f t="shared" si="0"/>
        <v/>
      </c>
      <c r="AG24" s="38" t="s">
        <v>1099</v>
      </c>
      <c r="AH24" s="47" t="str">
        <f t="shared" si="1"/>
        <v/>
      </c>
      <c r="AI24" s="32"/>
      <c r="AJ24" s="32"/>
      <c r="AK24" s="32"/>
      <c r="AL24" s="32"/>
      <c r="AM24" s="32" t="s">
        <v>1099</v>
      </c>
      <c r="AN24" s="32"/>
      <c r="AO24" s="32" t="s">
        <v>1099</v>
      </c>
      <c r="AP24" s="32"/>
      <c r="AQ24" s="32"/>
      <c r="AR24" s="32"/>
      <c r="AS24" s="32"/>
      <c r="AT24" s="32"/>
      <c r="AU24" s="32"/>
      <c r="AV24" s="38" t="s">
        <v>1099</v>
      </c>
      <c r="AW24" s="38" t="s">
        <v>1099</v>
      </c>
      <c r="AX24" s="42" t="s">
        <v>106</v>
      </c>
      <c r="AY24" s="62" t="str">
        <f>IF('Cálculo MP'!J25="","",'Cálculo MP'!J25)</f>
        <v/>
      </c>
      <c r="AZ24" s="62" t="str">
        <f>IF('Cálculo MP'!K25="","",'Cálculo MP'!K25)</f>
        <v/>
      </c>
      <c r="BA24" s="62" t="str">
        <f>IF('Cálculo MP'!L25="","",'Cálculo MP'!L25)</f>
        <v/>
      </c>
      <c r="BB24" s="62" t="str">
        <f>IF('Cálculo MP'!M25="","",'Cálculo MP'!M25)</f>
        <v/>
      </c>
      <c r="BC24" s="62" t="str">
        <f>IF('Cálculo MP'!N25="","",'Cálculo MP'!N25)</f>
        <v/>
      </c>
      <c r="BD24" s="62" t="str">
        <f>IF('Cálculo MP'!O25="","",'Cálculo MP'!O25)</f>
        <v/>
      </c>
      <c r="BE24" s="62" t="str">
        <f>IF('Cálculo MP'!P25="","",'Cálculo MP'!P25)</f>
        <v/>
      </c>
      <c r="BF24" s="62" t="str">
        <f>IF('Cálculo MP'!Q25="","",'Cálculo MP'!Q25)</f>
        <v/>
      </c>
      <c r="BG24" s="62" t="str">
        <f>IF('Cálculo MP'!R25="","",'Cálculo MP'!R25)</f>
        <v/>
      </c>
      <c r="BH24" s="43"/>
      <c r="BI24" s="43"/>
      <c r="BJ24" s="43"/>
      <c r="BK24" s="43"/>
      <c r="BL24" s="43"/>
      <c r="BM24" s="43"/>
      <c r="BN24" s="43"/>
      <c r="BO24" s="62" t="str">
        <f t="shared" si="2"/>
        <v/>
      </c>
    </row>
    <row r="25" spans="1:67" ht="19.5" customHeight="1" x14ac:dyDescent="0.2">
      <c r="A25" s="49" t="b">
        <v>0</v>
      </c>
      <c r="B25" s="50" t="b">
        <v>1</v>
      </c>
      <c r="C25" s="51" t="b">
        <v>0</v>
      </c>
      <c r="D25" s="51" t="b">
        <v>0</v>
      </c>
      <c r="E25" s="37"/>
      <c r="F25" s="39"/>
      <c r="G25" s="37" t="s">
        <v>1100</v>
      </c>
      <c r="H25" s="34"/>
      <c r="I25" s="34"/>
      <c r="J25" s="34" t="s">
        <v>1099</v>
      </c>
      <c r="K25" s="51" t="b">
        <v>1</v>
      </c>
      <c r="L25" s="40"/>
      <c r="M25" s="37" t="s">
        <v>1099</v>
      </c>
      <c r="N25" s="37" t="s">
        <v>1099</v>
      </c>
      <c r="O25" s="41" t="s">
        <v>1099</v>
      </c>
      <c r="P25" s="40" t="s">
        <v>1099</v>
      </c>
      <c r="Q25" s="37" t="s">
        <v>1099</v>
      </c>
      <c r="R25" s="37" t="s">
        <v>1099</v>
      </c>
      <c r="S25" s="113" t="s">
        <v>1099</v>
      </c>
      <c r="T25" s="56"/>
      <c r="U25" s="56"/>
      <c r="V25" s="56"/>
      <c r="W25" s="114" t="s">
        <v>1099</v>
      </c>
      <c r="X25" s="115"/>
      <c r="Y25" s="115"/>
      <c r="Z25" s="116"/>
      <c r="AA25" s="117" t="s">
        <v>1099</v>
      </c>
      <c r="AB25" s="116"/>
      <c r="AC25" s="56"/>
      <c r="AD25" s="116"/>
      <c r="AE25" s="44" t="s">
        <v>1099</v>
      </c>
      <c r="AF25" s="46" t="str">
        <f t="shared" si="0"/>
        <v/>
      </c>
      <c r="AG25" s="38" t="s">
        <v>1099</v>
      </c>
      <c r="AH25" s="47" t="str">
        <f t="shared" si="1"/>
        <v/>
      </c>
      <c r="AI25" s="32"/>
      <c r="AJ25" s="32"/>
      <c r="AK25" s="32"/>
      <c r="AL25" s="32"/>
      <c r="AM25" s="32" t="s">
        <v>1099</v>
      </c>
      <c r="AN25" s="32"/>
      <c r="AO25" s="32" t="s">
        <v>1099</v>
      </c>
      <c r="AP25" s="32"/>
      <c r="AQ25" s="32"/>
      <c r="AR25" s="32"/>
      <c r="AS25" s="32"/>
      <c r="AT25" s="32"/>
      <c r="AU25" s="32"/>
      <c r="AV25" s="38" t="s">
        <v>1099</v>
      </c>
      <c r="AW25" s="38" t="s">
        <v>1099</v>
      </c>
      <c r="AX25" s="42" t="s">
        <v>106</v>
      </c>
      <c r="AY25" s="62" t="str">
        <f>IF('Cálculo MP'!J26="","",'Cálculo MP'!J26)</f>
        <v/>
      </c>
      <c r="AZ25" s="62" t="str">
        <f>IF('Cálculo MP'!K26="","",'Cálculo MP'!K26)</f>
        <v/>
      </c>
      <c r="BA25" s="62" t="str">
        <f>IF('Cálculo MP'!L26="","",'Cálculo MP'!L26)</f>
        <v/>
      </c>
      <c r="BB25" s="62" t="str">
        <f>IF('Cálculo MP'!M26="","",'Cálculo MP'!M26)</f>
        <v/>
      </c>
      <c r="BC25" s="62" t="str">
        <f>IF('Cálculo MP'!N26="","",'Cálculo MP'!N26)</f>
        <v/>
      </c>
      <c r="BD25" s="62" t="str">
        <f>IF('Cálculo MP'!O26="","",'Cálculo MP'!O26)</f>
        <v/>
      </c>
      <c r="BE25" s="62" t="str">
        <f>IF('Cálculo MP'!P26="","",'Cálculo MP'!P26)</f>
        <v/>
      </c>
      <c r="BF25" s="62" t="str">
        <f>IF('Cálculo MP'!Q26="","",'Cálculo MP'!Q26)</f>
        <v/>
      </c>
      <c r="BG25" s="62" t="str">
        <f>IF('Cálculo MP'!R26="","",'Cálculo MP'!R26)</f>
        <v/>
      </c>
      <c r="BH25" s="43"/>
      <c r="BI25" s="43"/>
      <c r="BJ25" s="43"/>
      <c r="BK25" s="43"/>
      <c r="BL25" s="43"/>
      <c r="BM25" s="43"/>
      <c r="BN25" s="43"/>
      <c r="BO25" s="62" t="str">
        <f t="shared" si="2"/>
        <v/>
      </c>
    </row>
    <row r="26" spans="1:67" ht="19.5" customHeight="1" x14ac:dyDescent="0.2">
      <c r="A26" s="49" t="b">
        <v>0</v>
      </c>
      <c r="B26" s="50" t="b">
        <v>1</v>
      </c>
      <c r="C26" s="51" t="b">
        <v>0</v>
      </c>
      <c r="D26" s="51" t="b">
        <v>0</v>
      </c>
      <c r="E26" s="37"/>
      <c r="F26" s="39"/>
      <c r="G26" s="37" t="s">
        <v>1100</v>
      </c>
      <c r="H26" s="34"/>
      <c r="I26" s="34"/>
      <c r="J26" s="34" t="s">
        <v>1099</v>
      </c>
      <c r="K26" s="51" t="b">
        <v>1</v>
      </c>
      <c r="L26" s="40"/>
      <c r="M26" s="37" t="s">
        <v>1099</v>
      </c>
      <c r="N26" s="37" t="s">
        <v>1099</v>
      </c>
      <c r="O26" s="41" t="s">
        <v>1099</v>
      </c>
      <c r="P26" s="40" t="s">
        <v>1099</v>
      </c>
      <c r="Q26" s="37" t="s">
        <v>1099</v>
      </c>
      <c r="R26" s="37" t="s">
        <v>1099</v>
      </c>
      <c r="S26" s="113" t="s">
        <v>1099</v>
      </c>
      <c r="T26" s="56"/>
      <c r="U26" s="56"/>
      <c r="V26" s="56"/>
      <c r="W26" s="114" t="s">
        <v>1099</v>
      </c>
      <c r="X26" s="115"/>
      <c r="Y26" s="115"/>
      <c r="Z26" s="116"/>
      <c r="AA26" s="117" t="s">
        <v>1099</v>
      </c>
      <c r="AB26" s="116"/>
      <c r="AC26" s="56"/>
      <c r="AD26" s="116"/>
      <c r="AE26" s="44" t="s">
        <v>1099</v>
      </c>
      <c r="AF26" s="46" t="str">
        <f t="shared" si="0"/>
        <v/>
      </c>
      <c r="AG26" s="38" t="s">
        <v>1099</v>
      </c>
      <c r="AH26" s="47" t="str">
        <f t="shared" si="1"/>
        <v/>
      </c>
      <c r="AI26" s="32"/>
      <c r="AJ26" s="32"/>
      <c r="AK26" s="32"/>
      <c r="AL26" s="32"/>
      <c r="AM26" s="32" t="s">
        <v>1099</v>
      </c>
      <c r="AN26" s="32"/>
      <c r="AO26" s="32" t="s">
        <v>1099</v>
      </c>
      <c r="AP26" s="32"/>
      <c r="AQ26" s="32"/>
      <c r="AR26" s="32"/>
      <c r="AS26" s="32"/>
      <c r="AT26" s="32"/>
      <c r="AU26" s="32"/>
      <c r="AV26" s="38" t="s">
        <v>1099</v>
      </c>
      <c r="AW26" s="38" t="s">
        <v>1099</v>
      </c>
      <c r="AX26" s="42" t="s">
        <v>106</v>
      </c>
      <c r="AY26" s="62" t="str">
        <f>IF('Cálculo MP'!J27="","",'Cálculo MP'!J27)</f>
        <v/>
      </c>
      <c r="AZ26" s="62" t="str">
        <f>IF('Cálculo MP'!K27="","",'Cálculo MP'!K27)</f>
        <v/>
      </c>
      <c r="BA26" s="62" t="str">
        <f>IF('Cálculo MP'!L27="","",'Cálculo MP'!L27)</f>
        <v/>
      </c>
      <c r="BB26" s="62" t="str">
        <f>IF('Cálculo MP'!M27="","",'Cálculo MP'!M27)</f>
        <v/>
      </c>
      <c r="BC26" s="62" t="str">
        <f>IF('Cálculo MP'!N27="","",'Cálculo MP'!N27)</f>
        <v/>
      </c>
      <c r="BD26" s="62" t="str">
        <f>IF('Cálculo MP'!O27="","",'Cálculo MP'!O27)</f>
        <v/>
      </c>
      <c r="BE26" s="62" t="str">
        <f>IF('Cálculo MP'!P27="","",'Cálculo MP'!P27)</f>
        <v/>
      </c>
      <c r="BF26" s="62" t="str">
        <f>IF('Cálculo MP'!Q27="","",'Cálculo MP'!Q27)</f>
        <v/>
      </c>
      <c r="BG26" s="62" t="str">
        <f>IF('Cálculo MP'!R27="","",'Cálculo MP'!R27)</f>
        <v/>
      </c>
      <c r="BH26" s="43"/>
      <c r="BI26" s="43"/>
      <c r="BJ26" s="43"/>
      <c r="BK26" s="43"/>
      <c r="BL26" s="43"/>
      <c r="BM26" s="43"/>
      <c r="BN26" s="43"/>
      <c r="BO26" s="62" t="str">
        <f t="shared" si="2"/>
        <v/>
      </c>
    </row>
    <row r="27" spans="1:67" ht="19.5" customHeight="1" x14ac:dyDescent="0.2">
      <c r="A27" s="49" t="b">
        <v>0</v>
      </c>
      <c r="B27" s="50" t="b">
        <v>1</v>
      </c>
      <c r="C27" s="51" t="b">
        <v>0</v>
      </c>
      <c r="D27" s="51" t="b">
        <v>0</v>
      </c>
      <c r="E27" s="37"/>
      <c r="F27" s="39"/>
      <c r="G27" s="37" t="s">
        <v>1100</v>
      </c>
      <c r="H27" s="34"/>
      <c r="I27" s="34"/>
      <c r="J27" s="34" t="s">
        <v>1099</v>
      </c>
      <c r="K27" s="51" t="b">
        <v>1</v>
      </c>
      <c r="L27" s="40"/>
      <c r="M27" s="37" t="s">
        <v>1099</v>
      </c>
      <c r="N27" s="37" t="s">
        <v>1099</v>
      </c>
      <c r="O27" s="41" t="s">
        <v>1099</v>
      </c>
      <c r="P27" s="40" t="s">
        <v>1099</v>
      </c>
      <c r="Q27" s="37" t="s">
        <v>1099</v>
      </c>
      <c r="R27" s="37" t="s">
        <v>1099</v>
      </c>
      <c r="S27" s="113" t="s">
        <v>1099</v>
      </c>
      <c r="T27" s="56"/>
      <c r="U27" s="56"/>
      <c r="V27" s="56"/>
      <c r="W27" s="114" t="s">
        <v>1099</v>
      </c>
      <c r="X27" s="115"/>
      <c r="Y27" s="115"/>
      <c r="Z27" s="116"/>
      <c r="AA27" s="117" t="s">
        <v>1099</v>
      </c>
      <c r="AB27" s="116"/>
      <c r="AC27" s="56"/>
      <c r="AD27" s="116"/>
      <c r="AE27" s="44" t="s">
        <v>1099</v>
      </c>
      <c r="AF27" s="46" t="str">
        <f t="shared" si="0"/>
        <v/>
      </c>
      <c r="AG27" s="38" t="s">
        <v>1099</v>
      </c>
      <c r="AH27" s="47" t="str">
        <f t="shared" si="1"/>
        <v/>
      </c>
      <c r="AI27" s="32"/>
      <c r="AJ27" s="32"/>
      <c r="AK27" s="32"/>
      <c r="AL27" s="32"/>
      <c r="AM27" s="32" t="s">
        <v>1099</v>
      </c>
      <c r="AN27" s="32"/>
      <c r="AO27" s="32" t="s">
        <v>1099</v>
      </c>
      <c r="AP27" s="32"/>
      <c r="AQ27" s="32"/>
      <c r="AR27" s="32"/>
      <c r="AS27" s="32"/>
      <c r="AT27" s="32"/>
      <c r="AU27" s="32"/>
      <c r="AV27" s="38" t="s">
        <v>1099</v>
      </c>
      <c r="AW27" s="38" t="s">
        <v>1099</v>
      </c>
      <c r="AX27" s="42" t="s">
        <v>106</v>
      </c>
      <c r="AY27" s="62" t="str">
        <f>IF('Cálculo MP'!J28="","",'Cálculo MP'!J28)</f>
        <v/>
      </c>
      <c r="AZ27" s="62" t="str">
        <f>IF('Cálculo MP'!K28="","",'Cálculo MP'!K28)</f>
        <v/>
      </c>
      <c r="BA27" s="62" t="str">
        <f>IF('Cálculo MP'!L28="","",'Cálculo MP'!L28)</f>
        <v/>
      </c>
      <c r="BB27" s="62" t="str">
        <f>IF('Cálculo MP'!M28="","",'Cálculo MP'!M28)</f>
        <v/>
      </c>
      <c r="BC27" s="62" t="str">
        <f>IF('Cálculo MP'!N28="","",'Cálculo MP'!N28)</f>
        <v/>
      </c>
      <c r="BD27" s="62" t="str">
        <f>IF('Cálculo MP'!O28="","",'Cálculo MP'!O28)</f>
        <v/>
      </c>
      <c r="BE27" s="62" t="str">
        <f>IF('Cálculo MP'!P28="","",'Cálculo MP'!P28)</f>
        <v/>
      </c>
      <c r="BF27" s="62" t="str">
        <f>IF('Cálculo MP'!Q28="","",'Cálculo MP'!Q28)</f>
        <v/>
      </c>
      <c r="BG27" s="62" t="str">
        <f>IF('Cálculo MP'!R28="","",'Cálculo MP'!R28)</f>
        <v/>
      </c>
      <c r="BH27" s="43"/>
      <c r="BI27" s="43"/>
      <c r="BJ27" s="43"/>
      <c r="BK27" s="43"/>
      <c r="BL27" s="43"/>
      <c r="BM27" s="43"/>
      <c r="BN27" s="43"/>
      <c r="BO27" s="62" t="str">
        <f t="shared" si="2"/>
        <v/>
      </c>
    </row>
    <row r="28" spans="1:67" ht="19.5" customHeight="1" x14ac:dyDescent="0.2">
      <c r="A28" s="49" t="b">
        <v>0</v>
      </c>
      <c r="B28" s="50" t="b">
        <v>1</v>
      </c>
      <c r="C28" s="51" t="b">
        <v>0</v>
      </c>
      <c r="D28" s="51" t="b">
        <v>0</v>
      </c>
      <c r="E28" s="37"/>
      <c r="F28" s="39"/>
      <c r="G28" s="37" t="s">
        <v>1100</v>
      </c>
      <c r="H28" s="34"/>
      <c r="I28" s="34"/>
      <c r="J28" s="34" t="s">
        <v>1099</v>
      </c>
      <c r="K28" s="51" t="b">
        <v>1</v>
      </c>
      <c r="L28" s="40"/>
      <c r="M28" s="37" t="s">
        <v>1099</v>
      </c>
      <c r="N28" s="37" t="s">
        <v>1099</v>
      </c>
      <c r="O28" s="41" t="s">
        <v>1099</v>
      </c>
      <c r="P28" s="40" t="s">
        <v>1099</v>
      </c>
      <c r="Q28" s="37" t="s">
        <v>1099</v>
      </c>
      <c r="R28" s="37" t="s">
        <v>1099</v>
      </c>
      <c r="S28" s="113" t="s">
        <v>1099</v>
      </c>
      <c r="T28" s="56"/>
      <c r="U28" s="56"/>
      <c r="V28" s="56"/>
      <c r="W28" s="114" t="s">
        <v>1099</v>
      </c>
      <c r="X28" s="115"/>
      <c r="Y28" s="115"/>
      <c r="Z28" s="116"/>
      <c r="AA28" s="117" t="s">
        <v>1099</v>
      </c>
      <c r="AB28" s="116"/>
      <c r="AC28" s="56"/>
      <c r="AD28" s="116"/>
      <c r="AE28" s="44" t="s">
        <v>1099</v>
      </c>
      <c r="AF28" s="46" t="str">
        <f t="shared" si="0"/>
        <v/>
      </c>
      <c r="AG28" s="38" t="s">
        <v>1099</v>
      </c>
      <c r="AH28" s="47" t="str">
        <f t="shared" si="1"/>
        <v/>
      </c>
      <c r="AI28" s="32"/>
      <c r="AJ28" s="32"/>
      <c r="AK28" s="32"/>
      <c r="AL28" s="32"/>
      <c r="AM28" s="32" t="s">
        <v>1099</v>
      </c>
      <c r="AN28" s="32"/>
      <c r="AO28" s="32" t="s">
        <v>1099</v>
      </c>
      <c r="AP28" s="32"/>
      <c r="AQ28" s="32"/>
      <c r="AR28" s="32"/>
      <c r="AS28" s="32"/>
      <c r="AT28" s="32"/>
      <c r="AU28" s="32"/>
      <c r="AV28" s="38" t="s">
        <v>1099</v>
      </c>
      <c r="AW28" s="38" t="s">
        <v>1099</v>
      </c>
      <c r="AX28" s="42" t="s">
        <v>106</v>
      </c>
      <c r="AY28" s="62" t="str">
        <f>IF('Cálculo MP'!J29="","",'Cálculo MP'!J29)</f>
        <v/>
      </c>
      <c r="AZ28" s="62" t="str">
        <f>IF('Cálculo MP'!K29="","",'Cálculo MP'!K29)</f>
        <v/>
      </c>
      <c r="BA28" s="62" t="str">
        <f>IF('Cálculo MP'!L29="","",'Cálculo MP'!L29)</f>
        <v/>
      </c>
      <c r="BB28" s="62" t="str">
        <f>IF('Cálculo MP'!M29="","",'Cálculo MP'!M29)</f>
        <v/>
      </c>
      <c r="BC28" s="62" t="str">
        <f>IF('Cálculo MP'!N29="","",'Cálculo MP'!N29)</f>
        <v/>
      </c>
      <c r="BD28" s="62" t="str">
        <f>IF('Cálculo MP'!O29="","",'Cálculo MP'!O29)</f>
        <v/>
      </c>
      <c r="BE28" s="62" t="str">
        <f>IF('Cálculo MP'!P29="","",'Cálculo MP'!P29)</f>
        <v/>
      </c>
      <c r="BF28" s="62" t="str">
        <f>IF('Cálculo MP'!Q29="","",'Cálculo MP'!Q29)</f>
        <v/>
      </c>
      <c r="BG28" s="62" t="str">
        <f>IF('Cálculo MP'!R29="","",'Cálculo MP'!R29)</f>
        <v/>
      </c>
      <c r="BH28" s="43"/>
      <c r="BI28" s="43"/>
      <c r="BJ28" s="43"/>
      <c r="BK28" s="43"/>
      <c r="BL28" s="43"/>
      <c r="BM28" s="43"/>
      <c r="BN28" s="43"/>
      <c r="BO28" s="62" t="str">
        <f t="shared" si="2"/>
        <v/>
      </c>
    </row>
    <row r="29" spans="1:67" ht="19.5" customHeight="1" x14ac:dyDescent="0.2">
      <c r="A29" s="49" t="b">
        <v>0</v>
      </c>
      <c r="B29" s="50" t="b">
        <v>1</v>
      </c>
      <c r="C29" s="51" t="b">
        <v>0</v>
      </c>
      <c r="D29" s="51" t="b">
        <v>0</v>
      </c>
      <c r="E29" s="37"/>
      <c r="F29" s="39"/>
      <c r="G29" s="37" t="s">
        <v>1100</v>
      </c>
      <c r="H29" s="34"/>
      <c r="I29" s="34"/>
      <c r="J29" s="34" t="s">
        <v>1099</v>
      </c>
      <c r="K29" s="51" t="b">
        <v>1</v>
      </c>
      <c r="L29" s="40"/>
      <c r="M29" s="37" t="s">
        <v>1099</v>
      </c>
      <c r="N29" s="37" t="s">
        <v>1099</v>
      </c>
      <c r="O29" s="41" t="s">
        <v>1099</v>
      </c>
      <c r="P29" s="40" t="s">
        <v>1099</v>
      </c>
      <c r="Q29" s="37" t="s">
        <v>1099</v>
      </c>
      <c r="R29" s="37" t="s">
        <v>1099</v>
      </c>
      <c r="S29" s="113" t="s">
        <v>1099</v>
      </c>
      <c r="T29" s="56"/>
      <c r="U29" s="56"/>
      <c r="V29" s="56"/>
      <c r="W29" s="114" t="s">
        <v>1099</v>
      </c>
      <c r="X29" s="115"/>
      <c r="Y29" s="115"/>
      <c r="Z29" s="116"/>
      <c r="AA29" s="117" t="s">
        <v>1099</v>
      </c>
      <c r="AB29" s="116"/>
      <c r="AC29" s="56"/>
      <c r="AD29" s="116"/>
      <c r="AE29" s="44" t="s">
        <v>1099</v>
      </c>
      <c r="AF29" s="46" t="str">
        <f t="shared" si="0"/>
        <v/>
      </c>
      <c r="AG29" s="38" t="s">
        <v>1099</v>
      </c>
      <c r="AH29" s="47" t="str">
        <f t="shared" si="1"/>
        <v/>
      </c>
      <c r="AI29" s="32"/>
      <c r="AJ29" s="32"/>
      <c r="AK29" s="32"/>
      <c r="AL29" s="32"/>
      <c r="AM29" s="32" t="s">
        <v>1099</v>
      </c>
      <c r="AN29" s="32"/>
      <c r="AO29" s="32" t="s">
        <v>1099</v>
      </c>
      <c r="AP29" s="32"/>
      <c r="AQ29" s="32"/>
      <c r="AR29" s="32"/>
      <c r="AS29" s="32"/>
      <c r="AT29" s="32"/>
      <c r="AU29" s="32"/>
      <c r="AV29" s="38" t="s">
        <v>1099</v>
      </c>
      <c r="AW29" s="38" t="s">
        <v>1099</v>
      </c>
      <c r="AX29" s="42" t="s">
        <v>106</v>
      </c>
      <c r="AY29" s="62" t="str">
        <f>IF('Cálculo MP'!J30="","",'Cálculo MP'!J30)</f>
        <v/>
      </c>
      <c r="AZ29" s="62" t="str">
        <f>IF('Cálculo MP'!K30="","",'Cálculo MP'!K30)</f>
        <v/>
      </c>
      <c r="BA29" s="62" t="str">
        <f>IF('Cálculo MP'!L30="","",'Cálculo MP'!L30)</f>
        <v/>
      </c>
      <c r="BB29" s="62" t="str">
        <f>IF('Cálculo MP'!M30="","",'Cálculo MP'!M30)</f>
        <v/>
      </c>
      <c r="BC29" s="62" t="str">
        <f>IF('Cálculo MP'!N30="","",'Cálculo MP'!N30)</f>
        <v/>
      </c>
      <c r="BD29" s="62" t="str">
        <f>IF('Cálculo MP'!O30="","",'Cálculo MP'!O30)</f>
        <v/>
      </c>
      <c r="BE29" s="62" t="str">
        <f>IF('Cálculo MP'!P30="","",'Cálculo MP'!P30)</f>
        <v/>
      </c>
      <c r="BF29" s="62" t="str">
        <f>IF('Cálculo MP'!Q30="","",'Cálculo MP'!Q30)</f>
        <v/>
      </c>
      <c r="BG29" s="62" t="str">
        <f>IF('Cálculo MP'!R30="","",'Cálculo MP'!R30)</f>
        <v/>
      </c>
      <c r="BH29" s="43"/>
      <c r="BI29" s="43"/>
      <c r="BJ29" s="43"/>
      <c r="BK29" s="43"/>
      <c r="BL29" s="43"/>
      <c r="BM29" s="43"/>
      <c r="BN29" s="43"/>
      <c r="BO29" s="62" t="str">
        <f t="shared" si="2"/>
        <v/>
      </c>
    </row>
    <row r="30" spans="1:67" ht="19.5" customHeight="1" x14ac:dyDescent="0.2">
      <c r="A30" s="49" t="b">
        <v>0</v>
      </c>
      <c r="B30" s="50" t="b">
        <v>1</v>
      </c>
      <c r="C30" s="51" t="b">
        <v>0</v>
      </c>
      <c r="D30" s="51" t="b">
        <v>0</v>
      </c>
      <c r="E30" s="37"/>
      <c r="F30" s="39"/>
      <c r="G30" s="37" t="s">
        <v>1100</v>
      </c>
      <c r="H30" s="34"/>
      <c r="I30" s="34"/>
      <c r="J30" s="34" t="s">
        <v>1099</v>
      </c>
      <c r="K30" s="51" t="b">
        <v>1</v>
      </c>
      <c r="L30" s="40"/>
      <c r="M30" s="37" t="s">
        <v>1099</v>
      </c>
      <c r="N30" s="37" t="s">
        <v>1099</v>
      </c>
      <c r="O30" s="41" t="s">
        <v>1099</v>
      </c>
      <c r="P30" s="40" t="s">
        <v>1099</v>
      </c>
      <c r="Q30" s="37" t="s">
        <v>1099</v>
      </c>
      <c r="R30" s="37" t="s">
        <v>1099</v>
      </c>
      <c r="S30" s="113" t="s">
        <v>1099</v>
      </c>
      <c r="T30" s="56"/>
      <c r="U30" s="56"/>
      <c r="V30" s="56"/>
      <c r="W30" s="114" t="s">
        <v>1099</v>
      </c>
      <c r="X30" s="115"/>
      <c r="Y30" s="115"/>
      <c r="Z30" s="116"/>
      <c r="AA30" s="117" t="s">
        <v>1099</v>
      </c>
      <c r="AB30" s="116"/>
      <c r="AC30" s="56"/>
      <c r="AD30" s="116"/>
      <c r="AE30" s="44" t="s">
        <v>1099</v>
      </c>
      <c r="AF30" s="46" t="str">
        <f t="shared" si="0"/>
        <v/>
      </c>
      <c r="AG30" s="38" t="s">
        <v>1099</v>
      </c>
      <c r="AH30" s="47" t="str">
        <f t="shared" si="1"/>
        <v/>
      </c>
      <c r="AI30" s="32"/>
      <c r="AJ30" s="32"/>
      <c r="AK30" s="32"/>
      <c r="AL30" s="32"/>
      <c r="AM30" s="32" t="s">
        <v>1099</v>
      </c>
      <c r="AN30" s="32"/>
      <c r="AO30" s="32" t="s">
        <v>1099</v>
      </c>
      <c r="AP30" s="32"/>
      <c r="AQ30" s="32"/>
      <c r="AR30" s="32"/>
      <c r="AS30" s="32"/>
      <c r="AT30" s="32"/>
      <c r="AU30" s="32"/>
      <c r="AV30" s="38" t="s">
        <v>1099</v>
      </c>
      <c r="AW30" s="38" t="s">
        <v>1099</v>
      </c>
      <c r="AX30" s="42" t="s">
        <v>106</v>
      </c>
      <c r="AY30" s="62" t="str">
        <f>IF('Cálculo MP'!J31="","",'Cálculo MP'!J31)</f>
        <v/>
      </c>
      <c r="AZ30" s="62" t="str">
        <f>IF('Cálculo MP'!K31="","",'Cálculo MP'!K31)</f>
        <v/>
      </c>
      <c r="BA30" s="62" t="str">
        <f>IF('Cálculo MP'!L31="","",'Cálculo MP'!L31)</f>
        <v/>
      </c>
      <c r="BB30" s="62" t="str">
        <f>IF('Cálculo MP'!M31="","",'Cálculo MP'!M31)</f>
        <v/>
      </c>
      <c r="BC30" s="62" t="str">
        <f>IF('Cálculo MP'!N31="","",'Cálculo MP'!N31)</f>
        <v/>
      </c>
      <c r="BD30" s="62" t="str">
        <f>IF('Cálculo MP'!O31="","",'Cálculo MP'!O31)</f>
        <v/>
      </c>
      <c r="BE30" s="62" t="str">
        <f>IF('Cálculo MP'!P31="","",'Cálculo MP'!P31)</f>
        <v/>
      </c>
      <c r="BF30" s="62" t="str">
        <f>IF('Cálculo MP'!Q31="","",'Cálculo MP'!Q31)</f>
        <v/>
      </c>
      <c r="BG30" s="62" t="str">
        <f>IF('Cálculo MP'!R31="","",'Cálculo MP'!R31)</f>
        <v/>
      </c>
      <c r="BH30" s="43"/>
      <c r="BI30" s="43"/>
      <c r="BJ30" s="43"/>
      <c r="BK30" s="43"/>
      <c r="BL30" s="43"/>
      <c r="BM30" s="43"/>
      <c r="BN30" s="43"/>
      <c r="BO30" s="62" t="str">
        <f t="shared" si="2"/>
        <v/>
      </c>
    </row>
    <row r="31" spans="1:67" ht="19.5" customHeight="1" x14ac:dyDescent="0.2">
      <c r="A31" s="49" t="b">
        <v>0</v>
      </c>
      <c r="B31" s="50" t="b">
        <v>1</v>
      </c>
      <c r="C31" s="51" t="b">
        <v>0</v>
      </c>
      <c r="D31" s="51" t="b">
        <v>0</v>
      </c>
      <c r="E31" s="37"/>
      <c r="F31" s="39"/>
      <c r="G31" s="37" t="s">
        <v>1100</v>
      </c>
      <c r="H31" s="34"/>
      <c r="I31" s="34"/>
      <c r="J31" s="34" t="s">
        <v>1099</v>
      </c>
      <c r="K31" s="51" t="b">
        <v>1</v>
      </c>
      <c r="L31" s="40"/>
      <c r="M31" s="37" t="s">
        <v>1099</v>
      </c>
      <c r="N31" s="37" t="s">
        <v>1099</v>
      </c>
      <c r="O31" s="41" t="s">
        <v>1099</v>
      </c>
      <c r="P31" s="40" t="s">
        <v>1099</v>
      </c>
      <c r="Q31" s="37" t="s">
        <v>1099</v>
      </c>
      <c r="R31" s="37" t="s">
        <v>1099</v>
      </c>
      <c r="S31" s="113" t="s">
        <v>1099</v>
      </c>
      <c r="T31" s="56"/>
      <c r="U31" s="56"/>
      <c r="V31" s="56"/>
      <c r="W31" s="114" t="s">
        <v>1099</v>
      </c>
      <c r="X31" s="115"/>
      <c r="Y31" s="115"/>
      <c r="Z31" s="116"/>
      <c r="AA31" s="117" t="s">
        <v>1099</v>
      </c>
      <c r="AB31" s="116"/>
      <c r="AC31" s="56"/>
      <c r="AD31" s="116"/>
      <c r="AE31" s="44" t="s">
        <v>1099</v>
      </c>
      <c r="AF31" s="46" t="str">
        <f t="shared" si="0"/>
        <v/>
      </c>
      <c r="AG31" s="38" t="s">
        <v>1099</v>
      </c>
      <c r="AH31" s="47" t="str">
        <f t="shared" si="1"/>
        <v/>
      </c>
      <c r="AI31" s="32"/>
      <c r="AJ31" s="32"/>
      <c r="AK31" s="32"/>
      <c r="AL31" s="32"/>
      <c r="AM31" s="32" t="s">
        <v>1099</v>
      </c>
      <c r="AN31" s="32"/>
      <c r="AO31" s="32" t="s">
        <v>1099</v>
      </c>
      <c r="AP31" s="32"/>
      <c r="AQ31" s="32"/>
      <c r="AR31" s="32"/>
      <c r="AS31" s="32"/>
      <c r="AT31" s="32"/>
      <c r="AU31" s="32"/>
      <c r="AV31" s="38" t="s">
        <v>1099</v>
      </c>
      <c r="AW31" s="38" t="s">
        <v>1099</v>
      </c>
      <c r="AX31" s="42" t="s">
        <v>106</v>
      </c>
      <c r="AY31" s="62" t="str">
        <f>IF('Cálculo MP'!J32="","",'Cálculo MP'!J32)</f>
        <v/>
      </c>
      <c r="AZ31" s="62" t="str">
        <f>IF('Cálculo MP'!K32="","",'Cálculo MP'!K32)</f>
        <v/>
      </c>
      <c r="BA31" s="62" t="str">
        <f>IF('Cálculo MP'!L32="","",'Cálculo MP'!L32)</f>
        <v/>
      </c>
      <c r="BB31" s="62" t="str">
        <f>IF('Cálculo MP'!M32="","",'Cálculo MP'!M32)</f>
        <v/>
      </c>
      <c r="BC31" s="62" t="str">
        <f>IF('Cálculo MP'!N32="","",'Cálculo MP'!N32)</f>
        <v/>
      </c>
      <c r="BD31" s="62" t="str">
        <f>IF('Cálculo MP'!O32="","",'Cálculo MP'!O32)</f>
        <v/>
      </c>
      <c r="BE31" s="62" t="str">
        <f>IF('Cálculo MP'!P32="","",'Cálculo MP'!P32)</f>
        <v/>
      </c>
      <c r="BF31" s="62" t="str">
        <f>IF('Cálculo MP'!Q32="","",'Cálculo MP'!Q32)</f>
        <v/>
      </c>
      <c r="BG31" s="62" t="str">
        <f>IF('Cálculo MP'!R32="","",'Cálculo MP'!R32)</f>
        <v/>
      </c>
      <c r="BH31" s="43"/>
      <c r="BI31" s="43"/>
      <c r="BJ31" s="43"/>
      <c r="BK31" s="43"/>
      <c r="BL31" s="43"/>
      <c r="BM31" s="43"/>
      <c r="BN31" s="43"/>
      <c r="BO31" s="62" t="str">
        <f t="shared" si="2"/>
        <v/>
      </c>
    </row>
    <row r="32" spans="1:67" ht="19.5" customHeight="1" x14ac:dyDescent="0.2">
      <c r="A32" s="49" t="b">
        <v>0</v>
      </c>
      <c r="B32" s="50" t="b">
        <v>1</v>
      </c>
      <c r="C32" s="51" t="b">
        <v>0</v>
      </c>
      <c r="D32" s="51" t="b">
        <v>0</v>
      </c>
      <c r="E32" s="37"/>
      <c r="F32" s="39"/>
      <c r="G32" s="37" t="s">
        <v>1100</v>
      </c>
      <c r="H32" s="34"/>
      <c r="I32" s="34"/>
      <c r="J32" s="34" t="s">
        <v>1099</v>
      </c>
      <c r="K32" s="51" t="b">
        <v>1</v>
      </c>
      <c r="L32" s="40"/>
      <c r="M32" s="37" t="s">
        <v>1099</v>
      </c>
      <c r="N32" s="37" t="s">
        <v>1099</v>
      </c>
      <c r="O32" s="41" t="s">
        <v>1099</v>
      </c>
      <c r="P32" s="40" t="s">
        <v>1099</v>
      </c>
      <c r="Q32" s="37" t="s">
        <v>1099</v>
      </c>
      <c r="R32" s="37" t="s">
        <v>1099</v>
      </c>
      <c r="S32" s="113" t="s">
        <v>1099</v>
      </c>
      <c r="T32" s="56"/>
      <c r="U32" s="56"/>
      <c r="V32" s="56"/>
      <c r="W32" s="114" t="s">
        <v>1099</v>
      </c>
      <c r="X32" s="115"/>
      <c r="Y32" s="115"/>
      <c r="Z32" s="116"/>
      <c r="AA32" s="117" t="s">
        <v>1099</v>
      </c>
      <c r="AB32" s="116"/>
      <c r="AC32" s="56"/>
      <c r="AD32" s="116"/>
      <c r="AE32" s="44" t="s">
        <v>1099</v>
      </c>
      <c r="AF32" s="46" t="str">
        <f t="shared" si="0"/>
        <v/>
      </c>
      <c r="AG32" s="38" t="s">
        <v>1099</v>
      </c>
      <c r="AH32" s="47" t="str">
        <f t="shared" si="1"/>
        <v/>
      </c>
      <c r="AI32" s="32"/>
      <c r="AJ32" s="32"/>
      <c r="AK32" s="32"/>
      <c r="AL32" s="32"/>
      <c r="AM32" s="32" t="s">
        <v>1099</v>
      </c>
      <c r="AN32" s="32"/>
      <c r="AO32" s="32" t="s">
        <v>1099</v>
      </c>
      <c r="AP32" s="32"/>
      <c r="AQ32" s="32"/>
      <c r="AR32" s="32"/>
      <c r="AS32" s="32"/>
      <c r="AT32" s="32"/>
      <c r="AU32" s="32"/>
      <c r="AV32" s="38" t="s">
        <v>1099</v>
      </c>
      <c r="AW32" s="38" t="s">
        <v>1099</v>
      </c>
      <c r="AX32" s="42" t="s">
        <v>106</v>
      </c>
      <c r="AY32" s="62" t="str">
        <f>IF('Cálculo MP'!J33="","",'Cálculo MP'!J33)</f>
        <v/>
      </c>
      <c r="AZ32" s="62" t="str">
        <f>IF('Cálculo MP'!K33="","",'Cálculo MP'!K33)</f>
        <v/>
      </c>
      <c r="BA32" s="62" t="str">
        <f>IF('Cálculo MP'!L33="","",'Cálculo MP'!L33)</f>
        <v/>
      </c>
      <c r="BB32" s="62" t="str">
        <f>IF('Cálculo MP'!M33="","",'Cálculo MP'!M33)</f>
        <v/>
      </c>
      <c r="BC32" s="62" t="str">
        <f>IF('Cálculo MP'!N33="","",'Cálculo MP'!N33)</f>
        <v/>
      </c>
      <c r="BD32" s="62" t="str">
        <f>IF('Cálculo MP'!O33="","",'Cálculo MP'!O33)</f>
        <v/>
      </c>
      <c r="BE32" s="62" t="str">
        <f>IF('Cálculo MP'!P33="","",'Cálculo MP'!P33)</f>
        <v/>
      </c>
      <c r="BF32" s="62" t="str">
        <f>IF('Cálculo MP'!Q33="","",'Cálculo MP'!Q33)</f>
        <v/>
      </c>
      <c r="BG32" s="62" t="str">
        <f>IF('Cálculo MP'!R33="","",'Cálculo MP'!R33)</f>
        <v/>
      </c>
      <c r="BH32" s="43"/>
      <c r="BI32" s="43"/>
      <c r="BJ32" s="43"/>
      <c r="BK32" s="43"/>
      <c r="BL32" s="43"/>
      <c r="BM32" s="43"/>
      <c r="BN32" s="43"/>
      <c r="BO32" s="62" t="str">
        <f t="shared" si="2"/>
        <v/>
      </c>
    </row>
    <row r="33" spans="1:67" ht="19.5" customHeight="1" x14ac:dyDescent="0.2">
      <c r="A33" s="49" t="b">
        <v>0</v>
      </c>
      <c r="B33" s="50" t="b">
        <v>1</v>
      </c>
      <c r="C33" s="51" t="b">
        <v>0</v>
      </c>
      <c r="D33" s="51" t="b">
        <v>0</v>
      </c>
      <c r="E33" s="37"/>
      <c r="F33" s="39"/>
      <c r="G33" s="37" t="s">
        <v>1100</v>
      </c>
      <c r="H33" s="34"/>
      <c r="I33" s="34"/>
      <c r="J33" s="34" t="s">
        <v>1099</v>
      </c>
      <c r="K33" s="51" t="b">
        <v>1</v>
      </c>
      <c r="L33" s="40"/>
      <c r="M33" s="37" t="s">
        <v>1099</v>
      </c>
      <c r="N33" s="37" t="s">
        <v>1099</v>
      </c>
      <c r="O33" s="41" t="s">
        <v>1099</v>
      </c>
      <c r="P33" s="40" t="s">
        <v>1099</v>
      </c>
      <c r="Q33" s="37" t="s">
        <v>1099</v>
      </c>
      <c r="R33" s="37" t="s">
        <v>1099</v>
      </c>
      <c r="S33" s="113" t="s">
        <v>1099</v>
      </c>
      <c r="T33" s="56"/>
      <c r="U33" s="56"/>
      <c r="V33" s="56"/>
      <c r="W33" s="114" t="s">
        <v>1099</v>
      </c>
      <c r="X33" s="115"/>
      <c r="Y33" s="115"/>
      <c r="Z33" s="116"/>
      <c r="AA33" s="117" t="s">
        <v>1099</v>
      </c>
      <c r="AB33" s="116"/>
      <c r="AC33" s="56"/>
      <c r="AD33" s="116"/>
      <c r="AE33" s="44" t="s">
        <v>1099</v>
      </c>
      <c r="AF33" s="46" t="str">
        <f t="shared" si="0"/>
        <v/>
      </c>
      <c r="AG33" s="38" t="s">
        <v>1099</v>
      </c>
      <c r="AH33" s="47" t="str">
        <f t="shared" si="1"/>
        <v/>
      </c>
      <c r="AI33" s="32"/>
      <c r="AJ33" s="32"/>
      <c r="AK33" s="32"/>
      <c r="AL33" s="32"/>
      <c r="AM33" s="32" t="s">
        <v>1099</v>
      </c>
      <c r="AN33" s="32"/>
      <c r="AO33" s="32" t="s">
        <v>1099</v>
      </c>
      <c r="AP33" s="32"/>
      <c r="AQ33" s="32"/>
      <c r="AR33" s="32"/>
      <c r="AS33" s="32"/>
      <c r="AT33" s="32"/>
      <c r="AU33" s="32"/>
      <c r="AV33" s="38" t="s">
        <v>1099</v>
      </c>
      <c r="AW33" s="38" t="s">
        <v>1099</v>
      </c>
      <c r="AX33" s="42" t="s">
        <v>106</v>
      </c>
      <c r="AY33" s="62" t="str">
        <f>IF('Cálculo MP'!J34="","",'Cálculo MP'!J34)</f>
        <v/>
      </c>
      <c r="AZ33" s="62" t="str">
        <f>IF('Cálculo MP'!K34="","",'Cálculo MP'!K34)</f>
        <v/>
      </c>
      <c r="BA33" s="62" t="str">
        <f>IF('Cálculo MP'!L34="","",'Cálculo MP'!L34)</f>
        <v/>
      </c>
      <c r="BB33" s="62" t="str">
        <f>IF('Cálculo MP'!M34="","",'Cálculo MP'!M34)</f>
        <v/>
      </c>
      <c r="BC33" s="62" t="str">
        <f>IF('Cálculo MP'!N34="","",'Cálculo MP'!N34)</f>
        <v/>
      </c>
      <c r="BD33" s="62" t="str">
        <f>IF('Cálculo MP'!O34="","",'Cálculo MP'!O34)</f>
        <v/>
      </c>
      <c r="BE33" s="62" t="str">
        <f>IF('Cálculo MP'!P34="","",'Cálculo MP'!P34)</f>
        <v/>
      </c>
      <c r="BF33" s="62" t="str">
        <f>IF('Cálculo MP'!Q34="","",'Cálculo MP'!Q34)</f>
        <v/>
      </c>
      <c r="BG33" s="62" t="str">
        <f>IF('Cálculo MP'!R34="","",'Cálculo MP'!R34)</f>
        <v/>
      </c>
      <c r="BH33" s="43"/>
      <c r="BI33" s="43"/>
      <c r="BJ33" s="43"/>
      <c r="BK33" s="43"/>
      <c r="BL33" s="43"/>
      <c r="BM33" s="43"/>
      <c r="BN33" s="43"/>
      <c r="BO33" s="62" t="str">
        <f t="shared" si="2"/>
        <v/>
      </c>
    </row>
    <row r="34" spans="1:67" ht="19.5" customHeight="1" x14ac:dyDescent="0.2">
      <c r="A34" s="49" t="b">
        <v>0</v>
      </c>
      <c r="B34" s="50" t="b">
        <v>1</v>
      </c>
      <c r="C34" s="51" t="b">
        <v>0</v>
      </c>
      <c r="D34" s="51" t="b">
        <v>0</v>
      </c>
      <c r="E34" s="37"/>
      <c r="F34" s="39"/>
      <c r="G34" s="37" t="s">
        <v>1100</v>
      </c>
      <c r="H34" s="34"/>
      <c r="I34" s="34"/>
      <c r="J34" s="34" t="s">
        <v>1099</v>
      </c>
      <c r="K34" s="51" t="b">
        <v>1</v>
      </c>
      <c r="L34" s="40"/>
      <c r="M34" s="37" t="s">
        <v>1099</v>
      </c>
      <c r="N34" s="37" t="s">
        <v>1099</v>
      </c>
      <c r="O34" s="41" t="s">
        <v>1099</v>
      </c>
      <c r="P34" s="40" t="s">
        <v>1099</v>
      </c>
      <c r="Q34" s="37" t="s">
        <v>1099</v>
      </c>
      <c r="R34" s="37" t="s">
        <v>1099</v>
      </c>
      <c r="S34" s="113" t="s">
        <v>1099</v>
      </c>
      <c r="T34" s="56"/>
      <c r="U34" s="56"/>
      <c r="V34" s="56"/>
      <c r="W34" s="114" t="s">
        <v>1099</v>
      </c>
      <c r="X34" s="115"/>
      <c r="Y34" s="115"/>
      <c r="Z34" s="116"/>
      <c r="AA34" s="117" t="s">
        <v>1099</v>
      </c>
      <c r="AB34" s="116"/>
      <c r="AC34" s="56"/>
      <c r="AD34" s="116"/>
      <c r="AE34" s="44" t="s">
        <v>1099</v>
      </c>
      <c r="AF34" s="46" t="str">
        <f t="shared" si="0"/>
        <v/>
      </c>
      <c r="AG34" s="38" t="s">
        <v>1099</v>
      </c>
      <c r="AH34" s="47" t="str">
        <f t="shared" si="1"/>
        <v/>
      </c>
      <c r="AI34" s="32"/>
      <c r="AJ34" s="32"/>
      <c r="AK34" s="32"/>
      <c r="AL34" s="32"/>
      <c r="AM34" s="32" t="s">
        <v>1099</v>
      </c>
      <c r="AN34" s="32"/>
      <c r="AO34" s="32" t="s">
        <v>1099</v>
      </c>
      <c r="AP34" s="32"/>
      <c r="AQ34" s="32"/>
      <c r="AR34" s="32"/>
      <c r="AS34" s="32"/>
      <c r="AT34" s="32"/>
      <c r="AU34" s="32"/>
      <c r="AV34" s="38" t="s">
        <v>1099</v>
      </c>
      <c r="AW34" s="38" t="s">
        <v>1099</v>
      </c>
      <c r="AX34" s="42" t="s">
        <v>106</v>
      </c>
      <c r="AY34" s="62" t="str">
        <f>IF('Cálculo MP'!J35="","",'Cálculo MP'!J35)</f>
        <v/>
      </c>
      <c r="AZ34" s="62" t="str">
        <f>IF('Cálculo MP'!K35="","",'Cálculo MP'!K35)</f>
        <v/>
      </c>
      <c r="BA34" s="62" t="str">
        <f>IF('Cálculo MP'!L35="","",'Cálculo MP'!L35)</f>
        <v/>
      </c>
      <c r="BB34" s="62" t="str">
        <f>IF('Cálculo MP'!M35="","",'Cálculo MP'!M35)</f>
        <v/>
      </c>
      <c r="BC34" s="62" t="str">
        <f>IF('Cálculo MP'!N35="","",'Cálculo MP'!N35)</f>
        <v/>
      </c>
      <c r="BD34" s="62" t="str">
        <f>IF('Cálculo MP'!O35="","",'Cálculo MP'!O35)</f>
        <v/>
      </c>
      <c r="BE34" s="62" t="str">
        <f>IF('Cálculo MP'!P35="","",'Cálculo MP'!P35)</f>
        <v/>
      </c>
      <c r="BF34" s="62" t="str">
        <f>IF('Cálculo MP'!Q35="","",'Cálculo MP'!Q35)</f>
        <v/>
      </c>
      <c r="BG34" s="62" t="str">
        <f>IF('Cálculo MP'!R35="","",'Cálculo MP'!R35)</f>
        <v/>
      </c>
      <c r="BH34" s="43"/>
      <c r="BI34" s="43"/>
      <c r="BJ34" s="43"/>
      <c r="BK34" s="43"/>
      <c r="BL34" s="43"/>
      <c r="BM34" s="43"/>
      <c r="BN34" s="43"/>
      <c r="BO34" s="62" t="str">
        <f t="shared" si="2"/>
        <v/>
      </c>
    </row>
    <row r="35" spans="1:67" ht="19.5" customHeight="1" x14ac:dyDescent="0.2">
      <c r="A35" s="49" t="b">
        <v>0</v>
      </c>
      <c r="B35" s="50" t="b">
        <v>1</v>
      </c>
      <c r="C35" s="51" t="b">
        <v>0</v>
      </c>
      <c r="D35" s="51" t="b">
        <v>0</v>
      </c>
      <c r="E35" s="37"/>
      <c r="F35" s="39"/>
      <c r="G35" s="37" t="s">
        <v>1100</v>
      </c>
      <c r="H35" s="34"/>
      <c r="I35" s="34"/>
      <c r="J35" s="34" t="s">
        <v>1099</v>
      </c>
      <c r="K35" s="51" t="b">
        <v>1</v>
      </c>
      <c r="L35" s="40"/>
      <c r="M35" s="37" t="s">
        <v>1099</v>
      </c>
      <c r="N35" s="37" t="s">
        <v>1099</v>
      </c>
      <c r="O35" s="41" t="s">
        <v>1099</v>
      </c>
      <c r="P35" s="40" t="s">
        <v>1099</v>
      </c>
      <c r="Q35" s="37" t="s">
        <v>1099</v>
      </c>
      <c r="R35" s="37" t="s">
        <v>1099</v>
      </c>
      <c r="S35" s="113" t="s">
        <v>1099</v>
      </c>
      <c r="T35" s="56"/>
      <c r="U35" s="56"/>
      <c r="V35" s="56"/>
      <c r="W35" s="114" t="s">
        <v>1099</v>
      </c>
      <c r="X35" s="115"/>
      <c r="Y35" s="115"/>
      <c r="Z35" s="116"/>
      <c r="AA35" s="117" t="s">
        <v>1099</v>
      </c>
      <c r="AB35" s="116"/>
      <c r="AC35" s="56"/>
      <c r="AD35" s="116"/>
      <c r="AE35" s="44" t="s">
        <v>1099</v>
      </c>
      <c r="AF35" s="46" t="str">
        <f t="shared" si="0"/>
        <v/>
      </c>
      <c r="AG35" s="38" t="s">
        <v>1099</v>
      </c>
      <c r="AH35" s="47" t="str">
        <f t="shared" si="1"/>
        <v/>
      </c>
      <c r="AI35" s="32"/>
      <c r="AJ35" s="32"/>
      <c r="AK35" s="32"/>
      <c r="AL35" s="32"/>
      <c r="AM35" s="32" t="s">
        <v>1099</v>
      </c>
      <c r="AN35" s="32"/>
      <c r="AO35" s="32" t="s">
        <v>1099</v>
      </c>
      <c r="AP35" s="32"/>
      <c r="AQ35" s="32"/>
      <c r="AR35" s="32"/>
      <c r="AS35" s="32"/>
      <c r="AT35" s="32"/>
      <c r="AU35" s="32"/>
      <c r="AV35" s="38" t="s">
        <v>1099</v>
      </c>
      <c r="AW35" s="38" t="s">
        <v>1099</v>
      </c>
      <c r="AX35" s="42" t="s">
        <v>106</v>
      </c>
      <c r="AY35" s="62" t="str">
        <f>IF('Cálculo MP'!J36="","",'Cálculo MP'!J36)</f>
        <v/>
      </c>
      <c r="AZ35" s="62" t="str">
        <f>IF('Cálculo MP'!K36="","",'Cálculo MP'!K36)</f>
        <v/>
      </c>
      <c r="BA35" s="62" t="str">
        <f>IF('Cálculo MP'!L36="","",'Cálculo MP'!L36)</f>
        <v/>
      </c>
      <c r="BB35" s="62" t="str">
        <f>IF('Cálculo MP'!M36="","",'Cálculo MP'!M36)</f>
        <v/>
      </c>
      <c r="BC35" s="62" t="str">
        <f>IF('Cálculo MP'!N36="","",'Cálculo MP'!N36)</f>
        <v/>
      </c>
      <c r="BD35" s="62" t="str">
        <f>IF('Cálculo MP'!O36="","",'Cálculo MP'!O36)</f>
        <v/>
      </c>
      <c r="BE35" s="62" t="str">
        <f>IF('Cálculo MP'!P36="","",'Cálculo MP'!P36)</f>
        <v/>
      </c>
      <c r="BF35" s="62" t="str">
        <f>IF('Cálculo MP'!Q36="","",'Cálculo MP'!Q36)</f>
        <v/>
      </c>
      <c r="BG35" s="62" t="str">
        <f>IF('Cálculo MP'!R36="","",'Cálculo MP'!R36)</f>
        <v/>
      </c>
      <c r="BH35" s="43"/>
      <c r="BI35" s="43"/>
      <c r="BJ35" s="43"/>
      <c r="BK35" s="43"/>
      <c r="BL35" s="43"/>
      <c r="BM35" s="43"/>
      <c r="BN35" s="43"/>
      <c r="BO35" s="62" t="str">
        <f t="shared" si="2"/>
        <v/>
      </c>
    </row>
    <row r="36" spans="1:67" ht="19.5" customHeight="1" x14ac:dyDescent="0.2">
      <c r="A36" s="49" t="b">
        <v>0</v>
      </c>
      <c r="B36" s="50" t="b">
        <v>1</v>
      </c>
      <c r="C36" s="51" t="b">
        <v>0</v>
      </c>
      <c r="D36" s="51" t="b">
        <v>0</v>
      </c>
      <c r="E36" s="37"/>
      <c r="F36" s="39"/>
      <c r="G36" s="37" t="s">
        <v>1100</v>
      </c>
      <c r="H36" s="34"/>
      <c r="I36" s="34"/>
      <c r="J36" s="34" t="s">
        <v>1099</v>
      </c>
      <c r="K36" s="51" t="b">
        <v>1</v>
      </c>
      <c r="L36" s="40"/>
      <c r="M36" s="37" t="s">
        <v>1099</v>
      </c>
      <c r="N36" s="37" t="s">
        <v>1099</v>
      </c>
      <c r="O36" s="41" t="s">
        <v>1099</v>
      </c>
      <c r="P36" s="40" t="s">
        <v>1099</v>
      </c>
      <c r="Q36" s="37" t="s">
        <v>1099</v>
      </c>
      <c r="R36" s="37" t="s">
        <v>1099</v>
      </c>
      <c r="S36" s="113" t="s">
        <v>1099</v>
      </c>
      <c r="T36" s="56"/>
      <c r="U36" s="56"/>
      <c r="V36" s="56"/>
      <c r="W36" s="114" t="s">
        <v>1099</v>
      </c>
      <c r="X36" s="115"/>
      <c r="Y36" s="115"/>
      <c r="Z36" s="116"/>
      <c r="AA36" s="117" t="s">
        <v>1099</v>
      </c>
      <c r="AB36" s="116"/>
      <c r="AC36" s="56"/>
      <c r="AD36" s="116"/>
      <c r="AE36" s="44" t="s">
        <v>1099</v>
      </c>
      <c r="AF36" s="46" t="str">
        <f t="shared" si="0"/>
        <v/>
      </c>
      <c r="AG36" s="38" t="s">
        <v>1099</v>
      </c>
      <c r="AH36" s="47" t="str">
        <f t="shared" si="1"/>
        <v/>
      </c>
      <c r="AI36" s="32"/>
      <c r="AJ36" s="32"/>
      <c r="AK36" s="32"/>
      <c r="AL36" s="32"/>
      <c r="AM36" s="32" t="s">
        <v>1099</v>
      </c>
      <c r="AN36" s="32"/>
      <c r="AO36" s="32" t="s">
        <v>1099</v>
      </c>
      <c r="AP36" s="32"/>
      <c r="AQ36" s="32"/>
      <c r="AR36" s="32"/>
      <c r="AS36" s="32"/>
      <c r="AT36" s="32"/>
      <c r="AU36" s="32"/>
      <c r="AV36" s="38" t="s">
        <v>1099</v>
      </c>
      <c r="AW36" s="38" t="s">
        <v>1099</v>
      </c>
      <c r="AX36" s="42" t="s">
        <v>106</v>
      </c>
      <c r="AY36" s="62" t="str">
        <f>IF('Cálculo MP'!J37="","",'Cálculo MP'!J37)</f>
        <v/>
      </c>
      <c r="AZ36" s="62" t="str">
        <f>IF('Cálculo MP'!K37="","",'Cálculo MP'!K37)</f>
        <v/>
      </c>
      <c r="BA36" s="62" t="str">
        <f>IF('Cálculo MP'!L37="","",'Cálculo MP'!L37)</f>
        <v/>
      </c>
      <c r="BB36" s="62" t="str">
        <f>IF('Cálculo MP'!M37="","",'Cálculo MP'!M37)</f>
        <v/>
      </c>
      <c r="BC36" s="62" t="str">
        <f>IF('Cálculo MP'!N37="","",'Cálculo MP'!N37)</f>
        <v/>
      </c>
      <c r="BD36" s="62" t="str">
        <f>IF('Cálculo MP'!O37="","",'Cálculo MP'!O37)</f>
        <v/>
      </c>
      <c r="BE36" s="62" t="str">
        <f>IF('Cálculo MP'!P37="","",'Cálculo MP'!P37)</f>
        <v/>
      </c>
      <c r="BF36" s="62" t="str">
        <f>IF('Cálculo MP'!Q37="","",'Cálculo MP'!Q37)</f>
        <v/>
      </c>
      <c r="BG36" s="62" t="str">
        <f>IF('Cálculo MP'!R37="","",'Cálculo MP'!R37)</f>
        <v/>
      </c>
      <c r="BH36" s="43"/>
      <c r="BI36" s="43"/>
      <c r="BJ36" s="43"/>
      <c r="BK36" s="43"/>
      <c r="BL36" s="43"/>
      <c r="BM36" s="43"/>
      <c r="BN36" s="43"/>
      <c r="BO36" s="62" t="str">
        <f t="shared" si="2"/>
        <v/>
      </c>
    </row>
    <row r="37" spans="1:67" ht="19.5" customHeight="1" x14ac:dyDescent="0.2">
      <c r="A37" s="49" t="b">
        <v>0</v>
      </c>
      <c r="B37" s="50" t="b">
        <v>1</v>
      </c>
      <c r="C37" s="51" t="b">
        <v>0</v>
      </c>
      <c r="D37" s="51" t="b">
        <v>0</v>
      </c>
      <c r="E37" s="37"/>
      <c r="F37" s="39"/>
      <c r="G37" s="37" t="s">
        <v>1100</v>
      </c>
      <c r="H37" s="34"/>
      <c r="I37" s="34"/>
      <c r="J37" s="34" t="s">
        <v>1099</v>
      </c>
      <c r="K37" s="51" t="b">
        <v>1</v>
      </c>
      <c r="L37" s="40"/>
      <c r="M37" s="37" t="s">
        <v>1099</v>
      </c>
      <c r="N37" s="37" t="s">
        <v>1099</v>
      </c>
      <c r="O37" s="41" t="s">
        <v>1099</v>
      </c>
      <c r="P37" s="40" t="s">
        <v>1099</v>
      </c>
      <c r="Q37" s="37" t="s">
        <v>1099</v>
      </c>
      <c r="R37" s="37" t="s">
        <v>1099</v>
      </c>
      <c r="S37" s="113" t="s">
        <v>1099</v>
      </c>
      <c r="T37" s="56"/>
      <c r="U37" s="56"/>
      <c r="V37" s="56"/>
      <c r="W37" s="114" t="s">
        <v>1099</v>
      </c>
      <c r="X37" s="115"/>
      <c r="Y37" s="115"/>
      <c r="Z37" s="116"/>
      <c r="AA37" s="117" t="s">
        <v>1099</v>
      </c>
      <c r="AB37" s="116"/>
      <c r="AC37" s="56"/>
      <c r="AD37" s="116"/>
      <c r="AE37" s="44" t="s">
        <v>1099</v>
      </c>
      <c r="AF37" s="46" t="str">
        <f t="shared" si="0"/>
        <v/>
      </c>
      <c r="AG37" s="38" t="s">
        <v>1099</v>
      </c>
      <c r="AH37" s="47" t="str">
        <f t="shared" si="1"/>
        <v/>
      </c>
      <c r="AI37" s="32"/>
      <c r="AJ37" s="32"/>
      <c r="AK37" s="32"/>
      <c r="AL37" s="32"/>
      <c r="AM37" s="32" t="s">
        <v>1099</v>
      </c>
      <c r="AN37" s="32"/>
      <c r="AO37" s="32" t="s">
        <v>1099</v>
      </c>
      <c r="AP37" s="32"/>
      <c r="AQ37" s="32"/>
      <c r="AR37" s="32"/>
      <c r="AS37" s="32"/>
      <c r="AT37" s="32"/>
      <c r="AU37" s="32"/>
      <c r="AV37" s="38" t="s">
        <v>1099</v>
      </c>
      <c r="AW37" s="38" t="s">
        <v>1099</v>
      </c>
      <c r="AX37" s="42" t="s">
        <v>106</v>
      </c>
      <c r="AY37" s="62" t="str">
        <f>IF('Cálculo MP'!J38="","",'Cálculo MP'!J38)</f>
        <v/>
      </c>
      <c r="AZ37" s="62" t="str">
        <f>IF('Cálculo MP'!K38="","",'Cálculo MP'!K38)</f>
        <v/>
      </c>
      <c r="BA37" s="62" t="str">
        <f>IF('Cálculo MP'!L38="","",'Cálculo MP'!L38)</f>
        <v/>
      </c>
      <c r="BB37" s="62" t="str">
        <f>IF('Cálculo MP'!M38="","",'Cálculo MP'!M38)</f>
        <v/>
      </c>
      <c r="BC37" s="62" t="str">
        <f>IF('Cálculo MP'!N38="","",'Cálculo MP'!N38)</f>
        <v/>
      </c>
      <c r="BD37" s="62" t="str">
        <f>IF('Cálculo MP'!O38="","",'Cálculo MP'!O38)</f>
        <v/>
      </c>
      <c r="BE37" s="62" t="str">
        <f>IF('Cálculo MP'!P38="","",'Cálculo MP'!P38)</f>
        <v/>
      </c>
      <c r="BF37" s="62" t="str">
        <f>IF('Cálculo MP'!Q38="","",'Cálculo MP'!Q38)</f>
        <v/>
      </c>
      <c r="BG37" s="62" t="str">
        <f>IF('Cálculo MP'!R38="","",'Cálculo MP'!R38)</f>
        <v/>
      </c>
      <c r="BH37" s="43"/>
      <c r="BI37" s="43"/>
      <c r="BJ37" s="43"/>
      <c r="BK37" s="43"/>
      <c r="BL37" s="43"/>
      <c r="BM37" s="43"/>
      <c r="BN37" s="43"/>
      <c r="BO37" s="62" t="str">
        <f t="shared" si="2"/>
        <v/>
      </c>
    </row>
    <row r="38" spans="1:67" ht="19.5" customHeight="1" x14ac:dyDescent="0.2">
      <c r="A38" s="49" t="b">
        <v>0</v>
      </c>
      <c r="B38" s="50" t="b">
        <v>1</v>
      </c>
      <c r="C38" s="51" t="b">
        <v>0</v>
      </c>
      <c r="D38" s="51" t="b">
        <v>0</v>
      </c>
      <c r="E38" s="37"/>
      <c r="F38" s="39"/>
      <c r="G38" s="37" t="s">
        <v>1100</v>
      </c>
      <c r="H38" s="34"/>
      <c r="I38" s="34"/>
      <c r="J38" s="34" t="s">
        <v>1099</v>
      </c>
      <c r="K38" s="51" t="b">
        <v>1</v>
      </c>
      <c r="L38" s="40"/>
      <c r="M38" s="37" t="s">
        <v>1099</v>
      </c>
      <c r="N38" s="37" t="s">
        <v>1099</v>
      </c>
      <c r="O38" s="41" t="s">
        <v>1099</v>
      </c>
      <c r="P38" s="40" t="s">
        <v>1099</v>
      </c>
      <c r="Q38" s="37" t="s">
        <v>1099</v>
      </c>
      <c r="R38" s="37" t="s">
        <v>1099</v>
      </c>
      <c r="S38" s="113" t="s">
        <v>1099</v>
      </c>
      <c r="T38" s="56"/>
      <c r="U38" s="56"/>
      <c r="V38" s="56"/>
      <c r="W38" s="114" t="s">
        <v>1099</v>
      </c>
      <c r="X38" s="115"/>
      <c r="Y38" s="115"/>
      <c r="Z38" s="116"/>
      <c r="AA38" s="117" t="s">
        <v>1099</v>
      </c>
      <c r="AB38" s="116"/>
      <c r="AC38" s="56"/>
      <c r="AD38" s="116"/>
      <c r="AE38" s="44" t="s">
        <v>1099</v>
      </c>
      <c r="AF38" s="46" t="str">
        <f t="shared" si="0"/>
        <v/>
      </c>
      <c r="AG38" s="38" t="s">
        <v>1099</v>
      </c>
      <c r="AH38" s="47" t="str">
        <f t="shared" si="1"/>
        <v/>
      </c>
      <c r="AI38" s="32"/>
      <c r="AJ38" s="32"/>
      <c r="AK38" s="32"/>
      <c r="AL38" s="32"/>
      <c r="AM38" s="32" t="s">
        <v>1099</v>
      </c>
      <c r="AN38" s="32"/>
      <c r="AO38" s="32" t="s">
        <v>1099</v>
      </c>
      <c r="AP38" s="32"/>
      <c r="AQ38" s="32"/>
      <c r="AR38" s="32"/>
      <c r="AS38" s="32"/>
      <c r="AT38" s="32"/>
      <c r="AU38" s="32"/>
      <c r="AV38" s="38" t="s">
        <v>1099</v>
      </c>
      <c r="AW38" s="38" t="s">
        <v>1099</v>
      </c>
      <c r="AX38" s="42" t="s">
        <v>106</v>
      </c>
      <c r="AY38" s="62" t="str">
        <f>IF('Cálculo MP'!J39="","",'Cálculo MP'!J39)</f>
        <v/>
      </c>
      <c r="AZ38" s="62" t="str">
        <f>IF('Cálculo MP'!K39="","",'Cálculo MP'!K39)</f>
        <v/>
      </c>
      <c r="BA38" s="62" t="str">
        <f>IF('Cálculo MP'!L39="","",'Cálculo MP'!L39)</f>
        <v/>
      </c>
      <c r="BB38" s="62" t="str">
        <f>IF('Cálculo MP'!M39="","",'Cálculo MP'!M39)</f>
        <v/>
      </c>
      <c r="BC38" s="62" t="str">
        <f>IF('Cálculo MP'!N39="","",'Cálculo MP'!N39)</f>
        <v/>
      </c>
      <c r="BD38" s="62" t="str">
        <f>IF('Cálculo MP'!O39="","",'Cálculo MP'!O39)</f>
        <v/>
      </c>
      <c r="BE38" s="62" t="str">
        <f>IF('Cálculo MP'!P39="","",'Cálculo MP'!P39)</f>
        <v/>
      </c>
      <c r="BF38" s="62" t="str">
        <f>IF('Cálculo MP'!Q39="","",'Cálculo MP'!Q39)</f>
        <v/>
      </c>
      <c r="BG38" s="62" t="str">
        <f>IF('Cálculo MP'!R39="","",'Cálculo MP'!R39)</f>
        <v/>
      </c>
      <c r="BH38" s="43"/>
      <c r="BI38" s="43"/>
      <c r="BJ38" s="43"/>
      <c r="BK38" s="43"/>
      <c r="BL38" s="43"/>
      <c r="BM38" s="43"/>
      <c r="BN38" s="43"/>
      <c r="BO38" s="62" t="str">
        <f t="shared" si="2"/>
        <v/>
      </c>
    </row>
    <row r="39" spans="1:67" ht="19.5" customHeight="1" x14ac:dyDescent="0.2">
      <c r="A39" s="49" t="b">
        <v>0</v>
      </c>
      <c r="B39" s="50" t="b">
        <v>1</v>
      </c>
      <c r="C39" s="51" t="b">
        <v>0</v>
      </c>
      <c r="D39" s="51" t="b">
        <v>0</v>
      </c>
      <c r="E39" s="37"/>
      <c r="F39" s="39"/>
      <c r="G39" s="37" t="s">
        <v>1100</v>
      </c>
      <c r="H39" s="34"/>
      <c r="I39" s="34"/>
      <c r="J39" s="34" t="s">
        <v>1099</v>
      </c>
      <c r="K39" s="51" t="b">
        <v>1</v>
      </c>
      <c r="L39" s="40"/>
      <c r="M39" s="37" t="s">
        <v>1099</v>
      </c>
      <c r="N39" s="37" t="s">
        <v>1099</v>
      </c>
      <c r="O39" s="41" t="s">
        <v>1099</v>
      </c>
      <c r="P39" s="40" t="s">
        <v>1099</v>
      </c>
      <c r="Q39" s="37" t="s">
        <v>1099</v>
      </c>
      <c r="R39" s="37" t="s">
        <v>1099</v>
      </c>
      <c r="S39" s="113" t="s">
        <v>1099</v>
      </c>
      <c r="T39" s="56"/>
      <c r="U39" s="56"/>
      <c r="V39" s="56"/>
      <c r="W39" s="114" t="s">
        <v>1099</v>
      </c>
      <c r="X39" s="115"/>
      <c r="Y39" s="115"/>
      <c r="Z39" s="116"/>
      <c r="AA39" s="117" t="s">
        <v>1099</v>
      </c>
      <c r="AB39" s="116"/>
      <c r="AC39" s="56"/>
      <c r="AD39" s="116"/>
      <c r="AE39" s="44" t="s">
        <v>1099</v>
      </c>
      <c r="AF39" s="46" t="str">
        <f t="shared" si="0"/>
        <v/>
      </c>
      <c r="AG39" s="38" t="s">
        <v>1099</v>
      </c>
      <c r="AH39" s="47" t="str">
        <f t="shared" si="1"/>
        <v/>
      </c>
      <c r="AI39" s="32"/>
      <c r="AJ39" s="32"/>
      <c r="AK39" s="32"/>
      <c r="AL39" s="32"/>
      <c r="AM39" s="32" t="s">
        <v>1099</v>
      </c>
      <c r="AN39" s="32"/>
      <c r="AO39" s="32" t="s">
        <v>1099</v>
      </c>
      <c r="AP39" s="32"/>
      <c r="AQ39" s="32"/>
      <c r="AR39" s="32"/>
      <c r="AS39" s="32"/>
      <c r="AT39" s="32"/>
      <c r="AU39" s="32"/>
      <c r="AV39" s="38" t="s">
        <v>1099</v>
      </c>
      <c r="AW39" s="38" t="s">
        <v>1099</v>
      </c>
      <c r="AX39" s="42" t="s">
        <v>106</v>
      </c>
      <c r="AY39" s="62" t="str">
        <f>IF('Cálculo MP'!J40="","",'Cálculo MP'!J40)</f>
        <v/>
      </c>
      <c r="AZ39" s="62" t="str">
        <f>IF('Cálculo MP'!K40="","",'Cálculo MP'!K40)</f>
        <v/>
      </c>
      <c r="BA39" s="62" t="str">
        <f>IF('Cálculo MP'!L40="","",'Cálculo MP'!L40)</f>
        <v/>
      </c>
      <c r="BB39" s="62" t="str">
        <f>IF('Cálculo MP'!M40="","",'Cálculo MP'!M40)</f>
        <v/>
      </c>
      <c r="BC39" s="62" t="str">
        <f>IF('Cálculo MP'!N40="","",'Cálculo MP'!N40)</f>
        <v/>
      </c>
      <c r="BD39" s="62" t="str">
        <f>IF('Cálculo MP'!O40="","",'Cálculo MP'!O40)</f>
        <v/>
      </c>
      <c r="BE39" s="62" t="str">
        <f>IF('Cálculo MP'!P40="","",'Cálculo MP'!P40)</f>
        <v/>
      </c>
      <c r="BF39" s="62" t="str">
        <f>IF('Cálculo MP'!Q40="","",'Cálculo MP'!Q40)</f>
        <v/>
      </c>
      <c r="BG39" s="62" t="str">
        <f>IF('Cálculo MP'!R40="","",'Cálculo MP'!R40)</f>
        <v/>
      </c>
      <c r="BH39" s="43"/>
      <c r="BI39" s="43"/>
      <c r="BJ39" s="43"/>
      <c r="BK39" s="43"/>
      <c r="BL39" s="43"/>
      <c r="BM39" s="43"/>
      <c r="BN39" s="43"/>
      <c r="BO39" s="62" t="str">
        <f t="shared" si="2"/>
        <v/>
      </c>
    </row>
    <row r="40" spans="1:67" ht="19.5" customHeight="1" x14ac:dyDescent="0.2">
      <c r="A40" s="49" t="b">
        <v>0</v>
      </c>
      <c r="B40" s="50" t="b">
        <v>1</v>
      </c>
      <c r="C40" s="51" t="b">
        <v>0</v>
      </c>
      <c r="D40" s="51" t="b">
        <v>0</v>
      </c>
      <c r="E40" s="37"/>
      <c r="F40" s="39"/>
      <c r="G40" s="37" t="s">
        <v>1100</v>
      </c>
      <c r="H40" s="34"/>
      <c r="I40" s="34"/>
      <c r="J40" s="34" t="s">
        <v>1099</v>
      </c>
      <c r="K40" s="51" t="b">
        <v>1</v>
      </c>
      <c r="L40" s="40"/>
      <c r="M40" s="37" t="s">
        <v>1099</v>
      </c>
      <c r="N40" s="37" t="s">
        <v>1099</v>
      </c>
      <c r="O40" s="41" t="s">
        <v>1099</v>
      </c>
      <c r="P40" s="40" t="s">
        <v>1099</v>
      </c>
      <c r="Q40" s="37" t="s">
        <v>1099</v>
      </c>
      <c r="R40" s="37" t="s">
        <v>1099</v>
      </c>
      <c r="S40" s="113" t="s">
        <v>1099</v>
      </c>
      <c r="T40" s="56"/>
      <c r="U40" s="56"/>
      <c r="V40" s="56"/>
      <c r="W40" s="114" t="s">
        <v>1099</v>
      </c>
      <c r="X40" s="115"/>
      <c r="Y40" s="115"/>
      <c r="Z40" s="116"/>
      <c r="AA40" s="117" t="s">
        <v>1099</v>
      </c>
      <c r="AB40" s="116"/>
      <c r="AC40" s="56"/>
      <c r="AD40" s="116"/>
      <c r="AE40" s="44" t="s">
        <v>1099</v>
      </c>
      <c r="AF40" s="46" t="str">
        <f t="shared" si="0"/>
        <v/>
      </c>
      <c r="AG40" s="38" t="s">
        <v>1099</v>
      </c>
      <c r="AH40" s="47" t="str">
        <f t="shared" si="1"/>
        <v/>
      </c>
      <c r="AI40" s="32"/>
      <c r="AJ40" s="32"/>
      <c r="AK40" s="32"/>
      <c r="AL40" s="32"/>
      <c r="AM40" s="32" t="s">
        <v>1099</v>
      </c>
      <c r="AN40" s="32"/>
      <c r="AO40" s="32" t="s">
        <v>1099</v>
      </c>
      <c r="AP40" s="32"/>
      <c r="AQ40" s="32"/>
      <c r="AR40" s="32"/>
      <c r="AS40" s="32"/>
      <c r="AT40" s="32"/>
      <c r="AU40" s="32"/>
      <c r="AV40" s="38" t="s">
        <v>1099</v>
      </c>
      <c r="AW40" s="38" t="s">
        <v>1099</v>
      </c>
      <c r="AX40" s="42" t="s">
        <v>106</v>
      </c>
      <c r="AY40" s="62" t="str">
        <f>IF('Cálculo MP'!J41="","",'Cálculo MP'!J41)</f>
        <v/>
      </c>
      <c r="AZ40" s="62" t="str">
        <f>IF('Cálculo MP'!K41="","",'Cálculo MP'!K41)</f>
        <v/>
      </c>
      <c r="BA40" s="62" t="str">
        <f>IF('Cálculo MP'!L41="","",'Cálculo MP'!L41)</f>
        <v/>
      </c>
      <c r="BB40" s="62" t="str">
        <f>IF('Cálculo MP'!M41="","",'Cálculo MP'!M41)</f>
        <v/>
      </c>
      <c r="BC40" s="62" t="str">
        <f>IF('Cálculo MP'!N41="","",'Cálculo MP'!N41)</f>
        <v/>
      </c>
      <c r="BD40" s="62" t="str">
        <f>IF('Cálculo MP'!O41="","",'Cálculo MP'!O41)</f>
        <v/>
      </c>
      <c r="BE40" s="62" t="str">
        <f>IF('Cálculo MP'!P41="","",'Cálculo MP'!P41)</f>
        <v/>
      </c>
      <c r="BF40" s="62" t="str">
        <f>IF('Cálculo MP'!Q41="","",'Cálculo MP'!Q41)</f>
        <v/>
      </c>
      <c r="BG40" s="62" t="str">
        <f>IF('Cálculo MP'!R41="","",'Cálculo MP'!R41)</f>
        <v/>
      </c>
      <c r="BH40" s="43"/>
      <c r="BI40" s="43"/>
      <c r="BJ40" s="43"/>
      <c r="BK40" s="43"/>
      <c r="BL40" s="43"/>
      <c r="BM40" s="43"/>
      <c r="BN40" s="43"/>
      <c r="BO40" s="62" t="str">
        <f t="shared" si="2"/>
        <v/>
      </c>
    </row>
    <row r="41" spans="1:67" ht="19.5" customHeight="1" x14ac:dyDescent="0.2">
      <c r="A41" s="49" t="b">
        <v>0</v>
      </c>
      <c r="B41" s="50" t="b">
        <v>1</v>
      </c>
      <c r="C41" s="51" t="b">
        <v>0</v>
      </c>
      <c r="D41" s="51" t="b">
        <v>0</v>
      </c>
      <c r="E41" s="37"/>
      <c r="F41" s="39"/>
      <c r="G41" s="37" t="s">
        <v>1100</v>
      </c>
      <c r="H41" s="34"/>
      <c r="I41" s="34"/>
      <c r="J41" s="34" t="s">
        <v>1099</v>
      </c>
      <c r="K41" s="51" t="b">
        <v>1</v>
      </c>
      <c r="L41" s="40"/>
      <c r="M41" s="37" t="s">
        <v>1099</v>
      </c>
      <c r="N41" s="37" t="s">
        <v>1099</v>
      </c>
      <c r="O41" s="41" t="s">
        <v>1099</v>
      </c>
      <c r="P41" s="40" t="s">
        <v>1099</v>
      </c>
      <c r="Q41" s="37" t="s">
        <v>1099</v>
      </c>
      <c r="R41" s="37" t="s">
        <v>1099</v>
      </c>
      <c r="S41" s="113" t="s">
        <v>1099</v>
      </c>
      <c r="T41" s="56"/>
      <c r="U41" s="56"/>
      <c r="V41" s="56"/>
      <c r="W41" s="114" t="s">
        <v>1099</v>
      </c>
      <c r="X41" s="115"/>
      <c r="Y41" s="115"/>
      <c r="Z41" s="116"/>
      <c r="AA41" s="117" t="s">
        <v>1099</v>
      </c>
      <c r="AB41" s="116"/>
      <c r="AC41" s="56"/>
      <c r="AD41" s="116"/>
      <c r="AE41" s="44" t="s">
        <v>1099</v>
      </c>
      <c r="AF41" s="46" t="str">
        <f t="shared" si="0"/>
        <v/>
      </c>
      <c r="AG41" s="38" t="s">
        <v>1099</v>
      </c>
      <c r="AH41" s="47" t="str">
        <f t="shared" si="1"/>
        <v/>
      </c>
      <c r="AI41" s="32"/>
      <c r="AJ41" s="32"/>
      <c r="AK41" s="32"/>
      <c r="AL41" s="32"/>
      <c r="AM41" s="32" t="s">
        <v>1099</v>
      </c>
      <c r="AN41" s="32"/>
      <c r="AO41" s="32" t="s">
        <v>1099</v>
      </c>
      <c r="AP41" s="32"/>
      <c r="AQ41" s="32"/>
      <c r="AR41" s="32"/>
      <c r="AS41" s="32"/>
      <c r="AT41" s="32"/>
      <c r="AU41" s="32"/>
      <c r="AV41" s="38" t="s">
        <v>1099</v>
      </c>
      <c r="AW41" s="38" t="s">
        <v>1099</v>
      </c>
      <c r="AX41" s="42" t="s">
        <v>106</v>
      </c>
      <c r="AY41" s="62" t="str">
        <f>IF('Cálculo MP'!J42="","",'Cálculo MP'!J42)</f>
        <v/>
      </c>
      <c r="AZ41" s="62" t="str">
        <f>IF('Cálculo MP'!K42="","",'Cálculo MP'!K42)</f>
        <v/>
      </c>
      <c r="BA41" s="62" t="str">
        <f>IF('Cálculo MP'!L42="","",'Cálculo MP'!L42)</f>
        <v/>
      </c>
      <c r="BB41" s="62" t="str">
        <f>IF('Cálculo MP'!M42="","",'Cálculo MP'!M42)</f>
        <v/>
      </c>
      <c r="BC41" s="62" t="str">
        <f>IF('Cálculo MP'!N42="","",'Cálculo MP'!N42)</f>
        <v/>
      </c>
      <c r="BD41" s="62" t="str">
        <f>IF('Cálculo MP'!O42="","",'Cálculo MP'!O42)</f>
        <v/>
      </c>
      <c r="BE41" s="62" t="str">
        <f>IF('Cálculo MP'!P42="","",'Cálculo MP'!P42)</f>
        <v/>
      </c>
      <c r="BF41" s="62" t="str">
        <f>IF('Cálculo MP'!Q42="","",'Cálculo MP'!Q42)</f>
        <v/>
      </c>
      <c r="BG41" s="62" t="str">
        <f>IF('Cálculo MP'!R42="","",'Cálculo MP'!R42)</f>
        <v/>
      </c>
      <c r="BH41" s="43"/>
      <c r="BI41" s="43"/>
      <c r="BJ41" s="43"/>
      <c r="BK41" s="43"/>
      <c r="BL41" s="43"/>
      <c r="BM41" s="43"/>
      <c r="BN41" s="43"/>
      <c r="BO41" s="62" t="str">
        <f t="shared" si="2"/>
        <v/>
      </c>
    </row>
    <row r="42" spans="1:67" ht="19.5" customHeight="1" x14ac:dyDescent="0.2">
      <c r="A42" s="49" t="b">
        <v>0</v>
      </c>
      <c r="B42" s="50" t="b">
        <v>1</v>
      </c>
      <c r="C42" s="51" t="b">
        <v>0</v>
      </c>
      <c r="D42" s="51" t="b">
        <v>0</v>
      </c>
      <c r="E42" s="37"/>
      <c r="F42" s="39"/>
      <c r="G42" s="37" t="s">
        <v>1100</v>
      </c>
      <c r="H42" s="34"/>
      <c r="I42" s="34"/>
      <c r="J42" s="34" t="s">
        <v>1099</v>
      </c>
      <c r="K42" s="51" t="b">
        <v>1</v>
      </c>
      <c r="L42" s="40"/>
      <c r="M42" s="37" t="s">
        <v>1099</v>
      </c>
      <c r="N42" s="37" t="s">
        <v>1099</v>
      </c>
      <c r="O42" s="41" t="s">
        <v>1099</v>
      </c>
      <c r="P42" s="40" t="s">
        <v>1099</v>
      </c>
      <c r="Q42" s="37" t="s">
        <v>1099</v>
      </c>
      <c r="R42" s="37" t="s">
        <v>1099</v>
      </c>
      <c r="S42" s="113" t="s">
        <v>1099</v>
      </c>
      <c r="T42" s="56"/>
      <c r="U42" s="56"/>
      <c r="V42" s="56"/>
      <c r="W42" s="114" t="s">
        <v>1099</v>
      </c>
      <c r="X42" s="115"/>
      <c r="Y42" s="115"/>
      <c r="Z42" s="116"/>
      <c r="AA42" s="117" t="s">
        <v>1099</v>
      </c>
      <c r="AB42" s="116"/>
      <c r="AC42" s="56"/>
      <c r="AD42" s="116"/>
      <c r="AE42" s="44" t="s">
        <v>1099</v>
      </c>
      <c r="AF42" s="46" t="str">
        <f t="shared" si="0"/>
        <v/>
      </c>
      <c r="AG42" s="38" t="s">
        <v>1099</v>
      </c>
      <c r="AH42" s="47" t="str">
        <f t="shared" si="1"/>
        <v/>
      </c>
      <c r="AI42" s="32"/>
      <c r="AJ42" s="32"/>
      <c r="AK42" s="32"/>
      <c r="AL42" s="32"/>
      <c r="AM42" s="32" t="s">
        <v>1099</v>
      </c>
      <c r="AN42" s="32"/>
      <c r="AO42" s="32" t="s">
        <v>1099</v>
      </c>
      <c r="AP42" s="32"/>
      <c r="AQ42" s="32"/>
      <c r="AR42" s="32"/>
      <c r="AS42" s="32"/>
      <c r="AT42" s="32"/>
      <c r="AU42" s="32"/>
      <c r="AV42" s="38" t="s">
        <v>1099</v>
      </c>
      <c r="AW42" s="38" t="s">
        <v>1099</v>
      </c>
      <c r="AX42" s="42" t="s">
        <v>106</v>
      </c>
      <c r="AY42" s="62" t="str">
        <f>IF('Cálculo MP'!J43="","",'Cálculo MP'!J43)</f>
        <v/>
      </c>
      <c r="AZ42" s="62" t="str">
        <f>IF('Cálculo MP'!K43="","",'Cálculo MP'!K43)</f>
        <v/>
      </c>
      <c r="BA42" s="62" t="str">
        <f>IF('Cálculo MP'!L43="","",'Cálculo MP'!L43)</f>
        <v/>
      </c>
      <c r="BB42" s="62" t="str">
        <f>IF('Cálculo MP'!M43="","",'Cálculo MP'!M43)</f>
        <v/>
      </c>
      <c r="BC42" s="62" t="str">
        <f>IF('Cálculo MP'!N43="","",'Cálculo MP'!N43)</f>
        <v/>
      </c>
      <c r="BD42" s="62" t="str">
        <f>IF('Cálculo MP'!O43="","",'Cálculo MP'!O43)</f>
        <v/>
      </c>
      <c r="BE42" s="62" t="str">
        <f>IF('Cálculo MP'!P43="","",'Cálculo MP'!P43)</f>
        <v/>
      </c>
      <c r="BF42" s="62" t="str">
        <f>IF('Cálculo MP'!Q43="","",'Cálculo MP'!Q43)</f>
        <v/>
      </c>
      <c r="BG42" s="62" t="str">
        <f>IF('Cálculo MP'!R43="","",'Cálculo MP'!R43)</f>
        <v/>
      </c>
      <c r="BH42" s="43"/>
      <c r="BI42" s="43"/>
      <c r="BJ42" s="43"/>
      <c r="BK42" s="43"/>
      <c r="BL42" s="43"/>
      <c r="BM42" s="43"/>
      <c r="BN42" s="43"/>
      <c r="BO42" s="62" t="str">
        <f t="shared" si="2"/>
        <v/>
      </c>
    </row>
    <row r="43" spans="1:67" ht="19.5" customHeight="1" x14ac:dyDescent="0.2">
      <c r="A43" s="49" t="b">
        <v>0</v>
      </c>
      <c r="B43" s="50" t="b">
        <v>1</v>
      </c>
      <c r="C43" s="51" t="b">
        <v>0</v>
      </c>
      <c r="D43" s="51" t="b">
        <v>0</v>
      </c>
      <c r="E43" s="37"/>
      <c r="F43" s="39"/>
      <c r="G43" s="37" t="s">
        <v>1100</v>
      </c>
      <c r="H43" s="34"/>
      <c r="I43" s="34"/>
      <c r="J43" s="34" t="s">
        <v>1099</v>
      </c>
      <c r="K43" s="51" t="b">
        <v>1</v>
      </c>
      <c r="L43" s="40"/>
      <c r="M43" s="37" t="s">
        <v>1099</v>
      </c>
      <c r="N43" s="37" t="s">
        <v>1099</v>
      </c>
      <c r="O43" s="41" t="s">
        <v>1099</v>
      </c>
      <c r="P43" s="40" t="s">
        <v>1099</v>
      </c>
      <c r="Q43" s="37" t="s">
        <v>1099</v>
      </c>
      <c r="R43" s="37" t="s">
        <v>1099</v>
      </c>
      <c r="S43" s="113" t="s">
        <v>1099</v>
      </c>
      <c r="T43" s="56"/>
      <c r="U43" s="56"/>
      <c r="V43" s="56"/>
      <c r="W43" s="114" t="s">
        <v>1099</v>
      </c>
      <c r="X43" s="115"/>
      <c r="Y43" s="115"/>
      <c r="Z43" s="116"/>
      <c r="AA43" s="117" t="s">
        <v>1099</v>
      </c>
      <c r="AB43" s="116"/>
      <c r="AC43" s="56"/>
      <c r="AD43" s="116"/>
      <c r="AE43" s="44" t="s">
        <v>1099</v>
      </c>
      <c r="AF43" s="46" t="str">
        <f t="shared" si="0"/>
        <v/>
      </c>
      <c r="AG43" s="38" t="s">
        <v>1099</v>
      </c>
      <c r="AH43" s="47" t="str">
        <f t="shared" si="1"/>
        <v/>
      </c>
      <c r="AI43" s="32"/>
      <c r="AJ43" s="32"/>
      <c r="AK43" s="32"/>
      <c r="AL43" s="32"/>
      <c r="AM43" s="32" t="s">
        <v>1099</v>
      </c>
      <c r="AN43" s="32"/>
      <c r="AO43" s="32" t="s">
        <v>1099</v>
      </c>
      <c r="AP43" s="32"/>
      <c r="AQ43" s="32"/>
      <c r="AR43" s="32"/>
      <c r="AS43" s="32"/>
      <c r="AT43" s="32"/>
      <c r="AU43" s="32"/>
      <c r="AV43" s="38" t="s">
        <v>1099</v>
      </c>
      <c r="AW43" s="38" t="s">
        <v>1099</v>
      </c>
      <c r="AX43" s="42" t="s">
        <v>106</v>
      </c>
      <c r="AY43" s="62" t="str">
        <f>IF('Cálculo MP'!J44="","",'Cálculo MP'!J44)</f>
        <v/>
      </c>
      <c r="AZ43" s="62" t="str">
        <f>IF('Cálculo MP'!K44="","",'Cálculo MP'!K44)</f>
        <v/>
      </c>
      <c r="BA43" s="62" t="str">
        <f>IF('Cálculo MP'!L44="","",'Cálculo MP'!L44)</f>
        <v/>
      </c>
      <c r="BB43" s="62" t="str">
        <f>IF('Cálculo MP'!M44="","",'Cálculo MP'!M44)</f>
        <v/>
      </c>
      <c r="BC43" s="62" t="str">
        <f>IF('Cálculo MP'!N44="","",'Cálculo MP'!N44)</f>
        <v/>
      </c>
      <c r="BD43" s="62" t="str">
        <f>IF('Cálculo MP'!O44="","",'Cálculo MP'!O44)</f>
        <v/>
      </c>
      <c r="BE43" s="62" t="str">
        <f>IF('Cálculo MP'!P44="","",'Cálculo MP'!P44)</f>
        <v/>
      </c>
      <c r="BF43" s="62" t="str">
        <f>IF('Cálculo MP'!Q44="","",'Cálculo MP'!Q44)</f>
        <v/>
      </c>
      <c r="BG43" s="62" t="str">
        <f>IF('Cálculo MP'!R44="","",'Cálculo MP'!R44)</f>
        <v/>
      </c>
      <c r="BH43" s="43"/>
      <c r="BI43" s="43"/>
      <c r="BJ43" s="43"/>
      <c r="BK43" s="43"/>
      <c r="BL43" s="43"/>
      <c r="BM43" s="43"/>
      <c r="BN43" s="43"/>
      <c r="BO43" s="62" t="str">
        <f t="shared" si="2"/>
        <v/>
      </c>
    </row>
    <row r="44" spans="1:67" ht="19.5" customHeight="1" x14ac:dyDescent="0.2">
      <c r="A44" s="49" t="b">
        <v>0</v>
      </c>
      <c r="B44" s="50" t="b">
        <v>1</v>
      </c>
      <c r="C44" s="51" t="b">
        <v>0</v>
      </c>
      <c r="D44" s="51" t="b">
        <v>0</v>
      </c>
      <c r="E44" s="37"/>
      <c r="F44" s="39"/>
      <c r="G44" s="37" t="s">
        <v>1100</v>
      </c>
      <c r="H44" s="34"/>
      <c r="I44" s="34"/>
      <c r="J44" s="34" t="s">
        <v>1099</v>
      </c>
      <c r="K44" s="51" t="b">
        <v>1</v>
      </c>
      <c r="L44" s="40"/>
      <c r="M44" s="37" t="s">
        <v>1099</v>
      </c>
      <c r="N44" s="37" t="s">
        <v>1099</v>
      </c>
      <c r="O44" s="41" t="s">
        <v>1099</v>
      </c>
      <c r="P44" s="40" t="s">
        <v>1099</v>
      </c>
      <c r="Q44" s="37" t="s">
        <v>1099</v>
      </c>
      <c r="R44" s="37" t="s">
        <v>1099</v>
      </c>
      <c r="S44" s="113" t="s">
        <v>1099</v>
      </c>
      <c r="T44" s="56"/>
      <c r="U44" s="56"/>
      <c r="V44" s="56"/>
      <c r="W44" s="114" t="s">
        <v>1099</v>
      </c>
      <c r="X44" s="115"/>
      <c r="Y44" s="115"/>
      <c r="Z44" s="116"/>
      <c r="AA44" s="117" t="s">
        <v>1099</v>
      </c>
      <c r="AB44" s="116"/>
      <c r="AC44" s="56"/>
      <c r="AD44" s="116"/>
      <c r="AE44" s="44" t="s">
        <v>1099</v>
      </c>
      <c r="AF44" s="46" t="str">
        <f t="shared" si="0"/>
        <v/>
      </c>
      <c r="AG44" s="38" t="s">
        <v>1099</v>
      </c>
      <c r="AH44" s="47" t="str">
        <f t="shared" si="1"/>
        <v/>
      </c>
      <c r="AI44" s="32"/>
      <c r="AJ44" s="32"/>
      <c r="AK44" s="32"/>
      <c r="AL44" s="32"/>
      <c r="AM44" s="32" t="s">
        <v>1099</v>
      </c>
      <c r="AN44" s="32"/>
      <c r="AO44" s="32" t="s">
        <v>1099</v>
      </c>
      <c r="AP44" s="32"/>
      <c r="AQ44" s="32"/>
      <c r="AR44" s="32"/>
      <c r="AS44" s="32"/>
      <c r="AT44" s="32"/>
      <c r="AU44" s="32"/>
      <c r="AV44" s="38" t="s">
        <v>1099</v>
      </c>
      <c r="AW44" s="38" t="s">
        <v>1099</v>
      </c>
      <c r="AX44" s="42" t="s">
        <v>106</v>
      </c>
      <c r="AY44" s="62" t="str">
        <f>IF('Cálculo MP'!J45="","",'Cálculo MP'!J45)</f>
        <v/>
      </c>
      <c r="AZ44" s="62" t="str">
        <f>IF('Cálculo MP'!K45="","",'Cálculo MP'!K45)</f>
        <v/>
      </c>
      <c r="BA44" s="62" t="str">
        <f>IF('Cálculo MP'!L45="","",'Cálculo MP'!L45)</f>
        <v/>
      </c>
      <c r="BB44" s="62" t="str">
        <f>IF('Cálculo MP'!M45="","",'Cálculo MP'!M45)</f>
        <v/>
      </c>
      <c r="BC44" s="62" t="str">
        <f>IF('Cálculo MP'!N45="","",'Cálculo MP'!N45)</f>
        <v/>
      </c>
      <c r="BD44" s="62" t="str">
        <f>IF('Cálculo MP'!O45="","",'Cálculo MP'!O45)</f>
        <v/>
      </c>
      <c r="BE44" s="62" t="str">
        <f>IF('Cálculo MP'!P45="","",'Cálculo MP'!P45)</f>
        <v/>
      </c>
      <c r="BF44" s="62" t="str">
        <f>IF('Cálculo MP'!Q45="","",'Cálculo MP'!Q45)</f>
        <v/>
      </c>
      <c r="BG44" s="62" t="str">
        <f>IF('Cálculo MP'!R45="","",'Cálculo MP'!R45)</f>
        <v/>
      </c>
      <c r="BH44" s="43"/>
      <c r="BI44" s="43"/>
      <c r="BJ44" s="43"/>
      <c r="BK44" s="43"/>
      <c r="BL44" s="43"/>
      <c r="BM44" s="43"/>
      <c r="BN44" s="43"/>
      <c r="BO44" s="62" t="str">
        <f t="shared" si="2"/>
        <v/>
      </c>
    </row>
    <row r="45" spans="1:67" ht="19.5" customHeight="1" x14ac:dyDescent="0.2">
      <c r="A45" s="49" t="b">
        <v>0</v>
      </c>
      <c r="B45" s="50" t="b">
        <v>1</v>
      </c>
      <c r="C45" s="51" t="b">
        <v>0</v>
      </c>
      <c r="D45" s="51" t="b">
        <v>0</v>
      </c>
      <c r="E45" s="37"/>
      <c r="F45" s="39"/>
      <c r="G45" s="37" t="s">
        <v>1100</v>
      </c>
      <c r="H45" s="34"/>
      <c r="I45" s="34"/>
      <c r="J45" s="34" t="s">
        <v>1099</v>
      </c>
      <c r="K45" s="51" t="b">
        <v>1</v>
      </c>
      <c r="L45" s="40"/>
      <c r="M45" s="37" t="s">
        <v>1099</v>
      </c>
      <c r="N45" s="37" t="s">
        <v>1099</v>
      </c>
      <c r="O45" s="41" t="s">
        <v>1099</v>
      </c>
      <c r="P45" s="40" t="s">
        <v>1099</v>
      </c>
      <c r="Q45" s="37" t="s">
        <v>1099</v>
      </c>
      <c r="R45" s="37" t="s">
        <v>1099</v>
      </c>
      <c r="S45" s="113" t="s">
        <v>1099</v>
      </c>
      <c r="T45" s="56"/>
      <c r="U45" s="56"/>
      <c r="V45" s="56"/>
      <c r="W45" s="114" t="s">
        <v>1099</v>
      </c>
      <c r="X45" s="115"/>
      <c r="Y45" s="115"/>
      <c r="Z45" s="116"/>
      <c r="AA45" s="117" t="s">
        <v>1099</v>
      </c>
      <c r="AB45" s="116"/>
      <c r="AC45" s="56"/>
      <c r="AD45" s="116"/>
      <c r="AE45" s="44" t="s">
        <v>1099</v>
      </c>
      <c r="AF45" s="46" t="str">
        <f t="shared" si="0"/>
        <v/>
      </c>
      <c r="AG45" s="38" t="s">
        <v>1099</v>
      </c>
      <c r="AH45" s="47" t="str">
        <f t="shared" si="1"/>
        <v/>
      </c>
      <c r="AI45" s="32"/>
      <c r="AJ45" s="32"/>
      <c r="AK45" s="32"/>
      <c r="AL45" s="32"/>
      <c r="AM45" s="32" t="s">
        <v>1099</v>
      </c>
      <c r="AN45" s="32"/>
      <c r="AO45" s="32" t="s">
        <v>1099</v>
      </c>
      <c r="AP45" s="32"/>
      <c r="AQ45" s="32"/>
      <c r="AR45" s="32"/>
      <c r="AS45" s="32"/>
      <c r="AT45" s="32"/>
      <c r="AU45" s="32"/>
      <c r="AV45" s="38" t="s">
        <v>1099</v>
      </c>
      <c r="AW45" s="38" t="s">
        <v>1099</v>
      </c>
      <c r="AX45" s="42" t="s">
        <v>106</v>
      </c>
      <c r="AY45" s="62" t="str">
        <f>IF('Cálculo MP'!J46="","",'Cálculo MP'!J46)</f>
        <v/>
      </c>
      <c r="AZ45" s="62" t="str">
        <f>IF('Cálculo MP'!K46="","",'Cálculo MP'!K46)</f>
        <v/>
      </c>
      <c r="BA45" s="62" t="str">
        <f>IF('Cálculo MP'!L46="","",'Cálculo MP'!L46)</f>
        <v/>
      </c>
      <c r="BB45" s="62" t="str">
        <f>IF('Cálculo MP'!M46="","",'Cálculo MP'!M46)</f>
        <v/>
      </c>
      <c r="BC45" s="62" t="str">
        <f>IF('Cálculo MP'!N46="","",'Cálculo MP'!N46)</f>
        <v/>
      </c>
      <c r="BD45" s="62" t="str">
        <f>IF('Cálculo MP'!O46="","",'Cálculo MP'!O46)</f>
        <v/>
      </c>
      <c r="BE45" s="62" t="str">
        <f>IF('Cálculo MP'!P46="","",'Cálculo MP'!P46)</f>
        <v/>
      </c>
      <c r="BF45" s="62" t="str">
        <f>IF('Cálculo MP'!Q46="","",'Cálculo MP'!Q46)</f>
        <v/>
      </c>
      <c r="BG45" s="62" t="str">
        <f>IF('Cálculo MP'!R46="","",'Cálculo MP'!R46)</f>
        <v/>
      </c>
      <c r="BH45" s="43"/>
      <c r="BI45" s="43"/>
      <c r="BJ45" s="43"/>
      <c r="BK45" s="43"/>
      <c r="BL45" s="43"/>
      <c r="BM45" s="43"/>
      <c r="BN45" s="43"/>
      <c r="BO45" s="62" t="str">
        <f t="shared" si="2"/>
        <v/>
      </c>
    </row>
    <row r="46" spans="1:67" ht="19.5" customHeight="1" x14ac:dyDescent="0.2">
      <c r="A46" s="49" t="b">
        <v>0</v>
      </c>
      <c r="B46" s="50" t="b">
        <v>1</v>
      </c>
      <c r="C46" s="51" t="b">
        <v>0</v>
      </c>
      <c r="D46" s="51" t="b">
        <v>0</v>
      </c>
      <c r="E46" s="37"/>
      <c r="F46" s="39"/>
      <c r="G46" s="37" t="s">
        <v>1100</v>
      </c>
      <c r="H46" s="34"/>
      <c r="I46" s="34"/>
      <c r="J46" s="34" t="s">
        <v>1099</v>
      </c>
      <c r="K46" s="51" t="b">
        <v>1</v>
      </c>
      <c r="L46" s="40"/>
      <c r="M46" s="37" t="s">
        <v>1099</v>
      </c>
      <c r="N46" s="37" t="s">
        <v>1099</v>
      </c>
      <c r="O46" s="41" t="s">
        <v>1099</v>
      </c>
      <c r="P46" s="40" t="s">
        <v>1099</v>
      </c>
      <c r="Q46" s="37" t="s">
        <v>1099</v>
      </c>
      <c r="R46" s="37" t="s">
        <v>1099</v>
      </c>
      <c r="S46" s="113" t="s">
        <v>1099</v>
      </c>
      <c r="T46" s="56"/>
      <c r="U46" s="56"/>
      <c r="V46" s="56"/>
      <c r="W46" s="114" t="s">
        <v>1099</v>
      </c>
      <c r="X46" s="115"/>
      <c r="Y46" s="115"/>
      <c r="Z46" s="116"/>
      <c r="AA46" s="117" t="s">
        <v>1099</v>
      </c>
      <c r="AB46" s="116"/>
      <c r="AC46" s="56"/>
      <c r="AD46" s="116"/>
      <c r="AE46" s="44" t="s">
        <v>1099</v>
      </c>
      <c r="AF46" s="46" t="str">
        <f t="shared" si="0"/>
        <v/>
      </c>
      <c r="AG46" s="38" t="s">
        <v>1099</v>
      </c>
      <c r="AH46" s="47" t="str">
        <f t="shared" si="1"/>
        <v/>
      </c>
      <c r="AI46" s="32"/>
      <c r="AJ46" s="32"/>
      <c r="AK46" s="32"/>
      <c r="AL46" s="32"/>
      <c r="AM46" s="32" t="s">
        <v>1099</v>
      </c>
      <c r="AN46" s="32"/>
      <c r="AO46" s="32" t="s">
        <v>1099</v>
      </c>
      <c r="AP46" s="32"/>
      <c r="AQ46" s="32"/>
      <c r="AR46" s="32"/>
      <c r="AS46" s="32"/>
      <c r="AT46" s="32"/>
      <c r="AU46" s="32"/>
      <c r="AV46" s="38" t="s">
        <v>1099</v>
      </c>
      <c r="AW46" s="38" t="s">
        <v>1099</v>
      </c>
      <c r="AX46" s="42" t="s">
        <v>106</v>
      </c>
      <c r="AY46" s="62" t="str">
        <f>IF('Cálculo MP'!J47="","",'Cálculo MP'!J47)</f>
        <v/>
      </c>
      <c r="AZ46" s="62" t="str">
        <f>IF('Cálculo MP'!K47="","",'Cálculo MP'!K47)</f>
        <v/>
      </c>
      <c r="BA46" s="62" t="str">
        <f>IF('Cálculo MP'!L47="","",'Cálculo MP'!L47)</f>
        <v/>
      </c>
      <c r="BB46" s="62" t="str">
        <f>IF('Cálculo MP'!M47="","",'Cálculo MP'!M47)</f>
        <v/>
      </c>
      <c r="BC46" s="62" t="str">
        <f>IF('Cálculo MP'!N47="","",'Cálculo MP'!N47)</f>
        <v/>
      </c>
      <c r="BD46" s="62" t="str">
        <f>IF('Cálculo MP'!O47="","",'Cálculo MP'!O47)</f>
        <v/>
      </c>
      <c r="BE46" s="62" t="str">
        <f>IF('Cálculo MP'!P47="","",'Cálculo MP'!P47)</f>
        <v/>
      </c>
      <c r="BF46" s="62" t="str">
        <f>IF('Cálculo MP'!Q47="","",'Cálculo MP'!Q47)</f>
        <v/>
      </c>
      <c r="BG46" s="62" t="str">
        <f>IF('Cálculo MP'!R47="","",'Cálculo MP'!R47)</f>
        <v/>
      </c>
      <c r="BH46" s="43"/>
      <c r="BI46" s="43"/>
      <c r="BJ46" s="43"/>
      <c r="BK46" s="43"/>
      <c r="BL46" s="43"/>
      <c r="BM46" s="43"/>
      <c r="BN46" s="43"/>
      <c r="BO46" s="62" t="str">
        <f t="shared" si="2"/>
        <v/>
      </c>
    </row>
    <row r="47" spans="1:67" ht="19.5" customHeight="1" x14ac:dyDescent="0.2">
      <c r="A47" s="49" t="b">
        <v>0</v>
      </c>
      <c r="B47" s="50" t="b">
        <v>1</v>
      </c>
      <c r="C47" s="51" t="b">
        <v>0</v>
      </c>
      <c r="D47" s="51" t="b">
        <v>0</v>
      </c>
      <c r="E47" s="37"/>
      <c r="F47" s="39"/>
      <c r="G47" s="37" t="s">
        <v>1100</v>
      </c>
      <c r="H47" s="34"/>
      <c r="I47" s="34"/>
      <c r="J47" s="34" t="s">
        <v>1099</v>
      </c>
      <c r="K47" s="51" t="b">
        <v>1</v>
      </c>
      <c r="L47" s="40"/>
      <c r="M47" s="37" t="s">
        <v>1099</v>
      </c>
      <c r="N47" s="37" t="s">
        <v>1099</v>
      </c>
      <c r="O47" s="41" t="s">
        <v>1099</v>
      </c>
      <c r="P47" s="40" t="s">
        <v>1099</v>
      </c>
      <c r="Q47" s="37" t="s">
        <v>1099</v>
      </c>
      <c r="R47" s="37" t="s">
        <v>1099</v>
      </c>
      <c r="S47" s="113" t="s">
        <v>1099</v>
      </c>
      <c r="T47" s="56"/>
      <c r="U47" s="56"/>
      <c r="V47" s="56"/>
      <c r="W47" s="114" t="s">
        <v>1099</v>
      </c>
      <c r="X47" s="115"/>
      <c r="Y47" s="115"/>
      <c r="Z47" s="116"/>
      <c r="AA47" s="117" t="s">
        <v>1099</v>
      </c>
      <c r="AB47" s="116"/>
      <c r="AC47" s="56"/>
      <c r="AD47" s="116"/>
      <c r="AE47" s="44" t="s">
        <v>1099</v>
      </c>
      <c r="AF47" s="46" t="str">
        <f t="shared" si="0"/>
        <v/>
      </c>
      <c r="AG47" s="38" t="s">
        <v>1099</v>
      </c>
      <c r="AH47" s="47" t="str">
        <f t="shared" si="1"/>
        <v/>
      </c>
      <c r="AI47" s="32"/>
      <c r="AJ47" s="32"/>
      <c r="AK47" s="32"/>
      <c r="AL47" s="32"/>
      <c r="AM47" s="32" t="s">
        <v>1099</v>
      </c>
      <c r="AN47" s="32"/>
      <c r="AO47" s="32" t="s">
        <v>1099</v>
      </c>
      <c r="AP47" s="32"/>
      <c r="AQ47" s="32"/>
      <c r="AR47" s="32"/>
      <c r="AS47" s="32"/>
      <c r="AT47" s="32"/>
      <c r="AU47" s="32"/>
      <c r="AV47" s="38" t="s">
        <v>1099</v>
      </c>
      <c r="AW47" s="38" t="s">
        <v>1099</v>
      </c>
      <c r="AX47" s="42" t="s">
        <v>106</v>
      </c>
      <c r="AY47" s="62" t="str">
        <f>IF('Cálculo MP'!J48="","",'Cálculo MP'!J48)</f>
        <v/>
      </c>
      <c r="AZ47" s="62" t="str">
        <f>IF('Cálculo MP'!K48="","",'Cálculo MP'!K48)</f>
        <v/>
      </c>
      <c r="BA47" s="62" t="str">
        <f>IF('Cálculo MP'!L48="","",'Cálculo MP'!L48)</f>
        <v/>
      </c>
      <c r="BB47" s="62" t="str">
        <f>IF('Cálculo MP'!M48="","",'Cálculo MP'!M48)</f>
        <v/>
      </c>
      <c r="BC47" s="62" t="str">
        <f>IF('Cálculo MP'!N48="","",'Cálculo MP'!N48)</f>
        <v/>
      </c>
      <c r="BD47" s="62" t="str">
        <f>IF('Cálculo MP'!O48="","",'Cálculo MP'!O48)</f>
        <v/>
      </c>
      <c r="BE47" s="62" t="str">
        <f>IF('Cálculo MP'!P48="","",'Cálculo MP'!P48)</f>
        <v/>
      </c>
      <c r="BF47" s="62" t="str">
        <f>IF('Cálculo MP'!Q48="","",'Cálculo MP'!Q48)</f>
        <v/>
      </c>
      <c r="BG47" s="62" t="str">
        <f>IF('Cálculo MP'!R48="","",'Cálculo MP'!R48)</f>
        <v/>
      </c>
      <c r="BH47" s="43"/>
      <c r="BI47" s="43"/>
      <c r="BJ47" s="43"/>
      <c r="BK47" s="43"/>
      <c r="BL47" s="43"/>
      <c r="BM47" s="43"/>
      <c r="BN47" s="43"/>
      <c r="BO47" s="62" t="str">
        <f t="shared" si="2"/>
        <v/>
      </c>
    </row>
    <row r="48" spans="1:67" ht="19.5" customHeight="1" x14ac:dyDescent="0.2">
      <c r="A48" s="49" t="b">
        <v>0</v>
      </c>
      <c r="B48" s="50" t="b">
        <v>1</v>
      </c>
      <c r="C48" s="51" t="b">
        <v>0</v>
      </c>
      <c r="D48" s="51" t="b">
        <v>0</v>
      </c>
      <c r="E48" s="37"/>
      <c r="F48" s="39"/>
      <c r="G48" s="37" t="s">
        <v>1100</v>
      </c>
      <c r="H48" s="34"/>
      <c r="I48" s="34"/>
      <c r="J48" s="34" t="s">
        <v>1099</v>
      </c>
      <c r="K48" s="51" t="b">
        <v>1</v>
      </c>
      <c r="L48" s="40"/>
      <c r="M48" s="37" t="s">
        <v>1099</v>
      </c>
      <c r="N48" s="37" t="s">
        <v>1099</v>
      </c>
      <c r="O48" s="41" t="s">
        <v>1099</v>
      </c>
      <c r="P48" s="40" t="s">
        <v>1099</v>
      </c>
      <c r="Q48" s="37" t="s">
        <v>1099</v>
      </c>
      <c r="R48" s="37" t="s">
        <v>1099</v>
      </c>
      <c r="S48" s="113" t="s">
        <v>1099</v>
      </c>
      <c r="T48" s="56"/>
      <c r="U48" s="56"/>
      <c r="V48" s="56"/>
      <c r="W48" s="114" t="s">
        <v>1099</v>
      </c>
      <c r="X48" s="115"/>
      <c r="Y48" s="115"/>
      <c r="Z48" s="116"/>
      <c r="AA48" s="117" t="s">
        <v>1099</v>
      </c>
      <c r="AB48" s="116"/>
      <c r="AC48" s="56"/>
      <c r="AD48" s="116"/>
      <c r="AE48" s="44" t="s">
        <v>1099</v>
      </c>
      <c r="AF48" s="46" t="str">
        <f t="shared" si="0"/>
        <v/>
      </c>
      <c r="AG48" s="38" t="s">
        <v>1099</v>
      </c>
      <c r="AH48" s="47" t="str">
        <f t="shared" si="1"/>
        <v/>
      </c>
      <c r="AI48" s="32"/>
      <c r="AJ48" s="32"/>
      <c r="AK48" s="32"/>
      <c r="AL48" s="32"/>
      <c r="AM48" s="32" t="s">
        <v>1099</v>
      </c>
      <c r="AN48" s="32"/>
      <c r="AO48" s="32" t="s">
        <v>1099</v>
      </c>
      <c r="AP48" s="32"/>
      <c r="AQ48" s="32"/>
      <c r="AR48" s="32"/>
      <c r="AS48" s="32"/>
      <c r="AT48" s="32"/>
      <c r="AU48" s="32"/>
      <c r="AV48" s="38" t="s">
        <v>1099</v>
      </c>
      <c r="AW48" s="38" t="s">
        <v>1099</v>
      </c>
      <c r="AX48" s="42" t="s">
        <v>106</v>
      </c>
      <c r="AY48" s="62" t="str">
        <f>IF('Cálculo MP'!J49="","",'Cálculo MP'!J49)</f>
        <v/>
      </c>
      <c r="AZ48" s="62" t="str">
        <f>IF('Cálculo MP'!K49="","",'Cálculo MP'!K49)</f>
        <v/>
      </c>
      <c r="BA48" s="62" t="str">
        <f>IF('Cálculo MP'!L49="","",'Cálculo MP'!L49)</f>
        <v/>
      </c>
      <c r="BB48" s="62" t="str">
        <f>IF('Cálculo MP'!M49="","",'Cálculo MP'!M49)</f>
        <v/>
      </c>
      <c r="BC48" s="62" t="str">
        <f>IF('Cálculo MP'!N49="","",'Cálculo MP'!N49)</f>
        <v/>
      </c>
      <c r="BD48" s="62" t="str">
        <f>IF('Cálculo MP'!O49="","",'Cálculo MP'!O49)</f>
        <v/>
      </c>
      <c r="BE48" s="62" t="str">
        <f>IF('Cálculo MP'!P49="","",'Cálculo MP'!P49)</f>
        <v/>
      </c>
      <c r="BF48" s="62" t="str">
        <f>IF('Cálculo MP'!Q49="","",'Cálculo MP'!Q49)</f>
        <v/>
      </c>
      <c r="BG48" s="62" t="str">
        <f>IF('Cálculo MP'!R49="","",'Cálculo MP'!R49)</f>
        <v/>
      </c>
      <c r="BH48" s="43"/>
      <c r="BI48" s="43"/>
      <c r="BJ48" s="43"/>
      <c r="BK48" s="43"/>
      <c r="BL48" s="43"/>
      <c r="BM48" s="43"/>
      <c r="BN48" s="43"/>
      <c r="BO48" s="62" t="str">
        <f t="shared" si="2"/>
        <v/>
      </c>
    </row>
    <row r="49" spans="1:67" ht="19.5" customHeight="1" x14ac:dyDescent="0.2">
      <c r="A49" s="49" t="b">
        <v>0</v>
      </c>
      <c r="B49" s="50" t="b">
        <v>1</v>
      </c>
      <c r="C49" s="51" t="b">
        <v>0</v>
      </c>
      <c r="D49" s="51" t="b">
        <v>0</v>
      </c>
      <c r="E49" s="37"/>
      <c r="F49" s="39"/>
      <c r="G49" s="37" t="s">
        <v>1100</v>
      </c>
      <c r="H49" s="34"/>
      <c r="I49" s="34"/>
      <c r="J49" s="34" t="s">
        <v>1099</v>
      </c>
      <c r="K49" s="51" t="b">
        <v>1</v>
      </c>
      <c r="L49" s="40"/>
      <c r="M49" s="37" t="s">
        <v>1099</v>
      </c>
      <c r="N49" s="37" t="s">
        <v>1099</v>
      </c>
      <c r="O49" s="41" t="s">
        <v>1099</v>
      </c>
      <c r="P49" s="40" t="s">
        <v>1099</v>
      </c>
      <c r="Q49" s="37" t="s">
        <v>1099</v>
      </c>
      <c r="R49" s="37" t="s">
        <v>1099</v>
      </c>
      <c r="S49" s="113" t="s">
        <v>1099</v>
      </c>
      <c r="T49" s="56"/>
      <c r="U49" s="56"/>
      <c r="V49" s="56"/>
      <c r="W49" s="114" t="s">
        <v>1099</v>
      </c>
      <c r="X49" s="115"/>
      <c r="Y49" s="115"/>
      <c r="Z49" s="116"/>
      <c r="AA49" s="117" t="s">
        <v>1099</v>
      </c>
      <c r="AB49" s="116"/>
      <c r="AC49" s="56"/>
      <c r="AD49" s="116"/>
      <c r="AE49" s="44" t="s">
        <v>1099</v>
      </c>
      <c r="AF49" s="46" t="str">
        <f t="shared" si="0"/>
        <v/>
      </c>
      <c r="AG49" s="38" t="s">
        <v>1099</v>
      </c>
      <c r="AH49" s="47" t="str">
        <f t="shared" si="1"/>
        <v/>
      </c>
      <c r="AI49" s="32"/>
      <c r="AJ49" s="32"/>
      <c r="AK49" s="32"/>
      <c r="AL49" s="32"/>
      <c r="AM49" s="32" t="s">
        <v>1099</v>
      </c>
      <c r="AN49" s="32"/>
      <c r="AO49" s="32" t="s">
        <v>1099</v>
      </c>
      <c r="AP49" s="32"/>
      <c r="AQ49" s="32"/>
      <c r="AR49" s="32"/>
      <c r="AS49" s="32"/>
      <c r="AT49" s="32"/>
      <c r="AU49" s="32"/>
      <c r="AV49" s="38" t="s">
        <v>1099</v>
      </c>
      <c r="AW49" s="38" t="s">
        <v>1099</v>
      </c>
      <c r="AX49" s="42" t="s">
        <v>106</v>
      </c>
      <c r="AY49" s="62" t="str">
        <f>IF('Cálculo MP'!J50="","",'Cálculo MP'!J50)</f>
        <v/>
      </c>
      <c r="AZ49" s="62" t="str">
        <f>IF('Cálculo MP'!K50="","",'Cálculo MP'!K50)</f>
        <v/>
      </c>
      <c r="BA49" s="62" t="str">
        <f>IF('Cálculo MP'!L50="","",'Cálculo MP'!L50)</f>
        <v/>
      </c>
      <c r="BB49" s="62" t="str">
        <f>IF('Cálculo MP'!M50="","",'Cálculo MP'!M50)</f>
        <v/>
      </c>
      <c r="BC49" s="62" t="str">
        <f>IF('Cálculo MP'!N50="","",'Cálculo MP'!N50)</f>
        <v/>
      </c>
      <c r="BD49" s="62" t="str">
        <f>IF('Cálculo MP'!O50="","",'Cálculo MP'!O50)</f>
        <v/>
      </c>
      <c r="BE49" s="62" t="str">
        <f>IF('Cálculo MP'!P50="","",'Cálculo MP'!P50)</f>
        <v/>
      </c>
      <c r="BF49" s="62" t="str">
        <f>IF('Cálculo MP'!Q50="","",'Cálculo MP'!Q50)</f>
        <v/>
      </c>
      <c r="BG49" s="62" t="str">
        <f>IF('Cálculo MP'!R50="","",'Cálculo MP'!R50)</f>
        <v/>
      </c>
      <c r="BH49" s="43"/>
      <c r="BI49" s="43"/>
      <c r="BJ49" s="43"/>
      <c r="BK49" s="43"/>
      <c r="BL49" s="43"/>
      <c r="BM49" s="43"/>
      <c r="BN49" s="43"/>
      <c r="BO49" s="62" t="str">
        <f t="shared" si="2"/>
        <v/>
      </c>
    </row>
    <row r="50" spans="1:67" ht="19.5" customHeight="1" x14ac:dyDescent="0.2">
      <c r="A50" s="49" t="b">
        <v>0</v>
      </c>
      <c r="B50" s="50" t="b">
        <v>1</v>
      </c>
      <c r="C50" s="51" t="b">
        <v>0</v>
      </c>
      <c r="D50" s="51" t="b">
        <v>0</v>
      </c>
      <c r="E50" s="37"/>
      <c r="F50" s="39"/>
      <c r="G50" s="37" t="s">
        <v>1100</v>
      </c>
      <c r="H50" s="34"/>
      <c r="I50" s="34"/>
      <c r="J50" s="34" t="s">
        <v>1099</v>
      </c>
      <c r="K50" s="51" t="b">
        <v>1</v>
      </c>
      <c r="L50" s="40"/>
      <c r="M50" s="37" t="s">
        <v>1099</v>
      </c>
      <c r="N50" s="37" t="s">
        <v>1099</v>
      </c>
      <c r="O50" s="41" t="s">
        <v>1099</v>
      </c>
      <c r="P50" s="40" t="s">
        <v>1099</v>
      </c>
      <c r="Q50" s="37" t="s">
        <v>1099</v>
      </c>
      <c r="R50" s="37" t="s">
        <v>1099</v>
      </c>
      <c r="S50" s="113" t="s">
        <v>1099</v>
      </c>
      <c r="T50" s="56"/>
      <c r="U50" s="56"/>
      <c r="V50" s="56"/>
      <c r="W50" s="114" t="s">
        <v>1099</v>
      </c>
      <c r="X50" s="115"/>
      <c r="Y50" s="115"/>
      <c r="Z50" s="116"/>
      <c r="AA50" s="117" t="s">
        <v>1099</v>
      </c>
      <c r="AB50" s="116"/>
      <c r="AC50" s="56"/>
      <c r="AD50" s="116"/>
      <c r="AE50" s="44" t="s">
        <v>1099</v>
      </c>
      <c r="AF50" s="46" t="str">
        <f t="shared" si="0"/>
        <v/>
      </c>
      <c r="AG50" s="38" t="s">
        <v>1099</v>
      </c>
      <c r="AH50" s="47" t="str">
        <f t="shared" si="1"/>
        <v/>
      </c>
      <c r="AI50" s="32"/>
      <c r="AJ50" s="32"/>
      <c r="AK50" s="32"/>
      <c r="AL50" s="32"/>
      <c r="AM50" s="32" t="s">
        <v>1099</v>
      </c>
      <c r="AN50" s="32"/>
      <c r="AO50" s="32" t="s">
        <v>1099</v>
      </c>
      <c r="AP50" s="32"/>
      <c r="AQ50" s="32"/>
      <c r="AR50" s="32"/>
      <c r="AS50" s="32"/>
      <c r="AT50" s="32"/>
      <c r="AU50" s="32"/>
      <c r="AV50" s="38" t="s">
        <v>1099</v>
      </c>
      <c r="AW50" s="38" t="s">
        <v>1099</v>
      </c>
      <c r="AX50" s="42" t="s">
        <v>106</v>
      </c>
      <c r="AY50" s="62" t="str">
        <f>IF('Cálculo MP'!J51="","",'Cálculo MP'!J51)</f>
        <v/>
      </c>
      <c r="AZ50" s="62" t="str">
        <f>IF('Cálculo MP'!K51="","",'Cálculo MP'!K51)</f>
        <v/>
      </c>
      <c r="BA50" s="62" t="str">
        <f>IF('Cálculo MP'!L51="","",'Cálculo MP'!L51)</f>
        <v/>
      </c>
      <c r="BB50" s="62" t="str">
        <f>IF('Cálculo MP'!M51="","",'Cálculo MP'!M51)</f>
        <v/>
      </c>
      <c r="BC50" s="62" t="str">
        <f>IF('Cálculo MP'!N51="","",'Cálculo MP'!N51)</f>
        <v/>
      </c>
      <c r="BD50" s="62" t="str">
        <f>IF('Cálculo MP'!O51="","",'Cálculo MP'!O51)</f>
        <v/>
      </c>
      <c r="BE50" s="62" t="str">
        <f>IF('Cálculo MP'!P51="","",'Cálculo MP'!P51)</f>
        <v/>
      </c>
      <c r="BF50" s="62" t="str">
        <f>IF('Cálculo MP'!Q51="","",'Cálculo MP'!Q51)</f>
        <v/>
      </c>
      <c r="BG50" s="62" t="str">
        <f>IF('Cálculo MP'!R51="","",'Cálculo MP'!R51)</f>
        <v/>
      </c>
      <c r="BH50" s="43"/>
      <c r="BI50" s="43"/>
      <c r="BJ50" s="43"/>
      <c r="BK50" s="43"/>
      <c r="BL50" s="43"/>
      <c r="BM50" s="43"/>
      <c r="BN50" s="43"/>
      <c r="BO50" s="62" t="str">
        <f t="shared" si="2"/>
        <v/>
      </c>
    </row>
    <row r="51" spans="1:67" ht="19.5" customHeight="1" x14ac:dyDescent="0.2">
      <c r="A51" s="49" t="b">
        <v>0</v>
      </c>
      <c r="B51" s="50" t="b">
        <v>1</v>
      </c>
      <c r="C51" s="51" t="b">
        <v>0</v>
      </c>
      <c r="D51" s="51" t="b">
        <v>0</v>
      </c>
      <c r="E51" s="37"/>
      <c r="F51" s="39"/>
      <c r="G51" s="37" t="s">
        <v>1100</v>
      </c>
      <c r="H51" s="34"/>
      <c r="I51" s="34"/>
      <c r="J51" s="34" t="s">
        <v>1099</v>
      </c>
      <c r="K51" s="51" t="b">
        <v>1</v>
      </c>
      <c r="L51" s="40"/>
      <c r="M51" s="37" t="s">
        <v>1099</v>
      </c>
      <c r="N51" s="37" t="s">
        <v>1099</v>
      </c>
      <c r="O51" s="41" t="s">
        <v>1099</v>
      </c>
      <c r="P51" s="40" t="s">
        <v>1099</v>
      </c>
      <c r="Q51" s="37" t="s">
        <v>1099</v>
      </c>
      <c r="R51" s="37" t="s">
        <v>1099</v>
      </c>
      <c r="S51" s="113" t="s">
        <v>1099</v>
      </c>
      <c r="T51" s="56"/>
      <c r="U51" s="56"/>
      <c r="V51" s="56"/>
      <c r="W51" s="114" t="s">
        <v>1099</v>
      </c>
      <c r="X51" s="115"/>
      <c r="Y51" s="115"/>
      <c r="Z51" s="116"/>
      <c r="AA51" s="117" t="s">
        <v>1099</v>
      </c>
      <c r="AB51" s="116"/>
      <c r="AC51" s="56"/>
      <c r="AD51" s="116"/>
      <c r="AE51" s="44" t="s">
        <v>1099</v>
      </c>
      <c r="AF51" s="46" t="str">
        <f t="shared" si="0"/>
        <v/>
      </c>
      <c r="AG51" s="38" t="s">
        <v>1099</v>
      </c>
      <c r="AH51" s="47" t="str">
        <f t="shared" si="1"/>
        <v/>
      </c>
      <c r="AI51" s="32"/>
      <c r="AJ51" s="32"/>
      <c r="AK51" s="32"/>
      <c r="AL51" s="32"/>
      <c r="AM51" s="32" t="s">
        <v>1099</v>
      </c>
      <c r="AN51" s="32"/>
      <c r="AO51" s="32" t="s">
        <v>1099</v>
      </c>
      <c r="AP51" s="32"/>
      <c r="AQ51" s="32"/>
      <c r="AR51" s="32"/>
      <c r="AS51" s="32"/>
      <c r="AT51" s="32"/>
      <c r="AU51" s="32"/>
      <c r="AV51" s="38" t="s">
        <v>1099</v>
      </c>
      <c r="AW51" s="38" t="s">
        <v>1099</v>
      </c>
      <c r="AX51" s="42" t="s">
        <v>106</v>
      </c>
      <c r="AY51" s="62" t="str">
        <f>IF('Cálculo MP'!J52="","",'Cálculo MP'!J52)</f>
        <v/>
      </c>
      <c r="AZ51" s="62" t="str">
        <f>IF('Cálculo MP'!K52="","",'Cálculo MP'!K52)</f>
        <v/>
      </c>
      <c r="BA51" s="62" t="str">
        <f>IF('Cálculo MP'!L52="","",'Cálculo MP'!L52)</f>
        <v/>
      </c>
      <c r="BB51" s="62" t="str">
        <f>IF('Cálculo MP'!M52="","",'Cálculo MP'!M52)</f>
        <v/>
      </c>
      <c r="BC51" s="62" t="str">
        <f>IF('Cálculo MP'!N52="","",'Cálculo MP'!N52)</f>
        <v/>
      </c>
      <c r="BD51" s="62" t="str">
        <f>IF('Cálculo MP'!O52="","",'Cálculo MP'!O52)</f>
        <v/>
      </c>
      <c r="BE51" s="62" t="str">
        <f>IF('Cálculo MP'!P52="","",'Cálculo MP'!P52)</f>
        <v/>
      </c>
      <c r="BF51" s="62" t="str">
        <f>IF('Cálculo MP'!Q52="","",'Cálculo MP'!Q52)</f>
        <v/>
      </c>
      <c r="BG51" s="62" t="str">
        <f>IF('Cálculo MP'!R52="","",'Cálculo MP'!R52)</f>
        <v/>
      </c>
      <c r="BH51" s="43"/>
      <c r="BI51" s="43"/>
      <c r="BJ51" s="43"/>
      <c r="BK51" s="43"/>
      <c r="BL51" s="43"/>
      <c r="BM51" s="43"/>
      <c r="BN51" s="43"/>
      <c r="BO51" s="62" t="str">
        <f t="shared" si="2"/>
        <v/>
      </c>
    </row>
    <row r="52" spans="1:67" ht="19.5" customHeight="1" x14ac:dyDescent="0.2">
      <c r="A52" s="49" t="b">
        <v>0</v>
      </c>
      <c r="B52" s="50" t="b">
        <v>1</v>
      </c>
      <c r="C52" s="51" t="b">
        <v>0</v>
      </c>
      <c r="D52" s="51" t="b">
        <v>0</v>
      </c>
      <c r="E52" s="37"/>
      <c r="F52" s="39"/>
      <c r="G52" s="37" t="s">
        <v>1100</v>
      </c>
      <c r="H52" s="34"/>
      <c r="I52" s="34"/>
      <c r="J52" s="34" t="s">
        <v>1099</v>
      </c>
      <c r="K52" s="51" t="b">
        <v>1</v>
      </c>
      <c r="L52" s="40"/>
      <c r="M52" s="37" t="s">
        <v>1099</v>
      </c>
      <c r="N52" s="37" t="s">
        <v>1099</v>
      </c>
      <c r="O52" s="41" t="s">
        <v>1099</v>
      </c>
      <c r="P52" s="40" t="s">
        <v>1099</v>
      </c>
      <c r="Q52" s="37" t="s">
        <v>1099</v>
      </c>
      <c r="R52" s="37" t="s">
        <v>1099</v>
      </c>
      <c r="S52" s="113" t="s">
        <v>1099</v>
      </c>
      <c r="T52" s="56"/>
      <c r="U52" s="56"/>
      <c r="V52" s="56"/>
      <c r="W52" s="114" t="s">
        <v>1099</v>
      </c>
      <c r="X52" s="115"/>
      <c r="Y52" s="115"/>
      <c r="Z52" s="116"/>
      <c r="AA52" s="117" t="s">
        <v>1099</v>
      </c>
      <c r="AB52" s="116"/>
      <c r="AC52" s="56"/>
      <c r="AD52" s="116"/>
      <c r="AE52" s="44" t="s">
        <v>1099</v>
      </c>
      <c r="AF52" s="46" t="str">
        <f t="shared" si="0"/>
        <v/>
      </c>
      <c r="AG52" s="38" t="s">
        <v>1099</v>
      </c>
      <c r="AH52" s="47" t="str">
        <f t="shared" si="1"/>
        <v/>
      </c>
      <c r="AI52" s="32"/>
      <c r="AJ52" s="32"/>
      <c r="AK52" s="32"/>
      <c r="AL52" s="32"/>
      <c r="AM52" s="32" t="s">
        <v>1099</v>
      </c>
      <c r="AN52" s="32"/>
      <c r="AO52" s="32" t="s">
        <v>1099</v>
      </c>
      <c r="AP52" s="32"/>
      <c r="AQ52" s="32"/>
      <c r="AR52" s="32"/>
      <c r="AS52" s="32"/>
      <c r="AT52" s="32"/>
      <c r="AU52" s="32"/>
      <c r="AV52" s="38" t="s">
        <v>1099</v>
      </c>
      <c r="AW52" s="38" t="s">
        <v>1099</v>
      </c>
      <c r="AX52" s="42" t="s">
        <v>106</v>
      </c>
      <c r="AY52" s="62" t="str">
        <f>IF('Cálculo MP'!J53="","",'Cálculo MP'!J53)</f>
        <v/>
      </c>
      <c r="AZ52" s="62" t="str">
        <f>IF('Cálculo MP'!K53="","",'Cálculo MP'!K53)</f>
        <v/>
      </c>
      <c r="BA52" s="62" t="str">
        <f>IF('Cálculo MP'!L53="","",'Cálculo MP'!L53)</f>
        <v/>
      </c>
      <c r="BB52" s="62" t="str">
        <f>IF('Cálculo MP'!M53="","",'Cálculo MP'!M53)</f>
        <v/>
      </c>
      <c r="BC52" s="62" t="str">
        <f>IF('Cálculo MP'!N53="","",'Cálculo MP'!N53)</f>
        <v/>
      </c>
      <c r="BD52" s="62" t="str">
        <f>IF('Cálculo MP'!O53="","",'Cálculo MP'!O53)</f>
        <v/>
      </c>
      <c r="BE52" s="62" t="str">
        <f>IF('Cálculo MP'!P53="","",'Cálculo MP'!P53)</f>
        <v/>
      </c>
      <c r="BF52" s="62" t="str">
        <f>IF('Cálculo MP'!Q53="","",'Cálculo MP'!Q53)</f>
        <v/>
      </c>
      <c r="BG52" s="62" t="str">
        <f>IF('Cálculo MP'!R53="","",'Cálculo MP'!R53)</f>
        <v/>
      </c>
      <c r="BH52" s="43"/>
      <c r="BI52" s="43"/>
      <c r="BJ52" s="43"/>
      <c r="BK52" s="43"/>
      <c r="BL52" s="43"/>
      <c r="BM52" s="43"/>
      <c r="BN52" s="43"/>
      <c r="BO52" s="62" t="str">
        <f t="shared" si="2"/>
        <v/>
      </c>
    </row>
    <row r="53" spans="1:67" ht="19.5" customHeight="1" x14ac:dyDescent="0.2">
      <c r="A53" s="49" t="b">
        <v>0</v>
      </c>
      <c r="B53" s="50" t="b">
        <v>1</v>
      </c>
      <c r="C53" s="51" t="b">
        <v>0</v>
      </c>
      <c r="D53" s="51" t="b">
        <v>0</v>
      </c>
      <c r="E53" s="37"/>
      <c r="F53" s="39"/>
      <c r="G53" s="37" t="s">
        <v>1100</v>
      </c>
      <c r="H53" s="34"/>
      <c r="I53" s="34"/>
      <c r="J53" s="34" t="s">
        <v>1099</v>
      </c>
      <c r="K53" s="51" t="b">
        <v>1</v>
      </c>
      <c r="L53" s="40"/>
      <c r="M53" s="37" t="s">
        <v>1099</v>
      </c>
      <c r="N53" s="37" t="s">
        <v>1099</v>
      </c>
      <c r="O53" s="41" t="s">
        <v>1099</v>
      </c>
      <c r="P53" s="40" t="s">
        <v>1099</v>
      </c>
      <c r="Q53" s="37" t="s">
        <v>1099</v>
      </c>
      <c r="R53" s="37" t="s">
        <v>1099</v>
      </c>
      <c r="S53" s="113" t="s">
        <v>1099</v>
      </c>
      <c r="T53" s="56"/>
      <c r="U53" s="56"/>
      <c r="V53" s="56"/>
      <c r="W53" s="114" t="s">
        <v>1099</v>
      </c>
      <c r="X53" s="115"/>
      <c r="Y53" s="115"/>
      <c r="Z53" s="116"/>
      <c r="AA53" s="117" t="s">
        <v>1099</v>
      </c>
      <c r="AB53" s="116"/>
      <c r="AC53" s="56"/>
      <c r="AD53" s="116"/>
      <c r="AE53" s="44" t="s">
        <v>1099</v>
      </c>
      <c r="AF53" s="46" t="str">
        <f t="shared" si="0"/>
        <v/>
      </c>
      <c r="AG53" s="38" t="s">
        <v>1099</v>
      </c>
      <c r="AH53" s="47" t="str">
        <f t="shared" si="1"/>
        <v/>
      </c>
      <c r="AI53" s="32"/>
      <c r="AJ53" s="32"/>
      <c r="AK53" s="32"/>
      <c r="AL53" s="32"/>
      <c r="AM53" s="32" t="s">
        <v>1099</v>
      </c>
      <c r="AN53" s="32"/>
      <c r="AO53" s="32" t="s">
        <v>1099</v>
      </c>
      <c r="AP53" s="32"/>
      <c r="AQ53" s="32"/>
      <c r="AR53" s="32"/>
      <c r="AS53" s="32"/>
      <c r="AT53" s="32"/>
      <c r="AU53" s="32"/>
      <c r="AV53" s="38" t="s">
        <v>1099</v>
      </c>
      <c r="AW53" s="38" t="s">
        <v>1099</v>
      </c>
      <c r="AX53" s="42" t="s">
        <v>106</v>
      </c>
      <c r="AY53" s="62" t="str">
        <f>IF('Cálculo MP'!J54="","",'Cálculo MP'!J54)</f>
        <v/>
      </c>
      <c r="AZ53" s="62" t="str">
        <f>IF('Cálculo MP'!K54="","",'Cálculo MP'!K54)</f>
        <v/>
      </c>
      <c r="BA53" s="62" t="str">
        <f>IF('Cálculo MP'!L54="","",'Cálculo MP'!L54)</f>
        <v/>
      </c>
      <c r="BB53" s="62" t="str">
        <f>IF('Cálculo MP'!M54="","",'Cálculo MP'!M54)</f>
        <v/>
      </c>
      <c r="BC53" s="62" t="str">
        <f>IF('Cálculo MP'!N54="","",'Cálculo MP'!N54)</f>
        <v/>
      </c>
      <c r="BD53" s="62" t="str">
        <f>IF('Cálculo MP'!O54="","",'Cálculo MP'!O54)</f>
        <v/>
      </c>
      <c r="BE53" s="62" t="str">
        <f>IF('Cálculo MP'!P54="","",'Cálculo MP'!P54)</f>
        <v/>
      </c>
      <c r="BF53" s="62" t="str">
        <f>IF('Cálculo MP'!Q54="","",'Cálculo MP'!Q54)</f>
        <v/>
      </c>
      <c r="BG53" s="62" t="str">
        <f>IF('Cálculo MP'!R54="","",'Cálculo MP'!R54)</f>
        <v/>
      </c>
      <c r="BH53" s="43"/>
      <c r="BI53" s="43"/>
      <c r="BJ53" s="43"/>
      <c r="BK53" s="43"/>
      <c r="BL53" s="43"/>
      <c r="BM53" s="43"/>
      <c r="BN53" s="43"/>
      <c r="BO53" s="62" t="str">
        <f t="shared" si="2"/>
        <v/>
      </c>
    </row>
    <row r="54" spans="1:67" ht="19.5" customHeight="1" x14ac:dyDescent="0.2">
      <c r="A54" s="49" t="b">
        <v>0</v>
      </c>
      <c r="B54" s="50" t="b">
        <v>1</v>
      </c>
      <c r="C54" s="51" t="b">
        <v>0</v>
      </c>
      <c r="D54" s="51" t="b">
        <v>0</v>
      </c>
      <c r="E54" s="37"/>
      <c r="F54" s="39"/>
      <c r="G54" s="37" t="s">
        <v>1100</v>
      </c>
      <c r="H54" s="34"/>
      <c r="I54" s="34"/>
      <c r="J54" s="34" t="s">
        <v>1099</v>
      </c>
      <c r="K54" s="51" t="b">
        <v>1</v>
      </c>
      <c r="L54" s="40"/>
      <c r="M54" s="37" t="s">
        <v>1099</v>
      </c>
      <c r="N54" s="37" t="s">
        <v>1099</v>
      </c>
      <c r="O54" s="41" t="s">
        <v>1099</v>
      </c>
      <c r="P54" s="40" t="s">
        <v>1099</v>
      </c>
      <c r="Q54" s="37" t="s">
        <v>1099</v>
      </c>
      <c r="R54" s="37" t="s">
        <v>1099</v>
      </c>
      <c r="S54" s="113" t="s">
        <v>1099</v>
      </c>
      <c r="T54" s="56"/>
      <c r="U54" s="56"/>
      <c r="V54" s="56"/>
      <c r="W54" s="114" t="s">
        <v>1099</v>
      </c>
      <c r="X54" s="115"/>
      <c r="Y54" s="115"/>
      <c r="Z54" s="116"/>
      <c r="AA54" s="117" t="s">
        <v>1099</v>
      </c>
      <c r="AB54" s="116"/>
      <c r="AC54" s="56"/>
      <c r="AD54" s="116"/>
      <c r="AE54" s="44" t="s">
        <v>1099</v>
      </c>
      <c r="AF54" s="46" t="str">
        <f t="shared" si="0"/>
        <v/>
      </c>
      <c r="AG54" s="38" t="s">
        <v>1099</v>
      </c>
      <c r="AH54" s="47" t="str">
        <f t="shared" si="1"/>
        <v/>
      </c>
      <c r="AI54" s="32"/>
      <c r="AJ54" s="32"/>
      <c r="AK54" s="32"/>
      <c r="AL54" s="32"/>
      <c r="AM54" s="32" t="s">
        <v>1099</v>
      </c>
      <c r="AN54" s="32"/>
      <c r="AO54" s="32" t="s">
        <v>1099</v>
      </c>
      <c r="AP54" s="32"/>
      <c r="AQ54" s="32"/>
      <c r="AR54" s="32"/>
      <c r="AS54" s="32"/>
      <c r="AT54" s="32"/>
      <c r="AU54" s="32"/>
      <c r="AV54" s="38" t="s">
        <v>1099</v>
      </c>
      <c r="AW54" s="38" t="s">
        <v>1099</v>
      </c>
      <c r="AX54" s="42" t="s">
        <v>106</v>
      </c>
      <c r="AY54" s="62" t="str">
        <f>IF('Cálculo MP'!J55="","",'Cálculo MP'!J55)</f>
        <v/>
      </c>
      <c r="AZ54" s="62" t="str">
        <f>IF('Cálculo MP'!K55="","",'Cálculo MP'!K55)</f>
        <v/>
      </c>
      <c r="BA54" s="62" t="str">
        <f>IF('Cálculo MP'!L55="","",'Cálculo MP'!L55)</f>
        <v/>
      </c>
      <c r="BB54" s="62" t="str">
        <f>IF('Cálculo MP'!M55="","",'Cálculo MP'!M55)</f>
        <v/>
      </c>
      <c r="BC54" s="62" t="str">
        <f>IF('Cálculo MP'!N55="","",'Cálculo MP'!N55)</f>
        <v/>
      </c>
      <c r="BD54" s="62" t="str">
        <f>IF('Cálculo MP'!O55="","",'Cálculo MP'!O55)</f>
        <v/>
      </c>
      <c r="BE54" s="62" t="str">
        <f>IF('Cálculo MP'!P55="","",'Cálculo MP'!P55)</f>
        <v/>
      </c>
      <c r="BF54" s="62" t="str">
        <f>IF('Cálculo MP'!Q55="","",'Cálculo MP'!Q55)</f>
        <v/>
      </c>
      <c r="BG54" s="62" t="str">
        <f>IF('Cálculo MP'!R55="","",'Cálculo MP'!R55)</f>
        <v/>
      </c>
      <c r="BH54" s="43"/>
      <c r="BI54" s="43"/>
      <c r="BJ54" s="43"/>
      <c r="BK54" s="43"/>
      <c r="BL54" s="43"/>
      <c r="BM54" s="43"/>
      <c r="BN54" s="43"/>
      <c r="BO54" s="62" t="str">
        <f t="shared" si="2"/>
        <v/>
      </c>
    </row>
    <row r="55" spans="1:67" ht="19.5" customHeight="1" x14ac:dyDescent="0.2">
      <c r="A55" s="49" t="b">
        <v>0</v>
      </c>
      <c r="B55" s="50" t="b">
        <v>1</v>
      </c>
      <c r="C55" s="51" t="b">
        <v>0</v>
      </c>
      <c r="D55" s="51" t="b">
        <v>0</v>
      </c>
      <c r="E55" s="37"/>
      <c r="F55" s="39"/>
      <c r="G55" s="37" t="s">
        <v>1100</v>
      </c>
      <c r="H55" s="34"/>
      <c r="I55" s="34"/>
      <c r="J55" s="34" t="s">
        <v>1099</v>
      </c>
      <c r="K55" s="51" t="b">
        <v>1</v>
      </c>
      <c r="L55" s="40"/>
      <c r="M55" s="37" t="s">
        <v>1099</v>
      </c>
      <c r="N55" s="37" t="s">
        <v>1099</v>
      </c>
      <c r="O55" s="41" t="s">
        <v>1099</v>
      </c>
      <c r="P55" s="40" t="s">
        <v>1099</v>
      </c>
      <c r="Q55" s="37" t="s">
        <v>1099</v>
      </c>
      <c r="R55" s="37" t="s">
        <v>1099</v>
      </c>
      <c r="S55" s="113" t="s">
        <v>1099</v>
      </c>
      <c r="T55" s="56"/>
      <c r="U55" s="56"/>
      <c r="V55" s="56"/>
      <c r="W55" s="114" t="s">
        <v>1099</v>
      </c>
      <c r="X55" s="115"/>
      <c r="Y55" s="115"/>
      <c r="Z55" s="116"/>
      <c r="AA55" s="117" t="s">
        <v>1099</v>
      </c>
      <c r="AB55" s="116"/>
      <c r="AC55" s="56"/>
      <c r="AD55" s="116"/>
      <c r="AE55" s="44" t="s">
        <v>1099</v>
      </c>
      <c r="AF55" s="46" t="str">
        <f t="shared" si="0"/>
        <v/>
      </c>
      <c r="AG55" s="38" t="s">
        <v>1099</v>
      </c>
      <c r="AH55" s="47" t="str">
        <f t="shared" si="1"/>
        <v/>
      </c>
      <c r="AI55" s="32"/>
      <c r="AJ55" s="32"/>
      <c r="AK55" s="32"/>
      <c r="AL55" s="32"/>
      <c r="AM55" s="32" t="s">
        <v>1099</v>
      </c>
      <c r="AN55" s="32"/>
      <c r="AO55" s="32" t="s">
        <v>1099</v>
      </c>
      <c r="AP55" s="32"/>
      <c r="AQ55" s="32"/>
      <c r="AR55" s="32"/>
      <c r="AS55" s="32"/>
      <c r="AT55" s="32"/>
      <c r="AU55" s="32"/>
      <c r="AV55" s="38" t="s">
        <v>1099</v>
      </c>
      <c r="AW55" s="38" t="s">
        <v>1099</v>
      </c>
      <c r="AX55" s="42" t="s">
        <v>106</v>
      </c>
      <c r="AY55" s="62" t="str">
        <f>IF('Cálculo MP'!J56="","",'Cálculo MP'!J56)</f>
        <v/>
      </c>
      <c r="AZ55" s="62" t="str">
        <f>IF('Cálculo MP'!K56="","",'Cálculo MP'!K56)</f>
        <v/>
      </c>
      <c r="BA55" s="62" t="str">
        <f>IF('Cálculo MP'!L56="","",'Cálculo MP'!L56)</f>
        <v/>
      </c>
      <c r="BB55" s="62" t="str">
        <f>IF('Cálculo MP'!M56="","",'Cálculo MP'!M56)</f>
        <v/>
      </c>
      <c r="BC55" s="62" t="str">
        <f>IF('Cálculo MP'!N56="","",'Cálculo MP'!N56)</f>
        <v/>
      </c>
      <c r="BD55" s="62" t="str">
        <f>IF('Cálculo MP'!O56="","",'Cálculo MP'!O56)</f>
        <v/>
      </c>
      <c r="BE55" s="62" t="str">
        <f>IF('Cálculo MP'!P56="","",'Cálculo MP'!P56)</f>
        <v/>
      </c>
      <c r="BF55" s="62" t="str">
        <f>IF('Cálculo MP'!Q56="","",'Cálculo MP'!Q56)</f>
        <v/>
      </c>
      <c r="BG55" s="62" t="str">
        <f>IF('Cálculo MP'!R56="","",'Cálculo MP'!R56)</f>
        <v/>
      </c>
      <c r="BH55" s="43"/>
      <c r="BI55" s="43"/>
      <c r="BJ55" s="43"/>
      <c r="BK55" s="43"/>
      <c r="BL55" s="43"/>
      <c r="BM55" s="43"/>
      <c r="BN55" s="43"/>
      <c r="BO55" s="62" t="str">
        <f t="shared" si="2"/>
        <v/>
      </c>
    </row>
    <row r="56" spans="1:67" ht="19.5" customHeight="1" x14ac:dyDescent="0.2">
      <c r="A56" s="49" t="b">
        <v>0</v>
      </c>
      <c r="B56" s="50" t="b">
        <v>1</v>
      </c>
      <c r="C56" s="51" t="b">
        <v>0</v>
      </c>
      <c r="D56" s="51" t="b">
        <v>0</v>
      </c>
      <c r="E56" s="37"/>
      <c r="F56" s="39"/>
      <c r="G56" s="37" t="s">
        <v>1100</v>
      </c>
      <c r="H56" s="34"/>
      <c r="I56" s="34"/>
      <c r="J56" s="34" t="s">
        <v>1099</v>
      </c>
      <c r="K56" s="51" t="b">
        <v>1</v>
      </c>
      <c r="L56" s="40"/>
      <c r="M56" s="37" t="s">
        <v>1099</v>
      </c>
      <c r="N56" s="37" t="s">
        <v>1099</v>
      </c>
      <c r="O56" s="41" t="s">
        <v>1099</v>
      </c>
      <c r="P56" s="40" t="s">
        <v>1099</v>
      </c>
      <c r="Q56" s="37" t="s">
        <v>1099</v>
      </c>
      <c r="R56" s="37" t="s">
        <v>1099</v>
      </c>
      <c r="S56" s="113" t="s">
        <v>1099</v>
      </c>
      <c r="T56" s="56"/>
      <c r="U56" s="56"/>
      <c r="V56" s="56"/>
      <c r="W56" s="114" t="s">
        <v>1099</v>
      </c>
      <c r="X56" s="115"/>
      <c r="Y56" s="115"/>
      <c r="Z56" s="116"/>
      <c r="AA56" s="117" t="s">
        <v>1099</v>
      </c>
      <c r="AB56" s="116"/>
      <c r="AC56" s="56"/>
      <c r="AD56" s="116"/>
      <c r="AE56" s="44" t="s">
        <v>1099</v>
      </c>
      <c r="AF56" s="46" t="str">
        <f t="shared" si="0"/>
        <v/>
      </c>
      <c r="AG56" s="38" t="s">
        <v>1099</v>
      </c>
      <c r="AH56" s="47" t="str">
        <f t="shared" si="1"/>
        <v/>
      </c>
      <c r="AI56" s="32"/>
      <c r="AJ56" s="32"/>
      <c r="AK56" s="32"/>
      <c r="AL56" s="32"/>
      <c r="AM56" s="32" t="s">
        <v>1099</v>
      </c>
      <c r="AN56" s="32"/>
      <c r="AO56" s="32" t="s">
        <v>1099</v>
      </c>
      <c r="AP56" s="32"/>
      <c r="AQ56" s="32"/>
      <c r="AR56" s="32"/>
      <c r="AS56" s="32"/>
      <c r="AT56" s="32"/>
      <c r="AU56" s="32"/>
      <c r="AV56" s="38" t="s">
        <v>1099</v>
      </c>
      <c r="AW56" s="38" t="s">
        <v>1099</v>
      </c>
      <c r="AX56" s="42" t="s">
        <v>106</v>
      </c>
      <c r="AY56" s="62" t="str">
        <f>IF('Cálculo MP'!J57="","",'Cálculo MP'!J57)</f>
        <v/>
      </c>
      <c r="AZ56" s="62" t="str">
        <f>IF('Cálculo MP'!K57="","",'Cálculo MP'!K57)</f>
        <v/>
      </c>
      <c r="BA56" s="62" t="str">
        <f>IF('Cálculo MP'!L57="","",'Cálculo MP'!L57)</f>
        <v/>
      </c>
      <c r="BB56" s="62" t="str">
        <f>IF('Cálculo MP'!M57="","",'Cálculo MP'!M57)</f>
        <v/>
      </c>
      <c r="BC56" s="62" t="str">
        <f>IF('Cálculo MP'!N57="","",'Cálculo MP'!N57)</f>
        <v/>
      </c>
      <c r="BD56" s="62" t="str">
        <f>IF('Cálculo MP'!O57="","",'Cálculo MP'!O57)</f>
        <v/>
      </c>
      <c r="BE56" s="62" t="str">
        <f>IF('Cálculo MP'!P57="","",'Cálculo MP'!P57)</f>
        <v/>
      </c>
      <c r="BF56" s="62" t="str">
        <f>IF('Cálculo MP'!Q57="","",'Cálculo MP'!Q57)</f>
        <v/>
      </c>
      <c r="BG56" s="62" t="str">
        <f>IF('Cálculo MP'!R57="","",'Cálculo MP'!R57)</f>
        <v/>
      </c>
      <c r="BH56" s="43"/>
      <c r="BI56" s="43"/>
      <c r="BJ56" s="43"/>
      <c r="BK56" s="43"/>
      <c r="BL56" s="43"/>
      <c r="BM56" s="43"/>
      <c r="BN56" s="43"/>
      <c r="BO56" s="62" t="str">
        <f t="shared" si="2"/>
        <v/>
      </c>
    </row>
    <row r="57" spans="1:67" ht="19.5" customHeight="1" x14ac:dyDescent="0.2">
      <c r="A57" s="49" t="b">
        <v>0</v>
      </c>
      <c r="B57" s="50" t="b">
        <v>1</v>
      </c>
      <c r="C57" s="51" t="b">
        <v>0</v>
      </c>
      <c r="D57" s="51" t="b">
        <v>0</v>
      </c>
      <c r="E57" s="37"/>
      <c r="F57" s="39"/>
      <c r="G57" s="37" t="s">
        <v>1100</v>
      </c>
      <c r="H57" s="34"/>
      <c r="I57" s="34"/>
      <c r="J57" s="34" t="s">
        <v>1099</v>
      </c>
      <c r="K57" s="51" t="b">
        <v>1</v>
      </c>
      <c r="L57" s="40"/>
      <c r="M57" s="37" t="s">
        <v>1099</v>
      </c>
      <c r="N57" s="37" t="s">
        <v>1099</v>
      </c>
      <c r="O57" s="41" t="s">
        <v>1099</v>
      </c>
      <c r="P57" s="40" t="s">
        <v>1099</v>
      </c>
      <c r="Q57" s="37" t="s">
        <v>1099</v>
      </c>
      <c r="R57" s="37" t="s">
        <v>1099</v>
      </c>
      <c r="S57" s="113" t="s">
        <v>1099</v>
      </c>
      <c r="T57" s="56"/>
      <c r="U57" s="56"/>
      <c r="V57" s="56"/>
      <c r="W57" s="114" t="s">
        <v>1099</v>
      </c>
      <c r="X57" s="115"/>
      <c r="Y57" s="115"/>
      <c r="Z57" s="116"/>
      <c r="AA57" s="117" t="s">
        <v>1099</v>
      </c>
      <c r="AB57" s="116"/>
      <c r="AC57" s="56"/>
      <c r="AD57" s="116"/>
      <c r="AE57" s="44" t="s">
        <v>1099</v>
      </c>
      <c r="AF57" s="46" t="str">
        <f t="shared" si="0"/>
        <v/>
      </c>
      <c r="AG57" s="38" t="s">
        <v>1099</v>
      </c>
      <c r="AH57" s="47" t="str">
        <f t="shared" si="1"/>
        <v/>
      </c>
      <c r="AI57" s="32"/>
      <c r="AJ57" s="32"/>
      <c r="AK57" s="32"/>
      <c r="AL57" s="32"/>
      <c r="AM57" s="32" t="s">
        <v>1099</v>
      </c>
      <c r="AN57" s="32"/>
      <c r="AO57" s="32" t="s">
        <v>1099</v>
      </c>
      <c r="AP57" s="32"/>
      <c r="AQ57" s="32"/>
      <c r="AR57" s="32"/>
      <c r="AS57" s="32"/>
      <c r="AT57" s="32"/>
      <c r="AU57" s="32"/>
      <c r="AV57" s="38" t="s">
        <v>1099</v>
      </c>
      <c r="AW57" s="38" t="s">
        <v>1099</v>
      </c>
      <c r="AX57" s="42" t="s">
        <v>106</v>
      </c>
      <c r="AY57" s="62" t="str">
        <f>IF('Cálculo MP'!J58="","",'Cálculo MP'!J58)</f>
        <v/>
      </c>
      <c r="AZ57" s="62" t="str">
        <f>IF('Cálculo MP'!K58="","",'Cálculo MP'!K58)</f>
        <v/>
      </c>
      <c r="BA57" s="62" t="str">
        <f>IF('Cálculo MP'!L58="","",'Cálculo MP'!L58)</f>
        <v/>
      </c>
      <c r="BB57" s="62" t="str">
        <f>IF('Cálculo MP'!M58="","",'Cálculo MP'!M58)</f>
        <v/>
      </c>
      <c r="BC57" s="62" t="str">
        <f>IF('Cálculo MP'!N58="","",'Cálculo MP'!N58)</f>
        <v/>
      </c>
      <c r="BD57" s="62" t="str">
        <f>IF('Cálculo MP'!O58="","",'Cálculo MP'!O58)</f>
        <v/>
      </c>
      <c r="BE57" s="62" t="str">
        <f>IF('Cálculo MP'!P58="","",'Cálculo MP'!P58)</f>
        <v/>
      </c>
      <c r="BF57" s="62" t="str">
        <f>IF('Cálculo MP'!Q58="","",'Cálculo MP'!Q58)</f>
        <v/>
      </c>
      <c r="BG57" s="62" t="str">
        <f>IF('Cálculo MP'!R58="","",'Cálculo MP'!R58)</f>
        <v/>
      </c>
      <c r="BH57" s="43"/>
      <c r="BI57" s="43"/>
      <c r="BJ57" s="43"/>
      <c r="BK57" s="43"/>
      <c r="BL57" s="43"/>
      <c r="BM57" s="43"/>
      <c r="BN57" s="43"/>
      <c r="BO57" s="62" t="str">
        <f t="shared" si="2"/>
        <v/>
      </c>
    </row>
    <row r="58" spans="1:67" ht="19.5" customHeight="1" x14ac:dyDescent="0.2">
      <c r="A58" s="49" t="b">
        <v>0</v>
      </c>
      <c r="B58" s="50" t="b">
        <v>1</v>
      </c>
      <c r="C58" s="51" t="b">
        <v>0</v>
      </c>
      <c r="D58" s="51" t="b">
        <v>0</v>
      </c>
      <c r="E58" s="37"/>
      <c r="F58" s="39"/>
      <c r="G58" s="37" t="s">
        <v>1100</v>
      </c>
      <c r="H58" s="34"/>
      <c r="I58" s="34"/>
      <c r="J58" s="34" t="s">
        <v>1099</v>
      </c>
      <c r="K58" s="51" t="b">
        <v>1</v>
      </c>
      <c r="L58" s="40"/>
      <c r="M58" s="37" t="s">
        <v>1099</v>
      </c>
      <c r="N58" s="37" t="s">
        <v>1099</v>
      </c>
      <c r="O58" s="41" t="s">
        <v>1099</v>
      </c>
      <c r="P58" s="40" t="s">
        <v>1099</v>
      </c>
      <c r="Q58" s="37" t="s">
        <v>1099</v>
      </c>
      <c r="R58" s="37" t="s">
        <v>1099</v>
      </c>
      <c r="S58" s="113" t="s">
        <v>1099</v>
      </c>
      <c r="T58" s="56"/>
      <c r="U58" s="56"/>
      <c r="V58" s="56"/>
      <c r="W58" s="114" t="s">
        <v>1099</v>
      </c>
      <c r="X58" s="115"/>
      <c r="Y58" s="115"/>
      <c r="Z58" s="116"/>
      <c r="AA58" s="117" t="s">
        <v>1099</v>
      </c>
      <c r="AB58" s="116"/>
      <c r="AC58" s="56"/>
      <c r="AD58" s="116"/>
      <c r="AE58" s="44" t="s">
        <v>1099</v>
      </c>
      <c r="AF58" s="46" t="str">
        <f t="shared" si="0"/>
        <v/>
      </c>
      <c r="AG58" s="38" t="s">
        <v>1099</v>
      </c>
      <c r="AH58" s="47" t="str">
        <f t="shared" si="1"/>
        <v/>
      </c>
      <c r="AI58" s="32"/>
      <c r="AJ58" s="32"/>
      <c r="AK58" s="32"/>
      <c r="AL58" s="32"/>
      <c r="AM58" s="32" t="s">
        <v>1099</v>
      </c>
      <c r="AN58" s="32"/>
      <c r="AO58" s="32" t="s">
        <v>1099</v>
      </c>
      <c r="AP58" s="32"/>
      <c r="AQ58" s="32"/>
      <c r="AR58" s="32"/>
      <c r="AS58" s="32"/>
      <c r="AT58" s="32"/>
      <c r="AU58" s="32"/>
      <c r="AV58" s="38" t="s">
        <v>1099</v>
      </c>
      <c r="AW58" s="38" t="s">
        <v>1099</v>
      </c>
      <c r="AX58" s="42" t="s">
        <v>106</v>
      </c>
      <c r="AY58" s="62" t="str">
        <f>IF('Cálculo MP'!J59="","",'Cálculo MP'!J59)</f>
        <v/>
      </c>
      <c r="AZ58" s="62" t="str">
        <f>IF('Cálculo MP'!K59="","",'Cálculo MP'!K59)</f>
        <v/>
      </c>
      <c r="BA58" s="62" t="str">
        <f>IF('Cálculo MP'!L59="","",'Cálculo MP'!L59)</f>
        <v/>
      </c>
      <c r="BB58" s="62" t="str">
        <f>IF('Cálculo MP'!M59="","",'Cálculo MP'!M59)</f>
        <v/>
      </c>
      <c r="BC58" s="62" t="str">
        <f>IF('Cálculo MP'!N59="","",'Cálculo MP'!N59)</f>
        <v/>
      </c>
      <c r="BD58" s="62" t="str">
        <f>IF('Cálculo MP'!O59="","",'Cálculo MP'!O59)</f>
        <v/>
      </c>
      <c r="BE58" s="62" t="str">
        <f>IF('Cálculo MP'!P59="","",'Cálculo MP'!P59)</f>
        <v/>
      </c>
      <c r="BF58" s="62" t="str">
        <f>IF('Cálculo MP'!Q59="","",'Cálculo MP'!Q59)</f>
        <v/>
      </c>
      <c r="BG58" s="62" t="str">
        <f>IF('Cálculo MP'!R59="","",'Cálculo MP'!R59)</f>
        <v/>
      </c>
      <c r="BH58" s="43"/>
      <c r="BI58" s="43"/>
      <c r="BJ58" s="43"/>
      <c r="BK58" s="43"/>
      <c r="BL58" s="43"/>
      <c r="BM58" s="43"/>
      <c r="BN58" s="43"/>
      <c r="BO58" s="62" t="str">
        <f t="shared" si="2"/>
        <v/>
      </c>
    </row>
    <row r="59" spans="1:67" ht="19.5" customHeight="1" x14ac:dyDescent="0.2">
      <c r="A59" s="49" t="b">
        <v>0</v>
      </c>
      <c r="B59" s="50" t="b">
        <v>1</v>
      </c>
      <c r="C59" s="51" t="b">
        <v>0</v>
      </c>
      <c r="D59" s="51" t="b">
        <v>0</v>
      </c>
      <c r="E59" s="37"/>
      <c r="F59" s="39"/>
      <c r="G59" s="37" t="s">
        <v>1100</v>
      </c>
      <c r="H59" s="34"/>
      <c r="I59" s="34"/>
      <c r="J59" s="34" t="s">
        <v>1099</v>
      </c>
      <c r="K59" s="51" t="b">
        <v>1</v>
      </c>
      <c r="L59" s="40"/>
      <c r="M59" s="37" t="s">
        <v>1099</v>
      </c>
      <c r="N59" s="37" t="s">
        <v>1099</v>
      </c>
      <c r="O59" s="41" t="s">
        <v>1099</v>
      </c>
      <c r="P59" s="40" t="s">
        <v>1099</v>
      </c>
      <c r="Q59" s="37" t="s">
        <v>1099</v>
      </c>
      <c r="R59" s="37" t="s">
        <v>1099</v>
      </c>
      <c r="S59" s="113" t="s">
        <v>1099</v>
      </c>
      <c r="T59" s="56"/>
      <c r="U59" s="56"/>
      <c r="V59" s="56"/>
      <c r="W59" s="114" t="s">
        <v>1099</v>
      </c>
      <c r="X59" s="115"/>
      <c r="Y59" s="115"/>
      <c r="Z59" s="116"/>
      <c r="AA59" s="117" t="s">
        <v>1099</v>
      </c>
      <c r="AB59" s="116"/>
      <c r="AC59" s="56"/>
      <c r="AD59" s="116"/>
      <c r="AE59" s="44" t="s">
        <v>1099</v>
      </c>
      <c r="AF59" s="46" t="str">
        <f t="shared" si="0"/>
        <v/>
      </c>
      <c r="AG59" s="38" t="s">
        <v>1099</v>
      </c>
      <c r="AH59" s="47" t="str">
        <f t="shared" si="1"/>
        <v/>
      </c>
      <c r="AI59" s="32"/>
      <c r="AJ59" s="32"/>
      <c r="AK59" s="32"/>
      <c r="AL59" s="32"/>
      <c r="AM59" s="32" t="s">
        <v>1099</v>
      </c>
      <c r="AN59" s="32"/>
      <c r="AO59" s="32" t="s">
        <v>1099</v>
      </c>
      <c r="AP59" s="32"/>
      <c r="AQ59" s="32"/>
      <c r="AR59" s="32"/>
      <c r="AS59" s="32"/>
      <c r="AT59" s="32"/>
      <c r="AU59" s="32"/>
      <c r="AV59" s="38" t="s">
        <v>1099</v>
      </c>
      <c r="AW59" s="38" t="s">
        <v>1099</v>
      </c>
      <c r="AX59" s="42" t="s">
        <v>106</v>
      </c>
      <c r="AY59" s="62" t="str">
        <f>IF('Cálculo MP'!J60="","",'Cálculo MP'!J60)</f>
        <v/>
      </c>
      <c r="AZ59" s="62" t="str">
        <f>IF('Cálculo MP'!K60="","",'Cálculo MP'!K60)</f>
        <v/>
      </c>
      <c r="BA59" s="62" t="str">
        <f>IF('Cálculo MP'!L60="","",'Cálculo MP'!L60)</f>
        <v/>
      </c>
      <c r="BB59" s="62" t="str">
        <f>IF('Cálculo MP'!M60="","",'Cálculo MP'!M60)</f>
        <v/>
      </c>
      <c r="BC59" s="62" t="str">
        <f>IF('Cálculo MP'!N60="","",'Cálculo MP'!N60)</f>
        <v/>
      </c>
      <c r="BD59" s="62" t="str">
        <f>IF('Cálculo MP'!O60="","",'Cálculo MP'!O60)</f>
        <v/>
      </c>
      <c r="BE59" s="62" t="str">
        <f>IF('Cálculo MP'!P60="","",'Cálculo MP'!P60)</f>
        <v/>
      </c>
      <c r="BF59" s="62" t="str">
        <f>IF('Cálculo MP'!Q60="","",'Cálculo MP'!Q60)</f>
        <v/>
      </c>
      <c r="BG59" s="62" t="str">
        <f>IF('Cálculo MP'!R60="","",'Cálculo MP'!R60)</f>
        <v/>
      </c>
      <c r="BH59" s="43"/>
      <c r="BI59" s="43"/>
      <c r="BJ59" s="43"/>
      <c r="BK59" s="43"/>
      <c r="BL59" s="43"/>
      <c r="BM59" s="43"/>
      <c r="BN59" s="43"/>
      <c r="BO59" s="62" t="str">
        <f t="shared" si="2"/>
        <v/>
      </c>
    </row>
    <row r="60" spans="1:67" ht="19.5" customHeight="1" x14ac:dyDescent="0.2">
      <c r="A60" s="49" t="b">
        <v>0</v>
      </c>
      <c r="B60" s="50" t="b">
        <v>1</v>
      </c>
      <c r="C60" s="51" t="b">
        <v>0</v>
      </c>
      <c r="D60" s="51" t="b">
        <v>0</v>
      </c>
      <c r="E60" s="37"/>
      <c r="F60" s="39"/>
      <c r="G60" s="37" t="s">
        <v>1100</v>
      </c>
      <c r="H60" s="34"/>
      <c r="I60" s="34"/>
      <c r="J60" s="34" t="s">
        <v>1099</v>
      </c>
      <c r="K60" s="51" t="b">
        <v>1</v>
      </c>
      <c r="L60" s="40"/>
      <c r="M60" s="37" t="s">
        <v>1099</v>
      </c>
      <c r="N60" s="37" t="s">
        <v>1099</v>
      </c>
      <c r="O60" s="41" t="s">
        <v>1099</v>
      </c>
      <c r="P60" s="40" t="s">
        <v>1099</v>
      </c>
      <c r="Q60" s="37" t="s">
        <v>1099</v>
      </c>
      <c r="R60" s="37" t="s">
        <v>1099</v>
      </c>
      <c r="S60" s="113" t="s">
        <v>1099</v>
      </c>
      <c r="T60" s="56"/>
      <c r="U60" s="56"/>
      <c r="V60" s="56"/>
      <c r="W60" s="114" t="s">
        <v>1099</v>
      </c>
      <c r="X60" s="115"/>
      <c r="Y60" s="115"/>
      <c r="Z60" s="116"/>
      <c r="AA60" s="117" t="s">
        <v>1099</v>
      </c>
      <c r="AB60" s="116"/>
      <c r="AC60" s="56"/>
      <c r="AD60" s="116"/>
      <c r="AE60" s="44" t="s">
        <v>1099</v>
      </c>
      <c r="AF60" s="46" t="str">
        <f t="shared" si="0"/>
        <v/>
      </c>
      <c r="AG60" s="38" t="s">
        <v>1099</v>
      </c>
      <c r="AH60" s="47" t="str">
        <f t="shared" si="1"/>
        <v/>
      </c>
      <c r="AI60" s="32"/>
      <c r="AJ60" s="32"/>
      <c r="AK60" s="32"/>
      <c r="AL60" s="32"/>
      <c r="AM60" s="32" t="s">
        <v>1099</v>
      </c>
      <c r="AN60" s="32"/>
      <c r="AO60" s="32" t="s">
        <v>1099</v>
      </c>
      <c r="AP60" s="32"/>
      <c r="AQ60" s="32"/>
      <c r="AR60" s="32"/>
      <c r="AS60" s="32"/>
      <c r="AT60" s="32"/>
      <c r="AU60" s="32"/>
      <c r="AV60" s="38" t="s">
        <v>1099</v>
      </c>
      <c r="AW60" s="38" t="s">
        <v>1099</v>
      </c>
      <c r="AX60" s="42" t="s">
        <v>106</v>
      </c>
      <c r="AY60" s="62" t="str">
        <f>IF('Cálculo MP'!J61="","",'Cálculo MP'!J61)</f>
        <v/>
      </c>
      <c r="AZ60" s="62" t="str">
        <f>IF('Cálculo MP'!K61="","",'Cálculo MP'!K61)</f>
        <v/>
      </c>
      <c r="BA60" s="62" t="str">
        <f>IF('Cálculo MP'!L61="","",'Cálculo MP'!L61)</f>
        <v/>
      </c>
      <c r="BB60" s="62" t="str">
        <f>IF('Cálculo MP'!M61="","",'Cálculo MP'!M61)</f>
        <v/>
      </c>
      <c r="BC60" s="62" t="str">
        <f>IF('Cálculo MP'!N61="","",'Cálculo MP'!N61)</f>
        <v/>
      </c>
      <c r="BD60" s="62" t="str">
        <f>IF('Cálculo MP'!O61="","",'Cálculo MP'!O61)</f>
        <v/>
      </c>
      <c r="BE60" s="62" t="str">
        <f>IF('Cálculo MP'!P61="","",'Cálculo MP'!P61)</f>
        <v/>
      </c>
      <c r="BF60" s="62" t="str">
        <f>IF('Cálculo MP'!Q61="","",'Cálculo MP'!Q61)</f>
        <v/>
      </c>
      <c r="BG60" s="62" t="str">
        <f>IF('Cálculo MP'!R61="","",'Cálculo MP'!R61)</f>
        <v/>
      </c>
      <c r="BH60" s="43"/>
      <c r="BI60" s="43"/>
      <c r="BJ60" s="43"/>
      <c r="BK60" s="43"/>
      <c r="BL60" s="43"/>
      <c r="BM60" s="43"/>
      <c r="BN60" s="43"/>
      <c r="BO60" s="62" t="str">
        <f t="shared" si="2"/>
        <v/>
      </c>
    </row>
    <row r="61" spans="1:67" ht="19.5" customHeight="1" x14ac:dyDescent="0.2">
      <c r="A61" s="49" t="b">
        <v>0</v>
      </c>
      <c r="B61" s="50" t="b">
        <v>1</v>
      </c>
      <c r="C61" s="51" t="b">
        <v>0</v>
      </c>
      <c r="D61" s="51" t="b">
        <v>0</v>
      </c>
      <c r="E61" s="37"/>
      <c r="F61" s="39"/>
      <c r="G61" s="37" t="s">
        <v>1100</v>
      </c>
      <c r="H61" s="34"/>
      <c r="I61" s="34"/>
      <c r="J61" s="34" t="s">
        <v>1099</v>
      </c>
      <c r="K61" s="51" t="b">
        <v>1</v>
      </c>
      <c r="L61" s="40"/>
      <c r="M61" s="37" t="s">
        <v>1099</v>
      </c>
      <c r="N61" s="37" t="s">
        <v>1099</v>
      </c>
      <c r="O61" s="41" t="s">
        <v>1099</v>
      </c>
      <c r="P61" s="40" t="s">
        <v>1099</v>
      </c>
      <c r="Q61" s="37" t="s">
        <v>1099</v>
      </c>
      <c r="R61" s="37" t="s">
        <v>1099</v>
      </c>
      <c r="S61" s="113" t="s">
        <v>1099</v>
      </c>
      <c r="T61" s="56"/>
      <c r="U61" s="56"/>
      <c r="V61" s="56"/>
      <c r="W61" s="114" t="s">
        <v>1099</v>
      </c>
      <c r="X61" s="115"/>
      <c r="Y61" s="115"/>
      <c r="Z61" s="116"/>
      <c r="AA61" s="117" t="s">
        <v>1099</v>
      </c>
      <c r="AB61" s="116"/>
      <c r="AC61" s="56"/>
      <c r="AD61" s="116"/>
      <c r="AE61" s="44" t="s">
        <v>1099</v>
      </c>
      <c r="AF61" s="46" t="str">
        <f t="shared" si="0"/>
        <v/>
      </c>
      <c r="AG61" s="38" t="s">
        <v>1099</v>
      </c>
      <c r="AH61" s="47" t="str">
        <f t="shared" si="1"/>
        <v/>
      </c>
      <c r="AI61" s="32"/>
      <c r="AJ61" s="32"/>
      <c r="AK61" s="32"/>
      <c r="AL61" s="32"/>
      <c r="AM61" s="32" t="s">
        <v>1099</v>
      </c>
      <c r="AN61" s="32"/>
      <c r="AO61" s="32" t="s">
        <v>1099</v>
      </c>
      <c r="AP61" s="32"/>
      <c r="AQ61" s="32"/>
      <c r="AR61" s="32"/>
      <c r="AS61" s="32"/>
      <c r="AT61" s="32"/>
      <c r="AU61" s="32"/>
      <c r="AV61" s="38" t="s">
        <v>1099</v>
      </c>
      <c r="AW61" s="38" t="s">
        <v>1099</v>
      </c>
      <c r="AX61" s="42" t="s">
        <v>106</v>
      </c>
      <c r="AY61" s="62" t="str">
        <f>IF('Cálculo MP'!J62="","",'Cálculo MP'!J62)</f>
        <v/>
      </c>
      <c r="AZ61" s="62" t="str">
        <f>IF('Cálculo MP'!K62="","",'Cálculo MP'!K62)</f>
        <v/>
      </c>
      <c r="BA61" s="62" t="str">
        <f>IF('Cálculo MP'!L62="","",'Cálculo MP'!L62)</f>
        <v/>
      </c>
      <c r="BB61" s="62" t="str">
        <f>IF('Cálculo MP'!M62="","",'Cálculo MP'!M62)</f>
        <v/>
      </c>
      <c r="BC61" s="62" t="str">
        <f>IF('Cálculo MP'!N62="","",'Cálculo MP'!N62)</f>
        <v/>
      </c>
      <c r="BD61" s="62" t="str">
        <f>IF('Cálculo MP'!O62="","",'Cálculo MP'!O62)</f>
        <v/>
      </c>
      <c r="BE61" s="62" t="str">
        <f>IF('Cálculo MP'!P62="","",'Cálculo MP'!P62)</f>
        <v/>
      </c>
      <c r="BF61" s="62" t="str">
        <f>IF('Cálculo MP'!Q62="","",'Cálculo MP'!Q62)</f>
        <v/>
      </c>
      <c r="BG61" s="62" t="str">
        <f>IF('Cálculo MP'!R62="","",'Cálculo MP'!R62)</f>
        <v/>
      </c>
      <c r="BH61" s="43"/>
      <c r="BI61" s="43"/>
      <c r="BJ61" s="43"/>
      <c r="BK61" s="43"/>
      <c r="BL61" s="43"/>
      <c r="BM61" s="43"/>
      <c r="BN61" s="43"/>
      <c r="BO61" s="62" t="str">
        <f t="shared" si="2"/>
        <v/>
      </c>
    </row>
    <row r="62" spans="1:67" ht="19.5" customHeight="1" x14ac:dyDescent="0.2">
      <c r="A62" s="49" t="b">
        <v>0</v>
      </c>
      <c r="B62" s="50" t="b">
        <v>1</v>
      </c>
      <c r="C62" s="51" t="b">
        <v>0</v>
      </c>
      <c r="D62" s="51" t="b">
        <v>0</v>
      </c>
      <c r="E62" s="37"/>
      <c r="F62" s="39"/>
      <c r="G62" s="37" t="s">
        <v>1100</v>
      </c>
      <c r="H62" s="34"/>
      <c r="I62" s="34"/>
      <c r="J62" s="34" t="s">
        <v>1099</v>
      </c>
      <c r="K62" s="51" t="b">
        <v>1</v>
      </c>
      <c r="L62" s="40"/>
      <c r="M62" s="37" t="s">
        <v>1099</v>
      </c>
      <c r="N62" s="37" t="s">
        <v>1099</v>
      </c>
      <c r="O62" s="41" t="s">
        <v>1099</v>
      </c>
      <c r="P62" s="40" t="s">
        <v>1099</v>
      </c>
      <c r="Q62" s="37" t="s">
        <v>1099</v>
      </c>
      <c r="R62" s="37" t="s">
        <v>1099</v>
      </c>
      <c r="S62" s="113" t="s">
        <v>1099</v>
      </c>
      <c r="T62" s="56"/>
      <c r="U62" s="56"/>
      <c r="V62" s="56"/>
      <c r="W62" s="114" t="s">
        <v>1099</v>
      </c>
      <c r="X62" s="115"/>
      <c r="Y62" s="115"/>
      <c r="Z62" s="116"/>
      <c r="AA62" s="117" t="s">
        <v>1099</v>
      </c>
      <c r="AB62" s="116"/>
      <c r="AC62" s="56"/>
      <c r="AD62" s="116"/>
      <c r="AE62" s="44" t="s">
        <v>1099</v>
      </c>
      <c r="AF62" s="46" t="str">
        <f t="shared" si="0"/>
        <v/>
      </c>
      <c r="AG62" s="38" t="s">
        <v>1099</v>
      </c>
      <c r="AH62" s="47" t="str">
        <f t="shared" si="1"/>
        <v/>
      </c>
      <c r="AI62" s="32"/>
      <c r="AJ62" s="32"/>
      <c r="AK62" s="32"/>
      <c r="AL62" s="32"/>
      <c r="AM62" s="32" t="s">
        <v>1099</v>
      </c>
      <c r="AN62" s="32"/>
      <c r="AO62" s="32" t="s">
        <v>1099</v>
      </c>
      <c r="AP62" s="32"/>
      <c r="AQ62" s="32"/>
      <c r="AR62" s="32"/>
      <c r="AS62" s="32"/>
      <c r="AT62" s="32"/>
      <c r="AU62" s="32"/>
      <c r="AV62" s="38" t="s">
        <v>1099</v>
      </c>
      <c r="AW62" s="38" t="s">
        <v>1099</v>
      </c>
      <c r="AX62" s="42" t="s">
        <v>106</v>
      </c>
      <c r="AY62" s="62" t="str">
        <f>IF('Cálculo MP'!J63="","",'Cálculo MP'!J63)</f>
        <v/>
      </c>
      <c r="AZ62" s="62" t="str">
        <f>IF('Cálculo MP'!K63="","",'Cálculo MP'!K63)</f>
        <v/>
      </c>
      <c r="BA62" s="62" t="str">
        <f>IF('Cálculo MP'!L63="","",'Cálculo MP'!L63)</f>
        <v/>
      </c>
      <c r="BB62" s="62" t="str">
        <f>IF('Cálculo MP'!M63="","",'Cálculo MP'!M63)</f>
        <v/>
      </c>
      <c r="BC62" s="62" t="str">
        <f>IF('Cálculo MP'!N63="","",'Cálculo MP'!N63)</f>
        <v/>
      </c>
      <c r="BD62" s="62" t="str">
        <f>IF('Cálculo MP'!O63="","",'Cálculo MP'!O63)</f>
        <v/>
      </c>
      <c r="BE62" s="62" t="str">
        <f>IF('Cálculo MP'!P63="","",'Cálculo MP'!P63)</f>
        <v/>
      </c>
      <c r="BF62" s="62" t="str">
        <f>IF('Cálculo MP'!Q63="","",'Cálculo MP'!Q63)</f>
        <v/>
      </c>
      <c r="BG62" s="62" t="str">
        <f>IF('Cálculo MP'!R63="","",'Cálculo MP'!R63)</f>
        <v/>
      </c>
      <c r="BH62" s="43"/>
      <c r="BI62" s="43"/>
      <c r="BJ62" s="43"/>
      <c r="BK62" s="43"/>
      <c r="BL62" s="43"/>
      <c r="BM62" s="43"/>
      <c r="BN62" s="43"/>
      <c r="BO62" s="62" t="str">
        <f t="shared" si="2"/>
        <v/>
      </c>
    </row>
    <row r="63" spans="1:67" ht="19.5" customHeight="1" x14ac:dyDescent="0.2">
      <c r="A63" s="49" t="b">
        <v>0</v>
      </c>
      <c r="B63" s="50" t="b">
        <v>1</v>
      </c>
      <c r="C63" s="51" t="b">
        <v>0</v>
      </c>
      <c r="D63" s="51" t="b">
        <v>0</v>
      </c>
      <c r="E63" s="37"/>
      <c r="F63" s="39"/>
      <c r="G63" s="37" t="s">
        <v>1100</v>
      </c>
      <c r="H63" s="34"/>
      <c r="I63" s="34"/>
      <c r="J63" s="34" t="s">
        <v>1099</v>
      </c>
      <c r="K63" s="51" t="b">
        <v>1</v>
      </c>
      <c r="L63" s="40"/>
      <c r="M63" s="37" t="s">
        <v>1099</v>
      </c>
      <c r="N63" s="37" t="s">
        <v>1099</v>
      </c>
      <c r="O63" s="41" t="s">
        <v>1099</v>
      </c>
      <c r="P63" s="40" t="s">
        <v>1099</v>
      </c>
      <c r="Q63" s="37" t="s">
        <v>1099</v>
      </c>
      <c r="R63" s="37" t="s">
        <v>1099</v>
      </c>
      <c r="S63" s="113" t="s">
        <v>1099</v>
      </c>
      <c r="T63" s="56"/>
      <c r="U63" s="56"/>
      <c r="V63" s="56"/>
      <c r="W63" s="114" t="s">
        <v>1099</v>
      </c>
      <c r="X63" s="115"/>
      <c r="Y63" s="115"/>
      <c r="Z63" s="116"/>
      <c r="AA63" s="117" t="s">
        <v>1099</v>
      </c>
      <c r="AB63" s="116"/>
      <c r="AC63" s="56"/>
      <c r="AD63" s="116"/>
      <c r="AE63" s="44" t="s">
        <v>1099</v>
      </c>
      <c r="AF63" s="46" t="str">
        <f t="shared" si="0"/>
        <v/>
      </c>
      <c r="AG63" s="38" t="s">
        <v>1099</v>
      </c>
      <c r="AH63" s="47" t="str">
        <f t="shared" si="1"/>
        <v/>
      </c>
      <c r="AI63" s="32"/>
      <c r="AJ63" s="32"/>
      <c r="AK63" s="32"/>
      <c r="AL63" s="32"/>
      <c r="AM63" s="32" t="s">
        <v>1099</v>
      </c>
      <c r="AN63" s="32"/>
      <c r="AO63" s="32" t="s">
        <v>1099</v>
      </c>
      <c r="AP63" s="32"/>
      <c r="AQ63" s="32"/>
      <c r="AR63" s="32"/>
      <c r="AS63" s="32"/>
      <c r="AT63" s="32"/>
      <c r="AU63" s="32"/>
      <c r="AV63" s="38" t="s">
        <v>1099</v>
      </c>
      <c r="AW63" s="38" t="s">
        <v>1099</v>
      </c>
      <c r="AX63" s="42" t="s">
        <v>106</v>
      </c>
      <c r="AY63" s="62" t="str">
        <f>IF('Cálculo MP'!J64="","",'Cálculo MP'!J64)</f>
        <v/>
      </c>
      <c r="AZ63" s="62" t="str">
        <f>IF('Cálculo MP'!K64="","",'Cálculo MP'!K64)</f>
        <v/>
      </c>
      <c r="BA63" s="62" t="str">
        <f>IF('Cálculo MP'!L64="","",'Cálculo MP'!L64)</f>
        <v/>
      </c>
      <c r="BB63" s="62" t="str">
        <f>IF('Cálculo MP'!M64="","",'Cálculo MP'!M64)</f>
        <v/>
      </c>
      <c r="BC63" s="62" t="str">
        <f>IF('Cálculo MP'!N64="","",'Cálculo MP'!N64)</f>
        <v/>
      </c>
      <c r="BD63" s="62" t="str">
        <f>IF('Cálculo MP'!O64="","",'Cálculo MP'!O64)</f>
        <v/>
      </c>
      <c r="BE63" s="62" t="str">
        <f>IF('Cálculo MP'!P64="","",'Cálculo MP'!P64)</f>
        <v/>
      </c>
      <c r="BF63" s="62" t="str">
        <f>IF('Cálculo MP'!Q64="","",'Cálculo MP'!Q64)</f>
        <v/>
      </c>
      <c r="BG63" s="62" t="str">
        <f>IF('Cálculo MP'!R64="","",'Cálculo MP'!R64)</f>
        <v/>
      </c>
      <c r="BH63" s="43"/>
      <c r="BI63" s="43"/>
      <c r="BJ63" s="43"/>
      <c r="BK63" s="43"/>
      <c r="BL63" s="43"/>
      <c r="BM63" s="43"/>
      <c r="BN63" s="43"/>
      <c r="BO63" s="62" t="str">
        <f t="shared" si="2"/>
        <v/>
      </c>
    </row>
    <row r="64" spans="1:67" ht="19.5" customHeight="1" x14ac:dyDescent="0.2">
      <c r="A64" s="49" t="b">
        <v>0</v>
      </c>
      <c r="B64" s="50" t="b">
        <v>1</v>
      </c>
      <c r="C64" s="51" t="b">
        <v>0</v>
      </c>
      <c r="D64" s="51" t="b">
        <v>0</v>
      </c>
      <c r="E64" s="37"/>
      <c r="F64" s="39"/>
      <c r="G64" s="37" t="s">
        <v>1100</v>
      </c>
      <c r="H64" s="34"/>
      <c r="I64" s="34"/>
      <c r="J64" s="34" t="s">
        <v>1099</v>
      </c>
      <c r="K64" s="51" t="b">
        <v>1</v>
      </c>
      <c r="L64" s="40"/>
      <c r="M64" s="37" t="s">
        <v>1099</v>
      </c>
      <c r="N64" s="37" t="s">
        <v>1099</v>
      </c>
      <c r="O64" s="41" t="s">
        <v>1099</v>
      </c>
      <c r="P64" s="40" t="s">
        <v>1099</v>
      </c>
      <c r="Q64" s="37" t="s">
        <v>1099</v>
      </c>
      <c r="R64" s="37" t="s">
        <v>1099</v>
      </c>
      <c r="S64" s="113" t="s">
        <v>1099</v>
      </c>
      <c r="T64" s="56"/>
      <c r="U64" s="56"/>
      <c r="V64" s="56"/>
      <c r="W64" s="114" t="s">
        <v>1099</v>
      </c>
      <c r="X64" s="115"/>
      <c r="Y64" s="115"/>
      <c r="Z64" s="116"/>
      <c r="AA64" s="117" t="s">
        <v>1099</v>
      </c>
      <c r="AB64" s="116"/>
      <c r="AC64" s="56"/>
      <c r="AD64" s="116"/>
      <c r="AE64" s="44" t="s">
        <v>1099</v>
      </c>
      <c r="AF64" s="46" t="str">
        <f t="shared" si="0"/>
        <v/>
      </c>
      <c r="AG64" s="38" t="s">
        <v>1099</v>
      </c>
      <c r="AH64" s="47" t="str">
        <f t="shared" si="1"/>
        <v/>
      </c>
      <c r="AI64" s="32"/>
      <c r="AJ64" s="32"/>
      <c r="AK64" s="32"/>
      <c r="AL64" s="32"/>
      <c r="AM64" s="32" t="s">
        <v>1099</v>
      </c>
      <c r="AN64" s="32"/>
      <c r="AO64" s="32" t="s">
        <v>1099</v>
      </c>
      <c r="AP64" s="32"/>
      <c r="AQ64" s="32"/>
      <c r="AR64" s="32"/>
      <c r="AS64" s="32"/>
      <c r="AT64" s="32"/>
      <c r="AU64" s="32"/>
      <c r="AV64" s="38" t="s">
        <v>1099</v>
      </c>
      <c r="AW64" s="38" t="s">
        <v>1099</v>
      </c>
      <c r="AX64" s="42" t="s">
        <v>106</v>
      </c>
      <c r="AY64" s="62" t="str">
        <f>IF('Cálculo MP'!J65="","",'Cálculo MP'!J65)</f>
        <v/>
      </c>
      <c r="AZ64" s="62" t="str">
        <f>IF('Cálculo MP'!K65="","",'Cálculo MP'!K65)</f>
        <v/>
      </c>
      <c r="BA64" s="62" t="str">
        <f>IF('Cálculo MP'!L65="","",'Cálculo MP'!L65)</f>
        <v/>
      </c>
      <c r="BB64" s="62" t="str">
        <f>IF('Cálculo MP'!M65="","",'Cálculo MP'!M65)</f>
        <v/>
      </c>
      <c r="BC64" s="62" t="str">
        <f>IF('Cálculo MP'!N65="","",'Cálculo MP'!N65)</f>
        <v/>
      </c>
      <c r="BD64" s="62" t="str">
        <f>IF('Cálculo MP'!O65="","",'Cálculo MP'!O65)</f>
        <v/>
      </c>
      <c r="BE64" s="62" t="str">
        <f>IF('Cálculo MP'!P65="","",'Cálculo MP'!P65)</f>
        <v/>
      </c>
      <c r="BF64" s="62" t="str">
        <f>IF('Cálculo MP'!Q65="","",'Cálculo MP'!Q65)</f>
        <v/>
      </c>
      <c r="BG64" s="62" t="str">
        <f>IF('Cálculo MP'!R65="","",'Cálculo MP'!R65)</f>
        <v/>
      </c>
      <c r="BH64" s="43"/>
      <c r="BI64" s="43"/>
      <c r="BJ64" s="43"/>
      <c r="BK64" s="43"/>
      <c r="BL64" s="43"/>
      <c r="BM64" s="43"/>
      <c r="BN64" s="43"/>
      <c r="BO64" s="62" t="str">
        <f t="shared" si="2"/>
        <v/>
      </c>
    </row>
    <row r="65" spans="1:67" ht="19.5" customHeight="1" x14ac:dyDescent="0.2">
      <c r="A65" s="49" t="b">
        <v>0</v>
      </c>
      <c r="B65" s="50" t="b">
        <v>1</v>
      </c>
      <c r="C65" s="51" t="b">
        <v>0</v>
      </c>
      <c r="D65" s="51" t="b">
        <v>0</v>
      </c>
      <c r="E65" s="37"/>
      <c r="F65" s="39"/>
      <c r="G65" s="37" t="s">
        <v>1100</v>
      </c>
      <c r="H65" s="34"/>
      <c r="I65" s="34"/>
      <c r="J65" s="34" t="s">
        <v>1099</v>
      </c>
      <c r="K65" s="51" t="b">
        <v>1</v>
      </c>
      <c r="L65" s="40"/>
      <c r="M65" s="37" t="s">
        <v>1099</v>
      </c>
      <c r="N65" s="37" t="s">
        <v>1099</v>
      </c>
      <c r="O65" s="41" t="s">
        <v>1099</v>
      </c>
      <c r="P65" s="40" t="s">
        <v>1099</v>
      </c>
      <c r="Q65" s="37" t="s">
        <v>1099</v>
      </c>
      <c r="R65" s="37" t="s">
        <v>1099</v>
      </c>
      <c r="S65" s="113" t="s">
        <v>1099</v>
      </c>
      <c r="T65" s="56"/>
      <c r="U65" s="56"/>
      <c r="V65" s="56"/>
      <c r="W65" s="114" t="s">
        <v>1099</v>
      </c>
      <c r="X65" s="115"/>
      <c r="Y65" s="115"/>
      <c r="Z65" s="116"/>
      <c r="AA65" s="117" t="s">
        <v>1099</v>
      </c>
      <c r="AB65" s="116"/>
      <c r="AC65" s="56"/>
      <c r="AD65" s="116"/>
      <c r="AE65" s="44" t="s">
        <v>1099</v>
      </c>
      <c r="AF65" s="46" t="str">
        <f t="shared" si="0"/>
        <v/>
      </c>
      <c r="AG65" s="38" t="s">
        <v>1099</v>
      </c>
      <c r="AH65" s="47" t="str">
        <f t="shared" si="1"/>
        <v/>
      </c>
      <c r="AI65" s="32"/>
      <c r="AJ65" s="32"/>
      <c r="AK65" s="32"/>
      <c r="AL65" s="32"/>
      <c r="AM65" s="32" t="s">
        <v>1099</v>
      </c>
      <c r="AN65" s="32"/>
      <c r="AO65" s="32" t="s">
        <v>1099</v>
      </c>
      <c r="AP65" s="32"/>
      <c r="AQ65" s="32"/>
      <c r="AR65" s="32"/>
      <c r="AS65" s="32"/>
      <c r="AT65" s="32"/>
      <c r="AU65" s="32"/>
      <c r="AV65" s="38" t="s">
        <v>1099</v>
      </c>
      <c r="AW65" s="38" t="s">
        <v>1099</v>
      </c>
      <c r="AX65" s="42" t="s">
        <v>106</v>
      </c>
      <c r="AY65" s="62" t="str">
        <f>IF('Cálculo MP'!J66="","",'Cálculo MP'!J66)</f>
        <v/>
      </c>
      <c r="AZ65" s="62" t="str">
        <f>IF('Cálculo MP'!K66="","",'Cálculo MP'!K66)</f>
        <v/>
      </c>
      <c r="BA65" s="62" t="str">
        <f>IF('Cálculo MP'!L66="","",'Cálculo MP'!L66)</f>
        <v/>
      </c>
      <c r="BB65" s="62" t="str">
        <f>IF('Cálculo MP'!M66="","",'Cálculo MP'!M66)</f>
        <v/>
      </c>
      <c r="BC65" s="62" t="str">
        <f>IF('Cálculo MP'!N66="","",'Cálculo MP'!N66)</f>
        <v/>
      </c>
      <c r="BD65" s="62" t="str">
        <f>IF('Cálculo MP'!O66="","",'Cálculo MP'!O66)</f>
        <v/>
      </c>
      <c r="BE65" s="62" t="str">
        <f>IF('Cálculo MP'!P66="","",'Cálculo MP'!P66)</f>
        <v/>
      </c>
      <c r="BF65" s="62" t="str">
        <f>IF('Cálculo MP'!Q66="","",'Cálculo MP'!Q66)</f>
        <v/>
      </c>
      <c r="BG65" s="62" t="str">
        <f>IF('Cálculo MP'!R66="","",'Cálculo MP'!R66)</f>
        <v/>
      </c>
      <c r="BH65" s="43"/>
      <c r="BI65" s="43"/>
      <c r="BJ65" s="43"/>
      <c r="BK65" s="43"/>
      <c r="BL65" s="43"/>
      <c r="BM65" s="43"/>
      <c r="BN65" s="43"/>
      <c r="BO65" s="62" t="str">
        <f t="shared" si="2"/>
        <v/>
      </c>
    </row>
    <row r="66" spans="1:67" ht="19.5" customHeight="1" x14ac:dyDescent="0.2">
      <c r="A66" s="49" t="b">
        <v>0</v>
      </c>
      <c r="B66" s="50" t="b">
        <v>1</v>
      </c>
      <c r="C66" s="51" t="b">
        <v>0</v>
      </c>
      <c r="D66" s="51" t="b">
        <v>0</v>
      </c>
      <c r="E66" s="37"/>
      <c r="F66" s="39"/>
      <c r="G66" s="37" t="s">
        <v>1100</v>
      </c>
      <c r="H66" s="34"/>
      <c r="I66" s="34"/>
      <c r="J66" s="34" t="s">
        <v>1099</v>
      </c>
      <c r="K66" s="51" t="b">
        <v>1</v>
      </c>
      <c r="L66" s="40"/>
      <c r="M66" s="37" t="s">
        <v>1099</v>
      </c>
      <c r="N66" s="37" t="s">
        <v>1099</v>
      </c>
      <c r="O66" s="41" t="s">
        <v>1099</v>
      </c>
      <c r="P66" s="40" t="s">
        <v>1099</v>
      </c>
      <c r="Q66" s="37" t="s">
        <v>1099</v>
      </c>
      <c r="R66" s="37" t="s">
        <v>1099</v>
      </c>
      <c r="S66" s="113" t="s">
        <v>1099</v>
      </c>
      <c r="T66" s="56"/>
      <c r="U66" s="56"/>
      <c r="V66" s="56"/>
      <c r="W66" s="114" t="s">
        <v>1099</v>
      </c>
      <c r="X66" s="115"/>
      <c r="Y66" s="115"/>
      <c r="Z66" s="116"/>
      <c r="AA66" s="117" t="s">
        <v>1099</v>
      </c>
      <c r="AB66" s="116"/>
      <c r="AC66" s="56"/>
      <c r="AD66" s="116"/>
      <c r="AE66" s="44" t="s">
        <v>1099</v>
      </c>
      <c r="AF66" s="46" t="str">
        <f t="shared" si="0"/>
        <v/>
      </c>
      <c r="AG66" s="38" t="s">
        <v>1099</v>
      </c>
      <c r="AH66" s="47" t="str">
        <f t="shared" si="1"/>
        <v/>
      </c>
      <c r="AI66" s="32"/>
      <c r="AJ66" s="32"/>
      <c r="AK66" s="32"/>
      <c r="AL66" s="32"/>
      <c r="AM66" s="32" t="s">
        <v>1099</v>
      </c>
      <c r="AN66" s="32"/>
      <c r="AO66" s="32" t="s">
        <v>1099</v>
      </c>
      <c r="AP66" s="32"/>
      <c r="AQ66" s="32"/>
      <c r="AR66" s="32"/>
      <c r="AS66" s="32"/>
      <c r="AT66" s="32"/>
      <c r="AU66" s="32"/>
      <c r="AV66" s="38" t="s">
        <v>1099</v>
      </c>
      <c r="AW66" s="38" t="s">
        <v>1099</v>
      </c>
      <c r="AX66" s="42" t="s">
        <v>106</v>
      </c>
      <c r="AY66" s="62" t="str">
        <f>IF('Cálculo MP'!J67="","",'Cálculo MP'!J67)</f>
        <v/>
      </c>
      <c r="AZ66" s="62" t="str">
        <f>IF('Cálculo MP'!K67="","",'Cálculo MP'!K67)</f>
        <v/>
      </c>
      <c r="BA66" s="62" t="str">
        <f>IF('Cálculo MP'!L67="","",'Cálculo MP'!L67)</f>
        <v/>
      </c>
      <c r="BB66" s="62" t="str">
        <f>IF('Cálculo MP'!M67="","",'Cálculo MP'!M67)</f>
        <v/>
      </c>
      <c r="BC66" s="62" t="str">
        <f>IF('Cálculo MP'!N67="","",'Cálculo MP'!N67)</f>
        <v/>
      </c>
      <c r="BD66" s="62" t="str">
        <f>IF('Cálculo MP'!O67="","",'Cálculo MP'!O67)</f>
        <v/>
      </c>
      <c r="BE66" s="62" t="str">
        <f>IF('Cálculo MP'!P67="","",'Cálculo MP'!P67)</f>
        <v/>
      </c>
      <c r="BF66" s="62" t="str">
        <f>IF('Cálculo MP'!Q67="","",'Cálculo MP'!Q67)</f>
        <v/>
      </c>
      <c r="BG66" s="62" t="str">
        <f>IF('Cálculo MP'!R67="","",'Cálculo MP'!R67)</f>
        <v/>
      </c>
      <c r="BH66" s="43"/>
      <c r="BI66" s="43"/>
      <c r="BJ66" s="43"/>
      <c r="BK66" s="43"/>
      <c r="BL66" s="43"/>
      <c r="BM66" s="43"/>
      <c r="BN66" s="43"/>
      <c r="BO66" s="62" t="str">
        <f t="shared" si="2"/>
        <v/>
      </c>
    </row>
    <row r="67" spans="1:67" ht="19.5" customHeight="1" x14ac:dyDescent="0.2">
      <c r="A67" s="49" t="b">
        <v>0</v>
      </c>
      <c r="B67" s="50" t="b">
        <v>1</v>
      </c>
      <c r="C67" s="51" t="b">
        <v>0</v>
      </c>
      <c r="D67" s="51" t="b">
        <v>0</v>
      </c>
      <c r="E67" s="37"/>
      <c r="F67" s="39"/>
      <c r="G67" s="37" t="s">
        <v>1100</v>
      </c>
      <c r="H67" s="34"/>
      <c r="I67" s="34"/>
      <c r="J67" s="34" t="s">
        <v>1099</v>
      </c>
      <c r="K67" s="51" t="b">
        <v>1</v>
      </c>
      <c r="L67" s="40"/>
      <c r="M67" s="37" t="s">
        <v>1099</v>
      </c>
      <c r="N67" s="37" t="s">
        <v>1099</v>
      </c>
      <c r="O67" s="41" t="s">
        <v>1099</v>
      </c>
      <c r="P67" s="40" t="s">
        <v>1099</v>
      </c>
      <c r="Q67" s="37" t="s">
        <v>1099</v>
      </c>
      <c r="R67" s="37" t="s">
        <v>1099</v>
      </c>
      <c r="S67" s="113" t="s">
        <v>1099</v>
      </c>
      <c r="T67" s="56"/>
      <c r="U67" s="56"/>
      <c r="V67" s="56"/>
      <c r="W67" s="114" t="s">
        <v>1099</v>
      </c>
      <c r="X67" s="115"/>
      <c r="Y67" s="115"/>
      <c r="Z67" s="116"/>
      <c r="AA67" s="117" t="s">
        <v>1099</v>
      </c>
      <c r="AB67" s="116"/>
      <c r="AC67" s="56"/>
      <c r="AD67" s="116"/>
      <c r="AE67" s="44" t="s">
        <v>1099</v>
      </c>
      <c r="AF67" s="46" t="str">
        <f t="shared" si="0"/>
        <v/>
      </c>
      <c r="AG67" s="38" t="s">
        <v>1099</v>
      </c>
      <c r="AH67" s="47" t="str">
        <f t="shared" si="1"/>
        <v/>
      </c>
      <c r="AI67" s="32"/>
      <c r="AJ67" s="32"/>
      <c r="AK67" s="32"/>
      <c r="AL67" s="32"/>
      <c r="AM67" s="32" t="s">
        <v>1099</v>
      </c>
      <c r="AN67" s="32"/>
      <c r="AO67" s="32" t="s">
        <v>1099</v>
      </c>
      <c r="AP67" s="32"/>
      <c r="AQ67" s="32"/>
      <c r="AR67" s="32"/>
      <c r="AS67" s="32"/>
      <c r="AT67" s="32"/>
      <c r="AU67" s="32"/>
      <c r="AV67" s="38" t="s">
        <v>1099</v>
      </c>
      <c r="AW67" s="38" t="s">
        <v>1099</v>
      </c>
      <c r="AX67" s="42" t="s">
        <v>106</v>
      </c>
      <c r="AY67" s="62" t="str">
        <f>IF('Cálculo MP'!J68="","",'Cálculo MP'!J68)</f>
        <v/>
      </c>
      <c r="AZ67" s="62" t="str">
        <f>IF('Cálculo MP'!K68="","",'Cálculo MP'!K68)</f>
        <v/>
      </c>
      <c r="BA67" s="62" t="str">
        <f>IF('Cálculo MP'!L68="","",'Cálculo MP'!L68)</f>
        <v/>
      </c>
      <c r="BB67" s="62" t="str">
        <f>IF('Cálculo MP'!M68="","",'Cálculo MP'!M68)</f>
        <v/>
      </c>
      <c r="BC67" s="62" t="str">
        <f>IF('Cálculo MP'!N68="","",'Cálculo MP'!N68)</f>
        <v/>
      </c>
      <c r="BD67" s="62" t="str">
        <f>IF('Cálculo MP'!O68="","",'Cálculo MP'!O68)</f>
        <v/>
      </c>
      <c r="BE67" s="62" t="str">
        <f>IF('Cálculo MP'!P68="","",'Cálculo MP'!P68)</f>
        <v/>
      </c>
      <c r="BF67" s="62" t="str">
        <f>IF('Cálculo MP'!Q68="","",'Cálculo MP'!Q68)</f>
        <v/>
      </c>
      <c r="BG67" s="62" t="str">
        <f>IF('Cálculo MP'!R68="","",'Cálculo MP'!R68)</f>
        <v/>
      </c>
      <c r="BH67" s="43"/>
      <c r="BI67" s="43"/>
      <c r="BJ67" s="43"/>
      <c r="BK67" s="43"/>
      <c r="BL67" s="43"/>
      <c r="BM67" s="43"/>
      <c r="BN67" s="43"/>
      <c r="BO67" s="62" t="str">
        <f t="shared" si="2"/>
        <v/>
      </c>
    </row>
    <row r="68" spans="1:67" ht="19.5" customHeight="1" x14ac:dyDescent="0.2">
      <c r="A68" s="49" t="b">
        <v>0</v>
      </c>
      <c r="B68" s="50" t="b">
        <v>1</v>
      </c>
      <c r="C68" s="51" t="b">
        <v>0</v>
      </c>
      <c r="D68" s="51" t="b">
        <v>0</v>
      </c>
      <c r="E68" s="37"/>
      <c r="F68" s="39"/>
      <c r="G68" s="37" t="s">
        <v>1100</v>
      </c>
      <c r="H68" s="34"/>
      <c r="I68" s="34"/>
      <c r="J68" s="34" t="s">
        <v>1099</v>
      </c>
      <c r="K68" s="51" t="b">
        <v>1</v>
      </c>
      <c r="L68" s="40"/>
      <c r="M68" s="37" t="s">
        <v>1099</v>
      </c>
      <c r="N68" s="37" t="s">
        <v>1099</v>
      </c>
      <c r="O68" s="41" t="s">
        <v>1099</v>
      </c>
      <c r="P68" s="40" t="s">
        <v>1099</v>
      </c>
      <c r="Q68" s="37" t="s">
        <v>1099</v>
      </c>
      <c r="R68" s="37" t="s">
        <v>1099</v>
      </c>
      <c r="S68" s="113" t="s">
        <v>1099</v>
      </c>
      <c r="T68" s="56"/>
      <c r="U68" s="56"/>
      <c r="V68" s="56"/>
      <c r="W68" s="114" t="s">
        <v>1099</v>
      </c>
      <c r="X68" s="115"/>
      <c r="Y68" s="115"/>
      <c r="Z68" s="116"/>
      <c r="AA68" s="117" t="s">
        <v>1099</v>
      </c>
      <c r="AB68" s="116"/>
      <c r="AC68" s="56"/>
      <c r="AD68" s="116"/>
      <c r="AE68" s="44" t="s">
        <v>1099</v>
      </c>
      <c r="AF68" s="46" t="str">
        <f t="shared" si="0"/>
        <v/>
      </c>
      <c r="AG68" s="38" t="s">
        <v>1099</v>
      </c>
      <c r="AH68" s="47" t="str">
        <f t="shared" si="1"/>
        <v/>
      </c>
      <c r="AI68" s="32"/>
      <c r="AJ68" s="32"/>
      <c r="AK68" s="32"/>
      <c r="AL68" s="32"/>
      <c r="AM68" s="32" t="s">
        <v>1099</v>
      </c>
      <c r="AN68" s="32"/>
      <c r="AO68" s="32" t="s">
        <v>1099</v>
      </c>
      <c r="AP68" s="32"/>
      <c r="AQ68" s="32"/>
      <c r="AR68" s="32"/>
      <c r="AS68" s="32"/>
      <c r="AT68" s="32"/>
      <c r="AU68" s="32"/>
      <c r="AV68" s="38" t="s">
        <v>1099</v>
      </c>
      <c r="AW68" s="38" t="s">
        <v>1099</v>
      </c>
      <c r="AX68" s="42" t="s">
        <v>106</v>
      </c>
      <c r="AY68" s="62" t="str">
        <f>IF('Cálculo MP'!J69="","",'Cálculo MP'!J69)</f>
        <v/>
      </c>
      <c r="AZ68" s="62" t="str">
        <f>IF('Cálculo MP'!K69="","",'Cálculo MP'!K69)</f>
        <v/>
      </c>
      <c r="BA68" s="62" t="str">
        <f>IF('Cálculo MP'!L69="","",'Cálculo MP'!L69)</f>
        <v/>
      </c>
      <c r="BB68" s="62" t="str">
        <f>IF('Cálculo MP'!M69="","",'Cálculo MP'!M69)</f>
        <v/>
      </c>
      <c r="BC68" s="62" t="str">
        <f>IF('Cálculo MP'!N69="","",'Cálculo MP'!N69)</f>
        <v/>
      </c>
      <c r="BD68" s="62" t="str">
        <f>IF('Cálculo MP'!O69="","",'Cálculo MP'!O69)</f>
        <v/>
      </c>
      <c r="BE68" s="62" t="str">
        <f>IF('Cálculo MP'!P69="","",'Cálculo MP'!P69)</f>
        <v/>
      </c>
      <c r="BF68" s="62" t="str">
        <f>IF('Cálculo MP'!Q69="","",'Cálculo MP'!Q69)</f>
        <v/>
      </c>
      <c r="BG68" s="62" t="str">
        <f>IF('Cálculo MP'!R69="","",'Cálculo MP'!R69)</f>
        <v/>
      </c>
      <c r="BH68" s="43"/>
      <c r="BI68" s="43"/>
      <c r="BJ68" s="43"/>
      <c r="BK68" s="43"/>
      <c r="BL68" s="43"/>
      <c r="BM68" s="43"/>
      <c r="BN68" s="43"/>
      <c r="BO68" s="62" t="str">
        <f t="shared" si="2"/>
        <v/>
      </c>
    </row>
    <row r="69" spans="1:67" ht="19.5" customHeight="1" x14ac:dyDescent="0.2">
      <c r="A69" s="49" t="b">
        <v>0</v>
      </c>
      <c r="B69" s="50" t="b">
        <v>1</v>
      </c>
      <c r="C69" s="51" t="b">
        <v>0</v>
      </c>
      <c r="D69" s="51" t="b">
        <v>0</v>
      </c>
      <c r="E69" s="37"/>
      <c r="F69" s="39"/>
      <c r="G69" s="37" t="s">
        <v>1100</v>
      </c>
      <c r="H69" s="34"/>
      <c r="I69" s="34"/>
      <c r="J69" s="34" t="s">
        <v>1099</v>
      </c>
      <c r="K69" s="51" t="b">
        <v>1</v>
      </c>
      <c r="L69" s="40"/>
      <c r="M69" s="37" t="s">
        <v>1099</v>
      </c>
      <c r="N69" s="37" t="s">
        <v>1099</v>
      </c>
      <c r="O69" s="41" t="s">
        <v>1099</v>
      </c>
      <c r="P69" s="40" t="s">
        <v>1099</v>
      </c>
      <c r="Q69" s="37" t="s">
        <v>1099</v>
      </c>
      <c r="R69" s="37" t="s">
        <v>1099</v>
      </c>
      <c r="S69" s="113" t="s">
        <v>1099</v>
      </c>
      <c r="T69" s="56"/>
      <c r="U69" s="56"/>
      <c r="V69" s="56"/>
      <c r="W69" s="114" t="s">
        <v>1099</v>
      </c>
      <c r="X69" s="115"/>
      <c r="Y69" s="115"/>
      <c r="Z69" s="116"/>
      <c r="AA69" s="117" t="s">
        <v>1099</v>
      </c>
      <c r="AB69" s="116"/>
      <c r="AC69" s="56"/>
      <c r="AD69" s="116"/>
      <c r="AE69" s="44" t="s">
        <v>1099</v>
      </c>
      <c r="AF69" s="46" t="str">
        <f t="shared" si="0"/>
        <v/>
      </c>
      <c r="AG69" s="38" t="s">
        <v>1099</v>
      </c>
      <c r="AH69" s="47" t="str">
        <f t="shared" si="1"/>
        <v/>
      </c>
      <c r="AI69" s="32"/>
      <c r="AJ69" s="32"/>
      <c r="AK69" s="32"/>
      <c r="AL69" s="32"/>
      <c r="AM69" s="32" t="s">
        <v>1099</v>
      </c>
      <c r="AN69" s="32"/>
      <c r="AO69" s="32" t="s">
        <v>1099</v>
      </c>
      <c r="AP69" s="32"/>
      <c r="AQ69" s="32"/>
      <c r="AR69" s="32"/>
      <c r="AS69" s="32"/>
      <c r="AT69" s="32"/>
      <c r="AU69" s="32"/>
      <c r="AV69" s="38" t="s">
        <v>1099</v>
      </c>
      <c r="AW69" s="38" t="s">
        <v>1099</v>
      </c>
      <c r="AX69" s="42" t="s">
        <v>106</v>
      </c>
      <c r="AY69" s="62" t="str">
        <f>IF('Cálculo MP'!J70="","",'Cálculo MP'!J70)</f>
        <v/>
      </c>
      <c r="AZ69" s="62" t="str">
        <f>IF('Cálculo MP'!K70="","",'Cálculo MP'!K70)</f>
        <v/>
      </c>
      <c r="BA69" s="62" t="str">
        <f>IF('Cálculo MP'!L70="","",'Cálculo MP'!L70)</f>
        <v/>
      </c>
      <c r="BB69" s="62" t="str">
        <f>IF('Cálculo MP'!M70="","",'Cálculo MP'!M70)</f>
        <v/>
      </c>
      <c r="BC69" s="62" t="str">
        <f>IF('Cálculo MP'!N70="","",'Cálculo MP'!N70)</f>
        <v/>
      </c>
      <c r="BD69" s="62" t="str">
        <f>IF('Cálculo MP'!O70="","",'Cálculo MP'!O70)</f>
        <v/>
      </c>
      <c r="BE69" s="62" t="str">
        <f>IF('Cálculo MP'!P70="","",'Cálculo MP'!P70)</f>
        <v/>
      </c>
      <c r="BF69" s="62" t="str">
        <f>IF('Cálculo MP'!Q70="","",'Cálculo MP'!Q70)</f>
        <v/>
      </c>
      <c r="BG69" s="62" t="str">
        <f>IF('Cálculo MP'!R70="","",'Cálculo MP'!R70)</f>
        <v/>
      </c>
      <c r="BH69" s="32"/>
      <c r="BI69" s="32"/>
      <c r="BJ69" s="32"/>
      <c r="BK69" s="32"/>
      <c r="BL69" s="32"/>
      <c r="BM69" s="32"/>
      <c r="BN69" s="32"/>
      <c r="BO69" s="62" t="str">
        <f t="shared" si="2"/>
        <v/>
      </c>
    </row>
    <row r="70" spans="1:67" ht="19.5" customHeight="1" x14ac:dyDescent="0.2">
      <c r="A70" s="49" t="b">
        <v>0</v>
      </c>
      <c r="B70" s="50" t="b">
        <v>1</v>
      </c>
      <c r="C70" s="51" t="b">
        <v>0</v>
      </c>
      <c r="D70" s="51" t="b">
        <v>0</v>
      </c>
      <c r="E70" s="37"/>
      <c r="F70" s="39"/>
      <c r="G70" s="37" t="s">
        <v>1100</v>
      </c>
      <c r="H70" s="34"/>
      <c r="I70" s="34"/>
      <c r="J70" s="34" t="s">
        <v>1099</v>
      </c>
      <c r="K70" s="51" t="b">
        <v>1</v>
      </c>
      <c r="L70" s="40"/>
      <c r="M70" s="37" t="s">
        <v>1099</v>
      </c>
      <c r="N70" s="37" t="s">
        <v>1099</v>
      </c>
      <c r="O70" s="41" t="s">
        <v>1099</v>
      </c>
      <c r="P70" s="40" t="s">
        <v>1099</v>
      </c>
      <c r="Q70" s="37" t="s">
        <v>1099</v>
      </c>
      <c r="R70" s="37" t="s">
        <v>1099</v>
      </c>
      <c r="S70" s="113" t="s">
        <v>1099</v>
      </c>
      <c r="T70" s="56"/>
      <c r="U70" s="56"/>
      <c r="V70" s="56"/>
      <c r="W70" s="114" t="s">
        <v>1099</v>
      </c>
      <c r="X70" s="115"/>
      <c r="Y70" s="115"/>
      <c r="Z70" s="116"/>
      <c r="AA70" s="117" t="s">
        <v>1099</v>
      </c>
      <c r="AB70" s="116"/>
      <c r="AC70" s="56"/>
      <c r="AD70" s="116"/>
      <c r="AE70" s="44" t="s">
        <v>1099</v>
      </c>
      <c r="AF70" s="46" t="str">
        <f t="shared" si="0"/>
        <v/>
      </c>
      <c r="AG70" s="38" t="s">
        <v>1099</v>
      </c>
      <c r="AH70" s="47" t="str">
        <f t="shared" si="1"/>
        <v/>
      </c>
      <c r="AI70" s="32"/>
      <c r="AJ70" s="32"/>
      <c r="AK70" s="32"/>
      <c r="AL70" s="32"/>
      <c r="AM70" s="32" t="s">
        <v>1099</v>
      </c>
      <c r="AN70" s="32"/>
      <c r="AO70" s="32" t="s">
        <v>1099</v>
      </c>
      <c r="AP70" s="32"/>
      <c r="AQ70" s="32"/>
      <c r="AR70" s="32"/>
      <c r="AS70" s="32"/>
      <c r="AT70" s="32"/>
      <c r="AU70" s="32"/>
      <c r="AV70" s="38" t="s">
        <v>1099</v>
      </c>
      <c r="AW70" s="38" t="s">
        <v>1099</v>
      </c>
      <c r="AX70" s="42" t="s">
        <v>106</v>
      </c>
      <c r="AY70" s="62" t="str">
        <f>IF('Cálculo MP'!J71="","",'Cálculo MP'!J71)</f>
        <v/>
      </c>
      <c r="AZ70" s="62" t="str">
        <f>IF('Cálculo MP'!K71="","",'Cálculo MP'!K71)</f>
        <v/>
      </c>
      <c r="BA70" s="62" t="str">
        <f>IF('Cálculo MP'!L71="","",'Cálculo MP'!L71)</f>
        <v/>
      </c>
      <c r="BB70" s="62" t="str">
        <f>IF('Cálculo MP'!M71="","",'Cálculo MP'!M71)</f>
        <v/>
      </c>
      <c r="BC70" s="62" t="str">
        <f>IF('Cálculo MP'!N71="","",'Cálculo MP'!N71)</f>
        <v/>
      </c>
      <c r="BD70" s="62" t="str">
        <f>IF('Cálculo MP'!O71="","",'Cálculo MP'!O71)</f>
        <v/>
      </c>
      <c r="BE70" s="62" t="str">
        <f>IF('Cálculo MP'!P71="","",'Cálculo MP'!P71)</f>
        <v/>
      </c>
      <c r="BF70" s="62" t="str">
        <f>IF('Cálculo MP'!Q71="","",'Cálculo MP'!Q71)</f>
        <v/>
      </c>
      <c r="BG70" s="62" t="str">
        <f>IF('Cálculo MP'!R71="","",'Cálculo MP'!R71)</f>
        <v/>
      </c>
      <c r="BH70" s="32"/>
      <c r="BI70" s="32"/>
      <c r="BJ70" s="32"/>
      <c r="BK70" s="32"/>
      <c r="BL70" s="32"/>
      <c r="BM70" s="32"/>
      <c r="BN70" s="32"/>
      <c r="BO70" s="62" t="str">
        <f t="shared" si="2"/>
        <v/>
      </c>
    </row>
    <row r="71" spans="1:67" ht="19.5" customHeight="1" x14ac:dyDescent="0.2">
      <c r="A71" s="49" t="b">
        <v>0</v>
      </c>
      <c r="B71" s="50" t="b">
        <v>1</v>
      </c>
      <c r="C71" s="51" t="b">
        <v>0</v>
      </c>
      <c r="D71" s="51" t="b">
        <v>0</v>
      </c>
      <c r="E71" s="37"/>
      <c r="F71" s="39"/>
      <c r="G71" s="37" t="s">
        <v>1100</v>
      </c>
      <c r="H71" s="34"/>
      <c r="I71" s="34"/>
      <c r="J71" s="34" t="s">
        <v>1099</v>
      </c>
      <c r="K71" s="51" t="b">
        <v>1</v>
      </c>
      <c r="L71" s="40"/>
      <c r="M71" s="37" t="s">
        <v>1099</v>
      </c>
      <c r="N71" s="37" t="s">
        <v>1099</v>
      </c>
      <c r="O71" s="41" t="s">
        <v>1099</v>
      </c>
      <c r="P71" s="40" t="s">
        <v>1099</v>
      </c>
      <c r="Q71" s="37" t="s">
        <v>1099</v>
      </c>
      <c r="R71" s="37" t="s">
        <v>1099</v>
      </c>
      <c r="S71" s="113" t="s">
        <v>1099</v>
      </c>
      <c r="T71" s="56"/>
      <c r="U71" s="56"/>
      <c r="V71" s="56"/>
      <c r="W71" s="114" t="s">
        <v>1099</v>
      </c>
      <c r="X71" s="115"/>
      <c r="Y71" s="115"/>
      <c r="Z71" s="116"/>
      <c r="AA71" s="117" t="s">
        <v>1099</v>
      </c>
      <c r="AB71" s="116"/>
      <c r="AC71" s="56"/>
      <c r="AD71" s="116"/>
      <c r="AE71" s="44" t="s">
        <v>1099</v>
      </c>
      <c r="AF71" s="46" t="str">
        <f t="shared" si="0"/>
        <v/>
      </c>
      <c r="AG71" s="38" t="s">
        <v>1099</v>
      </c>
      <c r="AH71" s="47" t="str">
        <f t="shared" si="1"/>
        <v/>
      </c>
      <c r="AI71" s="32"/>
      <c r="AJ71" s="32"/>
      <c r="AK71" s="32"/>
      <c r="AL71" s="32"/>
      <c r="AM71" s="32" t="s">
        <v>1099</v>
      </c>
      <c r="AN71" s="32"/>
      <c r="AO71" s="32" t="s">
        <v>1099</v>
      </c>
      <c r="AP71" s="32"/>
      <c r="AQ71" s="32"/>
      <c r="AR71" s="32"/>
      <c r="AS71" s="32"/>
      <c r="AT71" s="32"/>
      <c r="AU71" s="32"/>
      <c r="AV71" s="38" t="s">
        <v>1099</v>
      </c>
      <c r="AW71" s="38" t="s">
        <v>1099</v>
      </c>
      <c r="AX71" s="42" t="s">
        <v>106</v>
      </c>
      <c r="AY71" s="62" t="str">
        <f>IF('Cálculo MP'!J72="","",'Cálculo MP'!J72)</f>
        <v/>
      </c>
      <c r="AZ71" s="62" t="str">
        <f>IF('Cálculo MP'!K72="","",'Cálculo MP'!K72)</f>
        <v/>
      </c>
      <c r="BA71" s="62" t="str">
        <f>IF('Cálculo MP'!L72="","",'Cálculo MP'!L72)</f>
        <v/>
      </c>
      <c r="BB71" s="62" t="str">
        <f>IF('Cálculo MP'!M72="","",'Cálculo MP'!M72)</f>
        <v/>
      </c>
      <c r="BC71" s="62" t="str">
        <f>IF('Cálculo MP'!N72="","",'Cálculo MP'!N72)</f>
        <v/>
      </c>
      <c r="BD71" s="62" t="str">
        <f>IF('Cálculo MP'!O72="","",'Cálculo MP'!O72)</f>
        <v/>
      </c>
      <c r="BE71" s="62" t="str">
        <f>IF('Cálculo MP'!P72="","",'Cálculo MP'!P72)</f>
        <v/>
      </c>
      <c r="BF71" s="62" t="str">
        <f>IF('Cálculo MP'!Q72="","",'Cálculo MP'!Q72)</f>
        <v/>
      </c>
      <c r="BG71" s="62" t="str">
        <f>IF('Cálculo MP'!R72="","",'Cálculo MP'!R72)</f>
        <v/>
      </c>
      <c r="BH71" s="32"/>
      <c r="BI71" s="32"/>
      <c r="BJ71" s="32"/>
      <c r="BK71" s="32"/>
      <c r="BL71" s="32"/>
      <c r="BM71" s="32"/>
      <c r="BN71" s="32"/>
      <c r="BO71" s="62" t="str">
        <f t="shared" si="2"/>
        <v/>
      </c>
    </row>
    <row r="72" spans="1:67" ht="19.5" customHeight="1" x14ac:dyDescent="0.2">
      <c r="A72" s="49" t="b">
        <v>0</v>
      </c>
      <c r="B72" s="50" t="b">
        <v>1</v>
      </c>
      <c r="C72" s="51" t="b">
        <v>0</v>
      </c>
      <c r="D72" s="51" t="b">
        <v>0</v>
      </c>
      <c r="E72" s="37"/>
      <c r="F72" s="39"/>
      <c r="G72" s="37" t="s">
        <v>1100</v>
      </c>
      <c r="H72" s="34"/>
      <c r="I72" s="34"/>
      <c r="J72" s="34" t="s">
        <v>1099</v>
      </c>
      <c r="K72" s="51" t="b">
        <v>1</v>
      </c>
      <c r="L72" s="40"/>
      <c r="M72" s="37" t="s">
        <v>1099</v>
      </c>
      <c r="N72" s="37" t="s">
        <v>1099</v>
      </c>
      <c r="O72" s="41" t="s">
        <v>1099</v>
      </c>
      <c r="P72" s="40" t="s">
        <v>1099</v>
      </c>
      <c r="Q72" s="37" t="s">
        <v>1099</v>
      </c>
      <c r="R72" s="37" t="s">
        <v>1099</v>
      </c>
      <c r="S72" s="113" t="s">
        <v>1099</v>
      </c>
      <c r="T72" s="56"/>
      <c r="U72" s="56"/>
      <c r="V72" s="56"/>
      <c r="W72" s="114" t="s">
        <v>1099</v>
      </c>
      <c r="X72" s="115"/>
      <c r="Y72" s="115"/>
      <c r="Z72" s="116"/>
      <c r="AA72" s="117" t="s">
        <v>1099</v>
      </c>
      <c r="AB72" s="116"/>
      <c r="AC72" s="56"/>
      <c r="AD72" s="116"/>
      <c r="AE72" s="44" t="s">
        <v>1099</v>
      </c>
      <c r="AF72" s="46" t="str">
        <f t="shared" si="0"/>
        <v/>
      </c>
      <c r="AG72" s="38" t="s">
        <v>1099</v>
      </c>
      <c r="AH72" s="47" t="str">
        <f t="shared" si="1"/>
        <v/>
      </c>
      <c r="AI72" s="32"/>
      <c r="AJ72" s="32"/>
      <c r="AK72" s="32"/>
      <c r="AL72" s="32"/>
      <c r="AM72" s="32" t="s">
        <v>1099</v>
      </c>
      <c r="AN72" s="32"/>
      <c r="AO72" s="32" t="s">
        <v>1099</v>
      </c>
      <c r="AP72" s="32"/>
      <c r="AQ72" s="32"/>
      <c r="AR72" s="32"/>
      <c r="AS72" s="32"/>
      <c r="AT72" s="32"/>
      <c r="AU72" s="32"/>
      <c r="AV72" s="38" t="s">
        <v>1099</v>
      </c>
      <c r="AW72" s="38" t="s">
        <v>1099</v>
      </c>
      <c r="AX72" s="42" t="s">
        <v>106</v>
      </c>
      <c r="AY72" s="62" t="str">
        <f>IF('Cálculo MP'!J73="","",'Cálculo MP'!J73)</f>
        <v/>
      </c>
      <c r="AZ72" s="62" t="str">
        <f>IF('Cálculo MP'!K73="","",'Cálculo MP'!K73)</f>
        <v/>
      </c>
      <c r="BA72" s="62" t="str">
        <f>IF('Cálculo MP'!L73="","",'Cálculo MP'!L73)</f>
        <v/>
      </c>
      <c r="BB72" s="62" t="str">
        <f>IF('Cálculo MP'!M73="","",'Cálculo MP'!M73)</f>
        <v/>
      </c>
      <c r="BC72" s="62" t="str">
        <f>IF('Cálculo MP'!N73="","",'Cálculo MP'!N73)</f>
        <v/>
      </c>
      <c r="BD72" s="62" t="str">
        <f>IF('Cálculo MP'!O73="","",'Cálculo MP'!O73)</f>
        <v/>
      </c>
      <c r="BE72" s="62" t="str">
        <f>IF('Cálculo MP'!P73="","",'Cálculo MP'!P73)</f>
        <v/>
      </c>
      <c r="BF72" s="62" t="str">
        <f>IF('Cálculo MP'!Q73="","",'Cálculo MP'!Q73)</f>
        <v/>
      </c>
      <c r="BG72" s="62" t="str">
        <f>IF('Cálculo MP'!R73="","",'Cálculo MP'!R73)</f>
        <v/>
      </c>
      <c r="BH72" s="32"/>
      <c r="BI72" s="32"/>
      <c r="BJ72" s="32"/>
      <c r="BK72" s="32"/>
      <c r="BL72" s="32"/>
      <c r="BM72" s="32"/>
      <c r="BN72" s="32"/>
      <c r="BO72" s="62" t="str">
        <f t="shared" si="2"/>
        <v/>
      </c>
    </row>
    <row r="73" spans="1:67" ht="19.5" customHeight="1" x14ac:dyDescent="0.2">
      <c r="A73" s="49" t="b">
        <v>0</v>
      </c>
      <c r="B73" s="50" t="b">
        <v>1</v>
      </c>
      <c r="C73" s="51" t="b">
        <v>0</v>
      </c>
      <c r="D73" s="51" t="b">
        <v>0</v>
      </c>
      <c r="E73" s="37"/>
      <c r="F73" s="39"/>
      <c r="G73" s="37" t="s">
        <v>1100</v>
      </c>
      <c r="H73" s="34"/>
      <c r="I73" s="34"/>
      <c r="J73" s="34" t="s">
        <v>1099</v>
      </c>
      <c r="K73" s="51" t="b">
        <v>1</v>
      </c>
      <c r="L73" s="40"/>
      <c r="M73" s="37" t="s">
        <v>1099</v>
      </c>
      <c r="N73" s="37" t="s">
        <v>1099</v>
      </c>
      <c r="O73" s="41" t="s">
        <v>1099</v>
      </c>
      <c r="P73" s="40" t="s">
        <v>1099</v>
      </c>
      <c r="Q73" s="37" t="s">
        <v>1099</v>
      </c>
      <c r="R73" s="37" t="s">
        <v>1099</v>
      </c>
      <c r="S73" s="113" t="s">
        <v>1099</v>
      </c>
      <c r="T73" s="56"/>
      <c r="U73" s="56"/>
      <c r="V73" s="56"/>
      <c r="W73" s="114" t="s">
        <v>1099</v>
      </c>
      <c r="X73" s="115"/>
      <c r="Y73" s="115"/>
      <c r="Z73" s="116"/>
      <c r="AA73" s="117" t="s">
        <v>1099</v>
      </c>
      <c r="AB73" s="116"/>
      <c r="AC73" s="56"/>
      <c r="AD73" s="116"/>
      <c r="AE73" s="44" t="s">
        <v>1099</v>
      </c>
      <c r="AF73" s="46" t="str">
        <f t="shared" si="0"/>
        <v/>
      </c>
      <c r="AG73" s="38" t="s">
        <v>1099</v>
      </c>
      <c r="AH73" s="47" t="str">
        <f t="shared" si="1"/>
        <v/>
      </c>
      <c r="AI73" s="32"/>
      <c r="AJ73" s="32"/>
      <c r="AK73" s="32"/>
      <c r="AL73" s="32"/>
      <c r="AM73" s="32" t="s">
        <v>1099</v>
      </c>
      <c r="AN73" s="32"/>
      <c r="AO73" s="32" t="s">
        <v>1099</v>
      </c>
      <c r="AP73" s="32"/>
      <c r="AQ73" s="32"/>
      <c r="AR73" s="32"/>
      <c r="AS73" s="32"/>
      <c r="AT73" s="32"/>
      <c r="AU73" s="32"/>
      <c r="AV73" s="38" t="s">
        <v>1099</v>
      </c>
      <c r="AW73" s="38" t="s">
        <v>1099</v>
      </c>
      <c r="AX73" s="42" t="s">
        <v>106</v>
      </c>
      <c r="AY73" s="62" t="str">
        <f>IF('Cálculo MP'!J74="","",'Cálculo MP'!J74)</f>
        <v/>
      </c>
      <c r="AZ73" s="62" t="str">
        <f>IF('Cálculo MP'!K74="","",'Cálculo MP'!K74)</f>
        <v/>
      </c>
      <c r="BA73" s="62" t="str">
        <f>IF('Cálculo MP'!L74="","",'Cálculo MP'!L74)</f>
        <v/>
      </c>
      <c r="BB73" s="62" t="str">
        <f>IF('Cálculo MP'!M74="","",'Cálculo MP'!M74)</f>
        <v/>
      </c>
      <c r="BC73" s="62" t="str">
        <f>IF('Cálculo MP'!N74="","",'Cálculo MP'!N74)</f>
        <v/>
      </c>
      <c r="BD73" s="62" t="str">
        <f>IF('Cálculo MP'!O74="","",'Cálculo MP'!O74)</f>
        <v/>
      </c>
      <c r="BE73" s="62" t="str">
        <f>IF('Cálculo MP'!P74="","",'Cálculo MP'!P74)</f>
        <v/>
      </c>
      <c r="BF73" s="62" t="str">
        <f>IF('Cálculo MP'!Q74="","",'Cálculo MP'!Q74)</f>
        <v/>
      </c>
      <c r="BG73" s="62" t="str">
        <f>IF('Cálculo MP'!R74="","",'Cálculo MP'!R74)</f>
        <v/>
      </c>
      <c r="BH73" s="32"/>
      <c r="BI73" s="32"/>
      <c r="BJ73" s="32"/>
      <c r="BK73" s="32"/>
      <c r="BL73" s="32"/>
      <c r="BM73" s="32"/>
      <c r="BN73" s="32"/>
      <c r="BO73" s="62" t="str">
        <f t="shared" si="2"/>
        <v/>
      </c>
    </row>
    <row r="74" spans="1:67" ht="19.5" customHeight="1" x14ac:dyDescent="0.2">
      <c r="A74" s="49" t="b">
        <v>0</v>
      </c>
      <c r="B74" s="50" t="b">
        <v>1</v>
      </c>
      <c r="C74" s="51" t="b">
        <v>0</v>
      </c>
      <c r="D74" s="51" t="b">
        <v>0</v>
      </c>
      <c r="E74" s="37"/>
      <c r="F74" s="39"/>
      <c r="G74" s="37" t="s">
        <v>1100</v>
      </c>
      <c r="H74" s="34"/>
      <c r="I74" s="34"/>
      <c r="J74" s="34" t="s">
        <v>1099</v>
      </c>
      <c r="K74" s="51" t="b">
        <v>1</v>
      </c>
      <c r="L74" s="40"/>
      <c r="M74" s="37" t="s">
        <v>1099</v>
      </c>
      <c r="N74" s="37" t="s">
        <v>1099</v>
      </c>
      <c r="O74" s="41" t="s">
        <v>1099</v>
      </c>
      <c r="P74" s="40" t="s">
        <v>1099</v>
      </c>
      <c r="Q74" s="37" t="s">
        <v>1099</v>
      </c>
      <c r="R74" s="37" t="s">
        <v>1099</v>
      </c>
      <c r="S74" s="113" t="s">
        <v>1099</v>
      </c>
      <c r="T74" s="56"/>
      <c r="U74" s="56"/>
      <c r="V74" s="56"/>
      <c r="W74" s="114" t="s">
        <v>1099</v>
      </c>
      <c r="X74" s="115"/>
      <c r="Y74" s="115"/>
      <c r="Z74" s="116"/>
      <c r="AA74" s="117" t="s">
        <v>1099</v>
      </c>
      <c r="AB74" s="116"/>
      <c r="AC74" s="56"/>
      <c r="AD74" s="116"/>
      <c r="AE74" s="44" t="s">
        <v>1099</v>
      </c>
      <c r="AF74" s="46" t="str">
        <f t="shared" si="0"/>
        <v/>
      </c>
      <c r="AG74" s="38" t="s">
        <v>1099</v>
      </c>
      <c r="AH74" s="47" t="str">
        <f t="shared" si="1"/>
        <v/>
      </c>
      <c r="AI74" s="32"/>
      <c r="AJ74" s="32"/>
      <c r="AK74" s="32"/>
      <c r="AL74" s="32"/>
      <c r="AM74" s="32" t="s">
        <v>1099</v>
      </c>
      <c r="AN74" s="32"/>
      <c r="AO74" s="32" t="s">
        <v>1099</v>
      </c>
      <c r="AP74" s="32"/>
      <c r="AQ74" s="32"/>
      <c r="AR74" s="32"/>
      <c r="AS74" s="32"/>
      <c r="AT74" s="32"/>
      <c r="AU74" s="32"/>
      <c r="AV74" s="38" t="s">
        <v>1099</v>
      </c>
      <c r="AW74" s="38" t="s">
        <v>1099</v>
      </c>
      <c r="AX74" s="42" t="s">
        <v>106</v>
      </c>
      <c r="AY74" s="62" t="str">
        <f>IF('Cálculo MP'!J75="","",'Cálculo MP'!J75)</f>
        <v/>
      </c>
      <c r="AZ74" s="62" t="str">
        <f>IF('Cálculo MP'!K75="","",'Cálculo MP'!K75)</f>
        <v/>
      </c>
      <c r="BA74" s="62" t="str">
        <f>IF('Cálculo MP'!L75="","",'Cálculo MP'!L75)</f>
        <v/>
      </c>
      <c r="BB74" s="62" t="str">
        <f>IF('Cálculo MP'!M75="","",'Cálculo MP'!M75)</f>
        <v/>
      </c>
      <c r="BC74" s="62" t="str">
        <f>IF('Cálculo MP'!N75="","",'Cálculo MP'!N75)</f>
        <v/>
      </c>
      <c r="BD74" s="62" t="str">
        <f>IF('Cálculo MP'!O75="","",'Cálculo MP'!O75)</f>
        <v/>
      </c>
      <c r="BE74" s="62" t="str">
        <f>IF('Cálculo MP'!P75="","",'Cálculo MP'!P75)</f>
        <v/>
      </c>
      <c r="BF74" s="62" t="str">
        <f>IF('Cálculo MP'!Q75="","",'Cálculo MP'!Q75)</f>
        <v/>
      </c>
      <c r="BG74" s="62" t="str">
        <f>IF('Cálculo MP'!R75="","",'Cálculo MP'!R75)</f>
        <v/>
      </c>
      <c r="BH74" s="32"/>
      <c r="BI74" s="32"/>
      <c r="BJ74" s="32"/>
      <c r="BK74" s="32"/>
      <c r="BL74" s="32"/>
      <c r="BM74" s="32"/>
      <c r="BN74" s="32"/>
      <c r="BO74" s="62" t="str">
        <f t="shared" si="2"/>
        <v/>
      </c>
    </row>
    <row r="75" spans="1:67" ht="19.5" customHeight="1" x14ac:dyDescent="0.2">
      <c r="A75" s="49" t="b">
        <v>0</v>
      </c>
      <c r="B75" s="50" t="b">
        <v>1</v>
      </c>
      <c r="C75" s="51" t="b">
        <v>0</v>
      </c>
      <c r="D75" s="51" t="b">
        <v>0</v>
      </c>
      <c r="E75" s="37"/>
      <c r="F75" s="39"/>
      <c r="G75" s="37" t="s">
        <v>1100</v>
      </c>
      <c r="H75" s="34"/>
      <c r="I75" s="34"/>
      <c r="J75" s="34" t="s">
        <v>1099</v>
      </c>
      <c r="K75" s="51" t="b">
        <v>1</v>
      </c>
      <c r="L75" s="40"/>
      <c r="M75" s="37" t="s">
        <v>1099</v>
      </c>
      <c r="N75" s="37" t="s">
        <v>1099</v>
      </c>
      <c r="O75" s="41" t="s">
        <v>1099</v>
      </c>
      <c r="P75" s="40" t="s">
        <v>1099</v>
      </c>
      <c r="Q75" s="37" t="s">
        <v>1099</v>
      </c>
      <c r="R75" s="37" t="s">
        <v>1099</v>
      </c>
      <c r="S75" s="113" t="s">
        <v>1099</v>
      </c>
      <c r="T75" s="56"/>
      <c r="U75" s="56"/>
      <c r="V75" s="56"/>
      <c r="W75" s="114" t="s">
        <v>1099</v>
      </c>
      <c r="X75" s="115"/>
      <c r="Y75" s="115"/>
      <c r="Z75" s="116"/>
      <c r="AA75" s="117" t="s">
        <v>1099</v>
      </c>
      <c r="AB75" s="116"/>
      <c r="AC75" s="56"/>
      <c r="AD75" s="116"/>
      <c r="AE75" s="44" t="s">
        <v>1099</v>
      </c>
      <c r="AF75" s="46" t="str">
        <f t="shared" si="0"/>
        <v/>
      </c>
      <c r="AG75" s="38" t="s">
        <v>1099</v>
      </c>
      <c r="AH75" s="47" t="str">
        <f t="shared" si="1"/>
        <v/>
      </c>
      <c r="AI75" s="32"/>
      <c r="AJ75" s="32"/>
      <c r="AK75" s="32"/>
      <c r="AL75" s="32"/>
      <c r="AM75" s="32" t="s">
        <v>1099</v>
      </c>
      <c r="AN75" s="32"/>
      <c r="AO75" s="32" t="s">
        <v>1099</v>
      </c>
      <c r="AP75" s="32"/>
      <c r="AQ75" s="32"/>
      <c r="AR75" s="32"/>
      <c r="AS75" s="32"/>
      <c r="AT75" s="32"/>
      <c r="AU75" s="32"/>
      <c r="AV75" s="38" t="s">
        <v>1099</v>
      </c>
      <c r="AW75" s="38" t="s">
        <v>1099</v>
      </c>
      <c r="AX75" s="42" t="s">
        <v>106</v>
      </c>
      <c r="AY75" s="62" t="str">
        <f>IF('Cálculo MP'!J76="","",'Cálculo MP'!J76)</f>
        <v/>
      </c>
      <c r="AZ75" s="62" t="str">
        <f>IF('Cálculo MP'!K76="","",'Cálculo MP'!K76)</f>
        <v/>
      </c>
      <c r="BA75" s="62" t="str">
        <f>IF('Cálculo MP'!L76="","",'Cálculo MP'!L76)</f>
        <v/>
      </c>
      <c r="BB75" s="62" t="str">
        <f>IF('Cálculo MP'!M76="","",'Cálculo MP'!M76)</f>
        <v/>
      </c>
      <c r="BC75" s="62" t="str">
        <f>IF('Cálculo MP'!N76="","",'Cálculo MP'!N76)</f>
        <v/>
      </c>
      <c r="BD75" s="62" t="str">
        <f>IF('Cálculo MP'!O76="","",'Cálculo MP'!O76)</f>
        <v/>
      </c>
      <c r="BE75" s="62" t="str">
        <f>IF('Cálculo MP'!P76="","",'Cálculo MP'!P76)</f>
        <v/>
      </c>
      <c r="BF75" s="62" t="str">
        <f>IF('Cálculo MP'!Q76="","",'Cálculo MP'!Q76)</f>
        <v/>
      </c>
      <c r="BG75" s="62" t="str">
        <f>IF('Cálculo MP'!R76="","",'Cálculo MP'!R76)</f>
        <v/>
      </c>
      <c r="BH75" s="32"/>
      <c r="BI75" s="32"/>
      <c r="BJ75" s="32"/>
      <c r="BK75" s="32"/>
      <c r="BL75" s="32"/>
      <c r="BM75" s="32"/>
      <c r="BN75" s="32"/>
      <c r="BO75" s="62" t="str">
        <f t="shared" si="2"/>
        <v/>
      </c>
    </row>
    <row r="76" spans="1:67" ht="19.5" customHeight="1" x14ac:dyDescent="0.2">
      <c r="A76" s="49" t="b">
        <v>0</v>
      </c>
      <c r="B76" s="50" t="b">
        <v>1</v>
      </c>
      <c r="C76" s="51" t="b">
        <v>0</v>
      </c>
      <c r="D76" s="51" t="b">
        <v>0</v>
      </c>
      <c r="E76" s="37"/>
      <c r="F76" s="39"/>
      <c r="G76" s="37" t="s">
        <v>1100</v>
      </c>
      <c r="H76" s="34"/>
      <c r="I76" s="34"/>
      <c r="J76" s="34" t="s">
        <v>1099</v>
      </c>
      <c r="K76" s="51" t="b">
        <v>1</v>
      </c>
      <c r="L76" s="40"/>
      <c r="M76" s="37" t="s">
        <v>1099</v>
      </c>
      <c r="N76" s="37" t="s">
        <v>1099</v>
      </c>
      <c r="O76" s="41" t="s">
        <v>1099</v>
      </c>
      <c r="P76" s="40" t="s">
        <v>1099</v>
      </c>
      <c r="Q76" s="37" t="s">
        <v>1099</v>
      </c>
      <c r="R76" s="37" t="s">
        <v>1099</v>
      </c>
      <c r="S76" s="113" t="s">
        <v>1099</v>
      </c>
      <c r="T76" s="56"/>
      <c r="U76" s="56"/>
      <c r="V76" s="56"/>
      <c r="W76" s="114" t="s">
        <v>1099</v>
      </c>
      <c r="X76" s="115"/>
      <c r="Y76" s="115"/>
      <c r="Z76" s="116"/>
      <c r="AA76" s="117" t="s">
        <v>1099</v>
      </c>
      <c r="AB76" s="116"/>
      <c r="AC76" s="56"/>
      <c r="AD76" s="116"/>
      <c r="AE76" s="44" t="s">
        <v>1099</v>
      </c>
      <c r="AF76" s="46" t="str">
        <f t="shared" si="0"/>
        <v/>
      </c>
      <c r="AG76" s="38" t="s">
        <v>1099</v>
      </c>
      <c r="AH76" s="47" t="str">
        <f t="shared" si="1"/>
        <v/>
      </c>
      <c r="AI76" s="32"/>
      <c r="AJ76" s="32"/>
      <c r="AK76" s="32"/>
      <c r="AL76" s="32"/>
      <c r="AM76" s="32" t="s">
        <v>1099</v>
      </c>
      <c r="AN76" s="32"/>
      <c r="AO76" s="32" t="s">
        <v>1099</v>
      </c>
      <c r="AP76" s="32"/>
      <c r="AQ76" s="32"/>
      <c r="AR76" s="32"/>
      <c r="AS76" s="32"/>
      <c r="AT76" s="32"/>
      <c r="AU76" s="32"/>
      <c r="AV76" s="38" t="s">
        <v>1099</v>
      </c>
      <c r="AW76" s="38" t="s">
        <v>1099</v>
      </c>
      <c r="AX76" s="42" t="s">
        <v>106</v>
      </c>
      <c r="AY76" s="62" t="str">
        <f>IF('Cálculo MP'!J77="","",'Cálculo MP'!J77)</f>
        <v/>
      </c>
      <c r="AZ76" s="62" t="str">
        <f>IF('Cálculo MP'!K77="","",'Cálculo MP'!K77)</f>
        <v/>
      </c>
      <c r="BA76" s="62" t="str">
        <f>IF('Cálculo MP'!L77="","",'Cálculo MP'!L77)</f>
        <v/>
      </c>
      <c r="BB76" s="62" t="str">
        <f>IF('Cálculo MP'!M77="","",'Cálculo MP'!M77)</f>
        <v/>
      </c>
      <c r="BC76" s="62" t="str">
        <f>IF('Cálculo MP'!N77="","",'Cálculo MP'!N77)</f>
        <v/>
      </c>
      <c r="BD76" s="62" t="str">
        <f>IF('Cálculo MP'!O77="","",'Cálculo MP'!O77)</f>
        <v/>
      </c>
      <c r="BE76" s="62" t="str">
        <f>IF('Cálculo MP'!P77="","",'Cálculo MP'!P77)</f>
        <v/>
      </c>
      <c r="BF76" s="62" t="str">
        <f>IF('Cálculo MP'!Q77="","",'Cálculo MP'!Q77)</f>
        <v/>
      </c>
      <c r="BG76" s="62" t="str">
        <f>IF('Cálculo MP'!R77="","",'Cálculo MP'!R77)</f>
        <v/>
      </c>
      <c r="BH76" s="32"/>
      <c r="BI76" s="32"/>
      <c r="BJ76" s="32"/>
      <c r="BK76" s="32"/>
      <c r="BL76" s="32"/>
      <c r="BM76" s="32"/>
      <c r="BN76" s="32"/>
      <c r="BO76" s="62" t="str">
        <f t="shared" si="2"/>
        <v/>
      </c>
    </row>
    <row r="77" spans="1:67" ht="19.5" customHeight="1" x14ac:dyDescent="0.2">
      <c r="A77" s="49" t="b">
        <v>0</v>
      </c>
      <c r="B77" s="50" t="b">
        <v>1</v>
      </c>
      <c r="C77" s="51" t="b">
        <v>0</v>
      </c>
      <c r="D77" s="51" t="b">
        <v>0</v>
      </c>
      <c r="E77" s="37"/>
      <c r="F77" s="39"/>
      <c r="G77" s="37" t="s">
        <v>1100</v>
      </c>
      <c r="H77" s="34"/>
      <c r="I77" s="34"/>
      <c r="J77" s="34" t="s">
        <v>1099</v>
      </c>
      <c r="K77" s="51" t="b">
        <v>1</v>
      </c>
      <c r="L77" s="40"/>
      <c r="M77" s="37" t="s">
        <v>1099</v>
      </c>
      <c r="N77" s="37" t="s">
        <v>1099</v>
      </c>
      <c r="O77" s="41" t="s">
        <v>1099</v>
      </c>
      <c r="P77" s="40" t="s">
        <v>1099</v>
      </c>
      <c r="Q77" s="37" t="s">
        <v>1099</v>
      </c>
      <c r="R77" s="37" t="s">
        <v>1099</v>
      </c>
      <c r="S77" s="113" t="s">
        <v>1099</v>
      </c>
      <c r="T77" s="56"/>
      <c r="U77" s="56"/>
      <c r="V77" s="56"/>
      <c r="W77" s="114" t="s">
        <v>1099</v>
      </c>
      <c r="X77" s="115"/>
      <c r="Y77" s="115"/>
      <c r="Z77" s="116"/>
      <c r="AA77" s="117" t="s">
        <v>1099</v>
      </c>
      <c r="AB77" s="116"/>
      <c r="AC77" s="56"/>
      <c r="AD77" s="116"/>
      <c r="AE77" s="44" t="s">
        <v>1099</v>
      </c>
      <c r="AF77" s="46" t="str">
        <f t="shared" si="0"/>
        <v/>
      </c>
      <c r="AG77" s="38" t="s">
        <v>1099</v>
      </c>
      <c r="AH77" s="47" t="str">
        <f t="shared" si="1"/>
        <v/>
      </c>
      <c r="AI77" s="32"/>
      <c r="AJ77" s="32"/>
      <c r="AK77" s="32"/>
      <c r="AL77" s="32"/>
      <c r="AM77" s="32" t="s">
        <v>1099</v>
      </c>
      <c r="AN77" s="32"/>
      <c r="AO77" s="32" t="s">
        <v>1099</v>
      </c>
      <c r="AP77" s="32"/>
      <c r="AQ77" s="32"/>
      <c r="AR77" s="32"/>
      <c r="AS77" s="32"/>
      <c r="AT77" s="32"/>
      <c r="AU77" s="32"/>
      <c r="AV77" s="38" t="s">
        <v>1099</v>
      </c>
      <c r="AW77" s="38" t="s">
        <v>1099</v>
      </c>
      <c r="AX77" s="42" t="s">
        <v>106</v>
      </c>
      <c r="AY77" s="62" t="str">
        <f>IF('Cálculo MP'!J78="","",'Cálculo MP'!J78)</f>
        <v/>
      </c>
      <c r="AZ77" s="62" t="str">
        <f>IF('Cálculo MP'!K78="","",'Cálculo MP'!K78)</f>
        <v/>
      </c>
      <c r="BA77" s="62" t="str">
        <f>IF('Cálculo MP'!L78="","",'Cálculo MP'!L78)</f>
        <v/>
      </c>
      <c r="BB77" s="62" t="str">
        <f>IF('Cálculo MP'!M78="","",'Cálculo MP'!M78)</f>
        <v/>
      </c>
      <c r="BC77" s="62" t="str">
        <f>IF('Cálculo MP'!N78="","",'Cálculo MP'!N78)</f>
        <v/>
      </c>
      <c r="BD77" s="62" t="str">
        <f>IF('Cálculo MP'!O78="","",'Cálculo MP'!O78)</f>
        <v/>
      </c>
      <c r="BE77" s="62" t="str">
        <f>IF('Cálculo MP'!P78="","",'Cálculo MP'!P78)</f>
        <v/>
      </c>
      <c r="BF77" s="62" t="str">
        <f>IF('Cálculo MP'!Q78="","",'Cálculo MP'!Q78)</f>
        <v/>
      </c>
      <c r="BG77" s="62" t="str">
        <f>IF('Cálculo MP'!R78="","",'Cálculo MP'!R78)</f>
        <v/>
      </c>
      <c r="BH77" s="32"/>
      <c r="BI77" s="32"/>
      <c r="BJ77" s="32"/>
      <c r="BK77" s="32"/>
      <c r="BL77" s="32"/>
      <c r="BM77" s="32"/>
      <c r="BN77" s="32"/>
      <c r="BO77" s="62" t="str">
        <f t="shared" si="2"/>
        <v/>
      </c>
    </row>
    <row r="78" spans="1:67" ht="19.5" customHeight="1" x14ac:dyDescent="0.2">
      <c r="A78" s="49" t="b">
        <v>0</v>
      </c>
      <c r="B78" s="50" t="b">
        <v>1</v>
      </c>
      <c r="C78" s="51" t="b">
        <v>0</v>
      </c>
      <c r="D78" s="51" t="b">
        <v>0</v>
      </c>
      <c r="E78" s="37"/>
      <c r="F78" s="39"/>
      <c r="G78" s="37" t="s">
        <v>1100</v>
      </c>
      <c r="H78" s="34"/>
      <c r="I78" s="34"/>
      <c r="J78" s="34" t="s">
        <v>1099</v>
      </c>
      <c r="K78" s="51" t="b">
        <v>1</v>
      </c>
      <c r="L78" s="40"/>
      <c r="M78" s="37" t="s">
        <v>1099</v>
      </c>
      <c r="N78" s="37" t="s">
        <v>1099</v>
      </c>
      <c r="O78" s="41" t="s">
        <v>1099</v>
      </c>
      <c r="P78" s="40" t="s">
        <v>1099</v>
      </c>
      <c r="Q78" s="37" t="s">
        <v>1099</v>
      </c>
      <c r="R78" s="37" t="s">
        <v>1099</v>
      </c>
      <c r="S78" s="113" t="s">
        <v>1099</v>
      </c>
      <c r="T78" s="56"/>
      <c r="U78" s="56"/>
      <c r="V78" s="56"/>
      <c r="W78" s="114" t="s">
        <v>1099</v>
      </c>
      <c r="X78" s="115"/>
      <c r="Y78" s="115"/>
      <c r="Z78" s="116"/>
      <c r="AA78" s="117" t="s">
        <v>1099</v>
      </c>
      <c r="AB78" s="116"/>
      <c r="AC78" s="56"/>
      <c r="AD78" s="116"/>
      <c r="AE78" s="44" t="s">
        <v>1099</v>
      </c>
      <c r="AF78" s="46" t="str">
        <f t="shared" si="0"/>
        <v/>
      </c>
      <c r="AG78" s="38" t="s">
        <v>1099</v>
      </c>
      <c r="AH78" s="47" t="str">
        <f t="shared" si="1"/>
        <v/>
      </c>
      <c r="AI78" s="32"/>
      <c r="AJ78" s="32"/>
      <c r="AK78" s="32"/>
      <c r="AL78" s="32"/>
      <c r="AM78" s="32" t="s">
        <v>1099</v>
      </c>
      <c r="AN78" s="32"/>
      <c r="AO78" s="32" t="s">
        <v>1099</v>
      </c>
      <c r="AP78" s="32"/>
      <c r="AQ78" s="32"/>
      <c r="AR78" s="32"/>
      <c r="AS78" s="32"/>
      <c r="AT78" s="32"/>
      <c r="AU78" s="32"/>
      <c r="AV78" s="38" t="s">
        <v>1099</v>
      </c>
      <c r="AW78" s="38" t="s">
        <v>1099</v>
      </c>
      <c r="AX78" s="42" t="s">
        <v>106</v>
      </c>
      <c r="AY78" s="62" t="str">
        <f>IF('Cálculo MP'!J79="","",'Cálculo MP'!J79)</f>
        <v/>
      </c>
      <c r="AZ78" s="62" t="str">
        <f>IF('Cálculo MP'!K79="","",'Cálculo MP'!K79)</f>
        <v/>
      </c>
      <c r="BA78" s="62" t="str">
        <f>IF('Cálculo MP'!L79="","",'Cálculo MP'!L79)</f>
        <v/>
      </c>
      <c r="BB78" s="62" t="str">
        <f>IF('Cálculo MP'!M79="","",'Cálculo MP'!M79)</f>
        <v/>
      </c>
      <c r="BC78" s="62" t="str">
        <f>IF('Cálculo MP'!N79="","",'Cálculo MP'!N79)</f>
        <v/>
      </c>
      <c r="BD78" s="62" t="str">
        <f>IF('Cálculo MP'!O79="","",'Cálculo MP'!O79)</f>
        <v/>
      </c>
      <c r="BE78" s="62" t="str">
        <f>IF('Cálculo MP'!P79="","",'Cálculo MP'!P79)</f>
        <v/>
      </c>
      <c r="BF78" s="62" t="str">
        <f>IF('Cálculo MP'!Q79="","",'Cálculo MP'!Q79)</f>
        <v/>
      </c>
      <c r="BG78" s="62" t="str">
        <f>IF('Cálculo MP'!R79="","",'Cálculo MP'!R79)</f>
        <v/>
      </c>
      <c r="BH78" s="32"/>
      <c r="BI78" s="32"/>
      <c r="BJ78" s="32"/>
      <c r="BK78" s="32"/>
      <c r="BL78" s="32"/>
      <c r="BM78" s="32"/>
      <c r="BN78" s="32"/>
      <c r="BO78" s="62" t="str">
        <f t="shared" si="2"/>
        <v/>
      </c>
    </row>
    <row r="79" spans="1:67" ht="19.5" customHeight="1" x14ac:dyDescent="0.2">
      <c r="A79" s="49" t="b">
        <v>0</v>
      </c>
      <c r="B79" s="50" t="b">
        <v>1</v>
      </c>
      <c r="C79" s="51" t="b">
        <v>0</v>
      </c>
      <c r="D79" s="51" t="b">
        <v>0</v>
      </c>
      <c r="E79" s="37"/>
      <c r="F79" s="39"/>
      <c r="G79" s="37" t="s">
        <v>1100</v>
      </c>
      <c r="H79" s="34"/>
      <c r="I79" s="34"/>
      <c r="J79" s="34" t="s">
        <v>1099</v>
      </c>
      <c r="K79" s="51" t="b">
        <v>1</v>
      </c>
      <c r="L79" s="40"/>
      <c r="M79" s="37" t="s">
        <v>1099</v>
      </c>
      <c r="N79" s="37" t="s">
        <v>1099</v>
      </c>
      <c r="O79" s="41" t="s">
        <v>1099</v>
      </c>
      <c r="P79" s="40" t="s">
        <v>1099</v>
      </c>
      <c r="Q79" s="37" t="s">
        <v>1099</v>
      </c>
      <c r="R79" s="37" t="s">
        <v>1099</v>
      </c>
      <c r="S79" s="113" t="s">
        <v>1099</v>
      </c>
      <c r="T79" s="56"/>
      <c r="U79" s="56"/>
      <c r="V79" s="56"/>
      <c r="W79" s="114" t="s">
        <v>1099</v>
      </c>
      <c r="X79" s="115"/>
      <c r="Y79" s="115"/>
      <c r="Z79" s="116"/>
      <c r="AA79" s="117" t="s">
        <v>1099</v>
      </c>
      <c r="AB79" s="116"/>
      <c r="AC79" s="56"/>
      <c r="AD79" s="116"/>
      <c r="AE79" s="44" t="s">
        <v>1099</v>
      </c>
      <c r="AF79" s="46" t="str">
        <f t="shared" si="0"/>
        <v/>
      </c>
      <c r="AG79" s="38" t="s">
        <v>1099</v>
      </c>
      <c r="AH79" s="47" t="str">
        <f t="shared" si="1"/>
        <v/>
      </c>
      <c r="AI79" s="32"/>
      <c r="AJ79" s="32"/>
      <c r="AK79" s="32"/>
      <c r="AL79" s="32"/>
      <c r="AM79" s="32" t="s">
        <v>1099</v>
      </c>
      <c r="AN79" s="32"/>
      <c r="AO79" s="32" t="s">
        <v>1099</v>
      </c>
      <c r="AP79" s="32"/>
      <c r="AQ79" s="32"/>
      <c r="AR79" s="32"/>
      <c r="AS79" s="32"/>
      <c r="AT79" s="32"/>
      <c r="AU79" s="32"/>
      <c r="AV79" s="38" t="s">
        <v>1099</v>
      </c>
      <c r="AW79" s="38" t="s">
        <v>1099</v>
      </c>
      <c r="AX79" s="42" t="s">
        <v>106</v>
      </c>
      <c r="AY79" s="62" t="str">
        <f>IF('Cálculo MP'!J80="","",'Cálculo MP'!J80)</f>
        <v/>
      </c>
      <c r="AZ79" s="62" t="str">
        <f>IF('Cálculo MP'!K80="","",'Cálculo MP'!K80)</f>
        <v/>
      </c>
      <c r="BA79" s="62" t="str">
        <f>IF('Cálculo MP'!L80="","",'Cálculo MP'!L80)</f>
        <v/>
      </c>
      <c r="BB79" s="62" t="str">
        <f>IF('Cálculo MP'!M80="","",'Cálculo MP'!M80)</f>
        <v/>
      </c>
      <c r="BC79" s="62" t="str">
        <f>IF('Cálculo MP'!N80="","",'Cálculo MP'!N80)</f>
        <v/>
      </c>
      <c r="BD79" s="62" t="str">
        <f>IF('Cálculo MP'!O80="","",'Cálculo MP'!O80)</f>
        <v/>
      </c>
      <c r="BE79" s="62" t="str">
        <f>IF('Cálculo MP'!P80="","",'Cálculo MP'!P80)</f>
        <v/>
      </c>
      <c r="BF79" s="62" t="str">
        <f>IF('Cálculo MP'!Q80="","",'Cálculo MP'!Q80)</f>
        <v/>
      </c>
      <c r="BG79" s="62" t="str">
        <f>IF('Cálculo MP'!R80="","",'Cálculo MP'!R80)</f>
        <v/>
      </c>
      <c r="BH79" s="32"/>
      <c r="BI79" s="32"/>
      <c r="BJ79" s="32"/>
      <c r="BK79" s="32"/>
      <c r="BL79" s="32"/>
      <c r="BM79" s="32"/>
      <c r="BN79" s="32"/>
      <c r="BO79" s="62" t="str">
        <f t="shared" si="2"/>
        <v/>
      </c>
    </row>
    <row r="80" spans="1:67" ht="19.5" customHeight="1" x14ac:dyDescent="0.2">
      <c r="A80" s="49" t="b">
        <v>0</v>
      </c>
      <c r="B80" s="50" t="b">
        <v>1</v>
      </c>
      <c r="C80" s="51" t="b">
        <v>0</v>
      </c>
      <c r="D80" s="51" t="b">
        <v>0</v>
      </c>
      <c r="E80" s="37"/>
      <c r="F80" s="39"/>
      <c r="G80" s="37" t="s">
        <v>1100</v>
      </c>
      <c r="H80" s="34"/>
      <c r="I80" s="34"/>
      <c r="J80" s="34" t="s">
        <v>1099</v>
      </c>
      <c r="K80" s="51" t="b">
        <v>1</v>
      </c>
      <c r="L80" s="40"/>
      <c r="M80" s="37" t="s">
        <v>1099</v>
      </c>
      <c r="N80" s="37" t="s">
        <v>1099</v>
      </c>
      <c r="O80" s="41" t="s">
        <v>1099</v>
      </c>
      <c r="P80" s="40" t="s">
        <v>1099</v>
      </c>
      <c r="Q80" s="37" t="s">
        <v>1099</v>
      </c>
      <c r="R80" s="37" t="s">
        <v>1099</v>
      </c>
      <c r="S80" s="113" t="s">
        <v>1099</v>
      </c>
      <c r="T80" s="56"/>
      <c r="U80" s="56"/>
      <c r="V80" s="56"/>
      <c r="W80" s="114" t="s">
        <v>1099</v>
      </c>
      <c r="X80" s="115"/>
      <c r="Y80" s="115"/>
      <c r="Z80" s="116"/>
      <c r="AA80" s="117" t="s">
        <v>1099</v>
      </c>
      <c r="AB80" s="116"/>
      <c r="AC80" s="56"/>
      <c r="AD80" s="116"/>
      <c r="AE80" s="44" t="s">
        <v>1099</v>
      </c>
      <c r="AF80" s="46" t="str">
        <f t="shared" si="0"/>
        <v/>
      </c>
      <c r="AG80" s="38" t="s">
        <v>1099</v>
      </c>
      <c r="AH80" s="47" t="str">
        <f t="shared" si="1"/>
        <v/>
      </c>
      <c r="AI80" s="32"/>
      <c r="AJ80" s="32"/>
      <c r="AK80" s="32"/>
      <c r="AL80" s="32"/>
      <c r="AM80" s="32" t="s">
        <v>1099</v>
      </c>
      <c r="AN80" s="32"/>
      <c r="AO80" s="32" t="s">
        <v>1099</v>
      </c>
      <c r="AP80" s="32"/>
      <c r="AQ80" s="32"/>
      <c r="AR80" s="32"/>
      <c r="AS80" s="32"/>
      <c r="AT80" s="32"/>
      <c r="AU80" s="32"/>
      <c r="AV80" s="38" t="s">
        <v>1099</v>
      </c>
      <c r="AW80" s="38" t="s">
        <v>1099</v>
      </c>
      <c r="AX80" s="42" t="s">
        <v>106</v>
      </c>
      <c r="AY80" s="62" t="str">
        <f>IF('Cálculo MP'!J81="","",'Cálculo MP'!J81)</f>
        <v/>
      </c>
      <c r="AZ80" s="62" t="str">
        <f>IF('Cálculo MP'!K81="","",'Cálculo MP'!K81)</f>
        <v/>
      </c>
      <c r="BA80" s="62" t="str">
        <f>IF('Cálculo MP'!L81="","",'Cálculo MP'!L81)</f>
        <v/>
      </c>
      <c r="BB80" s="62" t="str">
        <f>IF('Cálculo MP'!M81="","",'Cálculo MP'!M81)</f>
        <v/>
      </c>
      <c r="BC80" s="62" t="str">
        <f>IF('Cálculo MP'!N81="","",'Cálculo MP'!N81)</f>
        <v/>
      </c>
      <c r="BD80" s="62" t="str">
        <f>IF('Cálculo MP'!O81="","",'Cálculo MP'!O81)</f>
        <v/>
      </c>
      <c r="BE80" s="62" t="str">
        <f>IF('Cálculo MP'!P81="","",'Cálculo MP'!P81)</f>
        <v/>
      </c>
      <c r="BF80" s="62" t="str">
        <f>IF('Cálculo MP'!Q81="","",'Cálculo MP'!Q81)</f>
        <v/>
      </c>
      <c r="BG80" s="62" t="str">
        <f>IF('Cálculo MP'!R81="","",'Cálculo MP'!R81)</f>
        <v/>
      </c>
      <c r="BH80" s="32"/>
      <c r="BI80" s="32"/>
      <c r="BJ80" s="32"/>
      <c r="BK80" s="32"/>
      <c r="BL80" s="32"/>
      <c r="BM80" s="32"/>
      <c r="BN80" s="32"/>
      <c r="BO80" s="62" t="str">
        <f t="shared" si="2"/>
        <v/>
      </c>
    </row>
    <row r="81" spans="1:67" ht="19.5" customHeight="1" x14ac:dyDescent="0.2">
      <c r="A81" s="49" t="b">
        <v>0</v>
      </c>
      <c r="B81" s="50" t="b">
        <v>1</v>
      </c>
      <c r="C81" s="51" t="b">
        <v>0</v>
      </c>
      <c r="D81" s="51" t="b">
        <v>0</v>
      </c>
      <c r="E81" s="37"/>
      <c r="F81" s="39"/>
      <c r="G81" s="37" t="s">
        <v>1100</v>
      </c>
      <c r="H81" s="34"/>
      <c r="I81" s="34"/>
      <c r="J81" s="34" t="s">
        <v>1099</v>
      </c>
      <c r="K81" s="51" t="b">
        <v>1</v>
      </c>
      <c r="L81" s="40"/>
      <c r="M81" s="37" t="s">
        <v>1099</v>
      </c>
      <c r="N81" s="37" t="s">
        <v>1099</v>
      </c>
      <c r="O81" s="41" t="s">
        <v>1099</v>
      </c>
      <c r="P81" s="40" t="s">
        <v>1099</v>
      </c>
      <c r="Q81" s="37" t="s">
        <v>1099</v>
      </c>
      <c r="R81" s="37" t="s">
        <v>1099</v>
      </c>
      <c r="S81" s="113" t="s">
        <v>1099</v>
      </c>
      <c r="T81" s="56"/>
      <c r="U81" s="56"/>
      <c r="V81" s="56"/>
      <c r="W81" s="114" t="s">
        <v>1099</v>
      </c>
      <c r="X81" s="115"/>
      <c r="Y81" s="115"/>
      <c r="Z81" s="116"/>
      <c r="AA81" s="117" t="s">
        <v>1099</v>
      </c>
      <c r="AB81" s="116"/>
      <c r="AC81" s="56"/>
      <c r="AD81" s="116"/>
      <c r="AE81" s="44" t="s">
        <v>1099</v>
      </c>
      <c r="AF81" s="46" t="str">
        <f t="shared" si="0"/>
        <v/>
      </c>
      <c r="AG81" s="38" t="s">
        <v>1099</v>
      </c>
      <c r="AH81" s="47" t="str">
        <f t="shared" si="1"/>
        <v/>
      </c>
      <c r="AI81" s="32"/>
      <c r="AJ81" s="32"/>
      <c r="AK81" s="32"/>
      <c r="AL81" s="32"/>
      <c r="AM81" s="32" t="s">
        <v>1099</v>
      </c>
      <c r="AN81" s="32"/>
      <c r="AO81" s="32" t="s">
        <v>1099</v>
      </c>
      <c r="AP81" s="32"/>
      <c r="AQ81" s="32"/>
      <c r="AR81" s="32"/>
      <c r="AS81" s="32"/>
      <c r="AT81" s="32"/>
      <c r="AU81" s="32"/>
      <c r="AV81" s="38" t="s">
        <v>1099</v>
      </c>
      <c r="AW81" s="38" t="s">
        <v>1099</v>
      </c>
      <c r="AX81" s="42" t="s">
        <v>106</v>
      </c>
      <c r="AY81" s="62" t="str">
        <f>IF('Cálculo MP'!J82="","",'Cálculo MP'!J82)</f>
        <v/>
      </c>
      <c r="AZ81" s="62" t="str">
        <f>IF('Cálculo MP'!K82="","",'Cálculo MP'!K82)</f>
        <v/>
      </c>
      <c r="BA81" s="62" t="str">
        <f>IF('Cálculo MP'!L82="","",'Cálculo MP'!L82)</f>
        <v/>
      </c>
      <c r="BB81" s="62" t="str">
        <f>IF('Cálculo MP'!M82="","",'Cálculo MP'!M82)</f>
        <v/>
      </c>
      <c r="BC81" s="62" t="str">
        <f>IF('Cálculo MP'!N82="","",'Cálculo MP'!N82)</f>
        <v/>
      </c>
      <c r="BD81" s="62" t="str">
        <f>IF('Cálculo MP'!O82="","",'Cálculo MP'!O82)</f>
        <v/>
      </c>
      <c r="BE81" s="62" t="str">
        <f>IF('Cálculo MP'!P82="","",'Cálculo MP'!P82)</f>
        <v/>
      </c>
      <c r="BF81" s="62" t="str">
        <f>IF('Cálculo MP'!Q82="","",'Cálculo MP'!Q82)</f>
        <v/>
      </c>
      <c r="BG81" s="62" t="str">
        <f>IF('Cálculo MP'!R82="","",'Cálculo MP'!R82)</f>
        <v/>
      </c>
      <c r="BH81" s="32"/>
      <c r="BI81" s="32"/>
      <c r="BJ81" s="32"/>
      <c r="BK81" s="32"/>
      <c r="BL81" s="32"/>
      <c r="BM81" s="32"/>
      <c r="BN81" s="32"/>
      <c r="BO81" s="62" t="str">
        <f t="shared" si="2"/>
        <v/>
      </c>
    </row>
    <row r="82" spans="1:67" ht="19.5" customHeight="1" x14ac:dyDescent="0.2">
      <c r="A82" s="49" t="b">
        <v>0</v>
      </c>
      <c r="B82" s="50" t="b">
        <v>1</v>
      </c>
      <c r="C82" s="51" t="b">
        <v>0</v>
      </c>
      <c r="D82" s="51" t="b">
        <v>0</v>
      </c>
      <c r="E82" s="37"/>
      <c r="F82" s="39"/>
      <c r="G82" s="37" t="s">
        <v>1100</v>
      </c>
      <c r="H82" s="34"/>
      <c r="I82" s="34"/>
      <c r="J82" s="34" t="s">
        <v>1099</v>
      </c>
      <c r="K82" s="51" t="b">
        <v>1</v>
      </c>
      <c r="L82" s="40"/>
      <c r="M82" s="37" t="s">
        <v>1099</v>
      </c>
      <c r="N82" s="37" t="s">
        <v>1099</v>
      </c>
      <c r="O82" s="41" t="s">
        <v>1099</v>
      </c>
      <c r="P82" s="40" t="s">
        <v>1099</v>
      </c>
      <c r="Q82" s="37" t="s">
        <v>1099</v>
      </c>
      <c r="R82" s="37" t="s">
        <v>1099</v>
      </c>
      <c r="S82" s="113" t="s">
        <v>1099</v>
      </c>
      <c r="T82" s="56"/>
      <c r="U82" s="56"/>
      <c r="V82" s="56"/>
      <c r="W82" s="114" t="s">
        <v>1099</v>
      </c>
      <c r="X82" s="115"/>
      <c r="Y82" s="115"/>
      <c r="Z82" s="116"/>
      <c r="AA82" s="117" t="s">
        <v>1099</v>
      </c>
      <c r="AB82" s="116"/>
      <c r="AC82" s="56"/>
      <c r="AD82" s="116"/>
      <c r="AE82" s="44" t="s">
        <v>1099</v>
      </c>
      <c r="AF82" s="46" t="str">
        <f t="shared" si="0"/>
        <v/>
      </c>
      <c r="AG82" s="38" t="s">
        <v>1099</v>
      </c>
      <c r="AH82" s="47" t="str">
        <f t="shared" si="1"/>
        <v/>
      </c>
      <c r="AI82" s="32"/>
      <c r="AJ82" s="32"/>
      <c r="AK82" s="32"/>
      <c r="AL82" s="32"/>
      <c r="AM82" s="32" t="s">
        <v>1099</v>
      </c>
      <c r="AN82" s="32"/>
      <c r="AO82" s="32" t="s">
        <v>1099</v>
      </c>
      <c r="AP82" s="32"/>
      <c r="AQ82" s="32"/>
      <c r="AR82" s="32"/>
      <c r="AS82" s="32"/>
      <c r="AT82" s="32"/>
      <c r="AU82" s="32"/>
      <c r="AV82" s="38" t="s">
        <v>1099</v>
      </c>
      <c r="AW82" s="38" t="s">
        <v>1099</v>
      </c>
      <c r="AX82" s="42" t="s">
        <v>106</v>
      </c>
      <c r="AY82" s="62" t="str">
        <f>IF('Cálculo MP'!J83="","",'Cálculo MP'!J83)</f>
        <v/>
      </c>
      <c r="AZ82" s="62" t="str">
        <f>IF('Cálculo MP'!K83="","",'Cálculo MP'!K83)</f>
        <v/>
      </c>
      <c r="BA82" s="62" t="str">
        <f>IF('Cálculo MP'!L83="","",'Cálculo MP'!L83)</f>
        <v/>
      </c>
      <c r="BB82" s="62" t="str">
        <f>IF('Cálculo MP'!M83="","",'Cálculo MP'!M83)</f>
        <v/>
      </c>
      <c r="BC82" s="62" t="str">
        <f>IF('Cálculo MP'!N83="","",'Cálculo MP'!N83)</f>
        <v/>
      </c>
      <c r="BD82" s="62" t="str">
        <f>IF('Cálculo MP'!O83="","",'Cálculo MP'!O83)</f>
        <v/>
      </c>
      <c r="BE82" s="62" t="str">
        <f>IF('Cálculo MP'!P83="","",'Cálculo MP'!P83)</f>
        <v/>
      </c>
      <c r="BF82" s="62" t="str">
        <f>IF('Cálculo MP'!Q83="","",'Cálculo MP'!Q83)</f>
        <v/>
      </c>
      <c r="BG82" s="62" t="str">
        <f>IF('Cálculo MP'!R83="","",'Cálculo MP'!R83)</f>
        <v/>
      </c>
      <c r="BH82" s="32"/>
      <c r="BI82" s="32"/>
      <c r="BJ82" s="32"/>
      <c r="BK82" s="32"/>
      <c r="BL82" s="32"/>
      <c r="BM82" s="32"/>
      <c r="BN82" s="32"/>
      <c r="BO82" s="62" t="str">
        <f t="shared" si="2"/>
        <v/>
      </c>
    </row>
    <row r="83" spans="1:67" ht="19.5" customHeight="1" x14ac:dyDescent="0.2">
      <c r="A83" s="49" t="b">
        <v>0</v>
      </c>
      <c r="B83" s="50" t="b">
        <v>1</v>
      </c>
      <c r="C83" s="51" t="b">
        <v>0</v>
      </c>
      <c r="D83" s="51" t="b">
        <v>0</v>
      </c>
      <c r="E83" s="37"/>
      <c r="F83" s="39"/>
      <c r="G83" s="37" t="s">
        <v>1100</v>
      </c>
      <c r="H83" s="34"/>
      <c r="I83" s="34"/>
      <c r="J83" s="34" t="s">
        <v>1099</v>
      </c>
      <c r="K83" s="51" t="b">
        <v>1</v>
      </c>
      <c r="L83" s="40"/>
      <c r="M83" s="37" t="s">
        <v>1099</v>
      </c>
      <c r="N83" s="37" t="s">
        <v>1099</v>
      </c>
      <c r="O83" s="41" t="s">
        <v>1099</v>
      </c>
      <c r="P83" s="40" t="s">
        <v>1099</v>
      </c>
      <c r="Q83" s="37" t="s">
        <v>1099</v>
      </c>
      <c r="R83" s="37" t="s">
        <v>1099</v>
      </c>
      <c r="S83" s="113" t="s">
        <v>1099</v>
      </c>
      <c r="T83" s="56"/>
      <c r="U83" s="56"/>
      <c r="V83" s="56"/>
      <c r="W83" s="114" t="s">
        <v>1099</v>
      </c>
      <c r="X83" s="115"/>
      <c r="Y83" s="115"/>
      <c r="Z83" s="116"/>
      <c r="AA83" s="117" t="s">
        <v>1099</v>
      </c>
      <c r="AB83" s="116"/>
      <c r="AC83" s="56"/>
      <c r="AD83" s="116"/>
      <c r="AE83" s="44" t="s">
        <v>1099</v>
      </c>
      <c r="AF83" s="46" t="str">
        <f t="shared" ref="AF83:AF146" si="3">IFERROR((VALUE(TRIM(LEFT(MID(AE83,FIND("|",AE83)+1,99),FIND("-",MID(AE83,FIND("|",AE83)+1,99))-1)))+VALUE(TRIM(SUBSTITUTE(SUBSTITUTE(SUBSTITUTE(MID(MID(AE83,FIND("|",AE83)+1,99),FIND("-",MID(AE83,FIND("|",AE83)+1,99))+1,20),"µm",""),"μm","")," ",""))))/2,"")</f>
        <v/>
      </c>
      <c r="AG83" s="38" t="s">
        <v>1099</v>
      </c>
      <c r="AH83" s="47" t="str">
        <f t="shared" ref="AH83:AH146" si="4">IFERROR((VALUE(TRIM(LEFT(MID(AG83,FIND("|",AG83)+1,99),FIND("-",MID(AG83,FIND("|",AG83)+1,99))-1)))+VALUE(TRIM(SUBSTITUTE(SUBSTITUTE(SUBSTITUTE(MID(MID(AG83,FIND("|",AG83)+1,99),FIND("-",MID(AG83,FIND("|",AG83)+1,99))+1,20),"µm",""),"μm","")," ",""))))/2,"")</f>
        <v/>
      </c>
      <c r="AI83" s="32"/>
      <c r="AJ83" s="32"/>
      <c r="AK83" s="32"/>
      <c r="AL83" s="32"/>
      <c r="AM83" s="32" t="s">
        <v>1099</v>
      </c>
      <c r="AN83" s="32"/>
      <c r="AO83" s="32" t="s">
        <v>1099</v>
      </c>
      <c r="AP83" s="32"/>
      <c r="AQ83" s="32"/>
      <c r="AR83" s="32"/>
      <c r="AS83" s="32"/>
      <c r="AT83" s="32"/>
      <c r="AU83" s="32"/>
      <c r="AV83" s="38" t="s">
        <v>1099</v>
      </c>
      <c r="AW83" s="38" t="s">
        <v>1099</v>
      </c>
      <c r="AX83" s="42" t="s">
        <v>106</v>
      </c>
      <c r="AY83" s="62" t="str">
        <f>IF('Cálculo MP'!J84="","",'Cálculo MP'!J84)</f>
        <v/>
      </c>
      <c r="AZ83" s="62" t="str">
        <f>IF('Cálculo MP'!K84="","",'Cálculo MP'!K84)</f>
        <v/>
      </c>
      <c r="BA83" s="62" t="str">
        <f>IF('Cálculo MP'!L84="","",'Cálculo MP'!L84)</f>
        <v/>
      </c>
      <c r="BB83" s="62" t="str">
        <f>IF('Cálculo MP'!M84="","",'Cálculo MP'!M84)</f>
        <v/>
      </c>
      <c r="BC83" s="62" t="str">
        <f>IF('Cálculo MP'!N84="","",'Cálculo MP'!N84)</f>
        <v/>
      </c>
      <c r="BD83" s="62" t="str">
        <f>IF('Cálculo MP'!O84="","",'Cálculo MP'!O84)</f>
        <v/>
      </c>
      <c r="BE83" s="62" t="str">
        <f>IF('Cálculo MP'!P84="","",'Cálculo MP'!P84)</f>
        <v/>
      </c>
      <c r="BF83" s="62" t="str">
        <f>IF('Cálculo MP'!Q84="","",'Cálculo MP'!Q84)</f>
        <v/>
      </c>
      <c r="BG83" s="62" t="str">
        <f>IF('Cálculo MP'!R84="","",'Cálculo MP'!R84)</f>
        <v/>
      </c>
      <c r="BH83" s="32"/>
      <c r="BI83" s="32"/>
      <c r="BJ83" s="32"/>
      <c r="BK83" s="32"/>
      <c r="BL83" s="32"/>
      <c r="BM83" s="32"/>
      <c r="BN83" s="32"/>
      <c r="BO83" s="62" t="str">
        <f t="shared" ref="BO83:BO146" si="5">IF(E83="","",H83*I83)</f>
        <v/>
      </c>
    </row>
    <row r="84" spans="1:67" ht="19.5" customHeight="1" x14ac:dyDescent="0.2">
      <c r="A84" s="49" t="b">
        <v>0</v>
      </c>
      <c r="B84" s="50" t="b">
        <v>1</v>
      </c>
      <c r="C84" s="51" t="b">
        <v>0</v>
      </c>
      <c r="D84" s="51" t="b">
        <v>0</v>
      </c>
      <c r="E84" s="37"/>
      <c r="F84" s="39"/>
      <c r="G84" s="37" t="s">
        <v>1100</v>
      </c>
      <c r="H84" s="34"/>
      <c r="I84" s="34"/>
      <c r="J84" s="34" t="s">
        <v>1099</v>
      </c>
      <c r="K84" s="51" t="b">
        <v>1</v>
      </c>
      <c r="L84" s="40"/>
      <c r="M84" s="37" t="s">
        <v>1099</v>
      </c>
      <c r="N84" s="37" t="s">
        <v>1099</v>
      </c>
      <c r="O84" s="41" t="s">
        <v>1099</v>
      </c>
      <c r="P84" s="40" t="s">
        <v>1099</v>
      </c>
      <c r="Q84" s="37" t="s">
        <v>1099</v>
      </c>
      <c r="R84" s="37" t="s">
        <v>1099</v>
      </c>
      <c r="S84" s="113" t="s">
        <v>1099</v>
      </c>
      <c r="T84" s="56"/>
      <c r="U84" s="56"/>
      <c r="V84" s="56"/>
      <c r="W84" s="114" t="s">
        <v>1099</v>
      </c>
      <c r="X84" s="115"/>
      <c r="Y84" s="115"/>
      <c r="Z84" s="116"/>
      <c r="AA84" s="117" t="s">
        <v>1099</v>
      </c>
      <c r="AB84" s="116"/>
      <c r="AC84" s="56"/>
      <c r="AD84" s="116"/>
      <c r="AE84" s="44" t="s">
        <v>1099</v>
      </c>
      <c r="AF84" s="46" t="str">
        <f t="shared" si="3"/>
        <v/>
      </c>
      <c r="AG84" s="38" t="s">
        <v>1099</v>
      </c>
      <c r="AH84" s="47" t="str">
        <f t="shared" si="4"/>
        <v/>
      </c>
      <c r="AI84" s="32"/>
      <c r="AJ84" s="32"/>
      <c r="AK84" s="32"/>
      <c r="AL84" s="32"/>
      <c r="AM84" s="32" t="s">
        <v>1099</v>
      </c>
      <c r="AN84" s="32"/>
      <c r="AO84" s="32" t="s">
        <v>1099</v>
      </c>
      <c r="AP84" s="32"/>
      <c r="AQ84" s="32"/>
      <c r="AR84" s="32"/>
      <c r="AS84" s="32"/>
      <c r="AT84" s="32"/>
      <c r="AU84" s="32"/>
      <c r="AV84" s="38" t="s">
        <v>1099</v>
      </c>
      <c r="AW84" s="38" t="s">
        <v>1099</v>
      </c>
      <c r="AX84" s="42" t="s">
        <v>106</v>
      </c>
      <c r="AY84" s="62" t="str">
        <f>IF('Cálculo MP'!J85="","",'Cálculo MP'!J85)</f>
        <v/>
      </c>
      <c r="AZ84" s="62" t="str">
        <f>IF('Cálculo MP'!K85="","",'Cálculo MP'!K85)</f>
        <v/>
      </c>
      <c r="BA84" s="62" t="str">
        <f>IF('Cálculo MP'!L85="","",'Cálculo MP'!L85)</f>
        <v/>
      </c>
      <c r="BB84" s="62" t="str">
        <f>IF('Cálculo MP'!M85="","",'Cálculo MP'!M85)</f>
        <v/>
      </c>
      <c r="BC84" s="62" t="str">
        <f>IF('Cálculo MP'!N85="","",'Cálculo MP'!N85)</f>
        <v/>
      </c>
      <c r="BD84" s="62" t="str">
        <f>IF('Cálculo MP'!O85="","",'Cálculo MP'!O85)</f>
        <v/>
      </c>
      <c r="BE84" s="62" t="str">
        <f>IF('Cálculo MP'!P85="","",'Cálculo MP'!P85)</f>
        <v/>
      </c>
      <c r="BF84" s="62" t="str">
        <f>IF('Cálculo MP'!Q85="","",'Cálculo MP'!Q85)</f>
        <v/>
      </c>
      <c r="BG84" s="62" t="str">
        <f>IF('Cálculo MP'!R85="","",'Cálculo MP'!R85)</f>
        <v/>
      </c>
      <c r="BH84" s="32"/>
      <c r="BI84" s="32"/>
      <c r="BJ84" s="32"/>
      <c r="BK84" s="32"/>
      <c r="BL84" s="32"/>
      <c r="BM84" s="32"/>
      <c r="BN84" s="32"/>
      <c r="BO84" s="62" t="str">
        <f t="shared" si="5"/>
        <v/>
      </c>
    </row>
    <row r="85" spans="1:67" ht="19.5" customHeight="1" x14ac:dyDescent="0.2">
      <c r="A85" s="49" t="b">
        <v>0</v>
      </c>
      <c r="B85" s="50" t="b">
        <v>1</v>
      </c>
      <c r="C85" s="51" t="b">
        <v>0</v>
      </c>
      <c r="D85" s="51" t="b">
        <v>0</v>
      </c>
      <c r="E85" s="37"/>
      <c r="F85" s="39"/>
      <c r="G85" s="37" t="s">
        <v>1100</v>
      </c>
      <c r="H85" s="34"/>
      <c r="I85" s="34"/>
      <c r="J85" s="34" t="s">
        <v>1099</v>
      </c>
      <c r="K85" s="51" t="b">
        <v>1</v>
      </c>
      <c r="L85" s="40"/>
      <c r="M85" s="37" t="s">
        <v>1099</v>
      </c>
      <c r="N85" s="37" t="s">
        <v>1099</v>
      </c>
      <c r="O85" s="41" t="s">
        <v>1099</v>
      </c>
      <c r="P85" s="40" t="s">
        <v>1099</v>
      </c>
      <c r="Q85" s="37" t="s">
        <v>1099</v>
      </c>
      <c r="R85" s="37" t="s">
        <v>1099</v>
      </c>
      <c r="S85" s="113" t="s">
        <v>1099</v>
      </c>
      <c r="T85" s="56"/>
      <c r="U85" s="56"/>
      <c r="V85" s="56"/>
      <c r="W85" s="114" t="s">
        <v>1099</v>
      </c>
      <c r="X85" s="115"/>
      <c r="Y85" s="115"/>
      <c r="Z85" s="116"/>
      <c r="AA85" s="117" t="s">
        <v>1099</v>
      </c>
      <c r="AB85" s="116"/>
      <c r="AC85" s="56"/>
      <c r="AD85" s="116"/>
      <c r="AE85" s="44" t="s">
        <v>1099</v>
      </c>
      <c r="AF85" s="46" t="str">
        <f t="shared" si="3"/>
        <v/>
      </c>
      <c r="AG85" s="38" t="s">
        <v>1099</v>
      </c>
      <c r="AH85" s="47" t="str">
        <f t="shared" si="4"/>
        <v/>
      </c>
      <c r="AI85" s="32"/>
      <c r="AJ85" s="32"/>
      <c r="AK85" s="32"/>
      <c r="AL85" s="32"/>
      <c r="AM85" s="32" t="s">
        <v>1099</v>
      </c>
      <c r="AN85" s="32"/>
      <c r="AO85" s="32" t="s">
        <v>1099</v>
      </c>
      <c r="AP85" s="32"/>
      <c r="AQ85" s="32"/>
      <c r="AR85" s="32"/>
      <c r="AS85" s="32"/>
      <c r="AT85" s="32"/>
      <c r="AU85" s="32"/>
      <c r="AV85" s="38" t="s">
        <v>1099</v>
      </c>
      <c r="AW85" s="38" t="s">
        <v>1099</v>
      </c>
      <c r="AX85" s="42" t="s">
        <v>106</v>
      </c>
      <c r="AY85" s="62" t="str">
        <f>IF('Cálculo MP'!J86="","",'Cálculo MP'!J86)</f>
        <v/>
      </c>
      <c r="AZ85" s="62" t="str">
        <f>IF('Cálculo MP'!K86="","",'Cálculo MP'!K86)</f>
        <v/>
      </c>
      <c r="BA85" s="62" t="str">
        <f>IF('Cálculo MP'!L86="","",'Cálculo MP'!L86)</f>
        <v/>
      </c>
      <c r="BB85" s="62" t="str">
        <f>IF('Cálculo MP'!M86="","",'Cálculo MP'!M86)</f>
        <v/>
      </c>
      <c r="BC85" s="62" t="str">
        <f>IF('Cálculo MP'!N86="","",'Cálculo MP'!N86)</f>
        <v/>
      </c>
      <c r="BD85" s="62" t="str">
        <f>IF('Cálculo MP'!O86="","",'Cálculo MP'!O86)</f>
        <v/>
      </c>
      <c r="BE85" s="62" t="str">
        <f>IF('Cálculo MP'!P86="","",'Cálculo MP'!P86)</f>
        <v/>
      </c>
      <c r="BF85" s="62" t="str">
        <f>IF('Cálculo MP'!Q86="","",'Cálculo MP'!Q86)</f>
        <v/>
      </c>
      <c r="BG85" s="62" t="str">
        <f>IF('Cálculo MP'!R86="","",'Cálculo MP'!R86)</f>
        <v/>
      </c>
      <c r="BH85" s="32"/>
      <c r="BI85" s="32"/>
      <c r="BJ85" s="32"/>
      <c r="BK85" s="32"/>
      <c r="BL85" s="32"/>
      <c r="BM85" s="32"/>
      <c r="BN85" s="32"/>
      <c r="BO85" s="62" t="str">
        <f t="shared" si="5"/>
        <v/>
      </c>
    </row>
    <row r="86" spans="1:67" ht="19.5" customHeight="1" x14ac:dyDescent="0.2">
      <c r="A86" s="49" t="b">
        <v>0</v>
      </c>
      <c r="B86" s="50" t="b">
        <v>1</v>
      </c>
      <c r="C86" s="51" t="b">
        <v>0</v>
      </c>
      <c r="D86" s="51" t="b">
        <v>0</v>
      </c>
      <c r="E86" s="37"/>
      <c r="F86" s="39"/>
      <c r="G86" s="37" t="s">
        <v>1100</v>
      </c>
      <c r="H86" s="34"/>
      <c r="I86" s="34"/>
      <c r="J86" s="34" t="s">
        <v>1099</v>
      </c>
      <c r="K86" s="51" t="b">
        <v>1</v>
      </c>
      <c r="L86" s="40"/>
      <c r="M86" s="37" t="s">
        <v>1099</v>
      </c>
      <c r="N86" s="37" t="s">
        <v>1099</v>
      </c>
      <c r="O86" s="41" t="s">
        <v>1099</v>
      </c>
      <c r="P86" s="40" t="s">
        <v>1099</v>
      </c>
      <c r="Q86" s="37" t="s">
        <v>1099</v>
      </c>
      <c r="R86" s="37" t="s">
        <v>1099</v>
      </c>
      <c r="S86" s="113" t="s">
        <v>1099</v>
      </c>
      <c r="T86" s="56"/>
      <c r="U86" s="56"/>
      <c r="V86" s="56"/>
      <c r="W86" s="114" t="s">
        <v>1099</v>
      </c>
      <c r="X86" s="115"/>
      <c r="Y86" s="115"/>
      <c r="Z86" s="116"/>
      <c r="AA86" s="117" t="s">
        <v>1099</v>
      </c>
      <c r="AB86" s="116"/>
      <c r="AC86" s="56"/>
      <c r="AD86" s="116"/>
      <c r="AE86" s="44" t="s">
        <v>1099</v>
      </c>
      <c r="AF86" s="46" t="str">
        <f t="shared" si="3"/>
        <v/>
      </c>
      <c r="AG86" s="38" t="s">
        <v>1099</v>
      </c>
      <c r="AH86" s="47" t="str">
        <f t="shared" si="4"/>
        <v/>
      </c>
      <c r="AI86" s="32"/>
      <c r="AJ86" s="32"/>
      <c r="AK86" s="32"/>
      <c r="AL86" s="32"/>
      <c r="AM86" s="32" t="s">
        <v>1099</v>
      </c>
      <c r="AN86" s="32"/>
      <c r="AO86" s="32" t="s">
        <v>1099</v>
      </c>
      <c r="AP86" s="32"/>
      <c r="AQ86" s="32"/>
      <c r="AR86" s="32"/>
      <c r="AS86" s="32"/>
      <c r="AT86" s="32"/>
      <c r="AU86" s="32"/>
      <c r="AV86" s="38" t="s">
        <v>1099</v>
      </c>
      <c r="AW86" s="38" t="s">
        <v>1099</v>
      </c>
      <c r="AX86" s="42" t="s">
        <v>106</v>
      </c>
      <c r="AY86" s="62" t="str">
        <f>IF('Cálculo MP'!J87="","",'Cálculo MP'!J87)</f>
        <v/>
      </c>
      <c r="AZ86" s="62" t="str">
        <f>IF('Cálculo MP'!K87="","",'Cálculo MP'!K87)</f>
        <v/>
      </c>
      <c r="BA86" s="62" t="str">
        <f>IF('Cálculo MP'!L87="","",'Cálculo MP'!L87)</f>
        <v/>
      </c>
      <c r="BB86" s="62" t="str">
        <f>IF('Cálculo MP'!M87="","",'Cálculo MP'!M87)</f>
        <v/>
      </c>
      <c r="BC86" s="62" t="str">
        <f>IF('Cálculo MP'!N87="","",'Cálculo MP'!N87)</f>
        <v/>
      </c>
      <c r="BD86" s="62" t="str">
        <f>IF('Cálculo MP'!O87="","",'Cálculo MP'!O87)</f>
        <v/>
      </c>
      <c r="BE86" s="62" t="str">
        <f>IF('Cálculo MP'!P87="","",'Cálculo MP'!P87)</f>
        <v/>
      </c>
      <c r="BF86" s="62" t="str">
        <f>IF('Cálculo MP'!Q87="","",'Cálculo MP'!Q87)</f>
        <v/>
      </c>
      <c r="BG86" s="62" t="str">
        <f>IF('Cálculo MP'!R87="","",'Cálculo MP'!R87)</f>
        <v/>
      </c>
      <c r="BH86" s="32"/>
      <c r="BI86" s="32"/>
      <c r="BJ86" s="32"/>
      <c r="BK86" s="32"/>
      <c r="BL86" s="32"/>
      <c r="BM86" s="32"/>
      <c r="BN86" s="32"/>
      <c r="BO86" s="62" t="str">
        <f t="shared" si="5"/>
        <v/>
      </c>
    </row>
    <row r="87" spans="1:67" ht="19.5" customHeight="1" x14ac:dyDescent="0.2">
      <c r="A87" s="49" t="b">
        <v>0</v>
      </c>
      <c r="B87" s="50" t="b">
        <v>1</v>
      </c>
      <c r="C87" s="51" t="b">
        <v>0</v>
      </c>
      <c r="D87" s="51" t="b">
        <v>0</v>
      </c>
      <c r="E87" s="37"/>
      <c r="F87" s="39"/>
      <c r="G87" s="37" t="s">
        <v>1100</v>
      </c>
      <c r="H87" s="34"/>
      <c r="I87" s="34"/>
      <c r="J87" s="34" t="s">
        <v>1099</v>
      </c>
      <c r="K87" s="51" t="b">
        <v>1</v>
      </c>
      <c r="L87" s="40"/>
      <c r="M87" s="37" t="s">
        <v>1099</v>
      </c>
      <c r="N87" s="37" t="s">
        <v>1099</v>
      </c>
      <c r="O87" s="41" t="s">
        <v>1099</v>
      </c>
      <c r="P87" s="40" t="s">
        <v>1099</v>
      </c>
      <c r="Q87" s="37" t="s">
        <v>1099</v>
      </c>
      <c r="R87" s="37" t="s">
        <v>1099</v>
      </c>
      <c r="S87" s="113" t="s">
        <v>1099</v>
      </c>
      <c r="T87" s="56"/>
      <c r="U87" s="56"/>
      <c r="V87" s="56"/>
      <c r="W87" s="114" t="s">
        <v>1099</v>
      </c>
      <c r="X87" s="115"/>
      <c r="Y87" s="115"/>
      <c r="Z87" s="116"/>
      <c r="AA87" s="117" t="s">
        <v>1099</v>
      </c>
      <c r="AB87" s="116"/>
      <c r="AC87" s="56"/>
      <c r="AD87" s="116"/>
      <c r="AE87" s="44" t="s">
        <v>1099</v>
      </c>
      <c r="AF87" s="46" t="str">
        <f t="shared" si="3"/>
        <v/>
      </c>
      <c r="AG87" s="38" t="s">
        <v>1099</v>
      </c>
      <c r="AH87" s="47" t="str">
        <f t="shared" si="4"/>
        <v/>
      </c>
      <c r="AI87" s="32"/>
      <c r="AJ87" s="32"/>
      <c r="AK87" s="32"/>
      <c r="AL87" s="32"/>
      <c r="AM87" s="32" t="s">
        <v>1099</v>
      </c>
      <c r="AN87" s="32"/>
      <c r="AO87" s="32" t="s">
        <v>1099</v>
      </c>
      <c r="AP87" s="32"/>
      <c r="AQ87" s="32"/>
      <c r="AR87" s="32"/>
      <c r="AS87" s="32"/>
      <c r="AT87" s="32"/>
      <c r="AU87" s="32"/>
      <c r="AV87" s="38" t="s">
        <v>1099</v>
      </c>
      <c r="AW87" s="38" t="s">
        <v>1099</v>
      </c>
      <c r="AX87" s="42" t="s">
        <v>106</v>
      </c>
      <c r="AY87" s="62" t="str">
        <f>IF('Cálculo MP'!J88="","",'Cálculo MP'!J88)</f>
        <v/>
      </c>
      <c r="AZ87" s="62" t="str">
        <f>IF('Cálculo MP'!K88="","",'Cálculo MP'!K88)</f>
        <v/>
      </c>
      <c r="BA87" s="62" t="str">
        <f>IF('Cálculo MP'!L88="","",'Cálculo MP'!L88)</f>
        <v/>
      </c>
      <c r="BB87" s="62" t="str">
        <f>IF('Cálculo MP'!M88="","",'Cálculo MP'!M88)</f>
        <v/>
      </c>
      <c r="BC87" s="62" t="str">
        <f>IF('Cálculo MP'!N88="","",'Cálculo MP'!N88)</f>
        <v/>
      </c>
      <c r="BD87" s="62" t="str">
        <f>IF('Cálculo MP'!O88="","",'Cálculo MP'!O88)</f>
        <v/>
      </c>
      <c r="BE87" s="62" t="str">
        <f>IF('Cálculo MP'!P88="","",'Cálculo MP'!P88)</f>
        <v/>
      </c>
      <c r="BF87" s="62" t="str">
        <f>IF('Cálculo MP'!Q88="","",'Cálculo MP'!Q88)</f>
        <v/>
      </c>
      <c r="BG87" s="62" t="str">
        <f>IF('Cálculo MP'!R88="","",'Cálculo MP'!R88)</f>
        <v/>
      </c>
      <c r="BH87" s="32"/>
      <c r="BI87" s="32"/>
      <c r="BJ87" s="32"/>
      <c r="BK87" s="32"/>
      <c r="BL87" s="32"/>
      <c r="BM87" s="32"/>
      <c r="BN87" s="32"/>
      <c r="BO87" s="62" t="str">
        <f t="shared" si="5"/>
        <v/>
      </c>
    </row>
    <row r="88" spans="1:67" ht="19.5" customHeight="1" x14ac:dyDescent="0.2">
      <c r="A88" s="49" t="b">
        <v>0</v>
      </c>
      <c r="B88" s="50" t="b">
        <v>1</v>
      </c>
      <c r="C88" s="51" t="b">
        <v>0</v>
      </c>
      <c r="D88" s="51" t="b">
        <v>0</v>
      </c>
      <c r="E88" s="37"/>
      <c r="F88" s="39"/>
      <c r="G88" s="37" t="s">
        <v>1100</v>
      </c>
      <c r="H88" s="34"/>
      <c r="I88" s="34"/>
      <c r="J88" s="34" t="s">
        <v>1099</v>
      </c>
      <c r="K88" s="51" t="b">
        <v>1</v>
      </c>
      <c r="L88" s="40"/>
      <c r="M88" s="37" t="s">
        <v>1099</v>
      </c>
      <c r="N88" s="37" t="s">
        <v>1099</v>
      </c>
      <c r="O88" s="41" t="s">
        <v>1099</v>
      </c>
      <c r="P88" s="40" t="s">
        <v>1099</v>
      </c>
      <c r="Q88" s="37" t="s">
        <v>1099</v>
      </c>
      <c r="R88" s="37" t="s">
        <v>1099</v>
      </c>
      <c r="S88" s="113" t="s">
        <v>1099</v>
      </c>
      <c r="T88" s="56"/>
      <c r="U88" s="56"/>
      <c r="V88" s="56"/>
      <c r="W88" s="114" t="s">
        <v>1099</v>
      </c>
      <c r="X88" s="115"/>
      <c r="Y88" s="115"/>
      <c r="Z88" s="116"/>
      <c r="AA88" s="117" t="s">
        <v>1099</v>
      </c>
      <c r="AB88" s="116"/>
      <c r="AC88" s="56"/>
      <c r="AD88" s="116"/>
      <c r="AE88" s="44" t="s">
        <v>1099</v>
      </c>
      <c r="AF88" s="46" t="str">
        <f t="shared" si="3"/>
        <v/>
      </c>
      <c r="AG88" s="38" t="s">
        <v>1099</v>
      </c>
      <c r="AH88" s="47" t="str">
        <f t="shared" si="4"/>
        <v/>
      </c>
      <c r="AI88" s="32"/>
      <c r="AJ88" s="32"/>
      <c r="AK88" s="32"/>
      <c r="AL88" s="32"/>
      <c r="AM88" s="32" t="s">
        <v>1099</v>
      </c>
      <c r="AN88" s="32"/>
      <c r="AO88" s="32" t="s">
        <v>1099</v>
      </c>
      <c r="AP88" s="32"/>
      <c r="AQ88" s="32"/>
      <c r="AR88" s="32"/>
      <c r="AS88" s="32"/>
      <c r="AT88" s="32"/>
      <c r="AU88" s="32"/>
      <c r="AV88" s="38" t="s">
        <v>1099</v>
      </c>
      <c r="AW88" s="38" t="s">
        <v>1099</v>
      </c>
      <c r="AX88" s="42" t="s">
        <v>106</v>
      </c>
      <c r="AY88" s="62" t="str">
        <f>IF('Cálculo MP'!J89="","",'Cálculo MP'!J89)</f>
        <v/>
      </c>
      <c r="AZ88" s="62" t="str">
        <f>IF('Cálculo MP'!K89="","",'Cálculo MP'!K89)</f>
        <v/>
      </c>
      <c r="BA88" s="62" t="str">
        <f>IF('Cálculo MP'!L89="","",'Cálculo MP'!L89)</f>
        <v/>
      </c>
      <c r="BB88" s="62" t="str">
        <f>IF('Cálculo MP'!M89="","",'Cálculo MP'!M89)</f>
        <v/>
      </c>
      <c r="BC88" s="62" t="str">
        <f>IF('Cálculo MP'!N89="","",'Cálculo MP'!N89)</f>
        <v/>
      </c>
      <c r="BD88" s="62" t="str">
        <f>IF('Cálculo MP'!O89="","",'Cálculo MP'!O89)</f>
        <v/>
      </c>
      <c r="BE88" s="62" t="str">
        <f>IF('Cálculo MP'!P89="","",'Cálculo MP'!P89)</f>
        <v/>
      </c>
      <c r="BF88" s="62" t="str">
        <f>IF('Cálculo MP'!Q89="","",'Cálculo MP'!Q89)</f>
        <v/>
      </c>
      <c r="BG88" s="62" t="str">
        <f>IF('Cálculo MP'!R89="","",'Cálculo MP'!R89)</f>
        <v/>
      </c>
      <c r="BH88" s="32"/>
      <c r="BI88" s="32"/>
      <c r="BJ88" s="32"/>
      <c r="BK88" s="32"/>
      <c r="BL88" s="32"/>
      <c r="BM88" s="32"/>
      <c r="BN88" s="32"/>
      <c r="BO88" s="62" t="str">
        <f t="shared" si="5"/>
        <v/>
      </c>
    </row>
    <row r="89" spans="1:67" ht="19.5" customHeight="1" x14ac:dyDescent="0.2">
      <c r="A89" s="49" t="b">
        <v>0</v>
      </c>
      <c r="B89" s="50" t="b">
        <v>1</v>
      </c>
      <c r="C89" s="51" t="b">
        <v>0</v>
      </c>
      <c r="D89" s="51" t="b">
        <v>0</v>
      </c>
      <c r="E89" s="37"/>
      <c r="F89" s="39"/>
      <c r="G89" s="37" t="s">
        <v>1100</v>
      </c>
      <c r="H89" s="34"/>
      <c r="I89" s="34"/>
      <c r="J89" s="34" t="s">
        <v>1099</v>
      </c>
      <c r="K89" s="51" t="b">
        <v>1</v>
      </c>
      <c r="L89" s="40"/>
      <c r="M89" s="37" t="s">
        <v>1099</v>
      </c>
      <c r="N89" s="37" t="s">
        <v>1099</v>
      </c>
      <c r="O89" s="41" t="s">
        <v>1099</v>
      </c>
      <c r="P89" s="40" t="s">
        <v>1099</v>
      </c>
      <c r="Q89" s="37" t="s">
        <v>1099</v>
      </c>
      <c r="R89" s="37" t="s">
        <v>1099</v>
      </c>
      <c r="S89" s="113" t="s">
        <v>1099</v>
      </c>
      <c r="T89" s="56"/>
      <c r="U89" s="56"/>
      <c r="V89" s="56"/>
      <c r="W89" s="114" t="s">
        <v>1099</v>
      </c>
      <c r="X89" s="115"/>
      <c r="Y89" s="115"/>
      <c r="Z89" s="116"/>
      <c r="AA89" s="117" t="s">
        <v>1099</v>
      </c>
      <c r="AB89" s="116"/>
      <c r="AC89" s="56"/>
      <c r="AD89" s="116"/>
      <c r="AE89" s="44" t="s">
        <v>1099</v>
      </c>
      <c r="AF89" s="46" t="str">
        <f t="shared" si="3"/>
        <v/>
      </c>
      <c r="AG89" s="38" t="s">
        <v>1099</v>
      </c>
      <c r="AH89" s="47" t="str">
        <f t="shared" si="4"/>
        <v/>
      </c>
      <c r="AI89" s="32"/>
      <c r="AJ89" s="32"/>
      <c r="AK89" s="32"/>
      <c r="AL89" s="32"/>
      <c r="AM89" s="32" t="s">
        <v>1099</v>
      </c>
      <c r="AN89" s="32"/>
      <c r="AO89" s="32" t="s">
        <v>1099</v>
      </c>
      <c r="AP89" s="32"/>
      <c r="AQ89" s="32"/>
      <c r="AR89" s="32"/>
      <c r="AS89" s="32"/>
      <c r="AT89" s="32"/>
      <c r="AU89" s="32"/>
      <c r="AV89" s="38" t="s">
        <v>1099</v>
      </c>
      <c r="AW89" s="38" t="s">
        <v>1099</v>
      </c>
      <c r="AX89" s="42" t="s">
        <v>106</v>
      </c>
      <c r="AY89" s="62" t="str">
        <f>IF('Cálculo MP'!J90="","",'Cálculo MP'!J90)</f>
        <v/>
      </c>
      <c r="AZ89" s="62" t="str">
        <f>IF('Cálculo MP'!K90="","",'Cálculo MP'!K90)</f>
        <v/>
      </c>
      <c r="BA89" s="62" t="str">
        <f>IF('Cálculo MP'!L90="","",'Cálculo MP'!L90)</f>
        <v/>
      </c>
      <c r="BB89" s="62" t="str">
        <f>IF('Cálculo MP'!M90="","",'Cálculo MP'!M90)</f>
        <v/>
      </c>
      <c r="BC89" s="62" t="str">
        <f>IF('Cálculo MP'!N90="","",'Cálculo MP'!N90)</f>
        <v/>
      </c>
      <c r="BD89" s="62" t="str">
        <f>IF('Cálculo MP'!O90="","",'Cálculo MP'!O90)</f>
        <v/>
      </c>
      <c r="BE89" s="62" t="str">
        <f>IF('Cálculo MP'!P90="","",'Cálculo MP'!P90)</f>
        <v/>
      </c>
      <c r="BF89" s="62" t="str">
        <f>IF('Cálculo MP'!Q90="","",'Cálculo MP'!Q90)</f>
        <v/>
      </c>
      <c r="BG89" s="62" t="str">
        <f>IF('Cálculo MP'!R90="","",'Cálculo MP'!R90)</f>
        <v/>
      </c>
      <c r="BH89" s="32"/>
      <c r="BI89" s="32"/>
      <c r="BJ89" s="32"/>
      <c r="BK89" s="32"/>
      <c r="BL89" s="32"/>
      <c r="BM89" s="32"/>
      <c r="BN89" s="32"/>
      <c r="BO89" s="62" t="str">
        <f t="shared" si="5"/>
        <v/>
      </c>
    </row>
    <row r="90" spans="1:67" ht="19.5" customHeight="1" x14ac:dyDescent="0.2">
      <c r="A90" s="49" t="b">
        <v>0</v>
      </c>
      <c r="B90" s="50" t="b">
        <v>1</v>
      </c>
      <c r="C90" s="51" t="b">
        <v>0</v>
      </c>
      <c r="D90" s="51" t="b">
        <v>0</v>
      </c>
      <c r="E90" s="37"/>
      <c r="F90" s="39"/>
      <c r="G90" s="37" t="s">
        <v>1100</v>
      </c>
      <c r="H90" s="34"/>
      <c r="I90" s="34"/>
      <c r="J90" s="34" t="s">
        <v>1099</v>
      </c>
      <c r="K90" s="51" t="b">
        <v>1</v>
      </c>
      <c r="L90" s="40"/>
      <c r="M90" s="37" t="s">
        <v>1099</v>
      </c>
      <c r="N90" s="37" t="s">
        <v>1099</v>
      </c>
      <c r="O90" s="41" t="s">
        <v>1099</v>
      </c>
      <c r="P90" s="40" t="s">
        <v>1099</v>
      </c>
      <c r="Q90" s="37" t="s">
        <v>1099</v>
      </c>
      <c r="R90" s="37" t="s">
        <v>1099</v>
      </c>
      <c r="S90" s="113" t="s">
        <v>1099</v>
      </c>
      <c r="T90" s="56"/>
      <c r="U90" s="56"/>
      <c r="V90" s="56"/>
      <c r="W90" s="114" t="s">
        <v>1099</v>
      </c>
      <c r="X90" s="115"/>
      <c r="Y90" s="115"/>
      <c r="Z90" s="116"/>
      <c r="AA90" s="117" t="s">
        <v>1099</v>
      </c>
      <c r="AB90" s="116"/>
      <c r="AC90" s="56"/>
      <c r="AD90" s="116"/>
      <c r="AE90" s="44" t="s">
        <v>1099</v>
      </c>
      <c r="AF90" s="46" t="str">
        <f t="shared" si="3"/>
        <v/>
      </c>
      <c r="AG90" s="38" t="s">
        <v>1099</v>
      </c>
      <c r="AH90" s="47" t="str">
        <f t="shared" si="4"/>
        <v/>
      </c>
      <c r="AI90" s="32"/>
      <c r="AJ90" s="32"/>
      <c r="AK90" s="32"/>
      <c r="AL90" s="32"/>
      <c r="AM90" s="32" t="s">
        <v>1099</v>
      </c>
      <c r="AN90" s="32"/>
      <c r="AO90" s="32" t="s">
        <v>1099</v>
      </c>
      <c r="AP90" s="32"/>
      <c r="AQ90" s="32"/>
      <c r="AR90" s="32"/>
      <c r="AS90" s="32"/>
      <c r="AT90" s="32"/>
      <c r="AU90" s="32"/>
      <c r="AV90" s="38" t="s">
        <v>1099</v>
      </c>
      <c r="AW90" s="38" t="s">
        <v>1099</v>
      </c>
      <c r="AX90" s="42" t="s">
        <v>106</v>
      </c>
      <c r="AY90" s="62" t="str">
        <f>IF('Cálculo MP'!J91="","",'Cálculo MP'!J91)</f>
        <v/>
      </c>
      <c r="AZ90" s="62" t="str">
        <f>IF('Cálculo MP'!K91="","",'Cálculo MP'!K91)</f>
        <v/>
      </c>
      <c r="BA90" s="62" t="str">
        <f>IF('Cálculo MP'!L91="","",'Cálculo MP'!L91)</f>
        <v/>
      </c>
      <c r="BB90" s="62" t="str">
        <f>IF('Cálculo MP'!M91="","",'Cálculo MP'!M91)</f>
        <v/>
      </c>
      <c r="BC90" s="62" t="str">
        <f>IF('Cálculo MP'!N91="","",'Cálculo MP'!N91)</f>
        <v/>
      </c>
      <c r="BD90" s="62" t="str">
        <f>IF('Cálculo MP'!O91="","",'Cálculo MP'!O91)</f>
        <v/>
      </c>
      <c r="BE90" s="62" t="str">
        <f>IF('Cálculo MP'!P91="","",'Cálculo MP'!P91)</f>
        <v/>
      </c>
      <c r="BF90" s="62" t="str">
        <f>IF('Cálculo MP'!Q91="","",'Cálculo MP'!Q91)</f>
        <v/>
      </c>
      <c r="BG90" s="62" t="str">
        <f>IF('Cálculo MP'!R91="","",'Cálculo MP'!R91)</f>
        <v/>
      </c>
      <c r="BH90" s="32"/>
      <c r="BI90" s="32"/>
      <c r="BJ90" s="32"/>
      <c r="BK90" s="32"/>
      <c r="BL90" s="32"/>
      <c r="BM90" s="32"/>
      <c r="BN90" s="32"/>
      <c r="BO90" s="62" t="str">
        <f t="shared" si="5"/>
        <v/>
      </c>
    </row>
    <row r="91" spans="1:67" ht="19.5" customHeight="1" x14ac:dyDescent="0.2">
      <c r="A91" s="49" t="b">
        <v>0</v>
      </c>
      <c r="B91" s="50" t="b">
        <v>1</v>
      </c>
      <c r="C91" s="51" t="b">
        <v>0</v>
      </c>
      <c r="D91" s="51" t="b">
        <v>0</v>
      </c>
      <c r="E91" s="37"/>
      <c r="F91" s="39"/>
      <c r="G91" s="37" t="s">
        <v>1100</v>
      </c>
      <c r="H91" s="34"/>
      <c r="I91" s="34"/>
      <c r="J91" s="34" t="s">
        <v>1099</v>
      </c>
      <c r="K91" s="51" t="b">
        <v>1</v>
      </c>
      <c r="L91" s="40"/>
      <c r="M91" s="37" t="s">
        <v>1099</v>
      </c>
      <c r="N91" s="37" t="s">
        <v>1099</v>
      </c>
      <c r="O91" s="41" t="s">
        <v>1099</v>
      </c>
      <c r="P91" s="40" t="s">
        <v>1099</v>
      </c>
      <c r="Q91" s="37" t="s">
        <v>1099</v>
      </c>
      <c r="R91" s="37" t="s">
        <v>1099</v>
      </c>
      <c r="S91" s="113" t="s">
        <v>1099</v>
      </c>
      <c r="T91" s="56"/>
      <c r="U91" s="56"/>
      <c r="V91" s="56"/>
      <c r="W91" s="114" t="s">
        <v>1099</v>
      </c>
      <c r="X91" s="115"/>
      <c r="Y91" s="115"/>
      <c r="Z91" s="116"/>
      <c r="AA91" s="117" t="s">
        <v>1099</v>
      </c>
      <c r="AB91" s="116"/>
      <c r="AC91" s="56"/>
      <c r="AD91" s="116"/>
      <c r="AE91" s="44" t="s">
        <v>1099</v>
      </c>
      <c r="AF91" s="46" t="str">
        <f t="shared" si="3"/>
        <v/>
      </c>
      <c r="AG91" s="38" t="s">
        <v>1099</v>
      </c>
      <c r="AH91" s="47" t="str">
        <f t="shared" si="4"/>
        <v/>
      </c>
      <c r="AI91" s="32"/>
      <c r="AJ91" s="32"/>
      <c r="AK91" s="32"/>
      <c r="AL91" s="32"/>
      <c r="AM91" s="32" t="s">
        <v>1099</v>
      </c>
      <c r="AN91" s="32"/>
      <c r="AO91" s="32" t="s">
        <v>1099</v>
      </c>
      <c r="AP91" s="32"/>
      <c r="AQ91" s="32"/>
      <c r="AR91" s="32"/>
      <c r="AS91" s="32"/>
      <c r="AT91" s="32"/>
      <c r="AU91" s="32"/>
      <c r="AV91" s="38" t="s">
        <v>1099</v>
      </c>
      <c r="AW91" s="38" t="s">
        <v>1099</v>
      </c>
      <c r="AX91" s="42" t="s">
        <v>106</v>
      </c>
      <c r="AY91" s="62" t="str">
        <f>IF('Cálculo MP'!J92="","",'Cálculo MP'!J92)</f>
        <v/>
      </c>
      <c r="AZ91" s="62" t="str">
        <f>IF('Cálculo MP'!K92="","",'Cálculo MP'!K92)</f>
        <v/>
      </c>
      <c r="BA91" s="62" t="str">
        <f>IF('Cálculo MP'!L92="","",'Cálculo MP'!L92)</f>
        <v/>
      </c>
      <c r="BB91" s="62" t="str">
        <f>IF('Cálculo MP'!M92="","",'Cálculo MP'!M92)</f>
        <v/>
      </c>
      <c r="BC91" s="62" t="str">
        <f>IF('Cálculo MP'!N92="","",'Cálculo MP'!N92)</f>
        <v/>
      </c>
      <c r="BD91" s="62" t="str">
        <f>IF('Cálculo MP'!O92="","",'Cálculo MP'!O92)</f>
        <v/>
      </c>
      <c r="BE91" s="62" t="str">
        <f>IF('Cálculo MP'!P92="","",'Cálculo MP'!P92)</f>
        <v/>
      </c>
      <c r="BF91" s="62" t="str">
        <f>IF('Cálculo MP'!Q92="","",'Cálculo MP'!Q92)</f>
        <v/>
      </c>
      <c r="BG91" s="62" t="str">
        <f>IF('Cálculo MP'!R92="","",'Cálculo MP'!R92)</f>
        <v/>
      </c>
      <c r="BH91" s="32"/>
      <c r="BI91" s="32"/>
      <c r="BJ91" s="32"/>
      <c r="BK91" s="32"/>
      <c r="BL91" s="32"/>
      <c r="BM91" s="32"/>
      <c r="BN91" s="32"/>
      <c r="BO91" s="62" t="str">
        <f t="shared" si="5"/>
        <v/>
      </c>
    </row>
    <row r="92" spans="1:67" ht="19.5" customHeight="1" x14ac:dyDescent="0.2">
      <c r="A92" s="49" t="b">
        <v>0</v>
      </c>
      <c r="B92" s="50" t="b">
        <v>1</v>
      </c>
      <c r="C92" s="51" t="b">
        <v>0</v>
      </c>
      <c r="D92" s="51" t="b">
        <v>0</v>
      </c>
      <c r="E92" s="37"/>
      <c r="F92" s="39"/>
      <c r="G92" s="37" t="s">
        <v>1100</v>
      </c>
      <c r="H92" s="34"/>
      <c r="I92" s="34"/>
      <c r="J92" s="34" t="s">
        <v>1099</v>
      </c>
      <c r="K92" s="51" t="b">
        <v>1</v>
      </c>
      <c r="L92" s="40"/>
      <c r="M92" s="37" t="s">
        <v>1099</v>
      </c>
      <c r="N92" s="37" t="s">
        <v>1099</v>
      </c>
      <c r="O92" s="41" t="s">
        <v>1099</v>
      </c>
      <c r="P92" s="40" t="s">
        <v>1099</v>
      </c>
      <c r="Q92" s="37" t="s">
        <v>1099</v>
      </c>
      <c r="R92" s="37" t="s">
        <v>1099</v>
      </c>
      <c r="S92" s="113" t="s">
        <v>1099</v>
      </c>
      <c r="T92" s="56"/>
      <c r="U92" s="56"/>
      <c r="V92" s="56"/>
      <c r="W92" s="114" t="s">
        <v>1099</v>
      </c>
      <c r="X92" s="115"/>
      <c r="Y92" s="115"/>
      <c r="Z92" s="116"/>
      <c r="AA92" s="117" t="s">
        <v>1099</v>
      </c>
      <c r="AB92" s="116"/>
      <c r="AC92" s="56"/>
      <c r="AD92" s="116"/>
      <c r="AE92" s="44" t="s">
        <v>1099</v>
      </c>
      <c r="AF92" s="46" t="str">
        <f t="shared" si="3"/>
        <v/>
      </c>
      <c r="AG92" s="38" t="s">
        <v>1099</v>
      </c>
      <c r="AH92" s="47" t="str">
        <f t="shared" si="4"/>
        <v/>
      </c>
      <c r="AI92" s="32"/>
      <c r="AJ92" s="32"/>
      <c r="AK92" s="32"/>
      <c r="AL92" s="32"/>
      <c r="AM92" s="32" t="s">
        <v>1099</v>
      </c>
      <c r="AN92" s="32"/>
      <c r="AO92" s="32" t="s">
        <v>1099</v>
      </c>
      <c r="AP92" s="32"/>
      <c r="AQ92" s="32"/>
      <c r="AR92" s="32"/>
      <c r="AS92" s="32"/>
      <c r="AT92" s="32"/>
      <c r="AU92" s="32"/>
      <c r="AV92" s="38" t="s">
        <v>1099</v>
      </c>
      <c r="AW92" s="38" t="s">
        <v>1099</v>
      </c>
      <c r="AX92" s="42" t="s">
        <v>106</v>
      </c>
      <c r="AY92" s="62" t="str">
        <f>IF('Cálculo MP'!J93="","",'Cálculo MP'!J93)</f>
        <v/>
      </c>
      <c r="AZ92" s="62" t="str">
        <f>IF('Cálculo MP'!K93="","",'Cálculo MP'!K93)</f>
        <v/>
      </c>
      <c r="BA92" s="62" t="str">
        <f>IF('Cálculo MP'!L93="","",'Cálculo MP'!L93)</f>
        <v/>
      </c>
      <c r="BB92" s="62" t="str">
        <f>IF('Cálculo MP'!M93="","",'Cálculo MP'!M93)</f>
        <v/>
      </c>
      <c r="BC92" s="62" t="str">
        <f>IF('Cálculo MP'!N93="","",'Cálculo MP'!N93)</f>
        <v/>
      </c>
      <c r="BD92" s="62" t="str">
        <f>IF('Cálculo MP'!O93="","",'Cálculo MP'!O93)</f>
        <v/>
      </c>
      <c r="BE92" s="62" t="str">
        <f>IF('Cálculo MP'!P93="","",'Cálculo MP'!P93)</f>
        <v/>
      </c>
      <c r="BF92" s="62" t="str">
        <f>IF('Cálculo MP'!Q93="","",'Cálculo MP'!Q93)</f>
        <v/>
      </c>
      <c r="BG92" s="62" t="str">
        <f>IF('Cálculo MP'!R93="","",'Cálculo MP'!R93)</f>
        <v/>
      </c>
      <c r="BH92" s="32"/>
      <c r="BI92" s="32"/>
      <c r="BJ92" s="32"/>
      <c r="BK92" s="32"/>
      <c r="BL92" s="32"/>
      <c r="BM92" s="32"/>
      <c r="BN92" s="32"/>
      <c r="BO92" s="62" t="str">
        <f t="shared" si="5"/>
        <v/>
      </c>
    </row>
    <row r="93" spans="1:67" ht="19.5" customHeight="1" x14ac:dyDescent="0.2">
      <c r="A93" s="49" t="b">
        <v>0</v>
      </c>
      <c r="B93" s="50" t="b">
        <v>1</v>
      </c>
      <c r="C93" s="51" t="b">
        <v>0</v>
      </c>
      <c r="D93" s="51" t="b">
        <v>0</v>
      </c>
      <c r="E93" s="37"/>
      <c r="F93" s="39"/>
      <c r="G93" s="37" t="s">
        <v>1100</v>
      </c>
      <c r="H93" s="34"/>
      <c r="I93" s="34"/>
      <c r="J93" s="34" t="s">
        <v>1099</v>
      </c>
      <c r="K93" s="51" t="b">
        <v>1</v>
      </c>
      <c r="L93" s="40"/>
      <c r="M93" s="37" t="s">
        <v>1099</v>
      </c>
      <c r="N93" s="37" t="s">
        <v>1099</v>
      </c>
      <c r="O93" s="41" t="s">
        <v>1099</v>
      </c>
      <c r="P93" s="40" t="s">
        <v>1099</v>
      </c>
      <c r="Q93" s="37" t="s">
        <v>1099</v>
      </c>
      <c r="R93" s="37" t="s">
        <v>1099</v>
      </c>
      <c r="S93" s="113" t="s">
        <v>1099</v>
      </c>
      <c r="T93" s="56"/>
      <c r="U93" s="56"/>
      <c r="V93" s="56"/>
      <c r="W93" s="114" t="s">
        <v>1099</v>
      </c>
      <c r="X93" s="115"/>
      <c r="Y93" s="115"/>
      <c r="Z93" s="116"/>
      <c r="AA93" s="117" t="s">
        <v>1099</v>
      </c>
      <c r="AB93" s="116"/>
      <c r="AC93" s="56"/>
      <c r="AD93" s="116"/>
      <c r="AE93" s="44" t="s">
        <v>1099</v>
      </c>
      <c r="AF93" s="46" t="str">
        <f t="shared" si="3"/>
        <v/>
      </c>
      <c r="AG93" s="38" t="s">
        <v>1099</v>
      </c>
      <c r="AH93" s="47" t="str">
        <f t="shared" si="4"/>
        <v/>
      </c>
      <c r="AI93" s="32"/>
      <c r="AJ93" s="32"/>
      <c r="AK93" s="32"/>
      <c r="AL93" s="32"/>
      <c r="AM93" s="32" t="s">
        <v>1099</v>
      </c>
      <c r="AN93" s="32"/>
      <c r="AO93" s="32" t="s">
        <v>1099</v>
      </c>
      <c r="AP93" s="32"/>
      <c r="AQ93" s="32"/>
      <c r="AR93" s="32"/>
      <c r="AS93" s="32"/>
      <c r="AT93" s="32"/>
      <c r="AU93" s="32"/>
      <c r="AV93" s="38" t="s">
        <v>1099</v>
      </c>
      <c r="AW93" s="38" t="s">
        <v>1099</v>
      </c>
      <c r="AX93" s="42" t="s">
        <v>106</v>
      </c>
      <c r="AY93" s="62" t="str">
        <f>IF('Cálculo MP'!J94="","",'Cálculo MP'!J94)</f>
        <v/>
      </c>
      <c r="AZ93" s="62" t="str">
        <f>IF('Cálculo MP'!K94="","",'Cálculo MP'!K94)</f>
        <v/>
      </c>
      <c r="BA93" s="62" t="str">
        <f>IF('Cálculo MP'!L94="","",'Cálculo MP'!L94)</f>
        <v/>
      </c>
      <c r="BB93" s="62" t="str">
        <f>IF('Cálculo MP'!M94="","",'Cálculo MP'!M94)</f>
        <v/>
      </c>
      <c r="BC93" s="62" t="str">
        <f>IF('Cálculo MP'!N94="","",'Cálculo MP'!N94)</f>
        <v/>
      </c>
      <c r="BD93" s="62" t="str">
        <f>IF('Cálculo MP'!O94="","",'Cálculo MP'!O94)</f>
        <v/>
      </c>
      <c r="BE93" s="62" t="str">
        <f>IF('Cálculo MP'!P94="","",'Cálculo MP'!P94)</f>
        <v/>
      </c>
      <c r="BF93" s="62" t="str">
        <f>IF('Cálculo MP'!Q94="","",'Cálculo MP'!Q94)</f>
        <v/>
      </c>
      <c r="BG93" s="62" t="str">
        <f>IF('Cálculo MP'!R94="","",'Cálculo MP'!R94)</f>
        <v/>
      </c>
      <c r="BH93" s="32"/>
      <c r="BI93" s="32"/>
      <c r="BJ93" s="32"/>
      <c r="BK93" s="32"/>
      <c r="BL93" s="32"/>
      <c r="BM93" s="32"/>
      <c r="BN93" s="32"/>
      <c r="BO93" s="62" t="str">
        <f t="shared" si="5"/>
        <v/>
      </c>
    </row>
    <row r="94" spans="1:67" ht="19.5" customHeight="1" x14ac:dyDescent="0.2">
      <c r="A94" s="49" t="b">
        <v>0</v>
      </c>
      <c r="B94" s="50" t="b">
        <v>1</v>
      </c>
      <c r="C94" s="51" t="b">
        <v>0</v>
      </c>
      <c r="D94" s="51" t="b">
        <v>0</v>
      </c>
      <c r="E94" s="37"/>
      <c r="F94" s="39"/>
      <c r="G94" s="37" t="s">
        <v>1100</v>
      </c>
      <c r="H94" s="34"/>
      <c r="I94" s="34"/>
      <c r="J94" s="34" t="s">
        <v>1099</v>
      </c>
      <c r="K94" s="51" t="b">
        <v>1</v>
      </c>
      <c r="L94" s="40"/>
      <c r="M94" s="37" t="s">
        <v>1099</v>
      </c>
      <c r="N94" s="37" t="s">
        <v>1099</v>
      </c>
      <c r="O94" s="41" t="s">
        <v>1099</v>
      </c>
      <c r="P94" s="40" t="s">
        <v>1099</v>
      </c>
      <c r="Q94" s="37" t="s">
        <v>1099</v>
      </c>
      <c r="R94" s="37" t="s">
        <v>1099</v>
      </c>
      <c r="S94" s="113" t="s">
        <v>1099</v>
      </c>
      <c r="T94" s="56"/>
      <c r="U94" s="56"/>
      <c r="V94" s="56"/>
      <c r="W94" s="114" t="s">
        <v>1099</v>
      </c>
      <c r="X94" s="115"/>
      <c r="Y94" s="115"/>
      <c r="Z94" s="116"/>
      <c r="AA94" s="117" t="s">
        <v>1099</v>
      </c>
      <c r="AB94" s="116"/>
      <c r="AC94" s="56"/>
      <c r="AD94" s="116"/>
      <c r="AE94" s="44" t="s">
        <v>1099</v>
      </c>
      <c r="AF94" s="46" t="str">
        <f t="shared" si="3"/>
        <v/>
      </c>
      <c r="AG94" s="38" t="s">
        <v>1099</v>
      </c>
      <c r="AH94" s="47" t="str">
        <f t="shared" si="4"/>
        <v/>
      </c>
      <c r="AI94" s="32"/>
      <c r="AJ94" s="32"/>
      <c r="AK94" s="32"/>
      <c r="AL94" s="32"/>
      <c r="AM94" s="32" t="s">
        <v>1099</v>
      </c>
      <c r="AN94" s="32"/>
      <c r="AO94" s="32" t="s">
        <v>1099</v>
      </c>
      <c r="AP94" s="32"/>
      <c r="AQ94" s="32"/>
      <c r="AR94" s="32"/>
      <c r="AS94" s="32"/>
      <c r="AT94" s="32"/>
      <c r="AU94" s="32"/>
      <c r="AV94" s="38" t="s">
        <v>1099</v>
      </c>
      <c r="AW94" s="38" t="s">
        <v>1099</v>
      </c>
      <c r="AX94" s="42" t="s">
        <v>106</v>
      </c>
      <c r="AY94" s="62" t="str">
        <f>IF('Cálculo MP'!J95="","",'Cálculo MP'!J95)</f>
        <v/>
      </c>
      <c r="AZ94" s="62" t="str">
        <f>IF('Cálculo MP'!K95="","",'Cálculo MP'!K95)</f>
        <v/>
      </c>
      <c r="BA94" s="62" t="str">
        <f>IF('Cálculo MP'!L95="","",'Cálculo MP'!L95)</f>
        <v/>
      </c>
      <c r="BB94" s="62" t="str">
        <f>IF('Cálculo MP'!M95="","",'Cálculo MP'!M95)</f>
        <v/>
      </c>
      <c r="BC94" s="62" t="str">
        <f>IF('Cálculo MP'!N95="","",'Cálculo MP'!N95)</f>
        <v/>
      </c>
      <c r="BD94" s="62" t="str">
        <f>IF('Cálculo MP'!O95="","",'Cálculo MP'!O95)</f>
        <v/>
      </c>
      <c r="BE94" s="62" t="str">
        <f>IF('Cálculo MP'!P95="","",'Cálculo MP'!P95)</f>
        <v/>
      </c>
      <c r="BF94" s="62" t="str">
        <f>IF('Cálculo MP'!Q95="","",'Cálculo MP'!Q95)</f>
        <v/>
      </c>
      <c r="BG94" s="62" t="str">
        <f>IF('Cálculo MP'!R95="","",'Cálculo MP'!R95)</f>
        <v/>
      </c>
      <c r="BH94" s="32"/>
      <c r="BI94" s="32"/>
      <c r="BJ94" s="32"/>
      <c r="BK94" s="32"/>
      <c r="BL94" s="32"/>
      <c r="BM94" s="32"/>
      <c r="BN94" s="32"/>
      <c r="BO94" s="62" t="str">
        <f t="shared" si="5"/>
        <v/>
      </c>
    </row>
    <row r="95" spans="1:67" ht="19.5" customHeight="1" x14ac:dyDescent="0.2">
      <c r="A95" s="49" t="b">
        <v>0</v>
      </c>
      <c r="B95" s="50" t="b">
        <v>1</v>
      </c>
      <c r="C95" s="51" t="b">
        <v>0</v>
      </c>
      <c r="D95" s="51" t="b">
        <v>0</v>
      </c>
      <c r="E95" s="37"/>
      <c r="F95" s="39"/>
      <c r="G95" s="37" t="s">
        <v>1100</v>
      </c>
      <c r="H95" s="34"/>
      <c r="I95" s="34"/>
      <c r="J95" s="34" t="s">
        <v>1099</v>
      </c>
      <c r="K95" s="51" t="b">
        <v>1</v>
      </c>
      <c r="L95" s="40"/>
      <c r="M95" s="37" t="s">
        <v>1099</v>
      </c>
      <c r="N95" s="37" t="s">
        <v>1099</v>
      </c>
      <c r="O95" s="41" t="s">
        <v>1099</v>
      </c>
      <c r="P95" s="40" t="s">
        <v>1099</v>
      </c>
      <c r="Q95" s="37" t="s">
        <v>1099</v>
      </c>
      <c r="R95" s="37" t="s">
        <v>1099</v>
      </c>
      <c r="S95" s="113" t="s">
        <v>1099</v>
      </c>
      <c r="T95" s="56"/>
      <c r="U95" s="56"/>
      <c r="V95" s="56"/>
      <c r="W95" s="114" t="s">
        <v>1099</v>
      </c>
      <c r="X95" s="115"/>
      <c r="Y95" s="115"/>
      <c r="Z95" s="116"/>
      <c r="AA95" s="117" t="s">
        <v>1099</v>
      </c>
      <c r="AB95" s="116"/>
      <c r="AC95" s="56"/>
      <c r="AD95" s="116"/>
      <c r="AE95" s="44" t="s">
        <v>1099</v>
      </c>
      <c r="AF95" s="46" t="str">
        <f t="shared" si="3"/>
        <v/>
      </c>
      <c r="AG95" s="38" t="s">
        <v>1099</v>
      </c>
      <c r="AH95" s="47" t="str">
        <f t="shared" si="4"/>
        <v/>
      </c>
      <c r="AI95" s="32"/>
      <c r="AJ95" s="32"/>
      <c r="AK95" s="32"/>
      <c r="AL95" s="32"/>
      <c r="AM95" s="32" t="s">
        <v>1099</v>
      </c>
      <c r="AN95" s="32"/>
      <c r="AO95" s="32" t="s">
        <v>1099</v>
      </c>
      <c r="AP95" s="32"/>
      <c r="AQ95" s="32"/>
      <c r="AR95" s="32"/>
      <c r="AS95" s="32"/>
      <c r="AT95" s="32"/>
      <c r="AU95" s="32"/>
      <c r="AV95" s="38" t="s">
        <v>1099</v>
      </c>
      <c r="AW95" s="38" t="s">
        <v>1099</v>
      </c>
      <c r="AX95" s="42" t="s">
        <v>106</v>
      </c>
      <c r="AY95" s="62" t="str">
        <f>IF('Cálculo MP'!J96="","",'Cálculo MP'!J96)</f>
        <v/>
      </c>
      <c r="AZ95" s="62" t="str">
        <f>IF('Cálculo MP'!K96="","",'Cálculo MP'!K96)</f>
        <v/>
      </c>
      <c r="BA95" s="62" t="str">
        <f>IF('Cálculo MP'!L96="","",'Cálculo MP'!L96)</f>
        <v/>
      </c>
      <c r="BB95" s="62" t="str">
        <f>IF('Cálculo MP'!M96="","",'Cálculo MP'!M96)</f>
        <v/>
      </c>
      <c r="BC95" s="62" t="str">
        <f>IF('Cálculo MP'!N96="","",'Cálculo MP'!N96)</f>
        <v/>
      </c>
      <c r="BD95" s="62" t="str">
        <f>IF('Cálculo MP'!O96="","",'Cálculo MP'!O96)</f>
        <v/>
      </c>
      <c r="BE95" s="62" t="str">
        <f>IF('Cálculo MP'!P96="","",'Cálculo MP'!P96)</f>
        <v/>
      </c>
      <c r="BF95" s="62" t="str">
        <f>IF('Cálculo MP'!Q96="","",'Cálculo MP'!Q96)</f>
        <v/>
      </c>
      <c r="BG95" s="62" t="str">
        <f>IF('Cálculo MP'!R96="","",'Cálculo MP'!R96)</f>
        <v/>
      </c>
      <c r="BH95" s="32"/>
      <c r="BI95" s="32"/>
      <c r="BJ95" s="32"/>
      <c r="BK95" s="32"/>
      <c r="BL95" s="32"/>
      <c r="BM95" s="32"/>
      <c r="BN95" s="32"/>
      <c r="BO95" s="62" t="str">
        <f t="shared" si="5"/>
        <v/>
      </c>
    </row>
    <row r="96" spans="1:67" ht="19.5" customHeight="1" x14ac:dyDescent="0.2">
      <c r="A96" s="49" t="b">
        <v>0</v>
      </c>
      <c r="B96" s="50" t="b">
        <v>1</v>
      </c>
      <c r="C96" s="51" t="b">
        <v>0</v>
      </c>
      <c r="D96" s="51" t="b">
        <v>0</v>
      </c>
      <c r="E96" s="37"/>
      <c r="F96" s="39"/>
      <c r="G96" s="37" t="s">
        <v>1100</v>
      </c>
      <c r="H96" s="34"/>
      <c r="I96" s="34"/>
      <c r="J96" s="34" t="s">
        <v>1099</v>
      </c>
      <c r="K96" s="51" t="b">
        <v>1</v>
      </c>
      <c r="L96" s="40"/>
      <c r="M96" s="37" t="s">
        <v>1099</v>
      </c>
      <c r="N96" s="37" t="s">
        <v>1099</v>
      </c>
      <c r="O96" s="41" t="s">
        <v>1099</v>
      </c>
      <c r="P96" s="40" t="s">
        <v>1099</v>
      </c>
      <c r="Q96" s="37" t="s">
        <v>1099</v>
      </c>
      <c r="R96" s="37" t="s">
        <v>1099</v>
      </c>
      <c r="S96" s="113" t="s">
        <v>1099</v>
      </c>
      <c r="T96" s="56"/>
      <c r="U96" s="56"/>
      <c r="V96" s="56"/>
      <c r="W96" s="114" t="s">
        <v>1099</v>
      </c>
      <c r="X96" s="115"/>
      <c r="Y96" s="115"/>
      <c r="Z96" s="116"/>
      <c r="AA96" s="117" t="s">
        <v>1099</v>
      </c>
      <c r="AB96" s="116"/>
      <c r="AC96" s="56"/>
      <c r="AD96" s="116"/>
      <c r="AE96" s="44" t="s">
        <v>1099</v>
      </c>
      <c r="AF96" s="46" t="str">
        <f t="shared" si="3"/>
        <v/>
      </c>
      <c r="AG96" s="38" t="s">
        <v>1099</v>
      </c>
      <c r="AH96" s="47" t="str">
        <f t="shared" si="4"/>
        <v/>
      </c>
      <c r="AI96" s="32"/>
      <c r="AJ96" s="32"/>
      <c r="AK96" s="32"/>
      <c r="AL96" s="32"/>
      <c r="AM96" s="32" t="s">
        <v>1099</v>
      </c>
      <c r="AN96" s="32"/>
      <c r="AO96" s="32" t="s">
        <v>1099</v>
      </c>
      <c r="AP96" s="32"/>
      <c r="AQ96" s="32"/>
      <c r="AR96" s="32"/>
      <c r="AS96" s="32"/>
      <c r="AT96" s="32"/>
      <c r="AU96" s="32"/>
      <c r="AV96" s="38" t="s">
        <v>1099</v>
      </c>
      <c r="AW96" s="38" t="s">
        <v>1099</v>
      </c>
      <c r="AX96" s="42" t="s">
        <v>106</v>
      </c>
      <c r="AY96" s="62" t="str">
        <f>IF('Cálculo MP'!J97="","",'Cálculo MP'!J97)</f>
        <v/>
      </c>
      <c r="AZ96" s="62" t="str">
        <f>IF('Cálculo MP'!K97="","",'Cálculo MP'!K97)</f>
        <v/>
      </c>
      <c r="BA96" s="62" t="str">
        <f>IF('Cálculo MP'!L97="","",'Cálculo MP'!L97)</f>
        <v/>
      </c>
      <c r="BB96" s="62" t="str">
        <f>IF('Cálculo MP'!M97="","",'Cálculo MP'!M97)</f>
        <v/>
      </c>
      <c r="BC96" s="62" t="str">
        <f>IF('Cálculo MP'!N97="","",'Cálculo MP'!N97)</f>
        <v/>
      </c>
      <c r="BD96" s="62" t="str">
        <f>IF('Cálculo MP'!O97="","",'Cálculo MP'!O97)</f>
        <v/>
      </c>
      <c r="BE96" s="62" t="str">
        <f>IF('Cálculo MP'!P97="","",'Cálculo MP'!P97)</f>
        <v/>
      </c>
      <c r="BF96" s="62" t="str">
        <f>IF('Cálculo MP'!Q97="","",'Cálculo MP'!Q97)</f>
        <v/>
      </c>
      <c r="BG96" s="62" t="str">
        <f>IF('Cálculo MP'!R97="","",'Cálculo MP'!R97)</f>
        <v/>
      </c>
      <c r="BH96" s="32"/>
      <c r="BI96" s="32"/>
      <c r="BJ96" s="32"/>
      <c r="BK96" s="32"/>
      <c r="BL96" s="32"/>
      <c r="BM96" s="32"/>
      <c r="BN96" s="32"/>
      <c r="BO96" s="62" t="str">
        <f t="shared" si="5"/>
        <v/>
      </c>
    </row>
    <row r="97" spans="1:67" ht="19.5" customHeight="1" x14ac:dyDescent="0.2">
      <c r="A97" s="49" t="b">
        <v>0</v>
      </c>
      <c r="B97" s="50" t="b">
        <v>1</v>
      </c>
      <c r="C97" s="51" t="b">
        <v>0</v>
      </c>
      <c r="D97" s="51" t="b">
        <v>0</v>
      </c>
      <c r="E97" s="37"/>
      <c r="F97" s="39"/>
      <c r="G97" s="37" t="s">
        <v>1100</v>
      </c>
      <c r="H97" s="34"/>
      <c r="I97" s="34"/>
      <c r="J97" s="34" t="s">
        <v>1099</v>
      </c>
      <c r="K97" s="51" t="b">
        <v>1</v>
      </c>
      <c r="L97" s="40"/>
      <c r="M97" s="37" t="s">
        <v>1099</v>
      </c>
      <c r="N97" s="37" t="s">
        <v>1099</v>
      </c>
      <c r="O97" s="41" t="s">
        <v>1099</v>
      </c>
      <c r="P97" s="40" t="s">
        <v>1099</v>
      </c>
      <c r="Q97" s="37" t="s">
        <v>1099</v>
      </c>
      <c r="R97" s="37" t="s">
        <v>1099</v>
      </c>
      <c r="S97" s="113" t="s">
        <v>1099</v>
      </c>
      <c r="T97" s="56"/>
      <c r="U97" s="56"/>
      <c r="V97" s="56"/>
      <c r="W97" s="114" t="s">
        <v>1099</v>
      </c>
      <c r="X97" s="115"/>
      <c r="Y97" s="115"/>
      <c r="Z97" s="116"/>
      <c r="AA97" s="117" t="s">
        <v>1099</v>
      </c>
      <c r="AB97" s="116"/>
      <c r="AC97" s="56"/>
      <c r="AD97" s="116"/>
      <c r="AE97" s="44" t="s">
        <v>1099</v>
      </c>
      <c r="AF97" s="46" t="str">
        <f t="shared" si="3"/>
        <v/>
      </c>
      <c r="AG97" s="38" t="s">
        <v>1099</v>
      </c>
      <c r="AH97" s="47" t="str">
        <f t="shared" si="4"/>
        <v/>
      </c>
      <c r="AI97" s="32"/>
      <c r="AJ97" s="32"/>
      <c r="AK97" s="32"/>
      <c r="AL97" s="32"/>
      <c r="AM97" s="32" t="s">
        <v>1099</v>
      </c>
      <c r="AN97" s="32"/>
      <c r="AO97" s="32" t="s">
        <v>1099</v>
      </c>
      <c r="AP97" s="32"/>
      <c r="AQ97" s="32"/>
      <c r="AR97" s="32"/>
      <c r="AS97" s="32"/>
      <c r="AT97" s="32"/>
      <c r="AU97" s="32"/>
      <c r="AV97" s="38" t="s">
        <v>1099</v>
      </c>
      <c r="AW97" s="38" t="s">
        <v>1099</v>
      </c>
      <c r="AX97" s="42" t="s">
        <v>106</v>
      </c>
      <c r="AY97" s="62" t="str">
        <f>IF('Cálculo MP'!J98="","",'Cálculo MP'!J98)</f>
        <v/>
      </c>
      <c r="AZ97" s="62" t="str">
        <f>IF('Cálculo MP'!K98="","",'Cálculo MP'!K98)</f>
        <v/>
      </c>
      <c r="BA97" s="62" t="str">
        <f>IF('Cálculo MP'!L98="","",'Cálculo MP'!L98)</f>
        <v/>
      </c>
      <c r="BB97" s="62" t="str">
        <f>IF('Cálculo MP'!M98="","",'Cálculo MP'!M98)</f>
        <v/>
      </c>
      <c r="BC97" s="62" t="str">
        <f>IF('Cálculo MP'!N98="","",'Cálculo MP'!N98)</f>
        <v/>
      </c>
      <c r="BD97" s="62" t="str">
        <f>IF('Cálculo MP'!O98="","",'Cálculo MP'!O98)</f>
        <v/>
      </c>
      <c r="BE97" s="62" t="str">
        <f>IF('Cálculo MP'!P98="","",'Cálculo MP'!P98)</f>
        <v/>
      </c>
      <c r="BF97" s="62" t="str">
        <f>IF('Cálculo MP'!Q98="","",'Cálculo MP'!Q98)</f>
        <v/>
      </c>
      <c r="BG97" s="62" t="str">
        <f>IF('Cálculo MP'!R98="","",'Cálculo MP'!R98)</f>
        <v/>
      </c>
      <c r="BH97" s="32"/>
      <c r="BI97" s="32"/>
      <c r="BJ97" s="32"/>
      <c r="BK97" s="32"/>
      <c r="BL97" s="32"/>
      <c r="BM97" s="32"/>
      <c r="BN97" s="32"/>
      <c r="BO97" s="62" t="str">
        <f t="shared" si="5"/>
        <v/>
      </c>
    </row>
    <row r="98" spans="1:67" ht="19.5" customHeight="1" x14ac:dyDescent="0.2">
      <c r="A98" s="49" t="b">
        <v>0</v>
      </c>
      <c r="B98" s="50" t="b">
        <v>1</v>
      </c>
      <c r="C98" s="51" t="b">
        <v>0</v>
      </c>
      <c r="D98" s="51" t="b">
        <v>0</v>
      </c>
      <c r="E98" s="37"/>
      <c r="F98" s="39"/>
      <c r="G98" s="37" t="s">
        <v>1100</v>
      </c>
      <c r="H98" s="34"/>
      <c r="I98" s="34"/>
      <c r="J98" s="34" t="s">
        <v>1099</v>
      </c>
      <c r="K98" s="51" t="b">
        <v>1</v>
      </c>
      <c r="L98" s="40"/>
      <c r="M98" s="37" t="s">
        <v>1099</v>
      </c>
      <c r="N98" s="37" t="s">
        <v>1099</v>
      </c>
      <c r="O98" s="41" t="s">
        <v>1099</v>
      </c>
      <c r="P98" s="40" t="s">
        <v>1099</v>
      </c>
      <c r="Q98" s="37" t="s">
        <v>1099</v>
      </c>
      <c r="R98" s="37" t="s">
        <v>1099</v>
      </c>
      <c r="S98" s="113" t="s">
        <v>1099</v>
      </c>
      <c r="T98" s="56"/>
      <c r="U98" s="56"/>
      <c r="V98" s="56"/>
      <c r="W98" s="114" t="s">
        <v>1099</v>
      </c>
      <c r="X98" s="115"/>
      <c r="Y98" s="115"/>
      <c r="Z98" s="116"/>
      <c r="AA98" s="117" t="s">
        <v>1099</v>
      </c>
      <c r="AB98" s="116"/>
      <c r="AC98" s="56"/>
      <c r="AD98" s="116"/>
      <c r="AE98" s="44" t="s">
        <v>1099</v>
      </c>
      <c r="AF98" s="46" t="str">
        <f t="shared" si="3"/>
        <v/>
      </c>
      <c r="AG98" s="38" t="s">
        <v>1099</v>
      </c>
      <c r="AH98" s="47" t="str">
        <f t="shared" si="4"/>
        <v/>
      </c>
      <c r="AI98" s="32"/>
      <c r="AJ98" s="32"/>
      <c r="AK98" s="32"/>
      <c r="AL98" s="32"/>
      <c r="AM98" s="32" t="s">
        <v>1099</v>
      </c>
      <c r="AN98" s="32"/>
      <c r="AO98" s="32" t="s">
        <v>1099</v>
      </c>
      <c r="AP98" s="32"/>
      <c r="AQ98" s="32"/>
      <c r="AR98" s="32"/>
      <c r="AS98" s="32"/>
      <c r="AT98" s="32"/>
      <c r="AU98" s="32"/>
      <c r="AV98" s="38" t="s">
        <v>1099</v>
      </c>
      <c r="AW98" s="38" t="s">
        <v>1099</v>
      </c>
      <c r="AX98" s="42" t="s">
        <v>106</v>
      </c>
      <c r="AY98" s="62" t="str">
        <f>IF('Cálculo MP'!J99="","",'Cálculo MP'!J99)</f>
        <v/>
      </c>
      <c r="AZ98" s="62" t="str">
        <f>IF('Cálculo MP'!K99="","",'Cálculo MP'!K99)</f>
        <v/>
      </c>
      <c r="BA98" s="62" t="str">
        <f>IF('Cálculo MP'!L99="","",'Cálculo MP'!L99)</f>
        <v/>
      </c>
      <c r="BB98" s="62" t="str">
        <f>IF('Cálculo MP'!M99="","",'Cálculo MP'!M99)</f>
        <v/>
      </c>
      <c r="BC98" s="62" t="str">
        <f>IF('Cálculo MP'!N99="","",'Cálculo MP'!N99)</f>
        <v/>
      </c>
      <c r="BD98" s="62" t="str">
        <f>IF('Cálculo MP'!O99="","",'Cálculo MP'!O99)</f>
        <v/>
      </c>
      <c r="BE98" s="62" t="str">
        <f>IF('Cálculo MP'!P99="","",'Cálculo MP'!P99)</f>
        <v/>
      </c>
      <c r="BF98" s="62" t="str">
        <f>IF('Cálculo MP'!Q99="","",'Cálculo MP'!Q99)</f>
        <v/>
      </c>
      <c r="BG98" s="62" t="str">
        <f>IF('Cálculo MP'!R99="","",'Cálculo MP'!R99)</f>
        <v/>
      </c>
      <c r="BH98" s="32"/>
      <c r="BI98" s="32"/>
      <c r="BJ98" s="32"/>
      <c r="BK98" s="32"/>
      <c r="BL98" s="32"/>
      <c r="BM98" s="32"/>
      <c r="BN98" s="32"/>
      <c r="BO98" s="62" t="str">
        <f t="shared" si="5"/>
        <v/>
      </c>
    </row>
    <row r="99" spans="1:67" ht="19.5" customHeight="1" x14ac:dyDescent="0.2">
      <c r="A99" s="49" t="b">
        <v>0</v>
      </c>
      <c r="B99" s="50" t="b">
        <v>1</v>
      </c>
      <c r="C99" s="51" t="b">
        <v>0</v>
      </c>
      <c r="D99" s="51" t="b">
        <v>0</v>
      </c>
      <c r="E99" s="37"/>
      <c r="F99" s="39"/>
      <c r="G99" s="37" t="s">
        <v>1100</v>
      </c>
      <c r="H99" s="34"/>
      <c r="I99" s="34"/>
      <c r="J99" s="34" t="s">
        <v>1099</v>
      </c>
      <c r="K99" s="51" t="b">
        <v>1</v>
      </c>
      <c r="L99" s="40"/>
      <c r="M99" s="37" t="s">
        <v>1099</v>
      </c>
      <c r="N99" s="37" t="s">
        <v>1099</v>
      </c>
      <c r="O99" s="41" t="s">
        <v>1099</v>
      </c>
      <c r="P99" s="40" t="s">
        <v>1099</v>
      </c>
      <c r="Q99" s="37" t="s">
        <v>1099</v>
      </c>
      <c r="R99" s="37" t="s">
        <v>1099</v>
      </c>
      <c r="S99" s="113" t="s">
        <v>1099</v>
      </c>
      <c r="T99" s="56"/>
      <c r="U99" s="56"/>
      <c r="V99" s="56"/>
      <c r="W99" s="114" t="s">
        <v>1099</v>
      </c>
      <c r="X99" s="115"/>
      <c r="Y99" s="115"/>
      <c r="Z99" s="116"/>
      <c r="AA99" s="117" t="s">
        <v>1099</v>
      </c>
      <c r="AB99" s="116"/>
      <c r="AC99" s="56"/>
      <c r="AD99" s="116"/>
      <c r="AE99" s="44" t="s">
        <v>1099</v>
      </c>
      <c r="AF99" s="46" t="str">
        <f t="shared" si="3"/>
        <v/>
      </c>
      <c r="AG99" s="38" t="s">
        <v>1099</v>
      </c>
      <c r="AH99" s="47" t="str">
        <f t="shared" si="4"/>
        <v/>
      </c>
      <c r="AI99" s="32"/>
      <c r="AJ99" s="32"/>
      <c r="AK99" s="32"/>
      <c r="AL99" s="32"/>
      <c r="AM99" s="32" t="s">
        <v>1099</v>
      </c>
      <c r="AN99" s="32"/>
      <c r="AO99" s="32" t="s">
        <v>1099</v>
      </c>
      <c r="AP99" s="32"/>
      <c r="AQ99" s="32"/>
      <c r="AR99" s="32"/>
      <c r="AS99" s="32"/>
      <c r="AT99" s="32"/>
      <c r="AU99" s="32"/>
      <c r="AV99" s="38" t="s">
        <v>1099</v>
      </c>
      <c r="AW99" s="38" t="s">
        <v>1099</v>
      </c>
      <c r="AX99" s="42" t="s">
        <v>106</v>
      </c>
      <c r="AY99" s="62" t="str">
        <f>IF('Cálculo MP'!J100="","",'Cálculo MP'!J100)</f>
        <v/>
      </c>
      <c r="AZ99" s="62" t="str">
        <f>IF('Cálculo MP'!K100="","",'Cálculo MP'!K100)</f>
        <v/>
      </c>
      <c r="BA99" s="62" t="str">
        <f>IF('Cálculo MP'!L100="","",'Cálculo MP'!L100)</f>
        <v/>
      </c>
      <c r="BB99" s="62" t="str">
        <f>IF('Cálculo MP'!M100="","",'Cálculo MP'!M100)</f>
        <v/>
      </c>
      <c r="BC99" s="62" t="str">
        <f>IF('Cálculo MP'!N100="","",'Cálculo MP'!N100)</f>
        <v/>
      </c>
      <c r="BD99" s="62" t="str">
        <f>IF('Cálculo MP'!O100="","",'Cálculo MP'!O100)</f>
        <v/>
      </c>
      <c r="BE99" s="62" t="str">
        <f>IF('Cálculo MP'!P100="","",'Cálculo MP'!P100)</f>
        <v/>
      </c>
      <c r="BF99" s="62" t="str">
        <f>IF('Cálculo MP'!Q100="","",'Cálculo MP'!Q100)</f>
        <v/>
      </c>
      <c r="BG99" s="62" t="str">
        <f>IF('Cálculo MP'!R100="","",'Cálculo MP'!R100)</f>
        <v/>
      </c>
      <c r="BH99" s="32"/>
      <c r="BI99" s="32"/>
      <c r="BJ99" s="32"/>
      <c r="BK99" s="32"/>
      <c r="BL99" s="32"/>
      <c r="BM99" s="32"/>
      <c r="BN99" s="32"/>
      <c r="BO99" s="62" t="str">
        <f t="shared" si="5"/>
        <v/>
      </c>
    </row>
    <row r="100" spans="1:67" ht="19.5" customHeight="1" x14ac:dyDescent="0.2">
      <c r="A100" s="49" t="b">
        <v>0</v>
      </c>
      <c r="B100" s="50" t="b">
        <v>1</v>
      </c>
      <c r="C100" s="51" t="b">
        <v>0</v>
      </c>
      <c r="D100" s="51" t="b">
        <v>0</v>
      </c>
      <c r="E100" s="37"/>
      <c r="F100" s="39"/>
      <c r="G100" s="37" t="s">
        <v>1100</v>
      </c>
      <c r="H100" s="34"/>
      <c r="I100" s="34"/>
      <c r="J100" s="34" t="s">
        <v>1099</v>
      </c>
      <c r="K100" s="51" t="b">
        <v>1</v>
      </c>
      <c r="L100" s="40"/>
      <c r="M100" s="37" t="s">
        <v>1099</v>
      </c>
      <c r="N100" s="37" t="s">
        <v>1099</v>
      </c>
      <c r="O100" s="41" t="s">
        <v>1099</v>
      </c>
      <c r="P100" s="40" t="s">
        <v>1099</v>
      </c>
      <c r="Q100" s="37" t="s">
        <v>1099</v>
      </c>
      <c r="R100" s="37" t="s">
        <v>1099</v>
      </c>
      <c r="S100" s="113" t="s">
        <v>1099</v>
      </c>
      <c r="T100" s="56"/>
      <c r="U100" s="56"/>
      <c r="V100" s="56"/>
      <c r="W100" s="114" t="s">
        <v>1099</v>
      </c>
      <c r="X100" s="115"/>
      <c r="Y100" s="115"/>
      <c r="Z100" s="116"/>
      <c r="AA100" s="117" t="s">
        <v>1099</v>
      </c>
      <c r="AB100" s="116"/>
      <c r="AC100" s="56"/>
      <c r="AD100" s="116"/>
      <c r="AE100" s="44" t="s">
        <v>1099</v>
      </c>
      <c r="AF100" s="46" t="str">
        <f t="shared" si="3"/>
        <v/>
      </c>
      <c r="AG100" s="38" t="s">
        <v>1099</v>
      </c>
      <c r="AH100" s="47" t="str">
        <f t="shared" si="4"/>
        <v/>
      </c>
      <c r="AI100" s="32"/>
      <c r="AJ100" s="32"/>
      <c r="AK100" s="32"/>
      <c r="AL100" s="32"/>
      <c r="AM100" s="32" t="s">
        <v>1099</v>
      </c>
      <c r="AN100" s="32"/>
      <c r="AO100" s="32" t="s">
        <v>1099</v>
      </c>
      <c r="AP100" s="32"/>
      <c r="AQ100" s="32"/>
      <c r="AR100" s="32"/>
      <c r="AS100" s="32"/>
      <c r="AT100" s="32"/>
      <c r="AU100" s="32"/>
      <c r="AV100" s="38" t="s">
        <v>1099</v>
      </c>
      <c r="AW100" s="38" t="s">
        <v>1099</v>
      </c>
      <c r="AX100" s="42" t="s">
        <v>106</v>
      </c>
      <c r="AY100" s="62" t="str">
        <f>IF('Cálculo MP'!J101="","",'Cálculo MP'!J101)</f>
        <v/>
      </c>
      <c r="AZ100" s="62" t="str">
        <f>IF('Cálculo MP'!K101="","",'Cálculo MP'!K101)</f>
        <v/>
      </c>
      <c r="BA100" s="62" t="str">
        <f>IF('Cálculo MP'!L101="","",'Cálculo MP'!L101)</f>
        <v/>
      </c>
      <c r="BB100" s="62" t="str">
        <f>IF('Cálculo MP'!M101="","",'Cálculo MP'!M101)</f>
        <v/>
      </c>
      <c r="BC100" s="62" t="str">
        <f>IF('Cálculo MP'!N101="","",'Cálculo MP'!N101)</f>
        <v/>
      </c>
      <c r="BD100" s="62" t="str">
        <f>IF('Cálculo MP'!O101="","",'Cálculo MP'!O101)</f>
        <v/>
      </c>
      <c r="BE100" s="62" t="str">
        <f>IF('Cálculo MP'!P101="","",'Cálculo MP'!P101)</f>
        <v/>
      </c>
      <c r="BF100" s="62" t="str">
        <f>IF('Cálculo MP'!Q101="","",'Cálculo MP'!Q101)</f>
        <v/>
      </c>
      <c r="BG100" s="62" t="str">
        <f>IF('Cálculo MP'!R101="","",'Cálculo MP'!R101)</f>
        <v/>
      </c>
      <c r="BH100" s="32"/>
      <c r="BI100" s="32"/>
      <c r="BJ100" s="32"/>
      <c r="BK100" s="32"/>
      <c r="BL100" s="32"/>
      <c r="BM100" s="32"/>
      <c r="BN100" s="32"/>
      <c r="BO100" s="62" t="str">
        <f t="shared" si="5"/>
        <v/>
      </c>
    </row>
    <row r="101" spans="1:67" ht="19.5" customHeight="1" x14ac:dyDescent="0.2">
      <c r="A101" s="49" t="b">
        <v>0</v>
      </c>
      <c r="B101" s="50" t="b">
        <v>1</v>
      </c>
      <c r="C101" s="51" t="b">
        <v>0</v>
      </c>
      <c r="D101" s="51" t="b">
        <v>0</v>
      </c>
      <c r="E101" s="37"/>
      <c r="F101" s="39"/>
      <c r="G101" s="37" t="s">
        <v>1100</v>
      </c>
      <c r="H101" s="34"/>
      <c r="I101" s="34"/>
      <c r="J101" s="34" t="s">
        <v>1099</v>
      </c>
      <c r="K101" s="51" t="b">
        <v>1</v>
      </c>
      <c r="L101" s="40"/>
      <c r="M101" s="37" t="s">
        <v>1099</v>
      </c>
      <c r="N101" s="37" t="s">
        <v>1099</v>
      </c>
      <c r="O101" s="41" t="s">
        <v>1099</v>
      </c>
      <c r="P101" s="40" t="s">
        <v>1099</v>
      </c>
      <c r="Q101" s="37" t="s">
        <v>1099</v>
      </c>
      <c r="R101" s="37" t="s">
        <v>1099</v>
      </c>
      <c r="S101" s="113" t="s">
        <v>1099</v>
      </c>
      <c r="T101" s="56"/>
      <c r="U101" s="56"/>
      <c r="V101" s="56"/>
      <c r="W101" s="114" t="s">
        <v>1099</v>
      </c>
      <c r="X101" s="115"/>
      <c r="Y101" s="115"/>
      <c r="Z101" s="116"/>
      <c r="AA101" s="117" t="s">
        <v>1099</v>
      </c>
      <c r="AB101" s="116"/>
      <c r="AC101" s="56"/>
      <c r="AD101" s="116"/>
      <c r="AE101" s="44" t="s">
        <v>1099</v>
      </c>
      <c r="AF101" s="46" t="str">
        <f t="shared" si="3"/>
        <v/>
      </c>
      <c r="AG101" s="38" t="s">
        <v>1099</v>
      </c>
      <c r="AH101" s="47" t="str">
        <f t="shared" si="4"/>
        <v/>
      </c>
      <c r="AI101" s="32"/>
      <c r="AJ101" s="32"/>
      <c r="AK101" s="32"/>
      <c r="AL101" s="32"/>
      <c r="AM101" s="32" t="s">
        <v>1099</v>
      </c>
      <c r="AN101" s="32"/>
      <c r="AO101" s="32" t="s">
        <v>1099</v>
      </c>
      <c r="AP101" s="32"/>
      <c r="AQ101" s="32"/>
      <c r="AR101" s="32"/>
      <c r="AS101" s="32"/>
      <c r="AT101" s="32"/>
      <c r="AU101" s="32"/>
      <c r="AV101" s="38" t="s">
        <v>1099</v>
      </c>
      <c r="AW101" s="38" t="s">
        <v>1099</v>
      </c>
      <c r="AX101" s="42" t="s">
        <v>106</v>
      </c>
      <c r="AY101" s="62" t="str">
        <f>IF('Cálculo MP'!J102="","",'Cálculo MP'!J102)</f>
        <v/>
      </c>
      <c r="AZ101" s="62" t="str">
        <f>IF('Cálculo MP'!K102="","",'Cálculo MP'!K102)</f>
        <v/>
      </c>
      <c r="BA101" s="62" t="str">
        <f>IF('Cálculo MP'!L102="","",'Cálculo MP'!L102)</f>
        <v/>
      </c>
      <c r="BB101" s="62" t="str">
        <f>IF('Cálculo MP'!M102="","",'Cálculo MP'!M102)</f>
        <v/>
      </c>
      <c r="BC101" s="62" t="str">
        <f>IF('Cálculo MP'!N102="","",'Cálculo MP'!N102)</f>
        <v/>
      </c>
      <c r="BD101" s="62" t="str">
        <f>IF('Cálculo MP'!O102="","",'Cálculo MP'!O102)</f>
        <v/>
      </c>
      <c r="BE101" s="62" t="str">
        <f>IF('Cálculo MP'!P102="","",'Cálculo MP'!P102)</f>
        <v/>
      </c>
      <c r="BF101" s="62" t="str">
        <f>IF('Cálculo MP'!Q102="","",'Cálculo MP'!Q102)</f>
        <v/>
      </c>
      <c r="BG101" s="62" t="str">
        <f>IF('Cálculo MP'!R102="","",'Cálculo MP'!R102)</f>
        <v/>
      </c>
      <c r="BH101" s="32"/>
      <c r="BI101" s="32"/>
      <c r="BJ101" s="32"/>
      <c r="BK101" s="32"/>
      <c r="BL101" s="32"/>
      <c r="BM101" s="32"/>
      <c r="BN101" s="32"/>
      <c r="BO101" s="62" t="str">
        <f t="shared" si="5"/>
        <v/>
      </c>
    </row>
    <row r="102" spans="1:67" ht="19.5" customHeight="1" x14ac:dyDescent="0.2">
      <c r="A102" s="49" t="b">
        <v>0</v>
      </c>
      <c r="B102" s="50" t="b">
        <v>1</v>
      </c>
      <c r="C102" s="51" t="b">
        <v>0</v>
      </c>
      <c r="D102" s="51" t="b">
        <v>0</v>
      </c>
      <c r="E102" s="37"/>
      <c r="F102" s="39"/>
      <c r="G102" s="37" t="s">
        <v>1100</v>
      </c>
      <c r="H102" s="34"/>
      <c r="I102" s="34"/>
      <c r="J102" s="34" t="s">
        <v>1099</v>
      </c>
      <c r="K102" s="51" t="b">
        <v>1</v>
      </c>
      <c r="L102" s="40"/>
      <c r="M102" s="37" t="s">
        <v>1099</v>
      </c>
      <c r="N102" s="37" t="s">
        <v>1099</v>
      </c>
      <c r="O102" s="41" t="s">
        <v>1099</v>
      </c>
      <c r="P102" s="40" t="s">
        <v>1099</v>
      </c>
      <c r="Q102" s="37" t="s">
        <v>1099</v>
      </c>
      <c r="R102" s="37" t="s">
        <v>1099</v>
      </c>
      <c r="S102" s="113" t="s">
        <v>1099</v>
      </c>
      <c r="T102" s="56"/>
      <c r="U102" s="56"/>
      <c r="V102" s="56"/>
      <c r="W102" s="114" t="s">
        <v>1099</v>
      </c>
      <c r="X102" s="115"/>
      <c r="Y102" s="115"/>
      <c r="Z102" s="116"/>
      <c r="AA102" s="117" t="s">
        <v>1099</v>
      </c>
      <c r="AB102" s="116"/>
      <c r="AC102" s="56"/>
      <c r="AD102" s="116"/>
      <c r="AE102" s="44" t="s">
        <v>1099</v>
      </c>
      <c r="AF102" s="46" t="str">
        <f t="shared" si="3"/>
        <v/>
      </c>
      <c r="AG102" s="38" t="s">
        <v>1099</v>
      </c>
      <c r="AH102" s="47" t="str">
        <f t="shared" si="4"/>
        <v/>
      </c>
      <c r="AI102" s="32"/>
      <c r="AJ102" s="32"/>
      <c r="AK102" s="32"/>
      <c r="AL102" s="32"/>
      <c r="AM102" s="32" t="s">
        <v>1099</v>
      </c>
      <c r="AN102" s="32"/>
      <c r="AO102" s="32" t="s">
        <v>1099</v>
      </c>
      <c r="AP102" s="32"/>
      <c r="AQ102" s="32"/>
      <c r="AR102" s="32"/>
      <c r="AS102" s="32"/>
      <c r="AT102" s="32"/>
      <c r="AU102" s="32"/>
      <c r="AV102" s="38" t="s">
        <v>1099</v>
      </c>
      <c r="AW102" s="38" t="s">
        <v>1099</v>
      </c>
      <c r="AX102" s="42" t="s">
        <v>106</v>
      </c>
      <c r="AY102" s="62" t="str">
        <f>IF('Cálculo MP'!J103="","",'Cálculo MP'!J103)</f>
        <v/>
      </c>
      <c r="AZ102" s="62" t="str">
        <f>IF('Cálculo MP'!K103="","",'Cálculo MP'!K103)</f>
        <v/>
      </c>
      <c r="BA102" s="62" t="str">
        <f>IF('Cálculo MP'!L103="","",'Cálculo MP'!L103)</f>
        <v/>
      </c>
      <c r="BB102" s="62" t="str">
        <f>IF('Cálculo MP'!M103="","",'Cálculo MP'!M103)</f>
        <v/>
      </c>
      <c r="BC102" s="62" t="str">
        <f>IF('Cálculo MP'!N103="","",'Cálculo MP'!N103)</f>
        <v/>
      </c>
      <c r="BD102" s="62" t="str">
        <f>IF('Cálculo MP'!O103="","",'Cálculo MP'!O103)</f>
        <v/>
      </c>
      <c r="BE102" s="62" t="str">
        <f>IF('Cálculo MP'!P103="","",'Cálculo MP'!P103)</f>
        <v/>
      </c>
      <c r="BF102" s="62" t="str">
        <f>IF('Cálculo MP'!Q103="","",'Cálculo MP'!Q103)</f>
        <v/>
      </c>
      <c r="BG102" s="62" t="str">
        <f>IF('Cálculo MP'!R103="","",'Cálculo MP'!R103)</f>
        <v/>
      </c>
      <c r="BH102" s="32"/>
      <c r="BI102" s="32"/>
      <c r="BJ102" s="32"/>
      <c r="BK102" s="32"/>
      <c r="BL102" s="32"/>
      <c r="BM102" s="32"/>
      <c r="BN102" s="32"/>
      <c r="BO102" s="62" t="str">
        <f t="shared" si="5"/>
        <v/>
      </c>
    </row>
    <row r="103" spans="1:67" ht="19.5" customHeight="1" x14ac:dyDescent="0.2">
      <c r="A103" s="49" t="b">
        <v>0</v>
      </c>
      <c r="B103" s="50" t="b">
        <v>1</v>
      </c>
      <c r="C103" s="51" t="b">
        <v>0</v>
      </c>
      <c r="D103" s="51" t="b">
        <v>0</v>
      </c>
      <c r="E103" s="37"/>
      <c r="F103" s="39"/>
      <c r="G103" s="37" t="s">
        <v>1100</v>
      </c>
      <c r="H103" s="34"/>
      <c r="I103" s="34"/>
      <c r="J103" s="34" t="s">
        <v>1099</v>
      </c>
      <c r="K103" s="51" t="b">
        <v>1</v>
      </c>
      <c r="L103" s="40"/>
      <c r="M103" s="37" t="s">
        <v>1099</v>
      </c>
      <c r="N103" s="37" t="s">
        <v>1099</v>
      </c>
      <c r="O103" s="41" t="s">
        <v>1099</v>
      </c>
      <c r="P103" s="40" t="s">
        <v>1099</v>
      </c>
      <c r="Q103" s="37" t="s">
        <v>1099</v>
      </c>
      <c r="R103" s="37" t="s">
        <v>1099</v>
      </c>
      <c r="S103" s="113" t="s">
        <v>1099</v>
      </c>
      <c r="T103" s="56"/>
      <c r="U103" s="56"/>
      <c r="V103" s="56"/>
      <c r="W103" s="114" t="s">
        <v>1099</v>
      </c>
      <c r="X103" s="115"/>
      <c r="Y103" s="115"/>
      <c r="Z103" s="116"/>
      <c r="AA103" s="117" t="s">
        <v>1099</v>
      </c>
      <c r="AB103" s="116"/>
      <c r="AC103" s="56"/>
      <c r="AD103" s="116"/>
      <c r="AE103" s="44" t="s">
        <v>1099</v>
      </c>
      <c r="AF103" s="46" t="str">
        <f t="shared" si="3"/>
        <v/>
      </c>
      <c r="AG103" s="38" t="s">
        <v>1099</v>
      </c>
      <c r="AH103" s="47" t="str">
        <f t="shared" si="4"/>
        <v/>
      </c>
      <c r="AI103" s="32"/>
      <c r="AJ103" s="32"/>
      <c r="AK103" s="32"/>
      <c r="AL103" s="32"/>
      <c r="AM103" s="32" t="s">
        <v>1099</v>
      </c>
      <c r="AN103" s="32"/>
      <c r="AO103" s="32" t="s">
        <v>1099</v>
      </c>
      <c r="AP103" s="32"/>
      <c r="AQ103" s="32"/>
      <c r="AR103" s="32"/>
      <c r="AS103" s="32"/>
      <c r="AT103" s="32"/>
      <c r="AU103" s="32"/>
      <c r="AV103" s="38" t="s">
        <v>1099</v>
      </c>
      <c r="AW103" s="38" t="s">
        <v>1099</v>
      </c>
      <c r="AX103" s="42" t="s">
        <v>106</v>
      </c>
      <c r="AY103" s="62" t="str">
        <f>IF('Cálculo MP'!J104="","",'Cálculo MP'!J104)</f>
        <v/>
      </c>
      <c r="AZ103" s="62" t="str">
        <f>IF('Cálculo MP'!K104="","",'Cálculo MP'!K104)</f>
        <v/>
      </c>
      <c r="BA103" s="62" t="str">
        <f>IF('Cálculo MP'!L104="","",'Cálculo MP'!L104)</f>
        <v/>
      </c>
      <c r="BB103" s="62" t="str">
        <f>IF('Cálculo MP'!M104="","",'Cálculo MP'!M104)</f>
        <v/>
      </c>
      <c r="BC103" s="62" t="str">
        <f>IF('Cálculo MP'!N104="","",'Cálculo MP'!N104)</f>
        <v/>
      </c>
      <c r="BD103" s="62" t="str">
        <f>IF('Cálculo MP'!O104="","",'Cálculo MP'!O104)</f>
        <v/>
      </c>
      <c r="BE103" s="62" t="str">
        <f>IF('Cálculo MP'!P104="","",'Cálculo MP'!P104)</f>
        <v/>
      </c>
      <c r="BF103" s="62" t="str">
        <f>IF('Cálculo MP'!Q104="","",'Cálculo MP'!Q104)</f>
        <v/>
      </c>
      <c r="BG103" s="62" t="str">
        <f>IF('Cálculo MP'!R104="","",'Cálculo MP'!R104)</f>
        <v/>
      </c>
      <c r="BH103" s="32"/>
      <c r="BI103" s="32"/>
      <c r="BJ103" s="32"/>
      <c r="BK103" s="32"/>
      <c r="BL103" s="32"/>
      <c r="BM103" s="32"/>
      <c r="BN103" s="32"/>
      <c r="BO103" s="62" t="str">
        <f t="shared" si="5"/>
        <v/>
      </c>
    </row>
    <row r="104" spans="1:67" ht="19.5" customHeight="1" x14ac:dyDescent="0.2">
      <c r="A104" s="49" t="b">
        <v>0</v>
      </c>
      <c r="B104" s="50" t="b">
        <v>1</v>
      </c>
      <c r="C104" s="51" t="b">
        <v>0</v>
      </c>
      <c r="D104" s="51" t="b">
        <v>0</v>
      </c>
      <c r="E104" s="37"/>
      <c r="F104" s="39"/>
      <c r="G104" s="37" t="s">
        <v>1100</v>
      </c>
      <c r="H104" s="34"/>
      <c r="I104" s="34"/>
      <c r="J104" s="34" t="s">
        <v>1099</v>
      </c>
      <c r="K104" s="51" t="b">
        <v>1</v>
      </c>
      <c r="L104" s="40"/>
      <c r="M104" s="37" t="s">
        <v>1099</v>
      </c>
      <c r="N104" s="37" t="s">
        <v>1099</v>
      </c>
      <c r="O104" s="41" t="s">
        <v>1099</v>
      </c>
      <c r="P104" s="40" t="s">
        <v>1099</v>
      </c>
      <c r="Q104" s="37" t="s">
        <v>1099</v>
      </c>
      <c r="R104" s="37" t="s">
        <v>1099</v>
      </c>
      <c r="S104" s="113" t="s">
        <v>1099</v>
      </c>
      <c r="T104" s="56"/>
      <c r="U104" s="56"/>
      <c r="V104" s="56"/>
      <c r="W104" s="114" t="s">
        <v>1099</v>
      </c>
      <c r="X104" s="115"/>
      <c r="Y104" s="115"/>
      <c r="Z104" s="116"/>
      <c r="AA104" s="117" t="s">
        <v>1099</v>
      </c>
      <c r="AB104" s="116"/>
      <c r="AC104" s="56"/>
      <c r="AD104" s="116"/>
      <c r="AE104" s="44" t="s">
        <v>1099</v>
      </c>
      <c r="AF104" s="46" t="str">
        <f t="shared" si="3"/>
        <v/>
      </c>
      <c r="AG104" s="38" t="s">
        <v>1099</v>
      </c>
      <c r="AH104" s="47" t="str">
        <f t="shared" si="4"/>
        <v/>
      </c>
      <c r="AI104" s="32"/>
      <c r="AJ104" s="32"/>
      <c r="AK104" s="32"/>
      <c r="AL104" s="32"/>
      <c r="AM104" s="32" t="s">
        <v>1099</v>
      </c>
      <c r="AN104" s="32"/>
      <c r="AO104" s="32" t="s">
        <v>1099</v>
      </c>
      <c r="AP104" s="32"/>
      <c r="AQ104" s="32"/>
      <c r="AR104" s="32"/>
      <c r="AS104" s="32"/>
      <c r="AT104" s="32"/>
      <c r="AU104" s="32"/>
      <c r="AV104" s="38" t="s">
        <v>1099</v>
      </c>
      <c r="AW104" s="38" t="s">
        <v>1099</v>
      </c>
      <c r="AX104" s="42" t="s">
        <v>106</v>
      </c>
      <c r="AY104" s="62" t="str">
        <f>IF('Cálculo MP'!J105="","",'Cálculo MP'!J105)</f>
        <v/>
      </c>
      <c r="AZ104" s="62" t="str">
        <f>IF('Cálculo MP'!K105="","",'Cálculo MP'!K105)</f>
        <v/>
      </c>
      <c r="BA104" s="62" t="str">
        <f>IF('Cálculo MP'!L105="","",'Cálculo MP'!L105)</f>
        <v/>
      </c>
      <c r="BB104" s="62" t="str">
        <f>IF('Cálculo MP'!M105="","",'Cálculo MP'!M105)</f>
        <v/>
      </c>
      <c r="BC104" s="62" t="str">
        <f>IF('Cálculo MP'!N105="","",'Cálculo MP'!N105)</f>
        <v/>
      </c>
      <c r="BD104" s="62" t="str">
        <f>IF('Cálculo MP'!O105="","",'Cálculo MP'!O105)</f>
        <v/>
      </c>
      <c r="BE104" s="62" t="str">
        <f>IF('Cálculo MP'!P105="","",'Cálculo MP'!P105)</f>
        <v/>
      </c>
      <c r="BF104" s="62" t="str">
        <f>IF('Cálculo MP'!Q105="","",'Cálculo MP'!Q105)</f>
        <v/>
      </c>
      <c r="BG104" s="62" t="str">
        <f>IF('Cálculo MP'!R105="","",'Cálculo MP'!R105)</f>
        <v/>
      </c>
      <c r="BH104" s="32"/>
      <c r="BI104" s="32"/>
      <c r="BJ104" s="32"/>
      <c r="BK104" s="32"/>
      <c r="BL104" s="32"/>
      <c r="BM104" s="32"/>
      <c r="BN104" s="32"/>
      <c r="BO104" s="62" t="str">
        <f t="shared" si="5"/>
        <v/>
      </c>
    </row>
    <row r="105" spans="1:67" ht="19.5" customHeight="1" x14ac:dyDescent="0.2">
      <c r="A105" s="49" t="b">
        <v>0</v>
      </c>
      <c r="B105" s="50" t="b">
        <v>1</v>
      </c>
      <c r="C105" s="51" t="b">
        <v>0</v>
      </c>
      <c r="D105" s="51" t="b">
        <v>0</v>
      </c>
      <c r="E105" s="37"/>
      <c r="F105" s="39"/>
      <c r="G105" s="37" t="s">
        <v>1100</v>
      </c>
      <c r="H105" s="34"/>
      <c r="I105" s="34"/>
      <c r="J105" s="34" t="s">
        <v>1099</v>
      </c>
      <c r="K105" s="51" t="b">
        <v>1</v>
      </c>
      <c r="L105" s="40"/>
      <c r="M105" s="37" t="s">
        <v>1099</v>
      </c>
      <c r="N105" s="37" t="s">
        <v>1099</v>
      </c>
      <c r="O105" s="41" t="s">
        <v>1099</v>
      </c>
      <c r="P105" s="40" t="s">
        <v>1099</v>
      </c>
      <c r="Q105" s="37" t="s">
        <v>1099</v>
      </c>
      <c r="R105" s="37" t="s">
        <v>1099</v>
      </c>
      <c r="S105" s="113" t="s">
        <v>1099</v>
      </c>
      <c r="T105" s="56"/>
      <c r="U105" s="56"/>
      <c r="V105" s="56"/>
      <c r="W105" s="114" t="s">
        <v>1099</v>
      </c>
      <c r="X105" s="115"/>
      <c r="Y105" s="115"/>
      <c r="Z105" s="116"/>
      <c r="AA105" s="117" t="s">
        <v>1099</v>
      </c>
      <c r="AB105" s="116"/>
      <c r="AC105" s="56"/>
      <c r="AD105" s="116"/>
      <c r="AE105" s="44" t="s">
        <v>1099</v>
      </c>
      <c r="AF105" s="46" t="str">
        <f t="shared" si="3"/>
        <v/>
      </c>
      <c r="AG105" s="38" t="s">
        <v>1099</v>
      </c>
      <c r="AH105" s="47" t="str">
        <f t="shared" si="4"/>
        <v/>
      </c>
      <c r="AI105" s="32"/>
      <c r="AJ105" s="32"/>
      <c r="AK105" s="32"/>
      <c r="AL105" s="32"/>
      <c r="AM105" s="32" t="s">
        <v>1099</v>
      </c>
      <c r="AN105" s="32"/>
      <c r="AO105" s="32" t="s">
        <v>1099</v>
      </c>
      <c r="AP105" s="32"/>
      <c r="AQ105" s="32"/>
      <c r="AR105" s="32"/>
      <c r="AS105" s="32"/>
      <c r="AT105" s="32"/>
      <c r="AU105" s="32"/>
      <c r="AV105" s="38" t="s">
        <v>1099</v>
      </c>
      <c r="AW105" s="38" t="s">
        <v>1099</v>
      </c>
      <c r="AX105" s="42" t="s">
        <v>106</v>
      </c>
      <c r="AY105" s="62" t="str">
        <f>IF('Cálculo MP'!J106="","",'Cálculo MP'!J106)</f>
        <v/>
      </c>
      <c r="AZ105" s="62" t="str">
        <f>IF('Cálculo MP'!K106="","",'Cálculo MP'!K106)</f>
        <v/>
      </c>
      <c r="BA105" s="62" t="str">
        <f>IF('Cálculo MP'!L106="","",'Cálculo MP'!L106)</f>
        <v/>
      </c>
      <c r="BB105" s="62" t="str">
        <f>IF('Cálculo MP'!M106="","",'Cálculo MP'!M106)</f>
        <v/>
      </c>
      <c r="BC105" s="62" t="str">
        <f>IF('Cálculo MP'!N106="","",'Cálculo MP'!N106)</f>
        <v/>
      </c>
      <c r="BD105" s="62" t="str">
        <f>IF('Cálculo MP'!O106="","",'Cálculo MP'!O106)</f>
        <v/>
      </c>
      <c r="BE105" s="62" t="str">
        <f>IF('Cálculo MP'!P106="","",'Cálculo MP'!P106)</f>
        <v/>
      </c>
      <c r="BF105" s="62" t="str">
        <f>IF('Cálculo MP'!Q106="","",'Cálculo MP'!Q106)</f>
        <v/>
      </c>
      <c r="BG105" s="62" t="str">
        <f>IF('Cálculo MP'!R106="","",'Cálculo MP'!R106)</f>
        <v/>
      </c>
      <c r="BH105" s="32"/>
      <c r="BI105" s="32"/>
      <c r="BJ105" s="32"/>
      <c r="BK105" s="32"/>
      <c r="BL105" s="32"/>
      <c r="BM105" s="32"/>
      <c r="BN105" s="32"/>
      <c r="BO105" s="62" t="str">
        <f t="shared" si="5"/>
        <v/>
      </c>
    </row>
    <row r="106" spans="1:67" ht="19.5" customHeight="1" x14ac:dyDescent="0.2">
      <c r="A106" s="49" t="b">
        <v>0</v>
      </c>
      <c r="B106" s="50" t="b">
        <v>1</v>
      </c>
      <c r="C106" s="51" t="b">
        <v>0</v>
      </c>
      <c r="D106" s="51" t="b">
        <v>0</v>
      </c>
      <c r="E106" s="37"/>
      <c r="F106" s="39"/>
      <c r="G106" s="37" t="s">
        <v>1100</v>
      </c>
      <c r="H106" s="34"/>
      <c r="I106" s="34"/>
      <c r="J106" s="34" t="s">
        <v>1099</v>
      </c>
      <c r="K106" s="51" t="b">
        <v>1</v>
      </c>
      <c r="L106" s="40"/>
      <c r="M106" s="37" t="s">
        <v>1099</v>
      </c>
      <c r="N106" s="37" t="s">
        <v>1099</v>
      </c>
      <c r="O106" s="41" t="s">
        <v>1099</v>
      </c>
      <c r="P106" s="40" t="s">
        <v>1099</v>
      </c>
      <c r="Q106" s="37" t="s">
        <v>1099</v>
      </c>
      <c r="R106" s="37" t="s">
        <v>1099</v>
      </c>
      <c r="S106" s="113" t="s">
        <v>1099</v>
      </c>
      <c r="T106" s="56"/>
      <c r="U106" s="56"/>
      <c r="V106" s="56"/>
      <c r="W106" s="114" t="s">
        <v>1099</v>
      </c>
      <c r="X106" s="115"/>
      <c r="Y106" s="115"/>
      <c r="Z106" s="116"/>
      <c r="AA106" s="117" t="s">
        <v>1099</v>
      </c>
      <c r="AB106" s="116"/>
      <c r="AC106" s="56"/>
      <c r="AD106" s="116"/>
      <c r="AE106" s="44" t="s">
        <v>1099</v>
      </c>
      <c r="AF106" s="46" t="str">
        <f t="shared" si="3"/>
        <v/>
      </c>
      <c r="AG106" s="38" t="s">
        <v>1099</v>
      </c>
      <c r="AH106" s="47" t="str">
        <f t="shared" si="4"/>
        <v/>
      </c>
      <c r="AI106" s="32"/>
      <c r="AJ106" s="32"/>
      <c r="AK106" s="32"/>
      <c r="AL106" s="32"/>
      <c r="AM106" s="32" t="s">
        <v>1099</v>
      </c>
      <c r="AN106" s="32"/>
      <c r="AO106" s="32" t="s">
        <v>1099</v>
      </c>
      <c r="AP106" s="32"/>
      <c r="AQ106" s="32"/>
      <c r="AR106" s="32"/>
      <c r="AS106" s="32"/>
      <c r="AT106" s="32"/>
      <c r="AU106" s="32"/>
      <c r="AV106" s="38" t="s">
        <v>1099</v>
      </c>
      <c r="AW106" s="38" t="s">
        <v>1099</v>
      </c>
      <c r="AX106" s="42" t="s">
        <v>106</v>
      </c>
      <c r="AY106" s="62" t="str">
        <f>IF('Cálculo MP'!J107="","",'Cálculo MP'!J107)</f>
        <v/>
      </c>
      <c r="AZ106" s="62" t="str">
        <f>IF('Cálculo MP'!K107="","",'Cálculo MP'!K107)</f>
        <v/>
      </c>
      <c r="BA106" s="62" t="str">
        <f>IF('Cálculo MP'!L107="","",'Cálculo MP'!L107)</f>
        <v/>
      </c>
      <c r="BB106" s="62" t="str">
        <f>IF('Cálculo MP'!M107="","",'Cálculo MP'!M107)</f>
        <v/>
      </c>
      <c r="BC106" s="62" t="str">
        <f>IF('Cálculo MP'!N107="","",'Cálculo MP'!N107)</f>
        <v/>
      </c>
      <c r="BD106" s="62" t="str">
        <f>IF('Cálculo MP'!O107="","",'Cálculo MP'!O107)</f>
        <v/>
      </c>
      <c r="BE106" s="62" t="str">
        <f>IF('Cálculo MP'!P107="","",'Cálculo MP'!P107)</f>
        <v/>
      </c>
      <c r="BF106" s="62" t="str">
        <f>IF('Cálculo MP'!Q107="","",'Cálculo MP'!Q107)</f>
        <v/>
      </c>
      <c r="BG106" s="62" t="str">
        <f>IF('Cálculo MP'!R107="","",'Cálculo MP'!R107)</f>
        <v/>
      </c>
      <c r="BH106" s="32"/>
      <c r="BI106" s="32"/>
      <c r="BJ106" s="32"/>
      <c r="BK106" s="32"/>
      <c r="BL106" s="32"/>
      <c r="BM106" s="32"/>
      <c r="BN106" s="32"/>
      <c r="BO106" s="62" t="str">
        <f t="shared" si="5"/>
        <v/>
      </c>
    </row>
    <row r="107" spans="1:67" ht="19.5" customHeight="1" x14ac:dyDescent="0.2">
      <c r="A107" s="49" t="b">
        <v>0</v>
      </c>
      <c r="B107" s="50" t="b">
        <v>1</v>
      </c>
      <c r="C107" s="51" t="b">
        <v>0</v>
      </c>
      <c r="D107" s="51" t="b">
        <v>0</v>
      </c>
      <c r="E107" s="37"/>
      <c r="F107" s="39"/>
      <c r="G107" s="37" t="s">
        <v>1100</v>
      </c>
      <c r="H107" s="34"/>
      <c r="I107" s="34"/>
      <c r="J107" s="34" t="s">
        <v>1099</v>
      </c>
      <c r="K107" s="51" t="b">
        <v>1</v>
      </c>
      <c r="L107" s="40"/>
      <c r="M107" s="37" t="s">
        <v>1099</v>
      </c>
      <c r="N107" s="37" t="s">
        <v>1099</v>
      </c>
      <c r="O107" s="41" t="s">
        <v>1099</v>
      </c>
      <c r="P107" s="40" t="s">
        <v>1099</v>
      </c>
      <c r="Q107" s="37" t="s">
        <v>1099</v>
      </c>
      <c r="R107" s="37" t="s">
        <v>1099</v>
      </c>
      <c r="S107" s="113" t="s">
        <v>1099</v>
      </c>
      <c r="T107" s="56"/>
      <c r="U107" s="56"/>
      <c r="V107" s="56"/>
      <c r="W107" s="114" t="s">
        <v>1099</v>
      </c>
      <c r="X107" s="115"/>
      <c r="Y107" s="115"/>
      <c r="Z107" s="116"/>
      <c r="AA107" s="117" t="s">
        <v>1099</v>
      </c>
      <c r="AB107" s="116"/>
      <c r="AC107" s="56"/>
      <c r="AD107" s="116"/>
      <c r="AE107" s="44" t="s">
        <v>1099</v>
      </c>
      <c r="AF107" s="46" t="str">
        <f t="shared" si="3"/>
        <v/>
      </c>
      <c r="AG107" s="38" t="s">
        <v>1099</v>
      </c>
      <c r="AH107" s="47" t="str">
        <f t="shared" si="4"/>
        <v/>
      </c>
      <c r="AI107" s="32"/>
      <c r="AJ107" s="32"/>
      <c r="AK107" s="32"/>
      <c r="AL107" s="32"/>
      <c r="AM107" s="32" t="s">
        <v>1099</v>
      </c>
      <c r="AN107" s="32"/>
      <c r="AO107" s="32" t="s">
        <v>1099</v>
      </c>
      <c r="AP107" s="32"/>
      <c r="AQ107" s="32"/>
      <c r="AR107" s="32"/>
      <c r="AS107" s="32"/>
      <c r="AT107" s="32"/>
      <c r="AU107" s="32"/>
      <c r="AV107" s="38" t="s">
        <v>1099</v>
      </c>
      <c r="AW107" s="38" t="s">
        <v>1099</v>
      </c>
      <c r="AX107" s="42" t="s">
        <v>106</v>
      </c>
      <c r="AY107" s="62" t="str">
        <f>IF('Cálculo MP'!J108="","",'Cálculo MP'!J108)</f>
        <v/>
      </c>
      <c r="AZ107" s="62" t="str">
        <f>IF('Cálculo MP'!K108="","",'Cálculo MP'!K108)</f>
        <v/>
      </c>
      <c r="BA107" s="62" t="str">
        <f>IF('Cálculo MP'!L108="","",'Cálculo MP'!L108)</f>
        <v/>
      </c>
      <c r="BB107" s="62" t="str">
        <f>IF('Cálculo MP'!M108="","",'Cálculo MP'!M108)</f>
        <v/>
      </c>
      <c r="BC107" s="62" t="str">
        <f>IF('Cálculo MP'!N108="","",'Cálculo MP'!N108)</f>
        <v/>
      </c>
      <c r="BD107" s="62" t="str">
        <f>IF('Cálculo MP'!O108="","",'Cálculo MP'!O108)</f>
        <v/>
      </c>
      <c r="BE107" s="62" t="str">
        <f>IF('Cálculo MP'!P108="","",'Cálculo MP'!P108)</f>
        <v/>
      </c>
      <c r="BF107" s="62" t="str">
        <f>IF('Cálculo MP'!Q108="","",'Cálculo MP'!Q108)</f>
        <v/>
      </c>
      <c r="BG107" s="62" t="str">
        <f>IF('Cálculo MP'!R108="","",'Cálculo MP'!R108)</f>
        <v/>
      </c>
      <c r="BH107" s="32"/>
      <c r="BI107" s="32"/>
      <c r="BJ107" s="32"/>
      <c r="BK107" s="32"/>
      <c r="BL107" s="32"/>
      <c r="BM107" s="32"/>
      <c r="BN107" s="32"/>
      <c r="BO107" s="62" t="str">
        <f t="shared" si="5"/>
        <v/>
      </c>
    </row>
    <row r="108" spans="1:67" ht="19.5" customHeight="1" x14ac:dyDescent="0.2">
      <c r="A108" s="49" t="b">
        <v>0</v>
      </c>
      <c r="B108" s="50" t="b">
        <v>1</v>
      </c>
      <c r="C108" s="51" t="b">
        <v>0</v>
      </c>
      <c r="D108" s="51" t="b">
        <v>0</v>
      </c>
      <c r="E108" s="37"/>
      <c r="F108" s="39"/>
      <c r="G108" s="37" t="s">
        <v>1100</v>
      </c>
      <c r="H108" s="34"/>
      <c r="I108" s="34"/>
      <c r="J108" s="34" t="s">
        <v>1099</v>
      </c>
      <c r="K108" s="51" t="b">
        <v>1</v>
      </c>
      <c r="L108" s="40"/>
      <c r="M108" s="37" t="s">
        <v>1099</v>
      </c>
      <c r="N108" s="37" t="s">
        <v>1099</v>
      </c>
      <c r="O108" s="41" t="s">
        <v>1099</v>
      </c>
      <c r="P108" s="40" t="s">
        <v>1099</v>
      </c>
      <c r="Q108" s="37" t="s">
        <v>1099</v>
      </c>
      <c r="R108" s="37" t="s">
        <v>1099</v>
      </c>
      <c r="S108" s="113" t="s">
        <v>1099</v>
      </c>
      <c r="T108" s="56"/>
      <c r="U108" s="56"/>
      <c r="V108" s="56"/>
      <c r="W108" s="114" t="s">
        <v>1099</v>
      </c>
      <c r="X108" s="115"/>
      <c r="Y108" s="115"/>
      <c r="Z108" s="116"/>
      <c r="AA108" s="117" t="s">
        <v>1099</v>
      </c>
      <c r="AB108" s="116"/>
      <c r="AC108" s="56"/>
      <c r="AD108" s="116"/>
      <c r="AE108" s="44" t="s">
        <v>1099</v>
      </c>
      <c r="AF108" s="46" t="str">
        <f t="shared" si="3"/>
        <v/>
      </c>
      <c r="AG108" s="38" t="s">
        <v>1099</v>
      </c>
      <c r="AH108" s="47" t="str">
        <f t="shared" si="4"/>
        <v/>
      </c>
      <c r="AI108" s="32"/>
      <c r="AJ108" s="32"/>
      <c r="AK108" s="32"/>
      <c r="AL108" s="32"/>
      <c r="AM108" s="32" t="s">
        <v>1099</v>
      </c>
      <c r="AN108" s="32"/>
      <c r="AO108" s="32" t="s">
        <v>1099</v>
      </c>
      <c r="AP108" s="32"/>
      <c r="AQ108" s="32"/>
      <c r="AR108" s="32"/>
      <c r="AS108" s="32"/>
      <c r="AT108" s="32"/>
      <c r="AU108" s="32"/>
      <c r="AV108" s="38" t="s">
        <v>1099</v>
      </c>
      <c r="AW108" s="38" t="s">
        <v>1099</v>
      </c>
      <c r="AX108" s="42" t="s">
        <v>106</v>
      </c>
      <c r="AY108" s="62" t="str">
        <f>IF('Cálculo MP'!J109="","",'Cálculo MP'!J109)</f>
        <v/>
      </c>
      <c r="AZ108" s="62" t="str">
        <f>IF('Cálculo MP'!K109="","",'Cálculo MP'!K109)</f>
        <v/>
      </c>
      <c r="BA108" s="62" t="str">
        <f>IF('Cálculo MP'!L109="","",'Cálculo MP'!L109)</f>
        <v/>
      </c>
      <c r="BB108" s="62" t="str">
        <f>IF('Cálculo MP'!M109="","",'Cálculo MP'!M109)</f>
        <v/>
      </c>
      <c r="BC108" s="62" t="str">
        <f>IF('Cálculo MP'!N109="","",'Cálculo MP'!N109)</f>
        <v/>
      </c>
      <c r="BD108" s="62" t="str">
        <f>IF('Cálculo MP'!O109="","",'Cálculo MP'!O109)</f>
        <v/>
      </c>
      <c r="BE108" s="62" t="str">
        <f>IF('Cálculo MP'!P109="","",'Cálculo MP'!P109)</f>
        <v/>
      </c>
      <c r="BF108" s="62" t="str">
        <f>IF('Cálculo MP'!Q109="","",'Cálculo MP'!Q109)</f>
        <v/>
      </c>
      <c r="BG108" s="62" t="str">
        <f>IF('Cálculo MP'!R109="","",'Cálculo MP'!R109)</f>
        <v/>
      </c>
      <c r="BH108" s="32"/>
      <c r="BI108" s="32"/>
      <c r="BJ108" s="32"/>
      <c r="BK108" s="32"/>
      <c r="BL108" s="32"/>
      <c r="BM108" s="32"/>
      <c r="BN108" s="32"/>
      <c r="BO108" s="62" t="str">
        <f t="shared" si="5"/>
        <v/>
      </c>
    </row>
    <row r="109" spans="1:67" ht="19.5" customHeight="1" x14ac:dyDescent="0.2">
      <c r="A109" s="49" t="b">
        <v>0</v>
      </c>
      <c r="B109" s="50" t="b">
        <v>1</v>
      </c>
      <c r="C109" s="51" t="b">
        <v>0</v>
      </c>
      <c r="D109" s="51" t="b">
        <v>0</v>
      </c>
      <c r="E109" s="37"/>
      <c r="F109" s="39"/>
      <c r="G109" s="37" t="s">
        <v>1100</v>
      </c>
      <c r="H109" s="34"/>
      <c r="I109" s="34"/>
      <c r="J109" s="34" t="s">
        <v>1099</v>
      </c>
      <c r="K109" s="51" t="b">
        <v>1</v>
      </c>
      <c r="L109" s="40"/>
      <c r="M109" s="37" t="s">
        <v>1099</v>
      </c>
      <c r="N109" s="37" t="s">
        <v>1099</v>
      </c>
      <c r="O109" s="41" t="s">
        <v>1099</v>
      </c>
      <c r="P109" s="40" t="s">
        <v>1099</v>
      </c>
      <c r="Q109" s="37" t="s">
        <v>1099</v>
      </c>
      <c r="R109" s="37" t="s">
        <v>1099</v>
      </c>
      <c r="S109" s="113" t="s">
        <v>1099</v>
      </c>
      <c r="T109" s="56"/>
      <c r="U109" s="56"/>
      <c r="V109" s="56"/>
      <c r="W109" s="114" t="s">
        <v>1099</v>
      </c>
      <c r="X109" s="115"/>
      <c r="Y109" s="115"/>
      <c r="Z109" s="116"/>
      <c r="AA109" s="117" t="s">
        <v>1099</v>
      </c>
      <c r="AB109" s="116"/>
      <c r="AC109" s="56"/>
      <c r="AD109" s="116"/>
      <c r="AE109" s="44" t="s">
        <v>1099</v>
      </c>
      <c r="AF109" s="46" t="str">
        <f t="shared" si="3"/>
        <v/>
      </c>
      <c r="AG109" s="38" t="s">
        <v>1099</v>
      </c>
      <c r="AH109" s="47" t="str">
        <f t="shared" si="4"/>
        <v/>
      </c>
      <c r="AI109" s="32"/>
      <c r="AJ109" s="32"/>
      <c r="AK109" s="32"/>
      <c r="AL109" s="32"/>
      <c r="AM109" s="32" t="s">
        <v>1099</v>
      </c>
      <c r="AN109" s="32"/>
      <c r="AO109" s="32" t="s">
        <v>1099</v>
      </c>
      <c r="AP109" s="32"/>
      <c r="AQ109" s="32"/>
      <c r="AR109" s="32"/>
      <c r="AS109" s="32"/>
      <c r="AT109" s="32"/>
      <c r="AU109" s="32"/>
      <c r="AV109" s="38" t="s">
        <v>1099</v>
      </c>
      <c r="AW109" s="38" t="s">
        <v>1099</v>
      </c>
      <c r="AX109" s="42" t="s">
        <v>106</v>
      </c>
      <c r="AY109" s="62" t="str">
        <f>IF('Cálculo MP'!J110="","",'Cálculo MP'!J110)</f>
        <v/>
      </c>
      <c r="AZ109" s="62" t="str">
        <f>IF('Cálculo MP'!K110="","",'Cálculo MP'!K110)</f>
        <v/>
      </c>
      <c r="BA109" s="62" t="str">
        <f>IF('Cálculo MP'!L110="","",'Cálculo MP'!L110)</f>
        <v/>
      </c>
      <c r="BB109" s="62" t="str">
        <f>IF('Cálculo MP'!M110="","",'Cálculo MP'!M110)</f>
        <v/>
      </c>
      <c r="BC109" s="62" t="str">
        <f>IF('Cálculo MP'!N110="","",'Cálculo MP'!N110)</f>
        <v/>
      </c>
      <c r="BD109" s="62" t="str">
        <f>IF('Cálculo MP'!O110="","",'Cálculo MP'!O110)</f>
        <v/>
      </c>
      <c r="BE109" s="62" t="str">
        <f>IF('Cálculo MP'!P110="","",'Cálculo MP'!P110)</f>
        <v/>
      </c>
      <c r="BF109" s="62" t="str">
        <f>IF('Cálculo MP'!Q110="","",'Cálculo MP'!Q110)</f>
        <v/>
      </c>
      <c r="BG109" s="62" t="str">
        <f>IF('Cálculo MP'!R110="","",'Cálculo MP'!R110)</f>
        <v/>
      </c>
      <c r="BH109" s="32"/>
      <c r="BI109" s="32"/>
      <c r="BJ109" s="32"/>
      <c r="BK109" s="32"/>
      <c r="BL109" s="32"/>
      <c r="BM109" s="32"/>
      <c r="BN109" s="32"/>
      <c r="BO109" s="62" t="str">
        <f t="shared" si="5"/>
        <v/>
      </c>
    </row>
    <row r="110" spans="1:67" ht="19.5" customHeight="1" x14ac:dyDescent="0.2">
      <c r="A110" s="49" t="b">
        <v>0</v>
      </c>
      <c r="B110" s="50" t="b">
        <v>1</v>
      </c>
      <c r="C110" s="51" t="b">
        <v>0</v>
      </c>
      <c r="D110" s="51" t="b">
        <v>0</v>
      </c>
      <c r="E110" s="37"/>
      <c r="F110" s="39"/>
      <c r="G110" s="37" t="s">
        <v>1100</v>
      </c>
      <c r="H110" s="34"/>
      <c r="I110" s="34"/>
      <c r="J110" s="34" t="s">
        <v>1099</v>
      </c>
      <c r="K110" s="51" t="b">
        <v>1</v>
      </c>
      <c r="L110" s="40"/>
      <c r="M110" s="37" t="s">
        <v>1099</v>
      </c>
      <c r="N110" s="37" t="s">
        <v>1099</v>
      </c>
      <c r="O110" s="41" t="s">
        <v>1099</v>
      </c>
      <c r="P110" s="40" t="s">
        <v>1099</v>
      </c>
      <c r="Q110" s="37" t="s">
        <v>1099</v>
      </c>
      <c r="R110" s="37" t="s">
        <v>1099</v>
      </c>
      <c r="S110" s="113" t="s">
        <v>1099</v>
      </c>
      <c r="T110" s="56"/>
      <c r="U110" s="56"/>
      <c r="V110" s="56"/>
      <c r="W110" s="114" t="s">
        <v>1099</v>
      </c>
      <c r="X110" s="115"/>
      <c r="Y110" s="115"/>
      <c r="Z110" s="116"/>
      <c r="AA110" s="117" t="s">
        <v>1099</v>
      </c>
      <c r="AB110" s="116"/>
      <c r="AC110" s="56"/>
      <c r="AD110" s="116"/>
      <c r="AE110" s="44" t="s">
        <v>1099</v>
      </c>
      <c r="AF110" s="46" t="str">
        <f t="shared" si="3"/>
        <v/>
      </c>
      <c r="AG110" s="38" t="s">
        <v>1099</v>
      </c>
      <c r="AH110" s="47" t="str">
        <f t="shared" si="4"/>
        <v/>
      </c>
      <c r="AI110" s="32"/>
      <c r="AJ110" s="32"/>
      <c r="AK110" s="32"/>
      <c r="AL110" s="32"/>
      <c r="AM110" s="32" t="s">
        <v>1099</v>
      </c>
      <c r="AN110" s="32"/>
      <c r="AO110" s="32" t="s">
        <v>1099</v>
      </c>
      <c r="AP110" s="32"/>
      <c r="AQ110" s="32"/>
      <c r="AR110" s="32"/>
      <c r="AS110" s="32"/>
      <c r="AT110" s="32"/>
      <c r="AU110" s="32"/>
      <c r="AV110" s="38" t="s">
        <v>1099</v>
      </c>
      <c r="AW110" s="38" t="s">
        <v>1099</v>
      </c>
      <c r="AX110" s="42" t="s">
        <v>106</v>
      </c>
      <c r="AY110" s="62" t="str">
        <f>IF('Cálculo MP'!J111="","",'Cálculo MP'!J111)</f>
        <v/>
      </c>
      <c r="AZ110" s="62" t="str">
        <f>IF('Cálculo MP'!K111="","",'Cálculo MP'!K111)</f>
        <v/>
      </c>
      <c r="BA110" s="62" t="str">
        <f>IF('Cálculo MP'!L111="","",'Cálculo MP'!L111)</f>
        <v/>
      </c>
      <c r="BB110" s="62" t="str">
        <f>IF('Cálculo MP'!M111="","",'Cálculo MP'!M111)</f>
        <v/>
      </c>
      <c r="BC110" s="62" t="str">
        <f>IF('Cálculo MP'!N111="","",'Cálculo MP'!N111)</f>
        <v/>
      </c>
      <c r="BD110" s="62" t="str">
        <f>IF('Cálculo MP'!O111="","",'Cálculo MP'!O111)</f>
        <v/>
      </c>
      <c r="BE110" s="62" t="str">
        <f>IF('Cálculo MP'!P111="","",'Cálculo MP'!P111)</f>
        <v/>
      </c>
      <c r="BF110" s="62" t="str">
        <f>IF('Cálculo MP'!Q111="","",'Cálculo MP'!Q111)</f>
        <v/>
      </c>
      <c r="BG110" s="62" t="str">
        <f>IF('Cálculo MP'!R111="","",'Cálculo MP'!R111)</f>
        <v/>
      </c>
      <c r="BH110" s="32"/>
      <c r="BI110" s="32"/>
      <c r="BJ110" s="32"/>
      <c r="BK110" s="32"/>
      <c r="BL110" s="32"/>
      <c r="BM110" s="32"/>
      <c r="BN110" s="32"/>
      <c r="BO110" s="62" t="str">
        <f t="shared" si="5"/>
        <v/>
      </c>
    </row>
    <row r="111" spans="1:67" ht="19.5" customHeight="1" x14ac:dyDescent="0.2">
      <c r="A111" s="49" t="b">
        <v>0</v>
      </c>
      <c r="B111" s="50" t="b">
        <v>1</v>
      </c>
      <c r="C111" s="51" t="b">
        <v>0</v>
      </c>
      <c r="D111" s="51" t="b">
        <v>0</v>
      </c>
      <c r="E111" s="37"/>
      <c r="F111" s="39"/>
      <c r="G111" s="37" t="s">
        <v>1100</v>
      </c>
      <c r="H111" s="34"/>
      <c r="I111" s="34"/>
      <c r="J111" s="34" t="s">
        <v>1099</v>
      </c>
      <c r="K111" s="51" t="b">
        <v>1</v>
      </c>
      <c r="L111" s="40"/>
      <c r="M111" s="37" t="s">
        <v>1099</v>
      </c>
      <c r="N111" s="37" t="s">
        <v>1099</v>
      </c>
      <c r="O111" s="41" t="s">
        <v>1099</v>
      </c>
      <c r="P111" s="40" t="s">
        <v>1099</v>
      </c>
      <c r="Q111" s="37" t="s">
        <v>1099</v>
      </c>
      <c r="R111" s="37" t="s">
        <v>1099</v>
      </c>
      <c r="S111" s="113" t="s">
        <v>1099</v>
      </c>
      <c r="T111" s="56"/>
      <c r="U111" s="56"/>
      <c r="V111" s="56"/>
      <c r="W111" s="114" t="s">
        <v>1099</v>
      </c>
      <c r="X111" s="115"/>
      <c r="Y111" s="115"/>
      <c r="Z111" s="116"/>
      <c r="AA111" s="117" t="s">
        <v>1099</v>
      </c>
      <c r="AB111" s="116"/>
      <c r="AC111" s="56"/>
      <c r="AD111" s="116"/>
      <c r="AE111" s="44" t="s">
        <v>1099</v>
      </c>
      <c r="AF111" s="46" t="str">
        <f t="shared" si="3"/>
        <v/>
      </c>
      <c r="AG111" s="38" t="s">
        <v>1099</v>
      </c>
      <c r="AH111" s="47" t="str">
        <f t="shared" si="4"/>
        <v/>
      </c>
      <c r="AI111" s="32"/>
      <c r="AJ111" s="32"/>
      <c r="AK111" s="32"/>
      <c r="AL111" s="32"/>
      <c r="AM111" s="32" t="s">
        <v>1099</v>
      </c>
      <c r="AN111" s="32"/>
      <c r="AO111" s="32" t="s">
        <v>1099</v>
      </c>
      <c r="AP111" s="32"/>
      <c r="AQ111" s="32"/>
      <c r="AR111" s="32"/>
      <c r="AS111" s="32"/>
      <c r="AT111" s="32"/>
      <c r="AU111" s="32"/>
      <c r="AV111" s="38" t="s">
        <v>1099</v>
      </c>
      <c r="AW111" s="38" t="s">
        <v>1099</v>
      </c>
      <c r="AX111" s="42" t="s">
        <v>106</v>
      </c>
      <c r="AY111" s="62" t="str">
        <f>IF('Cálculo MP'!J112="","",'Cálculo MP'!J112)</f>
        <v/>
      </c>
      <c r="AZ111" s="62" t="str">
        <f>IF('Cálculo MP'!K112="","",'Cálculo MP'!K112)</f>
        <v/>
      </c>
      <c r="BA111" s="62" t="str">
        <f>IF('Cálculo MP'!L112="","",'Cálculo MP'!L112)</f>
        <v/>
      </c>
      <c r="BB111" s="62" t="str">
        <f>IF('Cálculo MP'!M112="","",'Cálculo MP'!M112)</f>
        <v/>
      </c>
      <c r="BC111" s="62" t="str">
        <f>IF('Cálculo MP'!N112="","",'Cálculo MP'!N112)</f>
        <v/>
      </c>
      <c r="BD111" s="62" t="str">
        <f>IF('Cálculo MP'!O112="","",'Cálculo MP'!O112)</f>
        <v/>
      </c>
      <c r="BE111" s="62" t="str">
        <f>IF('Cálculo MP'!P112="","",'Cálculo MP'!P112)</f>
        <v/>
      </c>
      <c r="BF111" s="62" t="str">
        <f>IF('Cálculo MP'!Q112="","",'Cálculo MP'!Q112)</f>
        <v/>
      </c>
      <c r="BG111" s="62" t="str">
        <f>IF('Cálculo MP'!R112="","",'Cálculo MP'!R112)</f>
        <v/>
      </c>
      <c r="BH111" s="32"/>
      <c r="BI111" s="32"/>
      <c r="BJ111" s="32"/>
      <c r="BK111" s="32"/>
      <c r="BL111" s="32"/>
      <c r="BM111" s="32"/>
      <c r="BN111" s="32"/>
      <c r="BO111" s="62" t="str">
        <f t="shared" si="5"/>
        <v/>
      </c>
    </row>
    <row r="112" spans="1:67" ht="19.5" customHeight="1" x14ac:dyDescent="0.2">
      <c r="A112" s="49" t="b">
        <v>0</v>
      </c>
      <c r="B112" s="50" t="b">
        <v>1</v>
      </c>
      <c r="C112" s="51" t="b">
        <v>0</v>
      </c>
      <c r="D112" s="51" t="b">
        <v>0</v>
      </c>
      <c r="E112" s="37"/>
      <c r="F112" s="39"/>
      <c r="G112" s="37" t="s">
        <v>1100</v>
      </c>
      <c r="H112" s="34"/>
      <c r="I112" s="34"/>
      <c r="J112" s="34" t="s">
        <v>1099</v>
      </c>
      <c r="K112" s="51" t="b">
        <v>1</v>
      </c>
      <c r="L112" s="40"/>
      <c r="M112" s="37" t="s">
        <v>1099</v>
      </c>
      <c r="N112" s="37" t="s">
        <v>1099</v>
      </c>
      <c r="O112" s="41" t="s">
        <v>1099</v>
      </c>
      <c r="P112" s="40" t="s">
        <v>1099</v>
      </c>
      <c r="Q112" s="37" t="s">
        <v>1099</v>
      </c>
      <c r="R112" s="37" t="s">
        <v>1099</v>
      </c>
      <c r="S112" s="113" t="s">
        <v>1099</v>
      </c>
      <c r="T112" s="56"/>
      <c r="U112" s="56"/>
      <c r="V112" s="56"/>
      <c r="W112" s="114" t="s">
        <v>1099</v>
      </c>
      <c r="X112" s="115"/>
      <c r="Y112" s="115"/>
      <c r="Z112" s="116"/>
      <c r="AA112" s="117" t="s">
        <v>1099</v>
      </c>
      <c r="AB112" s="116"/>
      <c r="AC112" s="56"/>
      <c r="AD112" s="116"/>
      <c r="AE112" s="44" t="s">
        <v>1099</v>
      </c>
      <c r="AF112" s="46" t="str">
        <f t="shared" si="3"/>
        <v/>
      </c>
      <c r="AG112" s="38" t="s">
        <v>1099</v>
      </c>
      <c r="AH112" s="47" t="str">
        <f t="shared" si="4"/>
        <v/>
      </c>
      <c r="AI112" s="32"/>
      <c r="AJ112" s="32"/>
      <c r="AK112" s="32"/>
      <c r="AL112" s="32"/>
      <c r="AM112" s="32" t="s">
        <v>1099</v>
      </c>
      <c r="AN112" s="32"/>
      <c r="AO112" s="32" t="s">
        <v>1099</v>
      </c>
      <c r="AP112" s="32"/>
      <c r="AQ112" s="32"/>
      <c r="AR112" s="32"/>
      <c r="AS112" s="32"/>
      <c r="AT112" s="32"/>
      <c r="AU112" s="32"/>
      <c r="AV112" s="38" t="s">
        <v>1099</v>
      </c>
      <c r="AW112" s="38" t="s">
        <v>1099</v>
      </c>
      <c r="AX112" s="42" t="s">
        <v>106</v>
      </c>
      <c r="AY112" s="62" t="str">
        <f>IF('Cálculo MP'!J113="","",'Cálculo MP'!J113)</f>
        <v/>
      </c>
      <c r="AZ112" s="62" t="str">
        <f>IF('Cálculo MP'!K113="","",'Cálculo MP'!K113)</f>
        <v/>
      </c>
      <c r="BA112" s="62" t="str">
        <f>IF('Cálculo MP'!L113="","",'Cálculo MP'!L113)</f>
        <v/>
      </c>
      <c r="BB112" s="62" t="str">
        <f>IF('Cálculo MP'!M113="","",'Cálculo MP'!M113)</f>
        <v/>
      </c>
      <c r="BC112" s="62" t="str">
        <f>IF('Cálculo MP'!N113="","",'Cálculo MP'!N113)</f>
        <v/>
      </c>
      <c r="BD112" s="62" t="str">
        <f>IF('Cálculo MP'!O113="","",'Cálculo MP'!O113)</f>
        <v/>
      </c>
      <c r="BE112" s="62" t="str">
        <f>IF('Cálculo MP'!P113="","",'Cálculo MP'!P113)</f>
        <v/>
      </c>
      <c r="BF112" s="62" t="str">
        <f>IF('Cálculo MP'!Q113="","",'Cálculo MP'!Q113)</f>
        <v/>
      </c>
      <c r="BG112" s="62" t="str">
        <f>IF('Cálculo MP'!R113="","",'Cálculo MP'!R113)</f>
        <v/>
      </c>
      <c r="BH112" s="32"/>
      <c r="BI112" s="32"/>
      <c r="BJ112" s="32"/>
      <c r="BK112" s="32"/>
      <c r="BL112" s="32"/>
      <c r="BM112" s="32"/>
      <c r="BN112" s="32"/>
      <c r="BO112" s="62" t="str">
        <f t="shared" si="5"/>
        <v/>
      </c>
    </row>
    <row r="113" spans="1:67" ht="19.5" customHeight="1" x14ac:dyDescent="0.2">
      <c r="A113" s="49" t="b">
        <v>0</v>
      </c>
      <c r="B113" s="50" t="b">
        <v>1</v>
      </c>
      <c r="C113" s="51" t="b">
        <v>0</v>
      </c>
      <c r="D113" s="51" t="b">
        <v>0</v>
      </c>
      <c r="E113" s="37"/>
      <c r="F113" s="39"/>
      <c r="G113" s="37" t="s">
        <v>1100</v>
      </c>
      <c r="H113" s="34"/>
      <c r="I113" s="34"/>
      <c r="J113" s="34" t="s">
        <v>1099</v>
      </c>
      <c r="K113" s="51" t="b">
        <v>1</v>
      </c>
      <c r="L113" s="40"/>
      <c r="M113" s="37" t="s">
        <v>1099</v>
      </c>
      <c r="N113" s="37" t="s">
        <v>1099</v>
      </c>
      <c r="O113" s="41" t="s">
        <v>1099</v>
      </c>
      <c r="P113" s="40" t="s">
        <v>1099</v>
      </c>
      <c r="Q113" s="37" t="s">
        <v>1099</v>
      </c>
      <c r="R113" s="37" t="s">
        <v>1099</v>
      </c>
      <c r="S113" s="113" t="s">
        <v>1099</v>
      </c>
      <c r="T113" s="56"/>
      <c r="U113" s="56"/>
      <c r="V113" s="56"/>
      <c r="W113" s="114" t="s">
        <v>1099</v>
      </c>
      <c r="X113" s="115"/>
      <c r="Y113" s="115"/>
      <c r="Z113" s="116"/>
      <c r="AA113" s="117" t="s">
        <v>1099</v>
      </c>
      <c r="AB113" s="116"/>
      <c r="AC113" s="56"/>
      <c r="AD113" s="116"/>
      <c r="AE113" s="44" t="s">
        <v>1099</v>
      </c>
      <c r="AF113" s="46" t="str">
        <f t="shared" si="3"/>
        <v/>
      </c>
      <c r="AG113" s="38" t="s">
        <v>1099</v>
      </c>
      <c r="AH113" s="47" t="str">
        <f t="shared" si="4"/>
        <v/>
      </c>
      <c r="AI113" s="32"/>
      <c r="AJ113" s="32"/>
      <c r="AK113" s="32"/>
      <c r="AL113" s="32"/>
      <c r="AM113" s="32" t="s">
        <v>1099</v>
      </c>
      <c r="AN113" s="32"/>
      <c r="AO113" s="32" t="s">
        <v>1099</v>
      </c>
      <c r="AP113" s="32"/>
      <c r="AQ113" s="32"/>
      <c r="AR113" s="32"/>
      <c r="AS113" s="32"/>
      <c r="AT113" s="32"/>
      <c r="AU113" s="32"/>
      <c r="AV113" s="38" t="s">
        <v>1099</v>
      </c>
      <c r="AW113" s="38" t="s">
        <v>1099</v>
      </c>
      <c r="AX113" s="42" t="s">
        <v>106</v>
      </c>
      <c r="AY113" s="62" t="str">
        <f>IF('Cálculo MP'!J114="","",'Cálculo MP'!J114)</f>
        <v/>
      </c>
      <c r="AZ113" s="62" t="str">
        <f>IF('Cálculo MP'!K114="","",'Cálculo MP'!K114)</f>
        <v/>
      </c>
      <c r="BA113" s="62" t="str">
        <f>IF('Cálculo MP'!L114="","",'Cálculo MP'!L114)</f>
        <v/>
      </c>
      <c r="BB113" s="62" t="str">
        <f>IF('Cálculo MP'!M114="","",'Cálculo MP'!M114)</f>
        <v/>
      </c>
      <c r="BC113" s="62" t="str">
        <f>IF('Cálculo MP'!N114="","",'Cálculo MP'!N114)</f>
        <v/>
      </c>
      <c r="BD113" s="62" t="str">
        <f>IF('Cálculo MP'!O114="","",'Cálculo MP'!O114)</f>
        <v/>
      </c>
      <c r="BE113" s="62" t="str">
        <f>IF('Cálculo MP'!P114="","",'Cálculo MP'!P114)</f>
        <v/>
      </c>
      <c r="BF113" s="62" t="str">
        <f>IF('Cálculo MP'!Q114="","",'Cálculo MP'!Q114)</f>
        <v/>
      </c>
      <c r="BG113" s="62" t="str">
        <f>IF('Cálculo MP'!R114="","",'Cálculo MP'!R114)</f>
        <v/>
      </c>
      <c r="BH113" s="32"/>
      <c r="BI113" s="32"/>
      <c r="BJ113" s="32"/>
      <c r="BK113" s="32"/>
      <c r="BL113" s="32"/>
      <c r="BM113" s="32"/>
      <c r="BN113" s="32"/>
      <c r="BO113" s="62" t="str">
        <f t="shared" si="5"/>
        <v/>
      </c>
    </row>
    <row r="114" spans="1:67" ht="19.5" customHeight="1" x14ac:dyDescent="0.2">
      <c r="A114" s="49" t="b">
        <v>0</v>
      </c>
      <c r="B114" s="50" t="b">
        <v>1</v>
      </c>
      <c r="C114" s="51" t="b">
        <v>0</v>
      </c>
      <c r="D114" s="51" t="b">
        <v>0</v>
      </c>
      <c r="E114" s="37"/>
      <c r="F114" s="39"/>
      <c r="G114" s="37" t="s">
        <v>1100</v>
      </c>
      <c r="H114" s="34"/>
      <c r="I114" s="34"/>
      <c r="J114" s="34" t="s">
        <v>1099</v>
      </c>
      <c r="K114" s="51" t="b">
        <v>1</v>
      </c>
      <c r="L114" s="40"/>
      <c r="M114" s="37" t="s">
        <v>1099</v>
      </c>
      <c r="N114" s="37" t="s">
        <v>1099</v>
      </c>
      <c r="O114" s="41" t="s">
        <v>1099</v>
      </c>
      <c r="P114" s="40" t="s">
        <v>1099</v>
      </c>
      <c r="Q114" s="37" t="s">
        <v>1099</v>
      </c>
      <c r="R114" s="37" t="s">
        <v>1099</v>
      </c>
      <c r="S114" s="113" t="s">
        <v>1099</v>
      </c>
      <c r="T114" s="56"/>
      <c r="U114" s="56"/>
      <c r="V114" s="56"/>
      <c r="W114" s="114" t="s">
        <v>1099</v>
      </c>
      <c r="X114" s="115"/>
      <c r="Y114" s="115"/>
      <c r="Z114" s="116"/>
      <c r="AA114" s="117" t="s">
        <v>1099</v>
      </c>
      <c r="AB114" s="116"/>
      <c r="AC114" s="56"/>
      <c r="AD114" s="116"/>
      <c r="AE114" s="44" t="s">
        <v>1099</v>
      </c>
      <c r="AF114" s="46" t="str">
        <f t="shared" si="3"/>
        <v/>
      </c>
      <c r="AG114" s="38" t="s">
        <v>1099</v>
      </c>
      <c r="AH114" s="47" t="str">
        <f t="shared" si="4"/>
        <v/>
      </c>
      <c r="AI114" s="32"/>
      <c r="AJ114" s="32"/>
      <c r="AK114" s="32"/>
      <c r="AL114" s="32"/>
      <c r="AM114" s="32" t="s">
        <v>1099</v>
      </c>
      <c r="AN114" s="32"/>
      <c r="AO114" s="32" t="s">
        <v>1099</v>
      </c>
      <c r="AP114" s="32"/>
      <c r="AQ114" s="32"/>
      <c r="AR114" s="32"/>
      <c r="AS114" s="32"/>
      <c r="AT114" s="32"/>
      <c r="AU114" s="32"/>
      <c r="AV114" s="38" t="s">
        <v>1099</v>
      </c>
      <c r="AW114" s="38" t="s">
        <v>1099</v>
      </c>
      <c r="AX114" s="42" t="s">
        <v>106</v>
      </c>
      <c r="AY114" s="62" t="str">
        <f>IF('Cálculo MP'!J115="","",'Cálculo MP'!J115)</f>
        <v/>
      </c>
      <c r="AZ114" s="62" t="str">
        <f>IF('Cálculo MP'!K115="","",'Cálculo MP'!K115)</f>
        <v/>
      </c>
      <c r="BA114" s="62" t="str">
        <f>IF('Cálculo MP'!L115="","",'Cálculo MP'!L115)</f>
        <v/>
      </c>
      <c r="BB114" s="62" t="str">
        <f>IF('Cálculo MP'!M115="","",'Cálculo MP'!M115)</f>
        <v/>
      </c>
      <c r="BC114" s="62" t="str">
        <f>IF('Cálculo MP'!N115="","",'Cálculo MP'!N115)</f>
        <v/>
      </c>
      <c r="BD114" s="62" t="str">
        <f>IF('Cálculo MP'!O115="","",'Cálculo MP'!O115)</f>
        <v/>
      </c>
      <c r="BE114" s="62" t="str">
        <f>IF('Cálculo MP'!P115="","",'Cálculo MP'!P115)</f>
        <v/>
      </c>
      <c r="BF114" s="62" t="str">
        <f>IF('Cálculo MP'!Q115="","",'Cálculo MP'!Q115)</f>
        <v/>
      </c>
      <c r="BG114" s="62" t="str">
        <f>IF('Cálculo MP'!R115="","",'Cálculo MP'!R115)</f>
        <v/>
      </c>
      <c r="BH114" s="32"/>
      <c r="BI114" s="32"/>
      <c r="BJ114" s="32"/>
      <c r="BK114" s="32"/>
      <c r="BL114" s="32"/>
      <c r="BM114" s="32"/>
      <c r="BN114" s="32"/>
      <c r="BO114" s="62" t="str">
        <f t="shared" si="5"/>
        <v/>
      </c>
    </row>
    <row r="115" spans="1:67" ht="19.5" customHeight="1" x14ac:dyDescent="0.2">
      <c r="A115" s="49" t="b">
        <v>0</v>
      </c>
      <c r="B115" s="50" t="b">
        <v>1</v>
      </c>
      <c r="C115" s="51" t="b">
        <v>0</v>
      </c>
      <c r="D115" s="51" t="b">
        <v>0</v>
      </c>
      <c r="E115" s="37"/>
      <c r="F115" s="39"/>
      <c r="G115" s="37" t="s">
        <v>1100</v>
      </c>
      <c r="H115" s="34"/>
      <c r="I115" s="34"/>
      <c r="J115" s="34" t="s">
        <v>1099</v>
      </c>
      <c r="K115" s="51" t="b">
        <v>1</v>
      </c>
      <c r="L115" s="40"/>
      <c r="M115" s="37" t="s">
        <v>1099</v>
      </c>
      <c r="N115" s="37" t="s">
        <v>1099</v>
      </c>
      <c r="O115" s="41" t="s">
        <v>1099</v>
      </c>
      <c r="P115" s="40" t="s">
        <v>1099</v>
      </c>
      <c r="Q115" s="37" t="s">
        <v>1099</v>
      </c>
      <c r="R115" s="37" t="s">
        <v>1099</v>
      </c>
      <c r="S115" s="113" t="s">
        <v>1099</v>
      </c>
      <c r="T115" s="56"/>
      <c r="U115" s="56"/>
      <c r="V115" s="56"/>
      <c r="W115" s="114" t="s">
        <v>1099</v>
      </c>
      <c r="X115" s="115"/>
      <c r="Y115" s="115"/>
      <c r="Z115" s="116"/>
      <c r="AA115" s="117" t="s">
        <v>1099</v>
      </c>
      <c r="AB115" s="116"/>
      <c r="AC115" s="56"/>
      <c r="AD115" s="116"/>
      <c r="AE115" s="44" t="s">
        <v>1099</v>
      </c>
      <c r="AF115" s="46" t="str">
        <f t="shared" si="3"/>
        <v/>
      </c>
      <c r="AG115" s="38" t="s">
        <v>1099</v>
      </c>
      <c r="AH115" s="47" t="str">
        <f t="shared" si="4"/>
        <v/>
      </c>
      <c r="AI115" s="32"/>
      <c r="AJ115" s="32"/>
      <c r="AK115" s="32"/>
      <c r="AL115" s="32"/>
      <c r="AM115" s="32" t="s">
        <v>1099</v>
      </c>
      <c r="AN115" s="32"/>
      <c r="AO115" s="32" t="s">
        <v>1099</v>
      </c>
      <c r="AP115" s="32"/>
      <c r="AQ115" s="32"/>
      <c r="AR115" s="32"/>
      <c r="AS115" s="32"/>
      <c r="AT115" s="32"/>
      <c r="AU115" s="32"/>
      <c r="AV115" s="38" t="s">
        <v>1099</v>
      </c>
      <c r="AW115" s="38" t="s">
        <v>1099</v>
      </c>
      <c r="AX115" s="42" t="s">
        <v>106</v>
      </c>
      <c r="AY115" s="62" t="str">
        <f>IF('Cálculo MP'!J116="","",'Cálculo MP'!J116)</f>
        <v/>
      </c>
      <c r="AZ115" s="62" t="str">
        <f>IF('Cálculo MP'!K116="","",'Cálculo MP'!K116)</f>
        <v/>
      </c>
      <c r="BA115" s="62" t="str">
        <f>IF('Cálculo MP'!L116="","",'Cálculo MP'!L116)</f>
        <v/>
      </c>
      <c r="BB115" s="62" t="str">
        <f>IF('Cálculo MP'!M116="","",'Cálculo MP'!M116)</f>
        <v/>
      </c>
      <c r="BC115" s="62" t="str">
        <f>IF('Cálculo MP'!N116="","",'Cálculo MP'!N116)</f>
        <v/>
      </c>
      <c r="BD115" s="62" t="str">
        <f>IF('Cálculo MP'!O116="","",'Cálculo MP'!O116)</f>
        <v/>
      </c>
      <c r="BE115" s="62" t="str">
        <f>IF('Cálculo MP'!P116="","",'Cálculo MP'!P116)</f>
        <v/>
      </c>
      <c r="BF115" s="62" t="str">
        <f>IF('Cálculo MP'!Q116="","",'Cálculo MP'!Q116)</f>
        <v/>
      </c>
      <c r="BG115" s="62" t="str">
        <f>IF('Cálculo MP'!R116="","",'Cálculo MP'!R116)</f>
        <v/>
      </c>
      <c r="BH115" s="32"/>
      <c r="BI115" s="32"/>
      <c r="BJ115" s="32"/>
      <c r="BK115" s="32"/>
      <c r="BL115" s="32"/>
      <c r="BM115" s="32"/>
      <c r="BN115" s="32"/>
      <c r="BO115" s="62" t="str">
        <f t="shared" si="5"/>
        <v/>
      </c>
    </row>
    <row r="116" spans="1:67" ht="19.5" customHeight="1" x14ac:dyDescent="0.2">
      <c r="A116" s="49" t="b">
        <v>0</v>
      </c>
      <c r="B116" s="50" t="b">
        <v>1</v>
      </c>
      <c r="C116" s="51" t="b">
        <v>0</v>
      </c>
      <c r="D116" s="51" t="b">
        <v>0</v>
      </c>
      <c r="E116" s="37"/>
      <c r="F116" s="39"/>
      <c r="G116" s="37" t="s">
        <v>1100</v>
      </c>
      <c r="H116" s="34"/>
      <c r="I116" s="34"/>
      <c r="J116" s="34" t="s">
        <v>1099</v>
      </c>
      <c r="K116" s="51" t="b">
        <v>1</v>
      </c>
      <c r="L116" s="40"/>
      <c r="M116" s="37" t="s">
        <v>1099</v>
      </c>
      <c r="N116" s="37" t="s">
        <v>1099</v>
      </c>
      <c r="O116" s="41" t="s">
        <v>1099</v>
      </c>
      <c r="P116" s="40" t="s">
        <v>1099</v>
      </c>
      <c r="Q116" s="37" t="s">
        <v>1099</v>
      </c>
      <c r="R116" s="37" t="s">
        <v>1099</v>
      </c>
      <c r="S116" s="113" t="s">
        <v>1099</v>
      </c>
      <c r="T116" s="56"/>
      <c r="U116" s="56"/>
      <c r="V116" s="56"/>
      <c r="W116" s="114" t="s">
        <v>1099</v>
      </c>
      <c r="X116" s="115"/>
      <c r="Y116" s="115"/>
      <c r="Z116" s="116"/>
      <c r="AA116" s="117" t="s">
        <v>1099</v>
      </c>
      <c r="AB116" s="116"/>
      <c r="AC116" s="56"/>
      <c r="AD116" s="116"/>
      <c r="AE116" s="44" t="s">
        <v>1099</v>
      </c>
      <c r="AF116" s="46" t="str">
        <f t="shared" si="3"/>
        <v/>
      </c>
      <c r="AG116" s="38" t="s">
        <v>1099</v>
      </c>
      <c r="AH116" s="47" t="str">
        <f t="shared" si="4"/>
        <v/>
      </c>
      <c r="AI116" s="32"/>
      <c r="AJ116" s="32"/>
      <c r="AK116" s="32"/>
      <c r="AL116" s="32"/>
      <c r="AM116" s="32" t="s">
        <v>1099</v>
      </c>
      <c r="AN116" s="32"/>
      <c r="AO116" s="32" t="s">
        <v>1099</v>
      </c>
      <c r="AP116" s="32"/>
      <c r="AQ116" s="32"/>
      <c r="AR116" s="32"/>
      <c r="AS116" s="32"/>
      <c r="AT116" s="32"/>
      <c r="AU116" s="32"/>
      <c r="AV116" s="38" t="s">
        <v>1099</v>
      </c>
      <c r="AW116" s="38" t="s">
        <v>1099</v>
      </c>
      <c r="AX116" s="42" t="s">
        <v>106</v>
      </c>
      <c r="AY116" s="62" t="str">
        <f>IF('Cálculo MP'!J117="","",'Cálculo MP'!J117)</f>
        <v/>
      </c>
      <c r="AZ116" s="62" t="str">
        <f>IF('Cálculo MP'!K117="","",'Cálculo MP'!K117)</f>
        <v/>
      </c>
      <c r="BA116" s="62" t="str">
        <f>IF('Cálculo MP'!L117="","",'Cálculo MP'!L117)</f>
        <v/>
      </c>
      <c r="BB116" s="62" t="str">
        <f>IF('Cálculo MP'!M117="","",'Cálculo MP'!M117)</f>
        <v/>
      </c>
      <c r="BC116" s="62" t="str">
        <f>IF('Cálculo MP'!N117="","",'Cálculo MP'!N117)</f>
        <v/>
      </c>
      <c r="BD116" s="62" t="str">
        <f>IF('Cálculo MP'!O117="","",'Cálculo MP'!O117)</f>
        <v/>
      </c>
      <c r="BE116" s="62" t="str">
        <f>IF('Cálculo MP'!P117="","",'Cálculo MP'!P117)</f>
        <v/>
      </c>
      <c r="BF116" s="62" t="str">
        <f>IF('Cálculo MP'!Q117="","",'Cálculo MP'!Q117)</f>
        <v/>
      </c>
      <c r="BG116" s="62" t="str">
        <f>IF('Cálculo MP'!R117="","",'Cálculo MP'!R117)</f>
        <v/>
      </c>
      <c r="BH116" s="32"/>
      <c r="BI116" s="32"/>
      <c r="BJ116" s="32"/>
      <c r="BK116" s="32"/>
      <c r="BL116" s="32"/>
      <c r="BM116" s="32"/>
      <c r="BN116" s="32"/>
      <c r="BO116" s="62" t="str">
        <f t="shared" si="5"/>
        <v/>
      </c>
    </row>
    <row r="117" spans="1:67" ht="19.5" customHeight="1" x14ac:dyDescent="0.2">
      <c r="A117" s="49" t="b">
        <v>0</v>
      </c>
      <c r="B117" s="50" t="b">
        <v>1</v>
      </c>
      <c r="C117" s="51" t="b">
        <v>0</v>
      </c>
      <c r="D117" s="51" t="b">
        <v>0</v>
      </c>
      <c r="E117" s="37"/>
      <c r="F117" s="39"/>
      <c r="G117" s="37" t="s">
        <v>1100</v>
      </c>
      <c r="H117" s="34"/>
      <c r="I117" s="34"/>
      <c r="J117" s="34" t="s">
        <v>1099</v>
      </c>
      <c r="K117" s="51" t="b">
        <v>1</v>
      </c>
      <c r="L117" s="40"/>
      <c r="M117" s="37" t="s">
        <v>1099</v>
      </c>
      <c r="N117" s="37" t="s">
        <v>1099</v>
      </c>
      <c r="O117" s="41" t="s">
        <v>1099</v>
      </c>
      <c r="P117" s="40" t="s">
        <v>1099</v>
      </c>
      <c r="Q117" s="37" t="s">
        <v>1099</v>
      </c>
      <c r="R117" s="37" t="s">
        <v>1099</v>
      </c>
      <c r="S117" s="113" t="s">
        <v>1099</v>
      </c>
      <c r="T117" s="56"/>
      <c r="U117" s="56"/>
      <c r="V117" s="56"/>
      <c r="W117" s="114" t="s">
        <v>1099</v>
      </c>
      <c r="X117" s="115"/>
      <c r="Y117" s="115"/>
      <c r="Z117" s="116"/>
      <c r="AA117" s="117" t="s">
        <v>1099</v>
      </c>
      <c r="AB117" s="116"/>
      <c r="AC117" s="56"/>
      <c r="AD117" s="116"/>
      <c r="AE117" s="44" t="s">
        <v>1099</v>
      </c>
      <c r="AF117" s="46" t="str">
        <f t="shared" si="3"/>
        <v/>
      </c>
      <c r="AG117" s="38" t="s">
        <v>1099</v>
      </c>
      <c r="AH117" s="47" t="str">
        <f t="shared" si="4"/>
        <v/>
      </c>
      <c r="AI117" s="32"/>
      <c r="AJ117" s="32"/>
      <c r="AK117" s="32"/>
      <c r="AL117" s="32"/>
      <c r="AM117" s="32" t="s">
        <v>1099</v>
      </c>
      <c r="AN117" s="32"/>
      <c r="AO117" s="32" t="s">
        <v>1099</v>
      </c>
      <c r="AP117" s="32"/>
      <c r="AQ117" s="32"/>
      <c r="AR117" s="32"/>
      <c r="AS117" s="32"/>
      <c r="AT117" s="32"/>
      <c r="AU117" s="32"/>
      <c r="AV117" s="38" t="s">
        <v>1099</v>
      </c>
      <c r="AW117" s="38" t="s">
        <v>1099</v>
      </c>
      <c r="AX117" s="42" t="s">
        <v>106</v>
      </c>
      <c r="AY117" s="62" t="str">
        <f>IF('Cálculo MP'!J118="","",'Cálculo MP'!J118)</f>
        <v/>
      </c>
      <c r="AZ117" s="62" t="str">
        <f>IF('Cálculo MP'!K118="","",'Cálculo MP'!K118)</f>
        <v/>
      </c>
      <c r="BA117" s="62" t="str">
        <f>IF('Cálculo MP'!L118="","",'Cálculo MP'!L118)</f>
        <v/>
      </c>
      <c r="BB117" s="62" t="str">
        <f>IF('Cálculo MP'!M118="","",'Cálculo MP'!M118)</f>
        <v/>
      </c>
      <c r="BC117" s="62" t="str">
        <f>IF('Cálculo MP'!N118="","",'Cálculo MP'!N118)</f>
        <v/>
      </c>
      <c r="BD117" s="62" t="str">
        <f>IF('Cálculo MP'!O118="","",'Cálculo MP'!O118)</f>
        <v/>
      </c>
      <c r="BE117" s="62" t="str">
        <f>IF('Cálculo MP'!P118="","",'Cálculo MP'!P118)</f>
        <v/>
      </c>
      <c r="BF117" s="62" t="str">
        <f>IF('Cálculo MP'!Q118="","",'Cálculo MP'!Q118)</f>
        <v/>
      </c>
      <c r="BG117" s="62" t="str">
        <f>IF('Cálculo MP'!R118="","",'Cálculo MP'!R118)</f>
        <v/>
      </c>
      <c r="BH117" s="32"/>
      <c r="BI117" s="32"/>
      <c r="BJ117" s="32"/>
      <c r="BK117" s="32"/>
      <c r="BL117" s="32"/>
      <c r="BM117" s="32"/>
      <c r="BN117" s="32"/>
      <c r="BO117" s="62" t="str">
        <f t="shared" si="5"/>
        <v/>
      </c>
    </row>
    <row r="118" spans="1:67" ht="19.5" customHeight="1" x14ac:dyDescent="0.2">
      <c r="A118" s="49" t="b">
        <v>0</v>
      </c>
      <c r="B118" s="50" t="b">
        <v>1</v>
      </c>
      <c r="C118" s="51" t="b">
        <v>0</v>
      </c>
      <c r="D118" s="51" t="b">
        <v>0</v>
      </c>
      <c r="E118" s="37"/>
      <c r="F118" s="39"/>
      <c r="G118" s="37" t="s">
        <v>1100</v>
      </c>
      <c r="H118" s="34"/>
      <c r="I118" s="34"/>
      <c r="J118" s="34" t="s">
        <v>1099</v>
      </c>
      <c r="K118" s="51" t="b">
        <v>1</v>
      </c>
      <c r="L118" s="40"/>
      <c r="M118" s="37" t="s">
        <v>1099</v>
      </c>
      <c r="N118" s="37" t="s">
        <v>1099</v>
      </c>
      <c r="O118" s="41" t="s">
        <v>1099</v>
      </c>
      <c r="P118" s="40" t="s">
        <v>1099</v>
      </c>
      <c r="Q118" s="37" t="s">
        <v>1099</v>
      </c>
      <c r="R118" s="37" t="s">
        <v>1099</v>
      </c>
      <c r="S118" s="113" t="s">
        <v>1099</v>
      </c>
      <c r="T118" s="56"/>
      <c r="U118" s="56"/>
      <c r="V118" s="56"/>
      <c r="W118" s="114" t="s">
        <v>1099</v>
      </c>
      <c r="X118" s="115"/>
      <c r="Y118" s="115"/>
      <c r="Z118" s="116"/>
      <c r="AA118" s="117" t="s">
        <v>1099</v>
      </c>
      <c r="AB118" s="116"/>
      <c r="AC118" s="56"/>
      <c r="AD118" s="116"/>
      <c r="AE118" s="44" t="s">
        <v>1099</v>
      </c>
      <c r="AF118" s="46" t="str">
        <f t="shared" si="3"/>
        <v/>
      </c>
      <c r="AG118" s="38" t="s">
        <v>1099</v>
      </c>
      <c r="AH118" s="47" t="str">
        <f t="shared" si="4"/>
        <v/>
      </c>
      <c r="AI118" s="32"/>
      <c r="AJ118" s="32"/>
      <c r="AK118" s="32"/>
      <c r="AL118" s="32"/>
      <c r="AM118" s="32" t="s">
        <v>1099</v>
      </c>
      <c r="AN118" s="32"/>
      <c r="AO118" s="32" t="s">
        <v>1099</v>
      </c>
      <c r="AP118" s="32"/>
      <c r="AQ118" s="32"/>
      <c r="AR118" s="32"/>
      <c r="AS118" s="32"/>
      <c r="AT118" s="32"/>
      <c r="AU118" s="32"/>
      <c r="AV118" s="38" t="s">
        <v>1099</v>
      </c>
      <c r="AW118" s="38" t="s">
        <v>1099</v>
      </c>
      <c r="AX118" s="42" t="s">
        <v>106</v>
      </c>
      <c r="AY118" s="62" t="str">
        <f>IF('Cálculo MP'!J119="","",'Cálculo MP'!J119)</f>
        <v/>
      </c>
      <c r="AZ118" s="62" t="str">
        <f>IF('Cálculo MP'!K119="","",'Cálculo MP'!K119)</f>
        <v/>
      </c>
      <c r="BA118" s="62" t="str">
        <f>IF('Cálculo MP'!L119="","",'Cálculo MP'!L119)</f>
        <v/>
      </c>
      <c r="BB118" s="62" t="str">
        <f>IF('Cálculo MP'!M119="","",'Cálculo MP'!M119)</f>
        <v/>
      </c>
      <c r="BC118" s="62" t="str">
        <f>IF('Cálculo MP'!N119="","",'Cálculo MP'!N119)</f>
        <v/>
      </c>
      <c r="BD118" s="62" t="str">
        <f>IF('Cálculo MP'!O119="","",'Cálculo MP'!O119)</f>
        <v/>
      </c>
      <c r="BE118" s="62" t="str">
        <f>IF('Cálculo MP'!P119="","",'Cálculo MP'!P119)</f>
        <v/>
      </c>
      <c r="BF118" s="62" t="str">
        <f>IF('Cálculo MP'!Q119="","",'Cálculo MP'!Q119)</f>
        <v/>
      </c>
      <c r="BG118" s="62" t="str">
        <f>IF('Cálculo MP'!R119="","",'Cálculo MP'!R119)</f>
        <v/>
      </c>
      <c r="BH118" s="32"/>
      <c r="BI118" s="32"/>
      <c r="BJ118" s="32"/>
      <c r="BK118" s="32"/>
      <c r="BL118" s="32"/>
      <c r="BM118" s="32"/>
      <c r="BN118" s="32"/>
      <c r="BO118" s="62" t="str">
        <f t="shared" si="5"/>
        <v/>
      </c>
    </row>
    <row r="119" spans="1:67" ht="19.5" customHeight="1" x14ac:dyDescent="0.2">
      <c r="A119" s="49" t="b">
        <v>0</v>
      </c>
      <c r="B119" s="50" t="b">
        <v>1</v>
      </c>
      <c r="C119" s="51" t="b">
        <v>0</v>
      </c>
      <c r="D119" s="51" t="b">
        <v>0</v>
      </c>
      <c r="E119" s="37"/>
      <c r="F119" s="39"/>
      <c r="G119" s="37" t="s">
        <v>1100</v>
      </c>
      <c r="H119" s="34"/>
      <c r="I119" s="34"/>
      <c r="J119" s="34" t="s">
        <v>1099</v>
      </c>
      <c r="K119" s="51" t="b">
        <v>1</v>
      </c>
      <c r="L119" s="40"/>
      <c r="M119" s="37" t="s">
        <v>1099</v>
      </c>
      <c r="N119" s="37" t="s">
        <v>1099</v>
      </c>
      <c r="O119" s="41" t="s">
        <v>1099</v>
      </c>
      <c r="P119" s="40" t="s">
        <v>1099</v>
      </c>
      <c r="Q119" s="37" t="s">
        <v>1099</v>
      </c>
      <c r="R119" s="37" t="s">
        <v>1099</v>
      </c>
      <c r="S119" s="113" t="s">
        <v>1099</v>
      </c>
      <c r="T119" s="56"/>
      <c r="U119" s="56"/>
      <c r="V119" s="56"/>
      <c r="W119" s="114" t="s">
        <v>1099</v>
      </c>
      <c r="X119" s="115"/>
      <c r="Y119" s="115"/>
      <c r="Z119" s="116"/>
      <c r="AA119" s="117" t="s">
        <v>1099</v>
      </c>
      <c r="AB119" s="116"/>
      <c r="AC119" s="56"/>
      <c r="AD119" s="116"/>
      <c r="AE119" s="44" t="s">
        <v>1099</v>
      </c>
      <c r="AF119" s="46" t="str">
        <f t="shared" si="3"/>
        <v/>
      </c>
      <c r="AG119" s="38" t="s">
        <v>1099</v>
      </c>
      <c r="AH119" s="47" t="str">
        <f t="shared" si="4"/>
        <v/>
      </c>
      <c r="AI119" s="32"/>
      <c r="AJ119" s="32"/>
      <c r="AK119" s="32"/>
      <c r="AL119" s="32"/>
      <c r="AM119" s="32" t="s">
        <v>1099</v>
      </c>
      <c r="AN119" s="32"/>
      <c r="AO119" s="32" t="s">
        <v>1099</v>
      </c>
      <c r="AP119" s="32"/>
      <c r="AQ119" s="32"/>
      <c r="AR119" s="32"/>
      <c r="AS119" s="32"/>
      <c r="AT119" s="32"/>
      <c r="AU119" s="32"/>
      <c r="AV119" s="38" t="s">
        <v>1099</v>
      </c>
      <c r="AW119" s="38" t="s">
        <v>1099</v>
      </c>
      <c r="AX119" s="42" t="s">
        <v>106</v>
      </c>
      <c r="AY119" s="62" t="str">
        <f>IF('Cálculo MP'!J120="","",'Cálculo MP'!J120)</f>
        <v/>
      </c>
      <c r="AZ119" s="62" t="str">
        <f>IF('Cálculo MP'!K120="","",'Cálculo MP'!K120)</f>
        <v/>
      </c>
      <c r="BA119" s="62" t="str">
        <f>IF('Cálculo MP'!L120="","",'Cálculo MP'!L120)</f>
        <v/>
      </c>
      <c r="BB119" s="62" t="str">
        <f>IF('Cálculo MP'!M120="","",'Cálculo MP'!M120)</f>
        <v/>
      </c>
      <c r="BC119" s="62" t="str">
        <f>IF('Cálculo MP'!N120="","",'Cálculo MP'!N120)</f>
        <v/>
      </c>
      <c r="BD119" s="62" t="str">
        <f>IF('Cálculo MP'!O120="","",'Cálculo MP'!O120)</f>
        <v/>
      </c>
      <c r="BE119" s="62" t="str">
        <f>IF('Cálculo MP'!P120="","",'Cálculo MP'!P120)</f>
        <v/>
      </c>
      <c r="BF119" s="62" t="str">
        <f>IF('Cálculo MP'!Q120="","",'Cálculo MP'!Q120)</f>
        <v/>
      </c>
      <c r="BG119" s="62" t="str">
        <f>IF('Cálculo MP'!R120="","",'Cálculo MP'!R120)</f>
        <v/>
      </c>
      <c r="BH119" s="32"/>
      <c r="BI119" s="32"/>
      <c r="BJ119" s="32"/>
      <c r="BK119" s="32"/>
      <c r="BL119" s="32"/>
      <c r="BM119" s="32"/>
      <c r="BN119" s="32"/>
      <c r="BO119" s="62" t="str">
        <f t="shared" si="5"/>
        <v/>
      </c>
    </row>
    <row r="120" spans="1:67" ht="19.5" customHeight="1" x14ac:dyDescent="0.2">
      <c r="A120" s="49" t="b">
        <v>0</v>
      </c>
      <c r="B120" s="50" t="b">
        <v>1</v>
      </c>
      <c r="C120" s="51" t="b">
        <v>0</v>
      </c>
      <c r="D120" s="51" t="b">
        <v>0</v>
      </c>
      <c r="E120" s="37"/>
      <c r="F120" s="39"/>
      <c r="G120" s="37" t="s">
        <v>1100</v>
      </c>
      <c r="H120" s="34"/>
      <c r="I120" s="34"/>
      <c r="J120" s="34" t="s">
        <v>1099</v>
      </c>
      <c r="K120" s="51" t="b">
        <v>1</v>
      </c>
      <c r="L120" s="40"/>
      <c r="M120" s="37" t="s">
        <v>1099</v>
      </c>
      <c r="N120" s="37" t="s">
        <v>1099</v>
      </c>
      <c r="O120" s="41" t="s">
        <v>1099</v>
      </c>
      <c r="P120" s="40" t="s">
        <v>1099</v>
      </c>
      <c r="Q120" s="37" t="s">
        <v>1099</v>
      </c>
      <c r="R120" s="37" t="s">
        <v>1099</v>
      </c>
      <c r="S120" s="113" t="s">
        <v>1099</v>
      </c>
      <c r="T120" s="56"/>
      <c r="U120" s="56"/>
      <c r="V120" s="56"/>
      <c r="W120" s="114" t="s">
        <v>1099</v>
      </c>
      <c r="X120" s="115"/>
      <c r="Y120" s="115"/>
      <c r="Z120" s="116"/>
      <c r="AA120" s="117" t="s">
        <v>1099</v>
      </c>
      <c r="AB120" s="116"/>
      <c r="AC120" s="56"/>
      <c r="AD120" s="116"/>
      <c r="AE120" s="44" t="s">
        <v>1099</v>
      </c>
      <c r="AF120" s="46" t="str">
        <f t="shared" si="3"/>
        <v/>
      </c>
      <c r="AG120" s="38" t="s">
        <v>1099</v>
      </c>
      <c r="AH120" s="47" t="str">
        <f t="shared" si="4"/>
        <v/>
      </c>
      <c r="AI120" s="32"/>
      <c r="AJ120" s="32"/>
      <c r="AK120" s="32"/>
      <c r="AL120" s="32"/>
      <c r="AM120" s="32" t="s">
        <v>1099</v>
      </c>
      <c r="AN120" s="32"/>
      <c r="AO120" s="32" t="s">
        <v>1099</v>
      </c>
      <c r="AP120" s="32"/>
      <c r="AQ120" s="32"/>
      <c r="AR120" s="32"/>
      <c r="AS120" s="32"/>
      <c r="AT120" s="32"/>
      <c r="AU120" s="32"/>
      <c r="AV120" s="38" t="s">
        <v>1099</v>
      </c>
      <c r="AW120" s="38" t="s">
        <v>1099</v>
      </c>
      <c r="AX120" s="42" t="s">
        <v>106</v>
      </c>
      <c r="AY120" s="62" t="str">
        <f>IF('Cálculo MP'!J121="","",'Cálculo MP'!J121)</f>
        <v/>
      </c>
      <c r="AZ120" s="62" t="str">
        <f>IF('Cálculo MP'!K121="","",'Cálculo MP'!K121)</f>
        <v/>
      </c>
      <c r="BA120" s="62" t="str">
        <f>IF('Cálculo MP'!L121="","",'Cálculo MP'!L121)</f>
        <v/>
      </c>
      <c r="BB120" s="62" t="str">
        <f>IF('Cálculo MP'!M121="","",'Cálculo MP'!M121)</f>
        <v/>
      </c>
      <c r="BC120" s="62" t="str">
        <f>IF('Cálculo MP'!N121="","",'Cálculo MP'!N121)</f>
        <v/>
      </c>
      <c r="BD120" s="62" t="str">
        <f>IF('Cálculo MP'!O121="","",'Cálculo MP'!O121)</f>
        <v/>
      </c>
      <c r="BE120" s="62" t="str">
        <f>IF('Cálculo MP'!P121="","",'Cálculo MP'!P121)</f>
        <v/>
      </c>
      <c r="BF120" s="62" t="str">
        <f>IF('Cálculo MP'!Q121="","",'Cálculo MP'!Q121)</f>
        <v/>
      </c>
      <c r="BG120" s="62" t="str">
        <f>IF('Cálculo MP'!R121="","",'Cálculo MP'!R121)</f>
        <v/>
      </c>
      <c r="BH120" s="32"/>
      <c r="BI120" s="32"/>
      <c r="BJ120" s="32"/>
      <c r="BK120" s="32"/>
      <c r="BL120" s="32"/>
      <c r="BM120" s="32"/>
      <c r="BN120" s="32"/>
      <c r="BO120" s="62" t="str">
        <f t="shared" si="5"/>
        <v/>
      </c>
    </row>
    <row r="121" spans="1:67" ht="19.5" customHeight="1" x14ac:dyDescent="0.2">
      <c r="A121" s="49" t="b">
        <v>0</v>
      </c>
      <c r="B121" s="50" t="b">
        <v>1</v>
      </c>
      <c r="C121" s="51" t="b">
        <v>0</v>
      </c>
      <c r="D121" s="51" t="b">
        <v>0</v>
      </c>
      <c r="E121" s="37"/>
      <c r="F121" s="39"/>
      <c r="G121" s="37" t="s">
        <v>1100</v>
      </c>
      <c r="H121" s="34"/>
      <c r="I121" s="34"/>
      <c r="J121" s="34" t="s">
        <v>1099</v>
      </c>
      <c r="K121" s="51" t="b">
        <v>1</v>
      </c>
      <c r="L121" s="40"/>
      <c r="M121" s="37" t="s">
        <v>1099</v>
      </c>
      <c r="N121" s="37" t="s">
        <v>1099</v>
      </c>
      <c r="O121" s="41" t="s">
        <v>1099</v>
      </c>
      <c r="P121" s="40" t="s">
        <v>1099</v>
      </c>
      <c r="Q121" s="37" t="s">
        <v>1099</v>
      </c>
      <c r="R121" s="37" t="s">
        <v>1099</v>
      </c>
      <c r="S121" s="113" t="s">
        <v>1099</v>
      </c>
      <c r="T121" s="56"/>
      <c r="U121" s="56"/>
      <c r="V121" s="56"/>
      <c r="W121" s="114" t="s">
        <v>1099</v>
      </c>
      <c r="X121" s="115"/>
      <c r="Y121" s="115"/>
      <c r="Z121" s="116"/>
      <c r="AA121" s="117" t="s">
        <v>1099</v>
      </c>
      <c r="AB121" s="116"/>
      <c r="AC121" s="56"/>
      <c r="AD121" s="116"/>
      <c r="AE121" s="44" t="s">
        <v>1099</v>
      </c>
      <c r="AF121" s="46" t="str">
        <f t="shared" si="3"/>
        <v/>
      </c>
      <c r="AG121" s="38" t="s">
        <v>1099</v>
      </c>
      <c r="AH121" s="47" t="str">
        <f t="shared" si="4"/>
        <v/>
      </c>
      <c r="AI121" s="32"/>
      <c r="AJ121" s="32"/>
      <c r="AK121" s="32"/>
      <c r="AL121" s="32"/>
      <c r="AM121" s="32" t="s">
        <v>1099</v>
      </c>
      <c r="AN121" s="32"/>
      <c r="AO121" s="32" t="s">
        <v>1099</v>
      </c>
      <c r="AP121" s="32"/>
      <c r="AQ121" s="32"/>
      <c r="AR121" s="32"/>
      <c r="AS121" s="32"/>
      <c r="AT121" s="32"/>
      <c r="AU121" s="32"/>
      <c r="AV121" s="38" t="s">
        <v>1099</v>
      </c>
      <c r="AW121" s="38" t="s">
        <v>1099</v>
      </c>
      <c r="AX121" s="42" t="s">
        <v>106</v>
      </c>
      <c r="AY121" s="62" t="str">
        <f>IF('Cálculo MP'!J122="","",'Cálculo MP'!J122)</f>
        <v/>
      </c>
      <c r="AZ121" s="62" t="str">
        <f>IF('Cálculo MP'!K122="","",'Cálculo MP'!K122)</f>
        <v/>
      </c>
      <c r="BA121" s="62" t="str">
        <f>IF('Cálculo MP'!L122="","",'Cálculo MP'!L122)</f>
        <v/>
      </c>
      <c r="BB121" s="62" t="str">
        <f>IF('Cálculo MP'!M122="","",'Cálculo MP'!M122)</f>
        <v/>
      </c>
      <c r="BC121" s="62" t="str">
        <f>IF('Cálculo MP'!N122="","",'Cálculo MP'!N122)</f>
        <v/>
      </c>
      <c r="BD121" s="62" t="str">
        <f>IF('Cálculo MP'!O122="","",'Cálculo MP'!O122)</f>
        <v/>
      </c>
      <c r="BE121" s="62" t="str">
        <f>IF('Cálculo MP'!P122="","",'Cálculo MP'!P122)</f>
        <v/>
      </c>
      <c r="BF121" s="62" t="str">
        <f>IF('Cálculo MP'!Q122="","",'Cálculo MP'!Q122)</f>
        <v/>
      </c>
      <c r="BG121" s="62" t="str">
        <f>IF('Cálculo MP'!R122="","",'Cálculo MP'!R122)</f>
        <v/>
      </c>
      <c r="BH121" s="32"/>
      <c r="BI121" s="32"/>
      <c r="BJ121" s="32"/>
      <c r="BK121" s="32"/>
      <c r="BL121" s="32"/>
      <c r="BM121" s="32"/>
      <c r="BN121" s="32"/>
      <c r="BO121" s="62" t="str">
        <f t="shared" si="5"/>
        <v/>
      </c>
    </row>
    <row r="122" spans="1:67" ht="19.5" customHeight="1" x14ac:dyDescent="0.2">
      <c r="A122" s="49" t="b">
        <v>0</v>
      </c>
      <c r="B122" s="50" t="b">
        <v>1</v>
      </c>
      <c r="C122" s="51" t="b">
        <v>0</v>
      </c>
      <c r="D122" s="51" t="b">
        <v>0</v>
      </c>
      <c r="E122" s="37"/>
      <c r="F122" s="39"/>
      <c r="G122" s="37" t="s">
        <v>1100</v>
      </c>
      <c r="H122" s="34"/>
      <c r="I122" s="34"/>
      <c r="J122" s="34" t="s">
        <v>1099</v>
      </c>
      <c r="K122" s="51" t="b">
        <v>1</v>
      </c>
      <c r="L122" s="40"/>
      <c r="M122" s="37" t="s">
        <v>1099</v>
      </c>
      <c r="N122" s="37" t="s">
        <v>1099</v>
      </c>
      <c r="O122" s="41" t="s">
        <v>1099</v>
      </c>
      <c r="P122" s="40" t="s">
        <v>1099</v>
      </c>
      <c r="Q122" s="37" t="s">
        <v>1099</v>
      </c>
      <c r="R122" s="37" t="s">
        <v>1099</v>
      </c>
      <c r="S122" s="113" t="s">
        <v>1099</v>
      </c>
      <c r="T122" s="56"/>
      <c r="U122" s="56"/>
      <c r="V122" s="56"/>
      <c r="W122" s="114" t="s">
        <v>1099</v>
      </c>
      <c r="X122" s="115"/>
      <c r="Y122" s="115"/>
      <c r="Z122" s="116"/>
      <c r="AA122" s="117" t="s">
        <v>1099</v>
      </c>
      <c r="AB122" s="116"/>
      <c r="AC122" s="56"/>
      <c r="AD122" s="116"/>
      <c r="AE122" s="44" t="s">
        <v>1099</v>
      </c>
      <c r="AF122" s="46" t="str">
        <f t="shared" si="3"/>
        <v/>
      </c>
      <c r="AG122" s="38" t="s">
        <v>1099</v>
      </c>
      <c r="AH122" s="47" t="str">
        <f t="shared" si="4"/>
        <v/>
      </c>
      <c r="AI122" s="32"/>
      <c r="AJ122" s="32"/>
      <c r="AK122" s="32"/>
      <c r="AL122" s="32"/>
      <c r="AM122" s="32" t="s">
        <v>1099</v>
      </c>
      <c r="AN122" s="32"/>
      <c r="AO122" s="32" t="s">
        <v>1099</v>
      </c>
      <c r="AP122" s="32"/>
      <c r="AQ122" s="32"/>
      <c r="AR122" s="32"/>
      <c r="AS122" s="32"/>
      <c r="AT122" s="32"/>
      <c r="AU122" s="32"/>
      <c r="AV122" s="38" t="s">
        <v>1099</v>
      </c>
      <c r="AW122" s="38" t="s">
        <v>1099</v>
      </c>
      <c r="AX122" s="42" t="s">
        <v>106</v>
      </c>
      <c r="AY122" s="62" t="str">
        <f>IF('Cálculo MP'!J123="","",'Cálculo MP'!J123)</f>
        <v/>
      </c>
      <c r="AZ122" s="62" t="str">
        <f>IF('Cálculo MP'!K123="","",'Cálculo MP'!K123)</f>
        <v/>
      </c>
      <c r="BA122" s="62" t="str">
        <f>IF('Cálculo MP'!L123="","",'Cálculo MP'!L123)</f>
        <v/>
      </c>
      <c r="BB122" s="62" t="str">
        <f>IF('Cálculo MP'!M123="","",'Cálculo MP'!M123)</f>
        <v/>
      </c>
      <c r="BC122" s="62" t="str">
        <f>IF('Cálculo MP'!N123="","",'Cálculo MP'!N123)</f>
        <v/>
      </c>
      <c r="BD122" s="62" t="str">
        <f>IF('Cálculo MP'!O123="","",'Cálculo MP'!O123)</f>
        <v/>
      </c>
      <c r="BE122" s="62" t="str">
        <f>IF('Cálculo MP'!P123="","",'Cálculo MP'!P123)</f>
        <v/>
      </c>
      <c r="BF122" s="62" t="str">
        <f>IF('Cálculo MP'!Q123="","",'Cálculo MP'!Q123)</f>
        <v/>
      </c>
      <c r="BG122" s="62" t="str">
        <f>IF('Cálculo MP'!R123="","",'Cálculo MP'!R123)</f>
        <v/>
      </c>
      <c r="BH122" s="32"/>
      <c r="BI122" s="32"/>
      <c r="BJ122" s="32"/>
      <c r="BK122" s="32"/>
      <c r="BL122" s="32"/>
      <c r="BM122" s="32"/>
      <c r="BN122" s="32"/>
      <c r="BO122" s="62" t="str">
        <f t="shared" si="5"/>
        <v/>
      </c>
    </row>
    <row r="123" spans="1:67" ht="19.5" customHeight="1" x14ac:dyDescent="0.2">
      <c r="A123" s="49" t="b">
        <v>0</v>
      </c>
      <c r="B123" s="50" t="b">
        <v>1</v>
      </c>
      <c r="C123" s="51" t="b">
        <v>0</v>
      </c>
      <c r="D123" s="51" t="b">
        <v>0</v>
      </c>
      <c r="E123" s="37"/>
      <c r="F123" s="39"/>
      <c r="G123" s="37" t="s">
        <v>1100</v>
      </c>
      <c r="H123" s="34"/>
      <c r="I123" s="34"/>
      <c r="J123" s="34" t="s">
        <v>1099</v>
      </c>
      <c r="K123" s="51" t="b">
        <v>1</v>
      </c>
      <c r="L123" s="40"/>
      <c r="M123" s="37" t="s">
        <v>1099</v>
      </c>
      <c r="N123" s="37" t="s">
        <v>1099</v>
      </c>
      <c r="O123" s="41" t="s">
        <v>1099</v>
      </c>
      <c r="P123" s="40" t="s">
        <v>1099</v>
      </c>
      <c r="Q123" s="37" t="s">
        <v>1099</v>
      </c>
      <c r="R123" s="37" t="s">
        <v>1099</v>
      </c>
      <c r="S123" s="113" t="s">
        <v>1099</v>
      </c>
      <c r="T123" s="56"/>
      <c r="U123" s="56"/>
      <c r="V123" s="56"/>
      <c r="W123" s="114" t="s">
        <v>1099</v>
      </c>
      <c r="X123" s="115"/>
      <c r="Y123" s="115"/>
      <c r="Z123" s="116"/>
      <c r="AA123" s="117" t="s">
        <v>1099</v>
      </c>
      <c r="AB123" s="116"/>
      <c r="AC123" s="56"/>
      <c r="AD123" s="116"/>
      <c r="AE123" s="44" t="s">
        <v>1099</v>
      </c>
      <c r="AF123" s="46" t="str">
        <f t="shared" si="3"/>
        <v/>
      </c>
      <c r="AG123" s="38" t="s">
        <v>1099</v>
      </c>
      <c r="AH123" s="47" t="str">
        <f t="shared" si="4"/>
        <v/>
      </c>
      <c r="AI123" s="32"/>
      <c r="AJ123" s="32"/>
      <c r="AK123" s="32"/>
      <c r="AL123" s="32"/>
      <c r="AM123" s="32" t="s">
        <v>1099</v>
      </c>
      <c r="AN123" s="32"/>
      <c r="AO123" s="32" t="s">
        <v>1099</v>
      </c>
      <c r="AP123" s="32"/>
      <c r="AQ123" s="32"/>
      <c r="AR123" s="32"/>
      <c r="AS123" s="32"/>
      <c r="AT123" s="32"/>
      <c r="AU123" s="32"/>
      <c r="AV123" s="38" t="s">
        <v>1099</v>
      </c>
      <c r="AW123" s="38" t="s">
        <v>1099</v>
      </c>
      <c r="AX123" s="42" t="s">
        <v>106</v>
      </c>
      <c r="AY123" s="62" t="str">
        <f>IF('Cálculo MP'!J124="","",'Cálculo MP'!J124)</f>
        <v/>
      </c>
      <c r="AZ123" s="62" t="str">
        <f>IF('Cálculo MP'!K124="","",'Cálculo MP'!K124)</f>
        <v/>
      </c>
      <c r="BA123" s="62" t="str">
        <f>IF('Cálculo MP'!L124="","",'Cálculo MP'!L124)</f>
        <v/>
      </c>
      <c r="BB123" s="62" t="str">
        <f>IF('Cálculo MP'!M124="","",'Cálculo MP'!M124)</f>
        <v/>
      </c>
      <c r="BC123" s="62" t="str">
        <f>IF('Cálculo MP'!N124="","",'Cálculo MP'!N124)</f>
        <v/>
      </c>
      <c r="BD123" s="62" t="str">
        <f>IF('Cálculo MP'!O124="","",'Cálculo MP'!O124)</f>
        <v/>
      </c>
      <c r="BE123" s="62" t="str">
        <f>IF('Cálculo MP'!P124="","",'Cálculo MP'!P124)</f>
        <v/>
      </c>
      <c r="BF123" s="62" t="str">
        <f>IF('Cálculo MP'!Q124="","",'Cálculo MP'!Q124)</f>
        <v/>
      </c>
      <c r="BG123" s="62" t="str">
        <f>IF('Cálculo MP'!R124="","",'Cálculo MP'!R124)</f>
        <v/>
      </c>
      <c r="BH123" s="32"/>
      <c r="BI123" s="32"/>
      <c r="BJ123" s="32"/>
      <c r="BK123" s="32"/>
      <c r="BL123" s="32"/>
      <c r="BM123" s="32"/>
      <c r="BN123" s="32"/>
      <c r="BO123" s="62" t="str">
        <f t="shared" si="5"/>
        <v/>
      </c>
    </row>
    <row r="124" spans="1:67" ht="19.5" customHeight="1" x14ac:dyDescent="0.2">
      <c r="A124" s="49" t="b">
        <v>0</v>
      </c>
      <c r="B124" s="50" t="b">
        <v>1</v>
      </c>
      <c r="C124" s="51" t="b">
        <v>0</v>
      </c>
      <c r="D124" s="51" t="b">
        <v>0</v>
      </c>
      <c r="E124" s="37"/>
      <c r="F124" s="39"/>
      <c r="G124" s="37" t="s">
        <v>1100</v>
      </c>
      <c r="H124" s="34"/>
      <c r="I124" s="34"/>
      <c r="J124" s="34" t="s">
        <v>1099</v>
      </c>
      <c r="K124" s="51" t="b">
        <v>1</v>
      </c>
      <c r="L124" s="40"/>
      <c r="M124" s="37" t="s">
        <v>1099</v>
      </c>
      <c r="N124" s="37" t="s">
        <v>1099</v>
      </c>
      <c r="O124" s="41" t="s">
        <v>1099</v>
      </c>
      <c r="P124" s="40" t="s">
        <v>1099</v>
      </c>
      <c r="Q124" s="37" t="s">
        <v>1099</v>
      </c>
      <c r="R124" s="37" t="s">
        <v>1099</v>
      </c>
      <c r="S124" s="113" t="s">
        <v>1099</v>
      </c>
      <c r="T124" s="56"/>
      <c r="U124" s="56"/>
      <c r="V124" s="56"/>
      <c r="W124" s="114" t="s">
        <v>1099</v>
      </c>
      <c r="X124" s="115"/>
      <c r="Y124" s="115"/>
      <c r="Z124" s="116"/>
      <c r="AA124" s="117" t="s">
        <v>1099</v>
      </c>
      <c r="AB124" s="116"/>
      <c r="AC124" s="56"/>
      <c r="AD124" s="116"/>
      <c r="AE124" s="44" t="s">
        <v>1099</v>
      </c>
      <c r="AF124" s="46" t="str">
        <f t="shared" si="3"/>
        <v/>
      </c>
      <c r="AG124" s="38" t="s">
        <v>1099</v>
      </c>
      <c r="AH124" s="47" t="str">
        <f t="shared" si="4"/>
        <v/>
      </c>
      <c r="AI124" s="32"/>
      <c r="AJ124" s="32"/>
      <c r="AK124" s="32"/>
      <c r="AL124" s="32"/>
      <c r="AM124" s="32" t="s">
        <v>1099</v>
      </c>
      <c r="AN124" s="32"/>
      <c r="AO124" s="32" t="s">
        <v>1099</v>
      </c>
      <c r="AP124" s="32"/>
      <c r="AQ124" s="32"/>
      <c r="AR124" s="32"/>
      <c r="AS124" s="32"/>
      <c r="AT124" s="32"/>
      <c r="AU124" s="32"/>
      <c r="AV124" s="38" t="s">
        <v>1099</v>
      </c>
      <c r="AW124" s="38" t="s">
        <v>1099</v>
      </c>
      <c r="AX124" s="42" t="s">
        <v>106</v>
      </c>
      <c r="AY124" s="62" t="str">
        <f>IF('Cálculo MP'!J125="","",'Cálculo MP'!J125)</f>
        <v/>
      </c>
      <c r="AZ124" s="62" t="str">
        <f>IF('Cálculo MP'!K125="","",'Cálculo MP'!K125)</f>
        <v/>
      </c>
      <c r="BA124" s="62" t="str">
        <f>IF('Cálculo MP'!L125="","",'Cálculo MP'!L125)</f>
        <v/>
      </c>
      <c r="BB124" s="62" t="str">
        <f>IF('Cálculo MP'!M125="","",'Cálculo MP'!M125)</f>
        <v/>
      </c>
      <c r="BC124" s="62" t="str">
        <f>IF('Cálculo MP'!N125="","",'Cálculo MP'!N125)</f>
        <v/>
      </c>
      <c r="BD124" s="62" t="str">
        <f>IF('Cálculo MP'!O125="","",'Cálculo MP'!O125)</f>
        <v/>
      </c>
      <c r="BE124" s="62" t="str">
        <f>IF('Cálculo MP'!P125="","",'Cálculo MP'!P125)</f>
        <v/>
      </c>
      <c r="BF124" s="62" t="str">
        <f>IF('Cálculo MP'!Q125="","",'Cálculo MP'!Q125)</f>
        <v/>
      </c>
      <c r="BG124" s="62" t="str">
        <f>IF('Cálculo MP'!R125="","",'Cálculo MP'!R125)</f>
        <v/>
      </c>
      <c r="BH124" s="32"/>
      <c r="BI124" s="32"/>
      <c r="BJ124" s="32"/>
      <c r="BK124" s="32"/>
      <c r="BL124" s="32"/>
      <c r="BM124" s="32"/>
      <c r="BN124" s="32"/>
      <c r="BO124" s="62" t="str">
        <f t="shared" si="5"/>
        <v/>
      </c>
    </row>
    <row r="125" spans="1:67" ht="19.5" customHeight="1" x14ac:dyDescent="0.2">
      <c r="A125" s="49" t="b">
        <v>0</v>
      </c>
      <c r="B125" s="50" t="b">
        <v>1</v>
      </c>
      <c r="C125" s="51" t="b">
        <v>0</v>
      </c>
      <c r="D125" s="51" t="b">
        <v>0</v>
      </c>
      <c r="E125" s="37"/>
      <c r="F125" s="39"/>
      <c r="G125" s="37" t="s">
        <v>1100</v>
      </c>
      <c r="H125" s="34"/>
      <c r="I125" s="34"/>
      <c r="J125" s="34" t="s">
        <v>1099</v>
      </c>
      <c r="K125" s="51" t="b">
        <v>1</v>
      </c>
      <c r="L125" s="40"/>
      <c r="M125" s="37" t="s">
        <v>1099</v>
      </c>
      <c r="N125" s="37" t="s">
        <v>1099</v>
      </c>
      <c r="O125" s="41" t="s">
        <v>1099</v>
      </c>
      <c r="P125" s="40" t="s">
        <v>1099</v>
      </c>
      <c r="Q125" s="37" t="s">
        <v>1099</v>
      </c>
      <c r="R125" s="37" t="s">
        <v>1099</v>
      </c>
      <c r="S125" s="113" t="s">
        <v>1099</v>
      </c>
      <c r="T125" s="56"/>
      <c r="U125" s="56"/>
      <c r="V125" s="56"/>
      <c r="W125" s="114" t="s">
        <v>1099</v>
      </c>
      <c r="X125" s="115"/>
      <c r="Y125" s="115"/>
      <c r="Z125" s="116"/>
      <c r="AA125" s="117" t="s">
        <v>1099</v>
      </c>
      <c r="AB125" s="116"/>
      <c r="AC125" s="56"/>
      <c r="AD125" s="116"/>
      <c r="AE125" s="44" t="s">
        <v>1099</v>
      </c>
      <c r="AF125" s="46" t="str">
        <f t="shared" si="3"/>
        <v/>
      </c>
      <c r="AG125" s="38" t="s">
        <v>1099</v>
      </c>
      <c r="AH125" s="47" t="str">
        <f t="shared" si="4"/>
        <v/>
      </c>
      <c r="AI125" s="32"/>
      <c r="AJ125" s="32"/>
      <c r="AK125" s="32"/>
      <c r="AL125" s="32"/>
      <c r="AM125" s="32" t="s">
        <v>1099</v>
      </c>
      <c r="AN125" s="32"/>
      <c r="AO125" s="32" t="s">
        <v>1099</v>
      </c>
      <c r="AP125" s="32"/>
      <c r="AQ125" s="32"/>
      <c r="AR125" s="32"/>
      <c r="AS125" s="32"/>
      <c r="AT125" s="32"/>
      <c r="AU125" s="32"/>
      <c r="AV125" s="38" t="s">
        <v>1099</v>
      </c>
      <c r="AW125" s="38" t="s">
        <v>1099</v>
      </c>
      <c r="AX125" s="42" t="s">
        <v>106</v>
      </c>
      <c r="AY125" s="62" t="str">
        <f>IF('Cálculo MP'!J126="","",'Cálculo MP'!J126)</f>
        <v/>
      </c>
      <c r="AZ125" s="62" t="str">
        <f>IF('Cálculo MP'!K126="","",'Cálculo MP'!K126)</f>
        <v/>
      </c>
      <c r="BA125" s="62" t="str">
        <f>IF('Cálculo MP'!L126="","",'Cálculo MP'!L126)</f>
        <v/>
      </c>
      <c r="BB125" s="62" t="str">
        <f>IF('Cálculo MP'!M126="","",'Cálculo MP'!M126)</f>
        <v/>
      </c>
      <c r="BC125" s="62" t="str">
        <f>IF('Cálculo MP'!N126="","",'Cálculo MP'!N126)</f>
        <v/>
      </c>
      <c r="BD125" s="62" t="str">
        <f>IF('Cálculo MP'!O126="","",'Cálculo MP'!O126)</f>
        <v/>
      </c>
      <c r="BE125" s="62" t="str">
        <f>IF('Cálculo MP'!P126="","",'Cálculo MP'!P126)</f>
        <v/>
      </c>
      <c r="BF125" s="62" t="str">
        <f>IF('Cálculo MP'!Q126="","",'Cálculo MP'!Q126)</f>
        <v/>
      </c>
      <c r="BG125" s="62" t="str">
        <f>IF('Cálculo MP'!R126="","",'Cálculo MP'!R126)</f>
        <v/>
      </c>
      <c r="BH125" s="32"/>
      <c r="BI125" s="32"/>
      <c r="BJ125" s="32"/>
      <c r="BK125" s="32"/>
      <c r="BL125" s="32"/>
      <c r="BM125" s="32"/>
      <c r="BN125" s="32"/>
      <c r="BO125" s="62" t="str">
        <f t="shared" si="5"/>
        <v/>
      </c>
    </row>
    <row r="126" spans="1:67" ht="19.5" customHeight="1" x14ac:dyDescent="0.2">
      <c r="A126" s="49" t="b">
        <v>0</v>
      </c>
      <c r="B126" s="50" t="b">
        <v>1</v>
      </c>
      <c r="C126" s="51" t="b">
        <v>0</v>
      </c>
      <c r="D126" s="51" t="b">
        <v>0</v>
      </c>
      <c r="E126" s="37"/>
      <c r="F126" s="39"/>
      <c r="G126" s="37" t="s">
        <v>1100</v>
      </c>
      <c r="H126" s="34"/>
      <c r="I126" s="34"/>
      <c r="J126" s="34" t="s">
        <v>1099</v>
      </c>
      <c r="K126" s="51" t="b">
        <v>1</v>
      </c>
      <c r="L126" s="40"/>
      <c r="M126" s="37" t="s">
        <v>1099</v>
      </c>
      <c r="N126" s="37" t="s">
        <v>1099</v>
      </c>
      <c r="O126" s="41" t="s">
        <v>1099</v>
      </c>
      <c r="P126" s="40" t="s">
        <v>1099</v>
      </c>
      <c r="Q126" s="37" t="s">
        <v>1099</v>
      </c>
      <c r="R126" s="37" t="s">
        <v>1099</v>
      </c>
      <c r="S126" s="113" t="s">
        <v>1099</v>
      </c>
      <c r="T126" s="56"/>
      <c r="U126" s="56"/>
      <c r="V126" s="56"/>
      <c r="W126" s="114" t="s">
        <v>1099</v>
      </c>
      <c r="X126" s="115"/>
      <c r="Y126" s="115"/>
      <c r="Z126" s="116"/>
      <c r="AA126" s="117" t="s">
        <v>1099</v>
      </c>
      <c r="AB126" s="116"/>
      <c r="AC126" s="56"/>
      <c r="AD126" s="116"/>
      <c r="AE126" s="44" t="s">
        <v>1099</v>
      </c>
      <c r="AF126" s="46" t="str">
        <f t="shared" si="3"/>
        <v/>
      </c>
      <c r="AG126" s="38" t="s">
        <v>1099</v>
      </c>
      <c r="AH126" s="47" t="str">
        <f t="shared" si="4"/>
        <v/>
      </c>
      <c r="AI126" s="32"/>
      <c r="AJ126" s="32"/>
      <c r="AK126" s="32"/>
      <c r="AL126" s="32"/>
      <c r="AM126" s="32" t="s">
        <v>1099</v>
      </c>
      <c r="AN126" s="32"/>
      <c r="AO126" s="32" t="s">
        <v>1099</v>
      </c>
      <c r="AP126" s="32"/>
      <c r="AQ126" s="32"/>
      <c r="AR126" s="32"/>
      <c r="AS126" s="32"/>
      <c r="AT126" s="32"/>
      <c r="AU126" s="32"/>
      <c r="AV126" s="38" t="s">
        <v>1099</v>
      </c>
      <c r="AW126" s="38" t="s">
        <v>1099</v>
      </c>
      <c r="AX126" s="42" t="s">
        <v>106</v>
      </c>
      <c r="AY126" s="62" t="str">
        <f>IF('Cálculo MP'!J127="","",'Cálculo MP'!J127)</f>
        <v/>
      </c>
      <c r="AZ126" s="62" t="str">
        <f>IF('Cálculo MP'!K127="","",'Cálculo MP'!K127)</f>
        <v/>
      </c>
      <c r="BA126" s="62" t="str">
        <f>IF('Cálculo MP'!L127="","",'Cálculo MP'!L127)</f>
        <v/>
      </c>
      <c r="BB126" s="62" t="str">
        <f>IF('Cálculo MP'!M127="","",'Cálculo MP'!M127)</f>
        <v/>
      </c>
      <c r="BC126" s="62" t="str">
        <f>IF('Cálculo MP'!N127="","",'Cálculo MP'!N127)</f>
        <v/>
      </c>
      <c r="BD126" s="62" t="str">
        <f>IF('Cálculo MP'!O127="","",'Cálculo MP'!O127)</f>
        <v/>
      </c>
      <c r="BE126" s="62" t="str">
        <f>IF('Cálculo MP'!P127="","",'Cálculo MP'!P127)</f>
        <v/>
      </c>
      <c r="BF126" s="62" t="str">
        <f>IF('Cálculo MP'!Q127="","",'Cálculo MP'!Q127)</f>
        <v/>
      </c>
      <c r="BG126" s="62" t="str">
        <f>IF('Cálculo MP'!R127="","",'Cálculo MP'!R127)</f>
        <v/>
      </c>
      <c r="BH126" s="32"/>
      <c r="BI126" s="32"/>
      <c r="BJ126" s="32"/>
      <c r="BK126" s="32"/>
      <c r="BL126" s="32"/>
      <c r="BM126" s="32"/>
      <c r="BN126" s="32"/>
      <c r="BO126" s="62" t="str">
        <f t="shared" si="5"/>
        <v/>
      </c>
    </row>
    <row r="127" spans="1:67" ht="19.5" customHeight="1" x14ac:dyDescent="0.2">
      <c r="A127" s="49" t="b">
        <v>0</v>
      </c>
      <c r="B127" s="50" t="b">
        <v>1</v>
      </c>
      <c r="C127" s="51" t="b">
        <v>0</v>
      </c>
      <c r="D127" s="51" t="b">
        <v>0</v>
      </c>
      <c r="E127" s="37"/>
      <c r="F127" s="39"/>
      <c r="G127" s="37" t="s">
        <v>1100</v>
      </c>
      <c r="H127" s="34"/>
      <c r="I127" s="34"/>
      <c r="J127" s="34" t="s">
        <v>1099</v>
      </c>
      <c r="K127" s="51" t="b">
        <v>1</v>
      </c>
      <c r="L127" s="40"/>
      <c r="M127" s="37" t="s">
        <v>1099</v>
      </c>
      <c r="N127" s="37" t="s">
        <v>1099</v>
      </c>
      <c r="O127" s="41" t="s">
        <v>1099</v>
      </c>
      <c r="P127" s="40" t="s">
        <v>1099</v>
      </c>
      <c r="Q127" s="37" t="s">
        <v>1099</v>
      </c>
      <c r="R127" s="37" t="s">
        <v>1099</v>
      </c>
      <c r="S127" s="113" t="s">
        <v>1099</v>
      </c>
      <c r="T127" s="56"/>
      <c r="U127" s="56"/>
      <c r="V127" s="56"/>
      <c r="W127" s="114" t="s">
        <v>1099</v>
      </c>
      <c r="X127" s="115"/>
      <c r="Y127" s="115"/>
      <c r="Z127" s="116"/>
      <c r="AA127" s="117" t="s">
        <v>1099</v>
      </c>
      <c r="AB127" s="116"/>
      <c r="AC127" s="56"/>
      <c r="AD127" s="116"/>
      <c r="AE127" s="44" t="s">
        <v>1099</v>
      </c>
      <c r="AF127" s="46" t="str">
        <f t="shared" si="3"/>
        <v/>
      </c>
      <c r="AG127" s="38" t="s">
        <v>1099</v>
      </c>
      <c r="AH127" s="47" t="str">
        <f t="shared" si="4"/>
        <v/>
      </c>
      <c r="AI127" s="32"/>
      <c r="AJ127" s="32"/>
      <c r="AK127" s="32"/>
      <c r="AL127" s="32"/>
      <c r="AM127" s="32" t="s">
        <v>1099</v>
      </c>
      <c r="AN127" s="32"/>
      <c r="AO127" s="32" t="s">
        <v>1099</v>
      </c>
      <c r="AP127" s="32"/>
      <c r="AQ127" s="32"/>
      <c r="AR127" s="32"/>
      <c r="AS127" s="32"/>
      <c r="AT127" s="32"/>
      <c r="AU127" s="32"/>
      <c r="AV127" s="38" t="s">
        <v>1099</v>
      </c>
      <c r="AW127" s="38" t="s">
        <v>1099</v>
      </c>
      <c r="AX127" s="42" t="s">
        <v>106</v>
      </c>
      <c r="AY127" s="62" t="str">
        <f>IF('Cálculo MP'!J128="","",'Cálculo MP'!J128)</f>
        <v/>
      </c>
      <c r="AZ127" s="62" t="str">
        <f>IF('Cálculo MP'!K128="","",'Cálculo MP'!K128)</f>
        <v/>
      </c>
      <c r="BA127" s="62" t="str">
        <f>IF('Cálculo MP'!L128="","",'Cálculo MP'!L128)</f>
        <v/>
      </c>
      <c r="BB127" s="62" t="str">
        <f>IF('Cálculo MP'!M128="","",'Cálculo MP'!M128)</f>
        <v/>
      </c>
      <c r="BC127" s="62" t="str">
        <f>IF('Cálculo MP'!N128="","",'Cálculo MP'!N128)</f>
        <v/>
      </c>
      <c r="BD127" s="62" t="str">
        <f>IF('Cálculo MP'!O128="","",'Cálculo MP'!O128)</f>
        <v/>
      </c>
      <c r="BE127" s="62" t="str">
        <f>IF('Cálculo MP'!P128="","",'Cálculo MP'!P128)</f>
        <v/>
      </c>
      <c r="BF127" s="62" t="str">
        <f>IF('Cálculo MP'!Q128="","",'Cálculo MP'!Q128)</f>
        <v/>
      </c>
      <c r="BG127" s="62" t="str">
        <f>IF('Cálculo MP'!R128="","",'Cálculo MP'!R128)</f>
        <v/>
      </c>
      <c r="BH127" s="32"/>
      <c r="BI127" s="32"/>
      <c r="BJ127" s="32"/>
      <c r="BK127" s="32"/>
      <c r="BL127" s="32"/>
      <c r="BM127" s="32"/>
      <c r="BN127" s="32"/>
      <c r="BO127" s="62" t="str">
        <f t="shared" si="5"/>
        <v/>
      </c>
    </row>
    <row r="128" spans="1:67" ht="19.5" customHeight="1" x14ac:dyDescent="0.2">
      <c r="A128" s="49" t="b">
        <v>0</v>
      </c>
      <c r="B128" s="50" t="b">
        <v>1</v>
      </c>
      <c r="C128" s="51" t="b">
        <v>0</v>
      </c>
      <c r="D128" s="51" t="b">
        <v>0</v>
      </c>
      <c r="E128" s="37"/>
      <c r="F128" s="39"/>
      <c r="G128" s="37" t="s">
        <v>1100</v>
      </c>
      <c r="H128" s="34"/>
      <c r="I128" s="34"/>
      <c r="J128" s="34" t="s">
        <v>1099</v>
      </c>
      <c r="K128" s="51" t="b">
        <v>1</v>
      </c>
      <c r="L128" s="40"/>
      <c r="M128" s="37" t="s">
        <v>1099</v>
      </c>
      <c r="N128" s="37" t="s">
        <v>1099</v>
      </c>
      <c r="O128" s="41" t="s">
        <v>1099</v>
      </c>
      <c r="P128" s="40" t="s">
        <v>1099</v>
      </c>
      <c r="Q128" s="37" t="s">
        <v>1099</v>
      </c>
      <c r="R128" s="37" t="s">
        <v>1099</v>
      </c>
      <c r="S128" s="113" t="s">
        <v>1099</v>
      </c>
      <c r="T128" s="56"/>
      <c r="U128" s="56"/>
      <c r="V128" s="56"/>
      <c r="W128" s="114" t="s">
        <v>1099</v>
      </c>
      <c r="X128" s="115"/>
      <c r="Y128" s="115"/>
      <c r="Z128" s="116"/>
      <c r="AA128" s="117" t="s">
        <v>1099</v>
      </c>
      <c r="AB128" s="116"/>
      <c r="AC128" s="56"/>
      <c r="AD128" s="116"/>
      <c r="AE128" s="44" t="s">
        <v>1099</v>
      </c>
      <c r="AF128" s="46" t="str">
        <f t="shared" si="3"/>
        <v/>
      </c>
      <c r="AG128" s="38" t="s">
        <v>1099</v>
      </c>
      <c r="AH128" s="47" t="str">
        <f t="shared" si="4"/>
        <v/>
      </c>
      <c r="AI128" s="32"/>
      <c r="AJ128" s="32"/>
      <c r="AK128" s="32"/>
      <c r="AL128" s="32"/>
      <c r="AM128" s="32" t="s">
        <v>1099</v>
      </c>
      <c r="AN128" s="32"/>
      <c r="AO128" s="32" t="s">
        <v>1099</v>
      </c>
      <c r="AP128" s="32"/>
      <c r="AQ128" s="32"/>
      <c r="AR128" s="32"/>
      <c r="AS128" s="32"/>
      <c r="AT128" s="32"/>
      <c r="AU128" s="32"/>
      <c r="AV128" s="38" t="s">
        <v>1099</v>
      </c>
      <c r="AW128" s="38" t="s">
        <v>1099</v>
      </c>
      <c r="AX128" s="42" t="s">
        <v>106</v>
      </c>
      <c r="AY128" s="62" t="str">
        <f>IF('Cálculo MP'!J129="","",'Cálculo MP'!J129)</f>
        <v/>
      </c>
      <c r="AZ128" s="62" t="str">
        <f>IF('Cálculo MP'!K129="","",'Cálculo MP'!K129)</f>
        <v/>
      </c>
      <c r="BA128" s="62" t="str">
        <f>IF('Cálculo MP'!L129="","",'Cálculo MP'!L129)</f>
        <v/>
      </c>
      <c r="BB128" s="62" t="str">
        <f>IF('Cálculo MP'!M129="","",'Cálculo MP'!M129)</f>
        <v/>
      </c>
      <c r="BC128" s="62" t="str">
        <f>IF('Cálculo MP'!N129="","",'Cálculo MP'!N129)</f>
        <v/>
      </c>
      <c r="BD128" s="62" t="str">
        <f>IF('Cálculo MP'!O129="","",'Cálculo MP'!O129)</f>
        <v/>
      </c>
      <c r="BE128" s="62" t="str">
        <f>IF('Cálculo MP'!P129="","",'Cálculo MP'!P129)</f>
        <v/>
      </c>
      <c r="BF128" s="62" t="str">
        <f>IF('Cálculo MP'!Q129="","",'Cálculo MP'!Q129)</f>
        <v/>
      </c>
      <c r="BG128" s="62" t="str">
        <f>IF('Cálculo MP'!R129="","",'Cálculo MP'!R129)</f>
        <v/>
      </c>
      <c r="BH128" s="32"/>
      <c r="BI128" s="32"/>
      <c r="BJ128" s="32"/>
      <c r="BK128" s="32"/>
      <c r="BL128" s="32"/>
      <c r="BM128" s="32"/>
      <c r="BN128" s="32"/>
      <c r="BO128" s="62" t="str">
        <f t="shared" si="5"/>
        <v/>
      </c>
    </row>
    <row r="129" spans="1:67" ht="19.5" customHeight="1" x14ac:dyDescent="0.2">
      <c r="A129" s="49" t="b">
        <v>0</v>
      </c>
      <c r="B129" s="50" t="b">
        <v>1</v>
      </c>
      <c r="C129" s="51" t="b">
        <v>0</v>
      </c>
      <c r="D129" s="51" t="b">
        <v>0</v>
      </c>
      <c r="E129" s="37"/>
      <c r="F129" s="39"/>
      <c r="G129" s="37" t="s">
        <v>1100</v>
      </c>
      <c r="H129" s="34"/>
      <c r="I129" s="34"/>
      <c r="J129" s="34" t="s">
        <v>1099</v>
      </c>
      <c r="K129" s="51" t="b">
        <v>1</v>
      </c>
      <c r="L129" s="40"/>
      <c r="M129" s="37" t="s">
        <v>1099</v>
      </c>
      <c r="N129" s="37" t="s">
        <v>1099</v>
      </c>
      <c r="O129" s="41" t="s">
        <v>1099</v>
      </c>
      <c r="P129" s="40" t="s">
        <v>1099</v>
      </c>
      <c r="Q129" s="37" t="s">
        <v>1099</v>
      </c>
      <c r="R129" s="37" t="s">
        <v>1099</v>
      </c>
      <c r="S129" s="113" t="s">
        <v>1099</v>
      </c>
      <c r="T129" s="56"/>
      <c r="U129" s="56"/>
      <c r="V129" s="56"/>
      <c r="W129" s="114" t="s">
        <v>1099</v>
      </c>
      <c r="X129" s="115"/>
      <c r="Y129" s="115"/>
      <c r="Z129" s="116"/>
      <c r="AA129" s="117" t="s">
        <v>1099</v>
      </c>
      <c r="AB129" s="116"/>
      <c r="AC129" s="56"/>
      <c r="AD129" s="116"/>
      <c r="AE129" s="44" t="s">
        <v>1099</v>
      </c>
      <c r="AF129" s="46" t="str">
        <f t="shared" si="3"/>
        <v/>
      </c>
      <c r="AG129" s="38" t="s">
        <v>1099</v>
      </c>
      <c r="AH129" s="47" t="str">
        <f t="shared" si="4"/>
        <v/>
      </c>
      <c r="AI129" s="32"/>
      <c r="AJ129" s="32"/>
      <c r="AK129" s="32"/>
      <c r="AL129" s="32"/>
      <c r="AM129" s="32" t="s">
        <v>1099</v>
      </c>
      <c r="AN129" s="32"/>
      <c r="AO129" s="32" t="s">
        <v>1099</v>
      </c>
      <c r="AP129" s="32"/>
      <c r="AQ129" s="32"/>
      <c r="AR129" s="32"/>
      <c r="AS129" s="32"/>
      <c r="AT129" s="32"/>
      <c r="AU129" s="32"/>
      <c r="AV129" s="38" t="s">
        <v>1099</v>
      </c>
      <c r="AW129" s="38" t="s">
        <v>1099</v>
      </c>
      <c r="AX129" s="42" t="s">
        <v>106</v>
      </c>
      <c r="AY129" s="62" t="str">
        <f>IF('Cálculo MP'!J130="","",'Cálculo MP'!J130)</f>
        <v/>
      </c>
      <c r="AZ129" s="62" t="str">
        <f>IF('Cálculo MP'!K130="","",'Cálculo MP'!K130)</f>
        <v/>
      </c>
      <c r="BA129" s="62" t="str">
        <f>IF('Cálculo MP'!L130="","",'Cálculo MP'!L130)</f>
        <v/>
      </c>
      <c r="BB129" s="62" t="str">
        <f>IF('Cálculo MP'!M130="","",'Cálculo MP'!M130)</f>
        <v/>
      </c>
      <c r="BC129" s="62" t="str">
        <f>IF('Cálculo MP'!N130="","",'Cálculo MP'!N130)</f>
        <v/>
      </c>
      <c r="BD129" s="62" t="str">
        <f>IF('Cálculo MP'!O130="","",'Cálculo MP'!O130)</f>
        <v/>
      </c>
      <c r="BE129" s="62" t="str">
        <f>IF('Cálculo MP'!P130="","",'Cálculo MP'!P130)</f>
        <v/>
      </c>
      <c r="BF129" s="62" t="str">
        <f>IF('Cálculo MP'!Q130="","",'Cálculo MP'!Q130)</f>
        <v/>
      </c>
      <c r="BG129" s="62" t="str">
        <f>IF('Cálculo MP'!R130="","",'Cálculo MP'!R130)</f>
        <v/>
      </c>
      <c r="BH129" s="32"/>
      <c r="BI129" s="32"/>
      <c r="BJ129" s="32"/>
      <c r="BK129" s="32"/>
      <c r="BL129" s="32"/>
      <c r="BM129" s="32"/>
      <c r="BN129" s="32"/>
      <c r="BO129" s="62" t="str">
        <f t="shared" si="5"/>
        <v/>
      </c>
    </row>
    <row r="130" spans="1:67" ht="19.5" customHeight="1" x14ac:dyDescent="0.2">
      <c r="A130" s="49" t="b">
        <v>0</v>
      </c>
      <c r="B130" s="50" t="b">
        <v>1</v>
      </c>
      <c r="C130" s="51" t="b">
        <v>0</v>
      </c>
      <c r="D130" s="51" t="b">
        <v>0</v>
      </c>
      <c r="E130" s="37"/>
      <c r="F130" s="39"/>
      <c r="G130" s="37" t="s">
        <v>1100</v>
      </c>
      <c r="H130" s="34"/>
      <c r="I130" s="34"/>
      <c r="J130" s="34" t="s">
        <v>1099</v>
      </c>
      <c r="K130" s="51" t="b">
        <v>1</v>
      </c>
      <c r="L130" s="40"/>
      <c r="M130" s="37" t="s">
        <v>1099</v>
      </c>
      <c r="N130" s="37" t="s">
        <v>1099</v>
      </c>
      <c r="O130" s="41" t="s">
        <v>1099</v>
      </c>
      <c r="P130" s="40" t="s">
        <v>1099</v>
      </c>
      <c r="Q130" s="37" t="s">
        <v>1099</v>
      </c>
      <c r="R130" s="37" t="s">
        <v>1099</v>
      </c>
      <c r="S130" s="113" t="s">
        <v>1099</v>
      </c>
      <c r="T130" s="56"/>
      <c r="U130" s="56"/>
      <c r="V130" s="56"/>
      <c r="W130" s="114" t="s">
        <v>1099</v>
      </c>
      <c r="X130" s="115"/>
      <c r="Y130" s="115"/>
      <c r="Z130" s="116"/>
      <c r="AA130" s="117" t="s">
        <v>1099</v>
      </c>
      <c r="AB130" s="116"/>
      <c r="AC130" s="56"/>
      <c r="AD130" s="116"/>
      <c r="AE130" s="44" t="s">
        <v>1099</v>
      </c>
      <c r="AF130" s="46" t="str">
        <f t="shared" si="3"/>
        <v/>
      </c>
      <c r="AG130" s="38" t="s">
        <v>1099</v>
      </c>
      <c r="AH130" s="47" t="str">
        <f t="shared" si="4"/>
        <v/>
      </c>
      <c r="AI130" s="32"/>
      <c r="AJ130" s="32"/>
      <c r="AK130" s="32"/>
      <c r="AL130" s="32"/>
      <c r="AM130" s="32" t="s">
        <v>1099</v>
      </c>
      <c r="AN130" s="32"/>
      <c r="AO130" s="32" t="s">
        <v>1099</v>
      </c>
      <c r="AP130" s="32"/>
      <c r="AQ130" s="32"/>
      <c r="AR130" s="32"/>
      <c r="AS130" s="32"/>
      <c r="AT130" s="32"/>
      <c r="AU130" s="32"/>
      <c r="AV130" s="38" t="s">
        <v>1099</v>
      </c>
      <c r="AW130" s="38" t="s">
        <v>1099</v>
      </c>
      <c r="AX130" s="42" t="s">
        <v>106</v>
      </c>
      <c r="AY130" s="62" t="str">
        <f>IF('Cálculo MP'!J131="","",'Cálculo MP'!J131)</f>
        <v/>
      </c>
      <c r="AZ130" s="62" t="str">
        <f>IF('Cálculo MP'!K131="","",'Cálculo MP'!K131)</f>
        <v/>
      </c>
      <c r="BA130" s="62" t="str">
        <f>IF('Cálculo MP'!L131="","",'Cálculo MP'!L131)</f>
        <v/>
      </c>
      <c r="BB130" s="62" t="str">
        <f>IF('Cálculo MP'!M131="","",'Cálculo MP'!M131)</f>
        <v/>
      </c>
      <c r="BC130" s="62" t="str">
        <f>IF('Cálculo MP'!N131="","",'Cálculo MP'!N131)</f>
        <v/>
      </c>
      <c r="BD130" s="62" t="str">
        <f>IF('Cálculo MP'!O131="","",'Cálculo MP'!O131)</f>
        <v/>
      </c>
      <c r="BE130" s="62" t="str">
        <f>IF('Cálculo MP'!P131="","",'Cálculo MP'!P131)</f>
        <v/>
      </c>
      <c r="BF130" s="62" t="str">
        <f>IF('Cálculo MP'!Q131="","",'Cálculo MP'!Q131)</f>
        <v/>
      </c>
      <c r="BG130" s="62" t="str">
        <f>IF('Cálculo MP'!R131="","",'Cálculo MP'!R131)</f>
        <v/>
      </c>
      <c r="BH130" s="32"/>
      <c r="BI130" s="32"/>
      <c r="BJ130" s="32"/>
      <c r="BK130" s="32"/>
      <c r="BL130" s="32"/>
      <c r="BM130" s="32"/>
      <c r="BN130" s="32"/>
      <c r="BO130" s="62" t="str">
        <f t="shared" si="5"/>
        <v/>
      </c>
    </row>
    <row r="131" spans="1:67" ht="19.5" customHeight="1" x14ac:dyDescent="0.2">
      <c r="A131" s="49" t="b">
        <v>0</v>
      </c>
      <c r="B131" s="50" t="b">
        <v>1</v>
      </c>
      <c r="C131" s="51" t="b">
        <v>0</v>
      </c>
      <c r="D131" s="51" t="b">
        <v>0</v>
      </c>
      <c r="E131" s="37"/>
      <c r="F131" s="39"/>
      <c r="G131" s="37" t="s">
        <v>1100</v>
      </c>
      <c r="H131" s="34"/>
      <c r="I131" s="34"/>
      <c r="J131" s="34" t="s">
        <v>1099</v>
      </c>
      <c r="K131" s="51" t="b">
        <v>1</v>
      </c>
      <c r="L131" s="40"/>
      <c r="M131" s="37" t="s">
        <v>1099</v>
      </c>
      <c r="N131" s="37" t="s">
        <v>1099</v>
      </c>
      <c r="O131" s="41" t="s">
        <v>1099</v>
      </c>
      <c r="P131" s="40" t="s">
        <v>1099</v>
      </c>
      <c r="Q131" s="37" t="s">
        <v>1099</v>
      </c>
      <c r="R131" s="37" t="s">
        <v>1099</v>
      </c>
      <c r="S131" s="113" t="s">
        <v>1099</v>
      </c>
      <c r="T131" s="56"/>
      <c r="U131" s="56"/>
      <c r="V131" s="56"/>
      <c r="W131" s="114" t="s">
        <v>1099</v>
      </c>
      <c r="X131" s="115"/>
      <c r="Y131" s="115"/>
      <c r="Z131" s="116"/>
      <c r="AA131" s="117" t="s">
        <v>1099</v>
      </c>
      <c r="AB131" s="116"/>
      <c r="AC131" s="56"/>
      <c r="AD131" s="116"/>
      <c r="AE131" s="44" t="s">
        <v>1099</v>
      </c>
      <c r="AF131" s="46" t="str">
        <f t="shared" si="3"/>
        <v/>
      </c>
      <c r="AG131" s="38" t="s">
        <v>1099</v>
      </c>
      <c r="AH131" s="47" t="str">
        <f t="shared" si="4"/>
        <v/>
      </c>
      <c r="AI131" s="32"/>
      <c r="AJ131" s="32"/>
      <c r="AK131" s="32"/>
      <c r="AL131" s="32"/>
      <c r="AM131" s="32" t="s">
        <v>1099</v>
      </c>
      <c r="AN131" s="32"/>
      <c r="AO131" s="32" t="s">
        <v>1099</v>
      </c>
      <c r="AP131" s="32"/>
      <c r="AQ131" s="32"/>
      <c r="AR131" s="32"/>
      <c r="AS131" s="32"/>
      <c r="AT131" s="32"/>
      <c r="AU131" s="32"/>
      <c r="AV131" s="38" t="s">
        <v>1099</v>
      </c>
      <c r="AW131" s="38" t="s">
        <v>1099</v>
      </c>
      <c r="AX131" s="42" t="s">
        <v>106</v>
      </c>
      <c r="AY131" s="62" t="str">
        <f>IF('Cálculo MP'!J132="","",'Cálculo MP'!J132)</f>
        <v/>
      </c>
      <c r="AZ131" s="62" t="str">
        <f>IF('Cálculo MP'!K132="","",'Cálculo MP'!K132)</f>
        <v/>
      </c>
      <c r="BA131" s="62" t="str">
        <f>IF('Cálculo MP'!L132="","",'Cálculo MP'!L132)</f>
        <v/>
      </c>
      <c r="BB131" s="62" t="str">
        <f>IF('Cálculo MP'!M132="","",'Cálculo MP'!M132)</f>
        <v/>
      </c>
      <c r="BC131" s="62" t="str">
        <f>IF('Cálculo MP'!N132="","",'Cálculo MP'!N132)</f>
        <v/>
      </c>
      <c r="BD131" s="62" t="str">
        <f>IF('Cálculo MP'!O132="","",'Cálculo MP'!O132)</f>
        <v/>
      </c>
      <c r="BE131" s="62" t="str">
        <f>IF('Cálculo MP'!P132="","",'Cálculo MP'!P132)</f>
        <v/>
      </c>
      <c r="BF131" s="62" t="str">
        <f>IF('Cálculo MP'!Q132="","",'Cálculo MP'!Q132)</f>
        <v/>
      </c>
      <c r="BG131" s="62" t="str">
        <f>IF('Cálculo MP'!R132="","",'Cálculo MP'!R132)</f>
        <v/>
      </c>
      <c r="BH131" s="32"/>
      <c r="BI131" s="32"/>
      <c r="BJ131" s="32"/>
      <c r="BK131" s="32"/>
      <c r="BL131" s="32"/>
      <c r="BM131" s="32"/>
      <c r="BN131" s="32"/>
      <c r="BO131" s="62" t="str">
        <f t="shared" si="5"/>
        <v/>
      </c>
    </row>
    <row r="132" spans="1:67" ht="19.5" customHeight="1" x14ac:dyDescent="0.2">
      <c r="A132" s="49" t="b">
        <v>0</v>
      </c>
      <c r="B132" s="50" t="b">
        <v>1</v>
      </c>
      <c r="C132" s="51" t="b">
        <v>0</v>
      </c>
      <c r="D132" s="51" t="b">
        <v>0</v>
      </c>
      <c r="E132" s="37"/>
      <c r="F132" s="39"/>
      <c r="G132" s="37" t="s">
        <v>1100</v>
      </c>
      <c r="H132" s="34"/>
      <c r="I132" s="34"/>
      <c r="J132" s="34" t="s">
        <v>1099</v>
      </c>
      <c r="K132" s="51" t="b">
        <v>1</v>
      </c>
      <c r="L132" s="40"/>
      <c r="M132" s="37" t="s">
        <v>1099</v>
      </c>
      <c r="N132" s="37" t="s">
        <v>1099</v>
      </c>
      <c r="O132" s="41" t="s">
        <v>1099</v>
      </c>
      <c r="P132" s="40" t="s">
        <v>1099</v>
      </c>
      <c r="Q132" s="37" t="s">
        <v>1099</v>
      </c>
      <c r="R132" s="37" t="s">
        <v>1099</v>
      </c>
      <c r="S132" s="113" t="s">
        <v>1099</v>
      </c>
      <c r="T132" s="56"/>
      <c r="U132" s="56"/>
      <c r="V132" s="56"/>
      <c r="W132" s="114" t="s">
        <v>1099</v>
      </c>
      <c r="X132" s="115"/>
      <c r="Y132" s="115"/>
      <c r="Z132" s="116"/>
      <c r="AA132" s="117" t="s">
        <v>1099</v>
      </c>
      <c r="AB132" s="116"/>
      <c r="AC132" s="56"/>
      <c r="AD132" s="116"/>
      <c r="AE132" s="44" t="s">
        <v>1099</v>
      </c>
      <c r="AF132" s="46" t="str">
        <f t="shared" si="3"/>
        <v/>
      </c>
      <c r="AG132" s="38" t="s">
        <v>1099</v>
      </c>
      <c r="AH132" s="47" t="str">
        <f t="shared" si="4"/>
        <v/>
      </c>
      <c r="AI132" s="32"/>
      <c r="AJ132" s="32"/>
      <c r="AK132" s="32"/>
      <c r="AL132" s="32"/>
      <c r="AM132" s="32" t="s">
        <v>1099</v>
      </c>
      <c r="AN132" s="32"/>
      <c r="AO132" s="32" t="s">
        <v>1099</v>
      </c>
      <c r="AP132" s="32"/>
      <c r="AQ132" s="32"/>
      <c r="AR132" s="32"/>
      <c r="AS132" s="32"/>
      <c r="AT132" s="32"/>
      <c r="AU132" s="32"/>
      <c r="AV132" s="38" t="s">
        <v>1099</v>
      </c>
      <c r="AW132" s="38" t="s">
        <v>1099</v>
      </c>
      <c r="AX132" s="42" t="s">
        <v>106</v>
      </c>
      <c r="AY132" s="62" t="str">
        <f>IF('Cálculo MP'!J133="","",'Cálculo MP'!J133)</f>
        <v/>
      </c>
      <c r="AZ132" s="62" t="str">
        <f>IF('Cálculo MP'!K133="","",'Cálculo MP'!K133)</f>
        <v/>
      </c>
      <c r="BA132" s="62" t="str">
        <f>IF('Cálculo MP'!L133="","",'Cálculo MP'!L133)</f>
        <v/>
      </c>
      <c r="BB132" s="62" t="str">
        <f>IF('Cálculo MP'!M133="","",'Cálculo MP'!M133)</f>
        <v/>
      </c>
      <c r="BC132" s="62" t="str">
        <f>IF('Cálculo MP'!N133="","",'Cálculo MP'!N133)</f>
        <v/>
      </c>
      <c r="BD132" s="62" t="str">
        <f>IF('Cálculo MP'!O133="","",'Cálculo MP'!O133)</f>
        <v/>
      </c>
      <c r="BE132" s="62" t="str">
        <f>IF('Cálculo MP'!P133="","",'Cálculo MP'!P133)</f>
        <v/>
      </c>
      <c r="BF132" s="62" t="str">
        <f>IF('Cálculo MP'!Q133="","",'Cálculo MP'!Q133)</f>
        <v/>
      </c>
      <c r="BG132" s="62" t="str">
        <f>IF('Cálculo MP'!R133="","",'Cálculo MP'!R133)</f>
        <v/>
      </c>
      <c r="BH132" s="32"/>
      <c r="BI132" s="32"/>
      <c r="BJ132" s="32"/>
      <c r="BK132" s="32"/>
      <c r="BL132" s="32"/>
      <c r="BM132" s="32"/>
      <c r="BN132" s="32"/>
      <c r="BO132" s="62" t="str">
        <f t="shared" si="5"/>
        <v/>
      </c>
    </row>
    <row r="133" spans="1:67" ht="19.5" customHeight="1" x14ac:dyDescent="0.2">
      <c r="A133" s="49" t="b">
        <v>0</v>
      </c>
      <c r="B133" s="50" t="b">
        <v>1</v>
      </c>
      <c r="C133" s="51" t="b">
        <v>0</v>
      </c>
      <c r="D133" s="51" t="b">
        <v>0</v>
      </c>
      <c r="E133" s="37"/>
      <c r="F133" s="39"/>
      <c r="G133" s="37" t="s">
        <v>1100</v>
      </c>
      <c r="H133" s="34"/>
      <c r="I133" s="34"/>
      <c r="J133" s="34" t="s">
        <v>1099</v>
      </c>
      <c r="K133" s="51" t="b">
        <v>1</v>
      </c>
      <c r="L133" s="40"/>
      <c r="M133" s="37" t="s">
        <v>1099</v>
      </c>
      <c r="N133" s="37" t="s">
        <v>1099</v>
      </c>
      <c r="O133" s="41" t="s">
        <v>1099</v>
      </c>
      <c r="P133" s="40" t="s">
        <v>1099</v>
      </c>
      <c r="Q133" s="37" t="s">
        <v>1099</v>
      </c>
      <c r="R133" s="37" t="s">
        <v>1099</v>
      </c>
      <c r="S133" s="113" t="s">
        <v>1099</v>
      </c>
      <c r="T133" s="56"/>
      <c r="U133" s="56"/>
      <c r="V133" s="56"/>
      <c r="W133" s="114" t="s">
        <v>1099</v>
      </c>
      <c r="X133" s="115"/>
      <c r="Y133" s="115"/>
      <c r="Z133" s="116"/>
      <c r="AA133" s="117" t="s">
        <v>1099</v>
      </c>
      <c r="AB133" s="116"/>
      <c r="AC133" s="56"/>
      <c r="AD133" s="116"/>
      <c r="AE133" s="44" t="s">
        <v>1099</v>
      </c>
      <c r="AF133" s="46" t="str">
        <f t="shared" si="3"/>
        <v/>
      </c>
      <c r="AG133" s="38" t="s">
        <v>1099</v>
      </c>
      <c r="AH133" s="47" t="str">
        <f t="shared" si="4"/>
        <v/>
      </c>
      <c r="AI133" s="32"/>
      <c r="AJ133" s="32"/>
      <c r="AK133" s="32"/>
      <c r="AL133" s="32"/>
      <c r="AM133" s="32" t="s">
        <v>1099</v>
      </c>
      <c r="AN133" s="32"/>
      <c r="AO133" s="32" t="s">
        <v>1099</v>
      </c>
      <c r="AP133" s="32"/>
      <c r="AQ133" s="32"/>
      <c r="AR133" s="32"/>
      <c r="AS133" s="32"/>
      <c r="AT133" s="32"/>
      <c r="AU133" s="32"/>
      <c r="AV133" s="38" t="s">
        <v>1099</v>
      </c>
      <c r="AW133" s="38" t="s">
        <v>1099</v>
      </c>
      <c r="AX133" s="42" t="s">
        <v>106</v>
      </c>
      <c r="AY133" s="62" t="str">
        <f>IF('Cálculo MP'!J134="","",'Cálculo MP'!J134)</f>
        <v/>
      </c>
      <c r="AZ133" s="62" t="str">
        <f>IF('Cálculo MP'!K134="","",'Cálculo MP'!K134)</f>
        <v/>
      </c>
      <c r="BA133" s="62" t="str">
        <f>IF('Cálculo MP'!L134="","",'Cálculo MP'!L134)</f>
        <v/>
      </c>
      <c r="BB133" s="62" t="str">
        <f>IF('Cálculo MP'!M134="","",'Cálculo MP'!M134)</f>
        <v/>
      </c>
      <c r="BC133" s="62" t="str">
        <f>IF('Cálculo MP'!N134="","",'Cálculo MP'!N134)</f>
        <v/>
      </c>
      <c r="BD133" s="62" t="str">
        <f>IF('Cálculo MP'!O134="","",'Cálculo MP'!O134)</f>
        <v/>
      </c>
      <c r="BE133" s="62" t="str">
        <f>IF('Cálculo MP'!P134="","",'Cálculo MP'!P134)</f>
        <v/>
      </c>
      <c r="BF133" s="62" t="str">
        <f>IF('Cálculo MP'!Q134="","",'Cálculo MP'!Q134)</f>
        <v/>
      </c>
      <c r="BG133" s="62" t="str">
        <f>IF('Cálculo MP'!R134="","",'Cálculo MP'!R134)</f>
        <v/>
      </c>
      <c r="BH133" s="32"/>
      <c r="BI133" s="32"/>
      <c r="BJ133" s="32"/>
      <c r="BK133" s="32"/>
      <c r="BL133" s="32"/>
      <c r="BM133" s="32"/>
      <c r="BN133" s="32"/>
      <c r="BO133" s="62" t="str">
        <f t="shared" si="5"/>
        <v/>
      </c>
    </row>
    <row r="134" spans="1:67" ht="19.5" customHeight="1" x14ac:dyDescent="0.2">
      <c r="A134" s="49" t="b">
        <v>0</v>
      </c>
      <c r="B134" s="50" t="b">
        <v>1</v>
      </c>
      <c r="C134" s="51" t="b">
        <v>0</v>
      </c>
      <c r="D134" s="51" t="b">
        <v>0</v>
      </c>
      <c r="E134" s="37"/>
      <c r="F134" s="39"/>
      <c r="G134" s="37" t="s">
        <v>1100</v>
      </c>
      <c r="H134" s="34"/>
      <c r="I134" s="34"/>
      <c r="J134" s="34" t="s">
        <v>1099</v>
      </c>
      <c r="K134" s="51" t="b">
        <v>1</v>
      </c>
      <c r="L134" s="40"/>
      <c r="M134" s="37" t="s">
        <v>1099</v>
      </c>
      <c r="N134" s="37" t="s">
        <v>1099</v>
      </c>
      <c r="O134" s="41" t="s">
        <v>1099</v>
      </c>
      <c r="P134" s="40" t="s">
        <v>1099</v>
      </c>
      <c r="Q134" s="37" t="s">
        <v>1099</v>
      </c>
      <c r="R134" s="37" t="s">
        <v>1099</v>
      </c>
      <c r="S134" s="113" t="s">
        <v>1099</v>
      </c>
      <c r="T134" s="56"/>
      <c r="U134" s="56"/>
      <c r="V134" s="56"/>
      <c r="W134" s="114" t="s">
        <v>1099</v>
      </c>
      <c r="X134" s="115"/>
      <c r="Y134" s="115"/>
      <c r="Z134" s="116"/>
      <c r="AA134" s="117" t="s">
        <v>1099</v>
      </c>
      <c r="AB134" s="116"/>
      <c r="AC134" s="56"/>
      <c r="AD134" s="116"/>
      <c r="AE134" s="44" t="s">
        <v>1099</v>
      </c>
      <c r="AF134" s="46" t="str">
        <f t="shared" si="3"/>
        <v/>
      </c>
      <c r="AG134" s="38" t="s">
        <v>1099</v>
      </c>
      <c r="AH134" s="47" t="str">
        <f t="shared" si="4"/>
        <v/>
      </c>
      <c r="AI134" s="32"/>
      <c r="AJ134" s="32"/>
      <c r="AK134" s="32"/>
      <c r="AL134" s="32"/>
      <c r="AM134" s="32" t="s">
        <v>1099</v>
      </c>
      <c r="AN134" s="32"/>
      <c r="AO134" s="32" t="s">
        <v>1099</v>
      </c>
      <c r="AP134" s="32"/>
      <c r="AQ134" s="32"/>
      <c r="AR134" s="32"/>
      <c r="AS134" s="32"/>
      <c r="AT134" s="32"/>
      <c r="AU134" s="32"/>
      <c r="AV134" s="38" t="s">
        <v>1099</v>
      </c>
      <c r="AW134" s="38" t="s">
        <v>1099</v>
      </c>
      <c r="AX134" s="42" t="s">
        <v>106</v>
      </c>
      <c r="AY134" s="62" t="str">
        <f>IF('Cálculo MP'!J135="","",'Cálculo MP'!J135)</f>
        <v/>
      </c>
      <c r="AZ134" s="62" t="str">
        <f>IF('Cálculo MP'!K135="","",'Cálculo MP'!K135)</f>
        <v/>
      </c>
      <c r="BA134" s="62" t="str">
        <f>IF('Cálculo MP'!L135="","",'Cálculo MP'!L135)</f>
        <v/>
      </c>
      <c r="BB134" s="62" t="str">
        <f>IF('Cálculo MP'!M135="","",'Cálculo MP'!M135)</f>
        <v/>
      </c>
      <c r="BC134" s="62" t="str">
        <f>IF('Cálculo MP'!N135="","",'Cálculo MP'!N135)</f>
        <v/>
      </c>
      <c r="BD134" s="62" t="str">
        <f>IF('Cálculo MP'!O135="","",'Cálculo MP'!O135)</f>
        <v/>
      </c>
      <c r="BE134" s="62" t="str">
        <f>IF('Cálculo MP'!P135="","",'Cálculo MP'!P135)</f>
        <v/>
      </c>
      <c r="BF134" s="62" t="str">
        <f>IF('Cálculo MP'!Q135="","",'Cálculo MP'!Q135)</f>
        <v/>
      </c>
      <c r="BG134" s="62" t="str">
        <f>IF('Cálculo MP'!R135="","",'Cálculo MP'!R135)</f>
        <v/>
      </c>
      <c r="BH134" s="32"/>
      <c r="BI134" s="32"/>
      <c r="BJ134" s="32"/>
      <c r="BK134" s="32"/>
      <c r="BL134" s="32"/>
      <c r="BM134" s="32"/>
      <c r="BN134" s="32"/>
      <c r="BO134" s="62" t="str">
        <f t="shared" si="5"/>
        <v/>
      </c>
    </row>
    <row r="135" spans="1:67" ht="19.5" customHeight="1" x14ac:dyDescent="0.2">
      <c r="A135" s="49" t="b">
        <v>0</v>
      </c>
      <c r="B135" s="50" t="b">
        <v>1</v>
      </c>
      <c r="C135" s="51" t="b">
        <v>0</v>
      </c>
      <c r="D135" s="51" t="b">
        <v>0</v>
      </c>
      <c r="E135" s="37"/>
      <c r="F135" s="39"/>
      <c r="G135" s="37" t="s">
        <v>1100</v>
      </c>
      <c r="H135" s="34"/>
      <c r="I135" s="34"/>
      <c r="J135" s="34" t="s">
        <v>1099</v>
      </c>
      <c r="K135" s="51" t="b">
        <v>1</v>
      </c>
      <c r="L135" s="40"/>
      <c r="M135" s="37" t="s">
        <v>1099</v>
      </c>
      <c r="N135" s="37" t="s">
        <v>1099</v>
      </c>
      <c r="O135" s="41" t="s">
        <v>1099</v>
      </c>
      <c r="P135" s="40" t="s">
        <v>1099</v>
      </c>
      <c r="Q135" s="37" t="s">
        <v>1099</v>
      </c>
      <c r="R135" s="37" t="s">
        <v>1099</v>
      </c>
      <c r="S135" s="113" t="s">
        <v>1099</v>
      </c>
      <c r="T135" s="56"/>
      <c r="U135" s="56"/>
      <c r="V135" s="56"/>
      <c r="W135" s="114" t="s">
        <v>1099</v>
      </c>
      <c r="X135" s="115"/>
      <c r="Y135" s="115"/>
      <c r="Z135" s="116"/>
      <c r="AA135" s="117" t="s">
        <v>1099</v>
      </c>
      <c r="AB135" s="116"/>
      <c r="AC135" s="56"/>
      <c r="AD135" s="116"/>
      <c r="AE135" s="44" t="s">
        <v>1099</v>
      </c>
      <c r="AF135" s="46" t="str">
        <f t="shared" si="3"/>
        <v/>
      </c>
      <c r="AG135" s="38" t="s">
        <v>1099</v>
      </c>
      <c r="AH135" s="47" t="str">
        <f t="shared" si="4"/>
        <v/>
      </c>
      <c r="AI135" s="32"/>
      <c r="AJ135" s="32"/>
      <c r="AK135" s="32"/>
      <c r="AL135" s="32"/>
      <c r="AM135" s="32" t="s">
        <v>1099</v>
      </c>
      <c r="AN135" s="32"/>
      <c r="AO135" s="32" t="s">
        <v>1099</v>
      </c>
      <c r="AP135" s="32"/>
      <c r="AQ135" s="32"/>
      <c r="AR135" s="32"/>
      <c r="AS135" s="32"/>
      <c r="AT135" s="32"/>
      <c r="AU135" s="32"/>
      <c r="AV135" s="38" t="s">
        <v>1099</v>
      </c>
      <c r="AW135" s="38" t="s">
        <v>1099</v>
      </c>
      <c r="AX135" s="42" t="s">
        <v>106</v>
      </c>
      <c r="AY135" s="62" t="str">
        <f>IF('Cálculo MP'!J136="","",'Cálculo MP'!J136)</f>
        <v/>
      </c>
      <c r="AZ135" s="62" t="str">
        <f>IF('Cálculo MP'!K136="","",'Cálculo MP'!K136)</f>
        <v/>
      </c>
      <c r="BA135" s="62" t="str">
        <f>IF('Cálculo MP'!L136="","",'Cálculo MP'!L136)</f>
        <v/>
      </c>
      <c r="BB135" s="62" t="str">
        <f>IF('Cálculo MP'!M136="","",'Cálculo MP'!M136)</f>
        <v/>
      </c>
      <c r="BC135" s="62" t="str">
        <f>IF('Cálculo MP'!N136="","",'Cálculo MP'!N136)</f>
        <v/>
      </c>
      <c r="BD135" s="62" t="str">
        <f>IF('Cálculo MP'!O136="","",'Cálculo MP'!O136)</f>
        <v/>
      </c>
      <c r="BE135" s="62" t="str">
        <f>IF('Cálculo MP'!P136="","",'Cálculo MP'!P136)</f>
        <v/>
      </c>
      <c r="BF135" s="62" t="str">
        <f>IF('Cálculo MP'!Q136="","",'Cálculo MP'!Q136)</f>
        <v/>
      </c>
      <c r="BG135" s="62" t="str">
        <f>IF('Cálculo MP'!R136="","",'Cálculo MP'!R136)</f>
        <v/>
      </c>
      <c r="BH135" s="32"/>
      <c r="BI135" s="32"/>
      <c r="BJ135" s="32"/>
      <c r="BK135" s="32"/>
      <c r="BL135" s="32"/>
      <c r="BM135" s="32"/>
      <c r="BN135" s="32"/>
      <c r="BO135" s="62" t="str">
        <f t="shared" si="5"/>
        <v/>
      </c>
    </row>
    <row r="136" spans="1:67" ht="19.5" customHeight="1" x14ac:dyDescent="0.2">
      <c r="A136" s="49" t="b">
        <v>0</v>
      </c>
      <c r="B136" s="50" t="b">
        <v>1</v>
      </c>
      <c r="C136" s="51" t="b">
        <v>0</v>
      </c>
      <c r="D136" s="51" t="b">
        <v>0</v>
      </c>
      <c r="E136" s="37"/>
      <c r="F136" s="39"/>
      <c r="G136" s="37" t="s">
        <v>1100</v>
      </c>
      <c r="H136" s="34"/>
      <c r="I136" s="34"/>
      <c r="J136" s="34" t="s">
        <v>1099</v>
      </c>
      <c r="K136" s="51" t="b">
        <v>1</v>
      </c>
      <c r="L136" s="40"/>
      <c r="M136" s="37" t="s">
        <v>1099</v>
      </c>
      <c r="N136" s="37" t="s">
        <v>1099</v>
      </c>
      <c r="O136" s="41" t="s">
        <v>1099</v>
      </c>
      <c r="P136" s="40" t="s">
        <v>1099</v>
      </c>
      <c r="Q136" s="37" t="s">
        <v>1099</v>
      </c>
      <c r="R136" s="37" t="s">
        <v>1099</v>
      </c>
      <c r="S136" s="113" t="s">
        <v>1099</v>
      </c>
      <c r="T136" s="56"/>
      <c r="U136" s="56"/>
      <c r="V136" s="56"/>
      <c r="W136" s="114" t="s">
        <v>1099</v>
      </c>
      <c r="X136" s="115"/>
      <c r="Y136" s="115"/>
      <c r="Z136" s="116"/>
      <c r="AA136" s="117" t="s">
        <v>1099</v>
      </c>
      <c r="AB136" s="116"/>
      <c r="AC136" s="56"/>
      <c r="AD136" s="116"/>
      <c r="AE136" s="44" t="s">
        <v>1099</v>
      </c>
      <c r="AF136" s="46" t="str">
        <f t="shared" si="3"/>
        <v/>
      </c>
      <c r="AG136" s="38" t="s">
        <v>1099</v>
      </c>
      <c r="AH136" s="47" t="str">
        <f t="shared" si="4"/>
        <v/>
      </c>
      <c r="AI136" s="32"/>
      <c r="AJ136" s="32"/>
      <c r="AK136" s="32"/>
      <c r="AL136" s="32"/>
      <c r="AM136" s="32" t="s">
        <v>1099</v>
      </c>
      <c r="AN136" s="32"/>
      <c r="AO136" s="32" t="s">
        <v>1099</v>
      </c>
      <c r="AP136" s="32"/>
      <c r="AQ136" s="32"/>
      <c r="AR136" s="32"/>
      <c r="AS136" s="32"/>
      <c r="AT136" s="32"/>
      <c r="AU136" s="32"/>
      <c r="AV136" s="38" t="s">
        <v>1099</v>
      </c>
      <c r="AW136" s="38" t="s">
        <v>1099</v>
      </c>
      <c r="AX136" s="42" t="s">
        <v>106</v>
      </c>
      <c r="AY136" s="62" t="str">
        <f>IF('Cálculo MP'!J137="","",'Cálculo MP'!J137)</f>
        <v/>
      </c>
      <c r="AZ136" s="62" t="str">
        <f>IF('Cálculo MP'!K137="","",'Cálculo MP'!K137)</f>
        <v/>
      </c>
      <c r="BA136" s="62" t="str">
        <f>IF('Cálculo MP'!L137="","",'Cálculo MP'!L137)</f>
        <v/>
      </c>
      <c r="BB136" s="62" t="str">
        <f>IF('Cálculo MP'!M137="","",'Cálculo MP'!M137)</f>
        <v/>
      </c>
      <c r="BC136" s="62" t="str">
        <f>IF('Cálculo MP'!N137="","",'Cálculo MP'!N137)</f>
        <v/>
      </c>
      <c r="BD136" s="62" t="str">
        <f>IF('Cálculo MP'!O137="","",'Cálculo MP'!O137)</f>
        <v/>
      </c>
      <c r="BE136" s="62" t="str">
        <f>IF('Cálculo MP'!P137="","",'Cálculo MP'!P137)</f>
        <v/>
      </c>
      <c r="BF136" s="62" t="str">
        <f>IF('Cálculo MP'!Q137="","",'Cálculo MP'!Q137)</f>
        <v/>
      </c>
      <c r="BG136" s="62" t="str">
        <f>IF('Cálculo MP'!R137="","",'Cálculo MP'!R137)</f>
        <v/>
      </c>
      <c r="BH136" s="32"/>
      <c r="BI136" s="32"/>
      <c r="BJ136" s="32"/>
      <c r="BK136" s="32"/>
      <c r="BL136" s="32"/>
      <c r="BM136" s="32"/>
      <c r="BN136" s="32"/>
      <c r="BO136" s="62" t="str">
        <f t="shared" si="5"/>
        <v/>
      </c>
    </row>
    <row r="137" spans="1:67" ht="19.5" customHeight="1" x14ac:dyDescent="0.2">
      <c r="A137" s="49" t="b">
        <v>0</v>
      </c>
      <c r="B137" s="50" t="b">
        <v>1</v>
      </c>
      <c r="C137" s="51" t="b">
        <v>0</v>
      </c>
      <c r="D137" s="51" t="b">
        <v>0</v>
      </c>
      <c r="E137" s="37"/>
      <c r="F137" s="39"/>
      <c r="G137" s="37" t="s">
        <v>1100</v>
      </c>
      <c r="H137" s="34"/>
      <c r="I137" s="34"/>
      <c r="J137" s="34" t="s">
        <v>1099</v>
      </c>
      <c r="K137" s="51" t="b">
        <v>1</v>
      </c>
      <c r="L137" s="40"/>
      <c r="M137" s="37" t="s">
        <v>1099</v>
      </c>
      <c r="N137" s="37" t="s">
        <v>1099</v>
      </c>
      <c r="O137" s="41" t="s">
        <v>1099</v>
      </c>
      <c r="P137" s="40" t="s">
        <v>1099</v>
      </c>
      <c r="Q137" s="37" t="s">
        <v>1099</v>
      </c>
      <c r="R137" s="37" t="s">
        <v>1099</v>
      </c>
      <c r="S137" s="113" t="s">
        <v>1099</v>
      </c>
      <c r="T137" s="56"/>
      <c r="U137" s="56"/>
      <c r="V137" s="56"/>
      <c r="W137" s="114" t="s">
        <v>1099</v>
      </c>
      <c r="X137" s="115"/>
      <c r="Y137" s="115"/>
      <c r="Z137" s="116"/>
      <c r="AA137" s="117" t="s">
        <v>1099</v>
      </c>
      <c r="AB137" s="116"/>
      <c r="AC137" s="56"/>
      <c r="AD137" s="116"/>
      <c r="AE137" s="44" t="s">
        <v>1099</v>
      </c>
      <c r="AF137" s="46" t="str">
        <f t="shared" si="3"/>
        <v/>
      </c>
      <c r="AG137" s="38" t="s">
        <v>1099</v>
      </c>
      <c r="AH137" s="47" t="str">
        <f t="shared" si="4"/>
        <v/>
      </c>
      <c r="AI137" s="32"/>
      <c r="AJ137" s="32"/>
      <c r="AK137" s="32"/>
      <c r="AL137" s="32"/>
      <c r="AM137" s="32" t="s">
        <v>1099</v>
      </c>
      <c r="AN137" s="32"/>
      <c r="AO137" s="32" t="s">
        <v>1099</v>
      </c>
      <c r="AP137" s="32"/>
      <c r="AQ137" s="32"/>
      <c r="AR137" s="32"/>
      <c r="AS137" s="32"/>
      <c r="AT137" s="32"/>
      <c r="AU137" s="32"/>
      <c r="AV137" s="38" t="s">
        <v>1099</v>
      </c>
      <c r="AW137" s="38" t="s">
        <v>1099</v>
      </c>
      <c r="AX137" s="42" t="s">
        <v>106</v>
      </c>
      <c r="AY137" s="62" t="str">
        <f>IF('Cálculo MP'!J138="","",'Cálculo MP'!J138)</f>
        <v/>
      </c>
      <c r="AZ137" s="62" t="str">
        <f>IF('Cálculo MP'!K138="","",'Cálculo MP'!K138)</f>
        <v/>
      </c>
      <c r="BA137" s="62" t="str">
        <f>IF('Cálculo MP'!L138="","",'Cálculo MP'!L138)</f>
        <v/>
      </c>
      <c r="BB137" s="62" t="str">
        <f>IF('Cálculo MP'!M138="","",'Cálculo MP'!M138)</f>
        <v/>
      </c>
      <c r="BC137" s="62" t="str">
        <f>IF('Cálculo MP'!N138="","",'Cálculo MP'!N138)</f>
        <v/>
      </c>
      <c r="BD137" s="62" t="str">
        <f>IF('Cálculo MP'!O138="","",'Cálculo MP'!O138)</f>
        <v/>
      </c>
      <c r="BE137" s="62" t="str">
        <f>IF('Cálculo MP'!P138="","",'Cálculo MP'!P138)</f>
        <v/>
      </c>
      <c r="BF137" s="62" t="str">
        <f>IF('Cálculo MP'!Q138="","",'Cálculo MP'!Q138)</f>
        <v/>
      </c>
      <c r="BG137" s="62" t="str">
        <f>IF('Cálculo MP'!R138="","",'Cálculo MP'!R138)</f>
        <v/>
      </c>
      <c r="BH137" s="32"/>
      <c r="BI137" s="32"/>
      <c r="BJ137" s="32"/>
      <c r="BK137" s="32"/>
      <c r="BL137" s="32"/>
      <c r="BM137" s="32"/>
      <c r="BN137" s="32"/>
      <c r="BO137" s="62" t="str">
        <f t="shared" si="5"/>
        <v/>
      </c>
    </row>
    <row r="138" spans="1:67" ht="19.5" customHeight="1" x14ac:dyDescent="0.2">
      <c r="A138" s="49" t="b">
        <v>0</v>
      </c>
      <c r="B138" s="50" t="b">
        <v>1</v>
      </c>
      <c r="C138" s="51" t="b">
        <v>0</v>
      </c>
      <c r="D138" s="51" t="b">
        <v>0</v>
      </c>
      <c r="E138" s="37"/>
      <c r="F138" s="39"/>
      <c r="G138" s="37" t="s">
        <v>1100</v>
      </c>
      <c r="H138" s="34"/>
      <c r="I138" s="34"/>
      <c r="J138" s="34" t="s">
        <v>1099</v>
      </c>
      <c r="K138" s="51" t="b">
        <v>1</v>
      </c>
      <c r="L138" s="40"/>
      <c r="M138" s="37" t="s">
        <v>1099</v>
      </c>
      <c r="N138" s="37" t="s">
        <v>1099</v>
      </c>
      <c r="O138" s="41" t="s">
        <v>1099</v>
      </c>
      <c r="P138" s="40" t="s">
        <v>1099</v>
      </c>
      <c r="Q138" s="37" t="s">
        <v>1099</v>
      </c>
      <c r="R138" s="37" t="s">
        <v>1099</v>
      </c>
      <c r="S138" s="113" t="s">
        <v>1099</v>
      </c>
      <c r="T138" s="56"/>
      <c r="U138" s="56"/>
      <c r="V138" s="56"/>
      <c r="W138" s="114" t="s">
        <v>1099</v>
      </c>
      <c r="X138" s="115"/>
      <c r="Y138" s="115"/>
      <c r="Z138" s="116"/>
      <c r="AA138" s="117" t="s">
        <v>1099</v>
      </c>
      <c r="AB138" s="116"/>
      <c r="AC138" s="56"/>
      <c r="AD138" s="116"/>
      <c r="AE138" s="44" t="s">
        <v>1099</v>
      </c>
      <c r="AF138" s="46" t="str">
        <f t="shared" si="3"/>
        <v/>
      </c>
      <c r="AG138" s="38" t="s">
        <v>1099</v>
      </c>
      <c r="AH138" s="47" t="str">
        <f t="shared" si="4"/>
        <v/>
      </c>
      <c r="AI138" s="32"/>
      <c r="AJ138" s="32"/>
      <c r="AK138" s="32"/>
      <c r="AL138" s="32"/>
      <c r="AM138" s="32" t="s">
        <v>1099</v>
      </c>
      <c r="AN138" s="32"/>
      <c r="AO138" s="32" t="s">
        <v>1099</v>
      </c>
      <c r="AP138" s="32"/>
      <c r="AQ138" s="32"/>
      <c r="AR138" s="32"/>
      <c r="AS138" s="32"/>
      <c r="AT138" s="32"/>
      <c r="AU138" s="32"/>
      <c r="AV138" s="38" t="s">
        <v>1099</v>
      </c>
      <c r="AW138" s="38" t="s">
        <v>1099</v>
      </c>
      <c r="AX138" s="42" t="s">
        <v>106</v>
      </c>
      <c r="AY138" s="62" t="str">
        <f>IF('Cálculo MP'!J139="","",'Cálculo MP'!J139)</f>
        <v/>
      </c>
      <c r="AZ138" s="62" t="str">
        <f>IF('Cálculo MP'!K139="","",'Cálculo MP'!K139)</f>
        <v/>
      </c>
      <c r="BA138" s="62" t="str">
        <f>IF('Cálculo MP'!L139="","",'Cálculo MP'!L139)</f>
        <v/>
      </c>
      <c r="BB138" s="62" t="str">
        <f>IF('Cálculo MP'!M139="","",'Cálculo MP'!M139)</f>
        <v/>
      </c>
      <c r="BC138" s="62" t="str">
        <f>IF('Cálculo MP'!N139="","",'Cálculo MP'!N139)</f>
        <v/>
      </c>
      <c r="BD138" s="62" t="str">
        <f>IF('Cálculo MP'!O139="","",'Cálculo MP'!O139)</f>
        <v/>
      </c>
      <c r="BE138" s="62" t="str">
        <f>IF('Cálculo MP'!P139="","",'Cálculo MP'!P139)</f>
        <v/>
      </c>
      <c r="BF138" s="62" t="str">
        <f>IF('Cálculo MP'!Q139="","",'Cálculo MP'!Q139)</f>
        <v/>
      </c>
      <c r="BG138" s="62" t="str">
        <f>IF('Cálculo MP'!R139="","",'Cálculo MP'!R139)</f>
        <v/>
      </c>
      <c r="BH138" s="32"/>
      <c r="BI138" s="32"/>
      <c r="BJ138" s="32"/>
      <c r="BK138" s="32"/>
      <c r="BL138" s="32"/>
      <c r="BM138" s="32"/>
      <c r="BN138" s="32"/>
      <c r="BO138" s="62" t="str">
        <f t="shared" si="5"/>
        <v/>
      </c>
    </row>
    <row r="139" spans="1:67" ht="19.5" customHeight="1" x14ac:dyDescent="0.2">
      <c r="A139" s="49" t="b">
        <v>0</v>
      </c>
      <c r="B139" s="50" t="b">
        <v>1</v>
      </c>
      <c r="C139" s="51" t="b">
        <v>0</v>
      </c>
      <c r="D139" s="51" t="b">
        <v>0</v>
      </c>
      <c r="E139" s="37"/>
      <c r="F139" s="39"/>
      <c r="G139" s="37" t="s">
        <v>1100</v>
      </c>
      <c r="H139" s="34"/>
      <c r="I139" s="34"/>
      <c r="J139" s="34" t="s">
        <v>1099</v>
      </c>
      <c r="K139" s="51" t="b">
        <v>1</v>
      </c>
      <c r="L139" s="40"/>
      <c r="M139" s="37" t="s">
        <v>1099</v>
      </c>
      <c r="N139" s="37" t="s">
        <v>1099</v>
      </c>
      <c r="O139" s="41" t="s">
        <v>1099</v>
      </c>
      <c r="P139" s="40" t="s">
        <v>1099</v>
      </c>
      <c r="Q139" s="37" t="s">
        <v>1099</v>
      </c>
      <c r="R139" s="37" t="s">
        <v>1099</v>
      </c>
      <c r="S139" s="113" t="s">
        <v>1099</v>
      </c>
      <c r="T139" s="56"/>
      <c r="U139" s="56"/>
      <c r="V139" s="56"/>
      <c r="W139" s="114" t="s">
        <v>1099</v>
      </c>
      <c r="X139" s="115"/>
      <c r="Y139" s="115"/>
      <c r="Z139" s="116"/>
      <c r="AA139" s="117" t="s">
        <v>1099</v>
      </c>
      <c r="AB139" s="116"/>
      <c r="AC139" s="56"/>
      <c r="AD139" s="116"/>
      <c r="AE139" s="44" t="s">
        <v>1099</v>
      </c>
      <c r="AF139" s="46" t="str">
        <f t="shared" si="3"/>
        <v/>
      </c>
      <c r="AG139" s="38" t="s">
        <v>1099</v>
      </c>
      <c r="AH139" s="47" t="str">
        <f t="shared" si="4"/>
        <v/>
      </c>
      <c r="AI139" s="32"/>
      <c r="AJ139" s="32"/>
      <c r="AK139" s="32"/>
      <c r="AL139" s="32"/>
      <c r="AM139" s="32" t="s">
        <v>1099</v>
      </c>
      <c r="AN139" s="32"/>
      <c r="AO139" s="32" t="s">
        <v>1099</v>
      </c>
      <c r="AP139" s="32"/>
      <c r="AQ139" s="32"/>
      <c r="AR139" s="32"/>
      <c r="AS139" s="32"/>
      <c r="AT139" s="32"/>
      <c r="AU139" s="32"/>
      <c r="AV139" s="38" t="s">
        <v>1099</v>
      </c>
      <c r="AW139" s="38" t="s">
        <v>1099</v>
      </c>
      <c r="AX139" s="42" t="s">
        <v>106</v>
      </c>
      <c r="AY139" s="62" t="str">
        <f>IF('Cálculo MP'!J140="","",'Cálculo MP'!J140)</f>
        <v/>
      </c>
      <c r="AZ139" s="62" t="str">
        <f>IF('Cálculo MP'!K140="","",'Cálculo MP'!K140)</f>
        <v/>
      </c>
      <c r="BA139" s="62" t="str">
        <f>IF('Cálculo MP'!L140="","",'Cálculo MP'!L140)</f>
        <v/>
      </c>
      <c r="BB139" s="62" t="str">
        <f>IF('Cálculo MP'!M140="","",'Cálculo MP'!M140)</f>
        <v/>
      </c>
      <c r="BC139" s="62" t="str">
        <f>IF('Cálculo MP'!N140="","",'Cálculo MP'!N140)</f>
        <v/>
      </c>
      <c r="BD139" s="62" t="str">
        <f>IF('Cálculo MP'!O140="","",'Cálculo MP'!O140)</f>
        <v/>
      </c>
      <c r="BE139" s="62" t="str">
        <f>IF('Cálculo MP'!P140="","",'Cálculo MP'!P140)</f>
        <v/>
      </c>
      <c r="BF139" s="62" t="str">
        <f>IF('Cálculo MP'!Q140="","",'Cálculo MP'!Q140)</f>
        <v/>
      </c>
      <c r="BG139" s="62" t="str">
        <f>IF('Cálculo MP'!R140="","",'Cálculo MP'!R140)</f>
        <v/>
      </c>
      <c r="BH139" s="32"/>
      <c r="BI139" s="32"/>
      <c r="BJ139" s="32"/>
      <c r="BK139" s="32"/>
      <c r="BL139" s="32"/>
      <c r="BM139" s="32"/>
      <c r="BN139" s="32"/>
      <c r="BO139" s="62" t="str">
        <f t="shared" si="5"/>
        <v/>
      </c>
    </row>
    <row r="140" spans="1:67" ht="19.5" customHeight="1" x14ac:dyDescent="0.2">
      <c r="A140" s="49" t="b">
        <v>0</v>
      </c>
      <c r="B140" s="50" t="b">
        <v>1</v>
      </c>
      <c r="C140" s="51" t="b">
        <v>0</v>
      </c>
      <c r="D140" s="51" t="b">
        <v>0</v>
      </c>
      <c r="E140" s="37"/>
      <c r="F140" s="39"/>
      <c r="G140" s="37" t="s">
        <v>1100</v>
      </c>
      <c r="H140" s="34"/>
      <c r="I140" s="34"/>
      <c r="J140" s="34" t="s">
        <v>1099</v>
      </c>
      <c r="K140" s="51" t="b">
        <v>1</v>
      </c>
      <c r="L140" s="40"/>
      <c r="M140" s="37" t="s">
        <v>1099</v>
      </c>
      <c r="N140" s="37" t="s">
        <v>1099</v>
      </c>
      <c r="O140" s="41" t="s">
        <v>1099</v>
      </c>
      <c r="P140" s="40" t="s">
        <v>1099</v>
      </c>
      <c r="Q140" s="37" t="s">
        <v>1099</v>
      </c>
      <c r="R140" s="37" t="s">
        <v>1099</v>
      </c>
      <c r="S140" s="113" t="s">
        <v>1099</v>
      </c>
      <c r="T140" s="56"/>
      <c r="U140" s="56"/>
      <c r="V140" s="56"/>
      <c r="W140" s="114" t="s">
        <v>1099</v>
      </c>
      <c r="X140" s="115"/>
      <c r="Y140" s="115"/>
      <c r="Z140" s="116"/>
      <c r="AA140" s="117" t="s">
        <v>1099</v>
      </c>
      <c r="AB140" s="116"/>
      <c r="AC140" s="56"/>
      <c r="AD140" s="116"/>
      <c r="AE140" s="44" t="s">
        <v>1099</v>
      </c>
      <c r="AF140" s="46" t="str">
        <f t="shared" si="3"/>
        <v/>
      </c>
      <c r="AG140" s="38" t="s">
        <v>1099</v>
      </c>
      <c r="AH140" s="47" t="str">
        <f t="shared" si="4"/>
        <v/>
      </c>
      <c r="AI140" s="32"/>
      <c r="AJ140" s="32"/>
      <c r="AK140" s="32"/>
      <c r="AL140" s="32"/>
      <c r="AM140" s="32" t="s">
        <v>1099</v>
      </c>
      <c r="AN140" s="32"/>
      <c r="AO140" s="32" t="s">
        <v>1099</v>
      </c>
      <c r="AP140" s="32"/>
      <c r="AQ140" s="32"/>
      <c r="AR140" s="32"/>
      <c r="AS140" s="32"/>
      <c r="AT140" s="32"/>
      <c r="AU140" s="32"/>
      <c r="AV140" s="38" t="s">
        <v>1099</v>
      </c>
      <c r="AW140" s="38" t="s">
        <v>1099</v>
      </c>
      <c r="AX140" s="42" t="s">
        <v>106</v>
      </c>
      <c r="AY140" s="62" t="str">
        <f>IF('Cálculo MP'!J141="","",'Cálculo MP'!J141)</f>
        <v/>
      </c>
      <c r="AZ140" s="62" t="str">
        <f>IF('Cálculo MP'!K141="","",'Cálculo MP'!K141)</f>
        <v/>
      </c>
      <c r="BA140" s="62" t="str">
        <f>IF('Cálculo MP'!L141="","",'Cálculo MP'!L141)</f>
        <v/>
      </c>
      <c r="BB140" s="62" t="str">
        <f>IF('Cálculo MP'!M141="","",'Cálculo MP'!M141)</f>
        <v/>
      </c>
      <c r="BC140" s="62" t="str">
        <f>IF('Cálculo MP'!N141="","",'Cálculo MP'!N141)</f>
        <v/>
      </c>
      <c r="BD140" s="62" t="str">
        <f>IF('Cálculo MP'!O141="","",'Cálculo MP'!O141)</f>
        <v/>
      </c>
      <c r="BE140" s="62" t="str">
        <f>IF('Cálculo MP'!P141="","",'Cálculo MP'!P141)</f>
        <v/>
      </c>
      <c r="BF140" s="62" t="str">
        <f>IF('Cálculo MP'!Q141="","",'Cálculo MP'!Q141)</f>
        <v/>
      </c>
      <c r="BG140" s="62" t="str">
        <f>IF('Cálculo MP'!R141="","",'Cálculo MP'!R141)</f>
        <v/>
      </c>
      <c r="BH140" s="32"/>
      <c r="BI140" s="32"/>
      <c r="BJ140" s="32"/>
      <c r="BK140" s="32"/>
      <c r="BL140" s="32"/>
      <c r="BM140" s="32"/>
      <c r="BN140" s="32"/>
      <c r="BO140" s="62" t="str">
        <f t="shared" si="5"/>
        <v/>
      </c>
    </row>
    <row r="141" spans="1:67" ht="19.5" customHeight="1" x14ac:dyDescent="0.2">
      <c r="A141" s="49" t="b">
        <v>0</v>
      </c>
      <c r="B141" s="50" t="b">
        <v>1</v>
      </c>
      <c r="C141" s="51" t="b">
        <v>0</v>
      </c>
      <c r="D141" s="51" t="b">
        <v>0</v>
      </c>
      <c r="E141" s="37"/>
      <c r="F141" s="39"/>
      <c r="G141" s="37" t="s">
        <v>1100</v>
      </c>
      <c r="H141" s="34"/>
      <c r="I141" s="34"/>
      <c r="J141" s="34" t="s">
        <v>1099</v>
      </c>
      <c r="K141" s="51" t="b">
        <v>1</v>
      </c>
      <c r="L141" s="40"/>
      <c r="M141" s="37" t="s">
        <v>1099</v>
      </c>
      <c r="N141" s="37" t="s">
        <v>1099</v>
      </c>
      <c r="O141" s="41" t="s">
        <v>1099</v>
      </c>
      <c r="P141" s="40" t="s">
        <v>1099</v>
      </c>
      <c r="Q141" s="37" t="s">
        <v>1099</v>
      </c>
      <c r="R141" s="37" t="s">
        <v>1099</v>
      </c>
      <c r="S141" s="113" t="s">
        <v>1099</v>
      </c>
      <c r="T141" s="56"/>
      <c r="U141" s="56"/>
      <c r="V141" s="56"/>
      <c r="W141" s="114" t="s">
        <v>1099</v>
      </c>
      <c r="X141" s="115"/>
      <c r="Y141" s="115"/>
      <c r="Z141" s="116"/>
      <c r="AA141" s="117" t="s">
        <v>1099</v>
      </c>
      <c r="AB141" s="116"/>
      <c r="AC141" s="56"/>
      <c r="AD141" s="116"/>
      <c r="AE141" s="44" t="s">
        <v>1099</v>
      </c>
      <c r="AF141" s="46" t="str">
        <f t="shared" si="3"/>
        <v/>
      </c>
      <c r="AG141" s="38" t="s">
        <v>1099</v>
      </c>
      <c r="AH141" s="47" t="str">
        <f t="shared" si="4"/>
        <v/>
      </c>
      <c r="AI141" s="32"/>
      <c r="AJ141" s="32"/>
      <c r="AK141" s="32"/>
      <c r="AL141" s="32"/>
      <c r="AM141" s="32" t="s">
        <v>1099</v>
      </c>
      <c r="AN141" s="32"/>
      <c r="AO141" s="32" t="s">
        <v>1099</v>
      </c>
      <c r="AP141" s="32"/>
      <c r="AQ141" s="32"/>
      <c r="AR141" s="32"/>
      <c r="AS141" s="32"/>
      <c r="AT141" s="32"/>
      <c r="AU141" s="32"/>
      <c r="AV141" s="38" t="s">
        <v>1099</v>
      </c>
      <c r="AW141" s="38" t="s">
        <v>1099</v>
      </c>
      <c r="AX141" s="42" t="s">
        <v>106</v>
      </c>
      <c r="AY141" s="62" t="str">
        <f>IF('Cálculo MP'!J142="","",'Cálculo MP'!J142)</f>
        <v/>
      </c>
      <c r="AZ141" s="62" t="str">
        <f>IF('Cálculo MP'!K142="","",'Cálculo MP'!K142)</f>
        <v/>
      </c>
      <c r="BA141" s="62" t="str">
        <f>IF('Cálculo MP'!L142="","",'Cálculo MP'!L142)</f>
        <v/>
      </c>
      <c r="BB141" s="62" t="str">
        <f>IF('Cálculo MP'!M142="","",'Cálculo MP'!M142)</f>
        <v/>
      </c>
      <c r="BC141" s="62" t="str">
        <f>IF('Cálculo MP'!N142="","",'Cálculo MP'!N142)</f>
        <v/>
      </c>
      <c r="BD141" s="62" t="str">
        <f>IF('Cálculo MP'!O142="","",'Cálculo MP'!O142)</f>
        <v/>
      </c>
      <c r="BE141" s="62" t="str">
        <f>IF('Cálculo MP'!P142="","",'Cálculo MP'!P142)</f>
        <v/>
      </c>
      <c r="BF141" s="62" t="str">
        <f>IF('Cálculo MP'!Q142="","",'Cálculo MP'!Q142)</f>
        <v/>
      </c>
      <c r="BG141" s="62" t="str">
        <f>IF('Cálculo MP'!R142="","",'Cálculo MP'!R142)</f>
        <v/>
      </c>
      <c r="BH141" s="32"/>
      <c r="BI141" s="32"/>
      <c r="BJ141" s="32"/>
      <c r="BK141" s="32"/>
      <c r="BL141" s="32"/>
      <c r="BM141" s="32"/>
      <c r="BN141" s="32"/>
      <c r="BO141" s="62" t="str">
        <f t="shared" si="5"/>
        <v/>
      </c>
    </row>
    <row r="142" spans="1:67" ht="19.5" customHeight="1" x14ac:dyDescent="0.2">
      <c r="A142" s="49" t="b">
        <v>0</v>
      </c>
      <c r="B142" s="50" t="b">
        <v>1</v>
      </c>
      <c r="C142" s="51" t="b">
        <v>0</v>
      </c>
      <c r="D142" s="51" t="b">
        <v>0</v>
      </c>
      <c r="E142" s="37"/>
      <c r="F142" s="39"/>
      <c r="G142" s="37" t="s">
        <v>1100</v>
      </c>
      <c r="H142" s="34"/>
      <c r="I142" s="34"/>
      <c r="J142" s="34" t="s">
        <v>1099</v>
      </c>
      <c r="K142" s="51" t="b">
        <v>1</v>
      </c>
      <c r="L142" s="40"/>
      <c r="M142" s="37" t="s">
        <v>1099</v>
      </c>
      <c r="N142" s="37" t="s">
        <v>1099</v>
      </c>
      <c r="O142" s="41" t="s">
        <v>1099</v>
      </c>
      <c r="P142" s="40" t="s">
        <v>1099</v>
      </c>
      <c r="Q142" s="37" t="s">
        <v>1099</v>
      </c>
      <c r="R142" s="37" t="s">
        <v>1099</v>
      </c>
      <c r="S142" s="113" t="s">
        <v>1099</v>
      </c>
      <c r="T142" s="56"/>
      <c r="U142" s="56"/>
      <c r="V142" s="56"/>
      <c r="W142" s="114" t="s">
        <v>1099</v>
      </c>
      <c r="X142" s="115"/>
      <c r="Y142" s="115"/>
      <c r="Z142" s="116"/>
      <c r="AA142" s="117" t="s">
        <v>1099</v>
      </c>
      <c r="AB142" s="116"/>
      <c r="AC142" s="56"/>
      <c r="AD142" s="116"/>
      <c r="AE142" s="44" t="s">
        <v>1099</v>
      </c>
      <c r="AF142" s="46" t="str">
        <f t="shared" si="3"/>
        <v/>
      </c>
      <c r="AG142" s="38" t="s">
        <v>1099</v>
      </c>
      <c r="AH142" s="47" t="str">
        <f t="shared" si="4"/>
        <v/>
      </c>
      <c r="AI142" s="32"/>
      <c r="AJ142" s="32"/>
      <c r="AK142" s="32"/>
      <c r="AL142" s="32"/>
      <c r="AM142" s="32" t="s">
        <v>1099</v>
      </c>
      <c r="AN142" s="32"/>
      <c r="AO142" s="32" t="s">
        <v>1099</v>
      </c>
      <c r="AP142" s="32"/>
      <c r="AQ142" s="32"/>
      <c r="AR142" s="32"/>
      <c r="AS142" s="32"/>
      <c r="AT142" s="32"/>
      <c r="AU142" s="32"/>
      <c r="AV142" s="38" t="s">
        <v>1099</v>
      </c>
      <c r="AW142" s="38" t="s">
        <v>1099</v>
      </c>
      <c r="AX142" s="42" t="s">
        <v>106</v>
      </c>
      <c r="AY142" s="62" t="str">
        <f>IF('Cálculo MP'!J143="","",'Cálculo MP'!J143)</f>
        <v/>
      </c>
      <c r="AZ142" s="62" t="str">
        <f>IF('Cálculo MP'!K143="","",'Cálculo MP'!K143)</f>
        <v/>
      </c>
      <c r="BA142" s="62" t="str">
        <f>IF('Cálculo MP'!L143="","",'Cálculo MP'!L143)</f>
        <v/>
      </c>
      <c r="BB142" s="62" t="str">
        <f>IF('Cálculo MP'!M143="","",'Cálculo MP'!M143)</f>
        <v/>
      </c>
      <c r="BC142" s="62" t="str">
        <f>IF('Cálculo MP'!N143="","",'Cálculo MP'!N143)</f>
        <v/>
      </c>
      <c r="BD142" s="62" t="str">
        <f>IF('Cálculo MP'!O143="","",'Cálculo MP'!O143)</f>
        <v/>
      </c>
      <c r="BE142" s="62" t="str">
        <f>IF('Cálculo MP'!P143="","",'Cálculo MP'!P143)</f>
        <v/>
      </c>
      <c r="BF142" s="62" t="str">
        <f>IF('Cálculo MP'!Q143="","",'Cálculo MP'!Q143)</f>
        <v/>
      </c>
      <c r="BG142" s="62" t="str">
        <f>IF('Cálculo MP'!R143="","",'Cálculo MP'!R143)</f>
        <v/>
      </c>
      <c r="BH142" s="32"/>
      <c r="BI142" s="32"/>
      <c r="BJ142" s="32"/>
      <c r="BK142" s="32"/>
      <c r="BL142" s="32"/>
      <c r="BM142" s="32"/>
      <c r="BN142" s="32"/>
      <c r="BO142" s="62" t="str">
        <f t="shared" si="5"/>
        <v/>
      </c>
    </row>
    <row r="143" spans="1:67" ht="19.5" customHeight="1" x14ac:dyDescent="0.2">
      <c r="A143" s="49" t="b">
        <v>0</v>
      </c>
      <c r="B143" s="50" t="b">
        <v>1</v>
      </c>
      <c r="C143" s="51" t="b">
        <v>0</v>
      </c>
      <c r="D143" s="51" t="b">
        <v>0</v>
      </c>
      <c r="E143" s="37"/>
      <c r="F143" s="39"/>
      <c r="G143" s="37" t="s">
        <v>1100</v>
      </c>
      <c r="H143" s="34"/>
      <c r="I143" s="34"/>
      <c r="J143" s="34" t="s">
        <v>1099</v>
      </c>
      <c r="K143" s="51" t="b">
        <v>1</v>
      </c>
      <c r="L143" s="40"/>
      <c r="M143" s="37" t="s">
        <v>1099</v>
      </c>
      <c r="N143" s="37" t="s">
        <v>1099</v>
      </c>
      <c r="O143" s="41" t="s">
        <v>1099</v>
      </c>
      <c r="P143" s="40" t="s">
        <v>1099</v>
      </c>
      <c r="Q143" s="37" t="s">
        <v>1099</v>
      </c>
      <c r="R143" s="37" t="s">
        <v>1099</v>
      </c>
      <c r="S143" s="113" t="s">
        <v>1099</v>
      </c>
      <c r="T143" s="56"/>
      <c r="U143" s="56"/>
      <c r="V143" s="56"/>
      <c r="W143" s="114" t="s">
        <v>1099</v>
      </c>
      <c r="X143" s="115"/>
      <c r="Y143" s="115"/>
      <c r="Z143" s="116"/>
      <c r="AA143" s="117" t="s">
        <v>1099</v>
      </c>
      <c r="AB143" s="116"/>
      <c r="AC143" s="56"/>
      <c r="AD143" s="116"/>
      <c r="AE143" s="44" t="s">
        <v>1099</v>
      </c>
      <c r="AF143" s="46" t="str">
        <f t="shared" si="3"/>
        <v/>
      </c>
      <c r="AG143" s="38" t="s">
        <v>1099</v>
      </c>
      <c r="AH143" s="47" t="str">
        <f t="shared" si="4"/>
        <v/>
      </c>
      <c r="AI143" s="32"/>
      <c r="AJ143" s="32"/>
      <c r="AK143" s="32"/>
      <c r="AL143" s="32"/>
      <c r="AM143" s="32" t="s">
        <v>1099</v>
      </c>
      <c r="AN143" s="32"/>
      <c r="AO143" s="32" t="s">
        <v>1099</v>
      </c>
      <c r="AP143" s="32"/>
      <c r="AQ143" s="32"/>
      <c r="AR143" s="32"/>
      <c r="AS143" s="32"/>
      <c r="AT143" s="32"/>
      <c r="AU143" s="32"/>
      <c r="AV143" s="38" t="s">
        <v>1099</v>
      </c>
      <c r="AW143" s="38" t="s">
        <v>1099</v>
      </c>
      <c r="AX143" s="42" t="s">
        <v>106</v>
      </c>
      <c r="AY143" s="62" t="str">
        <f>IF('Cálculo MP'!J144="","",'Cálculo MP'!J144)</f>
        <v/>
      </c>
      <c r="AZ143" s="62" t="str">
        <f>IF('Cálculo MP'!K144="","",'Cálculo MP'!K144)</f>
        <v/>
      </c>
      <c r="BA143" s="62" t="str">
        <f>IF('Cálculo MP'!L144="","",'Cálculo MP'!L144)</f>
        <v/>
      </c>
      <c r="BB143" s="62" t="str">
        <f>IF('Cálculo MP'!M144="","",'Cálculo MP'!M144)</f>
        <v/>
      </c>
      <c r="BC143" s="62" t="str">
        <f>IF('Cálculo MP'!N144="","",'Cálculo MP'!N144)</f>
        <v/>
      </c>
      <c r="BD143" s="62" t="str">
        <f>IF('Cálculo MP'!O144="","",'Cálculo MP'!O144)</f>
        <v/>
      </c>
      <c r="BE143" s="62" t="str">
        <f>IF('Cálculo MP'!P144="","",'Cálculo MP'!P144)</f>
        <v/>
      </c>
      <c r="BF143" s="62" t="str">
        <f>IF('Cálculo MP'!Q144="","",'Cálculo MP'!Q144)</f>
        <v/>
      </c>
      <c r="BG143" s="62" t="str">
        <f>IF('Cálculo MP'!R144="","",'Cálculo MP'!R144)</f>
        <v/>
      </c>
      <c r="BH143" s="32"/>
      <c r="BI143" s="32"/>
      <c r="BJ143" s="32"/>
      <c r="BK143" s="32"/>
      <c r="BL143" s="32"/>
      <c r="BM143" s="32"/>
      <c r="BN143" s="32"/>
      <c r="BO143" s="62" t="str">
        <f t="shared" si="5"/>
        <v/>
      </c>
    </row>
    <row r="144" spans="1:67" ht="19.5" customHeight="1" x14ac:dyDescent="0.2">
      <c r="A144" s="49" t="b">
        <v>0</v>
      </c>
      <c r="B144" s="50" t="b">
        <v>1</v>
      </c>
      <c r="C144" s="51" t="b">
        <v>0</v>
      </c>
      <c r="D144" s="51" t="b">
        <v>0</v>
      </c>
      <c r="E144" s="37"/>
      <c r="F144" s="39"/>
      <c r="G144" s="37" t="s">
        <v>1100</v>
      </c>
      <c r="H144" s="34"/>
      <c r="I144" s="34"/>
      <c r="J144" s="34" t="s">
        <v>1099</v>
      </c>
      <c r="K144" s="51" t="b">
        <v>1</v>
      </c>
      <c r="L144" s="40"/>
      <c r="M144" s="37" t="s">
        <v>1099</v>
      </c>
      <c r="N144" s="37" t="s">
        <v>1099</v>
      </c>
      <c r="O144" s="41" t="s">
        <v>1099</v>
      </c>
      <c r="P144" s="40" t="s">
        <v>1099</v>
      </c>
      <c r="Q144" s="37" t="s">
        <v>1099</v>
      </c>
      <c r="R144" s="37" t="s">
        <v>1099</v>
      </c>
      <c r="S144" s="113" t="s">
        <v>1099</v>
      </c>
      <c r="T144" s="56"/>
      <c r="U144" s="56"/>
      <c r="V144" s="56"/>
      <c r="W144" s="114" t="s">
        <v>1099</v>
      </c>
      <c r="X144" s="115"/>
      <c r="Y144" s="115"/>
      <c r="Z144" s="116"/>
      <c r="AA144" s="117" t="s">
        <v>1099</v>
      </c>
      <c r="AB144" s="116"/>
      <c r="AC144" s="56"/>
      <c r="AD144" s="116"/>
      <c r="AE144" s="44" t="s">
        <v>1099</v>
      </c>
      <c r="AF144" s="46" t="str">
        <f t="shared" si="3"/>
        <v/>
      </c>
      <c r="AG144" s="38" t="s">
        <v>1099</v>
      </c>
      <c r="AH144" s="47" t="str">
        <f t="shared" si="4"/>
        <v/>
      </c>
      <c r="AI144" s="32"/>
      <c r="AJ144" s="32"/>
      <c r="AK144" s="32"/>
      <c r="AL144" s="32"/>
      <c r="AM144" s="32" t="s">
        <v>1099</v>
      </c>
      <c r="AN144" s="32"/>
      <c r="AO144" s="32" t="s">
        <v>1099</v>
      </c>
      <c r="AP144" s="32"/>
      <c r="AQ144" s="32"/>
      <c r="AR144" s="32"/>
      <c r="AS144" s="32"/>
      <c r="AT144" s="32"/>
      <c r="AU144" s="32"/>
      <c r="AV144" s="38" t="s">
        <v>1099</v>
      </c>
      <c r="AW144" s="38" t="s">
        <v>1099</v>
      </c>
      <c r="AX144" s="42" t="s">
        <v>106</v>
      </c>
      <c r="AY144" s="62" t="str">
        <f>IF('Cálculo MP'!J145="","",'Cálculo MP'!J145)</f>
        <v/>
      </c>
      <c r="AZ144" s="62" t="str">
        <f>IF('Cálculo MP'!K145="","",'Cálculo MP'!K145)</f>
        <v/>
      </c>
      <c r="BA144" s="62" t="str">
        <f>IF('Cálculo MP'!L145="","",'Cálculo MP'!L145)</f>
        <v/>
      </c>
      <c r="BB144" s="62" t="str">
        <f>IF('Cálculo MP'!M145="","",'Cálculo MP'!M145)</f>
        <v/>
      </c>
      <c r="BC144" s="62" t="str">
        <f>IF('Cálculo MP'!N145="","",'Cálculo MP'!N145)</f>
        <v/>
      </c>
      <c r="BD144" s="62" t="str">
        <f>IF('Cálculo MP'!O145="","",'Cálculo MP'!O145)</f>
        <v/>
      </c>
      <c r="BE144" s="62" t="str">
        <f>IF('Cálculo MP'!P145="","",'Cálculo MP'!P145)</f>
        <v/>
      </c>
      <c r="BF144" s="62" t="str">
        <f>IF('Cálculo MP'!Q145="","",'Cálculo MP'!Q145)</f>
        <v/>
      </c>
      <c r="BG144" s="62" t="str">
        <f>IF('Cálculo MP'!R145="","",'Cálculo MP'!R145)</f>
        <v/>
      </c>
      <c r="BH144" s="32"/>
      <c r="BI144" s="32"/>
      <c r="BJ144" s="32"/>
      <c r="BK144" s="32"/>
      <c r="BL144" s="32"/>
      <c r="BM144" s="32"/>
      <c r="BN144" s="32"/>
      <c r="BO144" s="62" t="str">
        <f t="shared" si="5"/>
        <v/>
      </c>
    </row>
    <row r="145" spans="1:67" ht="19.5" customHeight="1" x14ac:dyDescent="0.2">
      <c r="A145" s="49" t="b">
        <v>0</v>
      </c>
      <c r="B145" s="50" t="b">
        <v>1</v>
      </c>
      <c r="C145" s="51" t="b">
        <v>0</v>
      </c>
      <c r="D145" s="51" t="b">
        <v>0</v>
      </c>
      <c r="E145" s="37"/>
      <c r="F145" s="39"/>
      <c r="G145" s="37" t="s">
        <v>1100</v>
      </c>
      <c r="H145" s="34"/>
      <c r="I145" s="34"/>
      <c r="J145" s="34" t="s">
        <v>1099</v>
      </c>
      <c r="K145" s="51" t="b">
        <v>1</v>
      </c>
      <c r="L145" s="40"/>
      <c r="M145" s="37" t="s">
        <v>1099</v>
      </c>
      <c r="N145" s="37" t="s">
        <v>1099</v>
      </c>
      <c r="O145" s="41" t="s">
        <v>1099</v>
      </c>
      <c r="P145" s="40" t="s">
        <v>1099</v>
      </c>
      <c r="Q145" s="37" t="s">
        <v>1099</v>
      </c>
      <c r="R145" s="37" t="s">
        <v>1099</v>
      </c>
      <c r="S145" s="113" t="s">
        <v>1099</v>
      </c>
      <c r="T145" s="56"/>
      <c r="U145" s="56"/>
      <c r="V145" s="56"/>
      <c r="W145" s="114" t="s">
        <v>1099</v>
      </c>
      <c r="X145" s="115"/>
      <c r="Y145" s="115"/>
      <c r="Z145" s="116"/>
      <c r="AA145" s="117" t="s">
        <v>1099</v>
      </c>
      <c r="AB145" s="116"/>
      <c r="AC145" s="56"/>
      <c r="AD145" s="116"/>
      <c r="AE145" s="44" t="s">
        <v>1099</v>
      </c>
      <c r="AF145" s="46" t="str">
        <f t="shared" si="3"/>
        <v/>
      </c>
      <c r="AG145" s="38" t="s">
        <v>1099</v>
      </c>
      <c r="AH145" s="47" t="str">
        <f t="shared" si="4"/>
        <v/>
      </c>
      <c r="AI145" s="32"/>
      <c r="AJ145" s="32"/>
      <c r="AK145" s="32"/>
      <c r="AL145" s="32"/>
      <c r="AM145" s="32" t="s">
        <v>1099</v>
      </c>
      <c r="AN145" s="32"/>
      <c r="AO145" s="32" t="s">
        <v>1099</v>
      </c>
      <c r="AP145" s="32"/>
      <c r="AQ145" s="32"/>
      <c r="AR145" s="32"/>
      <c r="AS145" s="32"/>
      <c r="AT145" s="32"/>
      <c r="AU145" s="32"/>
      <c r="AV145" s="38" t="s">
        <v>1099</v>
      </c>
      <c r="AW145" s="38" t="s">
        <v>1099</v>
      </c>
      <c r="AX145" s="42" t="s">
        <v>106</v>
      </c>
      <c r="AY145" s="62" t="str">
        <f>IF('Cálculo MP'!J146="","",'Cálculo MP'!J146)</f>
        <v/>
      </c>
      <c r="AZ145" s="62" t="str">
        <f>IF('Cálculo MP'!K146="","",'Cálculo MP'!K146)</f>
        <v/>
      </c>
      <c r="BA145" s="62" t="str">
        <f>IF('Cálculo MP'!L146="","",'Cálculo MP'!L146)</f>
        <v/>
      </c>
      <c r="BB145" s="62" t="str">
        <f>IF('Cálculo MP'!M146="","",'Cálculo MP'!M146)</f>
        <v/>
      </c>
      <c r="BC145" s="62" t="str">
        <f>IF('Cálculo MP'!N146="","",'Cálculo MP'!N146)</f>
        <v/>
      </c>
      <c r="BD145" s="62" t="str">
        <f>IF('Cálculo MP'!O146="","",'Cálculo MP'!O146)</f>
        <v/>
      </c>
      <c r="BE145" s="62" t="str">
        <f>IF('Cálculo MP'!P146="","",'Cálculo MP'!P146)</f>
        <v/>
      </c>
      <c r="BF145" s="62" t="str">
        <f>IF('Cálculo MP'!Q146="","",'Cálculo MP'!Q146)</f>
        <v/>
      </c>
      <c r="BG145" s="62" t="str">
        <f>IF('Cálculo MP'!R146="","",'Cálculo MP'!R146)</f>
        <v/>
      </c>
      <c r="BH145" s="32"/>
      <c r="BI145" s="32"/>
      <c r="BJ145" s="32"/>
      <c r="BK145" s="32"/>
      <c r="BL145" s="32"/>
      <c r="BM145" s="32"/>
      <c r="BN145" s="32"/>
      <c r="BO145" s="62" t="str">
        <f t="shared" si="5"/>
        <v/>
      </c>
    </row>
    <row r="146" spans="1:67" ht="19.5" customHeight="1" x14ac:dyDescent="0.2">
      <c r="A146" s="49" t="b">
        <v>0</v>
      </c>
      <c r="B146" s="50" t="b">
        <v>1</v>
      </c>
      <c r="C146" s="51" t="b">
        <v>0</v>
      </c>
      <c r="D146" s="51" t="b">
        <v>0</v>
      </c>
      <c r="E146" s="37"/>
      <c r="F146" s="39"/>
      <c r="G146" s="37" t="s">
        <v>1100</v>
      </c>
      <c r="H146" s="34"/>
      <c r="I146" s="34"/>
      <c r="J146" s="34" t="s">
        <v>1099</v>
      </c>
      <c r="K146" s="51" t="b">
        <v>1</v>
      </c>
      <c r="L146" s="40"/>
      <c r="M146" s="37" t="s">
        <v>1099</v>
      </c>
      <c r="N146" s="37" t="s">
        <v>1099</v>
      </c>
      <c r="O146" s="41" t="s">
        <v>1099</v>
      </c>
      <c r="P146" s="40" t="s">
        <v>1099</v>
      </c>
      <c r="Q146" s="37" t="s">
        <v>1099</v>
      </c>
      <c r="R146" s="37" t="s">
        <v>1099</v>
      </c>
      <c r="S146" s="113" t="s">
        <v>1099</v>
      </c>
      <c r="T146" s="56"/>
      <c r="U146" s="56"/>
      <c r="V146" s="56"/>
      <c r="W146" s="114" t="s">
        <v>1099</v>
      </c>
      <c r="X146" s="115"/>
      <c r="Y146" s="115"/>
      <c r="Z146" s="116"/>
      <c r="AA146" s="117" t="s">
        <v>1099</v>
      </c>
      <c r="AB146" s="116"/>
      <c r="AC146" s="56"/>
      <c r="AD146" s="116"/>
      <c r="AE146" s="44" t="s">
        <v>1099</v>
      </c>
      <c r="AF146" s="46" t="str">
        <f t="shared" si="3"/>
        <v/>
      </c>
      <c r="AG146" s="38" t="s">
        <v>1099</v>
      </c>
      <c r="AH146" s="47" t="str">
        <f t="shared" si="4"/>
        <v/>
      </c>
      <c r="AI146" s="32"/>
      <c r="AJ146" s="32"/>
      <c r="AK146" s="32"/>
      <c r="AL146" s="32"/>
      <c r="AM146" s="32" t="s">
        <v>1099</v>
      </c>
      <c r="AN146" s="32"/>
      <c r="AO146" s="32" t="s">
        <v>1099</v>
      </c>
      <c r="AP146" s="32"/>
      <c r="AQ146" s="32"/>
      <c r="AR146" s="32"/>
      <c r="AS146" s="32"/>
      <c r="AT146" s="32"/>
      <c r="AU146" s="32"/>
      <c r="AV146" s="38" t="s">
        <v>1099</v>
      </c>
      <c r="AW146" s="38" t="s">
        <v>1099</v>
      </c>
      <c r="AX146" s="42" t="s">
        <v>106</v>
      </c>
      <c r="AY146" s="62" t="str">
        <f>IF('Cálculo MP'!J147="","",'Cálculo MP'!J147)</f>
        <v/>
      </c>
      <c r="AZ146" s="62" t="str">
        <f>IF('Cálculo MP'!K147="","",'Cálculo MP'!K147)</f>
        <v/>
      </c>
      <c r="BA146" s="62" t="str">
        <f>IF('Cálculo MP'!L147="","",'Cálculo MP'!L147)</f>
        <v/>
      </c>
      <c r="BB146" s="62" t="str">
        <f>IF('Cálculo MP'!M147="","",'Cálculo MP'!M147)</f>
        <v/>
      </c>
      <c r="BC146" s="62" t="str">
        <f>IF('Cálculo MP'!N147="","",'Cálculo MP'!N147)</f>
        <v/>
      </c>
      <c r="BD146" s="62" t="str">
        <f>IF('Cálculo MP'!O147="","",'Cálculo MP'!O147)</f>
        <v/>
      </c>
      <c r="BE146" s="62" t="str">
        <f>IF('Cálculo MP'!P147="","",'Cálculo MP'!P147)</f>
        <v/>
      </c>
      <c r="BF146" s="62" t="str">
        <f>IF('Cálculo MP'!Q147="","",'Cálculo MP'!Q147)</f>
        <v/>
      </c>
      <c r="BG146" s="62" t="str">
        <f>IF('Cálculo MP'!R147="","",'Cálculo MP'!R147)</f>
        <v/>
      </c>
      <c r="BH146" s="32"/>
      <c r="BI146" s="32"/>
      <c r="BJ146" s="32"/>
      <c r="BK146" s="32"/>
      <c r="BL146" s="32"/>
      <c r="BM146" s="32"/>
      <c r="BN146" s="32"/>
      <c r="BO146" s="62" t="str">
        <f t="shared" si="5"/>
        <v/>
      </c>
    </row>
    <row r="147" spans="1:67" ht="19.5" customHeight="1" x14ac:dyDescent="0.2">
      <c r="A147" s="49" t="b">
        <v>0</v>
      </c>
      <c r="B147" s="50" t="b">
        <v>1</v>
      </c>
      <c r="C147" s="51" t="b">
        <v>0</v>
      </c>
      <c r="D147" s="51" t="b">
        <v>0</v>
      </c>
      <c r="E147" s="37"/>
      <c r="F147" s="39"/>
      <c r="G147" s="37" t="s">
        <v>1100</v>
      </c>
      <c r="H147" s="34"/>
      <c r="I147" s="34"/>
      <c r="J147" s="34" t="s">
        <v>1099</v>
      </c>
      <c r="K147" s="51" t="b">
        <v>1</v>
      </c>
      <c r="L147" s="40"/>
      <c r="M147" s="37" t="s">
        <v>1099</v>
      </c>
      <c r="N147" s="37" t="s">
        <v>1099</v>
      </c>
      <c r="O147" s="41" t="s">
        <v>1099</v>
      </c>
      <c r="P147" s="40" t="s">
        <v>1099</v>
      </c>
      <c r="Q147" s="37" t="s">
        <v>1099</v>
      </c>
      <c r="R147" s="37" t="s">
        <v>1099</v>
      </c>
      <c r="S147" s="113" t="s">
        <v>1099</v>
      </c>
      <c r="T147" s="56"/>
      <c r="U147" s="56"/>
      <c r="V147" s="56"/>
      <c r="W147" s="114" t="s">
        <v>1099</v>
      </c>
      <c r="X147" s="115"/>
      <c r="Y147" s="115"/>
      <c r="Z147" s="116"/>
      <c r="AA147" s="117" t="s">
        <v>1099</v>
      </c>
      <c r="AB147" s="116"/>
      <c r="AC147" s="56"/>
      <c r="AD147" s="116"/>
      <c r="AE147" s="44" t="s">
        <v>1099</v>
      </c>
      <c r="AF147" s="46" t="str">
        <f t="shared" ref="AF147:AF210" si="6">IFERROR((VALUE(TRIM(LEFT(MID(AE147,FIND("|",AE147)+1,99),FIND("-",MID(AE147,FIND("|",AE147)+1,99))-1)))+VALUE(TRIM(SUBSTITUTE(SUBSTITUTE(SUBSTITUTE(MID(MID(AE147,FIND("|",AE147)+1,99),FIND("-",MID(AE147,FIND("|",AE147)+1,99))+1,20),"µm",""),"μm","")," ",""))))/2,"")</f>
        <v/>
      </c>
      <c r="AG147" s="38" t="s">
        <v>1099</v>
      </c>
      <c r="AH147" s="47" t="str">
        <f t="shared" ref="AH147:AH210" si="7">IFERROR((VALUE(TRIM(LEFT(MID(AG147,FIND("|",AG147)+1,99),FIND("-",MID(AG147,FIND("|",AG147)+1,99))-1)))+VALUE(TRIM(SUBSTITUTE(SUBSTITUTE(SUBSTITUTE(MID(MID(AG147,FIND("|",AG147)+1,99),FIND("-",MID(AG147,FIND("|",AG147)+1,99))+1,20),"µm",""),"μm","")," ",""))))/2,"")</f>
        <v/>
      </c>
      <c r="AI147" s="32"/>
      <c r="AJ147" s="32"/>
      <c r="AK147" s="32"/>
      <c r="AL147" s="32"/>
      <c r="AM147" s="32" t="s">
        <v>1099</v>
      </c>
      <c r="AN147" s="32"/>
      <c r="AO147" s="32" t="s">
        <v>1099</v>
      </c>
      <c r="AP147" s="32"/>
      <c r="AQ147" s="32"/>
      <c r="AR147" s="32"/>
      <c r="AS147" s="32"/>
      <c r="AT147" s="32"/>
      <c r="AU147" s="32"/>
      <c r="AV147" s="38" t="s">
        <v>1099</v>
      </c>
      <c r="AW147" s="38" t="s">
        <v>1099</v>
      </c>
      <c r="AX147" s="42" t="s">
        <v>106</v>
      </c>
      <c r="AY147" s="62" t="str">
        <f>IF('Cálculo MP'!J148="","",'Cálculo MP'!J148)</f>
        <v/>
      </c>
      <c r="AZ147" s="62" t="str">
        <f>IF('Cálculo MP'!K148="","",'Cálculo MP'!K148)</f>
        <v/>
      </c>
      <c r="BA147" s="62" t="str">
        <f>IF('Cálculo MP'!L148="","",'Cálculo MP'!L148)</f>
        <v/>
      </c>
      <c r="BB147" s="62" t="str">
        <f>IF('Cálculo MP'!M148="","",'Cálculo MP'!M148)</f>
        <v/>
      </c>
      <c r="BC147" s="62" t="str">
        <f>IF('Cálculo MP'!N148="","",'Cálculo MP'!N148)</f>
        <v/>
      </c>
      <c r="BD147" s="62" t="str">
        <f>IF('Cálculo MP'!O148="","",'Cálculo MP'!O148)</f>
        <v/>
      </c>
      <c r="BE147" s="62" t="str">
        <f>IF('Cálculo MP'!P148="","",'Cálculo MP'!P148)</f>
        <v/>
      </c>
      <c r="BF147" s="62" t="str">
        <f>IF('Cálculo MP'!Q148="","",'Cálculo MP'!Q148)</f>
        <v/>
      </c>
      <c r="BG147" s="62" t="str">
        <f>IF('Cálculo MP'!R148="","",'Cálculo MP'!R148)</f>
        <v/>
      </c>
      <c r="BH147" s="32"/>
      <c r="BI147" s="32"/>
      <c r="BJ147" s="32"/>
      <c r="BK147" s="32"/>
      <c r="BL147" s="32"/>
      <c r="BM147" s="32"/>
      <c r="BN147" s="32"/>
      <c r="BO147" s="62" t="str">
        <f t="shared" ref="BO147:BO210" si="8">IF(E147="","",H147*I147)</f>
        <v/>
      </c>
    </row>
    <row r="148" spans="1:67" ht="19.5" customHeight="1" x14ac:dyDescent="0.2">
      <c r="A148" s="49" t="b">
        <v>0</v>
      </c>
      <c r="B148" s="50" t="b">
        <v>1</v>
      </c>
      <c r="C148" s="51" t="b">
        <v>0</v>
      </c>
      <c r="D148" s="51" t="b">
        <v>0</v>
      </c>
      <c r="E148" s="37"/>
      <c r="F148" s="39"/>
      <c r="G148" s="37" t="s">
        <v>1100</v>
      </c>
      <c r="H148" s="34"/>
      <c r="I148" s="34"/>
      <c r="J148" s="34" t="s">
        <v>1099</v>
      </c>
      <c r="K148" s="51" t="b">
        <v>1</v>
      </c>
      <c r="L148" s="40"/>
      <c r="M148" s="37" t="s">
        <v>1099</v>
      </c>
      <c r="N148" s="37" t="s">
        <v>1099</v>
      </c>
      <c r="O148" s="41" t="s">
        <v>1099</v>
      </c>
      <c r="P148" s="40" t="s">
        <v>1099</v>
      </c>
      <c r="Q148" s="37" t="s">
        <v>1099</v>
      </c>
      <c r="R148" s="37" t="s">
        <v>1099</v>
      </c>
      <c r="S148" s="113" t="s">
        <v>1099</v>
      </c>
      <c r="T148" s="56"/>
      <c r="U148" s="56"/>
      <c r="V148" s="56"/>
      <c r="W148" s="114" t="s">
        <v>1099</v>
      </c>
      <c r="X148" s="115"/>
      <c r="Y148" s="115"/>
      <c r="Z148" s="116"/>
      <c r="AA148" s="117" t="s">
        <v>1099</v>
      </c>
      <c r="AB148" s="116"/>
      <c r="AC148" s="56"/>
      <c r="AD148" s="116"/>
      <c r="AE148" s="44" t="s">
        <v>1099</v>
      </c>
      <c r="AF148" s="46" t="str">
        <f t="shared" si="6"/>
        <v/>
      </c>
      <c r="AG148" s="38" t="s">
        <v>1099</v>
      </c>
      <c r="AH148" s="47" t="str">
        <f t="shared" si="7"/>
        <v/>
      </c>
      <c r="AI148" s="32"/>
      <c r="AJ148" s="32"/>
      <c r="AK148" s="32"/>
      <c r="AL148" s="32"/>
      <c r="AM148" s="32" t="s">
        <v>1099</v>
      </c>
      <c r="AN148" s="32"/>
      <c r="AO148" s="32" t="s">
        <v>1099</v>
      </c>
      <c r="AP148" s="32"/>
      <c r="AQ148" s="32"/>
      <c r="AR148" s="32"/>
      <c r="AS148" s="32"/>
      <c r="AT148" s="32"/>
      <c r="AU148" s="32"/>
      <c r="AV148" s="38" t="s">
        <v>1099</v>
      </c>
      <c r="AW148" s="38" t="s">
        <v>1099</v>
      </c>
      <c r="AX148" s="42" t="s">
        <v>106</v>
      </c>
      <c r="AY148" s="62" t="str">
        <f>IF('Cálculo MP'!J149="","",'Cálculo MP'!J149)</f>
        <v/>
      </c>
      <c r="AZ148" s="62" t="str">
        <f>IF('Cálculo MP'!K149="","",'Cálculo MP'!K149)</f>
        <v/>
      </c>
      <c r="BA148" s="62" t="str">
        <f>IF('Cálculo MP'!L149="","",'Cálculo MP'!L149)</f>
        <v/>
      </c>
      <c r="BB148" s="62" t="str">
        <f>IF('Cálculo MP'!M149="","",'Cálculo MP'!M149)</f>
        <v/>
      </c>
      <c r="BC148" s="62" t="str">
        <f>IF('Cálculo MP'!N149="","",'Cálculo MP'!N149)</f>
        <v/>
      </c>
      <c r="BD148" s="62" t="str">
        <f>IF('Cálculo MP'!O149="","",'Cálculo MP'!O149)</f>
        <v/>
      </c>
      <c r="BE148" s="62" t="str">
        <f>IF('Cálculo MP'!P149="","",'Cálculo MP'!P149)</f>
        <v/>
      </c>
      <c r="BF148" s="62" t="str">
        <f>IF('Cálculo MP'!Q149="","",'Cálculo MP'!Q149)</f>
        <v/>
      </c>
      <c r="BG148" s="62" t="str">
        <f>IF('Cálculo MP'!R149="","",'Cálculo MP'!R149)</f>
        <v/>
      </c>
      <c r="BH148" s="32"/>
      <c r="BI148" s="32"/>
      <c r="BJ148" s="32"/>
      <c r="BK148" s="32"/>
      <c r="BL148" s="32"/>
      <c r="BM148" s="32"/>
      <c r="BN148" s="32"/>
      <c r="BO148" s="62" t="str">
        <f t="shared" si="8"/>
        <v/>
      </c>
    </row>
    <row r="149" spans="1:67" ht="19.5" customHeight="1" x14ac:dyDescent="0.2">
      <c r="A149" s="49" t="b">
        <v>0</v>
      </c>
      <c r="B149" s="50" t="b">
        <v>1</v>
      </c>
      <c r="C149" s="51" t="b">
        <v>0</v>
      </c>
      <c r="D149" s="51" t="b">
        <v>0</v>
      </c>
      <c r="E149" s="37"/>
      <c r="F149" s="39"/>
      <c r="G149" s="37" t="s">
        <v>1100</v>
      </c>
      <c r="H149" s="34"/>
      <c r="I149" s="34"/>
      <c r="J149" s="34" t="s">
        <v>1099</v>
      </c>
      <c r="K149" s="51" t="b">
        <v>1</v>
      </c>
      <c r="L149" s="40"/>
      <c r="M149" s="37" t="s">
        <v>1099</v>
      </c>
      <c r="N149" s="37" t="s">
        <v>1099</v>
      </c>
      <c r="O149" s="41" t="s">
        <v>1099</v>
      </c>
      <c r="P149" s="40" t="s">
        <v>1099</v>
      </c>
      <c r="Q149" s="37" t="s">
        <v>1099</v>
      </c>
      <c r="R149" s="37" t="s">
        <v>1099</v>
      </c>
      <c r="S149" s="113" t="s">
        <v>1099</v>
      </c>
      <c r="T149" s="56"/>
      <c r="U149" s="56"/>
      <c r="V149" s="56"/>
      <c r="W149" s="114" t="s">
        <v>1099</v>
      </c>
      <c r="X149" s="115"/>
      <c r="Y149" s="115"/>
      <c r="Z149" s="116"/>
      <c r="AA149" s="117" t="s">
        <v>1099</v>
      </c>
      <c r="AB149" s="116"/>
      <c r="AC149" s="56"/>
      <c r="AD149" s="116"/>
      <c r="AE149" s="44" t="s">
        <v>1099</v>
      </c>
      <c r="AF149" s="46" t="str">
        <f t="shared" si="6"/>
        <v/>
      </c>
      <c r="AG149" s="38" t="s">
        <v>1099</v>
      </c>
      <c r="AH149" s="47" t="str">
        <f t="shared" si="7"/>
        <v/>
      </c>
      <c r="AI149" s="32"/>
      <c r="AJ149" s="32"/>
      <c r="AK149" s="32"/>
      <c r="AL149" s="32"/>
      <c r="AM149" s="32" t="s">
        <v>1099</v>
      </c>
      <c r="AN149" s="32"/>
      <c r="AO149" s="32" t="s">
        <v>1099</v>
      </c>
      <c r="AP149" s="32"/>
      <c r="AQ149" s="32"/>
      <c r="AR149" s="32"/>
      <c r="AS149" s="32"/>
      <c r="AT149" s="32"/>
      <c r="AU149" s="32"/>
      <c r="AV149" s="38" t="s">
        <v>1099</v>
      </c>
      <c r="AW149" s="38" t="s">
        <v>1099</v>
      </c>
      <c r="AX149" s="42" t="s">
        <v>106</v>
      </c>
      <c r="AY149" s="62" t="str">
        <f>IF('Cálculo MP'!J150="","",'Cálculo MP'!J150)</f>
        <v/>
      </c>
      <c r="AZ149" s="62" t="str">
        <f>IF('Cálculo MP'!K150="","",'Cálculo MP'!K150)</f>
        <v/>
      </c>
      <c r="BA149" s="62" t="str">
        <f>IF('Cálculo MP'!L150="","",'Cálculo MP'!L150)</f>
        <v/>
      </c>
      <c r="BB149" s="62" t="str">
        <f>IF('Cálculo MP'!M150="","",'Cálculo MP'!M150)</f>
        <v/>
      </c>
      <c r="BC149" s="62" t="str">
        <f>IF('Cálculo MP'!N150="","",'Cálculo MP'!N150)</f>
        <v/>
      </c>
      <c r="BD149" s="62" t="str">
        <f>IF('Cálculo MP'!O150="","",'Cálculo MP'!O150)</f>
        <v/>
      </c>
      <c r="BE149" s="62" t="str">
        <f>IF('Cálculo MP'!P150="","",'Cálculo MP'!P150)</f>
        <v/>
      </c>
      <c r="BF149" s="62" t="str">
        <f>IF('Cálculo MP'!Q150="","",'Cálculo MP'!Q150)</f>
        <v/>
      </c>
      <c r="BG149" s="62" t="str">
        <f>IF('Cálculo MP'!R150="","",'Cálculo MP'!R150)</f>
        <v/>
      </c>
      <c r="BH149" s="32"/>
      <c r="BI149" s="32"/>
      <c r="BJ149" s="32"/>
      <c r="BK149" s="32"/>
      <c r="BL149" s="32"/>
      <c r="BM149" s="32"/>
      <c r="BN149" s="32"/>
      <c r="BO149" s="62" t="str">
        <f t="shared" si="8"/>
        <v/>
      </c>
    </row>
    <row r="150" spans="1:67" ht="19.5" customHeight="1" x14ac:dyDescent="0.2">
      <c r="A150" s="49" t="b">
        <v>0</v>
      </c>
      <c r="B150" s="50" t="b">
        <v>1</v>
      </c>
      <c r="C150" s="51" t="b">
        <v>0</v>
      </c>
      <c r="D150" s="51" t="b">
        <v>0</v>
      </c>
      <c r="E150" s="37"/>
      <c r="F150" s="39"/>
      <c r="G150" s="37" t="s">
        <v>1100</v>
      </c>
      <c r="H150" s="34"/>
      <c r="I150" s="34"/>
      <c r="J150" s="34" t="s">
        <v>1099</v>
      </c>
      <c r="K150" s="51" t="b">
        <v>1</v>
      </c>
      <c r="L150" s="40"/>
      <c r="M150" s="37" t="s">
        <v>1099</v>
      </c>
      <c r="N150" s="37" t="s">
        <v>1099</v>
      </c>
      <c r="O150" s="41" t="s">
        <v>1099</v>
      </c>
      <c r="P150" s="40" t="s">
        <v>1099</v>
      </c>
      <c r="Q150" s="37" t="s">
        <v>1099</v>
      </c>
      <c r="R150" s="37" t="s">
        <v>1099</v>
      </c>
      <c r="S150" s="113" t="s">
        <v>1099</v>
      </c>
      <c r="T150" s="56"/>
      <c r="U150" s="56"/>
      <c r="V150" s="56"/>
      <c r="W150" s="114" t="s">
        <v>1099</v>
      </c>
      <c r="X150" s="115"/>
      <c r="Y150" s="115"/>
      <c r="Z150" s="116"/>
      <c r="AA150" s="117" t="s">
        <v>1099</v>
      </c>
      <c r="AB150" s="116"/>
      <c r="AC150" s="56"/>
      <c r="AD150" s="116"/>
      <c r="AE150" s="44" t="s">
        <v>1099</v>
      </c>
      <c r="AF150" s="46" t="str">
        <f t="shared" si="6"/>
        <v/>
      </c>
      <c r="AG150" s="38" t="s">
        <v>1099</v>
      </c>
      <c r="AH150" s="47" t="str">
        <f t="shared" si="7"/>
        <v/>
      </c>
      <c r="AI150" s="32"/>
      <c r="AJ150" s="32"/>
      <c r="AK150" s="32"/>
      <c r="AL150" s="32"/>
      <c r="AM150" s="32" t="s">
        <v>1099</v>
      </c>
      <c r="AN150" s="32"/>
      <c r="AO150" s="32" t="s">
        <v>1099</v>
      </c>
      <c r="AP150" s="32"/>
      <c r="AQ150" s="32"/>
      <c r="AR150" s="32"/>
      <c r="AS150" s="32"/>
      <c r="AT150" s="32"/>
      <c r="AU150" s="32"/>
      <c r="AV150" s="38" t="s">
        <v>1099</v>
      </c>
      <c r="AW150" s="38" t="s">
        <v>1099</v>
      </c>
      <c r="AX150" s="42" t="s">
        <v>106</v>
      </c>
      <c r="AY150" s="62" t="str">
        <f>IF('Cálculo MP'!J151="","",'Cálculo MP'!J151)</f>
        <v/>
      </c>
      <c r="AZ150" s="62" t="str">
        <f>IF('Cálculo MP'!K151="","",'Cálculo MP'!K151)</f>
        <v/>
      </c>
      <c r="BA150" s="62" t="str">
        <f>IF('Cálculo MP'!L151="","",'Cálculo MP'!L151)</f>
        <v/>
      </c>
      <c r="BB150" s="62" t="str">
        <f>IF('Cálculo MP'!M151="","",'Cálculo MP'!M151)</f>
        <v/>
      </c>
      <c r="BC150" s="62" t="str">
        <f>IF('Cálculo MP'!N151="","",'Cálculo MP'!N151)</f>
        <v/>
      </c>
      <c r="BD150" s="62" t="str">
        <f>IF('Cálculo MP'!O151="","",'Cálculo MP'!O151)</f>
        <v/>
      </c>
      <c r="BE150" s="62" t="str">
        <f>IF('Cálculo MP'!P151="","",'Cálculo MP'!P151)</f>
        <v/>
      </c>
      <c r="BF150" s="62" t="str">
        <f>IF('Cálculo MP'!Q151="","",'Cálculo MP'!Q151)</f>
        <v/>
      </c>
      <c r="BG150" s="62" t="str">
        <f>IF('Cálculo MP'!R151="","",'Cálculo MP'!R151)</f>
        <v/>
      </c>
      <c r="BH150" s="32"/>
      <c r="BI150" s="32"/>
      <c r="BJ150" s="32"/>
      <c r="BK150" s="32"/>
      <c r="BL150" s="32"/>
      <c r="BM150" s="32"/>
      <c r="BN150" s="32"/>
      <c r="BO150" s="62" t="str">
        <f t="shared" si="8"/>
        <v/>
      </c>
    </row>
    <row r="151" spans="1:67" ht="19.5" customHeight="1" x14ac:dyDescent="0.2">
      <c r="A151" s="49" t="b">
        <v>0</v>
      </c>
      <c r="B151" s="50" t="b">
        <v>1</v>
      </c>
      <c r="C151" s="51" t="b">
        <v>0</v>
      </c>
      <c r="D151" s="51" t="b">
        <v>0</v>
      </c>
      <c r="E151" s="37"/>
      <c r="F151" s="39"/>
      <c r="G151" s="37" t="s">
        <v>1100</v>
      </c>
      <c r="H151" s="34"/>
      <c r="I151" s="34"/>
      <c r="J151" s="34" t="s">
        <v>1099</v>
      </c>
      <c r="K151" s="51" t="b">
        <v>1</v>
      </c>
      <c r="L151" s="40"/>
      <c r="M151" s="37" t="s">
        <v>1099</v>
      </c>
      <c r="N151" s="37" t="s">
        <v>1099</v>
      </c>
      <c r="O151" s="41" t="s">
        <v>1099</v>
      </c>
      <c r="P151" s="40" t="s">
        <v>1099</v>
      </c>
      <c r="Q151" s="37" t="s">
        <v>1099</v>
      </c>
      <c r="R151" s="37" t="s">
        <v>1099</v>
      </c>
      <c r="S151" s="113" t="s">
        <v>1099</v>
      </c>
      <c r="T151" s="56"/>
      <c r="U151" s="56"/>
      <c r="V151" s="56"/>
      <c r="W151" s="114" t="s">
        <v>1099</v>
      </c>
      <c r="X151" s="115"/>
      <c r="Y151" s="115"/>
      <c r="Z151" s="116"/>
      <c r="AA151" s="117" t="s">
        <v>1099</v>
      </c>
      <c r="AB151" s="116"/>
      <c r="AC151" s="56"/>
      <c r="AD151" s="116"/>
      <c r="AE151" s="44" t="s">
        <v>1099</v>
      </c>
      <c r="AF151" s="46" t="str">
        <f t="shared" si="6"/>
        <v/>
      </c>
      <c r="AG151" s="38" t="s">
        <v>1099</v>
      </c>
      <c r="AH151" s="47" t="str">
        <f t="shared" si="7"/>
        <v/>
      </c>
      <c r="AI151" s="32"/>
      <c r="AJ151" s="32"/>
      <c r="AK151" s="32"/>
      <c r="AL151" s="32"/>
      <c r="AM151" s="32" t="s">
        <v>1099</v>
      </c>
      <c r="AN151" s="32"/>
      <c r="AO151" s="32" t="s">
        <v>1099</v>
      </c>
      <c r="AP151" s="32"/>
      <c r="AQ151" s="32"/>
      <c r="AR151" s="32"/>
      <c r="AS151" s="32"/>
      <c r="AT151" s="32"/>
      <c r="AU151" s="32"/>
      <c r="AV151" s="38" t="s">
        <v>1099</v>
      </c>
      <c r="AW151" s="38" t="s">
        <v>1099</v>
      </c>
      <c r="AX151" s="42" t="s">
        <v>106</v>
      </c>
      <c r="AY151" s="62" t="str">
        <f>IF('Cálculo MP'!J152="","",'Cálculo MP'!J152)</f>
        <v/>
      </c>
      <c r="AZ151" s="62" t="str">
        <f>IF('Cálculo MP'!K152="","",'Cálculo MP'!K152)</f>
        <v/>
      </c>
      <c r="BA151" s="62" t="str">
        <f>IF('Cálculo MP'!L152="","",'Cálculo MP'!L152)</f>
        <v/>
      </c>
      <c r="BB151" s="62" t="str">
        <f>IF('Cálculo MP'!M152="","",'Cálculo MP'!M152)</f>
        <v/>
      </c>
      <c r="BC151" s="62" t="str">
        <f>IF('Cálculo MP'!N152="","",'Cálculo MP'!N152)</f>
        <v/>
      </c>
      <c r="BD151" s="62" t="str">
        <f>IF('Cálculo MP'!O152="","",'Cálculo MP'!O152)</f>
        <v/>
      </c>
      <c r="BE151" s="62" t="str">
        <f>IF('Cálculo MP'!P152="","",'Cálculo MP'!P152)</f>
        <v/>
      </c>
      <c r="BF151" s="62" t="str">
        <f>IF('Cálculo MP'!Q152="","",'Cálculo MP'!Q152)</f>
        <v/>
      </c>
      <c r="BG151" s="62" t="str">
        <f>IF('Cálculo MP'!R152="","",'Cálculo MP'!R152)</f>
        <v/>
      </c>
      <c r="BH151" s="32"/>
      <c r="BI151" s="32"/>
      <c r="BJ151" s="32"/>
      <c r="BK151" s="32"/>
      <c r="BL151" s="32"/>
      <c r="BM151" s="32"/>
      <c r="BN151" s="32"/>
      <c r="BO151" s="62" t="str">
        <f t="shared" si="8"/>
        <v/>
      </c>
    </row>
    <row r="152" spans="1:67" ht="19.5" customHeight="1" x14ac:dyDescent="0.2">
      <c r="A152" s="49" t="b">
        <v>0</v>
      </c>
      <c r="B152" s="50" t="b">
        <v>1</v>
      </c>
      <c r="C152" s="51" t="b">
        <v>0</v>
      </c>
      <c r="D152" s="51" t="b">
        <v>0</v>
      </c>
      <c r="E152" s="37"/>
      <c r="F152" s="39"/>
      <c r="G152" s="37" t="s">
        <v>1100</v>
      </c>
      <c r="H152" s="34"/>
      <c r="I152" s="34"/>
      <c r="J152" s="34" t="s">
        <v>1099</v>
      </c>
      <c r="K152" s="51" t="b">
        <v>1</v>
      </c>
      <c r="L152" s="40"/>
      <c r="M152" s="37" t="s">
        <v>1099</v>
      </c>
      <c r="N152" s="37" t="s">
        <v>1099</v>
      </c>
      <c r="O152" s="41" t="s">
        <v>1099</v>
      </c>
      <c r="P152" s="40" t="s">
        <v>1099</v>
      </c>
      <c r="Q152" s="37" t="s">
        <v>1099</v>
      </c>
      <c r="R152" s="37" t="s">
        <v>1099</v>
      </c>
      <c r="S152" s="113" t="s">
        <v>1099</v>
      </c>
      <c r="T152" s="56"/>
      <c r="U152" s="56"/>
      <c r="V152" s="56"/>
      <c r="W152" s="114" t="s">
        <v>1099</v>
      </c>
      <c r="X152" s="115"/>
      <c r="Y152" s="115"/>
      <c r="Z152" s="116"/>
      <c r="AA152" s="117" t="s">
        <v>1099</v>
      </c>
      <c r="AB152" s="116"/>
      <c r="AC152" s="56"/>
      <c r="AD152" s="116"/>
      <c r="AE152" s="44" t="s">
        <v>1099</v>
      </c>
      <c r="AF152" s="46" t="str">
        <f t="shared" si="6"/>
        <v/>
      </c>
      <c r="AG152" s="38" t="s">
        <v>1099</v>
      </c>
      <c r="AH152" s="47" t="str">
        <f t="shared" si="7"/>
        <v/>
      </c>
      <c r="AI152" s="32"/>
      <c r="AJ152" s="32"/>
      <c r="AK152" s="32"/>
      <c r="AL152" s="32"/>
      <c r="AM152" s="32" t="s">
        <v>1099</v>
      </c>
      <c r="AN152" s="32"/>
      <c r="AO152" s="32" t="s">
        <v>1099</v>
      </c>
      <c r="AP152" s="32"/>
      <c r="AQ152" s="32"/>
      <c r="AR152" s="32"/>
      <c r="AS152" s="32"/>
      <c r="AT152" s="32"/>
      <c r="AU152" s="32"/>
      <c r="AV152" s="38" t="s">
        <v>1099</v>
      </c>
      <c r="AW152" s="38" t="s">
        <v>1099</v>
      </c>
      <c r="AX152" s="42" t="s">
        <v>106</v>
      </c>
      <c r="AY152" s="62" t="str">
        <f>IF('Cálculo MP'!J153="","",'Cálculo MP'!J153)</f>
        <v/>
      </c>
      <c r="AZ152" s="62" t="str">
        <f>IF('Cálculo MP'!K153="","",'Cálculo MP'!K153)</f>
        <v/>
      </c>
      <c r="BA152" s="62" t="str">
        <f>IF('Cálculo MP'!L153="","",'Cálculo MP'!L153)</f>
        <v/>
      </c>
      <c r="BB152" s="62" t="str">
        <f>IF('Cálculo MP'!M153="","",'Cálculo MP'!M153)</f>
        <v/>
      </c>
      <c r="BC152" s="62" t="str">
        <f>IF('Cálculo MP'!N153="","",'Cálculo MP'!N153)</f>
        <v/>
      </c>
      <c r="BD152" s="62" t="str">
        <f>IF('Cálculo MP'!O153="","",'Cálculo MP'!O153)</f>
        <v/>
      </c>
      <c r="BE152" s="62" t="str">
        <f>IF('Cálculo MP'!P153="","",'Cálculo MP'!P153)</f>
        <v/>
      </c>
      <c r="BF152" s="62" t="str">
        <f>IF('Cálculo MP'!Q153="","",'Cálculo MP'!Q153)</f>
        <v/>
      </c>
      <c r="BG152" s="62" t="str">
        <f>IF('Cálculo MP'!R153="","",'Cálculo MP'!R153)</f>
        <v/>
      </c>
      <c r="BH152" s="32"/>
      <c r="BI152" s="32"/>
      <c r="BJ152" s="32"/>
      <c r="BK152" s="32"/>
      <c r="BL152" s="32"/>
      <c r="BM152" s="32"/>
      <c r="BN152" s="32"/>
      <c r="BO152" s="62" t="str">
        <f t="shared" si="8"/>
        <v/>
      </c>
    </row>
    <row r="153" spans="1:67" ht="19.5" customHeight="1" x14ac:dyDescent="0.2">
      <c r="A153" s="49" t="b">
        <v>0</v>
      </c>
      <c r="B153" s="50" t="b">
        <v>1</v>
      </c>
      <c r="C153" s="51" t="b">
        <v>0</v>
      </c>
      <c r="D153" s="51" t="b">
        <v>0</v>
      </c>
      <c r="E153" s="37"/>
      <c r="F153" s="39"/>
      <c r="G153" s="37" t="s">
        <v>1100</v>
      </c>
      <c r="H153" s="34"/>
      <c r="I153" s="34"/>
      <c r="J153" s="34" t="s">
        <v>1099</v>
      </c>
      <c r="K153" s="51" t="b">
        <v>1</v>
      </c>
      <c r="L153" s="40"/>
      <c r="M153" s="37" t="s">
        <v>1099</v>
      </c>
      <c r="N153" s="37" t="s">
        <v>1099</v>
      </c>
      <c r="O153" s="41" t="s">
        <v>1099</v>
      </c>
      <c r="P153" s="40" t="s">
        <v>1099</v>
      </c>
      <c r="Q153" s="37" t="s">
        <v>1099</v>
      </c>
      <c r="R153" s="37" t="s">
        <v>1099</v>
      </c>
      <c r="S153" s="113" t="s">
        <v>1099</v>
      </c>
      <c r="T153" s="56"/>
      <c r="U153" s="56"/>
      <c r="V153" s="56"/>
      <c r="W153" s="114" t="s">
        <v>1099</v>
      </c>
      <c r="X153" s="115"/>
      <c r="Y153" s="115"/>
      <c r="Z153" s="116"/>
      <c r="AA153" s="117" t="s">
        <v>1099</v>
      </c>
      <c r="AB153" s="116"/>
      <c r="AC153" s="56"/>
      <c r="AD153" s="116"/>
      <c r="AE153" s="44" t="s">
        <v>1099</v>
      </c>
      <c r="AF153" s="46" t="str">
        <f t="shared" si="6"/>
        <v/>
      </c>
      <c r="AG153" s="38" t="s">
        <v>1099</v>
      </c>
      <c r="AH153" s="47" t="str">
        <f t="shared" si="7"/>
        <v/>
      </c>
      <c r="AI153" s="32"/>
      <c r="AJ153" s="32"/>
      <c r="AK153" s="32"/>
      <c r="AL153" s="32"/>
      <c r="AM153" s="32" t="s">
        <v>1099</v>
      </c>
      <c r="AN153" s="32"/>
      <c r="AO153" s="32" t="s">
        <v>1099</v>
      </c>
      <c r="AP153" s="32"/>
      <c r="AQ153" s="32"/>
      <c r="AR153" s="32"/>
      <c r="AS153" s="32"/>
      <c r="AT153" s="32"/>
      <c r="AU153" s="32"/>
      <c r="AV153" s="38" t="s">
        <v>1099</v>
      </c>
      <c r="AW153" s="38" t="s">
        <v>1099</v>
      </c>
      <c r="AX153" s="42" t="s">
        <v>106</v>
      </c>
      <c r="AY153" s="62" t="str">
        <f>IF('Cálculo MP'!J154="","",'Cálculo MP'!J154)</f>
        <v/>
      </c>
      <c r="AZ153" s="62" t="str">
        <f>IF('Cálculo MP'!K154="","",'Cálculo MP'!K154)</f>
        <v/>
      </c>
      <c r="BA153" s="62" t="str">
        <f>IF('Cálculo MP'!L154="","",'Cálculo MP'!L154)</f>
        <v/>
      </c>
      <c r="BB153" s="62" t="str">
        <f>IF('Cálculo MP'!M154="","",'Cálculo MP'!M154)</f>
        <v/>
      </c>
      <c r="BC153" s="62" t="str">
        <f>IF('Cálculo MP'!N154="","",'Cálculo MP'!N154)</f>
        <v/>
      </c>
      <c r="BD153" s="62" t="str">
        <f>IF('Cálculo MP'!O154="","",'Cálculo MP'!O154)</f>
        <v/>
      </c>
      <c r="BE153" s="62" t="str">
        <f>IF('Cálculo MP'!P154="","",'Cálculo MP'!P154)</f>
        <v/>
      </c>
      <c r="BF153" s="62" t="str">
        <f>IF('Cálculo MP'!Q154="","",'Cálculo MP'!Q154)</f>
        <v/>
      </c>
      <c r="BG153" s="62" t="str">
        <f>IF('Cálculo MP'!R154="","",'Cálculo MP'!R154)</f>
        <v/>
      </c>
      <c r="BH153" s="32"/>
      <c r="BI153" s="32"/>
      <c r="BJ153" s="32"/>
      <c r="BK153" s="32"/>
      <c r="BL153" s="32"/>
      <c r="BM153" s="32"/>
      <c r="BN153" s="32"/>
      <c r="BO153" s="62" t="str">
        <f t="shared" si="8"/>
        <v/>
      </c>
    </row>
    <row r="154" spans="1:67" ht="19.5" customHeight="1" x14ac:dyDescent="0.2">
      <c r="A154" s="49" t="b">
        <v>0</v>
      </c>
      <c r="B154" s="50" t="b">
        <v>1</v>
      </c>
      <c r="C154" s="51" t="b">
        <v>0</v>
      </c>
      <c r="D154" s="51" t="b">
        <v>0</v>
      </c>
      <c r="E154" s="37"/>
      <c r="F154" s="39"/>
      <c r="G154" s="37" t="s">
        <v>1100</v>
      </c>
      <c r="H154" s="34"/>
      <c r="I154" s="34"/>
      <c r="J154" s="34" t="s">
        <v>1099</v>
      </c>
      <c r="K154" s="51" t="b">
        <v>1</v>
      </c>
      <c r="L154" s="40"/>
      <c r="M154" s="37" t="s">
        <v>1099</v>
      </c>
      <c r="N154" s="37" t="s">
        <v>1099</v>
      </c>
      <c r="O154" s="41" t="s">
        <v>1099</v>
      </c>
      <c r="P154" s="40" t="s">
        <v>1099</v>
      </c>
      <c r="Q154" s="37" t="s">
        <v>1099</v>
      </c>
      <c r="R154" s="37" t="s">
        <v>1099</v>
      </c>
      <c r="S154" s="113" t="s">
        <v>1099</v>
      </c>
      <c r="T154" s="56"/>
      <c r="U154" s="56"/>
      <c r="V154" s="56"/>
      <c r="W154" s="114" t="s">
        <v>1099</v>
      </c>
      <c r="X154" s="115"/>
      <c r="Y154" s="115"/>
      <c r="Z154" s="116"/>
      <c r="AA154" s="117" t="s">
        <v>1099</v>
      </c>
      <c r="AB154" s="116"/>
      <c r="AC154" s="56"/>
      <c r="AD154" s="116"/>
      <c r="AE154" s="44" t="s">
        <v>1099</v>
      </c>
      <c r="AF154" s="46" t="str">
        <f t="shared" si="6"/>
        <v/>
      </c>
      <c r="AG154" s="38" t="s">
        <v>1099</v>
      </c>
      <c r="AH154" s="47" t="str">
        <f t="shared" si="7"/>
        <v/>
      </c>
      <c r="AI154" s="32"/>
      <c r="AJ154" s="32"/>
      <c r="AK154" s="32"/>
      <c r="AL154" s="32"/>
      <c r="AM154" s="32" t="s">
        <v>1099</v>
      </c>
      <c r="AN154" s="32"/>
      <c r="AO154" s="32" t="s">
        <v>1099</v>
      </c>
      <c r="AP154" s="32"/>
      <c r="AQ154" s="32"/>
      <c r="AR154" s="32"/>
      <c r="AS154" s="32"/>
      <c r="AT154" s="32"/>
      <c r="AU154" s="32"/>
      <c r="AV154" s="38" t="s">
        <v>1099</v>
      </c>
      <c r="AW154" s="38" t="s">
        <v>1099</v>
      </c>
      <c r="AX154" s="42" t="s">
        <v>106</v>
      </c>
      <c r="AY154" s="62" t="str">
        <f>IF('Cálculo MP'!J155="","",'Cálculo MP'!J155)</f>
        <v/>
      </c>
      <c r="AZ154" s="62" t="str">
        <f>IF('Cálculo MP'!K155="","",'Cálculo MP'!K155)</f>
        <v/>
      </c>
      <c r="BA154" s="62" t="str">
        <f>IF('Cálculo MP'!L155="","",'Cálculo MP'!L155)</f>
        <v/>
      </c>
      <c r="BB154" s="62" t="str">
        <f>IF('Cálculo MP'!M155="","",'Cálculo MP'!M155)</f>
        <v/>
      </c>
      <c r="BC154" s="62" t="str">
        <f>IF('Cálculo MP'!N155="","",'Cálculo MP'!N155)</f>
        <v/>
      </c>
      <c r="BD154" s="62" t="str">
        <f>IF('Cálculo MP'!O155="","",'Cálculo MP'!O155)</f>
        <v/>
      </c>
      <c r="BE154" s="62" t="str">
        <f>IF('Cálculo MP'!P155="","",'Cálculo MP'!P155)</f>
        <v/>
      </c>
      <c r="BF154" s="62" t="str">
        <f>IF('Cálculo MP'!Q155="","",'Cálculo MP'!Q155)</f>
        <v/>
      </c>
      <c r="BG154" s="62" t="str">
        <f>IF('Cálculo MP'!R155="","",'Cálculo MP'!R155)</f>
        <v/>
      </c>
      <c r="BH154" s="32"/>
      <c r="BI154" s="32"/>
      <c r="BJ154" s="32"/>
      <c r="BK154" s="32"/>
      <c r="BL154" s="32"/>
      <c r="BM154" s="32"/>
      <c r="BN154" s="32"/>
      <c r="BO154" s="62" t="str">
        <f t="shared" si="8"/>
        <v/>
      </c>
    </row>
    <row r="155" spans="1:67" ht="19.5" customHeight="1" x14ac:dyDescent="0.2">
      <c r="A155" s="49" t="b">
        <v>0</v>
      </c>
      <c r="B155" s="50" t="b">
        <v>1</v>
      </c>
      <c r="C155" s="51" t="b">
        <v>0</v>
      </c>
      <c r="D155" s="51" t="b">
        <v>0</v>
      </c>
      <c r="E155" s="37"/>
      <c r="F155" s="39"/>
      <c r="G155" s="37" t="s">
        <v>1100</v>
      </c>
      <c r="H155" s="34"/>
      <c r="I155" s="34"/>
      <c r="J155" s="34" t="s">
        <v>1099</v>
      </c>
      <c r="K155" s="51" t="b">
        <v>1</v>
      </c>
      <c r="L155" s="40"/>
      <c r="M155" s="37" t="s">
        <v>1099</v>
      </c>
      <c r="N155" s="37" t="s">
        <v>1099</v>
      </c>
      <c r="O155" s="41" t="s">
        <v>1099</v>
      </c>
      <c r="P155" s="40" t="s">
        <v>1099</v>
      </c>
      <c r="Q155" s="37" t="s">
        <v>1099</v>
      </c>
      <c r="R155" s="37" t="s">
        <v>1099</v>
      </c>
      <c r="S155" s="113" t="s">
        <v>1099</v>
      </c>
      <c r="T155" s="56"/>
      <c r="U155" s="56"/>
      <c r="V155" s="56"/>
      <c r="W155" s="114" t="s">
        <v>1099</v>
      </c>
      <c r="X155" s="115"/>
      <c r="Y155" s="115"/>
      <c r="Z155" s="116"/>
      <c r="AA155" s="117" t="s">
        <v>1099</v>
      </c>
      <c r="AB155" s="116"/>
      <c r="AC155" s="56"/>
      <c r="AD155" s="116"/>
      <c r="AE155" s="44" t="s">
        <v>1099</v>
      </c>
      <c r="AF155" s="46" t="str">
        <f t="shared" si="6"/>
        <v/>
      </c>
      <c r="AG155" s="38" t="s">
        <v>1099</v>
      </c>
      <c r="AH155" s="47" t="str">
        <f t="shared" si="7"/>
        <v/>
      </c>
      <c r="AI155" s="32"/>
      <c r="AJ155" s="32"/>
      <c r="AK155" s="32"/>
      <c r="AL155" s="32"/>
      <c r="AM155" s="32" t="s">
        <v>1099</v>
      </c>
      <c r="AN155" s="32"/>
      <c r="AO155" s="32" t="s">
        <v>1099</v>
      </c>
      <c r="AP155" s="32"/>
      <c r="AQ155" s="32"/>
      <c r="AR155" s="32"/>
      <c r="AS155" s="32"/>
      <c r="AT155" s="32"/>
      <c r="AU155" s="32"/>
      <c r="AV155" s="38" t="s">
        <v>1099</v>
      </c>
      <c r="AW155" s="38" t="s">
        <v>1099</v>
      </c>
      <c r="AX155" s="42" t="s">
        <v>106</v>
      </c>
      <c r="AY155" s="62" t="str">
        <f>IF('Cálculo MP'!J156="","",'Cálculo MP'!J156)</f>
        <v/>
      </c>
      <c r="AZ155" s="62" t="str">
        <f>IF('Cálculo MP'!K156="","",'Cálculo MP'!K156)</f>
        <v/>
      </c>
      <c r="BA155" s="62" t="str">
        <f>IF('Cálculo MP'!L156="","",'Cálculo MP'!L156)</f>
        <v/>
      </c>
      <c r="BB155" s="62" t="str">
        <f>IF('Cálculo MP'!M156="","",'Cálculo MP'!M156)</f>
        <v/>
      </c>
      <c r="BC155" s="62" t="str">
        <f>IF('Cálculo MP'!N156="","",'Cálculo MP'!N156)</f>
        <v/>
      </c>
      <c r="BD155" s="62" t="str">
        <f>IF('Cálculo MP'!O156="","",'Cálculo MP'!O156)</f>
        <v/>
      </c>
      <c r="BE155" s="62" t="str">
        <f>IF('Cálculo MP'!P156="","",'Cálculo MP'!P156)</f>
        <v/>
      </c>
      <c r="BF155" s="62" t="str">
        <f>IF('Cálculo MP'!Q156="","",'Cálculo MP'!Q156)</f>
        <v/>
      </c>
      <c r="BG155" s="62" t="str">
        <f>IF('Cálculo MP'!R156="","",'Cálculo MP'!R156)</f>
        <v/>
      </c>
      <c r="BH155" s="32"/>
      <c r="BI155" s="32"/>
      <c r="BJ155" s="32"/>
      <c r="BK155" s="32"/>
      <c r="BL155" s="32"/>
      <c r="BM155" s="32"/>
      <c r="BN155" s="32"/>
      <c r="BO155" s="62" t="str">
        <f t="shared" si="8"/>
        <v/>
      </c>
    </row>
    <row r="156" spans="1:67" ht="19.5" customHeight="1" x14ac:dyDescent="0.2">
      <c r="A156" s="49" t="b">
        <v>0</v>
      </c>
      <c r="B156" s="50" t="b">
        <v>1</v>
      </c>
      <c r="C156" s="51" t="b">
        <v>0</v>
      </c>
      <c r="D156" s="51" t="b">
        <v>0</v>
      </c>
      <c r="E156" s="37"/>
      <c r="F156" s="39"/>
      <c r="G156" s="37" t="s">
        <v>1100</v>
      </c>
      <c r="H156" s="34"/>
      <c r="I156" s="34"/>
      <c r="J156" s="34" t="s">
        <v>1099</v>
      </c>
      <c r="K156" s="51" t="b">
        <v>1</v>
      </c>
      <c r="L156" s="40"/>
      <c r="M156" s="37" t="s">
        <v>1099</v>
      </c>
      <c r="N156" s="37" t="s">
        <v>1099</v>
      </c>
      <c r="O156" s="41" t="s">
        <v>1099</v>
      </c>
      <c r="P156" s="40" t="s">
        <v>1099</v>
      </c>
      <c r="Q156" s="37" t="s">
        <v>1099</v>
      </c>
      <c r="R156" s="37" t="s">
        <v>1099</v>
      </c>
      <c r="S156" s="113" t="s">
        <v>1099</v>
      </c>
      <c r="T156" s="56"/>
      <c r="U156" s="56"/>
      <c r="V156" s="56"/>
      <c r="W156" s="114" t="s">
        <v>1099</v>
      </c>
      <c r="X156" s="115"/>
      <c r="Y156" s="115"/>
      <c r="Z156" s="116"/>
      <c r="AA156" s="117" t="s">
        <v>1099</v>
      </c>
      <c r="AB156" s="116"/>
      <c r="AC156" s="56"/>
      <c r="AD156" s="116"/>
      <c r="AE156" s="44" t="s">
        <v>1099</v>
      </c>
      <c r="AF156" s="46" t="str">
        <f t="shared" si="6"/>
        <v/>
      </c>
      <c r="AG156" s="38" t="s">
        <v>1099</v>
      </c>
      <c r="AH156" s="47" t="str">
        <f t="shared" si="7"/>
        <v/>
      </c>
      <c r="AI156" s="32"/>
      <c r="AJ156" s="32"/>
      <c r="AK156" s="32"/>
      <c r="AL156" s="32"/>
      <c r="AM156" s="32" t="s">
        <v>1099</v>
      </c>
      <c r="AN156" s="32"/>
      <c r="AO156" s="32" t="s">
        <v>1099</v>
      </c>
      <c r="AP156" s="32"/>
      <c r="AQ156" s="32"/>
      <c r="AR156" s="32"/>
      <c r="AS156" s="32"/>
      <c r="AT156" s="32"/>
      <c r="AU156" s="32"/>
      <c r="AV156" s="38" t="s">
        <v>1099</v>
      </c>
      <c r="AW156" s="38" t="s">
        <v>1099</v>
      </c>
      <c r="AX156" s="42" t="s">
        <v>106</v>
      </c>
      <c r="AY156" s="62" t="str">
        <f>IF('Cálculo MP'!J157="","",'Cálculo MP'!J157)</f>
        <v/>
      </c>
      <c r="AZ156" s="62" t="str">
        <f>IF('Cálculo MP'!K157="","",'Cálculo MP'!K157)</f>
        <v/>
      </c>
      <c r="BA156" s="62" t="str">
        <f>IF('Cálculo MP'!L157="","",'Cálculo MP'!L157)</f>
        <v/>
      </c>
      <c r="BB156" s="62" t="str">
        <f>IF('Cálculo MP'!M157="","",'Cálculo MP'!M157)</f>
        <v/>
      </c>
      <c r="BC156" s="62" t="str">
        <f>IF('Cálculo MP'!N157="","",'Cálculo MP'!N157)</f>
        <v/>
      </c>
      <c r="BD156" s="62" t="str">
        <f>IF('Cálculo MP'!O157="","",'Cálculo MP'!O157)</f>
        <v/>
      </c>
      <c r="BE156" s="62" t="str">
        <f>IF('Cálculo MP'!P157="","",'Cálculo MP'!P157)</f>
        <v/>
      </c>
      <c r="BF156" s="62" t="str">
        <f>IF('Cálculo MP'!Q157="","",'Cálculo MP'!Q157)</f>
        <v/>
      </c>
      <c r="BG156" s="62" t="str">
        <f>IF('Cálculo MP'!R157="","",'Cálculo MP'!R157)</f>
        <v/>
      </c>
      <c r="BH156" s="32"/>
      <c r="BI156" s="32"/>
      <c r="BJ156" s="32"/>
      <c r="BK156" s="32"/>
      <c r="BL156" s="32"/>
      <c r="BM156" s="32"/>
      <c r="BN156" s="32"/>
      <c r="BO156" s="62" t="str">
        <f t="shared" si="8"/>
        <v/>
      </c>
    </row>
    <row r="157" spans="1:67" ht="19.5" customHeight="1" x14ac:dyDescent="0.2">
      <c r="A157" s="49" t="b">
        <v>0</v>
      </c>
      <c r="B157" s="50" t="b">
        <v>1</v>
      </c>
      <c r="C157" s="51" t="b">
        <v>0</v>
      </c>
      <c r="D157" s="51" t="b">
        <v>0</v>
      </c>
      <c r="E157" s="37"/>
      <c r="F157" s="39"/>
      <c r="G157" s="37" t="s">
        <v>1100</v>
      </c>
      <c r="H157" s="34"/>
      <c r="I157" s="34"/>
      <c r="J157" s="34" t="s">
        <v>1099</v>
      </c>
      <c r="K157" s="51" t="b">
        <v>1</v>
      </c>
      <c r="L157" s="40"/>
      <c r="M157" s="37" t="s">
        <v>1099</v>
      </c>
      <c r="N157" s="37" t="s">
        <v>1099</v>
      </c>
      <c r="O157" s="41" t="s">
        <v>1099</v>
      </c>
      <c r="P157" s="40" t="s">
        <v>1099</v>
      </c>
      <c r="Q157" s="37" t="s">
        <v>1099</v>
      </c>
      <c r="R157" s="37" t="s">
        <v>1099</v>
      </c>
      <c r="S157" s="113" t="s">
        <v>1099</v>
      </c>
      <c r="T157" s="56"/>
      <c r="U157" s="56"/>
      <c r="V157" s="56"/>
      <c r="W157" s="114" t="s">
        <v>1099</v>
      </c>
      <c r="X157" s="115"/>
      <c r="Y157" s="115"/>
      <c r="Z157" s="116"/>
      <c r="AA157" s="117" t="s">
        <v>1099</v>
      </c>
      <c r="AB157" s="116"/>
      <c r="AC157" s="56"/>
      <c r="AD157" s="116"/>
      <c r="AE157" s="44" t="s">
        <v>1099</v>
      </c>
      <c r="AF157" s="46" t="str">
        <f t="shared" si="6"/>
        <v/>
      </c>
      <c r="AG157" s="38" t="s">
        <v>1099</v>
      </c>
      <c r="AH157" s="47" t="str">
        <f t="shared" si="7"/>
        <v/>
      </c>
      <c r="AI157" s="32"/>
      <c r="AJ157" s="32"/>
      <c r="AK157" s="32"/>
      <c r="AL157" s="32"/>
      <c r="AM157" s="32" t="s">
        <v>1099</v>
      </c>
      <c r="AN157" s="32"/>
      <c r="AO157" s="32" t="s">
        <v>1099</v>
      </c>
      <c r="AP157" s="32"/>
      <c r="AQ157" s="32"/>
      <c r="AR157" s="32"/>
      <c r="AS157" s="32"/>
      <c r="AT157" s="32"/>
      <c r="AU157" s="32"/>
      <c r="AV157" s="38" t="s">
        <v>1099</v>
      </c>
      <c r="AW157" s="38" t="s">
        <v>1099</v>
      </c>
      <c r="AX157" s="42" t="s">
        <v>106</v>
      </c>
      <c r="AY157" s="62" t="str">
        <f>IF('Cálculo MP'!J158="","",'Cálculo MP'!J158)</f>
        <v/>
      </c>
      <c r="AZ157" s="62" t="str">
        <f>IF('Cálculo MP'!K158="","",'Cálculo MP'!K158)</f>
        <v/>
      </c>
      <c r="BA157" s="62" t="str">
        <f>IF('Cálculo MP'!L158="","",'Cálculo MP'!L158)</f>
        <v/>
      </c>
      <c r="BB157" s="62" t="str">
        <f>IF('Cálculo MP'!M158="","",'Cálculo MP'!M158)</f>
        <v/>
      </c>
      <c r="BC157" s="62" t="str">
        <f>IF('Cálculo MP'!N158="","",'Cálculo MP'!N158)</f>
        <v/>
      </c>
      <c r="BD157" s="62" t="str">
        <f>IF('Cálculo MP'!O158="","",'Cálculo MP'!O158)</f>
        <v/>
      </c>
      <c r="BE157" s="62" t="str">
        <f>IF('Cálculo MP'!P158="","",'Cálculo MP'!P158)</f>
        <v/>
      </c>
      <c r="BF157" s="62" t="str">
        <f>IF('Cálculo MP'!Q158="","",'Cálculo MP'!Q158)</f>
        <v/>
      </c>
      <c r="BG157" s="62" t="str">
        <f>IF('Cálculo MP'!R158="","",'Cálculo MP'!R158)</f>
        <v/>
      </c>
      <c r="BH157" s="32"/>
      <c r="BI157" s="32"/>
      <c r="BJ157" s="32"/>
      <c r="BK157" s="32"/>
      <c r="BL157" s="32"/>
      <c r="BM157" s="32"/>
      <c r="BN157" s="32"/>
      <c r="BO157" s="62" t="str">
        <f t="shared" si="8"/>
        <v/>
      </c>
    </row>
    <row r="158" spans="1:67" ht="19.5" customHeight="1" x14ac:dyDescent="0.2">
      <c r="A158" s="49" t="b">
        <v>0</v>
      </c>
      <c r="B158" s="50" t="b">
        <v>1</v>
      </c>
      <c r="C158" s="51" t="b">
        <v>0</v>
      </c>
      <c r="D158" s="51" t="b">
        <v>0</v>
      </c>
      <c r="E158" s="37"/>
      <c r="F158" s="39"/>
      <c r="G158" s="37" t="s">
        <v>1100</v>
      </c>
      <c r="H158" s="34"/>
      <c r="I158" s="34"/>
      <c r="J158" s="34" t="s">
        <v>1099</v>
      </c>
      <c r="K158" s="51" t="b">
        <v>1</v>
      </c>
      <c r="L158" s="40"/>
      <c r="M158" s="37" t="s">
        <v>1099</v>
      </c>
      <c r="N158" s="37" t="s">
        <v>1099</v>
      </c>
      <c r="O158" s="41" t="s">
        <v>1099</v>
      </c>
      <c r="P158" s="40" t="s">
        <v>1099</v>
      </c>
      <c r="Q158" s="37" t="s">
        <v>1099</v>
      </c>
      <c r="R158" s="37" t="s">
        <v>1099</v>
      </c>
      <c r="S158" s="113" t="s">
        <v>1099</v>
      </c>
      <c r="T158" s="56"/>
      <c r="U158" s="56"/>
      <c r="V158" s="56"/>
      <c r="W158" s="114" t="s">
        <v>1099</v>
      </c>
      <c r="X158" s="115"/>
      <c r="Y158" s="115"/>
      <c r="Z158" s="116"/>
      <c r="AA158" s="117" t="s">
        <v>1099</v>
      </c>
      <c r="AB158" s="116"/>
      <c r="AC158" s="56"/>
      <c r="AD158" s="116"/>
      <c r="AE158" s="44" t="s">
        <v>1099</v>
      </c>
      <c r="AF158" s="46" t="str">
        <f t="shared" si="6"/>
        <v/>
      </c>
      <c r="AG158" s="38" t="s">
        <v>1099</v>
      </c>
      <c r="AH158" s="47" t="str">
        <f t="shared" si="7"/>
        <v/>
      </c>
      <c r="AI158" s="32"/>
      <c r="AJ158" s="32"/>
      <c r="AK158" s="32"/>
      <c r="AL158" s="32"/>
      <c r="AM158" s="32" t="s">
        <v>1099</v>
      </c>
      <c r="AN158" s="32"/>
      <c r="AO158" s="32" t="s">
        <v>1099</v>
      </c>
      <c r="AP158" s="32"/>
      <c r="AQ158" s="32"/>
      <c r="AR158" s="32"/>
      <c r="AS158" s="32"/>
      <c r="AT158" s="32"/>
      <c r="AU158" s="32"/>
      <c r="AV158" s="38" t="s">
        <v>1099</v>
      </c>
      <c r="AW158" s="38" t="s">
        <v>1099</v>
      </c>
      <c r="AX158" s="42" t="s">
        <v>106</v>
      </c>
      <c r="AY158" s="62" t="str">
        <f>IF('Cálculo MP'!J159="","",'Cálculo MP'!J159)</f>
        <v/>
      </c>
      <c r="AZ158" s="62" t="str">
        <f>IF('Cálculo MP'!K159="","",'Cálculo MP'!K159)</f>
        <v/>
      </c>
      <c r="BA158" s="62" t="str">
        <f>IF('Cálculo MP'!L159="","",'Cálculo MP'!L159)</f>
        <v/>
      </c>
      <c r="BB158" s="62" t="str">
        <f>IF('Cálculo MP'!M159="","",'Cálculo MP'!M159)</f>
        <v/>
      </c>
      <c r="BC158" s="62" t="str">
        <f>IF('Cálculo MP'!N159="","",'Cálculo MP'!N159)</f>
        <v/>
      </c>
      <c r="BD158" s="62" t="str">
        <f>IF('Cálculo MP'!O159="","",'Cálculo MP'!O159)</f>
        <v/>
      </c>
      <c r="BE158" s="62" t="str">
        <f>IF('Cálculo MP'!P159="","",'Cálculo MP'!P159)</f>
        <v/>
      </c>
      <c r="BF158" s="62" t="str">
        <f>IF('Cálculo MP'!Q159="","",'Cálculo MP'!Q159)</f>
        <v/>
      </c>
      <c r="BG158" s="62" t="str">
        <f>IF('Cálculo MP'!R159="","",'Cálculo MP'!R159)</f>
        <v/>
      </c>
      <c r="BH158" s="32"/>
      <c r="BI158" s="32"/>
      <c r="BJ158" s="32"/>
      <c r="BK158" s="32"/>
      <c r="BL158" s="32"/>
      <c r="BM158" s="32"/>
      <c r="BN158" s="32"/>
      <c r="BO158" s="62" t="str">
        <f t="shared" si="8"/>
        <v/>
      </c>
    </row>
    <row r="159" spans="1:67" ht="19.5" customHeight="1" x14ac:dyDescent="0.2">
      <c r="A159" s="49" t="b">
        <v>0</v>
      </c>
      <c r="B159" s="50" t="b">
        <v>1</v>
      </c>
      <c r="C159" s="51" t="b">
        <v>0</v>
      </c>
      <c r="D159" s="51" t="b">
        <v>0</v>
      </c>
      <c r="E159" s="37"/>
      <c r="F159" s="39"/>
      <c r="G159" s="37" t="s">
        <v>1100</v>
      </c>
      <c r="H159" s="34"/>
      <c r="I159" s="34"/>
      <c r="J159" s="34" t="s">
        <v>1099</v>
      </c>
      <c r="K159" s="51" t="b">
        <v>1</v>
      </c>
      <c r="L159" s="40"/>
      <c r="M159" s="37" t="s">
        <v>1099</v>
      </c>
      <c r="N159" s="37" t="s">
        <v>1099</v>
      </c>
      <c r="O159" s="41" t="s">
        <v>1099</v>
      </c>
      <c r="P159" s="40" t="s">
        <v>1099</v>
      </c>
      <c r="Q159" s="37" t="s">
        <v>1099</v>
      </c>
      <c r="R159" s="37" t="s">
        <v>1099</v>
      </c>
      <c r="S159" s="113" t="s">
        <v>1099</v>
      </c>
      <c r="T159" s="56"/>
      <c r="U159" s="56"/>
      <c r="V159" s="56"/>
      <c r="W159" s="114" t="s">
        <v>1099</v>
      </c>
      <c r="X159" s="115"/>
      <c r="Y159" s="115"/>
      <c r="Z159" s="116"/>
      <c r="AA159" s="117" t="s">
        <v>1099</v>
      </c>
      <c r="AB159" s="116"/>
      <c r="AC159" s="56"/>
      <c r="AD159" s="116"/>
      <c r="AE159" s="44" t="s">
        <v>1099</v>
      </c>
      <c r="AF159" s="46" t="str">
        <f t="shared" si="6"/>
        <v/>
      </c>
      <c r="AG159" s="38" t="s">
        <v>1099</v>
      </c>
      <c r="AH159" s="47" t="str">
        <f t="shared" si="7"/>
        <v/>
      </c>
      <c r="AI159" s="32"/>
      <c r="AJ159" s="32"/>
      <c r="AK159" s="32"/>
      <c r="AL159" s="32"/>
      <c r="AM159" s="32" t="s">
        <v>1099</v>
      </c>
      <c r="AN159" s="32"/>
      <c r="AO159" s="32" t="s">
        <v>1099</v>
      </c>
      <c r="AP159" s="32"/>
      <c r="AQ159" s="32"/>
      <c r="AR159" s="32"/>
      <c r="AS159" s="32"/>
      <c r="AT159" s="32"/>
      <c r="AU159" s="32"/>
      <c r="AV159" s="38" t="s">
        <v>1099</v>
      </c>
      <c r="AW159" s="38" t="s">
        <v>1099</v>
      </c>
      <c r="AX159" s="42" t="s">
        <v>106</v>
      </c>
      <c r="AY159" s="62" t="str">
        <f>IF('Cálculo MP'!J160="","",'Cálculo MP'!J160)</f>
        <v/>
      </c>
      <c r="AZ159" s="62" t="str">
        <f>IF('Cálculo MP'!K160="","",'Cálculo MP'!K160)</f>
        <v/>
      </c>
      <c r="BA159" s="62" t="str">
        <f>IF('Cálculo MP'!L160="","",'Cálculo MP'!L160)</f>
        <v/>
      </c>
      <c r="BB159" s="62" t="str">
        <f>IF('Cálculo MP'!M160="","",'Cálculo MP'!M160)</f>
        <v/>
      </c>
      <c r="BC159" s="62" t="str">
        <f>IF('Cálculo MP'!N160="","",'Cálculo MP'!N160)</f>
        <v/>
      </c>
      <c r="BD159" s="62" t="str">
        <f>IF('Cálculo MP'!O160="","",'Cálculo MP'!O160)</f>
        <v/>
      </c>
      <c r="BE159" s="62" t="str">
        <f>IF('Cálculo MP'!P160="","",'Cálculo MP'!P160)</f>
        <v/>
      </c>
      <c r="BF159" s="62" t="str">
        <f>IF('Cálculo MP'!Q160="","",'Cálculo MP'!Q160)</f>
        <v/>
      </c>
      <c r="BG159" s="62" t="str">
        <f>IF('Cálculo MP'!R160="","",'Cálculo MP'!R160)</f>
        <v/>
      </c>
      <c r="BH159" s="32"/>
      <c r="BI159" s="32"/>
      <c r="BJ159" s="32"/>
      <c r="BK159" s="32"/>
      <c r="BL159" s="32"/>
      <c r="BM159" s="32"/>
      <c r="BN159" s="32"/>
      <c r="BO159" s="62" t="str">
        <f t="shared" si="8"/>
        <v/>
      </c>
    </row>
    <row r="160" spans="1:67" ht="19.5" customHeight="1" x14ac:dyDescent="0.2">
      <c r="A160" s="49" t="b">
        <v>0</v>
      </c>
      <c r="B160" s="50" t="b">
        <v>1</v>
      </c>
      <c r="C160" s="51" t="b">
        <v>0</v>
      </c>
      <c r="D160" s="51" t="b">
        <v>0</v>
      </c>
      <c r="E160" s="37"/>
      <c r="F160" s="39"/>
      <c r="G160" s="37" t="s">
        <v>1100</v>
      </c>
      <c r="H160" s="34"/>
      <c r="I160" s="34"/>
      <c r="J160" s="34" t="s">
        <v>1099</v>
      </c>
      <c r="K160" s="51" t="b">
        <v>1</v>
      </c>
      <c r="L160" s="40"/>
      <c r="M160" s="37" t="s">
        <v>1099</v>
      </c>
      <c r="N160" s="37" t="s">
        <v>1099</v>
      </c>
      <c r="O160" s="41" t="s">
        <v>1099</v>
      </c>
      <c r="P160" s="40" t="s">
        <v>1099</v>
      </c>
      <c r="Q160" s="37" t="s">
        <v>1099</v>
      </c>
      <c r="R160" s="37" t="s">
        <v>1099</v>
      </c>
      <c r="S160" s="113" t="s">
        <v>1099</v>
      </c>
      <c r="T160" s="56"/>
      <c r="U160" s="56"/>
      <c r="V160" s="56"/>
      <c r="W160" s="114" t="s">
        <v>1099</v>
      </c>
      <c r="X160" s="115"/>
      <c r="Y160" s="115"/>
      <c r="Z160" s="116"/>
      <c r="AA160" s="117" t="s">
        <v>1099</v>
      </c>
      <c r="AB160" s="116"/>
      <c r="AC160" s="56"/>
      <c r="AD160" s="116"/>
      <c r="AE160" s="44" t="s">
        <v>1099</v>
      </c>
      <c r="AF160" s="46" t="str">
        <f t="shared" si="6"/>
        <v/>
      </c>
      <c r="AG160" s="38" t="s">
        <v>1099</v>
      </c>
      <c r="AH160" s="47" t="str">
        <f t="shared" si="7"/>
        <v/>
      </c>
      <c r="AI160" s="32"/>
      <c r="AJ160" s="32"/>
      <c r="AK160" s="32"/>
      <c r="AL160" s="32"/>
      <c r="AM160" s="32" t="s">
        <v>1099</v>
      </c>
      <c r="AN160" s="32"/>
      <c r="AO160" s="32" t="s">
        <v>1099</v>
      </c>
      <c r="AP160" s="32"/>
      <c r="AQ160" s="32"/>
      <c r="AR160" s="32"/>
      <c r="AS160" s="32"/>
      <c r="AT160" s="32"/>
      <c r="AU160" s="32"/>
      <c r="AV160" s="38" t="s">
        <v>1099</v>
      </c>
      <c r="AW160" s="38" t="s">
        <v>1099</v>
      </c>
      <c r="AX160" s="42" t="s">
        <v>106</v>
      </c>
      <c r="AY160" s="62" t="str">
        <f>IF('Cálculo MP'!J161="","",'Cálculo MP'!J161)</f>
        <v/>
      </c>
      <c r="AZ160" s="62" t="str">
        <f>IF('Cálculo MP'!K161="","",'Cálculo MP'!K161)</f>
        <v/>
      </c>
      <c r="BA160" s="62" t="str">
        <f>IF('Cálculo MP'!L161="","",'Cálculo MP'!L161)</f>
        <v/>
      </c>
      <c r="BB160" s="62" t="str">
        <f>IF('Cálculo MP'!M161="","",'Cálculo MP'!M161)</f>
        <v/>
      </c>
      <c r="BC160" s="62" t="str">
        <f>IF('Cálculo MP'!N161="","",'Cálculo MP'!N161)</f>
        <v/>
      </c>
      <c r="BD160" s="62" t="str">
        <f>IF('Cálculo MP'!O161="","",'Cálculo MP'!O161)</f>
        <v/>
      </c>
      <c r="BE160" s="62" t="str">
        <f>IF('Cálculo MP'!P161="","",'Cálculo MP'!P161)</f>
        <v/>
      </c>
      <c r="BF160" s="62" t="str">
        <f>IF('Cálculo MP'!Q161="","",'Cálculo MP'!Q161)</f>
        <v/>
      </c>
      <c r="BG160" s="62" t="str">
        <f>IF('Cálculo MP'!R161="","",'Cálculo MP'!R161)</f>
        <v/>
      </c>
      <c r="BH160" s="32"/>
      <c r="BI160" s="32"/>
      <c r="BJ160" s="32"/>
      <c r="BK160" s="32"/>
      <c r="BL160" s="32"/>
      <c r="BM160" s="32"/>
      <c r="BN160" s="32"/>
      <c r="BO160" s="62" t="str">
        <f t="shared" si="8"/>
        <v/>
      </c>
    </row>
    <row r="161" spans="1:67" ht="19.5" customHeight="1" x14ac:dyDescent="0.2">
      <c r="A161" s="49" t="b">
        <v>0</v>
      </c>
      <c r="B161" s="50" t="b">
        <v>1</v>
      </c>
      <c r="C161" s="51" t="b">
        <v>0</v>
      </c>
      <c r="D161" s="51" t="b">
        <v>0</v>
      </c>
      <c r="E161" s="37"/>
      <c r="F161" s="39"/>
      <c r="G161" s="37" t="s">
        <v>1100</v>
      </c>
      <c r="H161" s="34"/>
      <c r="I161" s="34"/>
      <c r="J161" s="34" t="s">
        <v>1099</v>
      </c>
      <c r="K161" s="51" t="b">
        <v>1</v>
      </c>
      <c r="L161" s="40"/>
      <c r="M161" s="37" t="s">
        <v>1099</v>
      </c>
      <c r="N161" s="37" t="s">
        <v>1099</v>
      </c>
      <c r="O161" s="41" t="s">
        <v>1099</v>
      </c>
      <c r="P161" s="40" t="s">
        <v>1099</v>
      </c>
      <c r="Q161" s="37" t="s">
        <v>1099</v>
      </c>
      <c r="R161" s="37" t="s">
        <v>1099</v>
      </c>
      <c r="S161" s="113" t="s">
        <v>1099</v>
      </c>
      <c r="T161" s="56"/>
      <c r="U161" s="56"/>
      <c r="V161" s="56"/>
      <c r="W161" s="114" t="s">
        <v>1099</v>
      </c>
      <c r="X161" s="115"/>
      <c r="Y161" s="115"/>
      <c r="Z161" s="116"/>
      <c r="AA161" s="117" t="s">
        <v>1099</v>
      </c>
      <c r="AB161" s="116"/>
      <c r="AC161" s="56"/>
      <c r="AD161" s="116"/>
      <c r="AE161" s="44" t="s">
        <v>1099</v>
      </c>
      <c r="AF161" s="46" t="str">
        <f t="shared" si="6"/>
        <v/>
      </c>
      <c r="AG161" s="38" t="s">
        <v>1099</v>
      </c>
      <c r="AH161" s="47" t="str">
        <f t="shared" si="7"/>
        <v/>
      </c>
      <c r="AI161" s="32"/>
      <c r="AJ161" s="32"/>
      <c r="AK161" s="32"/>
      <c r="AL161" s="32"/>
      <c r="AM161" s="32" t="s">
        <v>1099</v>
      </c>
      <c r="AN161" s="32"/>
      <c r="AO161" s="32" t="s">
        <v>1099</v>
      </c>
      <c r="AP161" s="32"/>
      <c r="AQ161" s="32"/>
      <c r="AR161" s="32"/>
      <c r="AS161" s="32"/>
      <c r="AT161" s="32"/>
      <c r="AU161" s="32"/>
      <c r="AV161" s="38" t="s">
        <v>1099</v>
      </c>
      <c r="AW161" s="38" t="s">
        <v>1099</v>
      </c>
      <c r="AX161" s="42" t="s">
        <v>106</v>
      </c>
      <c r="AY161" s="62" t="str">
        <f>IF('Cálculo MP'!J162="","",'Cálculo MP'!J162)</f>
        <v/>
      </c>
      <c r="AZ161" s="62" t="str">
        <f>IF('Cálculo MP'!K162="","",'Cálculo MP'!K162)</f>
        <v/>
      </c>
      <c r="BA161" s="62" t="str">
        <f>IF('Cálculo MP'!L162="","",'Cálculo MP'!L162)</f>
        <v/>
      </c>
      <c r="BB161" s="62" t="str">
        <f>IF('Cálculo MP'!M162="","",'Cálculo MP'!M162)</f>
        <v/>
      </c>
      <c r="BC161" s="62" t="str">
        <f>IF('Cálculo MP'!N162="","",'Cálculo MP'!N162)</f>
        <v/>
      </c>
      <c r="BD161" s="62" t="str">
        <f>IF('Cálculo MP'!O162="","",'Cálculo MP'!O162)</f>
        <v/>
      </c>
      <c r="BE161" s="62" t="str">
        <f>IF('Cálculo MP'!P162="","",'Cálculo MP'!P162)</f>
        <v/>
      </c>
      <c r="BF161" s="62" t="str">
        <f>IF('Cálculo MP'!Q162="","",'Cálculo MP'!Q162)</f>
        <v/>
      </c>
      <c r="BG161" s="62" t="str">
        <f>IF('Cálculo MP'!R162="","",'Cálculo MP'!R162)</f>
        <v/>
      </c>
      <c r="BH161" s="32"/>
      <c r="BI161" s="32"/>
      <c r="BJ161" s="32"/>
      <c r="BK161" s="32"/>
      <c r="BL161" s="32"/>
      <c r="BM161" s="32"/>
      <c r="BN161" s="32"/>
      <c r="BO161" s="62" t="str">
        <f t="shared" si="8"/>
        <v/>
      </c>
    </row>
    <row r="162" spans="1:67" ht="19.5" customHeight="1" x14ac:dyDescent="0.2">
      <c r="A162" s="49" t="b">
        <v>0</v>
      </c>
      <c r="B162" s="50" t="b">
        <v>1</v>
      </c>
      <c r="C162" s="51" t="b">
        <v>0</v>
      </c>
      <c r="D162" s="51" t="b">
        <v>0</v>
      </c>
      <c r="E162" s="37"/>
      <c r="F162" s="39"/>
      <c r="G162" s="37" t="s">
        <v>1100</v>
      </c>
      <c r="H162" s="34"/>
      <c r="I162" s="34"/>
      <c r="J162" s="34" t="s">
        <v>1099</v>
      </c>
      <c r="K162" s="51" t="b">
        <v>1</v>
      </c>
      <c r="L162" s="40"/>
      <c r="M162" s="37" t="s">
        <v>1099</v>
      </c>
      <c r="N162" s="37" t="s">
        <v>1099</v>
      </c>
      <c r="O162" s="41" t="s">
        <v>1099</v>
      </c>
      <c r="P162" s="40" t="s">
        <v>1099</v>
      </c>
      <c r="Q162" s="37" t="s">
        <v>1099</v>
      </c>
      <c r="R162" s="37" t="s">
        <v>1099</v>
      </c>
      <c r="S162" s="113" t="s">
        <v>1099</v>
      </c>
      <c r="T162" s="56"/>
      <c r="U162" s="56"/>
      <c r="V162" s="56"/>
      <c r="W162" s="114" t="s">
        <v>1099</v>
      </c>
      <c r="X162" s="115"/>
      <c r="Y162" s="115"/>
      <c r="Z162" s="116"/>
      <c r="AA162" s="117" t="s">
        <v>1099</v>
      </c>
      <c r="AB162" s="116"/>
      <c r="AC162" s="56"/>
      <c r="AD162" s="116"/>
      <c r="AE162" s="44" t="s">
        <v>1099</v>
      </c>
      <c r="AF162" s="46" t="str">
        <f t="shared" si="6"/>
        <v/>
      </c>
      <c r="AG162" s="38" t="s">
        <v>1099</v>
      </c>
      <c r="AH162" s="47" t="str">
        <f t="shared" si="7"/>
        <v/>
      </c>
      <c r="AI162" s="32"/>
      <c r="AJ162" s="32"/>
      <c r="AK162" s="32"/>
      <c r="AL162" s="32"/>
      <c r="AM162" s="32" t="s">
        <v>1099</v>
      </c>
      <c r="AN162" s="32"/>
      <c r="AO162" s="32" t="s">
        <v>1099</v>
      </c>
      <c r="AP162" s="32"/>
      <c r="AQ162" s="32"/>
      <c r="AR162" s="32"/>
      <c r="AS162" s="32"/>
      <c r="AT162" s="32"/>
      <c r="AU162" s="32"/>
      <c r="AV162" s="38" t="s">
        <v>1099</v>
      </c>
      <c r="AW162" s="38" t="s">
        <v>1099</v>
      </c>
      <c r="AX162" s="42" t="s">
        <v>106</v>
      </c>
      <c r="AY162" s="62" t="str">
        <f>IF('Cálculo MP'!J163="","",'Cálculo MP'!J163)</f>
        <v/>
      </c>
      <c r="AZ162" s="62" t="str">
        <f>IF('Cálculo MP'!K163="","",'Cálculo MP'!K163)</f>
        <v/>
      </c>
      <c r="BA162" s="62" t="str">
        <f>IF('Cálculo MP'!L163="","",'Cálculo MP'!L163)</f>
        <v/>
      </c>
      <c r="BB162" s="62" t="str">
        <f>IF('Cálculo MP'!M163="","",'Cálculo MP'!M163)</f>
        <v/>
      </c>
      <c r="BC162" s="62" t="str">
        <f>IF('Cálculo MP'!N163="","",'Cálculo MP'!N163)</f>
        <v/>
      </c>
      <c r="BD162" s="62" t="str">
        <f>IF('Cálculo MP'!O163="","",'Cálculo MP'!O163)</f>
        <v/>
      </c>
      <c r="BE162" s="62" t="str">
        <f>IF('Cálculo MP'!P163="","",'Cálculo MP'!P163)</f>
        <v/>
      </c>
      <c r="BF162" s="62" t="str">
        <f>IF('Cálculo MP'!Q163="","",'Cálculo MP'!Q163)</f>
        <v/>
      </c>
      <c r="BG162" s="62" t="str">
        <f>IF('Cálculo MP'!R163="","",'Cálculo MP'!R163)</f>
        <v/>
      </c>
      <c r="BH162" s="32"/>
      <c r="BI162" s="32"/>
      <c r="BJ162" s="32"/>
      <c r="BK162" s="32"/>
      <c r="BL162" s="32"/>
      <c r="BM162" s="32"/>
      <c r="BN162" s="32"/>
      <c r="BO162" s="62" t="str">
        <f t="shared" si="8"/>
        <v/>
      </c>
    </row>
    <row r="163" spans="1:67" ht="19.5" customHeight="1" x14ac:dyDescent="0.2">
      <c r="A163" s="49" t="b">
        <v>0</v>
      </c>
      <c r="B163" s="50" t="b">
        <v>1</v>
      </c>
      <c r="C163" s="51" t="b">
        <v>0</v>
      </c>
      <c r="D163" s="51" t="b">
        <v>0</v>
      </c>
      <c r="E163" s="37"/>
      <c r="F163" s="39"/>
      <c r="G163" s="37" t="s">
        <v>1100</v>
      </c>
      <c r="H163" s="34"/>
      <c r="I163" s="34"/>
      <c r="J163" s="34" t="s">
        <v>1099</v>
      </c>
      <c r="K163" s="51" t="b">
        <v>1</v>
      </c>
      <c r="L163" s="40"/>
      <c r="M163" s="37" t="s">
        <v>1099</v>
      </c>
      <c r="N163" s="37" t="s">
        <v>1099</v>
      </c>
      <c r="O163" s="41" t="s">
        <v>1099</v>
      </c>
      <c r="P163" s="40" t="s">
        <v>1099</v>
      </c>
      <c r="Q163" s="37" t="s">
        <v>1099</v>
      </c>
      <c r="R163" s="37" t="s">
        <v>1099</v>
      </c>
      <c r="S163" s="113" t="s">
        <v>1099</v>
      </c>
      <c r="T163" s="56"/>
      <c r="U163" s="56"/>
      <c r="V163" s="56"/>
      <c r="W163" s="114" t="s">
        <v>1099</v>
      </c>
      <c r="X163" s="115"/>
      <c r="Y163" s="115"/>
      <c r="Z163" s="116"/>
      <c r="AA163" s="117" t="s">
        <v>1099</v>
      </c>
      <c r="AB163" s="116"/>
      <c r="AC163" s="56"/>
      <c r="AD163" s="116"/>
      <c r="AE163" s="44" t="s">
        <v>1099</v>
      </c>
      <c r="AF163" s="46" t="str">
        <f t="shared" si="6"/>
        <v/>
      </c>
      <c r="AG163" s="38" t="s">
        <v>1099</v>
      </c>
      <c r="AH163" s="47" t="str">
        <f t="shared" si="7"/>
        <v/>
      </c>
      <c r="AI163" s="32"/>
      <c r="AJ163" s="32"/>
      <c r="AK163" s="32"/>
      <c r="AL163" s="32"/>
      <c r="AM163" s="32" t="s">
        <v>1099</v>
      </c>
      <c r="AN163" s="32"/>
      <c r="AO163" s="32" t="s">
        <v>1099</v>
      </c>
      <c r="AP163" s="32"/>
      <c r="AQ163" s="32"/>
      <c r="AR163" s="32"/>
      <c r="AS163" s="32"/>
      <c r="AT163" s="32"/>
      <c r="AU163" s="32"/>
      <c r="AV163" s="38" t="s">
        <v>1099</v>
      </c>
      <c r="AW163" s="38" t="s">
        <v>1099</v>
      </c>
      <c r="AX163" s="42" t="s">
        <v>106</v>
      </c>
      <c r="AY163" s="62" t="str">
        <f>IF('Cálculo MP'!J164="","",'Cálculo MP'!J164)</f>
        <v/>
      </c>
      <c r="AZ163" s="62" t="str">
        <f>IF('Cálculo MP'!K164="","",'Cálculo MP'!K164)</f>
        <v/>
      </c>
      <c r="BA163" s="62" t="str">
        <f>IF('Cálculo MP'!L164="","",'Cálculo MP'!L164)</f>
        <v/>
      </c>
      <c r="BB163" s="62" t="str">
        <f>IF('Cálculo MP'!M164="","",'Cálculo MP'!M164)</f>
        <v/>
      </c>
      <c r="BC163" s="62" t="str">
        <f>IF('Cálculo MP'!N164="","",'Cálculo MP'!N164)</f>
        <v/>
      </c>
      <c r="BD163" s="62" t="str">
        <f>IF('Cálculo MP'!O164="","",'Cálculo MP'!O164)</f>
        <v/>
      </c>
      <c r="BE163" s="62" t="str">
        <f>IF('Cálculo MP'!P164="","",'Cálculo MP'!P164)</f>
        <v/>
      </c>
      <c r="BF163" s="62" t="str">
        <f>IF('Cálculo MP'!Q164="","",'Cálculo MP'!Q164)</f>
        <v/>
      </c>
      <c r="BG163" s="62" t="str">
        <f>IF('Cálculo MP'!R164="","",'Cálculo MP'!R164)</f>
        <v/>
      </c>
      <c r="BH163" s="32"/>
      <c r="BI163" s="32"/>
      <c r="BJ163" s="32"/>
      <c r="BK163" s="32"/>
      <c r="BL163" s="32"/>
      <c r="BM163" s="32"/>
      <c r="BN163" s="32"/>
      <c r="BO163" s="62" t="str">
        <f t="shared" si="8"/>
        <v/>
      </c>
    </row>
    <row r="164" spans="1:67" ht="19.5" customHeight="1" x14ac:dyDescent="0.2">
      <c r="A164" s="49" t="b">
        <v>0</v>
      </c>
      <c r="B164" s="50" t="b">
        <v>1</v>
      </c>
      <c r="C164" s="51" t="b">
        <v>0</v>
      </c>
      <c r="D164" s="51" t="b">
        <v>0</v>
      </c>
      <c r="E164" s="37"/>
      <c r="F164" s="39"/>
      <c r="G164" s="37" t="s">
        <v>1100</v>
      </c>
      <c r="H164" s="34"/>
      <c r="I164" s="34"/>
      <c r="J164" s="34" t="s">
        <v>1099</v>
      </c>
      <c r="K164" s="51" t="b">
        <v>1</v>
      </c>
      <c r="L164" s="40"/>
      <c r="M164" s="37" t="s">
        <v>1099</v>
      </c>
      <c r="N164" s="37" t="s">
        <v>1099</v>
      </c>
      <c r="O164" s="41" t="s">
        <v>1099</v>
      </c>
      <c r="P164" s="40" t="s">
        <v>1099</v>
      </c>
      <c r="Q164" s="37" t="s">
        <v>1099</v>
      </c>
      <c r="R164" s="37" t="s">
        <v>1099</v>
      </c>
      <c r="S164" s="113" t="s">
        <v>1099</v>
      </c>
      <c r="T164" s="56"/>
      <c r="U164" s="56"/>
      <c r="V164" s="56"/>
      <c r="W164" s="114" t="s">
        <v>1099</v>
      </c>
      <c r="X164" s="115"/>
      <c r="Y164" s="115"/>
      <c r="Z164" s="116"/>
      <c r="AA164" s="117" t="s">
        <v>1099</v>
      </c>
      <c r="AB164" s="116"/>
      <c r="AC164" s="56"/>
      <c r="AD164" s="116"/>
      <c r="AE164" s="44" t="s">
        <v>1099</v>
      </c>
      <c r="AF164" s="46" t="str">
        <f t="shared" si="6"/>
        <v/>
      </c>
      <c r="AG164" s="38" t="s">
        <v>1099</v>
      </c>
      <c r="AH164" s="47" t="str">
        <f t="shared" si="7"/>
        <v/>
      </c>
      <c r="AI164" s="32"/>
      <c r="AJ164" s="32"/>
      <c r="AK164" s="32"/>
      <c r="AL164" s="32"/>
      <c r="AM164" s="32" t="s">
        <v>1099</v>
      </c>
      <c r="AN164" s="32"/>
      <c r="AO164" s="32" t="s">
        <v>1099</v>
      </c>
      <c r="AP164" s="32"/>
      <c r="AQ164" s="32"/>
      <c r="AR164" s="32"/>
      <c r="AS164" s="32"/>
      <c r="AT164" s="32"/>
      <c r="AU164" s="32"/>
      <c r="AV164" s="38" t="s">
        <v>1099</v>
      </c>
      <c r="AW164" s="38" t="s">
        <v>1099</v>
      </c>
      <c r="AX164" s="42" t="s">
        <v>106</v>
      </c>
      <c r="AY164" s="62" t="str">
        <f>IF('Cálculo MP'!J165="","",'Cálculo MP'!J165)</f>
        <v/>
      </c>
      <c r="AZ164" s="62" t="str">
        <f>IF('Cálculo MP'!K165="","",'Cálculo MP'!K165)</f>
        <v/>
      </c>
      <c r="BA164" s="62" t="str">
        <f>IF('Cálculo MP'!L165="","",'Cálculo MP'!L165)</f>
        <v/>
      </c>
      <c r="BB164" s="62" t="str">
        <f>IF('Cálculo MP'!M165="","",'Cálculo MP'!M165)</f>
        <v/>
      </c>
      <c r="BC164" s="62" t="str">
        <f>IF('Cálculo MP'!N165="","",'Cálculo MP'!N165)</f>
        <v/>
      </c>
      <c r="BD164" s="62" t="str">
        <f>IF('Cálculo MP'!O165="","",'Cálculo MP'!O165)</f>
        <v/>
      </c>
      <c r="BE164" s="62" t="str">
        <f>IF('Cálculo MP'!P165="","",'Cálculo MP'!P165)</f>
        <v/>
      </c>
      <c r="BF164" s="62" t="str">
        <f>IF('Cálculo MP'!Q165="","",'Cálculo MP'!Q165)</f>
        <v/>
      </c>
      <c r="BG164" s="62" t="str">
        <f>IF('Cálculo MP'!R165="","",'Cálculo MP'!R165)</f>
        <v/>
      </c>
      <c r="BH164" s="32"/>
      <c r="BI164" s="32"/>
      <c r="BJ164" s="32"/>
      <c r="BK164" s="32"/>
      <c r="BL164" s="32"/>
      <c r="BM164" s="32"/>
      <c r="BN164" s="32"/>
      <c r="BO164" s="62" t="str">
        <f t="shared" si="8"/>
        <v/>
      </c>
    </row>
    <row r="165" spans="1:67" ht="19.5" customHeight="1" x14ac:dyDescent="0.2">
      <c r="A165" s="49" t="b">
        <v>0</v>
      </c>
      <c r="B165" s="50" t="b">
        <v>1</v>
      </c>
      <c r="C165" s="51" t="b">
        <v>0</v>
      </c>
      <c r="D165" s="51" t="b">
        <v>0</v>
      </c>
      <c r="E165" s="37"/>
      <c r="F165" s="39"/>
      <c r="G165" s="37" t="s">
        <v>1100</v>
      </c>
      <c r="H165" s="34"/>
      <c r="I165" s="34"/>
      <c r="J165" s="34" t="s">
        <v>1099</v>
      </c>
      <c r="K165" s="51" t="b">
        <v>1</v>
      </c>
      <c r="L165" s="40"/>
      <c r="M165" s="37" t="s">
        <v>1099</v>
      </c>
      <c r="N165" s="37" t="s">
        <v>1099</v>
      </c>
      <c r="O165" s="41" t="s">
        <v>1099</v>
      </c>
      <c r="P165" s="40" t="s">
        <v>1099</v>
      </c>
      <c r="Q165" s="37" t="s">
        <v>1099</v>
      </c>
      <c r="R165" s="37" t="s">
        <v>1099</v>
      </c>
      <c r="S165" s="113" t="s">
        <v>1099</v>
      </c>
      <c r="T165" s="56"/>
      <c r="U165" s="56"/>
      <c r="V165" s="56"/>
      <c r="W165" s="114" t="s">
        <v>1099</v>
      </c>
      <c r="X165" s="115"/>
      <c r="Y165" s="115"/>
      <c r="Z165" s="116"/>
      <c r="AA165" s="117" t="s">
        <v>1099</v>
      </c>
      <c r="AB165" s="116"/>
      <c r="AC165" s="56"/>
      <c r="AD165" s="116"/>
      <c r="AE165" s="44" t="s">
        <v>1099</v>
      </c>
      <c r="AF165" s="46" t="str">
        <f t="shared" si="6"/>
        <v/>
      </c>
      <c r="AG165" s="38" t="s">
        <v>1099</v>
      </c>
      <c r="AH165" s="47" t="str">
        <f t="shared" si="7"/>
        <v/>
      </c>
      <c r="AI165" s="32"/>
      <c r="AJ165" s="32"/>
      <c r="AK165" s="32"/>
      <c r="AL165" s="32"/>
      <c r="AM165" s="32" t="s">
        <v>1099</v>
      </c>
      <c r="AN165" s="32"/>
      <c r="AO165" s="32" t="s">
        <v>1099</v>
      </c>
      <c r="AP165" s="32"/>
      <c r="AQ165" s="32"/>
      <c r="AR165" s="32"/>
      <c r="AS165" s="32"/>
      <c r="AT165" s="32"/>
      <c r="AU165" s="32"/>
      <c r="AV165" s="38" t="s">
        <v>1099</v>
      </c>
      <c r="AW165" s="38" t="s">
        <v>1099</v>
      </c>
      <c r="AX165" s="42" t="s">
        <v>106</v>
      </c>
      <c r="AY165" s="62" t="str">
        <f>IF('Cálculo MP'!J166="","",'Cálculo MP'!J166)</f>
        <v/>
      </c>
      <c r="AZ165" s="62" t="str">
        <f>IF('Cálculo MP'!K166="","",'Cálculo MP'!K166)</f>
        <v/>
      </c>
      <c r="BA165" s="62" t="str">
        <f>IF('Cálculo MP'!L166="","",'Cálculo MP'!L166)</f>
        <v/>
      </c>
      <c r="BB165" s="62" t="str">
        <f>IF('Cálculo MP'!M166="","",'Cálculo MP'!M166)</f>
        <v/>
      </c>
      <c r="BC165" s="62" t="str">
        <f>IF('Cálculo MP'!N166="","",'Cálculo MP'!N166)</f>
        <v/>
      </c>
      <c r="BD165" s="62" t="str">
        <f>IF('Cálculo MP'!O166="","",'Cálculo MP'!O166)</f>
        <v/>
      </c>
      <c r="BE165" s="62" t="str">
        <f>IF('Cálculo MP'!P166="","",'Cálculo MP'!P166)</f>
        <v/>
      </c>
      <c r="BF165" s="62" t="str">
        <f>IF('Cálculo MP'!Q166="","",'Cálculo MP'!Q166)</f>
        <v/>
      </c>
      <c r="BG165" s="62" t="str">
        <f>IF('Cálculo MP'!R166="","",'Cálculo MP'!R166)</f>
        <v/>
      </c>
      <c r="BH165" s="32"/>
      <c r="BI165" s="32"/>
      <c r="BJ165" s="32"/>
      <c r="BK165" s="32"/>
      <c r="BL165" s="32"/>
      <c r="BM165" s="32"/>
      <c r="BN165" s="32"/>
      <c r="BO165" s="62" t="str">
        <f t="shared" si="8"/>
        <v/>
      </c>
    </row>
    <row r="166" spans="1:67" ht="19.5" customHeight="1" x14ac:dyDescent="0.2">
      <c r="A166" s="49" t="b">
        <v>0</v>
      </c>
      <c r="B166" s="50" t="b">
        <v>1</v>
      </c>
      <c r="C166" s="51" t="b">
        <v>0</v>
      </c>
      <c r="D166" s="51" t="b">
        <v>0</v>
      </c>
      <c r="E166" s="37"/>
      <c r="F166" s="39"/>
      <c r="G166" s="37" t="s">
        <v>1100</v>
      </c>
      <c r="H166" s="34"/>
      <c r="I166" s="34"/>
      <c r="J166" s="34" t="s">
        <v>1099</v>
      </c>
      <c r="K166" s="51" t="b">
        <v>1</v>
      </c>
      <c r="L166" s="40"/>
      <c r="M166" s="37" t="s">
        <v>1099</v>
      </c>
      <c r="N166" s="37" t="s">
        <v>1099</v>
      </c>
      <c r="O166" s="41" t="s">
        <v>1099</v>
      </c>
      <c r="P166" s="40" t="s">
        <v>1099</v>
      </c>
      <c r="Q166" s="37" t="s">
        <v>1099</v>
      </c>
      <c r="R166" s="37" t="s">
        <v>1099</v>
      </c>
      <c r="S166" s="113" t="s">
        <v>1099</v>
      </c>
      <c r="T166" s="56"/>
      <c r="U166" s="56"/>
      <c r="V166" s="56"/>
      <c r="W166" s="114" t="s">
        <v>1099</v>
      </c>
      <c r="X166" s="115"/>
      <c r="Y166" s="115"/>
      <c r="Z166" s="116"/>
      <c r="AA166" s="117" t="s">
        <v>1099</v>
      </c>
      <c r="AB166" s="116"/>
      <c r="AC166" s="56"/>
      <c r="AD166" s="116"/>
      <c r="AE166" s="44" t="s">
        <v>1099</v>
      </c>
      <c r="AF166" s="46" t="str">
        <f t="shared" si="6"/>
        <v/>
      </c>
      <c r="AG166" s="38" t="s">
        <v>1099</v>
      </c>
      <c r="AH166" s="47" t="str">
        <f t="shared" si="7"/>
        <v/>
      </c>
      <c r="AI166" s="32"/>
      <c r="AJ166" s="32"/>
      <c r="AK166" s="32"/>
      <c r="AL166" s="32"/>
      <c r="AM166" s="32" t="s">
        <v>1099</v>
      </c>
      <c r="AN166" s="32"/>
      <c r="AO166" s="32" t="s">
        <v>1099</v>
      </c>
      <c r="AP166" s="32"/>
      <c r="AQ166" s="32"/>
      <c r="AR166" s="32"/>
      <c r="AS166" s="32"/>
      <c r="AT166" s="32"/>
      <c r="AU166" s="32"/>
      <c r="AV166" s="38" t="s">
        <v>1099</v>
      </c>
      <c r="AW166" s="38" t="s">
        <v>1099</v>
      </c>
      <c r="AX166" s="42" t="s">
        <v>106</v>
      </c>
      <c r="AY166" s="62" t="str">
        <f>IF('Cálculo MP'!J167="","",'Cálculo MP'!J167)</f>
        <v/>
      </c>
      <c r="AZ166" s="62" t="str">
        <f>IF('Cálculo MP'!K167="","",'Cálculo MP'!K167)</f>
        <v/>
      </c>
      <c r="BA166" s="62" t="str">
        <f>IF('Cálculo MP'!L167="","",'Cálculo MP'!L167)</f>
        <v/>
      </c>
      <c r="BB166" s="62" t="str">
        <f>IF('Cálculo MP'!M167="","",'Cálculo MP'!M167)</f>
        <v/>
      </c>
      <c r="BC166" s="62" t="str">
        <f>IF('Cálculo MP'!N167="","",'Cálculo MP'!N167)</f>
        <v/>
      </c>
      <c r="BD166" s="62" t="str">
        <f>IF('Cálculo MP'!O167="","",'Cálculo MP'!O167)</f>
        <v/>
      </c>
      <c r="BE166" s="62" t="str">
        <f>IF('Cálculo MP'!P167="","",'Cálculo MP'!P167)</f>
        <v/>
      </c>
      <c r="BF166" s="62" t="str">
        <f>IF('Cálculo MP'!Q167="","",'Cálculo MP'!Q167)</f>
        <v/>
      </c>
      <c r="BG166" s="62" t="str">
        <f>IF('Cálculo MP'!R167="","",'Cálculo MP'!R167)</f>
        <v/>
      </c>
      <c r="BH166" s="32"/>
      <c r="BI166" s="32"/>
      <c r="BJ166" s="32"/>
      <c r="BK166" s="32"/>
      <c r="BL166" s="32"/>
      <c r="BM166" s="32"/>
      <c r="BN166" s="32"/>
      <c r="BO166" s="62" t="str">
        <f t="shared" si="8"/>
        <v/>
      </c>
    </row>
    <row r="167" spans="1:67" ht="19.5" customHeight="1" x14ac:dyDescent="0.2">
      <c r="A167" s="49" t="b">
        <v>0</v>
      </c>
      <c r="B167" s="50" t="b">
        <v>1</v>
      </c>
      <c r="C167" s="51" t="b">
        <v>0</v>
      </c>
      <c r="D167" s="51" t="b">
        <v>0</v>
      </c>
      <c r="E167" s="37"/>
      <c r="F167" s="39"/>
      <c r="G167" s="37" t="s">
        <v>1100</v>
      </c>
      <c r="H167" s="34"/>
      <c r="I167" s="34"/>
      <c r="J167" s="34" t="s">
        <v>1099</v>
      </c>
      <c r="K167" s="51" t="b">
        <v>1</v>
      </c>
      <c r="L167" s="40"/>
      <c r="M167" s="37" t="s">
        <v>1099</v>
      </c>
      <c r="N167" s="37" t="s">
        <v>1099</v>
      </c>
      <c r="O167" s="41" t="s">
        <v>1099</v>
      </c>
      <c r="P167" s="40" t="s">
        <v>1099</v>
      </c>
      <c r="Q167" s="37" t="s">
        <v>1099</v>
      </c>
      <c r="R167" s="37" t="s">
        <v>1099</v>
      </c>
      <c r="S167" s="113" t="s">
        <v>1099</v>
      </c>
      <c r="T167" s="56"/>
      <c r="U167" s="56"/>
      <c r="V167" s="56"/>
      <c r="W167" s="114" t="s">
        <v>1099</v>
      </c>
      <c r="X167" s="115"/>
      <c r="Y167" s="115"/>
      <c r="Z167" s="116"/>
      <c r="AA167" s="117" t="s">
        <v>1099</v>
      </c>
      <c r="AB167" s="116"/>
      <c r="AC167" s="56"/>
      <c r="AD167" s="116"/>
      <c r="AE167" s="44" t="s">
        <v>1099</v>
      </c>
      <c r="AF167" s="46" t="str">
        <f t="shared" si="6"/>
        <v/>
      </c>
      <c r="AG167" s="38" t="s">
        <v>1099</v>
      </c>
      <c r="AH167" s="47" t="str">
        <f t="shared" si="7"/>
        <v/>
      </c>
      <c r="AI167" s="32"/>
      <c r="AJ167" s="32"/>
      <c r="AK167" s="32"/>
      <c r="AL167" s="32"/>
      <c r="AM167" s="32" t="s">
        <v>1099</v>
      </c>
      <c r="AN167" s="32"/>
      <c r="AO167" s="32" t="s">
        <v>1099</v>
      </c>
      <c r="AP167" s="32"/>
      <c r="AQ167" s="32"/>
      <c r="AR167" s="32"/>
      <c r="AS167" s="32"/>
      <c r="AT167" s="32"/>
      <c r="AU167" s="32"/>
      <c r="AV167" s="38" t="s">
        <v>1099</v>
      </c>
      <c r="AW167" s="38" t="s">
        <v>1099</v>
      </c>
      <c r="AX167" s="42" t="s">
        <v>106</v>
      </c>
      <c r="AY167" s="62" t="str">
        <f>IF('Cálculo MP'!J168="","",'Cálculo MP'!J168)</f>
        <v/>
      </c>
      <c r="AZ167" s="62" t="str">
        <f>IF('Cálculo MP'!K168="","",'Cálculo MP'!K168)</f>
        <v/>
      </c>
      <c r="BA167" s="62" t="str">
        <f>IF('Cálculo MP'!L168="","",'Cálculo MP'!L168)</f>
        <v/>
      </c>
      <c r="BB167" s="62" t="str">
        <f>IF('Cálculo MP'!M168="","",'Cálculo MP'!M168)</f>
        <v/>
      </c>
      <c r="BC167" s="62" t="str">
        <f>IF('Cálculo MP'!N168="","",'Cálculo MP'!N168)</f>
        <v/>
      </c>
      <c r="BD167" s="62" t="str">
        <f>IF('Cálculo MP'!O168="","",'Cálculo MP'!O168)</f>
        <v/>
      </c>
      <c r="BE167" s="62" t="str">
        <f>IF('Cálculo MP'!P168="","",'Cálculo MP'!P168)</f>
        <v/>
      </c>
      <c r="BF167" s="62" t="str">
        <f>IF('Cálculo MP'!Q168="","",'Cálculo MP'!Q168)</f>
        <v/>
      </c>
      <c r="BG167" s="62" t="str">
        <f>IF('Cálculo MP'!R168="","",'Cálculo MP'!R168)</f>
        <v/>
      </c>
      <c r="BH167" s="32"/>
      <c r="BI167" s="32"/>
      <c r="BJ167" s="32"/>
      <c r="BK167" s="32"/>
      <c r="BL167" s="32"/>
      <c r="BM167" s="32"/>
      <c r="BN167" s="32"/>
      <c r="BO167" s="62" t="str">
        <f t="shared" si="8"/>
        <v/>
      </c>
    </row>
    <row r="168" spans="1:67" ht="19.5" customHeight="1" x14ac:dyDescent="0.2">
      <c r="A168" s="49" t="b">
        <v>0</v>
      </c>
      <c r="B168" s="50" t="b">
        <v>1</v>
      </c>
      <c r="C168" s="51" t="b">
        <v>0</v>
      </c>
      <c r="D168" s="51" t="b">
        <v>0</v>
      </c>
      <c r="E168" s="37"/>
      <c r="F168" s="39"/>
      <c r="G168" s="37" t="s">
        <v>1100</v>
      </c>
      <c r="H168" s="34"/>
      <c r="I168" s="34"/>
      <c r="J168" s="34" t="s">
        <v>1099</v>
      </c>
      <c r="K168" s="51" t="b">
        <v>1</v>
      </c>
      <c r="L168" s="40"/>
      <c r="M168" s="37" t="s">
        <v>1099</v>
      </c>
      <c r="N168" s="37" t="s">
        <v>1099</v>
      </c>
      <c r="O168" s="41" t="s">
        <v>1099</v>
      </c>
      <c r="P168" s="40" t="s">
        <v>1099</v>
      </c>
      <c r="Q168" s="37" t="s">
        <v>1099</v>
      </c>
      <c r="R168" s="37" t="s">
        <v>1099</v>
      </c>
      <c r="S168" s="113" t="s">
        <v>1099</v>
      </c>
      <c r="T168" s="56"/>
      <c r="U168" s="56"/>
      <c r="V168" s="56"/>
      <c r="W168" s="114" t="s">
        <v>1099</v>
      </c>
      <c r="X168" s="115"/>
      <c r="Y168" s="115"/>
      <c r="Z168" s="116"/>
      <c r="AA168" s="117" t="s">
        <v>1099</v>
      </c>
      <c r="AB168" s="116"/>
      <c r="AC168" s="56"/>
      <c r="AD168" s="116"/>
      <c r="AE168" s="44" t="s">
        <v>1099</v>
      </c>
      <c r="AF168" s="46" t="str">
        <f t="shared" si="6"/>
        <v/>
      </c>
      <c r="AG168" s="38" t="s">
        <v>1099</v>
      </c>
      <c r="AH168" s="47" t="str">
        <f t="shared" si="7"/>
        <v/>
      </c>
      <c r="AI168" s="32"/>
      <c r="AJ168" s="32"/>
      <c r="AK168" s="32"/>
      <c r="AL168" s="32"/>
      <c r="AM168" s="32" t="s">
        <v>1099</v>
      </c>
      <c r="AN168" s="32"/>
      <c r="AO168" s="32" t="s">
        <v>1099</v>
      </c>
      <c r="AP168" s="32"/>
      <c r="AQ168" s="32"/>
      <c r="AR168" s="32"/>
      <c r="AS168" s="32"/>
      <c r="AT168" s="32"/>
      <c r="AU168" s="32"/>
      <c r="AV168" s="38" t="s">
        <v>1099</v>
      </c>
      <c r="AW168" s="38" t="s">
        <v>1099</v>
      </c>
      <c r="AX168" s="42" t="s">
        <v>106</v>
      </c>
      <c r="AY168" s="62" t="str">
        <f>IF('Cálculo MP'!J169="","",'Cálculo MP'!J169)</f>
        <v/>
      </c>
      <c r="AZ168" s="62" t="str">
        <f>IF('Cálculo MP'!K169="","",'Cálculo MP'!K169)</f>
        <v/>
      </c>
      <c r="BA168" s="62" t="str">
        <f>IF('Cálculo MP'!L169="","",'Cálculo MP'!L169)</f>
        <v/>
      </c>
      <c r="BB168" s="62" t="str">
        <f>IF('Cálculo MP'!M169="","",'Cálculo MP'!M169)</f>
        <v/>
      </c>
      <c r="BC168" s="62" t="str">
        <f>IF('Cálculo MP'!N169="","",'Cálculo MP'!N169)</f>
        <v/>
      </c>
      <c r="BD168" s="62" t="str">
        <f>IF('Cálculo MP'!O169="","",'Cálculo MP'!O169)</f>
        <v/>
      </c>
      <c r="BE168" s="62" t="str">
        <f>IF('Cálculo MP'!P169="","",'Cálculo MP'!P169)</f>
        <v/>
      </c>
      <c r="BF168" s="62" t="str">
        <f>IF('Cálculo MP'!Q169="","",'Cálculo MP'!Q169)</f>
        <v/>
      </c>
      <c r="BG168" s="62" t="str">
        <f>IF('Cálculo MP'!R169="","",'Cálculo MP'!R169)</f>
        <v/>
      </c>
      <c r="BH168" s="32"/>
      <c r="BI168" s="32"/>
      <c r="BJ168" s="32"/>
      <c r="BK168" s="32"/>
      <c r="BL168" s="32"/>
      <c r="BM168" s="32"/>
      <c r="BN168" s="32"/>
      <c r="BO168" s="62" t="str">
        <f t="shared" si="8"/>
        <v/>
      </c>
    </row>
    <row r="169" spans="1:67" ht="19.5" customHeight="1" x14ac:dyDescent="0.2">
      <c r="A169" s="49" t="b">
        <v>0</v>
      </c>
      <c r="B169" s="50" t="b">
        <v>1</v>
      </c>
      <c r="C169" s="51" t="b">
        <v>0</v>
      </c>
      <c r="D169" s="51" t="b">
        <v>0</v>
      </c>
      <c r="E169" s="37"/>
      <c r="F169" s="39"/>
      <c r="G169" s="37" t="s">
        <v>1100</v>
      </c>
      <c r="H169" s="34"/>
      <c r="I169" s="34"/>
      <c r="J169" s="34" t="s">
        <v>1099</v>
      </c>
      <c r="K169" s="51" t="b">
        <v>1</v>
      </c>
      <c r="L169" s="40"/>
      <c r="M169" s="37" t="s">
        <v>1099</v>
      </c>
      <c r="N169" s="37" t="s">
        <v>1099</v>
      </c>
      <c r="O169" s="41" t="s">
        <v>1099</v>
      </c>
      <c r="P169" s="40" t="s">
        <v>1099</v>
      </c>
      <c r="Q169" s="37" t="s">
        <v>1099</v>
      </c>
      <c r="R169" s="37" t="s">
        <v>1099</v>
      </c>
      <c r="S169" s="113" t="s">
        <v>1099</v>
      </c>
      <c r="T169" s="56"/>
      <c r="U169" s="56"/>
      <c r="V169" s="56"/>
      <c r="W169" s="114" t="s">
        <v>1099</v>
      </c>
      <c r="X169" s="115"/>
      <c r="Y169" s="115"/>
      <c r="Z169" s="116"/>
      <c r="AA169" s="117" t="s">
        <v>1099</v>
      </c>
      <c r="AB169" s="116"/>
      <c r="AC169" s="56"/>
      <c r="AD169" s="116"/>
      <c r="AE169" s="44" t="s">
        <v>1099</v>
      </c>
      <c r="AF169" s="46" t="str">
        <f t="shared" si="6"/>
        <v/>
      </c>
      <c r="AG169" s="38" t="s">
        <v>1099</v>
      </c>
      <c r="AH169" s="47" t="str">
        <f t="shared" si="7"/>
        <v/>
      </c>
      <c r="AI169" s="32"/>
      <c r="AJ169" s="32"/>
      <c r="AK169" s="32"/>
      <c r="AL169" s="32"/>
      <c r="AM169" s="32" t="s">
        <v>1099</v>
      </c>
      <c r="AN169" s="32"/>
      <c r="AO169" s="32" t="s">
        <v>1099</v>
      </c>
      <c r="AP169" s="32"/>
      <c r="AQ169" s="32"/>
      <c r="AR169" s="32"/>
      <c r="AS169" s="32"/>
      <c r="AT169" s="32"/>
      <c r="AU169" s="32"/>
      <c r="AV169" s="38" t="s">
        <v>1099</v>
      </c>
      <c r="AW169" s="38" t="s">
        <v>1099</v>
      </c>
      <c r="AX169" s="42" t="s">
        <v>106</v>
      </c>
      <c r="AY169" s="62" t="str">
        <f>IF('Cálculo MP'!J170="","",'Cálculo MP'!J170)</f>
        <v/>
      </c>
      <c r="AZ169" s="62" t="str">
        <f>IF('Cálculo MP'!K170="","",'Cálculo MP'!K170)</f>
        <v/>
      </c>
      <c r="BA169" s="62" t="str">
        <f>IF('Cálculo MP'!L170="","",'Cálculo MP'!L170)</f>
        <v/>
      </c>
      <c r="BB169" s="62" t="str">
        <f>IF('Cálculo MP'!M170="","",'Cálculo MP'!M170)</f>
        <v/>
      </c>
      <c r="BC169" s="62" t="str">
        <f>IF('Cálculo MP'!N170="","",'Cálculo MP'!N170)</f>
        <v/>
      </c>
      <c r="BD169" s="62" t="str">
        <f>IF('Cálculo MP'!O170="","",'Cálculo MP'!O170)</f>
        <v/>
      </c>
      <c r="BE169" s="62" t="str">
        <f>IF('Cálculo MP'!P170="","",'Cálculo MP'!P170)</f>
        <v/>
      </c>
      <c r="BF169" s="62" t="str">
        <f>IF('Cálculo MP'!Q170="","",'Cálculo MP'!Q170)</f>
        <v/>
      </c>
      <c r="BG169" s="62" t="str">
        <f>IF('Cálculo MP'!R170="","",'Cálculo MP'!R170)</f>
        <v/>
      </c>
      <c r="BH169" s="32"/>
      <c r="BI169" s="32"/>
      <c r="BJ169" s="32"/>
      <c r="BK169" s="32"/>
      <c r="BL169" s="32"/>
      <c r="BM169" s="32"/>
      <c r="BN169" s="32"/>
      <c r="BO169" s="62" t="str">
        <f t="shared" si="8"/>
        <v/>
      </c>
    </row>
    <row r="170" spans="1:67" ht="19.5" customHeight="1" x14ac:dyDescent="0.2">
      <c r="A170" s="49" t="b">
        <v>0</v>
      </c>
      <c r="B170" s="50" t="b">
        <v>1</v>
      </c>
      <c r="C170" s="51" t="b">
        <v>0</v>
      </c>
      <c r="D170" s="51" t="b">
        <v>0</v>
      </c>
      <c r="E170" s="37"/>
      <c r="F170" s="39"/>
      <c r="G170" s="37" t="s">
        <v>1100</v>
      </c>
      <c r="H170" s="34"/>
      <c r="I170" s="34"/>
      <c r="J170" s="34" t="s">
        <v>1099</v>
      </c>
      <c r="K170" s="51" t="b">
        <v>1</v>
      </c>
      <c r="L170" s="40"/>
      <c r="M170" s="37" t="s">
        <v>1099</v>
      </c>
      <c r="N170" s="37" t="s">
        <v>1099</v>
      </c>
      <c r="O170" s="41" t="s">
        <v>1099</v>
      </c>
      <c r="P170" s="40" t="s">
        <v>1099</v>
      </c>
      <c r="Q170" s="37" t="s">
        <v>1099</v>
      </c>
      <c r="R170" s="37" t="s">
        <v>1099</v>
      </c>
      <c r="S170" s="113" t="s">
        <v>1099</v>
      </c>
      <c r="T170" s="56"/>
      <c r="U170" s="56"/>
      <c r="V170" s="56"/>
      <c r="W170" s="114" t="s">
        <v>1099</v>
      </c>
      <c r="X170" s="115"/>
      <c r="Y170" s="115"/>
      <c r="Z170" s="116"/>
      <c r="AA170" s="117" t="s">
        <v>1099</v>
      </c>
      <c r="AB170" s="116"/>
      <c r="AC170" s="56"/>
      <c r="AD170" s="116"/>
      <c r="AE170" s="44" t="s">
        <v>1099</v>
      </c>
      <c r="AF170" s="46" t="str">
        <f t="shared" si="6"/>
        <v/>
      </c>
      <c r="AG170" s="38" t="s">
        <v>1099</v>
      </c>
      <c r="AH170" s="47" t="str">
        <f t="shared" si="7"/>
        <v/>
      </c>
      <c r="AI170" s="32"/>
      <c r="AJ170" s="32"/>
      <c r="AK170" s="32"/>
      <c r="AL170" s="32"/>
      <c r="AM170" s="32" t="s">
        <v>1099</v>
      </c>
      <c r="AN170" s="32"/>
      <c r="AO170" s="32" t="s">
        <v>1099</v>
      </c>
      <c r="AP170" s="32"/>
      <c r="AQ170" s="32"/>
      <c r="AR170" s="32"/>
      <c r="AS170" s="32"/>
      <c r="AT170" s="32"/>
      <c r="AU170" s="32"/>
      <c r="AV170" s="38" t="s">
        <v>1099</v>
      </c>
      <c r="AW170" s="38" t="s">
        <v>1099</v>
      </c>
      <c r="AX170" s="42" t="s">
        <v>106</v>
      </c>
      <c r="AY170" s="62" t="str">
        <f>IF('Cálculo MP'!J171="","",'Cálculo MP'!J171)</f>
        <v/>
      </c>
      <c r="AZ170" s="62" t="str">
        <f>IF('Cálculo MP'!K171="","",'Cálculo MP'!K171)</f>
        <v/>
      </c>
      <c r="BA170" s="62" t="str">
        <f>IF('Cálculo MP'!L171="","",'Cálculo MP'!L171)</f>
        <v/>
      </c>
      <c r="BB170" s="62" t="str">
        <f>IF('Cálculo MP'!M171="","",'Cálculo MP'!M171)</f>
        <v/>
      </c>
      <c r="BC170" s="62" t="str">
        <f>IF('Cálculo MP'!N171="","",'Cálculo MP'!N171)</f>
        <v/>
      </c>
      <c r="BD170" s="62" t="str">
        <f>IF('Cálculo MP'!O171="","",'Cálculo MP'!O171)</f>
        <v/>
      </c>
      <c r="BE170" s="62" t="str">
        <f>IF('Cálculo MP'!P171="","",'Cálculo MP'!P171)</f>
        <v/>
      </c>
      <c r="BF170" s="62" t="str">
        <f>IF('Cálculo MP'!Q171="","",'Cálculo MP'!Q171)</f>
        <v/>
      </c>
      <c r="BG170" s="62" t="str">
        <f>IF('Cálculo MP'!R171="","",'Cálculo MP'!R171)</f>
        <v/>
      </c>
      <c r="BH170" s="32"/>
      <c r="BI170" s="32"/>
      <c r="BJ170" s="32"/>
      <c r="BK170" s="32"/>
      <c r="BL170" s="32"/>
      <c r="BM170" s="32"/>
      <c r="BN170" s="32"/>
      <c r="BO170" s="62" t="str">
        <f t="shared" si="8"/>
        <v/>
      </c>
    </row>
    <row r="171" spans="1:67" ht="19.5" customHeight="1" x14ac:dyDescent="0.2">
      <c r="A171" s="49" t="b">
        <v>0</v>
      </c>
      <c r="B171" s="50" t="b">
        <v>1</v>
      </c>
      <c r="C171" s="51" t="b">
        <v>0</v>
      </c>
      <c r="D171" s="51" t="b">
        <v>0</v>
      </c>
      <c r="E171" s="37"/>
      <c r="F171" s="39"/>
      <c r="G171" s="37" t="s">
        <v>1100</v>
      </c>
      <c r="H171" s="34"/>
      <c r="I171" s="34"/>
      <c r="J171" s="34" t="s">
        <v>1099</v>
      </c>
      <c r="K171" s="51" t="b">
        <v>1</v>
      </c>
      <c r="L171" s="40"/>
      <c r="M171" s="37" t="s">
        <v>1099</v>
      </c>
      <c r="N171" s="37" t="s">
        <v>1099</v>
      </c>
      <c r="O171" s="41" t="s">
        <v>1099</v>
      </c>
      <c r="P171" s="40" t="s">
        <v>1099</v>
      </c>
      <c r="Q171" s="37" t="s">
        <v>1099</v>
      </c>
      <c r="R171" s="37" t="s">
        <v>1099</v>
      </c>
      <c r="S171" s="113" t="s">
        <v>1099</v>
      </c>
      <c r="T171" s="56"/>
      <c r="U171" s="56"/>
      <c r="V171" s="56"/>
      <c r="W171" s="114" t="s">
        <v>1099</v>
      </c>
      <c r="X171" s="115"/>
      <c r="Y171" s="115"/>
      <c r="Z171" s="116"/>
      <c r="AA171" s="117" t="s">
        <v>1099</v>
      </c>
      <c r="AB171" s="116"/>
      <c r="AC171" s="56"/>
      <c r="AD171" s="116"/>
      <c r="AE171" s="44" t="s">
        <v>1099</v>
      </c>
      <c r="AF171" s="46" t="str">
        <f t="shared" si="6"/>
        <v/>
      </c>
      <c r="AG171" s="38" t="s">
        <v>1099</v>
      </c>
      <c r="AH171" s="47" t="str">
        <f t="shared" si="7"/>
        <v/>
      </c>
      <c r="AI171" s="32"/>
      <c r="AJ171" s="32"/>
      <c r="AK171" s="32"/>
      <c r="AL171" s="32"/>
      <c r="AM171" s="32" t="s">
        <v>1099</v>
      </c>
      <c r="AN171" s="32"/>
      <c r="AO171" s="32" t="s">
        <v>1099</v>
      </c>
      <c r="AP171" s="32"/>
      <c r="AQ171" s="32"/>
      <c r="AR171" s="32"/>
      <c r="AS171" s="32"/>
      <c r="AT171" s="32"/>
      <c r="AU171" s="32"/>
      <c r="AV171" s="38" t="s">
        <v>1099</v>
      </c>
      <c r="AW171" s="38" t="s">
        <v>1099</v>
      </c>
      <c r="AX171" s="42" t="s">
        <v>106</v>
      </c>
      <c r="AY171" s="62" t="str">
        <f>IF('Cálculo MP'!J172="","",'Cálculo MP'!J172)</f>
        <v/>
      </c>
      <c r="AZ171" s="62" t="str">
        <f>IF('Cálculo MP'!K172="","",'Cálculo MP'!K172)</f>
        <v/>
      </c>
      <c r="BA171" s="62" t="str">
        <f>IF('Cálculo MP'!L172="","",'Cálculo MP'!L172)</f>
        <v/>
      </c>
      <c r="BB171" s="62" t="str">
        <f>IF('Cálculo MP'!M172="","",'Cálculo MP'!M172)</f>
        <v/>
      </c>
      <c r="BC171" s="62" t="str">
        <f>IF('Cálculo MP'!N172="","",'Cálculo MP'!N172)</f>
        <v/>
      </c>
      <c r="BD171" s="62" t="str">
        <f>IF('Cálculo MP'!O172="","",'Cálculo MP'!O172)</f>
        <v/>
      </c>
      <c r="BE171" s="62" t="str">
        <f>IF('Cálculo MP'!P172="","",'Cálculo MP'!P172)</f>
        <v/>
      </c>
      <c r="BF171" s="62" t="str">
        <f>IF('Cálculo MP'!Q172="","",'Cálculo MP'!Q172)</f>
        <v/>
      </c>
      <c r="BG171" s="62" t="str">
        <f>IF('Cálculo MP'!R172="","",'Cálculo MP'!R172)</f>
        <v/>
      </c>
      <c r="BH171" s="32"/>
      <c r="BI171" s="32"/>
      <c r="BJ171" s="32"/>
      <c r="BK171" s="32"/>
      <c r="BL171" s="32"/>
      <c r="BM171" s="32"/>
      <c r="BN171" s="32"/>
      <c r="BO171" s="62" t="str">
        <f t="shared" si="8"/>
        <v/>
      </c>
    </row>
    <row r="172" spans="1:67" ht="19.5" customHeight="1" x14ac:dyDescent="0.2">
      <c r="A172" s="49" t="b">
        <v>0</v>
      </c>
      <c r="B172" s="50" t="b">
        <v>1</v>
      </c>
      <c r="C172" s="51" t="b">
        <v>0</v>
      </c>
      <c r="D172" s="51" t="b">
        <v>0</v>
      </c>
      <c r="E172" s="37"/>
      <c r="F172" s="39"/>
      <c r="G172" s="37" t="s">
        <v>1100</v>
      </c>
      <c r="H172" s="34"/>
      <c r="I172" s="34"/>
      <c r="J172" s="34" t="s">
        <v>1099</v>
      </c>
      <c r="K172" s="51" t="b">
        <v>1</v>
      </c>
      <c r="L172" s="40"/>
      <c r="M172" s="37" t="s">
        <v>1099</v>
      </c>
      <c r="N172" s="37" t="s">
        <v>1099</v>
      </c>
      <c r="O172" s="41" t="s">
        <v>1099</v>
      </c>
      <c r="P172" s="40" t="s">
        <v>1099</v>
      </c>
      <c r="Q172" s="37" t="s">
        <v>1099</v>
      </c>
      <c r="R172" s="37" t="s">
        <v>1099</v>
      </c>
      <c r="S172" s="113" t="s">
        <v>1099</v>
      </c>
      <c r="T172" s="56"/>
      <c r="U172" s="56"/>
      <c r="V172" s="56"/>
      <c r="W172" s="114" t="s">
        <v>1099</v>
      </c>
      <c r="X172" s="115"/>
      <c r="Y172" s="115"/>
      <c r="Z172" s="116"/>
      <c r="AA172" s="117" t="s">
        <v>1099</v>
      </c>
      <c r="AB172" s="116"/>
      <c r="AC172" s="56"/>
      <c r="AD172" s="116"/>
      <c r="AE172" s="44" t="s">
        <v>1099</v>
      </c>
      <c r="AF172" s="46" t="str">
        <f t="shared" si="6"/>
        <v/>
      </c>
      <c r="AG172" s="38" t="s">
        <v>1099</v>
      </c>
      <c r="AH172" s="47" t="str">
        <f t="shared" si="7"/>
        <v/>
      </c>
      <c r="AI172" s="32"/>
      <c r="AJ172" s="32"/>
      <c r="AK172" s="32"/>
      <c r="AL172" s="32"/>
      <c r="AM172" s="32" t="s">
        <v>1099</v>
      </c>
      <c r="AN172" s="32"/>
      <c r="AO172" s="32" t="s">
        <v>1099</v>
      </c>
      <c r="AP172" s="32"/>
      <c r="AQ172" s="32"/>
      <c r="AR172" s="32"/>
      <c r="AS172" s="32"/>
      <c r="AT172" s="32"/>
      <c r="AU172" s="32"/>
      <c r="AV172" s="38" t="s">
        <v>1099</v>
      </c>
      <c r="AW172" s="38" t="s">
        <v>1099</v>
      </c>
      <c r="AX172" s="42" t="s">
        <v>106</v>
      </c>
      <c r="AY172" s="62" t="str">
        <f>IF('Cálculo MP'!J173="","",'Cálculo MP'!J173)</f>
        <v/>
      </c>
      <c r="AZ172" s="62" t="str">
        <f>IF('Cálculo MP'!K173="","",'Cálculo MP'!K173)</f>
        <v/>
      </c>
      <c r="BA172" s="62" t="str">
        <f>IF('Cálculo MP'!L173="","",'Cálculo MP'!L173)</f>
        <v/>
      </c>
      <c r="BB172" s="62" t="str">
        <f>IF('Cálculo MP'!M173="","",'Cálculo MP'!M173)</f>
        <v/>
      </c>
      <c r="BC172" s="62" t="str">
        <f>IF('Cálculo MP'!N173="","",'Cálculo MP'!N173)</f>
        <v/>
      </c>
      <c r="BD172" s="62" t="str">
        <f>IF('Cálculo MP'!O173="","",'Cálculo MP'!O173)</f>
        <v/>
      </c>
      <c r="BE172" s="62" t="str">
        <f>IF('Cálculo MP'!P173="","",'Cálculo MP'!P173)</f>
        <v/>
      </c>
      <c r="BF172" s="62" t="str">
        <f>IF('Cálculo MP'!Q173="","",'Cálculo MP'!Q173)</f>
        <v/>
      </c>
      <c r="BG172" s="62" t="str">
        <f>IF('Cálculo MP'!R173="","",'Cálculo MP'!R173)</f>
        <v/>
      </c>
      <c r="BH172" s="32"/>
      <c r="BI172" s="32"/>
      <c r="BJ172" s="32"/>
      <c r="BK172" s="32"/>
      <c r="BL172" s="32"/>
      <c r="BM172" s="32"/>
      <c r="BN172" s="32"/>
      <c r="BO172" s="62" t="str">
        <f t="shared" si="8"/>
        <v/>
      </c>
    </row>
    <row r="173" spans="1:67" ht="19.5" customHeight="1" x14ac:dyDescent="0.2">
      <c r="A173" s="49" t="b">
        <v>0</v>
      </c>
      <c r="B173" s="50" t="b">
        <v>1</v>
      </c>
      <c r="C173" s="51" t="b">
        <v>0</v>
      </c>
      <c r="D173" s="51" t="b">
        <v>0</v>
      </c>
      <c r="E173" s="37"/>
      <c r="F173" s="39"/>
      <c r="G173" s="37" t="s">
        <v>1100</v>
      </c>
      <c r="H173" s="34"/>
      <c r="I173" s="34"/>
      <c r="J173" s="34" t="s">
        <v>1099</v>
      </c>
      <c r="K173" s="51" t="b">
        <v>1</v>
      </c>
      <c r="L173" s="40"/>
      <c r="M173" s="37" t="s">
        <v>1099</v>
      </c>
      <c r="N173" s="37" t="s">
        <v>1099</v>
      </c>
      <c r="O173" s="41" t="s">
        <v>1099</v>
      </c>
      <c r="P173" s="40" t="s">
        <v>1099</v>
      </c>
      <c r="Q173" s="37" t="s">
        <v>1099</v>
      </c>
      <c r="R173" s="37" t="s">
        <v>1099</v>
      </c>
      <c r="S173" s="113" t="s">
        <v>1099</v>
      </c>
      <c r="T173" s="56"/>
      <c r="U173" s="56"/>
      <c r="V173" s="56"/>
      <c r="W173" s="114" t="s">
        <v>1099</v>
      </c>
      <c r="X173" s="115"/>
      <c r="Y173" s="115"/>
      <c r="Z173" s="116"/>
      <c r="AA173" s="117" t="s">
        <v>1099</v>
      </c>
      <c r="AB173" s="116"/>
      <c r="AC173" s="56"/>
      <c r="AD173" s="116"/>
      <c r="AE173" s="44" t="s">
        <v>1099</v>
      </c>
      <c r="AF173" s="46" t="str">
        <f t="shared" si="6"/>
        <v/>
      </c>
      <c r="AG173" s="38" t="s">
        <v>1099</v>
      </c>
      <c r="AH173" s="47" t="str">
        <f t="shared" si="7"/>
        <v/>
      </c>
      <c r="AI173" s="32"/>
      <c r="AJ173" s="32"/>
      <c r="AK173" s="32"/>
      <c r="AL173" s="32"/>
      <c r="AM173" s="32" t="s">
        <v>1099</v>
      </c>
      <c r="AN173" s="32"/>
      <c r="AO173" s="32" t="s">
        <v>1099</v>
      </c>
      <c r="AP173" s="32"/>
      <c r="AQ173" s="32"/>
      <c r="AR173" s="32"/>
      <c r="AS173" s="32"/>
      <c r="AT173" s="32"/>
      <c r="AU173" s="32"/>
      <c r="AV173" s="38" t="s">
        <v>1099</v>
      </c>
      <c r="AW173" s="38" t="s">
        <v>1099</v>
      </c>
      <c r="AX173" s="42" t="s">
        <v>106</v>
      </c>
      <c r="AY173" s="62" t="str">
        <f>IF('Cálculo MP'!J174="","",'Cálculo MP'!J174)</f>
        <v/>
      </c>
      <c r="AZ173" s="62" t="str">
        <f>IF('Cálculo MP'!K174="","",'Cálculo MP'!K174)</f>
        <v/>
      </c>
      <c r="BA173" s="62" t="str">
        <f>IF('Cálculo MP'!L174="","",'Cálculo MP'!L174)</f>
        <v/>
      </c>
      <c r="BB173" s="62" t="str">
        <f>IF('Cálculo MP'!M174="","",'Cálculo MP'!M174)</f>
        <v/>
      </c>
      <c r="BC173" s="62" t="str">
        <f>IF('Cálculo MP'!N174="","",'Cálculo MP'!N174)</f>
        <v/>
      </c>
      <c r="BD173" s="62" t="str">
        <f>IF('Cálculo MP'!O174="","",'Cálculo MP'!O174)</f>
        <v/>
      </c>
      <c r="BE173" s="62" t="str">
        <f>IF('Cálculo MP'!P174="","",'Cálculo MP'!P174)</f>
        <v/>
      </c>
      <c r="BF173" s="62" t="str">
        <f>IF('Cálculo MP'!Q174="","",'Cálculo MP'!Q174)</f>
        <v/>
      </c>
      <c r="BG173" s="62" t="str">
        <f>IF('Cálculo MP'!R174="","",'Cálculo MP'!R174)</f>
        <v/>
      </c>
      <c r="BH173" s="32"/>
      <c r="BI173" s="32"/>
      <c r="BJ173" s="32"/>
      <c r="BK173" s="32"/>
      <c r="BL173" s="32"/>
      <c r="BM173" s="32"/>
      <c r="BN173" s="32"/>
      <c r="BO173" s="62" t="str">
        <f t="shared" si="8"/>
        <v/>
      </c>
    </row>
    <row r="174" spans="1:67" ht="19.5" customHeight="1" x14ac:dyDescent="0.2">
      <c r="A174" s="49" t="b">
        <v>0</v>
      </c>
      <c r="B174" s="50" t="b">
        <v>1</v>
      </c>
      <c r="C174" s="51" t="b">
        <v>0</v>
      </c>
      <c r="D174" s="51" t="b">
        <v>0</v>
      </c>
      <c r="E174" s="37"/>
      <c r="F174" s="39"/>
      <c r="G174" s="37" t="s">
        <v>1100</v>
      </c>
      <c r="H174" s="34"/>
      <c r="I174" s="34"/>
      <c r="J174" s="34" t="s">
        <v>1099</v>
      </c>
      <c r="K174" s="51" t="b">
        <v>1</v>
      </c>
      <c r="L174" s="40"/>
      <c r="M174" s="37" t="s">
        <v>1099</v>
      </c>
      <c r="N174" s="37" t="s">
        <v>1099</v>
      </c>
      <c r="O174" s="41" t="s">
        <v>1099</v>
      </c>
      <c r="P174" s="40" t="s">
        <v>1099</v>
      </c>
      <c r="Q174" s="37" t="s">
        <v>1099</v>
      </c>
      <c r="R174" s="37" t="s">
        <v>1099</v>
      </c>
      <c r="S174" s="113" t="s">
        <v>1099</v>
      </c>
      <c r="T174" s="56"/>
      <c r="U174" s="56"/>
      <c r="V174" s="56"/>
      <c r="W174" s="114" t="s">
        <v>1099</v>
      </c>
      <c r="X174" s="115"/>
      <c r="Y174" s="115"/>
      <c r="Z174" s="116"/>
      <c r="AA174" s="117" t="s">
        <v>1099</v>
      </c>
      <c r="AB174" s="116"/>
      <c r="AC174" s="56"/>
      <c r="AD174" s="116"/>
      <c r="AE174" s="44" t="s">
        <v>1099</v>
      </c>
      <c r="AF174" s="46" t="str">
        <f t="shared" si="6"/>
        <v/>
      </c>
      <c r="AG174" s="38" t="s">
        <v>1099</v>
      </c>
      <c r="AH174" s="47" t="str">
        <f t="shared" si="7"/>
        <v/>
      </c>
      <c r="AI174" s="32"/>
      <c r="AJ174" s="32"/>
      <c r="AK174" s="32"/>
      <c r="AL174" s="32"/>
      <c r="AM174" s="32" t="s">
        <v>1099</v>
      </c>
      <c r="AN174" s="32"/>
      <c r="AO174" s="32" t="s">
        <v>1099</v>
      </c>
      <c r="AP174" s="32"/>
      <c r="AQ174" s="32"/>
      <c r="AR174" s="32"/>
      <c r="AS174" s="32"/>
      <c r="AT174" s="32"/>
      <c r="AU174" s="32"/>
      <c r="AV174" s="38" t="s">
        <v>1099</v>
      </c>
      <c r="AW174" s="38" t="s">
        <v>1099</v>
      </c>
      <c r="AX174" s="42" t="s">
        <v>106</v>
      </c>
      <c r="AY174" s="62" t="str">
        <f>IF('Cálculo MP'!J175="","",'Cálculo MP'!J175)</f>
        <v/>
      </c>
      <c r="AZ174" s="62" t="str">
        <f>IF('Cálculo MP'!K175="","",'Cálculo MP'!K175)</f>
        <v/>
      </c>
      <c r="BA174" s="62" t="str">
        <f>IF('Cálculo MP'!L175="","",'Cálculo MP'!L175)</f>
        <v/>
      </c>
      <c r="BB174" s="62" t="str">
        <f>IF('Cálculo MP'!M175="","",'Cálculo MP'!M175)</f>
        <v/>
      </c>
      <c r="BC174" s="62" t="str">
        <f>IF('Cálculo MP'!N175="","",'Cálculo MP'!N175)</f>
        <v/>
      </c>
      <c r="BD174" s="62" t="str">
        <f>IF('Cálculo MP'!O175="","",'Cálculo MP'!O175)</f>
        <v/>
      </c>
      <c r="BE174" s="62" t="str">
        <f>IF('Cálculo MP'!P175="","",'Cálculo MP'!P175)</f>
        <v/>
      </c>
      <c r="BF174" s="62" t="str">
        <f>IF('Cálculo MP'!Q175="","",'Cálculo MP'!Q175)</f>
        <v/>
      </c>
      <c r="BG174" s="62" t="str">
        <f>IF('Cálculo MP'!R175="","",'Cálculo MP'!R175)</f>
        <v/>
      </c>
      <c r="BH174" s="32"/>
      <c r="BI174" s="32"/>
      <c r="BJ174" s="32"/>
      <c r="BK174" s="32"/>
      <c r="BL174" s="32"/>
      <c r="BM174" s="32"/>
      <c r="BN174" s="32"/>
      <c r="BO174" s="62" t="str">
        <f t="shared" si="8"/>
        <v/>
      </c>
    </row>
    <row r="175" spans="1:67" ht="19.5" customHeight="1" x14ac:dyDescent="0.2">
      <c r="A175" s="49" t="b">
        <v>0</v>
      </c>
      <c r="B175" s="50" t="b">
        <v>1</v>
      </c>
      <c r="C175" s="51" t="b">
        <v>0</v>
      </c>
      <c r="D175" s="51" t="b">
        <v>0</v>
      </c>
      <c r="E175" s="37"/>
      <c r="F175" s="39"/>
      <c r="G175" s="37" t="s">
        <v>1100</v>
      </c>
      <c r="H175" s="34"/>
      <c r="I175" s="34"/>
      <c r="J175" s="34" t="s">
        <v>1099</v>
      </c>
      <c r="K175" s="51" t="b">
        <v>1</v>
      </c>
      <c r="L175" s="40"/>
      <c r="M175" s="37" t="s">
        <v>1099</v>
      </c>
      <c r="N175" s="37" t="s">
        <v>1099</v>
      </c>
      <c r="O175" s="41" t="s">
        <v>1099</v>
      </c>
      <c r="P175" s="40" t="s">
        <v>1099</v>
      </c>
      <c r="Q175" s="37" t="s">
        <v>1099</v>
      </c>
      <c r="R175" s="37" t="s">
        <v>1099</v>
      </c>
      <c r="S175" s="113" t="s">
        <v>1099</v>
      </c>
      <c r="T175" s="56"/>
      <c r="U175" s="56"/>
      <c r="V175" s="56"/>
      <c r="W175" s="114" t="s">
        <v>1099</v>
      </c>
      <c r="X175" s="115"/>
      <c r="Y175" s="115"/>
      <c r="Z175" s="116"/>
      <c r="AA175" s="117" t="s">
        <v>1099</v>
      </c>
      <c r="AB175" s="116"/>
      <c r="AC175" s="56"/>
      <c r="AD175" s="116"/>
      <c r="AE175" s="44" t="s">
        <v>1099</v>
      </c>
      <c r="AF175" s="46" t="str">
        <f t="shared" si="6"/>
        <v/>
      </c>
      <c r="AG175" s="38" t="s">
        <v>1099</v>
      </c>
      <c r="AH175" s="47" t="str">
        <f t="shared" si="7"/>
        <v/>
      </c>
      <c r="AI175" s="32"/>
      <c r="AJ175" s="32"/>
      <c r="AK175" s="32"/>
      <c r="AL175" s="32"/>
      <c r="AM175" s="32" t="s">
        <v>1099</v>
      </c>
      <c r="AN175" s="32"/>
      <c r="AO175" s="32" t="s">
        <v>1099</v>
      </c>
      <c r="AP175" s="32"/>
      <c r="AQ175" s="32"/>
      <c r="AR175" s="32"/>
      <c r="AS175" s="32"/>
      <c r="AT175" s="32"/>
      <c r="AU175" s="32"/>
      <c r="AV175" s="38" t="s">
        <v>1099</v>
      </c>
      <c r="AW175" s="38" t="s">
        <v>1099</v>
      </c>
      <c r="AX175" s="42" t="s">
        <v>106</v>
      </c>
      <c r="AY175" s="62" t="str">
        <f>IF('Cálculo MP'!J176="","",'Cálculo MP'!J176)</f>
        <v/>
      </c>
      <c r="AZ175" s="62" t="str">
        <f>IF('Cálculo MP'!K176="","",'Cálculo MP'!K176)</f>
        <v/>
      </c>
      <c r="BA175" s="62" t="str">
        <f>IF('Cálculo MP'!L176="","",'Cálculo MP'!L176)</f>
        <v/>
      </c>
      <c r="BB175" s="62" t="str">
        <f>IF('Cálculo MP'!M176="","",'Cálculo MP'!M176)</f>
        <v/>
      </c>
      <c r="BC175" s="62" t="str">
        <f>IF('Cálculo MP'!N176="","",'Cálculo MP'!N176)</f>
        <v/>
      </c>
      <c r="BD175" s="62" t="str">
        <f>IF('Cálculo MP'!O176="","",'Cálculo MP'!O176)</f>
        <v/>
      </c>
      <c r="BE175" s="62" t="str">
        <f>IF('Cálculo MP'!P176="","",'Cálculo MP'!P176)</f>
        <v/>
      </c>
      <c r="BF175" s="62" t="str">
        <f>IF('Cálculo MP'!Q176="","",'Cálculo MP'!Q176)</f>
        <v/>
      </c>
      <c r="BG175" s="62" t="str">
        <f>IF('Cálculo MP'!R176="","",'Cálculo MP'!R176)</f>
        <v/>
      </c>
      <c r="BH175" s="32"/>
      <c r="BI175" s="32"/>
      <c r="BJ175" s="32"/>
      <c r="BK175" s="32"/>
      <c r="BL175" s="32"/>
      <c r="BM175" s="32"/>
      <c r="BN175" s="32"/>
      <c r="BO175" s="62" t="str">
        <f t="shared" si="8"/>
        <v/>
      </c>
    </row>
    <row r="176" spans="1:67" ht="19.5" customHeight="1" x14ac:dyDescent="0.2">
      <c r="A176" s="49" t="b">
        <v>0</v>
      </c>
      <c r="B176" s="50" t="b">
        <v>1</v>
      </c>
      <c r="C176" s="51" t="b">
        <v>0</v>
      </c>
      <c r="D176" s="51" t="b">
        <v>0</v>
      </c>
      <c r="E176" s="37"/>
      <c r="F176" s="39"/>
      <c r="G176" s="37" t="s">
        <v>1100</v>
      </c>
      <c r="H176" s="34"/>
      <c r="I176" s="34"/>
      <c r="J176" s="34" t="s">
        <v>1099</v>
      </c>
      <c r="K176" s="51" t="b">
        <v>1</v>
      </c>
      <c r="L176" s="40"/>
      <c r="M176" s="37" t="s">
        <v>1099</v>
      </c>
      <c r="N176" s="37" t="s">
        <v>1099</v>
      </c>
      <c r="O176" s="41" t="s">
        <v>1099</v>
      </c>
      <c r="P176" s="40" t="s">
        <v>1099</v>
      </c>
      <c r="Q176" s="37" t="s">
        <v>1099</v>
      </c>
      <c r="R176" s="37" t="s">
        <v>1099</v>
      </c>
      <c r="S176" s="113" t="s">
        <v>1099</v>
      </c>
      <c r="T176" s="56"/>
      <c r="U176" s="56"/>
      <c r="V176" s="56"/>
      <c r="W176" s="114" t="s">
        <v>1099</v>
      </c>
      <c r="X176" s="115"/>
      <c r="Y176" s="115"/>
      <c r="Z176" s="116"/>
      <c r="AA176" s="117" t="s">
        <v>1099</v>
      </c>
      <c r="AB176" s="116"/>
      <c r="AC176" s="56"/>
      <c r="AD176" s="116"/>
      <c r="AE176" s="44" t="s">
        <v>1099</v>
      </c>
      <c r="AF176" s="46" t="str">
        <f t="shared" si="6"/>
        <v/>
      </c>
      <c r="AG176" s="38" t="s">
        <v>1099</v>
      </c>
      <c r="AH176" s="47" t="str">
        <f t="shared" si="7"/>
        <v/>
      </c>
      <c r="AI176" s="32"/>
      <c r="AJ176" s="32"/>
      <c r="AK176" s="32"/>
      <c r="AL176" s="32"/>
      <c r="AM176" s="32" t="s">
        <v>1099</v>
      </c>
      <c r="AN176" s="32"/>
      <c r="AO176" s="32" t="s">
        <v>1099</v>
      </c>
      <c r="AP176" s="32"/>
      <c r="AQ176" s="32"/>
      <c r="AR176" s="32"/>
      <c r="AS176" s="32"/>
      <c r="AT176" s="32"/>
      <c r="AU176" s="32"/>
      <c r="AV176" s="38" t="s">
        <v>1099</v>
      </c>
      <c r="AW176" s="38" t="s">
        <v>1099</v>
      </c>
      <c r="AX176" s="42" t="s">
        <v>106</v>
      </c>
      <c r="AY176" s="62" t="str">
        <f>IF('Cálculo MP'!J177="","",'Cálculo MP'!J177)</f>
        <v/>
      </c>
      <c r="AZ176" s="62" t="str">
        <f>IF('Cálculo MP'!K177="","",'Cálculo MP'!K177)</f>
        <v/>
      </c>
      <c r="BA176" s="62" t="str">
        <f>IF('Cálculo MP'!L177="","",'Cálculo MP'!L177)</f>
        <v/>
      </c>
      <c r="BB176" s="62" t="str">
        <f>IF('Cálculo MP'!M177="","",'Cálculo MP'!M177)</f>
        <v/>
      </c>
      <c r="BC176" s="62" t="str">
        <f>IF('Cálculo MP'!N177="","",'Cálculo MP'!N177)</f>
        <v/>
      </c>
      <c r="BD176" s="62" t="str">
        <f>IF('Cálculo MP'!O177="","",'Cálculo MP'!O177)</f>
        <v/>
      </c>
      <c r="BE176" s="62" t="str">
        <f>IF('Cálculo MP'!P177="","",'Cálculo MP'!P177)</f>
        <v/>
      </c>
      <c r="BF176" s="62" t="str">
        <f>IF('Cálculo MP'!Q177="","",'Cálculo MP'!Q177)</f>
        <v/>
      </c>
      <c r="BG176" s="62" t="str">
        <f>IF('Cálculo MP'!R177="","",'Cálculo MP'!R177)</f>
        <v/>
      </c>
      <c r="BH176" s="32"/>
      <c r="BI176" s="32"/>
      <c r="BJ176" s="32"/>
      <c r="BK176" s="32"/>
      <c r="BL176" s="32"/>
      <c r="BM176" s="32"/>
      <c r="BN176" s="32"/>
      <c r="BO176" s="62" t="str">
        <f t="shared" si="8"/>
        <v/>
      </c>
    </row>
    <row r="177" spans="1:67" ht="19.5" customHeight="1" x14ac:dyDescent="0.2">
      <c r="A177" s="49" t="b">
        <v>0</v>
      </c>
      <c r="B177" s="50" t="b">
        <v>1</v>
      </c>
      <c r="C177" s="51" t="b">
        <v>0</v>
      </c>
      <c r="D177" s="51" t="b">
        <v>0</v>
      </c>
      <c r="E177" s="37"/>
      <c r="F177" s="39"/>
      <c r="G177" s="37" t="s">
        <v>1100</v>
      </c>
      <c r="H177" s="34"/>
      <c r="I177" s="34"/>
      <c r="J177" s="34" t="s">
        <v>1099</v>
      </c>
      <c r="K177" s="51" t="b">
        <v>1</v>
      </c>
      <c r="L177" s="40"/>
      <c r="M177" s="37" t="s">
        <v>1099</v>
      </c>
      <c r="N177" s="37" t="s">
        <v>1099</v>
      </c>
      <c r="O177" s="41" t="s">
        <v>1099</v>
      </c>
      <c r="P177" s="40" t="s">
        <v>1099</v>
      </c>
      <c r="Q177" s="37" t="s">
        <v>1099</v>
      </c>
      <c r="R177" s="37" t="s">
        <v>1099</v>
      </c>
      <c r="S177" s="113" t="s">
        <v>1099</v>
      </c>
      <c r="T177" s="56"/>
      <c r="U177" s="56"/>
      <c r="V177" s="56"/>
      <c r="W177" s="114" t="s">
        <v>1099</v>
      </c>
      <c r="X177" s="115"/>
      <c r="Y177" s="115"/>
      <c r="Z177" s="116"/>
      <c r="AA177" s="117" t="s">
        <v>1099</v>
      </c>
      <c r="AB177" s="116"/>
      <c r="AC177" s="56"/>
      <c r="AD177" s="116"/>
      <c r="AE177" s="44" t="s">
        <v>1099</v>
      </c>
      <c r="AF177" s="46" t="str">
        <f t="shared" si="6"/>
        <v/>
      </c>
      <c r="AG177" s="38" t="s">
        <v>1099</v>
      </c>
      <c r="AH177" s="47" t="str">
        <f t="shared" si="7"/>
        <v/>
      </c>
      <c r="AI177" s="32"/>
      <c r="AJ177" s="32"/>
      <c r="AK177" s="32"/>
      <c r="AL177" s="32"/>
      <c r="AM177" s="32" t="s">
        <v>1099</v>
      </c>
      <c r="AN177" s="32"/>
      <c r="AO177" s="32" t="s">
        <v>1099</v>
      </c>
      <c r="AP177" s="32"/>
      <c r="AQ177" s="32"/>
      <c r="AR177" s="32"/>
      <c r="AS177" s="32"/>
      <c r="AT177" s="32"/>
      <c r="AU177" s="32"/>
      <c r="AV177" s="38" t="s">
        <v>1099</v>
      </c>
      <c r="AW177" s="38" t="s">
        <v>1099</v>
      </c>
      <c r="AX177" s="42" t="s">
        <v>106</v>
      </c>
      <c r="AY177" s="62" t="str">
        <f>IF('Cálculo MP'!J178="","",'Cálculo MP'!J178)</f>
        <v/>
      </c>
      <c r="AZ177" s="62" t="str">
        <f>IF('Cálculo MP'!K178="","",'Cálculo MP'!K178)</f>
        <v/>
      </c>
      <c r="BA177" s="62" t="str">
        <f>IF('Cálculo MP'!L178="","",'Cálculo MP'!L178)</f>
        <v/>
      </c>
      <c r="BB177" s="62" t="str">
        <f>IF('Cálculo MP'!M178="","",'Cálculo MP'!M178)</f>
        <v/>
      </c>
      <c r="BC177" s="62" t="str">
        <f>IF('Cálculo MP'!N178="","",'Cálculo MP'!N178)</f>
        <v/>
      </c>
      <c r="BD177" s="62" t="str">
        <f>IF('Cálculo MP'!O178="","",'Cálculo MP'!O178)</f>
        <v/>
      </c>
      <c r="BE177" s="62" t="str">
        <f>IF('Cálculo MP'!P178="","",'Cálculo MP'!P178)</f>
        <v/>
      </c>
      <c r="BF177" s="62" t="str">
        <f>IF('Cálculo MP'!Q178="","",'Cálculo MP'!Q178)</f>
        <v/>
      </c>
      <c r="BG177" s="62" t="str">
        <f>IF('Cálculo MP'!R178="","",'Cálculo MP'!R178)</f>
        <v/>
      </c>
      <c r="BH177" s="32"/>
      <c r="BI177" s="32"/>
      <c r="BJ177" s="32"/>
      <c r="BK177" s="32"/>
      <c r="BL177" s="32"/>
      <c r="BM177" s="32"/>
      <c r="BN177" s="32"/>
      <c r="BO177" s="62" t="str">
        <f t="shared" si="8"/>
        <v/>
      </c>
    </row>
    <row r="178" spans="1:67" ht="19.5" customHeight="1" x14ac:dyDescent="0.2">
      <c r="A178" s="49" t="b">
        <v>0</v>
      </c>
      <c r="B178" s="50" t="b">
        <v>1</v>
      </c>
      <c r="C178" s="51" t="b">
        <v>0</v>
      </c>
      <c r="D178" s="51" t="b">
        <v>0</v>
      </c>
      <c r="E178" s="37"/>
      <c r="F178" s="39"/>
      <c r="G178" s="37" t="s">
        <v>1100</v>
      </c>
      <c r="H178" s="34"/>
      <c r="I178" s="34"/>
      <c r="J178" s="34" t="s">
        <v>1099</v>
      </c>
      <c r="K178" s="51" t="b">
        <v>1</v>
      </c>
      <c r="L178" s="40"/>
      <c r="M178" s="37" t="s">
        <v>1099</v>
      </c>
      <c r="N178" s="37" t="s">
        <v>1099</v>
      </c>
      <c r="O178" s="41" t="s">
        <v>1099</v>
      </c>
      <c r="P178" s="40" t="s">
        <v>1099</v>
      </c>
      <c r="Q178" s="37" t="s">
        <v>1099</v>
      </c>
      <c r="R178" s="37" t="s">
        <v>1099</v>
      </c>
      <c r="S178" s="113" t="s">
        <v>1099</v>
      </c>
      <c r="T178" s="56"/>
      <c r="U178" s="56"/>
      <c r="V178" s="56"/>
      <c r="W178" s="114" t="s">
        <v>1099</v>
      </c>
      <c r="X178" s="115"/>
      <c r="Y178" s="115"/>
      <c r="Z178" s="116"/>
      <c r="AA178" s="117" t="s">
        <v>1099</v>
      </c>
      <c r="AB178" s="116"/>
      <c r="AC178" s="56"/>
      <c r="AD178" s="116"/>
      <c r="AE178" s="44" t="s">
        <v>1099</v>
      </c>
      <c r="AF178" s="46" t="str">
        <f t="shared" si="6"/>
        <v/>
      </c>
      <c r="AG178" s="38" t="s">
        <v>1099</v>
      </c>
      <c r="AH178" s="47" t="str">
        <f t="shared" si="7"/>
        <v/>
      </c>
      <c r="AI178" s="32"/>
      <c r="AJ178" s="32"/>
      <c r="AK178" s="32"/>
      <c r="AL178" s="32"/>
      <c r="AM178" s="32" t="s">
        <v>1099</v>
      </c>
      <c r="AN178" s="32"/>
      <c r="AO178" s="32" t="s">
        <v>1099</v>
      </c>
      <c r="AP178" s="32"/>
      <c r="AQ178" s="32"/>
      <c r="AR178" s="32"/>
      <c r="AS178" s="32"/>
      <c r="AT178" s="32"/>
      <c r="AU178" s="32"/>
      <c r="AV178" s="38" t="s">
        <v>1099</v>
      </c>
      <c r="AW178" s="38" t="s">
        <v>1099</v>
      </c>
      <c r="AX178" s="42" t="s">
        <v>106</v>
      </c>
      <c r="AY178" s="62" t="str">
        <f>IF('Cálculo MP'!J179="","",'Cálculo MP'!J179)</f>
        <v/>
      </c>
      <c r="AZ178" s="62" t="str">
        <f>IF('Cálculo MP'!K179="","",'Cálculo MP'!K179)</f>
        <v/>
      </c>
      <c r="BA178" s="62" t="str">
        <f>IF('Cálculo MP'!L179="","",'Cálculo MP'!L179)</f>
        <v/>
      </c>
      <c r="BB178" s="62" t="str">
        <f>IF('Cálculo MP'!M179="","",'Cálculo MP'!M179)</f>
        <v/>
      </c>
      <c r="BC178" s="62" t="str">
        <f>IF('Cálculo MP'!N179="","",'Cálculo MP'!N179)</f>
        <v/>
      </c>
      <c r="BD178" s="62" t="str">
        <f>IF('Cálculo MP'!O179="","",'Cálculo MP'!O179)</f>
        <v/>
      </c>
      <c r="BE178" s="62" t="str">
        <f>IF('Cálculo MP'!P179="","",'Cálculo MP'!P179)</f>
        <v/>
      </c>
      <c r="BF178" s="62" t="str">
        <f>IF('Cálculo MP'!Q179="","",'Cálculo MP'!Q179)</f>
        <v/>
      </c>
      <c r="BG178" s="62" t="str">
        <f>IF('Cálculo MP'!R179="","",'Cálculo MP'!R179)</f>
        <v/>
      </c>
      <c r="BH178" s="32"/>
      <c r="BI178" s="32"/>
      <c r="BJ178" s="32"/>
      <c r="BK178" s="32"/>
      <c r="BL178" s="32"/>
      <c r="BM178" s="32"/>
      <c r="BN178" s="32"/>
      <c r="BO178" s="62" t="str">
        <f t="shared" si="8"/>
        <v/>
      </c>
    </row>
    <row r="179" spans="1:67" ht="19.5" customHeight="1" x14ac:dyDescent="0.2">
      <c r="A179" s="49" t="b">
        <v>0</v>
      </c>
      <c r="B179" s="50" t="b">
        <v>1</v>
      </c>
      <c r="C179" s="51" t="b">
        <v>0</v>
      </c>
      <c r="D179" s="51" t="b">
        <v>0</v>
      </c>
      <c r="E179" s="37"/>
      <c r="F179" s="39"/>
      <c r="G179" s="37" t="s">
        <v>1100</v>
      </c>
      <c r="H179" s="34"/>
      <c r="I179" s="34"/>
      <c r="J179" s="34" t="s">
        <v>1099</v>
      </c>
      <c r="K179" s="51" t="b">
        <v>1</v>
      </c>
      <c r="L179" s="40"/>
      <c r="M179" s="37" t="s">
        <v>1099</v>
      </c>
      <c r="N179" s="37" t="s">
        <v>1099</v>
      </c>
      <c r="O179" s="41" t="s">
        <v>1099</v>
      </c>
      <c r="P179" s="40" t="s">
        <v>1099</v>
      </c>
      <c r="Q179" s="37" t="s">
        <v>1099</v>
      </c>
      <c r="R179" s="37" t="s">
        <v>1099</v>
      </c>
      <c r="S179" s="113" t="s">
        <v>1099</v>
      </c>
      <c r="T179" s="56"/>
      <c r="U179" s="56"/>
      <c r="V179" s="56"/>
      <c r="W179" s="114" t="s">
        <v>1099</v>
      </c>
      <c r="X179" s="115"/>
      <c r="Y179" s="115"/>
      <c r="Z179" s="116"/>
      <c r="AA179" s="117" t="s">
        <v>1099</v>
      </c>
      <c r="AB179" s="116"/>
      <c r="AC179" s="56"/>
      <c r="AD179" s="116"/>
      <c r="AE179" s="44" t="s">
        <v>1099</v>
      </c>
      <c r="AF179" s="46" t="str">
        <f t="shared" si="6"/>
        <v/>
      </c>
      <c r="AG179" s="38" t="s">
        <v>1099</v>
      </c>
      <c r="AH179" s="47" t="str">
        <f t="shared" si="7"/>
        <v/>
      </c>
      <c r="AI179" s="32"/>
      <c r="AJ179" s="32"/>
      <c r="AK179" s="32"/>
      <c r="AL179" s="32"/>
      <c r="AM179" s="32" t="s">
        <v>1099</v>
      </c>
      <c r="AN179" s="32"/>
      <c r="AO179" s="32" t="s">
        <v>1099</v>
      </c>
      <c r="AP179" s="32"/>
      <c r="AQ179" s="32"/>
      <c r="AR179" s="32"/>
      <c r="AS179" s="32"/>
      <c r="AT179" s="32"/>
      <c r="AU179" s="32"/>
      <c r="AV179" s="38" t="s">
        <v>1099</v>
      </c>
      <c r="AW179" s="38" t="s">
        <v>1099</v>
      </c>
      <c r="AX179" s="42" t="s">
        <v>106</v>
      </c>
      <c r="AY179" s="62" t="str">
        <f>IF('Cálculo MP'!J180="","",'Cálculo MP'!J180)</f>
        <v/>
      </c>
      <c r="AZ179" s="62" t="str">
        <f>IF('Cálculo MP'!K180="","",'Cálculo MP'!K180)</f>
        <v/>
      </c>
      <c r="BA179" s="62" t="str">
        <f>IF('Cálculo MP'!L180="","",'Cálculo MP'!L180)</f>
        <v/>
      </c>
      <c r="BB179" s="62" t="str">
        <f>IF('Cálculo MP'!M180="","",'Cálculo MP'!M180)</f>
        <v/>
      </c>
      <c r="BC179" s="62" t="str">
        <f>IF('Cálculo MP'!N180="","",'Cálculo MP'!N180)</f>
        <v/>
      </c>
      <c r="BD179" s="62" t="str">
        <f>IF('Cálculo MP'!O180="","",'Cálculo MP'!O180)</f>
        <v/>
      </c>
      <c r="BE179" s="62" t="str">
        <f>IF('Cálculo MP'!P180="","",'Cálculo MP'!P180)</f>
        <v/>
      </c>
      <c r="BF179" s="62" t="str">
        <f>IF('Cálculo MP'!Q180="","",'Cálculo MP'!Q180)</f>
        <v/>
      </c>
      <c r="BG179" s="62" t="str">
        <f>IF('Cálculo MP'!R180="","",'Cálculo MP'!R180)</f>
        <v/>
      </c>
      <c r="BH179" s="32"/>
      <c r="BI179" s="32"/>
      <c r="BJ179" s="32"/>
      <c r="BK179" s="32"/>
      <c r="BL179" s="32"/>
      <c r="BM179" s="32"/>
      <c r="BN179" s="32"/>
      <c r="BO179" s="62" t="str">
        <f t="shared" si="8"/>
        <v/>
      </c>
    </row>
    <row r="180" spans="1:67" ht="19.5" customHeight="1" x14ac:dyDescent="0.2">
      <c r="A180" s="49" t="b">
        <v>0</v>
      </c>
      <c r="B180" s="50" t="b">
        <v>1</v>
      </c>
      <c r="C180" s="51" t="b">
        <v>0</v>
      </c>
      <c r="D180" s="51" t="b">
        <v>0</v>
      </c>
      <c r="E180" s="37"/>
      <c r="F180" s="39"/>
      <c r="G180" s="37" t="s">
        <v>1100</v>
      </c>
      <c r="H180" s="34"/>
      <c r="I180" s="34"/>
      <c r="J180" s="34" t="s">
        <v>1099</v>
      </c>
      <c r="K180" s="51" t="b">
        <v>1</v>
      </c>
      <c r="L180" s="40"/>
      <c r="M180" s="37" t="s">
        <v>1099</v>
      </c>
      <c r="N180" s="37" t="s">
        <v>1099</v>
      </c>
      <c r="O180" s="41" t="s">
        <v>1099</v>
      </c>
      <c r="P180" s="40" t="s">
        <v>1099</v>
      </c>
      <c r="Q180" s="37" t="s">
        <v>1099</v>
      </c>
      <c r="R180" s="37" t="s">
        <v>1099</v>
      </c>
      <c r="S180" s="113" t="s">
        <v>1099</v>
      </c>
      <c r="T180" s="56"/>
      <c r="U180" s="56"/>
      <c r="V180" s="56"/>
      <c r="W180" s="114" t="s">
        <v>1099</v>
      </c>
      <c r="X180" s="115"/>
      <c r="Y180" s="115"/>
      <c r="Z180" s="116"/>
      <c r="AA180" s="117" t="s">
        <v>1099</v>
      </c>
      <c r="AB180" s="116"/>
      <c r="AC180" s="56"/>
      <c r="AD180" s="116"/>
      <c r="AE180" s="44" t="s">
        <v>1099</v>
      </c>
      <c r="AF180" s="46" t="str">
        <f t="shared" si="6"/>
        <v/>
      </c>
      <c r="AG180" s="38" t="s">
        <v>1099</v>
      </c>
      <c r="AH180" s="47" t="str">
        <f t="shared" si="7"/>
        <v/>
      </c>
      <c r="AI180" s="32"/>
      <c r="AJ180" s="32"/>
      <c r="AK180" s="32"/>
      <c r="AL180" s="32"/>
      <c r="AM180" s="32" t="s">
        <v>1099</v>
      </c>
      <c r="AN180" s="32"/>
      <c r="AO180" s="32" t="s">
        <v>1099</v>
      </c>
      <c r="AP180" s="32"/>
      <c r="AQ180" s="32"/>
      <c r="AR180" s="32"/>
      <c r="AS180" s="32"/>
      <c r="AT180" s="32"/>
      <c r="AU180" s="32"/>
      <c r="AV180" s="38" t="s">
        <v>1099</v>
      </c>
      <c r="AW180" s="38" t="s">
        <v>1099</v>
      </c>
      <c r="AX180" s="42" t="s">
        <v>106</v>
      </c>
      <c r="AY180" s="62" t="str">
        <f>IF('Cálculo MP'!J181="","",'Cálculo MP'!J181)</f>
        <v/>
      </c>
      <c r="AZ180" s="62" t="str">
        <f>IF('Cálculo MP'!K181="","",'Cálculo MP'!K181)</f>
        <v/>
      </c>
      <c r="BA180" s="62" t="str">
        <f>IF('Cálculo MP'!L181="","",'Cálculo MP'!L181)</f>
        <v/>
      </c>
      <c r="BB180" s="62" t="str">
        <f>IF('Cálculo MP'!M181="","",'Cálculo MP'!M181)</f>
        <v/>
      </c>
      <c r="BC180" s="62" t="str">
        <f>IF('Cálculo MP'!N181="","",'Cálculo MP'!N181)</f>
        <v/>
      </c>
      <c r="BD180" s="62" t="str">
        <f>IF('Cálculo MP'!O181="","",'Cálculo MP'!O181)</f>
        <v/>
      </c>
      <c r="BE180" s="62" t="str">
        <f>IF('Cálculo MP'!P181="","",'Cálculo MP'!P181)</f>
        <v/>
      </c>
      <c r="BF180" s="62" t="str">
        <f>IF('Cálculo MP'!Q181="","",'Cálculo MP'!Q181)</f>
        <v/>
      </c>
      <c r="BG180" s="62" t="str">
        <f>IF('Cálculo MP'!R181="","",'Cálculo MP'!R181)</f>
        <v/>
      </c>
      <c r="BH180" s="32"/>
      <c r="BI180" s="32"/>
      <c r="BJ180" s="32"/>
      <c r="BK180" s="32"/>
      <c r="BL180" s="32"/>
      <c r="BM180" s="32"/>
      <c r="BN180" s="32"/>
      <c r="BO180" s="62" t="str">
        <f t="shared" si="8"/>
        <v/>
      </c>
    </row>
    <row r="181" spans="1:67" ht="19.5" customHeight="1" x14ac:dyDescent="0.2">
      <c r="A181" s="49" t="b">
        <v>0</v>
      </c>
      <c r="B181" s="50" t="b">
        <v>1</v>
      </c>
      <c r="C181" s="51" t="b">
        <v>0</v>
      </c>
      <c r="D181" s="51" t="b">
        <v>0</v>
      </c>
      <c r="E181" s="37"/>
      <c r="F181" s="39"/>
      <c r="G181" s="37" t="s">
        <v>1100</v>
      </c>
      <c r="H181" s="34"/>
      <c r="I181" s="34"/>
      <c r="J181" s="34" t="s">
        <v>1099</v>
      </c>
      <c r="K181" s="51" t="b">
        <v>1</v>
      </c>
      <c r="L181" s="40"/>
      <c r="M181" s="37" t="s">
        <v>1099</v>
      </c>
      <c r="N181" s="37" t="s">
        <v>1099</v>
      </c>
      <c r="O181" s="41" t="s">
        <v>1099</v>
      </c>
      <c r="P181" s="40" t="s">
        <v>1099</v>
      </c>
      <c r="Q181" s="37" t="s">
        <v>1099</v>
      </c>
      <c r="R181" s="37" t="s">
        <v>1099</v>
      </c>
      <c r="S181" s="113" t="s">
        <v>1099</v>
      </c>
      <c r="T181" s="56"/>
      <c r="U181" s="56"/>
      <c r="V181" s="56"/>
      <c r="W181" s="114" t="s">
        <v>1099</v>
      </c>
      <c r="X181" s="115"/>
      <c r="Y181" s="115"/>
      <c r="Z181" s="116"/>
      <c r="AA181" s="117" t="s">
        <v>1099</v>
      </c>
      <c r="AB181" s="116"/>
      <c r="AC181" s="56"/>
      <c r="AD181" s="116"/>
      <c r="AE181" s="44" t="s">
        <v>1099</v>
      </c>
      <c r="AF181" s="46" t="str">
        <f t="shared" si="6"/>
        <v/>
      </c>
      <c r="AG181" s="38" t="s">
        <v>1099</v>
      </c>
      <c r="AH181" s="47" t="str">
        <f t="shared" si="7"/>
        <v/>
      </c>
      <c r="AI181" s="32"/>
      <c r="AJ181" s="32"/>
      <c r="AK181" s="32"/>
      <c r="AL181" s="32"/>
      <c r="AM181" s="32" t="s">
        <v>1099</v>
      </c>
      <c r="AN181" s="32"/>
      <c r="AO181" s="32" t="s">
        <v>1099</v>
      </c>
      <c r="AP181" s="32"/>
      <c r="AQ181" s="32"/>
      <c r="AR181" s="32"/>
      <c r="AS181" s="32"/>
      <c r="AT181" s="32"/>
      <c r="AU181" s="32"/>
      <c r="AV181" s="38" t="s">
        <v>1099</v>
      </c>
      <c r="AW181" s="38" t="s">
        <v>1099</v>
      </c>
      <c r="AX181" s="42" t="s">
        <v>106</v>
      </c>
      <c r="AY181" s="62" t="str">
        <f>IF('Cálculo MP'!J182="","",'Cálculo MP'!J182)</f>
        <v/>
      </c>
      <c r="AZ181" s="62" t="str">
        <f>IF('Cálculo MP'!K182="","",'Cálculo MP'!K182)</f>
        <v/>
      </c>
      <c r="BA181" s="62" t="str">
        <f>IF('Cálculo MP'!L182="","",'Cálculo MP'!L182)</f>
        <v/>
      </c>
      <c r="BB181" s="62" t="str">
        <f>IF('Cálculo MP'!M182="","",'Cálculo MP'!M182)</f>
        <v/>
      </c>
      <c r="BC181" s="62" t="str">
        <f>IF('Cálculo MP'!N182="","",'Cálculo MP'!N182)</f>
        <v/>
      </c>
      <c r="BD181" s="62" t="str">
        <f>IF('Cálculo MP'!O182="","",'Cálculo MP'!O182)</f>
        <v/>
      </c>
      <c r="BE181" s="62" t="str">
        <f>IF('Cálculo MP'!P182="","",'Cálculo MP'!P182)</f>
        <v/>
      </c>
      <c r="BF181" s="62" t="str">
        <f>IF('Cálculo MP'!Q182="","",'Cálculo MP'!Q182)</f>
        <v/>
      </c>
      <c r="BG181" s="62" t="str">
        <f>IF('Cálculo MP'!R182="","",'Cálculo MP'!R182)</f>
        <v/>
      </c>
      <c r="BH181" s="32"/>
      <c r="BI181" s="32"/>
      <c r="BJ181" s="32"/>
      <c r="BK181" s="32"/>
      <c r="BL181" s="32"/>
      <c r="BM181" s="32"/>
      <c r="BN181" s="32"/>
      <c r="BO181" s="62" t="str">
        <f t="shared" si="8"/>
        <v/>
      </c>
    </row>
    <row r="182" spans="1:67" ht="19.5" customHeight="1" x14ac:dyDescent="0.2">
      <c r="A182" s="49" t="b">
        <v>0</v>
      </c>
      <c r="B182" s="50" t="b">
        <v>1</v>
      </c>
      <c r="C182" s="51" t="b">
        <v>0</v>
      </c>
      <c r="D182" s="51" t="b">
        <v>0</v>
      </c>
      <c r="E182" s="37"/>
      <c r="F182" s="39"/>
      <c r="G182" s="37" t="s">
        <v>1100</v>
      </c>
      <c r="H182" s="34"/>
      <c r="I182" s="34"/>
      <c r="J182" s="34" t="s">
        <v>1099</v>
      </c>
      <c r="K182" s="51" t="b">
        <v>1</v>
      </c>
      <c r="L182" s="40"/>
      <c r="M182" s="37" t="s">
        <v>1099</v>
      </c>
      <c r="N182" s="37" t="s">
        <v>1099</v>
      </c>
      <c r="O182" s="41" t="s">
        <v>1099</v>
      </c>
      <c r="P182" s="40" t="s">
        <v>1099</v>
      </c>
      <c r="Q182" s="37" t="s">
        <v>1099</v>
      </c>
      <c r="R182" s="37" t="s">
        <v>1099</v>
      </c>
      <c r="S182" s="113" t="s">
        <v>1099</v>
      </c>
      <c r="T182" s="56"/>
      <c r="U182" s="56"/>
      <c r="V182" s="56"/>
      <c r="W182" s="114" t="s">
        <v>1099</v>
      </c>
      <c r="X182" s="115"/>
      <c r="Y182" s="115"/>
      <c r="Z182" s="116"/>
      <c r="AA182" s="117" t="s">
        <v>1099</v>
      </c>
      <c r="AB182" s="116"/>
      <c r="AC182" s="56"/>
      <c r="AD182" s="116"/>
      <c r="AE182" s="44" t="s">
        <v>1099</v>
      </c>
      <c r="AF182" s="46" t="str">
        <f t="shared" si="6"/>
        <v/>
      </c>
      <c r="AG182" s="38" t="s">
        <v>1099</v>
      </c>
      <c r="AH182" s="47" t="str">
        <f t="shared" si="7"/>
        <v/>
      </c>
      <c r="AI182" s="32"/>
      <c r="AJ182" s="32"/>
      <c r="AK182" s="32"/>
      <c r="AL182" s="32"/>
      <c r="AM182" s="32" t="s">
        <v>1099</v>
      </c>
      <c r="AN182" s="32"/>
      <c r="AO182" s="32" t="s">
        <v>1099</v>
      </c>
      <c r="AP182" s="32"/>
      <c r="AQ182" s="32"/>
      <c r="AR182" s="32"/>
      <c r="AS182" s="32"/>
      <c r="AT182" s="32"/>
      <c r="AU182" s="32"/>
      <c r="AV182" s="38" t="s">
        <v>1099</v>
      </c>
      <c r="AW182" s="38" t="s">
        <v>1099</v>
      </c>
      <c r="AX182" s="42" t="s">
        <v>106</v>
      </c>
      <c r="AY182" s="62" t="str">
        <f>IF('Cálculo MP'!J183="","",'Cálculo MP'!J183)</f>
        <v/>
      </c>
      <c r="AZ182" s="62" t="str">
        <f>IF('Cálculo MP'!K183="","",'Cálculo MP'!K183)</f>
        <v/>
      </c>
      <c r="BA182" s="62" t="str">
        <f>IF('Cálculo MP'!L183="","",'Cálculo MP'!L183)</f>
        <v/>
      </c>
      <c r="BB182" s="62" t="str">
        <f>IF('Cálculo MP'!M183="","",'Cálculo MP'!M183)</f>
        <v/>
      </c>
      <c r="BC182" s="62" t="str">
        <f>IF('Cálculo MP'!N183="","",'Cálculo MP'!N183)</f>
        <v/>
      </c>
      <c r="BD182" s="62" t="str">
        <f>IF('Cálculo MP'!O183="","",'Cálculo MP'!O183)</f>
        <v/>
      </c>
      <c r="BE182" s="62" t="str">
        <f>IF('Cálculo MP'!P183="","",'Cálculo MP'!P183)</f>
        <v/>
      </c>
      <c r="BF182" s="62" t="str">
        <f>IF('Cálculo MP'!Q183="","",'Cálculo MP'!Q183)</f>
        <v/>
      </c>
      <c r="BG182" s="62" t="str">
        <f>IF('Cálculo MP'!R183="","",'Cálculo MP'!R183)</f>
        <v/>
      </c>
      <c r="BH182" s="32"/>
      <c r="BI182" s="32"/>
      <c r="BJ182" s="32"/>
      <c r="BK182" s="32"/>
      <c r="BL182" s="32"/>
      <c r="BM182" s="32"/>
      <c r="BN182" s="32"/>
      <c r="BO182" s="62" t="str">
        <f t="shared" si="8"/>
        <v/>
      </c>
    </row>
    <row r="183" spans="1:67" ht="19.5" customHeight="1" x14ac:dyDescent="0.2">
      <c r="A183" s="49" t="b">
        <v>0</v>
      </c>
      <c r="B183" s="50" t="b">
        <v>1</v>
      </c>
      <c r="C183" s="51" t="b">
        <v>0</v>
      </c>
      <c r="D183" s="51" t="b">
        <v>0</v>
      </c>
      <c r="E183" s="37"/>
      <c r="F183" s="39"/>
      <c r="G183" s="37" t="s">
        <v>1100</v>
      </c>
      <c r="H183" s="34"/>
      <c r="I183" s="34"/>
      <c r="J183" s="34" t="s">
        <v>1099</v>
      </c>
      <c r="K183" s="51" t="b">
        <v>1</v>
      </c>
      <c r="L183" s="40"/>
      <c r="M183" s="37" t="s">
        <v>1099</v>
      </c>
      <c r="N183" s="37" t="s">
        <v>1099</v>
      </c>
      <c r="O183" s="41" t="s">
        <v>1099</v>
      </c>
      <c r="P183" s="40" t="s">
        <v>1099</v>
      </c>
      <c r="Q183" s="37" t="s">
        <v>1099</v>
      </c>
      <c r="R183" s="37" t="s">
        <v>1099</v>
      </c>
      <c r="S183" s="113" t="s">
        <v>1099</v>
      </c>
      <c r="T183" s="56"/>
      <c r="U183" s="56"/>
      <c r="V183" s="56"/>
      <c r="W183" s="114" t="s">
        <v>1099</v>
      </c>
      <c r="X183" s="115"/>
      <c r="Y183" s="115"/>
      <c r="Z183" s="116"/>
      <c r="AA183" s="117" t="s">
        <v>1099</v>
      </c>
      <c r="AB183" s="116"/>
      <c r="AC183" s="56"/>
      <c r="AD183" s="116"/>
      <c r="AE183" s="44" t="s">
        <v>1099</v>
      </c>
      <c r="AF183" s="46" t="str">
        <f t="shared" si="6"/>
        <v/>
      </c>
      <c r="AG183" s="38" t="s">
        <v>1099</v>
      </c>
      <c r="AH183" s="47" t="str">
        <f t="shared" si="7"/>
        <v/>
      </c>
      <c r="AI183" s="32"/>
      <c r="AJ183" s="32"/>
      <c r="AK183" s="32"/>
      <c r="AL183" s="32"/>
      <c r="AM183" s="32" t="s">
        <v>1099</v>
      </c>
      <c r="AN183" s="32"/>
      <c r="AO183" s="32" t="s">
        <v>1099</v>
      </c>
      <c r="AP183" s="32"/>
      <c r="AQ183" s="32"/>
      <c r="AR183" s="32"/>
      <c r="AS183" s="32"/>
      <c r="AT183" s="32"/>
      <c r="AU183" s="32"/>
      <c r="AV183" s="38" t="s">
        <v>1099</v>
      </c>
      <c r="AW183" s="38" t="s">
        <v>1099</v>
      </c>
      <c r="AX183" s="42" t="s">
        <v>106</v>
      </c>
      <c r="AY183" s="62" t="str">
        <f>IF('Cálculo MP'!J184="","",'Cálculo MP'!J184)</f>
        <v/>
      </c>
      <c r="AZ183" s="62" t="str">
        <f>IF('Cálculo MP'!K184="","",'Cálculo MP'!K184)</f>
        <v/>
      </c>
      <c r="BA183" s="62" t="str">
        <f>IF('Cálculo MP'!L184="","",'Cálculo MP'!L184)</f>
        <v/>
      </c>
      <c r="BB183" s="62" t="str">
        <f>IF('Cálculo MP'!M184="","",'Cálculo MP'!M184)</f>
        <v/>
      </c>
      <c r="BC183" s="62" t="str">
        <f>IF('Cálculo MP'!N184="","",'Cálculo MP'!N184)</f>
        <v/>
      </c>
      <c r="BD183" s="62" t="str">
        <f>IF('Cálculo MP'!O184="","",'Cálculo MP'!O184)</f>
        <v/>
      </c>
      <c r="BE183" s="62" t="str">
        <f>IF('Cálculo MP'!P184="","",'Cálculo MP'!P184)</f>
        <v/>
      </c>
      <c r="BF183" s="62" t="str">
        <f>IF('Cálculo MP'!Q184="","",'Cálculo MP'!Q184)</f>
        <v/>
      </c>
      <c r="BG183" s="62" t="str">
        <f>IF('Cálculo MP'!R184="","",'Cálculo MP'!R184)</f>
        <v/>
      </c>
      <c r="BH183" s="32"/>
      <c r="BI183" s="32"/>
      <c r="BJ183" s="32"/>
      <c r="BK183" s="32"/>
      <c r="BL183" s="32"/>
      <c r="BM183" s="32"/>
      <c r="BN183" s="32"/>
      <c r="BO183" s="62" t="str">
        <f t="shared" si="8"/>
        <v/>
      </c>
    </row>
    <row r="184" spans="1:67" ht="19.5" customHeight="1" x14ac:dyDescent="0.2">
      <c r="A184" s="49" t="b">
        <v>0</v>
      </c>
      <c r="B184" s="50" t="b">
        <v>1</v>
      </c>
      <c r="C184" s="51" t="b">
        <v>0</v>
      </c>
      <c r="D184" s="51" t="b">
        <v>0</v>
      </c>
      <c r="E184" s="37"/>
      <c r="F184" s="39"/>
      <c r="G184" s="37" t="s">
        <v>1100</v>
      </c>
      <c r="H184" s="34"/>
      <c r="I184" s="34"/>
      <c r="J184" s="34" t="s">
        <v>1099</v>
      </c>
      <c r="K184" s="51" t="b">
        <v>1</v>
      </c>
      <c r="L184" s="40"/>
      <c r="M184" s="37" t="s">
        <v>1099</v>
      </c>
      <c r="N184" s="37" t="s">
        <v>1099</v>
      </c>
      <c r="O184" s="41" t="s">
        <v>1099</v>
      </c>
      <c r="P184" s="40" t="s">
        <v>1099</v>
      </c>
      <c r="Q184" s="37" t="s">
        <v>1099</v>
      </c>
      <c r="R184" s="37" t="s">
        <v>1099</v>
      </c>
      <c r="S184" s="113" t="s">
        <v>1099</v>
      </c>
      <c r="T184" s="56"/>
      <c r="U184" s="56"/>
      <c r="V184" s="56"/>
      <c r="W184" s="114" t="s">
        <v>1099</v>
      </c>
      <c r="X184" s="115"/>
      <c r="Y184" s="115"/>
      <c r="Z184" s="116"/>
      <c r="AA184" s="117" t="s">
        <v>1099</v>
      </c>
      <c r="AB184" s="116"/>
      <c r="AC184" s="56"/>
      <c r="AD184" s="116"/>
      <c r="AE184" s="44" t="s">
        <v>1099</v>
      </c>
      <c r="AF184" s="46" t="str">
        <f t="shared" si="6"/>
        <v/>
      </c>
      <c r="AG184" s="38" t="s">
        <v>1099</v>
      </c>
      <c r="AH184" s="47" t="str">
        <f t="shared" si="7"/>
        <v/>
      </c>
      <c r="AI184" s="32"/>
      <c r="AJ184" s="32"/>
      <c r="AK184" s="32"/>
      <c r="AL184" s="32"/>
      <c r="AM184" s="32" t="s">
        <v>1099</v>
      </c>
      <c r="AN184" s="32"/>
      <c r="AO184" s="32" t="s">
        <v>1099</v>
      </c>
      <c r="AP184" s="32"/>
      <c r="AQ184" s="32"/>
      <c r="AR184" s="32"/>
      <c r="AS184" s="32"/>
      <c r="AT184" s="32"/>
      <c r="AU184" s="32"/>
      <c r="AV184" s="38" t="s">
        <v>1099</v>
      </c>
      <c r="AW184" s="38" t="s">
        <v>1099</v>
      </c>
      <c r="AX184" s="42" t="s">
        <v>106</v>
      </c>
      <c r="AY184" s="62" t="str">
        <f>IF('Cálculo MP'!J185="","",'Cálculo MP'!J185)</f>
        <v/>
      </c>
      <c r="AZ184" s="62" t="str">
        <f>IF('Cálculo MP'!K185="","",'Cálculo MP'!K185)</f>
        <v/>
      </c>
      <c r="BA184" s="62" t="str">
        <f>IF('Cálculo MP'!L185="","",'Cálculo MP'!L185)</f>
        <v/>
      </c>
      <c r="BB184" s="62" t="str">
        <f>IF('Cálculo MP'!M185="","",'Cálculo MP'!M185)</f>
        <v/>
      </c>
      <c r="BC184" s="62" t="str">
        <f>IF('Cálculo MP'!N185="","",'Cálculo MP'!N185)</f>
        <v/>
      </c>
      <c r="BD184" s="62" t="str">
        <f>IF('Cálculo MP'!O185="","",'Cálculo MP'!O185)</f>
        <v/>
      </c>
      <c r="BE184" s="62" t="str">
        <f>IF('Cálculo MP'!P185="","",'Cálculo MP'!P185)</f>
        <v/>
      </c>
      <c r="BF184" s="62" t="str">
        <f>IF('Cálculo MP'!Q185="","",'Cálculo MP'!Q185)</f>
        <v/>
      </c>
      <c r="BG184" s="62" t="str">
        <f>IF('Cálculo MP'!R185="","",'Cálculo MP'!R185)</f>
        <v/>
      </c>
      <c r="BH184" s="32"/>
      <c r="BI184" s="32"/>
      <c r="BJ184" s="32"/>
      <c r="BK184" s="32"/>
      <c r="BL184" s="32"/>
      <c r="BM184" s="32"/>
      <c r="BN184" s="32"/>
      <c r="BO184" s="62" t="str">
        <f t="shared" si="8"/>
        <v/>
      </c>
    </row>
    <row r="185" spans="1:67" ht="19.5" customHeight="1" x14ac:dyDescent="0.2">
      <c r="A185" s="49" t="b">
        <v>0</v>
      </c>
      <c r="B185" s="50" t="b">
        <v>1</v>
      </c>
      <c r="C185" s="51" t="b">
        <v>0</v>
      </c>
      <c r="D185" s="51" t="b">
        <v>0</v>
      </c>
      <c r="E185" s="37"/>
      <c r="F185" s="39"/>
      <c r="G185" s="37" t="s">
        <v>1100</v>
      </c>
      <c r="H185" s="34"/>
      <c r="I185" s="34"/>
      <c r="J185" s="34" t="s">
        <v>1099</v>
      </c>
      <c r="K185" s="51" t="b">
        <v>1</v>
      </c>
      <c r="L185" s="40"/>
      <c r="M185" s="37" t="s">
        <v>1099</v>
      </c>
      <c r="N185" s="37" t="s">
        <v>1099</v>
      </c>
      <c r="O185" s="41" t="s">
        <v>1099</v>
      </c>
      <c r="P185" s="40" t="s">
        <v>1099</v>
      </c>
      <c r="Q185" s="37" t="s">
        <v>1099</v>
      </c>
      <c r="R185" s="37" t="s">
        <v>1099</v>
      </c>
      <c r="S185" s="113" t="s">
        <v>1099</v>
      </c>
      <c r="T185" s="56"/>
      <c r="U185" s="56"/>
      <c r="V185" s="56"/>
      <c r="W185" s="114" t="s">
        <v>1099</v>
      </c>
      <c r="X185" s="115"/>
      <c r="Y185" s="115"/>
      <c r="Z185" s="116"/>
      <c r="AA185" s="117" t="s">
        <v>1099</v>
      </c>
      <c r="AB185" s="116"/>
      <c r="AC185" s="56"/>
      <c r="AD185" s="116"/>
      <c r="AE185" s="44" t="s">
        <v>1099</v>
      </c>
      <c r="AF185" s="46" t="str">
        <f t="shared" si="6"/>
        <v/>
      </c>
      <c r="AG185" s="38" t="s">
        <v>1099</v>
      </c>
      <c r="AH185" s="47" t="str">
        <f t="shared" si="7"/>
        <v/>
      </c>
      <c r="AI185" s="32"/>
      <c r="AJ185" s="32"/>
      <c r="AK185" s="32"/>
      <c r="AL185" s="32"/>
      <c r="AM185" s="32" t="s">
        <v>1099</v>
      </c>
      <c r="AN185" s="32"/>
      <c r="AO185" s="32" t="s">
        <v>1099</v>
      </c>
      <c r="AP185" s="32"/>
      <c r="AQ185" s="32"/>
      <c r="AR185" s="32"/>
      <c r="AS185" s="32"/>
      <c r="AT185" s="32"/>
      <c r="AU185" s="32"/>
      <c r="AV185" s="38" t="s">
        <v>1099</v>
      </c>
      <c r="AW185" s="38" t="s">
        <v>1099</v>
      </c>
      <c r="AX185" s="42" t="s">
        <v>106</v>
      </c>
      <c r="AY185" s="62" t="str">
        <f>IF('Cálculo MP'!J186="","",'Cálculo MP'!J186)</f>
        <v/>
      </c>
      <c r="AZ185" s="62" t="str">
        <f>IF('Cálculo MP'!K186="","",'Cálculo MP'!K186)</f>
        <v/>
      </c>
      <c r="BA185" s="62" t="str">
        <f>IF('Cálculo MP'!L186="","",'Cálculo MP'!L186)</f>
        <v/>
      </c>
      <c r="BB185" s="62" t="str">
        <f>IF('Cálculo MP'!M186="","",'Cálculo MP'!M186)</f>
        <v/>
      </c>
      <c r="BC185" s="62" t="str">
        <f>IF('Cálculo MP'!N186="","",'Cálculo MP'!N186)</f>
        <v/>
      </c>
      <c r="BD185" s="62" t="str">
        <f>IF('Cálculo MP'!O186="","",'Cálculo MP'!O186)</f>
        <v/>
      </c>
      <c r="BE185" s="62" t="str">
        <f>IF('Cálculo MP'!P186="","",'Cálculo MP'!P186)</f>
        <v/>
      </c>
      <c r="BF185" s="62" t="str">
        <f>IF('Cálculo MP'!Q186="","",'Cálculo MP'!Q186)</f>
        <v/>
      </c>
      <c r="BG185" s="62" t="str">
        <f>IF('Cálculo MP'!R186="","",'Cálculo MP'!R186)</f>
        <v/>
      </c>
      <c r="BH185" s="32"/>
      <c r="BI185" s="32"/>
      <c r="BJ185" s="32"/>
      <c r="BK185" s="32"/>
      <c r="BL185" s="32"/>
      <c r="BM185" s="32"/>
      <c r="BN185" s="32"/>
      <c r="BO185" s="62" t="str">
        <f t="shared" si="8"/>
        <v/>
      </c>
    </row>
    <row r="186" spans="1:67" ht="19.5" customHeight="1" x14ac:dyDescent="0.2">
      <c r="A186" s="49" t="b">
        <v>0</v>
      </c>
      <c r="B186" s="50" t="b">
        <v>1</v>
      </c>
      <c r="C186" s="51" t="b">
        <v>0</v>
      </c>
      <c r="D186" s="51" t="b">
        <v>0</v>
      </c>
      <c r="E186" s="37"/>
      <c r="F186" s="39"/>
      <c r="G186" s="37" t="s">
        <v>1100</v>
      </c>
      <c r="H186" s="34"/>
      <c r="I186" s="34"/>
      <c r="J186" s="34" t="s">
        <v>1099</v>
      </c>
      <c r="K186" s="51" t="b">
        <v>1</v>
      </c>
      <c r="L186" s="40"/>
      <c r="M186" s="37" t="s">
        <v>1099</v>
      </c>
      <c r="N186" s="37" t="s">
        <v>1099</v>
      </c>
      <c r="O186" s="41" t="s">
        <v>1099</v>
      </c>
      <c r="P186" s="40" t="s">
        <v>1099</v>
      </c>
      <c r="Q186" s="37" t="s">
        <v>1099</v>
      </c>
      <c r="R186" s="37" t="s">
        <v>1099</v>
      </c>
      <c r="S186" s="113" t="s">
        <v>1099</v>
      </c>
      <c r="T186" s="56"/>
      <c r="U186" s="56"/>
      <c r="V186" s="56"/>
      <c r="W186" s="114" t="s">
        <v>1099</v>
      </c>
      <c r="X186" s="115"/>
      <c r="Y186" s="115"/>
      <c r="Z186" s="116"/>
      <c r="AA186" s="117" t="s">
        <v>1099</v>
      </c>
      <c r="AB186" s="116"/>
      <c r="AC186" s="56"/>
      <c r="AD186" s="116"/>
      <c r="AE186" s="44" t="s">
        <v>1099</v>
      </c>
      <c r="AF186" s="46" t="str">
        <f t="shared" si="6"/>
        <v/>
      </c>
      <c r="AG186" s="38" t="s">
        <v>1099</v>
      </c>
      <c r="AH186" s="47" t="str">
        <f t="shared" si="7"/>
        <v/>
      </c>
      <c r="AI186" s="32"/>
      <c r="AJ186" s="32"/>
      <c r="AK186" s="32"/>
      <c r="AL186" s="32"/>
      <c r="AM186" s="32" t="s">
        <v>1099</v>
      </c>
      <c r="AN186" s="32"/>
      <c r="AO186" s="32" t="s">
        <v>1099</v>
      </c>
      <c r="AP186" s="32"/>
      <c r="AQ186" s="32"/>
      <c r="AR186" s="32"/>
      <c r="AS186" s="32"/>
      <c r="AT186" s="32"/>
      <c r="AU186" s="32"/>
      <c r="AV186" s="38" t="s">
        <v>1099</v>
      </c>
      <c r="AW186" s="38" t="s">
        <v>1099</v>
      </c>
      <c r="AX186" s="42" t="s">
        <v>106</v>
      </c>
      <c r="AY186" s="62" t="str">
        <f>IF('Cálculo MP'!J187="","",'Cálculo MP'!J187)</f>
        <v/>
      </c>
      <c r="AZ186" s="62" t="str">
        <f>IF('Cálculo MP'!K187="","",'Cálculo MP'!K187)</f>
        <v/>
      </c>
      <c r="BA186" s="62" t="str">
        <f>IF('Cálculo MP'!L187="","",'Cálculo MP'!L187)</f>
        <v/>
      </c>
      <c r="BB186" s="62" t="str">
        <f>IF('Cálculo MP'!M187="","",'Cálculo MP'!M187)</f>
        <v/>
      </c>
      <c r="BC186" s="62" t="str">
        <f>IF('Cálculo MP'!N187="","",'Cálculo MP'!N187)</f>
        <v/>
      </c>
      <c r="BD186" s="62" t="str">
        <f>IF('Cálculo MP'!O187="","",'Cálculo MP'!O187)</f>
        <v/>
      </c>
      <c r="BE186" s="62" t="str">
        <f>IF('Cálculo MP'!P187="","",'Cálculo MP'!P187)</f>
        <v/>
      </c>
      <c r="BF186" s="62" t="str">
        <f>IF('Cálculo MP'!Q187="","",'Cálculo MP'!Q187)</f>
        <v/>
      </c>
      <c r="BG186" s="62" t="str">
        <f>IF('Cálculo MP'!R187="","",'Cálculo MP'!R187)</f>
        <v/>
      </c>
      <c r="BH186" s="32"/>
      <c r="BI186" s="32"/>
      <c r="BJ186" s="32"/>
      <c r="BK186" s="32"/>
      <c r="BL186" s="32"/>
      <c r="BM186" s="32"/>
      <c r="BN186" s="32"/>
      <c r="BO186" s="62" t="str">
        <f t="shared" si="8"/>
        <v/>
      </c>
    </row>
    <row r="187" spans="1:67" ht="19.5" customHeight="1" x14ac:dyDescent="0.2">
      <c r="A187" s="49" t="b">
        <v>0</v>
      </c>
      <c r="B187" s="50" t="b">
        <v>1</v>
      </c>
      <c r="C187" s="51" t="b">
        <v>0</v>
      </c>
      <c r="D187" s="51" t="b">
        <v>0</v>
      </c>
      <c r="E187" s="37"/>
      <c r="F187" s="39"/>
      <c r="G187" s="37" t="s">
        <v>1100</v>
      </c>
      <c r="H187" s="34"/>
      <c r="I187" s="34"/>
      <c r="J187" s="34" t="s">
        <v>1099</v>
      </c>
      <c r="K187" s="51" t="b">
        <v>1</v>
      </c>
      <c r="L187" s="40"/>
      <c r="M187" s="37" t="s">
        <v>1099</v>
      </c>
      <c r="N187" s="37" t="s">
        <v>1099</v>
      </c>
      <c r="O187" s="41" t="s">
        <v>1099</v>
      </c>
      <c r="P187" s="40" t="s">
        <v>1099</v>
      </c>
      <c r="Q187" s="37" t="s">
        <v>1099</v>
      </c>
      <c r="R187" s="37" t="s">
        <v>1099</v>
      </c>
      <c r="S187" s="113" t="s">
        <v>1099</v>
      </c>
      <c r="T187" s="56"/>
      <c r="U187" s="56"/>
      <c r="V187" s="56"/>
      <c r="W187" s="114" t="s">
        <v>1099</v>
      </c>
      <c r="X187" s="115"/>
      <c r="Y187" s="115"/>
      <c r="Z187" s="116"/>
      <c r="AA187" s="117" t="s">
        <v>1099</v>
      </c>
      <c r="AB187" s="116"/>
      <c r="AC187" s="56"/>
      <c r="AD187" s="116"/>
      <c r="AE187" s="44" t="s">
        <v>1099</v>
      </c>
      <c r="AF187" s="46" t="str">
        <f t="shared" si="6"/>
        <v/>
      </c>
      <c r="AG187" s="38" t="s">
        <v>1099</v>
      </c>
      <c r="AH187" s="47" t="str">
        <f t="shared" si="7"/>
        <v/>
      </c>
      <c r="AI187" s="32"/>
      <c r="AJ187" s="32"/>
      <c r="AK187" s="32"/>
      <c r="AL187" s="32"/>
      <c r="AM187" s="32" t="s">
        <v>1099</v>
      </c>
      <c r="AN187" s="32"/>
      <c r="AO187" s="32" t="s">
        <v>1099</v>
      </c>
      <c r="AP187" s="32"/>
      <c r="AQ187" s="32"/>
      <c r="AR187" s="32"/>
      <c r="AS187" s="32"/>
      <c r="AT187" s="32"/>
      <c r="AU187" s="32"/>
      <c r="AV187" s="38" t="s">
        <v>1099</v>
      </c>
      <c r="AW187" s="38" t="s">
        <v>1099</v>
      </c>
      <c r="AX187" s="42" t="s">
        <v>106</v>
      </c>
      <c r="AY187" s="62" t="str">
        <f>IF('Cálculo MP'!J188="","",'Cálculo MP'!J188)</f>
        <v/>
      </c>
      <c r="AZ187" s="62" t="str">
        <f>IF('Cálculo MP'!K188="","",'Cálculo MP'!K188)</f>
        <v/>
      </c>
      <c r="BA187" s="62" t="str">
        <f>IF('Cálculo MP'!L188="","",'Cálculo MP'!L188)</f>
        <v/>
      </c>
      <c r="BB187" s="62" t="str">
        <f>IF('Cálculo MP'!M188="","",'Cálculo MP'!M188)</f>
        <v/>
      </c>
      <c r="BC187" s="62" t="str">
        <f>IF('Cálculo MP'!N188="","",'Cálculo MP'!N188)</f>
        <v/>
      </c>
      <c r="BD187" s="62" t="str">
        <f>IF('Cálculo MP'!O188="","",'Cálculo MP'!O188)</f>
        <v/>
      </c>
      <c r="BE187" s="62" t="str">
        <f>IF('Cálculo MP'!P188="","",'Cálculo MP'!P188)</f>
        <v/>
      </c>
      <c r="BF187" s="62" t="str">
        <f>IF('Cálculo MP'!Q188="","",'Cálculo MP'!Q188)</f>
        <v/>
      </c>
      <c r="BG187" s="62" t="str">
        <f>IF('Cálculo MP'!R188="","",'Cálculo MP'!R188)</f>
        <v/>
      </c>
      <c r="BH187" s="32"/>
      <c r="BI187" s="32"/>
      <c r="BJ187" s="32"/>
      <c r="BK187" s="32"/>
      <c r="BL187" s="32"/>
      <c r="BM187" s="32"/>
      <c r="BN187" s="32"/>
      <c r="BO187" s="62" t="str">
        <f t="shared" si="8"/>
        <v/>
      </c>
    </row>
    <row r="188" spans="1:67" ht="19.5" customHeight="1" x14ac:dyDescent="0.2">
      <c r="A188" s="49" t="b">
        <v>0</v>
      </c>
      <c r="B188" s="50" t="b">
        <v>1</v>
      </c>
      <c r="C188" s="51" t="b">
        <v>0</v>
      </c>
      <c r="D188" s="51" t="b">
        <v>0</v>
      </c>
      <c r="E188" s="37"/>
      <c r="F188" s="39"/>
      <c r="G188" s="37" t="s">
        <v>1100</v>
      </c>
      <c r="H188" s="34"/>
      <c r="I188" s="34"/>
      <c r="J188" s="34" t="s">
        <v>1099</v>
      </c>
      <c r="K188" s="51" t="b">
        <v>1</v>
      </c>
      <c r="L188" s="40"/>
      <c r="M188" s="37" t="s">
        <v>1099</v>
      </c>
      <c r="N188" s="37" t="s">
        <v>1099</v>
      </c>
      <c r="O188" s="41" t="s">
        <v>1099</v>
      </c>
      <c r="P188" s="40" t="s">
        <v>1099</v>
      </c>
      <c r="Q188" s="37" t="s">
        <v>1099</v>
      </c>
      <c r="R188" s="37" t="s">
        <v>1099</v>
      </c>
      <c r="S188" s="113" t="s">
        <v>1099</v>
      </c>
      <c r="T188" s="56"/>
      <c r="U188" s="56"/>
      <c r="V188" s="56"/>
      <c r="W188" s="114" t="s">
        <v>1099</v>
      </c>
      <c r="X188" s="115"/>
      <c r="Y188" s="115"/>
      <c r="Z188" s="116"/>
      <c r="AA188" s="117" t="s">
        <v>1099</v>
      </c>
      <c r="AB188" s="116"/>
      <c r="AC188" s="56"/>
      <c r="AD188" s="116"/>
      <c r="AE188" s="44" t="s">
        <v>1099</v>
      </c>
      <c r="AF188" s="46" t="str">
        <f t="shared" si="6"/>
        <v/>
      </c>
      <c r="AG188" s="38" t="s">
        <v>1099</v>
      </c>
      <c r="AH188" s="47" t="str">
        <f t="shared" si="7"/>
        <v/>
      </c>
      <c r="AI188" s="32"/>
      <c r="AJ188" s="32"/>
      <c r="AK188" s="32"/>
      <c r="AL188" s="32"/>
      <c r="AM188" s="32" t="s">
        <v>1099</v>
      </c>
      <c r="AN188" s="32"/>
      <c r="AO188" s="32" t="s">
        <v>1099</v>
      </c>
      <c r="AP188" s="32"/>
      <c r="AQ188" s="32"/>
      <c r="AR188" s="32"/>
      <c r="AS188" s="32"/>
      <c r="AT188" s="32"/>
      <c r="AU188" s="32"/>
      <c r="AV188" s="38" t="s">
        <v>1099</v>
      </c>
      <c r="AW188" s="38" t="s">
        <v>1099</v>
      </c>
      <c r="AX188" s="42" t="s">
        <v>106</v>
      </c>
      <c r="AY188" s="62" t="str">
        <f>IF('Cálculo MP'!J189="","",'Cálculo MP'!J189)</f>
        <v/>
      </c>
      <c r="AZ188" s="62" t="str">
        <f>IF('Cálculo MP'!K189="","",'Cálculo MP'!K189)</f>
        <v/>
      </c>
      <c r="BA188" s="62" t="str">
        <f>IF('Cálculo MP'!L189="","",'Cálculo MP'!L189)</f>
        <v/>
      </c>
      <c r="BB188" s="62" t="str">
        <f>IF('Cálculo MP'!M189="","",'Cálculo MP'!M189)</f>
        <v/>
      </c>
      <c r="BC188" s="62" t="str">
        <f>IF('Cálculo MP'!N189="","",'Cálculo MP'!N189)</f>
        <v/>
      </c>
      <c r="BD188" s="62" t="str">
        <f>IF('Cálculo MP'!O189="","",'Cálculo MP'!O189)</f>
        <v/>
      </c>
      <c r="BE188" s="62" t="str">
        <f>IF('Cálculo MP'!P189="","",'Cálculo MP'!P189)</f>
        <v/>
      </c>
      <c r="BF188" s="62" t="str">
        <f>IF('Cálculo MP'!Q189="","",'Cálculo MP'!Q189)</f>
        <v/>
      </c>
      <c r="BG188" s="62" t="str">
        <f>IF('Cálculo MP'!R189="","",'Cálculo MP'!R189)</f>
        <v/>
      </c>
      <c r="BH188" s="32"/>
      <c r="BI188" s="32"/>
      <c r="BJ188" s="32"/>
      <c r="BK188" s="32"/>
      <c r="BL188" s="32"/>
      <c r="BM188" s="32"/>
      <c r="BN188" s="32"/>
      <c r="BO188" s="62" t="str">
        <f t="shared" si="8"/>
        <v/>
      </c>
    </row>
    <row r="189" spans="1:67" ht="19.5" customHeight="1" x14ac:dyDescent="0.2">
      <c r="A189" s="49" t="b">
        <v>0</v>
      </c>
      <c r="B189" s="50" t="b">
        <v>1</v>
      </c>
      <c r="C189" s="51" t="b">
        <v>0</v>
      </c>
      <c r="D189" s="51" t="b">
        <v>0</v>
      </c>
      <c r="E189" s="37"/>
      <c r="F189" s="39"/>
      <c r="G189" s="37" t="s">
        <v>1100</v>
      </c>
      <c r="H189" s="34"/>
      <c r="I189" s="34"/>
      <c r="J189" s="34" t="s">
        <v>1099</v>
      </c>
      <c r="K189" s="51" t="b">
        <v>1</v>
      </c>
      <c r="L189" s="40"/>
      <c r="M189" s="37" t="s">
        <v>1099</v>
      </c>
      <c r="N189" s="37" t="s">
        <v>1099</v>
      </c>
      <c r="O189" s="41" t="s">
        <v>1099</v>
      </c>
      <c r="P189" s="40" t="s">
        <v>1099</v>
      </c>
      <c r="Q189" s="37" t="s">
        <v>1099</v>
      </c>
      <c r="R189" s="37" t="s">
        <v>1099</v>
      </c>
      <c r="S189" s="113" t="s">
        <v>1099</v>
      </c>
      <c r="T189" s="56"/>
      <c r="U189" s="56"/>
      <c r="V189" s="56"/>
      <c r="W189" s="114" t="s">
        <v>1099</v>
      </c>
      <c r="X189" s="115"/>
      <c r="Y189" s="115"/>
      <c r="Z189" s="116"/>
      <c r="AA189" s="117" t="s">
        <v>1099</v>
      </c>
      <c r="AB189" s="116"/>
      <c r="AC189" s="56"/>
      <c r="AD189" s="116"/>
      <c r="AE189" s="44" t="s">
        <v>1099</v>
      </c>
      <c r="AF189" s="46" t="str">
        <f t="shared" si="6"/>
        <v/>
      </c>
      <c r="AG189" s="38" t="s">
        <v>1099</v>
      </c>
      <c r="AH189" s="47" t="str">
        <f t="shared" si="7"/>
        <v/>
      </c>
      <c r="AI189" s="32"/>
      <c r="AJ189" s="32"/>
      <c r="AK189" s="32"/>
      <c r="AL189" s="32"/>
      <c r="AM189" s="32" t="s">
        <v>1099</v>
      </c>
      <c r="AN189" s="32"/>
      <c r="AO189" s="32" t="s">
        <v>1099</v>
      </c>
      <c r="AP189" s="32"/>
      <c r="AQ189" s="32"/>
      <c r="AR189" s="32"/>
      <c r="AS189" s="32"/>
      <c r="AT189" s="32"/>
      <c r="AU189" s="32"/>
      <c r="AV189" s="38" t="s">
        <v>1099</v>
      </c>
      <c r="AW189" s="38" t="s">
        <v>1099</v>
      </c>
      <c r="AX189" s="42" t="s">
        <v>106</v>
      </c>
      <c r="AY189" s="62" t="str">
        <f>IF('Cálculo MP'!J190="","",'Cálculo MP'!J190)</f>
        <v/>
      </c>
      <c r="AZ189" s="62" t="str">
        <f>IF('Cálculo MP'!K190="","",'Cálculo MP'!K190)</f>
        <v/>
      </c>
      <c r="BA189" s="62" t="str">
        <f>IF('Cálculo MP'!L190="","",'Cálculo MP'!L190)</f>
        <v/>
      </c>
      <c r="BB189" s="62" t="str">
        <f>IF('Cálculo MP'!M190="","",'Cálculo MP'!M190)</f>
        <v/>
      </c>
      <c r="BC189" s="62" t="str">
        <f>IF('Cálculo MP'!N190="","",'Cálculo MP'!N190)</f>
        <v/>
      </c>
      <c r="BD189" s="62" t="str">
        <f>IF('Cálculo MP'!O190="","",'Cálculo MP'!O190)</f>
        <v/>
      </c>
      <c r="BE189" s="62" t="str">
        <f>IF('Cálculo MP'!P190="","",'Cálculo MP'!P190)</f>
        <v/>
      </c>
      <c r="BF189" s="62" t="str">
        <f>IF('Cálculo MP'!Q190="","",'Cálculo MP'!Q190)</f>
        <v/>
      </c>
      <c r="BG189" s="62" t="str">
        <f>IF('Cálculo MP'!R190="","",'Cálculo MP'!R190)</f>
        <v/>
      </c>
      <c r="BH189" s="32"/>
      <c r="BI189" s="32"/>
      <c r="BJ189" s="32"/>
      <c r="BK189" s="32"/>
      <c r="BL189" s="32"/>
      <c r="BM189" s="32"/>
      <c r="BN189" s="32"/>
      <c r="BO189" s="62" t="str">
        <f t="shared" si="8"/>
        <v/>
      </c>
    </row>
    <row r="190" spans="1:67" ht="19.5" customHeight="1" x14ac:dyDescent="0.2">
      <c r="A190" s="49" t="b">
        <v>0</v>
      </c>
      <c r="B190" s="50" t="b">
        <v>1</v>
      </c>
      <c r="C190" s="51" t="b">
        <v>0</v>
      </c>
      <c r="D190" s="51" t="b">
        <v>0</v>
      </c>
      <c r="E190" s="37"/>
      <c r="F190" s="39"/>
      <c r="G190" s="37" t="s">
        <v>1100</v>
      </c>
      <c r="H190" s="34"/>
      <c r="I190" s="34"/>
      <c r="J190" s="34" t="s">
        <v>1099</v>
      </c>
      <c r="K190" s="51" t="b">
        <v>1</v>
      </c>
      <c r="L190" s="40"/>
      <c r="M190" s="37" t="s">
        <v>1099</v>
      </c>
      <c r="N190" s="37" t="s">
        <v>1099</v>
      </c>
      <c r="O190" s="41" t="s">
        <v>1099</v>
      </c>
      <c r="P190" s="40" t="s">
        <v>1099</v>
      </c>
      <c r="Q190" s="37" t="s">
        <v>1099</v>
      </c>
      <c r="R190" s="37" t="s">
        <v>1099</v>
      </c>
      <c r="S190" s="113" t="s">
        <v>1099</v>
      </c>
      <c r="T190" s="56"/>
      <c r="U190" s="56"/>
      <c r="V190" s="56"/>
      <c r="W190" s="114" t="s">
        <v>1099</v>
      </c>
      <c r="X190" s="115"/>
      <c r="Y190" s="115"/>
      <c r="Z190" s="116"/>
      <c r="AA190" s="117" t="s">
        <v>1099</v>
      </c>
      <c r="AB190" s="116"/>
      <c r="AC190" s="56"/>
      <c r="AD190" s="116"/>
      <c r="AE190" s="44" t="s">
        <v>1099</v>
      </c>
      <c r="AF190" s="46" t="str">
        <f t="shared" si="6"/>
        <v/>
      </c>
      <c r="AG190" s="38" t="s">
        <v>1099</v>
      </c>
      <c r="AH190" s="47" t="str">
        <f t="shared" si="7"/>
        <v/>
      </c>
      <c r="AI190" s="32"/>
      <c r="AJ190" s="32"/>
      <c r="AK190" s="32"/>
      <c r="AL190" s="32"/>
      <c r="AM190" s="32" t="s">
        <v>1099</v>
      </c>
      <c r="AN190" s="32"/>
      <c r="AO190" s="32" t="s">
        <v>1099</v>
      </c>
      <c r="AP190" s="32"/>
      <c r="AQ190" s="32"/>
      <c r="AR190" s="32"/>
      <c r="AS190" s="32"/>
      <c r="AT190" s="32"/>
      <c r="AU190" s="32"/>
      <c r="AV190" s="38" t="s">
        <v>1099</v>
      </c>
      <c r="AW190" s="38" t="s">
        <v>1099</v>
      </c>
      <c r="AX190" s="42" t="s">
        <v>106</v>
      </c>
      <c r="AY190" s="62" t="str">
        <f>IF('Cálculo MP'!J191="","",'Cálculo MP'!J191)</f>
        <v/>
      </c>
      <c r="AZ190" s="62" t="str">
        <f>IF('Cálculo MP'!K191="","",'Cálculo MP'!K191)</f>
        <v/>
      </c>
      <c r="BA190" s="62" t="str">
        <f>IF('Cálculo MP'!L191="","",'Cálculo MP'!L191)</f>
        <v/>
      </c>
      <c r="BB190" s="62" t="str">
        <f>IF('Cálculo MP'!M191="","",'Cálculo MP'!M191)</f>
        <v/>
      </c>
      <c r="BC190" s="62" t="str">
        <f>IF('Cálculo MP'!N191="","",'Cálculo MP'!N191)</f>
        <v/>
      </c>
      <c r="BD190" s="62" t="str">
        <f>IF('Cálculo MP'!O191="","",'Cálculo MP'!O191)</f>
        <v/>
      </c>
      <c r="BE190" s="62" t="str">
        <f>IF('Cálculo MP'!P191="","",'Cálculo MP'!P191)</f>
        <v/>
      </c>
      <c r="BF190" s="62" t="str">
        <f>IF('Cálculo MP'!Q191="","",'Cálculo MP'!Q191)</f>
        <v/>
      </c>
      <c r="BG190" s="62" t="str">
        <f>IF('Cálculo MP'!R191="","",'Cálculo MP'!R191)</f>
        <v/>
      </c>
      <c r="BH190" s="32"/>
      <c r="BI190" s="32"/>
      <c r="BJ190" s="32"/>
      <c r="BK190" s="32"/>
      <c r="BL190" s="32"/>
      <c r="BM190" s="32"/>
      <c r="BN190" s="32"/>
      <c r="BO190" s="62" t="str">
        <f t="shared" si="8"/>
        <v/>
      </c>
    </row>
    <row r="191" spans="1:67" ht="19.5" customHeight="1" x14ac:dyDescent="0.2">
      <c r="A191" s="49" t="b">
        <v>0</v>
      </c>
      <c r="B191" s="50" t="b">
        <v>1</v>
      </c>
      <c r="C191" s="51" t="b">
        <v>0</v>
      </c>
      <c r="D191" s="51" t="b">
        <v>0</v>
      </c>
      <c r="E191" s="37"/>
      <c r="F191" s="39"/>
      <c r="G191" s="37" t="s">
        <v>1100</v>
      </c>
      <c r="H191" s="34"/>
      <c r="I191" s="34"/>
      <c r="J191" s="34" t="s">
        <v>1099</v>
      </c>
      <c r="K191" s="51" t="b">
        <v>1</v>
      </c>
      <c r="L191" s="40"/>
      <c r="M191" s="37" t="s">
        <v>1099</v>
      </c>
      <c r="N191" s="37" t="s">
        <v>1099</v>
      </c>
      <c r="O191" s="41" t="s">
        <v>1099</v>
      </c>
      <c r="P191" s="40" t="s">
        <v>1099</v>
      </c>
      <c r="Q191" s="37" t="s">
        <v>1099</v>
      </c>
      <c r="R191" s="37" t="s">
        <v>1099</v>
      </c>
      <c r="S191" s="113" t="s">
        <v>1099</v>
      </c>
      <c r="T191" s="56"/>
      <c r="U191" s="56"/>
      <c r="V191" s="56"/>
      <c r="W191" s="114" t="s">
        <v>1099</v>
      </c>
      <c r="X191" s="115"/>
      <c r="Y191" s="115"/>
      <c r="Z191" s="116"/>
      <c r="AA191" s="117" t="s">
        <v>1099</v>
      </c>
      <c r="AB191" s="116"/>
      <c r="AC191" s="56"/>
      <c r="AD191" s="116"/>
      <c r="AE191" s="44" t="s">
        <v>1099</v>
      </c>
      <c r="AF191" s="46" t="str">
        <f t="shared" si="6"/>
        <v/>
      </c>
      <c r="AG191" s="38" t="s">
        <v>1099</v>
      </c>
      <c r="AH191" s="47" t="str">
        <f t="shared" si="7"/>
        <v/>
      </c>
      <c r="AI191" s="32"/>
      <c r="AJ191" s="32"/>
      <c r="AK191" s="32"/>
      <c r="AL191" s="32"/>
      <c r="AM191" s="32" t="s">
        <v>1099</v>
      </c>
      <c r="AN191" s="32"/>
      <c r="AO191" s="32" t="s">
        <v>1099</v>
      </c>
      <c r="AP191" s="32"/>
      <c r="AQ191" s="32"/>
      <c r="AR191" s="32"/>
      <c r="AS191" s="32"/>
      <c r="AT191" s="32"/>
      <c r="AU191" s="32"/>
      <c r="AV191" s="38" t="s">
        <v>1099</v>
      </c>
      <c r="AW191" s="38" t="s">
        <v>1099</v>
      </c>
      <c r="AX191" s="42" t="s">
        <v>106</v>
      </c>
      <c r="AY191" s="62" t="str">
        <f>IF('Cálculo MP'!J192="","",'Cálculo MP'!J192)</f>
        <v/>
      </c>
      <c r="AZ191" s="62" t="str">
        <f>IF('Cálculo MP'!K192="","",'Cálculo MP'!K192)</f>
        <v/>
      </c>
      <c r="BA191" s="62" t="str">
        <f>IF('Cálculo MP'!L192="","",'Cálculo MP'!L192)</f>
        <v/>
      </c>
      <c r="BB191" s="62" t="str">
        <f>IF('Cálculo MP'!M192="","",'Cálculo MP'!M192)</f>
        <v/>
      </c>
      <c r="BC191" s="62" t="str">
        <f>IF('Cálculo MP'!N192="","",'Cálculo MP'!N192)</f>
        <v/>
      </c>
      <c r="BD191" s="62" t="str">
        <f>IF('Cálculo MP'!O192="","",'Cálculo MP'!O192)</f>
        <v/>
      </c>
      <c r="BE191" s="62" t="str">
        <f>IF('Cálculo MP'!P192="","",'Cálculo MP'!P192)</f>
        <v/>
      </c>
      <c r="BF191" s="62" t="str">
        <f>IF('Cálculo MP'!Q192="","",'Cálculo MP'!Q192)</f>
        <v/>
      </c>
      <c r="BG191" s="62" t="str">
        <f>IF('Cálculo MP'!R192="","",'Cálculo MP'!R192)</f>
        <v/>
      </c>
      <c r="BH191" s="32"/>
      <c r="BI191" s="32"/>
      <c r="BJ191" s="32"/>
      <c r="BK191" s="32"/>
      <c r="BL191" s="32"/>
      <c r="BM191" s="32"/>
      <c r="BN191" s="32"/>
      <c r="BO191" s="62" t="str">
        <f t="shared" si="8"/>
        <v/>
      </c>
    </row>
    <row r="192" spans="1:67" ht="19.5" customHeight="1" x14ac:dyDescent="0.2">
      <c r="A192" s="49" t="b">
        <v>0</v>
      </c>
      <c r="B192" s="50" t="b">
        <v>1</v>
      </c>
      <c r="C192" s="51" t="b">
        <v>0</v>
      </c>
      <c r="D192" s="51" t="b">
        <v>0</v>
      </c>
      <c r="E192" s="37"/>
      <c r="F192" s="39"/>
      <c r="G192" s="37" t="s">
        <v>1100</v>
      </c>
      <c r="H192" s="34"/>
      <c r="I192" s="34"/>
      <c r="J192" s="34" t="s">
        <v>1099</v>
      </c>
      <c r="K192" s="51" t="b">
        <v>1</v>
      </c>
      <c r="L192" s="40"/>
      <c r="M192" s="37" t="s">
        <v>1099</v>
      </c>
      <c r="N192" s="37" t="s">
        <v>1099</v>
      </c>
      <c r="O192" s="41" t="s">
        <v>1099</v>
      </c>
      <c r="P192" s="40" t="s">
        <v>1099</v>
      </c>
      <c r="Q192" s="37" t="s">
        <v>1099</v>
      </c>
      <c r="R192" s="37" t="s">
        <v>1099</v>
      </c>
      <c r="S192" s="113" t="s">
        <v>1099</v>
      </c>
      <c r="T192" s="56"/>
      <c r="U192" s="56"/>
      <c r="V192" s="56"/>
      <c r="W192" s="114" t="s">
        <v>1099</v>
      </c>
      <c r="X192" s="115"/>
      <c r="Y192" s="115"/>
      <c r="Z192" s="116"/>
      <c r="AA192" s="117" t="s">
        <v>1099</v>
      </c>
      <c r="AB192" s="116"/>
      <c r="AC192" s="56"/>
      <c r="AD192" s="116"/>
      <c r="AE192" s="44" t="s">
        <v>1099</v>
      </c>
      <c r="AF192" s="46" t="str">
        <f t="shared" si="6"/>
        <v/>
      </c>
      <c r="AG192" s="38" t="s">
        <v>1099</v>
      </c>
      <c r="AH192" s="47" t="str">
        <f t="shared" si="7"/>
        <v/>
      </c>
      <c r="AI192" s="32"/>
      <c r="AJ192" s="32"/>
      <c r="AK192" s="32"/>
      <c r="AL192" s="32"/>
      <c r="AM192" s="32" t="s">
        <v>1099</v>
      </c>
      <c r="AN192" s="32"/>
      <c r="AO192" s="32" t="s">
        <v>1099</v>
      </c>
      <c r="AP192" s="32"/>
      <c r="AQ192" s="32"/>
      <c r="AR192" s="32"/>
      <c r="AS192" s="32"/>
      <c r="AT192" s="32"/>
      <c r="AU192" s="32"/>
      <c r="AV192" s="38" t="s">
        <v>1099</v>
      </c>
      <c r="AW192" s="38" t="s">
        <v>1099</v>
      </c>
      <c r="AX192" s="42" t="s">
        <v>106</v>
      </c>
      <c r="AY192" s="62" t="str">
        <f>IF('Cálculo MP'!J193="","",'Cálculo MP'!J193)</f>
        <v/>
      </c>
      <c r="AZ192" s="62" t="str">
        <f>IF('Cálculo MP'!K193="","",'Cálculo MP'!K193)</f>
        <v/>
      </c>
      <c r="BA192" s="62" t="str">
        <f>IF('Cálculo MP'!L193="","",'Cálculo MP'!L193)</f>
        <v/>
      </c>
      <c r="BB192" s="62" t="str">
        <f>IF('Cálculo MP'!M193="","",'Cálculo MP'!M193)</f>
        <v/>
      </c>
      <c r="BC192" s="62" t="str">
        <f>IF('Cálculo MP'!N193="","",'Cálculo MP'!N193)</f>
        <v/>
      </c>
      <c r="BD192" s="62" t="str">
        <f>IF('Cálculo MP'!O193="","",'Cálculo MP'!O193)</f>
        <v/>
      </c>
      <c r="BE192" s="62" t="str">
        <f>IF('Cálculo MP'!P193="","",'Cálculo MP'!P193)</f>
        <v/>
      </c>
      <c r="BF192" s="62" t="str">
        <f>IF('Cálculo MP'!Q193="","",'Cálculo MP'!Q193)</f>
        <v/>
      </c>
      <c r="BG192" s="62" t="str">
        <f>IF('Cálculo MP'!R193="","",'Cálculo MP'!R193)</f>
        <v/>
      </c>
      <c r="BH192" s="32"/>
      <c r="BI192" s="32"/>
      <c r="BJ192" s="32"/>
      <c r="BK192" s="32"/>
      <c r="BL192" s="32"/>
      <c r="BM192" s="32"/>
      <c r="BN192" s="32"/>
      <c r="BO192" s="62" t="str">
        <f t="shared" si="8"/>
        <v/>
      </c>
    </row>
    <row r="193" spans="1:67" ht="19.5" customHeight="1" x14ac:dyDescent="0.2">
      <c r="A193" s="49" t="b">
        <v>0</v>
      </c>
      <c r="B193" s="50" t="b">
        <v>1</v>
      </c>
      <c r="C193" s="51" t="b">
        <v>0</v>
      </c>
      <c r="D193" s="51" t="b">
        <v>0</v>
      </c>
      <c r="E193" s="37"/>
      <c r="F193" s="39"/>
      <c r="G193" s="37" t="s">
        <v>1100</v>
      </c>
      <c r="H193" s="34"/>
      <c r="I193" s="34"/>
      <c r="J193" s="34" t="s">
        <v>1099</v>
      </c>
      <c r="K193" s="51" t="b">
        <v>1</v>
      </c>
      <c r="L193" s="40"/>
      <c r="M193" s="37" t="s">
        <v>1099</v>
      </c>
      <c r="N193" s="37" t="s">
        <v>1099</v>
      </c>
      <c r="O193" s="41" t="s">
        <v>1099</v>
      </c>
      <c r="P193" s="40" t="s">
        <v>1099</v>
      </c>
      <c r="Q193" s="37" t="s">
        <v>1099</v>
      </c>
      <c r="R193" s="37" t="s">
        <v>1099</v>
      </c>
      <c r="S193" s="113" t="s">
        <v>1099</v>
      </c>
      <c r="T193" s="56"/>
      <c r="U193" s="56"/>
      <c r="V193" s="56"/>
      <c r="W193" s="114" t="s">
        <v>1099</v>
      </c>
      <c r="X193" s="115"/>
      <c r="Y193" s="115"/>
      <c r="Z193" s="116"/>
      <c r="AA193" s="117" t="s">
        <v>1099</v>
      </c>
      <c r="AB193" s="116"/>
      <c r="AC193" s="56"/>
      <c r="AD193" s="116"/>
      <c r="AE193" s="44" t="s">
        <v>1099</v>
      </c>
      <c r="AF193" s="46" t="str">
        <f t="shared" si="6"/>
        <v/>
      </c>
      <c r="AG193" s="38" t="s">
        <v>1099</v>
      </c>
      <c r="AH193" s="47" t="str">
        <f t="shared" si="7"/>
        <v/>
      </c>
      <c r="AI193" s="32"/>
      <c r="AJ193" s="32"/>
      <c r="AK193" s="32"/>
      <c r="AL193" s="32"/>
      <c r="AM193" s="32" t="s">
        <v>1099</v>
      </c>
      <c r="AN193" s="32"/>
      <c r="AO193" s="32" t="s">
        <v>1099</v>
      </c>
      <c r="AP193" s="32"/>
      <c r="AQ193" s="32"/>
      <c r="AR193" s="32"/>
      <c r="AS193" s="32"/>
      <c r="AT193" s="32"/>
      <c r="AU193" s="32"/>
      <c r="AV193" s="38" t="s">
        <v>1099</v>
      </c>
      <c r="AW193" s="38" t="s">
        <v>1099</v>
      </c>
      <c r="AX193" s="42" t="s">
        <v>106</v>
      </c>
      <c r="AY193" s="62" t="str">
        <f>IF('Cálculo MP'!J194="","",'Cálculo MP'!J194)</f>
        <v/>
      </c>
      <c r="AZ193" s="62" t="str">
        <f>IF('Cálculo MP'!K194="","",'Cálculo MP'!K194)</f>
        <v/>
      </c>
      <c r="BA193" s="62" t="str">
        <f>IF('Cálculo MP'!L194="","",'Cálculo MP'!L194)</f>
        <v/>
      </c>
      <c r="BB193" s="62" t="str">
        <f>IF('Cálculo MP'!M194="","",'Cálculo MP'!M194)</f>
        <v/>
      </c>
      <c r="BC193" s="62" t="str">
        <f>IF('Cálculo MP'!N194="","",'Cálculo MP'!N194)</f>
        <v/>
      </c>
      <c r="BD193" s="62" t="str">
        <f>IF('Cálculo MP'!O194="","",'Cálculo MP'!O194)</f>
        <v/>
      </c>
      <c r="BE193" s="62" t="str">
        <f>IF('Cálculo MP'!P194="","",'Cálculo MP'!P194)</f>
        <v/>
      </c>
      <c r="BF193" s="62" t="str">
        <f>IF('Cálculo MP'!Q194="","",'Cálculo MP'!Q194)</f>
        <v/>
      </c>
      <c r="BG193" s="62" t="str">
        <f>IF('Cálculo MP'!R194="","",'Cálculo MP'!R194)</f>
        <v/>
      </c>
      <c r="BH193" s="32"/>
      <c r="BI193" s="32"/>
      <c r="BJ193" s="32"/>
      <c r="BK193" s="32"/>
      <c r="BL193" s="32"/>
      <c r="BM193" s="32"/>
      <c r="BN193" s="32"/>
      <c r="BO193" s="62" t="str">
        <f t="shared" si="8"/>
        <v/>
      </c>
    </row>
    <row r="194" spans="1:67" ht="19.5" customHeight="1" x14ac:dyDescent="0.2">
      <c r="A194" s="49" t="b">
        <v>0</v>
      </c>
      <c r="B194" s="50" t="b">
        <v>1</v>
      </c>
      <c r="C194" s="51" t="b">
        <v>0</v>
      </c>
      <c r="D194" s="51" t="b">
        <v>0</v>
      </c>
      <c r="E194" s="37"/>
      <c r="F194" s="39"/>
      <c r="G194" s="37" t="s">
        <v>1100</v>
      </c>
      <c r="H194" s="34"/>
      <c r="I194" s="34"/>
      <c r="J194" s="34" t="s">
        <v>1099</v>
      </c>
      <c r="K194" s="51" t="b">
        <v>1</v>
      </c>
      <c r="L194" s="40"/>
      <c r="M194" s="37" t="s">
        <v>1099</v>
      </c>
      <c r="N194" s="37" t="s">
        <v>1099</v>
      </c>
      <c r="O194" s="41" t="s">
        <v>1099</v>
      </c>
      <c r="P194" s="40" t="s">
        <v>1099</v>
      </c>
      <c r="Q194" s="37" t="s">
        <v>1099</v>
      </c>
      <c r="R194" s="37" t="s">
        <v>1099</v>
      </c>
      <c r="S194" s="113" t="s">
        <v>1099</v>
      </c>
      <c r="T194" s="56"/>
      <c r="U194" s="56"/>
      <c r="V194" s="56"/>
      <c r="W194" s="114" t="s">
        <v>1099</v>
      </c>
      <c r="X194" s="115"/>
      <c r="Y194" s="115"/>
      <c r="Z194" s="116"/>
      <c r="AA194" s="117" t="s">
        <v>1099</v>
      </c>
      <c r="AB194" s="116"/>
      <c r="AC194" s="56"/>
      <c r="AD194" s="116"/>
      <c r="AE194" s="44" t="s">
        <v>1099</v>
      </c>
      <c r="AF194" s="46" t="str">
        <f t="shared" si="6"/>
        <v/>
      </c>
      <c r="AG194" s="38" t="s">
        <v>1099</v>
      </c>
      <c r="AH194" s="47" t="str">
        <f t="shared" si="7"/>
        <v/>
      </c>
      <c r="AI194" s="32"/>
      <c r="AJ194" s="32"/>
      <c r="AK194" s="32"/>
      <c r="AL194" s="32"/>
      <c r="AM194" s="32" t="s">
        <v>1099</v>
      </c>
      <c r="AN194" s="32"/>
      <c r="AO194" s="32" t="s">
        <v>1099</v>
      </c>
      <c r="AP194" s="32"/>
      <c r="AQ194" s="32"/>
      <c r="AR194" s="32"/>
      <c r="AS194" s="32"/>
      <c r="AT194" s="32"/>
      <c r="AU194" s="32"/>
      <c r="AV194" s="38" t="s">
        <v>1099</v>
      </c>
      <c r="AW194" s="38" t="s">
        <v>1099</v>
      </c>
      <c r="AX194" s="42" t="s">
        <v>106</v>
      </c>
      <c r="AY194" s="62" t="str">
        <f>IF('Cálculo MP'!J195="","",'Cálculo MP'!J195)</f>
        <v/>
      </c>
      <c r="AZ194" s="62" t="str">
        <f>IF('Cálculo MP'!K195="","",'Cálculo MP'!K195)</f>
        <v/>
      </c>
      <c r="BA194" s="62" t="str">
        <f>IF('Cálculo MP'!L195="","",'Cálculo MP'!L195)</f>
        <v/>
      </c>
      <c r="BB194" s="62" t="str">
        <f>IF('Cálculo MP'!M195="","",'Cálculo MP'!M195)</f>
        <v/>
      </c>
      <c r="BC194" s="62" t="str">
        <f>IF('Cálculo MP'!N195="","",'Cálculo MP'!N195)</f>
        <v/>
      </c>
      <c r="BD194" s="62" t="str">
        <f>IF('Cálculo MP'!O195="","",'Cálculo MP'!O195)</f>
        <v/>
      </c>
      <c r="BE194" s="62" t="str">
        <f>IF('Cálculo MP'!P195="","",'Cálculo MP'!P195)</f>
        <v/>
      </c>
      <c r="BF194" s="62" t="str">
        <f>IF('Cálculo MP'!Q195="","",'Cálculo MP'!Q195)</f>
        <v/>
      </c>
      <c r="BG194" s="62" t="str">
        <f>IF('Cálculo MP'!R195="","",'Cálculo MP'!R195)</f>
        <v/>
      </c>
      <c r="BH194" s="32"/>
      <c r="BI194" s="32"/>
      <c r="BJ194" s="32"/>
      <c r="BK194" s="32"/>
      <c r="BL194" s="32"/>
      <c r="BM194" s="32"/>
      <c r="BN194" s="32"/>
      <c r="BO194" s="62" t="str">
        <f t="shared" si="8"/>
        <v/>
      </c>
    </row>
    <row r="195" spans="1:67" ht="19.5" customHeight="1" x14ac:dyDescent="0.2">
      <c r="A195" s="49" t="b">
        <v>0</v>
      </c>
      <c r="B195" s="50" t="b">
        <v>1</v>
      </c>
      <c r="C195" s="51" t="b">
        <v>0</v>
      </c>
      <c r="D195" s="51" t="b">
        <v>0</v>
      </c>
      <c r="E195" s="37"/>
      <c r="F195" s="39"/>
      <c r="G195" s="37" t="s">
        <v>1100</v>
      </c>
      <c r="H195" s="34"/>
      <c r="I195" s="34"/>
      <c r="J195" s="34" t="s">
        <v>1099</v>
      </c>
      <c r="K195" s="51" t="b">
        <v>1</v>
      </c>
      <c r="L195" s="40"/>
      <c r="M195" s="37" t="s">
        <v>1099</v>
      </c>
      <c r="N195" s="37" t="s">
        <v>1099</v>
      </c>
      <c r="O195" s="41" t="s">
        <v>1099</v>
      </c>
      <c r="P195" s="40" t="s">
        <v>1099</v>
      </c>
      <c r="Q195" s="37" t="s">
        <v>1099</v>
      </c>
      <c r="R195" s="37" t="s">
        <v>1099</v>
      </c>
      <c r="S195" s="113" t="s">
        <v>1099</v>
      </c>
      <c r="T195" s="56"/>
      <c r="U195" s="56"/>
      <c r="V195" s="56"/>
      <c r="W195" s="114" t="s">
        <v>1099</v>
      </c>
      <c r="X195" s="115"/>
      <c r="Y195" s="115"/>
      <c r="Z195" s="116"/>
      <c r="AA195" s="117" t="s">
        <v>1099</v>
      </c>
      <c r="AB195" s="116"/>
      <c r="AC195" s="56"/>
      <c r="AD195" s="116"/>
      <c r="AE195" s="44" t="s">
        <v>1099</v>
      </c>
      <c r="AF195" s="46" t="str">
        <f t="shared" si="6"/>
        <v/>
      </c>
      <c r="AG195" s="38" t="s">
        <v>1099</v>
      </c>
      <c r="AH195" s="47" t="str">
        <f t="shared" si="7"/>
        <v/>
      </c>
      <c r="AI195" s="32"/>
      <c r="AJ195" s="32"/>
      <c r="AK195" s="32"/>
      <c r="AL195" s="32"/>
      <c r="AM195" s="32" t="s">
        <v>1099</v>
      </c>
      <c r="AN195" s="32"/>
      <c r="AO195" s="32" t="s">
        <v>1099</v>
      </c>
      <c r="AP195" s="32"/>
      <c r="AQ195" s="32"/>
      <c r="AR195" s="32"/>
      <c r="AS195" s="32"/>
      <c r="AT195" s="32"/>
      <c r="AU195" s="32"/>
      <c r="AV195" s="38" t="s">
        <v>1099</v>
      </c>
      <c r="AW195" s="38" t="s">
        <v>1099</v>
      </c>
      <c r="AX195" s="42" t="s">
        <v>106</v>
      </c>
      <c r="AY195" s="62" t="str">
        <f>IF('Cálculo MP'!J196="","",'Cálculo MP'!J196)</f>
        <v/>
      </c>
      <c r="AZ195" s="62" t="str">
        <f>IF('Cálculo MP'!K196="","",'Cálculo MP'!K196)</f>
        <v/>
      </c>
      <c r="BA195" s="62" t="str">
        <f>IF('Cálculo MP'!L196="","",'Cálculo MP'!L196)</f>
        <v/>
      </c>
      <c r="BB195" s="62" t="str">
        <f>IF('Cálculo MP'!M196="","",'Cálculo MP'!M196)</f>
        <v/>
      </c>
      <c r="BC195" s="62" t="str">
        <f>IF('Cálculo MP'!N196="","",'Cálculo MP'!N196)</f>
        <v/>
      </c>
      <c r="BD195" s="62" t="str">
        <f>IF('Cálculo MP'!O196="","",'Cálculo MP'!O196)</f>
        <v/>
      </c>
      <c r="BE195" s="62" t="str">
        <f>IF('Cálculo MP'!P196="","",'Cálculo MP'!P196)</f>
        <v/>
      </c>
      <c r="BF195" s="62" t="str">
        <f>IF('Cálculo MP'!Q196="","",'Cálculo MP'!Q196)</f>
        <v/>
      </c>
      <c r="BG195" s="62" t="str">
        <f>IF('Cálculo MP'!R196="","",'Cálculo MP'!R196)</f>
        <v/>
      </c>
      <c r="BH195" s="32"/>
      <c r="BI195" s="32"/>
      <c r="BJ195" s="32"/>
      <c r="BK195" s="32"/>
      <c r="BL195" s="32"/>
      <c r="BM195" s="32"/>
      <c r="BN195" s="32"/>
      <c r="BO195" s="62" t="str">
        <f t="shared" si="8"/>
        <v/>
      </c>
    </row>
    <row r="196" spans="1:67" ht="19.5" customHeight="1" x14ac:dyDescent="0.2">
      <c r="A196" s="49" t="b">
        <v>0</v>
      </c>
      <c r="B196" s="50" t="b">
        <v>1</v>
      </c>
      <c r="C196" s="51" t="b">
        <v>0</v>
      </c>
      <c r="D196" s="51" t="b">
        <v>0</v>
      </c>
      <c r="E196" s="37"/>
      <c r="F196" s="39"/>
      <c r="G196" s="37" t="s">
        <v>1100</v>
      </c>
      <c r="H196" s="34"/>
      <c r="I196" s="34"/>
      <c r="J196" s="34" t="s">
        <v>1099</v>
      </c>
      <c r="K196" s="51" t="b">
        <v>1</v>
      </c>
      <c r="L196" s="40"/>
      <c r="M196" s="37" t="s">
        <v>1099</v>
      </c>
      <c r="N196" s="37" t="s">
        <v>1099</v>
      </c>
      <c r="O196" s="41" t="s">
        <v>1099</v>
      </c>
      <c r="P196" s="40" t="s">
        <v>1099</v>
      </c>
      <c r="Q196" s="37" t="s">
        <v>1099</v>
      </c>
      <c r="R196" s="37" t="s">
        <v>1099</v>
      </c>
      <c r="S196" s="113" t="s">
        <v>1099</v>
      </c>
      <c r="T196" s="56"/>
      <c r="U196" s="56"/>
      <c r="V196" s="56"/>
      <c r="W196" s="114" t="s">
        <v>1099</v>
      </c>
      <c r="X196" s="115"/>
      <c r="Y196" s="115"/>
      <c r="Z196" s="116"/>
      <c r="AA196" s="117" t="s">
        <v>1099</v>
      </c>
      <c r="AB196" s="116"/>
      <c r="AC196" s="56"/>
      <c r="AD196" s="116"/>
      <c r="AE196" s="44" t="s">
        <v>1099</v>
      </c>
      <c r="AF196" s="46" t="str">
        <f t="shared" si="6"/>
        <v/>
      </c>
      <c r="AG196" s="38" t="s">
        <v>1099</v>
      </c>
      <c r="AH196" s="47" t="str">
        <f t="shared" si="7"/>
        <v/>
      </c>
      <c r="AI196" s="32"/>
      <c r="AJ196" s="32"/>
      <c r="AK196" s="32"/>
      <c r="AL196" s="32"/>
      <c r="AM196" s="32" t="s">
        <v>1099</v>
      </c>
      <c r="AN196" s="32"/>
      <c r="AO196" s="32" t="s">
        <v>1099</v>
      </c>
      <c r="AP196" s="32"/>
      <c r="AQ196" s="32"/>
      <c r="AR196" s="32"/>
      <c r="AS196" s="32"/>
      <c r="AT196" s="32"/>
      <c r="AU196" s="32"/>
      <c r="AV196" s="38" t="s">
        <v>1099</v>
      </c>
      <c r="AW196" s="38" t="s">
        <v>1099</v>
      </c>
      <c r="AX196" s="42" t="s">
        <v>106</v>
      </c>
      <c r="AY196" s="62" t="str">
        <f>IF('Cálculo MP'!J197="","",'Cálculo MP'!J197)</f>
        <v/>
      </c>
      <c r="AZ196" s="62" t="str">
        <f>IF('Cálculo MP'!K197="","",'Cálculo MP'!K197)</f>
        <v/>
      </c>
      <c r="BA196" s="62" t="str">
        <f>IF('Cálculo MP'!L197="","",'Cálculo MP'!L197)</f>
        <v/>
      </c>
      <c r="BB196" s="62" t="str">
        <f>IF('Cálculo MP'!M197="","",'Cálculo MP'!M197)</f>
        <v/>
      </c>
      <c r="BC196" s="62" t="str">
        <f>IF('Cálculo MP'!N197="","",'Cálculo MP'!N197)</f>
        <v/>
      </c>
      <c r="BD196" s="62" t="str">
        <f>IF('Cálculo MP'!O197="","",'Cálculo MP'!O197)</f>
        <v/>
      </c>
      <c r="BE196" s="62" t="str">
        <f>IF('Cálculo MP'!P197="","",'Cálculo MP'!P197)</f>
        <v/>
      </c>
      <c r="BF196" s="62" t="str">
        <f>IF('Cálculo MP'!Q197="","",'Cálculo MP'!Q197)</f>
        <v/>
      </c>
      <c r="BG196" s="62" t="str">
        <f>IF('Cálculo MP'!R197="","",'Cálculo MP'!R197)</f>
        <v/>
      </c>
      <c r="BH196" s="32"/>
      <c r="BI196" s="32"/>
      <c r="BJ196" s="32"/>
      <c r="BK196" s="32"/>
      <c r="BL196" s="32"/>
      <c r="BM196" s="32"/>
      <c r="BN196" s="32"/>
      <c r="BO196" s="62" t="str">
        <f t="shared" si="8"/>
        <v/>
      </c>
    </row>
    <row r="197" spans="1:67" ht="19.5" customHeight="1" x14ac:dyDescent="0.2">
      <c r="A197" s="49" t="b">
        <v>0</v>
      </c>
      <c r="B197" s="50" t="b">
        <v>1</v>
      </c>
      <c r="C197" s="51" t="b">
        <v>0</v>
      </c>
      <c r="D197" s="51" t="b">
        <v>0</v>
      </c>
      <c r="E197" s="37"/>
      <c r="F197" s="39"/>
      <c r="G197" s="37" t="s">
        <v>1100</v>
      </c>
      <c r="H197" s="34"/>
      <c r="I197" s="34"/>
      <c r="J197" s="34" t="s">
        <v>1099</v>
      </c>
      <c r="K197" s="51" t="b">
        <v>1</v>
      </c>
      <c r="L197" s="40"/>
      <c r="M197" s="37" t="s">
        <v>1099</v>
      </c>
      <c r="N197" s="37" t="s">
        <v>1099</v>
      </c>
      <c r="O197" s="41" t="s">
        <v>1099</v>
      </c>
      <c r="P197" s="40" t="s">
        <v>1099</v>
      </c>
      <c r="Q197" s="37" t="s">
        <v>1099</v>
      </c>
      <c r="R197" s="37" t="s">
        <v>1099</v>
      </c>
      <c r="S197" s="113" t="s">
        <v>1099</v>
      </c>
      <c r="T197" s="56"/>
      <c r="U197" s="56"/>
      <c r="V197" s="56"/>
      <c r="W197" s="114" t="s">
        <v>1099</v>
      </c>
      <c r="X197" s="115"/>
      <c r="Y197" s="115"/>
      <c r="Z197" s="116"/>
      <c r="AA197" s="117" t="s">
        <v>1099</v>
      </c>
      <c r="AB197" s="116"/>
      <c r="AC197" s="56"/>
      <c r="AD197" s="116"/>
      <c r="AE197" s="44" t="s">
        <v>1099</v>
      </c>
      <c r="AF197" s="46" t="str">
        <f t="shared" si="6"/>
        <v/>
      </c>
      <c r="AG197" s="38" t="s">
        <v>1099</v>
      </c>
      <c r="AH197" s="47" t="str">
        <f t="shared" si="7"/>
        <v/>
      </c>
      <c r="AI197" s="32"/>
      <c r="AJ197" s="32"/>
      <c r="AK197" s="32"/>
      <c r="AL197" s="32"/>
      <c r="AM197" s="32" t="s">
        <v>1099</v>
      </c>
      <c r="AN197" s="32"/>
      <c r="AO197" s="32" t="s">
        <v>1099</v>
      </c>
      <c r="AP197" s="32"/>
      <c r="AQ197" s="32"/>
      <c r="AR197" s="32"/>
      <c r="AS197" s="32"/>
      <c r="AT197" s="32"/>
      <c r="AU197" s="32"/>
      <c r="AV197" s="38" t="s">
        <v>1099</v>
      </c>
      <c r="AW197" s="38" t="s">
        <v>1099</v>
      </c>
      <c r="AX197" s="42" t="s">
        <v>106</v>
      </c>
      <c r="AY197" s="62" t="str">
        <f>IF('Cálculo MP'!J198="","",'Cálculo MP'!J198)</f>
        <v/>
      </c>
      <c r="AZ197" s="62" t="str">
        <f>IF('Cálculo MP'!K198="","",'Cálculo MP'!K198)</f>
        <v/>
      </c>
      <c r="BA197" s="62" t="str">
        <f>IF('Cálculo MP'!L198="","",'Cálculo MP'!L198)</f>
        <v/>
      </c>
      <c r="BB197" s="62" t="str">
        <f>IF('Cálculo MP'!M198="","",'Cálculo MP'!M198)</f>
        <v/>
      </c>
      <c r="BC197" s="62" t="str">
        <f>IF('Cálculo MP'!N198="","",'Cálculo MP'!N198)</f>
        <v/>
      </c>
      <c r="BD197" s="62" t="str">
        <f>IF('Cálculo MP'!O198="","",'Cálculo MP'!O198)</f>
        <v/>
      </c>
      <c r="BE197" s="62" t="str">
        <f>IF('Cálculo MP'!P198="","",'Cálculo MP'!P198)</f>
        <v/>
      </c>
      <c r="BF197" s="62" t="str">
        <f>IF('Cálculo MP'!Q198="","",'Cálculo MP'!Q198)</f>
        <v/>
      </c>
      <c r="BG197" s="62" t="str">
        <f>IF('Cálculo MP'!R198="","",'Cálculo MP'!R198)</f>
        <v/>
      </c>
      <c r="BH197" s="32"/>
      <c r="BI197" s="32"/>
      <c r="BJ197" s="32"/>
      <c r="BK197" s="32"/>
      <c r="BL197" s="32"/>
      <c r="BM197" s="32"/>
      <c r="BN197" s="32"/>
      <c r="BO197" s="62" t="str">
        <f t="shared" si="8"/>
        <v/>
      </c>
    </row>
    <row r="198" spans="1:67" ht="19.5" customHeight="1" x14ac:dyDescent="0.2">
      <c r="A198" s="49" t="b">
        <v>0</v>
      </c>
      <c r="B198" s="50" t="b">
        <v>1</v>
      </c>
      <c r="C198" s="51" t="b">
        <v>0</v>
      </c>
      <c r="D198" s="51" t="b">
        <v>0</v>
      </c>
      <c r="E198" s="37"/>
      <c r="F198" s="39"/>
      <c r="G198" s="37" t="s">
        <v>1100</v>
      </c>
      <c r="H198" s="34"/>
      <c r="I198" s="34"/>
      <c r="J198" s="34" t="s">
        <v>1099</v>
      </c>
      <c r="K198" s="51" t="b">
        <v>1</v>
      </c>
      <c r="L198" s="40"/>
      <c r="M198" s="37" t="s">
        <v>1099</v>
      </c>
      <c r="N198" s="37" t="s">
        <v>1099</v>
      </c>
      <c r="O198" s="41" t="s">
        <v>1099</v>
      </c>
      <c r="P198" s="40" t="s">
        <v>1099</v>
      </c>
      <c r="Q198" s="37" t="s">
        <v>1099</v>
      </c>
      <c r="R198" s="37" t="s">
        <v>1099</v>
      </c>
      <c r="S198" s="113" t="s">
        <v>1099</v>
      </c>
      <c r="T198" s="56"/>
      <c r="U198" s="56"/>
      <c r="V198" s="56"/>
      <c r="W198" s="114" t="s">
        <v>1099</v>
      </c>
      <c r="X198" s="115"/>
      <c r="Y198" s="115"/>
      <c r="Z198" s="116"/>
      <c r="AA198" s="117" t="s">
        <v>1099</v>
      </c>
      <c r="AB198" s="116"/>
      <c r="AC198" s="56"/>
      <c r="AD198" s="116"/>
      <c r="AE198" s="44" t="s">
        <v>1099</v>
      </c>
      <c r="AF198" s="46" t="str">
        <f t="shared" si="6"/>
        <v/>
      </c>
      <c r="AG198" s="38" t="s">
        <v>1099</v>
      </c>
      <c r="AH198" s="47" t="str">
        <f t="shared" si="7"/>
        <v/>
      </c>
      <c r="AI198" s="32"/>
      <c r="AJ198" s="32"/>
      <c r="AK198" s="32"/>
      <c r="AL198" s="32"/>
      <c r="AM198" s="32" t="s">
        <v>1099</v>
      </c>
      <c r="AN198" s="32"/>
      <c r="AO198" s="32" t="s">
        <v>1099</v>
      </c>
      <c r="AP198" s="32"/>
      <c r="AQ198" s="32"/>
      <c r="AR198" s="32"/>
      <c r="AS198" s="32"/>
      <c r="AT198" s="32"/>
      <c r="AU198" s="32"/>
      <c r="AV198" s="38" t="s">
        <v>1099</v>
      </c>
      <c r="AW198" s="38" t="s">
        <v>1099</v>
      </c>
      <c r="AX198" s="42" t="s">
        <v>106</v>
      </c>
      <c r="AY198" s="62" t="str">
        <f>IF('Cálculo MP'!J199="","",'Cálculo MP'!J199)</f>
        <v/>
      </c>
      <c r="AZ198" s="62" t="str">
        <f>IF('Cálculo MP'!K199="","",'Cálculo MP'!K199)</f>
        <v/>
      </c>
      <c r="BA198" s="62" t="str">
        <f>IF('Cálculo MP'!L199="","",'Cálculo MP'!L199)</f>
        <v/>
      </c>
      <c r="BB198" s="62" t="str">
        <f>IF('Cálculo MP'!M199="","",'Cálculo MP'!M199)</f>
        <v/>
      </c>
      <c r="BC198" s="62" t="str">
        <f>IF('Cálculo MP'!N199="","",'Cálculo MP'!N199)</f>
        <v/>
      </c>
      <c r="BD198" s="62" t="str">
        <f>IF('Cálculo MP'!O199="","",'Cálculo MP'!O199)</f>
        <v/>
      </c>
      <c r="BE198" s="62" t="str">
        <f>IF('Cálculo MP'!P199="","",'Cálculo MP'!P199)</f>
        <v/>
      </c>
      <c r="BF198" s="62" t="str">
        <f>IF('Cálculo MP'!Q199="","",'Cálculo MP'!Q199)</f>
        <v/>
      </c>
      <c r="BG198" s="62" t="str">
        <f>IF('Cálculo MP'!R199="","",'Cálculo MP'!R199)</f>
        <v/>
      </c>
      <c r="BH198" s="32"/>
      <c r="BI198" s="32"/>
      <c r="BJ198" s="32"/>
      <c r="BK198" s="32"/>
      <c r="BL198" s="32"/>
      <c r="BM198" s="32"/>
      <c r="BN198" s="32"/>
      <c r="BO198" s="62" t="str">
        <f t="shared" si="8"/>
        <v/>
      </c>
    </row>
    <row r="199" spans="1:67" ht="19.5" customHeight="1" x14ac:dyDescent="0.2">
      <c r="A199" s="49" t="b">
        <v>0</v>
      </c>
      <c r="B199" s="50" t="b">
        <v>1</v>
      </c>
      <c r="C199" s="51" t="b">
        <v>0</v>
      </c>
      <c r="D199" s="51" t="b">
        <v>0</v>
      </c>
      <c r="E199" s="37"/>
      <c r="F199" s="39"/>
      <c r="G199" s="37" t="s">
        <v>1100</v>
      </c>
      <c r="H199" s="34"/>
      <c r="I199" s="34"/>
      <c r="J199" s="34" t="s">
        <v>1099</v>
      </c>
      <c r="K199" s="51" t="b">
        <v>1</v>
      </c>
      <c r="L199" s="40"/>
      <c r="M199" s="37" t="s">
        <v>1099</v>
      </c>
      <c r="N199" s="37" t="s">
        <v>1099</v>
      </c>
      <c r="O199" s="41" t="s">
        <v>1099</v>
      </c>
      <c r="P199" s="40" t="s">
        <v>1099</v>
      </c>
      <c r="Q199" s="37" t="s">
        <v>1099</v>
      </c>
      <c r="R199" s="37" t="s">
        <v>1099</v>
      </c>
      <c r="S199" s="113" t="s">
        <v>1099</v>
      </c>
      <c r="T199" s="56"/>
      <c r="U199" s="56"/>
      <c r="V199" s="56"/>
      <c r="W199" s="114" t="s">
        <v>1099</v>
      </c>
      <c r="X199" s="115"/>
      <c r="Y199" s="115"/>
      <c r="Z199" s="116"/>
      <c r="AA199" s="117" t="s">
        <v>1099</v>
      </c>
      <c r="AB199" s="116"/>
      <c r="AC199" s="56"/>
      <c r="AD199" s="116"/>
      <c r="AE199" s="44" t="s">
        <v>1099</v>
      </c>
      <c r="AF199" s="46" t="str">
        <f t="shared" si="6"/>
        <v/>
      </c>
      <c r="AG199" s="38" t="s">
        <v>1099</v>
      </c>
      <c r="AH199" s="47" t="str">
        <f t="shared" si="7"/>
        <v/>
      </c>
      <c r="AI199" s="32"/>
      <c r="AJ199" s="32"/>
      <c r="AK199" s="32"/>
      <c r="AL199" s="32"/>
      <c r="AM199" s="32" t="s">
        <v>1099</v>
      </c>
      <c r="AN199" s="32"/>
      <c r="AO199" s="32" t="s">
        <v>1099</v>
      </c>
      <c r="AP199" s="32"/>
      <c r="AQ199" s="32"/>
      <c r="AR199" s="32"/>
      <c r="AS199" s="32"/>
      <c r="AT199" s="32"/>
      <c r="AU199" s="32"/>
      <c r="AV199" s="38" t="s">
        <v>1099</v>
      </c>
      <c r="AW199" s="38" t="s">
        <v>1099</v>
      </c>
      <c r="AX199" s="42" t="s">
        <v>106</v>
      </c>
      <c r="AY199" s="62" t="str">
        <f>IF('Cálculo MP'!J200="","",'Cálculo MP'!J200)</f>
        <v/>
      </c>
      <c r="AZ199" s="62" t="str">
        <f>IF('Cálculo MP'!K200="","",'Cálculo MP'!K200)</f>
        <v/>
      </c>
      <c r="BA199" s="62" t="str">
        <f>IF('Cálculo MP'!L200="","",'Cálculo MP'!L200)</f>
        <v/>
      </c>
      <c r="BB199" s="62" t="str">
        <f>IF('Cálculo MP'!M200="","",'Cálculo MP'!M200)</f>
        <v/>
      </c>
      <c r="BC199" s="62" t="str">
        <f>IF('Cálculo MP'!N200="","",'Cálculo MP'!N200)</f>
        <v/>
      </c>
      <c r="BD199" s="62" t="str">
        <f>IF('Cálculo MP'!O200="","",'Cálculo MP'!O200)</f>
        <v/>
      </c>
      <c r="BE199" s="62" t="str">
        <f>IF('Cálculo MP'!P200="","",'Cálculo MP'!P200)</f>
        <v/>
      </c>
      <c r="BF199" s="62" t="str">
        <f>IF('Cálculo MP'!Q200="","",'Cálculo MP'!Q200)</f>
        <v/>
      </c>
      <c r="BG199" s="62" t="str">
        <f>IF('Cálculo MP'!R200="","",'Cálculo MP'!R200)</f>
        <v/>
      </c>
      <c r="BH199" s="32"/>
      <c r="BI199" s="32"/>
      <c r="BJ199" s="32"/>
      <c r="BK199" s="32"/>
      <c r="BL199" s="32"/>
      <c r="BM199" s="32"/>
      <c r="BN199" s="32"/>
      <c r="BO199" s="62" t="str">
        <f t="shared" si="8"/>
        <v/>
      </c>
    </row>
    <row r="200" spans="1:67" ht="19.5" customHeight="1" x14ac:dyDescent="0.2">
      <c r="A200" s="49" t="b">
        <v>0</v>
      </c>
      <c r="B200" s="50" t="b">
        <v>1</v>
      </c>
      <c r="C200" s="51" t="b">
        <v>0</v>
      </c>
      <c r="D200" s="51" t="b">
        <v>0</v>
      </c>
      <c r="E200" s="37"/>
      <c r="F200" s="39"/>
      <c r="G200" s="37" t="s">
        <v>1100</v>
      </c>
      <c r="H200" s="34"/>
      <c r="I200" s="34"/>
      <c r="J200" s="34" t="s">
        <v>1099</v>
      </c>
      <c r="K200" s="51" t="b">
        <v>1</v>
      </c>
      <c r="L200" s="40"/>
      <c r="M200" s="37" t="s">
        <v>1099</v>
      </c>
      <c r="N200" s="37" t="s">
        <v>1099</v>
      </c>
      <c r="O200" s="41" t="s">
        <v>1099</v>
      </c>
      <c r="P200" s="40" t="s">
        <v>1099</v>
      </c>
      <c r="Q200" s="37" t="s">
        <v>1099</v>
      </c>
      <c r="R200" s="37" t="s">
        <v>1099</v>
      </c>
      <c r="S200" s="113" t="s">
        <v>1099</v>
      </c>
      <c r="T200" s="56"/>
      <c r="U200" s="56"/>
      <c r="V200" s="56"/>
      <c r="W200" s="114" t="s">
        <v>1099</v>
      </c>
      <c r="X200" s="115"/>
      <c r="Y200" s="115"/>
      <c r="Z200" s="116"/>
      <c r="AA200" s="117" t="s">
        <v>1099</v>
      </c>
      <c r="AB200" s="116"/>
      <c r="AC200" s="56"/>
      <c r="AD200" s="116"/>
      <c r="AE200" s="44" t="s">
        <v>1099</v>
      </c>
      <c r="AF200" s="46" t="str">
        <f t="shared" si="6"/>
        <v/>
      </c>
      <c r="AG200" s="38" t="s">
        <v>1099</v>
      </c>
      <c r="AH200" s="47" t="str">
        <f t="shared" si="7"/>
        <v/>
      </c>
      <c r="AI200" s="32"/>
      <c r="AJ200" s="32"/>
      <c r="AK200" s="32"/>
      <c r="AL200" s="32"/>
      <c r="AM200" s="32" t="s">
        <v>1099</v>
      </c>
      <c r="AN200" s="32"/>
      <c r="AO200" s="32" t="s">
        <v>1099</v>
      </c>
      <c r="AP200" s="32"/>
      <c r="AQ200" s="32"/>
      <c r="AR200" s="32"/>
      <c r="AS200" s="32"/>
      <c r="AT200" s="32"/>
      <c r="AU200" s="32"/>
      <c r="AV200" s="38" t="s">
        <v>1099</v>
      </c>
      <c r="AW200" s="38" t="s">
        <v>1099</v>
      </c>
      <c r="AX200" s="42" t="s">
        <v>106</v>
      </c>
      <c r="AY200" s="62" t="str">
        <f>IF('Cálculo MP'!J201="","",'Cálculo MP'!J201)</f>
        <v/>
      </c>
      <c r="AZ200" s="62" t="str">
        <f>IF('Cálculo MP'!K201="","",'Cálculo MP'!K201)</f>
        <v/>
      </c>
      <c r="BA200" s="62" t="str">
        <f>IF('Cálculo MP'!L201="","",'Cálculo MP'!L201)</f>
        <v/>
      </c>
      <c r="BB200" s="62" t="str">
        <f>IF('Cálculo MP'!M201="","",'Cálculo MP'!M201)</f>
        <v/>
      </c>
      <c r="BC200" s="62" t="str">
        <f>IF('Cálculo MP'!N201="","",'Cálculo MP'!N201)</f>
        <v/>
      </c>
      <c r="BD200" s="62" t="str">
        <f>IF('Cálculo MP'!O201="","",'Cálculo MP'!O201)</f>
        <v/>
      </c>
      <c r="BE200" s="62" t="str">
        <f>IF('Cálculo MP'!P201="","",'Cálculo MP'!P201)</f>
        <v/>
      </c>
      <c r="BF200" s="62" t="str">
        <f>IF('Cálculo MP'!Q201="","",'Cálculo MP'!Q201)</f>
        <v/>
      </c>
      <c r="BG200" s="62" t="str">
        <f>IF('Cálculo MP'!R201="","",'Cálculo MP'!R201)</f>
        <v/>
      </c>
      <c r="BH200" s="32"/>
      <c r="BI200" s="32"/>
      <c r="BJ200" s="32"/>
      <c r="BK200" s="32"/>
      <c r="BL200" s="32"/>
      <c r="BM200" s="32"/>
      <c r="BN200" s="32"/>
      <c r="BO200" s="62" t="str">
        <f t="shared" si="8"/>
        <v/>
      </c>
    </row>
    <row r="201" spans="1:67" ht="19.5" customHeight="1" x14ac:dyDescent="0.2">
      <c r="A201" s="49" t="b">
        <v>0</v>
      </c>
      <c r="B201" s="50" t="b">
        <v>1</v>
      </c>
      <c r="C201" s="51" t="b">
        <v>0</v>
      </c>
      <c r="D201" s="51" t="b">
        <v>0</v>
      </c>
      <c r="E201" s="37"/>
      <c r="F201" s="39"/>
      <c r="G201" s="37" t="s">
        <v>1100</v>
      </c>
      <c r="H201" s="34"/>
      <c r="I201" s="34"/>
      <c r="J201" s="34" t="s">
        <v>1099</v>
      </c>
      <c r="K201" s="51" t="b">
        <v>1</v>
      </c>
      <c r="L201" s="40"/>
      <c r="M201" s="37" t="s">
        <v>1099</v>
      </c>
      <c r="N201" s="37" t="s">
        <v>1099</v>
      </c>
      <c r="O201" s="41" t="s">
        <v>1099</v>
      </c>
      <c r="P201" s="40" t="s">
        <v>1099</v>
      </c>
      <c r="Q201" s="37" t="s">
        <v>1099</v>
      </c>
      <c r="R201" s="37" t="s">
        <v>1099</v>
      </c>
      <c r="S201" s="113" t="s">
        <v>1099</v>
      </c>
      <c r="T201" s="56"/>
      <c r="U201" s="56"/>
      <c r="V201" s="56"/>
      <c r="W201" s="114" t="s">
        <v>1099</v>
      </c>
      <c r="X201" s="115"/>
      <c r="Y201" s="115"/>
      <c r="Z201" s="116"/>
      <c r="AA201" s="117" t="s">
        <v>1099</v>
      </c>
      <c r="AB201" s="116"/>
      <c r="AC201" s="56"/>
      <c r="AD201" s="116"/>
      <c r="AE201" s="44" t="s">
        <v>1099</v>
      </c>
      <c r="AF201" s="46" t="str">
        <f t="shared" si="6"/>
        <v/>
      </c>
      <c r="AG201" s="38" t="s">
        <v>1099</v>
      </c>
      <c r="AH201" s="47" t="str">
        <f t="shared" si="7"/>
        <v/>
      </c>
      <c r="AI201" s="32"/>
      <c r="AJ201" s="32"/>
      <c r="AK201" s="32"/>
      <c r="AL201" s="32"/>
      <c r="AM201" s="32" t="s">
        <v>1099</v>
      </c>
      <c r="AN201" s="32"/>
      <c r="AO201" s="32" t="s">
        <v>1099</v>
      </c>
      <c r="AP201" s="32"/>
      <c r="AQ201" s="32"/>
      <c r="AR201" s="32"/>
      <c r="AS201" s="32"/>
      <c r="AT201" s="32"/>
      <c r="AU201" s="32"/>
      <c r="AV201" s="38" t="s">
        <v>1099</v>
      </c>
      <c r="AW201" s="38" t="s">
        <v>1099</v>
      </c>
      <c r="AX201" s="42" t="s">
        <v>106</v>
      </c>
      <c r="AY201" s="62" t="str">
        <f>IF('Cálculo MP'!J202="","",'Cálculo MP'!J202)</f>
        <v/>
      </c>
      <c r="AZ201" s="62" t="str">
        <f>IF('Cálculo MP'!K202="","",'Cálculo MP'!K202)</f>
        <v/>
      </c>
      <c r="BA201" s="62" t="str">
        <f>IF('Cálculo MP'!L202="","",'Cálculo MP'!L202)</f>
        <v/>
      </c>
      <c r="BB201" s="62" t="str">
        <f>IF('Cálculo MP'!M202="","",'Cálculo MP'!M202)</f>
        <v/>
      </c>
      <c r="BC201" s="62" t="str">
        <f>IF('Cálculo MP'!N202="","",'Cálculo MP'!N202)</f>
        <v/>
      </c>
      <c r="BD201" s="62" t="str">
        <f>IF('Cálculo MP'!O202="","",'Cálculo MP'!O202)</f>
        <v/>
      </c>
      <c r="BE201" s="62" t="str">
        <f>IF('Cálculo MP'!P202="","",'Cálculo MP'!P202)</f>
        <v/>
      </c>
      <c r="BF201" s="62" t="str">
        <f>IF('Cálculo MP'!Q202="","",'Cálculo MP'!Q202)</f>
        <v/>
      </c>
      <c r="BG201" s="62" t="str">
        <f>IF('Cálculo MP'!R202="","",'Cálculo MP'!R202)</f>
        <v/>
      </c>
      <c r="BH201" s="32"/>
      <c r="BI201" s="32"/>
      <c r="BJ201" s="32"/>
      <c r="BK201" s="32"/>
      <c r="BL201" s="32"/>
      <c r="BM201" s="32"/>
      <c r="BN201" s="32"/>
      <c r="BO201" s="62" t="str">
        <f t="shared" si="8"/>
        <v/>
      </c>
    </row>
    <row r="202" spans="1:67" ht="19.5" customHeight="1" x14ac:dyDescent="0.2">
      <c r="A202" s="49" t="b">
        <v>0</v>
      </c>
      <c r="B202" s="50" t="b">
        <v>1</v>
      </c>
      <c r="C202" s="51" t="b">
        <v>0</v>
      </c>
      <c r="D202" s="51" t="b">
        <v>0</v>
      </c>
      <c r="E202" s="37"/>
      <c r="F202" s="39"/>
      <c r="G202" s="37" t="s">
        <v>1100</v>
      </c>
      <c r="H202" s="34"/>
      <c r="I202" s="34"/>
      <c r="J202" s="34" t="s">
        <v>1099</v>
      </c>
      <c r="K202" s="51" t="b">
        <v>1</v>
      </c>
      <c r="L202" s="40"/>
      <c r="M202" s="37" t="s">
        <v>1099</v>
      </c>
      <c r="N202" s="37" t="s">
        <v>1099</v>
      </c>
      <c r="O202" s="41" t="s">
        <v>1099</v>
      </c>
      <c r="P202" s="40" t="s">
        <v>1099</v>
      </c>
      <c r="Q202" s="37" t="s">
        <v>1099</v>
      </c>
      <c r="R202" s="37" t="s">
        <v>1099</v>
      </c>
      <c r="S202" s="113" t="s">
        <v>1099</v>
      </c>
      <c r="T202" s="56"/>
      <c r="U202" s="56"/>
      <c r="V202" s="56"/>
      <c r="W202" s="114" t="s">
        <v>1099</v>
      </c>
      <c r="X202" s="115"/>
      <c r="Y202" s="115"/>
      <c r="Z202" s="116"/>
      <c r="AA202" s="117" t="s">
        <v>1099</v>
      </c>
      <c r="AB202" s="116"/>
      <c r="AC202" s="56"/>
      <c r="AD202" s="116"/>
      <c r="AE202" s="44" t="s">
        <v>1099</v>
      </c>
      <c r="AF202" s="46" t="str">
        <f t="shared" si="6"/>
        <v/>
      </c>
      <c r="AG202" s="38" t="s">
        <v>1099</v>
      </c>
      <c r="AH202" s="47" t="str">
        <f t="shared" si="7"/>
        <v/>
      </c>
      <c r="AI202" s="32"/>
      <c r="AJ202" s="32"/>
      <c r="AK202" s="32"/>
      <c r="AL202" s="32"/>
      <c r="AM202" s="32" t="s">
        <v>1099</v>
      </c>
      <c r="AN202" s="32"/>
      <c r="AO202" s="32" t="s">
        <v>1099</v>
      </c>
      <c r="AP202" s="32"/>
      <c r="AQ202" s="32"/>
      <c r="AR202" s="32"/>
      <c r="AS202" s="32"/>
      <c r="AT202" s="32"/>
      <c r="AU202" s="32"/>
      <c r="AV202" s="38" t="s">
        <v>1099</v>
      </c>
      <c r="AW202" s="38" t="s">
        <v>1099</v>
      </c>
      <c r="AX202" s="42" t="s">
        <v>106</v>
      </c>
      <c r="AY202" s="62" t="str">
        <f>IF('Cálculo MP'!J203="","",'Cálculo MP'!J203)</f>
        <v/>
      </c>
      <c r="AZ202" s="62" t="str">
        <f>IF('Cálculo MP'!K203="","",'Cálculo MP'!K203)</f>
        <v/>
      </c>
      <c r="BA202" s="62" t="str">
        <f>IF('Cálculo MP'!L203="","",'Cálculo MP'!L203)</f>
        <v/>
      </c>
      <c r="BB202" s="62" t="str">
        <f>IF('Cálculo MP'!M203="","",'Cálculo MP'!M203)</f>
        <v/>
      </c>
      <c r="BC202" s="62" t="str">
        <f>IF('Cálculo MP'!N203="","",'Cálculo MP'!N203)</f>
        <v/>
      </c>
      <c r="BD202" s="62" t="str">
        <f>IF('Cálculo MP'!O203="","",'Cálculo MP'!O203)</f>
        <v/>
      </c>
      <c r="BE202" s="62" t="str">
        <f>IF('Cálculo MP'!P203="","",'Cálculo MP'!P203)</f>
        <v/>
      </c>
      <c r="BF202" s="62" t="str">
        <f>IF('Cálculo MP'!Q203="","",'Cálculo MP'!Q203)</f>
        <v/>
      </c>
      <c r="BG202" s="62" t="str">
        <f>IF('Cálculo MP'!R203="","",'Cálculo MP'!R203)</f>
        <v/>
      </c>
      <c r="BH202" s="32"/>
      <c r="BI202" s="32"/>
      <c r="BJ202" s="32"/>
      <c r="BK202" s="32"/>
      <c r="BL202" s="32"/>
      <c r="BM202" s="32"/>
      <c r="BN202" s="32"/>
      <c r="BO202" s="62" t="str">
        <f t="shared" si="8"/>
        <v/>
      </c>
    </row>
    <row r="203" spans="1:67" ht="19.5" customHeight="1" x14ac:dyDescent="0.2">
      <c r="A203" s="49" t="b">
        <v>0</v>
      </c>
      <c r="B203" s="50" t="b">
        <v>1</v>
      </c>
      <c r="C203" s="51" t="b">
        <v>0</v>
      </c>
      <c r="D203" s="51" t="b">
        <v>0</v>
      </c>
      <c r="E203" s="37"/>
      <c r="F203" s="39"/>
      <c r="G203" s="37" t="s">
        <v>1100</v>
      </c>
      <c r="H203" s="34"/>
      <c r="I203" s="34"/>
      <c r="J203" s="34" t="s">
        <v>1099</v>
      </c>
      <c r="K203" s="51" t="b">
        <v>1</v>
      </c>
      <c r="L203" s="40"/>
      <c r="M203" s="37" t="s">
        <v>1099</v>
      </c>
      <c r="N203" s="37" t="s">
        <v>1099</v>
      </c>
      <c r="O203" s="41" t="s">
        <v>1099</v>
      </c>
      <c r="P203" s="40" t="s">
        <v>1099</v>
      </c>
      <c r="Q203" s="37" t="s">
        <v>1099</v>
      </c>
      <c r="R203" s="37" t="s">
        <v>1099</v>
      </c>
      <c r="S203" s="113" t="s">
        <v>1099</v>
      </c>
      <c r="T203" s="56"/>
      <c r="U203" s="56"/>
      <c r="V203" s="56"/>
      <c r="W203" s="114" t="s">
        <v>1099</v>
      </c>
      <c r="X203" s="115"/>
      <c r="Y203" s="115"/>
      <c r="Z203" s="116"/>
      <c r="AA203" s="117" t="s">
        <v>1099</v>
      </c>
      <c r="AB203" s="116"/>
      <c r="AC203" s="56"/>
      <c r="AD203" s="116"/>
      <c r="AE203" s="44" t="s">
        <v>1099</v>
      </c>
      <c r="AF203" s="46" t="str">
        <f t="shared" si="6"/>
        <v/>
      </c>
      <c r="AG203" s="38" t="s">
        <v>1099</v>
      </c>
      <c r="AH203" s="47" t="str">
        <f t="shared" si="7"/>
        <v/>
      </c>
      <c r="AI203" s="32"/>
      <c r="AJ203" s="32"/>
      <c r="AK203" s="32"/>
      <c r="AL203" s="32"/>
      <c r="AM203" s="32" t="s">
        <v>1099</v>
      </c>
      <c r="AN203" s="32"/>
      <c r="AO203" s="32" t="s">
        <v>1099</v>
      </c>
      <c r="AP203" s="32"/>
      <c r="AQ203" s="32"/>
      <c r="AR203" s="32"/>
      <c r="AS203" s="32"/>
      <c r="AT203" s="32"/>
      <c r="AU203" s="32"/>
      <c r="AV203" s="38" t="s">
        <v>1099</v>
      </c>
      <c r="AW203" s="38" t="s">
        <v>1099</v>
      </c>
      <c r="AX203" s="42" t="s">
        <v>106</v>
      </c>
      <c r="AY203" s="62" t="str">
        <f>IF('Cálculo MP'!J204="","",'Cálculo MP'!J204)</f>
        <v/>
      </c>
      <c r="AZ203" s="62" t="str">
        <f>IF('Cálculo MP'!K204="","",'Cálculo MP'!K204)</f>
        <v/>
      </c>
      <c r="BA203" s="62" t="str">
        <f>IF('Cálculo MP'!L204="","",'Cálculo MP'!L204)</f>
        <v/>
      </c>
      <c r="BB203" s="62" t="str">
        <f>IF('Cálculo MP'!M204="","",'Cálculo MP'!M204)</f>
        <v/>
      </c>
      <c r="BC203" s="62" t="str">
        <f>IF('Cálculo MP'!N204="","",'Cálculo MP'!N204)</f>
        <v/>
      </c>
      <c r="BD203" s="62" t="str">
        <f>IF('Cálculo MP'!O204="","",'Cálculo MP'!O204)</f>
        <v/>
      </c>
      <c r="BE203" s="62" t="str">
        <f>IF('Cálculo MP'!P204="","",'Cálculo MP'!P204)</f>
        <v/>
      </c>
      <c r="BF203" s="62" t="str">
        <f>IF('Cálculo MP'!Q204="","",'Cálculo MP'!Q204)</f>
        <v/>
      </c>
      <c r="BG203" s="62" t="str">
        <f>IF('Cálculo MP'!R204="","",'Cálculo MP'!R204)</f>
        <v/>
      </c>
      <c r="BH203" s="32"/>
      <c r="BI203" s="32"/>
      <c r="BJ203" s="32"/>
      <c r="BK203" s="32"/>
      <c r="BL203" s="32"/>
      <c r="BM203" s="32"/>
      <c r="BN203" s="32"/>
      <c r="BO203" s="62" t="str">
        <f t="shared" si="8"/>
        <v/>
      </c>
    </row>
    <row r="204" spans="1:67" ht="19.5" customHeight="1" x14ac:dyDescent="0.2">
      <c r="A204" s="49" t="b">
        <v>0</v>
      </c>
      <c r="B204" s="50" t="b">
        <v>1</v>
      </c>
      <c r="C204" s="51" t="b">
        <v>0</v>
      </c>
      <c r="D204" s="51" t="b">
        <v>0</v>
      </c>
      <c r="E204" s="37"/>
      <c r="F204" s="39"/>
      <c r="G204" s="37" t="s">
        <v>1100</v>
      </c>
      <c r="H204" s="34"/>
      <c r="I204" s="34"/>
      <c r="J204" s="34" t="s">
        <v>1099</v>
      </c>
      <c r="K204" s="51" t="b">
        <v>1</v>
      </c>
      <c r="L204" s="40"/>
      <c r="M204" s="37" t="s">
        <v>1099</v>
      </c>
      <c r="N204" s="37" t="s">
        <v>1099</v>
      </c>
      <c r="O204" s="41" t="s">
        <v>1099</v>
      </c>
      <c r="P204" s="40" t="s">
        <v>1099</v>
      </c>
      <c r="Q204" s="37" t="s">
        <v>1099</v>
      </c>
      <c r="R204" s="37" t="s">
        <v>1099</v>
      </c>
      <c r="S204" s="113" t="s">
        <v>1099</v>
      </c>
      <c r="T204" s="56"/>
      <c r="U204" s="56"/>
      <c r="V204" s="56"/>
      <c r="W204" s="114" t="s">
        <v>1099</v>
      </c>
      <c r="X204" s="115"/>
      <c r="Y204" s="115"/>
      <c r="Z204" s="116"/>
      <c r="AA204" s="117" t="s">
        <v>1099</v>
      </c>
      <c r="AB204" s="116"/>
      <c r="AC204" s="56"/>
      <c r="AD204" s="116"/>
      <c r="AE204" s="44" t="s">
        <v>1099</v>
      </c>
      <c r="AF204" s="46" t="str">
        <f t="shared" si="6"/>
        <v/>
      </c>
      <c r="AG204" s="38" t="s">
        <v>1099</v>
      </c>
      <c r="AH204" s="47" t="str">
        <f t="shared" si="7"/>
        <v/>
      </c>
      <c r="AI204" s="32"/>
      <c r="AJ204" s="32"/>
      <c r="AK204" s="32"/>
      <c r="AL204" s="32"/>
      <c r="AM204" s="32" t="s">
        <v>1099</v>
      </c>
      <c r="AN204" s="32"/>
      <c r="AO204" s="32" t="s">
        <v>1099</v>
      </c>
      <c r="AP204" s="32"/>
      <c r="AQ204" s="32"/>
      <c r="AR204" s="32"/>
      <c r="AS204" s="32"/>
      <c r="AT204" s="32"/>
      <c r="AU204" s="32"/>
      <c r="AV204" s="38" t="s">
        <v>1099</v>
      </c>
      <c r="AW204" s="38" t="s">
        <v>1099</v>
      </c>
      <c r="AX204" s="42" t="s">
        <v>106</v>
      </c>
      <c r="AY204" s="62" t="str">
        <f>IF('Cálculo MP'!J205="","",'Cálculo MP'!J205)</f>
        <v/>
      </c>
      <c r="AZ204" s="62" t="str">
        <f>IF('Cálculo MP'!K205="","",'Cálculo MP'!K205)</f>
        <v/>
      </c>
      <c r="BA204" s="62" t="str">
        <f>IF('Cálculo MP'!L205="","",'Cálculo MP'!L205)</f>
        <v/>
      </c>
      <c r="BB204" s="62" t="str">
        <f>IF('Cálculo MP'!M205="","",'Cálculo MP'!M205)</f>
        <v/>
      </c>
      <c r="BC204" s="62" t="str">
        <f>IF('Cálculo MP'!N205="","",'Cálculo MP'!N205)</f>
        <v/>
      </c>
      <c r="BD204" s="62" t="str">
        <f>IF('Cálculo MP'!O205="","",'Cálculo MP'!O205)</f>
        <v/>
      </c>
      <c r="BE204" s="62" t="str">
        <f>IF('Cálculo MP'!P205="","",'Cálculo MP'!P205)</f>
        <v/>
      </c>
      <c r="BF204" s="62" t="str">
        <f>IF('Cálculo MP'!Q205="","",'Cálculo MP'!Q205)</f>
        <v/>
      </c>
      <c r="BG204" s="62" t="str">
        <f>IF('Cálculo MP'!R205="","",'Cálculo MP'!R205)</f>
        <v/>
      </c>
      <c r="BH204" s="32"/>
      <c r="BI204" s="32"/>
      <c r="BJ204" s="32"/>
      <c r="BK204" s="32"/>
      <c r="BL204" s="32"/>
      <c r="BM204" s="32"/>
      <c r="BN204" s="32"/>
      <c r="BO204" s="62" t="str">
        <f t="shared" si="8"/>
        <v/>
      </c>
    </row>
    <row r="205" spans="1:67" ht="19.5" customHeight="1" x14ac:dyDescent="0.2">
      <c r="A205" s="49" t="b">
        <v>0</v>
      </c>
      <c r="B205" s="50" t="b">
        <v>1</v>
      </c>
      <c r="C205" s="51" t="b">
        <v>0</v>
      </c>
      <c r="D205" s="51" t="b">
        <v>0</v>
      </c>
      <c r="E205" s="37"/>
      <c r="F205" s="39"/>
      <c r="G205" s="37" t="s">
        <v>1100</v>
      </c>
      <c r="H205" s="34"/>
      <c r="I205" s="34"/>
      <c r="J205" s="34" t="s">
        <v>1099</v>
      </c>
      <c r="K205" s="51" t="b">
        <v>1</v>
      </c>
      <c r="L205" s="40"/>
      <c r="M205" s="37" t="s">
        <v>1099</v>
      </c>
      <c r="N205" s="37" t="s">
        <v>1099</v>
      </c>
      <c r="O205" s="41" t="s">
        <v>1099</v>
      </c>
      <c r="P205" s="40" t="s">
        <v>1099</v>
      </c>
      <c r="Q205" s="37" t="s">
        <v>1099</v>
      </c>
      <c r="R205" s="37" t="s">
        <v>1099</v>
      </c>
      <c r="S205" s="113" t="s">
        <v>1099</v>
      </c>
      <c r="T205" s="56"/>
      <c r="U205" s="56"/>
      <c r="V205" s="56"/>
      <c r="W205" s="114" t="s">
        <v>1099</v>
      </c>
      <c r="X205" s="115"/>
      <c r="Y205" s="115"/>
      <c r="Z205" s="116"/>
      <c r="AA205" s="117" t="s">
        <v>1099</v>
      </c>
      <c r="AB205" s="116"/>
      <c r="AC205" s="56"/>
      <c r="AD205" s="116"/>
      <c r="AE205" s="44" t="s">
        <v>1099</v>
      </c>
      <c r="AF205" s="46" t="str">
        <f t="shared" si="6"/>
        <v/>
      </c>
      <c r="AG205" s="38" t="s">
        <v>1099</v>
      </c>
      <c r="AH205" s="47" t="str">
        <f t="shared" si="7"/>
        <v/>
      </c>
      <c r="AI205" s="32"/>
      <c r="AJ205" s="32"/>
      <c r="AK205" s="32"/>
      <c r="AL205" s="32"/>
      <c r="AM205" s="32" t="s">
        <v>1099</v>
      </c>
      <c r="AN205" s="32"/>
      <c r="AO205" s="32" t="s">
        <v>1099</v>
      </c>
      <c r="AP205" s="32"/>
      <c r="AQ205" s="32"/>
      <c r="AR205" s="32"/>
      <c r="AS205" s="32"/>
      <c r="AT205" s="32"/>
      <c r="AU205" s="32"/>
      <c r="AV205" s="38" t="s">
        <v>1099</v>
      </c>
      <c r="AW205" s="38" t="s">
        <v>1099</v>
      </c>
      <c r="AX205" s="42" t="s">
        <v>106</v>
      </c>
      <c r="AY205" s="62" t="str">
        <f>IF('Cálculo MP'!J206="","",'Cálculo MP'!J206)</f>
        <v/>
      </c>
      <c r="AZ205" s="62" t="str">
        <f>IF('Cálculo MP'!K206="","",'Cálculo MP'!K206)</f>
        <v/>
      </c>
      <c r="BA205" s="62" t="str">
        <f>IF('Cálculo MP'!L206="","",'Cálculo MP'!L206)</f>
        <v/>
      </c>
      <c r="BB205" s="62" t="str">
        <f>IF('Cálculo MP'!M206="","",'Cálculo MP'!M206)</f>
        <v/>
      </c>
      <c r="BC205" s="62" t="str">
        <f>IF('Cálculo MP'!N206="","",'Cálculo MP'!N206)</f>
        <v/>
      </c>
      <c r="BD205" s="62" t="str">
        <f>IF('Cálculo MP'!O206="","",'Cálculo MP'!O206)</f>
        <v/>
      </c>
      <c r="BE205" s="62" t="str">
        <f>IF('Cálculo MP'!P206="","",'Cálculo MP'!P206)</f>
        <v/>
      </c>
      <c r="BF205" s="62" t="str">
        <f>IF('Cálculo MP'!Q206="","",'Cálculo MP'!Q206)</f>
        <v/>
      </c>
      <c r="BG205" s="62" t="str">
        <f>IF('Cálculo MP'!R206="","",'Cálculo MP'!R206)</f>
        <v/>
      </c>
      <c r="BH205" s="32"/>
      <c r="BI205" s="32"/>
      <c r="BJ205" s="32"/>
      <c r="BK205" s="32"/>
      <c r="BL205" s="32"/>
      <c r="BM205" s="32"/>
      <c r="BN205" s="32"/>
      <c r="BO205" s="62" t="str">
        <f t="shared" si="8"/>
        <v/>
      </c>
    </row>
    <row r="206" spans="1:67" ht="19.5" customHeight="1" x14ac:dyDescent="0.2">
      <c r="A206" s="49" t="b">
        <v>0</v>
      </c>
      <c r="B206" s="50" t="b">
        <v>1</v>
      </c>
      <c r="C206" s="51" t="b">
        <v>0</v>
      </c>
      <c r="D206" s="51" t="b">
        <v>0</v>
      </c>
      <c r="E206" s="37"/>
      <c r="F206" s="39"/>
      <c r="G206" s="37" t="s">
        <v>1100</v>
      </c>
      <c r="H206" s="34"/>
      <c r="I206" s="34"/>
      <c r="J206" s="34" t="s">
        <v>1099</v>
      </c>
      <c r="K206" s="51" t="b">
        <v>1</v>
      </c>
      <c r="L206" s="40"/>
      <c r="M206" s="37" t="s">
        <v>1099</v>
      </c>
      <c r="N206" s="37" t="s">
        <v>1099</v>
      </c>
      <c r="O206" s="41" t="s">
        <v>1099</v>
      </c>
      <c r="P206" s="40" t="s">
        <v>1099</v>
      </c>
      <c r="Q206" s="37" t="s">
        <v>1099</v>
      </c>
      <c r="R206" s="37" t="s">
        <v>1099</v>
      </c>
      <c r="S206" s="113" t="s">
        <v>1099</v>
      </c>
      <c r="T206" s="56"/>
      <c r="U206" s="56"/>
      <c r="V206" s="56"/>
      <c r="W206" s="114" t="s">
        <v>1099</v>
      </c>
      <c r="X206" s="115"/>
      <c r="Y206" s="115"/>
      <c r="Z206" s="116"/>
      <c r="AA206" s="117" t="s">
        <v>1099</v>
      </c>
      <c r="AB206" s="116"/>
      <c r="AC206" s="56"/>
      <c r="AD206" s="116"/>
      <c r="AE206" s="44" t="s">
        <v>1099</v>
      </c>
      <c r="AF206" s="46" t="str">
        <f t="shared" si="6"/>
        <v/>
      </c>
      <c r="AG206" s="38" t="s">
        <v>1099</v>
      </c>
      <c r="AH206" s="47" t="str">
        <f t="shared" si="7"/>
        <v/>
      </c>
      <c r="AI206" s="32"/>
      <c r="AJ206" s="32"/>
      <c r="AK206" s="32"/>
      <c r="AL206" s="32"/>
      <c r="AM206" s="32" t="s">
        <v>1099</v>
      </c>
      <c r="AN206" s="32"/>
      <c r="AO206" s="32" t="s">
        <v>1099</v>
      </c>
      <c r="AP206" s="32"/>
      <c r="AQ206" s="32"/>
      <c r="AR206" s="32"/>
      <c r="AS206" s="32"/>
      <c r="AT206" s="32"/>
      <c r="AU206" s="32"/>
      <c r="AV206" s="38" t="s">
        <v>1099</v>
      </c>
      <c r="AW206" s="38" t="s">
        <v>1099</v>
      </c>
      <c r="AX206" s="42" t="s">
        <v>106</v>
      </c>
      <c r="AY206" s="62" t="str">
        <f>IF('Cálculo MP'!J207="","",'Cálculo MP'!J207)</f>
        <v/>
      </c>
      <c r="AZ206" s="62" t="str">
        <f>IF('Cálculo MP'!K207="","",'Cálculo MP'!K207)</f>
        <v/>
      </c>
      <c r="BA206" s="62" t="str">
        <f>IF('Cálculo MP'!L207="","",'Cálculo MP'!L207)</f>
        <v/>
      </c>
      <c r="BB206" s="62" t="str">
        <f>IF('Cálculo MP'!M207="","",'Cálculo MP'!M207)</f>
        <v/>
      </c>
      <c r="BC206" s="62" t="str">
        <f>IF('Cálculo MP'!N207="","",'Cálculo MP'!N207)</f>
        <v/>
      </c>
      <c r="BD206" s="62" t="str">
        <f>IF('Cálculo MP'!O207="","",'Cálculo MP'!O207)</f>
        <v/>
      </c>
      <c r="BE206" s="62" t="str">
        <f>IF('Cálculo MP'!P207="","",'Cálculo MP'!P207)</f>
        <v/>
      </c>
      <c r="BF206" s="62" t="str">
        <f>IF('Cálculo MP'!Q207="","",'Cálculo MP'!Q207)</f>
        <v/>
      </c>
      <c r="BG206" s="62" t="str">
        <f>IF('Cálculo MP'!R207="","",'Cálculo MP'!R207)</f>
        <v/>
      </c>
      <c r="BH206" s="32"/>
      <c r="BI206" s="32"/>
      <c r="BJ206" s="32"/>
      <c r="BK206" s="32"/>
      <c r="BL206" s="32"/>
      <c r="BM206" s="32"/>
      <c r="BN206" s="32"/>
      <c r="BO206" s="62" t="str">
        <f t="shared" si="8"/>
        <v/>
      </c>
    </row>
    <row r="207" spans="1:67" ht="19.5" customHeight="1" x14ac:dyDescent="0.2">
      <c r="A207" s="49" t="b">
        <v>0</v>
      </c>
      <c r="B207" s="50" t="b">
        <v>1</v>
      </c>
      <c r="C207" s="51" t="b">
        <v>0</v>
      </c>
      <c r="D207" s="51" t="b">
        <v>0</v>
      </c>
      <c r="E207" s="37"/>
      <c r="F207" s="39"/>
      <c r="G207" s="37" t="s">
        <v>1100</v>
      </c>
      <c r="H207" s="34"/>
      <c r="I207" s="34"/>
      <c r="J207" s="34" t="s">
        <v>1099</v>
      </c>
      <c r="K207" s="51" t="b">
        <v>1</v>
      </c>
      <c r="L207" s="40"/>
      <c r="M207" s="37" t="s">
        <v>1099</v>
      </c>
      <c r="N207" s="37" t="s">
        <v>1099</v>
      </c>
      <c r="O207" s="41" t="s">
        <v>1099</v>
      </c>
      <c r="P207" s="40" t="s">
        <v>1099</v>
      </c>
      <c r="Q207" s="37" t="s">
        <v>1099</v>
      </c>
      <c r="R207" s="37" t="s">
        <v>1099</v>
      </c>
      <c r="S207" s="113" t="s">
        <v>1099</v>
      </c>
      <c r="T207" s="56"/>
      <c r="U207" s="56"/>
      <c r="V207" s="56"/>
      <c r="W207" s="114" t="s">
        <v>1099</v>
      </c>
      <c r="X207" s="115"/>
      <c r="Y207" s="115"/>
      <c r="Z207" s="116"/>
      <c r="AA207" s="117" t="s">
        <v>1099</v>
      </c>
      <c r="AB207" s="116"/>
      <c r="AC207" s="56"/>
      <c r="AD207" s="116"/>
      <c r="AE207" s="44" t="s">
        <v>1099</v>
      </c>
      <c r="AF207" s="46" t="str">
        <f t="shared" si="6"/>
        <v/>
      </c>
      <c r="AG207" s="38" t="s">
        <v>1099</v>
      </c>
      <c r="AH207" s="47" t="str">
        <f t="shared" si="7"/>
        <v/>
      </c>
      <c r="AI207" s="32"/>
      <c r="AJ207" s="32"/>
      <c r="AK207" s="32"/>
      <c r="AL207" s="32"/>
      <c r="AM207" s="32" t="s">
        <v>1099</v>
      </c>
      <c r="AN207" s="32"/>
      <c r="AO207" s="32" t="s">
        <v>1099</v>
      </c>
      <c r="AP207" s="32"/>
      <c r="AQ207" s="32"/>
      <c r="AR207" s="32"/>
      <c r="AS207" s="32"/>
      <c r="AT207" s="32"/>
      <c r="AU207" s="32"/>
      <c r="AV207" s="38" t="s">
        <v>1099</v>
      </c>
      <c r="AW207" s="38" t="s">
        <v>1099</v>
      </c>
      <c r="AX207" s="42" t="s">
        <v>106</v>
      </c>
      <c r="AY207" s="62" t="str">
        <f>IF('Cálculo MP'!J208="","",'Cálculo MP'!J208)</f>
        <v/>
      </c>
      <c r="AZ207" s="62" t="str">
        <f>IF('Cálculo MP'!K208="","",'Cálculo MP'!K208)</f>
        <v/>
      </c>
      <c r="BA207" s="62" t="str">
        <f>IF('Cálculo MP'!L208="","",'Cálculo MP'!L208)</f>
        <v/>
      </c>
      <c r="BB207" s="62" t="str">
        <f>IF('Cálculo MP'!M208="","",'Cálculo MP'!M208)</f>
        <v/>
      </c>
      <c r="BC207" s="62" t="str">
        <f>IF('Cálculo MP'!N208="","",'Cálculo MP'!N208)</f>
        <v/>
      </c>
      <c r="BD207" s="62" t="str">
        <f>IF('Cálculo MP'!O208="","",'Cálculo MP'!O208)</f>
        <v/>
      </c>
      <c r="BE207" s="62" t="str">
        <f>IF('Cálculo MP'!P208="","",'Cálculo MP'!P208)</f>
        <v/>
      </c>
      <c r="BF207" s="62" t="str">
        <f>IF('Cálculo MP'!Q208="","",'Cálculo MP'!Q208)</f>
        <v/>
      </c>
      <c r="BG207" s="62" t="str">
        <f>IF('Cálculo MP'!R208="","",'Cálculo MP'!R208)</f>
        <v/>
      </c>
      <c r="BH207" s="32"/>
      <c r="BI207" s="32"/>
      <c r="BJ207" s="32"/>
      <c r="BK207" s="32"/>
      <c r="BL207" s="32"/>
      <c r="BM207" s="32"/>
      <c r="BN207" s="32"/>
      <c r="BO207" s="62" t="str">
        <f t="shared" si="8"/>
        <v/>
      </c>
    </row>
    <row r="208" spans="1:67" ht="19.5" customHeight="1" x14ac:dyDescent="0.2">
      <c r="A208" s="49" t="b">
        <v>0</v>
      </c>
      <c r="B208" s="50" t="b">
        <v>1</v>
      </c>
      <c r="C208" s="51" t="b">
        <v>0</v>
      </c>
      <c r="D208" s="51" t="b">
        <v>0</v>
      </c>
      <c r="E208" s="37"/>
      <c r="F208" s="39"/>
      <c r="G208" s="37" t="s">
        <v>1100</v>
      </c>
      <c r="H208" s="34"/>
      <c r="I208" s="34"/>
      <c r="J208" s="34" t="s">
        <v>1099</v>
      </c>
      <c r="K208" s="51" t="b">
        <v>1</v>
      </c>
      <c r="L208" s="40"/>
      <c r="M208" s="37" t="s">
        <v>1099</v>
      </c>
      <c r="N208" s="37" t="s">
        <v>1099</v>
      </c>
      <c r="O208" s="41" t="s">
        <v>1099</v>
      </c>
      <c r="P208" s="40" t="s">
        <v>1099</v>
      </c>
      <c r="Q208" s="37" t="s">
        <v>1099</v>
      </c>
      <c r="R208" s="37" t="s">
        <v>1099</v>
      </c>
      <c r="S208" s="113" t="s">
        <v>1099</v>
      </c>
      <c r="T208" s="56"/>
      <c r="U208" s="56"/>
      <c r="V208" s="56"/>
      <c r="W208" s="114" t="s">
        <v>1099</v>
      </c>
      <c r="X208" s="115"/>
      <c r="Y208" s="115"/>
      <c r="Z208" s="116"/>
      <c r="AA208" s="117" t="s">
        <v>1099</v>
      </c>
      <c r="AB208" s="116"/>
      <c r="AC208" s="56"/>
      <c r="AD208" s="116"/>
      <c r="AE208" s="44" t="s">
        <v>1099</v>
      </c>
      <c r="AF208" s="46" t="str">
        <f t="shared" si="6"/>
        <v/>
      </c>
      <c r="AG208" s="38" t="s">
        <v>1099</v>
      </c>
      <c r="AH208" s="47" t="str">
        <f t="shared" si="7"/>
        <v/>
      </c>
      <c r="AI208" s="32"/>
      <c r="AJ208" s="32"/>
      <c r="AK208" s="32"/>
      <c r="AL208" s="32"/>
      <c r="AM208" s="32" t="s">
        <v>1099</v>
      </c>
      <c r="AN208" s="32"/>
      <c r="AO208" s="32" t="s">
        <v>1099</v>
      </c>
      <c r="AP208" s="32"/>
      <c r="AQ208" s="32"/>
      <c r="AR208" s="32"/>
      <c r="AS208" s="32"/>
      <c r="AT208" s="32"/>
      <c r="AU208" s="32"/>
      <c r="AV208" s="38" t="s">
        <v>1099</v>
      </c>
      <c r="AW208" s="38" t="s">
        <v>1099</v>
      </c>
      <c r="AX208" s="42" t="s">
        <v>106</v>
      </c>
      <c r="AY208" s="62" t="str">
        <f>IF('Cálculo MP'!J209="","",'Cálculo MP'!J209)</f>
        <v/>
      </c>
      <c r="AZ208" s="62" t="str">
        <f>IF('Cálculo MP'!K209="","",'Cálculo MP'!K209)</f>
        <v/>
      </c>
      <c r="BA208" s="62" t="str">
        <f>IF('Cálculo MP'!L209="","",'Cálculo MP'!L209)</f>
        <v/>
      </c>
      <c r="BB208" s="62" t="str">
        <f>IF('Cálculo MP'!M209="","",'Cálculo MP'!M209)</f>
        <v/>
      </c>
      <c r="BC208" s="62" t="str">
        <f>IF('Cálculo MP'!N209="","",'Cálculo MP'!N209)</f>
        <v/>
      </c>
      <c r="BD208" s="62" t="str">
        <f>IF('Cálculo MP'!O209="","",'Cálculo MP'!O209)</f>
        <v/>
      </c>
      <c r="BE208" s="62" t="str">
        <f>IF('Cálculo MP'!P209="","",'Cálculo MP'!P209)</f>
        <v/>
      </c>
      <c r="BF208" s="62" t="str">
        <f>IF('Cálculo MP'!Q209="","",'Cálculo MP'!Q209)</f>
        <v/>
      </c>
      <c r="BG208" s="62" t="str">
        <f>IF('Cálculo MP'!R209="","",'Cálculo MP'!R209)</f>
        <v/>
      </c>
      <c r="BH208" s="32"/>
      <c r="BI208" s="32"/>
      <c r="BJ208" s="32"/>
      <c r="BK208" s="32"/>
      <c r="BL208" s="32"/>
      <c r="BM208" s="32"/>
      <c r="BN208" s="32"/>
      <c r="BO208" s="62" t="str">
        <f t="shared" si="8"/>
        <v/>
      </c>
    </row>
    <row r="209" spans="1:67" ht="19.5" customHeight="1" x14ac:dyDescent="0.2">
      <c r="A209" s="49" t="b">
        <v>0</v>
      </c>
      <c r="B209" s="50" t="b">
        <v>1</v>
      </c>
      <c r="C209" s="51" t="b">
        <v>0</v>
      </c>
      <c r="D209" s="51" t="b">
        <v>0</v>
      </c>
      <c r="E209" s="37"/>
      <c r="F209" s="39"/>
      <c r="G209" s="37" t="s">
        <v>1100</v>
      </c>
      <c r="H209" s="34"/>
      <c r="I209" s="34"/>
      <c r="J209" s="34" t="s">
        <v>1099</v>
      </c>
      <c r="K209" s="51" t="b">
        <v>1</v>
      </c>
      <c r="L209" s="40"/>
      <c r="M209" s="37" t="s">
        <v>1099</v>
      </c>
      <c r="N209" s="37" t="s">
        <v>1099</v>
      </c>
      <c r="O209" s="41" t="s">
        <v>1099</v>
      </c>
      <c r="P209" s="40" t="s">
        <v>1099</v>
      </c>
      <c r="Q209" s="37" t="s">
        <v>1099</v>
      </c>
      <c r="R209" s="37" t="s">
        <v>1099</v>
      </c>
      <c r="S209" s="113" t="s">
        <v>1099</v>
      </c>
      <c r="T209" s="56"/>
      <c r="U209" s="56"/>
      <c r="V209" s="56"/>
      <c r="W209" s="114" t="s">
        <v>1099</v>
      </c>
      <c r="X209" s="115"/>
      <c r="Y209" s="115"/>
      <c r="Z209" s="116"/>
      <c r="AA209" s="117" t="s">
        <v>1099</v>
      </c>
      <c r="AB209" s="116"/>
      <c r="AC209" s="56"/>
      <c r="AD209" s="116"/>
      <c r="AE209" s="44" t="s">
        <v>1099</v>
      </c>
      <c r="AF209" s="46" t="str">
        <f t="shared" si="6"/>
        <v/>
      </c>
      <c r="AG209" s="38" t="s">
        <v>1099</v>
      </c>
      <c r="AH209" s="47" t="str">
        <f t="shared" si="7"/>
        <v/>
      </c>
      <c r="AI209" s="32"/>
      <c r="AJ209" s="32"/>
      <c r="AK209" s="32"/>
      <c r="AL209" s="32"/>
      <c r="AM209" s="32" t="s">
        <v>1099</v>
      </c>
      <c r="AN209" s="32"/>
      <c r="AO209" s="32" t="s">
        <v>1099</v>
      </c>
      <c r="AP209" s="32"/>
      <c r="AQ209" s="32"/>
      <c r="AR209" s="32"/>
      <c r="AS209" s="32"/>
      <c r="AT209" s="32"/>
      <c r="AU209" s="32"/>
      <c r="AV209" s="38" t="s">
        <v>1099</v>
      </c>
      <c r="AW209" s="38" t="s">
        <v>1099</v>
      </c>
      <c r="AX209" s="42" t="s">
        <v>106</v>
      </c>
      <c r="AY209" s="62" t="str">
        <f>IF('Cálculo MP'!J210="","",'Cálculo MP'!J210)</f>
        <v/>
      </c>
      <c r="AZ209" s="62" t="str">
        <f>IF('Cálculo MP'!K210="","",'Cálculo MP'!K210)</f>
        <v/>
      </c>
      <c r="BA209" s="62" t="str">
        <f>IF('Cálculo MP'!L210="","",'Cálculo MP'!L210)</f>
        <v/>
      </c>
      <c r="BB209" s="62" t="str">
        <f>IF('Cálculo MP'!M210="","",'Cálculo MP'!M210)</f>
        <v/>
      </c>
      <c r="BC209" s="62" t="str">
        <f>IF('Cálculo MP'!N210="","",'Cálculo MP'!N210)</f>
        <v/>
      </c>
      <c r="BD209" s="62" t="str">
        <f>IF('Cálculo MP'!O210="","",'Cálculo MP'!O210)</f>
        <v/>
      </c>
      <c r="BE209" s="62" t="str">
        <f>IF('Cálculo MP'!P210="","",'Cálculo MP'!P210)</f>
        <v/>
      </c>
      <c r="BF209" s="62" t="str">
        <f>IF('Cálculo MP'!Q210="","",'Cálculo MP'!Q210)</f>
        <v/>
      </c>
      <c r="BG209" s="62" t="str">
        <f>IF('Cálculo MP'!R210="","",'Cálculo MP'!R210)</f>
        <v/>
      </c>
      <c r="BH209" s="32"/>
      <c r="BI209" s="32"/>
      <c r="BJ209" s="32"/>
      <c r="BK209" s="32"/>
      <c r="BL209" s="32"/>
      <c r="BM209" s="32"/>
      <c r="BN209" s="32"/>
      <c r="BO209" s="62" t="str">
        <f t="shared" si="8"/>
        <v/>
      </c>
    </row>
    <row r="210" spans="1:67" ht="19.5" customHeight="1" x14ac:dyDescent="0.2">
      <c r="A210" s="49" t="b">
        <v>0</v>
      </c>
      <c r="B210" s="50" t="b">
        <v>1</v>
      </c>
      <c r="C210" s="51" t="b">
        <v>0</v>
      </c>
      <c r="D210" s="51" t="b">
        <v>0</v>
      </c>
      <c r="E210" s="37"/>
      <c r="F210" s="39"/>
      <c r="G210" s="37" t="s">
        <v>1100</v>
      </c>
      <c r="H210" s="34"/>
      <c r="I210" s="34"/>
      <c r="J210" s="34" t="s">
        <v>1099</v>
      </c>
      <c r="K210" s="51" t="b">
        <v>1</v>
      </c>
      <c r="L210" s="40"/>
      <c r="M210" s="37" t="s">
        <v>1099</v>
      </c>
      <c r="N210" s="37" t="s">
        <v>1099</v>
      </c>
      <c r="O210" s="41" t="s">
        <v>1099</v>
      </c>
      <c r="P210" s="40" t="s">
        <v>1099</v>
      </c>
      <c r="Q210" s="37" t="s">
        <v>1099</v>
      </c>
      <c r="R210" s="37" t="s">
        <v>1099</v>
      </c>
      <c r="S210" s="113" t="s">
        <v>1099</v>
      </c>
      <c r="T210" s="56"/>
      <c r="U210" s="56"/>
      <c r="V210" s="56"/>
      <c r="W210" s="114" t="s">
        <v>1099</v>
      </c>
      <c r="X210" s="115"/>
      <c r="Y210" s="115"/>
      <c r="Z210" s="116"/>
      <c r="AA210" s="117" t="s">
        <v>1099</v>
      </c>
      <c r="AB210" s="116"/>
      <c r="AC210" s="56"/>
      <c r="AD210" s="116"/>
      <c r="AE210" s="44" t="s">
        <v>1099</v>
      </c>
      <c r="AF210" s="46" t="str">
        <f t="shared" si="6"/>
        <v/>
      </c>
      <c r="AG210" s="38" t="s">
        <v>1099</v>
      </c>
      <c r="AH210" s="47" t="str">
        <f t="shared" si="7"/>
        <v/>
      </c>
      <c r="AI210" s="32"/>
      <c r="AJ210" s="32"/>
      <c r="AK210" s="32"/>
      <c r="AL210" s="32"/>
      <c r="AM210" s="32" t="s">
        <v>1099</v>
      </c>
      <c r="AN210" s="32"/>
      <c r="AO210" s="32" t="s">
        <v>1099</v>
      </c>
      <c r="AP210" s="32"/>
      <c r="AQ210" s="32"/>
      <c r="AR210" s="32"/>
      <c r="AS210" s="32"/>
      <c r="AT210" s="32"/>
      <c r="AU210" s="32"/>
      <c r="AV210" s="38" t="s">
        <v>1099</v>
      </c>
      <c r="AW210" s="38" t="s">
        <v>1099</v>
      </c>
      <c r="AX210" s="42" t="s">
        <v>106</v>
      </c>
      <c r="AY210" s="62" t="str">
        <f>IF('Cálculo MP'!J211="","",'Cálculo MP'!J211)</f>
        <v/>
      </c>
      <c r="AZ210" s="62" t="str">
        <f>IF('Cálculo MP'!K211="","",'Cálculo MP'!K211)</f>
        <v/>
      </c>
      <c r="BA210" s="62" t="str">
        <f>IF('Cálculo MP'!L211="","",'Cálculo MP'!L211)</f>
        <v/>
      </c>
      <c r="BB210" s="62" t="str">
        <f>IF('Cálculo MP'!M211="","",'Cálculo MP'!M211)</f>
        <v/>
      </c>
      <c r="BC210" s="62" t="str">
        <f>IF('Cálculo MP'!N211="","",'Cálculo MP'!N211)</f>
        <v/>
      </c>
      <c r="BD210" s="62" t="str">
        <f>IF('Cálculo MP'!O211="","",'Cálculo MP'!O211)</f>
        <v/>
      </c>
      <c r="BE210" s="62" t="str">
        <f>IF('Cálculo MP'!P211="","",'Cálculo MP'!P211)</f>
        <v/>
      </c>
      <c r="BF210" s="62" t="str">
        <f>IF('Cálculo MP'!Q211="","",'Cálculo MP'!Q211)</f>
        <v/>
      </c>
      <c r="BG210" s="62" t="str">
        <f>IF('Cálculo MP'!R211="","",'Cálculo MP'!R211)</f>
        <v/>
      </c>
      <c r="BH210" s="32"/>
      <c r="BI210" s="32"/>
      <c r="BJ210" s="32"/>
      <c r="BK210" s="32"/>
      <c r="BL210" s="32"/>
      <c r="BM210" s="32"/>
      <c r="BN210" s="32"/>
      <c r="BO210" s="62" t="str">
        <f t="shared" si="8"/>
        <v/>
      </c>
    </row>
    <row r="211" spans="1:67" ht="19.5" customHeight="1" x14ac:dyDescent="0.2">
      <c r="A211" s="49" t="b">
        <v>0</v>
      </c>
      <c r="B211" s="50" t="b">
        <v>1</v>
      </c>
      <c r="C211" s="51" t="b">
        <v>0</v>
      </c>
      <c r="D211" s="51" t="b">
        <v>0</v>
      </c>
      <c r="E211" s="37"/>
      <c r="F211" s="39"/>
      <c r="G211" s="37" t="s">
        <v>1100</v>
      </c>
      <c r="H211" s="34"/>
      <c r="I211" s="34"/>
      <c r="J211" s="34" t="s">
        <v>1099</v>
      </c>
      <c r="K211" s="51" t="b">
        <v>1</v>
      </c>
      <c r="L211" s="40"/>
      <c r="M211" s="37" t="s">
        <v>1099</v>
      </c>
      <c r="N211" s="37" t="s">
        <v>1099</v>
      </c>
      <c r="O211" s="41" t="s">
        <v>1099</v>
      </c>
      <c r="P211" s="40" t="s">
        <v>1099</v>
      </c>
      <c r="Q211" s="37" t="s">
        <v>1099</v>
      </c>
      <c r="R211" s="37" t="s">
        <v>1099</v>
      </c>
      <c r="S211" s="113" t="s">
        <v>1099</v>
      </c>
      <c r="T211" s="56"/>
      <c r="U211" s="56"/>
      <c r="V211" s="56"/>
      <c r="W211" s="114" t="s">
        <v>1099</v>
      </c>
      <c r="X211" s="115"/>
      <c r="Y211" s="115"/>
      <c r="Z211" s="116"/>
      <c r="AA211" s="117" t="s">
        <v>1099</v>
      </c>
      <c r="AB211" s="116"/>
      <c r="AC211" s="56"/>
      <c r="AD211" s="116"/>
      <c r="AE211" s="44" t="s">
        <v>1099</v>
      </c>
      <c r="AF211" s="46" t="str">
        <f t="shared" ref="AF211:AF274" si="9">IFERROR((VALUE(TRIM(LEFT(MID(AE211,FIND("|",AE211)+1,99),FIND("-",MID(AE211,FIND("|",AE211)+1,99))-1)))+VALUE(TRIM(SUBSTITUTE(SUBSTITUTE(SUBSTITUTE(MID(MID(AE211,FIND("|",AE211)+1,99),FIND("-",MID(AE211,FIND("|",AE211)+1,99))+1,20),"µm",""),"μm","")," ",""))))/2,"")</f>
        <v/>
      </c>
      <c r="AG211" s="38" t="s">
        <v>1099</v>
      </c>
      <c r="AH211" s="47" t="str">
        <f t="shared" ref="AH211:AH274" si="10">IFERROR((VALUE(TRIM(LEFT(MID(AG211,FIND("|",AG211)+1,99),FIND("-",MID(AG211,FIND("|",AG211)+1,99))-1)))+VALUE(TRIM(SUBSTITUTE(SUBSTITUTE(SUBSTITUTE(MID(MID(AG211,FIND("|",AG211)+1,99),FIND("-",MID(AG211,FIND("|",AG211)+1,99))+1,20),"µm",""),"μm","")," ",""))))/2,"")</f>
        <v/>
      </c>
      <c r="AI211" s="32"/>
      <c r="AJ211" s="32"/>
      <c r="AK211" s="32"/>
      <c r="AL211" s="32"/>
      <c r="AM211" s="32" t="s">
        <v>1099</v>
      </c>
      <c r="AN211" s="32"/>
      <c r="AO211" s="32" t="s">
        <v>1099</v>
      </c>
      <c r="AP211" s="32"/>
      <c r="AQ211" s="32"/>
      <c r="AR211" s="32"/>
      <c r="AS211" s="32"/>
      <c r="AT211" s="32"/>
      <c r="AU211" s="32"/>
      <c r="AV211" s="38" t="s">
        <v>1099</v>
      </c>
      <c r="AW211" s="38" t="s">
        <v>1099</v>
      </c>
      <c r="AX211" s="42" t="s">
        <v>106</v>
      </c>
      <c r="AY211" s="62" t="str">
        <f>IF('Cálculo MP'!J212="","",'Cálculo MP'!J212)</f>
        <v/>
      </c>
      <c r="AZ211" s="62" t="str">
        <f>IF('Cálculo MP'!K212="","",'Cálculo MP'!K212)</f>
        <v/>
      </c>
      <c r="BA211" s="62" t="str">
        <f>IF('Cálculo MP'!L212="","",'Cálculo MP'!L212)</f>
        <v/>
      </c>
      <c r="BB211" s="62" t="str">
        <f>IF('Cálculo MP'!M212="","",'Cálculo MP'!M212)</f>
        <v/>
      </c>
      <c r="BC211" s="62" t="str">
        <f>IF('Cálculo MP'!N212="","",'Cálculo MP'!N212)</f>
        <v/>
      </c>
      <c r="BD211" s="62" t="str">
        <f>IF('Cálculo MP'!O212="","",'Cálculo MP'!O212)</f>
        <v/>
      </c>
      <c r="BE211" s="62" t="str">
        <f>IF('Cálculo MP'!P212="","",'Cálculo MP'!P212)</f>
        <v/>
      </c>
      <c r="BF211" s="62" t="str">
        <f>IF('Cálculo MP'!Q212="","",'Cálculo MP'!Q212)</f>
        <v/>
      </c>
      <c r="BG211" s="62" t="str">
        <f>IF('Cálculo MP'!R212="","",'Cálculo MP'!R212)</f>
        <v/>
      </c>
      <c r="BH211" s="32"/>
      <c r="BI211" s="32"/>
      <c r="BJ211" s="32"/>
      <c r="BK211" s="32"/>
      <c r="BL211" s="32"/>
      <c r="BM211" s="32"/>
      <c r="BN211" s="32"/>
      <c r="BO211" s="62" t="str">
        <f t="shared" ref="BO211:BO274" si="11">IF(E211="","",H211*I211)</f>
        <v/>
      </c>
    </row>
    <row r="212" spans="1:67" ht="19.5" customHeight="1" x14ac:dyDescent="0.2">
      <c r="A212" s="49" t="b">
        <v>0</v>
      </c>
      <c r="B212" s="50" t="b">
        <v>1</v>
      </c>
      <c r="C212" s="51" t="b">
        <v>0</v>
      </c>
      <c r="D212" s="51" t="b">
        <v>0</v>
      </c>
      <c r="E212" s="37"/>
      <c r="F212" s="39"/>
      <c r="G212" s="37" t="s">
        <v>1100</v>
      </c>
      <c r="H212" s="34"/>
      <c r="I212" s="34"/>
      <c r="J212" s="34" t="s">
        <v>1099</v>
      </c>
      <c r="K212" s="51" t="b">
        <v>1</v>
      </c>
      <c r="L212" s="40"/>
      <c r="M212" s="37" t="s">
        <v>1099</v>
      </c>
      <c r="N212" s="37" t="s">
        <v>1099</v>
      </c>
      <c r="O212" s="41" t="s">
        <v>1099</v>
      </c>
      <c r="P212" s="40" t="s">
        <v>1099</v>
      </c>
      <c r="Q212" s="37" t="s">
        <v>1099</v>
      </c>
      <c r="R212" s="37" t="s">
        <v>1099</v>
      </c>
      <c r="S212" s="113" t="s">
        <v>1099</v>
      </c>
      <c r="T212" s="56"/>
      <c r="U212" s="56"/>
      <c r="V212" s="56"/>
      <c r="W212" s="114" t="s">
        <v>1099</v>
      </c>
      <c r="X212" s="115"/>
      <c r="Y212" s="115"/>
      <c r="Z212" s="116"/>
      <c r="AA212" s="117" t="s">
        <v>1099</v>
      </c>
      <c r="AB212" s="116"/>
      <c r="AC212" s="56"/>
      <c r="AD212" s="116"/>
      <c r="AE212" s="44" t="s">
        <v>1099</v>
      </c>
      <c r="AF212" s="46" t="str">
        <f t="shared" si="9"/>
        <v/>
      </c>
      <c r="AG212" s="38" t="s">
        <v>1099</v>
      </c>
      <c r="AH212" s="47" t="str">
        <f t="shared" si="10"/>
        <v/>
      </c>
      <c r="AI212" s="32"/>
      <c r="AJ212" s="32"/>
      <c r="AK212" s="32"/>
      <c r="AL212" s="32"/>
      <c r="AM212" s="32" t="s">
        <v>1099</v>
      </c>
      <c r="AN212" s="32"/>
      <c r="AO212" s="32" t="s">
        <v>1099</v>
      </c>
      <c r="AP212" s="32"/>
      <c r="AQ212" s="32"/>
      <c r="AR212" s="32"/>
      <c r="AS212" s="32"/>
      <c r="AT212" s="32"/>
      <c r="AU212" s="32"/>
      <c r="AV212" s="38" t="s">
        <v>1099</v>
      </c>
      <c r="AW212" s="38" t="s">
        <v>1099</v>
      </c>
      <c r="AX212" s="42" t="s">
        <v>106</v>
      </c>
      <c r="AY212" s="62" t="str">
        <f>IF('Cálculo MP'!J213="","",'Cálculo MP'!J213)</f>
        <v/>
      </c>
      <c r="AZ212" s="62" t="str">
        <f>IF('Cálculo MP'!K213="","",'Cálculo MP'!K213)</f>
        <v/>
      </c>
      <c r="BA212" s="62" t="str">
        <f>IF('Cálculo MP'!L213="","",'Cálculo MP'!L213)</f>
        <v/>
      </c>
      <c r="BB212" s="62" t="str">
        <f>IF('Cálculo MP'!M213="","",'Cálculo MP'!M213)</f>
        <v/>
      </c>
      <c r="BC212" s="62" t="str">
        <f>IF('Cálculo MP'!N213="","",'Cálculo MP'!N213)</f>
        <v/>
      </c>
      <c r="BD212" s="62" t="str">
        <f>IF('Cálculo MP'!O213="","",'Cálculo MP'!O213)</f>
        <v/>
      </c>
      <c r="BE212" s="62" t="str">
        <f>IF('Cálculo MP'!P213="","",'Cálculo MP'!P213)</f>
        <v/>
      </c>
      <c r="BF212" s="62" t="str">
        <f>IF('Cálculo MP'!Q213="","",'Cálculo MP'!Q213)</f>
        <v/>
      </c>
      <c r="BG212" s="62" t="str">
        <f>IF('Cálculo MP'!R213="","",'Cálculo MP'!R213)</f>
        <v/>
      </c>
      <c r="BH212" s="32"/>
      <c r="BI212" s="32"/>
      <c r="BJ212" s="32"/>
      <c r="BK212" s="32"/>
      <c r="BL212" s="32"/>
      <c r="BM212" s="32"/>
      <c r="BN212" s="32"/>
      <c r="BO212" s="62" t="str">
        <f t="shared" si="11"/>
        <v/>
      </c>
    </row>
    <row r="213" spans="1:67" ht="19.5" customHeight="1" x14ac:dyDescent="0.2">
      <c r="A213" s="49" t="b">
        <v>0</v>
      </c>
      <c r="B213" s="50" t="b">
        <v>1</v>
      </c>
      <c r="C213" s="51" t="b">
        <v>0</v>
      </c>
      <c r="D213" s="51" t="b">
        <v>0</v>
      </c>
      <c r="E213" s="37"/>
      <c r="F213" s="39"/>
      <c r="G213" s="37" t="s">
        <v>1100</v>
      </c>
      <c r="H213" s="34"/>
      <c r="I213" s="34"/>
      <c r="J213" s="34" t="s">
        <v>1099</v>
      </c>
      <c r="K213" s="51" t="b">
        <v>1</v>
      </c>
      <c r="L213" s="40"/>
      <c r="M213" s="37" t="s">
        <v>1099</v>
      </c>
      <c r="N213" s="37" t="s">
        <v>1099</v>
      </c>
      <c r="O213" s="41" t="s">
        <v>1099</v>
      </c>
      <c r="P213" s="40" t="s">
        <v>1099</v>
      </c>
      <c r="Q213" s="37" t="s">
        <v>1099</v>
      </c>
      <c r="R213" s="37" t="s">
        <v>1099</v>
      </c>
      <c r="S213" s="113" t="s">
        <v>1099</v>
      </c>
      <c r="T213" s="56"/>
      <c r="U213" s="56"/>
      <c r="V213" s="56"/>
      <c r="W213" s="114" t="s">
        <v>1099</v>
      </c>
      <c r="X213" s="115"/>
      <c r="Y213" s="115"/>
      <c r="Z213" s="116"/>
      <c r="AA213" s="117" t="s">
        <v>1099</v>
      </c>
      <c r="AB213" s="116"/>
      <c r="AC213" s="56"/>
      <c r="AD213" s="116"/>
      <c r="AE213" s="44" t="s">
        <v>1099</v>
      </c>
      <c r="AF213" s="46" t="str">
        <f t="shared" si="9"/>
        <v/>
      </c>
      <c r="AG213" s="38" t="s">
        <v>1099</v>
      </c>
      <c r="AH213" s="47" t="str">
        <f t="shared" si="10"/>
        <v/>
      </c>
      <c r="AI213" s="32"/>
      <c r="AJ213" s="32"/>
      <c r="AK213" s="32"/>
      <c r="AL213" s="32"/>
      <c r="AM213" s="32" t="s">
        <v>1099</v>
      </c>
      <c r="AN213" s="32"/>
      <c r="AO213" s="32" t="s">
        <v>1099</v>
      </c>
      <c r="AP213" s="32"/>
      <c r="AQ213" s="32"/>
      <c r="AR213" s="32"/>
      <c r="AS213" s="32"/>
      <c r="AT213" s="32"/>
      <c r="AU213" s="32"/>
      <c r="AV213" s="38" t="s">
        <v>1099</v>
      </c>
      <c r="AW213" s="38" t="s">
        <v>1099</v>
      </c>
      <c r="AX213" s="42" t="s">
        <v>106</v>
      </c>
      <c r="AY213" s="62" t="str">
        <f>IF('Cálculo MP'!J214="","",'Cálculo MP'!J214)</f>
        <v/>
      </c>
      <c r="AZ213" s="62" t="str">
        <f>IF('Cálculo MP'!K214="","",'Cálculo MP'!K214)</f>
        <v/>
      </c>
      <c r="BA213" s="62" t="str">
        <f>IF('Cálculo MP'!L214="","",'Cálculo MP'!L214)</f>
        <v/>
      </c>
      <c r="BB213" s="62" t="str">
        <f>IF('Cálculo MP'!M214="","",'Cálculo MP'!M214)</f>
        <v/>
      </c>
      <c r="BC213" s="62" t="str">
        <f>IF('Cálculo MP'!N214="","",'Cálculo MP'!N214)</f>
        <v/>
      </c>
      <c r="BD213" s="62" t="str">
        <f>IF('Cálculo MP'!O214="","",'Cálculo MP'!O214)</f>
        <v/>
      </c>
      <c r="BE213" s="62" t="str">
        <f>IF('Cálculo MP'!P214="","",'Cálculo MP'!P214)</f>
        <v/>
      </c>
      <c r="BF213" s="62" t="str">
        <f>IF('Cálculo MP'!Q214="","",'Cálculo MP'!Q214)</f>
        <v/>
      </c>
      <c r="BG213" s="62" t="str">
        <f>IF('Cálculo MP'!R214="","",'Cálculo MP'!R214)</f>
        <v/>
      </c>
      <c r="BH213" s="32"/>
      <c r="BI213" s="32"/>
      <c r="BJ213" s="32"/>
      <c r="BK213" s="32"/>
      <c r="BL213" s="32"/>
      <c r="BM213" s="32"/>
      <c r="BN213" s="32"/>
      <c r="BO213" s="62" t="str">
        <f t="shared" si="11"/>
        <v/>
      </c>
    </row>
    <row r="214" spans="1:67" ht="19.5" customHeight="1" x14ac:dyDescent="0.2">
      <c r="A214" s="49" t="b">
        <v>0</v>
      </c>
      <c r="B214" s="50" t="b">
        <v>1</v>
      </c>
      <c r="C214" s="51" t="b">
        <v>0</v>
      </c>
      <c r="D214" s="51" t="b">
        <v>0</v>
      </c>
      <c r="E214" s="37"/>
      <c r="F214" s="39"/>
      <c r="G214" s="37" t="s">
        <v>1100</v>
      </c>
      <c r="H214" s="34"/>
      <c r="I214" s="34"/>
      <c r="J214" s="34" t="s">
        <v>1099</v>
      </c>
      <c r="K214" s="51" t="b">
        <v>1</v>
      </c>
      <c r="L214" s="40"/>
      <c r="M214" s="37" t="s">
        <v>1099</v>
      </c>
      <c r="N214" s="37" t="s">
        <v>1099</v>
      </c>
      <c r="O214" s="41" t="s">
        <v>1099</v>
      </c>
      <c r="P214" s="40" t="s">
        <v>1099</v>
      </c>
      <c r="Q214" s="37" t="s">
        <v>1099</v>
      </c>
      <c r="R214" s="37" t="s">
        <v>1099</v>
      </c>
      <c r="S214" s="113" t="s">
        <v>1099</v>
      </c>
      <c r="T214" s="56"/>
      <c r="U214" s="56"/>
      <c r="V214" s="56"/>
      <c r="W214" s="114" t="s">
        <v>1099</v>
      </c>
      <c r="X214" s="115"/>
      <c r="Y214" s="115"/>
      <c r="Z214" s="116"/>
      <c r="AA214" s="117" t="s">
        <v>1099</v>
      </c>
      <c r="AB214" s="116"/>
      <c r="AC214" s="56"/>
      <c r="AD214" s="116"/>
      <c r="AE214" s="44" t="s">
        <v>1099</v>
      </c>
      <c r="AF214" s="46" t="str">
        <f t="shared" si="9"/>
        <v/>
      </c>
      <c r="AG214" s="38" t="s">
        <v>1099</v>
      </c>
      <c r="AH214" s="47" t="str">
        <f t="shared" si="10"/>
        <v/>
      </c>
      <c r="AI214" s="32"/>
      <c r="AJ214" s="32"/>
      <c r="AK214" s="32"/>
      <c r="AL214" s="32"/>
      <c r="AM214" s="32" t="s">
        <v>1099</v>
      </c>
      <c r="AN214" s="32"/>
      <c r="AO214" s="32" t="s">
        <v>1099</v>
      </c>
      <c r="AP214" s="32"/>
      <c r="AQ214" s="32"/>
      <c r="AR214" s="32"/>
      <c r="AS214" s="32"/>
      <c r="AT214" s="32"/>
      <c r="AU214" s="32"/>
      <c r="AV214" s="38" t="s">
        <v>1099</v>
      </c>
      <c r="AW214" s="38" t="s">
        <v>1099</v>
      </c>
      <c r="AX214" s="42" t="s">
        <v>106</v>
      </c>
      <c r="AY214" s="62" t="str">
        <f>IF('Cálculo MP'!J215="","",'Cálculo MP'!J215)</f>
        <v/>
      </c>
      <c r="AZ214" s="62" t="str">
        <f>IF('Cálculo MP'!K215="","",'Cálculo MP'!K215)</f>
        <v/>
      </c>
      <c r="BA214" s="62" t="str">
        <f>IF('Cálculo MP'!L215="","",'Cálculo MP'!L215)</f>
        <v/>
      </c>
      <c r="BB214" s="62" t="str">
        <f>IF('Cálculo MP'!M215="","",'Cálculo MP'!M215)</f>
        <v/>
      </c>
      <c r="BC214" s="62" t="str">
        <f>IF('Cálculo MP'!N215="","",'Cálculo MP'!N215)</f>
        <v/>
      </c>
      <c r="BD214" s="62" t="str">
        <f>IF('Cálculo MP'!O215="","",'Cálculo MP'!O215)</f>
        <v/>
      </c>
      <c r="BE214" s="62" t="str">
        <f>IF('Cálculo MP'!P215="","",'Cálculo MP'!P215)</f>
        <v/>
      </c>
      <c r="BF214" s="62" t="str">
        <f>IF('Cálculo MP'!Q215="","",'Cálculo MP'!Q215)</f>
        <v/>
      </c>
      <c r="BG214" s="62" t="str">
        <f>IF('Cálculo MP'!R215="","",'Cálculo MP'!R215)</f>
        <v/>
      </c>
      <c r="BH214" s="32"/>
      <c r="BI214" s="32"/>
      <c r="BJ214" s="32"/>
      <c r="BK214" s="32"/>
      <c r="BL214" s="32"/>
      <c r="BM214" s="32"/>
      <c r="BN214" s="32"/>
      <c r="BO214" s="62" t="str">
        <f t="shared" si="11"/>
        <v/>
      </c>
    </row>
    <row r="215" spans="1:67" ht="19.5" customHeight="1" x14ac:dyDescent="0.2">
      <c r="A215" s="49" t="b">
        <v>0</v>
      </c>
      <c r="B215" s="50" t="b">
        <v>1</v>
      </c>
      <c r="C215" s="51" t="b">
        <v>0</v>
      </c>
      <c r="D215" s="51" t="b">
        <v>0</v>
      </c>
      <c r="E215" s="37"/>
      <c r="F215" s="39"/>
      <c r="G215" s="37" t="s">
        <v>1100</v>
      </c>
      <c r="H215" s="34"/>
      <c r="I215" s="34"/>
      <c r="J215" s="34" t="s">
        <v>1099</v>
      </c>
      <c r="K215" s="51" t="b">
        <v>1</v>
      </c>
      <c r="L215" s="40"/>
      <c r="M215" s="37" t="s">
        <v>1099</v>
      </c>
      <c r="N215" s="37" t="s">
        <v>1099</v>
      </c>
      <c r="O215" s="41" t="s">
        <v>1099</v>
      </c>
      <c r="P215" s="40" t="s">
        <v>1099</v>
      </c>
      <c r="Q215" s="37" t="s">
        <v>1099</v>
      </c>
      <c r="R215" s="37" t="s">
        <v>1099</v>
      </c>
      <c r="S215" s="113" t="s">
        <v>1099</v>
      </c>
      <c r="T215" s="56"/>
      <c r="U215" s="56"/>
      <c r="V215" s="56"/>
      <c r="W215" s="114" t="s">
        <v>1099</v>
      </c>
      <c r="X215" s="115"/>
      <c r="Y215" s="115"/>
      <c r="Z215" s="116"/>
      <c r="AA215" s="117" t="s">
        <v>1099</v>
      </c>
      <c r="AB215" s="116"/>
      <c r="AC215" s="56"/>
      <c r="AD215" s="116"/>
      <c r="AE215" s="44" t="s">
        <v>1099</v>
      </c>
      <c r="AF215" s="46" t="str">
        <f t="shared" si="9"/>
        <v/>
      </c>
      <c r="AG215" s="38" t="s">
        <v>1099</v>
      </c>
      <c r="AH215" s="47" t="str">
        <f t="shared" si="10"/>
        <v/>
      </c>
      <c r="AI215" s="32"/>
      <c r="AJ215" s="32"/>
      <c r="AK215" s="32"/>
      <c r="AL215" s="32"/>
      <c r="AM215" s="32" t="s">
        <v>1099</v>
      </c>
      <c r="AN215" s="32"/>
      <c r="AO215" s="32" t="s">
        <v>1099</v>
      </c>
      <c r="AP215" s="32"/>
      <c r="AQ215" s="32"/>
      <c r="AR215" s="32"/>
      <c r="AS215" s="32"/>
      <c r="AT215" s="32"/>
      <c r="AU215" s="32"/>
      <c r="AV215" s="38" t="s">
        <v>1099</v>
      </c>
      <c r="AW215" s="38" t="s">
        <v>1099</v>
      </c>
      <c r="AX215" s="42" t="s">
        <v>106</v>
      </c>
      <c r="AY215" s="62" t="str">
        <f>IF('Cálculo MP'!J216="","",'Cálculo MP'!J216)</f>
        <v/>
      </c>
      <c r="AZ215" s="62" t="str">
        <f>IF('Cálculo MP'!K216="","",'Cálculo MP'!K216)</f>
        <v/>
      </c>
      <c r="BA215" s="62" t="str">
        <f>IF('Cálculo MP'!L216="","",'Cálculo MP'!L216)</f>
        <v/>
      </c>
      <c r="BB215" s="62" t="str">
        <f>IF('Cálculo MP'!M216="","",'Cálculo MP'!M216)</f>
        <v/>
      </c>
      <c r="BC215" s="62" t="str">
        <f>IF('Cálculo MP'!N216="","",'Cálculo MP'!N216)</f>
        <v/>
      </c>
      <c r="BD215" s="62" t="str">
        <f>IF('Cálculo MP'!O216="","",'Cálculo MP'!O216)</f>
        <v/>
      </c>
      <c r="BE215" s="62" t="str">
        <f>IF('Cálculo MP'!P216="","",'Cálculo MP'!P216)</f>
        <v/>
      </c>
      <c r="BF215" s="62" t="str">
        <f>IF('Cálculo MP'!Q216="","",'Cálculo MP'!Q216)</f>
        <v/>
      </c>
      <c r="BG215" s="62" t="str">
        <f>IF('Cálculo MP'!R216="","",'Cálculo MP'!R216)</f>
        <v/>
      </c>
      <c r="BH215" s="32"/>
      <c r="BI215" s="32"/>
      <c r="BJ215" s="32"/>
      <c r="BK215" s="32"/>
      <c r="BL215" s="32"/>
      <c r="BM215" s="32"/>
      <c r="BN215" s="32"/>
      <c r="BO215" s="62" t="str">
        <f t="shared" si="11"/>
        <v/>
      </c>
    </row>
    <row r="216" spans="1:67" ht="19.5" customHeight="1" x14ac:dyDescent="0.2">
      <c r="A216" s="49" t="b">
        <v>0</v>
      </c>
      <c r="B216" s="50" t="b">
        <v>1</v>
      </c>
      <c r="C216" s="51" t="b">
        <v>0</v>
      </c>
      <c r="D216" s="51" t="b">
        <v>0</v>
      </c>
      <c r="E216" s="37"/>
      <c r="F216" s="39"/>
      <c r="G216" s="37" t="s">
        <v>1100</v>
      </c>
      <c r="H216" s="34"/>
      <c r="I216" s="34"/>
      <c r="J216" s="34" t="s">
        <v>1099</v>
      </c>
      <c r="K216" s="51" t="b">
        <v>1</v>
      </c>
      <c r="L216" s="40"/>
      <c r="M216" s="37" t="s">
        <v>1099</v>
      </c>
      <c r="N216" s="37" t="s">
        <v>1099</v>
      </c>
      <c r="O216" s="41" t="s">
        <v>1099</v>
      </c>
      <c r="P216" s="40" t="s">
        <v>1099</v>
      </c>
      <c r="Q216" s="37" t="s">
        <v>1099</v>
      </c>
      <c r="R216" s="37" t="s">
        <v>1099</v>
      </c>
      <c r="S216" s="113" t="s">
        <v>1099</v>
      </c>
      <c r="T216" s="56"/>
      <c r="U216" s="56"/>
      <c r="V216" s="56"/>
      <c r="W216" s="114" t="s">
        <v>1099</v>
      </c>
      <c r="X216" s="115"/>
      <c r="Y216" s="115"/>
      <c r="Z216" s="116"/>
      <c r="AA216" s="117" t="s">
        <v>1099</v>
      </c>
      <c r="AB216" s="116"/>
      <c r="AC216" s="56"/>
      <c r="AD216" s="116"/>
      <c r="AE216" s="44" t="s">
        <v>1099</v>
      </c>
      <c r="AF216" s="46" t="str">
        <f t="shared" si="9"/>
        <v/>
      </c>
      <c r="AG216" s="38" t="s">
        <v>1099</v>
      </c>
      <c r="AH216" s="47" t="str">
        <f t="shared" si="10"/>
        <v/>
      </c>
      <c r="AI216" s="32"/>
      <c r="AJ216" s="32"/>
      <c r="AK216" s="32"/>
      <c r="AL216" s="32"/>
      <c r="AM216" s="32" t="s">
        <v>1099</v>
      </c>
      <c r="AN216" s="32"/>
      <c r="AO216" s="32" t="s">
        <v>1099</v>
      </c>
      <c r="AP216" s="32"/>
      <c r="AQ216" s="32"/>
      <c r="AR216" s="32"/>
      <c r="AS216" s="32"/>
      <c r="AT216" s="32"/>
      <c r="AU216" s="32"/>
      <c r="AV216" s="38" t="s">
        <v>1099</v>
      </c>
      <c r="AW216" s="38" t="s">
        <v>1099</v>
      </c>
      <c r="AX216" s="42" t="s">
        <v>106</v>
      </c>
      <c r="AY216" s="62" t="str">
        <f>IF('Cálculo MP'!J217="","",'Cálculo MP'!J217)</f>
        <v/>
      </c>
      <c r="AZ216" s="62" t="str">
        <f>IF('Cálculo MP'!K217="","",'Cálculo MP'!K217)</f>
        <v/>
      </c>
      <c r="BA216" s="62" t="str">
        <f>IF('Cálculo MP'!L217="","",'Cálculo MP'!L217)</f>
        <v/>
      </c>
      <c r="BB216" s="62" t="str">
        <f>IF('Cálculo MP'!M217="","",'Cálculo MP'!M217)</f>
        <v/>
      </c>
      <c r="BC216" s="62" t="str">
        <f>IF('Cálculo MP'!N217="","",'Cálculo MP'!N217)</f>
        <v/>
      </c>
      <c r="BD216" s="62" t="str">
        <f>IF('Cálculo MP'!O217="","",'Cálculo MP'!O217)</f>
        <v/>
      </c>
      <c r="BE216" s="62" t="str">
        <f>IF('Cálculo MP'!P217="","",'Cálculo MP'!P217)</f>
        <v/>
      </c>
      <c r="BF216" s="62" t="str">
        <f>IF('Cálculo MP'!Q217="","",'Cálculo MP'!Q217)</f>
        <v/>
      </c>
      <c r="BG216" s="62" t="str">
        <f>IF('Cálculo MP'!R217="","",'Cálculo MP'!R217)</f>
        <v/>
      </c>
      <c r="BH216" s="32"/>
      <c r="BI216" s="32"/>
      <c r="BJ216" s="32"/>
      <c r="BK216" s="32"/>
      <c r="BL216" s="32"/>
      <c r="BM216" s="32"/>
      <c r="BN216" s="32"/>
      <c r="BO216" s="62" t="str">
        <f t="shared" si="11"/>
        <v/>
      </c>
    </row>
    <row r="217" spans="1:67" ht="19.5" customHeight="1" x14ac:dyDescent="0.2">
      <c r="A217" s="49" t="b">
        <v>0</v>
      </c>
      <c r="B217" s="50" t="b">
        <v>1</v>
      </c>
      <c r="C217" s="51" t="b">
        <v>0</v>
      </c>
      <c r="D217" s="51" t="b">
        <v>0</v>
      </c>
      <c r="E217" s="37"/>
      <c r="F217" s="39"/>
      <c r="G217" s="37" t="s">
        <v>1100</v>
      </c>
      <c r="H217" s="34"/>
      <c r="I217" s="34"/>
      <c r="J217" s="34" t="s">
        <v>1099</v>
      </c>
      <c r="K217" s="51" t="b">
        <v>1</v>
      </c>
      <c r="L217" s="40"/>
      <c r="M217" s="37" t="s">
        <v>1099</v>
      </c>
      <c r="N217" s="37" t="s">
        <v>1099</v>
      </c>
      <c r="O217" s="41" t="s">
        <v>1099</v>
      </c>
      <c r="P217" s="40" t="s">
        <v>1099</v>
      </c>
      <c r="Q217" s="37" t="s">
        <v>1099</v>
      </c>
      <c r="R217" s="37" t="s">
        <v>1099</v>
      </c>
      <c r="S217" s="113" t="s">
        <v>1099</v>
      </c>
      <c r="T217" s="56"/>
      <c r="U217" s="56"/>
      <c r="V217" s="56"/>
      <c r="W217" s="114" t="s">
        <v>1099</v>
      </c>
      <c r="X217" s="115"/>
      <c r="Y217" s="115"/>
      <c r="Z217" s="116"/>
      <c r="AA217" s="117" t="s">
        <v>1099</v>
      </c>
      <c r="AB217" s="116"/>
      <c r="AC217" s="56"/>
      <c r="AD217" s="116"/>
      <c r="AE217" s="44" t="s">
        <v>1099</v>
      </c>
      <c r="AF217" s="46" t="str">
        <f t="shared" si="9"/>
        <v/>
      </c>
      <c r="AG217" s="38" t="s">
        <v>1099</v>
      </c>
      <c r="AH217" s="47" t="str">
        <f t="shared" si="10"/>
        <v/>
      </c>
      <c r="AI217" s="32"/>
      <c r="AJ217" s="32"/>
      <c r="AK217" s="32"/>
      <c r="AL217" s="32"/>
      <c r="AM217" s="32" t="s">
        <v>1099</v>
      </c>
      <c r="AN217" s="32"/>
      <c r="AO217" s="32" t="s">
        <v>1099</v>
      </c>
      <c r="AP217" s="32"/>
      <c r="AQ217" s="32"/>
      <c r="AR217" s="32"/>
      <c r="AS217" s="32"/>
      <c r="AT217" s="32"/>
      <c r="AU217" s="32"/>
      <c r="AV217" s="38" t="s">
        <v>1099</v>
      </c>
      <c r="AW217" s="38" t="s">
        <v>1099</v>
      </c>
      <c r="AX217" s="42" t="s">
        <v>106</v>
      </c>
      <c r="AY217" s="62" t="str">
        <f>IF('Cálculo MP'!J218="","",'Cálculo MP'!J218)</f>
        <v/>
      </c>
      <c r="AZ217" s="62" t="str">
        <f>IF('Cálculo MP'!K218="","",'Cálculo MP'!K218)</f>
        <v/>
      </c>
      <c r="BA217" s="62" t="str">
        <f>IF('Cálculo MP'!L218="","",'Cálculo MP'!L218)</f>
        <v/>
      </c>
      <c r="BB217" s="62" t="str">
        <f>IF('Cálculo MP'!M218="","",'Cálculo MP'!M218)</f>
        <v/>
      </c>
      <c r="BC217" s="62" t="str">
        <f>IF('Cálculo MP'!N218="","",'Cálculo MP'!N218)</f>
        <v/>
      </c>
      <c r="BD217" s="62" t="str">
        <f>IF('Cálculo MP'!O218="","",'Cálculo MP'!O218)</f>
        <v/>
      </c>
      <c r="BE217" s="62" t="str">
        <f>IF('Cálculo MP'!P218="","",'Cálculo MP'!P218)</f>
        <v/>
      </c>
      <c r="BF217" s="62" t="str">
        <f>IF('Cálculo MP'!Q218="","",'Cálculo MP'!Q218)</f>
        <v/>
      </c>
      <c r="BG217" s="62" t="str">
        <f>IF('Cálculo MP'!R218="","",'Cálculo MP'!R218)</f>
        <v/>
      </c>
      <c r="BH217" s="32"/>
      <c r="BI217" s="32"/>
      <c r="BJ217" s="32"/>
      <c r="BK217" s="32"/>
      <c r="BL217" s="32"/>
      <c r="BM217" s="32"/>
      <c r="BN217" s="32"/>
      <c r="BO217" s="62" t="str">
        <f t="shared" si="11"/>
        <v/>
      </c>
    </row>
    <row r="218" spans="1:67" ht="19.5" customHeight="1" x14ac:dyDescent="0.2">
      <c r="A218" s="49" t="b">
        <v>0</v>
      </c>
      <c r="B218" s="50" t="b">
        <v>1</v>
      </c>
      <c r="C218" s="51" t="b">
        <v>0</v>
      </c>
      <c r="D218" s="51" t="b">
        <v>0</v>
      </c>
      <c r="E218" s="37"/>
      <c r="F218" s="39"/>
      <c r="G218" s="37" t="s">
        <v>1100</v>
      </c>
      <c r="H218" s="34"/>
      <c r="I218" s="34"/>
      <c r="J218" s="34" t="s">
        <v>1099</v>
      </c>
      <c r="K218" s="51" t="b">
        <v>1</v>
      </c>
      <c r="L218" s="40"/>
      <c r="M218" s="37" t="s">
        <v>1099</v>
      </c>
      <c r="N218" s="37" t="s">
        <v>1099</v>
      </c>
      <c r="O218" s="41" t="s">
        <v>1099</v>
      </c>
      <c r="P218" s="40" t="s">
        <v>1099</v>
      </c>
      <c r="Q218" s="37" t="s">
        <v>1099</v>
      </c>
      <c r="R218" s="37" t="s">
        <v>1099</v>
      </c>
      <c r="S218" s="113" t="s">
        <v>1099</v>
      </c>
      <c r="T218" s="56"/>
      <c r="U218" s="56"/>
      <c r="V218" s="56"/>
      <c r="W218" s="114" t="s">
        <v>1099</v>
      </c>
      <c r="X218" s="115"/>
      <c r="Y218" s="115"/>
      <c r="Z218" s="116"/>
      <c r="AA218" s="117" t="s">
        <v>1099</v>
      </c>
      <c r="AB218" s="116"/>
      <c r="AC218" s="56"/>
      <c r="AD218" s="116"/>
      <c r="AE218" s="44" t="s">
        <v>1099</v>
      </c>
      <c r="AF218" s="46" t="str">
        <f t="shared" si="9"/>
        <v/>
      </c>
      <c r="AG218" s="38" t="s">
        <v>1099</v>
      </c>
      <c r="AH218" s="47" t="str">
        <f t="shared" si="10"/>
        <v/>
      </c>
      <c r="AI218" s="32"/>
      <c r="AJ218" s="32"/>
      <c r="AK218" s="32"/>
      <c r="AL218" s="32"/>
      <c r="AM218" s="32" t="s">
        <v>1099</v>
      </c>
      <c r="AN218" s="32"/>
      <c r="AO218" s="32" t="s">
        <v>1099</v>
      </c>
      <c r="AP218" s="32"/>
      <c r="AQ218" s="32"/>
      <c r="AR218" s="32"/>
      <c r="AS218" s="32"/>
      <c r="AT218" s="32"/>
      <c r="AU218" s="32"/>
      <c r="AV218" s="38" t="s">
        <v>1099</v>
      </c>
      <c r="AW218" s="38" t="s">
        <v>1099</v>
      </c>
      <c r="AX218" s="42" t="s">
        <v>106</v>
      </c>
      <c r="AY218" s="62" t="str">
        <f>IF('Cálculo MP'!J219="","",'Cálculo MP'!J219)</f>
        <v/>
      </c>
      <c r="AZ218" s="62" t="str">
        <f>IF('Cálculo MP'!K219="","",'Cálculo MP'!K219)</f>
        <v/>
      </c>
      <c r="BA218" s="62" t="str">
        <f>IF('Cálculo MP'!L219="","",'Cálculo MP'!L219)</f>
        <v/>
      </c>
      <c r="BB218" s="62" t="str">
        <f>IF('Cálculo MP'!M219="","",'Cálculo MP'!M219)</f>
        <v/>
      </c>
      <c r="BC218" s="62" t="str">
        <f>IF('Cálculo MP'!N219="","",'Cálculo MP'!N219)</f>
        <v/>
      </c>
      <c r="BD218" s="62" t="str">
        <f>IF('Cálculo MP'!O219="","",'Cálculo MP'!O219)</f>
        <v/>
      </c>
      <c r="BE218" s="62" t="str">
        <f>IF('Cálculo MP'!P219="","",'Cálculo MP'!P219)</f>
        <v/>
      </c>
      <c r="BF218" s="62" t="str">
        <f>IF('Cálculo MP'!Q219="","",'Cálculo MP'!Q219)</f>
        <v/>
      </c>
      <c r="BG218" s="62" t="str">
        <f>IF('Cálculo MP'!R219="","",'Cálculo MP'!R219)</f>
        <v/>
      </c>
      <c r="BH218" s="32"/>
      <c r="BI218" s="32"/>
      <c r="BJ218" s="32"/>
      <c r="BK218" s="32"/>
      <c r="BL218" s="32"/>
      <c r="BM218" s="32"/>
      <c r="BN218" s="32"/>
      <c r="BO218" s="62" t="str">
        <f t="shared" si="11"/>
        <v/>
      </c>
    </row>
    <row r="219" spans="1:67" ht="19.5" customHeight="1" x14ac:dyDescent="0.2">
      <c r="A219" s="49" t="b">
        <v>0</v>
      </c>
      <c r="B219" s="50" t="b">
        <v>1</v>
      </c>
      <c r="C219" s="51" t="b">
        <v>0</v>
      </c>
      <c r="D219" s="51" t="b">
        <v>0</v>
      </c>
      <c r="E219" s="37"/>
      <c r="F219" s="39"/>
      <c r="G219" s="37" t="s">
        <v>1100</v>
      </c>
      <c r="H219" s="34"/>
      <c r="I219" s="34"/>
      <c r="J219" s="34" t="s">
        <v>1099</v>
      </c>
      <c r="K219" s="51" t="b">
        <v>1</v>
      </c>
      <c r="L219" s="40"/>
      <c r="M219" s="37" t="s">
        <v>1099</v>
      </c>
      <c r="N219" s="37" t="s">
        <v>1099</v>
      </c>
      <c r="O219" s="41" t="s">
        <v>1099</v>
      </c>
      <c r="P219" s="40" t="s">
        <v>1099</v>
      </c>
      <c r="Q219" s="37" t="s">
        <v>1099</v>
      </c>
      <c r="R219" s="37" t="s">
        <v>1099</v>
      </c>
      <c r="S219" s="113" t="s">
        <v>1099</v>
      </c>
      <c r="T219" s="56"/>
      <c r="U219" s="56"/>
      <c r="V219" s="56"/>
      <c r="W219" s="114" t="s">
        <v>1099</v>
      </c>
      <c r="X219" s="115"/>
      <c r="Y219" s="115"/>
      <c r="Z219" s="116"/>
      <c r="AA219" s="117" t="s">
        <v>1099</v>
      </c>
      <c r="AB219" s="116"/>
      <c r="AC219" s="56"/>
      <c r="AD219" s="116"/>
      <c r="AE219" s="44" t="s">
        <v>1099</v>
      </c>
      <c r="AF219" s="46" t="str">
        <f t="shared" si="9"/>
        <v/>
      </c>
      <c r="AG219" s="38" t="s">
        <v>1099</v>
      </c>
      <c r="AH219" s="47" t="str">
        <f t="shared" si="10"/>
        <v/>
      </c>
      <c r="AI219" s="32"/>
      <c r="AJ219" s="32"/>
      <c r="AK219" s="32"/>
      <c r="AL219" s="32"/>
      <c r="AM219" s="32" t="s">
        <v>1099</v>
      </c>
      <c r="AN219" s="32"/>
      <c r="AO219" s="32" t="s">
        <v>1099</v>
      </c>
      <c r="AP219" s="32"/>
      <c r="AQ219" s="32"/>
      <c r="AR219" s="32"/>
      <c r="AS219" s="32"/>
      <c r="AT219" s="32"/>
      <c r="AU219" s="32"/>
      <c r="AV219" s="38" t="s">
        <v>1099</v>
      </c>
      <c r="AW219" s="38" t="s">
        <v>1099</v>
      </c>
      <c r="AX219" s="42" t="s">
        <v>106</v>
      </c>
      <c r="AY219" s="62" t="str">
        <f>IF('Cálculo MP'!J220="","",'Cálculo MP'!J220)</f>
        <v/>
      </c>
      <c r="AZ219" s="62" t="str">
        <f>IF('Cálculo MP'!K220="","",'Cálculo MP'!K220)</f>
        <v/>
      </c>
      <c r="BA219" s="62" t="str">
        <f>IF('Cálculo MP'!L220="","",'Cálculo MP'!L220)</f>
        <v/>
      </c>
      <c r="BB219" s="62" t="str">
        <f>IF('Cálculo MP'!M220="","",'Cálculo MP'!M220)</f>
        <v/>
      </c>
      <c r="BC219" s="62" t="str">
        <f>IF('Cálculo MP'!N220="","",'Cálculo MP'!N220)</f>
        <v/>
      </c>
      <c r="BD219" s="62" t="str">
        <f>IF('Cálculo MP'!O220="","",'Cálculo MP'!O220)</f>
        <v/>
      </c>
      <c r="BE219" s="62" t="str">
        <f>IF('Cálculo MP'!P220="","",'Cálculo MP'!P220)</f>
        <v/>
      </c>
      <c r="BF219" s="62" t="str">
        <f>IF('Cálculo MP'!Q220="","",'Cálculo MP'!Q220)</f>
        <v/>
      </c>
      <c r="BG219" s="62" t="str">
        <f>IF('Cálculo MP'!R220="","",'Cálculo MP'!R220)</f>
        <v/>
      </c>
      <c r="BH219" s="32"/>
      <c r="BI219" s="32"/>
      <c r="BJ219" s="32"/>
      <c r="BK219" s="32"/>
      <c r="BL219" s="32"/>
      <c r="BM219" s="32"/>
      <c r="BN219" s="32"/>
      <c r="BO219" s="62" t="str">
        <f t="shared" si="11"/>
        <v/>
      </c>
    </row>
    <row r="220" spans="1:67" ht="19.5" customHeight="1" x14ac:dyDescent="0.2">
      <c r="A220" s="49" t="b">
        <v>0</v>
      </c>
      <c r="B220" s="50" t="b">
        <v>1</v>
      </c>
      <c r="C220" s="51" t="b">
        <v>0</v>
      </c>
      <c r="D220" s="51" t="b">
        <v>0</v>
      </c>
      <c r="E220" s="37"/>
      <c r="F220" s="39"/>
      <c r="G220" s="37" t="s">
        <v>1100</v>
      </c>
      <c r="H220" s="34"/>
      <c r="I220" s="34"/>
      <c r="J220" s="34" t="s">
        <v>1099</v>
      </c>
      <c r="K220" s="51" t="b">
        <v>1</v>
      </c>
      <c r="L220" s="40"/>
      <c r="M220" s="37" t="s">
        <v>1099</v>
      </c>
      <c r="N220" s="37" t="s">
        <v>1099</v>
      </c>
      <c r="O220" s="41" t="s">
        <v>1099</v>
      </c>
      <c r="P220" s="40" t="s">
        <v>1099</v>
      </c>
      <c r="Q220" s="37" t="s">
        <v>1099</v>
      </c>
      <c r="R220" s="37" t="s">
        <v>1099</v>
      </c>
      <c r="S220" s="113" t="s">
        <v>1099</v>
      </c>
      <c r="T220" s="56"/>
      <c r="U220" s="56"/>
      <c r="V220" s="56"/>
      <c r="W220" s="114" t="s">
        <v>1099</v>
      </c>
      <c r="X220" s="115"/>
      <c r="Y220" s="115"/>
      <c r="Z220" s="116"/>
      <c r="AA220" s="117" t="s">
        <v>1099</v>
      </c>
      <c r="AB220" s="116"/>
      <c r="AC220" s="56"/>
      <c r="AD220" s="116"/>
      <c r="AE220" s="44" t="s">
        <v>1099</v>
      </c>
      <c r="AF220" s="46" t="str">
        <f t="shared" si="9"/>
        <v/>
      </c>
      <c r="AG220" s="38" t="s">
        <v>1099</v>
      </c>
      <c r="AH220" s="47" t="str">
        <f t="shared" si="10"/>
        <v/>
      </c>
      <c r="AI220" s="32"/>
      <c r="AJ220" s="32"/>
      <c r="AK220" s="32"/>
      <c r="AL220" s="32"/>
      <c r="AM220" s="32" t="s">
        <v>1099</v>
      </c>
      <c r="AN220" s="32"/>
      <c r="AO220" s="32" t="s">
        <v>1099</v>
      </c>
      <c r="AP220" s="32"/>
      <c r="AQ220" s="32"/>
      <c r="AR220" s="32"/>
      <c r="AS220" s="32"/>
      <c r="AT220" s="32"/>
      <c r="AU220" s="32"/>
      <c r="AV220" s="38" t="s">
        <v>1099</v>
      </c>
      <c r="AW220" s="38" t="s">
        <v>1099</v>
      </c>
      <c r="AX220" s="42" t="s">
        <v>106</v>
      </c>
      <c r="AY220" s="62" t="str">
        <f>IF('Cálculo MP'!J221="","",'Cálculo MP'!J221)</f>
        <v/>
      </c>
      <c r="AZ220" s="62" t="str">
        <f>IF('Cálculo MP'!K221="","",'Cálculo MP'!K221)</f>
        <v/>
      </c>
      <c r="BA220" s="62" t="str">
        <f>IF('Cálculo MP'!L221="","",'Cálculo MP'!L221)</f>
        <v/>
      </c>
      <c r="BB220" s="62" t="str">
        <f>IF('Cálculo MP'!M221="","",'Cálculo MP'!M221)</f>
        <v/>
      </c>
      <c r="BC220" s="62" t="str">
        <f>IF('Cálculo MP'!N221="","",'Cálculo MP'!N221)</f>
        <v/>
      </c>
      <c r="BD220" s="62" t="str">
        <f>IF('Cálculo MP'!O221="","",'Cálculo MP'!O221)</f>
        <v/>
      </c>
      <c r="BE220" s="62" t="str">
        <f>IF('Cálculo MP'!P221="","",'Cálculo MP'!P221)</f>
        <v/>
      </c>
      <c r="BF220" s="62" t="str">
        <f>IF('Cálculo MP'!Q221="","",'Cálculo MP'!Q221)</f>
        <v/>
      </c>
      <c r="BG220" s="62" t="str">
        <f>IF('Cálculo MP'!R221="","",'Cálculo MP'!R221)</f>
        <v/>
      </c>
      <c r="BH220" s="32"/>
      <c r="BI220" s="32"/>
      <c r="BJ220" s="32"/>
      <c r="BK220" s="32"/>
      <c r="BL220" s="32"/>
      <c r="BM220" s="32"/>
      <c r="BN220" s="32"/>
      <c r="BO220" s="62" t="str">
        <f t="shared" si="11"/>
        <v/>
      </c>
    </row>
    <row r="221" spans="1:67" ht="19.5" customHeight="1" x14ac:dyDescent="0.2">
      <c r="A221" s="49" t="b">
        <v>0</v>
      </c>
      <c r="B221" s="50" t="b">
        <v>1</v>
      </c>
      <c r="C221" s="51" t="b">
        <v>0</v>
      </c>
      <c r="D221" s="51" t="b">
        <v>0</v>
      </c>
      <c r="E221" s="37"/>
      <c r="F221" s="39"/>
      <c r="G221" s="37" t="s">
        <v>1100</v>
      </c>
      <c r="H221" s="34"/>
      <c r="I221" s="34"/>
      <c r="J221" s="34" t="s">
        <v>1099</v>
      </c>
      <c r="K221" s="51" t="b">
        <v>1</v>
      </c>
      <c r="L221" s="40"/>
      <c r="M221" s="37" t="s">
        <v>1099</v>
      </c>
      <c r="N221" s="37" t="s">
        <v>1099</v>
      </c>
      <c r="O221" s="41" t="s">
        <v>1099</v>
      </c>
      <c r="P221" s="40" t="s">
        <v>1099</v>
      </c>
      <c r="Q221" s="37" t="s">
        <v>1099</v>
      </c>
      <c r="R221" s="37" t="s">
        <v>1099</v>
      </c>
      <c r="S221" s="113" t="s">
        <v>1099</v>
      </c>
      <c r="T221" s="56"/>
      <c r="U221" s="56"/>
      <c r="V221" s="56"/>
      <c r="W221" s="114" t="s">
        <v>1099</v>
      </c>
      <c r="X221" s="115"/>
      <c r="Y221" s="115"/>
      <c r="Z221" s="116"/>
      <c r="AA221" s="117" t="s">
        <v>1099</v>
      </c>
      <c r="AB221" s="116"/>
      <c r="AC221" s="56"/>
      <c r="AD221" s="116"/>
      <c r="AE221" s="44" t="s">
        <v>1099</v>
      </c>
      <c r="AF221" s="46" t="str">
        <f t="shared" si="9"/>
        <v/>
      </c>
      <c r="AG221" s="38" t="s">
        <v>1099</v>
      </c>
      <c r="AH221" s="47" t="str">
        <f t="shared" si="10"/>
        <v/>
      </c>
      <c r="AI221" s="32"/>
      <c r="AJ221" s="32"/>
      <c r="AK221" s="32"/>
      <c r="AL221" s="32"/>
      <c r="AM221" s="32" t="s">
        <v>1099</v>
      </c>
      <c r="AN221" s="32"/>
      <c r="AO221" s="32" t="s">
        <v>1099</v>
      </c>
      <c r="AP221" s="32"/>
      <c r="AQ221" s="32"/>
      <c r="AR221" s="32"/>
      <c r="AS221" s="32"/>
      <c r="AT221" s="32"/>
      <c r="AU221" s="32"/>
      <c r="AV221" s="38" t="s">
        <v>1099</v>
      </c>
      <c r="AW221" s="38" t="s">
        <v>1099</v>
      </c>
      <c r="AX221" s="42" t="s">
        <v>106</v>
      </c>
      <c r="AY221" s="62" t="str">
        <f>IF('Cálculo MP'!J222="","",'Cálculo MP'!J222)</f>
        <v/>
      </c>
      <c r="AZ221" s="62" t="str">
        <f>IF('Cálculo MP'!K222="","",'Cálculo MP'!K222)</f>
        <v/>
      </c>
      <c r="BA221" s="62" t="str">
        <f>IF('Cálculo MP'!L222="","",'Cálculo MP'!L222)</f>
        <v/>
      </c>
      <c r="BB221" s="62" t="str">
        <f>IF('Cálculo MP'!M222="","",'Cálculo MP'!M222)</f>
        <v/>
      </c>
      <c r="BC221" s="62" t="str">
        <f>IF('Cálculo MP'!N222="","",'Cálculo MP'!N222)</f>
        <v/>
      </c>
      <c r="BD221" s="62" t="str">
        <f>IF('Cálculo MP'!O222="","",'Cálculo MP'!O222)</f>
        <v/>
      </c>
      <c r="BE221" s="62" t="str">
        <f>IF('Cálculo MP'!P222="","",'Cálculo MP'!P222)</f>
        <v/>
      </c>
      <c r="BF221" s="62" t="str">
        <f>IF('Cálculo MP'!Q222="","",'Cálculo MP'!Q222)</f>
        <v/>
      </c>
      <c r="BG221" s="62" t="str">
        <f>IF('Cálculo MP'!R222="","",'Cálculo MP'!R222)</f>
        <v/>
      </c>
      <c r="BH221" s="32"/>
      <c r="BI221" s="32"/>
      <c r="BJ221" s="32"/>
      <c r="BK221" s="32"/>
      <c r="BL221" s="32"/>
      <c r="BM221" s="32"/>
      <c r="BN221" s="32"/>
      <c r="BO221" s="62" t="str">
        <f t="shared" si="11"/>
        <v/>
      </c>
    </row>
    <row r="222" spans="1:67" ht="19.5" customHeight="1" x14ac:dyDescent="0.2">
      <c r="A222" s="49" t="b">
        <v>0</v>
      </c>
      <c r="B222" s="50" t="b">
        <v>1</v>
      </c>
      <c r="C222" s="51" t="b">
        <v>0</v>
      </c>
      <c r="D222" s="51" t="b">
        <v>0</v>
      </c>
      <c r="E222" s="37"/>
      <c r="F222" s="39"/>
      <c r="G222" s="37" t="s">
        <v>1100</v>
      </c>
      <c r="H222" s="34"/>
      <c r="I222" s="34"/>
      <c r="J222" s="34" t="s">
        <v>1099</v>
      </c>
      <c r="K222" s="51" t="b">
        <v>1</v>
      </c>
      <c r="L222" s="40"/>
      <c r="M222" s="37" t="s">
        <v>1099</v>
      </c>
      <c r="N222" s="37" t="s">
        <v>1099</v>
      </c>
      <c r="O222" s="41" t="s">
        <v>1099</v>
      </c>
      <c r="P222" s="40" t="s">
        <v>1099</v>
      </c>
      <c r="Q222" s="37" t="s">
        <v>1099</v>
      </c>
      <c r="R222" s="37" t="s">
        <v>1099</v>
      </c>
      <c r="S222" s="113" t="s">
        <v>1099</v>
      </c>
      <c r="T222" s="56"/>
      <c r="U222" s="56"/>
      <c r="V222" s="56"/>
      <c r="W222" s="114" t="s">
        <v>1099</v>
      </c>
      <c r="X222" s="115"/>
      <c r="Y222" s="115"/>
      <c r="Z222" s="116"/>
      <c r="AA222" s="117" t="s">
        <v>1099</v>
      </c>
      <c r="AB222" s="116"/>
      <c r="AC222" s="56"/>
      <c r="AD222" s="116"/>
      <c r="AE222" s="44" t="s">
        <v>1099</v>
      </c>
      <c r="AF222" s="46" t="str">
        <f t="shared" si="9"/>
        <v/>
      </c>
      <c r="AG222" s="38" t="s">
        <v>1099</v>
      </c>
      <c r="AH222" s="47" t="str">
        <f t="shared" si="10"/>
        <v/>
      </c>
      <c r="AI222" s="32"/>
      <c r="AJ222" s="32"/>
      <c r="AK222" s="32"/>
      <c r="AL222" s="32"/>
      <c r="AM222" s="32" t="s">
        <v>1099</v>
      </c>
      <c r="AN222" s="32"/>
      <c r="AO222" s="32" t="s">
        <v>1099</v>
      </c>
      <c r="AP222" s="32"/>
      <c r="AQ222" s="32"/>
      <c r="AR222" s="32"/>
      <c r="AS222" s="32"/>
      <c r="AT222" s="32"/>
      <c r="AU222" s="32"/>
      <c r="AV222" s="38" t="s">
        <v>1099</v>
      </c>
      <c r="AW222" s="38" t="s">
        <v>1099</v>
      </c>
      <c r="AX222" s="42" t="s">
        <v>106</v>
      </c>
      <c r="AY222" s="62" t="str">
        <f>IF('Cálculo MP'!J223="","",'Cálculo MP'!J223)</f>
        <v/>
      </c>
      <c r="AZ222" s="62" t="str">
        <f>IF('Cálculo MP'!K223="","",'Cálculo MP'!K223)</f>
        <v/>
      </c>
      <c r="BA222" s="62" t="str">
        <f>IF('Cálculo MP'!L223="","",'Cálculo MP'!L223)</f>
        <v/>
      </c>
      <c r="BB222" s="62" t="str">
        <f>IF('Cálculo MP'!M223="","",'Cálculo MP'!M223)</f>
        <v/>
      </c>
      <c r="BC222" s="62" t="str">
        <f>IF('Cálculo MP'!N223="","",'Cálculo MP'!N223)</f>
        <v/>
      </c>
      <c r="BD222" s="62" t="str">
        <f>IF('Cálculo MP'!O223="","",'Cálculo MP'!O223)</f>
        <v/>
      </c>
      <c r="BE222" s="62" t="str">
        <f>IF('Cálculo MP'!P223="","",'Cálculo MP'!P223)</f>
        <v/>
      </c>
      <c r="BF222" s="62" t="str">
        <f>IF('Cálculo MP'!Q223="","",'Cálculo MP'!Q223)</f>
        <v/>
      </c>
      <c r="BG222" s="62" t="str">
        <f>IF('Cálculo MP'!R223="","",'Cálculo MP'!R223)</f>
        <v/>
      </c>
      <c r="BH222" s="32"/>
      <c r="BI222" s="32"/>
      <c r="BJ222" s="32"/>
      <c r="BK222" s="32"/>
      <c r="BL222" s="32"/>
      <c r="BM222" s="32"/>
      <c r="BN222" s="32"/>
      <c r="BO222" s="62" t="str">
        <f t="shared" si="11"/>
        <v/>
      </c>
    </row>
    <row r="223" spans="1:67" ht="19.5" customHeight="1" x14ac:dyDescent="0.2">
      <c r="A223" s="49" t="b">
        <v>0</v>
      </c>
      <c r="B223" s="50" t="b">
        <v>1</v>
      </c>
      <c r="C223" s="51" t="b">
        <v>0</v>
      </c>
      <c r="D223" s="51" t="b">
        <v>0</v>
      </c>
      <c r="E223" s="37"/>
      <c r="F223" s="39"/>
      <c r="G223" s="37" t="s">
        <v>1100</v>
      </c>
      <c r="H223" s="34"/>
      <c r="I223" s="34"/>
      <c r="J223" s="34" t="s">
        <v>1099</v>
      </c>
      <c r="K223" s="51" t="b">
        <v>1</v>
      </c>
      <c r="L223" s="40"/>
      <c r="M223" s="37" t="s">
        <v>1099</v>
      </c>
      <c r="N223" s="37" t="s">
        <v>1099</v>
      </c>
      <c r="O223" s="41" t="s">
        <v>1099</v>
      </c>
      <c r="P223" s="40" t="s">
        <v>1099</v>
      </c>
      <c r="Q223" s="37" t="s">
        <v>1099</v>
      </c>
      <c r="R223" s="37" t="s">
        <v>1099</v>
      </c>
      <c r="S223" s="113" t="s">
        <v>1099</v>
      </c>
      <c r="T223" s="56"/>
      <c r="U223" s="56"/>
      <c r="V223" s="56"/>
      <c r="W223" s="114" t="s">
        <v>1099</v>
      </c>
      <c r="X223" s="115"/>
      <c r="Y223" s="115"/>
      <c r="Z223" s="116"/>
      <c r="AA223" s="117" t="s">
        <v>1099</v>
      </c>
      <c r="AB223" s="116"/>
      <c r="AC223" s="56"/>
      <c r="AD223" s="116"/>
      <c r="AE223" s="44" t="s">
        <v>1099</v>
      </c>
      <c r="AF223" s="46" t="str">
        <f t="shared" si="9"/>
        <v/>
      </c>
      <c r="AG223" s="38" t="s">
        <v>1099</v>
      </c>
      <c r="AH223" s="47" t="str">
        <f t="shared" si="10"/>
        <v/>
      </c>
      <c r="AI223" s="32"/>
      <c r="AJ223" s="32"/>
      <c r="AK223" s="32"/>
      <c r="AL223" s="32"/>
      <c r="AM223" s="32" t="s">
        <v>1099</v>
      </c>
      <c r="AN223" s="32"/>
      <c r="AO223" s="32" t="s">
        <v>1099</v>
      </c>
      <c r="AP223" s="32"/>
      <c r="AQ223" s="32"/>
      <c r="AR223" s="32"/>
      <c r="AS223" s="32"/>
      <c r="AT223" s="32"/>
      <c r="AU223" s="32"/>
      <c r="AV223" s="38" t="s">
        <v>1099</v>
      </c>
      <c r="AW223" s="38" t="s">
        <v>1099</v>
      </c>
      <c r="AX223" s="42" t="s">
        <v>106</v>
      </c>
      <c r="AY223" s="62" t="str">
        <f>IF('Cálculo MP'!J224="","",'Cálculo MP'!J224)</f>
        <v/>
      </c>
      <c r="AZ223" s="62" t="str">
        <f>IF('Cálculo MP'!K224="","",'Cálculo MP'!K224)</f>
        <v/>
      </c>
      <c r="BA223" s="62" t="str">
        <f>IF('Cálculo MP'!L224="","",'Cálculo MP'!L224)</f>
        <v/>
      </c>
      <c r="BB223" s="62" t="str">
        <f>IF('Cálculo MP'!M224="","",'Cálculo MP'!M224)</f>
        <v/>
      </c>
      <c r="BC223" s="62" t="str">
        <f>IF('Cálculo MP'!N224="","",'Cálculo MP'!N224)</f>
        <v/>
      </c>
      <c r="BD223" s="62" t="str">
        <f>IF('Cálculo MP'!O224="","",'Cálculo MP'!O224)</f>
        <v/>
      </c>
      <c r="BE223" s="62" t="str">
        <f>IF('Cálculo MP'!P224="","",'Cálculo MP'!P224)</f>
        <v/>
      </c>
      <c r="BF223" s="62" t="str">
        <f>IF('Cálculo MP'!Q224="","",'Cálculo MP'!Q224)</f>
        <v/>
      </c>
      <c r="BG223" s="62" t="str">
        <f>IF('Cálculo MP'!R224="","",'Cálculo MP'!R224)</f>
        <v/>
      </c>
      <c r="BH223" s="32"/>
      <c r="BI223" s="32"/>
      <c r="BJ223" s="32"/>
      <c r="BK223" s="32"/>
      <c r="BL223" s="32"/>
      <c r="BM223" s="32"/>
      <c r="BN223" s="32"/>
      <c r="BO223" s="62" t="str">
        <f t="shared" si="11"/>
        <v/>
      </c>
    </row>
    <row r="224" spans="1:67" ht="19.5" customHeight="1" x14ac:dyDescent="0.2">
      <c r="A224" s="49" t="b">
        <v>0</v>
      </c>
      <c r="B224" s="50" t="b">
        <v>1</v>
      </c>
      <c r="C224" s="51" t="b">
        <v>0</v>
      </c>
      <c r="D224" s="51" t="b">
        <v>0</v>
      </c>
      <c r="E224" s="37"/>
      <c r="F224" s="39"/>
      <c r="G224" s="37" t="s">
        <v>1100</v>
      </c>
      <c r="H224" s="34"/>
      <c r="I224" s="34"/>
      <c r="J224" s="34" t="s">
        <v>1099</v>
      </c>
      <c r="K224" s="51" t="b">
        <v>1</v>
      </c>
      <c r="L224" s="40"/>
      <c r="M224" s="37" t="s">
        <v>1099</v>
      </c>
      <c r="N224" s="37" t="s">
        <v>1099</v>
      </c>
      <c r="O224" s="41" t="s">
        <v>1099</v>
      </c>
      <c r="P224" s="40" t="s">
        <v>1099</v>
      </c>
      <c r="Q224" s="37" t="s">
        <v>1099</v>
      </c>
      <c r="R224" s="37" t="s">
        <v>1099</v>
      </c>
      <c r="S224" s="113" t="s">
        <v>1099</v>
      </c>
      <c r="T224" s="56"/>
      <c r="U224" s="56"/>
      <c r="V224" s="56"/>
      <c r="W224" s="114" t="s">
        <v>1099</v>
      </c>
      <c r="X224" s="115"/>
      <c r="Y224" s="115"/>
      <c r="Z224" s="116"/>
      <c r="AA224" s="117" t="s">
        <v>1099</v>
      </c>
      <c r="AB224" s="116"/>
      <c r="AC224" s="56"/>
      <c r="AD224" s="116"/>
      <c r="AE224" s="44" t="s">
        <v>1099</v>
      </c>
      <c r="AF224" s="46" t="str">
        <f t="shared" si="9"/>
        <v/>
      </c>
      <c r="AG224" s="38" t="s">
        <v>1099</v>
      </c>
      <c r="AH224" s="47" t="str">
        <f t="shared" si="10"/>
        <v/>
      </c>
      <c r="AI224" s="32"/>
      <c r="AJ224" s="32"/>
      <c r="AK224" s="32"/>
      <c r="AL224" s="32"/>
      <c r="AM224" s="32" t="s">
        <v>1099</v>
      </c>
      <c r="AN224" s="32"/>
      <c r="AO224" s="32" t="s">
        <v>1099</v>
      </c>
      <c r="AP224" s="32"/>
      <c r="AQ224" s="32"/>
      <c r="AR224" s="32"/>
      <c r="AS224" s="32"/>
      <c r="AT224" s="32"/>
      <c r="AU224" s="32"/>
      <c r="AV224" s="38" t="s">
        <v>1099</v>
      </c>
      <c r="AW224" s="38" t="s">
        <v>1099</v>
      </c>
      <c r="AX224" s="42" t="s">
        <v>106</v>
      </c>
      <c r="AY224" s="62" t="str">
        <f>IF('Cálculo MP'!J225="","",'Cálculo MP'!J225)</f>
        <v/>
      </c>
      <c r="AZ224" s="62" t="str">
        <f>IF('Cálculo MP'!K225="","",'Cálculo MP'!K225)</f>
        <v/>
      </c>
      <c r="BA224" s="62" t="str">
        <f>IF('Cálculo MP'!L225="","",'Cálculo MP'!L225)</f>
        <v/>
      </c>
      <c r="BB224" s="62" t="str">
        <f>IF('Cálculo MP'!M225="","",'Cálculo MP'!M225)</f>
        <v/>
      </c>
      <c r="BC224" s="62" t="str">
        <f>IF('Cálculo MP'!N225="","",'Cálculo MP'!N225)</f>
        <v/>
      </c>
      <c r="BD224" s="62" t="str">
        <f>IF('Cálculo MP'!O225="","",'Cálculo MP'!O225)</f>
        <v/>
      </c>
      <c r="BE224" s="62" t="str">
        <f>IF('Cálculo MP'!P225="","",'Cálculo MP'!P225)</f>
        <v/>
      </c>
      <c r="BF224" s="62" t="str">
        <f>IF('Cálculo MP'!Q225="","",'Cálculo MP'!Q225)</f>
        <v/>
      </c>
      <c r="BG224" s="62" t="str">
        <f>IF('Cálculo MP'!R225="","",'Cálculo MP'!R225)</f>
        <v/>
      </c>
      <c r="BH224" s="32"/>
      <c r="BI224" s="32"/>
      <c r="BJ224" s="32"/>
      <c r="BK224" s="32"/>
      <c r="BL224" s="32"/>
      <c r="BM224" s="32"/>
      <c r="BN224" s="32"/>
      <c r="BO224" s="62" t="str">
        <f t="shared" si="11"/>
        <v/>
      </c>
    </row>
    <row r="225" spans="1:67" ht="19.5" customHeight="1" x14ac:dyDescent="0.2">
      <c r="A225" s="49" t="b">
        <v>0</v>
      </c>
      <c r="B225" s="50" t="b">
        <v>1</v>
      </c>
      <c r="C225" s="51" t="b">
        <v>0</v>
      </c>
      <c r="D225" s="51" t="b">
        <v>0</v>
      </c>
      <c r="E225" s="37"/>
      <c r="F225" s="39"/>
      <c r="G225" s="37" t="s">
        <v>1100</v>
      </c>
      <c r="H225" s="34"/>
      <c r="I225" s="34"/>
      <c r="J225" s="34" t="s">
        <v>1099</v>
      </c>
      <c r="K225" s="51" t="b">
        <v>1</v>
      </c>
      <c r="L225" s="40"/>
      <c r="M225" s="37" t="s">
        <v>1099</v>
      </c>
      <c r="N225" s="37" t="s">
        <v>1099</v>
      </c>
      <c r="O225" s="41" t="s">
        <v>1099</v>
      </c>
      <c r="P225" s="40" t="s">
        <v>1099</v>
      </c>
      <c r="Q225" s="37" t="s">
        <v>1099</v>
      </c>
      <c r="R225" s="37" t="s">
        <v>1099</v>
      </c>
      <c r="S225" s="113" t="s">
        <v>1099</v>
      </c>
      <c r="T225" s="56"/>
      <c r="U225" s="56"/>
      <c r="V225" s="56"/>
      <c r="W225" s="114" t="s">
        <v>1099</v>
      </c>
      <c r="X225" s="115"/>
      <c r="Y225" s="115"/>
      <c r="Z225" s="116"/>
      <c r="AA225" s="117" t="s">
        <v>1099</v>
      </c>
      <c r="AB225" s="116"/>
      <c r="AC225" s="56"/>
      <c r="AD225" s="116"/>
      <c r="AE225" s="44" t="s">
        <v>1099</v>
      </c>
      <c r="AF225" s="46" t="str">
        <f t="shared" si="9"/>
        <v/>
      </c>
      <c r="AG225" s="38" t="s">
        <v>1099</v>
      </c>
      <c r="AH225" s="47" t="str">
        <f t="shared" si="10"/>
        <v/>
      </c>
      <c r="AI225" s="32"/>
      <c r="AJ225" s="32"/>
      <c r="AK225" s="32"/>
      <c r="AL225" s="32"/>
      <c r="AM225" s="32" t="s">
        <v>1099</v>
      </c>
      <c r="AN225" s="32"/>
      <c r="AO225" s="32" t="s">
        <v>1099</v>
      </c>
      <c r="AP225" s="32"/>
      <c r="AQ225" s="32"/>
      <c r="AR225" s="32"/>
      <c r="AS225" s="32"/>
      <c r="AT225" s="32"/>
      <c r="AU225" s="32"/>
      <c r="AV225" s="38" t="s">
        <v>1099</v>
      </c>
      <c r="AW225" s="38" t="s">
        <v>1099</v>
      </c>
      <c r="AX225" s="42" t="s">
        <v>106</v>
      </c>
      <c r="AY225" s="62" t="str">
        <f>IF('Cálculo MP'!J226="","",'Cálculo MP'!J226)</f>
        <v/>
      </c>
      <c r="AZ225" s="62" t="str">
        <f>IF('Cálculo MP'!K226="","",'Cálculo MP'!K226)</f>
        <v/>
      </c>
      <c r="BA225" s="62" t="str">
        <f>IF('Cálculo MP'!L226="","",'Cálculo MP'!L226)</f>
        <v/>
      </c>
      <c r="BB225" s="62" t="str">
        <f>IF('Cálculo MP'!M226="","",'Cálculo MP'!M226)</f>
        <v/>
      </c>
      <c r="BC225" s="62" t="str">
        <f>IF('Cálculo MP'!N226="","",'Cálculo MP'!N226)</f>
        <v/>
      </c>
      <c r="BD225" s="62" t="str">
        <f>IF('Cálculo MP'!O226="","",'Cálculo MP'!O226)</f>
        <v/>
      </c>
      <c r="BE225" s="62" t="str">
        <f>IF('Cálculo MP'!P226="","",'Cálculo MP'!P226)</f>
        <v/>
      </c>
      <c r="BF225" s="62" t="str">
        <f>IF('Cálculo MP'!Q226="","",'Cálculo MP'!Q226)</f>
        <v/>
      </c>
      <c r="BG225" s="62" t="str">
        <f>IF('Cálculo MP'!R226="","",'Cálculo MP'!R226)</f>
        <v/>
      </c>
      <c r="BH225" s="32"/>
      <c r="BI225" s="32"/>
      <c r="BJ225" s="32"/>
      <c r="BK225" s="32"/>
      <c r="BL225" s="32"/>
      <c r="BM225" s="32"/>
      <c r="BN225" s="32"/>
      <c r="BO225" s="62" t="str">
        <f t="shared" si="11"/>
        <v/>
      </c>
    </row>
    <row r="226" spans="1:67" ht="19.5" customHeight="1" x14ac:dyDescent="0.2">
      <c r="A226" s="49" t="b">
        <v>0</v>
      </c>
      <c r="B226" s="50" t="b">
        <v>1</v>
      </c>
      <c r="C226" s="51" t="b">
        <v>0</v>
      </c>
      <c r="D226" s="51" t="b">
        <v>0</v>
      </c>
      <c r="E226" s="37"/>
      <c r="F226" s="39"/>
      <c r="G226" s="37" t="s">
        <v>1100</v>
      </c>
      <c r="H226" s="34"/>
      <c r="I226" s="34"/>
      <c r="J226" s="34" t="s">
        <v>1099</v>
      </c>
      <c r="K226" s="51" t="b">
        <v>1</v>
      </c>
      <c r="L226" s="40"/>
      <c r="M226" s="37" t="s">
        <v>1099</v>
      </c>
      <c r="N226" s="37" t="s">
        <v>1099</v>
      </c>
      <c r="O226" s="41" t="s">
        <v>1099</v>
      </c>
      <c r="P226" s="40" t="s">
        <v>1099</v>
      </c>
      <c r="Q226" s="37" t="s">
        <v>1099</v>
      </c>
      <c r="R226" s="37" t="s">
        <v>1099</v>
      </c>
      <c r="S226" s="113" t="s">
        <v>1099</v>
      </c>
      <c r="T226" s="56"/>
      <c r="U226" s="56"/>
      <c r="V226" s="56"/>
      <c r="W226" s="114" t="s">
        <v>1099</v>
      </c>
      <c r="X226" s="115"/>
      <c r="Y226" s="115"/>
      <c r="Z226" s="116"/>
      <c r="AA226" s="117" t="s">
        <v>1099</v>
      </c>
      <c r="AB226" s="116"/>
      <c r="AC226" s="56"/>
      <c r="AD226" s="116"/>
      <c r="AE226" s="44" t="s">
        <v>1099</v>
      </c>
      <c r="AF226" s="46" t="str">
        <f t="shared" si="9"/>
        <v/>
      </c>
      <c r="AG226" s="38" t="s">
        <v>1099</v>
      </c>
      <c r="AH226" s="47" t="str">
        <f t="shared" si="10"/>
        <v/>
      </c>
      <c r="AI226" s="32"/>
      <c r="AJ226" s="32"/>
      <c r="AK226" s="32"/>
      <c r="AL226" s="32"/>
      <c r="AM226" s="32" t="s">
        <v>1099</v>
      </c>
      <c r="AN226" s="32"/>
      <c r="AO226" s="32" t="s">
        <v>1099</v>
      </c>
      <c r="AP226" s="32"/>
      <c r="AQ226" s="32"/>
      <c r="AR226" s="32"/>
      <c r="AS226" s="32"/>
      <c r="AT226" s="32"/>
      <c r="AU226" s="32"/>
      <c r="AV226" s="38" t="s">
        <v>1099</v>
      </c>
      <c r="AW226" s="38" t="s">
        <v>1099</v>
      </c>
      <c r="AX226" s="42" t="s">
        <v>106</v>
      </c>
      <c r="AY226" s="62" t="str">
        <f>IF('Cálculo MP'!J227="","",'Cálculo MP'!J227)</f>
        <v/>
      </c>
      <c r="AZ226" s="62" t="str">
        <f>IF('Cálculo MP'!K227="","",'Cálculo MP'!K227)</f>
        <v/>
      </c>
      <c r="BA226" s="62" t="str">
        <f>IF('Cálculo MP'!L227="","",'Cálculo MP'!L227)</f>
        <v/>
      </c>
      <c r="BB226" s="62" t="str">
        <f>IF('Cálculo MP'!M227="","",'Cálculo MP'!M227)</f>
        <v/>
      </c>
      <c r="BC226" s="62" t="str">
        <f>IF('Cálculo MP'!N227="","",'Cálculo MP'!N227)</f>
        <v/>
      </c>
      <c r="BD226" s="62" t="str">
        <f>IF('Cálculo MP'!O227="","",'Cálculo MP'!O227)</f>
        <v/>
      </c>
      <c r="BE226" s="62" t="str">
        <f>IF('Cálculo MP'!P227="","",'Cálculo MP'!P227)</f>
        <v/>
      </c>
      <c r="BF226" s="62" t="str">
        <f>IF('Cálculo MP'!Q227="","",'Cálculo MP'!Q227)</f>
        <v/>
      </c>
      <c r="BG226" s="62" t="str">
        <f>IF('Cálculo MP'!R227="","",'Cálculo MP'!R227)</f>
        <v/>
      </c>
      <c r="BH226" s="32"/>
      <c r="BI226" s="32"/>
      <c r="BJ226" s="32"/>
      <c r="BK226" s="32"/>
      <c r="BL226" s="32"/>
      <c r="BM226" s="32"/>
      <c r="BN226" s="32"/>
      <c r="BO226" s="62" t="str">
        <f t="shared" si="11"/>
        <v/>
      </c>
    </row>
    <row r="227" spans="1:67" ht="19.5" customHeight="1" x14ac:dyDescent="0.2">
      <c r="A227" s="49" t="b">
        <v>0</v>
      </c>
      <c r="B227" s="50" t="b">
        <v>1</v>
      </c>
      <c r="C227" s="51" t="b">
        <v>0</v>
      </c>
      <c r="D227" s="51" t="b">
        <v>0</v>
      </c>
      <c r="E227" s="37"/>
      <c r="F227" s="39"/>
      <c r="G227" s="37" t="s">
        <v>1100</v>
      </c>
      <c r="H227" s="34"/>
      <c r="I227" s="34"/>
      <c r="J227" s="34" t="s">
        <v>1099</v>
      </c>
      <c r="K227" s="51" t="b">
        <v>1</v>
      </c>
      <c r="L227" s="40"/>
      <c r="M227" s="37" t="s">
        <v>1099</v>
      </c>
      <c r="N227" s="37" t="s">
        <v>1099</v>
      </c>
      <c r="O227" s="41" t="s">
        <v>1099</v>
      </c>
      <c r="P227" s="40" t="s">
        <v>1099</v>
      </c>
      <c r="Q227" s="37" t="s">
        <v>1099</v>
      </c>
      <c r="R227" s="37" t="s">
        <v>1099</v>
      </c>
      <c r="S227" s="113" t="s">
        <v>1099</v>
      </c>
      <c r="T227" s="56"/>
      <c r="U227" s="56"/>
      <c r="V227" s="56"/>
      <c r="W227" s="114" t="s">
        <v>1099</v>
      </c>
      <c r="X227" s="115"/>
      <c r="Y227" s="115"/>
      <c r="Z227" s="116"/>
      <c r="AA227" s="117" t="s">
        <v>1099</v>
      </c>
      <c r="AB227" s="116"/>
      <c r="AC227" s="56"/>
      <c r="AD227" s="116"/>
      <c r="AE227" s="44" t="s">
        <v>1099</v>
      </c>
      <c r="AF227" s="46" t="str">
        <f t="shared" si="9"/>
        <v/>
      </c>
      <c r="AG227" s="38" t="s">
        <v>1099</v>
      </c>
      <c r="AH227" s="47" t="str">
        <f t="shared" si="10"/>
        <v/>
      </c>
      <c r="AI227" s="32"/>
      <c r="AJ227" s="32"/>
      <c r="AK227" s="32"/>
      <c r="AL227" s="32"/>
      <c r="AM227" s="32" t="s">
        <v>1099</v>
      </c>
      <c r="AN227" s="32"/>
      <c r="AO227" s="32" t="s">
        <v>1099</v>
      </c>
      <c r="AP227" s="32"/>
      <c r="AQ227" s="32"/>
      <c r="AR227" s="32"/>
      <c r="AS227" s="32"/>
      <c r="AT227" s="32"/>
      <c r="AU227" s="32"/>
      <c r="AV227" s="38" t="s">
        <v>1099</v>
      </c>
      <c r="AW227" s="38" t="s">
        <v>1099</v>
      </c>
      <c r="AX227" s="42" t="s">
        <v>106</v>
      </c>
      <c r="AY227" s="62" t="str">
        <f>IF('Cálculo MP'!J228="","",'Cálculo MP'!J228)</f>
        <v/>
      </c>
      <c r="AZ227" s="62" t="str">
        <f>IF('Cálculo MP'!K228="","",'Cálculo MP'!K228)</f>
        <v/>
      </c>
      <c r="BA227" s="62" t="str">
        <f>IF('Cálculo MP'!L228="","",'Cálculo MP'!L228)</f>
        <v/>
      </c>
      <c r="BB227" s="62" t="str">
        <f>IF('Cálculo MP'!M228="","",'Cálculo MP'!M228)</f>
        <v/>
      </c>
      <c r="BC227" s="62" t="str">
        <f>IF('Cálculo MP'!N228="","",'Cálculo MP'!N228)</f>
        <v/>
      </c>
      <c r="BD227" s="62" t="str">
        <f>IF('Cálculo MP'!O228="","",'Cálculo MP'!O228)</f>
        <v/>
      </c>
      <c r="BE227" s="62" t="str">
        <f>IF('Cálculo MP'!P228="","",'Cálculo MP'!P228)</f>
        <v/>
      </c>
      <c r="BF227" s="62" t="str">
        <f>IF('Cálculo MP'!Q228="","",'Cálculo MP'!Q228)</f>
        <v/>
      </c>
      <c r="BG227" s="62" t="str">
        <f>IF('Cálculo MP'!R228="","",'Cálculo MP'!R228)</f>
        <v/>
      </c>
      <c r="BH227" s="32"/>
      <c r="BI227" s="32"/>
      <c r="BJ227" s="32"/>
      <c r="BK227" s="32"/>
      <c r="BL227" s="32"/>
      <c r="BM227" s="32"/>
      <c r="BN227" s="32"/>
      <c r="BO227" s="62" t="str">
        <f t="shared" si="11"/>
        <v/>
      </c>
    </row>
    <row r="228" spans="1:67" ht="19.5" customHeight="1" x14ac:dyDescent="0.2">
      <c r="A228" s="49" t="b">
        <v>0</v>
      </c>
      <c r="B228" s="50" t="b">
        <v>1</v>
      </c>
      <c r="C228" s="51" t="b">
        <v>0</v>
      </c>
      <c r="D228" s="51" t="b">
        <v>0</v>
      </c>
      <c r="E228" s="37"/>
      <c r="F228" s="39"/>
      <c r="G228" s="37" t="s">
        <v>1100</v>
      </c>
      <c r="H228" s="34"/>
      <c r="I228" s="34"/>
      <c r="J228" s="34" t="s">
        <v>1099</v>
      </c>
      <c r="K228" s="51" t="b">
        <v>1</v>
      </c>
      <c r="L228" s="40"/>
      <c r="M228" s="37" t="s">
        <v>1099</v>
      </c>
      <c r="N228" s="37" t="s">
        <v>1099</v>
      </c>
      <c r="O228" s="41" t="s">
        <v>1099</v>
      </c>
      <c r="P228" s="40" t="s">
        <v>1099</v>
      </c>
      <c r="Q228" s="37" t="s">
        <v>1099</v>
      </c>
      <c r="R228" s="37" t="s">
        <v>1099</v>
      </c>
      <c r="S228" s="113" t="s">
        <v>1099</v>
      </c>
      <c r="T228" s="56"/>
      <c r="U228" s="56"/>
      <c r="V228" s="56"/>
      <c r="W228" s="114" t="s">
        <v>1099</v>
      </c>
      <c r="X228" s="115"/>
      <c r="Y228" s="115"/>
      <c r="Z228" s="116"/>
      <c r="AA228" s="117" t="s">
        <v>1099</v>
      </c>
      <c r="AB228" s="116"/>
      <c r="AC228" s="56"/>
      <c r="AD228" s="116"/>
      <c r="AE228" s="44" t="s">
        <v>1099</v>
      </c>
      <c r="AF228" s="46" t="str">
        <f t="shared" si="9"/>
        <v/>
      </c>
      <c r="AG228" s="38" t="s">
        <v>1099</v>
      </c>
      <c r="AH228" s="47" t="str">
        <f t="shared" si="10"/>
        <v/>
      </c>
      <c r="AI228" s="32"/>
      <c r="AJ228" s="32"/>
      <c r="AK228" s="32"/>
      <c r="AL228" s="32"/>
      <c r="AM228" s="32" t="s">
        <v>1099</v>
      </c>
      <c r="AN228" s="32"/>
      <c r="AO228" s="32" t="s">
        <v>1099</v>
      </c>
      <c r="AP228" s="32"/>
      <c r="AQ228" s="32"/>
      <c r="AR228" s="32"/>
      <c r="AS228" s="32"/>
      <c r="AT228" s="32"/>
      <c r="AU228" s="32"/>
      <c r="AV228" s="38" t="s">
        <v>1099</v>
      </c>
      <c r="AW228" s="38" t="s">
        <v>1099</v>
      </c>
      <c r="AX228" s="42" t="s">
        <v>106</v>
      </c>
      <c r="AY228" s="62" t="str">
        <f>IF('Cálculo MP'!J229="","",'Cálculo MP'!J229)</f>
        <v/>
      </c>
      <c r="AZ228" s="62" t="str">
        <f>IF('Cálculo MP'!K229="","",'Cálculo MP'!K229)</f>
        <v/>
      </c>
      <c r="BA228" s="62" t="str">
        <f>IF('Cálculo MP'!L229="","",'Cálculo MP'!L229)</f>
        <v/>
      </c>
      <c r="BB228" s="62" t="str">
        <f>IF('Cálculo MP'!M229="","",'Cálculo MP'!M229)</f>
        <v/>
      </c>
      <c r="BC228" s="62" t="str">
        <f>IF('Cálculo MP'!N229="","",'Cálculo MP'!N229)</f>
        <v/>
      </c>
      <c r="BD228" s="62" t="str">
        <f>IF('Cálculo MP'!O229="","",'Cálculo MP'!O229)</f>
        <v/>
      </c>
      <c r="BE228" s="62" t="str">
        <f>IF('Cálculo MP'!P229="","",'Cálculo MP'!P229)</f>
        <v/>
      </c>
      <c r="BF228" s="62" t="str">
        <f>IF('Cálculo MP'!Q229="","",'Cálculo MP'!Q229)</f>
        <v/>
      </c>
      <c r="BG228" s="62" t="str">
        <f>IF('Cálculo MP'!R229="","",'Cálculo MP'!R229)</f>
        <v/>
      </c>
      <c r="BH228" s="32"/>
      <c r="BI228" s="32"/>
      <c r="BJ228" s="32"/>
      <c r="BK228" s="32"/>
      <c r="BL228" s="32"/>
      <c r="BM228" s="32"/>
      <c r="BN228" s="32"/>
      <c r="BO228" s="62" t="str">
        <f t="shared" si="11"/>
        <v/>
      </c>
    </row>
    <row r="229" spans="1:67" ht="19.5" customHeight="1" x14ac:dyDescent="0.2">
      <c r="A229" s="49" t="b">
        <v>0</v>
      </c>
      <c r="B229" s="50" t="b">
        <v>1</v>
      </c>
      <c r="C229" s="51" t="b">
        <v>0</v>
      </c>
      <c r="D229" s="51" t="b">
        <v>0</v>
      </c>
      <c r="E229" s="37"/>
      <c r="F229" s="39"/>
      <c r="G229" s="37" t="s">
        <v>1100</v>
      </c>
      <c r="H229" s="34"/>
      <c r="I229" s="34"/>
      <c r="J229" s="34" t="s">
        <v>1099</v>
      </c>
      <c r="K229" s="51" t="b">
        <v>1</v>
      </c>
      <c r="L229" s="40"/>
      <c r="M229" s="37" t="s">
        <v>1099</v>
      </c>
      <c r="N229" s="37" t="s">
        <v>1099</v>
      </c>
      <c r="O229" s="41" t="s">
        <v>1099</v>
      </c>
      <c r="P229" s="40" t="s">
        <v>1099</v>
      </c>
      <c r="Q229" s="37" t="s">
        <v>1099</v>
      </c>
      <c r="R229" s="37" t="s">
        <v>1099</v>
      </c>
      <c r="S229" s="113" t="s">
        <v>1099</v>
      </c>
      <c r="T229" s="56"/>
      <c r="U229" s="56"/>
      <c r="V229" s="56"/>
      <c r="W229" s="114" t="s">
        <v>1099</v>
      </c>
      <c r="X229" s="115"/>
      <c r="Y229" s="115"/>
      <c r="Z229" s="116"/>
      <c r="AA229" s="117" t="s">
        <v>1099</v>
      </c>
      <c r="AB229" s="116"/>
      <c r="AC229" s="56"/>
      <c r="AD229" s="116"/>
      <c r="AE229" s="44" t="s">
        <v>1099</v>
      </c>
      <c r="AF229" s="46" t="str">
        <f t="shared" si="9"/>
        <v/>
      </c>
      <c r="AG229" s="38" t="s">
        <v>1099</v>
      </c>
      <c r="AH229" s="47" t="str">
        <f t="shared" si="10"/>
        <v/>
      </c>
      <c r="AI229" s="32"/>
      <c r="AJ229" s="32"/>
      <c r="AK229" s="32"/>
      <c r="AL229" s="32"/>
      <c r="AM229" s="32" t="s">
        <v>1099</v>
      </c>
      <c r="AN229" s="32"/>
      <c r="AO229" s="32" t="s">
        <v>1099</v>
      </c>
      <c r="AP229" s="32"/>
      <c r="AQ229" s="32"/>
      <c r="AR229" s="32"/>
      <c r="AS229" s="32"/>
      <c r="AT229" s="32"/>
      <c r="AU229" s="32"/>
      <c r="AV229" s="38" t="s">
        <v>1099</v>
      </c>
      <c r="AW229" s="38" t="s">
        <v>1099</v>
      </c>
      <c r="AX229" s="42" t="s">
        <v>106</v>
      </c>
      <c r="AY229" s="62" t="str">
        <f>IF('Cálculo MP'!J230="","",'Cálculo MP'!J230)</f>
        <v/>
      </c>
      <c r="AZ229" s="62" t="str">
        <f>IF('Cálculo MP'!K230="","",'Cálculo MP'!K230)</f>
        <v/>
      </c>
      <c r="BA229" s="62" t="str">
        <f>IF('Cálculo MP'!L230="","",'Cálculo MP'!L230)</f>
        <v/>
      </c>
      <c r="BB229" s="62" t="str">
        <f>IF('Cálculo MP'!M230="","",'Cálculo MP'!M230)</f>
        <v/>
      </c>
      <c r="BC229" s="62" t="str">
        <f>IF('Cálculo MP'!N230="","",'Cálculo MP'!N230)</f>
        <v/>
      </c>
      <c r="BD229" s="62" t="str">
        <f>IF('Cálculo MP'!O230="","",'Cálculo MP'!O230)</f>
        <v/>
      </c>
      <c r="BE229" s="62" t="str">
        <f>IF('Cálculo MP'!P230="","",'Cálculo MP'!P230)</f>
        <v/>
      </c>
      <c r="BF229" s="62" t="str">
        <f>IF('Cálculo MP'!Q230="","",'Cálculo MP'!Q230)</f>
        <v/>
      </c>
      <c r="BG229" s="62" t="str">
        <f>IF('Cálculo MP'!R230="","",'Cálculo MP'!R230)</f>
        <v/>
      </c>
      <c r="BH229" s="32"/>
      <c r="BI229" s="32"/>
      <c r="BJ229" s="32"/>
      <c r="BK229" s="32"/>
      <c r="BL229" s="32"/>
      <c r="BM229" s="32"/>
      <c r="BN229" s="32"/>
      <c r="BO229" s="62" t="str">
        <f t="shared" si="11"/>
        <v/>
      </c>
    </row>
    <row r="230" spans="1:67" ht="19.5" customHeight="1" x14ac:dyDescent="0.2">
      <c r="A230" s="49" t="b">
        <v>0</v>
      </c>
      <c r="B230" s="50" t="b">
        <v>1</v>
      </c>
      <c r="C230" s="51" t="b">
        <v>0</v>
      </c>
      <c r="D230" s="51" t="b">
        <v>0</v>
      </c>
      <c r="E230" s="37"/>
      <c r="F230" s="39"/>
      <c r="G230" s="37" t="s">
        <v>1100</v>
      </c>
      <c r="H230" s="34"/>
      <c r="I230" s="34"/>
      <c r="J230" s="34" t="s">
        <v>1099</v>
      </c>
      <c r="K230" s="51" t="b">
        <v>1</v>
      </c>
      <c r="L230" s="40"/>
      <c r="M230" s="37" t="s">
        <v>1099</v>
      </c>
      <c r="N230" s="37" t="s">
        <v>1099</v>
      </c>
      <c r="O230" s="41" t="s">
        <v>1099</v>
      </c>
      <c r="P230" s="40" t="s">
        <v>1099</v>
      </c>
      <c r="Q230" s="37" t="s">
        <v>1099</v>
      </c>
      <c r="R230" s="37" t="s">
        <v>1099</v>
      </c>
      <c r="S230" s="113" t="s">
        <v>1099</v>
      </c>
      <c r="T230" s="56"/>
      <c r="U230" s="56"/>
      <c r="V230" s="56"/>
      <c r="W230" s="114" t="s">
        <v>1099</v>
      </c>
      <c r="X230" s="115"/>
      <c r="Y230" s="115"/>
      <c r="Z230" s="116"/>
      <c r="AA230" s="117" t="s">
        <v>1099</v>
      </c>
      <c r="AB230" s="116"/>
      <c r="AC230" s="56"/>
      <c r="AD230" s="116"/>
      <c r="AE230" s="44" t="s">
        <v>1099</v>
      </c>
      <c r="AF230" s="46" t="str">
        <f t="shared" si="9"/>
        <v/>
      </c>
      <c r="AG230" s="38" t="s">
        <v>1099</v>
      </c>
      <c r="AH230" s="47" t="str">
        <f t="shared" si="10"/>
        <v/>
      </c>
      <c r="AI230" s="32"/>
      <c r="AJ230" s="32"/>
      <c r="AK230" s="32"/>
      <c r="AL230" s="32"/>
      <c r="AM230" s="32" t="s">
        <v>1099</v>
      </c>
      <c r="AN230" s="32"/>
      <c r="AO230" s="32" t="s">
        <v>1099</v>
      </c>
      <c r="AP230" s="32"/>
      <c r="AQ230" s="32"/>
      <c r="AR230" s="32"/>
      <c r="AS230" s="32"/>
      <c r="AT230" s="32"/>
      <c r="AU230" s="32"/>
      <c r="AV230" s="38" t="s">
        <v>1099</v>
      </c>
      <c r="AW230" s="38" t="s">
        <v>1099</v>
      </c>
      <c r="AX230" s="42" t="s">
        <v>106</v>
      </c>
      <c r="AY230" s="62" t="str">
        <f>IF('Cálculo MP'!J231="","",'Cálculo MP'!J231)</f>
        <v/>
      </c>
      <c r="AZ230" s="62" t="str">
        <f>IF('Cálculo MP'!K231="","",'Cálculo MP'!K231)</f>
        <v/>
      </c>
      <c r="BA230" s="62" t="str">
        <f>IF('Cálculo MP'!L231="","",'Cálculo MP'!L231)</f>
        <v/>
      </c>
      <c r="BB230" s="62" t="str">
        <f>IF('Cálculo MP'!M231="","",'Cálculo MP'!M231)</f>
        <v/>
      </c>
      <c r="BC230" s="62" t="str">
        <f>IF('Cálculo MP'!N231="","",'Cálculo MP'!N231)</f>
        <v/>
      </c>
      <c r="BD230" s="62" t="str">
        <f>IF('Cálculo MP'!O231="","",'Cálculo MP'!O231)</f>
        <v/>
      </c>
      <c r="BE230" s="62" t="str">
        <f>IF('Cálculo MP'!P231="","",'Cálculo MP'!P231)</f>
        <v/>
      </c>
      <c r="BF230" s="62" t="str">
        <f>IF('Cálculo MP'!Q231="","",'Cálculo MP'!Q231)</f>
        <v/>
      </c>
      <c r="BG230" s="62" t="str">
        <f>IF('Cálculo MP'!R231="","",'Cálculo MP'!R231)</f>
        <v/>
      </c>
      <c r="BH230" s="32"/>
      <c r="BI230" s="32"/>
      <c r="BJ230" s="32"/>
      <c r="BK230" s="32"/>
      <c r="BL230" s="32"/>
      <c r="BM230" s="32"/>
      <c r="BN230" s="32"/>
      <c r="BO230" s="62" t="str">
        <f t="shared" si="11"/>
        <v/>
      </c>
    </row>
    <row r="231" spans="1:67" ht="19.5" customHeight="1" x14ac:dyDescent="0.2">
      <c r="A231" s="49" t="b">
        <v>0</v>
      </c>
      <c r="B231" s="50" t="b">
        <v>1</v>
      </c>
      <c r="C231" s="51" t="b">
        <v>0</v>
      </c>
      <c r="D231" s="51" t="b">
        <v>0</v>
      </c>
      <c r="E231" s="37"/>
      <c r="F231" s="39"/>
      <c r="G231" s="37" t="s">
        <v>1100</v>
      </c>
      <c r="H231" s="34"/>
      <c r="I231" s="34"/>
      <c r="J231" s="34" t="s">
        <v>1099</v>
      </c>
      <c r="K231" s="51" t="b">
        <v>1</v>
      </c>
      <c r="L231" s="40"/>
      <c r="M231" s="37" t="s">
        <v>1099</v>
      </c>
      <c r="N231" s="37" t="s">
        <v>1099</v>
      </c>
      <c r="O231" s="41" t="s">
        <v>1099</v>
      </c>
      <c r="P231" s="40" t="s">
        <v>1099</v>
      </c>
      <c r="Q231" s="37" t="s">
        <v>1099</v>
      </c>
      <c r="R231" s="37" t="s">
        <v>1099</v>
      </c>
      <c r="S231" s="113" t="s">
        <v>1099</v>
      </c>
      <c r="T231" s="56"/>
      <c r="U231" s="56"/>
      <c r="V231" s="56"/>
      <c r="W231" s="114" t="s">
        <v>1099</v>
      </c>
      <c r="X231" s="115"/>
      <c r="Y231" s="115"/>
      <c r="Z231" s="116"/>
      <c r="AA231" s="117" t="s">
        <v>1099</v>
      </c>
      <c r="AB231" s="116"/>
      <c r="AC231" s="56"/>
      <c r="AD231" s="116"/>
      <c r="AE231" s="44" t="s">
        <v>1099</v>
      </c>
      <c r="AF231" s="46" t="str">
        <f t="shared" si="9"/>
        <v/>
      </c>
      <c r="AG231" s="38" t="s">
        <v>1099</v>
      </c>
      <c r="AH231" s="47" t="str">
        <f t="shared" si="10"/>
        <v/>
      </c>
      <c r="AI231" s="32"/>
      <c r="AJ231" s="32"/>
      <c r="AK231" s="32"/>
      <c r="AL231" s="32"/>
      <c r="AM231" s="32" t="s">
        <v>1099</v>
      </c>
      <c r="AN231" s="32"/>
      <c r="AO231" s="32" t="s">
        <v>1099</v>
      </c>
      <c r="AP231" s="32"/>
      <c r="AQ231" s="32"/>
      <c r="AR231" s="32"/>
      <c r="AS231" s="32"/>
      <c r="AT231" s="32"/>
      <c r="AU231" s="32"/>
      <c r="AV231" s="38" t="s">
        <v>1099</v>
      </c>
      <c r="AW231" s="38" t="s">
        <v>1099</v>
      </c>
      <c r="AX231" s="42" t="s">
        <v>106</v>
      </c>
      <c r="AY231" s="62" t="str">
        <f>IF('Cálculo MP'!J232="","",'Cálculo MP'!J232)</f>
        <v/>
      </c>
      <c r="AZ231" s="62" t="str">
        <f>IF('Cálculo MP'!K232="","",'Cálculo MP'!K232)</f>
        <v/>
      </c>
      <c r="BA231" s="62" t="str">
        <f>IF('Cálculo MP'!L232="","",'Cálculo MP'!L232)</f>
        <v/>
      </c>
      <c r="BB231" s="62" t="str">
        <f>IF('Cálculo MP'!M232="","",'Cálculo MP'!M232)</f>
        <v/>
      </c>
      <c r="BC231" s="62" t="str">
        <f>IF('Cálculo MP'!N232="","",'Cálculo MP'!N232)</f>
        <v/>
      </c>
      <c r="BD231" s="62" t="str">
        <f>IF('Cálculo MP'!O232="","",'Cálculo MP'!O232)</f>
        <v/>
      </c>
      <c r="BE231" s="62" t="str">
        <f>IF('Cálculo MP'!P232="","",'Cálculo MP'!P232)</f>
        <v/>
      </c>
      <c r="BF231" s="62" t="str">
        <f>IF('Cálculo MP'!Q232="","",'Cálculo MP'!Q232)</f>
        <v/>
      </c>
      <c r="BG231" s="62" t="str">
        <f>IF('Cálculo MP'!R232="","",'Cálculo MP'!R232)</f>
        <v/>
      </c>
      <c r="BH231" s="32"/>
      <c r="BI231" s="32"/>
      <c r="BJ231" s="32"/>
      <c r="BK231" s="32"/>
      <c r="BL231" s="32"/>
      <c r="BM231" s="32"/>
      <c r="BN231" s="32"/>
      <c r="BO231" s="62" t="str">
        <f t="shared" si="11"/>
        <v/>
      </c>
    </row>
    <row r="232" spans="1:67" ht="19.5" customHeight="1" x14ac:dyDescent="0.2">
      <c r="A232" s="49" t="b">
        <v>0</v>
      </c>
      <c r="B232" s="50" t="b">
        <v>1</v>
      </c>
      <c r="C232" s="51" t="b">
        <v>0</v>
      </c>
      <c r="D232" s="51" t="b">
        <v>0</v>
      </c>
      <c r="E232" s="37"/>
      <c r="F232" s="39"/>
      <c r="G232" s="37" t="s">
        <v>1100</v>
      </c>
      <c r="H232" s="34"/>
      <c r="I232" s="34"/>
      <c r="J232" s="34" t="s">
        <v>1099</v>
      </c>
      <c r="K232" s="51" t="b">
        <v>1</v>
      </c>
      <c r="L232" s="40"/>
      <c r="M232" s="37" t="s">
        <v>1099</v>
      </c>
      <c r="N232" s="37" t="s">
        <v>1099</v>
      </c>
      <c r="O232" s="41" t="s">
        <v>1099</v>
      </c>
      <c r="P232" s="40" t="s">
        <v>1099</v>
      </c>
      <c r="Q232" s="37" t="s">
        <v>1099</v>
      </c>
      <c r="R232" s="37" t="s">
        <v>1099</v>
      </c>
      <c r="S232" s="113" t="s">
        <v>1099</v>
      </c>
      <c r="T232" s="56"/>
      <c r="U232" s="56"/>
      <c r="V232" s="56"/>
      <c r="W232" s="114" t="s">
        <v>1099</v>
      </c>
      <c r="X232" s="115"/>
      <c r="Y232" s="115"/>
      <c r="Z232" s="116"/>
      <c r="AA232" s="117" t="s">
        <v>1099</v>
      </c>
      <c r="AB232" s="116"/>
      <c r="AC232" s="56"/>
      <c r="AD232" s="116"/>
      <c r="AE232" s="44" t="s">
        <v>1099</v>
      </c>
      <c r="AF232" s="46" t="str">
        <f t="shared" si="9"/>
        <v/>
      </c>
      <c r="AG232" s="38" t="s">
        <v>1099</v>
      </c>
      <c r="AH232" s="47" t="str">
        <f t="shared" si="10"/>
        <v/>
      </c>
      <c r="AI232" s="32"/>
      <c r="AJ232" s="32"/>
      <c r="AK232" s="32"/>
      <c r="AL232" s="32"/>
      <c r="AM232" s="32" t="s">
        <v>1099</v>
      </c>
      <c r="AN232" s="32"/>
      <c r="AO232" s="32" t="s">
        <v>1099</v>
      </c>
      <c r="AP232" s="32"/>
      <c r="AQ232" s="32"/>
      <c r="AR232" s="32"/>
      <c r="AS232" s="32"/>
      <c r="AT232" s="32"/>
      <c r="AU232" s="32"/>
      <c r="AV232" s="38" t="s">
        <v>1099</v>
      </c>
      <c r="AW232" s="38" t="s">
        <v>1099</v>
      </c>
      <c r="AX232" s="42" t="s">
        <v>106</v>
      </c>
      <c r="AY232" s="62" t="str">
        <f>IF('Cálculo MP'!J233="","",'Cálculo MP'!J233)</f>
        <v/>
      </c>
      <c r="AZ232" s="62" t="str">
        <f>IF('Cálculo MP'!K233="","",'Cálculo MP'!K233)</f>
        <v/>
      </c>
      <c r="BA232" s="62" t="str">
        <f>IF('Cálculo MP'!L233="","",'Cálculo MP'!L233)</f>
        <v/>
      </c>
      <c r="BB232" s="62" t="str">
        <f>IF('Cálculo MP'!M233="","",'Cálculo MP'!M233)</f>
        <v/>
      </c>
      <c r="BC232" s="62" t="str">
        <f>IF('Cálculo MP'!N233="","",'Cálculo MP'!N233)</f>
        <v/>
      </c>
      <c r="BD232" s="62" t="str">
        <f>IF('Cálculo MP'!O233="","",'Cálculo MP'!O233)</f>
        <v/>
      </c>
      <c r="BE232" s="62" t="str">
        <f>IF('Cálculo MP'!P233="","",'Cálculo MP'!P233)</f>
        <v/>
      </c>
      <c r="BF232" s="62" t="str">
        <f>IF('Cálculo MP'!Q233="","",'Cálculo MP'!Q233)</f>
        <v/>
      </c>
      <c r="BG232" s="62" t="str">
        <f>IF('Cálculo MP'!R233="","",'Cálculo MP'!R233)</f>
        <v/>
      </c>
      <c r="BH232" s="32"/>
      <c r="BI232" s="32"/>
      <c r="BJ232" s="32"/>
      <c r="BK232" s="32"/>
      <c r="BL232" s="32"/>
      <c r="BM232" s="32"/>
      <c r="BN232" s="32"/>
      <c r="BO232" s="62" t="str">
        <f t="shared" si="11"/>
        <v/>
      </c>
    </row>
    <row r="233" spans="1:67" ht="19.5" customHeight="1" x14ac:dyDescent="0.2">
      <c r="A233" s="49" t="b">
        <v>0</v>
      </c>
      <c r="B233" s="50" t="b">
        <v>1</v>
      </c>
      <c r="C233" s="51" t="b">
        <v>0</v>
      </c>
      <c r="D233" s="51" t="b">
        <v>0</v>
      </c>
      <c r="E233" s="37"/>
      <c r="F233" s="39"/>
      <c r="G233" s="37" t="s">
        <v>1100</v>
      </c>
      <c r="H233" s="34"/>
      <c r="I233" s="34"/>
      <c r="J233" s="34" t="s">
        <v>1099</v>
      </c>
      <c r="K233" s="51" t="b">
        <v>1</v>
      </c>
      <c r="L233" s="40"/>
      <c r="M233" s="37" t="s">
        <v>1099</v>
      </c>
      <c r="N233" s="37" t="s">
        <v>1099</v>
      </c>
      <c r="O233" s="41" t="s">
        <v>1099</v>
      </c>
      <c r="P233" s="40" t="s">
        <v>1099</v>
      </c>
      <c r="Q233" s="37" t="s">
        <v>1099</v>
      </c>
      <c r="R233" s="37" t="s">
        <v>1099</v>
      </c>
      <c r="S233" s="113" t="s">
        <v>1099</v>
      </c>
      <c r="T233" s="56"/>
      <c r="U233" s="56"/>
      <c r="V233" s="56"/>
      <c r="W233" s="114" t="s">
        <v>1099</v>
      </c>
      <c r="X233" s="115"/>
      <c r="Y233" s="115"/>
      <c r="Z233" s="116"/>
      <c r="AA233" s="117" t="s">
        <v>1099</v>
      </c>
      <c r="AB233" s="116"/>
      <c r="AC233" s="56"/>
      <c r="AD233" s="116"/>
      <c r="AE233" s="44" t="s">
        <v>1099</v>
      </c>
      <c r="AF233" s="46" t="str">
        <f t="shared" si="9"/>
        <v/>
      </c>
      <c r="AG233" s="38" t="s">
        <v>1099</v>
      </c>
      <c r="AH233" s="47" t="str">
        <f t="shared" si="10"/>
        <v/>
      </c>
      <c r="AI233" s="32"/>
      <c r="AJ233" s="32"/>
      <c r="AK233" s="32"/>
      <c r="AL233" s="32"/>
      <c r="AM233" s="32" t="s">
        <v>1099</v>
      </c>
      <c r="AN233" s="32"/>
      <c r="AO233" s="32" t="s">
        <v>1099</v>
      </c>
      <c r="AP233" s="32"/>
      <c r="AQ233" s="32"/>
      <c r="AR233" s="32"/>
      <c r="AS233" s="32"/>
      <c r="AT233" s="32"/>
      <c r="AU233" s="32"/>
      <c r="AV233" s="38" t="s">
        <v>1099</v>
      </c>
      <c r="AW233" s="38" t="s">
        <v>1099</v>
      </c>
      <c r="AX233" s="42" t="s">
        <v>106</v>
      </c>
      <c r="AY233" s="62" t="str">
        <f>IF('Cálculo MP'!J234="","",'Cálculo MP'!J234)</f>
        <v/>
      </c>
      <c r="AZ233" s="62" t="str">
        <f>IF('Cálculo MP'!K234="","",'Cálculo MP'!K234)</f>
        <v/>
      </c>
      <c r="BA233" s="62" t="str">
        <f>IF('Cálculo MP'!L234="","",'Cálculo MP'!L234)</f>
        <v/>
      </c>
      <c r="BB233" s="62" t="str">
        <f>IF('Cálculo MP'!M234="","",'Cálculo MP'!M234)</f>
        <v/>
      </c>
      <c r="BC233" s="62" t="str">
        <f>IF('Cálculo MP'!N234="","",'Cálculo MP'!N234)</f>
        <v/>
      </c>
      <c r="BD233" s="62" t="str">
        <f>IF('Cálculo MP'!O234="","",'Cálculo MP'!O234)</f>
        <v/>
      </c>
      <c r="BE233" s="62" t="str">
        <f>IF('Cálculo MP'!P234="","",'Cálculo MP'!P234)</f>
        <v/>
      </c>
      <c r="BF233" s="62" t="str">
        <f>IF('Cálculo MP'!Q234="","",'Cálculo MP'!Q234)</f>
        <v/>
      </c>
      <c r="BG233" s="62" t="str">
        <f>IF('Cálculo MP'!R234="","",'Cálculo MP'!R234)</f>
        <v/>
      </c>
      <c r="BH233" s="32"/>
      <c r="BI233" s="32"/>
      <c r="BJ233" s="32"/>
      <c r="BK233" s="32"/>
      <c r="BL233" s="32"/>
      <c r="BM233" s="32"/>
      <c r="BN233" s="32"/>
      <c r="BO233" s="62" t="str">
        <f t="shared" si="11"/>
        <v/>
      </c>
    </row>
    <row r="234" spans="1:67" ht="19.5" customHeight="1" x14ac:dyDescent="0.2">
      <c r="A234" s="49" t="b">
        <v>0</v>
      </c>
      <c r="B234" s="50" t="b">
        <v>1</v>
      </c>
      <c r="C234" s="51" t="b">
        <v>0</v>
      </c>
      <c r="D234" s="51" t="b">
        <v>0</v>
      </c>
      <c r="E234" s="37"/>
      <c r="F234" s="39"/>
      <c r="G234" s="37" t="s">
        <v>1100</v>
      </c>
      <c r="H234" s="34"/>
      <c r="I234" s="34"/>
      <c r="J234" s="34" t="s">
        <v>1099</v>
      </c>
      <c r="K234" s="51" t="b">
        <v>1</v>
      </c>
      <c r="L234" s="40"/>
      <c r="M234" s="37" t="s">
        <v>1099</v>
      </c>
      <c r="N234" s="37" t="s">
        <v>1099</v>
      </c>
      <c r="O234" s="41" t="s">
        <v>1099</v>
      </c>
      <c r="P234" s="40" t="s">
        <v>1099</v>
      </c>
      <c r="Q234" s="37" t="s">
        <v>1099</v>
      </c>
      <c r="R234" s="37" t="s">
        <v>1099</v>
      </c>
      <c r="S234" s="113" t="s">
        <v>1099</v>
      </c>
      <c r="T234" s="56"/>
      <c r="U234" s="56"/>
      <c r="V234" s="56"/>
      <c r="W234" s="114" t="s">
        <v>1099</v>
      </c>
      <c r="X234" s="115"/>
      <c r="Y234" s="115"/>
      <c r="Z234" s="116"/>
      <c r="AA234" s="117" t="s">
        <v>1099</v>
      </c>
      <c r="AB234" s="116"/>
      <c r="AC234" s="56"/>
      <c r="AD234" s="116"/>
      <c r="AE234" s="44" t="s">
        <v>1099</v>
      </c>
      <c r="AF234" s="46" t="str">
        <f t="shared" si="9"/>
        <v/>
      </c>
      <c r="AG234" s="38" t="s">
        <v>1099</v>
      </c>
      <c r="AH234" s="47" t="str">
        <f t="shared" si="10"/>
        <v/>
      </c>
      <c r="AI234" s="32"/>
      <c r="AJ234" s="32"/>
      <c r="AK234" s="32"/>
      <c r="AL234" s="32"/>
      <c r="AM234" s="32" t="s">
        <v>1099</v>
      </c>
      <c r="AN234" s="32"/>
      <c r="AO234" s="32" t="s">
        <v>1099</v>
      </c>
      <c r="AP234" s="32"/>
      <c r="AQ234" s="32"/>
      <c r="AR234" s="32"/>
      <c r="AS234" s="32"/>
      <c r="AT234" s="32"/>
      <c r="AU234" s="32"/>
      <c r="AV234" s="38" t="s">
        <v>1099</v>
      </c>
      <c r="AW234" s="38" t="s">
        <v>1099</v>
      </c>
      <c r="AX234" s="42" t="s">
        <v>106</v>
      </c>
      <c r="AY234" s="62" t="str">
        <f>IF('Cálculo MP'!J235="","",'Cálculo MP'!J235)</f>
        <v/>
      </c>
      <c r="AZ234" s="62" t="str">
        <f>IF('Cálculo MP'!K235="","",'Cálculo MP'!K235)</f>
        <v/>
      </c>
      <c r="BA234" s="62" t="str">
        <f>IF('Cálculo MP'!L235="","",'Cálculo MP'!L235)</f>
        <v/>
      </c>
      <c r="BB234" s="62" t="str">
        <f>IF('Cálculo MP'!M235="","",'Cálculo MP'!M235)</f>
        <v/>
      </c>
      <c r="BC234" s="62" t="str">
        <f>IF('Cálculo MP'!N235="","",'Cálculo MP'!N235)</f>
        <v/>
      </c>
      <c r="BD234" s="62" t="str">
        <f>IF('Cálculo MP'!O235="","",'Cálculo MP'!O235)</f>
        <v/>
      </c>
      <c r="BE234" s="62" t="str">
        <f>IF('Cálculo MP'!P235="","",'Cálculo MP'!P235)</f>
        <v/>
      </c>
      <c r="BF234" s="62" t="str">
        <f>IF('Cálculo MP'!Q235="","",'Cálculo MP'!Q235)</f>
        <v/>
      </c>
      <c r="BG234" s="62" t="str">
        <f>IF('Cálculo MP'!R235="","",'Cálculo MP'!R235)</f>
        <v/>
      </c>
      <c r="BH234" s="32"/>
      <c r="BI234" s="32"/>
      <c r="BJ234" s="32"/>
      <c r="BK234" s="32"/>
      <c r="BL234" s="32"/>
      <c r="BM234" s="32"/>
      <c r="BN234" s="32"/>
      <c r="BO234" s="62" t="str">
        <f t="shared" si="11"/>
        <v/>
      </c>
    </row>
    <row r="235" spans="1:67" ht="19.5" customHeight="1" x14ac:dyDescent="0.2">
      <c r="A235" s="49" t="b">
        <v>0</v>
      </c>
      <c r="B235" s="50" t="b">
        <v>1</v>
      </c>
      <c r="C235" s="51" t="b">
        <v>0</v>
      </c>
      <c r="D235" s="51" t="b">
        <v>0</v>
      </c>
      <c r="E235" s="37"/>
      <c r="F235" s="39"/>
      <c r="G235" s="37" t="s">
        <v>1100</v>
      </c>
      <c r="H235" s="34"/>
      <c r="I235" s="34"/>
      <c r="J235" s="34" t="s">
        <v>1099</v>
      </c>
      <c r="K235" s="51" t="b">
        <v>1</v>
      </c>
      <c r="L235" s="40"/>
      <c r="M235" s="37" t="s">
        <v>1099</v>
      </c>
      <c r="N235" s="37" t="s">
        <v>1099</v>
      </c>
      <c r="O235" s="41" t="s">
        <v>1099</v>
      </c>
      <c r="P235" s="40" t="s">
        <v>1099</v>
      </c>
      <c r="Q235" s="37" t="s">
        <v>1099</v>
      </c>
      <c r="R235" s="37" t="s">
        <v>1099</v>
      </c>
      <c r="S235" s="113" t="s">
        <v>1099</v>
      </c>
      <c r="T235" s="56"/>
      <c r="U235" s="56"/>
      <c r="V235" s="56"/>
      <c r="W235" s="114" t="s">
        <v>1099</v>
      </c>
      <c r="X235" s="115"/>
      <c r="Y235" s="115"/>
      <c r="Z235" s="116"/>
      <c r="AA235" s="117" t="s">
        <v>1099</v>
      </c>
      <c r="AB235" s="116"/>
      <c r="AC235" s="56"/>
      <c r="AD235" s="116"/>
      <c r="AE235" s="44" t="s">
        <v>1099</v>
      </c>
      <c r="AF235" s="46" t="str">
        <f t="shared" si="9"/>
        <v/>
      </c>
      <c r="AG235" s="38" t="s">
        <v>1099</v>
      </c>
      <c r="AH235" s="47" t="str">
        <f t="shared" si="10"/>
        <v/>
      </c>
      <c r="AI235" s="32"/>
      <c r="AJ235" s="32"/>
      <c r="AK235" s="32"/>
      <c r="AL235" s="32"/>
      <c r="AM235" s="32" t="s">
        <v>1099</v>
      </c>
      <c r="AN235" s="32"/>
      <c r="AO235" s="32" t="s">
        <v>1099</v>
      </c>
      <c r="AP235" s="32"/>
      <c r="AQ235" s="32"/>
      <c r="AR235" s="32"/>
      <c r="AS235" s="32"/>
      <c r="AT235" s="32"/>
      <c r="AU235" s="32"/>
      <c r="AV235" s="38" t="s">
        <v>1099</v>
      </c>
      <c r="AW235" s="38" t="s">
        <v>1099</v>
      </c>
      <c r="AX235" s="42" t="s">
        <v>106</v>
      </c>
      <c r="AY235" s="62" t="str">
        <f>IF('Cálculo MP'!J236="","",'Cálculo MP'!J236)</f>
        <v/>
      </c>
      <c r="AZ235" s="62" t="str">
        <f>IF('Cálculo MP'!K236="","",'Cálculo MP'!K236)</f>
        <v/>
      </c>
      <c r="BA235" s="62" t="str">
        <f>IF('Cálculo MP'!L236="","",'Cálculo MP'!L236)</f>
        <v/>
      </c>
      <c r="BB235" s="62" t="str">
        <f>IF('Cálculo MP'!M236="","",'Cálculo MP'!M236)</f>
        <v/>
      </c>
      <c r="BC235" s="62" t="str">
        <f>IF('Cálculo MP'!N236="","",'Cálculo MP'!N236)</f>
        <v/>
      </c>
      <c r="BD235" s="62" t="str">
        <f>IF('Cálculo MP'!O236="","",'Cálculo MP'!O236)</f>
        <v/>
      </c>
      <c r="BE235" s="62" t="str">
        <f>IF('Cálculo MP'!P236="","",'Cálculo MP'!P236)</f>
        <v/>
      </c>
      <c r="BF235" s="62" t="str">
        <f>IF('Cálculo MP'!Q236="","",'Cálculo MP'!Q236)</f>
        <v/>
      </c>
      <c r="BG235" s="62" t="str">
        <f>IF('Cálculo MP'!R236="","",'Cálculo MP'!R236)</f>
        <v/>
      </c>
      <c r="BH235" s="32"/>
      <c r="BI235" s="32"/>
      <c r="BJ235" s="32"/>
      <c r="BK235" s="32"/>
      <c r="BL235" s="32"/>
      <c r="BM235" s="32"/>
      <c r="BN235" s="32"/>
      <c r="BO235" s="62" t="str">
        <f t="shared" si="11"/>
        <v/>
      </c>
    </row>
    <row r="236" spans="1:67" ht="19.5" customHeight="1" x14ac:dyDescent="0.2">
      <c r="A236" s="49" t="b">
        <v>0</v>
      </c>
      <c r="B236" s="50" t="b">
        <v>1</v>
      </c>
      <c r="C236" s="51" t="b">
        <v>0</v>
      </c>
      <c r="D236" s="51" t="b">
        <v>0</v>
      </c>
      <c r="E236" s="37"/>
      <c r="F236" s="39"/>
      <c r="G236" s="37" t="s">
        <v>1100</v>
      </c>
      <c r="H236" s="34"/>
      <c r="I236" s="34"/>
      <c r="J236" s="34" t="s">
        <v>1099</v>
      </c>
      <c r="K236" s="51" t="b">
        <v>1</v>
      </c>
      <c r="L236" s="40"/>
      <c r="M236" s="37" t="s">
        <v>1099</v>
      </c>
      <c r="N236" s="37" t="s">
        <v>1099</v>
      </c>
      <c r="O236" s="41" t="s">
        <v>1099</v>
      </c>
      <c r="P236" s="40" t="s">
        <v>1099</v>
      </c>
      <c r="Q236" s="37" t="s">
        <v>1099</v>
      </c>
      <c r="R236" s="37" t="s">
        <v>1099</v>
      </c>
      <c r="S236" s="113" t="s">
        <v>1099</v>
      </c>
      <c r="T236" s="56"/>
      <c r="U236" s="56"/>
      <c r="V236" s="56"/>
      <c r="W236" s="114" t="s">
        <v>1099</v>
      </c>
      <c r="X236" s="115"/>
      <c r="Y236" s="115"/>
      <c r="Z236" s="116"/>
      <c r="AA236" s="117" t="s">
        <v>1099</v>
      </c>
      <c r="AB236" s="116"/>
      <c r="AC236" s="56"/>
      <c r="AD236" s="116"/>
      <c r="AE236" s="44" t="s">
        <v>1099</v>
      </c>
      <c r="AF236" s="46" t="str">
        <f t="shared" si="9"/>
        <v/>
      </c>
      <c r="AG236" s="38" t="s">
        <v>1099</v>
      </c>
      <c r="AH236" s="47" t="str">
        <f t="shared" si="10"/>
        <v/>
      </c>
      <c r="AI236" s="32"/>
      <c r="AJ236" s="32"/>
      <c r="AK236" s="32"/>
      <c r="AL236" s="32"/>
      <c r="AM236" s="32" t="s">
        <v>1099</v>
      </c>
      <c r="AN236" s="32"/>
      <c r="AO236" s="32" t="s">
        <v>1099</v>
      </c>
      <c r="AP236" s="32"/>
      <c r="AQ236" s="32"/>
      <c r="AR236" s="32"/>
      <c r="AS236" s="32"/>
      <c r="AT236" s="32"/>
      <c r="AU236" s="32"/>
      <c r="AV236" s="38" t="s">
        <v>1099</v>
      </c>
      <c r="AW236" s="38" t="s">
        <v>1099</v>
      </c>
      <c r="AX236" s="42" t="s">
        <v>106</v>
      </c>
      <c r="AY236" s="62" t="str">
        <f>IF('Cálculo MP'!J237="","",'Cálculo MP'!J237)</f>
        <v/>
      </c>
      <c r="AZ236" s="62" t="str">
        <f>IF('Cálculo MP'!K237="","",'Cálculo MP'!K237)</f>
        <v/>
      </c>
      <c r="BA236" s="62" t="str">
        <f>IF('Cálculo MP'!L237="","",'Cálculo MP'!L237)</f>
        <v/>
      </c>
      <c r="BB236" s="62" t="str">
        <f>IF('Cálculo MP'!M237="","",'Cálculo MP'!M237)</f>
        <v/>
      </c>
      <c r="BC236" s="62" t="str">
        <f>IF('Cálculo MP'!N237="","",'Cálculo MP'!N237)</f>
        <v/>
      </c>
      <c r="BD236" s="62" t="str">
        <f>IF('Cálculo MP'!O237="","",'Cálculo MP'!O237)</f>
        <v/>
      </c>
      <c r="BE236" s="62" t="str">
        <f>IF('Cálculo MP'!P237="","",'Cálculo MP'!P237)</f>
        <v/>
      </c>
      <c r="BF236" s="62" t="str">
        <f>IF('Cálculo MP'!Q237="","",'Cálculo MP'!Q237)</f>
        <v/>
      </c>
      <c r="BG236" s="62" t="str">
        <f>IF('Cálculo MP'!R237="","",'Cálculo MP'!R237)</f>
        <v/>
      </c>
      <c r="BH236" s="32"/>
      <c r="BI236" s="32"/>
      <c r="BJ236" s="32"/>
      <c r="BK236" s="32"/>
      <c r="BL236" s="32"/>
      <c r="BM236" s="32"/>
      <c r="BN236" s="32"/>
      <c r="BO236" s="62" t="str">
        <f t="shared" si="11"/>
        <v/>
      </c>
    </row>
    <row r="237" spans="1:67" ht="19.5" customHeight="1" x14ac:dyDescent="0.2">
      <c r="A237" s="49" t="b">
        <v>0</v>
      </c>
      <c r="B237" s="50" t="b">
        <v>1</v>
      </c>
      <c r="C237" s="51" t="b">
        <v>0</v>
      </c>
      <c r="D237" s="51" t="b">
        <v>0</v>
      </c>
      <c r="E237" s="37"/>
      <c r="F237" s="39"/>
      <c r="G237" s="37" t="s">
        <v>1100</v>
      </c>
      <c r="H237" s="34"/>
      <c r="I237" s="34"/>
      <c r="J237" s="34" t="s">
        <v>1099</v>
      </c>
      <c r="K237" s="51" t="b">
        <v>1</v>
      </c>
      <c r="L237" s="40"/>
      <c r="M237" s="37" t="s">
        <v>1099</v>
      </c>
      <c r="N237" s="37" t="s">
        <v>1099</v>
      </c>
      <c r="O237" s="41" t="s">
        <v>1099</v>
      </c>
      <c r="P237" s="40" t="s">
        <v>1099</v>
      </c>
      <c r="Q237" s="37" t="s">
        <v>1099</v>
      </c>
      <c r="R237" s="37" t="s">
        <v>1099</v>
      </c>
      <c r="S237" s="113" t="s">
        <v>1099</v>
      </c>
      <c r="T237" s="56"/>
      <c r="U237" s="56"/>
      <c r="V237" s="56"/>
      <c r="W237" s="114" t="s">
        <v>1099</v>
      </c>
      <c r="X237" s="115"/>
      <c r="Y237" s="115"/>
      <c r="Z237" s="116"/>
      <c r="AA237" s="117" t="s">
        <v>1099</v>
      </c>
      <c r="AB237" s="116"/>
      <c r="AC237" s="56"/>
      <c r="AD237" s="116"/>
      <c r="AE237" s="44" t="s">
        <v>1099</v>
      </c>
      <c r="AF237" s="46" t="str">
        <f t="shared" si="9"/>
        <v/>
      </c>
      <c r="AG237" s="38" t="s">
        <v>1099</v>
      </c>
      <c r="AH237" s="47" t="str">
        <f t="shared" si="10"/>
        <v/>
      </c>
      <c r="AI237" s="32"/>
      <c r="AJ237" s="32"/>
      <c r="AK237" s="32"/>
      <c r="AL237" s="32"/>
      <c r="AM237" s="32" t="s">
        <v>1099</v>
      </c>
      <c r="AN237" s="32"/>
      <c r="AO237" s="32" t="s">
        <v>1099</v>
      </c>
      <c r="AP237" s="32"/>
      <c r="AQ237" s="32"/>
      <c r="AR237" s="32"/>
      <c r="AS237" s="32"/>
      <c r="AT237" s="32"/>
      <c r="AU237" s="32"/>
      <c r="AV237" s="38" t="s">
        <v>1099</v>
      </c>
      <c r="AW237" s="38" t="s">
        <v>1099</v>
      </c>
      <c r="AX237" s="42" t="s">
        <v>106</v>
      </c>
      <c r="AY237" s="62" t="str">
        <f>IF('Cálculo MP'!J238="","",'Cálculo MP'!J238)</f>
        <v/>
      </c>
      <c r="AZ237" s="62" t="str">
        <f>IF('Cálculo MP'!K238="","",'Cálculo MP'!K238)</f>
        <v/>
      </c>
      <c r="BA237" s="62" t="str">
        <f>IF('Cálculo MP'!L238="","",'Cálculo MP'!L238)</f>
        <v/>
      </c>
      <c r="BB237" s="62" t="str">
        <f>IF('Cálculo MP'!M238="","",'Cálculo MP'!M238)</f>
        <v/>
      </c>
      <c r="BC237" s="62" t="str">
        <f>IF('Cálculo MP'!N238="","",'Cálculo MP'!N238)</f>
        <v/>
      </c>
      <c r="BD237" s="62" t="str">
        <f>IF('Cálculo MP'!O238="","",'Cálculo MP'!O238)</f>
        <v/>
      </c>
      <c r="BE237" s="62" t="str">
        <f>IF('Cálculo MP'!P238="","",'Cálculo MP'!P238)</f>
        <v/>
      </c>
      <c r="BF237" s="62" t="str">
        <f>IF('Cálculo MP'!Q238="","",'Cálculo MP'!Q238)</f>
        <v/>
      </c>
      <c r="BG237" s="62" t="str">
        <f>IF('Cálculo MP'!R238="","",'Cálculo MP'!R238)</f>
        <v/>
      </c>
      <c r="BH237" s="32"/>
      <c r="BI237" s="32"/>
      <c r="BJ237" s="32"/>
      <c r="BK237" s="32"/>
      <c r="BL237" s="32"/>
      <c r="BM237" s="32"/>
      <c r="BN237" s="32"/>
      <c r="BO237" s="62" t="str">
        <f t="shared" si="11"/>
        <v/>
      </c>
    </row>
    <row r="238" spans="1:67" ht="19.5" customHeight="1" x14ac:dyDescent="0.2">
      <c r="A238" s="49" t="b">
        <v>0</v>
      </c>
      <c r="B238" s="50" t="b">
        <v>1</v>
      </c>
      <c r="C238" s="51" t="b">
        <v>0</v>
      </c>
      <c r="D238" s="51" t="b">
        <v>0</v>
      </c>
      <c r="E238" s="37"/>
      <c r="F238" s="39"/>
      <c r="G238" s="37" t="s">
        <v>1100</v>
      </c>
      <c r="H238" s="34"/>
      <c r="I238" s="34"/>
      <c r="J238" s="34" t="s">
        <v>1099</v>
      </c>
      <c r="K238" s="51" t="b">
        <v>1</v>
      </c>
      <c r="L238" s="40"/>
      <c r="M238" s="37" t="s">
        <v>1099</v>
      </c>
      <c r="N238" s="37" t="s">
        <v>1099</v>
      </c>
      <c r="O238" s="41" t="s">
        <v>1099</v>
      </c>
      <c r="P238" s="40" t="s">
        <v>1099</v>
      </c>
      <c r="Q238" s="37" t="s">
        <v>1099</v>
      </c>
      <c r="R238" s="37" t="s">
        <v>1099</v>
      </c>
      <c r="S238" s="113" t="s">
        <v>1099</v>
      </c>
      <c r="T238" s="56"/>
      <c r="U238" s="56"/>
      <c r="V238" s="56"/>
      <c r="W238" s="114" t="s">
        <v>1099</v>
      </c>
      <c r="X238" s="115"/>
      <c r="Y238" s="115"/>
      <c r="Z238" s="116"/>
      <c r="AA238" s="117" t="s">
        <v>1099</v>
      </c>
      <c r="AB238" s="116"/>
      <c r="AC238" s="56"/>
      <c r="AD238" s="116"/>
      <c r="AE238" s="44" t="s">
        <v>1099</v>
      </c>
      <c r="AF238" s="46" t="str">
        <f t="shared" si="9"/>
        <v/>
      </c>
      <c r="AG238" s="38" t="s">
        <v>1099</v>
      </c>
      <c r="AH238" s="47" t="str">
        <f t="shared" si="10"/>
        <v/>
      </c>
      <c r="AI238" s="32"/>
      <c r="AJ238" s="32"/>
      <c r="AK238" s="32"/>
      <c r="AL238" s="32"/>
      <c r="AM238" s="32" t="s">
        <v>1099</v>
      </c>
      <c r="AN238" s="32"/>
      <c r="AO238" s="32" t="s">
        <v>1099</v>
      </c>
      <c r="AP238" s="32"/>
      <c r="AQ238" s="32"/>
      <c r="AR238" s="32"/>
      <c r="AS238" s="32"/>
      <c r="AT238" s="32"/>
      <c r="AU238" s="32"/>
      <c r="AV238" s="38" t="s">
        <v>1099</v>
      </c>
      <c r="AW238" s="38" t="s">
        <v>1099</v>
      </c>
      <c r="AX238" s="42" t="s">
        <v>106</v>
      </c>
      <c r="AY238" s="62" t="str">
        <f>IF('Cálculo MP'!J239="","",'Cálculo MP'!J239)</f>
        <v/>
      </c>
      <c r="AZ238" s="62" t="str">
        <f>IF('Cálculo MP'!K239="","",'Cálculo MP'!K239)</f>
        <v/>
      </c>
      <c r="BA238" s="62" t="str">
        <f>IF('Cálculo MP'!L239="","",'Cálculo MP'!L239)</f>
        <v/>
      </c>
      <c r="BB238" s="62" t="str">
        <f>IF('Cálculo MP'!M239="","",'Cálculo MP'!M239)</f>
        <v/>
      </c>
      <c r="BC238" s="62" t="str">
        <f>IF('Cálculo MP'!N239="","",'Cálculo MP'!N239)</f>
        <v/>
      </c>
      <c r="BD238" s="62" t="str">
        <f>IF('Cálculo MP'!O239="","",'Cálculo MP'!O239)</f>
        <v/>
      </c>
      <c r="BE238" s="62" t="str">
        <f>IF('Cálculo MP'!P239="","",'Cálculo MP'!P239)</f>
        <v/>
      </c>
      <c r="BF238" s="62" t="str">
        <f>IF('Cálculo MP'!Q239="","",'Cálculo MP'!Q239)</f>
        <v/>
      </c>
      <c r="BG238" s="62" t="str">
        <f>IF('Cálculo MP'!R239="","",'Cálculo MP'!R239)</f>
        <v/>
      </c>
      <c r="BH238" s="32"/>
      <c r="BI238" s="32"/>
      <c r="BJ238" s="32"/>
      <c r="BK238" s="32"/>
      <c r="BL238" s="32"/>
      <c r="BM238" s="32"/>
      <c r="BN238" s="32"/>
      <c r="BO238" s="62" t="str">
        <f t="shared" si="11"/>
        <v/>
      </c>
    </row>
    <row r="239" spans="1:67" ht="19.5" customHeight="1" x14ac:dyDescent="0.2">
      <c r="A239" s="49" t="b">
        <v>0</v>
      </c>
      <c r="B239" s="50" t="b">
        <v>1</v>
      </c>
      <c r="C239" s="51" t="b">
        <v>0</v>
      </c>
      <c r="D239" s="51" t="b">
        <v>0</v>
      </c>
      <c r="E239" s="37"/>
      <c r="F239" s="39"/>
      <c r="G239" s="37" t="s">
        <v>1100</v>
      </c>
      <c r="H239" s="34"/>
      <c r="I239" s="34"/>
      <c r="J239" s="34" t="s">
        <v>1099</v>
      </c>
      <c r="K239" s="51" t="b">
        <v>1</v>
      </c>
      <c r="L239" s="40"/>
      <c r="M239" s="37" t="s">
        <v>1099</v>
      </c>
      <c r="N239" s="37" t="s">
        <v>1099</v>
      </c>
      <c r="O239" s="41" t="s">
        <v>1099</v>
      </c>
      <c r="P239" s="40" t="s">
        <v>1099</v>
      </c>
      <c r="Q239" s="37" t="s">
        <v>1099</v>
      </c>
      <c r="R239" s="37" t="s">
        <v>1099</v>
      </c>
      <c r="S239" s="113" t="s">
        <v>1099</v>
      </c>
      <c r="T239" s="56"/>
      <c r="U239" s="56"/>
      <c r="V239" s="56"/>
      <c r="W239" s="114" t="s">
        <v>1099</v>
      </c>
      <c r="X239" s="115"/>
      <c r="Y239" s="115"/>
      <c r="Z239" s="116"/>
      <c r="AA239" s="117" t="s">
        <v>1099</v>
      </c>
      <c r="AB239" s="116"/>
      <c r="AC239" s="56"/>
      <c r="AD239" s="116"/>
      <c r="AE239" s="44" t="s">
        <v>1099</v>
      </c>
      <c r="AF239" s="46" t="str">
        <f t="shared" si="9"/>
        <v/>
      </c>
      <c r="AG239" s="38" t="s">
        <v>1099</v>
      </c>
      <c r="AH239" s="47" t="str">
        <f t="shared" si="10"/>
        <v/>
      </c>
      <c r="AI239" s="32"/>
      <c r="AJ239" s="32"/>
      <c r="AK239" s="32"/>
      <c r="AL239" s="32"/>
      <c r="AM239" s="32" t="s">
        <v>1099</v>
      </c>
      <c r="AN239" s="32"/>
      <c r="AO239" s="32" t="s">
        <v>1099</v>
      </c>
      <c r="AP239" s="32"/>
      <c r="AQ239" s="32"/>
      <c r="AR239" s="32"/>
      <c r="AS239" s="32"/>
      <c r="AT239" s="32"/>
      <c r="AU239" s="32"/>
      <c r="AV239" s="38" t="s">
        <v>1099</v>
      </c>
      <c r="AW239" s="38" t="s">
        <v>1099</v>
      </c>
      <c r="AX239" s="42" t="s">
        <v>106</v>
      </c>
      <c r="AY239" s="62" t="str">
        <f>IF('Cálculo MP'!J240="","",'Cálculo MP'!J240)</f>
        <v/>
      </c>
      <c r="AZ239" s="62" t="str">
        <f>IF('Cálculo MP'!K240="","",'Cálculo MP'!K240)</f>
        <v/>
      </c>
      <c r="BA239" s="62" t="str">
        <f>IF('Cálculo MP'!L240="","",'Cálculo MP'!L240)</f>
        <v/>
      </c>
      <c r="BB239" s="62" t="str">
        <f>IF('Cálculo MP'!M240="","",'Cálculo MP'!M240)</f>
        <v/>
      </c>
      <c r="BC239" s="62" t="str">
        <f>IF('Cálculo MP'!N240="","",'Cálculo MP'!N240)</f>
        <v/>
      </c>
      <c r="BD239" s="62" t="str">
        <f>IF('Cálculo MP'!O240="","",'Cálculo MP'!O240)</f>
        <v/>
      </c>
      <c r="BE239" s="62" t="str">
        <f>IF('Cálculo MP'!P240="","",'Cálculo MP'!P240)</f>
        <v/>
      </c>
      <c r="BF239" s="62" t="str">
        <f>IF('Cálculo MP'!Q240="","",'Cálculo MP'!Q240)</f>
        <v/>
      </c>
      <c r="BG239" s="62" t="str">
        <f>IF('Cálculo MP'!R240="","",'Cálculo MP'!R240)</f>
        <v/>
      </c>
      <c r="BH239" s="32"/>
      <c r="BI239" s="32"/>
      <c r="BJ239" s="32"/>
      <c r="BK239" s="32"/>
      <c r="BL239" s="32"/>
      <c r="BM239" s="32"/>
      <c r="BN239" s="32"/>
      <c r="BO239" s="62" t="str">
        <f t="shared" si="11"/>
        <v/>
      </c>
    </row>
    <row r="240" spans="1:67" ht="19.5" customHeight="1" x14ac:dyDescent="0.2">
      <c r="A240" s="49" t="b">
        <v>0</v>
      </c>
      <c r="B240" s="50" t="b">
        <v>1</v>
      </c>
      <c r="C240" s="51" t="b">
        <v>0</v>
      </c>
      <c r="D240" s="51" t="b">
        <v>0</v>
      </c>
      <c r="E240" s="37"/>
      <c r="F240" s="39"/>
      <c r="G240" s="37" t="s">
        <v>1100</v>
      </c>
      <c r="H240" s="34"/>
      <c r="I240" s="34"/>
      <c r="J240" s="34" t="s">
        <v>1099</v>
      </c>
      <c r="K240" s="51" t="b">
        <v>1</v>
      </c>
      <c r="L240" s="40"/>
      <c r="M240" s="37" t="s">
        <v>1099</v>
      </c>
      <c r="N240" s="37" t="s">
        <v>1099</v>
      </c>
      <c r="O240" s="41" t="s">
        <v>1099</v>
      </c>
      <c r="P240" s="40" t="s">
        <v>1099</v>
      </c>
      <c r="Q240" s="37" t="s">
        <v>1099</v>
      </c>
      <c r="R240" s="37" t="s">
        <v>1099</v>
      </c>
      <c r="S240" s="113" t="s">
        <v>1099</v>
      </c>
      <c r="T240" s="56"/>
      <c r="U240" s="56"/>
      <c r="V240" s="56"/>
      <c r="W240" s="114" t="s">
        <v>1099</v>
      </c>
      <c r="X240" s="115"/>
      <c r="Y240" s="115"/>
      <c r="Z240" s="116"/>
      <c r="AA240" s="117" t="s">
        <v>1099</v>
      </c>
      <c r="AB240" s="116"/>
      <c r="AC240" s="56"/>
      <c r="AD240" s="116"/>
      <c r="AE240" s="44" t="s">
        <v>1099</v>
      </c>
      <c r="AF240" s="46" t="str">
        <f t="shared" si="9"/>
        <v/>
      </c>
      <c r="AG240" s="38" t="s">
        <v>1099</v>
      </c>
      <c r="AH240" s="47" t="str">
        <f t="shared" si="10"/>
        <v/>
      </c>
      <c r="AI240" s="32"/>
      <c r="AJ240" s="32"/>
      <c r="AK240" s="32"/>
      <c r="AL240" s="32"/>
      <c r="AM240" s="32" t="s">
        <v>1099</v>
      </c>
      <c r="AN240" s="32"/>
      <c r="AO240" s="32" t="s">
        <v>1099</v>
      </c>
      <c r="AP240" s="32"/>
      <c r="AQ240" s="32"/>
      <c r="AR240" s="32"/>
      <c r="AS240" s="32"/>
      <c r="AT240" s="32"/>
      <c r="AU240" s="32"/>
      <c r="AV240" s="38" t="s">
        <v>1099</v>
      </c>
      <c r="AW240" s="38" t="s">
        <v>1099</v>
      </c>
      <c r="AX240" s="42" t="s">
        <v>106</v>
      </c>
      <c r="AY240" s="62" t="str">
        <f>IF('Cálculo MP'!J241="","",'Cálculo MP'!J241)</f>
        <v/>
      </c>
      <c r="AZ240" s="62" t="str">
        <f>IF('Cálculo MP'!K241="","",'Cálculo MP'!K241)</f>
        <v/>
      </c>
      <c r="BA240" s="62" t="str">
        <f>IF('Cálculo MP'!L241="","",'Cálculo MP'!L241)</f>
        <v/>
      </c>
      <c r="BB240" s="62" t="str">
        <f>IF('Cálculo MP'!M241="","",'Cálculo MP'!M241)</f>
        <v/>
      </c>
      <c r="BC240" s="62" t="str">
        <f>IF('Cálculo MP'!N241="","",'Cálculo MP'!N241)</f>
        <v/>
      </c>
      <c r="BD240" s="62" t="str">
        <f>IF('Cálculo MP'!O241="","",'Cálculo MP'!O241)</f>
        <v/>
      </c>
      <c r="BE240" s="62" t="str">
        <f>IF('Cálculo MP'!P241="","",'Cálculo MP'!P241)</f>
        <v/>
      </c>
      <c r="BF240" s="62" t="str">
        <f>IF('Cálculo MP'!Q241="","",'Cálculo MP'!Q241)</f>
        <v/>
      </c>
      <c r="BG240" s="62" t="str">
        <f>IF('Cálculo MP'!R241="","",'Cálculo MP'!R241)</f>
        <v/>
      </c>
      <c r="BH240" s="32"/>
      <c r="BI240" s="32"/>
      <c r="BJ240" s="32"/>
      <c r="BK240" s="32"/>
      <c r="BL240" s="32"/>
      <c r="BM240" s="32"/>
      <c r="BN240" s="32"/>
      <c r="BO240" s="62" t="str">
        <f t="shared" si="11"/>
        <v/>
      </c>
    </row>
    <row r="241" spans="1:67" ht="19.5" customHeight="1" x14ac:dyDescent="0.2">
      <c r="A241" s="49" t="b">
        <v>0</v>
      </c>
      <c r="B241" s="50" t="b">
        <v>1</v>
      </c>
      <c r="C241" s="51" t="b">
        <v>0</v>
      </c>
      <c r="D241" s="51" t="b">
        <v>0</v>
      </c>
      <c r="E241" s="37"/>
      <c r="F241" s="39"/>
      <c r="G241" s="37" t="s">
        <v>1100</v>
      </c>
      <c r="H241" s="34"/>
      <c r="I241" s="34"/>
      <c r="J241" s="34" t="s">
        <v>1099</v>
      </c>
      <c r="K241" s="51" t="b">
        <v>1</v>
      </c>
      <c r="L241" s="40"/>
      <c r="M241" s="37" t="s">
        <v>1099</v>
      </c>
      <c r="N241" s="37" t="s">
        <v>1099</v>
      </c>
      <c r="O241" s="41" t="s">
        <v>1099</v>
      </c>
      <c r="P241" s="40" t="s">
        <v>1099</v>
      </c>
      <c r="Q241" s="37" t="s">
        <v>1099</v>
      </c>
      <c r="R241" s="37" t="s">
        <v>1099</v>
      </c>
      <c r="S241" s="113" t="s">
        <v>1099</v>
      </c>
      <c r="T241" s="56"/>
      <c r="U241" s="56"/>
      <c r="V241" s="56"/>
      <c r="W241" s="114" t="s">
        <v>1099</v>
      </c>
      <c r="X241" s="115"/>
      <c r="Y241" s="115"/>
      <c r="Z241" s="116"/>
      <c r="AA241" s="117" t="s">
        <v>1099</v>
      </c>
      <c r="AB241" s="116"/>
      <c r="AC241" s="56"/>
      <c r="AD241" s="116"/>
      <c r="AE241" s="44" t="s">
        <v>1099</v>
      </c>
      <c r="AF241" s="46" t="str">
        <f t="shared" si="9"/>
        <v/>
      </c>
      <c r="AG241" s="38" t="s">
        <v>1099</v>
      </c>
      <c r="AH241" s="47" t="str">
        <f t="shared" si="10"/>
        <v/>
      </c>
      <c r="AI241" s="32"/>
      <c r="AJ241" s="32"/>
      <c r="AK241" s="32"/>
      <c r="AL241" s="32"/>
      <c r="AM241" s="32" t="s">
        <v>1099</v>
      </c>
      <c r="AN241" s="32"/>
      <c r="AO241" s="32" t="s">
        <v>1099</v>
      </c>
      <c r="AP241" s="32"/>
      <c r="AQ241" s="32"/>
      <c r="AR241" s="32"/>
      <c r="AS241" s="32"/>
      <c r="AT241" s="32"/>
      <c r="AU241" s="32"/>
      <c r="AV241" s="38" t="s">
        <v>1099</v>
      </c>
      <c r="AW241" s="38" t="s">
        <v>1099</v>
      </c>
      <c r="AX241" s="42" t="s">
        <v>106</v>
      </c>
      <c r="AY241" s="62" t="str">
        <f>IF('Cálculo MP'!J242="","",'Cálculo MP'!J242)</f>
        <v/>
      </c>
      <c r="AZ241" s="62" t="str">
        <f>IF('Cálculo MP'!K242="","",'Cálculo MP'!K242)</f>
        <v/>
      </c>
      <c r="BA241" s="62" t="str">
        <f>IF('Cálculo MP'!L242="","",'Cálculo MP'!L242)</f>
        <v/>
      </c>
      <c r="BB241" s="62" t="str">
        <f>IF('Cálculo MP'!M242="","",'Cálculo MP'!M242)</f>
        <v/>
      </c>
      <c r="BC241" s="62" t="str">
        <f>IF('Cálculo MP'!N242="","",'Cálculo MP'!N242)</f>
        <v/>
      </c>
      <c r="BD241" s="62" t="str">
        <f>IF('Cálculo MP'!O242="","",'Cálculo MP'!O242)</f>
        <v/>
      </c>
      <c r="BE241" s="62" t="str">
        <f>IF('Cálculo MP'!P242="","",'Cálculo MP'!P242)</f>
        <v/>
      </c>
      <c r="BF241" s="62" t="str">
        <f>IF('Cálculo MP'!Q242="","",'Cálculo MP'!Q242)</f>
        <v/>
      </c>
      <c r="BG241" s="62" t="str">
        <f>IF('Cálculo MP'!R242="","",'Cálculo MP'!R242)</f>
        <v/>
      </c>
      <c r="BH241" s="32"/>
      <c r="BI241" s="32"/>
      <c r="BJ241" s="32"/>
      <c r="BK241" s="32"/>
      <c r="BL241" s="32"/>
      <c r="BM241" s="32"/>
      <c r="BN241" s="32"/>
      <c r="BO241" s="62" t="str">
        <f t="shared" si="11"/>
        <v/>
      </c>
    </row>
    <row r="242" spans="1:67" ht="19.5" customHeight="1" x14ac:dyDescent="0.2">
      <c r="A242" s="49" t="b">
        <v>0</v>
      </c>
      <c r="B242" s="50" t="b">
        <v>1</v>
      </c>
      <c r="C242" s="51" t="b">
        <v>0</v>
      </c>
      <c r="D242" s="51" t="b">
        <v>0</v>
      </c>
      <c r="E242" s="37"/>
      <c r="F242" s="39"/>
      <c r="G242" s="37" t="s">
        <v>1100</v>
      </c>
      <c r="H242" s="34"/>
      <c r="I242" s="34"/>
      <c r="J242" s="34" t="s">
        <v>1099</v>
      </c>
      <c r="K242" s="51" t="b">
        <v>1</v>
      </c>
      <c r="L242" s="40"/>
      <c r="M242" s="37" t="s">
        <v>1099</v>
      </c>
      <c r="N242" s="37" t="s">
        <v>1099</v>
      </c>
      <c r="O242" s="41" t="s">
        <v>1099</v>
      </c>
      <c r="P242" s="40" t="s">
        <v>1099</v>
      </c>
      <c r="Q242" s="37" t="s">
        <v>1099</v>
      </c>
      <c r="R242" s="37" t="s">
        <v>1099</v>
      </c>
      <c r="S242" s="113" t="s">
        <v>1099</v>
      </c>
      <c r="T242" s="56"/>
      <c r="U242" s="56"/>
      <c r="V242" s="56"/>
      <c r="W242" s="114" t="s">
        <v>1099</v>
      </c>
      <c r="X242" s="115"/>
      <c r="Y242" s="115"/>
      <c r="Z242" s="116"/>
      <c r="AA242" s="117" t="s">
        <v>1099</v>
      </c>
      <c r="AB242" s="116"/>
      <c r="AC242" s="56"/>
      <c r="AD242" s="116"/>
      <c r="AE242" s="44" t="s">
        <v>1099</v>
      </c>
      <c r="AF242" s="46" t="str">
        <f t="shared" si="9"/>
        <v/>
      </c>
      <c r="AG242" s="38" t="s">
        <v>1099</v>
      </c>
      <c r="AH242" s="47" t="str">
        <f t="shared" si="10"/>
        <v/>
      </c>
      <c r="AI242" s="32"/>
      <c r="AJ242" s="32"/>
      <c r="AK242" s="32"/>
      <c r="AL242" s="32"/>
      <c r="AM242" s="32" t="s">
        <v>1099</v>
      </c>
      <c r="AN242" s="32"/>
      <c r="AO242" s="32" t="s">
        <v>1099</v>
      </c>
      <c r="AP242" s="32"/>
      <c r="AQ242" s="32"/>
      <c r="AR242" s="32"/>
      <c r="AS242" s="32"/>
      <c r="AT242" s="32"/>
      <c r="AU242" s="32"/>
      <c r="AV242" s="38" t="s">
        <v>1099</v>
      </c>
      <c r="AW242" s="38" t="s">
        <v>1099</v>
      </c>
      <c r="AX242" s="42" t="s">
        <v>106</v>
      </c>
      <c r="AY242" s="62" t="str">
        <f>IF('Cálculo MP'!J243="","",'Cálculo MP'!J243)</f>
        <v/>
      </c>
      <c r="AZ242" s="62" t="str">
        <f>IF('Cálculo MP'!K243="","",'Cálculo MP'!K243)</f>
        <v/>
      </c>
      <c r="BA242" s="62" t="str">
        <f>IF('Cálculo MP'!L243="","",'Cálculo MP'!L243)</f>
        <v/>
      </c>
      <c r="BB242" s="62" t="str">
        <f>IF('Cálculo MP'!M243="","",'Cálculo MP'!M243)</f>
        <v/>
      </c>
      <c r="BC242" s="62" t="str">
        <f>IF('Cálculo MP'!N243="","",'Cálculo MP'!N243)</f>
        <v/>
      </c>
      <c r="BD242" s="62" t="str">
        <f>IF('Cálculo MP'!O243="","",'Cálculo MP'!O243)</f>
        <v/>
      </c>
      <c r="BE242" s="62" t="str">
        <f>IF('Cálculo MP'!P243="","",'Cálculo MP'!P243)</f>
        <v/>
      </c>
      <c r="BF242" s="62" t="str">
        <f>IF('Cálculo MP'!Q243="","",'Cálculo MP'!Q243)</f>
        <v/>
      </c>
      <c r="BG242" s="62" t="str">
        <f>IF('Cálculo MP'!R243="","",'Cálculo MP'!R243)</f>
        <v/>
      </c>
      <c r="BH242" s="32"/>
      <c r="BI242" s="32"/>
      <c r="BJ242" s="32"/>
      <c r="BK242" s="32"/>
      <c r="BL242" s="32"/>
      <c r="BM242" s="32"/>
      <c r="BN242" s="32"/>
      <c r="BO242" s="62" t="str">
        <f t="shared" si="11"/>
        <v/>
      </c>
    </row>
    <row r="243" spans="1:67" ht="19.5" customHeight="1" x14ac:dyDescent="0.2">
      <c r="A243" s="49" t="b">
        <v>0</v>
      </c>
      <c r="B243" s="50" t="b">
        <v>1</v>
      </c>
      <c r="C243" s="51" t="b">
        <v>0</v>
      </c>
      <c r="D243" s="51" t="b">
        <v>0</v>
      </c>
      <c r="E243" s="37"/>
      <c r="F243" s="39"/>
      <c r="G243" s="37" t="s">
        <v>1100</v>
      </c>
      <c r="H243" s="34"/>
      <c r="I243" s="34"/>
      <c r="J243" s="34" t="s">
        <v>1099</v>
      </c>
      <c r="K243" s="51" t="b">
        <v>1</v>
      </c>
      <c r="L243" s="40"/>
      <c r="M243" s="37" t="s">
        <v>1099</v>
      </c>
      <c r="N243" s="37" t="s">
        <v>1099</v>
      </c>
      <c r="O243" s="41" t="s">
        <v>1099</v>
      </c>
      <c r="P243" s="40" t="s">
        <v>1099</v>
      </c>
      <c r="Q243" s="37" t="s">
        <v>1099</v>
      </c>
      <c r="R243" s="37" t="s">
        <v>1099</v>
      </c>
      <c r="S243" s="113" t="s">
        <v>1099</v>
      </c>
      <c r="T243" s="56"/>
      <c r="U243" s="56"/>
      <c r="V243" s="56"/>
      <c r="W243" s="114" t="s">
        <v>1099</v>
      </c>
      <c r="X243" s="115"/>
      <c r="Y243" s="115"/>
      <c r="Z243" s="116"/>
      <c r="AA243" s="117" t="s">
        <v>1099</v>
      </c>
      <c r="AB243" s="116"/>
      <c r="AC243" s="56"/>
      <c r="AD243" s="116"/>
      <c r="AE243" s="44" t="s">
        <v>1099</v>
      </c>
      <c r="AF243" s="46" t="str">
        <f t="shared" si="9"/>
        <v/>
      </c>
      <c r="AG243" s="38" t="s">
        <v>1099</v>
      </c>
      <c r="AH243" s="47" t="str">
        <f t="shared" si="10"/>
        <v/>
      </c>
      <c r="AI243" s="32"/>
      <c r="AJ243" s="32"/>
      <c r="AK243" s="32"/>
      <c r="AL243" s="32"/>
      <c r="AM243" s="32" t="s">
        <v>1099</v>
      </c>
      <c r="AN243" s="32"/>
      <c r="AO243" s="32" t="s">
        <v>1099</v>
      </c>
      <c r="AP243" s="32"/>
      <c r="AQ243" s="32"/>
      <c r="AR243" s="32"/>
      <c r="AS243" s="32"/>
      <c r="AT243" s="32"/>
      <c r="AU243" s="32"/>
      <c r="AV243" s="38" t="s">
        <v>1099</v>
      </c>
      <c r="AW243" s="38" t="s">
        <v>1099</v>
      </c>
      <c r="AX243" s="42" t="s">
        <v>106</v>
      </c>
      <c r="AY243" s="62" t="str">
        <f>IF('Cálculo MP'!J244="","",'Cálculo MP'!J244)</f>
        <v/>
      </c>
      <c r="AZ243" s="62" t="str">
        <f>IF('Cálculo MP'!K244="","",'Cálculo MP'!K244)</f>
        <v/>
      </c>
      <c r="BA243" s="62" t="str">
        <f>IF('Cálculo MP'!L244="","",'Cálculo MP'!L244)</f>
        <v/>
      </c>
      <c r="BB243" s="62" t="str">
        <f>IF('Cálculo MP'!M244="","",'Cálculo MP'!M244)</f>
        <v/>
      </c>
      <c r="BC243" s="62" t="str">
        <f>IF('Cálculo MP'!N244="","",'Cálculo MP'!N244)</f>
        <v/>
      </c>
      <c r="BD243" s="62" t="str">
        <f>IF('Cálculo MP'!O244="","",'Cálculo MP'!O244)</f>
        <v/>
      </c>
      <c r="BE243" s="62" t="str">
        <f>IF('Cálculo MP'!P244="","",'Cálculo MP'!P244)</f>
        <v/>
      </c>
      <c r="BF243" s="62" t="str">
        <f>IF('Cálculo MP'!Q244="","",'Cálculo MP'!Q244)</f>
        <v/>
      </c>
      <c r="BG243" s="62" t="str">
        <f>IF('Cálculo MP'!R244="","",'Cálculo MP'!R244)</f>
        <v/>
      </c>
      <c r="BH243" s="32"/>
      <c r="BI243" s="32"/>
      <c r="BJ243" s="32"/>
      <c r="BK243" s="32"/>
      <c r="BL243" s="32"/>
      <c r="BM243" s="32"/>
      <c r="BN243" s="32"/>
      <c r="BO243" s="62" t="str">
        <f t="shared" si="11"/>
        <v/>
      </c>
    </row>
    <row r="244" spans="1:67" ht="19.5" customHeight="1" x14ac:dyDescent="0.2">
      <c r="A244" s="49" t="b">
        <v>0</v>
      </c>
      <c r="B244" s="50" t="b">
        <v>1</v>
      </c>
      <c r="C244" s="51" t="b">
        <v>0</v>
      </c>
      <c r="D244" s="51" t="b">
        <v>0</v>
      </c>
      <c r="E244" s="37"/>
      <c r="F244" s="39"/>
      <c r="G244" s="37" t="s">
        <v>1100</v>
      </c>
      <c r="H244" s="34"/>
      <c r="I244" s="34"/>
      <c r="J244" s="34" t="s">
        <v>1099</v>
      </c>
      <c r="K244" s="51" t="b">
        <v>1</v>
      </c>
      <c r="L244" s="40"/>
      <c r="M244" s="37" t="s">
        <v>1099</v>
      </c>
      <c r="N244" s="37" t="s">
        <v>1099</v>
      </c>
      <c r="O244" s="41" t="s">
        <v>1099</v>
      </c>
      <c r="P244" s="40" t="s">
        <v>1099</v>
      </c>
      <c r="Q244" s="37" t="s">
        <v>1099</v>
      </c>
      <c r="R244" s="37" t="s">
        <v>1099</v>
      </c>
      <c r="S244" s="113" t="s">
        <v>1099</v>
      </c>
      <c r="T244" s="56"/>
      <c r="U244" s="56"/>
      <c r="V244" s="56"/>
      <c r="W244" s="114" t="s">
        <v>1099</v>
      </c>
      <c r="X244" s="115"/>
      <c r="Y244" s="115"/>
      <c r="Z244" s="116"/>
      <c r="AA244" s="117" t="s">
        <v>1099</v>
      </c>
      <c r="AB244" s="116"/>
      <c r="AC244" s="56"/>
      <c r="AD244" s="116"/>
      <c r="AE244" s="44" t="s">
        <v>1099</v>
      </c>
      <c r="AF244" s="46" t="str">
        <f t="shared" si="9"/>
        <v/>
      </c>
      <c r="AG244" s="38" t="s">
        <v>1099</v>
      </c>
      <c r="AH244" s="47" t="str">
        <f t="shared" si="10"/>
        <v/>
      </c>
      <c r="AI244" s="32"/>
      <c r="AJ244" s="32"/>
      <c r="AK244" s="32"/>
      <c r="AL244" s="32"/>
      <c r="AM244" s="32" t="s">
        <v>1099</v>
      </c>
      <c r="AN244" s="32"/>
      <c r="AO244" s="32" t="s">
        <v>1099</v>
      </c>
      <c r="AP244" s="32"/>
      <c r="AQ244" s="32"/>
      <c r="AR244" s="32"/>
      <c r="AS244" s="32"/>
      <c r="AT244" s="32"/>
      <c r="AU244" s="32"/>
      <c r="AV244" s="38" t="s">
        <v>1099</v>
      </c>
      <c r="AW244" s="38" t="s">
        <v>1099</v>
      </c>
      <c r="AX244" s="42" t="s">
        <v>106</v>
      </c>
      <c r="AY244" s="62" t="str">
        <f>IF('Cálculo MP'!J245="","",'Cálculo MP'!J245)</f>
        <v/>
      </c>
      <c r="AZ244" s="62" t="str">
        <f>IF('Cálculo MP'!K245="","",'Cálculo MP'!K245)</f>
        <v/>
      </c>
      <c r="BA244" s="62" t="str">
        <f>IF('Cálculo MP'!L245="","",'Cálculo MP'!L245)</f>
        <v/>
      </c>
      <c r="BB244" s="62" t="str">
        <f>IF('Cálculo MP'!M245="","",'Cálculo MP'!M245)</f>
        <v/>
      </c>
      <c r="BC244" s="62" t="str">
        <f>IF('Cálculo MP'!N245="","",'Cálculo MP'!N245)</f>
        <v/>
      </c>
      <c r="BD244" s="62" t="str">
        <f>IF('Cálculo MP'!O245="","",'Cálculo MP'!O245)</f>
        <v/>
      </c>
      <c r="BE244" s="62" t="str">
        <f>IF('Cálculo MP'!P245="","",'Cálculo MP'!P245)</f>
        <v/>
      </c>
      <c r="BF244" s="62" t="str">
        <f>IF('Cálculo MP'!Q245="","",'Cálculo MP'!Q245)</f>
        <v/>
      </c>
      <c r="BG244" s="62" t="str">
        <f>IF('Cálculo MP'!R245="","",'Cálculo MP'!R245)</f>
        <v/>
      </c>
      <c r="BH244" s="32"/>
      <c r="BI244" s="32"/>
      <c r="BJ244" s="32"/>
      <c r="BK244" s="32"/>
      <c r="BL244" s="32"/>
      <c r="BM244" s="32"/>
      <c r="BN244" s="32"/>
      <c r="BO244" s="62" t="str">
        <f t="shared" si="11"/>
        <v/>
      </c>
    </row>
    <row r="245" spans="1:67" ht="19.5" customHeight="1" x14ac:dyDescent="0.2">
      <c r="A245" s="49" t="b">
        <v>0</v>
      </c>
      <c r="B245" s="50" t="b">
        <v>1</v>
      </c>
      <c r="C245" s="51" t="b">
        <v>0</v>
      </c>
      <c r="D245" s="51" t="b">
        <v>0</v>
      </c>
      <c r="E245" s="37"/>
      <c r="F245" s="39"/>
      <c r="G245" s="37" t="s">
        <v>1100</v>
      </c>
      <c r="H245" s="34"/>
      <c r="I245" s="34"/>
      <c r="J245" s="34" t="s">
        <v>1099</v>
      </c>
      <c r="K245" s="51" t="b">
        <v>1</v>
      </c>
      <c r="L245" s="40"/>
      <c r="M245" s="37" t="s">
        <v>1099</v>
      </c>
      <c r="N245" s="37" t="s">
        <v>1099</v>
      </c>
      <c r="O245" s="41" t="s">
        <v>1099</v>
      </c>
      <c r="P245" s="40" t="s">
        <v>1099</v>
      </c>
      <c r="Q245" s="37" t="s">
        <v>1099</v>
      </c>
      <c r="R245" s="37" t="s">
        <v>1099</v>
      </c>
      <c r="S245" s="113" t="s">
        <v>1099</v>
      </c>
      <c r="T245" s="56"/>
      <c r="U245" s="56"/>
      <c r="V245" s="56"/>
      <c r="W245" s="114" t="s">
        <v>1099</v>
      </c>
      <c r="X245" s="115"/>
      <c r="Y245" s="115"/>
      <c r="Z245" s="116"/>
      <c r="AA245" s="117" t="s">
        <v>1099</v>
      </c>
      <c r="AB245" s="116"/>
      <c r="AC245" s="56"/>
      <c r="AD245" s="116"/>
      <c r="AE245" s="44" t="s">
        <v>1099</v>
      </c>
      <c r="AF245" s="46" t="str">
        <f t="shared" si="9"/>
        <v/>
      </c>
      <c r="AG245" s="38" t="s">
        <v>1099</v>
      </c>
      <c r="AH245" s="47" t="str">
        <f t="shared" si="10"/>
        <v/>
      </c>
      <c r="AI245" s="32"/>
      <c r="AJ245" s="32"/>
      <c r="AK245" s="32"/>
      <c r="AL245" s="32"/>
      <c r="AM245" s="32" t="s">
        <v>1099</v>
      </c>
      <c r="AN245" s="32"/>
      <c r="AO245" s="32" t="s">
        <v>1099</v>
      </c>
      <c r="AP245" s="32"/>
      <c r="AQ245" s="32"/>
      <c r="AR245" s="32"/>
      <c r="AS245" s="32"/>
      <c r="AT245" s="32"/>
      <c r="AU245" s="32"/>
      <c r="AV245" s="38" t="s">
        <v>1099</v>
      </c>
      <c r="AW245" s="38" t="s">
        <v>1099</v>
      </c>
      <c r="AX245" s="42" t="s">
        <v>106</v>
      </c>
      <c r="AY245" s="62" t="str">
        <f>IF('Cálculo MP'!J246="","",'Cálculo MP'!J246)</f>
        <v/>
      </c>
      <c r="AZ245" s="62" t="str">
        <f>IF('Cálculo MP'!K246="","",'Cálculo MP'!K246)</f>
        <v/>
      </c>
      <c r="BA245" s="62" t="str">
        <f>IF('Cálculo MP'!L246="","",'Cálculo MP'!L246)</f>
        <v/>
      </c>
      <c r="BB245" s="62" t="str">
        <f>IF('Cálculo MP'!M246="","",'Cálculo MP'!M246)</f>
        <v/>
      </c>
      <c r="BC245" s="62" t="str">
        <f>IF('Cálculo MP'!N246="","",'Cálculo MP'!N246)</f>
        <v/>
      </c>
      <c r="BD245" s="62" t="str">
        <f>IF('Cálculo MP'!O246="","",'Cálculo MP'!O246)</f>
        <v/>
      </c>
      <c r="BE245" s="62" t="str">
        <f>IF('Cálculo MP'!P246="","",'Cálculo MP'!P246)</f>
        <v/>
      </c>
      <c r="BF245" s="62" t="str">
        <f>IF('Cálculo MP'!Q246="","",'Cálculo MP'!Q246)</f>
        <v/>
      </c>
      <c r="BG245" s="62" t="str">
        <f>IF('Cálculo MP'!R246="","",'Cálculo MP'!R246)</f>
        <v/>
      </c>
      <c r="BH245" s="32"/>
      <c r="BI245" s="32"/>
      <c r="BJ245" s="32"/>
      <c r="BK245" s="32"/>
      <c r="BL245" s="32"/>
      <c r="BM245" s="32"/>
      <c r="BN245" s="32"/>
      <c r="BO245" s="62" t="str">
        <f t="shared" si="11"/>
        <v/>
      </c>
    </row>
    <row r="246" spans="1:67" ht="19.5" customHeight="1" x14ac:dyDescent="0.2">
      <c r="A246" s="49" t="b">
        <v>0</v>
      </c>
      <c r="B246" s="50" t="b">
        <v>1</v>
      </c>
      <c r="C246" s="51" t="b">
        <v>0</v>
      </c>
      <c r="D246" s="51" t="b">
        <v>0</v>
      </c>
      <c r="E246" s="37"/>
      <c r="F246" s="39"/>
      <c r="G246" s="37" t="s">
        <v>1100</v>
      </c>
      <c r="H246" s="34"/>
      <c r="I246" s="34"/>
      <c r="J246" s="34" t="s">
        <v>1099</v>
      </c>
      <c r="K246" s="51" t="b">
        <v>1</v>
      </c>
      <c r="L246" s="40"/>
      <c r="M246" s="37" t="s">
        <v>1099</v>
      </c>
      <c r="N246" s="37" t="s">
        <v>1099</v>
      </c>
      <c r="O246" s="41" t="s">
        <v>1099</v>
      </c>
      <c r="P246" s="40" t="s">
        <v>1099</v>
      </c>
      <c r="Q246" s="37" t="s">
        <v>1099</v>
      </c>
      <c r="R246" s="37" t="s">
        <v>1099</v>
      </c>
      <c r="S246" s="113" t="s">
        <v>1099</v>
      </c>
      <c r="T246" s="56"/>
      <c r="U246" s="56"/>
      <c r="V246" s="56"/>
      <c r="W246" s="114" t="s">
        <v>1099</v>
      </c>
      <c r="X246" s="115"/>
      <c r="Y246" s="115"/>
      <c r="Z246" s="116"/>
      <c r="AA246" s="117" t="s">
        <v>1099</v>
      </c>
      <c r="AB246" s="116"/>
      <c r="AC246" s="56"/>
      <c r="AD246" s="116"/>
      <c r="AE246" s="44" t="s">
        <v>1099</v>
      </c>
      <c r="AF246" s="46" t="str">
        <f t="shared" si="9"/>
        <v/>
      </c>
      <c r="AG246" s="38" t="s">
        <v>1099</v>
      </c>
      <c r="AH246" s="47" t="str">
        <f t="shared" si="10"/>
        <v/>
      </c>
      <c r="AI246" s="32"/>
      <c r="AJ246" s="32"/>
      <c r="AK246" s="32"/>
      <c r="AL246" s="32"/>
      <c r="AM246" s="32" t="s">
        <v>1099</v>
      </c>
      <c r="AN246" s="32"/>
      <c r="AO246" s="32" t="s">
        <v>1099</v>
      </c>
      <c r="AP246" s="32"/>
      <c r="AQ246" s="32"/>
      <c r="AR246" s="32"/>
      <c r="AS246" s="32"/>
      <c r="AT246" s="32"/>
      <c r="AU246" s="32"/>
      <c r="AV246" s="38" t="s">
        <v>1099</v>
      </c>
      <c r="AW246" s="38" t="s">
        <v>1099</v>
      </c>
      <c r="AX246" s="42" t="s">
        <v>106</v>
      </c>
      <c r="AY246" s="62" t="str">
        <f>IF('Cálculo MP'!J247="","",'Cálculo MP'!J247)</f>
        <v/>
      </c>
      <c r="AZ246" s="62" t="str">
        <f>IF('Cálculo MP'!K247="","",'Cálculo MP'!K247)</f>
        <v/>
      </c>
      <c r="BA246" s="62" t="str">
        <f>IF('Cálculo MP'!L247="","",'Cálculo MP'!L247)</f>
        <v/>
      </c>
      <c r="BB246" s="62" t="str">
        <f>IF('Cálculo MP'!M247="","",'Cálculo MP'!M247)</f>
        <v/>
      </c>
      <c r="BC246" s="62" t="str">
        <f>IF('Cálculo MP'!N247="","",'Cálculo MP'!N247)</f>
        <v/>
      </c>
      <c r="BD246" s="62" t="str">
        <f>IF('Cálculo MP'!O247="","",'Cálculo MP'!O247)</f>
        <v/>
      </c>
      <c r="BE246" s="62" t="str">
        <f>IF('Cálculo MP'!P247="","",'Cálculo MP'!P247)</f>
        <v/>
      </c>
      <c r="BF246" s="62" t="str">
        <f>IF('Cálculo MP'!Q247="","",'Cálculo MP'!Q247)</f>
        <v/>
      </c>
      <c r="BG246" s="62" t="str">
        <f>IF('Cálculo MP'!R247="","",'Cálculo MP'!R247)</f>
        <v/>
      </c>
      <c r="BH246" s="32"/>
      <c r="BI246" s="32"/>
      <c r="BJ246" s="32"/>
      <c r="BK246" s="32"/>
      <c r="BL246" s="32"/>
      <c r="BM246" s="32"/>
      <c r="BN246" s="32"/>
      <c r="BO246" s="62" t="str">
        <f t="shared" si="11"/>
        <v/>
      </c>
    </row>
    <row r="247" spans="1:67" ht="19.5" customHeight="1" x14ac:dyDescent="0.2">
      <c r="A247" s="49" t="b">
        <v>0</v>
      </c>
      <c r="B247" s="50" t="b">
        <v>1</v>
      </c>
      <c r="C247" s="51" t="b">
        <v>0</v>
      </c>
      <c r="D247" s="51" t="b">
        <v>0</v>
      </c>
      <c r="E247" s="37"/>
      <c r="F247" s="39"/>
      <c r="G247" s="37" t="s">
        <v>1100</v>
      </c>
      <c r="H247" s="34"/>
      <c r="I247" s="34"/>
      <c r="J247" s="34" t="s">
        <v>1099</v>
      </c>
      <c r="K247" s="51" t="b">
        <v>1</v>
      </c>
      <c r="L247" s="40"/>
      <c r="M247" s="37" t="s">
        <v>1099</v>
      </c>
      <c r="N247" s="37" t="s">
        <v>1099</v>
      </c>
      <c r="O247" s="41" t="s">
        <v>1099</v>
      </c>
      <c r="P247" s="40" t="s">
        <v>1099</v>
      </c>
      <c r="Q247" s="37" t="s">
        <v>1099</v>
      </c>
      <c r="R247" s="37" t="s">
        <v>1099</v>
      </c>
      <c r="S247" s="113" t="s">
        <v>1099</v>
      </c>
      <c r="T247" s="56"/>
      <c r="U247" s="56"/>
      <c r="V247" s="56"/>
      <c r="W247" s="114" t="s">
        <v>1099</v>
      </c>
      <c r="X247" s="115"/>
      <c r="Y247" s="115"/>
      <c r="Z247" s="116"/>
      <c r="AA247" s="117" t="s">
        <v>1099</v>
      </c>
      <c r="AB247" s="116"/>
      <c r="AC247" s="56"/>
      <c r="AD247" s="116"/>
      <c r="AE247" s="44" t="s">
        <v>1099</v>
      </c>
      <c r="AF247" s="46" t="str">
        <f t="shared" si="9"/>
        <v/>
      </c>
      <c r="AG247" s="38" t="s">
        <v>1099</v>
      </c>
      <c r="AH247" s="47" t="str">
        <f t="shared" si="10"/>
        <v/>
      </c>
      <c r="AI247" s="32"/>
      <c r="AJ247" s="32"/>
      <c r="AK247" s="32"/>
      <c r="AL247" s="32"/>
      <c r="AM247" s="32" t="s">
        <v>1099</v>
      </c>
      <c r="AN247" s="32"/>
      <c r="AO247" s="32" t="s">
        <v>1099</v>
      </c>
      <c r="AP247" s="32"/>
      <c r="AQ247" s="32"/>
      <c r="AR247" s="32"/>
      <c r="AS247" s="32"/>
      <c r="AT247" s="32"/>
      <c r="AU247" s="32"/>
      <c r="AV247" s="38" t="s">
        <v>1099</v>
      </c>
      <c r="AW247" s="38" t="s">
        <v>1099</v>
      </c>
      <c r="AX247" s="42" t="s">
        <v>106</v>
      </c>
      <c r="AY247" s="62" t="str">
        <f>IF('Cálculo MP'!J248="","",'Cálculo MP'!J248)</f>
        <v/>
      </c>
      <c r="AZ247" s="62" t="str">
        <f>IF('Cálculo MP'!K248="","",'Cálculo MP'!K248)</f>
        <v/>
      </c>
      <c r="BA247" s="62" t="str">
        <f>IF('Cálculo MP'!L248="","",'Cálculo MP'!L248)</f>
        <v/>
      </c>
      <c r="BB247" s="62" t="str">
        <f>IF('Cálculo MP'!M248="","",'Cálculo MP'!M248)</f>
        <v/>
      </c>
      <c r="BC247" s="62" t="str">
        <f>IF('Cálculo MP'!N248="","",'Cálculo MP'!N248)</f>
        <v/>
      </c>
      <c r="BD247" s="62" t="str">
        <f>IF('Cálculo MP'!O248="","",'Cálculo MP'!O248)</f>
        <v/>
      </c>
      <c r="BE247" s="62" t="str">
        <f>IF('Cálculo MP'!P248="","",'Cálculo MP'!P248)</f>
        <v/>
      </c>
      <c r="BF247" s="62" t="str">
        <f>IF('Cálculo MP'!Q248="","",'Cálculo MP'!Q248)</f>
        <v/>
      </c>
      <c r="BG247" s="62" t="str">
        <f>IF('Cálculo MP'!R248="","",'Cálculo MP'!R248)</f>
        <v/>
      </c>
      <c r="BH247" s="32"/>
      <c r="BI247" s="32"/>
      <c r="BJ247" s="32"/>
      <c r="BK247" s="32"/>
      <c r="BL247" s="32"/>
      <c r="BM247" s="32"/>
      <c r="BN247" s="32"/>
      <c r="BO247" s="62" t="str">
        <f t="shared" si="11"/>
        <v/>
      </c>
    </row>
    <row r="248" spans="1:67" ht="19.5" customHeight="1" x14ac:dyDescent="0.2">
      <c r="A248" s="49" t="b">
        <v>0</v>
      </c>
      <c r="B248" s="50" t="b">
        <v>1</v>
      </c>
      <c r="C248" s="51" t="b">
        <v>0</v>
      </c>
      <c r="D248" s="51" t="b">
        <v>0</v>
      </c>
      <c r="E248" s="37"/>
      <c r="F248" s="39"/>
      <c r="G248" s="37" t="s">
        <v>1100</v>
      </c>
      <c r="H248" s="34"/>
      <c r="I248" s="34"/>
      <c r="J248" s="34" t="s">
        <v>1099</v>
      </c>
      <c r="K248" s="51" t="b">
        <v>1</v>
      </c>
      <c r="L248" s="40"/>
      <c r="M248" s="37" t="s">
        <v>1099</v>
      </c>
      <c r="N248" s="37" t="s">
        <v>1099</v>
      </c>
      <c r="O248" s="41" t="s">
        <v>1099</v>
      </c>
      <c r="P248" s="40" t="s">
        <v>1099</v>
      </c>
      <c r="Q248" s="37" t="s">
        <v>1099</v>
      </c>
      <c r="R248" s="37" t="s">
        <v>1099</v>
      </c>
      <c r="S248" s="113" t="s">
        <v>1099</v>
      </c>
      <c r="T248" s="56"/>
      <c r="U248" s="56"/>
      <c r="V248" s="56"/>
      <c r="W248" s="114" t="s">
        <v>1099</v>
      </c>
      <c r="X248" s="115"/>
      <c r="Y248" s="115"/>
      <c r="Z248" s="116"/>
      <c r="AA248" s="117" t="s">
        <v>1099</v>
      </c>
      <c r="AB248" s="116"/>
      <c r="AC248" s="56"/>
      <c r="AD248" s="116"/>
      <c r="AE248" s="44" t="s">
        <v>1099</v>
      </c>
      <c r="AF248" s="46" t="str">
        <f t="shared" si="9"/>
        <v/>
      </c>
      <c r="AG248" s="38" t="s">
        <v>1099</v>
      </c>
      <c r="AH248" s="47" t="str">
        <f t="shared" si="10"/>
        <v/>
      </c>
      <c r="AI248" s="32"/>
      <c r="AJ248" s="32"/>
      <c r="AK248" s="32"/>
      <c r="AL248" s="32"/>
      <c r="AM248" s="32" t="s">
        <v>1099</v>
      </c>
      <c r="AN248" s="32"/>
      <c r="AO248" s="32" t="s">
        <v>1099</v>
      </c>
      <c r="AP248" s="32"/>
      <c r="AQ248" s="32"/>
      <c r="AR248" s="32"/>
      <c r="AS248" s="32"/>
      <c r="AT248" s="32"/>
      <c r="AU248" s="32"/>
      <c r="AV248" s="38" t="s">
        <v>1099</v>
      </c>
      <c r="AW248" s="38" t="s">
        <v>1099</v>
      </c>
      <c r="AX248" s="42" t="s">
        <v>106</v>
      </c>
      <c r="AY248" s="62" t="str">
        <f>IF('Cálculo MP'!J249="","",'Cálculo MP'!J249)</f>
        <v/>
      </c>
      <c r="AZ248" s="62" t="str">
        <f>IF('Cálculo MP'!K249="","",'Cálculo MP'!K249)</f>
        <v/>
      </c>
      <c r="BA248" s="62" t="str">
        <f>IF('Cálculo MP'!L249="","",'Cálculo MP'!L249)</f>
        <v/>
      </c>
      <c r="BB248" s="62" t="str">
        <f>IF('Cálculo MP'!M249="","",'Cálculo MP'!M249)</f>
        <v/>
      </c>
      <c r="BC248" s="62" t="str">
        <f>IF('Cálculo MP'!N249="","",'Cálculo MP'!N249)</f>
        <v/>
      </c>
      <c r="BD248" s="62" t="str">
        <f>IF('Cálculo MP'!O249="","",'Cálculo MP'!O249)</f>
        <v/>
      </c>
      <c r="BE248" s="62" t="str">
        <f>IF('Cálculo MP'!P249="","",'Cálculo MP'!P249)</f>
        <v/>
      </c>
      <c r="BF248" s="62" t="str">
        <f>IF('Cálculo MP'!Q249="","",'Cálculo MP'!Q249)</f>
        <v/>
      </c>
      <c r="BG248" s="62" t="str">
        <f>IF('Cálculo MP'!R249="","",'Cálculo MP'!R249)</f>
        <v/>
      </c>
      <c r="BH248" s="32"/>
      <c r="BI248" s="32"/>
      <c r="BJ248" s="32"/>
      <c r="BK248" s="32"/>
      <c r="BL248" s="32"/>
      <c r="BM248" s="32"/>
      <c r="BN248" s="32"/>
      <c r="BO248" s="62" t="str">
        <f t="shared" si="11"/>
        <v/>
      </c>
    </row>
    <row r="249" spans="1:67" ht="19.5" customHeight="1" x14ac:dyDescent="0.2">
      <c r="A249" s="49" t="b">
        <v>0</v>
      </c>
      <c r="B249" s="50" t="b">
        <v>1</v>
      </c>
      <c r="C249" s="51" t="b">
        <v>0</v>
      </c>
      <c r="D249" s="51" t="b">
        <v>0</v>
      </c>
      <c r="E249" s="37"/>
      <c r="F249" s="39"/>
      <c r="G249" s="37" t="s">
        <v>1100</v>
      </c>
      <c r="H249" s="34"/>
      <c r="I249" s="34"/>
      <c r="J249" s="34" t="s">
        <v>1099</v>
      </c>
      <c r="K249" s="51" t="b">
        <v>1</v>
      </c>
      <c r="L249" s="40"/>
      <c r="M249" s="37" t="s">
        <v>1099</v>
      </c>
      <c r="N249" s="37" t="s">
        <v>1099</v>
      </c>
      <c r="O249" s="41" t="s">
        <v>1099</v>
      </c>
      <c r="P249" s="40" t="s">
        <v>1099</v>
      </c>
      <c r="Q249" s="37" t="s">
        <v>1099</v>
      </c>
      <c r="R249" s="37" t="s">
        <v>1099</v>
      </c>
      <c r="S249" s="113" t="s">
        <v>1099</v>
      </c>
      <c r="T249" s="56"/>
      <c r="U249" s="56"/>
      <c r="V249" s="56"/>
      <c r="W249" s="114" t="s">
        <v>1099</v>
      </c>
      <c r="X249" s="115"/>
      <c r="Y249" s="115"/>
      <c r="Z249" s="116"/>
      <c r="AA249" s="117" t="s">
        <v>1099</v>
      </c>
      <c r="AB249" s="116"/>
      <c r="AC249" s="56"/>
      <c r="AD249" s="116"/>
      <c r="AE249" s="44" t="s">
        <v>1099</v>
      </c>
      <c r="AF249" s="46" t="str">
        <f t="shared" si="9"/>
        <v/>
      </c>
      <c r="AG249" s="38" t="s">
        <v>1099</v>
      </c>
      <c r="AH249" s="47" t="str">
        <f t="shared" si="10"/>
        <v/>
      </c>
      <c r="AI249" s="32"/>
      <c r="AJ249" s="32"/>
      <c r="AK249" s="32"/>
      <c r="AL249" s="32"/>
      <c r="AM249" s="32" t="s">
        <v>1099</v>
      </c>
      <c r="AN249" s="32"/>
      <c r="AO249" s="32" t="s">
        <v>1099</v>
      </c>
      <c r="AP249" s="32"/>
      <c r="AQ249" s="32"/>
      <c r="AR249" s="32"/>
      <c r="AS249" s="32"/>
      <c r="AT249" s="32"/>
      <c r="AU249" s="32"/>
      <c r="AV249" s="38" t="s">
        <v>1099</v>
      </c>
      <c r="AW249" s="38" t="s">
        <v>1099</v>
      </c>
      <c r="AX249" s="42" t="s">
        <v>106</v>
      </c>
      <c r="AY249" s="62" t="str">
        <f>IF('Cálculo MP'!J250="","",'Cálculo MP'!J250)</f>
        <v/>
      </c>
      <c r="AZ249" s="62" t="str">
        <f>IF('Cálculo MP'!K250="","",'Cálculo MP'!K250)</f>
        <v/>
      </c>
      <c r="BA249" s="62" t="str">
        <f>IF('Cálculo MP'!L250="","",'Cálculo MP'!L250)</f>
        <v/>
      </c>
      <c r="BB249" s="62" t="str">
        <f>IF('Cálculo MP'!M250="","",'Cálculo MP'!M250)</f>
        <v/>
      </c>
      <c r="BC249" s="62" t="str">
        <f>IF('Cálculo MP'!N250="","",'Cálculo MP'!N250)</f>
        <v/>
      </c>
      <c r="BD249" s="62" t="str">
        <f>IF('Cálculo MP'!O250="","",'Cálculo MP'!O250)</f>
        <v/>
      </c>
      <c r="BE249" s="62" t="str">
        <f>IF('Cálculo MP'!P250="","",'Cálculo MP'!P250)</f>
        <v/>
      </c>
      <c r="BF249" s="62" t="str">
        <f>IF('Cálculo MP'!Q250="","",'Cálculo MP'!Q250)</f>
        <v/>
      </c>
      <c r="BG249" s="62" t="str">
        <f>IF('Cálculo MP'!R250="","",'Cálculo MP'!R250)</f>
        <v/>
      </c>
      <c r="BH249" s="32"/>
      <c r="BI249" s="32"/>
      <c r="BJ249" s="32"/>
      <c r="BK249" s="32"/>
      <c r="BL249" s="32"/>
      <c r="BM249" s="32"/>
      <c r="BN249" s="32"/>
      <c r="BO249" s="62" t="str">
        <f t="shared" si="11"/>
        <v/>
      </c>
    </row>
    <row r="250" spans="1:67" ht="19.5" customHeight="1" x14ac:dyDescent="0.2">
      <c r="A250" s="49" t="b">
        <v>0</v>
      </c>
      <c r="B250" s="50" t="b">
        <v>1</v>
      </c>
      <c r="C250" s="51" t="b">
        <v>0</v>
      </c>
      <c r="D250" s="51" t="b">
        <v>0</v>
      </c>
      <c r="E250" s="37"/>
      <c r="F250" s="39"/>
      <c r="G250" s="37" t="s">
        <v>1100</v>
      </c>
      <c r="H250" s="34"/>
      <c r="I250" s="34"/>
      <c r="J250" s="34" t="s">
        <v>1099</v>
      </c>
      <c r="K250" s="51" t="b">
        <v>1</v>
      </c>
      <c r="L250" s="40"/>
      <c r="M250" s="37" t="s">
        <v>1099</v>
      </c>
      <c r="N250" s="37" t="s">
        <v>1099</v>
      </c>
      <c r="O250" s="41" t="s">
        <v>1099</v>
      </c>
      <c r="P250" s="40" t="s">
        <v>1099</v>
      </c>
      <c r="Q250" s="37" t="s">
        <v>1099</v>
      </c>
      <c r="R250" s="37" t="s">
        <v>1099</v>
      </c>
      <c r="S250" s="113" t="s">
        <v>1099</v>
      </c>
      <c r="T250" s="56"/>
      <c r="U250" s="56"/>
      <c r="V250" s="56"/>
      <c r="W250" s="114" t="s">
        <v>1099</v>
      </c>
      <c r="X250" s="115"/>
      <c r="Y250" s="115"/>
      <c r="Z250" s="116"/>
      <c r="AA250" s="117" t="s">
        <v>1099</v>
      </c>
      <c r="AB250" s="116"/>
      <c r="AC250" s="56"/>
      <c r="AD250" s="116"/>
      <c r="AE250" s="44" t="s">
        <v>1099</v>
      </c>
      <c r="AF250" s="46" t="str">
        <f t="shared" si="9"/>
        <v/>
      </c>
      <c r="AG250" s="38" t="s">
        <v>1099</v>
      </c>
      <c r="AH250" s="47" t="str">
        <f t="shared" si="10"/>
        <v/>
      </c>
      <c r="AI250" s="32"/>
      <c r="AJ250" s="32"/>
      <c r="AK250" s="32"/>
      <c r="AL250" s="32"/>
      <c r="AM250" s="32" t="s">
        <v>1099</v>
      </c>
      <c r="AN250" s="32"/>
      <c r="AO250" s="32" t="s">
        <v>1099</v>
      </c>
      <c r="AP250" s="32"/>
      <c r="AQ250" s="32"/>
      <c r="AR250" s="32"/>
      <c r="AS250" s="32"/>
      <c r="AT250" s="32"/>
      <c r="AU250" s="32"/>
      <c r="AV250" s="38" t="s">
        <v>1099</v>
      </c>
      <c r="AW250" s="38" t="s">
        <v>1099</v>
      </c>
      <c r="AX250" s="42" t="s">
        <v>106</v>
      </c>
      <c r="AY250" s="62" t="str">
        <f>IF('Cálculo MP'!J251="","",'Cálculo MP'!J251)</f>
        <v/>
      </c>
      <c r="AZ250" s="62" t="str">
        <f>IF('Cálculo MP'!K251="","",'Cálculo MP'!K251)</f>
        <v/>
      </c>
      <c r="BA250" s="62" t="str">
        <f>IF('Cálculo MP'!L251="","",'Cálculo MP'!L251)</f>
        <v/>
      </c>
      <c r="BB250" s="62" t="str">
        <f>IF('Cálculo MP'!M251="","",'Cálculo MP'!M251)</f>
        <v/>
      </c>
      <c r="BC250" s="62" t="str">
        <f>IF('Cálculo MP'!N251="","",'Cálculo MP'!N251)</f>
        <v/>
      </c>
      <c r="BD250" s="62" t="str">
        <f>IF('Cálculo MP'!O251="","",'Cálculo MP'!O251)</f>
        <v/>
      </c>
      <c r="BE250" s="62" t="str">
        <f>IF('Cálculo MP'!P251="","",'Cálculo MP'!P251)</f>
        <v/>
      </c>
      <c r="BF250" s="62" t="str">
        <f>IF('Cálculo MP'!Q251="","",'Cálculo MP'!Q251)</f>
        <v/>
      </c>
      <c r="BG250" s="62" t="str">
        <f>IF('Cálculo MP'!R251="","",'Cálculo MP'!R251)</f>
        <v/>
      </c>
      <c r="BH250" s="32"/>
      <c r="BI250" s="32"/>
      <c r="BJ250" s="32"/>
      <c r="BK250" s="32"/>
      <c r="BL250" s="32"/>
      <c r="BM250" s="32"/>
      <c r="BN250" s="32"/>
      <c r="BO250" s="62" t="str">
        <f t="shared" si="11"/>
        <v/>
      </c>
    </row>
    <row r="251" spans="1:67" ht="19.5" customHeight="1" x14ac:dyDescent="0.2">
      <c r="A251" s="49" t="b">
        <v>0</v>
      </c>
      <c r="B251" s="50" t="b">
        <v>1</v>
      </c>
      <c r="C251" s="51" t="b">
        <v>0</v>
      </c>
      <c r="D251" s="51" t="b">
        <v>0</v>
      </c>
      <c r="E251" s="37"/>
      <c r="F251" s="39"/>
      <c r="G251" s="37" t="s">
        <v>1100</v>
      </c>
      <c r="H251" s="34"/>
      <c r="I251" s="34"/>
      <c r="J251" s="34" t="s">
        <v>1099</v>
      </c>
      <c r="K251" s="51" t="b">
        <v>1</v>
      </c>
      <c r="L251" s="40"/>
      <c r="M251" s="37" t="s">
        <v>1099</v>
      </c>
      <c r="N251" s="37" t="s">
        <v>1099</v>
      </c>
      <c r="O251" s="41" t="s">
        <v>1099</v>
      </c>
      <c r="P251" s="40" t="s">
        <v>1099</v>
      </c>
      <c r="Q251" s="37" t="s">
        <v>1099</v>
      </c>
      <c r="R251" s="37" t="s">
        <v>1099</v>
      </c>
      <c r="S251" s="113" t="s">
        <v>1099</v>
      </c>
      <c r="T251" s="56"/>
      <c r="U251" s="56"/>
      <c r="V251" s="56"/>
      <c r="W251" s="114" t="s">
        <v>1099</v>
      </c>
      <c r="X251" s="115"/>
      <c r="Y251" s="115"/>
      <c r="Z251" s="116"/>
      <c r="AA251" s="117" t="s">
        <v>1099</v>
      </c>
      <c r="AB251" s="116"/>
      <c r="AC251" s="56"/>
      <c r="AD251" s="116"/>
      <c r="AE251" s="44" t="s">
        <v>1099</v>
      </c>
      <c r="AF251" s="46" t="str">
        <f t="shared" si="9"/>
        <v/>
      </c>
      <c r="AG251" s="38" t="s">
        <v>1099</v>
      </c>
      <c r="AH251" s="47" t="str">
        <f t="shared" si="10"/>
        <v/>
      </c>
      <c r="AI251" s="32"/>
      <c r="AJ251" s="32"/>
      <c r="AK251" s="32"/>
      <c r="AL251" s="32"/>
      <c r="AM251" s="32" t="s">
        <v>1099</v>
      </c>
      <c r="AN251" s="32"/>
      <c r="AO251" s="32" t="s">
        <v>1099</v>
      </c>
      <c r="AP251" s="32"/>
      <c r="AQ251" s="32"/>
      <c r="AR251" s="32"/>
      <c r="AS251" s="32"/>
      <c r="AT251" s="32"/>
      <c r="AU251" s="32"/>
      <c r="AV251" s="38" t="s">
        <v>1099</v>
      </c>
      <c r="AW251" s="38" t="s">
        <v>1099</v>
      </c>
      <c r="AX251" s="42" t="s">
        <v>106</v>
      </c>
      <c r="AY251" s="62" t="str">
        <f>IF('Cálculo MP'!J252="","",'Cálculo MP'!J252)</f>
        <v/>
      </c>
      <c r="AZ251" s="62" t="str">
        <f>IF('Cálculo MP'!K252="","",'Cálculo MP'!K252)</f>
        <v/>
      </c>
      <c r="BA251" s="62" t="str">
        <f>IF('Cálculo MP'!L252="","",'Cálculo MP'!L252)</f>
        <v/>
      </c>
      <c r="BB251" s="62" t="str">
        <f>IF('Cálculo MP'!M252="","",'Cálculo MP'!M252)</f>
        <v/>
      </c>
      <c r="BC251" s="62" t="str">
        <f>IF('Cálculo MP'!N252="","",'Cálculo MP'!N252)</f>
        <v/>
      </c>
      <c r="BD251" s="62" t="str">
        <f>IF('Cálculo MP'!O252="","",'Cálculo MP'!O252)</f>
        <v/>
      </c>
      <c r="BE251" s="62" t="str">
        <f>IF('Cálculo MP'!P252="","",'Cálculo MP'!P252)</f>
        <v/>
      </c>
      <c r="BF251" s="62" t="str">
        <f>IF('Cálculo MP'!Q252="","",'Cálculo MP'!Q252)</f>
        <v/>
      </c>
      <c r="BG251" s="62" t="str">
        <f>IF('Cálculo MP'!R252="","",'Cálculo MP'!R252)</f>
        <v/>
      </c>
      <c r="BH251" s="32"/>
      <c r="BI251" s="32"/>
      <c r="BJ251" s="32"/>
      <c r="BK251" s="32"/>
      <c r="BL251" s="32"/>
      <c r="BM251" s="32"/>
      <c r="BN251" s="32"/>
      <c r="BO251" s="62" t="str">
        <f t="shared" si="11"/>
        <v/>
      </c>
    </row>
    <row r="252" spans="1:67" ht="19.5" customHeight="1" x14ac:dyDescent="0.2">
      <c r="A252" s="49" t="b">
        <v>0</v>
      </c>
      <c r="B252" s="50" t="b">
        <v>1</v>
      </c>
      <c r="C252" s="51" t="b">
        <v>0</v>
      </c>
      <c r="D252" s="51" t="b">
        <v>0</v>
      </c>
      <c r="E252" s="37"/>
      <c r="F252" s="39"/>
      <c r="G252" s="37" t="s">
        <v>1100</v>
      </c>
      <c r="H252" s="34"/>
      <c r="I252" s="34"/>
      <c r="J252" s="34" t="s">
        <v>1099</v>
      </c>
      <c r="K252" s="51" t="b">
        <v>1</v>
      </c>
      <c r="L252" s="40"/>
      <c r="M252" s="37" t="s">
        <v>1099</v>
      </c>
      <c r="N252" s="37" t="s">
        <v>1099</v>
      </c>
      <c r="O252" s="41" t="s">
        <v>1099</v>
      </c>
      <c r="P252" s="40" t="s">
        <v>1099</v>
      </c>
      <c r="Q252" s="37" t="s">
        <v>1099</v>
      </c>
      <c r="R252" s="37" t="s">
        <v>1099</v>
      </c>
      <c r="S252" s="113" t="s">
        <v>1099</v>
      </c>
      <c r="T252" s="56"/>
      <c r="U252" s="56"/>
      <c r="V252" s="56"/>
      <c r="W252" s="114" t="s">
        <v>1099</v>
      </c>
      <c r="X252" s="115"/>
      <c r="Y252" s="115"/>
      <c r="Z252" s="116"/>
      <c r="AA252" s="117" t="s">
        <v>1099</v>
      </c>
      <c r="AB252" s="116"/>
      <c r="AC252" s="56"/>
      <c r="AD252" s="116"/>
      <c r="AE252" s="44" t="s">
        <v>1099</v>
      </c>
      <c r="AF252" s="46" t="str">
        <f t="shared" si="9"/>
        <v/>
      </c>
      <c r="AG252" s="38" t="s">
        <v>1099</v>
      </c>
      <c r="AH252" s="47" t="str">
        <f t="shared" si="10"/>
        <v/>
      </c>
      <c r="AI252" s="32"/>
      <c r="AJ252" s="32"/>
      <c r="AK252" s="32"/>
      <c r="AL252" s="32"/>
      <c r="AM252" s="32" t="s">
        <v>1099</v>
      </c>
      <c r="AN252" s="32"/>
      <c r="AO252" s="32" t="s">
        <v>1099</v>
      </c>
      <c r="AP252" s="32"/>
      <c r="AQ252" s="32"/>
      <c r="AR252" s="32"/>
      <c r="AS252" s="32"/>
      <c r="AT252" s="32"/>
      <c r="AU252" s="32"/>
      <c r="AV252" s="38" t="s">
        <v>1099</v>
      </c>
      <c r="AW252" s="38" t="s">
        <v>1099</v>
      </c>
      <c r="AX252" s="42" t="s">
        <v>106</v>
      </c>
      <c r="AY252" s="62" t="str">
        <f>IF('Cálculo MP'!J253="","",'Cálculo MP'!J253)</f>
        <v/>
      </c>
      <c r="AZ252" s="62" t="str">
        <f>IF('Cálculo MP'!K253="","",'Cálculo MP'!K253)</f>
        <v/>
      </c>
      <c r="BA252" s="62" t="str">
        <f>IF('Cálculo MP'!L253="","",'Cálculo MP'!L253)</f>
        <v/>
      </c>
      <c r="BB252" s="62" t="str">
        <f>IF('Cálculo MP'!M253="","",'Cálculo MP'!M253)</f>
        <v/>
      </c>
      <c r="BC252" s="62" t="str">
        <f>IF('Cálculo MP'!N253="","",'Cálculo MP'!N253)</f>
        <v/>
      </c>
      <c r="BD252" s="62" t="str">
        <f>IF('Cálculo MP'!O253="","",'Cálculo MP'!O253)</f>
        <v/>
      </c>
      <c r="BE252" s="62" t="str">
        <f>IF('Cálculo MP'!P253="","",'Cálculo MP'!P253)</f>
        <v/>
      </c>
      <c r="BF252" s="62" t="str">
        <f>IF('Cálculo MP'!Q253="","",'Cálculo MP'!Q253)</f>
        <v/>
      </c>
      <c r="BG252" s="62" t="str">
        <f>IF('Cálculo MP'!R253="","",'Cálculo MP'!R253)</f>
        <v/>
      </c>
      <c r="BH252" s="32"/>
      <c r="BI252" s="32"/>
      <c r="BJ252" s="32"/>
      <c r="BK252" s="32"/>
      <c r="BL252" s="32"/>
      <c r="BM252" s="32"/>
      <c r="BN252" s="32"/>
      <c r="BO252" s="62" t="str">
        <f t="shared" si="11"/>
        <v/>
      </c>
    </row>
    <row r="253" spans="1:67" ht="19.5" customHeight="1" x14ac:dyDescent="0.2">
      <c r="A253" s="49" t="b">
        <v>0</v>
      </c>
      <c r="B253" s="50" t="b">
        <v>1</v>
      </c>
      <c r="C253" s="51" t="b">
        <v>0</v>
      </c>
      <c r="D253" s="51" t="b">
        <v>0</v>
      </c>
      <c r="E253" s="37"/>
      <c r="F253" s="39"/>
      <c r="G253" s="37" t="s">
        <v>1100</v>
      </c>
      <c r="H253" s="34"/>
      <c r="I253" s="34"/>
      <c r="J253" s="34" t="s">
        <v>1099</v>
      </c>
      <c r="K253" s="51" t="b">
        <v>1</v>
      </c>
      <c r="L253" s="40"/>
      <c r="M253" s="37" t="s">
        <v>1099</v>
      </c>
      <c r="N253" s="37" t="s">
        <v>1099</v>
      </c>
      <c r="O253" s="41" t="s">
        <v>1099</v>
      </c>
      <c r="P253" s="40" t="s">
        <v>1099</v>
      </c>
      <c r="Q253" s="37" t="s">
        <v>1099</v>
      </c>
      <c r="R253" s="37" t="s">
        <v>1099</v>
      </c>
      <c r="S253" s="113" t="s">
        <v>1099</v>
      </c>
      <c r="T253" s="56"/>
      <c r="U253" s="56"/>
      <c r="V253" s="56"/>
      <c r="W253" s="114" t="s">
        <v>1099</v>
      </c>
      <c r="X253" s="115"/>
      <c r="Y253" s="115"/>
      <c r="Z253" s="116"/>
      <c r="AA253" s="117" t="s">
        <v>1099</v>
      </c>
      <c r="AB253" s="116"/>
      <c r="AC253" s="56"/>
      <c r="AD253" s="116"/>
      <c r="AE253" s="44" t="s">
        <v>1099</v>
      </c>
      <c r="AF253" s="46" t="str">
        <f t="shared" si="9"/>
        <v/>
      </c>
      <c r="AG253" s="38" t="s">
        <v>1099</v>
      </c>
      <c r="AH253" s="47" t="str">
        <f t="shared" si="10"/>
        <v/>
      </c>
      <c r="AI253" s="32"/>
      <c r="AJ253" s="32"/>
      <c r="AK253" s="32"/>
      <c r="AL253" s="32"/>
      <c r="AM253" s="32" t="s">
        <v>1099</v>
      </c>
      <c r="AN253" s="32"/>
      <c r="AO253" s="32" t="s">
        <v>1099</v>
      </c>
      <c r="AP253" s="32"/>
      <c r="AQ253" s="32"/>
      <c r="AR253" s="32"/>
      <c r="AS253" s="32"/>
      <c r="AT253" s="32"/>
      <c r="AU253" s="32"/>
      <c r="AV253" s="38" t="s">
        <v>1099</v>
      </c>
      <c r="AW253" s="38" t="s">
        <v>1099</v>
      </c>
      <c r="AX253" s="42" t="s">
        <v>106</v>
      </c>
      <c r="AY253" s="62" t="str">
        <f>IF('Cálculo MP'!J254="","",'Cálculo MP'!J254)</f>
        <v/>
      </c>
      <c r="AZ253" s="62" t="str">
        <f>IF('Cálculo MP'!K254="","",'Cálculo MP'!K254)</f>
        <v/>
      </c>
      <c r="BA253" s="62" t="str">
        <f>IF('Cálculo MP'!L254="","",'Cálculo MP'!L254)</f>
        <v/>
      </c>
      <c r="BB253" s="62" t="str">
        <f>IF('Cálculo MP'!M254="","",'Cálculo MP'!M254)</f>
        <v/>
      </c>
      <c r="BC253" s="62" t="str">
        <f>IF('Cálculo MP'!N254="","",'Cálculo MP'!N254)</f>
        <v/>
      </c>
      <c r="BD253" s="62" t="str">
        <f>IF('Cálculo MP'!O254="","",'Cálculo MP'!O254)</f>
        <v/>
      </c>
      <c r="BE253" s="62" t="str">
        <f>IF('Cálculo MP'!P254="","",'Cálculo MP'!P254)</f>
        <v/>
      </c>
      <c r="BF253" s="62" t="str">
        <f>IF('Cálculo MP'!Q254="","",'Cálculo MP'!Q254)</f>
        <v/>
      </c>
      <c r="BG253" s="62" t="str">
        <f>IF('Cálculo MP'!R254="","",'Cálculo MP'!R254)</f>
        <v/>
      </c>
      <c r="BH253" s="32"/>
      <c r="BI253" s="32"/>
      <c r="BJ253" s="32"/>
      <c r="BK253" s="32"/>
      <c r="BL253" s="32"/>
      <c r="BM253" s="32"/>
      <c r="BN253" s="32"/>
      <c r="BO253" s="62" t="str">
        <f t="shared" si="11"/>
        <v/>
      </c>
    </row>
    <row r="254" spans="1:67" ht="19.5" customHeight="1" x14ac:dyDescent="0.2">
      <c r="A254" s="49" t="b">
        <v>0</v>
      </c>
      <c r="B254" s="50" t="b">
        <v>1</v>
      </c>
      <c r="C254" s="51" t="b">
        <v>0</v>
      </c>
      <c r="D254" s="51" t="b">
        <v>0</v>
      </c>
      <c r="E254" s="37"/>
      <c r="F254" s="39"/>
      <c r="G254" s="37" t="s">
        <v>1100</v>
      </c>
      <c r="H254" s="34"/>
      <c r="I254" s="34"/>
      <c r="J254" s="34" t="s">
        <v>1099</v>
      </c>
      <c r="K254" s="51" t="b">
        <v>1</v>
      </c>
      <c r="L254" s="40"/>
      <c r="M254" s="37" t="s">
        <v>1099</v>
      </c>
      <c r="N254" s="37" t="s">
        <v>1099</v>
      </c>
      <c r="O254" s="41" t="s">
        <v>1099</v>
      </c>
      <c r="P254" s="40" t="s">
        <v>1099</v>
      </c>
      <c r="Q254" s="37" t="s">
        <v>1099</v>
      </c>
      <c r="R254" s="37" t="s">
        <v>1099</v>
      </c>
      <c r="S254" s="113" t="s">
        <v>1099</v>
      </c>
      <c r="T254" s="56"/>
      <c r="U254" s="56"/>
      <c r="V254" s="56"/>
      <c r="W254" s="114" t="s">
        <v>1099</v>
      </c>
      <c r="X254" s="115"/>
      <c r="Y254" s="115"/>
      <c r="Z254" s="116"/>
      <c r="AA254" s="117" t="s">
        <v>1099</v>
      </c>
      <c r="AB254" s="116"/>
      <c r="AC254" s="56"/>
      <c r="AD254" s="116"/>
      <c r="AE254" s="44" t="s">
        <v>1099</v>
      </c>
      <c r="AF254" s="46" t="str">
        <f t="shared" si="9"/>
        <v/>
      </c>
      <c r="AG254" s="38" t="s">
        <v>1099</v>
      </c>
      <c r="AH254" s="47" t="str">
        <f t="shared" si="10"/>
        <v/>
      </c>
      <c r="AI254" s="32"/>
      <c r="AJ254" s="32"/>
      <c r="AK254" s="32"/>
      <c r="AL254" s="32"/>
      <c r="AM254" s="32" t="s">
        <v>1099</v>
      </c>
      <c r="AN254" s="32"/>
      <c r="AO254" s="32" t="s">
        <v>1099</v>
      </c>
      <c r="AP254" s="32"/>
      <c r="AQ254" s="32"/>
      <c r="AR254" s="32"/>
      <c r="AS254" s="32"/>
      <c r="AT254" s="32"/>
      <c r="AU254" s="32"/>
      <c r="AV254" s="38" t="s">
        <v>1099</v>
      </c>
      <c r="AW254" s="38" t="s">
        <v>1099</v>
      </c>
      <c r="AX254" s="42" t="s">
        <v>106</v>
      </c>
      <c r="AY254" s="62" t="str">
        <f>IF('Cálculo MP'!J255="","",'Cálculo MP'!J255)</f>
        <v/>
      </c>
      <c r="AZ254" s="62" t="str">
        <f>IF('Cálculo MP'!K255="","",'Cálculo MP'!K255)</f>
        <v/>
      </c>
      <c r="BA254" s="62" t="str">
        <f>IF('Cálculo MP'!L255="","",'Cálculo MP'!L255)</f>
        <v/>
      </c>
      <c r="BB254" s="62" t="str">
        <f>IF('Cálculo MP'!M255="","",'Cálculo MP'!M255)</f>
        <v/>
      </c>
      <c r="BC254" s="62" t="str">
        <f>IF('Cálculo MP'!N255="","",'Cálculo MP'!N255)</f>
        <v/>
      </c>
      <c r="BD254" s="62" t="str">
        <f>IF('Cálculo MP'!O255="","",'Cálculo MP'!O255)</f>
        <v/>
      </c>
      <c r="BE254" s="62" t="str">
        <f>IF('Cálculo MP'!P255="","",'Cálculo MP'!P255)</f>
        <v/>
      </c>
      <c r="BF254" s="62" t="str">
        <f>IF('Cálculo MP'!Q255="","",'Cálculo MP'!Q255)</f>
        <v/>
      </c>
      <c r="BG254" s="62" t="str">
        <f>IF('Cálculo MP'!R255="","",'Cálculo MP'!R255)</f>
        <v/>
      </c>
      <c r="BH254" s="32"/>
      <c r="BI254" s="32"/>
      <c r="BJ254" s="32"/>
      <c r="BK254" s="32"/>
      <c r="BL254" s="32"/>
      <c r="BM254" s="32"/>
      <c r="BN254" s="32"/>
      <c r="BO254" s="62" t="str">
        <f t="shared" si="11"/>
        <v/>
      </c>
    </row>
    <row r="255" spans="1:67" ht="19.5" customHeight="1" x14ac:dyDescent="0.2">
      <c r="A255" s="49" t="b">
        <v>0</v>
      </c>
      <c r="B255" s="50" t="b">
        <v>1</v>
      </c>
      <c r="C255" s="51" t="b">
        <v>0</v>
      </c>
      <c r="D255" s="51" t="b">
        <v>0</v>
      </c>
      <c r="E255" s="37"/>
      <c r="F255" s="39"/>
      <c r="G255" s="37" t="s">
        <v>1100</v>
      </c>
      <c r="H255" s="34"/>
      <c r="I255" s="34"/>
      <c r="J255" s="34" t="s">
        <v>1099</v>
      </c>
      <c r="K255" s="51" t="b">
        <v>1</v>
      </c>
      <c r="L255" s="40"/>
      <c r="M255" s="37" t="s">
        <v>1099</v>
      </c>
      <c r="N255" s="37" t="s">
        <v>1099</v>
      </c>
      <c r="O255" s="41" t="s">
        <v>1099</v>
      </c>
      <c r="P255" s="40" t="s">
        <v>1099</v>
      </c>
      <c r="Q255" s="37" t="s">
        <v>1099</v>
      </c>
      <c r="R255" s="37" t="s">
        <v>1099</v>
      </c>
      <c r="S255" s="113" t="s">
        <v>1099</v>
      </c>
      <c r="T255" s="56"/>
      <c r="U255" s="56"/>
      <c r="V255" s="56"/>
      <c r="W255" s="114" t="s">
        <v>1099</v>
      </c>
      <c r="X255" s="115"/>
      <c r="Y255" s="115"/>
      <c r="Z255" s="116"/>
      <c r="AA255" s="117" t="s">
        <v>1099</v>
      </c>
      <c r="AB255" s="116"/>
      <c r="AC255" s="56"/>
      <c r="AD255" s="116"/>
      <c r="AE255" s="44" t="s">
        <v>1099</v>
      </c>
      <c r="AF255" s="46" t="str">
        <f t="shared" si="9"/>
        <v/>
      </c>
      <c r="AG255" s="38" t="s">
        <v>1099</v>
      </c>
      <c r="AH255" s="47" t="str">
        <f t="shared" si="10"/>
        <v/>
      </c>
      <c r="AI255" s="32"/>
      <c r="AJ255" s="32"/>
      <c r="AK255" s="32"/>
      <c r="AL255" s="32"/>
      <c r="AM255" s="32" t="s">
        <v>1099</v>
      </c>
      <c r="AN255" s="32"/>
      <c r="AO255" s="32" t="s">
        <v>1099</v>
      </c>
      <c r="AP255" s="32"/>
      <c r="AQ255" s="32"/>
      <c r="AR255" s="32"/>
      <c r="AS255" s="32"/>
      <c r="AT255" s="32"/>
      <c r="AU255" s="32"/>
      <c r="AV255" s="38" t="s">
        <v>1099</v>
      </c>
      <c r="AW255" s="38" t="s">
        <v>1099</v>
      </c>
      <c r="AX255" s="42" t="s">
        <v>106</v>
      </c>
      <c r="AY255" s="62" t="str">
        <f>IF('Cálculo MP'!J256="","",'Cálculo MP'!J256)</f>
        <v/>
      </c>
      <c r="AZ255" s="62" t="str">
        <f>IF('Cálculo MP'!K256="","",'Cálculo MP'!K256)</f>
        <v/>
      </c>
      <c r="BA255" s="62" t="str">
        <f>IF('Cálculo MP'!L256="","",'Cálculo MP'!L256)</f>
        <v/>
      </c>
      <c r="BB255" s="62" t="str">
        <f>IF('Cálculo MP'!M256="","",'Cálculo MP'!M256)</f>
        <v/>
      </c>
      <c r="BC255" s="62" t="str">
        <f>IF('Cálculo MP'!N256="","",'Cálculo MP'!N256)</f>
        <v/>
      </c>
      <c r="BD255" s="62" t="str">
        <f>IF('Cálculo MP'!O256="","",'Cálculo MP'!O256)</f>
        <v/>
      </c>
      <c r="BE255" s="62" t="str">
        <f>IF('Cálculo MP'!P256="","",'Cálculo MP'!P256)</f>
        <v/>
      </c>
      <c r="BF255" s="62" t="str">
        <f>IF('Cálculo MP'!Q256="","",'Cálculo MP'!Q256)</f>
        <v/>
      </c>
      <c r="BG255" s="62" t="str">
        <f>IF('Cálculo MP'!R256="","",'Cálculo MP'!R256)</f>
        <v/>
      </c>
      <c r="BH255" s="32"/>
      <c r="BI255" s="32"/>
      <c r="BJ255" s="32"/>
      <c r="BK255" s="32"/>
      <c r="BL255" s="32"/>
      <c r="BM255" s="32"/>
      <c r="BN255" s="32"/>
      <c r="BO255" s="62" t="str">
        <f t="shared" si="11"/>
        <v/>
      </c>
    </row>
    <row r="256" spans="1:67" ht="19.5" customHeight="1" x14ac:dyDescent="0.2">
      <c r="A256" s="49" t="b">
        <v>0</v>
      </c>
      <c r="B256" s="50" t="b">
        <v>1</v>
      </c>
      <c r="C256" s="51" t="b">
        <v>0</v>
      </c>
      <c r="D256" s="51" t="b">
        <v>0</v>
      </c>
      <c r="E256" s="37"/>
      <c r="F256" s="39"/>
      <c r="G256" s="37" t="s">
        <v>1100</v>
      </c>
      <c r="H256" s="34"/>
      <c r="I256" s="34"/>
      <c r="J256" s="34" t="s">
        <v>1099</v>
      </c>
      <c r="K256" s="51" t="b">
        <v>1</v>
      </c>
      <c r="L256" s="40"/>
      <c r="M256" s="37" t="s">
        <v>1099</v>
      </c>
      <c r="N256" s="37" t="s">
        <v>1099</v>
      </c>
      <c r="O256" s="41" t="s">
        <v>1099</v>
      </c>
      <c r="P256" s="40" t="s">
        <v>1099</v>
      </c>
      <c r="Q256" s="37" t="s">
        <v>1099</v>
      </c>
      <c r="R256" s="37" t="s">
        <v>1099</v>
      </c>
      <c r="S256" s="113" t="s">
        <v>1099</v>
      </c>
      <c r="T256" s="56"/>
      <c r="U256" s="56"/>
      <c r="V256" s="56"/>
      <c r="W256" s="114" t="s">
        <v>1099</v>
      </c>
      <c r="X256" s="115"/>
      <c r="Y256" s="115"/>
      <c r="Z256" s="116"/>
      <c r="AA256" s="117" t="s">
        <v>1099</v>
      </c>
      <c r="AB256" s="116"/>
      <c r="AC256" s="56"/>
      <c r="AD256" s="116"/>
      <c r="AE256" s="44" t="s">
        <v>1099</v>
      </c>
      <c r="AF256" s="46" t="str">
        <f t="shared" si="9"/>
        <v/>
      </c>
      <c r="AG256" s="38" t="s">
        <v>1099</v>
      </c>
      <c r="AH256" s="47" t="str">
        <f t="shared" si="10"/>
        <v/>
      </c>
      <c r="AI256" s="32"/>
      <c r="AJ256" s="32"/>
      <c r="AK256" s="32"/>
      <c r="AL256" s="32"/>
      <c r="AM256" s="32" t="s">
        <v>1099</v>
      </c>
      <c r="AN256" s="32"/>
      <c r="AO256" s="32" t="s">
        <v>1099</v>
      </c>
      <c r="AP256" s="32"/>
      <c r="AQ256" s="32"/>
      <c r="AR256" s="32"/>
      <c r="AS256" s="32"/>
      <c r="AT256" s="32"/>
      <c r="AU256" s="32"/>
      <c r="AV256" s="38" t="s">
        <v>1099</v>
      </c>
      <c r="AW256" s="38" t="s">
        <v>1099</v>
      </c>
      <c r="AX256" s="42" t="s">
        <v>106</v>
      </c>
      <c r="AY256" s="62" t="str">
        <f>IF('Cálculo MP'!J257="","",'Cálculo MP'!J257)</f>
        <v/>
      </c>
      <c r="AZ256" s="62" t="str">
        <f>IF('Cálculo MP'!K257="","",'Cálculo MP'!K257)</f>
        <v/>
      </c>
      <c r="BA256" s="62" t="str">
        <f>IF('Cálculo MP'!L257="","",'Cálculo MP'!L257)</f>
        <v/>
      </c>
      <c r="BB256" s="62" t="str">
        <f>IF('Cálculo MP'!M257="","",'Cálculo MP'!M257)</f>
        <v/>
      </c>
      <c r="BC256" s="62" t="str">
        <f>IF('Cálculo MP'!N257="","",'Cálculo MP'!N257)</f>
        <v/>
      </c>
      <c r="BD256" s="62" t="str">
        <f>IF('Cálculo MP'!O257="","",'Cálculo MP'!O257)</f>
        <v/>
      </c>
      <c r="BE256" s="62" t="str">
        <f>IF('Cálculo MP'!P257="","",'Cálculo MP'!P257)</f>
        <v/>
      </c>
      <c r="BF256" s="62" t="str">
        <f>IF('Cálculo MP'!Q257="","",'Cálculo MP'!Q257)</f>
        <v/>
      </c>
      <c r="BG256" s="62" t="str">
        <f>IF('Cálculo MP'!R257="","",'Cálculo MP'!R257)</f>
        <v/>
      </c>
      <c r="BH256" s="32"/>
      <c r="BI256" s="32"/>
      <c r="BJ256" s="32"/>
      <c r="BK256" s="32"/>
      <c r="BL256" s="32"/>
      <c r="BM256" s="32"/>
      <c r="BN256" s="32"/>
      <c r="BO256" s="62" t="str">
        <f t="shared" si="11"/>
        <v/>
      </c>
    </row>
    <row r="257" spans="1:67" ht="19.5" customHeight="1" x14ac:dyDescent="0.2">
      <c r="A257" s="49" t="b">
        <v>0</v>
      </c>
      <c r="B257" s="50" t="b">
        <v>1</v>
      </c>
      <c r="C257" s="51" t="b">
        <v>0</v>
      </c>
      <c r="D257" s="51" t="b">
        <v>0</v>
      </c>
      <c r="E257" s="37"/>
      <c r="F257" s="39"/>
      <c r="G257" s="37" t="s">
        <v>1100</v>
      </c>
      <c r="H257" s="34"/>
      <c r="I257" s="34"/>
      <c r="J257" s="34" t="s">
        <v>1099</v>
      </c>
      <c r="K257" s="51" t="b">
        <v>1</v>
      </c>
      <c r="L257" s="40"/>
      <c r="M257" s="37" t="s">
        <v>1099</v>
      </c>
      <c r="N257" s="37" t="s">
        <v>1099</v>
      </c>
      <c r="O257" s="41" t="s">
        <v>1099</v>
      </c>
      <c r="P257" s="40" t="s">
        <v>1099</v>
      </c>
      <c r="Q257" s="37" t="s">
        <v>1099</v>
      </c>
      <c r="R257" s="37" t="s">
        <v>1099</v>
      </c>
      <c r="S257" s="113" t="s">
        <v>1099</v>
      </c>
      <c r="T257" s="56"/>
      <c r="U257" s="56"/>
      <c r="V257" s="56"/>
      <c r="W257" s="114" t="s">
        <v>1099</v>
      </c>
      <c r="X257" s="115"/>
      <c r="Y257" s="115"/>
      <c r="Z257" s="116"/>
      <c r="AA257" s="117" t="s">
        <v>1099</v>
      </c>
      <c r="AB257" s="116"/>
      <c r="AC257" s="56"/>
      <c r="AD257" s="116"/>
      <c r="AE257" s="44" t="s">
        <v>1099</v>
      </c>
      <c r="AF257" s="46" t="str">
        <f t="shared" si="9"/>
        <v/>
      </c>
      <c r="AG257" s="38" t="s">
        <v>1099</v>
      </c>
      <c r="AH257" s="47" t="str">
        <f t="shared" si="10"/>
        <v/>
      </c>
      <c r="AI257" s="32"/>
      <c r="AJ257" s="32"/>
      <c r="AK257" s="32"/>
      <c r="AL257" s="32"/>
      <c r="AM257" s="32" t="s">
        <v>1099</v>
      </c>
      <c r="AN257" s="32"/>
      <c r="AO257" s="32" t="s">
        <v>1099</v>
      </c>
      <c r="AP257" s="32"/>
      <c r="AQ257" s="32"/>
      <c r="AR257" s="32"/>
      <c r="AS257" s="32"/>
      <c r="AT257" s="32"/>
      <c r="AU257" s="32"/>
      <c r="AV257" s="38" t="s">
        <v>1099</v>
      </c>
      <c r="AW257" s="38" t="s">
        <v>1099</v>
      </c>
      <c r="AX257" s="42" t="s">
        <v>106</v>
      </c>
      <c r="AY257" s="62" t="str">
        <f>IF('Cálculo MP'!J258="","",'Cálculo MP'!J258)</f>
        <v/>
      </c>
      <c r="AZ257" s="62" t="str">
        <f>IF('Cálculo MP'!K258="","",'Cálculo MP'!K258)</f>
        <v/>
      </c>
      <c r="BA257" s="62" t="str">
        <f>IF('Cálculo MP'!L258="","",'Cálculo MP'!L258)</f>
        <v/>
      </c>
      <c r="BB257" s="62" t="str">
        <f>IF('Cálculo MP'!M258="","",'Cálculo MP'!M258)</f>
        <v/>
      </c>
      <c r="BC257" s="62" t="str">
        <f>IF('Cálculo MP'!N258="","",'Cálculo MP'!N258)</f>
        <v/>
      </c>
      <c r="BD257" s="62" t="str">
        <f>IF('Cálculo MP'!O258="","",'Cálculo MP'!O258)</f>
        <v/>
      </c>
      <c r="BE257" s="62" t="str">
        <f>IF('Cálculo MP'!P258="","",'Cálculo MP'!P258)</f>
        <v/>
      </c>
      <c r="BF257" s="62" t="str">
        <f>IF('Cálculo MP'!Q258="","",'Cálculo MP'!Q258)</f>
        <v/>
      </c>
      <c r="BG257" s="62" t="str">
        <f>IF('Cálculo MP'!R258="","",'Cálculo MP'!R258)</f>
        <v/>
      </c>
      <c r="BH257" s="32"/>
      <c r="BI257" s="32"/>
      <c r="BJ257" s="32"/>
      <c r="BK257" s="32"/>
      <c r="BL257" s="32"/>
      <c r="BM257" s="32"/>
      <c r="BN257" s="32"/>
      <c r="BO257" s="62" t="str">
        <f t="shared" si="11"/>
        <v/>
      </c>
    </row>
    <row r="258" spans="1:67" ht="19.5" customHeight="1" x14ac:dyDescent="0.2">
      <c r="A258" s="49" t="b">
        <v>0</v>
      </c>
      <c r="B258" s="50" t="b">
        <v>1</v>
      </c>
      <c r="C258" s="51" t="b">
        <v>0</v>
      </c>
      <c r="D258" s="51" t="b">
        <v>0</v>
      </c>
      <c r="E258" s="37"/>
      <c r="F258" s="39"/>
      <c r="G258" s="37" t="s">
        <v>1100</v>
      </c>
      <c r="H258" s="34"/>
      <c r="I258" s="34"/>
      <c r="J258" s="34" t="s">
        <v>1099</v>
      </c>
      <c r="K258" s="51" t="b">
        <v>1</v>
      </c>
      <c r="L258" s="40"/>
      <c r="M258" s="37" t="s">
        <v>1099</v>
      </c>
      <c r="N258" s="37" t="s">
        <v>1099</v>
      </c>
      <c r="O258" s="41" t="s">
        <v>1099</v>
      </c>
      <c r="P258" s="40" t="s">
        <v>1099</v>
      </c>
      <c r="Q258" s="37" t="s">
        <v>1099</v>
      </c>
      <c r="R258" s="37" t="s">
        <v>1099</v>
      </c>
      <c r="S258" s="113" t="s">
        <v>1099</v>
      </c>
      <c r="T258" s="56"/>
      <c r="U258" s="56"/>
      <c r="V258" s="56"/>
      <c r="W258" s="114" t="s">
        <v>1099</v>
      </c>
      <c r="X258" s="115"/>
      <c r="Y258" s="115"/>
      <c r="Z258" s="116"/>
      <c r="AA258" s="117" t="s">
        <v>1099</v>
      </c>
      <c r="AB258" s="116"/>
      <c r="AC258" s="56"/>
      <c r="AD258" s="116"/>
      <c r="AE258" s="44" t="s">
        <v>1099</v>
      </c>
      <c r="AF258" s="46" t="str">
        <f t="shared" si="9"/>
        <v/>
      </c>
      <c r="AG258" s="38" t="s">
        <v>1099</v>
      </c>
      <c r="AH258" s="47" t="str">
        <f t="shared" si="10"/>
        <v/>
      </c>
      <c r="AI258" s="32"/>
      <c r="AJ258" s="32"/>
      <c r="AK258" s="32"/>
      <c r="AL258" s="32"/>
      <c r="AM258" s="32" t="s">
        <v>1099</v>
      </c>
      <c r="AN258" s="32"/>
      <c r="AO258" s="32" t="s">
        <v>1099</v>
      </c>
      <c r="AP258" s="32"/>
      <c r="AQ258" s="32"/>
      <c r="AR258" s="32"/>
      <c r="AS258" s="32"/>
      <c r="AT258" s="32"/>
      <c r="AU258" s="32"/>
      <c r="AV258" s="38" t="s">
        <v>1099</v>
      </c>
      <c r="AW258" s="38" t="s">
        <v>1099</v>
      </c>
      <c r="AX258" s="42" t="s">
        <v>106</v>
      </c>
      <c r="AY258" s="62" t="str">
        <f>IF('Cálculo MP'!J259="","",'Cálculo MP'!J259)</f>
        <v/>
      </c>
      <c r="AZ258" s="62" t="str">
        <f>IF('Cálculo MP'!K259="","",'Cálculo MP'!K259)</f>
        <v/>
      </c>
      <c r="BA258" s="62" t="str">
        <f>IF('Cálculo MP'!L259="","",'Cálculo MP'!L259)</f>
        <v/>
      </c>
      <c r="BB258" s="62" t="str">
        <f>IF('Cálculo MP'!M259="","",'Cálculo MP'!M259)</f>
        <v/>
      </c>
      <c r="BC258" s="62" t="str">
        <f>IF('Cálculo MP'!N259="","",'Cálculo MP'!N259)</f>
        <v/>
      </c>
      <c r="BD258" s="62" t="str">
        <f>IF('Cálculo MP'!O259="","",'Cálculo MP'!O259)</f>
        <v/>
      </c>
      <c r="BE258" s="62" t="str">
        <f>IF('Cálculo MP'!P259="","",'Cálculo MP'!P259)</f>
        <v/>
      </c>
      <c r="BF258" s="62" t="str">
        <f>IF('Cálculo MP'!Q259="","",'Cálculo MP'!Q259)</f>
        <v/>
      </c>
      <c r="BG258" s="62" t="str">
        <f>IF('Cálculo MP'!R259="","",'Cálculo MP'!R259)</f>
        <v/>
      </c>
      <c r="BH258" s="32"/>
      <c r="BI258" s="32"/>
      <c r="BJ258" s="32"/>
      <c r="BK258" s="32"/>
      <c r="BL258" s="32"/>
      <c r="BM258" s="32"/>
      <c r="BN258" s="32"/>
      <c r="BO258" s="62" t="str">
        <f t="shared" si="11"/>
        <v/>
      </c>
    </row>
    <row r="259" spans="1:67" ht="19.5" customHeight="1" x14ac:dyDescent="0.2">
      <c r="A259" s="49" t="b">
        <v>0</v>
      </c>
      <c r="B259" s="50" t="b">
        <v>1</v>
      </c>
      <c r="C259" s="51" t="b">
        <v>0</v>
      </c>
      <c r="D259" s="51" t="b">
        <v>0</v>
      </c>
      <c r="E259" s="37"/>
      <c r="F259" s="39"/>
      <c r="G259" s="37" t="s">
        <v>1100</v>
      </c>
      <c r="H259" s="34"/>
      <c r="I259" s="34"/>
      <c r="J259" s="34" t="s">
        <v>1099</v>
      </c>
      <c r="K259" s="51" t="b">
        <v>1</v>
      </c>
      <c r="L259" s="40"/>
      <c r="M259" s="37" t="s">
        <v>1099</v>
      </c>
      <c r="N259" s="37" t="s">
        <v>1099</v>
      </c>
      <c r="O259" s="41" t="s">
        <v>1099</v>
      </c>
      <c r="P259" s="40" t="s">
        <v>1099</v>
      </c>
      <c r="Q259" s="37" t="s">
        <v>1099</v>
      </c>
      <c r="R259" s="37" t="s">
        <v>1099</v>
      </c>
      <c r="S259" s="113" t="s">
        <v>1099</v>
      </c>
      <c r="T259" s="56"/>
      <c r="U259" s="56"/>
      <c r="V259" s="56"/>
      <c r="W259" s="114" t="s">
        <v>1099</v>
      </c>
      <c r="X259" s="115"/>
      <c r="Y259" s="115"/>
      <c r="Z259" s="116"/>
      <c r="AA259" s="117" t="s">
        <v>1099</v>
      </c>
      <c r="AB259" s="116"/>
      <c r="AC259" s="56"/>
      <c r="AD259" s="116"/>
      <c r="AE259" s="44" t="s">
        <v>1099</v>
      </c>
      <c r="AF259" s="46" t="str">
        <f t="shared" si="9"/>
        <v/>
      </c>
      <c r="AG259" s="38" t="s">
        <v>1099</v>
      </c>
      <c r="AH259" s="47" t="str">
        <f t="shared" si="10"/>
        <v/>
      </c>
      <c r="AI259" s="32"/>
      <c r="AJ259" s="32"/>
      <c r="AK259" s="32"/>
      <c r="AL259" s="32"/>
      <c r="AM259" s="32" t="s">
        <v>1099</v>
      </c>
      <c r="AN259" s="32"/>
      <c r="AO259" s="32" t="s">
        <v>1099</v>
      </c>
      <c r="AP259" s="32"/>
      <c r="AQ259" s="32"/>
      <c r="AR259" s="32"/>
      <c r="AS259" s="32"/>
      <c r="AT259" s="32"/>
      <c r="AU259" s="32"/>
      <c r="AV259" s="38" t="s">
        <v>1099</v>
      </c>
      <c r="AW259" s="38" t="s">
        <v>1099</v>
      </c>
      <c r="AX259" s="42" t="s">
        <v>106</v>
      </c>
      <c r="AY259" s="62" t="str">
        <f>IF('Cálculo MP'!J260="","",'Cálculo MP'!J260)</f>
        <v/>
      </c>
      <c r="AZ259" s="62" t="str">
        <f>IF('Cálculo MP'!K260="","",'Cálculo MP'!K260)</f>
        <v/>
      </c>
      <c r="BA259" s="62" t="str">
        <f>IF('Cálculo MP'!L260="","",'Cálculo MP'!L260)</f>
        <v/>
      </c>
      <c r="BB259" s="62" t="str">
        <f>IF('Cálculo MP'!M260="","",'Cálculo MP'!M260)</f>
        <v/>
      </c>
      <c r="BC259" s="62" t="str">
        <f>IF('Cálculo MP'!N260="","",'Cálculo MP'!N260)</f>
        <v/>
      </c>
      <c r="BD259" s="62" t="str">
        <f>IF('Cálculo MP'!O260="","",'Cálculo MP'!O260)</f>
        <v/>
      </c>
      <c r="BE259" s="62" t="str">
        <f>IF('Cálculo MP'!P260="","",'Cálculo MP'!P260)</f>
        <v/>
      </c>
      <c r="BF259" s="62" t="str">
        <f>IF('Cálculo MP'!Q260="","",'Cálculo MP'!Q260)</f>
        <v/>
      </c>
      <c r="BG259" s="62" t="str">
        <f>IF('Cálculo MP'!R260="","",'Cálculo MP'!R260)</f>
        <v/>
      </c>
      <c r="BH259" s="32"/>
      <c r="BI259" s="32"/>
      <c r="BJ259" s="32"/>
      <c r="BK259" s="32"/>
      <c r="BL259" s="32"/>
      <c r="BM259" s="32"/>
      <c r="BN259" s="32"/>
      <c r="BO259" s="62" t="str">
        <f t="shared" si="11"/>
        <v/>
      </c>
    </row>
    <row r="260" spans="1:67" ht="19.5" customHeight="1" x14ac:dyDescent="0.2">
      <c r="A260" s="49" t="b">
        <v>0</v>
      </c>
      <c r="B260" s="50" t="b">
        <v>1</v>
      </c>
      <c r="C260" s="51" t="b">
        <v>0</v>
      </c>
      <c r="D260" s="51" t="b">
        <v>0</v>
      </c>
      <c r="E260" s="37"/>
      <c r="F260" s="39"/>
      <c r="G260" s="37" t="s">
        <v>1100</v>
      </c>
      <c r="H260" s="34"/>
      <c r="I260" s="34"/>
      <c r="J260" s="34" t="s">
        <v>1099</v>
      </c>
      <c r="K260" s="51" t="b">
        <v>1</v>
      </c>
      <c r="L260" s="40"/>
      <c r="M260" s="37" t="s">
        <v>1099</v>
      </c>
      <c r="N260" s="37" t="s">
        <v>1099</v>
      </c>
      <c r="O260" s="41" t="s">
        <v>1099</v>
      </c>
      <c r="P260" s="40" t="s">
        <v>1099</v>
      </c>
      <c r="Q260" s="37" t="s">
        <v>1099</v>
      </c>
      <c r="R260" s="37" t="s">
        <v>1099</v>
      </c>
      <c r="S260" s="113" t="s">
        <v>1099</v>
      </c>
      <c r="T260" s="56"/>
      <c r="U260" s="56"/>
      <c r="V260" s="56"/>
      <c r="W260" s="114" t="s">
        <v>1099</v>
      </c>
      <c r="X260" s="115"/>
      <c r="Y260" s="115"/>
      <c r="Z260" s="116"/>
      <c r="AA260" s="117" t="s">
        <v>1099</v>
      </c>
      <c r="AB260" s="116"/>
      <c r="AC260" s="56"/>
      <c r="AD260" s="116"/>
      <c r="AE260" s="44" t="s">
        <v>1099</v>
      </c>
      <c r="AF260" s="46" t="str">
        <f t="shared" si="9"/>
        <v/>
      </c>
      <c r="AG260" s="38" t="s">
        <v>1099</v>
      </c>
      <c r="AH260" s="47" t="str">
        <f t="shared" si="10"/>
        <v/>
      </c>
      <c r="AI260" s="32"/>
      <c r="AJ260" s="32"/>
      <c r="AK260" s="32"/>
      <c r="AL260" s="32"/>
      <c r="AM260" s="32" t="s">
        <v>1099</v>
      </c>
      <c r="AN260" s="32"/>
      <c r="AO260" s="32" t="s">
        <v>1099</v>
      </c>
      <c r="AP260" s="32"/>
      <c r="AQ260" s="32"/>
      <c r="AR260" s="32"/>
      <c r="AS260" s="32"/>
      <c r="AT260" s="32"/>
      <c r="AU260" s="32"/>
      <c r="AV260" s="38" t="s">
        <v>1099</v>
      </c>
      <c r="AW260" s="38" t="s">
        <v>1099</v>
      </c>
      <c r="AX260" s="42" t="s">
        <v>106</v>
      </c>
      <c r="AY260" s="62" t="str">
        <f>IF('Cálculo MP'!J261="","",'Cálculo MP'!J261)</f>
        <v/>
      </c>
      <c r="AZ260" s="62" t="str">
        <f>IF('Cálculo MP'!K261="","",'Cálculo MP'!K261)</f>
        <v/>
      </c>
      <c r="BA260" s="62" t="str">
        <f>IF('Cálculo MP'!L261="","",'Cálculo MP'!L261)</f>
        <v/>
      </c>
      <c r="BB260" s="62" t="str">
        <f>IF('Cálculo MP'!M261="","",'Cálculo MP'!M261)</f>
        <v/>
      </c>
      <c r="BC260" s="62" t="str">
        <f>IF('Cálculo MP'!N261="","",'Cálculo MP'!N261)</f>
        <v/>
      </c>
      <c r="BD260" s="62" t="str">
        <f>IF('Cálculo MP'!O261="","",'Cálculo MP'!O261)</f>
        <v/>
      </c>
      <c r="BE260" s="62" t="str">
        <f>IF('Cálculo MP'!P261="","",'Cálculo MP'!P261)</f>
        <v/>
      </c>
      <c r="BF260" s="62" t="str">
        <f>IF('Cálculo MP'!Q261="","",'Cálculo MP'!Q261)</f>
        <v/>
      </c>
      <c r="BG260" s="62" t="str">
        <f>IF('Cálculo MP'!R261="","",'Cálculo MP'!R261)</f>
        <v/>
      </c>
      <c r="BH260" s="32"/>
      <c r="BI260" s="32"/>
      <c r="BJ260" s="32"/>
      <c r="BK260" s="32"/>
      <c r="BL260" s="32"/>
      <c r="BM260" s="32"/>
      <c r="BN260" s="32"/>
      <c r="BO260" s="62" t="str">
        <f t="shared" si="11"/>
        <v/>
      </c>
    </row>
    <row r="261" spans="1:67" ht="19.5" customHeight="1" x14ac:dyDescent="0.2">
      <c r="A261" s="49" t="b">
        <v>0</v>
      </c>
      <c r="B261" s="50" t="b">
        <v>1</v>
      </c>
      <c r="C261" s="51" t="b">
        <v>0</v>
      </c>
      <c r="D261" s="51" t="b">
        <v>0</v>
      </c>
      <c r="E261" s="37"/>
      <c r="F261" s="39"/>
      <c r="G261" s="37" t="s">
        <v>1100</v>
      </c>
      <c r="H261" s="34"/>
      <c r="I261" s="34"/>
      <c r="J261" s="34" t="s">
        <v>1099</v>
      </c>
      <c r="K261" s="51" t="b">
        <v>1</v>
      </c>
      <c r="L261" s="40"/>
      <c r="M261" s="37" t="s">
        <v>1099</v>
      </c>
      <c r="N261" s="37" t="s">
        <v>1099</v>
      </c>
      <c r="O261" s="41" t="s">
        <v>1099</v>
      </c>
      <c r="P261" s="40" t="s">
        <v>1099</v>
      </c>
      <c r="Q261" s="37" t="s">
        <v>1099</v>
      </c>
      <c r="R261" s="37" t="s">
        <v>1099</v>
      </c>
      <c r="S261" s="113" t="s">
        <v>1099</v>
      </c>
      <c r="T261" s="56"/>
      <c r="U261" s="56"/>
      <c r="V261" s="56"/>
      <c r="W261" s="114" t="s">
        <v>1099</v>
      </c>
      <c r="X261" s="115"/>
      <c r="Y261" s="115"/>
      <c r="Z261" s="116"/>
      <c r="AA261" s="117" t="s">
        <v>1099</v>
      </c>
      <c r="AB261" s="116"/>
      <c r="AC261" s="56"/>
      <c r="AD261" s="116"/>
      <c r="AE261" s="44" t="s">
        <v>1099</v>
      </c>
      <c r="AF261" s="46" t="str">
        <f t="shared" si="9"/>
        <v/>
      </c>
      <c r="AG261" s="38" t="s">
        <v>1099</v>
      </c>
      <c r="AH261" s="47" t="str">
        <f t="shared" si="10"/>
        <v/>
      </c>
      <c r="AI261" s="32"/>
      <c r="AJ261" s="32"/>
      <c r="AK261" s="32"/>
      <c r="AL261" s="32"/>
      <c r="AM261" s="32" t="s">
        <v>1099</v>
      </c>
      <c r="AN261" s="32"/>
      <c r="AO261" s="32" t="s">
        <v>1099</v>
      </c>
      <c r="AP261" s="32"/>
      <c r="AQ261" s="32"/>
      <c r="AR261" s="32"/>
      <c r="AS261" s="32"/>
      <c r="AT261" s="32"/>
      <c r="AU261" s="32"/>
      <c r="AV261" s="38" t="s">
        <v>1099</v>
      </c>
      <c r="AW261" s="38" t="s">
        <v>1099</v>
      </c>
      <c r="AX261" s="42" t="s">
        <v>106</v>
      </c>
      <c r="AY261" s="62" t="str">
        <f>IF('Cálculo MP'!J262="","",'Cálculo MP'!J262)</f>
        <v/>
      </c>
      <c r="AZ261" s="62" t="str">
        <f>IF('Cálculo MP'!K262="","",'Cálculo MP'!K262)</f>
        <v/>
      </c>
      <c r="BA261" s="62" t="str">
        <f>IF('Cálculo MP'!L262="","",'Cálculo MP'!L262)</f>
        <v/>
      </c>
      <c r="BB261" s="62" t="str">
        <f>IF('Cálculo MP'!M262="","",'Cálculo MP'!M262)</f>
        <v/>
      </c>
      <c r="BC261" s="62" t="str">
        <f>IF('Cálculo MP'!N262="","",'Cálculo MP'!N262)</f>
        <v/>
      </c>
      <c r="BD261" s="62" t="str">
        <f>IF('Cálculo MP'!O262="","",'Cálculo MP'!O262)</f>
        <v/>
      </c>
      <c r="BE261" s="62" t="str">
        <f>IF('Cálculo MP'!P262="","",'Cálculo MP'!P262)</f>
        <v/>
      </c>
      <c r="BF261" s="62" t="str">
        <f>IF('Cálculo MP'!Q262="","",'Cálculo MP'!Q262)</f>
        <v/>
      </c>
      <c r="BG261" s="62" t="str">
        <f>IF('Cálculo MP'!R262="","",'Cálculo MP'!R262)</f>
        <v/>
      </c>
      <c r="BH261" s="32"/>
      <c r="BI261" s="32"/>
      <c r="BJ261" s="32"/>
      <c r="BK261" s="32"/>
      <c r="BL261" s="32"/>
      <c r="BM261" s="32"/>
      <c r="BN261" s="32"/>
      <c r="BO261" s="62" t="str">
        <f t="shared" si="11"/>
        <v/>
      </c>
    </row>
    <row r="262" spans="1:67" ht="19.5" customHeight="1" x14ac:dyDescent="0.2">
      <c r="A262" s="49" t="b">
        <v>0</v>
      </c>
      <c r="B262" s="50" t="b">
        <v>1</v>
      </c>
      <c r="C262" s="51" t="b">
        <v>0</v>
      </c>
      <c r="D262" s="51" t="b">
        <v>0</v>
      </c>
      <c r="E262" s="37"/>
      <c r="F262" s="39"/>
      <c r="G262" s="37" t="s">
        <v>1100</v>
      </c>
      <c r="H262" s="34"/>
      <c r="I262" s="34"/>
      <c r="J262" s="34" t="s">
        <v>1099</v>
      </c>
      <c r="K262" s="51" t="b">
        <v>1</v>
      </c>
      <c r="L262" s="40"/>
      <c r="M262" s="37" t="s">
        <v>1099</v>
      </c>
      <c r="N262" s="37" t="s">
        <v>1099</v>
      </c>
      <c r="O262" s="41" t="s">
        <v>1099</v>
      </c>
      <c r="P262" s="40" t="s">
        <v>1099</v>
      </c>
      <c r="Q262" s="37" t="s">
        <v>1099</v>
      </c>
      <c r="R262" s="37" t="s">
        <v>1099</v>
      </c>
      <c r="S262" s="113" t="s">
        <v>1099</v>
      </c>
      <c r="T262" s="56"/>
      <c r="U262" s="56"/>
      <c r="V262" s="56"/>
      <c r="W262" s="114" t="s">
        <v>1099</v>
      </c>
      <c r="X262" s="115"/>
      <c r="Y262" s="115"/>
      <c r="Z262" s="116"/>
      <c r="AA262" s="117" t="s">
        <v>1099</v>
      </c>
      <c r="AB262" s="116"/>
      <c r="AC262" s="56"/>
      <c r="AD262" s="116"/>
      <c r="AE262" s="44" t="s">
        <v>1099</v>
      </c>
      <c r="AF262" s="46" t="str">
        <f t="shared" si="9"/>
        <v/>
      </c>
      <c r="AG262" s="38" t="s">
        <v>1099</v>
      </c>
      <c r="AH262" s="47" t="str">
        <f t="shared" si="10"/>
        <v/>
      </c>
      <c r="AI262" s="32"/>
      <c r="AJ262" s="32"/>
      <c r="AK262" s="32"/>
      <c r="AL262" s="32"/>
      <c r="AM262" s="32" t="s">
        <v>1099</v>
      </c>
      <c r="AN262" s="32"/>
      <c r="AO262" s="32" t="s">
        <v>1099</v>
      </c>
      <c r="AP262" s="32"/>
      <c r="AQ262" s="32"/>
      <c r="AR262" s="32"/>
      <c r="AS262" s="32"/>
      <c r="AT262" s="32"/>
      <c r="AU262" s="32"/>
      <c r="AV262" s="38" t="s">
        <v>1099</v>
      </c>
      <c r="AW262" s="38" t="s">
        <v>1099</v>
      </c>
      <c r="AX262" s="42" t="s">
        <v>106</v>
      </c>
      <c r="AY262" s="62" t="str">
        <f>IF('Cálculo MP'!J263="","",'Cálculo MP'!J263)</f>
        <v/>
      </c>
      <c r="AZ262" s="62" t="str">
        <f>IF('Cálculo MP'!K263="","",'Cálculo MP'!K263)</f>
        <v/>
      </c>
      <c r="BA262" s="62" t="str">
        <f>IF('Cálculo MP'!L263="","",'Cálculo MP'!L263)</f>
        <v/>
      </c>
      <c r="BB262" s="62" t="str">
        <f>IF('Cálculo MP'!M263="","",'Cálculo MP'!M263)</f>
        <v/>
      </c>
      <c r="BC262" s="62" t="str">
        <f>IF('Cálculo MP'!N263="","",'Cálculo MP'!N263)</f>
        <v/>
      </c>
      <c r="BD262" s="62" t="str">
        <f>IF('Cálculo MP'!O263="","",'Cálculo MP'!O263)</f>
        <v/>
      </c>
      <c r="BE262" s="62" t="str">
        <f>IF('Cálculo MP'!P263="","",'Cálculo MP'!P263)</f>
        <v/>
      </c>
      <c r="BF262" s="62" t="str">
        <f>IF('Cálculo MP'!Q263="","",'Cálculo MP'!Q263)</f>
        <v/>
      </c>
      <c r="BG262" s="62" t="str">
        <f>IF('Cálculo MP'!R263="","",'Cálculo MP'!R263)</f>
        <v/>
      </c>
      <c r="BH262" s="32"/>
      <c r="BI262" s="32"/>
      <c r="BJ262" s="32"/>
      <c r="BK262" s="32"/>
      <c r="BL262" s="32"/>
      <c r="BM262" s="32"/>
      <c r="BN262" s="32"/>
      <c r="BO262" s="62" t="str">
        <f t="shared" si="11"/>
        <v/>
      </c>
    </row>
    <row r="263" spans="1:67" ht="19.5" customHeight="1" x14ac:dyDescent="0.2">
      <c r="A263" s="49" t="b">
        <v>0</v>
      </c>
      <c r="B263" s="50" t="b">
        <v>1</v>
      </c>
      <c r="C263" s="51" t="b">
        <v>0</v>
      </c>
      <c r="D263" s="51" t="b">
        <v>0</v>
      </c>
      <c r="E263" s="37"/>
      <c r="F263" s="39"/>
      <c r="G263" s="37" t="s">
        <v>1100</v>
      </c>
      <c r="H263" s="34"/>
      <c r="I263" s="34"/>
      <c r="J263" s="34" t="s">
        <v>1099</v>
      </c>
      <c r="K263" s="51" t="b">
        <v>1</v>
      </c>
      <c r="L263" s="40"/>
      <c r="M263" s="37" t="s">
        <v>1099</v>
      </c>
      <c r="N263" s="37" t="s">
        <v>1099</v>
      </c>
      <c r="O263" s="41" t="s">
        <v>1099</v>
      </c>
      <c r="P263" s="40" t="s">
        <v>1099</v>
      </c>
      <c r="Q263" s="37" t="s">
        <v>1099</v>
      </c>
      <c r="R263" s="37" t="s">
        <v>1099</v>
      </c>
      <c r="S263" s="113" t="s">
        <v>1099</v>
      </c>
      <c r="T263" s="56"/>
      <c r="U263" s="56"/>
      <c r="V263" s="56"/>
      <c r="W263" s="114" t="s">
        <v>1099</v>
      </c>
      <c r="X263" s="115"/>
      <c r="Y263" s="115"/>
      <c r="Z263" s="116"/>
      <c r="AA263" s="117" t="s">
        <v>1099</v>
      </c>
      <c r="AB263" s="116"/>
      <c r="AC263" s="56"/>
      <c r="AD263" s="116"/>
      <c r="AE263" s="44" t="s">
        <v>1099</v>
      </c>
      <c r="AF263" s="46" t="str">
        <f t="shared" si="9"/>
        <v/>
      </c>
      <c r="AG263" s="38" t="s">
        <v>1099</v>
      </c>
      <c r="AH263" s="47" t="str">
        <f t="shared" si="10"/>
        <v/>
      </c>
      <c r="AI263" s="32"/>
      <c r="AJ263" s="32"/>
      <c r="AK263" s="32"/>
      <c r="AL263" s="32"/>
      <c r="AM263" s="32" t="s">
        <v>1099</v>
      </c>
      <c r="AN263" s="32"/>
      <c r="AO263" s="32" t="s">
        <v>1099</v>
      </c>
      <c r="AP263" s="32"/>
      <c r="AQ263" s="32"/>
      <c r="AR263" s="32"/>
      <c r="AS263" s="32"/>
      <c r="AT263" s="32"/>
      <c r="AU263" s="32"/>
      <c r="AV263" s="38" t="s">
        <v>1099</v>
      </c>
      <c r="AW263" s="38" t="s">
        <v>1099</v>
      </c>
      <c r="AX263" s="42" t="s">
        <v>106</v>
      </c>
      <c r="AY263" s="62" t="str">
        <f>IF('Cálculo MP'!J264="","",'Cálculo MP'!J264)</f>
        <v/>
      </c>
      <c r="AZ263" s="62" t="str">
        <f>IF('Cálculo MP'!K264="","",'Cálculo MP'!K264)</f>
        <v/>
      </c>
      <c r="BA263" s="62" t="str">
        <f>IF('Cálculo MP'!L264="","",'Cálculo MP'!L264)</f>
        <v/>
      </c>
      <c r="BB263" s="62" t="str">
        <f>IF('Cálculo MP'!M264="","",'Cálculo MP'!M264)</f>
        <v/>
      </c>
      <c r="BC263" s="62" t="str">
        <f>IF('Cálculo MP'!N264="","",'Cálculo MP'!N264)</f>
        <v/>
      </c>
      <c r="BD263" s="62" t="str">
        <f>IF('Cálculo MP'!O264="","",'Cálculo MP'!O264)</f>
        <v/>
      </c>
      <c r="BE263" s="62" t="str">
        <f>IF('Cálculo MP'!P264="","",'Cálculo MP'!P264)</f>
        <v/>
      </c>
      <c r="BF263" s="62" t="str">
        <f>IF('Cálculo MP'!Q264="","",'Cálculo MP'!Q264)</f>
        <v/>
      </c>
      <c r="BG263" s="62" t="str">
        <f>IF('Cálculo MP'!R264="","",'Cálculo MP'!R264)</f>
        <v/>
      </c>
      <c r="BH263" s="32"/>
      <c r="BI263" s="32"/>
      <c r="BJ263" s="32"/>
      <c r="BK263" s="32"/>
      <c r="BL263" s="32"/>
      <c r="BM263" s="32"/>
      <c r="BN263" s="32"/>
      <c r="BO263" s="62" t="str">
        <f t="shared" si="11"/>
        <v/>
      </c>
    </row>
    <row r="264" spans="1:67" ht="19.5" customHeight="1" x14ac:dyDescent="0.2">
      <c r="A264" s="49" t="b">
        <v>0</v>
      </c>
      <c r="B264" s="50" t="b">
        <v>1</v>
      </c>
      <c r="C264" s="51" t="b">
        <v>0</v>
      </c>
      <c r="D264" s="51" t="b">
        <v>0</v>
      </c>
      <c r="E264" s="37"/>
      <c r="F264" s="39"/>
      <c r="G264" s="37" t="s">
        <v>1100</v>
      </c>
      <c r="H264" s="34"/>
      <c r="I264" s="34"/>
      <c r="J264" s="34" t="s">
        <v>1099</v>
      </c>
      <c r="K264" s="51" t="b">
        <v>1</v>
      </c>
      <c r="L264" s="40"/>
      <c r="M264" s="37" t="s">
        <v>1099</v>
      </c>
      <c r="N264" s="37" t="s">
        <v>1099</v>
      </c>
      <c r="O264" s="41" t="s">
        <v>1099</v>
      </c>
      <c r="P264" s="40" t="s">
        <v>1099</v>
      </c>
      <c r="Q264" s="37" t="s">
        <v>1099</v>
      </c>
      <c r="R264" s="37" t="s">
        <v>1099</v>
      </c>
      <c r="S264" s="113" t="s">
        <v>1099</v>
      </c>
      <c r="T264" s="56"/>
      <c r="U264" s="56"/>
      <c r="V264" s="56"/>
      <c r="W264" s="114" t="s">
        <v>1099</v>
      </c>
      <c r="X264" s="115"/>
      <c r="Y264" s="115"/>
      <c r="Z264" s="116"/>
      <c r="AA264" s="117" t="s">
        <v>1099</v>
      </c>
      <c r="AB264" s="116"/>
      <c r="AC264" s="56"/>
      <c r="AD264" s="116"/>
      <c r="AE264" s="44" t="s">
        <v>1099</v>
      </c>
      <c r="AF264" s="46" t="str">
        <f t="shared" si="9"/>
        <v/>
      </c>
      <c r="AG264" s="38" t="s">
        <v>1099</v>
      </c>
      <c r="AH264" s="47" t="str">
        <f t="shared" si="10"/>
        <v/>
      </c>
      <c r="AI264" s="32"/>
      <c r="AJ264" s="32"/>
      <c r="AK264" s="32"/>
      <c r="AL264" s="32"/>
      <c r="AM264" s="32" t="s">
        <v>1099</v>
      </c>
      <c r="AN264" s="32"/>
      <c r="AO264" s="32" t="s">
        <v>1099</v>
      </c>
      <c r="AP264" s="32"/>
      <c r="AQ264" s="32"/>
      <c r="AR264" s="32"/>
      <c r="AS264" s="32"/>
      <c r="AT264" s="32"/>
      <c r="AU264" s="32"/>
      <c r="AV264" s="38" t="s">
        <v>1099</v>
      </c>
      <c r="AW264" s="38" t="s">
        <v>1099</v>
      </c>
      <c r="AX264" s="42" t="s">
        <v>106</v>
      </c>
      <c r="AY264" s="62" t="str">
        <f>IF('Cálculo MP'!J265="","",'Cálculo MP'!J265)</f>
        <v/>
      </c>
      <c r="AZ264" s="62" t="str">
        <f>IF('Cálculo MP'!K265="","",'Cálculo MP'!K265)</f>
        <v/>
      </c>
      <c r="BA264" s="62" t="str">
        <f>IF('Cálculo MP'!L265="","",'Cálculo MP'!L265)</f>
        <v/>
      </c>
      <c r="BB264" s="62" t="str">
        <f>IF('Cálculo MP'!M265="","",'Cálculo MP'!M265)</f>
        <v/>
      </c>
      <c r="BC264" s="62" t="str">
        <f>IF('Cálculo MP'!N265="","",'Cálculo MP'!N265)</f>
        <v/>
      </c>
      <c r="BD264" s="62" t="str">
        <f>IF('Cálculo MP'!O265="","",'Cálculo MP'!O265)</f>
        <v/>
      </c>
      <c r="BE264" s="62" t="str">
        <f>IF('Cálculo MP'!P265="","",'Cálculo MP'!P265)</f>
        <v/>
      </c>
      <c r="BF264" s="62" t="str">
        <f>IF('Cálculo MP'!Q265="","",'Cálculo MP'!Q265)</f>
        <v/>
      </c>
      <c r="BG264" s="62" t="str">
        <f>IF('Cálculo MP'!R265="","",'Cálculo MP'!R265)</f>
        <v/>
      </c>
      <c r="BH264" s="32"/>
      <c r="BI264" s="32"/>
      <c r="BJ264" s="32"/>
      <c r="BK264" s="32"/>
      <c r="BL264" s="32"/>
      <c r="BM264" s="32"/>
      <c r="BN264" s="32"/>
      <c r="BO264" s="62" t="str">
        <f t="shared" si="11"/>
        <v/>
      </c>
    </row>
    <row r="265" spans="1:67" ht="19.5" customHeight="1" x14ac:dyDescent="0.2">
      <c r="A265" s="49" t="b">
        <v>0</v>
      </c>
      <c r="B265" s="50" t="b">
        <v>1</v>
      </c>
      <c r="C265" s="51" t="b">
        <v>0</v>
      </c>
      <c r="D265" s="51" t="b">
        <v>0</v>
      </c>
      <c r="E265" s="37"/>
      <c r="F265" s="39"/>
      <c r="G265" s="37" t="s">
        <v>1100</v>
      </c>
      <c r="H265" s="34"/>
      <c r="I265" s="34"/>
      <c r="J265" s="34" t="s">
        <v>1099</v>
      </c>
      <c r="K265" s="51" t="b">
        <v>1</v>
      </c>
      <c r="L265" s="40"/>
      <c r="M265" s="37" t="s">
        <v>1099</v>
      </c>
      <c r="N265" s="37" t="s">
        <v>1099</v>
      </c>
      <c r="O265" s="41" t="s">
        <v>1099</v>
      </c>
      <c r="P265" s="40" t="s">
        <v>1099</v>
      </c>
      <c r="Q265" s="37" t="s">
        <v>1099</v>
      </c>
      <c r="R265" s="37" t="s">
        <v>1099</v>
      </c>
      <c r="S265" s="113" t="s">
        <v>1099</v>
      </c>
      <c r="T265" s="56"/>
      <c r="U265" s="56"/>
      <c r="V265" s="56"/>
      <c r="W265" s="114" t="s">
        <v>1099</v>
      </c>
      <c r="X265" s="115"/>
      <c r="Y265" s="115"/>
      <c r="Z265" s="116"/>
      <c r="AA265" s="117" t="s">
        <v>1099</v>
      </c>
      <c r="AB265" s="116"/>
      <c r="AC265" s="56"/>
      <c r="AD265" s="116"/>
      <c r="AE265" s="44" t="s">
        <v>1099</v>
      </c>
      <c r="AF265" s="46" t="str">
        <f t="shared" si="9"/>
        <v/>
      </c>
      <c r="AG265" s="38" t="s">
        <v>1099</v>
      </c>
      <c r="AH265" s="47" t="str">
        <f t="shared" si="10"/>
        <v/>
      </c>
      <c r="AI265" s="32"/>
      <c r="AJ265" s="32"/>
      <c r="AK265" s="32"/>
      <c r="AL265" s="32"/>
      <c r="AM265" s="32" t="s">
        <v>1099</v>
      </c>
      <c r="AN265" s="32"/>
      <c r="AO265" s="32" t="s">
        <v>1099</v>
      </c>
      <c r="AP265" s="32"/>
      <c r="AQ265" s="32"/>
      <c r="AR265" s="32"/>
      <c r="AS265" s="32"/>
      <c r="AT265" s="32"/>
      <c r="AU265" s="32"/>
      <c r="AV265" s="38" t="s">
        <v>1099</v>
      </c>
      <c r="AW265" s="38" t="s">
        <v>1099</v>
      </c>
      <c r="AX265" s="42" t="s">
        <v>106</v>
      </c>
      <c r="AY265" s="62" t="str">
        <f>IF('Cálculo MP'!J266="","",'Cálculo MP'!J266)</f>
        <v/>
      </c>
      <c r="AZ265" s="62" t="str">
        <f>IF('Cálculo MP'!K266="","",'Cálculo MP'!K266)</f>
        <v/>
      </c>
      <c r="BA265" s="62" t="str">
        <f>IF('Cálculo MP'!L266="","",'Cálculo MP'!L266)</f>
        <v/>
      </c>
      <c r="BB265" s="62" t="str">
        <f>IF('Cálculo MP'!M266="","",'Cálculo MP'!M266)</f>
        <v/>
      </c>
      <c r="BC265" s="62" t="str">
        <f>IF('Cálculo MP'!N266="","",'Cálculo MP'!N266)</f>
        <v/>
      </c>
      <c r="BD265" s="62" t="str">
        <f>IF('Cálculo MP'!O266="","",'Cálculo MP'!O266)</f>
        <v/>
      </c>
      <c r="BE265" s="62" t="str">
        <f>IF('Cálculo MP'!P266="","",'Cálculo MP'!P266)</f>
        <v/>
      </c>
      <c r="BF265" s="62" t="str">
        <f>IF('Cálculo MP'!Q266="","",'Cálculo MP'!Q266)</f>
        <v/>
      </c>
      <c r="BG265" s="62" t="str">
        <f>IF('Cálculo MP'!R266="","",'Cálculo MP'!R266)</f>
        <v/>
      </c>
      <c r="BH265" s="32"/>
      <c r="BI265" s="32"/>
      <c r="BJ265" s="32"/>
      <c r="BK265" s="32"/>
      <c r="BL265" s="32"/>
      <c r="BM265" s="32"/>
      <c r="BN265" s="32"/>
      <c r="BO265" s="62" t="str">
        <f t="shared" si="11"/>
        <v/>
      </c>
    </row>
    <row r="266" spans="1:67" ht="19.5" customHeight="1" x14ac:dyDescent="0.2">
      <c r="A266" s="49" t="b">
        <v>0</v>
      </c>
      <c r="B266" s="50" t="b">
        <v>1</v>
      </c>
      <c r="C266" s="51" t="b">
        <v>0</v>
      </c>
      <c r="D266" s="51" t="b">
        <v>0</v>
      </c>
      <c r="E266" s="37"/>
      <c r="F266" s="39"/>
      <c r="G266" s="37" t="s">
        <v>1100</v>
      </c>
      <c r="H266" s="34"/>
      <c r="I266" s="34"/>
      <c r="J266" s="34" t="s">
        <v>1099</v>
      </c>
      <c r="K266" s="51" t="b">
        <v>1</v>
      </c>
      <c r="L266" s="40"/>
      <c r="M266" s="37" t="s">
        <v>1099</v>
      </c>
      <c r="N266" s="37" t="s">
        <v>1099</v>
      </c>
      <c r="O266" s="41" t="s">
        <v>1099</v>
      </c>
      <c r="P266" s="40" t="s">
        <v>1099</v>
      </c>
      <c r="Q266" s="37" t="s">
        <v>1099</v>
      </c>
      <c r="R266" s="37" t="s">
        <v>1099</v>
      </c>
      <c r="S266" s="113" t="s">
        <v>1099</v>
      </c>
      <c r="T266" s="56"/>
      <c r="U266" s="56"/>
      <c r="V266" s="56"/>
      <c r="W266" s="114" t="s">
        <v>1099</v>
      </c>
      <c r="X266" s="115"/>
      <c r="Y266" s="115"/>
      <c r="Z266" s="116"/>
      <c r="AA266" s="117" t="s">
        <v>1099</v>
      </c>
      <c r="AB266" s="116"/>
      <c r="AC266" s="56"/>
      <c r="AD266" s="116"/>
      <c r="AE266" s="44" t="s">
        <v>1099</v>
      </c>
      <c r="AF266" s="46" t="str">
        <f t="shared" si="9"/>
        <v/>
      </c>
      <c r="AG266" s="38" t="s">
        <v>1099</v>
      </c>
      <c r="AH266" s="47" t="str">
        <f t="shared" si="10"/>
        <v/>
      </c>
      <c r="AI266" s="32"/>
      <c r="AJ266" s="32"/>
      <c r="AK266" s="32"/>
      <c r="AL266" s="32"/>
      <c r="AM266" s="32" t="s">
        <v>1099</v>
      </c>
      <c r="AN266" s="32"/>
      <c r="AO266" s="32" t="s">
        <v>1099</v>
      </c>
      <c r="AP266" s="32"/>
      <c r="AQ266" s="32"/>
      <c r="AR266" s="32"/>
      <c r="AS266" s="32"/>
      <c r="AT266" s="32"/>
      <c r="AU266" s="32"/>
      <c r="AV266" s="38" t="s">
        <v>1099</v>
      </c>
      <c r="AW266" s="38" t="s">
        <v>1099</v>
      </c>
      <c r="AX266" s="42" t="s">
        <v>106</v>
      </c>
      <c r="AY266" s="62" t="str">
        <f>IF('Cálculo MP'!J267="","",'Cálculo MP'!J267)</f>
        <v/>
      </c>
      <c r="AZ266" s="62" t="str">
        <f>IF('Cálculo MP'!K267="","",'Cálculo MP'!K267)</f>
        <v/>
      </c>
      <c r="BA266" s="62" t="str">
        <f>IF('Cálculo MP'!L267="","",'Cálculo MP'!L267)</f>
        <v/>
      </c>
      <c r="BB266" s="62" t="str">
        <f>IF('Cálculo MP'!M267="","",'Cálculo MP'!M267)</f>
        <v/>
      </c>
      <c r="BC266" s="62" t="str">
        <f>IF('Cálculo MP'!N267="","",'Cálculo MP'!N267)</f>
        <v/>
      </c>
      <c r="BD266" s="62" t="str">
        <f>IF('Cálculo MP'!O267="","",'Cálculo MP'!O267)</f>
        <v/>
      </c>
      <c r="BE266" s="62" t="str">
        <f>IF('Cálculo MP'!P267="","",'Cálculo MP'!P267)</f>
        <v/>
      </c>
      <c r="BF266" s="62" t="str">
        <f>IF('Cálculo MP'!Q267="","",'Cálculo MP'!Q267)</f>
        <v/>
      </c>
      <c r="BG266" s="62" t="str">
        <f>IF('Cálculo MP'!R267="","",'Cálculo MP'!R267)</f>
        <v/>
      </c>
      <c r="BH266" s="32"/>
      <c r="BI266" s="32"/>
      <c r="BJ266" s="32"/>
      <c r="BK266" s="32"/>
      <c r="BL266" s="32"/>
      <c r="BM266" s="32"/>
      <c r="BN266" s="32"/>
      <c r="BO266" s="62" t="str">
        <f t="shared" si="11"/>
        <v/>
      </c>
    </row>
    <row r="267" spans="1:67" ht="19.5" customHeight="1" x14ac:dyDescent="0.2">
      <c r="A267" s="49" t="b">
        <v>0</v>
      </c>
      <c r="B267" s="50" t="b">
        <v>1</v>
      </c>
      <c r="C267" s="51" t="b">
        <v>0</v>
      </c>
      <c r="D267" s="51" t="b">
        <v>0</v>
      </c>
      <c r="E267" s="37"/>
      <c r="F267" s="39"/>
      <c r="G267" s="37" t="s">
        <v>1100</v>
      </c>
      <c r="H267" s="34"/>
      <c r="I267" s="34"/>
      <c r="J267" s="34" t="s">
        <v>1099</v>
      </c>
      <c r="K267" s="51" t="b">
        <v>1</v>
      </c>
      <c r="L267" s="40"/>
      <c r="M267" s="37" t="s">
        <v>1099</v>
      </c>
      <c r="N267" s="37" t="s">
        <v>1099</v>
      </c>
      <c r="O267" s="41" t="s">
        <v>1099</v>
      </c>
      <c r="P267" s="40" t="s">
        <v>1099</v>
      </c>
      <c r="Q267" s="37" t="s">
        <v>1099</v>
      </c>
      <c r="R267" s="37" t="s">
        <v>1099</v>
      </c>
      <c r="S267" s="113" t="s">
        <v>1099</v>
      </c>
      <c r="T267" s="56"/>
      <c r="U267" s="56"/>
      <c r="V267" s="56"/>
      <c r="W267" s="114" t="s">
        <v>1099</v>
      </c>
      <c r="X267" s="115"/>
      <c r="Y267" s="115"/>
      <c r="Z267" s="116"/>
      <c r="AA267" s="117" t="s">
        <v>1099</v>
      </c>
      <c r="AB267" s="116"/>
      <c r="AC267" s="56"/>
      <c r="AD267" s="116"/>
      <c r="AE267" s="44" t="s">
        <v>1099</v>
      </c>
      <c r="AF267" s="46" t="str">
        <f t="shared" si="9"/>
        <v/>
      </c>
      <c r="AG267" s="38" t="s">
        <v>1099</v>
      </c>
      <c r="AH267" s="47" t="str">
        <f t="shared" si="10"/>
        <v/>
      </c>
      <c r="AI267" s="32"/>
      <c r="AJ267" s="32"/>
      <c r="AK267" s="32"/>
      <c r="AL267" s="32"/>
      <c r="AM267" s="32" t="s">
        <v>1099</v>
      </c>
      <c r="AN267" s="32"/>
      <c r="AO267" s="32" t="s">
        <v>1099</v>
      </c>
      <c r="AP267" s="32"/>
      <c r="AQ267" s="32"/>
      <c r="AR267" s="32"/>
      <c r="AS267" s="32"/>
      <c r="AT267" s="32"/>
      <c r="AU267" s="32"/>
      <c r="AV267" s="38" t="s">
        <v>1099</v>
      </c>
      <c r="AW267" s="38" t="s">
        <v>1099</v>
      </c>
      <c r="AX267" s="42" t="s">
        <v>106</v>
      </c>
      <c r="AY267" s="62" t="str">
        <f>IF('Cálculo MP'!J268="","",'Cálculo MP'!J268)</f>
        <v/>
      </c>
      <c r="AZ267" s="62" t="str">
        <f>IF('Cálculo MP'!K268="","",'Cálculo MP'!K268)</f>
        <v/>
      </c>
      <c r="BA267" s="62" t="str">
        <f>IF('Cálculo MP'!L268="","",'Cálculo MP'!L268)</f>
        <v/>
      </c>
      <c r="BB267" s="62" t="str">
        <f>IF('Cálculo MP'!M268="","",'Cálculo MP'!M268)</f>
        <v/>
      </c>
      <c r="BC267" s="62" t="str">
        <f>IF('Cálculo MP'!N268="","",'Cálculo MP'!N268)</f>
        <v/>
      </c>
      <c r="BD267" s="62" t="str">
        <f>IF('Cálculo MP'!O268="","",'Cálculo MP'!O268)</f>
        <v/>
      </c>
      <c r="BE267" s="62" t="str">
        <f>IF('Cálculo MP'!P268="","",'Cálculo MP'!P268)</f>
        <v/>
      </c>
      <c r="BF267" s="62" t="str">
        <f>IF('Cálculo MP'!Q268="","",'Cálculo MP'!Q268)</f>
        <v/>
      </c>
      <c r="BG267" s="62" t="str">
        <f>IF('Cálculo MP'!R268="","",'Cálculo MP'!R268)</f>
        <v/>
      </c>
      <c r="BH267" s="32"/>
      <c r="BI267" s="32"/>
      <c r="BJ267" s="32"/>
      <c r="BK267" s="32"/>
      <c r="BL267" s="32"/>
      <c r="BM267" s="32"/>
      <c r="BN267" s="32"/>
      <c r="BO267" s="62" t="str">
        <f t="shared" si="11"/>
        <v/>
      </c>
    </row>
    <row r="268" spans="1:67" ht="19.5" customHeight="1" x14ac:dyDescent="0.2">
      <c r="A268" s="49" t="b">
        <v>0</v>
      </c>
      <c r="B268" s="50" t="b">
        <v>1</v>
      </c>
      <c r="C268" s="51" t="b">
        <v>0</v>
      </c>
      <c r="D268" s="51" t="b">
        <v>0</v>
      </c>
      <c r="E268" s="37"/>
      <c r="F268" s="39"/>
      <c r="G268" s="37" t="s">
        <v>1100</v>
      </c>
      <c r="H268" s="34"/>
      <c r="I268" s="34"/>
      <c r="J268" s="34" t="s">
        <v>1099</v>
      </c>
      <c r="K268" s="51" t="b">
        <v>1</v>
      </c>
      <c r="L268" s="40"/>
      <c r="M268" s="37" t="s">
        <v>1099</v>
      </c>
      <c r="N268" s="37" t="s">
        <v>1099</v>
      </c>
      <c r="O268" s="41" t="s">
        <v>1099</v>
      </c>
      <c r="P268" s="40" t="s">
        <v>1099</v>
      </c>
      <c r="Q268" s="37" t="s">
        <v>1099</v>
      </c>
      <c r="R268" s="37" t="s">
        <v>1099</v>
      </c>
      <c r="S268" s="113" t="s">
        <v>1099</v>
      </c>
      <c r="T268" s="56"/>
      <c r="U268" s="56"/>
      <c r="V268" s="56"/>
      <c r="W268" s="114" t="s">
        <v>1099</v>
      </c>
      <c r="X268" s="115"/>
      <c r="Y268" s="115"/>
      <c r="Z268" s="116"/>
      <c r="AA268" s="117" t="s">
        <v>1099</v>
      </c>
      <c r="AB268" s="116"/>
      <c r="AC268" s="56"/>
      <c r="AD268" s="116"/>
      <c r="AE268" s="44" t="s">
        <v>1099</v>
      </c>
      <c r="AF268" s="46" t="str">
        <f t="shared" si="9"/>
        <v/>
      </c>
      <c r="AG268" s="38" t="s">
        <v>1099</v>
      </c>
      <c r="AH268" s="47" t="str">
        <f t="shared" si="10"/>
        <v/>
      </c>
      <c r="AI268" s="32"/>
      <c r="AJ268" s="32"/>
      <c r="AK268" s="32"/>
      <c r="AL268" s="32"/>
      <c r="AM268" s="32" t="s">
        <v>1099</v>
      </c>
      <c r="AN268" s="32"/>
      <c r="AO268" s="32" t="s">
        <v>1099</v>
      </c>
      <c r="AP268" s="32"/>
      <c r="AQ268" s="32"/>
      <c r="AR268" s="32"/>
      <c r="AS268" s="32"/>
      <c r="AT268" s="32"/>
      <c r="AU268" s="32"/>
      <c r="AV268" s="38" t="s">
        <v>1099</v>
      </c>
      <c r="AW268" s="38" t="s">
        <v>1099</v>
      </c>
      <c r="AX268" s="42" t="s">
        <v>106</v>
      </c>
      <c r="AY268" s="62" t="str">
        <f>IF('Cálculo MP'!J269="","",'Cálculo MP'!J269)</f>
        <v/>
      </c>
      <c r="AZ268" s="62" t="str">
        <f>IF('Cálculo MP'!K269="","",'Cálculo MP'!K269)</f>
        <v/>
      </c>
      <c r="BA268" s="62" t="str">
        <f>IF('Cálculo MP'!L269="","",'Cálculo MP'!L269)</f>
        <v/>
      </c>
      <c r="BB268" s="62" t="str">
        <f>IF('Cálculo MP'!M269="","",'Cálculo MP'!M269)</f>
        <v/>
      </c>
      <c r="BC268" s="62" t="str">
        <f>IF('Cálculo MP'!N269="","",'Cálculo MP'!N269)</f>
        <v/>
      </c>
      <c r="BD268" s="62" t="str">
        <f>IF('Cálculo MP'!O269="","",'Cálculo MP'!O269)</f>
        <v/>
      </c>
      <c r="BE268" s="62" t="str">
        <f>IF('Cálculo MP'!P269="","",'Cálculo MP'!P269)</f>
        <v/>
      </c>
      <c r="BF268" s="62" t="str">
        <f>IF('Cálculo MP'!Q269="","",'Cálculo MP'!Q269)</f>
        <v/>
      </c>
      <c r="BG268" s="62" t="str">
        <f>IF('Cálculo MP'!R269="","",'Cálculo MP'!R269)</f>
        <v/>
      </c>
      <c r="BH268" s="32"/>
      <c r="BI268" s="32"/>
      <c r="BJ268" s="32"/>
      <c r="BK268" s="32"/>
      <c r="BL268" s="32"/>
      <c r="BM268" s="32"/>
      <c r="BN268" s="32"/>
      <c r="BO268" s="62" t="str">
        <f t="shared" si="11"/>
        <v/>
      </c>
    </row>
    <row r="269" spans="1:67" ht="19.5" customHeight="1" x14ac:dyDescent="0.2">
      <c r="A269" s="49" t="b">
        <v>0</v>
      </c>
      <c r="B269" s="50" t="b">
        <v>1</v>
      </c>
      <c r="C269" s="51" t="b">
        <v>0</v>
      </c>
      <c r="D269" s="51" t="b">
        <v>0</v>
      </c>
      <c r="E269" s="37"/>
      <c r="F269" s="39"/>
      <c r="G269" s="37" t="s">
        <v>1100</v>
      </c>
      <c r="H269" s="34"/>
      <c r="I269" s="34"/>
      <c r="J269" s="34" t="s">
        <v>1099</v>
      </c>
      <c r="K269" s="51" t="b">
        <v>1</v>
      </c>
      <c r="L269" s="40"/>
      <c r="M269" s="37" t="s">
        <v>1099</v>
      </c>
      <c r="N269" s="37" t="s">
        <v>1099</v>
      </c>
      <c r="O269" s="41" t="s">
        <v>1099</v>
      </c>
      <c r="P269" s="40" t="s">
        <v>1099</v>
      </c>
      <c r="Q269" s="37" t="s">
        <v>1099</v>
      </c>
      <c r="R269" s="37" t="s">
        <v>1099</v>
      </c>
      <c r="S269" s="113" t="s">
        <v>1099</v>
      </c>
      <c r="T269" s="56"/>
      <c r="U269" s="56"/>
      <c r="V269" s="56"/>
      <c r="W269" s="114" t="s">
        <v>1099</v>
      </c>
      <c r="X269" s="115"/>
      <c r="Y269" s="115"/>
      <c r="Z269" s="116"/>
      <c r="AA269" s="117" t="s">
        <v>1099</v>
      </c>
      <c r="AB269" s="116"/>
      <c r="AC269" s="56"/>
      <c r="AD269" s="116"/>
      <c r="AE269" s="44" t="s">
        <v>1099</v>
      </c>
      <c r="AF269" s="46" t="str">
        <f t="shared" si="9"/>
        <v/>
      </c>
      <c r="AG269" s="38" t="s">
        <v>1099</v>
      </c>
      <c r="AH269" s="47" t="str">
        <f t="shared" si="10"/>
        <v/>
      </c>
      <c r="AI269" s="32"/>
      <c r="AJ269" s="32"/>
      <c r="AK269" s="32"/>
      <c r="AL269" s="32"/>
      <c r="AM269" s="32" t="s">
        <v>1099</v>
      </c>
      <c r="AN269" s="32"/>
      <c r="AO269" s="32" t="s">
        <v>1099</v>
      </c>
      <c r="AP269" s="32"/>
      <c r="AQ269" s="32"/>
      <c r="AR269" s="32"/>
      <c r="AS269" s="32"/>
      <c r="AT269" s="32"/>
      <c r="AU269" s="32"/>
      <c r="AV269" s="38" t="s">
        <v>1099</v>
      </c>
      <c r="AW269" s="38" t="s">
        <v>1099</v>
      </c>
      <c r="AX269" s="42" t="s">
        <v>106</v>
      </c>
      <c r="AY269" s="62" t="str">
        <f>IF('Cálculo MP'!J270="","",'Cálculo MP'!J270)</f>
        <v/>
      </c>
      <c r="AZ269" s="62" t="str">
        <f>IF('Cálculo MP'!K270="","",'Cálculo MP'!K270)</f>
        <v/>
      </c>
      <c r="BA269" s="62" t="str">
        <f>IF('Cálculo MP'!L270="","",'Cálculo MP'!L270)</f>
        <v/>
      </c>
      <c r="BB269" s="62" t="str">
        <f>IF('Cálculo MP'!M270="","",'Cálculo MP'!M270)</f>
        <v/>
      </c>
      <c r="BC269" s="62" t="str">
        <f>IF('Cálculo MP'!N270="","",'Cálculo MP'!N270)</f>
        <v/>
      </c>
      <c r="BD269" s="62" t="str">
        <f>IF('Cálculo MP'!O270="","",'Cálculo MP'!O270)</f>
        <v/>
      </c>
      <c r="BE269" s="62" t="str">
        <f>IF('Cálculo MP'!P270="","",'Cálculo MP'!P270)</f>
        <v/>
      </c>
      <c r="BF269" s="62" t="str">
        <f>IF('Cálculo MP'!Q270="","",'Cálculo MP'!Q270)</f>
        <v/>
      </c>
      <c r="BG269" s="62" t="str">
        <f>IF('Cálculo MP'!R270="","",'Cálculo MP'!R270)</f>
        <v/>
      </c>
      <c r="BH269" s="32"/>
      <c r="BI269" s="32"/>
      <c r="BJ269" s="32"/>
      <c r="BK269" s="32"/>
      <c r="BL269" s="32"/>
      <c r="BM269" s="32"/>
      <c r="BN269" s="32"/>
      <c r="BO269" s="62" t="str">
        <f t="shared" si="11"/>
        <v/>
      </c>
    </row>
    <row r="270" spans="1:67" ht="19.5" customHeight="1" x14ac:dyDescent="0.2">
      <c r="A270" s="49" t="b">
        <v>0</v>
      </c>
      <c r="B270" s="50" t="b">
        <v>1</v>
      </c>
      <c r="C270" s="51" t="b">
        <v>0</v>
      </c>
      <c r="D270" s="51" t="b">
        <v>0</v>
      </c>
      <c r="E270" s="37"/>
      <c r="F270" s="39"/>
      <c r="G270" s="37" t="s">
        <v>1100</v>
      </c>
      <c r="H270" s="34"/>
      <c r="I270" s="34"/>
      <c r="J270" s="34" t="s">
        <v>1099</v>
      </c>
      <c r="K270" s="51" t="b">
        <v>1</v>
      </c>
      <c r="L270" s="40"/>
      <c r="M270" s="37" t="s">
        <v>1099</v>
      </c>
      <c r="N270" s="37" t="s">
        <v>1099</v>
      </c>
      <c r="O270" s="41" t="s">
        <v>1099</v>
      </c>
      <c r="P270" s="40" t="s">
        <v>1099</v>
      </c>
      <c r="Q270" s="37" t="s">
        <v>1099</v>
      </c>
      <c r="R270" s="37" t="s">
        <v>1099</v>
      </c>
      <c r="S270" s="113" t="s">
        <v>1099</v>
      </c>
      <c r="T270" s="56"/>
      <c r="U270" s="56"/>
      <c r="V270" s="56"/>
      <c r="W270" s="114" t="s">
        <v>1099</v>
      </c>
      <c r="X270" s="115"/>
      <c r="Y270" s="115"/>
      <c r="Z270" s="116"/>
      <c r="AA270" s="117" t="s">
        <v>1099</v>
      </c>
      <c r="AB270" s="116"/>
      <c r="AC270" s="56"/>
      <c r="AD270" s="116"/>
      <c r="AE270" s="44" t="s">
        <v>1099</v>
      </c>
      <c r="AF270" s="46" t="str">
        <f t="shared" si="9"/>
        <v/>
      </c>
      <c r="AG270" s="38" t="s">
        <v>1099</v>
      </c>
      <c r="AH270" s="47" t="str">
        <f t="shared" si="10"/>
        <v/>
      </c>
      <c r="AI270" s="32"/>
      <c r="AJ270" s="32"/>
      <c r="AK270" s="32"/>
      <c r="AL270" s="32"/>
      <c r="AM270" s="32" t="s">
        <v>1099</v>
      </c>
      <c r="AN270" s="32"/>
      <c r="AO270" s="32" t="s">
        <v>1099</v>
      </c>
      <c r="AP270" s="32"/>
      <c r="AQ270" s="32"/>
      <c r="AR270" s="32"/>
      <c r="AS270" s="32"/>
      <c r="AT270" s="32"/>
      <c r="AU270" s="32"/>
      <c r="AV270" s="38" t="s">
        <v>1099</v>
      </c>
      <c r="AW270" s="38" t="s">
        <v>1099</v>
      </c>
      <c r="AX270" s="42" t="s">
        <v>106</v>
      </c>
      <c r="AY270" s="62" t="str">
        <f>IF('Cálculo MP'!J271="","",'Cálculo MP'!J271)</f>
        <v/>
      </c>
      <c r="AZ270" s="62" t="str">
        <f>IF('Cálculo MP'!K271="","",'Cálculo MP'!K271)</f>
        <v/>
      </c>
      <c r="BA270" s="62" t="str">
        <f>IF('Cálculo MP'!L271="","",'Cálculo MP'!L271)</f>
        <v/>
      </c>
      <c r="BB270" s="62" t="str">
        <f>IF('Cálculo MP'!M271="","",'Cálculo MP'!M271)</f>
        <v/>
      </c>
      <c r="BC270" s="62" t="str">
        <f>IF('Cálculo MP'!N271="","",'Cálculo MP'!N271)</f>
        <v/>
      </c>
      <c r="BD270" s="62" t="str">
        <f>IF('Cálculo MP'!O271="","",'Cálculo MP'!O271)</f>
        <v/>
      </c>
      <c r="BE270" s="62" t="str">
        <f>IF('Cálculo MP'!P271="","",'Cálculo MP'!P271)</f>
        <v/>
      </c>
      <c r="BF270" s="62" t="str">
        <f>IF('Cálculo MP'!Q271="","",'Cálculo MP'!Q271)</f>
        <v/>
      </c>
      <c r="BG270" s="62" t="str">
        <f>IF('Cálculo MP'!R271="","",'Cálculo MP'!R271)</f>
        <v/>
      </c>
      <c r="BH270" s="32"/>
      <c r="BI270" s="32"/>
      <c r="BJ270" s="32"/>
      <c r="BK270" s="32"/>
      <c r="BL270" s="32"/>
      <c r="BM270" s="32"/>
      <c r="BN270" s="32"/>
      <c r="BO270" s="62" t="str">
        <f t="shared" si="11"/>
        <v/>
      </c>
    </row>
    <row r="271" spans="1:67" ht="19.5" customHeight="1" x14ac:dyDescent="0.2">
      <c r="A271" s="49" t="b">
        <v>0</v>
      </c>
      <c r="B271" s="50" t="b">
        <v>1</v>
      </c>
      <c r="C271" s="51" t="b">
        <v>0</v>
      </c>
      <c r="D271" s="51" t="b">
        <v>0</v>
      </c>
      <c r="E271" s="37"/>
      <c r="F271" s="39"/>
      <c r="G271" s="37" t="s">
        <v>1100</v>
      </c>
      <c r="H271" s="34"/>
      <c r="I271" s="34"/>
      <c r="J271" s="34" t="s">
        <v>1099</v>
      </c>
      <c r="K271" s="51" t="b">
        <v>1</v>
      </c>
      <c r="L271" s="40"/>
      <c r="M271" s="37" t="s">
        <v>1099</v>
      </c>
      <c r="N271" s="37" t="s">
        <v>1099</v>
      </c>
      <c r="O271" s="41" t="s">
        <v>1099</v>
      </c>
      <c r="P271" s="40" t="s">
        <v>1099</v>
      </c>
      <c r="Q271" s="37" t="s">
        <v>1099</v>
      </c>
      <c r="R271" s="37" t="s">
        <v>1099</v>
      </c>
      <c r="S271" s="113" t="s">
        <v>1099</v>
      </c>
      <c r="T271" s="56"/>
      <c r="U271" s="56"/>
      <c r="V271" s="56"/>
      <c r="W271" s="114" t="s">
        <v>1099</v>
      </c>
      <c r="X271" s="115"/>
      <c r="Y271" s="115"/>
      <c r="Z271" s="116"/>
      <c r="AA271" s="117" t="s">
        <v>1099</v>
      </c>
      <c r="AB271" s="116"/>
      <c r="AC271" s="56"/>
      <c r="AD271" s="116"/>
      <c r="AE271" s="44" t="s">
        <v>1099</v>
      </c>
      <c r="AF271" s="46" t="str">
        <f t="shared" si="9"/>
        <v/>
      </c>
      <c r="AG271" s="38" t="s">
        <v>1099</v>
      </c>
      <c r="AH271" s="47" t="str">
        <f t="shared" si="10"/>
        <v/>
      </c>
      <c r="AI271" s="32"/>
      <c r="AJ271" s="32"/>
      <c r="AK271" s="32"/>
      <c r="AL271" s="32"/>
      <c r="AM271" s="32" t="s">
        <v>1099</v>
      </c>
      <c r="AN271" s="32"/>
      <c r="AO271" s="32" t="s">
        <v>1099</v>
      </c>
      <c r="AP271" s="32"/>
      <c r="AQ271" s="32"/>
      <c r="AR271" s="32"/>
      <c r="AS271" s="32"/>
      <c r="AT271" s="32"/>
      <c r="AU271" s="32"/>
      <c r="AV271" s="38" t="s">
        <v>1099</v>
      </c>
      <c r="AW271" s="38" t="s">
        <v>1099</v>
      </c>
      <c r="AX271" s="42" t="s">
        <v>106</v>
      </c>
      <c r="AY271" s="62" t="str">
        <f>IF('Cálculo MP'!J272="","",'Cálculo MP'!J272)</f>
        <v/>
      </c>
      <c r="AZ271" s="62" t="str">
        <f>IF('Cálculo MP'!K272="","",'Cálculo MP'!K272)</f>
        <v/>
      </c>
      <c r="BA271" s="62" t="str">
        <f>IF('Cálculo MP'!L272="","",'Cálculo MP'!L272)</f>
        <v/>
      </c>
      <c r="BB271" s="62" t="str">
        <f>IF('Cálculo MP'!M272="","",'Cálculo MP'!M272)</f>
        <v/>
      </c>
      <c r="BC271" s="62" t="str">
        <f>IF('Cálculo MP'!N272="","",'Cálculo MP'!N272)</f>
        <v/>
      </c>
      <c r="BD271" s="62" t="str">
        <f>IF('Cálculo MP'!O272="","",'Cálculo MP'!O272)</f>
        <v/>
      </c>
      <c r="BE271" s="62" t="str">
        <f>IF('Cálculo MP'!P272="","",'Cálculo MP'!P272)</f>
        <v/>
      </c>
      <c r="BF271" s="62" t="str">
        <f>IF('Cálculo MP'!Q272="","",'Cálculo MP'!Q272)</f>
        <v/>
      </c>
      <c r="BG271" s="62" t="str">
        <f>IF('Cálculo MP'!R272="","",'Cálculo MP'!R272)</f>
        <v/>
      </c>
      <c r="BH271" s="32"/>
      <c r="BI271" s="32"/>
      <c r="BJ271" s="32"/>
      <c r="BK271" s="32"/>
      <c r="BL271" s="32"/>
      <c r="BM271" s="32"/>
      <c r="BN271" s="32"/>
      <c r="BO271" s="62" t="str">
        <f t="shared" si="11"/>
        <v/>
      </c>
    </row>
    <row r="272" spans="1:67" ht="19.5" customHeight="1" x14ac:dyDescent="0.2">
      <c r="A272" s="49" t="b">
        <v>0</v>
      </c>
      <c r="B272" s="50" t="b">
        <v>1</v>
      </c>
      <c r="C272" s="51" t="b">
        <v>0</v>
      </c>
      <c r="D272" s="51" t="b">
        <v>0</v>
      </c>
      <c r="E272" s="37"/>
      <c r="F272" s="39"/>
      <c r="G272" s="37" t="s">
        <v>1100</v>
      </c>
      <c r="H272" s="34"/>
      <c r="I272" s="34"/>
      <c r="J272" s="34" t="s">
        <v>1099</v>
      </c>
      <c r="K272" s="51" t="b">
        <v>1</v>
      </c>
      <c r="L272" s="40"/>
      <c r="M272" s="37" t="s">
        <v>1099</v>
      </c>
      <c r="N272" s="37" t="s">
        <v>1099</v>
      </c>
      <c r="O272" s="41" t="s">
        <v>1099</v>
      </c>
      <c r="P272" s="40" t="s">
        <v>1099</v>
      </c>
      <c r="Q272" s="37" t="s">
        <v>1099</v>
      </c>
      <c r="R272" s="37" t="s">
        <v>1099</v>
      </c>
      <c r="S272" s="113" t="s">
        <v>1099</v>
      </c>
      <c r="T272" s="56"/>
      <c r="U272" s="56"/>
      <c r="V272" s="56"/>
      <c r="W272" s="114" t="s">
        <v>1099</v>
      </c>
      <c r="X272" s="115"/>
      <c r="Y272" s="115"/>
      <c r="Z272" s="116"/>
      <c r="AA272" s="117" t="s">
        <v>1099</v>
      </c>
      <c r="AB272" s="116"/>
      <c r="AC272" s="56"/>
      <c r="AD272" s="116"/>
      <c r="AE272" s="44" t="s">
        <v>1099</v>
      </c>
      <c r="AF272" s="46" t="str">
        <f t="shared" si="9"/>
        <v/>
      </c>
      <c r="AG272" s="38" t="s">
        <v>1099</v>
      </c>
      <c r="AH272" s="47" t="str">
        <f t="shared" si="10"/>
        <v/>
      </c>
      <c r="AI272" s="32"/>
      <c r="AJ272" s="32"/>
      <c r="AK272" s="32"/>
      <c r="AL272" s="32"/>
      <c r="AM272" s="32" t="s">
        <v>1099</v>
      </c>
      <c r="AN272" s="32"/>
      <c r="AO272" s="32" t="s">
        <v>1099</v>
      </c>
      <c r="AP272" s="32"/>
      <c r="AQ272" s="32"/>
      <c r="AR272" s="32"/>
      <c r="AS272" s="32"/>
      <c r="AT272" s="32"/>
      <c r="AU272" s="32"/>
      <c r="AV272" s="38" t="s">
        <v>1099</v>
      </c>
      <c r="AW272" s="38" t="s">
        <v>1099</v>
      </c>
      <c r="AX272" s="42" t="s">
        <v>106</v>
      </c>
      <c r="AY272" s="62" t="str">
        <f>IF('Cálculo MP'!J273="","",'Cálculo MP'!J273)</f>
        <v/>
      </c>
      <c r="AZ272" s="62" t="str">
        <f>IF('Cálculo MP'!K273="","",'Cálculo MP'!K273)</f>
        <v/>
      </c>
      <c r="BA272" s="62" t="str">
        <f>IF('Cálculo MP'!L273="","",'Cálculo MP'!L273)</f>
        <v/>
      </c>
      <c r="BB272" s="62" t="str">
        <f>IF('Cálculo MP'!M273="","",'Cálculo MP'!M273)</f>
        <v/>
      </c>
      <c r="BC272" s="62" t="str">
        <f>IF('Cálculo MP'!N273="","",'Cálculo MP'!N273)</f>
        <v/>
      </c>
      <c r="BD272" s="62" t="str">
        <f>IF('Cálculo MP'!O273="","",'Cálculo MP'!O273)</f>
        <v/>
      </c>
      <c r="BE272" s="62" t="str">
        <f>IF('Cálculo MP'!P273="","",'Cálculo MP'!P273)</f>
        <v/>
      </c>
      <c r="BF272" s="62" t="str">
        <f>IF('Cálculo MP'!Q273="","",'Cálculo MP'!Q273)</f>
        <v/>
      </c>
      <c r="BG272" s="62" t="str">
        <f>IF('Cálculo MP'!R273="","",'Cálculo MP'!R273)</f>
        <v/>
      </c>
      <c r="BH272" s="32"/>
      <c r="BI272" s="32"/>
      <c r="BJ272" s="32"/>
      <c r="BK272" s="32"/>
      <c r="BL272" s="32"/>
      <c r="BM272" s="32"/>
      <c r="BN272" s="32"/>
      <c r="BO272" s="62" t="str">
        <f t="shared" si="11"/>
        <v/>
      </c>
    </row>
    <row r="273" spans="1:67" ht="19.5" customHeight="1" x14ac:dyDescent="0.2">
      <c r="A273" s="49" t="b">
        <v>0</v>
      </c>
      <c r="B273" s="50" t="b">
        <v>1</v>
      </c>
      <c r="C273" s="51" t="b">
        <v>0</v>
      </c>
      <c r="D273" s="51" t="b">
        <v>0</v>
      </c>
      <c r="E273" s="37"/>
      <c r="F273" s="39"/>
      <c r="G273" s="37" t="s">
        <v>1100</v>
      </c>
      <c r="H273" s="34"/>
      <c r="I273" s="34"/>
      <c r="J273" s="34" t="s">
        <v>1099</v>
      </c>
      <c r="K273" s="51" t="b">
        <v>1</v>
      </c>
      <c r="L273" s="40"/>
      <c r="M273" s="37" t="s">
        <v>1099</v>
      </c>
      <c r="N273" s="37" t="s">
        <v>1099</v>
      </c>
      <c r="O273" s="41" t="s">
        <v>1099</v>
      </c>
      <c r="P273" s="40" t="s">
        <v>1099</v>
      </c>
      <c r="Q273" s="37" t="s">
        <v>1099</v>
      </c>
      <c r="R273" s="37" t="s">
        <v>1099</v>
      </c>
      <c r="S273" s="113" t="s">
        <v>1099</v>
      </c>
      <c r="T273" s="56"/>
      <c r="U273" s="56"/>
      <c r="V273" s="56"/>
      <c r="W273" s="114" t="s">
        <v>1099</v>
      </c>
      <c r="X273" s="115"/>
      <c r="Y273" s="115"/>
      <c r="Z273" s="116"/>
      <c r="AA273" s="117" t="s">
        <v>1099</v>
      </c>
      <c r="AB273" s="116"/>
      <c r="AC273" s="56"/>
      <c r="AD273" s="116"/>
      <c r="AE273" s="44" t="s">
        <v>1099</v>
      </c>
      <c r="AF273" s="46" t="str">
        <f t="shared" si="9"/>
        <v/>
      </c>
      <c r="AG273" s="38" t="s">
        <v>1099</v>
      </c>
      <c r="AH273" s="47" t="str">
        <f t="shared" si="10"/>
        <v/>
      </c>
      <c r="AI273" s="32"/>
      <c r="AJ273" s="32"/>
      <c r="AK273" s="32"/>
      <c r="AL273" s="32"/>
      <c r="AM273" s="32" t="s">
        <v>1099</v>
      </c>
      <c r="AN273" s="32"/>
      <c r="AO273" s="32" t="s">
        <v>1099</v>
      </c>
      <c r="AP273" s="32"/>
      <c r="AQ273" s="32"/>
      <c r="AR273" s="32"/>
      <c r="AS273" s="32"/>
      <c r="AT273" s="32"/>
      <c r="AU273" s="32"/>
      <c r="AV273" s="38" t="s">
        <v>1099</v>
      </c>
      <c r="AW273" s="38" t="s">
        <v>1099</v>
      </c>
      <c r="AX273" s="42" t="s">
        <v>106</v>
      </c>
      <c r="AY273" s="62" t="str">
        <f>IF('Cálculo MP'!J274="","",'Cálculo MP'!J274)</f>
        <v/>
      </c>
      <c r="AZ273" s="62" t="str">
        <f>IF('Cálculo MP'!K274="","",'Cálculo MP'!K274)</f>
        <v/>
      </c>
      <c r="BA273" s="62" t="str">
        <f>IF('Cálculo MP'!L274="","",'Cálculo MP'!L274)</f>
        <v/>
      </c>
      <c r="BB273" s="62" t="str">
        <f>IF('Cálculo MP'!M274="","",'Cálculo MP'!M274)</f>
        <v/>
      </c>
      <c r="BC273" s="62" t="str">
        <f>IF('Cálculo MP'!N274="","",'Cálculo MP'!N274)</f>
        <v/>
      </c>
      <c r="BD273" s="62" t="str">
        <f>IF('Cálculo MP'!O274="","",'Cálculo MP'!O274)</f>
        <v/>
      </c>
      <c r="BE273" s="62" t="str">
        <f>IF('Cálculo MP'!P274="","",'Cálculo MP'!P274)</f>
        <v/>
      </c>
      <c r="BF273" s="62" t="str">
        <f>IF('Cálculo MP'!Q274="","",'Cálculo MP'!Q274)</f>
        <v/>
      </c>
      <c r="BG273" s="62" t="str">
        <f>IF('Cálculo MP'!R274="","",'Cálculo MP'!R274)</f>
        <v/>
      </c>
      <c r="BH273" s="32"/>
      <c r="BI273" s="32"/>
      <c r="BJ273" s="32"/>
      <c r="BK273" s="32"/>
      <c r="BL273" s="32"/>
      <c r="BM273" s="32"/>
      <c r="BN273" s="32"/>
      <c r="BO273" s="62" t="str">
        <f t="shared" si="11"/>
        <v/>
      </c>
    </row>
    <row r="274" spans="1:67" ht="19.5" customHeight="1" x14ac:dyDescent="0.2">
      <c r="A274" s="49" t="b">
        <v>0</v>
      </c>
      <c r="B274" s="50" t="b">
        <v>1</v>
      </c>
      <c r="C274" s="51" t="b">
        <v>0</v>
      </c>
      <c r="D274" s="51" t="b">
        <v>0</v>
      </c>
      <c r="E274" s="37"/>
      <c r="F274" s="39"/>
      <c r="G274" s="37" t="s">
        <v>1100</v>
      </c>
      <c r="H274" s="34"/>
      <c r="I274" s="34"/>
      <c r="J274" s="34" t="s">
        <v>1099</v>
      </c>
      <c r="K274" s="51" t="b">
        <v>1</v>
      </c>
      <c r="L274" s="40"/>
      <c r="M274" s="37" t="s">
        <v>1099</v>
      </c>
      <c r="N274" s="37" t="s">
        <v>1099</v>
      </c>
      <c r="O274" s="41" t="s">
        <v>1099</v>
      </c>
      <c r="P274" s="40" t="s">
        <v>1099</v>
      </c>
      <c r="Q274" s="37" t="s">
        <v>1099</v>
      </c>
      <c r="R274" s="37" t="s">
        <v>1099</v>
      </c>
      <c r="S274" s="113" t="s">
        <v>1099</v>
      </c>
      <c r="T274" s="56"/>
      <c r="U274" s="56"/>
      <c r="V274" s="56"/>
      <c r="W274" s="114" t="s">
        <v>1099</v>
      </c>
      <c r="X274" s="115"/>
      <c r="Y274" s="115"/>
      <c r="Z274" s="116"/>
      <c r="AA274" s="117" t="s">
        <v>1099</v>
      </c>
      <c r="AB274" s="116"/>
      <c r="AC274" s="56"/>
      <c r="AD274" s="116"/>
      <c r="AE274" s="44" t="s">
        <v>1099</v>
      </c>
      <c r="AF274" s="46" t="str">
        <f t="shared" si="9"/>
        <v/>
      </c>
      <c r="AG274" s="38" t="s">
        <v>1099</v>
      </c>
      <c r="AH274" s="47" t="str">
        <f t="shared" si="10"/>
        <v/>
      </c>
      <c r="AI274" s="32"/>
      <c r="AJ274" s="32"/>
      <c r="AK274" s="32"/>
      <c r="AL274" s="32"/>
      <c r="AM274" s="32" t="s">
        <v>1099</v>
      </c>
      <c r="AN274" s="32"/>
      <c r="AO274" s="32" t="s">
        <v>1099</v>
      </c>
      <c r="AP274" s="32"/>
      <c r="AQ274" s="32"/>
      <c r="AR274" s="32"/>
      <c r="AS274" s="32"/>
      <c r="AT274" s="32"/>
      <c r="AU274" s="32"/>
      <c r="AV274" s="38" t="s">
        <v>1099</v>
      </c>
      <c r="AW274" s="38" t="s">
        <v>1099</v>
      </c>
      <c r="AX274" s="42" t="s">
        <v>106</v>
      </c>
      <c r="AY274" s="62" t="str">
        <f>IF('Cálculo MP'!J275="","",'Cálculo MP'!J275)</f>
        <v/>
      </c>
      <c r="AZ274" s="62" t="str">
        <f>IF('Cálculo MP'!K275="","",'Cálculo MP'!K275)</f>
        <v/>
      </c>
      <c r="BA274" s="62" t="str">
        <f>IF('Cálculo MP'!L275="","",'Cálculo MP'!L275)</f>
        <v/>
      </c>
      <c r="BB274" s="62" t="str">
        <f>IF('Cálculo MP'!M275="","",'Cálculo MP'!M275)</f>
        <v/>
      </c>
      <c r="BC274" s="62" t="str">
        <f>IF('Cálculo MP'!N275="","",'Cálculo MP'!N275)</f>
        <v/>
      </c>
      <c r="BD274" s="62" t="str">
        <f>IF('Cálculo MP'!O275="","",'Cálculo MP'!O275)</f>
        <v/>
      </c>
      <c r="BE274" s="62" t="str">
        <f>IF('Cálculo MP'!P275="","",'Cálculo MP'!P275)</f>
        <v/>
      </c>
      <c r="BF274" s="62" t="str">
        <f>IF('Cálculo MP'!Q275="","",'Cálculo MP'!Q275)</f>
        <v/>
      </c>
      <c r="BG274" s="62" t="str">
        <f>IF('Cálculo MP'!R275="","",'Cálculo MP'!R275)</f>
        <v/>
      </c>
      <c r="BH274" s="32"/>
      <c r="BI274" s="32"/>
      <c r="BJ274" s="32"/>
      <c r="BK274" s="32"/>
      <c r="BL274" s="32"/>
      <c r="BM274" s="32"/>
      <c r="BN274" s="32"/>
      <c r="BO274" s="62" t="str">
        <f t="shared" si="11"/>
        <v/>
      </c>
    </row>
    <row r="275" spans="1:67" ht="19.5" customHeight="1" x14ac:dyDescent="0.2">
      <c r="A275" s="49" t="b">
        <v>0</v>
      </c>
      <c r="B275" s="50" t="b">
        <v>1</v>
      </c>
      <c r="C275" s="51" t="b">
        <v>0</v>
      </c>
      <c r="D275" s="51" t="b">
        <v>0</v>
      </c>
      <c r="E275" s="37"/>
      <c r="F275" s="39"/>
      <c r="G275" s="37" t="s">
        <v>1100</v>
      </c>
      <c r="H275" s="34"/>
      <c r="I275" s="34"/>
      <c r="J275" s="34" t="s">
        <v>1099</v>
      </c>
      <c r="K275" s="51" t="b">
        <v>1</v>
      </c>
      <c r="L275" s="40"/>
      <c r="M275" s="37" t="s">
        <v>1099</v>
      </c>
      <c r="N275" s="37" t="s">
        <v>1099</v>
      </c>
      <c r="O275" s="41" t="s">
        <v>1099</v>
      </c>
      <c r="P275" s="40" t="s">
        <v>1099</v>
      </c>
      <c r="Q275" s="37" t="s">
        <v>1099</v>
      </c>
      <c r="R275" s="37" t="s">
        <v>1099</v>
      </c>
      <c r="S275" s="113" t="s">
        <v>1099</v>
      </c>
      <c r="T275" s="56"/>
      <c r="U275" s="56"/>
      <c r="V275" s="56"/>
      <c r="W275" s="114" t="s">
        <v>1099</v>
      </c>
      <c r="X275" s="115"/>
      <c r="Y275" s="115"/>
      <c r="Z275" s="116"/>
      <c r="AA275" s="117" t="s">
        <v>1099</v>
      </c>
      <c r="AB275" s="116"/>
      <c r="AC275" s="56"/>
      <c r="AD275" s="116"/>
      <c r="AE275" s="44" t="s">
        <v>1099</v>
      </c>
      <c r="AF275" s="46" t="str">
        <f t="shared" ref="AF275:AF300" si="12">IFERROR((VALUE(TRIM(LEFT(MID(AE275,FIND("|",AE275)+1,99),FIND("-",MID(AE275,FIND("|",AE275)+1,99))-1)))+VALUE(TRIM(SUBSTITUTE(SUBSTITUTE(SUBSTITUTE(MID(MID(AE275,FIND("|",AE275)+1,99),FIND("-",MID(AE275,FIND("|",AE275)+1,99))+1,20),"µm",""),"μm","")," ",""))))/2,"")</f>
        <v/>
      </c>
      <c r="AG275" s="38" t="s">
        <v>1099</v>
      </c>
      <c r="AH275" s="47" t="str">
        <f t="shared" ref="AH275:AH300" si="13">IFERROR((VALUE(TRIM(LEFT(MID(AG275,FIND("|",AG275)+1,99),FIND("-",MID(AG275,FIND("|",AG275)+1,99))-1)))+VALUE(TRIM(SUBSTITUTE(SUBSTITUTE(SUBSTITUTE(MID(MID(AG275,FIND("|",AG275)+1,99),FIND("-",MID(AG275,FIND("|",AG275)+1,99))+1,20),"µm",""),"μm","")," ",""))))/2,"")</f>
        <v/>
      </c>
      <c r="AI275" s="32"/>
      <c r="AJ275" s="32"/>
      <c r="AK275" s="32"/>
      <c r="AL275" s="32"/>
      <c r="AM275" s="32" t="s">
        <v>1099</v>
      </c>
      <c r="AN275" s="32"/>
      <c r="AO275" s="32" t="s">
        <v>1099</v>
      </c>
      <c r="AP275" s="32"/>
      <c r="AQ275" s="32"/>
      <c r="AR275" s="32"/>
      <c r="AS275" s="32"/>
      <c r="AT275" s="32"/>
      <c r="AU275" s="32"/>
      <c r="AV275" s="38" t="s">
        <v>1099</v>
      </c>
      <c r="AW275" s="38" t="s">
        <v>1099</v>
      </c>
      <c r="AX275" s="42" t="s">
        <v>106</v>
      </c>
      <c r="AY275" s="62" t="str">
        <f>IF('Cálculo MP'!J276="","",'Cálculo MP'!J276)</f>
        <v/>
      </c>
      <c r="AZ275" s="62" t="str">
        <f>IF('Cálculo MP'!K276="","",'Cálculo MP'!K276)</f>
        <v/>
      </c>
      <c r="BA275" s="62" t="str">
        <f>IF('Cálculo MP'!L276="","",'Cálculo MP'!L276)</f>
        <v/>
      </c>
      <c r="BB275" s="62" t="str">
        <f>IF('Cálculo MP'!M276="","",'Cálculo MP'!M276)</f>
        <v/>
      </c>
      <c r="BC275" s="62" t="str">
        <f>IF('Cálculo MP'!N276="","",'Cálculo MP'!N276)</f>
        <v/>
      </c>
      <c r="BD275" s="62" t="str">
        <f>IF('Cálculo MP'!O276="","",'Cálculo MP'!O276)</f>
        <v/>
      </c>
      <c r="BE275" s="62" t="str">
        <f>IF('Cálculo MP'!P276="","",'Cálculo MP'!P276)</f>
        <v/>
      </c>
      <c r="BF275" s="62" t="str">
        <f>IF('Cálculo MP'!Q276="","",'Cálculo MP'!Q276)</f>
        <v/>
      </c>
      <c r="BG275" s="62" t="str">
        <f>IF('Cálculo MP'!R276="","",'Cálculo MP'!R276)</f>
        <v/>
      </c>
      <c r="BH275" s="32"/>
      <c r="BI275" s="32"/>
      <c r="BJ275" s="32"/>
      <c r="BK275" s="32"/>
      <c r="BL275" s="32"/>
      <c r="BM275" s="32"/>
      <c r="BN275" s="32"/>
      <c r="BO275" s="62" t="str">
        <f t="shared" ref="BO275:BO300" si="14">IF(E275="","",H275*I275)</f>
        <v/>
      </c>
    </row>
    <row r="276" spans="1:67" ht="19.5" customHeight="1" x14ac:dyDescent="0.2">
      <c r="A276" s="49" t="b">
        <v>0</v>
      </c>
      <c r="B276" s="50" t="b">
        <v>1</v>
      </c>
      <c r="C276" s="51" t="b">
        <v>0</v>
      </c>
      <c r="D276" s="51" t="b">
        <v>0</v>
      </c>
      <c r="E276" s="37"/>
      <c r="F276" s="39"/>
      <c r="G276" s="37" t="s">
        <v>1100</v>
      </c>
      <c r="H276" s="34"/>
      <c r="I276" s="34"/>
      <c r="J276" s="34" t="s">
        <v>1099</v>
      </c>
      <c r="K276" s="51" t="b">
        <v>1</v>
      </c>
      <c r="L276" s="40"/>
      <c r="M276" s="37" t="s">
        <v>1099</v>
      </c>
      <c r="N276" s="37" t="s">
        <v>1099</v>
      </c>
      <c r="O276" s="41" t="s">
        <v>1099</v>
      </c>
      <c r="P276" s="40" t="s">
        <v>1099</v>
      </c>
      <c r="Q276" s="37" t="s">
        <v>1099</v>
      </c>
      <c r="R276" s="37" t="s">
        <v>1099</v>
      </c>
      <c r="S276" s="113" t="s">
        <v>1099</v>
      </c>
      <c r="T276" s="56"/>
      <c r="U276" s="56"/>
      <c r="V276" s="56"/>
      <c r="W276" s="114" t="s">
        <v>1099</v>
      </c>
      <c r="X276" s="115"/>
      <c r="Y276" s="115"/>
      <c r="Z276" s="116"/>
      <c r="AA276" s="117" t="s">
        <v>1099</v>
      </c>
      <c r="AB276" s="116"/>
      <c r="AC276" s="56"/>
      <c r="AD276" s="116"/>
      <c r="AE276" s="44" t="s">
        <v>1099</v>
      </c>
      <c r="AF276" s="46" t="str">
        <f t="shared" si="12"/>
        <v/>
      </c>
      <c r="AG276" s="38" t="s">
        <v>1099</v>
      </c>
      <c r="AH276" s="47" t="str">
        <f t="shared" si="13"/>
        <v/>
      </c>
      <c r="AI276" s="32"/>
      <c r="AJ276" s="32"/>
      <c r="AK276" s="32"/>
      <c r="AL276" s="32"/>
      <c r="AM276" s="32" t="s">
        <v>1099</v>
      </c>
      <c r="AN276" s="32"/>
      <c r="AO276" s="32" t="s">
        <v>1099</v>
      </c>
      <c r="AP276" s="32"/>
      <c r="AQ276" s="32"/>
      <c r="AR276" s="32"/>
      <c r="AS276" s="32"/>
      <c r="AT276" s="32"/>
      <c r="AU276" s="32"/>
      <c r="AV276" s="38" t="s">
        <v>1099</v>
      </c>
      <c r="AW276" s="38" t="s">
        <v>1099</v>
      </c>
      <c r="AX276" s="42" t="s">
        <v>106</v>
      </c>
      <c r="AY276" s="62" t="str">
        <f>IF('Cálculo MP'!J277="","",'Cálculo MP'!J277)</f>
        <v/>
      </c>
      <c r="AZ276" s="62" t="str">
        <f>IF('Cálculo MP'!K277="","",'Cálculo MP'!K277)</f>
        <v/>
      </c>
      <c r="BA276" s="62" t="str">
        <f>IF('Cálculo MP'!L277="","",'Cálculo MP'!L277)</f>
        <v/>
      </c>
      <c r="BB276" s="62" t="str">
        <f>IF('Cálculo MP'!M277="","",'Cálculo MP'!M277)</f>
        <v/>
      </c>
      <c r="BC276" s="62" t="str">
        <f>IF('Cálculo MP'!N277="","",'Cálculo MP'!N277)</f>
        <v/>
      </c>
      <c r="BD276" s="62" t="str">
        <f>IF('Cálculo MP'!O277="","",'Cálculo MP'!O277)</f>
        <v/>
      </c>
      <c r="BE276" s="62" t="str">
        <f>IF('Cálculo MP'!P277="","",'Cálculo MP'!P277)</f>
        <v/>
      </c>
      <c r="BF276" s="62" t="str">
        <f>IF('Cálculo MP'!Q277="","",'Cálculo MP'!Q277)</f>
        <v/>
      </c>
      <c r="BG276" s="62" t="str">
        <f>IF('Cálculo MP'!R277="","",'Cálculo MP'!R277)</f>
        <v/>
      </c>
      <c r="BH276" s="32"/>
      <c r="BI276" s="32"/>
      <c r="BJ276" s="32"/>
      <c r="BK276" s="32"/>
      <c r="BL276" s="32"/>
      <c r="BM276" s="32"/>
      <c r="BN276" s="32"/>
      <c r="BO276" s="62" t="str">
        <f t="shared" si="14"/>
        <v/>
      </c>
    </row>
    <row r="277" spans="1:67" ht="19.5" customHeight="1" x14ac:dyDescent="0.2">
      <c r="A277" s="49" t="b">
        <v>0</v>
      </c>
      <c r="B277" s="50" t="b">
        <v>1</v>
      </c>
      <c r="C277" s="51" t="b">
        <v>0</v>
      </c>
      <c r="D277" s="51" t="b">
        <v>0</v>
      </c>
      <c r="E277" s="37"/>
      <c r="F277" s="39"/>
      <c r="G277" s="37" t="s">
        <v>1100</v>
      </c>
      <c r="H277" s="34"/>
      <c r="I277" s="34"/>
      <c r="J277" s="34" t="s">
        <v>1099</v>
      </c>
      <c r="K277" s="51" t="b">
        <v>1</v>
      </c>
      <c r="L277" s="40"/>
      <c r="M277" s="37" t="s">
        <v>1099</v>
      </c>
      <c r="N277" s="37" t="s">
        <v>1099</v>
      </c>
      <c r="O277" s="41" t="s">
        <v>1099</v>
      </c>
      <c r="P277" s="40" t="s">
        <v>1099</v>
      </c>
      <c r="Q277" s="37" t="s">
        <v>1099</v>
      </c>
      <c r="R277" s="37" t="s">
        <v>1099</v>
      </c>
      <c r="S277" s="113" t="s">
        <v>1099</v>
      </c>
      <c r="T277" s="56"/>
      <c r="U277" s="56"/>
      <c r="V277" s="56"/>
      <c r="W277" s="114" t="s">
        <v>1099</v>
      </c>
      <c r="X277" s="115"/>
      <c r="Y277" s="115"/>
      <c r="Z277" s="116"/>
      <c r="AA277" s="117" t="s">
        <v>1099</v>
      </c>
      <c r="AB277" s="116"/>
      <c r="AC277" s="56"/>
      <c r="AD277" s="116"/>
      <c r="AE277" s="44" t="s">
        <v>1099</v>
      </c>
      <c r="AF277" s="46" t="str">
        <f t="shared" si="12"/>
        <v/>
      </c>
      <c r="AG277" s="38" t="s">
        <v>1099</v>
      </c>
      <c r="AH277" s="47" t="str">
        <f t="shared" si="13"/>
        <v/>
      </c>
      <c r="AI277" s="32"/>
      <c r="AJ277" s="32"/>
      <c r="AK277" s="32"/>
      <c r="AL277" s="32"/>
      <c r="AM277" s="32" t="s">
        <v>1099</v>
      </c>
      <c r="AN277" s="32"/>
      <c r="AO277" s="32" t="s">
        <v>1099</v>
      </c>
      <c r="AP277" s="32"/>
      <c r="AQ277" s="32"/>
      <c r="AR277" s="32"/>
      <c r="AS277" s="32"/>
      <c r="AT277" s="32"/>
      <c r="AU277" s="32"/>
      <c r="AV277" s="38" t="s">
        <v>1099</v>
      </c>
      <c r="AW277" s="38" t="s">
        <v>1099</v>
      </c>
      <c r="AX277" s="42" t="s">
        <v>106</v>
      </c>
      <c r="AY277" s="62" t="str">
        <f>IF('Cálculo MP'!J278="","",'Cálculo MP'!J278)</f>
        <v/>
      </c>
      <c r="AZ277" s="62" t="str">
        <f>IF('Cálculo MP'!K278="","",'Cálculo MP'!K278)</f>
        <v/>
      </c>
      <c r="BA277" s="62" t="str">
        <f>IF('Cálculo MP'!L278="","",'Cálculo MP'!L278)</f>
        <v/>
      </c>
      <c r="BB277" s="62" t="str">
        <f>IF('Cálculo MP'!M278="","",'Cálculo MP'!M278)</f>
        <v/>
      </c>
      <c r="BC277" s="62" t="str">
        <f>IF('Cálculo MP'!N278="","",'Cálculo MP'!N278)</f>
        <v/>
      </c>
      <c r="BD277" s="62" t="str">
        <f>IF('Cálculo MP'!O278="","",'Cálculo MP'!O278)</f>
        <v/>
      </c>
      <c r="BE277" s="62" t="str">
        <f>IF('Cálculo MP'!P278="","",'Cálculo MP'!P278)</f>
        <v/>
      </c>
      <c r="BF277" s="62" t="str">
        <f>IF('Cálculo MP'!Q278="","",'Cálculo MP'!Q278)</f>
        <v/>
      </c>
      <c r="BG277" s="62" t="str">
        <f>IF('Cálculo MP'!R278="","",'Cálculo MP'!R278)</f>
        <v/>
      </c>
      <c r="BH277" s="32"/>
      <c r="BI277" s="32"/>
      <c r="BJ277" s="32"/>
      <c r="BK277" s="32"/>
      <c r="BL277" s="32"/>
      <c r="BM277" s="32"/>
      <c r="BN277" s="32"/>
      <c r="BO277" s="62" t="str">
        <f t="shared" si="14"/>
        <v/>
      </c>
    </row>
    <row r="278" spans="1:67" ht="19.5" customHeight="1" x14ac:dyDescent="0.2">
      <c r="A278" s="49" t="b">
        <v>0</v>
      </c>
      <c r="B278" s="50" t="b">
        <v>1</v>
      </c>
      <c r="C278" s="51" t="b">
        <v>0</v>
      </c>
      <c r="D278" s="51" t="b">
        <v>0</v>
      </c>
      <c r="E278" s="37"/>
      <c r="F278" s="39"/>
      <c r="G278" s="37" t="s">
        <v>1100</v>
      </c>
      <c r="H278" s="34"/>
      <c r="I278" s="34"/>
      <c r="J278" s="34" t="s">
        <v>1099</v>
      </c>
      <c r="K278" s="51" t="b">
        <v>1</v>
      </c>
      <c r="L278" s="40"/>
      <c r="M278" s="37" t="s">
        <v>1099</v>
      </c>
      <c r="N278" s="37" t="s">
        <v>1099</v>
      </c>
      <c r="O278" s="41" t="s">
        <v>1099</v>
      </c>
      <c r="P278" s="40" t="s">
        <v>1099</v>
      </c>
      <c r="Q278" s="37" t="s">
        <v>1099</v>
      </c>
      <c r="R278" s="37" t="s">
        <v>1099</v>
      </c>
      <c r="S278" s="113" t="s">
        <v>1099</v>
      </c>
      <c r="T278" s="56"/>
      <c r="U278" s="56"/>
      <c r="V278" s="56"/>
      <c r="W278" s="114" t="s">
        <v>1099</v>
      </c>
      <c r="X278" s="115"/>
      <c r="Y278" s="115"/>
      <c r="Z278" s="116"/>
      <c r="AA278" s="117" t="s">
        <v>1099</v>
      </c>
      <c r="AB278" s="116"/>
      <c r="AC278" s="56"/>
      <c r="AD278" s="116"/>
      <c r="AE278" s="44" t="s">
        <v>1099</v>
      </c>
      <c r="AF278" s="46" t="str">
        <f t="shared" si="12"/>
        <v/>
      </c>
      <c r="AG278" s="38" t="s">
        <v>1099</v>
      </c>
      <c r="AH278" s="47" t="str">
        <f t="shared" si="13"/>
        <v/>
      </c>
      <c r="AI278" s="32"/>
      <c r="AJ278" s="32"/>
      <c r="AK278" s="32"/>
      <c r="AL278" s="32"/>
      <c r="AM278" s="32" t="s">
        <v>1099</v>
      </c>
      <c r="AN278" s="32"/>
      <c r="AO278" s="32" t="s">
        <v>1099</v>
      </c>
      <c r="AP278" s="32"/>
      <c r="AQ278" s="32"/>
      <c r="AR278" s="32"/>
      <c r="AS278" s="32"/>
      <c r="AT278" s="32"/>
      <c r="AU278" s="32"/>
      <c r="AV278" s="38" t="s">
        <v>1099</v>
      </c>
      <c r="AW278" s="38" t="s">
        <v>1099</v>
      </c>
      <c r="AX278" s="42" t="s">
        <v>106</v>
      </c>
      <c r="AY278" s="62" t="str">
        <f>IF('Cálculo MP'!J279="","",'Cálculo MP'!J279)</f>
        <v/>
      </c>
      <c r="AZ278" s="62" t="str">
        <f>IF('Cálculo MP'!K279="","",'Cálculo MP'!K279)</f>
        <v/>
      </c>
      <c r="BA278" s="62" t="str">
        <f>IF('Cálculo MP'!L279="","",'Cálculo MP'!L279)</f>
        <v/>
      </c>
      <c r="BB278" s="62" t="str">
        <f>IF('Cálculo MP'!M279="","",'Cálculo MP'!M279)</f>
        <v/>
      </c>
      <c r="BC278" s="62" t="str">
        <f>IF('Cálculo MP'!N279="","",'Cálculo MP'!N279)</f>
        <v/>
      </c>
      <c r="BD278" s="62" t="str">
        <f>IF('Cálculo MP'!O279="","",'Cálculo MP'!O279)</f>
        <v/>
      </c>
      <c r="BE278" s="62" t="str">
        <f>IF('Cálculo MP'!P279="","",'Cálculo MP'!P279)</f>
        <v/>
      </c>
      <c r="BF278" s="62" t="str">
        <f>IF('Cálculo MP'!Q279="","",'Cálculo MP'!Q279)</f>
        <v/>
      </c>
      <c r="BG278" s="62" t="str">
        <f>IF('Cálculo MP'!R279="","",'Cálculo MP'!R279)</f>
        <v/>
      </c>
      <c r="BH278" s="32"/>
      <c r="BI278" s="32"/>
      <c r="BJ278" s="32"/>
      <c r="BK278" s="32"/>
      <c r="BL278" s="32"/>
      <c r="BM278" s="32"/>
      <c r="BN278" s="32"/>
      <c r="BO278" s="62" t="str">
        <f t="shared" si="14"/>
        <v/>
      </c>
    </row>
    <row r="279" spans="1:67" ht="19.5" customHeight="1" x14ac:dyDescent="0.2">
      <c r="A279" s="49" t="b">
        <v>0</v>
      </c>
      <c r="B279" s="50" t="b">
        <v>1</v>
      </c>
      <c r="C279" s="51" t="b">
        <v>0</v>
      </c>
      <c r="D279" s="51" t="b">
        <v>0</v>
      </c>
      <c r="E279" s="37"/>
      <c r="F279" s="39"/>
      <c r="G279" s="37" t="s">
        <v>1100</v>
      </c>
      <c r="H279" s="34"/>
      <c r="I279" s="34"/>
      <c r="J279" s="34" t="s">
        <v>1099</v>
      </c>
      <c r="K279" s="51" t="b">
        <v>1</v>
      </c>
      <c r="L279" s="40"/>
      <c r="M279" s="37" t="s">
        <v>1099</v>
      </c>
      <c r="N279" s="37" t="s">
        <v>1099</v>
      </c>
      <c r="O279" s="41" t="s">
        <v>1099</v>
      </c>
      <c r="P279" s="40" t="s">
        <v>1099</v>
      </c>
      <c r="Q279" s="37" t="s">
        <v>1099</v>
      </c>
      <c r="R279" s="37" t="s">
        <v>1099</v>
      </c>
      <c r="S279" s="113" t="s">
        <v>1099</v>
      </c>
      <c r="T279" s="56"/>
      <c r="U279" s="56"/>
      <c r="V279" s="56"/>
      <c r="W279" s="114" t="s">
        <v>1099</v>
      </c>
      <c r="X279" s="115"/>
      <c r="Y279" s="115"/>
      <c r="Z279" s="116"/>
      <c r="AA279" s="117" t="s">
        <v>1099</v>
      </c>
      <c r="AB279" s="116"/>
      <c r="AC279" s="56"/>
      <c r="AD279" s="116"/>
      <c r="AE279" s="44" t="s">
        <v>1099</v>
      </c>
      <c r="AF279" s="46" t="str">
        <f t="shared" si="12"/>
        <v/>
      </c>
      <c r="AG279" s="38" t="s">
        <v>1099</v>
      </c>
      <c r="AH279" s="47" t="str">
        <f t="shared" si="13"/>
        <v/>
      </c>
      <c r="AI279" s="32"/>
      <c r="AJ279" s="32"/>
      <c r="AK279" s="32"/>
      <c r="AL279" s="32"/>
      <c r="AM279" s="32" t="s">
        <v>1099</v>
      </c>
      <c r="AN279" s="32"/>
      <c r="AO279" s="32" t="s">
        <v>1099</v>
      </c>
      <c r="AP279" s="32"/>
      <c r="AQ279" s="32"/>
      <c r="AR279" s="32"/>
      <c r="AS279" s="32"/>
      <c r="AT279" s="32"/>
      <c r="AU279" s="32"/>
      <c r="AV279" s="38" t="s">
        <v>1099</v>
      </c>
      <c r="AW279" s="38" t="s">
        <v>1099</v>
      </c>
      <c r="AX279" s="42" t="s">
        <v>106</v>
      </c>
      <c r="AY279" s="62" t="str">
        <f>IF('Cálculo MP'!J280="","",'Cálculo MP'!J280)</f>
        <v/>
      </c>
      <c r="AZ279" s="62" t="str">
        <f>IF('Cálculo MP'!K280="","",'Cálculo MP'!K280)</f>
        <v/>
      </c>
      <c r="BA279" s="62" t="str">
        <f>IF('Cálculo MP'!L280="","",'Cálculo MP'!L280)</f>
        <v/>
      </c>
      <c r="BB279" s="62" t="str">
        <f>IF('Cálculo MP'!M280="","",'Cálculo MP'!M280)</f>
        <v/>
      </c>
      <c r="BC279" s="62" t="str">
        <f>IF('Cálculo MP'!N280="","",'Cálculo MP'!N280)</f>
        <v/>
      </c>
      <c r="BD279" s="62" t="str">
        <f>IF('Cálculo MP'!O280="","",'Cálculo MP'!O280)</f>
        <v/>
      </c>
      <c r="BE279" s="62" t="str">
        <f>IF('Cálculo MP'!P280="","",'Cálculo MP'!P280)</f>
        <v/>
      </c>
      <c r="BF279" s="62" t="str">
        <f>IF('Cálculo MP'!Q280="","",'Cálculo MP'!Q280)</f>
        <v/>
      </c>
      <c r="BG279" s="62" t="str">
        <f>IF('Cálculo MP'!R280="","",'Cálculo MP'!R280)</f>
        <v/>
      </c>
      <c r="BH279" s="32"/>
      <c r="BI279" s="32"/>
      <c r="BJ279" s="32"/>
      <c r="BK279" s="32"/>
      <c r="BL279" s="32"/>
      <c r="BM279" s="32"/>
      <c r="BN279" s="32"/>
      <c r="BO279" s="62" t="str">
        <f t="shared" si="14"/>
        <v/>
      </c>
    </row>
    <row r="280" spans="1:67" ht="19.5" customHeight="1" x14ac:dyDescent="0.2">
      <c r="A280" s="49" t="b">
        <v>0</v>
      </c>
      <c r="B280" s="50" t="b">
        <v>1</v>
      </c>
      <c r="C280" s="51" t="b">
        <v>0</v>
      </c>
      <c r="D280" s="51" t="b">
        <v>0</v>
      </c>
      <c r="E280" s="37"/>
      <c r="F280" s="39"/>
      <c r="G280" s="37" t="s">
        <v>1100</v>
      </c>
      <c r="H280" s="34"/>
      <c r="I280" s="34"/>
      <c r="J280" s="34" t="s">
        <v>1099</v>
      </c>
      <c r="K280" s="51" t="b">
        <v>1</v>
      </c>
      <c r="L280" s="40"/>
      <c r="M280" s="37" t="s">
        <v>1099</v>
      </c>
      <c r="N280" s="37" t="s">
        <v>1099</v>
      </c>
      <c r="O280" s="41" t="s">
        <v>1099</v>
      </c>
      <c r="P280" s="40" t="s">
        <v>1099</v>
      </c>
      <c r="Q280" s="37" t="s">
        <v>1099</v>
      </c>
      <c r="R280" s="37" t="s">
        <v>1099</v>
      </c>
      <c r="S280" s="113" t="s">
        <v>1099</v>
      </c>
      <c r="T280" s="56"/>
      <c r="U280" s="56"/>
      <c r="V280" s="56"/>
      <c r="W280" s="114" t="s">
        <v>1099</v>
      </c>
      <c r="X280" s="115"/>
      <c r="Y280" s="115"/>
      <c r="Z280" s="116"/>
      <c r="AA280" s="117" t="s">
        <v>1099</v>
      </c>
      <c r="AB280" s="116"/>
      <c r="AC280" s="56"/>
      <c r="AD280" s="116"/>
      <c r="AE280" s="44" t="s">
        <v>1099</v>
      </c>
      <c r="AF280" s="46" t="str">
        <f t="shared" si="12"/>
        <v/>
      </c>
      <c r="AG280" s="38" t="s">
        <v>1099</v>
      </c>
      <c r="AH280" s="47" t="str">
        <f t="shared" si="13"/>
        <v/>
      </c>
      <c r="AI280" s="32"/>
      <c r="AJ280" s="32"/>
      <c r="AK280" s="32"/>
      <c r="AL280" s="32"/>
      <c r="AM280" s="32" t="s">
        <v>1099</v>
      </c>
      <c r="AN280" s="32"/>
      <c r="AO280" s="32" t="s">
        <v>1099</v>
      </c>
      <c r="AP280" s="32"/>
      <c r="AQ280" s="32"/>
      <c r="AR280" s="32"/>
      <c r="AS280" s="32"/>
      <c r="AT280" s="32"/>
      <c r="AU280" s="32"/>
      <c r="AV280" s="38" t="s">
        <v>1099</v>
      </c>
      <c r="AW280" s="38" t="s">
        <v>1099</v>
      </c>
      <c r="AX280" s="42" t="s">
        <v>106</v>
      </c>
      <c r="AY280" s="62" t="str">
        <f>IF('Cálculo MP'!J281="","",'Cálculo MP'!J281)</f>
        <v/>
      </c>
      <c r="AZ280" s="62" t="str">
        <f>IF('Cálculo MP'!K281="","",'Cálculo MP'!K281)</f>
        <v/>
      </c>
      <c r="BA280" s="62" t="str">
        <f>IF('Cálculo MP'!L281="","",'Cálculo MP'!L281)</f>
        <v/>
      </c>
      <c r="BB280" s="62" t="str">
        <f>IF('Cálculo MP'!M281="","",'Cálculo MP'!M281)</f>
        <v/>
      </c>
      <c r="BC280" s="62" t="str">
        <f>IF('Cálculo MP'!N281="","",'Cálculo MP'!N281)</f>
        <v/>
      </c>
      <c r="BD280" s="62" t="str">
        <f>IF('Cálculo MP'!O281="","",'Cálculo MP'!O281)</f>
        <v/>
      </c>
      <c r="BE280" s="62" t="str">
        <f>IF('Cálculo MP'!P281="","",'Cálculo MP'!P281)</f>
        <v/>
      </c>
      <c r="BF280" s="62" t="str">
        <f>IF('Cálculo MP'!Q281="","",'Cálculo MP'!Q281)</f>
        <v/>
      </c>
      <c r="BG280" s="62" t="str">
        <f>IF('Cálculo MP'!R281="","",'Cálculo MP'!R281)</f>
        <v/>
      </c>
      <c r="BH280" s="32"/>
      <c r="BI280" s="32"/>
      <c r="BJ280" s="32"/>
      <c r="BK280" s="32"/>
      <c r="BL280" s="32"/>
      <c r="BM280" s="32"/>
      <c r="BN280" s="32"/>
      <c r="BO280" s="62" t="str">
        <f t="shared" si="14"/>
        <v/>
      </c>
    </row>
    <row r="281" spans="1:67" ht="19.5" customHeight="1" x14ac:dyDescent="0.2">
      <c r="A281" s="49" t="b">
        <v>0</v>
      </c>
      <c r="B281" s="50" t="b">
        <v>1</v>
      </c>
      <c r="C281" s="51" t="b">
        <v>0</v>
      </c>
      <c r="D281" s="51" t="b">
        <v>0</v>
      </c>
      <c r="E281" s="37"/>
      <c r="F281" s="39"/>
      <c r="G281" s="37" t="s">
        <v>1100</v>
      </c>
      <c r="H281" s="34"/>
      <c r="I281" s="34"/>
      <c r="J281" s="34" t="s">
        <v>1099</v>
      </c>
      <c r="K281" s="51" t="b">
        <v>1</v>
      </c>
      <c r="L281" s="40"/>
      <c r="M281" s="37" t="s">
        <v>1099</v>
      </c>
      <c r="N281" s="37" t="s">
        <v>1099</v>
      </c>
      <c r="O281" s="41" t="s">
        <v>1099</v>
      </c>
      <c r="P281" s="40" t="s">
        <v>1099</v>
      </c>
      <c r="Q281" s="37" t="s">
        <v>1099</v>
      </c>
      <c r="R281" s="37" t="s">
        <v>1099</v>
      </c>
      <c r="S281" s="113" t="s">
        <v>1099</v>
      </c>
      <c r="T281" s="56"/>
      <c r="U281" s="56"/>
      <c r="V281" s="56"/>
      <c r="W281" s="114" t="s">
        <v>1099</v>
      </c>
      <c r="X281" s="115"/>
      <c r="Y281" s="115"/>
      <c r="Z281" s="116"/>
      <c r="AA281" s="117" t="s">
        <v>1099</v>
      </c>
      <c r="AB281" s="116"/>
      <c r="AC281" s="56"/>
      <c r="AD281" s="116"/>
      <c r="AE281" s="44" t="s">
        <v>1099</v>
      </c>
      <c r="AF281" s="46" t="str">
        <f t="shared" si="12"/>
        <v/>
      </c>
      <c r="AG281" s="38" t="s">
        <v>1099</v>
      </c>
      <c r="AH281" s="47" t="str">
        <f t="shared" si="13"/>
        <v/>
      </c>
      <c r="AI281" s="32"/>
      <c r="AJ281" s="32"/>
      <c r="AK281" s="32"/>
      <c r="AL281" s="32"/>
      <c r="AM281" s="32" t="s">
        <v>1099</v>
      </c>
      <c r="AN281" s="32"/>
      <c r="AO281" s="32" t="s">
        <v>1099</v>
      </c>
      <c r="AP281" s="32"/>
      <c r="AQ281" s="32"/>
      <c r="AR281" s="32"/>
      <c r="AS281" s="32"/>
      <c r="AT281" s="32"/>
      <c r="AU281" s="32"/>
      <c r="AV281" s="38" t="s">
        <v>1099</v>
      </c>
      <c r="AW281" s="38" t="s">
        <v>1099</v>
      </c>
      <c r="AX281" s="42" t="s">
        <v>106</v>
      </c>
      <c r="AY281" s="62" t="str">
        <f>IF('Cálculo MP'!J282="","",'Cálculo MP'!J282)</f>
        <v/>
      </c>
      <c r="AZ281" s="62" t="str">
        <f>IF('Cálculo MP'!K282="","",'Cálculo MP'!K282)</f>
        <v/>
      </c>
      <c r="BA281" s="62" t="str">
        <f>IF('Cálculo MP'!L282="","",'Cálculo MP'!L282)</f>
        <v/>
      </c>
      <c r="BB281" s="62" t="str">
        <f>IF('Cálculo MP'!M282="","",'Cálculo MP'!M282)</f>
        <v/>
      </c>
      <c r="BC281" s="62" t="str">
        <f>IF('Cálculo MP'!N282="","",'Cálculo MP'!N282)</f>
        <v/>
      </c>
      <c r="BD281" s="62" t="str">
        <f>IF('Cálculo MP'!O282="","",'Cálculo MP'!O282)</f>
        <v/>
      </c>
      <c r="BE281" s="62" t="str">
        <f>IF('Cálculo MP'!P282="","",'Cálculo MP'!P282)</f>
        <v/>
      </c>
      <c r="BF281" s="62" t="str">
        <f>IF('Cálculo MP'!Q282="","",'Cálculo MP'!Q282)</f>
        <v/>
      </c>
      <c r="BG281" s="62" t="str">
        <f>IF('Cálculo MP'!R282="","",'Cálculo MP'!R282)</f>
        <v/>
      </c>
      <c r="BH281" s="32"/>
      <c r="BI281" s="32"/>
      <c r="BJ281" s="32"/>
      <c r="BK281" s="32"/>
      <c r="BL281" s="32"/>
      <c r="BM281" s="32"/>
      <c r="BN281" s="32"/>
      <c r="BO281" s="62" t="str">
        <f t="shared" si="14"/>
        <v/>
      </c>
    </row>
    <row r="282" spans="1:67" ht="19.5" customHeight="1" x14ac:dyDescent="0.2">
      <c r="A282" s="49" t="b">
        <v>0</v>
      </c>
      <c r="B282" s="50" t="b">
        <v>1</v>
      </c>
      <c r="C282" s="51" t="b">
        <v>0</v>
      </c>
      <c r="D282" s="51" t="b">
        <v>0</v>
      </c>
      <c r="E282" s="37"/>
      <c r="F282" s="39"/>
      <c r="G282" s="37" t="s">
        <v>1100</v>
      </c>
      <c r="H282" s="34"/>
      <c r="I282" s="34"/>
      <c r="J282" s="34" t="s">
        <v>1099</v>
      </c>
      <c r="K282" s="51" t="b">
        <v>1</v>
      </c>
      <c r="L282" s="40"/>
      <c r="M282" s="37" t="s">
        <v>1099</v>
      </c>
      <c r="N282" s="37" t="s">
        <v>1099</v>
      </c>
      <c r="O282" s="41" t="s">
        <v>1099</v>
      </c>
      <c r="P282" s="40" t="s">
        <v>1099</v>
      </c>
      <c r="Q282" s="37" t="s">
        <v>1099</v>
      </c>
      <c r="R282" s="37" t="s">
        <v>1099</v>
      </c>
      <c r="S282" s="113" t="s">
        <v>1099</v>
      </c>
      <c r="T282" s="56"/>
      <c r="U282" s="56"/>
      <c r="V282" s="56"/>
      <c r="W282" s="114" t="s">
        <v>1099</v>
      </c>
      <c r="X282" s="115"/>
      <c r="Y282" s="115"/>
      <c r="Z282" s="116"/>
      <c r="AA282" s="117" t="s">
        <v>1099</v>
      </c>
      <c r="AB282" s="116"/>
      <c r="AC282" s="56"/>
      <c r="AD282" s="116"/>
      <c r="AE282" s="44" t="s">
        <v>1099</v>
      </c>
      <c r="AF282" s="46" t="str">
        <f t="shared" si="12"/>
        <v/>
      </c>
      <c r="AG282" s="38" t="s">
        <v>1099</v>
      </c>
      <c r="AH282" s="47" t="str">
        <f t="shared" si="13"/>
        <v/>
      </c>
      <c r="AI282" s="32"/>
      <c r="AJ282" s="32"/>
      <c r="AK282" s="32"/>
      <c r="AL282" s="32"/>
      <c r="AM282" s="32" t="s">
        <v>1099</v>
      </c>
      <c r="AN282" s="32"/>
      <c r="AO282" s="32" t="s">
        <v>1099</v>
      </c>
      <c r="AP282" s="32"/>
      <c r="AQ282" s="32"/>
      <c r="AR282" s="32"/>
      <c r="AS282" s="32"/>
      <c r="AT282" s="32"/>
      <c r="AU282" s="32"/>
      <c r="AV282" s="38" t="s">
        <v>1099</v>
      </c>
      <c r="AW282" s="38" t="s">
        <v>1099</v>
      </c>
      <c r="AX282" s="42" t="s">
        <v>106</v>
      </c>
      <c r="AY282" s="62" t="str">
        <f>IF('Cálculo MP'!J283="","",'Cálculo MP'!J283)</f>
        <v/>
      </c>
      <c r="AZ282" s="62" t="str">
        <f>IF('Cálculo MP'!K283="","",'Cálculo MP'!K283)</f>
        <v/>
      </c>
      <c r="BA282" s="62" t="str">
        <f>IF('Cálculo MP'!L283="","",'Cálculo MP'!L283)</f>
        <v/>
      </c>
      <c r="BB282" s="62" t="str">
        <f>IF('Cálculo MP'!M283="","",'Cálculo MP'!M283)</f>
        <v/>
      </c>
      <c r="BC282" s="62" t="str">
        <f>IF('Cálculo MP'!N283="","",'Cálculo MP'!N283)</f>
        <v/>
      </c>
      <c r="BD282" s="62" t="str">
        <f>IF('Cálculo MP'!O283="","",'Cálculo MP'!O283)</f>
        <v/>
      </c>
      <c r="BE282" s="62" t="str">
        <f>IF('Cálculo MP'!P283="","",'Cálculo MP'!P283)</f>
        <v/>
      </c>
      <c r="BF282" s="62" t="str">
        <f>IF('Cálculo MP'!Q283="","",'Cálculo MP'!Q283)</f>
        <v/>
      </c>
      <c r="BG282" s="62" t="str">
        <f>IF('Cálculo MP'!R283="","",'Cálculo MP'!R283)</f>
        <v/>
      </c>
      <c r="BH282" s="32"/>
      <c r="BI282" s="32"/>
      <c r="BJ282" s="32"/>
      <c r="BK282" s="32"/>
      <c r="BL282" s="32"/>
      <c r="BM282" s="32"/>
      <c r="BN282" s="32"/>
      <c r="BO282" s="62" t="str">
        <f t="shared" si="14"/>
        <v/>
      </c>
    </row>
    <row r="283" spans="1:67" ht="19.5" customHeight="1" x14ac:dyDescent="0.2">
      <c r="A283" s="49" t="b">
        <v>0</v>
      </c>
      <c r="B283" s="50" t="b">
        <v>1</v>
      </c>
      <c r="C283" s="51" t="b">
        <v>0</v>
      </c>
      <c r="D283" s="51" t="b">
        <v>0</v>
      </c>
      <c r="E283" s="37"/>
      <c r="F283" s="39"/>
      <c r="G283" s="37" t="s">
        <v>1100</v>
      </c>
      <c r="H283" s="34"/>
      <c r="I283" s="34"/>
      <c r="J283" s="34" t="s">
        <v>1099</v>
      </c>
      <c r="K283" s="51" t="b">
        <v>1</v>
      </c>
      <c r="L283" s="40"/>
      <c r="M283" s="37" t="s">
        <v>1099</v>
      </c>
      <c r="N283" s="37" t="s">
        <v>1099</v>
      </c>
      <c r="O283" s="41" t="s">
        <v>1099</v>
      </c>
      <c r="P283" s="40" t="s">
        <v>1099</v>
      </c>
      <c r="Q283" s="37" t="s">
        <v>1099</v>
      </c>
      <c r="R283" s="37" t="s">
        <v>1099</v>
      </c>
      <c r="S283" s="113" t="s">
        <v>1099</v>
      </c>
      <c r="T283" s="56"/>
      <c r="U283" s="56"/>
      <c r="V283" s="56"/>
      <c r="W283" s="114" t="s">
        <v>1099</v>
      </c>
      <c r="X283" s="115"/>
      <c r="Y283" s="115"/>
      <c r="Z283" s="116"/>
      <c r="AA283" s="117" t="s">
        <v>1099</v>
      </c>
      <c r="AB283" s="116"/>
      <c r="AC283" s="56"/>
      <c r="AD283" s="116"/>
      <c r="AE283" s="44" t="s">
        <v>1099</v>
      </c>
      <c r="AF283" s="46" t="str">
        <f t="shared" si="12"/>
        <v/>
      </c>
      <c r="AG283" s="38" t="s">
        <v>1099</v>
      </c>
      <c r="AH283" s="47" t="str">
        <f t="shared" si="13"/>
        <v/>
      </c>
      <c r="AI283" s="32"/>
      <c r="AJ283" s="32"/>
      <c r="AK283" s="32"/>
      <c r="AL283" s="32"/>
      <c r="AM283" s="32" t="s">
        <v>1099</v>
      </c>
      <c r="AN283" s="32"/>
      <c r="AO283" s="32" t="s">
        <v>1099</v>
      </c>
      <c r="AP283" s="32"/>
      <c r="AQ283" s="32"/>
      <c r="AR283" s="32"/>
      <c r="AS283" s="32"/>
      <c r="AT283" s="32"/>
      <c r="AU283" s="32"/>
      <c r="AV283" s="38" t="s">
        <v>1099</v>
      </c>
      <c r="AW283" s="38" t="s">
        <v>1099</v>
      </c>
      <c r="AX283" s="42" t="s">
        <v>106</v>
      </c>
      <c r="AY283" s="62" t="str">
        <f>IF('Cálculo MP'!J284="","",'Cálculo MP'!J284)</f>
        <v/>
      </c>
      <c r="AZ283" s="62" t="str">
        <f>IF('Cálculo MP'!K284="","",'Cálculo MP'!K284)</f>
        <v/>
      </c>
      <c r="BA283" s="62" t="str">
        <f>IF('Cálculo MP'!L284="","",'Cálculo MP'!L284)</f>
        <v/>
      </c>
      <c r="BB283" s="62" t="str">
        <f>IF('Cálculo MP'!M284="","",'Cálculo MP'!M284)</f>
        <v/>
      </c>
      <c r="BC283" s="62" t="str">
        <f>IF('Cálculo MP'!N284="","",'Cálculo MP'!N284)</f>
        <v/>
      </c>
      <c r="BD283" s="62" t="str">
        <f>IF('Cálculo MP'!O284="","",'Cálculo MP'!O284)</f>
        <v/>
      </c>
      <c r="BE283" s="62" t="str">
        <f>IF('Cálculo MP'!P284="","",'Cálculo MP'!P284)</f>
        <v/>
      </c>
      <c r="BF283" s="62" t="str">
        <f>IF('Cálculo MP'!Q284="","",'Cálculo MP'!Q284)</f>
        <v/>
      </c>
      <c r="BG283" s="62" t="str">
        <f>IF('Cálculo MP'!R284="","",'Cálculo MP'!R284)</f>
        <v/>
      </c>
      <c r="BH283" s="32"/>
      <c r="BI283" s="32"/>
      <c r="BJ283" s="32"/>
      <c r="BK283" s="32"/>
      <c r="BL283" s="32"/>
      <c r="BM283" s="32"/>
      <c r="BN283" s="32"/>
      <c r="BO283" s="62" t="str">
        <f t="shared" si="14"/>
        <v/>
      </c>
    </row>
    <row r="284" spans="1:67" ht="19.5" customHeight="1" x14ac:dyDescent="0.2">
      <c r="A284" s="49" t="b">
        <v>0</v>
      </c>
      <c r="B284" s="50" t="b">
        <v>1</v>
      </c>
      <c r="C284" s="51" t="b">
        <v>0</v>
      </c>
      <c r="D284" s="51" t="b">
        <v>0</v>
      </c>
      <c r="E284" s="37"/>
      <c r="F284" s="39"/>
      <c r="G284" s="37" t="s">
        <v>1100</v>
      </c>
      <c r="H284" s="34"/>
      <c r="I284" s="34"/>
      <c r="J284" s="34" t="s">
        <v>1099</v>
      </c>
      <c r="K284" s="51" t="b">
        <v>1</v>
      </c>
      <c r="L284" s="40"/>
      <c r="M284" s="37" t="s">
        <v>1099</v>
      </c>
      <c r="N284" s="37" t="s">
        <v>1099</v>
      </c>
      <c r="O284" s="41" t="s">
        <v>1099</v>
      </c>
      <c r="P284" s="40" t="s">
        <v>1099</v>
      </c>
      <c r="Q284" s="37" t="s">
        <v>1099</v>
      </c>
      <c r="R284" s="37" t="s">
        <v>1099</v>
      </c>
      <c r="S284" s="113" t="s">
        <v>1099</v>
      </c>
      <c r="T284" s="56"/>
      <c r="U284" s="56"/>
      <c r="V284" s="56"/>
      <c r="W284" s="114" t="s">
        <v>1099</v>
      </c>
      <c r="X284" s="115"/>
      <c r="Y284" s="115"/>
      <c r="Z284" s="116"/>
      <c r="AA284" s="117" t="s">
        <v>1099</v>
      </c>
      <c r="AB284" s="116"/>
      <c r="AC284" s="56"/>
      <c r="AD284" s="116"/>
      <c r="AE284" s="44" t="s">
        <v>1099</v>
      </c>
      <c r="AF284" s="46" t="str">
        <f t="shared" si="12"/>
        <v/>
      </c>
      <c r="AG284" s="38" t="s">
        <v>1099</v>
      </c>
      <c r="AH284" s="47" t="str">
        <f t="shared" si="13"/>
        <v/>
      </c>
      <c r="AI284" s="32"/>
      <c r="AJ284" s="32"/>
      <c r="AK284" s="32"/>
      <c r="AL284" s="32"/>
      <c r="AM284" s="32" t="s">
        <v>1099</v>
      </c>
      <c r="AN284" s="32"/>
      <c r="AO284" s="32" t="s">
        <v>1099</v>
      </c>
      <c r="AP284" s="32"/>
      <c r="AQ284" s="32"/>
      <c r="AR284" s="32"/>
      <c r="AS284" s="32"/>
      <c r="AT284" s="32"/>
      <c r="AU284" s="32"/>
      <c r="AV284" s="38" t="s">
        <v>1099</v>
      </c>
      <c r="AW284" s="38" t="s">
        <v>1099</v>
      </c>
      <c r="AX284" s="42" t="s">
        <v>106</v>
      </c>
      <c r="AY284" s="62" t="str">
        <f>IF('Cálculo MP'!J285="","",'Cálculo MP'!J285)</f>
        <v/>
      </c>
      <c r="AZ284" s="62" t="str">
        <f>IF('Cálculo MP'!K285="","",'Cálculo MP'!K285)</f>
        <v/>
      </c>
      <c r="BA284" s="62" t="str">
        <f>IF('Cálculo MP'!L285="","",'Cálculo MP'!L285)</f>
        <v/>
      </c>
      <c r="BB284" s="62" t="str">
        <f>IF('Cálculo MP'!M285="","",'Cálculo MP'!M285)</f>
        <v/>
      </c>
      <c r="BC284" s="62" t="str">
        <f>IF('Cálculo MP'!N285="","",'Cálculo MP'!N285)</f>
        <v/>
      </c>
      <c r="BD284" s="62" t="str">
        <f>IF('Cálculo MP'!O285="","",'Cálculo MP'!O285)</f>
        <v/>
      </c>
      <c r="BE284" s="62" t="str">
        <f>IF('Cálculo MP'!P285="","",'Cálculo MP'!P285)</f>
        <v/>
      </c>
      <c r="BF284" s="62" t="str">
        <f>IF('Cálculo MP'!Q285="","",'Cálculo MP'!Q285)</f>
        <v/>
      </c>
      <c r="BG284" s="62" t="str">
        <f>IF('Cálculo MP'!R285="","",'Cálculo MP'!R285)</f>
        <v/>
      </c>
      <c r="BH284" s="32"/>
      <c r="BI284" s="32"/>
      <c r="BJ284" s="32"/>
      <c r="BK284" s="32"/>
      <c r="BL284" s="32"/>
      <c r="BM284" s="32"/>
      <c r="BN284" s="32"/>
      <c r="BO284" s="62" t="str">
        <f t="shared" si="14"/>
        <v/>
      </c>
    </row>
    <row r="285" spans="1:67" ht="19.5" customHeight="1" x14ac:dyDescent="0.2">
      <c r="A285" s="49" t="b">
        <v>0</v>
      </c>
      <c r="B285" s="50" t="b">
        <v>1</v>
      </c>
      <c r="C285" s="51" t="b">
        <v>0</v>
      </c>
      <c r="D285" s="51" t="b">
        <v>0</v>
      </c>
      <c r="E285" s="37"/>
      <c r="F285" s="39"/>
      <c r="G285" s="37" t="s">
        <v>1100</v>
      </c>
      <c r="H285" s="34"/>
      <c r="I285" s="34"/>
      <c r="J285" s="34" t="s">
        <v>1099</v>
      </c>
      <c r="K285" s="51" t="b">
        <v>1</v>
      </c>
      <c r="L285" s="40"/>
      <c r="M285" s="37" t="s">
        <v>1099</v>
      </c>
      <c r="N285" s="37" t="s">
        <v>1099</v>
      </c>
      <c r="O285" s="41" t="s">
        <v>1099</v>
      </c>
      <c r="P285" s="40" t="s">
        <v>1099</v>
      </c>
      <c r="Q285" s="37" t="s">
        <v>1099</v>
      </c>
      <c r="R285" s="37" t="s">
        <v>1099</v>
      </c>
      <c r="S285" s="113" t="s">
        <v>1099</v>
      </c>
      <c r="T285" s="56"/>
      <c r="U285" s="56"/>
      <c r="V285" s="56"/>
      <c r="W285" s="114" t="s">
        <v>1099</v>
      </c>
      <c r="X285" s="115"/>
      <c r="Y285" s="115"/>
      <c r="Z285" s="116"/>
      <c r="AA285" s="117" t="s">
        <v>1099</v>
      </c>
      <c r="AB285" s="116"/>
      <c r="AC285" s="56"/>
      <c r="AD285" s="116"/>
      <c r="AE285" s="44" t="s">
        <v>1099</v>
      </c>
      <c r="AF285" s="46" t="str">
        <f t="shared" si="12"/>
        <v/>
      </c>
      <c r="AG285" s="38" t="s">
        <v>1099</v>
      </c>
      <c r="AH285" s="47" t="str">
        <f t="shared" si="13"/>
        <v/>
      </c>
      <c r="AI285" s="32"/>
      <c r="AJ285" s="32"/>
      <c r="AK285" s="32"/>
      <c r="AL285" s="32"/>
      <c r="AM285" s="32" t="s">
        <v>1099</v>
      </c>
      <c r="AN285" s="32"/>
      <c r="AO285" s="32" t="s">
        <v>1099</v>
      </c>
      <c r="AP285" s="32"/>
      <c r="AQ285" s="32"/>
      <c r="AR285" s="32"/>
      <c r="AS285" s="32"/>
      <c r="AT285" s="32"/>
      <c r="AU285" s="32"/>
      <c r="AV285" s="38" t="s">
        <v>1099</v>
      </c>
      <c r="AW285" s="38" t="s">
        <v>1099</v>
      </c>
      <c r="AX285" s="42" t="s">
        <v>106</v>
      </c>
      <c r="AY285" s="62" t="str">
        <f>IF('Cálculo MP'!J286="","",'Cálculo MP'!J286)</f>
        <v/>
      </c>
      <c r="AZ285" s="62" t="str">
        <f>IF('Cálculo MP'!K286="","",'Cálculo MP'!K286)</f>
        <v/>
      </c>
      <c r="BA285" s="62" t="str">
        <f>IF('Cálculo MP'!L286="","",'Cálculo MP'!L286)</f>
        <v/>
      </c>
      <c r="BB285" s="62" t="str">
        <f>IF('Cálculo MP'!M286="","",'Cálculo MP'!M286)</f>
        <v/>
      </c>
      <c r="BC285" s="62" t="str">
        <f>IF('Cálculo MP'!N286="","",'Cálculo MP'!N286)</f>
        <v/>
      </c>
      <c r="BD285" s="62" t="str">
        <f>IF('Cálculo MP'!O286="","",'Cálculo MP'!O286)</f>
        <v/>
      </c>
      <c r="BE285" s="62" t="str">
        <f>IF('Cálculo MP'!P286="","",'Cálculo MP'!P286)</f>
        <v/>
      </c>
      <c r="BF285" s="62" t="str">
        <f>IF('Cálculo MP'!Q286="","",'Cálculo MP'!Q286)</f>
        <v/>
      </c>
      <c r="BG285" s="62" t="str">
        <f>IF('Cálculo MP'!R286="","",'Cálculo MP'!R286)</f>
        <v/>
      </c>
      <c r="BH285" s="32"/>
      <c r="BI285" s="32"/>
      <c r="BJ285" s="32"/>
      <c r="BK285" s="32"/>
      <c r="BL285" s="32"/>
      <c r="BM285" s="32"/>
      <c r="BN285" s="32"/>
      <c r="BO285" s="62" t="str">
        <f t="shared" si="14"/>
        <v/>
      </c>
    </row>
    <row r="286" spans="1:67" ht="19.5" customHeight="1" x14ac:dyDescent="0.2">
      <c r="A286" s="49" t="b">
        <v>0</v>
      </c>
      <c r="B286" s="50" t="b">
        <v>1</v>
      </c>
      <c r="C286" s="51" t="b">
        <v>0</v>
      </c>
      <c r="D286" s="51" t="b">
        <v>0</v>
      </c>
      <c r="E286" s="37"/>
      <c r="F286" s="39"/>
      <c r="G286" s="37" t="s">
        <v>1100</v>
      </c>
      <c r="H286" s="34"/>
      <c r="I286" s="34"/>
      <c r="J286" s="34" t="s">
        <v>1099</v>
      </c>
      <c r="K286" s="51" t="b">
        <v>1</v>
      </c>
      <c r="L286" s="40"/>
      <c r="M286" s="37" t="s">
        <v>1099</v>
      </c>
      <c r="N286" s="37" t="s">
        <v>1099</v>
      </c>
      <c r="O286" s="41" t="s">
        <v>1099</v>
      </c>
      <c r="P286" s="40" t="s">
        <v>1099</v>
      </c>
      <c r="Q286" s="37" t="s">
        <v>1099</v>
      </c>
      <c r="R286" s="37" t="s">
        <v>1099</v>
      </c>
      <c r="S286" s="113" t="s">
        <v>1099</v>
      </c>
      <c r="T286" s="56"/>
      <c r="U286" s="56"/>
      <c r="V286" s="56"/>
      <c r="W286" s="114" t="s">
        <v>1099</v>
      </c>
      <c r="X286" s="115"/>
      <c r="Y286" s="115"/>
      <c r="Z286" s="116"/>
      <c r="AA286" s="117" t="s">
        <v>1099</v>
      </c>
      <c r="AB286" s="116"/>
      <c r="AC286" s="56"/>
      <c r="AD286" s="116"/>
      <c r="AE286" s="44" t="s">
        <v>1099</v>
      </c>
      <c r="AF286" s="46" t="str">
        <f t="shared" si="12"/>
        <v/>
      </c>
      <c r="AG286" s="38" t="s">
        <v>1099</v>
      </c>
      <c r="AH286" s="47" t="str">
        <f t="shared" si="13"/>
        <v/>
      </c>
      <c r="AI286" s="32"/>
      <c r="AJ286" s="32"/>
      <c r="AK286" s="32"/>
      <c r="AL286" s="32"/>
      <c r="AM286" s="32" t="s">
        <v>1099</v>
      </c>
      <c r="AN286" s="32"/>
      <c r="AO286" s="32" t="s">
        <v>1099</v>
      </c>
      <c r="AP286" s="32"/>
      <c r="AQ286" s="32"/>
      <c r="AR286" s="32"/>
      <c r="AS286" s="32"/>
      <c r="AT286" s="32"/>
      <c r="AU286" s="32"/>
      <c r="AV286" s="38" t="s">
        <v>1099</v>
      </c>
      <c r="AW286" s="38" t="s">
        <v>1099</v>
      </c>
      <c r="AX286" s="42" t="s">
        <v>106</v>
      </c>
      <c r="AY286" s="62" t="str">
        <f>IF('Cálculo MP'!J287="","",'Cálculo MP'!J287)</f>
        <v/>
      </c>
      <c r="AZ286" s="62" t="str">
        <f>IF('Cálculo MP'!K287="","",'Cálculo MP'!K287)</f>
        <v/>
      </c>
      <c r="BA286" s="62" t="str">
        <f>IF('Cálculo MP'!L287="","",'Cálculo MP'!L287)</f>
        <v/>
      </c>
      <c r="BB286" s="62" t="str">
        <f>IF('Cálculo MP'!M287="","",'Cálculo MP'!M287)</f>
        <v/>
      </c>
      <c r="BC286" s="62" t="str">
        <f>IF('Cálculo MP'!N287="","",'Cálculo MP'!N287)</f>
        <v/>
      </c>
      <c r="BD286" s="62" t="str">
        <f>IF('Cálculo MP'!O287="","",'Cálculo MP'!O287)</f>
        <v/>
      </c>
      <c r="BE286" s="62" t="str">
        <f>IF('Cálculo MP'!P287="","",'Cálculo MP'!P287)</f>
        <v/>
      </c>
      <c r="BF286" s="62" t="str">
        <f>IF('Cálculo MP'!Q287="","",'Cálculo MP'!Q287)</f>
        <v/>
      </c>
      <c r="BG286" s="62" t="str">
        <f>IF('Cálculo MP'!R287="","",'Cálculo MP'!R287)</f>
        <v/>
      </c>
      <c r="BH286" s="32"/>
      <c r="BI286" s="32"/>
      <c r="BJ286" s="32"/>
      <c r="BK286" s="32"/>
      <c r="BL286" s="32"/>
      <c r="BM286" s="32"/>
      <c r="BN286" s="32"/>
      <c r="BO286" s="62" t="str">
        <f t="shared" si="14"/>
        <v/>
      </c>
    </row>
    <row r="287" spans="1:67" ht="19.5" customHeight="1" x14ac:dyDescent="0.2">
      <c r="A287" s="49" t="b">
        <v>0</v>
      </c>
      <c r="B287" s="50" t="b">
        <v>1</v>
      </c>
      <c r="C287" s="51" t="b">
        <v>0</v>
      </c>
      <c r="D287" s="51" t="b">
        <v>0</v>
      </c>
      <c r="E287" s="37"/>
      <c r="F287" s="39"/>
      <c r="G287" s="37" t="s">
        <v>1100</v>
      </c>
      <c r="H287" s="34"/>
      <c r="I287" s="34"/>
      <c r="J287" s="34" t="s">
        <v>1099</v>
      </c>
      <c r="K287" s="51" t="b">
        <v>1</v>
      </c>
      <c r="L287" s="40"/>
      <c r="M287" s="37" t="s">
        <v>1099</v>
      </c>
      <c r="N287" s="37" t="s">
        <v>1099</v>
      </c>
      <c r="O287" s="41" t="s">
        <v>1099</v>
      </c>
      <c r="P287" s="40" t="s">
        <v>1099</v>
      </c>
      <c r="Q287" s="37" t="s">
        <v>1099</v>
      </c>
      <c r="R287" s="37" t="s">
        <v>1099</v>
      </c>
      <c r="S287" s="113" t="s">
        <v>1099</v>
      </c>
      <c r="T287" s="56"/>
      <c r="U287" s="56"/>
      <c r="V287" s="56"/>
      <c r="W287" s="114" t="s">
        <v>1099</v>
      </c>
      <c r="X287" s="115"/>
      <c r="Y287" s="115"/>
      <c r="Z287" s="116"/>
      <c r="AA287" s="117" t="s">
        <v>1099</v>
      </c>
      <c r="AB287" s="116"/>
      <c r="AC287" s="56"/>
      <c r="AD287" s="116"/>
      <c r="AE287" s="44" t="s">
        <v>1099</v>
      </c>
      <c r="AF287" s="46" t="str">
        <f t="shared" si="12"/>
        <v/>
      </c>
      <c r="AG287" s="38" t="s">
        <v>1099</v>
      </c>
      <c r="AH287" s="47" t="str">
        <f t="shared" si="13"/>
        <v/>
      </c>
      <c r="AI287" s="32"/>
      <c r="AJ287" s="32"/>
      <c r="AK287" s="32"/>
      <c r="AL287" s="32"/>
      <c r="AM287" s="32" t="s">
        <v>1099</v>
      </c>
      <c r="AN287" s="32"/>
      <c r="AO287" s="32" t="s">
        <v>1099</v>
      </c>
      <c r="AP287" s="32"/>
      <c r="AQ287" s="32"/>
      <c r="AR287" s="32"/>
      <c r="AS287" s="32"/>
      <c r="AT287" s="32"/>
      <c r="AU287" s="32"/>
      <c r="AV287" s="38" t="s">
        <v>1099</v>
      </c>
      <c r="AW287" s="38" t="s">
        <v>1099</v>
      </c>
      <c r="AX287" s="42" t="s">
        <v>106</v>
      </c>
      <c r="AY287" s="62" t="str">
        <f>IF('Cálculo MP'!J288="","",'Cálculo MP'!J288)</f>
        <v/>
      </c>
      <c r="AZ287" s="62" t="str">
        <f>IF('Cálculo MP'!K288="","",'Cálculo MP'!K288)</f>
        <v/>
      </c>
      <c r="BA287" s="62" t="str">
        <f>IF('Cálculo MP'!L288="","",'Cálculo MP'!L288)</f>
        <v/>
      </c>
      <c r="BB287" s="62" t="str">
        <f>IF('Cálculo MP'!M288="","",'Cálculo MP'!M288)</f>
        <v/>
      </c>
      <c r="BC287" s="62" t="str">
        <f>IF('Cálculo MP'!N288="","",'Cálculo MP'!N288)</f>
        <v/>
      </c>
      <c r="BD287" s="62" t="str">
        <f>IF('Cálculo MP'!O288="","",'Cálculo MP'!O288)</f>
        <v/>
      </c>
      <c r="BE287" s="62" t="str">
        <f>IF('Cálculo MP'!P288="","",'Cálculo MP'!P288)</f>
        <v/>
      </c>
      <c r="BF287" s="62" t="str">
        <f>IF('Cálculo MP'!Q288="","",'Cálculo MP'!Q288)</f>
        <v/>
      </c>
      <c r="BG287" s="62" t="str">
        <f>IF('Cálculo MP'!R288="","",'Cálculo MP'!R288)</f>
        <v/>
      </c>
      <c r="BH287" s="32"/>
      <c r="BI287" s="32"/>
      <c r="BJ287" s="32"/>
      <c r="BK287" s="32"/>
      <c r="BL287" s="32"/>
      <c r="BM287" s="32"/>
      <c r="BN287" s="32"/>
      <c r="BO287" s="62" t="str">
        <f t="shared" si="14"/>
        <v/>
      </c>
    </row>
    <row r="288" spans="1:67" ht="19.5" customHeight="1" x14ac:dyDescent="0.2">
      <c r="A288" s="49" t="b">
        <v>0</v>
      </c>
      <c r="B288" s="50" t="b">
        <v>1</v>
      </c>
      <c r="C288" s="51" t="b">
        <v>0</v>
      </c>
      <c r="D288" s="51" t="b">
        <v>0</v>
      </c>
      <c r="E288" s="37"/>
      <c r="F288" s="39"/>
      <c r="G288" s="37" t="s">
        <v>1100</v>
      </c>
      <c r="H288" s="34"/>
      <c r="I288" s="34"/>
      <c r="J288" s="34" t="s">
        <v>1099</v>
      </c>
      <c r="K288" s="51" t="b">
        <v>1</v>
      </c>
      <c r="L288" s="40"/>
      <c r="M288" s="37" t="s">
        <v>1099</v>
      </c>
      <c r="N288" s="37" t="s">
        <v>1099</v>
      </c>
      <c r="O288" s="41" t="s">
        <v>1099</v>
      </c>
      <c r="P288" s="40" t="s">
        <v>1099</v>
      </c>
      <c r="Q288" s="37" t="s">
        <v>1099</v>
      </c>
      <c r="R288" s="37" t="s">
        <v>1099</v>
      </c>
      <c r="S288" s="113" t="s">
        <v>1099</v>
      </c>
      <c r="T288" s="56"/>
      <c r="U288" s="56"/>
      <c r="V288" s="56"/>
      <c r="W288" s="114" t="s">
        <v>1099</v>
      </c>
      <c r="X288" s="115"/>
      <c r="Y288" s="115"/>
      <c r="Z288" s="116"/>
      <c r="AA288" s="117" t="s">
        <v>1099</v>
      </c>
      <c r="AB288" s="116"/>
      <c r="AC288" s="56"/>
      <c r="AD288" s="116"/>
      <c r="AE288" s="44" t="s">
        <v>1099</v>
      </c>
      <c r="AF288" s="46" t="str">
        <f t="shared" si="12"/>
        <v/>
      </c>
      <c r="AG288" s="38" t="s">
        <v>1099</v>
      </c>
      <c r="AH288" s="47" t="str">
        <f t="shared" si="13"/>
        <v/>
      </c>
      <c r="AI288" s="32"/>
      <c r="AJ288" s="32"/>
      <c r="AK288" s="32"/>
      <c r="AL288" s="32"/>
      <c r="AM288" s="32" t="s">
        <v>1099</v>
      </c>
      <c r="AN288" s="32"/>
      <c r="AO288" s="32" t="s">
        <v>1099</v>
      </c>
      <c r="AP288" s="32"/>
      <c r="AQ288" s="32"/>
      <c r="AR288" s="32"/>
      <c r="AS288" s="32"/>
      <c r="AT288" s="32"/>
      <c r="AU288" s="32"/>
      <c r="AV288" s="38" t="s">
        <v>1099</v>
      </c>
      <c r="AW288" s="38" t="s">
        <v>1099</v>
      </c>
      <c r="AX288" s="42" t="s">
        <v>106</v>
      </c>
      <c r="AY288" s="62" t="str">
        <f>IF('Cálculo MP'!J289="","",'Cálculo MP'!J289)</f>
        <v/>
      </c>
      <c r="AZ288" s="62" t="str">
        <f>IF('Cálculo MP'!K289="","",'Cálculo MP'!K289)</f>
        <v/>
      </c>
      <c r="BA288" s="62" t="str">
        <f>IF('Cálculo MP'!L289="","",'Cálculo MP'!L289)</f>
        <v/>
      </c>
      <c r="BB288" s="62" t="str">
        <f>IF('Cálculo MP'!M289="","",'Cálculo MP'!M289)</f>
        <v/>
      </c>
      <c r="BC288" s="62" t="str">
        <f>IF('Cálculo MP'!N289="","",'Cálculo MP'!N289)</f>
        <v/>
      </c>
      <c r="BD288" s="62" t="str">
        <f>IF('Cálculo MP'!O289="","",'Cálculo MP'!O289)</f>
        <v/>
      </c>
      <c r="BE288" s="62" t="str">
        <f>IF('Cálculo MP'!P289="","",'Cálculo MP'!P289)</f>
        <v/>
      </c>
      <c r="BF288" s="62" t="str">
        <f>IF('Cálculo MP'!Q289="","",'Cálculo MP'!Q289)</f>
        <v/>
      </c>
      <c r="BG288" s="62" t="str">
        <f>IF('Cálculo MP'!R289="","",'Cálculo MP'!R289)</f>
        <v/>
      </c>
      <c r="BH288" s="32"/>
      <c r="BI288" s="32"/>
      <c r="BJ288" s="32"/>
      <c r="BK288" s="32"/>
      <c r="BL288" s="32"/>
      <c r="BM288" s="32"/>
      <c r="BN288" s="32"/>
      <c r="BO288" s="62" t="str">
        <f t="shared" si="14"/>
        <v/>
      </c>
    </row>
    <row r="289" spans="1:67" ht="19.5" customHeight="1" x14ac:dyDescent="0.2">
      <c r="A289" s="49" t="b">
        <v>0</v>
      </c>
      <c r="B289" s="50" t="b">
        <v>1</v>
      </c>
      <c r="C289" s="51" t="b">
        <v>0</v>
      </c>
      <c r="D289" s="51" t="b">
        <v>0</v>
      </c>
      <c r="E289" s="37"/>
      <c r="F289" s="39"/>
      <c r="G289" s="37" t="s">
        <v>1100</v>
      </c>
      <c r="H289" s="34"/>
      <c r="I289" s="34"/>
      <c r="J289" s="34" t="s">
        <v>1099</v>
      </c>
      <c r="K289" s="51" t="b">
        <v>1</v>
      </c>
      <c r="L289" s="40"/>
      <c r="M289" s="37" t="s">
        <v>1099</v>
      </c>
      <c r="N289" s="37" t="s">
        <v>1099</v>
      </c>
      <c r="O289" s="41" t="s">
        <v>1099</v>
      </c>
      <c r="P289" s="40" t="s">
        <v>1099</v>
      </c>
      <c r="Q289" s="37" t="s">
        <v>1099</v>
      </c>
      <c r="R289" s="37" t="s">
        <v>1099</v>
      </c>
      <c r="S289" s="113" t="s">
        <v>1099</v>
      </c>
      <c r="T289" s="56"/>
      <c r="U289" s="56"/>
      <c r="V289" s="56"/>
      <c r="W289" s="114" t="s">
        <v>1099</v>
      </c>
      <c r="X289" s="115"/>
      <c r="Y289" s="115"/>
      <c r="Z289" s="116"/>
      <c r="AA289" s="117" t="s">
        <v>1099</v>
      </c>
      <c r="AB289" s="116"/>
      <c r="AC289" s="56"/>
      <c r="AD289" s="116"/>
      <c r="AE289" s="44" t="s">
        <v>1099</v>
      </c>
      <c r="AF289" s="46" t="str">
        <f t="shared" si="12"/>
        <v/>
      </c>
      <c r="AG289" s="38" t="s">
        <v>1099</v>
      </c>
      <c r="AH289" s="47" t="str">
        <f t="shared" si="13"/>
        <v/>
      </c>
      <c r="AI289" s="32"/>
      <c r="AJ289" s="32"/>
      <c r="AK289" s="32"/>
      <c r="AL289" s="32"/>
      <c r="AM289" s="32" t="s">
        <v>1099</v>
      </c>
      <c r="AN289" s="32"/>
      <c r="AO289" s="32" t="s">
        <v>1099</v>
      </c>
      <c r="AP289" s="32"/>
      <c r="AQ289" s="32"/>
      <c r="AR289" s="32"/>
      <c r="AS289" s="32"/>
      <c r="AT289" s="32"/>
      <c r="AU289" s="32"/>
      <c r="AV289" s="38" t="s">
        <v>1099</v>
      </c>
      <c r="AW289" s="38" t="s">
        <v>1099</v>
      </c>
      <c r="AX289" s="42" t="s">
        <v>106</v>
      </c>
      <c r="AY289" s="62" t="str">
        <f>IF('Cálculo MP'!J290="","",'Cálculo MP'!J290)</f>
        <v/>
      </c>
      <c r="AZ289" s="62" t="str">
        <f>IF('Cálculo MP'!K290="","",'Cálculo MP'!K290)</f>
        <v/>
      </c>
      <c r="BA289" s="62" t="str">
        <f>IF('Cálculo MP'!L290="","",'Cálculo MP'!L290)</f>
        <v/>
      </c>
      <c r="BB289" s="62" t="str">
        <f>IF('Cálculo MP'!M290="","",'Cálculo MP'!M290)</f>
        <v/>
      </c>
      <c r="BC289" s="62" t="str">
        <f>IF('Cálculo MP'!N290="","",'Cálculo MP'!N290)</f>
        <v/>
      </c>
      <c r="BD289" s="62" t="str">
        <f>IF('Cálculo MP'!O290="","",'Cálculo MP'!O290)</f>
        <v/>
      </c>
      <c r="BE289" s="62" t="str">
        <f>IF('Cálculo MP'!P290="","",'Cálculo MP'!P290)</f>
        <v/>
      </c>
      <c r="BF289" s="62" t="str">
        <f>IF('Cálculo MP'!Q290="","",'Cálculo MP'!Q290)</f>
        <v/>
      </c>
      <c r="BG289" s="62" t="str">
        <f>IF('Cálculo MP'!R290="","",'Cálculo MP'!R290)</f>
        <v/>
      </c>
      <c r="BH289" s="32"/>
      <c r="BI289" s="32"/>
      <c r="BJ289" s="32"/>
      <c r="BK289" s="32"/>
      <c r="BL289" s="32"/>
      <c r="BM289" s="32"/>
      <c r="BN289" s="32"/>
      <c r="BO289" s="62" t="str">
        <f t="shared" si="14"/>
        <v/>
      </c>
    </row>
    <row r="290" spans="1:67" ht="19.5" customHeight="1" x14ac:dyDescent="0.2">
      <c r="A290" s="49" t="b">
        <v>0</v>
      </c>
      <c r="B290" s="50" t="b">
        <v>1</v>
      </c>
      <c r="C290" s="51" t="b">
        <v>0</v>
      </c>
      <c r="D290" s="51" t="b">
        <v>0</v>
      </c>
      <c r="E290" s="37"/>
      <c r="F290" s="39"/>
      <c r="G290" s="37" t="s">
        <v>1100</v>
      </c>
      <c r="H290" s="34"/>
      <c r="I290" s="34"/>
      <c r="J290" s="34" t="s">
        <v>1099</v>
      </c>
      <c r="K290" s="51" t="b">
        <v>1</v>
      </c>
      <c r="L290" s="40"/>
      <c r="M290" s="37" t="s">
        <v>1099</v>
      </c>
      <c r="N290" s="37" t="s">
        <v>1099</v>
      </c>
      <c r="O290" s="41" t="s">
        <v>1099</v>
      </c>
      <c r="P290" s="40" t="s">
        <v>1099</v>
      </c>
      <c r="Q290" s="37" t="s">
        <v>1099</v>
      </c>
      <c r="R290" s="37" t="s">
        <v>1099</v>
      </c>
      <c r="S290" s="113" t="s">
        <v>1099</v>
      </c>
      <c r="T290" s="56"/>
      <c r="U290" s="56"/>
      <c r="V290" s="56"/>
      <c r="W290" s="114" t="s">
        <v>1099</v>
      </c>
      <c r="X290" s="115"/>
      <c r="Y290" s="115"/>
      <c r="Z290" s="116"/>
      <c r="AA290" s="117" t="s">
        <v>1099</v>
      </c>
      <c r="AB290" s="116"/>
      <c r="AC290" s="56"/>
      <c r="AD290" s="116"/>
      <c r="AE290" s="44" t="s">
        <v>1099</v>
      </c>
      <c r="AF290" s="46" t="str">
        <f t="shared" si="12"/>
        <v/>
      </c>
      <c r="AG290" s="38" t="s">
        <v>1099</v>
      </c>
      <c r="AH290" s="47" t="str">
        <f t="shared" si="13"/>
        <v/>
      </c>
      <c r="AI290" s="32"/>
      <c r="AJ290" s="32"/>
      <c r="AK290" s="32"/>
      <c r="AL290" s="32"/>
      <c r="AM290" s="32" t="s">
        <v>1099</v>
      </c>
      <c r="AN290" s="32"/>
      <c r="AO290" s="32" t="s">
        <v>1099</v>
      </c>
      <c r="AP290" s="32"/>
      <c r="AQ290" s="32"/>
      <c r="AR290" s="32"/>
      <c r="AS290" s="32"/>
      <c r="AT290" s="32"/>
      <c r="AU290" s="32"/>
      <c r="AV290" s="38" t="s">
        <v>1099</v>
      </c>
      <c r="AW290" s="38" t="s">
        <v>1099</v>
      </c>
      <c r="AX290" s="42" t="s">
        <v>106</v>
      </c>
      <c r="AY290" s="62" t="str">
        <f>IF('Cálculo MP'!J291="","",'Cálculo MP'!J291)</f>
        <v/>
      </c>
      <c r="AZ290" s="62" t="str">
        <f>IF('Cálculo MP'!K291="","",'Cálculo MP'!K291)</f>
        <v/>
      </c>
      <c r="BA290" s="62" t="str">
        <f>IF('Cálculo MP'!L291="","",'Cálculo MP'!L291)</f>
        <v/>
      </c>
      <c r="BB290" s="62" t="str">
        <f>IF('Cálculo MP'!M291="","",'Cálculo MP'!M291)</f>
        <v/>
      </c>
      <c r="BC290" s="62" t="str">
        <f>IF('Cálculo MP'!N291="","",'Cálculo MP'!N291)</f>
        <v/>
      </c>
      <c r="BD290" s="62" t="str">
        <f>IF('Cálculo MP'!O291="","",'Cálculo MP'!O291)</f>
        <v/>
      </c>
      <c r="BE290" s="62" t="str">
        <f>IF('Cálculo MP'!P291="","",'Cálculo MP'!P291)</f>
        <v/>
      </c>
      <c r="BF290" s="62" t="str">
        <f>IF('Cálculo MP'!Q291="","",'Cálculo MP'!Q291)</f>
        <v/>
      </c>
      <c r="BG290" s="62" t="str">
        <f>IF('Cálculo MP'!R291="","",'Cálculo MP'!R291)</f>
        <v/>
      </c>
      <c r="BH290" s="32"/>
      <c r="BI290" s="32"/>
      <c r="BJ290" s="32"/>
      <c r="BK290" s="32"/>
      <c r="BL290" s="32"/>
      <c r="BM290" s="32"/>
      <c r="BN290" s="32"/>
      <c r="BO290" s="62" t="str">
        <f t="shared" si="14"/>
        <v/>
      </c>
    </row>
    <row r="291" spans="1:67" ht="19.5" customHeight="1" x14ac:dyDescent="0.2">
      <c r="A291" s="49" t="b">
        <v>0</v>
      </c>
      <c r="B291" s="50" t="b">
        <v>1</v>
      </c>
      <c r="C291" s="51" t="b">
        <v>0</v>
      </c>
      <c r="D291" s="51" t="b">
        <v>0</v>
      </c>
      <c r="E291" s="37"/>
      <c r="F291" s="39"/>
      <c r="G291" s="37" t="s">
        <v>1100</v>
      </c>
      <c r="H291" s="34"/>
      <c r="I291" s="34"/>
      <c r="J291" s="34" t="s">
        <v>1099</v>
      </c>
      <c r="K291" s="51" t="b">
        <v>1</v>
      </c>
      <c r="L291" s="40"/>
      <c r="M291" s="37" t="s">
        <v>1099</v>
      </c>
      <c r="N291" s="37" t="s">
        <v>1099</v>
      </c>
      <c r="O291" s="41" t="s">
        <v>1099</v>
      </c>
      <c r="P291" s="40" t="s">
        <v>1099</v>
      </c>
      <c r="Q291" s="37" t="s">
        <v>1099</v>
      </c>
      <c r="R291" s="37" t="s">
        <v>1099</v>
      </c>
      <c r="S291" s="113" t="s">
        <v>1099</v>
      </c>
      <c r="T291" s="56"/>
      <c r="U291" s="56"/>
      <c r="V291" s="56"/>
      <c r="W291" s="114" t="s">
        <v>1099</v>
      </c>
      <c r="X291" s="115"/>
      <c r="Y291" s="115"/>
      <c r="Z291" s="116"/>
      <c r="AA291" s="117" t="s">
        <v>1099</v>
      </c>
      <c r="AB291" s="116"/>
      <c r="AC291" s="56"/>
      <c r="AD291" s="116"/>
      <c r="AE291" s="44" t="s">
        <v>1099</v>
      </c>
      <c r="AF291" s="46" t="str">
        <f t="shared" si="12"/>
        <v/>
      </c>
      <c r="AG291" s="38" t="s">
        <v>1099</v>
      </c>
      <c r="AH291" s="47" t="str">
        <f t="shared" si="13"/>
        <v/>
      </c>
      <c r="AI291" s="32"/>
      <c r="AJ291" s="32"/>
      <c r="AK291" s="32"/>
      <c r="AL291" s="32"/>
      <c r="AM291" s="32" t="s">
        <v>1099</v>
      </c>
      <c r="AN291" s="32"/>
      <c r="AO291" s="32" t="s">
        <v>1099</v>
      </c>
      <c r="AP291" s="32"/>
      <c r="AQ291" s="32"/>
      <c r="AR291" s="32"/>
      <c r="AS291" s="32"/>
      <c r="AT291" s="32"/>
      <c r="AU291" s="32"/>
      <c r="AV291" s="38" t="s">
        <v>1099</v>
      </c>
      <c r="AW291" s="38" t="s">
        <v>1099</v>
      </c>
      <c r="AX291" s="42" t="s">
        <v>106</v>
      </c>
      <c r="AY291" s="62" t="str">
        <f>IF('Cálculo MP'!J292="","",'Cálculo MP'!J292)</f>
        <v/>
      </c>
      <c r="AZ291" s="62" t="str">
        <f>IF('Cálculo MP'!K292="","",'Cálculo MP'!K292)</f>
        <v/>
      </c>
      <c r="BA291" s="62" t="str">
        <f>IF('Cálculo MP'!L292="","",'Cálculo MP'!L292)</f>
        <v/>
      </c>
      <c r="BB291" s="62" t="str">
        <f>IF('Cálculo MP'!M292="","",'Cálculo MP'!M292)</f>
        <v/>
      </c>
      <c r="BC291" s="62" t="str">
        <f>IF('Cálculo MP'!N292="","",'Cálculo MP'!N292)</f>
        <v/>
      </c>
      <c r="BD291" s="62" t="str">
        <f>IF('Cálculo MP'!O292="","",'Cálculo MP'!O292)</f>
        <v/>
      </c>
      <c r="BE291" s="62" t="str">
        <f>IF('Cálculo MP'!P292="","",'Cálculo MP'!P292)</f>
        <v/>
      </c>
      <c r="BF291" s="62" t="str">
        <f>IF('Cálculo MP'!Q292="","",'Cálculo MP'!Q292)</f>
        <v/>
      </c>
      <c r="BG291" s="62" t="str">
        <f>IF('Cálculo MP'!R292="","",'Cálculo MP'!R292)</f>
        <v/>
      </c>
      <c r="BH291" s="32"/>
      <c r="BI291" s="32"/>
      <c r="BJ291" s="32"/>
      <c r="BK291" s="32"/>
      <c r="BL291" s="32"/>
      <c r="BM291" s="32"/>
      <c r="BN291" s="32"/>
      <c r="BO291" s="62" t="str">
        <f t="shared" si="14"/>
        <v/>
      </c>
    </row>
    <row r="292" spans="1:67" ht="19.5" customHeight="1" x14ac:dyDescent="0.2">
      <c r="A292" s="49" t="b">
        <v>0</v>
      </c>
      <c r="B292" s="50" t="b">
        <v>1</v>
      </c>
      <c r="C292" s="51" t="b">
        <v>0</v>
      </c>
      <c r="D292" s="51" t="b">
        <v>0</v>
      </c>
      <c r="E292" s="37"/>
      <c r="F292" s="39"/>
      <c r="G292" s="37" t="s">
        <v>1100</v>
      </c>
      <c r="H292" s="34"/>
      <c r="I292" s="34"/>
      <c r="J292" s="34" t="s">
        <v>1099</v>
      </c>
      <c r="K292" s="51" t="b">
        <v>1</v>
      </c>
      <c r="L292" s="40"/>
      <c r="M292" s="37" t="s">
        <v>1099</v>
      </c>
      <c r="N292" s="37" t="s">
        <v>1099</v>
      </c>
      <c r="O292" s="41" t="s">
        <v>1099</v>
      </c>
      <c r="P292" s="40" t="s">
        <v>1099</v>
      </c>
      <c r="Q292" s="37" t="s">
        <v>1099</v>
      </c>
      <c r="R292" s="37" t="s">
        <v>1099</v>
      </c>
      <c r="S292" s="113" t="s">
        <v>1099</v>
      </c>
      <c r="T292" s="56"/>
      <c r="U292" s="56"/>
      <c r="V292" s="56"/>
      <c r="W292" s="114" t="s">
        <v>1099</v>
      </c>
      <c r="X292" s="115"/>
      <c r="Y292" s="115"/>
      <c r="Z292" s="116"/>
      <c r="AA292" s="117" t="s">
        <v>1099</v>
      </c>
      <c r="AB292" s="116"/>
      <c r="AC292" s="56"/>
      <c r="AD292" s="116"/>
      <c r="AE292" s="44" t="s">
        <v>1099</v>
      </c>
      <c r="AF292" s="46" t="str">
        <f t="shared" si="12"/>
        <v/>
      </c>
      <c r="AG292" s="38" t="s">
        <v>1099</v>
      </c>
      <c r="AH292" s="47" t="str">
        <f t="shared" si="13"/>
        <v/>
      </c>
      <c r="AI292" s="32"/>
      <c r="AJ292" s="32"/>
      <c r="AK292" s="32"/>
      <c r="AL292" s="32"/>
      <c r="AM292" s="32" t="s">
        <v>1099</v>
      </c>
      <c r="AN292" s="32"/>
      <c r="AO292" s="32" t="s">
        <v>1099</v>
      </c>
      <c r="AP292" s="32"/>
      <c r="AQ292" s="32"/>
      <c r="AR292" s="32"/>
      <c r="AS292" s="32"/>
      <c r="AT292" s="32"/>
      <c r="AU292" s="32"/>
      <c r="AV292" s="38" t="s">
        <v>1099</v>
      </c>
      <c r="AW292" s="38" t="s">
        <v>1099</v>
      </c>
      <c r="AX292" s="42" t="s">
        <v>106</v>
      </c>
      <c r="AY292" s="62" t="str">
        <f>IF('Cálculo MP'!J293="","",'Cálculo MP'!J293)</f>
        <v/>
      </c>
      <c r="AZ292" s="62" t="str">
        <f>IF('Cálculo MP'!K293="","",'Cálculo MP'!K293)</f>
        <v/>
      </c>
      <c r="BA292" s="62" t="str">
        <f>IF('Cálculo MP'!L293="","",'Cálculo MP'!L293)</f>
        <v/>
      </c>
      <c r="BB292" s="62" t="str">
        <f>IF('Cálculo MP'!M293="","",'Cálculo MP'!M293)</f>
        <v/>
      </c>
      <c r="BC292" s="62" t="str">
        <f>IF('Cálculo MP'!N293="","",'Cálculo MP'!N293)</f>
        <v/>
      </c>
      <c r="BD292" s="62" t="str">
        <f>IF('Cálculo MP'!O293="","",'Cálculo MP'!O293)</f>
        <v/>
      </c>
      <c r="BE292" s="62" t="str">
        <f>IF('Cálculo MP'!P293="","",'Cálculo MP'!P293)</f>
        <v/>
      </c>
      <c r="BF292" s="62" t="str">
        <f>IF('Cálculo MP'!Q293="","",'Cálculo MP'!Q293)</f>
        <v/>
      </c>
      <c r="BG292" s="62" t="str">
        <f>IF('Cálculo MP'!R293="","",'Cálculo MP'!R293)</f>
        <v/>
      </c>
      <c r="BH292" s="32"/>
      <c r="BI292" s="32"/>
      <c r="BJ292" s="32"/>
      <c r="BK292" s="32"/>
      <c r="BL292" s="32"/>
      <c r="BM292" s="32"/>
      <c r="BN292" s="32"/>
      <c r="BO292" s="62" t="str">
        <f t="shared" si="14"/>
        <v/>
      </c>
    </row>
    <row r="293" spans="1:67" ht="19.5" customHeight="1" x14ac:dyDescent="0.2">
      <c r="A293" s="49" t="b">
        <v>0</v>
      </c>
      <c r="B293" s="50" t="b">
        <v>1</v>
      </c>
      <c r="C293" s="51" t="b">
        <v>0</v>
      </c>
      <c r="D293" s="51" t="b">
        <v>0</v>
      </c>
      <c r="E293" s="37"/>
      <c r="F293" s="39"/>
      <c r="G293" s="37" t="s">
        <v>1100</v>
      </c>
      <c r="H293" s="34"/>
      <c r="I293" s="34"/>
      <c r="J293" s="34" t="s">
        <v>1099</v>
      </c>
      <c r="K293" s="51" t="b">
        <v>1</v>
      </c>
      <c r="L293" s="40"/>
      <c r="M293" s="37" t="s">
        <v>1099</v>
      </c>
      <c r="N293" s="37" t="s">
        <v>1099</v>
      </c>
      <c r="O293" s="41" t="s">
        <v>1099</v>
      </c>
      <c r="P293" s="40" t="s">
        <v>1099</v>
      </c>
      <c r="Q293" s="37" t="s">
        <v>1099</v>
      </c>
      <c r="R293" s="37" t="s">
        <v>1099</v>
      </c>
      <c r="S293" s="113" t="s">
        <v>1099</v>
      </c>
      <c r="T293" s="56"/>
      <c r="U293" s="56"/>
      <c r="V293" s="56"/>
      <c r="W293" s="114" t="s">
        <v>1099</v>
      </c>
      <c r="X293" s="115"/>
      <c r="Y293" s="115"/>
      <c r="Z293" s="116"/>
      <c r="AA293" s="117" t="s">
        <v>1099</v>
      </c>
      <c r="AB293" s="116"/>
      <c r="AC293" s="56"/>
      <c r="AD293" s="116"/>
      <c r="AE293" s="44" t="s">
        <v>1099</v>
      </c>
      <c r="AF293" s="46" t="str">
        <f t="shared" si="12"/>
        <v/>
      </c>
      <c r="AG293" s="38" t="s">
        <v>1099</v>
      </c>
      <c r="AH293" s="47" t="str">
        <f t="shared" si="13"/>
        <v/>
      </c>
      <c r="AI293" s="32"/>
      <c r="AJ293" s="32"/>
      <c r="AK293" s="32"/>
      <c r="AL293" s="32"/>
      <c r="AM293" s="32" t="s">
        <v>1099</v>
      </c>
      <c r="AN293" s="32"/>
      <c r="AO293" s="32" t="s">
        <v>1099</v>
      </c>
      <c r="AP293" s="32"/>
      <c r="AQ293" s="32"/>
      <c r="AR293" s="32"/>
      <c r="AS293" s="32"/>
      <c r="AT293" s="32"/>
      <c r="AU293" s="32"/>
      <c r="AV293" s="38" t="s">
        <v>1099</v>
      </c>
      <c r="AW293" s="38" t="s">
        <v>1099</v>
      </c>
      <c r="AX293" s="42" t="s">
        <v>106</v>
      </c>
      <c r="AY293" s="62" t="str">
        <f>IF('Cálculo MP'!J294="","",'Cálculo MP'!J294)</f>
        <v/>
      </c>
      <c r="AZ293" s="62" t="str">
        <f>IF('Cálculo MP'!K294="","",'Cálculo MP'!K294)</f>
        <v/>
      </c>
      <c r="BA293" s="62" t="str">
        <f>IF('Cálculo MP'!L294="","",'Cálculo MP'!L294)</f>
        <v/>
      </c>
      <c r="BB293" s="62" t="str">
        <f>IF('Cálculo MP'!M294="","",'Cálculo MP'!M294)</f>
        <v/>
      </c>
      <c r="BC293" s="62" t="str">
        <f>IF('Cálculo MP'!N294="","",'Cálculo MP'!N294)</f>
        <v/>
      </c>
      <c r="BD293" s="62" t="str">
        <f>IF('Cálculo MP'!O294="","",'Cálculo MP'!O294)</f>
        <v/>
      </c>
      <c r="BE293" s="62" t="str">
        <f>IF('Cálculo MP'!P294="","",'Cálculo MP'!P294)</f>
        <v/>
      </c>
      <c r="BF293" s="62" t="str">
        <f>IF('Cálculo MP'!Q294="","",'Cálculo MP'!Q294)</f>
        <v/>
      </c>
      <c r="BG293" s="62" t="str">
        <f>IF('Cálculo MP'!R294="","",'Cálculo MP'!R294)</f>
        <v/>
      </c>
      <c r="BH293" s="32"/>
      <c r="BI293" s="32"/>
      <c r="BJ293" s="32"/>
      <c r="BK293" s="32"/>
      <c r="BL293" s="32"/>
      <c r="BM293" s="32"/>
      <c r="BN293" s="32"/>
      <c r="BO293" s="62" t="str">
        <f t="shared" si="14"/>
        <v/>
      </c>
    </row>
    <row r="294" spans="1:67" ht="19.5" customHeight="1" x14ac:dyDescent="0.2">
      <c r="A294" s="49" t="b">
        <v>0</v>
      </c>
      <c r="B294" s="50" t="b">
        <v>1</v>
      </c>
      <c r="C294" s="51" t="b">
        <v>0</v>
      </c>
      <c r="D294" s="51" t="b">
        <v>0</v>
      </c>
      <c r="E294" s="37"/>
      <c r="F294" s="39"/>
      <c r="G294" s="37" t="s">
        <v>1100</v>
      </c>
      <c r="H294" s="34"/>
      <c r="I294" s="34"/>
      <c r="J294" s="34" t="s">
        <v>1099</v>
      </c>
      <c r="K294" s="51" t="b">
        <v>1</v>
      </c>
      <c r="L294" s="40"/>
      <c r="M294" s="37" t="s">
        <v>1099</v>
      </c>
      <c r="N294" s="37" t="s">
        <v>1099</v>
      </c>
      <c r="O294" s="41" t="s">
        <v>1099</v>
      </c>
      <c r="P294" s="40" t="s">
        <v>1099</v>
      </c>
      <c r="Q294" s="37" t="s">
        <v>1099</v>
      </c>
      <c r="R294" s="37" t="s">
        <v>1099</v>
      </c>
      <c r="S294" s="113" t="s">
        <v>1099</v>
      </c>
      <c r="T294" s="56"/>
      <c r="U294" s="56"/>
      <c r="V294" s="56"/>
      <c r="W294" s="114" t="s">
        <v>1099</v>
      </c>
      <c r="X294" s="115"/>
      <c r="Y294" s="115"/>
      <c r="Z294" s="116"/>
      <c r="AA294" s="117" t="s">
        <v>1099</v>
      </c>
      <c r="AB294" s="116"/>
      <c r="AC294" s="56"/>
      <c r="AD294" s="116"/>
      <c r="AE294" s="44" t="s">
        <v>1099</v>
      </c>
      <c r="AF294" s="46" t="str">
        <f t="shared" si="12"/>
        <v/>
      </c>
      <c r="AG294" s="38" t="s">
        <v>1099</v>
      </c>
      <c r="AH294" s="47" t="str">
        <f t="shared" si="13"/>
        <v/>
      </c>
      <c r="AI294" s="32"/>
      <c r="AJ294" s="32"/>
      <c r="AK294" s="32"/>
      <c r="AL294" s="32"/>
      <c r="AM294" s="32" t="s">
        <v>1099</v>
      </c>
      <c r="AN294" s="32"/>
      <c r="AO294" s="32" t="s">
        <v>1099</v>
      </c>
      <c r="AP294" s="32"/>
      <c r="AQ294" s="32"/>
      <c r="AR294" s="32"/>
      <c r="AS294" s="32"/>
      <c r="AT294" s="32"/>
      <c r="AU294" s="32"/>
      <c r="AV294" s="38" t="s">
        <v>1099</v>
      </c>
      <c r="AW294" s="38" t="s">
        <v>1099</v>
      </c>
      <c r="AX294" s="42" t="s">
        <v>106</v>
      </c>
      <c r="AY294" s="62" t="str">
        <f>IF('Cálculo MP'!J295="","",'Cálculo MP'!J295)</f>
        <v/>
      </c>
      <c r="AZ294" s="62" t="str">
        <f>IF('Cálculo MP'!K295="","",'Cálculo MP'!K295)</f>
        <v/>
      </c>
      <c r="BA294" s="62" t="str">
        <f>IF('Cálculo MP'!L295="","",'Cálculo MP'!L295)</f>
        <v/>
      </c>
      <c r="BB294" s="62" t="str">
        <f>IF('Cálculo MP'!M295="","",'Cálculo MP'!M295)</f>
        <v/>
      </c>
      <c r="BC294" s="62" t="str">
        <f>IF('Cálculo MP'!N295="","",'Cálculo MP'!N295)</f>
        <v/>
      </c>
      <c r="BD294" s="62" t="str">
        <f>IF('Cálculo MP'!O295="","",'Cálculo MP'!O295)</f>
        <v/>
      </c>
      <c r="BE294" s="62" t="str">
        <f>IF('Cálculo MP'!P295="","",'Cálculo MP'!P295)</f>
        <v/>
      </c>
      <c r="BF294" s="62" t="str">
        <f>IF('Cálculo MP'!Q295="","",'Cálculo MP'!Q295)</f>
        <v/>
      </c>
      <c r="BG294" s="62" t="str">
        <f>IF('Cálculo MP'!R295="","",'Cálculo MP'!R295)</f>
        <v/>
      </c>
      <c r="BH294" s="32"/>
      <c r="BI294" s="32"/>
      <c r="BJ294" s="32"/>
      <c r="BK294" s="32"/>
      <c r="BL294" s="32"/>
      <c r="BM294" s="32"/>
      <c r="BN294" s="32"/>
      <c r="BO294" s="62" t="str">
        <f t="shared" si="14"/>
        <v/>
      </c>
    </row>
    <row r="295" spans="1:67" ht="19.5" customHeight="1" x14ac:dyDescent="0.2">
      <c r="A295" s="49" t="b">
        <v>0</v>
      </c>
      <c r="B295" s="50" t="b">
        <v>1</v>
      </c>
      <c r="C295" s="51" t="b">
        <v>0</v>
      </c>
      <c r="D295" s="51" t="b">
        <v>0</v>
      </c>
      <c r="E295" s="37"/>
      <c r="F295" s="39"/>
      <c r="G295" s="37" t="s">
        <v>1100</v>
      </c>
      <c r="H295" s="34"/>
      <c r="I295" s="34"/>
      <c r="J295" s="34" t="s">
        <v>1099</v>
      </c>
      <c r="K295" s="51" t="b">
        <v>1</v>
      </c>
      <c r="L295" s="40"/>
      <c r="M295" s="37" t="s">
        <v>1099</v>
      </c>
      <c r="N295" s="37" t="s">
        <v>1099</v>
      </c>
      <c r="O295" s="41" t="s">
        <v>1099</v>
      </c>
      <c r="P295" s="40" t="s">
        <v>1099</v>
      </c>
      <c r="Q295" s="37" t="s">
        <v>1099</v>
      </c>
      <c r="R295" s="37" t="s">
        <v>1099</v>
      </c>
      <c r="S295" s="113" t="s">
        <v>1099</v>
      </c>
      <c r="T295" s="56"/>
      <c r="U295" s="56"/>
      <c r="V295" s="56"/>
      <c r="W295" s="114" t="s">
        <v>1099</v>
      </c>
      <c r="X295" s="115"/>
      <c r="Y295" s="115"/>
      <c r="Z295" s="116"/>
      <c r="AA295" s="117" t="s">
        <v>1099</v>
      </c>
      <c r="AB295" s="116"/>
      <c r="AC295" s="56"/>
      <c r="AD295" s="116"/>
      <c r="AE295" s="44" t="s">
        <v>1099</v>
      </c>
      <c r="AF295" s="46" t="str">
        <f t="shared" si="12"/>
        <v/>
      </c>
      <c r="AG295" s="38" t="s">
        <v>1099</v>
      </c>
      <c r="AH295" s="47" t="str">
        <f t="shared" si="13"/>
        <v/>
      </c>
      <c r="AI295" s="32"/>
      <c r="AJ295" s="32"/>
      <c r="AK295" s="32"/>
      <c r="AL295" s="32"/>
      <c r="AM295" s="32" t="s">
        <v>1099</v>
      </c>
      <c r="AN295" s="32"/>
      <c r="AO295" s="32" t="s">
        <v>1099</v>
      </c>
      <c r="AP295" s="32"/>
      <c r="AQ295" s="32"/>
      <c r="AR295" s="32"/>
      <c r="AS295" s="32"/>
      <c r="AT295" s="32"/>
      <c r="AU295" s="32"/>
      <c r="AV295" s="38" t="s">
        <v>1099</v>
      </c>
      <c r="AW295" s="38" t="s">
        <v>1099</v>
      </c>
      <c r="AX295" s="42" t="s">
        <v>106</v>
      </c>
      <c r="AY295" s="62" t="str">
        <f>IF('Cálculo MP'!J296="","",'Cálculo MP'!J296)</f>
        <v/>
      </c>
      <c r="AZ295" s="62" t="str">
        <f>IF('Cálculo MP'!K296="","",'Cálculo MP'!K296)</f>
        <v/>
      </c>
      <c r="BA295" s="62" t="str">
        <f>IF('Cálculo MP'!L296="","",'Cálculo MP'!L296)</f>
        <v/>
      </c>
      <c r="BB295" s="62" t="str">
        <f>IF('Cálculo MP'!M296="","",'Cálculo MP'!M296)</f>
        <v/>
      </c>
      <c r="BC295" s="62" t="str">
        <f>IF('Cálculo MP'!N296="","",'Cálculo MP'!N296)</f>
        <v/>
      </c>
      <c r="BD295" s="62" t="str">
        <f>IF('Cálculo MP'!O296="","",'Cálculo MP'!O296)</f>
        <v/>
      </c>
      <c r="BE295" s="62" t="str">
        <f>IF('Cálculo MP'!P296="","",'Cálculo MP'!P296)</f>
        <v/>
      </c>
      <c r="BF295" s="62" t="str">
        <f>IF('Cálculo MP'!Q296="","",'Cálculo MP'!Q296)</f>
        <v/>
      </c>
      <c r="BG295" s="62" t="str">
        <f>IF('Cálculo MP'!R296="","",'Cálculo MP'!R296)</f>
        <v/>
      </c>
      <c r="BH295" s="32"/>
      <c r="BI295" s="32"/>
      <c r="BJ295" s="32"/>
      <c r="BK295" s="32"/>
      <c r="BL295" s="32"/>
      <c r="BM295" s="32"/>
      <c r="BN295" s="32"/>
      <c r="BO295" s="62" t="str">
        <f t="shared" si="14"/>
        <v/>
      </c>
    </row>
    <row r="296" spans="1:67" ht="19.5" customHeight="1" x14ac:dyDescent="0.2">
      <c r="A296" s="49" t="b">
        <v>0</v>
      </c>
      <c r="B296" s="50" t="b">
        <v>1</v>
      </c>
      <c r="C296" s="51" t="b">
        <v>0</v>
      </c>
      <c r="D296" s="51" t="b">
        <v>0</v>
      </c>
      <c r="E296" s="37"/>
      <c r="F296" s="39"/>
      <c r="G296" s="37" t="s">
        <v>1100</v>
      </c>
      <c r="H296" s="34"/>
      <c r="I296" s="34"/>
      <c r="J296" s="34" t="s">
        <v>1099</v>
      </c>
      <c r="K296" s="51" t="b">
        <v>1</v>
      </c>
      <c r="L296" s="40"/>
      <c r="M296" s="37" t="s">
        <v>1099</v>
      </c>
      <c r="N296" s="37" t="s">
        <v>1099</v>
      </c>
      <c r="O296" s="41" t="s">
        <v>1099</v>
      </c>
      <c r="P296" s="40" t="s">
        <v>1099</v>
      </c>
      <c r="Q296" s="37" t="s">
        <v>1099</v>
      </c>
      <c r="R296" s="37" t="s">
        <v>1099</v>
      </c>
      <c r="S296" s="113" t="s">
        <v>1099</v>
      </c>
      <c r="T296" s="56"/>
      <c r="U296" s="56"/>
      <c r="V296" s="56"/>
      <c r="W296" s="114" t="s">
        <v>1099</v>
      </c>
      <c r="X296" s="115"/>
      <c r="Y296" s="115"/>
      <c r="Z296" s="116"/>
      <c r="AA296" s="117" t="s">
        <v>1099</v>
      </c>
      <c r="AB296" s="116"/>
      <c r="AC296" s="56"/>
      <c r="AD296" s="116"/>
      <c r="AE296" s="44" t="s">
        <v>1099</v>
      </c>
      <c r="AF296" s="46" t="str">
        <f t="shared" si="12"/>
        <v/>
      </c>
      <c r="AG296" s="38" t="s">
        <v>1099</v>
      </c>
      <c r="AH296" s="47" t="str">
        <f t="shared" si="13"/>
        <v/>
      </c>
      <c r="AI296" s="32"/>
      <c r="AJ296" s="32"/>
      <c r="AK296" s="32"/>
      <c r="AL296" s="32"/>
      <c r="AM296" s="32" t="s">
        <v>1099</v>
      </c>
      <c r="AN296" s="32"/>
      <c r="AO296" s="32" t="s">
        <v>1099</v>
      </c>
      <c r="AP296" s="32"/>
      <c r="AQ296" s="32"/>
      <c r="AR296" s="32"/>
      <c r="AS296" s="32"/>
      <c r="AT296" s="32"/>
      <c r="AU296" s="32"/>
      <c r="AV296" s="38" t="s">
        <v>1099</v>
      </c>
      <c r="AW296" s="38" t="s">
        <v>1099</v>
      </c>
      <c r="AX296" s="42" t="s">
        <v>106</v>
      </c>
      <c r="AY296" s="62" t="str">
        <f>IF('Cálculo MP'!J297="","",'Cálculo MP'!J297)</f>
        <v/>
      </c>
      <c r="AZ296" s="62" t="str">
        <f>IF('Cálculo MP'!K297="","",'Cálculo MP'!K297)</f>
        <v/>
      </c>
      <c r="BA296" s="62" t="str">
        <f>IF('Cálculo MP'!L297="","",'Cálculo MP'!L297)</f>
        <v/>
      </c>
      <c r="BB296" s="62" t="str">
        <f>IF('Cálculo MP'!M297="","",'Cálculo MP'!M297)</f>
        <v/>
      </c>
      <c r="BC296" s="62" t="str">
        <f>IF('Cálculo MP'!N297="","",'Cálculo MP'!N297)</f>
        <v/>
      </c>
      <c r="BD296" s="62" t="str">
        <f>IF('Cálculo MP'!O297="","",'Cálculo MP'!O297)</f>
        <v/>
      </c>
      <c r="BE296" s="62" t="str">
        <f>IF('Cálculo MP'!P297="","",'Cálculo MP'!P297)</f>
        <v/>
      </c>
      <c r="BF296" s="62" t="str">
        <f>IF('Cálculo MP'!Q297="","",'Cálculo MP'!Q297)</f>
        <v/>
      </c>
      <c r="BG296" s="62" t="str">
        <f>IF('Cálculo MP'!R297="","",'Cálculo MP'!R297)</f>
        <v/>
      </c>
      <c r="BH296" s="32"/>
      <c r="BI296" s="32"/>
      <c r="BJ296" s="32"/>
      <c r="BK296" s="32"/>
      <c r="BL296" s="32"/>
      <c r="BM296" s="32"/>
      <c r="BN296" s="32"/>
      <c r="BO296" s="62" t="str">
        <f t="shared" si="14"/>
        <v/>
      </c>
    </row>
    <row r="297" spans="1:67" ht="19.5" customHeight="1" x14ac:dyDescent="0.2">
      <c r="A297" s="49" t="b">
        <v>0</v>
      </c>
      <c r="B297" s="50" t="b">
        <v>1</v>
      </c>
      <c r="C297" s="51" t="b">
        <v>0</v>
      </c>
      <c r="D297" s="51" t="b">
        <v>0</v>
      </c>
      <c r="E297" s="37"/>
      <c r="F297" s="39"/>
      <c r="G297" s="37" t="s">
        <v>1100</v>
      </c>
      <c r="H297" s="34"/>
      <c r="I297" s="34"/>
      <c r="J297" s="34" t="s">
        <v>1099</v>
      </c>
      <c r="K297" s="51" t="b">
        <v>1</v>
      </c>
      <c r="L297" s="40"/>
      <c r="M297" s="37" t="s">
        <v>1099</v>
      </c>
      <c r="N297" s="37" t="s">
        <v>1099</v>
      </c>
      <c r="O297" s="41" t="s">
        <v>1099</v>
      </c>
      <c r="P297" s="40" t="s">
        <v>1099</v>
      </c>
      <c r="Q297" s="37" t="s">
        <v>1099</v>
      </c>
      <c r="R297" s="37" t="s">
        <v>1099</v>
      </c>
      <c r="S297" s="113" t="s">
        <v>1099</v>
      </c>
      <c r="T297" s="56"/>
      <c r="U297" s="56"/>
      <c r="V297" s="56"/>
      <c r="W297" s="114" t="s">
        <v>1099</v>
      </c>
      <c r="X297" s="115"/>
      <c r="Y297" s="115"/>
      <c r="Z297" s="116"/>
      <c r="AA297" s="117" t="s">
        <v>1099</v>
      </c>
      <c r="AB297" s="116"/>
      <c r="AC297" s="56"/>
      <c r="AD297" s="116"/>
      <c r="AE297" s="44" t="s">
        <v>1099</v>
      </c>
      <c r="AF297" s="46" t="str">
        <f t="shared" si="12"/>
        <v/>
      </c>
      <c r="AG297" s="38" t="s">
        <v>1099</v>
      </c>
      <c r="AH297" s="47" t="str">
        <f t="shared" si="13"/>
        <v/>
      </c>
      <c r="AI297" s="32"/>
      <c r="AJ297" s="32"/>
      <c r="AK297" s="32"/>
      <c r="AL297" s="32"/>
      <c r="AM297" s="32" t="s">
        <v>1099</v>
      </c>
      <c r="AN297" s="32"/>
      <c r="AO297" s="32" t="s">
        <v>1099</v>
      </c>
      <c r="AP297" s="32"/>
      <c r="AQ297" s="32"/>
      <c r="AR297" s="32"/>
      <c r="AS297" s="32"/>
      <c r="AT297" s="32"/>
      <c r="AU297" s="32"/>
      <c r="AV297" s="38" t="s">
        <v>1099</v>
      </c>
      <c r="AW297" s="38" t="s">
        <v>1099</v>
      </c>
      <c r="AX297" s="42" t="s">
        <v>106</v>
      </c>
      <c r="AY297" s="62" t="str">
        <f>IF('Cálculo MP'!J298="","",'Cálculo MP'!J298)</f>
        <v/>
      </c>
      <c r="AZ297" s="62" t="str">
        <f>IF('Cálculo MP'!K298="","",'Cálculo MP'!K298)</f>
        <v/>
      </c>
      <c r="BA297" s="62" t="str">
        <f>IF('Cálculo MP'!L298="","",'Cálculo MP'!L298)</f>
        <v/>
      </c>
      <c r="BB297" s="62" t="str">
        <f>IF('Cálculo MP'!M298="","",'Cálculo MP'!M298)</f>
        <v/>
      </c>
      <c r="BC297" s="62" t="str">
        <f>IF('Cálculo MP'!N298="","",'Cálculo MP'!N298)</f>
        <v/>
      </c>
      <c r="BD297" s="62" t="str">
        <f>IF('Cálculo MP'!O298="","",'Cálculo MP'!O298)</f>
        <v/>
      </c>
      <c r="BE297" s="62" t="str">
        <f>IF('Cálculo MP'!P298="","",'Cálculo MP'!P298)</f>
        <v/>
      </c>
      <c r="BF297" s="62" t="str">
        <f>IF('Cálculo MP'!Q298="","",'Cálculo MP'!Q298)</f>
        <v/>
      </c>
      <c r="BG297" s="62" t="str">
        <f>IF('Cálculo MP'!R298="","",'Cálculo MP'!R298)</f>
        <v/>
      </c>
      <c r="BH297" s="32"/>
      <c r="BI297" s="32"/>
      <c r="BJ297" s="32"/>
      <c r="BK297" s="32"/>
      <c r="BL297" s="32"/>
      <c r="BM297" s="32"/>
      <c r="BN297" s="32"/>
      <c r="BO297" s="62" t="str">
        <f t="shared" si="14"/>
        <v/>
      </c>
    </row>
    <row r="298" spans="1:67" ht="19.5" customHeight="1" x14ac:dyDescent="0.2">
      <c r="A298" s="49" t="b">
        <v>0</v>
      </c>
      <c r="B298" s="50" t="b">
        <v>1</v>
      </c>
      <c r="C298" s="51" t="b">
        <v>0</v>
      </c>
      <c r="D298" s="51" t="b">
        <v>0</v>
      </c>
      <c r="E298" s="37"/>
      <c r="F298" s="39"/>
      <c r="G298" s="37" t="s">
        <v>1100</v>
      </c>
      <c r="H298" s="34"/>
      <c r="I298" s="34"/>
      <c r="J298" s="34" t="s">
        <v>1099</v>
      </c>
      <c r="K298" s="51" t="b">
        <v>1</v>
      </c>
      <c r="L298" s="40"/>
      <c r="M298" s="37" t="s">
        <v>1099</v>
      </c>
      <c r="N298" s="37" t="s">
        <v>1099</v>
      </c>
      <c r="O298" s="41" t="s">
        <v>1099</v>
      </c>
      <c r="P298" s="40" t="s">
        <v>1099</v>
      </c>
      <c r="Q298" s="37" t="s">
        <v>1099</v>
      </c>
      <c r="R298" s="37" t="s">
        <v>1099</v>
      </c>
      <c r="S298" s="113" t="s">
        <v>1099</v>
      </c>
      <c r="T298" s="56"/>
      <c r="U298" s="56"/>
      <c r="V298" s="56"/>
      <c r="W298" s="114" t="s">
        <v>1099</v>
      </c>
      <c r="X298" s="115"/>
      <c r="Y298" s="115"/>
      <c r="Z298" s="116"/>
      <c r="AA298" s="117" t="s">
        <v>1099</v>
      </c>
      <c r="AB298" s="116"/>
      <c r="AC298" s="56"/>
      <c r="AD298" s="116"/>
      <c r="AE298" s="44" t="s">
        <v>1099</v>
      </c>
      <c r="AF298" s="46" t="str">
        <f t="shared" si="12"/>
        <v/>
      </c>
      <c r="AG298" s="38" t="s">
        <v>1099</v>
      </c>
      <c r="AH298" s="47" t="str">
        <f t="shared" si="13"/>
        <v/>
      </c>
      <c r="AI298" s="32"/>
      <c r="AJ298" s="32"/>
      <c r="AK298" s="32"/>
      <c r="AL298" s="32"/>
      <c r="AM298" s="32" t="s">
        <v>1099</v>
      </c>
      <c r="AN298" s="32"/>
      <c r="AO298" s="32" t="s">
        <v>1099</v>
      </c>
      <c r="AP298" s="32"/>
      <c r="AQ298" s="32"/>
      <c r="AR298" s="32"/>
      <c r="AS298" s="32"/>
      <c r="AT298" s="32"/>
      <c r="AU298" s="32"/>
      <c r="AV298" s="38" t="s">
        <v>1099</v>
      </c>
      <c r="AW298" s="38" t="s">
        <v>1099</v>
      </c>
      <c r="AX298" s="42" t="s">
        <v>106</v>
      </c>
      <c r="AY298" s="62" t="str">
        <f>IF('Cálculo MP'!J299="","",'Cálculo MP'!J299)</f>
        <v/>
      </c>
      <c r="AZ298" s="62" t="str">
        <f>IF('Cálculo MP'!K299="","",'Cálculo MP'!K299)</f>
        <v/>
      </c>
      <c r="BA298" s="62" t="str">
        <f>IF('Cálculo MP'!L299="","",'Cálculo MP'!L299)</f>
        <v/>
      </c>
      <c r="BB298" s="62" t="str">
        <f>IF('Cálculo MP'!M299="","",'Cálculo MP'!M299)</f>
        <v/>
      </c>
      <c r="BC298" s="62" t="str">
        <f>IF('Cálculo MP'!N299="","",'Cálculo MP'!N299)</f>
        <v/>
      </c>
      <c r="BD298" s="62" t="str">
        <f>IF('Cálculo MP'!O299="","",'Cálculo MP'!O299)</f>
        <v/>
      </c>
      <c r="BE298" s="62" t="str">
        <f>IF('Cálculo MP'!P299="","",'Cálculo MP'!P299)</f>
        <v/>
      </c>
      <c r="BF298" s="62" t="str">
        <f>IF('Cálculo MP'!Q299="","",'Cálculo MP'!Q299)</f>
        <v/>
      </c>
      <c r="BG298" s="62" t="str">
        <f>IF('Cálculo MP'!R299="","",'Cálculo MP'!R299)</f>
        <v/>
      </c>
      <c r="BH298" s="32"/>
      <c r="BI298" s="32"/>
      <c r="BJ298" s="32"/>
      <c r="BK298" s="32"/>
      <c r="BL298" s="32"/>
      <c r="BM298" s="32"/>
      <c r="BN298" s="32"/>
      <c r="BO298" s="62" t="str">
        <f t="shared" si="14"/>
        <v/>
      </c>
    </row>
    <row r="299" spans="1:67" ht="19.5" customHeight="1" x14ac:dyDescent="0.2">
      <c r="A299" s="49" t="b">
        <v>0</v>
      </c>
      <c r="B299" s="50" t="b">
        <v>1</v>
      </c>
      <c r="C299" s="51" t="b">
        <v>0</v>
      </c>
      <c r="D299" s="51" t="b">
        <v>0</v>
      </c>
      <c r="E299" s="37"/>
      <c r="F299" s="39"/>
      <c r="G299" s="37" t="s">
        <v>1100</v>
      </c>
      <c r="H299" s="34"/>
      <c r="I299" s="34"/>
      <c r="J299" s="34" t="s">
        <v>1099</v>
      </c>
      <c r="K299" s="51" t="b">
        <v>1</v>
      </c>
      <c r="L299" s="40"/>
      <c r="M299" s="37" t="s">
        <v>1099</v>
      </c>
      <c r="N299" s="37" t="s">
        <v>1099</v>
      </c>
      <c r="O299" s="41" t="s">
        <v>1099</v>
      </c>
      <c r="P299" s="40" t="s">
        <v>1099</v>
      </c>
      <c r="Q299" s="37" t="s">
        <v>1099</v>
      </c>
      <c r="R299" s="37" t="s">
        <v>1099</v>
      </c>
      <c r="S299" s="113" t="s">
        <v>1099</v>
      </c>
      <c r="T299" s="56"/>
      <c r="U299" s="56"/>
      <c r="V299" s="56"/>
      <c r="W299" s="114" t="s">
        <v>1099</v>
      </c>
      <c r="X299" s="115"/>
      <c r="Y299" s="115"/>
      <c r="Z299" s="116"/>
      <c r="AA299" s="117" t="s">
        <v>1099</v>
      </c>
      <c r="AB299" s="116"/>
      <c r="AC299" s="56"/>
      <c r="AD299" s="116"/>
      <c r="AE299" s="44" t="s">
        <v>1099</v>
      </c>
      <c r="AF299" s="46" t="str">
        <f t="shared" si="12"/>
        <v/>
      </c>
      <c r="AG299" s="38" t="s">
        <v>1099</v>
      </c>
      <c r="AH299" s="47" t="str">
        <f t="shared" si="13"/>
        <v/>
      </c>
      <c r="AI299" s="32"/>
      <c r="AJ299" s="32"/>
      <c r="AK299" s="32"/>
      <c r="AL299" s="32"/>
      <c r="AM299" s="32" t="s">
        <v>1099</v>
      </c>
      <c r="AN299" s="32"/>
      <c r="AO299" s="32" t="s">
        <v>1099</v>
      </c>
      <c r="AP299" s="32"/>
      <c r="AQ299" s="32"/>
      <c r="AR299" s="32"/>
      <c r="AS299" s="32"/>
      <c r="AT299" s="32"/>
      <c r="AU299" s="32"/>
      <c r="AV299" s="38" t="s">
        <v>1099</v>
      </c>
      <c r="AW299" s="38" t="s">
        <v>1099</v>
      </c>
      <c r="AX299" s="42" t="s">
        <v>106</v>
      </c>
      <c r="AY299" s="62" t="str">
        <f>IF('Cálculo MP'!J300="","",'Cálculo MP'!J300)</f>
        <v/>
      </c>
      <c r="AZ299" s="62" t="str">
        <f>IF('Cálculo MP'!K300="","",'Cálculo MP'!K300)</f>
        <v/>
      </c>
      <c r="BA299" s="62" t="str">
        <f>IF('Cálculo MP'!L300="","",'Cálculo MP'!L300)</f>
        <v/>
      </c>
      <c r="BB299" s="62" t="str">
        <f>IF('Cálculo MP'!M300="","",'Cálculo MP'!M300)</f>
        <v/>
      </c>
      <c r="BC299" s="62" t="str">
        <f>IF('Cálculo MP'!N300="","",'Cálculo MP'!N300)</f>
        <v/>
      </c>
      <c r="BD299" s="62" t="str">
        <f>IF('Cálculo MP'!O300="","",'Cálculo MP'!O300)</f>
        <v/>
      </c>
      <c r="BE299" s="62" t="str">
        <f>IF('Cálculo MP'!P300="","",'Cálculo MP'!P300)</f>
        <v/>
      </c>
      <c r="BF299" s="62" t="str">
        <f>IF('Cálculo MP'!Q300="","",'Cálculo MP'!Q300)</f>
        <v/>
      </c>
      <c r="BG299" s="62" t="str">
        <f>IF('Cálculo MP'!R300="","",'Cálculo MP'!R300)</f>
        <v/>
      </c>
      <c r="BH299" s="32"/>
      <c r="BI299" s="32"/>
      <c r="BJ299" s="32"/>
      <c r="BK299" s="32"/>
      <c r="BL299" s="32"/>
      <c r="BM299" s="32"/>
      <c r="BN299" s="32"/>
      <c r="BO299" s="62" t="str">
        <f t="shared" si="14"/>
        <v/>
      </c>
    </row>
    <row r="300" spans="1:67" ht="19.5" customHeight="1" x14ac:dyDescent="0.2">
      <c r="A300" s="49" t="b">
        <v>0</v>
      </c>
      <c r="B300" s="50" t="b">
        <v>1</v>
      </c>
      <c r="C300" s="51" t="b">
        <v>0</v>
      </c>
      <c r="D300" s="51" t="b">
        <v>0</v>
      </c>
      <c r="E300" s="37"/>
      <c r="F300" s="39"/>
      <c r="G300" s="37" t="s">
        <v>1100</v>
      </c>
      <c r="H300" s="34"/>
      <c r="I300" s="34"/>
      <c r="J300" s="34" t="s">
        <v>1099</v>
      </c>
      <c r="K300" s="51" t="b">
        <v>1</v>
      </c>
      <c r="L300" s="40"/>
      <c r="M300" s="37" t="s">
        <v>1099</v>
      </c>
      <c r="N300" s="37" t="s">
        <v>1099</v>
      </c>
      <c r="O300" s="41" t="s">
        <v>1099</v>
      </c>
      <c r="P300" s="40" t="s">
        <v>1099</v>
      </c>
      <c r="Q300" s="37" t="s">
        <v>1099</v>
      </c>
      <c r="R300" s="37" t="s">
        <v>1099</v>
      </c>
      <c r="S300" s="113" t="s">
        <v>1099</v>
      </c>
      <c r="T300" s="56"/>
      <c r="U300" s="56"/>
      <c r="V300" s="56"/>
      <c r="W300" s="114" t="s">
        <v>1099</v>
      </c>
      <c r="X300" s="115"/>
      <c r="Y300" s="115"/>
      <c r="Z300" s="116"/>
      <c r="AA300" s="117" t="s">
        <v>1099</v>
      </c>
      <c r="AB300" s="116"/>
      <c r="AC300" s="56"/>
      <c r="AD300" s="116"/>
      <c r="AE300" s="44" t="s">
        <v>1099</v>
      </c>
      <c r="AF300" s="46" t="str">
        <f t="shared" si="12"/>
        <v/>
      </c>
      <c r="AG300" s="38" t="s">
        <v>1099</v>
      </c>
      <c r="AH300" s="47" t="str">
        <f t="shared" si="13"/>
        <v/>
      </c>
      <c r="AI300" s="32"/>
      <c r="AJ300" s="32"/>
      <c r="AK300" s="32"/>
      <c r="AL300" s="32"/>
      <c r="AM300" s="32" t="s">
        <v>1099</v>
      </c>
      <c r="AN300" s="32"/>
      <c r="AO300" s="32" t="s">
        <v>1099</v>
      </c>
      <c r="AP300" s="32"/>
      <c r="AQ300" s="32"/>
      <c r="AR300" s="32"/>
      <c r="AS300" s="32"/>
      <c r="AT300" s="32"/>
      <c r="AU300" s="32"/>
      <c r="AV300" s="38" t="s">
        <v>1099</v>
      </c>
      <c r="AW300" s="38" t="s">
        <v>1099</v>
      </c>
      <c r="AX300" s="42" t="s">
        <v>106</v>
      </c>
      <c r="AY300" s="62" t="str">
        <f>IF('Cálculo MP'!J301="","",'Cálculo MP'!J301)</f>
        <v/>
      </c>
      <c r="AZ300" s="62" t="str">
        <f>IF('Cálculo MP'!K301="","",'Cálculo MP'!K301)</f>
        <v/>
      </c>
      <c r="BA300" s="62" t="str">
        <f>IF('Cálculo MP'!L301="","",'Cálculo MP'!L301)</f>
        <v/>
      </c>
      <c r="BB300" s="62" t="str">
        <f>IF('Cálculo MP'!M301="","",'Cálculo MP'!M301)</f>
        <v/>
      </c>
      <c r="BC300" s="62" t="str">
        <f>IF('Cálculo MP'!N301="","",'Cálculo MP'!N301)</f>
        <v/>
      </c>
      <c r="BD300" s="62" t="str">
        <f>IF('Cálculo MP'!O301="","",'Cálculo MP'!O301)</f>
        <v/>
      </c>
      <c r="BE300" s="62" t="str">
        <f>IF('Cálculo MP'!P301="","",'Cálculo MP'!P301)</f>
        <v/>
      </c>
      <c r="BF300" s="62" t="str">
        <f>IF('Cálculo MP'!Q301="","",'Cálculo MP'!Q301)</f>
        <v/>
      </c>
      <c r="BG300" s="62" t="str">
        <f>IF('Cálculo MP'!R301="","",'Cálculo MP'!R301)</f>
        <v/>
      </c>
      <c r="BH300" s="32"/>
      <c r="BI300" s="32"/>
      <c r="BJ300" s="32"/>
      <c r="BK300" s="32"/>
      <c r="BL300" s="32"/>
      <c r="BM300" s="32"/>
      <c r="BN300" s="32"/>
      <c r="BO300" s="62" t="str">
        <f t="shared" si="14"/>
        <v/>
      </c>
    </row>
    <row r="301" spans="1:67" s="61" customFormat="1" x14ac:dyDescent="0.2">
      <c r="A301" s="60" t="s">
        <v>671</v>
      </c>
    </row>
  </sheetData>
  <mergeCells count="33">
    <mergeCell ref="C10:D10"/>
    <mergeCell ref="A1:F1"/>
    <mergeCell ref="AV15:AX15"/>
    <mergeCell ref="C9:D9"/>
    <mergeCell ref="M15:Q15"/>
    <mergeCell ref="C3:D3"/>
    <mergeCell ref="AQ15:AU15"/>
    <mergeCell ref="C8:D8"/>
    <mergeCell ref="S15:AD15"/>
    <mergeCell ref="C6:D6"/>
    <mergeCell ref="AI15:AL15"/>
    <mergeCell ref="A15:D15"/>
    <mergeCell ref="C4:D4"/>
    <mergeCell ref="AE15:AH15"/>
    <mergeCell ref="AM15:AP15"/>
    <mergeCell ref="C7:D7"/>
    <mergeCell ref="C12:D12"/>
    <mergeCell ref="BH15:BN15"/>
    <mergeCell ref="A3:B3"/>
    <mergeCell ref="A4:B4"/>
    <mergeCell ref="A5:B5"/>
    <mergeCell ref="A6:B6"/>
    <mergeCell ref="A7:B7"/>
    <mergeCell ref="A8:B8"/>
    <mergeCell ref="A9:B9"/>
    <mergeCell ref="A10:B10"/>
    <mergeCell ref="A11:B11"/>
    <mergeCell ref="A12:B12"/>
    <mergeCell ref="AY15:BG15"/>
    <mergeCell ref="E15:L15"/>
    <mergeCell ref="A13:G13"/>
    <mergeCell ref="C11:D11"/>
    <mergeCell ref="C5:D5"/>
  </mergeCells>
  <conditionalFormatting sqref="E18:E300">
    <cfRule type="expression" dxfId="0" priority="10">
      <formula>_xludf.AND(E18&lt;&gt;"",BO18&lt;&gt;"",BO18&lt;&gt;H18*I18)</formula>
    </cfRule>
  </conditionalFormatting>
  <dataValidations count="5">
    <dataValidation type="list" allowBlank="1" sqref="C3" xr:uid="{9EE23F9E-B063-A340-A4A7-D00B76BD7F23}">
      <formula1>"COTIZACIÓN+NP,SOLO_PN"</formula1>
    </dataValidation>
    <dataValidation type="list" allowBlank="1" sqref="C7:D7" xr:uid="{FCCA3F95-FE1A-4445-8178-0F421255269E}">
      <formula1>"USD,MXN"</formula1>
    </dataValidation>
    <dataValidation type="list" allowBlank="1" sqref="AD18:AD300 V18:V300 Z18:Z300 J18:J300" xr:uid="{BE082996-2490-0B4E-97DC-72A1383BD2C9}">
      <formula1>"PZA,KGM,CMK,FTK,LM,LBR,LO"</formula1>
    </dataValidation>
    <dataValidation type="list" allowBlank="1" sqref="C8:D8" xr:uid="{FD96E87A-1A7F-2740-AA1B-37D99895DAAD}">
      <formula1>"ECOPLATING,PROQUIPA"</formula1>
    </dataValidation>
    <dataValidation type="list" allowBlank="1" showInputMessage="1" showErrorMessage="1" sqref="A18:D300 K18:K300" xr:uid="{2E788AAF-8AA6-0E45-BC54-CB58275232A4}">
      <formula1>"VERDADERO,FALSO"</formula1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3" r:id="rId3" name="Button 49">
              <controlPr defaultSize="0" print="0" autoFill="0" autoPict="0" macro="[0]!RefrescarListas">
                <anchor moveWithCells="1" sizeWithCells="1">
                  <from>
                    <xdr:col>4</xdr:col>
                    <xdr:colOff>825500</xdr:colOff>
                    <xdr:row>6</xdr:row>
                    <xdr:rowOff>101600</xdr:rowOff>
                  </from>
                  <to>
                    <xdr:col>5</xdr:col>
                    <xdr:colOff>1371600</xdr:colOff>
                    <xdr:row>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" name="Button 50">
              <controlPr defaultSize="0" print="0" autoFill="0" autoPict="0" macro="[0]!ExportarCSV">
                <anchor moveWithCells="1" sizeWithCells="1">
                  <from>
                    <xdr:col>4</xdr:col>
                    <xdr:colOff>825500</xdr:colOff>
                    <xdr:row>8</xdr:row>
                    <xdr:rowOff>12700</xdr:rowOff>
                  </from>
                  <to>
                    <xdr:col>5</xdr:col>
                    <xdr:colOff>1371600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5" name="Button 172">
              <controlPr defaultSize="0" print="0" autoFill="0" autoPict="0" macro="[0]!LimpiarDatos">
                <anchor moveWithCells="1" sizeWithCells="1">
                  <from>
                    <xdr:col>4</xdr:col>
                    <xdr:colOff>825500</xdr:colOff>
                    <xdr:row>9</xdr:row>
                    <xdr:rowOff>190500</xdr:rowOff>
                  </from>
                  <to>
                    <xdr:col>5</xdr:col>
                    <xdr:colOff>1371600</xdr:colOff>
                    <xdr:row>10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xr:uid="{ED1BD1AF-C3C4-B549-BD1B-EA10A557D20B}">
          <x14:formula1>
            <xm:f>OFFSET(Listas!$B$2,0,0,COUNTA(Listas!$B:$B)-1,1)</xm:f>
          </x14:formula1>
          <xm:sqref>R18:R300</xm:sqref>
        </x14:dataValidation>
        <x14:dataValidation type="list" allowBlank="1" xr:uid="{586ACBB6-0EA1-D748-869E-EB0FD1ED8F4B}">
          <x14:formula1>
            <xm:f>OFFSET(Listas!$K$2,0,0,COUNTA(Listas!$K:$K)-1,1)</xm:f>
          </x14:formula1>
          <xm:sqref>M18:M300</xm:sqref>
        </x14:dataValidation>
        <x14:dataValidation type="list" allowBlank="1" xr:uid="{B2515D18-A756-1341-B26F-8290AF2FB31A}">
          <x14:formula1>
            <xm:f>OFFSET(Listas!$D$2,0,0,COUNTA(Listas!$D:$D)-1,1)</xm:f>
          </x14:formula1>
          <xm:sqref>N18:Q300</xm:sqref>
        </x14:dataValidation>
        <x14:dataValidation type="list" allowBlank="1" xr:uid="{62DAF82B-CBA4-CE43-8E1C-21D78860A621}">
          <x14:formula1>
            <xm:f>OFFSET(Listas!$E$2,0,0,COUNTA(Listas!$E:$E)-1,1)</xm:f>
          </x14:formula1>
          <xm:sqref>AG18:AG300 AE18:AE300</xm:sqref>
        </x14:dataValidation>
        <x14:dataValidation type="list" allowBlank="1" xr:uid="{12941916-19BB-EC4D-8B3B-DC41E56DAE24}">
          <x14:formula1>
            <xm:f>OFFSET(Listas!$F$2,0,0,COUNTA(Listas!$F:$F)-1,1)</xm:f>
          </x14:formula1>
          <xm:sqref>AM18:AM300</xm:sqref>
        </x14:dataValidation>
        <x14:dataValidation type="list" allowBlank="1" xr:uid="{F564F124-2897-A249-9B22-9FD99302733E}">
          <x14:formula1>
            <xm:f>OFFSET(Listas!$G$2,0,0,COUNTA(Listas!$G:$G)-1,1)</xm:f>
          </x14:formula1>
          <xm:sqref>AO18:AO300</xm:sqref>
        </x14:dataValidation>
        <x14:dataValidation type="list" allowBlank="1" showInputMessage="1" showErrorMessage="1" xr:uid="{14E94F07-34D1-EB4C-8322-9A29162F9D30}">
          <x14:formula1>
            <xm:f>OFFSET(Listas!$A$2,0,0,COUNTA(Listas!$A:$A)-1,1)</xm:f>
          </x14:formula1>
          <xm:sqref>C5:D5</xm:sqref>
        </x14:dataValidation>
        <x14:dataValidation type="list" allowBlank="1" showInputMessage="1" showErrorMessage="1" xr:uid="{E8C3979F-42EA-9E4A-BAB0-C661DF62FEC3}">
          <x14:formula1>
            <xm:f>OFFSET(Listas!$B$2,0,0,COUNTA(Listas!$B:$B)-1,1)</xm:f>
          </x14:formula1>
          <xm:sqref>C6:D6</xm:sqref>
        </x14:dataValidation>
        <x14:dataValidation type="list" allowBlank="1" showInputMessage="1" xr:uid="{47C43F86-C5F8-2848-9EA5-ADFA9DC2C9FE}">
          <x14:formula1>
            <xm:f>Listas!$M$2:$M$22</xm:f>
          </x14:formula1>
          <xm:sqref>AX302:AX304</xm:sqref>
        </x14:dataValidation>
        <x14:dataValidation type="list" allowBlank="1" showInputMessage="1" xr:uid="{1E042958-503F-4341-B0FB-B7CEA7CE288B}">
          <x14:formula1>
            <xm:f>Listas!$L$2:$L$27</xm:f>
          </x14:formula1>
          <xm:sqref>AW302:AW304</xm:sqref>
        </x14:dataValidation>
        <x14:dataValidation type="list" allowBlank="1" showInputMessage="1" showErrorMessage="1" xr:uid="{63EDEE28-CCB3-3B42-8140-27281E6324A2}">
          <x14:formula1>
            <xm:f>OFFSET(Listas!$L$2,0,0,COUNTA(Listas!$L:$L)-1,1)</xm:f>
          </x14:formula1>
          <xm:sqref>AV18:AV300</xm:sqref>
        </x14:dataValidation>
        <x14:dataValidation type="list" allowBlank="1" showInputMessage="1" showErrorMessage="1" xr:uid="{AC8C44E5-17AA-E941-B63F-8F5B4B5D68AB}">
          <x14:formula1>
            <xm:f>OFFSET(Listas!$N$2,0,0,COUNTA(Listas!$N:$N)-1,1)</xm:f>
          </x14:formula1>
          <xm:sqref>C11:D11</xm:sqref>
        </x14:dataValidation>
        <x14:dataValidation type="list" allowBlank="1" showInputMessage="1" showErrorMessage="1" xr:uid="{70B1C22F-15D0-B948-8617-ADA9AED272CE}">
          <x14:formula1>
            <xm:f>OFFSET(Listas!$O$2,0,0,COUNTA(Listas!$O:$O)-1,1)</xm:f>
          </x14:formula1>
          <xm:sqref>G18:G300</xm:sqref>
        </x14:dataValidation>
        <x14:dataValidation type="list" allowBlank="1" xr:uid="{FB9EECB3-70FF-954C-B86D-34D68952C9B2}">
          <x14:formula1>
            <xm:f>OFFSET(Listas!$C$2,0,0,COUNTA(Listas!$C:$C)-1,1)</xm:f>
          </x14:formula1>
          <xm:sqref>S18:S300 W18:W300 AA18:AA300</xm:sqref>
        </x14:dataValidation>
        <x14:dataValidation type="list" allowBlank="1" showInputMessage="1" xr:uid="{7566F315-74E7-FE42-B86B-CE8D78117436}">
          <x14:formula1>
            <xm:f>OFFSET(Listas!$M$2,0,0,COUNTA(Listas!$M:$M)-1,1)</xm:f>
          </x14:formula1>
          <xm:sqref>AW18:AW300</xm:sqref>
        </x14:dataValidation>
        <x14:dataValidation type="list" allowBlank="1" showInputMessage="1" xr:uid="{FF91BB2F-E71E-8646-B1EC-C92234940603}">
          <x14:formula1>
            <xm:f>OFFSET(Listas!$J$2,0,0,COUNTA(Listas!$J:$J)-1,1)</xm:f>
          </x14:formula1>
          <xm:sqref>AX18:AX300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rgb="FFBDBDBD"/>
  </sheetPr>
  <dimension ref="A1:O289"/>
  <sheetViews>
    <sheetView workbookViewId="0">
      <pane ySplit="1" topLeftCell="A2" activePane="bottomLeft" state="frozen"/>
      <selection pane="bottomLeft" activeCell="B15" sqref="B15"/>
    </sheetView>
  </sheetViews>
  <sheetFormatPr baseColWidth="10" defaultColWidth="8.83203125" defaultRowHeight="15" x14ac:dyDescent="0.2"/>
  <cols>
    <col min="1" max="1" width="76" bestFit="1" customWidth="1"/>
    <col min="2" max="2" width="64" bestFit="1" customWidth="1"/>
    <col min="3" max="3" width="34.5" bestFit="1" customWidth="1"/>
    <col min="4" max="4" width="26.6640625" bestFit="1" customWidth="1"/>
    <col min="5" max="5" width="50.1640625" bestFit="1" customWidth="1"/>
    <col min="6" max="6" width="25.83203125" bestFit="1" customWidth="1"/>
    <col min="7" max="7" width="30.33203125" bestFit="1" customWidth="1"/>
    <col min="10" max="10" width="48.33203125" bestFit="1" customWidth="1"/>
    <col min="11" max="11" width="13.83203125" bestFit="1" customWidth="1"/>
    <col min="12" max="12" width="26" bestFit="1" customWidth="1"/>
    <col min="13" max="13" width="21.1640625" bestFit="1" customWidth="1"/>
    <col min="14" max="14" width="39" bestFit="1" customWidth="1"/>
    <col min="15" max="15" width="13.6640625" bestFit="1" customWidth="1"/>
  </cols>
  <sheetData>
    <row r="1" spans="1:15" x14ac:dyDescent="0.2">
      <c r="A1" s="6" t="s">
        <v>456</v>
      </c>
      <c r="B1" s="6" t="s">
        <v>457</v>
      </c>
      <c r="C1" s="6" t="s">
        <v>458</v>
      </c>
      <c r="D1" s="6" t="s">
        <v>114</v>
      </c>
      <c r="E1" s="6" t="s">
        <v>459</v>
      </c>
      <c r="F1" s="6" t="s">
        <v>460</v>
      </c>
      <c r="G1" s="6" t="s">
        <v>461</v>
      </c>
      <c r="J1" s="6" t="s">
        <v>462</v>
      </c>
      <c r="K1" s="6" t="s">
        <v>463</v>
      </c>
      <c r="L1" s="6" t="s">
        <v>625</v>
      </c>
      <c r="M1" s="6" t="s">
        <v>626</v>
      </c>
      <c r="N1" s="6" t="s">
        <v>1062</v>
      </c>
      <c r="O1" s="6" t="s">
        <v>1063</v>
      </c>
    </row>
    <row r="2" spans="1:15" x14ac:dyDescent="0.2">
      <c r="A2" t="s">
        <v>1064</v>
      </c>
      <c r="B2" t="s">
        <v>132</v>
      </c>
      <c r="C2" t="s">
        <v>259</v>
      </c>
      <c r="D2" t="s">
        <v>246</v>
      </c>
      <c r="E2" t="s">
        <v>464</v>
      </c>
      <c r="F2" t="s">
        <v>382</v>
      </c>
      <c r="G2" t="s">
        <v>381</v>
      </c>
      <c r="H2">
        <v>76</v>
      </c>
      <c r="I2" t="s">
        <v>117</v>
      </c>
      <c r="J2" t="s">
        <v>106</v>
      </c>
      <c r="K2" t="s">
        <v>101</v>
      </c>
      <c r="L2" t="s">
        <v>627</v>
      </c>
      <c r="M2" t="s">
        <v>630</v>
      </c>
      <c r="N2" t="s">
        <v>762</v>
      </c>
      <c r="O2" t="s">
        <v>1049</v>
      </c>
    </row>
    <row r="3" spans="1:15" x14ac:dyDescent="0.2">
      <c r="A3" t="s">
        <v>465</v>
      </c>
      <c r="B3" t="s">
        <v>133</v>
      </c>
      <c r="C3" t="s">
        <v>260</v>
      </c>
      <c r="D3" t="s">
        <v>247</v>
      </c>
      <c r="E3" t="s">
        <v>376</v>
      </c>
      <c r="F3" t="s">
        <v>383</v>
      </c>
      <c r="G3" t="s">
        <v>382</v>
      </c>
      <c r="H3">
        <v>6</v>
      </c>
      <c r="I3" t="s">
        <v>120</v>
      </c>
      <c r="J3" t="s">
        <v>466</v>
      </c>
      <c r="K3" t="s">
        <v>467</v>
      </c>
      <c r="L3" t="s">
        <v>409</v>
      </c>
      <c r="M3" t="s">
        <v>631</v>
      </c>
      <c r="N3" t="s">
        <v>763</v>
      </c>
      <c r="O3" t="s">
        <v>1050</v>
      </c>
    </row>
    <row r="4" spans="1:15" x14ac:dyDescent="0.2">
      <c r="A4" t="s">
        <v>1065</v>
      </c>
      <c r="B4" t="s">
        <v>134</v>
      </c>
      <c r="C4" t="s">
        <v>261</v>
      </c>
      <c r="D4" t="s">
        <v>362</v>
      </c>
      <c r="E4" t="s">
        <v>375</v>
      </c>
      <c r="F4" t="s">
        <v>384</v>
      </c>
      <c r="G4" t="s">
        <v>383</v>
      </c>
      <c r="H4">
        <v>9</v>
      </c>
      <c r="I4" t="s">
        <v>120</v>
      </c>
      <c r="J4" t="s">
        <v>468</v>
      </c>
      <c r="K4" t="s">
        <v>110</v>
      </c>
      <c r="L4" t="s">
        <v>628</v>
      </c>
      <c r="M4" t="s">
        <v>632</v>
      </c>
      <c r="N4" t="s">
        <v>764</v>
      </c>
      <c r="O4" t="s">
        <v>1051</v>
      </c>
    </row>
    <row r="5" spans="1:15" x14ac:dyDescent="0.2">
      <c r="A5" t="s">
        <v>469</v>
      </c>
      <c r="B5" t="s">
        <v>135</v>
      </c>
      <c r="C5" t="s">
        <v>262</v>
      </c>
      <c r="D5" t="s">
        <v>357</v>
      </c>
      <c r="E5" t="s">
        <v>694</v>
      </c>
      <c r="F5" t="s">
        <v>404</v>
      </c>
      <c r="G5" t="s">
        <v>384</v>
      </c>
      <c r="H5">
        <v>10</v>
      </c>
      <c r="I5" t="s">
        <v>120</v>
      </c>
      <c r="J5" t="s">
        <v>470</v>
      </c>
      <c r="K5" t="s">
        <v>471</v>
      </c>
      <c r="L5" t="s">
        <v>629</v>
      </c>
      <c r="M5" t="s">
        <v>633</v>
      </c>
      <c r="N5" t="s">
        <v>765</v>
      </c>
      <c r="O5" t="s">
        <v>1052</v>
      </c>
    </row>
    <row r="6" spans="1:15" x14ac:dyDescent="0.2">
      <c r="A6" t="s">
        <v>472</v>
      </c>
      <c r="B6" t="s">
        <v>136</v>
      </c>
      <c r="C6" t="s">
        <v>263</v>
      </c>
      <c r="D6" t="s">
        <v>112</v>
      </c>
      <c r="E6" t="s">
        <v>695</v>
      </c>
      <c r="F6" t="s">
        <v>407</v>
      </c>
      <c r="G6" t="s">
        <v>385</v>
      </c>
      <c r="H6">
        <v>45</v>
      </c>
      <c r="I6" t="s">
        <v>120</v>
      </c>
      <c r="J6" t="s">
        <v>473</v>
      </c>
      <c r="K6" t="s">
        <v>474</v>
      </c>
      <c r="L6" t="s">
        <v>175</v>
      </c>
      <c r="M6" t="s">
        <v>634</v>
      </c>
      <c r="N6" t="s">
        <v>766</v>
      </c>
      <c r="O6" t="s">
        <v>1053</v>
      </c>
    </row>
    <row r="7" spans="1:15" x14ac:dyDescent="0.2">
      <c r="A7" t="s">
        <v>475</v>
      </c>
      <c r="B7" t="s">
        <v>137</v>
      </c>
      <c r="C7" t="s">
        <v>264</v>
      </c>
      <c r="D7" t="s">
        <v>367</v>
      </c>
      <c r="E7" t="s">
        <v>696</v>
      </c>
      <c r="F7" t="s">
        <v>408</v>
      </c>
      <c r="G7" t="s">
        <v>386</v>
      </c>
      <c r="H7">
        <v>19</v>
      </c>
      <c r="I7" t="s">
        <v>124</v>
      </c>
      <c r="J7" t="s">
        <v>476</v>
      </c>
      <c r="K7" t="s">
        <v>477</v>
      </c>
      <c r="L7" t="s">
        <v>642</v>
      </c>
      <c r="M7" t="s">
        <v>635</v>
      </c>
      <c r="N7" t="s">
        <v>767</v>
      </c>
      <c r="O7" t="s">
        <v>1054</v>
      </c>
    </row>
    <row r="8" spans="1:15" x14ac:dyDescent="0.2">
      <c r="A8" t="s">
        <v>478</v>
      </c>
      <c r="B8" t="s">
        <v>138</v>
      </c>
      <c r="C8" t="s">
        <v>265</v>
      </c>
      <c r="D8" t="s">
        <v>278</v>
      </c>
      <c r="E8" t="s">
        <v>479</v>
      </c>
      <c r="F8" t="s">
        <v>410</v>
      </c>
      <c r="G8" t="s">
        <v>387</v>
      </c>
      <c r="H8">
        <v>24</v>
      </c>
      <c r="I8" t="s">
        <v>120</v>
      </c>
      <c r="J8" t="s">
        <v>480</v>
      </c>
      <c r="K8" t="s">
        <v>481</v>
      </c>
      <c r="L8" t="s">
        <v>643</v>
      </c>
      <c r="M8" t="s">
        <v>636</v>
      </c>
      <c r="N8" t="s">
        <v>768</v>
      </c>
      <c r="O8" t="s">
        <v>99</v>
      </c>
    </row>
    <row r="9" spans="1:15" x14ac:dyDescent="0.2">
      <c r="A9" t="s">
        <v>482</v>
      </c>
      <c r="B9" t="s">
        <v>139</v>
      </c>
      <c r="C9" t="s">
        <v>266</v>
      </c>
      <c r="D9" t="s">
        <v>370</v>
      </c>
      <c r="E9" t="s">
        <v>483</v>
      </c>
      <c r="F9" t="s">
        <v>713</v>
      </c>
      <c r="G9" t="s">
        <v>388</v>
      </c>
      <c r="H9">
        <v>46</v>
      </c>
      <c r="I9" t="s">
        <v>128</v>
      </c>
      <c r="J9" t="s">
        <v>484</v>
      </c>
      <c r="K9" t="s">
        <v>485</v>
      </c>
      <c r="L9" t="s">
        <v>644</v>
      </c>
      <c r="M9" t="s">
        <v>637</v>
      </c>
      <c r="N9" t="s">
        <v>769</v>
      </c>
      <c r="O9" t="s">
        <v>1055</v>
      </c>
    </row>
    <row r="10" spans="1:15" x14ac:dyDescent="0.2">
      <c r="A10" t="s">
        <v>486</v>
      </c>
      <c r="B10" t="s">
        <v>140</v>
      </c>
      <c r="C10" t="s">
        <v>267</v>
      </c>
      <c r="D10" t="s">
        <v>348</v>
      </c>
      <c r="E10" t="s">
        <v>487</v>
      </c>
      <c r="F10" t="s">
        <v>415</v>
      </c>
      <c r="G10" t="s">
        <v>389</v>
      </c>
      <c r="H10">
        <v>60</v>
      </c>
      <c r="J10" t="s">
        <v>488</v>
      </c>
      <c r="L10" t="s">
        <v>645</v>
      </c>
      <c r="M10" t="s">
        <v>638</v>
      </c>
      <c r="N10" t="s">
        <v>770</v>
      </c>
      <c r="O10" t="s">
        <v>1056</v>
      </c>
    </row>
    <row r="11" spans="1:15" x14ac:dyDescent="0.2">
      <c r="A11" t="s">
        <v>489</v>
      </c>
      <c r="B11" t="s">
        <v>1072</v>
      </c>
      <c r="C11" t="s">
        <v>268</v>
      </c>
      <c r="D11" t="s">
        <v>364</v>
      </c>
      <c r="E11" t="s">
        <v>490</v>
      </c>
      <c r="F11" t="s">
        <v>416</v>
      </c>
      <c r="G11" t="s">
        <v>390</v>
      </c>
      <c r="H11">
        <v>54</v>
      </c>
      <c r="I11" t="s">
        <v>116</v>
      </c>
      <c r="J11" t="s">
        <v>491</v>
      </c>
      <c r="L11" t="s">
        <v>646</v>
      </c>
      <c r="M11" t="s">
        <v>663</v>
      </c>
      <c r="N11" t="s">
        <v>771</v>
      </c>
      <c r="O11" t="s">
        <v>1057</v>
      </c>
    </row>
    <row r="12" spans="1:15" x14ac:dyDescent="0.2">
      <c r="A12" t="s">
        <v>492</v>
      </c>
      <c r="B12" t="s">
        <v>672</v>
      </c>
      <c r="C12" t="s">
        <v>269</v>
      </c>
      <c r="D12" t="s">
        <v>366</v>
      </c>
      <c r="E12" t="s">
        <v>493</v>
      </c>
      <c r="F12" t="s">
        <v>417</v>
      </c>
      <c r="G12" t="s">
        <v>391</v>
      </c>
      <c r="H12">
        <v>14</v>
      </c>
      <c r="I12" t="s">
        <v>120</v>
      </c>
      <c r="L12" t="s">
        <v>647</v>
      </c>
      <c r="M12" t="s">
        <v>639</v>
      </c>
      <c r="N12" t="s">
        <v>772</v>
      </c>
      <c r="O12" t="s">
        <v>1058</v>
      </c>
    </row>
    <row r="13" spans="1:15" x14ac:dyDescent="0.2">
      <c r="A13" t="s">
        <v>494</v>
      </c>
      <c r="B13" t="s">
        <v>141</v>
      </c>
      <c r="C13" t="s">
        <v>270</v>
      </c>
      <c r="D13" t="s">
        <v>101</v>
      </c>
      <c r="E13" t="s">
        <v>495</v>
      </c>
      <c r="F13" t="s">
        <v>420</v>
      </c>
      <c r="G13" t="s">
        <v>392</v>
      </c>
      <c r="H13">
        <v>29</v>
      </c>
      <c r="I13" t="s">
        <v>119</v>
      </c>
      <c r="L13" t="s">
        <v>648</v>
      </c>
      <c r="M13" t="s">
        <v>664</v>
      </c>
      <c r="N13" t="s">
        <v>773</v>
      </c>
      <c r="O13" t="s">
        <v>1059</v>
      </c>
    </row>
    <row r="14" spans="1:15" x14ac:dyDescent="0.2">
      <c r="A14" t="s">
        <v>496</v>
      </c>
      <c r="B14" t="s">
        <v>741</v>
      </c>
      <c r="C14" t="s">
        <v>271</v>
      </c>
      <c r="D14" t="s">
        <v>359</v>
      </c>
      <c r="E14" t="s">
        <v>697</v>
      </c>
      <c r="F14" t="s">
        <v>421</v>
      </c>
      <c r="G14" t="s">
        <v>393</v>
      </c>
      <c r="H14">
        <v>27</v>
      </c>
      <c r="I14" t="s">
        <v>119</v>
      </c>
      <c r="L14" t="s">
        <v>649</v>
      </c>
      <c r="M14" t="s">
        <v>665</v>
      </c>
      <c r="N14" t="s">
        <v>774</v>
      </c>
      <c r="O14" t="s">
        <v>1060</v>
      </c>
    </row>
    <row r="15" spans="1:15" x14ac:dyDescent="0.2">
      <c r="A15" t="s">
        <v>497</v>
      </c>
      <c r="B15" t="s">
        <v>142</v>
      </c>
      <c r="C15" t="s">
        <v>272</v>
      </c>
      <c r="D15" t="s">
        <v>751</v>
      </c>
      <c r="E15" t="s">
        <v>498</v>
      </c>
      <c r="F15" t="s">
        <v>422</v>
      </c>
      <c r="G15" t="s">
        <v>394</v>
      </c>
      <c r="H15">
        <v>7</v>
      </c>
      <c r="I15" t="s">
        <v>120</v>
      </c>
      <c r="L15" t="s">
        <v>650</v>
      </c>
      <c r="M15" t="s">
        <v>372</v>
      </c>
      <c r="N15" t="s">
        <v>775</v>
      </c>
      <c r="O15" t="s">
        <v>1061</v>
      </c>
    </row>
    <row r="16" spans="1:15" x14ac:dyDescent="0.2">
      <c r="A16" t="s">
        <v>499</v>
      </c>
      <c r="B16" t="s">
        <v>143</v>
      </c>
      <c r="C16" t="s">
        <v>273</v>
      </c>
      <c r="D16" t="s">
        <v>752</v>
      </c>
      <c r="E16" t="s">
        <v>698</v>
      </c>
      <c r="F16" t="s">
        <v>423</v>
      </c>
      <c r="G16" t="s">
        <v>395</v>
      </c>
      <c r="H16">
        <v>4</v>
      </c>
      <c r="I16" t="s">
        <v>119</v>
      </c>
      <c r="L16" t="s">
        <v>651</v>
      </c>
      <c r="M16" t="s">
        <v>640</v>
      </c>
      <c r="N16" t="s">
        <v>776</v>
      </c>
    </row>
    <row r="17" spans="1:14" x14ac:dyDescent="0.2">
      <c r="A17" t="s">
        <v>500</v>
      </c>
      <c r="B17" t="s">
        <v>144</v>
      </c>
      <c r="C17" t="s">
        <v>274</v>
      </c>
      <c r="D17" t="s">
        <v>753</v>
      </c>
      <c r="E17" t="s">
        <v>377</v>
      </c>
      <c r="F17" t="s">
        <v>424</v>
      </c>
      <c r="G17" t="s">
        <v>396</v>
      </c>
      <c r="H17">
        <v>32</v>
      </c>
      <c r="I17" t="s">
        <v>121</v>
      </c>
      <c r="L17" t="s">
        <v>652</v>
      </c>
      <c r="M17" t="s">
        <v>666</v>
      </c>
      <c r="N17" t="s">
        <v>777</v>
      </c>
    </row>
    <row r="18" spans="1:14" x14ac:dyDescent="0.2">
      <c r="A18" t="s">
        <v>501</v>
      </c>
      <c r="B18" t="s">
        <v>145</v>
      </c>
      <c r="C18" t="s">
        <v>275</v>
      </c>
      <c r="D18" t="s">
        <v>754</v>
      </c>
      <c r="E18" t="s">
        <v>699</v>
      </c>
      <c r="F18" t="s">
        <v>433</v>
      </c>
      <c r="G18" t="s">
        <v>397</v>
      </c>
      <c r="H18">
        <v>16</v>
      </c>
      <c r="I18" t="s">
        <v>113</v>
      </c>
      <c r="L18" t="s">
        <v>653</v>
      </c>
      <c r="M18" t="s">
        <v>641</v>
      </c>
      <c r="N18" t="s">
        <v>778</v>
      </c>
    </row>
    <row r="19" spans="1:14" x14ac:dyDescent="0.2">
      <c r="A19" t="s">
        <v>502</v>
      </c>
      <c r="B19" t="s">
        <v>146</v>
      </c>
      <c r="C19" t="s">
        <v>112</v>
      </c>
      <c r="D19" t="s">
        <v>249</v>
      </c>
      <c r="E19" t="s">
        <v>503</v>
      </c>
      <c r="F19" t="s">
        <v>434</v>
      </c>
      <c r="G19" t="s">
        <v>398</v>
      </c>
      <c r="H19">
        <v>63</v>
      </c>
      <c r="L19" t="s">
        <v>654</v>
      </c>
      <c r="M19" t="s">
        <v>667</v>
      </c>
      <c r="N19" t="s">
        <v>779</v>
      </c>
    </row>
    <row r="20" spans="1:14" x14ac:dyDescent="0.2">
      <c r="A20" t="s">
        <v>504</v>
      </c>
      <c r="B20" t="s">
        <v>147</v>
      </c>
      <c r="C20" t="s">
        <v>276</v>
      </c>
      <c r="D20" t="s">
        <v>369</v>
      </c>
      <c r="E20" t="s">
        <v>700</v>
      </c>
      <c r="F20" t="s">
        <v>436</v>
      </c>
      <c r="G20" t="s">
        <v>399</v>
      </c>
      <c r="H20">
        <v>63</v>
      </c>
      <c r="L20" t="s">
        <v>655</v>
      </c>
      <c r="M20" t="s">
        <v>668</v>
      </c>
      <c r="N20" t="s">
        <v>780</v>
      </c>
    </row>
    <row r="21" spans="1:14" x14ac:dyDescent="0.2">
      <c r="A21" t="s">
        <v>505</v>
      </c>
      <c r="B21" t="s">
        <v>148</v>
      </c>
      <c r="C21" t="s">
        <v>277</v>
      </c>
      <c r="D21" t="s">
        <v>250</v>
      </c>
      <c r="E21" t="s">
        <v>379</v>
      </c>
      <c r="F21" t="s">
        <v>437</v>
      </c>
      <c r="G21" t="s">
        <v>400</v>
      </c>
      <c r="H21">
        <v>20</v>
      </c>
      <c r="I21" t="s">
        <v>120</v>
      </c>
      <c r="L21" t="s">
        <v>656</v>
      </c>
      <c r="M21" t="s">
        <v>669</v>
      </c>
      <c r="N21" t="s">
        <v>781</v>
      </c>
    </row>
    <row r="22" spans="1:14" x14ac:dyDescent="0.2">
      <c r="A22" t="s">
        <v>506</v>
      </c>
      <c r="B22" t="s">
        <v>673</v>
      </c>
      <c r="C22" t="s">
        <v>278</v>
      </c>
      <c r="D22" t="s">
        <v>339</v>
      </c>
      <c r="E22" t="s">
        <v>507</v>
      </c>
      <c r="F22" t="s">
        <v>714</v>
      </c>
      <c r="G22" t="s">
        <v>401</v>
      </c>
      <c r="H22">
        <v>42</v>
      </c>
      <c r="I22" t="s">
        <v>120</v>
      </c>
      <c r="L22" t="s">
        <v>657</v>
      </c>
      <c r="M22" t="s">
        <v>670</v>
      </c>
      <c r="N22" t="s">
        <v>782</v>
      </c>
    </row>
    <row r="23" spans="1:14" x14ac:dyDescent="0.2">
      <c r="A23" t="s">
        <v>508</v>
      </c>
      <c r="B23" t="s">
        <v>674</v>
      </c>
      <c r="C23" t="s">
        <v>693</v>
      </c>
      <c r="D23" t="s">
        <v>125</v>
      </c>
      <c r="E23" t="s">
        <v>509</v>
      </c>
      <c r="F23" t="s">
        <v>438</v>
      </c>
      <c r="G23" t="s">
        <v>402</v>
      </c>
      <c r="H23">
        <v>64</v>
      </c>
      <c r="I23" t="s">
        <v>116</v>
      </c>
      <c r="L23" t="s">
        <v>658</v>
      </c>
      <c r="N23" t="s">
        <v>783</v>
      </c>
    </row>
    <row r="24" spans="1:14" x14ac:dyDescent="0.2">
      <c r="A24" t="s">
        <v>510</v>
      </c>
      <c r="B24" t="s">
        <v>149</v>
      </c>
      <c r="C24" t="s">
        <v>279</v>
      </c>
      <c r="D24" t="s">
        <v>291</v>
      </c>
      <c r="E24" t="s">
        <v>380</v>
      </c>
      <c r="F24" t="s">
        <v>439</v>
      </c>
      <c r="G24" t="s">
        <v>403</v>
      </c>
      <c r="H24">
        <v>64</v>
      </c>
      <c r="I24" t="s">
        <v>116</v>
      </c>
      <c r="L24" t="s">
        <v>659</v>
      </c>
      <c r="N24" t="s">
        <v>784</v>
      </c>
    </row>
    <row r="25" spans="1:14" x14ac:dyDescent="0.2">
      <c r="A25" t="s">
        <v>511</v>
      </c>
      <c r="B25" t="s">
        <v>150</v>
      </c>
      <c r="C25" t="s">
        <v>280</v>
      </c>
      <c r="D25" t="s">
        <v>107</v>
      </c>
      <c r="E25" t="s">
        <v>701</v>
      </c>
      <c r="F25" t="s">
        <v>440</v>
      </c>
      <c r="G25" t="s">
        <v>404</v>
      </c>
      <c r="H25">
        <v>74</v>
      </c>
      <c r="I25" t="s">
        <v>117</v>
      </c>
      <c r="L25" t="s">
        <v>660</v>
      </c>
      <c r="N25" t="s">
        <v>785</v>
      </c>
    </row>
    <row r="26" spans="1:14" x14ac:dyDescent="0.2">
      <c r="A26" t="s">
        <v>512</v>
      </c>
      <c r="B26" t="s">
        <v>151</v>
      </c>
      <c r="C26" t="s">
        <v>248</v>
      </c>
      <c r="D26" t="s">
        <v>328</v>
      </c>
      <c r="E26" t="s">
        <v>702</v>
      </c>
      <c r="F26" t="s">
        <v>441</v>
      </c>
      <c r="G26" t="s">
        <v>405</v>
      </c>
      <c r="H26">
        <v>65</v>
      </c>
      <c r="I26" t="s">
        <v>116</v>
      </c>
      <c r="L26" t="s">
        <v>661</v>
      </c>
      <c r="N26" t="s">
        <v>786</v>
      </c>
    </row>
    <row r="27" spans="1:14" x14ac:dyDescent="0.2">
      <c r="A27" t="s">
        <v>513</v>
      </c>
      <c r="B27" t="s">
        <v>152</v>
      </c>
      <c r="C27" t="s">
        <v>281</v>
      </c>
      <c r="D27" t="s">
        <v>336</v>
      </c>
      <c r="E27" t="s">
        <v>378</v>
      </c>
      <c r="F27" t="s">
        <v>442</v>
      </c>
      <c r="G27" t="s">
        <v>406</v>
      </c>
      <c r="H27">
        <v>65</v>
      </c>
      <c r="I27" t="s">
        <v>116</v>
      </c>
      <c r="L27" t="s">
        <v>662</v>
      </c>
      <c r="N27" t="s">
        <v>787</v>
      </c>
    </row>
    <row r="28" spans="1:14" x14ac:dyDescent="0.2">
      <c r="A28" t="s">
        <v>514</v>
      </c>
      <c r="B28" t="s">
        <v>153</v>
      </c>
      <c r="C28" t="s">
        <v>282</v>
      </c>
      <c r="D28" t="s">
        <v>344</v>
      </c>
      <c r="E28" t="s">
        <v>515</v>
      </c>
      <c r="F28" t="s">
        <v>105</v>
      </c>
      <c r="G28" t="s">
        <v>407</v>
      </c>
      <c r="H28">
        <v>66</v>
      </c>
      <c r="I28" t="s">
        <v>116</v>
      </c>
      <c r="N28" t="s">
        <v>788</v>
      </c>
    </row>
    <row r="29" spans="1:14" x14ac:dyDescent="0.2">
      <c r="A29" t="s">
        <v>516</v>
      </c>
      <c r="B29" t="s">
        <v>154</v>
      </c>
      <c r="C29" t="s">
        <v>283</v>
      </c>
      <c r="D29" t="s">
        <v>352</v>
      </c>
      <c r="E29" t="s">
        <v>517</v>
      </c>
      <c r="F29" t="s">
        <v>453</v>
      </c>
      <c r="G29" t="s">
        <v>408</v>
      </c>
      <c r="H29">
        <v>66</v>
      </c>
      <c r="I29" t="s">
        <v>116</v>
      </c>
      <c r="N29" t="s">
        <v>789</v>
      </c>
    </row>
    <row r="30" spans="1:14" x14ac:dyDescent="0.2">
      <c r="A30" t="s">
        <v>518</v>
      </c>
      <c r="B30" t="s">
        <v>155</v>
      </c>
      <c r="C30" t="s">
        <v>284</v>
      </c>
      <c r="D30" t="s">
        <v>243</v>
      </c>
      <c r="E30" t="s">
        <v>519</v>
      </c>
      <c r="F30" t="s">
        <v>715</v>
      </c>
      <c r="G30" t="s">
        <v>410</v>
      </c>
      <c r="H30">
        <v>18</v>
      </c>
      <c r="I30" t="s">
        <v>120</v>
      </c>
      <c r="N30" t="s">
        <v>790</v>
      </c>
    </row>
    <row r="31" spans="1:14" x14ac:dyDescent="0.2">
      <c r="A31" t="s">
        <v>520</v>
      </c>
      <c r="B31" t="s">
        <v>156</v>
      </c>
      <c r="C31" t="s">
        <v>250</v>
      </c>
      <c r="D31" t="s">
        <v>343</v>
      </c>
      <c r="E31" t="s">
        <v>521</v>
      </c>
      <c r="F31" t="s">
        <v>454</v>
      </c>
      <c r="G31" t="s">
        <v>411</v>
      </c>
      <c r="H31">
        <v>75</v>
      </c>
      <c r="I31" t="s">
        <v>116</v>
      </c>
      <c r="N31" t="s">
        <v>791</v>
      </c>
    </row>
    <row r="32" spans="1:14" x14ac:dyDescent="0.2">
      <c r="A32" t="s">
        <v>522</v>
      </c>
      <c r="B32" t="s">
        <v>157</v>
      </c>
      <c r="C32" t="s">
        <v>285</v>
      </c>
      <c r="D32" t="s">
        <v>114</v>
      </c>
      <c r="E32" t="s">
        <v>104</v>
      </c>
      <c r="F32" t="s">
        <v>455</v>
      </c>
      <c r="G32" t="s">
        <v>412</v>
      </c>
      <c r="H32">
        <v>40</v>
      </c>
      <c r="I32" t="s">
        <v>127</v>
      </c>
      <c r="N32" t="s">
        <v>792</v>
      </c>
    </row>
    <row r="33" spans="1:14" x14ac:dyDescent="0.2">
      <c r="A33" t="s">
        <v>523</v>
      </c>
      <c r="B33" t="s">
        <v>158</v>
      </c>
      <c r="C33" t="s">
        <v>287</v>
      </c>
      <c r="D33" t="s">
        <v>351</v>
      </c>
      <c r="E33" t="s">
        <v>109</v>
      </c>
      <c r="G33" t="s">
        <v>413</v>
      </c>
      <c r="H33">
        <v>48</v>
      </c>
      <c r="I33" t="s">
        <v>128</v>
      </c>
      <c r="N33" t="s">
        <v>793</v>
      </c>
    </row>
    <row r="34" spans="1:14" x14ac:dyDescent="0.2">
      <c r="A34" t="s">
        <v>524</v>
      </c>
      <c r="B34" t="s">
        <v>159</v>
      </c>
      <c r="C34" t="s">
        <v>286</v>
      </c>
      <c r="D34" t="s">
        <v>253</v>
      </c>
      <c r="E34" t="s">
        <v>703</v>
      </c>
      <c r="G34" t="s">
        <v>716</v>
      </c>
      <c r="H34">
        <v>67</v>
      </c>
      <c r="I34" t="s">
        <v>130</v>
      </c>
      <c r="N34" t="s">
        <v>794</v>
      </c>
    </row>
    <row r="35" spans="1:14" x14ac:dyDescent="0.2">
      <c r="A35" t="s">
        <v>525</v>
      </c>
      <c r="B35" t="s">
        <v>160</v>
      </c>
      <c r="C35" t="s">
        <v>288</v>
      </c>
      <c r="D35" t="s">
        <v>346</v>
      </c>
      <c r="E35" t="s">
        <v>526</v>
      </c>
      <c r="G35" t="s">
        <v>717</v>
      </c>
      <c r="H35">
        <v>38</v>
      </c>
      <c r="I35" t="s">
        <v>119</v>
      </c>
      <c r="N35" t="s">
        <v>795</v>
      </c>
    </row>
    <row r="36" spans="1:14" x14ac:dyDescent="0.2">
      <c r="A36" t="s">
        <v>527</v>
      </c>
      <c r="B36" t="s">
        <v>161</v>
      </c>
      <c r="C36" t="s">
        <v>289</v>
      </c>
      <c r="D36" t="s">
        <v>254</v>
      </c>
      <c r="E36" t="s">
        <v>704</v>
      </c>
      <c r="G36" t="s">
        <v>718</v>
      </c>
      <c r="H36">
        <v>33</v>
      </c>
      <c r="I36" t="s">
        <v>113</v>
      </c>
      <c r="N36" t="s">
        <v>796</v>
      </c>
    </row>
    <row r="37" spans="1:14" x14ac:dyDescent="0.2">
      <c r="A37" t="s">
        <v>528</v>
      </c>
      <c r="B37" t="s">
        <v>162</v>
      </c>
      <c r="C37" t="s">
        <v>251</v>
      </c>
      <c r="D37" t="s">
        <v>337</v>
      </c>
      <c r="E37" t="s">
        <v>529</v>
      </c>
      <c r="G37" t="s">
        <v>719</v>
      </c>
      <c r="H37">
        <v>44</v>
      </c>
      <c r="I37" t="s">
        <v>123</v>
      </c>
      <c r="N37" t="s">
        <v>797</v>
      </c>
    </row>
    <row r="38" spans="1:14" x14ac:dyDescent="0.2">
      <c r="A38" t="s">
        <v>530</v>
      </c>
      <c r="B38" t="s">
        <v>163</v>
      </c>
      <c r="C38" t="s">
        <v>290</v>
      </c>
      <c r="D38" t="s">
        <v>255</v>
      </c>
      <c r="E38" t="s">
        <v>531</v>
      </c>
      <c r="G38" t="s">
        <v>414</v>
      </c>
      <c r="H38">
        <v>62</v>
      </c>
      <c r="I38" t="s">
        <v>117</v>
      </c>
      <c r="N38" t="s">
        <v>798</v>
      </c>
    </row>
    <row r="39" spans="1:14" x14ac:dyDescent="0.2">
      <c r="A39" t="s">
        <v>532</v>
      </c>
      <c r="B39" t="s">
        <v>164</v>
      </c>
      <c r="C39" t="s">
        <v>291</v>
      </c>
      <c r="D39" t="s">
        <v>302</v>
      </c>
      <c r="E39" t="s">
        <v>533</v>
      </c>
      <c r="G39" t="s">
        <v>720</v>
      </c>
      <c r="H39">
        <v>68</v>
      </c>
      <c r="I39" t="s">
        <v>116</v>
      </c>
      <c r="N39" t="s">
        <v>799</v>
      </c>
    </row>
    <row r="40" spans="1:14" x14ac:dyDescent="0.2">
      <c r="A40" t="s">
        <v>534</v>
      </c>
      <c r="B40" t="s">
        <v>165</v>
      </c>
      <c r="C40" t="s">
        <v>108</v>
      </c>
      <c r="D40" t="s">
        <v>304</v>
      </c>
      <c r="E40" t="s">
        <v>705</v>
      </c>
      <c r="G40" t="s">
        <v>721</v>
      </c>
      <c r="H40">
        <v>68</v>
      </c>
      <c r="I40" t="s">
        <v>116</v>
      </c>
      <c r="N40" t="s">
        <v>800</v>
      </c>
    </row>
    <row r="41" spans="1:14" x14ac:dyDescent="0.2">
      <c r="A41" t="s">
        <v>535</v>
      </c>
      <c r="B41" t="s">
        <v>166</v>
      </c>
      <c r="C41" t="s">
        <v>252</v>
      </c>
      <c r="D41" t="s">
        <v>335</v>
      </c>
      <c r="E41" t="s">
        <v>706</v>
      </c>
      <c r="G41" t="s">
        <v>722</v>
      </c>
      <c r="H41">
        <v>49</v>
      </c>
      <c r="I41" t="s">
        <v>128</v>
      </c>
      <c r="N41" t="s">
        <v>801</v>
      </c>
    </row>
    <row r="42" spans="1:14" x14ac:dyDescent="0.2">
      <c r="A42" t="s">
        <v>536</v>
      </c>
      <c r="B42" t="s">
        <v>167</v>
      </c>
      <c r="C42" t="s">
        <v>292</v>
      </c>
      <c r="D42" t="s">
        <v>350</v>
      </c>
      <c r="E42" t="s">
        <v>707</v>
      </c>
      <c r="G42" t="s">
        <v>713</v>
      </c>
      <c r="H42">
        <v>11</v>
      </c>
      <c r="I42" t="s">
        <v>121</v>
      </c>
      <c r="N42" t="s">
        <v>802</v>
      </c>
    </row>
    <row r="43" spans="1:14" x14ac:dyDescent="0.2">
      <c r="A43" t="s">
        <v>537</v>
      </c>
      <c r="B43" t="s">
        <v>168</v>
      </c>
      <c r="C43" t="s">
        <v>293</v>
      </c>
      <c r="D43" t="s">
        <v>342</v>
      </c>
      <c r="E43" t="s">
        <v>708</v>
      </c>
      <c r="G43" t="s">
        <v>415</v>
      </c>
      <c r="H43">
        <v>58</v>
      </c>
      <c r="I43" t="s">
        <v>116</v>
      </c>
      <c r="N43" t="s">
        <v>803</v>
      </c>
    </row>
    <row r="44" spans="1:14" x14ac:dyDescent="0.2">
      <c r="A44" t="s">
        <v>538</v>
      </c>
      <c r="B44" t="s">
        <v>675</v>
      </c>
      <c r="C44" t="s">
        <v>294</v>
      </c>
      <c r="D44" t="s">
        <v>371</v>
      </c>
      <c r="E44" t="s">
        <v>709</v>
      </c>
      <c r="G44" t="s">
        <v>416</v>
      </c>
      <c r="H44">
        <v>21</v>
      </c>
      <c r="I44" t="s">
        <v>121</v>
      </c>
      <c r="N44" t="s">
        <v>804</v>
      </c>
    </row>
    <row r="45" spans="1:14" x14ac:dyDescent="0.2">
      <c r="A45" t="s">
        <v>539</v>
      </c>
      <c r="B45" t="s">
        <v>676</v>
      </c>
      <c r="C45" t="s">
        <v>295</v>
      </c>
      <c r="D45" t="s">
        <v>347</v>
      </c>
      <c r="E45" t="s">
        <v>710</v>
      </c>
      <c r="G45" t="s">
        <v>417</v>
      </c>
      <c r="H45">
        <v>69</v>
      </c>
      <c r="N45" t="s">
        <v>805</v>
      </c>
    </row>
    <row r="46" spans="1:14" x14ac:dyDescent="0.2">
      <c r="A46" t="s">
        <v>540</v>
      </c>
      <c r="B46" t="s">
        <v>677</v>
      </c>
      <c r="C46" t="s">
        <v>296</v>
      </c>
      <c r="D46" t="s">
        <v>755</v>
      </c>
      <c r="E46" t="s">
        <v>711</v>
      </c>
      <c r="G46" t="s">
        <v>418</v>
      </c>
      <c r="H46">
        <v>15</v>
      </c>
      <c r="I46" t="s">
        <v>122</v>
      </c>
      <c r="N46" t="s">
        <v>806</v>
      </c>
    </row>
    <row r="47" spans="1:14" x14ac:dyDescent="0.2">
      <c r="A47" t="s">
        <v>542</v>
      </c>
      <c r="B47" t="s">
        <v>678</v>
      </c>
      <c r="C47" t="s">
        <v>297</v>
      </c>
      <c r="D47" t="s">
        <v>349</v>
      </c>
      <c r="E47" t="s">
        <v>541</v>
      </c>
      <c r="G47" t="s">
        <v>419</v>
      </c>
      <c r="H47">
        <v>57</v>
      </c>
      <c r="I47" t="s">
        <v>113</v>
      </c>
      <c r="N47" t="s">
        <v>807</v>
      </c>
    </row>
    <row r="48" spans="1:14" x14ac:dyDescent="0.2">
      <c r="A48" t="s">
        <v>544</v>
      </c>
      <c r="B48" t="s">
        <v>679</v>
      </c>
      <c r="C48" t="s">
        <v>298</v>
      </c>
      <c r="D48" t="s">
        <v>333</v>
      </c>
      <c r="E48" t="s">
        <v>543</v>
      </c>
      <c r="G48" t="s">
        <v>420</v>
      </c>
      <c r="H48">
        <v>70</v>
      </c>
      <c r="I48" t="s">
        <v>116</v>
      </c>
      <c r="N48" t="s">
        <v>808</v>
      </c>
    </row>
    <row r="49" spans="1:14" x14ac:dyDescent="0.2">
      <c r="A49" t="s">
        <v>546</v>
      </c>
      <c r="B49" t="s">
        <v>680</v>
      </c>
      <c r="C49" t="s">
        <v>299</v>
      </c>
      <c r="D49" t="s">
        <v>330</v>
      </c>
      <c r="E49" t="s">
        <v>545</v>
      </c>
      <c r="G49" t="s">
        <v>421</v>
      </c>
      <c r="H49">
        <v>70</v>
      </c>
      <c r="I49" t="s">
        <v>116</v>
      </c>
      <c r="N49" t="s">
        <v>809</v>
      </c>
    </row>
    <row r="50" spans="1:14" x14ac:dyDescent="0.2">
      <c r="A50" t="s">
        <v>548</v>
      </c>
      <c r="B50" t="s">
        <v>681</v>
      </c>
      <c r="C50" t="s">
        <v>300</v>
      </c>
      <c r="D50" t="s">
        <v>338</v>
      </c>
      <c r="E50" t="s">
        <v>547</v>
      </c>
      <c r="G50" t="s">
        <v>422</v>
      </c>
      <c r="H50">
        <v>39</v>
      </c>
      <c r="I50" t="s">
        <v>123</v>
      </c>
      <c r="N50" t="s">
        <v>810</v>
      </c>
    </row>
    <row r="51" spans="1:14" x14ac:dyDescent="0.2">
      <c r="A51" t="s">
        <v>550</v>
      </c>
      <c r="B51" t="s">
        <v>169</v>
      </c>
      <c r="C51" t="s">
        <v>301</v>
      </c>
      <c r="D51" t="s">
        <v>361</v>
      </c>
      <c r="E51" t="s">
        <v>549</v>
      </c>
      <c r="G51" t="s">
        <v>423</v>
      </c>
      <c r="H51">
        <v>71</v>
      </c>
      <c r="I51" t="s">
        <v>116</v>
      </c>
      <c r="N51" t="s">
        <v>811</v>
      </c>
    </row>
    <row r="52" spans="1:14" x14ac:dyDescent="0.2">
      <c r="A52" t="s">
        <v>552</v>
      </c>
      <c r="B52" t="s">
        <v>170</v>
      </c>
      <c r="C52" t="s">
        <v>302</v>
      </c>
      <c r="D52" t="s">
        <v>345</v>
      </c>
      <c r="E52" t="s">
        <v>551</v>
      </c>
      <c r="G52" t="s">
        <v>424</v>
      </c>
      <c r="H52">
        <v>71</v>
      </c>
      <c r="I52" t="s">
        <v>116</v>
      </c>
      <c r="N52" t="s">
        <v>812</v>
      </c>
    </row>
    <row r="53" spans="1:14" x14ac:dyDescent="0.2">
      <c r="A53" t="s">
        <v>553</v>
      </c>
      <c r="B53" t="s">
        <v>171</v>
      </c>
      <c r="C53" t="s">
        <v>303</v>
      </c>
      <c r="D53" t="s">
        <v>118</v>
      </c>
      <c r="E53" t="s">
        <v>712</v>
      </c>
      <c r="G53" t="s">
        <v>425</v>
      </c>
      <c r="H53">
        <v>26</v>
      </c>
      <c r="I53" t="s">
        <v>126</v>
      </c>
      <c r="N53" t="s">
        <v>813</v>
      </c>
    </row>
    <row r="54" spans="1:14" x14ac:dyDescent="0.2">
      <c r="A54" t="s">
        <v>554</v>
      </c>
      <c r="B54" t="s">
        <v>172</v>
      </c>
      <c r="C54" t="s">
        <v>304</v>
      </c>
      <c r="D54" t="s">
        <v>257</v>
      </c>
      <c r="G54" t="s">
        <v>426</v>
      </c>
      <c r="H54">
        <v>41</v>
      </c>
      <c r="I54" t="s">
        <v>119</v>
      </c>
      <c r="N54" t="s">
        <v>814</v>
      </c>
    </row>
    <row r="55" spans="1:14" x14ac:dyDescent="0.2">
      <c r="A55" t="s">
        <v>555</v>
      </c>
      <c r="B55" t="s">
        <v>173</v>
      </c>
      <c r="C55" t="s">
        <v>305</v>
      </c>
      <c r="D55" t="s">
        <v>314</v>
      </c>
      <c r="G55" t="s">
        <v>427</v>
      </c>
      <c r="H55">
        <v>41</v>
      </c>
      <c r="I55" t="s">
        <v>119</v>
      </c>
      <c r="N55" t="s">
        <v>815</v>
      </c>
    </row>
    <row r="56" spans="1:14" x14ac:dyDescent="0.2">
      <c r="A56" t="s">
        <v>556</v>
      </c>
      <c r="B56" t="s">
        <v>682</v>
      </c>
      <c r="C56" t="s">
        <v>306</v>
      </c>
      <c r="D56" t="s">
        <v>111</v>
      </c>
      <c r="G56" t="s">
        <v>428</v>
      </c>
      <c r="H56">
        <v>31</v>
      </c>
      <c r="I56" t="s">
        <v>126</v>
      </c>
      <c r="N56" t="s">
        <v>816</v>
      </c>
    </row>
    <row r="57" spans="1:14" x14ac:dyDescent="0.2">
      <c r="A57" t="s">
        <v>557</v>
      </c>
      <c r="B57" t="s">
        <v>174</v>
      </c>
      <c r="C57" t="s">
        <v>307</v>
      </c>
      <c r="D57" t="s">
        <v>102</v>
      </c>
      <c r="G57" t="s">
        <v>429</v>
      </c>
      <c r="H57">
        <v>13</v>
      </c>
      <c r="I57" t="s">
        <v>113</v>
      </c>
      <c r="N57" t="s">
        <v>817</v>
      </c>
    </row>
    <row r="58" spans="1:14" x14ac:dyDescent="0.2">
      <c r="A58" t="s">
        <v>558</v>
      </c>
      <c r="B58" t="s">
        <v>1073</v>
      </c>
      <c r="C58" t="s">
        <v>256</v>
      </c>
      <c r="D58" t="s">
        <v>329</v>
      </c>
      <c r="G58" t="s">
        <v>430</v>
      </c>
      <c r="H58">
        <v>37</v>
      </c>
      <c r="I58" t="s">
        <v>119</v>
      </c>
      <c r="N58" t="s">
        <v>818</v>
      </c>
    </row>
    <row r="59" spans="1:14" x14ac:dyDescent="0.2">
      <c r="A59" t="s">
        <v>1066</v>
      </c>
      <c r="B59" t="s">
        <v>1074</v>
      </c>
      <c r="C59" t="s">
        <v>308</v>
      </c>
      <c r="D59" t="s">
        <v>332</v>
      </c>
      <c r="G59" t="s">
        <v>431</v>
      </c>
      <c r="H59">
        <v>72</v>
      </c>
      <c r="N59" t="s">
        <v>819</v>
      </c>
    </row>
    <row r="60" spans="1:14" x14ac:dyDescent="0.2">
      <c r="A60" t="s">
        <v>559</v>
      </c>
      <c r="B60" t="s">
        <v>1075</v>
      </c>
      <c r="C60" t="s">
        <v>309</v>
      </c>
      <c r="D60" t="s">
        <v>244</v>
      </c>
      <c r="G60" t="s">
        <v>432</v>
      </c>
      <c r="H60">
        <v>22</v>
      </c>
      <c r="I60" t="s">
        <v>121</v>
      </c>
      <c r="N60" t="s">
        <v>820</v>
      </c>
    </row>
    <row r="61" spans="1:14" x14ac:dyDescent="0.2">
      <c r="A61" t="s">
        <v>560</v>
      </c>
      <c r="B61" t="s">
        <v>1076</v>
      </c>
      <c r="C61" t="s">
        <v>310</v>
      </c>
      <c r="D61" t="s">
        <v>340</v>
      </c>
      <c r="G61" t="s">
        <v>433</v>
      </c>
      <c r="H61">
        <v>17</v>
      </c>
      <c r="I61" t="s">
        <v>123</v>
      </c>
      <c r="N61" t="s">
        <v>821</v>
      </c>
    </row>
    <row r="62" spans="1:14" x14ac:dyDescent="0.2">
      <c r="A62" t="s">
        <v>561</v>
      </c>
      <c r="B62" t="s">
        <v>1077</v>
      </c>
      <c r="C62" t="s">
        <v>311</v>
      </c>
      <c r="D62" t="s">
        <v>358</v>
      </c>
      <c r="G62" t="s">
        <v>434</v>
      </c>
      <c r="H62">
        <v>23</v>
      </c>
      <c r="I62" t="s">
        <v>120</v>
      </c>
      <c r="N62" t="s">
        <v>822</v>
      </c>
    </row>
    <row r="63" spans="1:14" x14ac:dyDescent="0.2">
      <c r="A63" t="s">
        <v>562</v>
      </c>
      <c r="B63" t="s">
        <v>1078</v>
      </c>
      <c r="C63" t="s">
        <v>312</v>
      </c>
      <c r="D63" t="s">
        <v>331</v>
      </c>
      <c r="G63" t="s">
        <v>435</v>
      </c>
      <c r="H63">
        <v>36</v>
      </c>
      <c r="I63" t="s">
        <v>120</v>
      </c>
      <c r="N63" t="s">
        <v>823</v>
      </c>
    </row>
    <row r="64" spans="1:14" x14ac:dyDescent="0.2">
      <c r="A64" t="s">
        <v>563</v>
      </c>
      <c r="B64" t="s">
        <v>1079</v>
      </c>
      <c r="C64" t="s">
        <v>313</v>
      </c>
      <c r="D64" t="s">
        <v>756</v>
      </c>
      <c r="G64" t="s">
        <v>436</v>
      </c>
      <c r="H64">
        <v>34</v>
      </c>
      <c r="I64" t="s">
        <v>120</v>
      </c>
      <c r="N64" t="s">
        <v>824</v>
      </c>
    </row>
    <row r="65" spans="1:14" x14ac:dyDescent="0.2">
      <c r="A65" t="s">
        <v>564</v>
      </c>
      <c r="B65" t="s">
        <v>1080</v>
      </c>
      <c r="C65" t="s">
        <v>257</v>
      </c>
      <c r="D65" t="s">
        <v>360</v>
      </c>
      <c r="G65" t="s">
        <v>437</v>
      </c>
      <c r="H65">
        <v>35</v>
      </c>
      <c r="I65" t="s">
        <v>120</v>
      </c>
      <c r="N65" t="s">
        <v>825</v>
      </c>
    </row>
    <row r="66" spans="1:14" x14ac:dyDescent="0.2">
      <c r="A66" t="s">
        <v>565</v>
      </c>
      <c r="B66" t="s">
        <v>1081</v>
      </c>
      <c r="C66" t="s">
        <v>314</v>
      </c>
      <c r="D66" t="s">
        <v>245</v>
      </c>
      <c r="G66" t="s">
        <v>714</v>
      </c>
      <c r="H66">
        <v>73</v>
      </c>
      <c r="I66" t="s">
        <v>116</v>
      </c>
      <c r="N66" t="s">
        <v>826</v>
      </c>
    </row>
    <row r="67" spans="1:14" x14ac:dyDescent="0.2">
      <c r="A67" t="s">
        <v>566</v>
      </c>
      <c r="B67" t="s">
        <v>1082</v>
      </c>
      <c r="C67" t="s">
        <v>315</v>
      </c>
      <c r="D67" t="s">
        <v>356</v>
      </c>
      <c r="G67" t="s">
        <v>438</v>
      </c>
      <c r="H67">
        <v>73</v>
      </c>
      <c r="I67" t="s">
        <v>116</v>
      </c>
      <c r="N67" t="s">
        <v>827</v>
      </c>
    </row>
    <row r="68" spans="1:14" x14ac:dyDescent="0.2">
      <c r="A68" t="s">
        <v>567</v>
      </c>
      <c r="B68" t="s">
        <v>1083</v>
      </c>
      <c r="C68" t="s">
        <v>316</v>
      </c>
      <c r="D68" t="s">
        <v>334</v>
      </c>
      <c r="G68" t="s">
        <v>439</v>
      </c>
      <c r="H68">
        <v>1</v>
      </c>
      <c r="I68" t="s">
        <v>115</v>
      </c>
      <c r="N68" t="s">
        <v>828</v>
      </c>
    </row>
    <row r="69" spans="1:14" x14ac:dyDescent="0.2">
      <c r="A69" t="s">
        <v>568</v>
      </c>
      <c r="B69" t="s">
        <v>1084</v>
      </c>
      <c r="C69" t="s">
        <v>258</v>
      </c>
      <c r="D69" t="s">
        <v>355</v>
      </c>
      <c r="G69" t="s">
        <v>723</v>
      </c>
      <c r="H69">
        <v>5</v>
      </c>
      <c r="I69" t="s">
        <v>1067</v>
      </c>
      <c r="N69" t="s">
        <v>829</v>
      </c>
    </row>
    <row r="70" spans="1:14" x14ac:dyDescent="0.2">
      <c r="A70" t="s">
        <v>569</v>
      </c>
      <c r="B70" t="s">
        <v>1085</v>
      </c>
      <c r="C70" t="s">
        <v>103</v>
      </c>
      <c r="D70" t="s">
        <v>354</v>
      </c>
      <c r="G70" t="s">
        <v>724</v>
      </c>
      <c r="H70">
        <v>5</v>
      </c>
      <c r="I70" t="s">
        <v>1067</v>
      </c>
      <c r="N70" t="s">
        <v>830</v>
      </c>
    </row>
    <row r="71" spans="1:14" x14ac:dyDescent="0.2">
      <c r="A71" t="s">
        <v>570</v>
      </c>
      <c r="B71" t="s">
        <v>1086</v>
      </c>
      <c r="C71" t="s">
        <v>317</v>
      </c>
      <c r="D71" t="s">
        <v>353</v>
      </c>
      <c r="G71" t="s">
        <v>440</v>
      </c>
      <c r="H71">
        <v>2</v>
      </c>
      <c r="I71" t="s">
        <v>1068</v>
      </c>
      <c r="N71" t="s">
        <v>831</v>
      </c>
    </row>
    <row r="72" spans="1:14" x14ac:dyDescent="0.2">
      <c r="A72" t="s">
        <v>571</v>
      </c>
      <c r="B72" t="s">
        <v>1087</v>
      </c>
      <c r="C72" t="s">
        <v>318</v>
      </c>
      <c r="D72" t="s">
        <v>365</v>
      </c>
      <c r="G72" t="s">
        <v>441</v>
      </c>
      <c r="H72">
        <v>2</v>
      </c>
      <c r="I72" t="s">
        <v>1068</v>
      </c>
      <c r="N72" t="s">
        <v>832</v>
      </c>
    </row>
    <row r="73" spans="1:14" x14ac:dyDescent="0.2">
      <c r="A73" t="s">
        <v>572</v>
      </c>
      <c r="B73" t="s">
        <v>1088</v>
      </c>
      <c r="C73" t="s">
        <v>319</v>
      </c>
      <c r="D73" t="s">
        <v>757</v>
      </c>
      <c r="G73" t="s">
        <v>442</v>
      </c>
      <c r="H73">
        <v>51</v>
      </c>
      <c r="I73" t="s">
        <v>128</v>
      </c>
      <c r="N73" t="s">
        <v>833</v>
      </c>
    </row>
    <row r="74" spans="1:14" x14ac:dyDescent="0.2">
      <c r="A74" t="s">
        <v>573</v>
      </c>
      <c r="B74" t="s">
        <v>1089</v>
      </c>
      <c r="C74" t="s">
        <v>320</v>
      </c>
      <c r="D74" t="s">
        <v>758</v>
      </c>
      <c r="G74" t="s">
        <v>725</v>
      </c>
      <c r="H74">
        <v>43</v>
      </c>
      <c r="I74" t="s">
        <v>120</v>
      </c>
      <c r="N74" t="s">
        <v>834</v>
      </c>
    </row>
    <row r="75" spans="1:14" x14ac:dyDescent="0.2">
      <c r="A75" t="s">
        <v>574</v>
      </c>
      <c r="B75" t="s">
        <v>1090</v>
      </c>
      <c r="C75" t="s">
        <v>321</v>
      </c>
      <c r="D75" t="s">
        <v>759</v>
      </c>
      <c r="G75" t="s">
        <v>726</v>
      </c>
      <c r="H75">
        <v>52</v>
      </c>
      <c r="I75" t="s">
        <v>116</v>
      </c>
      <c r="N75" t="s">
        <v>835</v>
      </c>
    </row>
    <row r="76" spans="1:14" x14ac:dyDescent="0.2">
      <c r="A76" t="s">
        <v>575</v>
      </c>
      <c r="B76" t="s">
        <v>1091</v>
      </c>
      <c r="C76" t="s">
        <v>322</v>
      </c>
      <c r="D76" t="s">
        <v>760</v>
      </c>
      <c r="G76" t="s">
        <v>727</v>
      </c>
      <c r="H76">
        <v>25</v>
      </c>
      <c r="I76" t="s">
        <v>120</v>
      </c>
      <c r="N76" t="s">
        <v>836</v>
      </c>
    </row>
    <row r="77" spans="1:14" x14ac:dyDescent="0.2">
      <c r="A77" t="s">
        <v>576</v>
      </c>
      <c r="B77" t="s">
        <v>1092</v>
      </c>
      <c r="C77" t="s">
        <v>323</v>
      </c>
      <c r="D77" t="s">
        <v>368</v>
      </c>
      <c r="G77" t="s">
        <v>728</v>
      </c>
      <c r="H77">
        <v>12</v>
      </c>
      <c r="I77" t="s">
        <v>121</v>
      </c>
      <c r="N77" t="s">
        <v>837</v>
      </c>
    </row>
    <row r="78" spans="1:14" x14ac:dyDescent="0.2">
      <c r="A78" t="s">
        <v>2</v>
      </c>
      <c r="B78" t="s">
        <v>1093</v>
      </c>
      <c r="C78" t="s">
        <v>324</v>
      </c>
      <c r="D78" t="s">
        <v>131</v>
      </c>
      <c r="G78" t="s">
        <v>729</v>
      </c>
      <c r="H78">
        <v>8</v>
      </c>
      <c r="I78" t="s">
        <v>120</v>
      </c>
      <c r="N78" t="s">
        <v>838</v>
      </c>
    </row>
    <row r="79" spans="1:14" x14ac:dyDescent="0.2">
      <c r="A79" t="s">
        <v>577</v>
      </c>
      <c r="B79" t="s">
        <v>176</v>
      </c>
      <c r="C79" t="s">
        <v>325</v>
      </c>
      <c r="D79" t="s">
        <v>341</v>
      </c>
      <c r="G79" t="s">
        <v>105</v>
      </c>
      <c r="H79">
        <v>28</v>
      </c>
      <c r="I79" t="s">
        <v>120</v>
      </c>
      <c r="N79" t="s">
        <v>839</v>
      </c>
    </row>
    <row r="80" spans="1:14" x14ac:dyDescent="0.2">
      <c r="B80" t="s">
        <v>177</v>
      </c>
      <c r="C80" t="s">
        <v>326</v>
      </c>
      <c r="D80" t="s">
        <v>761</v>
      </c>
      <c r="G80" t="s">
        <v>443</v>
      </c>
      <c r="N80" t="s">
        <v>840</v>
      </c>
    </row>
    <row r="81" spans="2:14" x14ac:dyDescent="0.2">
      <c r="B81" t="s">
        <v>1094</v>
      </c>
      <c r="C81" t="s">
        <v>327</v>
      </c>
      <c r="D81" t="s">
        <v>326</v>
      </c>
      <c r="G81" t="s">
        <v>444</v>
      </c>
      <c r="N81" t="s">
        <v>841</v>
      </c>
    </row>
    <row r="82" spans="2:14" x14ac:dyDescent="0.2">
      <c r="B82" t="s">
        <v>178</v>
      </c>
      <c r="G82" t="s">
        <v>445</v>
      </c>
      <c r="N82" t="s">
        <v>842</v>
      </c>
    </row>
    <row r="83" spans="2:14" x14ac:dyDescent="0.2">
      <c r="B83" t="s">
        <v>1095</v>
      </c>
      <c r="G83" t="s">
        <v>446</v>
      </c>
      <c r="N83" t="s">
        <v>843</v>
      </c>
    </row>
    <row r="84" spans="2:14" x14ac:dyDescent="0.2">
      <c r="B84" t="s">
        <v>179</v>
      </c>
      <c r="G84" t="s">
        <v>447</v>
      </c>
      <c r="N84" t="s">
        <v>844</v>
      </c>
    </row>
    <row r="85" spans="2:14" x14ac:dyDescent="0.2">
      <c r="B85" t="s">
        <v>180</v>
      </c>
      <c r="G85" t="s">
        <v>448</v>
      </c>
      <c r="N85" t="s">
        <v>845</v>
      </c>
    </row>
    <row r="86" spans="2:14" x14ac:dyDescent="0.2">
      <c r="B86" t="s">
        <v>683</v>
      </c>
      <c r="G86" t="s">
        <v>449</v>
      </c>
      <c r="N86" t="s">
        <v>846</v>
      </c>
    </row>
    <row r="87" spans="2:14" x14ac:dyDescent="0.2">
      <c r="B87" t="s">
        <v>684</v>
      </c>
      <c r="G87" t="s">
        <v>450</v>
      </c>
      <c r="N87" t="s">
        <v>847</v>
      </c>
    </row>
    <row r="88" spans="2:14" x14ac:dyDescent="0.2">
      <c r="B88" t="s">
        <v>181</v>
      </c>
      <c r="G88" t="s">
        <v>451</v>
      </c>
      <c r="N88" t="s">
        <v>848</v>
      </c>
    </row>
    <row r="89" spans="2:14" x14ac:dyDescent="0.2">
      <c r="B89" t="s">
        <v>182</v>
      </c>
      <c r="G89" t="s">
        <v>452</v>
      </c>
      <c r="N89" t="s">
        <v>849</v>
      </c>
    </row>
    <row r="90" spans="2:14" x14ac:dyDescent="0.2">
      <c r="B90" t="s">
        <v>685</v>
      </c>
      <c r="G90" t="s">
        <v>730</v>
      </c>
      <c r="N90" t="s">
        <v>850</v>
      </c>
    </row>
    <row r="91" spans="2:14" x14ac:dyDescent="0.2">
      <c r="B91" t="s">
        <v>686</v>
      </c>
      <c r="G91" t="s">
        <v>731</v>
      </c>
      <c r="N91" t="s">
        <v>851</v>
      </c>
    </row>
    <row r="92" spans="2:14" x14ac:dyDescent="0.2">
      <c r="B92" t="s">
        <v>183</v>
      </c>
      <c r="G92" t="s">
        <v>453</v>
      </c>
      <c r="N92" t="s">
        <v>852</v>
      </c>
    </row>
    <row r="93" spans="2:14" x14ac:dyDescent="0.2">
      <c r="B93" t="s">
        <v>184</v>
      </c>
      <c r="G93" t="s">
        <v>715</v>
      </c>
      <c r="N93" t="s">
        <v>853</v>
      </c>
    </row>
    <row r="94" spans="2:14" x14ac:dyDescent="0.2">
      <c r="B94" t="s">
        <v>185</v>
      </c>
      <c r="G94" t="s">
        <v>454</v>
      </c>
      <c r="N94" t="s">
        <v>854</v>
      </c>
    </row>
    <row r="95" spans="2:14" x14ac:dyDescent="0.2">
      <c r="B95" t="s">
        <v>186</v>
      </c>
      <c r="G95" t="s">
        <v>455</v>
      </c>
      <c r="N95" t="s">
        <v>855</v>
      </c>
    </row>
    <row r="96" spans="2:14" x14ac:dyDescent="0.2">
      <c r="B96" t="s">
        <v>187</v>
      </c>
      <c r="N96" t="s">
        <v>856</v>
      </c>
    </row>
    <row r="97" spans="2:14" x14ac:dyDescent="0.2">
      <c r="B97" t="s">
        <v>188</v>
      </c>
      <c r="N97" t="s">
        <v>857</v>
      </c>
    </row>
    <row r="98" spans="2:14" x14ac:dyDescent="0.2">
      <c r="B98" t="s">
        <v>189</v>
      </c>
      <c r="N98" t="s">
        <v>858</v>
      </c>
    </row>
    <row r="99" spans="2:14" x14ac:dyDescent="0.2">
      <c r="B99" t="s">
        <v>190</v>
      </c>
      <c r="N99" t="s">
        <v>859</v>
      </c>
    </row>
    <row r="100" spans="2:14" x14ac:dyDescent="0.2">
      <c r="B100" t="s">
        <v>191</v>
      </c>
      <c r="N100" t="s">
        <v>860</v>
      </c>
    </row>
    <row r="101" spans="2:14" x14ac:dyDescent="0.2">
      <c r="B101" t="s">
        <v>192</v>
      </c>
      <c r="N101" t="s">
        <v>861</v>
      </c>
    </row>
    <row r="102" spans="2:14" x14ac:dyDescent="0.2">
      <c r="B102" t="s">
        <v>193</v>
      </c>
      <c r="N102" t="s">
        <v>862</v>
      </c>
    </row>
    <row r="103" spans="2:14" x14ac:dyDescent="0.2">
      <c r="B103" t="s">
        <v>1096</v>
      </c>
      <c r="N103" t="s">
        <v>863</v>
      </c>
    </row>
    <row r="104" spans="2:14" x14ac:dyDescent="0.2">
      <c r="B104" t="s">
        <v>1097</v>
      </c>
      <c r="N104" t="s">
        <v>864</v>
      </c>
    </row>
    <row r="105" spans="2:14" x14ac:dyDescent="0.2">
      <c r="B105" t="s">
        <v>194</v>
      </c>
      <c r="N105" t="s">
        <v>865</v>
      </c>
    </row>
    <row r="106" spans="2:14" x14ac:dyDescent="0.2">
      <c r="B106" t="s">
        <v>196</v>
      </c>
      <c r="N106" t="s">
        <v>866</v>
      </c>
    </row>
    <row r="107" spans="2:14" x14ac:dyDescent="0.2">
      <c r="B107" t="s">
        <v>195</v>
      </c>
      <c r="N107" t="s">
        <v>867</v>
      </c>
    </row>
    <row r="108" spans="2:14" x14ac:dyDescent="0.2">
      <c r="B108" t="s">
        <v>742</v>
      </c>
      <c r="N108" t="s">
        <v>868</v>
      </c>
    </row>
    <row r="109" spans="2:14" x14ac:dyDescent="0.2">
      <c r="B109" t="s">
        <v>743</v>
      </c>
      <c r="N109" t="s">
        <v>869</v>
      </c>
    </row>
    <row r="110" spans="2:14" x14ac:dyDescent="0.2">
      <c r="B110" t="s">
        <v>197</v>
      </c>
      <c r="N110" t="s">
        <v>870</v>
      </c>
    </row>
    <row r="111" spans="2:14" x14ac:dyDescent="0.2">
      <c r="B111" t="s">
        <v>198</v>
      </c>
      <c r="N111" t="s">
        <v>871</v>
      </c>
    </row>
    <row r="112" spans="2:14" x14ac:dyDescent="0.2">
      <c r="B112" t="s">
        <v>744</v>
      </c>
      <c r="N112" t="s">
        <v>872</v>
      </c>
    </row>
    <row r="113" spans="2:14" x14ac:dyDescent="0.2">
      <c r="B113" t="s">
        <v>199</v>
      </c>
      <c r="N113" t="s">
        <v>873</v>
      </c>
    </row>
    <row r="114" spans="2:14" x14ac:dyDescent="0.2">
      <c r="B114" t="s">
        <v>745</v>
      </c>
      <c r="N114" t="s">
        <v>874</v>
      </c>
    </row>
    <row r="115" spans="2:14" x14ac:dyDescent="0.2">
      <c r="B115" t="s">
        <v>1098</v>
      </c>
      <c r="N115" t="s">
        <v>875</v>
      </c>
    </row>
    <row r="116" spans="2:14" x14ac:dyDescent="0.2">
      <c r="B116" t="s">
        <v>687</v>
      </c>
      <c r="N116" t="s">
        <v>876</v>
      </c>
    </row>
    <row r="117" spans="2:14" x14ac:dyDescent="0.2">
      <c r="B117" t="s">
        <v>688</v>
      </c>
      <c r="N117" t="s">
        <v>877</v>
      </c>
    </row>
    <row r="118" spans="2:14" x14ac:dyDescent="0.2">
      <c r="B118" t="s">
        <v>689</v>
      </c>
      <c r="N118" t="s">
        <v>878</v>
      </c>
    </row>
    <row r="119" spans="2:14" x14ac:dyDescent="0.2">
      <c r="B119" t="s">
        <v>690</v>
      </c>
      <c r="N119" t="s">
        <v>879</v>
      </c>
    </row>
    <row r="120" spans="2:14" x14ac:dyDescent="0.2">
      <c r="B120" t="s">
        <v>200</v>
      </c>
      <c r="N120" t="s">
        <v>880</v>
      </c>
    </row>
    <row r="121" spans="2:14" x14ac:dyDescent="0.2">
      <c r="B121" t="s">
        <v>691</v>
      </c>
      <c r="N121" t="s">
        <v>881</v>
      </c>
    </row>
    <row r="122" spans="2:14" x14ac:dyDescent="0.2">
      <c r="B122" t="s">
        <v>201</v>
      </c>
      <c r="N122" t="s">
        <v>882</v>
      </c>
    </row>
    <row r="123" spans="2:14" x14ac:dyDescent="0.2">
      <c r="B123" t="s">
        <v>202</v>
      </c>
      <c r="N123" t="s">
        <v>883</v>
      </c>
    </row>
    <row r="124" spans="2:14" x14ac:dyDescent="0.2">
      <c r="B124" t="s">
        <v>203</v>
      </c>
      <c r="N124" t="s">
        <v>884</v>
      </c>
    </row>
    <row r="125" spans="2:14" x14ac:dyDescent="0.2">
      <c r="B125" t="s">
        <v>204</v>
      </c>
      <c r="N125" t="s">
        <v>885</v>
      </c>
    </row>
    <row r="126" spans="2:14" x14ac:dyDescent="0.2">
      <c r="B126" t="s">
        <v>205</v>
      </c>
      <c r="N126" t="s">
        <v>886</v>
      </c>
    </row>
    <row r="127" spans="2:14" x14ac:dyDescent="0.2">
      <c r="B127" t="s">
        <v>206</v>
      </c>
      <c r="N127" t="s">
        <v>887</v>
      </c>
    </row>
    <row r="128" spans="2:14" x14ac:dyDescent="0.2">
      <c r="B128" t="s">
        <v>207</v>
      </c>
      <c r="N128" t="s">
        <v>888</v>
      </c>
    </row>
    <row r="129" spans="2:14" x14ac:dyDescent="0.2">
      <c r="B129" t="s">
        <v>208</v>
      </c>
      <c r="N129" t="s">
        <v>889</v>
      </c>
    </row>
    <row r="130" spans="2:14" x14ac:dyDescent="0.2">
      <c r="B130" t="s">
        <v>209</v>
      </c>
      <c r="N130" t="s">
        <v>890</v>
      </c>
    </row>
    <row r="131" spans="2:14" x14ac:dyDescent="0.2">
      <c r="B131" t="s">
        <v>210</v>
      </c>
      <c r="N131" t="s">
        <v>891</v>
      </c>
    </row>
    <row r="132" spans="2:14" x14ac:dyDescent="0.2">
      <c r="B132" t="s">
        <v>211</v>
      </c>
      <c r="N132" t="s">
        <v>892</v>
      </c>
    </row>
    <row r="133" spans="2:14" x14ac:dyDescent="0.2">
      <c r="B133" t="s">
        <v>212</v>
      </c>
      <c r="N133" t="s">
        <v>893</v>
      </c>
    </row>
    <row r="134" spans="2:14" x14ac:dyDescent="0.2">
      <c r="B134" t="s">
        <v>213</v>
      </c>
      <c r="N134" t="s">
        <v>894</v>
      </c>
    </row>
    <row r="135" spans="2:14" x14ac:dyDescent="0.2">
      <c r="B135" t="s">
        <v>214</v>
      </c>
      <c r="N135" t="s">
        <v>895</v>
      </c>
    </row>
    <row r="136" spans="2:14" x14ac:dyDescent="0.2">
      <c r="B136" t="s">
        <v>215</v>
      </c>
      <c r="N136" t="s">
        <v>896</v>
      </c>
    </row>
    <row r="137" spans="2:14" x14ac:dyDescent="0.2">
      <c r="B137" t="s">
        <v>216</v>
      </c>
      <c r="N137" t="s">
        <v>897</v>
      </c>
    </row>
    <row r="138" spans="2:14" x14ac:dyDescent="0.2">
      <c r="B138" t="s">
        <v>217</v>
      </c>
      <c r="N138" t="s">
        <v>898</v>
      </c>
    </row>
    <row r="139" spans="2:14" x14ac:dyDescent="0.2">
      <c r="B139" t="s">
        <v>746</v>
      </c>
      <c r="N139" t="s">
        <v>899</v>
      </c>
    </row>
    <row r="140" spans="2:14" x14ac:dyDescent="0.2">
      <c r="B140" t="s">
        <v>747</v>
      </c>
      <c r="N140" t="s">
        <v>900</v>
      </c>
    </row>
    <row r="141" spans="2:14" x14ac:dyDescent="0.2">
      <c r="B141" t="s">
        <v>218</v>
      </c>
      <c r="N141" t="s">
        <v>901</v>
      </c>
    </row>
    <row r="142" spans="2:14" x14ac:dyDescent="0.2">
      <c r="B142" t="s">
        <v>219</v>
      </c>
      <c r="N142" t="s">
        <v>902</v>
      </c>
    </row>
    <row r="143" spans="2:14" x14ac:dyDescent="0.2">
      <c r="B143" t="s">
        <v>220</v>
      </c>
      <c r="N143" t="s">
        <v>903</v>
      </c>
    </row>
    <row r="144" spans="2:14" x14ac:dyDescent="0.2">
      <c r="B144" t="s">
        <v>4</v>
      </c>
      <c r="N144" t="s">
        <v>904</v>
      </c>
    </row>
    <row r="145" spans="2:14" x14ac:dyDescent="0.2">
      <c r="B145" t="s">
        <v>221</v>
      </c>
      <c r="N145" t="s">
        <v>905</v>
      </c>
    </row>
    <row r="146" spans="2:14" x14ac:dyDescent="0.2">
      <c r="B146" t="s">
        <v>222</v>
      </c>
      <c r="N146" t="s">
        <v>906</v>
      </c>
    </row>
    <row r="147" spans="2:14" x14ac:dyDescent="0.2">
      <c r="B147" t="s">
        <v>223</v>
      </c>
      <c r="N147" t="s">
        <v>907</v>
      </c>
    </row>
    <row r="148" spans="2:14" x14ac:dyDescent="0.2">
      <c r="B148" t="s">
        <v>224</v>
      </c>
      <c r="N148" t="s">
        <v>908</v>
      </c>
    </row>
    <row r="149" spans="2:14" x14ac:dyDescent="0.2">
      <c r="B149" t="s">
        <v>225</v>
      </c>
      <c r="N149" t="s">
        <v>909</v>
      </c>
    </row>
    <row r="150" spans="2:14" x14ac:dyDescent="0.2">
      <c r="B150" t="s">
        <v>226</v>
      </c>
      <c r="N150" t="s">
        <v>910</v>
      </c>
    </row>
    <row r="151" spans="2:14" x14ac:dyDescent="0.2">
      <c r="B151" t="s">
        <v>227</v>
      </c>
      <c r="N151" t="s">
        <v>911</v>
      </c>
    </row>
    <row r="152" spans="2:14" x14ac:dyDescent="0.2">
      <c r="B152" t="s">
        <v>228</v>
      </c>
      <c r="N152" t="s">
        <v>912</v>
      </c>
    </row>
    <row r="153" spans="2:14" x14ac:dyDescent="0.2">
      <c r="B153" t="s">
        <v>229</v>
      </c>
      <c r="N153" t="s">
        <v>913</v>
      </c>
    </row>
    <row r="154" spans="2:14" x14ac:dyDescent="0.2">
      <c r="B154" t="s">
        <v>230</v>
      </c>
      <c r="N154" t="s">
        <v>914</v>
      </c>
    </row>
    <row r="155" spans="2:14" x14ac:dyDescent="0.2">
      <c r="B155" t="s">
        <v>748</v>
      </c>
      <c r="N155" t="s">
        <v>915</v>
      </c>
    </row>
    <row r="156" spans="2:14" x14ac:dyDescent="0.2">
      <c r="B156" t="s">
        <v>231</v>
      </c>
      <c r="N156" t="s">
        <v>916</v>
      </c>
    </row>
    <row r="157" spans="2:14" x14ac:dyDescent="0.2">
      <c r="B157" t="s">
        <v>232</v>
      </c>
      <c r="N157" t="s">
        <v>917</v>
      </c>
    </row>
    <row r="158" spans="2:14" x14ac:dyDescent="0.2">
      <c r="B158" t="s">
        <v>233</v>
      </c>
      <c r="N158" t="s">
        <v>918</v>
      </c>
    </row>
    <row r="159" spans="2:14" x14ac:dyDescent="0.2">
      <c r="B159" t="s">
        <v>749</v>
      </c>
      <c r="N159" t="s">
        <v>919</v>
      </c>
    </row>
    <row r="160" spans="2:14" x14ac:dyDescent="0.2">
      <c r="B160" t="s">
        <v>750</v>
      </c>
      <c r="N160" t="s">
        <v>920</v>
      </c>
    </row>
    <row r="161" spans="2:14" x14ac:dyDescent="0.2">
      <c r="B161" t="s">
        <v>234</v>
      </c>
      <c r="N161" t="s">
        <v>921</v>
      </c>
    </row>
    <row r="162" spans="2:14" x14ac:dyDescent="0.2">
      <c r="B162" t="s">
        <v>692</v>
      </c>
      <c r="N162" t="s">
        <v>922</v>
      </c>
    </row>
    <row r="163" spans="2:14" x14ac:dyDescent="0.2">
      <c r="B163" t="s">
        <v>235</v>
      </c>
      <c r="N163" t="s">
        <v>923</v>
      </c>
    </row>
    <row r="164" spans="2:14" x14ac:dyDescent="0.2">
      <c r="B164" t="s">
        <v>236</v>
      </c>
      <c r="N164" t="s">
        <v>924</v>
      </c>
    </row>
    <row r="165" spans="2:14" x14ac:dyDescent="0.2">
      <c r="B165" t="s">
        <v>237</v>
      </c>
      <c r="N165" t="s">
        <v>925</v>
      </c>
    </row>
    <row r="166" spans="2:14" x14ac:dyDescent="0.2">
      <c r="B166" t="s">
        <v>238</v>
      </c>
      <c r="N166" t="s">
        <v>926</v>
      </c>
    </row>
    <row r="167" spans="2:14" x14ac:dyDescent="0.2">
      <c r="B167" t="s">
        <v>239</v>
      </c>
      <c r="N167" t="s">
        <v>927</v>
      </c>
    </row>
    <row r="168" spans="2:14" x14ac:dyDescent="0.2">
      <c r="B168" t="s">
        <v>240</v>
      </c>
      <c r="N168" t="s">
        <v>928</v>
      </c>
    </row>
    <row r="169" spans="2:14" x14ac:dyDescent="0.2">
      <c r="B169" t="s">
        <v>241</v>
      </c>
      <c r="N169" t="s">
        <v>929</v>
      </c>
    </row>
    <row r="170" spans="2:14" x14ac:dyDescent="0.2">
      <c r="B170" t="s">
        <v>242</v>
      </c>
      <c r="N170" t="s">
        <v>930</v>
      </c>
    </row>
    <row r="171" spans="2:14" x14ac:dyDescent="0.2">
      <c r="N171" t="s">
        <v>931</v>
      </c>
    </row>
    <row r="172" spans="2:14" x14ac:dyDescent="0.2">
      <c r="N172" t="s">
        <v>932</v>
      </c>
    </row>
    <row r="173" spans="2:14" x14ac:dyDescent="0.2">
      <c r="N173" t="s">
        <v>933</v>
      </c>
    </row>
    <row r="174" spans="2:14" x14ac:dyDescent="0.2">
      <c r="N174" t="s">
        <v>934</v>
      </c>
    </row>
    <row r="175" spans="2:14" x14ac:dyDescent="0.2">
      <c r="N175" t="s">
        <v>935</v>
      </c>
    </row>
    <row r="176" spans="2:14" x14ac:dyDescent="0.2">
      <c r="N176" t="s">
        <v>936</v>
      </c>
    </row>
    <row r="177" spans="14:14" x14ac:dyDescent="0.2">
      <c r="N177" t="s">
        <v>937</v>
      </c>
    </row>
    <row r="178" spans="14:14" x14ac:dyDescent="0.2">
      <c r="N178" t="s">
        <v>938</v>
      </c>
    </row>
    <row r="179" spans="14:14" x14ac:dyDescent="0.2">
      <c r="N179" t="s">
        <v>939</v>
      </c>
    </row>
    <row r="180" spans="14:14" x14ac:dyDescent="0.2">
      <c r="N180" t="s">
        <v>940</v>
      </c>
    </row>
    <row r="181" spans="14:14" x14ac:dyDescent="0.2">
      <c r="N181" t="s">
        <v>941</v>
      </c>
    </row>
    <row r="182" spans="14:14" x14ac:dyDescent="0.2">
      <c r="N182" t="s">
        <v>942</v>
      </c>
    </row>
    <row r="183" spans="14:14" x14ac:dyDescent="0.2">
      <c r="N183" t="s">
        <v>943</v>
      </c>
    </row>
    <row r="184" spans="14:14" x14ac:dyDescent="0.2">
      <c r="N184" t="s">
        <v>944</v>
      </c>
    </row>
    <row r="185" spans="14:14" x14ac:dyDescent="0.2">
      <c r="N185" t="s">
        <v>945</v>
      </c>
    </row>
    <row r="186" spans="14:14" x14ac:dyDescent="0.2">
      <c r="N186" t="s">
        <v>946</v>
      </c>
    </row>
    <row r="187" spans="14:14" x14ac:dyDescent="0.2">
      <c r="N187" t="s">
        <v>947</v>
      </c>
    </row>
    <row r="188" spans="14:14" x14ac:dyDescent="0.2">
      <c r="N188" t="s">
        <v>948</v>
      </c>
    </row>
    <row r="189" spans="14:14" x14ac:dyDescent="0.2">
      <c r="N189" t="s">
        <v>949</v>
      </c>
    </row>
    <row r="190" spans="14:14" x14ac:dyDescent="0.2">
      <c r="N190" t="s">
        <v>950</v>
      </c>
    </row>
    <row r="191" spans="14:14" x14ac:dyDescent="0.2">
      <c r="N191" t="s">
        <v>951</v>
      </c>
    </row>
    <row r="192" spans="14:14" x14ac:dyDescent="0.2">
      <c r="N192" t="s">
        <v>952</v>
      </c>
    </row>
    <row r="193" spans="14:14" x14ac:dyDescent="0.2">
      <c r="N193" t="s">
        <v>953</v>
      </c>
    </row>
    <row r="194" spans="14:14" x14ac:dyDescent="0.2">
      <c r="N194" t="s">
        <v>954</v>
      </c>
    </row>
    <row r="195" spans="14:14" x14ac:dyDescent="0.2">
      <c r="N195" t="s">
        <v>955</v>
      </c>
    </row>
    <row r="196" spans="14:14" x14ac:dyDescent="0.2">
      <c r="N196" t="s">
        <v>956</v>
      </c>
    </row>
    <row r="197" spans="14:14" x14ac:dyDescent="0.2">
      <c r="N197" t="s">
        <v>957</v>
      </c>
    </row>
    <row r="198" spans="14:14" x14ac:dyDescent="0.2">
      <c r="N198" t="s">
        <v>958</v>
      </c>
    </row>
    <row r="199" spans="14:14" x14ac:dyDescent="0.2">
      <c r="N199" t="s">
        <v>959</v>
      </c>
    </row>
    <row r="200" spans="14:14" x14ac:dyDescent="0.2">
      <c r="N200" t="s">
        <v>960</v>
      </c>
    </row>
    <row r="201" spans="14:14" x14ac:dyDescent="0.2">
      <c r="N201" t="s">
        <v>961</v>
      </c>
    </row>
    <row r="202" spans="14:14" x14ac:dyDescent="0.2">
      <c r="N202" t="s">
        <v>962</v>
      </c>
    </row>
    <row r="203" spans="14:14" x14ac:dyDescent="0.2">
      <c r="N203" t="s">
        <v>963</v>
      </c>
    </row>
    <row r="204" spans="14:14" x14ac:dyDescent="0.2">
      <c r="N204" t="s">
        <v>964</v>
      </c>
    </row>
    <row r="205" spans="14:14" x14ac:dyDescent="0.2">
      <c r="N205" t="s">
        <v>965</v>
      </c>
    </row>
    <row r="206" spans="14:14" x14ac:dyDescent="0.2">
      <c r="N206" t="s">
        <v>966</v>
      </c>
    </row>
    <row r="207" spans="14:14" x14ac:dyDescent="0.2">
      <c r="N207" t="s">
        <v>967</v>
      </c>
    </row>
    <row r="208" spans="14:14" x14ac:dyDescent="0.2">
      <c r="N208" t="s">
        <v>968</v>
      </c>
    </row>
    <row r="209" spans="14:14" x14ac:dyDescent="0.2">
      <c r="N209" t="s">
        <v>969</v>
      </c>
    </row>
    <row r="210" spans="14:14" x14ac:dyDescent="0.2">
      <c r="N210" t="s">
        <v>970</v>
      </c>
    </row>
    <row r="211" spans="14:14" x14ac:dyDescent="0.2">
      <c r="N211" t="s">
        <v>971</v>
      </c>
    </row>
    <row r="212" spans="14:14" x14ac:dyDescent="0.2">
      <c r="N212" t="s">
        <v>972</v>
      </c>
    </row>
    <row r="213" spans="14:14" x14ac:dyDescent="0.2">
      <c r="N213" t="s">
        <v>973</v>
      </c>
    </row>
    <row r="214" spans="14:14" x14ac:dyDescent="0.2">
      <c r="N214" t="s">
        <v>974</v>
      </c>
    </row>
    <row r="215" spans="14:14" x14ac:dyDescent="0.2">
      <c r="N215" t="s">
        <v>975</v>
      </c>
    </row>
    <row r="216" spans="14:14" x14ac:dyDescent="0.2">
      <c r="N216" t="s">
        <v>976</v>
      </c>
    </row>
    <row r="217" spans="14:14" x14ac:dyDescent="0.2">
      <c r="N217" t="s">
        <v>977</v>
      </c>
    </row>
    <row r="218" spans="14:14" x14ac:dyDescent="0.2">
      <c r="N218" t="s">
        <v>978</v>
      </c>
    </row>
    <row r="219" spans="14:14" x14ac:dyDescent="0.2">
      <c r="N219" t="s">
        <v>979</v>
      </c>
    </row>
    <row r="220" spans="14:14" x14ac:dyDescent="0.2">
      <c r="N220" t="s">
        <v>980</v>
      </c>
    </row>
    <row r="221" spans="14:14" x14ac:dyDescent="0.2">
      <c r="N221" t="s">
        <v>981</v>
      </c>
    </row>
    <row r="222" spans="14:14" x14ac:dyDescent="0.2">
      <c r="N222" t="s">
        <v>982</v>
      </c>
    </row>
    <row r="223" spans="14:14" x14ac:dyDescent="0.2">
      <c r="N223" t="s">
        <v>983</v>
      </c>
    </row>
    <row r="224" spans="14:14" x14ac:dyDescent="0.2">
      <c r="N224" t="s">
        <v>984</v>
      </c>
    </row>
    <row r="225" spans="14:14" x14ac:dyDescent="0.2">
      <c r="N225" t="s">
        <v>985</v>
      </c>
    </row>
    <row r="226" spans="14:14" x14ac:dyDescent="0.2">
      <c r="N226" t="s">
        <v>986</v>
      </c>
    </row>
    <row r="227" spans="14:14" x14ac:dyDescent="0.2">
      <c r="N227" t="s">
        <v>987</v>
      </c>
    </row>
    <row r="228" spans="14:14" x14ac:dyDescent="0.2">
      <c r="N228" t="s">
        <v>988</v>
      </c>
    </row>
    <row r="229" spans="14:14" x14ac:dyDescent="0.2">
      <c r="N229" t="s">
        <v>989</v>
      </c>
    </row>
    <row r="230" spans="14:14" x14ac:dyDescent="0.2">
      <c r="N230" t="s">
        <v>990</v>
      </c>
    </row>
    <row r="231" spans="14:14" x14ac:dyDescent="0.2">
      <c r="N231" t="s">
        <v>991</v>
      </c>
    </row>
    <row r="232" spans="14:14" x14ac:dyDescent="0.2">
      <c r="N232" t="s">
        <v>992</v>
      </c>
    </row>
    <row r="233" spans="14:14" x14ac:dyDescent="0.2">
      <c r="N233" t="s">
        <v>993</v>
      </c>
    </row>
    <row r="234" spans="14:14" x14ac:dyDescent="0.2">
      <c r="N234" t="s">
        <v>994</v>
      </c>
    </row>
    <row r="235" spans="14:14" x14ac:dyDescent="0.2">
      <c r="N235" t="s">
        <v>995</v>
      </c>
    </row>
    <row r="236" spans="14:14" x14ac:dyDescent="0.2">
      <c r="N236" t="s">
        <v>996</v>
      </c>
    </row>
    <row r="237" spans="14:14" x14ac:dyDescent="0.2">
      <c r="N237" t="s">
        <v>997</v>
      </c>
    </row>
    <row r="238" spans="14:14" x14ac:dyDescent="0.2">
      <c r="N238" t="s">
        <v>998</v>
      </c>
    </row>
    <row r="239" spans="14:14" x14ac:dyDescent="0.2">
      <c r="N239" t="s">
        <v>999</v>
      </c>
    </row>
    <row r="240" spans="14:14" x14ac:dyDescent="0.2">
      <c r="N240" t="s">
        <v>1000</v>
      </c>
    </row>
    <row r="241" spans="14:14" x14ac:dyDescent="0.2">
      <c r="N241" t="s">
        <v>12</v>
      </c>
    </row>
    <row r="242" spans="14:14" x14ac:dyDescent="0.2">
      <c r="N242" t="s">
        <v>1001</v>
      </c>
    </row>
    <row r="243" spans="14:14" x14ac:dyDescent="0.2">
      <c r="N243" t="s">
        <v>1002</v>
      </c>
    </row>
    <row r="244" spans="14:14" x14ac:dyDescent="0.2">
      <c r="N244" t="s">
        <v>1003</v>
      </c>
    </row>
    <row r="245" spans="14:14" x14ac:dyDescent="0.2">
      <c r="N245" t="s">
        <v>1004</v>
      </c>
    </row>
    <row r="246" spans="14:14" x14ac:dyDescent="0.2">
      <c r="N246" t="s">
        <v>1005</v>
      </c>
    </row>
    <row r="247" spans="14:14" x14ac:dyDescent="0.2">
      <c r="N247" t="s">
        <v>1006</v>
      </c>
    </row>
    <row r="248" spans="14:14" x14ac:dyDescent="0.2">
      <c r="N248" t="s">
        <v>1007</v>
      </c>
    </row>
    <row r="249" spans="14:14" x14ac:dyDescent="0.2">
      <c r="N249" t="s">
        <v>1008</v>
      </c>
    </row>
    <row r="250" spans="14:14" x14ac:dyDescent="0.2">
      <c r="N250" t="s">
        <v>1009</v>
      </c>
    </row>
    <row r="251" spans="14:14" x14ac:dyDescent="0.2">
      <c r="N251" t="s">
        <v>1010</v>
      </c>
    </row>
    <row r="252" spans="14:14" x14ac:dyDescent="0.2">
      <c r="N252" t="s">
        <v>1011</v>
      </c>
    </row>
    <row r="253" spans="14:14" x14ac:dyDescent="0.2">
      <c r="N253" t="s">
        <v>1012</v>
      </c>
    </row>
    <row r="254" spans="14:14" x14ac:dyDescent="0.2">
      <c r="N254" t="s">
        <v>1013</v>
      </c>
    </row>
    <row r="255" spans="14:14" x14ac:dyDescent="0.2">
      <c r="N255" t="s">
        <v>1014</v>
      </c>
    </row>
    <row r="256" spans="14:14" x14ac:dyDescent="0.2">
      <c r="N256" t="s">
        <v>1015</v>
      </c>
    </row>
    <row r="257" spans="14:14" x14ac:dyDescent="0.2">
      <c r="N257" t="s">
        <v>1016</v>
      </c>
    </row>
    <row r="258" spans="14:14" x14ac:dyDescent="0.2">
      <c r="N258" t="s">
        <v>1017</v>
      </c>
    </row>
    <row r="259" spans="14:14" x14ac:dyDescent="0.2">
      <c r="N259" t="s">
        <v>1018</v>
      </c>
    </row>
    <row r="260" spans="14:14" x14ac:dyDescent="0.2">
      <c r="N260" t="s">
        <v>1019</v>
      </c>
    </row>
    <row r="261" spans="14:14" x14ac:dyDescent="0.2">
      <c r="N261" t="s">
        <v>1020</v>
      </c>
    </row>
    <row r="262" spans="14:14" x14ac:dyDescent="0.2">
      <c r="N262" t="s">
        <v>1021</v>
      </c>
    </row>
    <row r="263" spans="14:14" x14ac:dyDescent="0.2">
      <c r="N263" t="s">
        <v>1022</v>
      </c>
    </row>
    <row r="264" spans="14:14" x14ac:dyDescent="0.2">
      <c r="N264" t="s">
        <v>1023</v>
      </c>
    </row>
    <row r="265" spans="14:14" x14ac:dyDescent="0.2">
      <c r="N265" t="s">
        <v>1024</v>
      </c>
    </row>
    <row r="266" spans="14:14" x14ac:dyDescent="0.2">
      <c r="N266" t="s">
        <v>1025</v>
      </c>
    </row>
    <row r="267" spans="14:14" x14ac:dyDescent="0.2">
      <c r="N267" t="s">
        <v>1026</v>
      </c>
    </row>
    <row r="268" spans="14:14" x14ac:dyDescent="0.2">
      <c r="N268" t="s">
        <v>1027</v>
      </c>
    </row>
    <row r="269" spans="14:14" x14ac:dyDescent="0.2">
      <c r="N269" t="s">
        <v>1028</v>
      </c>
    </row>
    <row r="270" spans="14:14" x14ac:dyDescent="0.2">
      <c r="N270" t="s">
        <v>1029</v>
      </c>
    </row>
    <row r="271" spans="14:14" x14ac:dyDescent="0.2">
      <c r="N271" t="s">
        <v>1030</v>
      </c>
    </row>
    <row r="272" spans="14:14" x14ac:dyDescent="0.2">
      <c r="N272" t="s">
        <v>1031</v>
      </c>
    </row>
    <row r="273" spans="14:14" x14ac:dyDescent="0.2">
      <c r="N273" t="s">
        <v>1032</v>
      </c>
    </row>
    <row r="274" spans="14:14" x14ac:dyDescent="0.2">
      <c r="N274" t="s">
        <v>1033</v>
      </c>
    </row>
    <row r="275" spans="14:14" x14ac:dyDescent="0.2">
      <c r="N275" t="s">
        <v>1034</v>
      </c>
    </row>
    <row r="276" spans="14:14" x14ac:dyDescent="0.2">
      <c r="N276" t="s">
        <v>1035</v>
      </c>
    </row>
    <row r="277" spans="14:14" x14ac:dyDescent="0.2">
      <c r="N277" t="s">
        <v>1036</v>
      </c>
    </row>
    <row r="278" spans="14:14" x14ac:dyDescent="0.2">
      <c r="N278" t="s">
        <v>1037</v>
      </c>
    </row>
    <row r="279" spans="14:14" x14ac:dyDescent="0.2">
      <c r="N279" t="s">
        <v>1038</v>
      </c>
    </row>
    <row r="280" spans="14:14" x14ac:dyDescent="0.2">
      <c r="N280" t="s">
        <v>1039</v>
      </c>
    </row>
    <row r="281" spans="14:14" x14ac:dyDescent="0.2">
      <c r="N281" t="s">
        <v>1040</v>
      </c>
    </row>
    <row r="282" spans="14:14" x14ac:dyDescent="0.2">
      <c r="N282" t="s">
        <v>1041</v>
      </c>
    </row>
    <row r="283" spans="14:14" x14ac:dyDescent="0.2">
      <c r="N283" t="s">
        <v>1042</v>
      </c>
    </row>
    <row r="284" spans="14:14" x14ac:dyDescent="0.2">
      <c r="N284" t="s">
        <v>1043</v>
      </c>
    </row>
    <row r="285" spans="14:14" x14ac:dyDescent="0.2">
      <c r="N285" t="s">
        <v>1044</v>
      </c>
    </row>
    <row r="286" spans="14:14" x14ac:dyDescent="0.2">
      <c r="N286" t="s">
        <v>1045</v>
      </c>
    </row>
    <row r="287" spans="14:14" x14ac:dyDescent="0.2">
      <c r="N287" t="s">
        <v>1046</v>
      </c>
    </row>
    <row r="288" spans="14:14" x14ac:dyDescent="0.2">
      <c r="N288" t="s">
        <v>1047</v>
      </c>
    </row>
    <row r="289" spans="14:14" x14ac:dyDescent="0.2">
      <c r="N289" t="s">
        <v>1048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9A3412"/>
  </sheetPr>
  <dimension ref="A1:R303"/>
  <sheetViews>
    <sheetView workbookViewId="0">
      <pane xSplit="2" ySplit="18" topLeftCell="C19" activePane="bottomRight" state="frozen"/>
      <selection pane="topRight"/>
      <selection pane="bottomLeft"/>
      <selection pane="bottomRight" activeCell="G14" sqref="G14"/>
    </sheetView>
  </sheetViews>
  <sheetFormatPr baseColWidth="10" defaultColWidth="8.83203125" defaultRowHeight="15" x14ac:dyDescent="0.2"/>
  <cols>
    <col min="1" max="1" width="5" customWidth="1"/>
    <col min="2" max="2" width="22" customWidth="1"/>
    <col min="3" max="6" width="10" customWidth="1"/>
    <col min="7" max="8" width="40" customWidth="1"/>
    <col min="9" max="9" width="3" customWidth="1"/>
    <col min="10" max="18" width="12" customWidth="1"/>
  </cols>
  <sheetData>
    <row r="1" spans="1:14" ht="18" customHeight="1" x14ac:dyDescent="0.2">
      <c r="A1" s="103" t="s">
        <v>578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</row>
    <row r="2" spans="1:14" x14ac:dyDescent="0.2">
      <c r="A2" s="8" t="s">
        <v>579</v>
      </c>
    </row>
    <row r="3" spans="1:14" x14ac:dyDescent="0.2">
      <c r="A3" s="8" t="s">
        <v>580</v>
      </c>
    </row>
    <row r="5" spans="1:14" ht="28" customHeight="1" x14ac:dyDescent="0.2">
      <c r="A5" s="11" t="s">
        <v>581</v>
      </c>
      <c r="B5" s="11" t="s">
        <v>582</v>
      </c>
      <c r="C5" s="11" t="s">
        <v>583</v>
      </c>
      <c r="D5" s="11" t="s">
        <v>584</v>
      </c>
      <c r="E5" s="11" t="s">
        <v>585</v>
      </c>
      <c r="F5" s="11" t="s">
        <v>586</v>
      </c>
      <c r="G5" s="11" t="s">
        <v>373</v>
      </c>
      <c r="H5" s="11" t="s">
        <v>587</v>
      </c>
    </row>
    <row r="6" spans="1:14" x14ac:dyDescent="0.2">
      <c r="A6" s="12">
        <v>1</v>
      </c>
      <c r="B6" s="12" t="s">
        <v>111</v>
      </c>
      <c r="C6" s="12" t="s">
        <v>588</v>
      </c>
      <c r="D6" s="13">
        <v>10.5</v>
      </c>
      <c r="E6" s="12">
        <v>364506</v>
      </c>
      <c r="F6" s="12" t="s">
        <v>589</v>
      </c>
      <c r="G6" s="12" t="s">
        <v>100</v>
      </c>
      <c r="H6" s="12" t="s">
        <v>111</v>
      </c>
    </row>
    <row r="7" spans="1:14" x14ac:dyDescent="0.2">
      <c r="A7" s="12">
        <v>2</v>
      </c>
      <c r="B7" s="12" t="s">
        <v>243</v>
      </c>
      <c r="C7" s="12" t="s">
        <v>590</v>
      </c>
      <c r="D7" s="13">
        <v>7.3</v>
      </c>
      <c r="E7" s="12">
        <v>397490</v>
      </c>
      <c r="F7" s="12" t="s">
        <v>591</v>
      </c>
      <c r="G7" s="12" t="s">
        <v>100</v>
      </c>
      <c r="H7" s="12" t="s">
        <v>243</v>
      </c>
    </row>
    <row r="8" spans="1:14" x14ac:dyDescent="0.2">
      <c r="A8" s="12">
        <v>3</v>
      </c>
      <c r="B8" s="12" t="s">
        <v>363</v>
      </c>
      <c r="C8" s="12" t="s">
        <v>592</v>
      </c>
      <c r="D8" s="13">
        <v>8.9</v>
      </c>
      <c r="E8" s="12">
        <v>412305</v>
      </c>
      <c r="F8" s="12" t="s">
        <v>593</v>
      </c>
      <c r="G8" s="12" t="s">
        <v>100</v>
      </c>
      <c r="H8" s="12" t="s">
        <v>363</v>
      </c>
    </row>
    <row r="9" spans="1:14" x14ac:dyDescent="0.2">
      <c r="A9" s="12">
        <v>4</v>
      </c>
      <c r="B9" s="12" t="s">
        <v>341</v>
      </c>
      <c r="C9" s="12" t="s">
        <v>594</v>
      </c>
      <c r="D9" s="13">
        <v>7.13</v>
      </c>
      <c r="E9" s="12">
        <v>412805</v>
      </c>
      <c r="F9" s="12" t="s">
        <v>595</v>
      </c>
      <c r="G9" s="12" t="s">
        <v>100</v>
      </c>
      <c r="H9" s="12" t="s">
        <v>341</v>
      </c>
    </row>
    <row r="10" spans="1:14" x14ac:dyDescent="0.2">
      <c r="A10" s="12">
        <v>5</v>
      </c>
      <c r="B10" s="12" t="s">
        <v>101</v>
      </c>
      <c r="C10" s="12" t="s">
        <v>596</v>
      </c>
      <c r="D10" s="13">
        <v>8.9600000000000009</v>
      </c>
      <c r="E10" s="12">
        <v>412479</v>
      </c>
      <c r="F10" s="12" t="s">
        <v>597</v>
      </c>
      <c r="G10" s="12" t="s">
        <v>100</v>
      </c>
      <c r="H10" s="12" t="s">
        <v>101</v>
      </c>
    </row>
    <row r="11" spans="1:14" x14ac:dyDescent="0.2">
      <c r="A11" s="12">
        <v>6</v>
      </c>
      <c r="B11" s="12" t="s">
        <v>112</v>
      </c>
      <c r="C11" s="12" t="s">
        <v>374</v>
      </c>
      <c r="D11" s="13"/>
      <c r="E11" s="12">
        <v>412723</v>
      </c>
      <c r="F11" s="12" t="s">
        <v>598</v>
      </c>
      <c r="G11" s="12" t="s">
        <v>599</v>
      </c>
      <c r="H11" s="12" t="s">
        <v>112</v>
      </c>
    </row>
    <row r="12" spans="1:14" x14ac:dyDescent="0.2">
      <c r="A12" s="12">
        <v>7</v>
      </c>
      <c r="B12" s="12" t="s">
        <v>600</v>
      </c>
      <c r="C12" s="12" t="s">
        <v>374</v>
      </c>
      <c r="D12" s="13"/>
      <c r="E12" s="12">
        <v>702767</v>
      </c>
      <c r="F12" s="12" t="s">
        <v>601</v>
      </c>
      <c r="G12" s="12" t="s">
        <v>602</v>
      </c>
      <c r="H12" s="12" t="s">
        <v>603</v>
      </c>
    </row>
    <row r="13" spans="1:14" x14ac:dyDescent="0.2">
      <c r="A13" s="12">
        <v>8</v>
      </c>
      <c r="B13" s="12" t="s">
        <v>604</v>
      </c>
      <c r="C13" s="12" t="s">
        <v>374</v>
      </c>
      <c r="D13" s="13"/>
      <c r="E13" s="12">
        <v>702769</v>
      </c>
      <c r="F13" s="12" t="s">
        <v>605</v>
      </c>
      <c r="G13" s="12" t="s">
        <v>602</v>
      </c>
      <c r="H13" s="12" t="s">
        <v>603</v>
      </c>
    </row>
    <row r="14" spans="1:14" x14ac:dyDescent="0.2">
      <c r="A14" s="12">
        <v>9</v>
      </c>
      <c r="B14" s="12" t="s">
        <v>606</v>
      </c>
      <c r="C14" s="12" t="s">
        <v>374</v>
      </c>
      <c r="D14" s="13"/>
      <c r="E14" s="12">
        <v>702768</v>
      </c>
      <c r="F14" s="12" t="s">
        <v>607</v>
      </c>
      <c r="G14" s="12" t="s">
        <v>602</v>
      </c>
      <c r="H14" s="12" t="s">
        <v>603</v>
      </c>
    </row>
    <row r="16" spans="1:14" x14ac:dyDescent="0.2">
      <c r="A16" s="14" t="s">
        <v>608</v>
      </c>
    </row>
    <row r="17" spans="1:18" ht="28" customHeight="1" x14ac:dyDescent="0.2">
      <c r="A17" s="11" t="s">
        <v>581</v>
      </c>
      <c r="B17" s="11" t="s">
        <v>609</v>
      </c>
      <c r="C17" s="11" t="s">
        <v>610</v>
      </c>
      <c r="D17" s="11" t="s">
        <v>64</v>
      </c>
      <c r="E17" s="11" t="s">
        <v>611</v>
      </c>
      <c r="F17" s="11" t="s">
        <v>612</v>
      </c>
      <c r="G17" s="11" t="s">
        <v>613</v>
      </c>
      <c r="H17" s="11" t="s">
        <v>614</v>
      </c>
      <c r="I17" s="9"/>
      <c r="J17" s="9" t="s">
        <v>615</v>
      </c>
      <c r="K17" s="9" t="s">
        <v>616</v>
      </c>
      <c r="L17" s="9" t="s">
        <v>617</v>
      </c>
      <c r="M17" s="9" t="s">
        <v>618</v>
      </c>
      <c r="N17" s="9" t="s">
        <v>619</v>
      </c>
      <c r="O17" s="9" t="s">
        <v>620</v>
      </c>
      <c r="P17" s="9" t="s">
        <v>621</v>
      </c>
      <c r="Q17" s="9" t="s">
        <v>622</v>
      </c>
      <c r="R17" s="9" t="s">
        <v>623</v>
      </c>
    </row>
    <row r="18" spans="1:18" x14ac:dyDescent="0.2">
      <c r="A18" s="15" t="s">
        <v>90</v>
      </c>
      <c r="B18" s="15" t="e">
        <f>Upload!E</f>
        <v>#NAME?</v>
      </c>
      <c r="C18" s="15" t="e">
        <f>Upload!AK</f>
        <v>#NAME?</v>
      </c>
      <c r="D18" s="15" t="e">
        <f>Upload!AL</f>
        <v>#NAME?</v>
      </c>
      <c r="E18" s="15" t="e">
        <f>Upload!AG</f>
        <v>#NAME?</v>
      </c>
      <c r="F18" s="15" t="e">
        <f>Upload!AI</f>
        <v>#NAME?</v>
      </c>
      <c r="G18" s="15" t="s">
        <v>90</v>
      </c>
      <c r="H18" s="15" t="s">
        <v>90</v>
      </c>
      <c r="I18" s="15"/>
      <c r="J18" s="15" t="s">
        <v>624</v>
      </c>
      <c r="K18" s="15" t="s">
        <v>624</v>
      </c>
      <c r="L18" s="15" t="s">
        <v>624</v>
      </c>
      <c r="M18" s="15" t="s">
        <v>624</v>
      </c>
      <c r="N18" s="15" t="s">
        <v>624</v>
      </c>
      <c r="O18" s="15" t="s">
        <v>624</v>
      </c>
      <c r="P18" s="15" t="s">
        <v>624</v>
      </c>
      <c r="Q18" s="15" t="s">
        <v>624</v>
      </c>
      <c r="R18" s="15" t="s">
        <v>624</v>
      </c>
    </row>
    <row r="19" spans="1:18" x14ac:dyDescent="0.2">
      <c r="A19" s="10">
        <f t="shared" ref="A19:A50" si="0">_xludf.ROW()-18</f>
        <v>1</v>
      </c>
      <c r="B19" s="10">
        <f>Upload!E18</f>
        <v>0</v>
      </c>
      <c r="C19" s="10">
        <f>Upload!AJ18</f>
        <v>0</v>
      </c>
      <c r="D19" s="10">
        <f>Upload!AK18</f>
        <v>0</v>
      </c>
      <c r="E19" s="10" t="str">
        <f>Upload!AF18</f>
        <v/>
      </c>
      <c r="F19" s="10" t="str">
        <f>Upload!AH18</f>
        <v/>
      </c>
      <c r="G19" s="10" t="str">
        <f>Upload!AE18</f>
        <v>(seleccione)</v>
      </c>
      <c r="H19" s="10" t="str">
        <f>Upload!AG18</f>
        <v>(seleccione)</v>
      </c>
      <c r="J19" s="16" t="str">
        <f>IFERROR(IF(OR(C19="",IF(ISNUMBER(SEARCH("Plata",G19)),E19,IF(ISNUMBER(SEARCH("Plata",H19)),F19,""))=""),"",$D$6*C19*(IF(ISNUMBER(SEARCH("Plata",G19)),E19,IF(ISNUMBER(SEARCH("Plata",H19)),F19,"")))/10000000),"")</f>
        <v/>
      </c>
      <c r="K19" s="16" t="str">
        <f>IFERROR(IF(OR(C19="",IF(OR(ISNUMBER(SEARCH("Estaño",G19)),ISNUMBER(SEARCH("Estañ",G19)),ISNUMBER(SEARCH("Tin",G19))),E19,IF(OR(ISNUMBER(SEARCH("Estaño",H19)),ISNUMBER(SEARCH("Estañ",H19)),ISNUMBER(SEARCH("Tin",H19))),F19,""))=""),"",$D$7*C19*(IF(OR(ISNUMBER(SEARCH("Estaño",G19)),ISNUMBER(SEARCH("Estañ",G19)),ISNUMBER(SEARCH("Tin",G19))),E19,IF(OR(ISNUMBER(SEARCH("Estaño",H19)),ISNUMBER(SEARCH("Estañ",H19)),ISNUMBER(SEARCH("Tin",H19))),F19,"")))/10000000),"")</f>
        <v/>
      </c>
      <c r="L19" s="16" t="str">
        <f>IFERROR(IF(OR(C19="",IF(OR(ISNUMBER(SEARCH("Níquel",G19)),ISNUMBER(SEARCH("Niquel",G19))),E19,IF(OR(ISNUMBER(SEARCH("Níquel",H19)),ISNUMBER(SEARCH("Niquel",H19))),F19,""))=""),"",$D$8*C19*(IF(OR(ISNUMBER(SEARCH("Níquel",G19)),ISNUMBER(SEARCH("Niquel",G19))),E19,IF(OR(ISNUMBER(SEARCH("Níquel",H19)),ISNUMBER(SEARCH("Niquel",H19))),F19,"")))/10000000),"")</f>
        <v/>
      </c>
      <c r="M19" s="16" t="str">
        <f>IFERROR(IF(OR(C19="",IF(ISNUMBER(SEARCH("Zinc",G19)),E19,IF(ISNUMBER(SEARCH("Zinc",H19)),F19,""))=""),"",$D$9*C19*(IF(ISNUMBER(SEARCH("Zinc",G19)),E19,IF(ISNUMBER(SEARCH("Zinc",H19)),F19,"")))/10000000),"")</f>
        <v/>
      </c>
      <c r="N19" s="16" t="str">
        <f>IFERROR(IF(OR(C19="",IF(OR(ISNUMBER(SEARCH("Cobre",G19)),ISNUMBER(SEARCH("Bondal",G19))),E19,IF(OR(ISNUMBER(SEARCH("Cobre",H19)),ISNUMBER(SEARCH("Bondal",H19))),F19,""))=""),"",$D$10*C19*(IF(OR(ISNUMBER(SEARCH("Cobre",G19)),ISNUMBER(SEARCH("Bondal",G19))),E19,IF(OR(ISNUMBER(SEARCH("Cobre",H19)),ISNUMBER(SEARCH("Bondal",H19))),F19,"")))/10000000),"")</f>
        <v/>
      </c>
      <c r="O19" s="16" t="str">
        <f>IF(OR(N19="",NOT(OR(ISNUMBER(SEARCH("Antitarnish",Upload!N18&amp;Upload!O18&amp;Upload!P18&amp;Upload!Q18)),ISNUMBER(SEARCH("Anti Tarnish",Upload!N18&amp;Upload!O18&amp;Upload!P18&amp;Upload!Q18))))),"",0.0012*N19)</f>
        <v/>
      </c>
      <c r="P19" s="16" t="str">
        <f>IF(OR(D19="",NOT(OR(ISNUMBER(SEARCH("Epóx",Upload!N18&amp;Upload!O18&amp;Upload!P18&amp;Upload!Q18)),ISNUMBER(SEARCH("Epox",Upload!N18&amp;Upload!O18&amp;Upload!P18&amp;Upload!Q18)),ISNUMBER(SEARCH("Barniz",Upload!N18&amp;Upload!O18&amp;Upload!P18&amp;Upload!Q18))))),"",D19*0.000035)</f>
        <v/>
      </c>
      <c r="Q19" s="16" t="str">
        <f>IF(OR(D19="",NOT(OR(ISNUMBER(SEARCH("Epóx",Upload!N18&amp;Upload!O18&amp;Upload!P18&amp;Upload!Q18)),ISNUMBER(SEARCH("Epox",Upload!N18&amp;Upload!O18&amp;Upload!P18&amp;Upload!Q18)),ISNUMBER(SEARCH("Barniz",Upload!N18&amp;Upload!O18&amp;Upload!P18&amp;Upload!Q18))))),"",D19*0.000035)</f>
        <v/>
      </c>
      <c r="R19" s="16" t="str">
        <f>IF(P19="","",P19*1.07)</f>
        <v/>
      </c>
    </row>
    <row r="20" spans="1:18" x14ac:dyDescent="0.2">
      <c r="A20" s="10">
        <f t="shared" si="0"/>
        <v>2</v>
      </c>
      <c r="B20" s="10">
        <f>Upload!E19</f>
        <v>0</v>
      </c>
      <c r="C20" s="10">
        <f>Upload!AJ19</f>
        <v>0</v>
      </c>
      <c r="D20" s="10">
        <f>Upload!AK19</f>
        <v>0</v>
      </c>
      <c r="E20" s="10" t="str">
        <f>Upload!AF19</f>
        <v/>
      </c>
      <c r="F20" s="10" t="str">
        <f>Upload!AH19</f>
        <v/>
      </c>
      <c r="G20" s="10" t="str">
        <f>Upload!AE19</f>
        <v>(seleccione)</v>
      </c>
      <c r="H20" s="10" t="str">
        <f>Upload!AG19</f>
        <v>(seleccione)</v>
      </c>
      <c r="J20" s="16" t="str">
        <f t="shared" ref="J20:J69" si="1">IFERROR(IF(OR(C20="",IF(ISNUMBER(SEARCH("Plata",G20)),E20,IF(ISNUMBER(SEARCH("Plata",H20)),F20,""))=""),"",$D$6*C20*(IF(ISNUMBER(SEARCH("Plata",G20)),E20,IF(ISNUMBER(SEARCH("Plata",H20)),F20,"")))/10000000),"")</f>
        <v/>
      </c>
      <c r="K20" s="16" t="str">
        <f t="shared" ref="K20:K69" si="2">IFERROR(IF(OR(C20="",IF(OR(ISNUMBER(SEARCH("Estaño",G20)),ISNUMBER(SEARCH("Estañ",G20)),ISNUMBER(SEARCH("Tin",G20))),E20,IF(OR(ISNUMBER(SEARCH("Estaño",H20)),ISNUMBER(SEARCH("Estañ",H20)),ISNUMBER(SEARCH("Tin",H20))),F20,""))=""),"",$D$7*C20*(IF(OR(ISNUMBER(SEARCH("Estaño",G20)),ISNUMBER(SEARCH("Estañ",G20)),ISNUMBER(SEARCH("Tin",G20))),E20,IF(OR(ISNUMBER(SEARCH("Estaño",H20)),ISNUMBER(SEARCH("Estañ",H20)),ISNUMBER(SEARCH("Tin",H20))),F20,"")))/10000000),"")</f>
        <v/>
      </c>
      <c r="L20" s="16" t="str">
        <f t="shared" ref="L20:L69" si="3">IFERROR(IF(OR(C20="",IF(OR(ISNUMBER(SEARCH("Níquel",G20)),ISNUMBER(SEARCH("Niquel",G20))),E20,IF(OR(ISNUMBER(SEARCH("Níquel",H20)),ISNUMBER(SEARCH("Niquel",H20))),F20,""))=""),"",$D$8*C20*(IF(OR(ISNUMBER(SEARCH("Níquel",G20)),ISNUMBER(SEARCH("Niquel",G20))),E20,IF(OR(ISNUMBER(SEARCH("Níquel",H20)),ISNUMBER(SEARCH("Niquel",H20))),F20,"")))/10000000),"")</f>
        <v/>
      </c>
      <c r="M20" s="16" t="str">
        <f t="shared" ref="M20:M69" si="4">IFERROR(IF(OR(C20="",IF(ISNUMBER(SEARCH("Zinc",G20)),E20,IF(ISNUMBER(SEARCH("Zinc",H20)),F20,""))=""),"",$D$9*C20*(IF(ISNUMBER(SEARCH("Zinc",G20)),E20,IF(ISNUMBER(SEARCH("Zinc",H20)),F20,"")))/10000000),"")</f>
        <v/>
      </c>
      <c r="N20" s="16" t="str">
        <f t="shared" ref="N20:N69" si="5">IFERROR(IF(OR(C20="",IF(OR(ISNUMBER(SEARCH("Cobre",G20)),ISNUMBER(SEARCH("Bondal",G20))),E20,IF(OR(ISNUMBER(SEARCH("Cobre",H20)),ISNUMBER(SEARCH("Bondal",H20))),F20,""))=""),"",$D$10*C20*(IF(OR(ISNUMBER(SEARCH("Cobre",G20)),ISNUMBER(SEARCH("Bondal",G20))),E20,IF(OR(ISNUMBER(SEARCH("Cobre",H20)),ISNUMBER(SEARCH("Bondal",H20))),F20,"")))/10000000),"")</f>
        <v/>
      </c>
      <c r="O20" s="16" t="str">
        <f>IF(OR(N20="",NOT(OR(ISNUMBER(SEARCH("Antitarnish",Upload!N19&amp;Upload!O19&amp;Upload!P19&amp;Upload!Q19)),ISNUMBER(SEARCH("Anti Tarnish",Upload!N19&amp;Upload!O19&amp;Upload!P19&amp;Upload!Q19))))),"",0.0012*N20)</f>
        <v/>
      </c>
      <c r="P20" s="16" t="str">
        <f>IF(OR(D20="",NOT(OR(ISNUMBER(SEARCH("Epóx",Upload!N19&amp;Upload!O19&amp;Upload!P19&amp;Upload!Q19)),ISNUMBER(SEARCH("Epox",Upload!N19&amp;Upload!O19&amp;Upload!P19&amp;Upload!Q19)),ISNUMBER(SEARCH("Barniz",Upload!N19&amp;Upload!O19&amp;Upload!P19&amp;Upload!Q19))))),"",D20*0.000035)</f>
        <v/>
      </c>
      <c r="Q20" s="16" t="str">
        <f>IF(OR(D20="",NOT(OR(ISNUMBER(SEARCH("Epóx",Upload!N19&amp;Upload!O19&amp;Upload!P19&amp;Upload!Q19)),ISNUMBER(SEARCH("Epox",Upload!N19&amp;Upload!O19&amp;Upload!P19&amp;Upload!Q19)),ISNUMBER(SEARCH("Barniz",Upload!N19&amp;Upload!O19&amp;Upload!P19&amp;Upload!Q19))))),"",D20*0.000035)</f>
        <v/>
      </c>
      <c r="R20" s="16" t="str">
        <f t="shared" ref="R20:R69" si="6">IF(P20="","",P20*1.07)</f>
        <v/>
      </c>
    </row>
    <row r="21" spans="1:18" x14ac:dyDescent="0.2">
      <c r="A21" s="10">
        <f t="shared" si="0"/>
        <v>3</v>
      </c>
      <c r="B21" s="10">
        <f>Upload!E20</f>
        <v>0</v>
      </c>
      <c r="C21" s="10">
        <f>Upload!AJ20</f>
        <v>0</v>
      </c>
      <c r="D21" s="10">
        <f>Upload!AK20</f>
        <v>0</v>
      </c>
      <c r="E21" s="10" t="str">
        <f>Upload!AF20</f>
        <v/>
      </c>
      <c r="F21" s="10" t="str">
        <f>Upload!AH20</f>
        <v/>
      </c>
      <c r="G21" s="10" t="str">
        <f>Upload!AE20</f>
        <v>(seleccione)</v>
      </c>
      <c r="H21" s="10" t="str">
        <f>Upload!AG20</f>
        <v>(seleccione)</v>
      </c>
      <c r="J21" s="16" t="str">
        <f t="shared" si="1"/>
        <v/>
      </c>
      <c r="K21" s="16" t="str">
        <f t="shared" si="2"/>
        <v/>
      </c>
      <c r="L21" s="16" t="str">
        <f t="shared" si="3"/>
        <v/>
      </c>
      <c r="M21" s="16" t="str">
        <f t="shared" si="4"/>
        <v/>
      </c>
      <c r="N21" s="16" t="str">
        <f t="shared" si="5"/>
        <v/>
      </c>
      <c r="O21" s="16" t="str">
        <f>IF(OR(N21="",NOT(OR(ISNUMBER(SEARCH("Antitarnish",Upload!N20&amp;Upload!O20&amp;Upload!P20&amp;Upload!Q20)),ISNUMBER(SEARCH("Anti Tarnish",Upload!N20&amp;Upload!O20&amp;Upload!P20&amp;Upload!Q20))))),"",0.0012*N21)</f>
        <v/>
      </c>
      <c r="P21" s="16" t="str">
        <f>IF(OR(D21="",NOT(OR(ISNUMBER(SEARCH("Epóx",Upload!N20&amp;Upload!O20&amp;Upload!P20&amp;Upload!Q20)),ISNUMBER(SEARCH("Epox",Upload!N20&amp;Upload!O20&amp;Upload!P20&amp;Upload!Q20)),ISNUMBER(SEARCH("Barniz",Upload!N20&amp;Upload!O20&amp;Upload!P20&amp;Upload!Q20))))),"",D21*0.000035)</f>
        <v/>
      </c>
      <c r="Q21" s="16" t="str">
        <f>IF(OR(D21="",NOT(OR(ISNUMBER(SEARCH("Epóx",Upload!N20&amp;Upload!O20&amp;Upload!P20&amp;Upload!Q20)),ISNUMBER(SEARCH("Epox",Upload!N20&amp;Upload!O20&amp;Upload!P20&amp;Upload!Q20)),ISNUMBER(SEARCH("Barniz",Upload!N20&amp;Upload!O20&amp;Upload!P20&amp;Upload!Q20))))),"",D21*0.000035)</f>
        <v/>
      </c>
      <c r="R21" s="16" t="str">
        <f t="shared" si="6"/>
        <v/>
      </c>
    </row>
    <row r="22" spans="1:18" x14ac:dyDescent="0.2">
      <c r="A22" s="10">
        <f t="shared" si="0"/>
        <v>4</v>
      </c>
      <c r="B22" s="10">
        <f>Upload!E21</f>
        <v>0</v>
      </c>
      <c r="C22" s="10">
        <f>Upload!AJ21</f>
        <v>0</v>
      </c>
      <c r="D22" s="10">
        <f>Upload!AK21</f>
        <v>0</v>
      </c>
      <c r="E22" s="10" t="str">
        <f>Upload!AF21</f>
        <v/>
      </c>
      <c r="F22" s="10" t="str">
        <f>Upload!AH21</f>
        <v/>
      </c>
      <c r="G22" s="10" t="str">
        <f>Upload!AE21</f>
        <v>(seleccione)</v>
      </c>
      <c r="H22" s="10" t="str">
        <f>Upload!AG21</f>
        <v>(seleccione)</v>
      </c>
      <c r="J22" s="16" t="str">
        <f t="shared" si="1"/>
        <v/>
      </c>
      <c r="K22" s="16" t="str">
        <f t="shared" si="2"/>
        <v/>
      </c>
      <c r="L22" s="16" t="str">
        <f t="shared" si="3"/>
        <v/>
      </c>
      <c r="M22" s="16" t="str">
        <f t="shared" si="4"/>
        <v/>
      </c>
      <c r="N22" s="16" t="str">
        <f t="shared" si="5"/>
        <v/>
      </c>
      <c r="O22" s="16" t="str">
        <f>IF(OR(N22="",NOT(OR(ISNUMBER(SEARCH("Antitarnish",Upload!N21&amp;Upload!O21&amp;Upload!P21&amp;Upload!Q21)),ISNUMBER(SEARCH("Anti Tarnish",Upload!N21&amp;Upload!O21&amp;Upload!P21&amp;Upload!Q21))))),"",0.0012*N22)</f>
        <v/>
      </c>
      <c r="P22" s="16" t="str">
        <f>IF(OR(D22="",NOT(OR(ISNUMBER(SEARCH("Epóx",Upload!N21&amp;Upload!O21&amp;Upload!P21&amp;Upload!Q21)),ISNUMBER(SEARCH("Epox",Upload!N21&amp;Upload!O21&amp;Upload!P21&amp;Upload!Q21)),ISNUMBER(SEARCH("Barniz",Upload!N21&amp;Upload!O21&amp;Upload!P21&amp;Upload!Q21))))),"",D22*0.000035)</f>
        <v/>
      </c>
      <c r="Q22" s="16" t="str">
        <f>IF(OR(D22="",NOT(OR(ISNUMBER(SEARCH("Epóx",Upload!N21&amp;Upload!O21&amp;Upload!P21&amp;Upload!Q21)),ISNUMBER(SEARCH("Epox",Upload!N21&amp;Upload!O21&amp;Upload!P21&amp;Upload!Q21)),ISNUMBER(SEARCH("Barniz",Upload!N21&amp;Upload!O21&amp;Upload!P21&amp;Upload!Q21))))),"",D22*0.000035)</f>
        <v/>
      </c>
      <c r="R22" s="16" t="str">
        <f t="shared" si="6"/>
        <v/>
      </c>
    </row>
    <row r="23" spans="1:18" x14ac:dyDescent="0.2">
      <c r="A23" s="10">
        <f t="shared" si="0"/>
        <v>5</v>
      </c>
      <c r="B23" s="10">
        <f>Upload!E22</f>
        <v>0</v>
      </c>
      <c r="C23" s="10">
        <f>Upload!AJ22</f>
        <v>0</v>
      </c>
      <c r="D23" s="10">
        <f>Upload!AK22</f>
        <v>0</v>
      </c>
      <c r="E23" s="10" t="str">
        <f>Upload!AF22</f>
        <v/>
      </c>
      <c r="F23" s="10" t="str">
        <f>Upload!AH22</f>
        <v/>
      </c>
      <c r="G23" s="10" t="str">
        <f>Upload!AE22</f>
        <v>(seleccione)</v>
      </c>
      <c r="H23" s="10" t="str">
        <f>Upload!AG22</f>
        <v>(seleccione)</v>
      </c>
      <c r="J23" s="16" t="str">
        <f t="shared" si="1"/>
        <v/>
      </c>
      <c r="K23" s="16" t="str">
        <f t="shared" si="2"/>
        <v/>
      </c>
      <c r="L23" s="16" t="str">
        <f t="shared" si="3"/>
        <v/>
      </c>
      <c r="M23" s="16" t="str">
        <f t="shared" si="4"/>
        <v/>
      </c>
      <c r="N23" s="16" t="str">
        <f t="shared" si="5"/>
        <v/>
      </c>
      <c r="O23" s="16" t="str">
        <f>IF(OR(N23="",NOT(OR(ISNUMBER(SEARCH("Antitarnish",Upload!N22&amp;Upload!O22&amp;Upload!P22&amp;Upload!Q22)),ISNUMBER(SEARCH("Anti Tarnish",Upload!N22&amp;Upload!O22&amp;Upload!P22&amp;Upload!Q22))))),"",0.0012*N23)</f>
        <v/>
      </c>
      <c r="P23" s="16" t="str">
        <f>IF(OR(D23="",NOT(OR(ISNUMBER(SEARCH("Epóx",Upload!N22&amp;Upload!O22&amp;Upload!P22&amp;Upload!Q22)),ISNUMBER(SEARCH("Epox",Upload!N22&amp;Upload!O22&amp;Upload!P22&amp;Upload!Q22)),ISNUMBER(SEARCH("Barniz",Upload!N22&amp;Upload!O22&amp;Upload!P22&amp;Upload!Q22))))),"",D23*0.000035)</f>
        <v/>
      </c>
      <c r="Q23" s="16" t="str">
        <f>IF(OR(D23="",NOT(OR(ISNUMBER(SEARCH("Epóx",Upload!N22&amp;Upload!O22&amp;Upload!P22&amp;Upload!Q22)),ISNUMBER(SEARCH("Epox",Upload!N22&amp;Upload!O22&amp;Upload!P22&amp;Upload!Q22)),ISNUMBER(SEARCH("Barniz",Upload!N22&amp;Upload!O22&amp;Upload!P22&amp;Upload!Q22))))),"",D23*0.000035)</f>
        <v/>
      </c>
      <c r="R23" s="16" t="str">
        <f t="shared" si="6"/>
        <v/>
      </c>
    </row>
    <row r="24" spans="1:18" x14ac:dyDescent="0.2">
      <c r="A24" s="10">
        <f t="shared" si="0"/>
        <v>6</v>
      </c>
      <c r="B24" s="10">
        <f>Upload!E23</f>
        <v>0</v>
      </c>
      <c r="C24" s="10">
        <f>Upload!AJ23</f>
        <v>0</v>
      </c>
      <c r="D24" s="10">
        <f>Upload!AK23</f>
        <v>0</v>
      </c>
      <c r="E24" s="10" t="str">
        <f>Upload!AF23</f>
        <v/>
      </c>
      <c r="F24" s="10" t="str">
        <f>Upload!AH23</f>
        <v/>
      </c>
      <c r="G24" s="10" t="str">
        <f>Upload!AE23</f>
        <v>(seleccione)</v>
      </c>
      <c r="H24" s="10" t="str">
        <f>Upload!AG23</f>
        <v>(seleccione)</v>
      </c>
      <c r="J24" s="16" t="str">
        <f t="shared" si="1"/>
        <v/>
      </c>
      <c r="K24" s="16" t="str">
        <f t="shared" si="2"/>
        <v/>
      </c>
      <c r="L24" s="16" t="str">
        <f t="shared" si="3"/>
        <v/>
      </c>
      <c r="M24" s="16" t="str">
        <f t="shared" si="4"/>
        <v/>
      </c>
      <c r="N24" s="16" t="str">
        <f t="shared" si="5"/>
        <v/>
      </c>
      <c r="O24" s="16" t="str">
        <f>IF(OR(N24="",NOT(OR(ISNUMBER(SEARCH("Antitarnish",Upload!N23&amp;Upload!O23&amp;Upload!P23&amp;Upload!Q23)),ISNUMBER(SEARCH("Anti Tarnish",Upload!N23&amp;Upload!O23&amp;Upload!P23&amp;Upload!Q23))))),"",0.0012*N24)</f>
        <v/>
      </c>
      <c r="P24" s="16" t="str">
        <f>IF(OR(D24="",NOT(OR(ISNUMBER(SEARCH("Epóx",Upload!N23&amp;Upload!O23&amp;Upload!P23&amp;Upload!Q23)),ISNUMBER(SEARCH("Epox",Upload!N23&amp;Upload!O23&amp;Upload!P23&amp;Upload!Q23)),ISNUMBER(SEARCH("Barniz",Upload!N23&amp;Upload!O23&amp;Upload!P23&amp;Upload!Q23))))),"",D24*0.000035)</f>
        <v/>
      </c>
      <c r="Q24" s="16" t="str">
        <f>IF(OR(D24="",NOT(OR(ISNUMBER(SEARCH("Epóx",Upload!N23&amp;Upload!O23&amp;Upload!P23&amp;Upload!Q23)),ISNUMBER(SEARCH("Epox",Upload!N23&amp;Upload!O23&amp;Upload!P23&amp;Upload!Q23)),ISNUMBER(SEARCH("Barniz",Upload!N23&amp;Upload!O23&amp;Upload!P23&amp;Upload!Q23))))),"",D24*0.000035)</f>
        <v/>
      </c>
      <c r="R24" s="16" t="str">
        <f t="shared" si="6"/>
        <v/>
      </c>
    </row>
    <row r="25" spans="1:18" x14ac:dyDescent="0.2">
      <c r="A25" s="10">
        <f t="shared" si="0"/>
        <v>7</v>
      </c>
      <c r="B25" s="10">
        <f>Upload!E24</f>
        <v>0</v>
      </c>
      <c r="C25" s="10">
        <f>Upload!AJ24</f>
        <v>0</v>
      </c>
      <c r="D25" s="10">
        <f>Upload!AK24</f>
        <v>0</v>
      </c>
      <c r="E25" s="10" t="str">
        <f>Upload!AF24</f>
        <v/>
      </c>
      <c r="F25" s="10" t="str">
        <f>Upload!AH24</f>
        <v/>
      </c>
      <c r="G25" s="10" t="str">
        <f>Upload!AE24</f>
        <v>(seleccione)</v>
      </c>
      <c r="H25" s="10" t="str">
        <f>Upload!AG24</f>
        <v>(seleccione)</v>
      </c>
      <c r="J25" s="16" t="str">
        <f t="shared" si="1"/>
        <v/>
      </c>
      <c r="K25" s="16" t="str">
        <f t="shared" si="2"/>
        <v/>
      </c>
      <c r="L25" s="16" t="str">
        <f t="shared" si="3"/>
        <v/>
      </c>
      <c r="M25" s="16" t="str">
        <f t="shared" si="4"/>
        <v/>
      </c>
      <c r="N25" s="16" t="str">
        <f t="shared" si="5"/>
        <v/>
      </c>
      <c r="O25" s="16" t="str">
        <f>IF(OR(N25="",NOT(OR(ISNUMBER(SEARCH("Antitarnish",Upload!N24&amp;Upload!O24&amp;Upload!P24&amp;Upload!Q24)),ISNUMBER(SEARCH("Anti Tarnish",Upload!N24&amp;Upload!O24&amp;Upload!P24&amp;Upload!Q24))))),"",0.0012*N25)</f>
        <v/>
      </c>
      <c r="P25" s="16" t="str">
        <f>IF(OR(D25="",NOT(OR(ISNUMBER(SEARCH("Epóx",Upload!N24&amp;Upload!O24&amp;Upload!P24&amp;Upload!Q24)),ISNUMBER(SEARCH("Epox",Upload!N24&amp;Upload!O24&amp;Upload!P24&amp;Upload!Q24)),ISNUMBER(SEARCH("Barniz",Upload!N24&amp;Upload!O24&amp;Upload!P24&amp;Upload!Q24))))),"",D25*0.000035)</f>
        <v/>
      </c>
      <c r="Q25" s="16" t="str">
        <f>IF(OR(D25="",NOT(OR(ISNUMBER(SEARCH("Epóx",Upload!N24&amp;Upload!O24&amp;Upload!P24&amp;Upload!Q24)),ISNUMBER(SEARCH("Epox",Upload!N24&amp;Upload!O24&amp;Upload!P24&amp;Upload!Q24)),ISNUMBER(SEARCH("Barniz",Upload!N24&amp;Upload!O24&amp;Upload!P24&amp;Upload!Q24))))),"",D25*0.000035)</f>
        <v/>
      </c>
      <c r="R25" s="16" t="str">
        <f t="shared" si="6"/>
        <v/>
      </c>
    </row>
    <row r="26" spans="1:18" x14ac:dyDescent="0.2">
      <c r="A26" s="10">
        <f t="shared" si="0"/>
        <v>8</v>
      </c>
      <c r="B26" s="10">
        <f>Upload!E25</f>
        <v>0</v>
      </c>
      <c r="C26" s="10">
        <f>Upload!AJ25</f>
        <v>0</v>
      </c>
      <c r="D26" s="10">
        <f>Upload!AK25</f>
        <v>0</v>
      </c>
      <c r="E26" s="10" t="str">
        <f>Upload!AF25</f>
        <v/>
      </c>
      <c r="F26" s="10" t="str">
        <f>Upload!AH25</f>
        <v/>
      </c>
      <c r="G26" s="10" t="str">
        <f>Upload!AE25</f>
        <v>(seleccione)</v>
      </c>
      <c r="H26" s="10" t="str">
        <f>Upload!AG25</f>
        <v>(seleccione)</v>
      </c>
      <c r="J26" s="16" t="str">
        <f t="shared" si="1"/>
        <v/>
      </c>
      <c r="K26" s="16" t="str">
        <f t="shared" si="2"/>
        <v/>
      </c>
      <c r="L26" s="16" t="str">
        <f t="shared" si="3"/>
        <v/>
      </c>
      <c r="M26" s="16" t="str">
        <f t="shared" si="4"/>
        <v/>
      </c>
      <c r="N26" s="16" t="str">
        <f t="shared" si="5"/>
        <v/>
      </c>
      <c r="O26" s="16" t="str">
        <f>IF(OR(N26="",NOT(OR(ISNUMBER(SEARCH("Antitarnish",Upload!N25&amp;Upload!O25&amp;Upload!P25&amp;Upload!Q25)),ISNUMBER(SEARCH("Anti Tarnish",Upload!N25&amp;Upload!O25&amp;Upload!P25&amp;Upload!Q25))))),"",0.0012*N26)</f>
        <v/>
      </c>
      <c r="P26" s="16" t="str">
        <f>IF(OR(D26="",NOT(OR(ISNUMBER(SEARCH("Epóx",Upload!N25&amp;Upload!O25&amp;Upload!P25&amp;Upload!Q25)),ISNUMBER(SEARCH("Epox",Upload!N25&amp;Upload!O25&amp;Upload!P25&amp;Upload!Q25)),ISNUMBER(SEARCH("Barniz",Upload!N25&amp;Upload!O25&amp;Upload!P25&amp;Upload!Q25))))),"",D26*0.000035)</f>
        <v/>
      </c>
      <c r="Q26" s="16" t="str">
        <f>IF(OR(D26="",NOT(OR(ISNUMBER(SEARCH("Epóx",Upload!N25&amp;Upload!O25&amp;Upload!P25&amp;Upload!Q25)),ISNUMBER(SEARCH("Epox",Upload!N25&amp;Upload!O25&amp;Upload!P25&amp;Upload!Q25)),ISNUMBER(SEARCH("Barniz",Upload!N25&amp;Upload!O25&amp;Upload!P25&amp;Upload!Q25))))),"",D26*0.000035)</f>
        <v/>
      </c>
      <c r="R26" s="16" t="str">
        <f t="shared" si="6"/>
        <v/>
      </c>
    </row>
    <row r="27" spans="1:18" x14ac:dyDescent="0.2">
      <c r="A27" s="10">
        <f t="shared" si="0"/>
        <v>9</v>
      </c>
      <c r="B27" s="10">
        <f>Upload!E26</f>
        <v>0</v>
      </c>
      <c r="C27" s="10">
        <f>Upload!AJ26</f>
        <v>0</v>
      </c>
      <c r="D27" s="10">
        <f>Upload!AK26</f>
        <v>0</v>
      </c>
      <c r="E27" s="10" t="str">
        <f>Upload!AF26</f>
        <v/>
      </c>
      <c r="F27" s="10" t="str">
        <f>Upload!AH26</f>
        <v/>
      </c>
      <c r="G27" s="10" t="str">
        <f>Upload!AE26</f>
        <v>(seleccione)</v>
      </c>
      <c r="H27" s="10" t="str">
        <f>Upload!AG26</f>
        <v>(seleccione)</v>
      </c>
      <c r="J27" s="16" t="str">
        <f t="shared" si="1"/>
        <v/>
      </c>
      <c r="K27" s="16" t="str">
        <f t="shared" si="2"/>
        <v/>
      </c>
      <c r="L27" s="16" t="str">
        <f t="shared" si="3"/>
        <v/>
      </c>
      <c r="M27" s="16" t="str">
        <f t="shared" si="4"/>
        <v/>
      </c>
      <c r="N27" s="16" t="str">
        <f t="shared" si="5"/>
        <v/>
      </c>
      <c r="O27" s="16" t="str">
        <f>IF(OR(N27="",NOT(OR(ISNUMBER(SEARCH("Antitarnish",Upload!N26&amp;Upload!O26&amp;Upload!P26&amp;Upload!Q26)),ISNUMBER(SEARCH("Anti Tarnish",Upload!N26&amp;Upload!O26&amp;Upload!P26&amp;Upload!Q26))))),"",0.0012*N27)</f>
        <v/>
      </c>
      <c r="P27" s="16" t="str">
        <f>IF(OR(D27="",NOT(OR(ISNUMBER(SEARCH("Epóx",Upload!N26&amp;Upload!O26&amp;Upload!P26&amp;Upload!Q26)),ISNUMBER(SEARCH("Epox",Upload!N26&amp;Upload!O26&amp;Upload!P26&amp;Upload!Q26)),ISNUMBER(SEARCH("Barniz",Upload!N26&amp;Upload!O26&amp;Upload!P26&amp;Upload!Q26))))),"",D27*0.000035)</f>
        <v/>
      </c>
      <c r="Q27" s="16" t="str">
        <f>IF(OR(D27="",NOT(OR(ISNUMBER(SEARCH("Epóx",Upload!N26&amp;Upload!O26&amp;Upload!P26&amp;Upload!Q26)),ISNUMBER(SEARCH("Epox",Upload!N26&amp;Upload!O26&amp;Upload!P26&amp;Upload!Q26)),ISNUMBER(SEARCH("Barniz",Upload!N26&amp;Upload!O26&amp;Upload!P26&amp;Upload!Q26))))),"",D27*0.000035)</f>
        <v/>
      </c>
      <c r="R27" s="16" t="str">
        <f t="shared" si="6"/>
        <v/>
      </c>
    </row>
    <row r="28" spans="1:18" x14ac:dyDescent="0.2">
      <c r="A28" s="10">
        <f t="shared" si="0"/>
        <v>10</v>
      </c>
      <c r="B28" s="10">
        <f>Upload!E27</f>
        <v>0</v>
      </c>
      <c r="C28" s="10">
        <f>Upload!AJ27</f>
        <v>0</v>
      </c>
      <c r="D28" s="10">
        <f>Upload!AK27</f>
        <v>0</v>
      </c>
      <c r="E28" s="10" t="str">
        <f>Upload!AF27</f>
        <v/>
      </c>
      <c r="F28" s="10" t="str">
        <f>Upload!AH27</f>
        <v/>
      </c>
      <c r="G28" s="10" t="str">
        <f>Upload!AE27</f>
        <v>(seleccione)</v>
      </c>
      <c r="H28" s="10" t="str">
        <f>Upload!AG27</f>
        <v>(seleccione)</v>
      </c>
      <c r="J28" s="16" t="str">
        <f t="shared" si="1"/>
        <v/>
      </c>
      <c r="K28" s="16" t="str">
        <f t="shared" si="2"/>
        <v/>
      </c>
      <c r="L28" s="16" t="str">
        <f t="shared" si="3"/>
        <v/>
      </c>
      <c r="M28" s="16" t="str">
        <f t="shared" si="4"/>
        <v/>
      </c>
      <c r="N28" s="16" t="str">
        <f t="shared" si="5"/>
        <v/>
      </c>
      <c r="O28" s="16" t="str">
        <f>IF(OR(N28="",NOT(OR(ISNUMBER(SEARCH("Antitarnish",Upload!N27&amp;Upload!O27&amp;Upload!P27&amp;Upload!Q27)),ISNUMBER(SEARCH("Anti Tarnish",Upload!N27&amp;Upload!O27&amp;Upload!P27&amp;Upload!Q27))))),"",0.0012*N28)</f>
        <v/>
      </c>
      <c r="P28" s="16" t="str">
        <f>IF(OR(D28="",NOT(OR(ISNUMBER(SEARCH("Epóx",Upload!N27&amp;Upload!O27&amp;Upload!P27&amp;Upload!Q27)),ISNUMBER(SEARCH("Epox",Upload!N27&amp;Upload!O27&amp;Upload!P27&amp;Upload!Q27)),ISNUMBER(SEARCH("Barniz",Upload!N27&amp;Upload!O27&amp;Upload!P27&amp;Upload!Q27))))),"",D28*0.000035)</f>
        <v/>
      </c>
      <c r="Q28" s="16" t="str">
        <f>IF(OR(D28="",NOT(OR(ISNUMBER(SEARCH("Epóx",Upload!N27&amp;Upload!O27&amp;Upload!P27&amp;Upload!Q27)),ISNUMBER(SEARCH("Epox",Upload!N27&amp;Upload!O27&amp;Upload!P27&amp;Upload!Q27)),ISNUMBER(SEARCH("Barniz",Upload!N27&amp;Upload!O27&amp;Upload!P27&amp;Upload!Q27))))),"",D28*0.000035)</f>
        <v/>
      </c>
      <c r="R28" s="16" t="str">
        <f t="shared" si="6"/>
        <v/>
      </c>
    </row>
    <row r="29" spans="1:18" x14ac:dyDescent="0.2">
      <c r="A29" s="10">
        <f t="shared" si="0"/>
        <v>11</v>
      </c>
      <c r="B29" s="10">
        <f>Upload!E28</f>
        <v>0</v>
      </c>
      <c r="C29" s="10">
        <f>Upload!AJ28</f>
        <v>0</v>
      </c>
      <c r="D29" s="10">
        <f>Upload!AK28</f>
        <v>0</v>
      </c>
      <c r="E29" s="10" t="str">
        <f>Upload!AF28</f>
        <v/>
      </c>
      <c r="F29" s="10" t="str">
        <f>Upload!AH28</f>
        <v/>
      </c>
      <c r="G29" s="10" t="str">
        <f>Upload!AE28</f>
        <v>(seleccione)</v>
      </c>
      <c r="H29" s="10" t="str">
        <f>Upload!AG28</f>
        <v>(seleccione)</v>
      </c>
      <c r="J29" s="16" t="str">
        <f t="shared" si="1"/>
        <v/>
      </c>
      <c r="K29" s="16" t="str">
        <f t="shared" si="2"/>
        <v/>
      </c>
      <c r="L29" s="16" t="str">
        <f t="shared" si="3"/>
        <v/>
      </c>
      <c r="M29" s="16" t="str">
        <f t="shared" si="4"/>
        <v/>
      </c>
      <c r="N29" s="16" t="str">
        <f t="shared" si="5"/>
        <v/>
      </c>
      <c r="O29" s="16" t="str">
        <f>IF(OR(N29="",NOT(OR(ISNUMBER(SEARCH("Antitarnish",Upload!N28&amp;Upload!O28&amp;Upload!P28&amp;Upload!Q28)),ISNUMBER(SEARCH("Anti Tarnish",Upload!N28&amp;Upload!O28&amp;Upload!P28&amp;Upload!Q28))))),"",0.0012*N29)</f>
        <v/>
      </c>
      <c r="P29" s="16" t="str">
        <f>IF(OR(D29="",NOT(OR(ISNUMBER(SEARCH("Epóx",Upload!N28&amp;Upload!O28&amp;Upload!P28&amp;Upload!Q28)),ISNUMBER(SEARCH("Epox",Upload!N28&amp;Upload!O28&amp;Upload!P28&amp;Upload!Q28)),ISNUMBER(SEARCH("Barniz",Upload!N28&amp;Upload!O28&amp;Upload!P28&amp;Upload!Q28))))),"",D29*0.000035)</f>
        <v/>
      </c>
      <c r="Q29" s="16" t="str">
        <f>IF(OR(D29="",NOT(OR(ISNUMBER(SEARCH("Epóx",Upload!N28&amp;Upload!O28&amp;Upload!P28&amp;Upload!Q28)),ISNUMBER(SEARCH("Epox",Upload!N28&amp;Upload!O28&amp;Upload!P28&amp;Upload!Q28)),ISNUMBER(SEARCH("Barniz",Upload!N28&amp;Upload!O28&amp;Upload!P28&amp;Upload!Q28))))),"",D29*0.000035)</f>
        <v/>
      </c>
      <c r="R29" s="16" t="str">
        <f t="shared" si="6"/>
        <v/>
      </c>
    </row>
    <row r="30" spans="1:18" x14ac:dyDescent="0.2">
      <c r="A30" s="10">
        <f t="shared" si="0"/>
        <v>12</v>
      </c>
      <c r="B30" s="10">
        <f>Upload!E29</f>
        <v>0</v>
      </c>
      <c r="C30" s="10">
        <f>Upload!AJ29</f>
        <v>0</v>
      </c>
      <c r="D30" s="10">
        <f>Upload!AK29</f>
        <v>0</v>
      </c>
      <c r="E30" s="10" t="str">
        <f>Upload!AF29</f>
        <v/>
      </c>
      <c r="F30" s="10" t="str">
        <f>Upload!AH29</f>
        <v/>
      </c>
      <c r="G30" s="10" t="str">
        <f>Upload!AE29</f>
        <v>(seleccione)</v>
      </c>
      <c r="H30" s="10" t="str">
        <f>Upload!AG29</f>
        <v>(seleccione)</v>
      </c>
      <c r="J30" s="16" t="str">
        <f t="shared" si="1"/>
        <v/>
      </c>
      <c r="K30" s="16" t="str">
        <f t="shared" si="2"/>
        <v/>
      </c>
      <c r="L30" s="16" t="str">
        <f t="shared" si="3"/>
        <v/>
      </c>
      <c r="M30" s="16" t="str">
        <f t="shared" si="4"/>
        <v/>
      </c>
      <c r="N30" s="16" t="str">
        <f t="shared" si="5"/>
        <v/>
      </c>
      <c r="O30" s="16" t="str">
        <f>IF(OR(N30="",NOT(OR(ISNUMBER(SEARCH("Antitarnish",Upload!N29&amp;Upload!O29&amp;Upload!P29&amp;Upload!Q29)),ISNUMBER(SEARCH("Anti Tarnish",Upload!N29&amp;Upload!O29&amp;Upload!P29&amp;Upload!Q29))))),"",0.0012*N30)</f>
        <v/>
      </c>
      <c r="P30" s="16" t="str">
        <f>IF(OR(D30="",NOT(OR(ISNUMBER(SEARCH("Epóx",Upload!N29&amp;Upload!O29&amp;Upload!P29&amp;Upload!Q29)),ISNUMBER(SEARCH("Epox",Upload!N29&amp;Upload!O29&amp;Upload!P29&amp;Upload!Q29)),ISNUMBER(SEARCH("Barniz",Upload!N29&amp;Upload!O29&amp;Upload!P29&amp;Upload!Q29))))),"",D30*0.000035)</f>
        <v/>
      </c>
      <c r="Q30" s="16" t="str">
        <f>IF(OR(D30="",NOT(OR(ISNUMBER(SEARCH("Epóx",Upload!N29&amp;Upload!O29&amp;Upload!P29&amp;Upload!Q29)),ISNUMBER(SEARCH("Epox",Upload!N29&amp;Upload!O29&amp;Upload!P29&amp;Upload!Q29)),ISNUMBER(SEARCH("Barniz",Upload!N29&amp;Upload!O29&amp;Upload!P29&amp;Upload!Q29))))),"",D30*0.000035)</f>
        <v/>
      </c>
      <c r="R30" s="16" t="str">
        <f t="shared" si="6"/>
        <v/>
      </c>
    </row>
    <row r="31" spans="1:18" x14ac:dyDescent="0.2">
      <c r="A31" s="10">
        <f t="shared" si="0"/>
        <v>13</v>
      </c>
      <c r="B31" s="10">
        <f>Upload!E30</f>
        <v>0</v>
      </c>
      <c r="C31" s="10">
        <f>Upload!AJ30</f>
        <v>0</v>
      </c>
      <c r="D31" s="10">
        <f>Upload!AK30</f>
        <v>0</v>
      </c>
      <c r="E31" s="10" t="str">
        <f>Upload!AF30</f>
        <v/>
      </c>
      <c r="F31" s="10" t="str">
        <f>Upload!AH30</f>
        <v/>
      </c>
      <c r="G31" s="10" t="str">
        <f>Upload!AE30</f>
        <v>(seleccione)</v>
      </c>
      <c r="H31" s="10" t="str">
        <f>Upload!AG30</f>
        <v>(seleccione)</v>
      </c>
      <c r="J31" s="16" t="str">
        <f t="shared" si="1"/>
        <v/>
      </c>
      <c r="K31" s="16" t="str">
        <f t="shared" si="2"/>
        <v/>
      </c>
      <c r="L31" s="16" t="str">
        <f t="shared" si="3"/>
        <v/>
      </c>
      <c r="M31" s="16" t="str">
        <f t="shared" si="4"/>
        <v/>
      </c>
      <c r="N31" s="16" t="str">
        <f t="shared" si="5"/>
        <v/>
      </c>
      <c r="O31" s="16" t="str">
        <f>IF(OR(N31="",NOT(OR(ISNUMBER(SEARCH("Antitarnish",Upload!N30&amp;Upload!O30&amp;Upload!P30&amp;Upload!Q30)),ISNUMBER(SEARCH("Anti Tarnish",Upload!N30&amp;Upload!O30&amp;Upload!P30&amp;Upload!Q30))))),"",0.0012*N31)</f>
        <v/>
      </c>
      <c r="P31" s="16" t="str">
        <f>IF(OR(D31="",NOT(OR(ISNUMBER(SEARCH("Epóx",Upload!N30&amp;Upload!O30&amp;Upload!P30&amp;Upload!Q30)),ISNUMBER(SEARCH("Epox",Upload!N30&amp;Upload!O30&amp;Upload!P30&amp;Upload!Q30)),ISNUMBER(SEARCH("Barniz",Upload!N30&amp;Upload!O30&amp;Upload!P30&amp;Upload!Q30))))),"",D31*0.000035)</f>
        <v/>
      </c>
      <c r="Q31" s="16" t="str">
        <f>IF(OR(D31="",NOT(OR(ISNUMBER(SEARCH("Epóx",Upload!N30&amp;Upload!O30&amp;Upload!P30&amp;Upload!Q30)),ISNUMBER(SEARCH("Epox",Upload!N30&amp;Upload!O30&amp;Upload!P30&amp;Upload!Q30)),ISNUMBER(SEARCH("Barniz",Upload!N30&amp;Upload!O30&amp;Upload!P30&amp;Upload!Q30))))),"",D31*0.000035)</f>
        <v/>
      </c>
      <c r="R31" s="16" t="str">
        <f t="shared" si="6"/>
        <v/>
      </c>
    </row>
    <row r="32" spans="1:18" x14ac:dyDescent="0.2">
      <c r="A32" s="10">
        <f t="shared" si="0"/>
        <v>14</v>
      </c>
      <c r="B32" s="10">
        <f>Upload!E31</f>
        <v>0</v>
      </c>
      <c r="C32" s="10">
        <f>Upload!AJ31</f>
        <v>0</v>
      </c>
      <c r="D32" s="10">
        <f>Upload!AK31</f>
        <v>0</v>
      </c>
      <c r="E32" s="10" t="str">
        <f>Upload!AF31</f>
        <v/>
      </c>
      <c r="F32" s="10" t="str">
        <f>Upload!AH31</f>
        <v/>
      </c>
      <c r="G32" s="10" t="str">
        <f>Upload!AE31</f>
        <v>(seleccione)</v>
      </c>
      <c r="H32" s="10" t="str">
        <f>Upload!AG31</f>
        <v>(seleccione)</v>
      </c>
      <c r="J32" s="16" t="str">
        <f t="shared" si="1"/>
        <v/>
      </c>
      <c r="K32" s="16" t="str">
        <f t="shared" si="2"/>
        <v/>
      </c>
      <c r="L32" s="16" t="str">
        <f t="shared" si="3"/>
        <v/>
      </c>
      <c r="M32" s="16" t="str">
        <f t="shared" si="4"/>
        <v/>
      </c>
      <c r="N32" s="16" t="str">
        <f t="shared" si="5"/>
        <v/>
      </c>
      <c r="O32" s="16" t="str">
        <f>IF(OR(N32="",NOT(OR(ISNUMBER(SEARCH("Antitarnish",Upload!N31&amp;Upload!O31&amp;Upload!P31&amp;Upload!Q31)),ISNUMBER(SEARCH("Anti Tarnish",Upload!N31&amp;Upload!O31&amp;Upload!P31&amp;Upload!Q31))))),"",0.0012*N32)</f>
        <v/>
      </c>
      <c r="P32" s="16" t="str">
        <f>IF(OR(D32="",NOT(OR(ISNUMBER(SEARCH("Epóx",Upload!N31&amp;Upload!O31&amp;Upload!P31&amp;Upload!Q31)),ISNUMBER(SEARCH("Epox",Upload!N31&amp;Upload!O31&amp;Upload!P31&amp;Upload!Q31)),ISNUMBER(SEARCH("Barniz",Upload!N31&amp;Upload!O31&amp;Upload!P31&amp;Upload!Q31))))),"",D32*0.000035)</f>
        <v/>
      </c>
      <c r="Q32" s="16" t="str">
        <f>IF(OR(D32="",NOT(OR(ISNUMBER(SEARCH("Epóx",Upload!N31&amp;Upload!O31&amp;Upload!P31&amp;Upload!Q31)),ISNUMBER(SEARCH("Epox",Upload!N31&amp;Upload!O31&amp;Upload!P31&amp;Upload!Q31)),ISNUMBER(SEARCH("Barniz",Upload!N31&amp;Upload!O31&amp;Upload!P31&amp;Upload!Q31))))),"",D32*0.000035)</f>
        <v/>
      </c>
      <c r="R32" s="16" t="str">
        <f t="shared" si="6"/>
        <v/>
      </c>
    </row>
    <row r="33" spans="1:18" x14ac:dyDescent="0.2">
      <c r="A33" s="10">
        <f t="shared" si="0"/>
        <v>15</v>
      </c>
      <c r="B33" s="10">
        <f>Upload!E32</f>
        <v>0</v>
      </c>
      <c r="C33" s="10">
        <f>Upload!AJ32</f>
        <v>0</v>
      </c>
      <c r="D33" s="10">
        <f>Upload!AK32</f>
        <v>0</v>
      </c>
      <c r="E33" s="10" t="str">
        <f>Upload!AF32</f>
        <v/>
      </c>
      <c r="F33" s="10" t="str">
        <f>Upload!AH32</f>
        <v/>
      </c>
      <c r="G33" s="10" t="str">
        <f>Upload!AE32</f>
        <v>(seleccione)</v>
      </c>
      <c r="H33" s="10" t="str">
        <f>Upload!AG32</f>
        <v>(seleccione)</v>
      </c>
      <c r="J33" s="16" t="str">
        <f t="shared" si="1"/>
        <v/>
      </c>
      <c r="K33" s="16" t="str">
        <f t="shared" si="2"/>
        <v/>
      </c>
      <c r="L33" s="16" t="str">
        <f t="shared" si="3"/>
        <v/>
      </c>
      <c r="M33" s="16" t="str">
        <f t="shared" si="4"/>
        <v/>
      </c>
      <c r="N33" s="16" t="str">
        <f t="shared" si="5"/>
        <v/>
      </c>
      <c r="O33" s="16" t="str">
        <f>IF(OR(N33="",NOT(OR(ISNUMBER(SEARCH("Antitarnish",Upload!N32&amp;Upload!O32&amp;Upload!P32&amp;Upload!Q32)),ISNUMBER(SEARCH("Anti Tarnish",Upload!N32&amp;Upload!O32&amp;Upload!P32&amp;Upload!Q32))))),"",0.0012*N33)</f>
        <v/>
      </c>
      <c r="P33" s="16" t="str">
        <f>IF(OR(D33="",NOT(OR(ISNUMBER(SEARCH("Epóx",Upload!N32&amp;Upload!O32&amp;Upload!P32&amp;Upload!Q32)),ISNUMBER(SEARCH("Epox",Upload!N32&amp;Upload!O32&amp;Upload!P32&amp;Upload!Q32)),ISNUMBER(SEARCH("Barniz",Upload!N32&amp;Upload!O32&amp;Upload!P32&amp;Upload!Q32))))),"",D33*0.000035)</f>
        <v/>
      </c>
      <c r="Q33" s="16" t="str">
        <f>IF(OR(D33="",NOT(OR(ISNUMBER(SEARCH("Epóx",Upload!N32&amp;Upload!O32&amp;Upload!P32&amp;Upload!Q32)),ISNUMBER(SEARCH("Epox",Upload!N32&amp;Upload!O32&amp;Upload!P32&amp;Upload!Q32)),ISNUMBER(SEARCH("Barniz",Upload!N32&amp;Upload!O32&amp;Upload!P32&amp;Upload!Q32))))),"",D33*0.000035)</f>
        <v/>
      </c>
      <c r="R33" s="16" t="str">
        <f t="shared" si="6"/>
        <v/>
      </c>
    </row>
    <row r="34" spans="1:18" x14ac:dyDescent="0.2">
      <c r="A34" s="10">
        <f t="shared" si="0"/>
        <v>16</v>
      </c>
      <c r="B34" s="10">
        <f>Upload!E33</f>
        <v>0</v>
      </c>
      <c r="C34" s="10">
        <f>Upload!AJ33</f>
        <v>0</v>
      </c>
      <c r="D34" s="10">
        <f>Upload!AK33</f>
        <v>0</v>
      </c>
      <c r="E34" s="10" t="str">
        <f>Upload!AF33</f>
        <v/>
      </c>
      <c r="F34" s="10" t="str">
        <f>Upload!AH33</f>
        <v/>
      </c>
      <c r="G34" s="10" t="str">
        <f>Upload!AE33</f>
        <v>(seleccione)</v>
      </c>
      <c r="H34" s="10" t="str">
        <f>Upload!AG33</f>
        <v>(seleccione)</v>
      </c>
      <c r="J34" s="16" t="str">
        <f t="shared" si="1"/>
        <v/>
      </c>
      <c r="K34" s="16" t="str">
        <f t="shared" si="2"/>
        <v/>
      </c>
      <c r="L34" s="16" t="str">
        <f t="shared" si="3"/>
        <v/>
      </c>
      <c r="M34" s="16" t="str">
        <f t="shared" si="4"/>
        <v/>
      </c>
      <c r="N34" s="16" t="str">
        <f t="shared" si="5"/>
        <v/>
      </c>
      <c r="O34" s="16" t="str">
        <f>IF(OR(N34="",NOT(OR(ISNUMBER(SEARCH("Antitarnish",Upload!N33&amp;Upload!O33&amp;Upload!P33&amp;Upload!Q33)),ISNUMBER(SEARCH("Anti Tarnish",Upload!N33&amp;Upload!O33&amp;Upload!P33&amp;Upload!Q33))))),"",0.0012*N34)</f>
        <v/>
      </c>
      <c r="P34" s="16" t="str">
        <f>IF(OR(D34="",NOT(OR(ISNUMBER(SEARCH("Epóx",Upload!N33&amp;Upload!O33&amp;Upload!P33&amp;Upload!Q33)),ISNUMBER(SEARCH("Epox",Upload!N33&amp;Upload!O33&amp;Upload!P33&amp;Upload!Q33)),ISNUMBER(SEARCH("Barniz",Upload!N33&amp;Upload!O33&amp;Upload!P33&amp;Upload!Q33))))),"",D34*0.000035)</f>
        <v/>
      </c>
      <c r="Q34" s="16" t="str">
        <f>IF(OR(D34="",NOT(OR(ISNUMBER(SEARCH("Epóx",Upload!N33&amp;Upload!O33&amp;Upload!P33&amp;Upload!Q33)),ISNUMBER(SEARCH("Epox",Upload!N33&amp;Upload!O33&amp;Upload!P33&amp;Upload!Q33)),ISNUMBER(SEARCH("Barniz",Upload!N33&amp;Upload!O33&amp;Upload!P33&amp;Upload!Q33))))),"",D34*0.000035)</f>
        <v/>
      </c>
      <c r="R34" s="16" t="str">
        <f t="shared" si="6"/>
        <v/>
      </c>
    </row>
    <row r="35" spans="1:18" x14ac:dyDescent="0.2">
      <c r="A35" s="10">
        <f t="shared" si="0"/>
        <v>17</v>
      </c>
      <c r="B35" s="10">
        <f>Upload!E34</f>
        <v>0</v>
      </c>
      <c r="C35" s="10">
        <f>Upload!AJ34</f>
        <v>0</v>
      </c>
      <c r="D35" s="10">
        <f>Upload!AK34</f>
        <v>0</v>
      </c>
      <c r="E35" s="10" t="str">
        <f>Upload!AF34</f>
        <v/>
      </c>
      <c r="F35" s="10" t="str">
        <f>Upload!AH34</f>
        <v/>
      </c>
      <c r="G35" s="10" t="str">
        <f>Upload!AE34</f>
        <v>(seleccione)</v>
      </c>
      <c r="H35" s="10" t="str">
        <f>Upload!AG34</f>
        <v>(seleccione)</v>
      </c>
      <c r="J35" s="16" t="str">
        <f t="shared" si="1"/>
        <v/>
      </c>
      <c r="K35" s="16" t="str">
        <f t="shared" si="2"/>
        <v/>
      </c>
      <c r="L35" s="16" t="str">
        <f t="shared" si="3"/>
        <v/>
      </c>
      <c r="M35" s="16" t="str">
        <f t="shared" si="4"/>
        <v/>
      </c>
      <c r="N35" s="16" t="str">
        <f t="shared" si="5"/>
        <v/>
      </c>
      <c r="O35" s="16" t="str">
        <f>IF(OR(N35="",NOT(OR(ISNUMBER(SEARCH("Antitarnish",Upload!N34&amp;Upload!O34&amp;Upload!P34&amp;Upload!Q34)),ISNUMBER(SEARCH("Anti Tarnish",Upload!N34&amp;Upload!O34&amp;Upload!P34&amp;Upload!Q34))))),"",0.0012*N35)</f>
        <v/>
      </c>
      <c r="P35" s="16" t="str">
        <f>IF(OR(D35="",NOT(OR(ISNUMBER(SEARCH("Epóx",Upload!N34&amp;Upload!O34&amp;Upload!P34&amp;Upload!Q34)),ISNUMBER(SEARCH("Epox",Upload!N34&amp;Upload!O34&amp;Upload!P34&amp;Upload!Q34)),ISNUMBER(SEARCH("Barniz",Upload!N34&amp;Upload!O34&amp;Upload!P34&amp;Upload!Q34))))),"",D35*0.000035)</f>
        <v/>
      </c>
      <c r="Q35" s="16" t="str">
        <f>IF(OR(D35="",NOT(OR(ISNUMBER(SEARCH("Epóx",Upload!N34&amp;Upload!O34&amp;Upload!P34&amp;Upload!Q34)),ISNUMBER(SEARCH("Epox",Upload!N34&amp;Upload!O34&amp;Upload!P34&amp;Upload!Q34)),ISNUMBER(SEARCH("Barniz",Upload!N34&amp;Upload!O34&amp;Upload!P34&amp;Upload!Q34))))),"",D35*0.000035)</f>
        <v/>
      </c>
      <c r="R35" s="16" t="str">
        <f t="shared" si="6"/>
        <v/>
      </c>
    </row>
    <row r="36" spans="1:18" x14ac:dyDescent="0.2">
      <c r="A36" s="10">
        <f t="shared" si="0"/>
        <v>18</v>
      </c>
      <c r="B36" s="10">
        <f>Upload!E35</f>
        <v>0</v>
      </c>
      <c r="C36" s="10">
        <f>Upload!AJ35</f>
        <v>0</v>
      </c>
      <c r="D36" s="10">
        <f>Upload!AK35</f>
        <v>0</v>
      </c>
      <c r="E36" s="10" t="str">
        <f>Upload!AF35</f>
        <v/>
      </c>
      <c r="F36" s="10" t="str">
        <f>Upload!AH35</f>
        <v/>
      </c>
      <c r="G36" s="10" t="str">
        <f>Upload!AE35</f>
        <v>(seleccione)</v>
      </c>
      <c r="H36" s="10" t="str">
        <f>Upload!AG35</f>
        <v>(seleccione)</v>
      </c>
      <c r="J36" s="16" t="str">
        <f t="shared" si="1"/>
        <v/>
      </c>
      <c r="K36" s="16" t="str">
        <f t="shared" si="2"/>
        <v/>
      </c>
      <c r="L36" s="16" t="str">
        <f t="shared" si="3"/>
        <v/>
      </c>
      <c r="M36" s="16" t="str">
        <f t="shared" si="4"/>
        <v/>
      </c>
      <c r="N36" s="16" t="str">
        <f t="shared" si="5"/>
        <v/>
      </c>
      <c r="O36" s="16" t="str">
        <f>IF(OR(N36="",NOT(OR(ISNUMBER(SEARCH("Antitarnish",Upload!N35&amp;Upload!O35&amp;Upload!P35&amp;Upload!Q35)),ISNUMBER(SEARCH("Anti Tarnish",Upload!N35&amp;Upload!O35&amp;Upload!P35&amp;Upload!Q35))))),"",0.0012*N36)</f>
        <v/>
      </c>
      <c r="P36" s="16" t="str">
        <f>IF(OR(D36="",NOT(OR(ISNUMBER(SEARCH("Epóx",Upload!N35&amp;Upload!O35&amp;Upload!P35&amp;Upload!Q35)),ISNUMBER(SEARCH("Epox",Upload!N35&amp;Upload!O35&amp;Upload!P35&amp;Upload!Q35)),ISNUMBER(SEARCH("Barniz",Upload!N35&amp;Upload!O35&amp;Upload!P35&amp;Upload!Q35))))),"",D36*0.000035)</f>
        <v/>
      </c>
      <c r="Q36" s="16" t="str">
        <f>IF(OR(D36="",NOT(OR(ISNUMBER(SEARCH("Epóx",Upload!N35&amp;Upload!O35&amp;Upload!P35&amp;Upload!Q35)),ISNUMBER(SEARCH("Epox",Upload!N35&amp;Upload!O35&amp;Upload!P35&amp;Upload!Q35)),ISNUMBER(SEARCH("Barniz",Upload!N35&amp;Upload!O35&amp;Upload!P35&amp;Upload!Q35))))),"",D36*0.000035)</f>
        <v/>
      </c>
      <c r="R36" s="16" t="str">
        <f t="shared" si="6"/>
        <v/>
      </c>
    </row>
    <row r="37" spans="1:18" x14ac:dyDescent="0.2">
      <c r="A37" s="10">
        <f t="shared" si="0"/>
        <v>19</v>
      </c>
      <c r="B37" s="10">
        <f>Upload!E36</f>
        <v>0</v>
      </c>
      <c r="C37" s="10">
        <f>Upload!AJ36</f>
        <v>0</v>
      </c>
      <c r="D37" s="10">
        <f>Upload!AK36</f>
        <v>0</v>
      </c>
      <c r="E37" s="10" t="str">
        <f>Upload!AF36</f>
        <v/>
      </c>
      <c r="F37" s="10" t="str">
        <f>Upload!AH36</f>
        <v/>
      </c>
      <c r="G37" s="10" t="str">
        <f>Upload!AE36</f>
        <v>(seleccione)</v>
      </c>
      <c r="H37" s="10" t="str">
        <f>Upload!AG36</f>
        <v>(seleccione)</v>
      </c>
      <c r="J37" s="16" t="str">
        <f t="shared" si="1"/>
        <v/>
      </c>
      <c r="K37" s="16" t="str">
        <f t="shared" si="2"/>
        <v/>
      </c>
      <c r="L37" s="16" t="str">
        <f t="shared" si="3"/>
        <v/>
      </c>
      <c r="M37" s="16" t="str">
        <f t="shared" si="4"/>
        <v/>
      </c>
      <c r="N37" s="16" t="str">
        <f t="shared" si="5"/>
        <v/>
      </c>
      <c r="O37" s="16" t="str">
        <f>IF(OR(N37="",NOT(OR(ISNUMBER(SEARCH("Antitarnish",Upload!N36&amp;Upload!O36&amp;Upload!P36&amp;Upload!Q36)),ISNUMBER(SEARCH("Anti Tarnish",Upload!N36&amp;Upload!O36&amp;Upload!P36&amp;Upload!Q36))))),"",0.0012*N37)</f>
        <v/>
      </c>
      <c r="P37" s="16" t="str">
        <f>IF(OR(D37="",NOT(OR(ISNUMBER(SEARCH("Epóx",Upload!N36&amp;Upload!O36&amp;Upload!P36&amp;Upload!Q36)),ISNUMBER(SEARCH("Epox",Upload!N36&amp;Upload!O36&amp;Upload!P36&amp;Upload!Q36)),ISNUMBER(SEARCH("Barniz",Upload!N36&amp;Upload!O36&amp;Upload!P36&amp;Upload!Q36))))),"",D37*0.000035)</f>
        <v/>
      </c>
      <c r="Q37" s="16" t="str">
        <f>IF(OR(D37="",NOT(OR(ISNUMBER(SEARCH("Epóx",Upload!N36&amp;Upload!O36&amp;Upload!P36&amp;Upload!Q36)),ISNUMBER(SEARCH("Epox",Upload!N36&amp;Upload!O36&amp;Upload!P36&amp;Upload!Q36)),ISNUMBER(SEARCH("Barniz",Upload!N36&amp;Upload!O36&amp;Upload!P36&amp;Upload!Q36))))),"",D37*0.000035)</f>
        <v/>
      </c>
      <c r="R37" s="16" t="str">
        <f t="shared" si="6"/>
        <v/>
      </c>
    </row>
    <row r="38" spans="1:18" x14ac:dyDescent="0.2">
      <c r="A38" s="10">
        <f t="shared" si="0"/>
        <v>20</v>
      </c>
      <c r="B38" s="10">
        <f>Upload!E37</f>
        <v>0</v>
      </c>
      <c r="C38" s="10">
        <f>Upload!AJ37</f>
        <v>0</v>
      </c>
      <c r="D38" s="10">
        <f>Upload!AK37</f>
        <v>0</v>
      </c>
      <c r="E38" s="10" t="str">
        <f>Upload!AF37</f>
        <v/>
      </c>
      <c r="F38" s="10" t="str">
        <f>Upload!AH37</f>
        <v/>
      </c>
      <c r="G38" s="10" t="str">
        <f>Upload!AE37</f>
        <v>(seleccione)</v>
      </c>
      <c r="H38" s="10" t="str">
        <f>Upload!AG37</f>
        <v>(seleccione)</v>
      </c>
      <c r="J38" s="16" t="str">
        <f t="shared" si="1"/>
        <v/>
      </c>
      <c r="K38" s="16" t="str">
        <f t="shared" si="2"/>
        <v/>
      </c>
      <c r="L38" s="16" t="str">
        <f t="shared" si="3"/>
        <v/>
      </c>
      <c r="M38" s="16" t="str">
        <f t="shared" si="4"/>
        <v/>
      </c>
      <c r="N38" s="16" t="str">
        <f t="shared" si="5"/>
        <v/>
      </c>
      <c r="O38" s="16" t="str">
        <f>IF(OR(N38="",NOT(OR(ISNUMBER(SEARCH("Antitarnish",Upload!N37&amp;Upload!O37&amp;Upload!P37&amp;Upload!Q37)),ISNUMBER(SEARCH("Anti Tarnish",Upload!N37&amp;Upload!O37&amp;Upload!P37&amp;Upload!Q37))))),"",0.0012*N38)</f>
        <v/>
      </c>
      <c r="P38" s="16" t="str">
        <f>IF(OR(D38="",NOT(OR(ISNUMBER(SEARCH("Epóx",Upload!N37&amp;Upload!O37&amp;Upload!P37&amp;Upload!Q37)),ISNUMBER(SEARCH("Epox",Upload!N37&amp;Upload!O37&amp;Upload!P37&amp;Upload!Q37)),ISNUMBER(SEARCH("Barniz",Upload!N37&amp;Upload!O37&amp;Upload!P37&amp;Upload!Q37))))),"",D38*0.000035)</f>
        <v/>
      </c>
      <c r="Q38" s="16" t="str">
        <f>IF(OR(D38="",NOT(OR(ISNUMBER(SEARCH("Epóx",Upload!N37&amp;Upload!O37&amp;Upload!P37&amp;Upload!Q37)),ISNUMBER(SEARCH("Epox",Upload!N37&amp;Upload!O37&amp;Upload!P37&amp;Upload!Q37)),ISNUMBER(SEARCH("Barniz",Upload!N37&amp;Upload!O37&amp;Upload!P37&amp;Upload!Q37))))),"",D38*0.000035)</f>
        <v/>
      </c>
      <c r="R38" s="16" t="str">
        <f t="shared" si="6"/>
        <v/>
      </c>
    </row>
    <row r="39" spans="1:18" x14ac:dyDescent="0.2">
      <c r="A39" s="10">
        <f t="shared" si="0"/>
        <v>21</v>
      </c>
      <c r="B39" s="10">
        <f>Upload!E38</f>
        <v>0</v>
      </c>
      <c r="C39" s="10">
        <f>Upload!AJ38</f>
        <v>0</v>
      </c>
      <c r="D39" s="10">
        <f>Upload!AK38</f>
        <v>0</v>
      </c>
      <c r="E39" s="10" t="str">
        <f>Upload!AF38</f>
        <v/>
      </c>
      <c r="F39" s="10" t="str">
        <f>Upload!AH38</f>
        <v/>
      </c>
      <c r="G39" s="10" t="str">
        <f>Upload!AE38</f>
        <v>(seleccione)</v>
      </c>
      <c r="H39" s="10" t="str">
        <f>Upload!AG38</f>
        <v>(seleccione)</v>
      </c>
      <c r="J39" s="16" t="str">
        <f t="shared" si="1"/>
        <v/>
      </c>
      <c r="K39" s="16" t="str">
        <f t="shared" si="2"/>
        <v/>
      </c>
      <c r="L39" s="16" t="str">
        <f t="shared" si="3"/>
        <v/>
      </c>
      <c r="M39" s="16" t="str">
        <f t="shared" si="4"/>
        <v/>
      </c>
      <c r="N39" s="16" t="str">
        <f t="shared" si="5"/>
        <v/>
      </c>
      <c r="O39" s="16" t="str">
        <f>IF(OR(N39="",NOT(OR(ISNUMBER(SEARCH("Antitarnish",Upload!N38&amp;Upload!O38&amp;Upload!P38&amp;Upload!Q38)),ISNUMBER(SEARCH("Anti Tarnish",Upload!N38&amp;Upload!O38&amp;Upload!P38&amp;Upload!Q38))))),"",0.0012*N39)</f>
        <v/>
      </c>
      <c r="P39" s="16" t="str">
        <f>IF(OR(D39="",NOT(OR(ISNUMBER(SEARCH("Epóx",Upload!N38&amp;Upload!O38&amp;Upload!P38&amp;Upload!Q38)),ISNUMBER(SEARCH("Epox",Upload!N38&amp;Upload!O38&amp;Upload!P38&amp;Upload!Q38)),ISNUMBER(SEARCH("Barniz",Upload!N38&amp;Upload!O38&amp;Upload!P38&amp;Upload!Q38))))),"",D39*0.000035)</f>
        <v/>
      </c>
      <c r="Q39" s="16" t="str">
        <f>IF(OR(D39="",NOT(OR(ISNUMBER(SEARCH("Epóx",Upload!N38&amp;Upload!O38&amp;Upload!P38&amp;Upload!Q38)),ISNUMBER(SEARCH("Epox",Upload!N38&amp;Upload!O38&amp;Upload!P38&amp;Upload!Q38)),ISNUMBER(SEARCH("Barniz",Upload!N38&amp;Upload!O38&amp;Upload!P38&amp;Upload!Q38))))),"",D39*0.000035)</f>
        <v/>
      </c>
      <c r="R39" s="16" t="str">
        <f t="shared" si="6"/>
        <v/>
      </c>
    </row>
    <row r="40" spans="1:18" x14ac:dyDescent="0.2">
      <c r="A40" s="10">
        <f t="shared" si="0"/>
        <v>22</v>
      </c>
      <c r="B40" s="10">
        <f>Upload!E39</f>
        <v>0</v>
      </c>
      <c r="C40" s="10">
        <f>Upload!AJ39</f>
        <v>0</v>
      </c>
      <c r="D40" s="10">
        <f>Upload!AK39</f>
        <v>0</v>
      </c>
      <c r="E40" s="10" t="str">
        <f>Upload!AF39</f>
        <v/>
      </c>
      <c r="F40" s="10" t="str">
        <f>Upload!AH39</f>
        <v/>
      </c>
      <c r="G40" s="10" t="str">
        <f>Upload!AE39</f>
        <v>(seleccione)</v>
      </c>
      <c r="H40" s="10" t="str">
        <f>Upload!AG39</f>
        <v>(seleccione)</v>
      </c>
      <c r="J40" s="16" t="str">
        <f t="shared" si="1"/>
        <v/>
      </c>
      <c r="K40" s="16" t="str">
        <f t="shared" si="2"/>
        <v/>
      </c>
      <c r="L40" s="16" t="str">
        <f t="shared" si="3"/>
        <v/>
      </c>
      <c r="M40" s="16" t="str">
        <f t="shared" si="4"/>
        <v/>
      </c>
      <c r="N40" s="16" t="str">
        <f t="shared" si="5"/>
        <v/>
      </c>
      <c r="O40" s="16" t="str">
        <f>IF(OR(N40="",NOT(OR(ISNUMBER(SEARCH("Antitarnish",Upload!N39&amp;Upload!O39&amp;Upload!P39&amp;Upload!Q39)),ISNUMBER(SEARCH("Anti Tarnish",Upload!N39&amp;Upload!O39&amp;Upload!P39&amp;Upload!Q39))))),"",0.0012*N40)</f>
        <v/>
      </c>
      <c r="P40" s="16" t="str">
        <f>IF(OR(D40="",NOT(OR(ISNUMBER(SEARCH("Epóx",Upload!N39&amp;Upload!O39&amp;Upload!P39&amp;Upload!Q39)),ISNUMBER(SEARCH("Epox",Upload!N39&amp;Upload!O39&amp;Upload!P39&amp;Upload!Q39)),ISNUMBER(SEARCH("Barniz",Upload!N39&amp;Upload!O39&amp;Upload!P39&amp;Upload!Q39))))),"",D40*0.000035)</f>
        <v/>
      </c>
      <c r="Q40" s="16" t="str">
        <f>IF(OR(D40="",NOT(OR(ISNUMBER(SEARCH("Epóx",Upload!N39&amp;Upload!O39&amp;Upload!P39&amp;Upload!Q39)),ISNUMBER(SEARCH("Epox",Upload!N39&amp;Upload!O39&amp;Upload!P39&amp;Upload!Q39)),ISNUMBER(SEARCH("Barniz",Upload!N39&amp;Upload!O39&amp;Upload!P39&amp;Upload!Q39))))),"",D40*0.000035)</f>
        <v/>
      </c>
      <c r="R40" s="16" t="str">
        <f t="shared" si="6"/>
        <v/>
      </c>
    </row>
    <row r="41" spans="1:18" x14ac:dyDescent="0.2">
      <c r="A41" s="10">
        <f t="shared" si="0"/>
        <v>23</v>
      </c>
      <c r="B41" s="10">
        <f>Upload!E40</f>
        <v>0</v>
      </c>
      <c r="C41" s="10">
        <f>Upload!AJ40</f>
        <v>0</v>
      </c>
      <c r="D41" s="10">
        <f>Upload!AK40</f>
        <v>0</v>
      </c>
      <c r="E41" s="10" t="str">
        <f>Upload!AF40</f>
        <v/>
      </c>
      <c r="F41" s="10" t="str">
        <f>Upload!AH40</f>
        <v/>
      </c>
      <c r="G41" s="10" t="str">
        <f>Upload!AE40</f>
        <v>(seleccione)</v>
      </c>
      <c r="H41" s="10" t="str">
        <f>Upload!AG40</f>
        <v>(seleccione)</v>
      </c>
      <c r="J41" s="16" t="str">
        <f t="shared" si="1"/>
        <v/>
      </c>
      <c r="K41" s="16" t="str">
        <f t="shared" si="2"/>
        <v/>
      </c>
      <c r="L41" s="16" t="str">
        <f t="shared" si="3"/>
        <v/>
      </c>
      <c r="M41" s="16" t="str">
        <f t="shared" si="4"/>
        <v/>
      </c>
      <c r="N41" s="16" t="str">
        <f t="shared" si="5"/>
        <v/>
      </c>
      <c r="O41" s="16" t="str">
        <f>IF(OR(N41="",NOT(OR(ISNUMBER(SEARCH("Antitarnish",Upload!N40&amp;Upload!O40&amp;Upload!P40&amp;Upload!Q40)),ISNUMBER(SEARCH("Anti Tarnish",Upload!N40&amp;Upload!O40&amp;Upload!P40&amp;Upload!Q40))))),"",0.0012*N41)</f>
        <v/>
      </c>
      <c r="P41" s="16" t="str">
        <f>IF(OR(D41="",NOT(OR(ISNUMBER(SEARCH("Epóx",Upload!N40&amp;Upload!O40&amp;Upload!P40&amp;Upload!Q40)),ISNUMBER(SEARCH("Epox",Upload!N40&amp;Upload!O40&amp;Upload!P40&amp;Upload!Q40)),ISNUMBER(SEARCH("Barniz",Upload!N40&amp;Upload!O40&amp;Upload!P40&amp;Upload!Q40))))),"",D41*0.000035)</f>
        <v/>
      </c>
      <c r="Q41" s="16" t="str">
        <f>IF(OR(D41="",NOT(OR(ISNUMBER(SEARCH("Epóx",Upload!N40&amp;Upload!O40&amp;Upload!P40&amp;Upload!Q40)),ISNUMBER(SEARCH("Epox",Upload!N40&amp;Upload!O40&amp;Upload!P40&amp;Upload!Q40)),ISNUMBER(SEARCH("Barniz",Upload!N40&amp;Upload!O40&amp;Upload!P40&amp;Upload!Q40))))),"",D41*0.000035)</f>
        <v/>
      </c>
      <c r="R41" s="16" t="str">
        <f t="shared" si="6"/>
        <v/>
      </c>
    </row>
    <row r="42" spans="1:18" x14ac:dyDescent="0.2">
      <c r="A42" s="10">
        <f t="shared" si="0"/>
        <v>24</v>
      </c>
      <c r="B42" s="10">
        <f>Upload!E41</f>
        <v>0</v>
      </c>
      <c r="C42" s="10">
        <f>Upload!AJ41</f>
        <v>0</v>
      </c>
      <c r="D42" s="10">
        <f>Upload!AK41</f>
        <v>0</v>
      </c>
      <c r="E42" s="10" t="str">
        <f>Upload!AF41</f>
        <v/>
      </c>
      <c r="F42" s="10" t="str">
        <f>Upload!AH41</f>
        <v/>
      </c>
      <c r="G42" s="10" t="str">
        <f>Upload!AE41</f>
        <v>(seleccione)</v>
      </c>
      <c r="H42" s="10" t="str">
        <f>Upload!AG41</f>
        <v>(seleccione)</v>
      </c>
      <c r="J42" s="16" t="str">
        <f t="shared" si="1"/>
        <v/>
      </c>
      <c r="K42" s="16" t="str">
        <f t="shared" si="2"/>
        <v/>
      </c>
      <c r="L42" s="16" t="str">
        <f t="shared" si="3"/>
        <v/>
      </c>
      <c r="M42" s="16" t="str">
        <f t="shared" si="4"/>
        <v/>
      </c>
      <c r="N42" s="16" t="str">
        <f t="shared" si="5"/>
        <v/>
      </c>
      <c r="O42" s="16" t="str">
        <f>IF(OR(N42="",NOT(OR(ISNUMBER(SEARCH("Antitarnish",Upload!N41&amp;Upload!O41&amp;Upload!P41&amp;Upload!Q41)),ISNUMBER(SEARCH("Anti Tarnish",Upload!N41&amp;Upload!O41&amp;Upload!P41&amp;Upload!Q41))))),"",0.0012*N42)</f>
        <v/>
      </c>
      <c r="P42" s="16" t="str">
        <f>IF(OR(D42="",NOT(OR(ISNUMBER(SEARCH("Epóx",Upload!N41&amp;Upload!O41&amp;Upload!P41&amp;Upload!Q41)),ISNUMBER(SEARCH("Epox",Upload!N41&amp;Upload!O41&amp;Upload!P41&amp;Upload!Q41)),ISNUMBER(SEARCH("Barniz",Upload!N41&amp;Upload!O41&amp;Upload!P41&amp;Upload!Q41))))),"",D42*0.000035)</f>
        <v/>
      </c>
      <c r="Q42" s="16" t="str">
        <f>IF(OR(D42="",NOT(OR(ISNUMBER(SEARCH("Epóx",Upload!N41&amp;Upload!O41&amp;Upload!P41&amp;Upload!Q41)),ISNUMBER(SEARCH("Epox",Upload!N41&amp;Upload!O41&amp;Upload!P41&amp;Upload!Q41)),ISNUMBER(SEARCH("Barniz",Upload!N41&amp;Upload!O41&amp;Upload!P41&amp;Upload!Q41))))),"",D42*0.000035)</f>
        <v/>
      </c>
      <c r="R42" s="16" t="str">
        <f t="shared" si="6"/>
        <v/>
      </c>
    </row>
    <row r="43" spans="1:18" x14ac:dyDescent="0.2">
      <c r="A43" s="10">
        <f t="shared" si="0"/>
        <v>25</v>
      </c>
      <c r="B43" s="10">
        <f>Upload!E42</f>
        <v>0</v>
      </c>
      <c r="C43" s="10">
        <f>Upload!AJ42</f>
        <v>0</v>
      </c>
      <c r="D43" s="10">
        <f>Upload!AK42</f>
        <v>0</v>
      </c>
      <c r="E43" s="10" t="str">
        <f>Upload!AF42</f>
        <v/>
      </c>
      <c r="F43" s="10" t="str">
        <f>Upload!AH42</f>
        <v/>
      </c>
      <c r="G43" s="10" t="str">
        <f>Upload!AE42</f>
        <v>(seleccione)</v>
      </c>
      <c r="H43" s="10" t="str">
        <f>Upload!AG42</f>
        <v>(seleccione)</v>
      </c>
      <c r="J43" s="16" t="str">
        <f t="shared" si="1"/>
        <v/>
      </c>
      <c r="K43" s="16" t="str">
        <f t="shared" si="2"/>
        <v/>
      </c>
      <c r="L43" s="16" t="str">
        <f t="shared" si="3"/>
        <v/>
      </c>
      <c r="M43" s="16" t="str">
        <f t="shared" si="4"/>
        <v/>
      </c>
      <c r="N43" s="16" t="str">
        <f t="shared" si="5"/>
        <v/>
      </c>
      <c r="O43" s="16" t="str">
        <f>IF(OR(N43="",NOT(OR(ISNUMBER(SEARCH("Antitarnish",Upload!N42&amp;Upload!O42&amp;Upload!P42&amp;Upload!Q42)),ISNUMBER(SEARCH("Anti Tarnish",Upload!N42&amp;Upload!O42&amp;Upload!P42&amp;Upload!Q42))))),"",0.0012*N43)</f>
        <v/>
      </c>
      <c r="P43" s="16" t="str">
        <f>IF(OR(D43="",NOT(OR(ISNUMBER(SEARCH("Epóx",Upload!N42&amp;Upload!O42&amp;Upload!P42&amp;Upload!Q42)),ISNUMBER(SEARCH("Epox",Upload!N42&amp;Upload!O42&amp;Upload!P42&amp;Upload!Q42)),ISNUMBER(SEARCH("Barniz",Upload!N42&amp;Upload!O42&amp;Upload!P42&amp;Upload!Q42))))),"",D43*0.000035)</f>
        <v/>
      </c>
      <c r="Q43" s="16" t="str">
        <f>IF(OR(D43="",NOT(OR(ISNUMBER(SEARCH("Epóx",Upload!N42&amp;Upload!O42&amp;Upload!P42&amp;Upload!Q42)),ISNUMBER(SEARCH("Epox",Upload!N42&amp;Upload!O42&amp;Upload!P42&amp;Upload!Q42)),ISNUMBER(SEARCH("Barniz",Upload!N42&amp;Upload!O42&amp;Upload!P42&amp;Upload!Q42))))),"",D43*0.000035)</f>
        <v/>
      </c>
      <c r="R43" s="16" t="str">
        <f t="shared" si="6"/>
        <v/>
      </c>
    </row>
    <row r="44" spans="1:18" x14ac:dyDescent="0.2">
      <c r="A44" s="10">
        <f t="shared" si="0"/>
        <v>26</v>
      </c>
      <c r="B44" s="10">
        <f>Upload!E43</f>
        <v>0</v>
      </c>
      <c r="C44" s="10">
        <f>Upload!AJ43</f>
        <v>0</v>
      </c>
      <c r="D44" s="10">
        <f>Upload!AK43</f>
        <v>0</v>
      </c>
      <c r="E44" s="10" t="str">
        <f>Upload!AF43</f>
        <v/>
      </c>
      <c r="F44" s="10" t="str">
        <f>Upload!AH43</f>
        <v/>
      </c>
      <c r="G44" s="10" t="str">
        <f>Upload!AE43</f>
        <v>(seleccione)</v>
      </c>
      <c r="H44" s="10" t="str">
        <f>Upload!AG43</f>
        <v>(seleccione)</v>
      </c>
      <c r="J44" s="16" t="str">
        <f t="shared" si="1"/>
        <v/>
      </c>
      <c r="K44" s="16" t="str">
        <f t="shared" si="2"/>
        <v/>
      </c>
      <c r="L44" s="16" t="str">
        <f t="shared" si="3"/>
        <v/>
      </c>
      <c r="M44" s="16" t="str">
        <f t="shared" si="4"/>
        <v/>
      </c>
      <c r="N44" s="16" t="str">
        <f t="shared" si="5"/>
        <v/>
      </c>
      <c r="O44" s="16" t="str">
        <f>IF(OR(N44="",NOT(OR(ISNUMBER(SEARCH("Antitarnish",Upload!N43&amp;Upload!O43&amp;Upload!P43&amp;Upload!Q43)),ISNUMBER(SEARCH("Anti Tarnish",Upload!N43&amp;Upload!O43&amp;Upload!P43&amp;Upload!Q43))))),"",0.0012*N44)</f>
        <v/>
      </c>
      <c r="P44" s="16" t="str">
        <f>IF(OR(D44="",NOT(OR(ISNUMBER(SEARCH("Epóx",Upload!N43&amp;Upload!O43&amp;Upload!P43&amp;Upload!Q43)),ISNUMBER(SEARCH("Epox",Upload!N43&amp;Upload!O43&amp;Upload!P43&amp;Upload!Q43)),ISNUMBER(SEARCH("Barniz",Upload!N43&amp;Upload!O43&amp;Upload!P43&amp;Upload!Q43))))),"",D44*0.000035)</f>
        <v/>
      </c>
      <c r="Q44" s="16" t="str">
        <f>IF(OR(D44="",NOT(OR(ISNUMBER(SEARCH("Epóx",Upload!N43&amp;Upload!O43&amp;Upload!P43&amp;Upload!Q43)),ISNUMBER(SEARCH("Epox",Upload!N43&amp;Upload!O43&amp;Upload!P43&amp;Upload!Q43)),ISNUMBER(SEARCH("Barniz",Upload!N43&amp;Upload!O43&amp;Upload!P43&amp;Upload!Q43))))),"",D44*0.000035)</f>
        <v/>
      </c>
      <c r="R44" s="16" t="str">
        <f t="shared" si="6"/>
        <v/>
      </c>
    </row>
    <row r="45" spans="1:18" x14ac:dyDescent="0.2">
      <c r="A45" s="10">
        <f t="shared" si="0"/>
        <v>27</v>
      </c>
      <c r="B45" s="10">
        <f>Upload!E44</f>
        <v>0</v>
      </c>
      <c r="C45" s="10">
        <f>Upload!AJ44</f>
        <v>0</v>
      </c>
      <c r="D45" s="10">
        <f>Upload!AK44</f>
        <v>0</v>
      </c>
      <c r="E45" s="10" t="str">
        <f>Upload!AF44</f>
        <v/>
      </c>
      <c r="F45" s="10" t="str">
        <f>Upload!AH44</f>
        <v/>
      </c>
      <c r="G45" s="10" t="str">
        <f>Upload!AE44</f>
        <v>(seleccione)</v>
      </c>
      <c r="H45" s="10" t="str">
        <f>Upload!AG44</f>
        <v>(seleccione)</v>
      </c>
      <c r="J45" s="16" t="str">
        <f t="shared" si="1"/>
        <v/>
      </c>
      <c r="K45" s="16" t="str">
        <f t="shared" si="2"/>
        <v/>
      </c>
      <c r="L45" s="16" t="str">
        <f t="shared" si="3"/>
        <v/>
      </c>
      <c r="M45" s="16" t="str">
        <f t="shared" si="4"/>
        <v/>
      </c>
      <c r="N45" s="16" t="str">
        <f t="shared" si="5"/>
        <v/>
      </c>
      <c r="O45" s="16" t="str">
        <f>IF(OR(N45="",NOT(OR(ISNUMBER(SEARCH("Antitarnish",Upload!N44&amp;Upload!O44&amp;Upload!P44&amp;Upload!Q44)),ISNUMBER(SEARCH("Anti Tarnish",Upload!N44&amp;Upload!O44&amp;Upload!P44&amp;Upload!Q44))))),"",0.0012*N45)</f>
        <v/>
      </c>
      <c r="P45" s="16" t="str">
        <f>IF(OR(D45="",NOT(OR(ISNUMBER(SEARCH("Epóx",Upload!N44&amp;Upload!O44&amp;Upload!P44&amp;Upload!Q44)),ISNUMBER(SEARCH("Epox",Upload!N44&amp;Upload!O44&amp;Upload!P44&amp;Upload!Q44)),ISNUMBER(SEARCH("Barniz",Upload!N44&amp;Upload!O44&amp;Upload!P44&amp;Upload!Q44))))),"",D45*0.000035)</f>
        <v/>
      </c>
      <c r="Q45" s="16" t="str">
        <f>IF(OR(D45="",NOT(OR(ISNUMBER(SEARCH("Epóx",Upload!N44&amp;Upload!O44&amp;Upload!P44&amp;Upload!Q44)),ISNUMBER(SEARCH("Epox",Upload!N44&amp;Upload!O44&amp;Upload!P44&amp;Upload!Q44)),ISNUMBER(SEARCH("Barniz",Upload!N44&amp;Upload!O44&amp;Upload!P44&amp;Upload!Q44))))),"",D45*0.000035)</f>
        <v/>
      </c>
      <c r="R45" s="16" t="str">
        <f t="shared" si="6"/>
        <v/>
      </c>
    </row>
    <row r="46" spans="1:18" x14ac:dyDescent="0.2">
      <c r="A46" s="10">
        <f t="shared" si="0"/>
        <v>28</v>
      </c>
      <c r="B46" s="10">
        <f>Upload!E45</f>
        <v>0</v>
      </c>
      <c r="C46" s="10">
        <f>Upload!AJ45</f>
        <v>0</v>
      </c>
      <c r="D46" s="10">
        <f>Upload!AK45</f>
        <v>0</v>
      </c>
      <c r="E46" s="10" t="str">
        <f>Upload!AF45</f>
        <v/>
      </c>
      <c r="F46" s="10" t="str">
        <f>Upload!AH45</f>
        <v/>
      </c>
      <c r="G46" s="10" t="str">
        <f>Upload!AE45</f>
        <v>(seleccione)</v>
      </c>
      <c r="H46" s="10" t="str">
        <f>Upload!AG45</f>
        <v>(seleccione)</v>
      </c>
      <c r="J46" s="16" t="str">
        <f t="shared" si="1"/>
        <v/>
      </c>
      <c r="K46" s="16" t="str">
        <f t="shared" si="2"/>
        <v/>
      </c>
      <c r="L46" s="16" t="str">
        <f t="shared" si="3"/>
        <v/>
      </c>
      <c r="M46" s="16" t="str">
        <f t="shared" si="4"/>
        <v/>
      </c>
      <c r="N46" s="16" t="str">
        <f t="shared" si="5"/>
        <v/>
      </c>
      <c r="O46" s="16" t="str">
        <f>IF(OR(N46="",NOT(OR(ISNUMBER(SEARCH("Antitarnish",Upload!N45&amp;Upload!O45&amp;Upload!P45&amp;Upload!Q45)),ISNUMBER(SEARCH("Anti Tarnish",Upload!N45&amp;Upload!O45&amp;Upload!P45&amp;Upload!Q45))))),"",0.0012*N46)</f>
        <v/>
      </c>
      <c r="P46" s="16" t="str">
        <f>IF(OR(D46="",NOT(OR(ISNUMBER(SEARCH("Epóx",Upload!N45&amp;Upload!O45&amp;Upload!P45&amp;Upload!Q45)),ISNUMBER(SEARCH("Epox",Upload!N45&amp;Upload!O45&amp;Upload!P45&amp;Upload!Q45)),ISNUMBER(SEARCH("Barniz",Upload!N45&amp;Upload!O45&amp;Upload!P45&amp;Upload!Q45))))),"",D46*0.000035)</f>
        <v/>
      </c>
      <c r="Q46" s="16" t="str">
        <f>IF(OR(D46="",NOT(OR(ISNUMBER(SEARCH("Epóx",Upload!N45&amp;Upload!O45&amp;Upload!P45&amp;Upload!Q45)),ISNUMBER(SEARCH("Epox",Upload!N45&amp;Upload!O45&amp;Upload!P45&amp;Upload!Q45)),ISNUMBER(SEARCH("Barniz",Upload!N45&amp;Upload!O45&amp;Upload!P45&amp;Upload!Q45))))),"",D46*0.000035)</f>
        <v/>
      </c>
      <c r="R46" s="16" t="str">
        <f t="shared" si="6"/>
        <v/>
      </c>
    </row>
    <row r="47" spans="1:18" x14ac:dyDescent="0.2">
      <c r="A47" s="10">
        <f t="shared" si="0"/>
        <v>29</v>
      </c>
      <c r="B47" s="10">
        <f>Upload!E46</f>
        <v>0</v>
      </c>
      <c r="C47" s="10">
        <f>Upload!AJ46</f>
        <v>0</v>
      </c>
      <c r="D47" s="10">
        <f>Upload!AK46</f>
        <v>0</v>
      </c>
      <c r="E47" s="10" t="str">
        <f>Upload!AF46</f>
        <v/>
      </c>
      <c r="F47" s="10" t="str">
        <f>Upload!AH46</f>
        <v/>
      </c>
      <c r="G47" s="10" t="str">
        <f>Upload!AE46</f>
        <v>(seleccione)</v>
      </c>
      <c r="H47" s="10" t="str">
        <f>Upload!AG46</f>
        <v>(seleccione)</v>
      </c>
      <c r="J47" s="16" t="str">
        <f t="shared" si="1"/>
        <v/>
      </c>
      <c r="K47" s="16" t="str">
        <f t="shared" si="2"/>
        <v/>
      </c>
      <c r="L47" s="16" t="str">
        <f t="shared" si="3"/>
        <v/>
      </c>
      <c r="M47" s="16" t="str">
        <f t="shared" si="4"/>
        <v/>
      </c>
      <c r="N47" s="16" t="str">
        <f t="shared" si="5"/>
        <v/>
      </c>
      <c r="O47" s="16" t="str">
        <f>IF(OR(N47="",NOT(OR(ISNUMBER(SEARCH("Antitarnish",Upload!N46&amp;Upload!O46&amp;Upload!P46&amp;Upload!Q46)),ISNUMBER(SEARCH("Anti Tarnish",Upload!N46&amp;Upload!O46&amp;Upload!P46&amp;Upload!Q46))))),"",0.0012*N47)</f>
        <v/>
      </c>
      <c r="P47" s="16" t="str">
        <f>IF(OR(D47="",NOT(OR(ISNUMBER(SEARCH("Epóx",Upload!N46&amp;Upload!O46&amp;Upload!P46&amp;Upload!Q46)),ISNUMBER(SEARCH("Epox",Upload!N46&amp;Upload!O46&amp;Upload!P46&amp;Upload!Q46)),ISNUMBER(SEARCH("Barniz",Upload!N46&amp;Upload!O46&amp;Upload!P46&amp;Upload!Q46))))),"",D47*0.000035)</f>
        <v/>
      </c>
      <c r="Q47" s="16" t="str">
        <f>IF(OR(D47="",NOT(OR(ISNUMBER(SEARCH("Epóx",Upload!N46&amp;Upload!O46&amp;Upload!P46&amp;Upload!Q46)),ISNUMBER(SEARCH("Epox",Upload!N46&amp;Upload!O46&amp;Upload!P46&amp;Upload!Q46)),ISNUMBER(SEARCH("Barniz",Upload!N46&amp;Upload!O46&amp;Upload!P46&amp;Upload!Q46))))),"",D47*0.000035)</f>
        <v/>
      </c>
      <c r="R47" s="16" t="str">
        <f t="shared" si="6"/>
        <v/>
      </c>
    </row>
    <row r="48" spans="1:18" x14ac:dyDescent="0.2">
      <c r="A48" s="10">
        <f t="shared" si="0"/>
        <v>30</v>
      </c>
      <c r="B48" s="10">
        <f>Upload!E47</f>
        <v>0</v>
      </c>
      <c r="C48" s="10">
        <f>Upload!AJ47</f>
        <v>0</v>
      </c>
      <c r="D48" s="10">
        <f>Upload!AK47</f>
        <v>0</v>
      </c>
      <c r="E48" s="10" t="str">
        <f>Upload!AF47</f>
        <v/>
      </c>
      <c r="F48" s="10" t="str">
        <f>Upload!AH47</f>
        <v/>
      </c>
      <c r="G48" s="10" t="str">
        <f>Upload!AE47</f>
        <v>(seleccione)</v>
      </c>
      <c r="H48" s="10" t="str">
        <f>Upload!AG47</f>
        <v>(seleccione)</v>
      </c>
      <c r="J48" s="16" t="str">
        <f t="shared" si="1"/>
        <v/>
      </c>
      <c r="K48" s="16" t="str">
        <f t="shared" si="2"/>
        <v/>
      </c>
      <c r="L48" s="16" t="str">
        <f t="shared" si="3"/>
        <v/>
      </c>
      <c r="M48" s="16" t="str">
        <f t="shared" si="4"/>
        <v/>
      </c>
      <c r="N48" s="16" t="str">
        <f t="shared" si="5"/>
        <v/>
      </c>
      <c r="O48" s="16" t="str">
        <f>IF(OR(N48="",NOT(OR(ISNUMBER(SEARCH("Antitarnish",Upload!N47&amp;Upload!O47&amp;Upload!P47&amp;Upload!Q47)),ISNUMBER(SEARCH("Anti Tarnish",Upload!N47&amp;Upload!O47&amp;Upload!P47&amp;Upload!Q47))))),"",0.0012*N48)</f>
        <v/>
      </c>
      <c r="P48" s="16" t="str">
        <f>IF(OR(D48="",NOT(OR(ISNUMBER(SEARCH("Epóx",Upload!N47&amp;Upload!O47&amp;Upload!P47&amp;Upload!Q47)),ISNUMBER(SEARCH("Epox",Upload!N47&amp;Upload!O47&amp;Upload!P47&amp;Upload!Q47)),ISNUMBER(SEARCH("Barniz",Upload!N47&amp;Upload!O47&amp;Upload!P47&amp;Upload!Q47))))),"",D48*0.000035)</f>
        <v/>
      </c>
      <c r="Q48" s="16" t="str">
        <f>IF(OR(D48="",NOT(OR(ISNUMBER(SEARCH("Epóx",Upload!N47&amp;Upload!O47&amp;Upload!P47&amp;Upload!Q47)),ISNUMBER(SEARCH("Epox",Upload!N47&amp;Upload!O47&amp;Upload!P47&amp;Upload!Q47)),ISNUMBER(SEARCH("Barniz",Upload!N47&amp;Upload!O47&amp;Upload!P47&amp;Upload!Q47))))),"",D48*0.000035)</f>
        <v/>
      </c>
      <c r="R48" s="16" t="str">
        <f t="shared" si="6"/>
        <v/>
      </c>
    </row>
    <row r="49" spans="1:18" x14ac:dyDescent="0.2">
      <c r="A49" s="10">
        <f t="shared" si="0"/>
        <v>31</v>
      </c>
      <c r="B49" s="10">
        <f>Upload!E48</f>
        <v>0</v>
      </c>
      <c r="C49" s="10">
        <f>Upload!AJ48</f>
        <v>0</v>
      </c>
      <c r="D49" s="10">
        <f>Upload!AK48</f>
        <v>0</v>
      </c>
      <c r="E49" s="10" t="str">
        <f>Upload!AF48</f>
        <v/>
      </c>
      <c r="F49" s="10" t="str">
        <f>Upload!AH48</f>
        <v/>
      </c>
      <c r="G49" s="10" t="str">
        <f>Upload!AE48</f>
        <v>(seleccione)</v>
      </c>
      <c r="H49" s="10" t="str">
        <f>Upload!AG48</f>
        <v>(seleccione)</v>
      </c>
      <c r="J49" s="16" t="str">
        <f t="shared" si="1"/>
        <v/>
      </c>
      <c r="K49" s="16" t="str">
        <f t="shared" si="2"/>
        <v/>
      </c>
      <c r="L49" s="16" t="str">
        <f t="shared" si="3"/>
        <v/>
      </c>
      <c r="M49" s="16" t="str">
        <f t="shared" si="4"/>
        <v/>
      </c>
      <c r="N49" s="16" t="str">
        <f t="shared" si="5"/>
        <v/>
      </c>
      <c r="O49" s="16" t="str">
        <f>IF(OR(N49="",NOT(OR(ISNUMBER(SEARCH("Antitarnish",Upload!N48&amp;Upload!O48&amp;Upload!P48&amp;Upload!Q48)),ISNUMBER(SEARCH("Anti Tarnish",Upload!N48&amp;Upload!O48&amp;Upload!P48&amp;Upload!Q48))))),"",0.0012*N49)</f>
        <v/>
      </c>
      <c r="P49" s="16" t="str">
        <f>IF(OR(D49="",NOT(OR(ISNUMBER(SEARCH("Epóx",Upload!N48&amp;Upload!O48&amp;Upload!P48&amp;Upload!Q48)),ISNUMBER(SEARCH("Epox",Upload!N48&amp;Upload!O48&amp;Upload!P48&amp;Upload!Q48)),ISNUMBER(SEARCH("Barniz",Upload!N48&amp;Upload!O48&amp;Upload!P48&amp;Upload!Q48))))),"",D49*0.000035)</f>
        <v/>
      </c>
      <c r="Q49" s="16" t="str">
        <f>IF(OR(D49="",NOT(OR(ISNUMBER(SEARCH("Epóx",Upload!N48&amp;Upload!O48&amp;Upload!P48&amp;Upload!Q48)),ISNUMBER(SEARCH("Epox",Upload!N48&amp;Upload!O48&amp;Upload!P48&amp;Upload!Q48)),ISNUMBER(SEARCH("Barniz",Upload!N48&amp;Upload!O48&amp;Upload!P48&amp;Upload!Q48))))),"",D49*0.000035)</f>
        <v/>
      </c>
      <c r="R49" s="16" t="str">
        <f t="shared" si="6"/>
        <v/>
      </c>
    </row>
    <row r="50" spans="1:18" x14ac:dyDescent="0.2">
      <c r="A50" s="10">
        <f t="shared" si="0"/>
        <v>32</v>
      </c>
      <c r="B50" s="10">
        <f>Upload!E49</f>
        <v>0</v>
      </c>
      <c r="C50" s="10">
        <f>Upload!AJ49</f>
        <v>0</v>
      </c>
      <c r="D50" s="10">
        <f>Upload!AK49</f>
        <v>0</v>
      </c>
      <c r="E50" s="10" t="str">
        <f>Upload!AF49</f>
        <v/>
      </c>
      <c r="F50" s="10" t="str">
        <f>Upload!AH49</f>
        <v/>
      </c>
      <c r="G50" s="10" t="str">
        <f>Upload!AE49</f>
        <v>(seleccione)</v>
      </c>
      <c r="H50" s="10" t="str">
        <f>Upload!AG49</f>
        <v>(seleccione)</v>
      </c>
      <c r="J50" s="16" t="str">
        <f t="shared" si="1"/>
        <v/>
      </c>
      <c r="K50" s="16" t="str">
        <f t="shared" si="2"/>
        <v/>
      </c>
      <c r="L50" s="16" t="str">
        <f t="shared" si="3"/>
        <v/>
      </c>
      <c r="M50" s="16" t="str">
        <f t="shared" si="4"/>
        <v/>
      </c>
      <c r="N50" s="16" t="str">
        <f t="shared" si="5"/>
        <v/>
      </c>
      <c r="O50" s="16" t="str">
        <f>IF(OR(N50="",NOT(OR(ISNUMBER(SEARCH("Antitarnish",Upload!N49&amp;Upload!O49&amp;Upload!P49&amp;Upload!Q49)),ISNUMBER(SEARCH("Anti Tarnish",Upload!N49&amp;Upload!O49&amp;Upload!P49&amp;Upload!Q49))))),"",0.0012*N50)</f>
        <v/>
      </c>
      <c r="P50" s="16" t="str">
        <f>IF(OR(D50="",NOT(OR(ISNUMBER(SEARCH("Epóx",Upload!N49&amp;Upload!O49&amp;Upload!P49&amp;Upload!Q49)),ISNUMBER(SEARCH("Epox",Upload!N49&amp;Upload!O49&amp;Upload!P49&amp;Upload!Q49)),ISNUMBER(SEARCH("Barniz",Upload!N49&amp;Upload!O49&amp;Upload!P49&amp;Upload!Q49))))),"",D50*0.000035)</f>
        <v/>
      </c>
      <c r="Q50" s="16" t="str">
        <f>IF(OR(D50="",NOT(OR(ISNUMBER(SEARCH("Epóx",Upload!N49&amp;Upload!O49&amp;Upload!P49&amp;Upload!Q49)),ISNUMBER(SEARCH("Epox",Upload!N49&amp;Upload!O49&amp;Upload!P49&amp;Upload!Q49)),ISNUMBER(SEARCH("Barniz",Upload!N49&amp;Upload!O49&amp;Upload!P49&amp;Upload!Q49))))),"",D50*0.000035)</f>
        <v/>
      </c>
      <c r="R50" s="16" t="str">
        <f t="shared" si="6"/>
        <v/>
      </c>
    </row>
    <row r="51" spans="1:18" x14ac:dyDescent="0.2">
      <c r="A51" s="10">
        <f t="shared" ref="A51:A114" si="7">_xludf.ROW()-18</f>
        <v>33</v>
      </c>
      <c r="B51" s="10">
        <f>Upload!E50</f>
        <v>0</v>
      </c>
      <c r="C51" s="10">
        <f>Upload!AJ50</f>
        <v>0</v>
      </c>
      <c r="D51" s="10">
        <f>Upload!AK50</f>
        <v>0</v>
      </c>
      <c r="E51" s="10" t="str">
        <f>Upload!AF50</f>
        <v/>
      </c>
      <c r="F51" s="10" t="str">
        <f>Upload!AH50</f>
        <v/>
      </c>
      <c r="G51" s="10" t="str">
        <f>Upload!AE50</f>
        <v>(seleccione)</v>
      </c>
      <c r="H51" s="10" t="str">
        <f>Upload!AG50</f>
        <v>(seleccione)</v>
      </c>
      <c r="J51" s="16" t="str">
        <f t="shared" si="1"/>
        <v/>
      </c>
      <c r="K51" s="16" t="str">
        <f t="shared" si="2"/>
        <v/>
      </c>
      <c r="L51" s="16" t="str">
        <f t="shared" si="3"/>
        <v/>
      </c>
      <c r="M51" s="16" t="str">
        <f t="shared" si="4"/>
        <v/>
      </c>
      <c r="N51" s="16" t="str">
        <f t="shared" si="5"/>
        <v/>
      </c>
      <c r="O51" s="16" t="str">
        <f>IF(OR(N51="",NOT(OR(ISNUMBER(SEARCH("Antitarnish",Upload!N50&amp;Upload!O50&amp;Upload!P50&amp;Upload!Q50)),ISNUMBER(SEARCH("Anti Tarnish",Upload!N50&amp;Upload!O50&amp;Upload!P50&amp;Upload!Q50))))),"",0.0012*N51)</f>
        <v/>
      </c>
      <c r="P51" s="16" t="str">
        <f>IF(OR(D51="",NOT(OR(ISNUMBER(SEARCH("Epóx",Upload!N50&amp;Upload!O50&amp;Upload!P50&amp;Upload!Q50)),ISNUMBER(SEARCH("Epox",Upload!N50&amp;Upload!O50&amp;Upload!P50&amp;Upload!Q50)),ISNUMBER(SEARCH("Barniz",Upload!N50&amp;Upload!O50&amp;Upload!P50&amp;Upload!Q50))))),"",D51*0.000035)</f>
        <v/>
      </c>
      <c r="Q51" s="16" t="str">
        <f>IF(OR(D51="",NOT(OR(ISNUMBER(SEARCH("Epóx",Upload!N50&amp;Upload!O50&amp;Upload!P50&amp;Upload!Q50)),ISNUMBER(SEARCH("Epox",Upload!N50&amp;Upload!O50&amp;Upload!P50&amp;Upload!Q50)),ISNUMBER(SEARCH("Barniz",Upload!N50&amp;Upload!O50&amp;Upload!P50&amp;Upload!Q50))))),"",D51*0.000035)</f>
        <v/>
      </c>
      <c r="R51" s="16" t="str">
        <f t="shared" si="6"/>
        <v/>
      </c>
    </row>
    <row r="52" spans="1:18" x14ac:dyDescent="0.2">
      <c r="A52" s="10">
        <f t="shared" si="7"/>
        <v>34</v>
      </c>
      <c r="B52" s="10">
        <f>Upload!E51</f>
        <v>0</v>
      </c>
      <c r="C52" s="10">
        <f>Upload!AJ51</f>
        <v>0</v>
      </c>
      <c r="D52" s="10">
        <f>Upload!AK51</f>
        <v>0</v>
      </c>
      <c r="E52" s="10" t="str">
        <f>Upload!AF51</f>
        <v/>
      </c>
      <c r="F52" s="10" t="str">
        <f>Upload!AH51</f>
        <v/>
      </c>
      <c r="G52" s="10" t="str">
        <f>Upload!AE51</f>
        <v>(seleccione)</v>
      </c>
      <c r="H52" s="10" t="str">
        <f>Upload!AG51</f>
        <v>(seleccione)</v>
      </c>
      <c r="J52" s="16" t="str">
        <f t="shared" si="1"/>
        <v/>
      </c>
      <c r="K52" s="16" t="str">
        <f t="shared" si="2"/>
        <v/>
      </c>
      <c r="L52" s="16" t="str">
        <f t="shared" si="3"/>
        <v/>
      </c>
      <c r="M52" s="16" t="str">
        <f t="shared" si="4"/>
        <v/>
      </c>
      <c r="N52" s="16" t="str">
        <f t="shared" si="5"/>
        <v/>
      </c>
      <c r="O52" s="16" t="str">
        <f>IF(OR(N52="",NOT(OR(ISNUMBER(SEARCH("Antitarnish",Upload!N51&amp;Upload!O51&amp;Upload!P51&amp;Upload!Q51)),ISNUMBER(SEARCH("Anti Tarnish",Upload!N51&amp;Upload!O51&amp;Upload!P51&amp;Upload!Q51))))),"",0.0012*N52)</f>
        <v/>
      </c>
      <c r="P52" s="16" t="str">
        <f>IF(OR(D52="",NOT(OR(ISNUMBER(SEARCH("Epóx",Upload!N51&amp;Upload!O51&amp;Upload!P51&amp;Upload!Q51)),ISNUMBER(SEARCH("Epox",Upload!N51&amp;Upload!O51&amp;Upload!P51&amp;Upload!Q51)),ISNUMBER(SEARCH("Barniz",Upload!N51&amp;Upload!O51&amp;Upload!P51&amp;Upload!Q51))))),"",D52*0.000035)</f>
        <v/>
      </c>
      <c r="Q52" s="16" t="str">
        <f>IF(OR(D52="",NOT(OR(ISNUMBER(SEARCH("Epóx",Upload!N51&amp;Upload!O51&amp;Upload!P51&amp;Upload!Q51)),ISNUMBER(SEARCH("Epox",Upload!N51&amp;Upload!O51&amp;Upload!P51&amp;Upload!Q51)),ISNUMBER(SEARCH("Barniz",Upload!N51&amp;Upload!O51&amp;Upload!P51&amp;Upload!Q51))))),"",D52*0.000035)</f>
        <v/>
      </c>
      <c r="R52" s="16" t="str">
        <f t="shared" si="6"/>
        <v/>
      </c>
    </row>
    <row r="53" spans="1:18" x14ac:dyDescent="0.2">
      <c r="A53" s="10">
        <f t="shared" si="7"/>
        <v>35</v>
      </c>
      <c r="B53" s="10">
        <f>Upload!E52</f>
        <v>0</v>
      </c>
      <c r="C53" s="10">
        <f>Upload!AJ52</f>
        <v>0</v>
      </c>
      <c r="D53" s="10">
        <f>Upload!AK52</f>
        <v>0</v>
      </c>
      <c r="E53" s="10" t="str">
        <f>Upload!AF52</f>
        <v/>
      </c>
      <c r="F53" s="10" t="str">
        <f>Upload!AH52</f>
        <v/>
      </c>
      <c r="G53" s="10" t="str">
        <f>Upload!AE52</f>
        <v>(seleccione)</v>
      </c>
      <c r="H53" s="10" t="str">
        <f>Upload!AG52</f>
        <v>(seleccione)</v>
      </c>
      <c r="J53" s="16" t="str">
        <f t="shared" si="1"/>
        <v/>
      </c>
      <c r="K53" s="16" t="str">
        <f t="shared" si="2"/>
        <v/>
      </c>
      <c r="L53" s="16" t="str">
        <f t="shared" si="3"/>
        <v/>
      </c>
      <c r="M53" s="16" t="str">
        <f t="shared" si="4"/>
        <v/>
      </c>
      <c r="N53" s="16" t="str">
        <f t="shared" si="5"/>
        <v/>
      </c>
      <c r="O53" s="16" t="str">
        <f>IF(OR(N53="",NOT(OR(ISNUMBER(SEARCH("Antitarnish",Upload!N52&amp;Upload!O52&amp;Upload!P52&amp;Upload!Q52)),ISNUMBER(SEARCH("Anti Tarnish",Upload!N52&amp;Upload!O52&amp;Upload!P52&amp;Upload!Q52))))),"",0.0012*N53)</f>
        <v/>
      </c>
      <c r="P53" s="16" t="str">
        <f>IF(OR(D53="",NOT(OR(ISNUMBER(SEARCH("Epóx",Upload!N52&amp;Upload!O52&amp;Upload!P52&amp;Upload!Q52)),ISNUMBER(SEARCH("Epox",Upload!N52&amp;Upload!O52&amp;Upload!P52&amp;Upload!Q52)),ISNUMBER(SEARCH("Barniz",Upload!N52&amp;Upload!O52&amp;Upload!P52&amp;Upload!Q52))))),"",D53*0.000035)</f>
        <v/>
      </c>
      <c r="Q53" s="16" t="str">
        <f>IF(OR(D53="",NOT(OR(ISNUMBER(SEARCH("Epóx",Upload!N52&amp;Upload!O52&amp;Upload!P52&amp;Upload!Q52)),ISNUMBER(SEARCH("Epox",Upload!N52&amp;Upload!O52&amp;Upload!P52&amp;Upload!Q52)),ISNUMBER(SEARCH("Barniz",Upload!N52&amp;Upload!O52&amp;Upload!P52&amp;Upload!Q52))))),"",D53*0.000035)</f>
        <v/>
      </c>
      <c r="R53" s="16" t="str">
        <f t="shared" si="6"/>
        <v/>
      </c>
    </row>
    <row r="54" spans="1:18" x14ac:dyDescent="0.2">
      <c r="A54" s="10">
        <f t="shared" si="7"/>
        <v>36</v>
      </c>
      <c r="B54" s="10">
        <f>Upload!E53</f>
        <v>0</v>
      </c>
      <c r="C54" s="10">
        <f>Upload!AJ53</f>
        <v>0</v>
      </c>
      <c r="D54" s="10">
        <f>Upload!AK53</f>
        <v>0</v>
      </c>
      <c r="E54" s="10" t="str">
        <f>Upload!AF53</f>
        <v/>
      </c>
      <c r="F54" s="10" t="str">
        <f>Upload!AH53</f>
        <v/>
      </c>
      <c r="G54" s="10" t="str">
        <f>Upload!AE53</f>
        <v>(seleccione)</v>
      </c>
      <c r="H54" s="10" t="str">
        <f>Upload!AG53</f>
        <v>(seleccione)</v>
      </c>
      <c r="J54" s="16" t="str">
        <f t="shared" si="1"/>
        <v/>
      </c>
      <c r="K54" s="16" t="str">
        <f t="shared" si="2"/>
        <v/>
      </c>
      <c r="L54" s="16" t="str">
        <f t="shared" si="3"/>
        <v/>
      </c>
      <c r="M54" s="16" t="str">
        <f t="shared" si="4"/>
        <v/>
      </c>
      <c r="N54" s="16" t="str">
        <f t="shared" si="5"/>
        <v/>
      </c>
      <c r="O54" s="16" t="str">
        <f>IF(OR(N54="",NOT(OR(ISNUMBER(SEARCH("Antitarnish",Upload!N53&amp;Upload!O53&amp;Upload!P53&amp;Upload!Q53)),ISNUMBER(SEARCH("Anti Tarnish",Upload!N53&amp;Upload!O53&amp;Upload!P53&amp;Upload!Q53))))),"",0.0012*N54)</f>
        <v/>
      </c>
      <c r="P54" s="16" t="str">
        <f>IF(OR(D54="",NOT(OR(ISNUMBER(SEARCH("Epóx",Upload!N53&amp;Upload!O53&amp;Upload!P53&amp;Upload!Q53)),ISNUMBER(SEARCH("Epox",Upload!N53&amp;Upload!O53&amp;Upload!P53&amp;Upload!Q53)),ISNUMBER(SEARCH("Barniz",Upload!N53&amp;Upload!O53&amp;Upload!P53&amp;Upload!Q53))))),"",D54*0.000035)</f>
        <v/>
      </c>
      <c r="Q54" s="16" t="str">
        <f>IF(OR(D54="",NOT(OR(ISNUMBER(SEARCH("Epóx",Upload!N53&amp;Upload!O53&amp;Upload!P53&amp;Upload!Q53)),ISNUMBER(SEARCH("Epox",Upload!N53&amp;Upload!O53&amp;Upload!P53&amp;Upload!Q53)),ISNUMBER(SEARCH("Barniz",Upload!N53&amp;Upload!O53&amp;Upload!P53&amp;Upload!Q53))))),"",D54*0.000035)</f>
        <v/>
      </c>
      <c r="R54" s="16" t="str">
        <f t="shared" si="6"/>
        <v/>
      </c>
    </row>
    <row r="55" spans="1:18" x14ac:dyDescent="0.2">
      <c r="A55" s="10">
        <f t="shared" si="7"/>
        <v>37</v>
      </c>
      <c r="B55" s="10">
        <f>Upload!E54</f>
        <v>0</v>
      </c>
      <c r="C55" s="10">
        <f>Upload!AJ54</f>
        <v>0</v>
      </c>
      <c r="D55" s="10">
        <f>Upload!AK54</f>
        <v>0</v>
      </c>
      <c r="E55" s="10" t="str">
        <f>Upload!AF54</f>
        <v/>
      </c>
      <c r="F55" s="10" t="str">
        <f>Upload!AH54</f>
        <v/>
      </c>
      <c r="G55" s="10" t="str">
        <f>Upload!AE54</f>
        <v>(seleccione)</v>
      </c>
      <c r="H55" s="10" t="str">
        <f>Upload!AG54</f>
        <v>(seleccione)</v>
      </c>
      <c r="J55" s="16" t="str">
        <f t="shared" si="1"/>
        <v/>
      </c>
      <c r="K55" s="16" t="str">
        <f t="shared" si="2"/>
        <v/>
      </c>
      <c r="L55" s="16" t="str">
        <f t="shared" si="3"/>
        <v/>
      </c>
      <c r="M55" s="16" t="str">
        <f t="shared" si="4"/>
        <v/>
      </c>
      <c r="N55" s="16" t="str">
        <f t="shared" si="5"/>
        <v/>
      </c>
      <c r="O55" s="16" t="str">
        <f>IF(OR(N55="",NOT(OR(ISNUMBER(SEARCH("Antitarnish",Upload!N54&amp;Upload!O54&amp;Upload!P54&amp;Upload!Q54)),ISNUMBER(SEARCH("Anti Tarnish",Upload!N54&amp;Upload!O54&amp;Upload!P54&amp;Upload!Q54))))),"",0.0012*N55)</f>
        <v/>
      </c>
      <c r="P55" s="16" t="str">
        <f>IF(OR(D55="",NOT(OR(ISNUMBER(SEARCH("Epóx",Upload!N54&amp;Upload!O54&amp;Upload!P54&amp;Upload!Q54)),ISNUMBER(SEARCH("Epox",Upload!N54&amp;Upload!O54&amp;Upload!P54&amp;Upload!Q54)),ISNUMBER(SEARCH("Barniz",Upload!N54&amp;Upload!O54&amp;Upload!P54&amp;Upload!Q54))))),"",D55*0.000035)</f>
        <v/>
      </c>
      <c r="Q55" s="16" t="str">
        <f>IF(OR(D55="",NOT(OR(ISNUMBER(SEARCH("Epóx",Upload!N54&amp;Upload!O54&amp;Upload!P54&amp;Upload!Q54)),ISNUMBER(SEARCH("Epox",Upload!N54&amp;Upload!O54&amp;Upload!P54&amp;Upload!Q54)),ISNUMBER(SEARCH("Barniz",Upload!N54&amp;Upload!O54&amp;Upload!P54&amp;Upload!Q54))))),"",D55*0.000035)</f>
        <v/>
      </c>
      <c r="R55" s="16" t="str">
        <f t="shared" si="6"/>
        <v/>
      </c>
    </row>
    <row r="56" spans="1:18" x14ac:dyDescent="0.2">
      <c r="A56" s="10">
        <f t="shared" si="7"/>
        <v>38</v>
      </c>
      <c r="B56" s="10">
        <f>Upload!E55</f>
        <v>0</v>
      </c>
      <c r="C56" s="10">
        <f>Upload!AJ55</f>
        <v>0</v>
      </c>
      <c r="D56" s="10">
        <f>Upload!AK55</f>
        <v>0</v>
      </c>
      <c r="E56" s="10" t="str">
        <f>Upload!AF55</f>
        <v/>
      </c>
      <c r="F56" s="10" t="str">
        <f>Upload!AH55</f>
        <v/>
      </c>
      <c r="G56" s="10" t="str">
        <f>Upload!AE55</f>
        <v>(seleccione)</v>
      </c>
      <c r="H56" s="10" t="str">
        <f>Upload!AG55</f>
        <v>(seleccione)</v>
      </c>
      <c r="J56" s="16" t="str">
        <f t="shared" si="1"/>
        <v/>
      </c>
      <c r="K56" s="16" t="str">
        <f t="shared" si="2"/>
        <v/>
      </c>
      <c r="L56" s="16" t="str">
        <f t="shared" si="3"/>
        <v/>
      </c>
      <c r="M56" s="16" t="str">
        <f t="shared" si="4"/>
        <v/>
      </c>
      <c r="N56" s="16" t="str">
        <f t="shared" si="5"/>
        <v/>
      </c>
      <c r="O56" s="16" t="str">
        <f>IF(OR(N56="",NOT(OR(ISNUMBER(SEARCH("Antitarnish",Upload!N55&amp;Upload!O55&amp;Upload!P55&amp;Upload!Q55)),ISNUMBER(SEARCH("Anti Tarnish",Upload!N55&amp;Upload!O55&amp;Upload!P55&amp;Upload!Q55))))),"",0.0012*N56)</f>
        <v/>
      </c>
      <c r="P56" s="16" t="str">
        <f>IF(OR(D56="",NOT(OR(ISNUMBER(SEARCH("Epóx",Upload!N55&amp;Upload!O55&amp;Upload!P55&amp;Upload!Q55)),ISNUMBER(SEARCH("Epox",Upload!N55&amp;Upload!O55&amp;Upload!P55&amp;Upload!Q55)),ISNUMBER(SEARCH("Barniz",Upload!N55&amp;Upload!O55&amp;Upload!P55&amp;Upload!Q55))))),"",D56*0.000035)</f>
        <v/>
      </c>
      <c r="Q56" s="16" t="str">
        <f>IF(OR(D56="",NOT(OR(ISNUMBER(SEARCH("Epóx",Upload!N55&amp;Upload!O55&amp;Upload!P55&amp;Upload!Q55)),ISNUMBER(SEARCH("Epox",Upload!N55&amp;Upload!O55&amp;Upload!P55&amp;Upload!Q55)),ISNUMBER(SEARCH("Barniz",Upload!N55&amp;Upload!O55&amp;Upload!P55&amp;Upload!Q55))))),"",D56*0.000035)</f>
        <v/>
      </c>
      <c r="R56" s="16" t="str">
        <f t="shared" si="6"/>
        <v/>
      </c>
    </row>
    <row r="57" spans="1:18" x14ac:dyDescent="0.2">
      <c r="A57" s="10">
        <f t="shared" si="7"/>
        <v>39</v>
      </c>
      <c r="B57" s="10">
        <f>Upload!E56</f>
        <v>0</v>
      </c>
      <c r="C57" s="10">
        <f>Upload!AJ56</f>
        <v>0</v>
      </c>
      <c r="D57" s="10">
        <f>Upload!AK56</f>
        <v>0</v>
      </c>
      <c r="E57" s="10" t="str">
        <f>Upload!AF56</f>
        <v/>
      </c>
      <c r="F57" s="10" t="str">
        <f>Upload!AH56</f>
        <v/>
      </c>
      <c r="G57" s="10" t="str">
        <f>Upload!AE56</f>
        <v>(seleccione)</v>
      </c>
      <c r="H57" s="10" t="str">
        <f>Upload!AG56</f>
        <v>(seleccione)</v>
      </c>
      <c r="J57" s="16" t="str">
        <f t="shared" si="1"/>
        <v/>
      </c>
      <c r="K57" s="16" t="str">
        <f t="shared" si="2"/>
        <v/>
      </c>
      <c r="L57" s="16" t="str">
        <f t="shared" si="3"/>
        <v/>
      </c>
      <c r="M57" s="16" t="str">
        <f t="shared" si="4"/>
        <v/>
      </c>
      <c r="N57" s="16" t="str">
        <f t="shared" si="5"/>
        <v/>
      </c>
      <c r="O57" s="16" t="str">
        <f>IF(OR(N57="",NOT(OR(ISNUMBER(SEARCH("Antitarnish",Upload!N56&amp;Upload!O56&amp;Upload!P56&amp;Upload!Q56)),ISNUMBER(SEARCH("Anti Tarnish",Upload!N56&amp;Upload!O56&amp;Upload!P56&amp;Upload!Q56))))),"",0.0012*N57)</f>
        <v/>
      </c>
      <c r="P57" s="16" t="str">
        <f>IF(OR(D57="",NOT(OR(ISNUMBER(SEARCH("Epóx",Upload!N56&amp;Upload!O56&amp;Upload!P56&amp;Upload!Q56)),ISNUMBER(SEARCH("Epox",Upload!N56&amp;Upload!O56&amp;Upload!P56&amp;Upload!Q56)),ISNUMBER(SEARCH("Barniz",Upload!N56&amp;Upload!O56&amp;Upload!P56&amp;Upload!Q56))))),"",D57*0.000035)</f>
        <v/>
      </c>
      <c r="Q57" s="16" t="str">
        <f>IF(OR(D57="",NOT(OR(ISNUMBER(SEARCH("Epóx",Upload!N56&amp;Upload!O56&amp;Upload!P56&amp;Upload!Q56)),ISNUMBER(SEARCH("Epox",Upload!N56&amp;Upload!O56&amp;Upload!P56&amp;Upload!Q56)),ISNUMBER(SEARCH("Barniz",Upload!N56&amp;Upload!O56&amp;Upload!P56&amp;Upload!Q56))))),"",D57*0.000035)</f>
        <v/>
      </c>
      <c r="R57" s="16" t="str">
        <f t="shared" si="6"/>
        <v/>
      </c>
    </row>
    <row r="58" spans="1:18" x14ac:dyDescent="0.2">
      <c r="A58" s="10">
        <f t="shared" si="7"/>
        <v>40</v>
      </c>
      <c r="B58" s="10">
        <f>Upload!E57</f>
        <v>0</v>
      </c>
      <c r="C58" s="10">
        <f>Upload!AJ57</f>
        <v>0</v>
      </c>
      <c r="D58" s="10">
        <f>Upload!AK57</f>
        <v>0</v>
      </c>
      <c r="E58" s="10" t="str">
        <f>Upload!AF57</f>
        <v/>
      </c>
      <c r="F58" s="10" t="str">
        <f>Upload!AH57</f>
        <v/>
      </c>
      <c r="G58" s="10" t="str">
        <f>Upload!AE57</f>
        <v>(seleccione)</v>
      </c>
      <c r="H58" s="10" t="str">
        <f>Upload!AG57</f>
        <v>(seleccione)</v>
      </c>
      <c r="J58" s="16" t="str">
        <f t="shared" si="1"/>
        <v/>
      </c>
      <c r="K58" s="16" t="str">
        <f t="shared" si="2"/>
        <v/>
      </c>
      <c r="L58" s="16" t="str">
        <f t="shared" si="3"/>
        <v/>
      </c>
      <c r="M58" s="16" t="str">
        <f t="shared" si="4"/>
        <v/>
      </c>
      <c r="N58" s="16" t="str">
        <f t="shared" si="5"/>
        <v/>
      </c>
      <c r="O58" s="16" t="str">
        <f>IF(OR(N58="",NOT(OR(ISNUMBER(SEARCH("Antitarnish",Upload!N57&amp;Upload!O57&amp;Upload!P57&amp;Upload!Q57)),ISNUMBER(SEARCH("Anti Tarnish",Upload!N57&amp;Upload!O57&amp;Upload!P57&amp;Upload!Q57))))),"",0.0012*N58)</f>
        <v/>
      </c>
      <c r="P58" s="16" t="str">
        <f>IF(OR(D58="",NOT(OR(ISNUMBER(SEARCH("Epóx",Upload!N57&amp;Upload!O57&amp;Upload!P57&amp;Upload!Q57)),ISNUMBER(SEARCH("Epox",Upload!N57&amp;Upload!O57&amp;Upload!P57&amp;Upload!Q57)),ISNUMBER(SEARCH("Barniz",Upload!N57&amp;Upload!O57&amp;Upload!P57&amp;Upload!Q57))))),"",D58*0.000035)</f>
        <v/>
      </c>
      <c r="Q58" s="16" t="str">
        <f>IF(OR(D58="",NOT(OR(ISNUMBER(SEARCH("Epóx",Upload!N57&amp;Upload!O57&amp;Upload!P57&amp;Upload!Q57)),ISNUMBER(SEARCH("Epox",Upload!N57&amp;Upload!O57&amp;Upload!P57&amp;Upload!Q57)),ISNUMBER(SEARCH("Barniz",Upload!N57&amp;Upload!O57&amp;Upload!P57&amp;Upload!Q57))))),"",D58*0.000035)</f>
        <v/>
      </c>
      <c r="R58" s="16" t="str">
        <f t="shared" si="6"/>
        <v/>
      </c>
    </row>
    <row r="59" spans="1:18" x14ac:dyDescent="0.2">
      <c r="A59" s="10">
        <f t="shared" si="7"/>
        <v>41</v>
      </c>
      <c r="B59" s="10">
        <f>Upload!E58</f>
        <v>0</v>
      </c>
      <c r="C59" s="10">
        <f>Upload!AJ58</f>
        <v>0</v>
      </c>
      <c r="D59" s="10">
        <f>Upload!AK58</f>
        <v>0</v>
      </c>
      <c r="E59" s="10" t="str">
        <f>Upload!AF58</f>
        <v/>
      </c>
      <c r="F59" s="10" t="str">
        <f>Upload!AH58</f>
        <v/>
      </c>
      <c r="G59" s="10" t="str">
        <f>Upload!AE58</f>
        <v>(seleccione)</v>
      </c>
      <c r="H59" s="10" t="str">
        <f>Upload!AG58</f>
        <v>(seleccione)</v>
      </c>
      <c r="J59" s="16" t="str">
        <f t="shared" si="1"/>
        <v/>
      </c>
      <c r="K59" s="16" t="str">
        <f t="shared" si="2"/>
        <v/>
      </c>
      <c r="L59" s="16" t="str">
        <f t="shared" si="3"/>
        <v/>
      </c>
      <c r="M59" s="16" t="str">
        <f t="shared" si="4"/>
        <v/>
      </c>
      <c r="N59" s="16" t="str">
        <f t="shared" si="5"/>
        <v/>
      </c>
      <c r="O59" s="16" t="str">
        <f>IF(OR(N59="",NOT(OR(ISNUMBER(SEARCH("Antitarnish",Upload!N58&amp;Upload!O58&amp;Upload!P58&amp;Upload!Q58)),ISNUMBER(SEARCH("Anti Tarnish",Upload!N58&amp;Upload!O58&amp;Upload!P58&amp;Upload!Q58))))),"",0.0012*N59)</f>
        <v/>
      </c>
      <c r="P59" s="16" t="str">
        <f>IF(OR(D59="",NOT(OR(ISNUMBER(SEARCH("Epóx",Upload!N58&amp;Upload!O58&amp;Upload!P58&amp;Upload!Q58)),ISNUMBER(SEARCH("Epox",Upload!N58&amp;Upload!O58&amp;Upload!P58&amp;Upload!Q58)),ISNUMBER(SEARCH("Barniz",Upload!N58&amp;Upload!O58&amp;Upload!P58&amp;Upload!Q58))))),"",D59*0.000035)</f>
        <v/>
      </c>
      <c r="Q59" s="16" t="str">
        <f>IF(OR(D59="",NOT(OR(ISNUMBER(SEARCH("Epóx",Upload!N58&amp;Upload!O58&amp;Upload!P58&amp;Upload!Q58)),ISNUMBER(SEARCH("Epox",Upload!N58&amp;Upload!O58&amp;Upload!P58&amp;Upload!Q58)),ISNUMBER(SEARCH("Barniz",Upload!N58&amp;Upload!O58&amp;Upload!P58&amp;Upload!Q58))))),"",D59*0.000035)</f>
        <v/>
      </c>
      <c r="R59" s="16" t="str">
        <f t="shared" si="6"/>
        <v/>
      </c>
    </row>
    <row r="60" spans="1:18" x14ac:dyDescent="0.2">
      <c r="A60" s="10">
        <f t="shared" si="7"/>
        <v>42</v>
      </c>
      <c r="B60" s="10">
        <f>Upload!E59</f>
        <v>0</v>
      </c>
      <c r="C60" s="10">
        <f>Upload!AJ59</f>
        <v>0</v>
      </c>
      <c r="D60" s="10">
        <f>Upload!AK59</f>
        <v>0</v>
      </c>
      <c r="E60" s="10" t="str">
        <f>Upload!AF59</f>
        <v/>
      </c>
      <c r="F60" s="10" t="str">
        <f>Upload!AH59</f>
        <v/>
      </c>
      <c r="G60" s="10" t="str">
        <f>Upload!AE59</f>
        <v>(seleccione)</v>
      </c>
      <c r="H60" s="10" t="str">
        <f>Upload!AG59</f>
        <v>(seleccione)</v>
      </c>
      <c r="J60" s="16" t="str">
        <f t="shared" si="1"/>
        <v/>
      </c>
      <c r="K60" s="16" t="str">
        <f t="shared" si="2"/>
        <v/>
      </c>
      <c r="L60" s="16" t="str">
        <f t="shared" si="3"/>
        <v/>
      </c>
      <c r="M60" s="16" t="str">
        <f t="shared" si="4"/>
        <v/>
      </c>
      <c r="N60" s="16" t="str">
        <f t="shared" si="5"/>
        <v/>
      </c>
      <c r="O60" s="16" t="str">
        <f>IF(OR(N60="",NOT(OR(ISNUMBER(SEARCH("Antitarnish",Upload!N59&amp;Upload!O59&amp;Upload!P59&amp;Upload!Q59)),ISNUMBER(SEARCH("Anti Tarnish",Upload!N59&amp;Upload!O59&amp;Upload!P59&amp;Upload!Q59))))),"",0.0012*N60)</f>
        <v/>
      </c>
      <c r="P60" s="16" t="str">
        <f>IF(OR(D60="",NOT(OR(ISNUMBER(SEARCH("Epóx",Upload!N59&amp;Upload!O59&amp;Upload!P59&amp;Upload!Q59)),ISNUMBER(SEARCH("Epox",Upload!N59&amp;Upload!O59&amp;Upload!P59&amp;Upload!Q59)),ISNUMBER(SEARCH("Barniz",Upload!N59&amp;Upload!O59&amp;Upload!P59&amp;Upload!Q59))))),"",D60*0.000035)</f>
        <v/>
      </c>
      <c r="Q60" s="16" t="str">
        <f>IF(OR(D60="",NOT(OR(ISNUMBER(SEARCH("Epóx",Upload!N59&amp;Upload!O59&amp;Upload!P59&amp;Upload!Q59)),ISNUMBER(SEARCH("Epox",Upload!N59&amp;Upload!O59&amp;Upload!P59&amp;Upload!Q59)),ISNUMBER(SEARCH("Barniz",Upload!N59&amp;Upload!O59&amp;Upload!P59&amp;Upload!Q59))))),"",D60*0.000035)</f>
        <v/>
      </c>
      <c r="R60" s="16" t="str">
        <f t="shared" si="6"/>
        <v/>
      </c>
    </row>
    <row r="61" spans="1:18" x14ac:dyDescent="0.2">
      <c r="A61" s="10">
        <f t="shared" si="7"/>
        <v>43</v>
      </c>
      <c r="B61" s="10">
        <f>Upload!E60</f>
        <v>0</v>
      </c>
      <c r="C61" s="10">
        <f>Upload!AJ60</f>
        <v>0</v>
      </c>
      <c r="D61" s="10">
        <f>Upload!AK60</f>
        <v>0</v>
      </c>
      <c r="E61" s="10" t="str">
        <f>Upload!AF60</f>
        <v/>
      </c>
      <c r="F61" s="10" t="str">
        <f>Upload!AH60</f>
        <v/>
      </c>
      <c r="G61" s="10" t="str">
        <f>Upload!AE60</f>
        <v>(seleccione)</v>
      </c>
      <c r="H61" s="10" t="str">
        <f>Upload!AG60</f>
        <v>(seleccione)</v>
      </c>
      <c r="J61" s="16" t="str">
        <f t="shared" si="1"/>
        <v/>
      </c>
      <c r="K61" s="16" t="str">
        <f t="shared" si="2"/>
        <v/>
      </c>
      <c r="L61" s="16" t="str">
        <f t="shared" si="3"/>
        <v/>
      </c>
      <c r="M61" s="16" t="str">
        <f t="shared" si="4"/>
        <v/>
      </c>
      <c r="N61" s="16" t="str">
        <f t="shared" si="5"/>
        <v/>
      </c>
      <c r="O61" s="16" t="str">
        <f>IF(OR(N61="",NOT(OR(ISNUMBER(SEARCH("Antitarnish",Upload!N60&amp;Upload!O60&amp;Upload!P60&amp;Upload!Q60)),ISNUMBER(SEARCH("Anti Tarnish",Upload!N60&amp;Upload!O60&amp;Upload!P60&amp;Upload!Q60))))),"",0.0012*N61)</f>
        <v/>
      </c>
      <c r="P61" s="16" t="str">
        <f>IF(OR(D61="",NOT(OR(ISNUMBER(SEARCH("Epóx",Upload!N60&amp;Upload!O60&amp;Upload!P60&amp;Upload!Q60)),ISNUMBER(SEARCH("Epox",Upload!N60&amp;Upload!O60&amp;Upload!P60&amp;Upload!Q60)),ISNUMBER(SEARCH("Barniz",Upload!N60&amp;Upload!O60&amp;Upload!P60&amp;Upload!Q60))))),"",D61*0.000035)</f>
        <v/>
      </c>
      <c r="Q61" s="16" t="str">
        <f>IF(OR(D61="",NOT(OR(ISNUMBER(SEARCH("Epóx",Upload!N60&amp;Upload!O60&amp;Upload!P60&amp;Upload!Q60)),ISNUMBER(SEARCH("Epox",Upload!N60&amp;Upload!O60&amp;Upload!P60&amp;Upload!Q60)),ISNUMBER(SEARCH("Barniz",Upload!N60&amp;Upload!O60&amp;Upload!P60&amp;Upload!Q60))))),"",D61*0.000035)</f>
        <v/>
      </c>
      <c r="R61" s="16" t="str">
        <f t="shared" si="6"/>
        <v/>
      </c>
    </row>
    <row r="62" spans="1:18" x14ac:dyDescent="0.2">
      <c r="A62" s="10">
        <f t="shared" si="7"/>
        <v>44</v>
      </c>
      <c r="B62" s="10">
        <f>Upload!E61</f>
        <v>0</v>
      </c>
      <c r="C62" s="10">
        <f>Upload!AJ61</f>
        <v>0</v>
      </c>
      <c r="D62" s="10">
        <f>Upload!AK61</f>
        <v>0</v>
      </c>
      <c r="E62" s="10" t="str">
        <f>Upload!AF61</f>
        <v/>
      </c>
      <c r="F62" s="10" t="str">
        <f>Upload!AH61</f>
        <v/>
      </c>
      <c r="G62" s="10" t="str">
        <f>Upload!AE61</f>
        <v>(seleccione)</v>
      </c>
      <c r="H62" s="10" t="str">
        <f>Upload!AG61</f>
        <v>(seleccione)</v>
      </c>
      <c r="J62" s="16" t="str">
        <f t="shared" si="1"/>
        <v/>
      </c>
      <c r="K62" s="16" t="str">
        <f t="shared" si="2"/>
        <v/>
      </c>
      <c r="L62" s="16" t="str">
        <f t="shared" si="3"/>
        <v/>
      </c>
      <c r="M62" s="16" t="str">
        <f t="shared" si="4"/>
        <v/>
      </c>
      <c r="N62" s="16" t="str">
        <f t="shared" si="5"/>
        <v/>
      </c>
      <c r="O62" s="16" t="str">
        <f>IF(OR(N62="",NOT(OR(ISNUMBER(SEARCH("Antitarnish",Upload!N61&amp;Upload!O61&amp;Upload!P61&amp;Upload!Q61)),ISNUMBER(SEARCH("Anti Tarnish",Upload!N61&amp;Upload!O61&amp;Upload!P61&amp;Upload!Q61))))),"",0.0012*N62)</f>
        <v/>
      </c>
      <c r="P62" s="16" t="str">
        <f>IF(OR(D62="",NOT(OR(ISNUMBER(SEARCH("Epóx",Upload!N61&amp;Upload!O61&amp;Upload!P61&amp;Upload!Q61)),ISNUMBER(SEARCH("Epox",Upload!N61&amp;Upload!O61&amp;Upload!P61&amp;Upload!Q61)),ISNUMBER(SEARCH("Barniz",Upload!N61&amp;Upload!O61&amp;Upload!P61&amp;Upload!Q61))))),"",D62*0.000035)</f>
        <v/>
      </c>
      <c r="Q62" s="16" t="str">
        <f>IF(OR(D62="",NOT(OR(ISNUMBER(SEARCH("Epóx",Upload!N61&amp;Upload!O61&amp;Upload!P61&amp;Upload!Q61)),ISNUMBER(SEARCH("Epox",Upload!N61&amp;Upload!O61&amp;Upload!P61&amp;Upload!Q61)),ISNUMBER(SEARCH("Barniz",Upload!N61&amp;Upload!O61&amp;Upload!P61&amp;Upload!Q61))))),"",D62*0.000035)</f>
        <v/>
      </c>
      <c r="R62" s="16" t="str">
        <f t="shared" si="6"/>
        <v/>
      </c>
    </row>
    <row r="63" spans="1:18" x14ac:dyDescent="0.2">
      <c r="A63" s="10">
        <f t="shared" si="7"/>
        <v>45</v>
      </c>
      <c r="B63" s="10">
        <f>Upload!E62</f>
        <v>0</v>
      </c>
      <c r="C63" s="10">
        <f>Upload!AJ62</f>
        <v>0</v>
      </c>
      <c r="D63" s="10">
        <f>Upload!AK62</f>
        <v>0</v>
      </c>
      <c r="E63" s="10" t="str">
        <f>Upload!AF62</f>
        <v/>
      </c>
      <c r="F63" s="10" t="str">
        <f>Upload!AH62</f>
        <v/>
      </c>
      <c r="G63" s="10" t="str">
        <f>Upload!AE62</f>
        <v>(seleccione)</v>
      </c>
      <c r="H63" s="10" t="str">
        <f>Upload!AG62</f>
        <v>(seleccione)</v>
      </c>
      <c r="J63" s="16" t="str">
        <f t="shared" si="1"/>
        <v/>
      </c>
      <c r="K63" s="16" t="str">
        <f t="shared" si="2"/>
        <v/>
      </c>
      <c r="L63" s="16" t="str">
        <f t="shared" si="3"/>
        <v/>
      </c>
      <c r="M63" s="16" t="str">
        <f t="shared" si="4"/>
        <v/>
      </c>
      <c r="N63" s="16" t="str">
        <f t="shared" si="5"/>
        <v/>
      </c>
      <c r="O63" s="16" t="str">
        <f>IF(OR(N63="",NOT(OR(ISNUMBER(SEARCH("Antitarnish",Upload!N62&amp;Upload!O62&amp;Upload!P62&amp;Upload!Q62)),ISNUMBER(SEARCH("Anti Tarnish",Upload!N62&amp;Upload!O62&amp;Upload!P62&amp;Upload!Q62))))),"",0.0012*N63)</f>
        <v/>
      </c>
      <c r="P63" s="16" t="str">
        <f>IF(OR(D63="",NOT(OR(ISNUMBER(SEARCH("Epóx",Upload!N62&amp;Upload!O62&amp;Upload!P62&amp;Upload!Q62)),ISNUMBER(SEARCH("Epox",Upload!N62&amp;Upload!O62&amp;Upload!P62&amp;Upload!Q62)),ISNUMBER(SEARCH("Barniz",Upload!N62&amp;Upload!O62&amp;Upload!P62&amp;Upload!Q62))))),"",D63*0.000035)</f>
        <v/>
      </c>
      <c r="Q63" s="16" t="str">
        <f>IF(OR(D63="",NOT(OR(ISNUMBER(SEARCH("Epóx",Upload!N62&amp;Upload!O62&amp;Upload!P62&amp;Upload!Q62)),ISNUMBER(SEARCH("Epox",Upload!N62&amp;Upload!O62&amp;Upload!P62&amp;Upload!Q62)),ISNUMBER(SEARCH("Barniz",Upload!N62&amp;Upload!O62&amp;Upload!P62&amp;Upload!Q62))))),"",D63*0.000035)</f>
        <v/>
      </c>
      <c r="R63" s="16" t="str">
        <f t="shared" si="6"/>
        <v/>
      </c>
    </row>
    <row r="64" spans="1:18" x14ac:dyDescent="0.2">
      <c r="A64" s="10">
        <f t="shared" si="7"/>
        <v>46</v>
      </c>
      <c r="B64" s="10">
        <f>Upload!E63</f>
        <v>0</v>
      </c>
      <c r="C64" s="10">
        <f>Upload!AJ63</f>
        <v>0</v>
      </c>
      <c r="D64" s="10">
        <f>Upload!AK63</f>
        <v>0</v>
      </c>
      <c r="E64" s="10" t="str">
        <f>Upload!AF63</f>
        <v/>
      </c>
      <c r="F64" s="10" t="str">
        <f>Upload!AH63</f>
        <v/>
      </c>
      <c r="G64" s="10" t="str">
        <f>Upload!AE63</f>
        <v>(seleccione)</v>
      </c>
      <c r="H64" s="10" t="str">
        <f>Upload!AG63</f>
        <v>(seleccione)</v>
      </c>
      <c r="J64" s="16" t="str">
        <f t="shared" si="1"/>
        <v/>
      </c>
      <c r="K64" s="16" t="str">
        <f t="shared" si="2"/>
        <v/>
      </c>
      <c r="L64" s="16" t="str">
        <f t="shared" si="3"/>
        <v/>
      </c>
      <c r="M64" s="16" t="str">
        <f t="shared" si="4"/>
        <v/>
      </c>
      <c r="N64" s="16" t="str">
        <f t="shared" si="5"/>
        <v/>
      </c>
      <c r="O64" s="16" t="str">
        <f>IF(OR(N64="",NOT(OR(ISNUMBER(SEARCH("Antitarnish",Upload!N63&amp;Upload!O63&amp;Upload!P63&amp;Upload!Q63)),ISNUMBER(SEARCH("Anti Tarnish",Upload!N63&amp;Upload!O63&amp;Upload!P63&amp;Upload!Q63))))),"",0.0012*N64)</f>
        <v/>
      </c>
      <c r="P64" s="16" t="str">
        <f>IF(OR(D64="",NOT(OR(ISNUMBER(SEARCH("Epóx",Upload!N63&amp;Upload!O63&amp;Upload!P63&amp;Upload!Q63)),ISNUMBER(SEARCH("Epox",Upload!N63&amp;Upload!O63&amp;Upload!P63&amp;Upload!Q63)),ISNUMBER(SEARCH("Barniz",Upload!N63&amp;Upload!O63&amp;Upload!P63&amp;Upload!Q63))))),"",D64*0.000035)</f>
        <v/>
      </c>
      <c r="Q64" s="16" t="str">
        <f>IF(OR(D64="",NOT(OR(ISNUMBER(SEARCH("Epóx",Upload!N63&amp;Upload!O63&amp;Upload!P63&amp;Upload!Q63)),ISNUMBER(SEARCH("Epox",Upload!N63&amp;Upload!O63&amp;Upload!P63&amp;Upload!Q63)),ISNUMBER(SEARCH("Barniz",Upload!N63&amp;Upload!O63&amp;Upload!P63&amp;Upload!Q63))))),"",D64*0.000035)</f>
        <v/>
      </c>
      <c r="R64" s="16" t="str">
        <f t="shared" si="6"/>
        <v/>
      </c>
    </row>
    <row r="65" spans="1:18" x14ac:dyDescent="0.2">
      <c r="A65" s="10">
        <f t="shared" si="7"/>
        <v>47</v>
      </c>
      <c r="B65" s="10">
        <f>Upload!E64</f>
        <v>0</v>
      </c>
      <c r="C65" s="10">
        <f>Upload!AJ64</f>
        <v>0</v>
      </c>
      <c r="D65" s="10">
        <f>Upload!AK64</f>
        <v>0</v>
      </c>
      <c r="E65" s="10" t="str">
        <f>Upload!AF64</f>
        <v/>
      </c>
      <c r="F65" s="10" t="str">
        <f>Upload!AH64</f>
        <v/>
      </c>
      <c r="G65" s="10" t="str">
        <f>Upload!AE64</f>
        <v>(seleccione)</v>
      </c>
      <c r="H65" s="10" t="str">
        <f>Upload!AG64</f>
        <v>(seleccione)</v>
      </c>
      <c r="J65" s="16" t="str">
        <f t="shared" si="1"/>
        <v/>
      </c>
      <c r="K65" s="16" t="str">
        <f t="shared" si="2"/>
        <v/>
      </c>
      <c r="L65" s="16" t="str">
        <f t="shared" si="3"/>
        <v/>
      </c>
      <c r="M65" s="16" t="str">
        <f t="shared" si="4"/>
        <v/>
      </c>
      <c r="N65" s="16" t="str">
        <f t="shared" si="5"/>
        <v/>
      </c>
      <c r="O65" s="16" t="str">
        <f>IF(OR(N65="",NOT(OR(ISNUMBER(SEARCH("Antitarnish",Upload!N64&amp;Upload!O64&amp;Upload!P64&amp;Upload!Q64)),ISNUMBER(SEARCH("Anti Tarnish",Upload!N64&amp;Upload!O64&amp;Upload!P64&amp;Upload!Q64))))),"",0.0012*N65)</f>
        <v/>
      </c>
      <c r="P65" s="16" t="str">
        <f>IF(OR(D65="",NOT(OR(ISNUMBER(SEARCH("Epóx",Upload!N64&amp;Upload!O64&amp;Upload!P64&amp;Upload!Q64)),ISNUMBER(SEARCH("Epox",Upload!N64&amp;Upload!O64&amp;Upload!P64&amp;Upload!Q64)),ISNUMBER(SEARCH("Barniz",Upload!N64&amp;Upload!O64&amp;Upload!P64&amp;Upload!Q64))))),"",D65*0.000035)</f>
        <v/>
      </c>
      <c r="Q65" s="16" t="str">
        <f>IF(OR(D65="",NOT(OR(ISNUMBER(SEARCH("Epóx",Upload!N64&amp;Upload!O64&amp;Upload!P64&amp;Upload!Q64)),ISNUMBER(SEARCH("Epox",Upload!N64&amp;Upload!O64&amp;Upload!P64&amp;Upload!Q64)),ISNUMBER(SEARCH("Barniz",Upload!N64&amp;Upload!O64&amp;Upload!P64&amp;Upload!Q64))))),"",D65*0.000035)</f>
        <v/>
      </c>
      <c r="R65" s="16" t="str">
        <f t="shared" si="6"/>
        <v/>
      </c>
    </row>
    <row r="66" spans="1:18" x14ac:dyDescent="0.2">
      <c r="A66" s="10">
        <f t="shared" si="7"/>
        <v>48</v>
      </c>
      <c r="B66" s="10">
        <f>Upload!E65</f>
        <v>0</v>
      </c>
      <c r="C66" s="10">
        <f>Upload!AJ65</f>
        <v>0</v>
      </c>
      <c r="D66" s="10">
        <f>Upload!AK65</f>
        <v>0</v>
      </c>
      <c r="E66" s="10" t="str">
        <f>Upload!AF65</f>
        <v/>
      </c>
      <c r="F66" s="10" t="str">
        <f>Upload!AH65</f>
        <v/>
      </c>
      <c r="G66" s="10" t="str">
        <f>Upload!AE65</f>
        <v>(seleccione)</v>
      </c>
      <c r="H66" s="10" t="str">
        <f>Upload!AG65</f>
        <v>(seleccione)</v>
      </c>
      <c r="J66" s="16" t="str">
        <f t="shared" si="1"/>
        <v/>
      </c>
      <c r="K66" s="16" t="str">
        <f t="shared" si="2"/>
        <v/>
      </c>
      <c r="L66" s="16" t="str">
        <f t="shared" si="3"/>
        <v/>
      </c>
      <c r="M66" s="16" t="str">
        <f t="shared" si="4"/>
        <v/>
      </c>
      <c r="N66" s="16" t="str">
        <f t="shared" si="5"/>
        <v/>
      </c>
      <c r="O66" s="16" t="str">
        <f>IF(OR(N66="",NOT(OR(ISNUMBER(SEARCH("Antitarnish",Upload!N65&amp;Upload!O65&amp;Upload!P65&amp;Upload!Q65)),ISNUMBER(SEARCH("Anti Tarnish",Upload!N65&amp;Upload!O65&amp;Upload!P65&amp;Upload!Q65))))),"",0.0012*N66)</f>
        <v/>
      </c>
      <c r="P66" s="16" t="str">
        <f>IF(OR(D66="",NOT(OR(ISNUMBER(SEARCH("Epóx",Upload!N65&amp;Upload!O65&amp;Upload!P65&amp;Upload!Q65)),ISNUMBER(SEARCH("Epox",Upload!N65&amp;Upload!O65&amp;Upload!P65&amp;Upload!Q65)),ISNUMBER(SEARCH("Barniz",Upload!N65&amp;Upload!O65&amp;Upload!P65&amp;Upload!Q65))))),"",D66*0.000035)</f>
        <v/>
      </c>
      <c r="Q66" s="16" t="str">
        <f>IF(OR(D66="",NOT(OR(ISNUMBER(SEARCH("Epóx",Upload!N65&amp;Upload!O65&amp;Upload!P65&amp;Upload!Q65)),ISNUMBER(SEARCH("Epox",Upload!N65&amp;Upload!O65&amp;Upload!P65&amp;Upload!Q65)),ISNUMBER(SEARCH("Barniz",Upload!N65&amp;Upload!O65&amp;Upload!P65&amp;Upload!Q65))))),"",D66*0.000035)</f>
        <v/>
      </c>
      <c r="R66" s="16" t="str">
        <f t="shared" si="6"/>
        <v/>
      </c>
    </row>
    <row r="67" spans="1:18" x14ac:dyDescent="0.2">
      <c r="A67" s="10">
        <f t="shared" si="7"/>
        <v>49</v>
      </c>
      <c r="B67" s="10">
        <f>Upload!E66</f>
        <v>0</v>
      </c>
      <c r="C67" s="10">
        <f>Upload!AJ66</f>
        <v>0</v>
      </c>
      <c r="D67" s="10">
        <f>Upload!AK66</f>
        <v>0</v>
      </c>
      <c r="E67" s="10" t="str">
        <f>Upload!AF66</f>
        <v/>
      </c>
      <c r="F67" s="10" t="str">
        <f>Upload!AH66</f>
        <v/>
      </c>
      <c r="G67" s="10" t="str">
        <f>Upload!AE66</f>
        <v>(seleccione)</v>
      </c>
      <c r="H67" s="10" t="str">
        <f>Upload!AG66</f>
        <v>(seleccione)</v>
      </c>
      <c r="J67" s="16" t="str">
        <f t="shared" si="1"/>
        <v/>
      </c>
      <c r="K67" s="16" t="str">
        <f t="shared" si="2"/>
        <v/>
      </c>
      <c r="L67" s="16" t="str">
        <f t="shared" si="3"/>
        <v/>
      </c>
      <c r="M67" s="16" t="str">
        <f t="shared" si="4"/>
        <v/>
      </c>
      <c r="N67" s="16" t="str">
        <f t="shared" si="5"/>
        <v/>
      </c>
      <c r="O67" s="16" t="str">
        <f>IF(OR(N67="",NOT(OR(ISNUMBER(SEARCH("Antitarnish",Upload!N66&amp;Upload!O66&amp;Upload!P66&amp;Upload!Q66)),ISNUMBER(SEARCH("Anti Tarnish",Upload!N66&amp;Upload!O66&amp;Upload!P66&amp;Upload!Q66))))),"",0.0012*N67)</f>
        <v/>
      </c>
      <c r="P67" s="16" t="str">
        <f>IF(OR(D67="",NOT(OR(ISNUMBER(SEARCH("Epóx",Upload!N66&amp;Upload!O66&amp;Upload!P66&amp;Upload!Q66)),ISNUMBER(SEARCH("Epox",Upload!N66&amp;Upload!O66&amp;Upload!P66&amp;Upload!Q66)),ISNUMBER(SEARCH("Barniz",Upload!N66&amp;Upload!O66&amp;Upload!P66&amp;Upload!Q66))))),"",D67*0.000035)</f>
        <v/>
      </c>
      <c r="Q67" s="16" t="str">
        <f>IF(OR(D67="",NOT(OR(ISNUMBER(SEARCH("Epóx",Upload!N66&amp;Upload!O66&amp;Upload!P66&amp;Upload!Q66)),ISNUMBER(SEARCH("Epox",Upload!N66&amp;Upload!O66&amp;Upload!P66&amp;Upload!Q66)),ISNUMBER(SEARCH("Barniz",Upload!N66&amp;Upload!O66&amp;Upload!P66&amp;Upload!Q66))))),"",D67*0.000035)</f>
        <v/>
      </c>
      <c r="R67" s="16" t="str">
        <f t="shared" si="6"/>
        <v/>
      </c>
    </row>
    <row r="68" spans="1:18" x14ac:dyDescent="0.2">
      <c r="A68" s="10">
        <f t="shared" si="7"/>
        <v>50</v>
      </c>
      <c r="B68" s="10">
        <f>Upload!E67</f>
        <v>0</v>
      </c>
      <c r="C68" s="10">
        <f>Upload!AJ67</f>
        <v>0</v>
      </c>
      <c r="D68" s="10">
        <f>Upload!AK67</f>
        <v>0</v>
      </c>
      <c r="E68" s="10" t="str">
        <f>Upload!AF67</f>
        <v/>
      </c>
      <c r="F68" s="10" t="str">
        <f>Upload!AH67</f>
        <v/>
      </c>
      <c r="G68" s="10" t="str">
        <f>Upload!AE67</f>
        <v>(seleccione)</v>
      </c>
      <c r="H68" s="10" t="str">
        <f>Upload!AG67</f>
        <v>(seleccione)</v>
      </c>
      <c r="J68" s="16" t="str">
        <f t="shared" si="1"/>
        <v/>
      </c>
      <c r="K68" s="16" t="str">
        <f t="shared" si="2"/>
        <v/>
      </c>
      <c r="L68" s="16" t="str">
        <f t="shared" si="3"/>
        <v/>
      </c>
      <c r="M68" s="16" t="str">
        <f t="shared" si="4"/>
        <v/>
      </c>
      <c r="N68" s="16" t="str">
        <f t="shared" si="5"/>
        <v/>
      </c>
      <c r="O68" s="16" t="str">
        <f>IF(OR(N68="",NOT(OR(ISNUMBER(SEARCH("Antitarnish",Upload!N67&amp;Upload!O67&amp;Upload!P67&amp;Upload!Q67)),ISNUMBER(SEARCH("Anti Tarnish",Upload!N67&amp;Upload!O67&amp;Upload!P67&amp;Upload!Q67))))),"",0.0012*N68)</f>
        <v/>
      </c>
      <c r="P68" s="16" t="str">
        <f>IF(OR(D68="",NOT(OR(ISNUMBER(SEARCH("Epóx",Upload!N67&amp;Upload!O67&amp;Upload!P67&amp;Upload!Q67)),ISNUMBER(SEARCH("Epox",Upload!N67&amp;Upload!O67&amp;Upload!P67&amp;Upload!Q67)),ISNUMBER(SEARCH("Barniz",Upload!N67&amp;Upload!O67&amp;Upload!P67&amp;Upload!Q67))))),"",D68*0.000035)</f>
        <v/>
      </c>
      <c r="Q68" s="16" t="str">
        <f>IF(OR(D68="",NOT(OR(ISNUMBER(SEARCH("Epóx",Upload!N67&amp;Upload!O67&amp;Upload!P67&amp;Upload!Q67)),ISNUMBER(SEARCH("Epox",Upload!N67&amp;Upload!O67&amp;Upload!P67&amp;Upload!Q67)),ISNUMBER(SEARCH("Barniz",Upload!N67&amp;Upload!O67&amp;Upload!P67&amp;Upload!Q67))))),"",D68*0.000035)</f>
        <v/>
      </c>
      <c r="R68" s="16" t="str">
        <f t="shared" si="6"/>
        <v/>
      </c>
    </row>
    <row r="69" spans="1:18" x14ac:dyDescent="0.2">
      <c r="A69" s="10">
        <f t="shared" si="7"/>
        <v>51</v>
      </c>
      <c r="B69" s="10">
        <f>Upload!E68</f>
        <v>0</v>
      </c>
      <c r="C69" s="10">
        <f>Upload!AJ68</f>
        <v>0</v>
      </c>
      <c r="D69" s="10">
        <f>Upload!AK68</f>
        <v>0</v>
      </c>
      <c r="E69" s="10" t="str">
        <f>Upload!AF68</f>
        <v/>
      </c>
      <c r="F69" s="10" t="str">
        <f>Upload!AH68</f>
        <v/>
      </c>
      <c r="G69" s="10" t="str">
        <f>Upload!AE68</f>
        <v>(seleccione)</v>
      </c>
      <c r="H69" s="10" t="str">
        <f>Upload!AG68</f>
        <v>(seleccione)</v>
      </c>
      <c r="J69" s="16" t="str">
        <f t="shared" si="1"/>
        <v/>
      </c>
      <c r="K69" s="16" t="str">
        <f t="shared" si="2"/>
        <v/>
      </c>
      <c r="L69" s="16" t="str">
        <f t="shared" si="3"/>
        <v/>
      </c>
      <c r="M69" s="16" t="str">
        <f t="shared" si="4"/>
        <v/>
      </c>
      <c r="N69" s="16" t="str">
        <f t="shared" si="5"/>
        <v/>
      </c>
      <c r="O69" s="16" t="str">
        <f>IF(OR(N69="",NOT(OR(ISNUMBER(SEARCH("Antitarnish",Upload!N68&amp;Upload!O68&amp;Upload!P68&amp;Upload!Q68)),ISNUMBER(SEARCH("Anti Tarnish",Upload!N68&amp;Upload!O68&amp;Upload!P68&amp;Upload!Q68))))),"",0.0012*N69)</f>
        <v/>
      </c>
      <c r="P69" s="16" t="str">
        <f>IF(OR(D69="",NOT(OR(ISNUMBER(SEARCH("Epóx",Upload!N68&amp;Upload!O68&amp;Upload!P68&amp;Upload!Q68)),ISNUMBER(SEARCH("Epox",Upload!N68&amp;Upload!O68&amp;Upload!P68&amp;Upload!Q68)),ISNUMBER(SEARCH("Barniz",Upload!N68&amp;Upload!O68&amp;Upload!P68&amp;Upload!Q68))))),"",D69*0.000035)</f>
        <v/>
      </c>
      <c r="Q69" s="16" t="str">
        <f>IF(OR(D69="",NOT(OR(ISNUMBER(SEARCH("Epóx",Upload!N68&amp;Upload!O68&amp;Upload!P68&amp;Upload!Q68)),ISNUMBER(SEARCH("Epox",Upload!N68&amp;Upload!O68&amp;Upload!P68&amp;Upload!Q68)),ISNUMBER(SEARCH("Barniz",Upload!N68&amp;Upload!O68&amp;Upload!P68&amp;Upload!Q68))))),"",D69*0.000035)</f>
        <v/>
      </c>
      <c r="R69" s="16" t="str">
        <f t="shared" si="6"/>
        <v/>
      </c>
    </row>
    <row r="70" spans="1:18" x14ac:dyDescent="0.2">
      <c r="A70" s="10" t="e">
        <f t="shared" ca="1" si="7"/>
        <v>#NAME?</v>
      </c>
      <c r="B70" s="10">
        <f>Upload!E69</f>
        <v>0</v>
      </c>
      <c r="C70" s="10">
        <f>Upload!AJ69</f>
        <v>0</v>
      </c>
      <c r="D70" s="10">
        <f>Upload!AK69</f>
        <v>0</v>
      </c>
      <c r="E70" s="10" t="str">
        <f>Upload!AF69</f>
        <v/>
      </c>
      <c r="F70" s="10" t="str">
        <f>Upload!AH69</f>
        <v/>
      </c>
      <c r="G70" s="10" t="str">
        <f>Upload!AE69</f>
        <v>(seleccione)</v>
      </c>
      <c r="H70" s="10" t="str">
        <f>Upload!AG69</f>
        <v>(seleccione)</v>
      </c>
      <c r="J70" s="16" t="str">
        <f t="shared" ref="J70:J133" si="8">IFERROR(IF(OR(C70="",IF(ISNUMBER(SEARCH("Plata",G70)),E70,IF(ISNUMBER(SEARCH("Plata",H70)),F70,""))=""),"",$D$6*C70*(IF(ISNUMBER(SEARCH("Plata",G70)),E70,IF(ISNUMBER(SEARCH("Plata",H70)),F70,"")))/10000000),"")</f>
        <v/>
      </c>
      <c r="K70" s="16" t="str">
        <f t="shared" ref="K70:K133" si="9">IFERROR(IF(OR(C70="",IF(OR(ISNUMBER(SEARCH("Estaño",G70)),ISNUMBER(SEARCH("Estañ",G70)),ISNUMBER(SEARCH("Tin",G70))),E70,IF(OR(ISNUMBER(SEARCH("Estaño",H70)),ISNUMBER(SEARCH("Estañ",H70)),ISNUMBER(SEARCH("Tin",H70))),F70,""))=""),"",$D$7*C70*(IF(OR(ISNUMBER(SEARCH("Estaño",G70)),ISNUMBER(SEARCH("Estañ",G70)),ISNUMBER(SEARCH("Tin",G70))),E70,IF(OR(ISNUMBER(SEARCH("Estaño",H70)),ISNUMBER(SEARCH("Estañ",H70)),ISNUMBER(SEARCH("Tin",H70))),F70,"")))/10000000),"")</f>
        <v/>
      </c>
      <c r="L70" s="16" t="str">
        <f t="shared" ref="L70:L133" si="10">IFERROR(IF(OR(C70="",IF(OR(ISNUMBER(SEARCH("Níquel",G70)),ISNUMBER(SEARCH("Niquel",G70))),E70,IF(OR(ISNUMBER(SEARCH("Níquel",H70)),ISNUMBER(SEARCH("Niquel",H70))),F70,""))=""),"",$D$8*C70*(IF(OR(ISNUMBER(SEARCH("Níquel",G70)),ISNUMBER(SEARCH("Niquel",G70))),E70,IF(OR(ISNUMBER(SEARCH("Níquel",H70)),ISNUMBER(SEARCH("Niquel",H70))),F70,"")))/10000000),"")</f>
        <v/>
      </c>
      <c r="M70" s="16" t="str">
        <f t="shared" ref="M70:M133" si="11">IFERROR(IF(OR(C70="",IF(ISNUMBER(SEARCH("Zinc",G70)),E70,IF(ISNUMBER(SEARCH("Zinc",H70)),F70,""))=""),"",$D$9*C70*(IF(ISNUMBER(SEARCH("Zinc",G70)),E70,IF(ISNUMBER(SEARCH("Zinc",H70)),F70,"")))/10000000),"")</f>
        <v/>
      </c>
      <c r="N70" s="16" t="str">
        <f t="shared" ref="N70:N133" si="12">IFERROR(IF(OR(C70="",IF(OR(ISNUMBER(SEARCH("Cobre",G70)),ISNUMBER(SEARCH("Bondal",G70))),E70,IF(OR(ISNUMBER(SEARCH("Cobre",H70)),ISNUMBER(SEARCH("Bondal",H70))),F70,""))=""),"",$D$10*C70*(IF(OR(ISNUMBER(SEARCH("Cobre",G70)),ISNUMBER(SEARCH("Bondal",G70))),E70,IF(OR(ISNUMBER(SEARCH("Cobre",H70)),ISNUMBER(SEARCH("Bondal",H70))),F70,"")))/10000000),"")</f>
        <v/>
      </c>
      <c r="O70" s="16" t="str">
        <f>IF(OR(N70="",NOT(OR(ISNUMBER(SEARCH("Antitarnish",Upload!N69&amp;Upload!O69&amp;Upload!P69&amp;Upload!Q69)),ISNUMBER(SEARCH("Anti Tarnish",Upload!N69&amp;Upload!O69&amp;Upload!P69&amp;Upload!Q69))))),"",0.0012*N70)</f>
        <v/>
      </c>
      <c r="P70" s="16" t="str">
        <f>IF(OR(D70="",NOT(OR(ISNUMBER(SEARCH("Epóx",Upload!N69&amp;Upload!O69&amp;Upload!P69&amp;Upload!Q69)),ISNUMBER(SEARCH("Epox",Upload!N69&amp;Upload!O69&amp;Upload!P69&amp;Upload!Q69)),ISNUMBER(SEARCH("Barniz",Upload!N69&amp;Upload!O69&amp;Upload!P69&amp;Upload!Q69))))),"",D70*0.000035)</f>
        <v/>
      </c>
      <c r="Q70" s="16" t="str">
        <f>IF(OR(D70="",NOT(OR(ISNUMBER(SEARCH("Epóx",Upload!N69&amp;Upload!O69&amp;Upload!P69&amp;Upload!Q69)),ISNUMBER(SEARCH("Epox",Upload!N69&amp;Upload!O69&amp;Upload!P69&amp;Upload!Q69)),ISNUMBER(SEARCH("Barniz",Upload!N69&amp;Upload!O69&amp;Upload!P69&amp;Upload!Q69))))),"",D70*0.000035)</f>
        <v/>
      </c>
      <c r="R70" s="16" t="str">
        <f t="shared" ref="R70:R133" si="13">IF(P70="","",P70*1.07)</f>
        <v/>
      </c>
    </row>
    <row r="71" spans="1:18" x14ac:dyDescent="0.2">
      <c r="A71" s="10" t="e">
        <f t="shared" ca="1" si="7"/>
        <v>#NAME?</v>
      </c>
      <c r="B71" s="10">
        <f>Upload!E70</f>
        <v>0</v>
      </c>
      <c r="C71" s="10">
        <f>Upload!AJ70</f>
        <v>0</v>
      </c>
      <c r="D71" s="10">
        <f>Upload!AK70</f>
        <v>0</v>
      </c>
      <c r="E71" s="10" t="str">
        <f>Upload!AF70</f>
        <v/>
      </c>
      <c r="F71" s="10" t="str">
        <f>Upload!AH70</f>
        <v/>
      </c>
      <c r="G71" s="10" t="str">
        <f>Upload!AE70</f>
        <v>(seleccione)</v>
      </c>
      <c r="H71" s="10" t="str">
        <f>Upload!AG70</f>
        <v>(seleccione)</v>
      </c>
      <c r="J71" s="16" t="str">
        <f t="shared" si="8"/>
        <v/>
      </c>
      <c r="K71" s="16" t="str">
        <f t="shared" si="9"/>
        <v/>
      </c>
      <c r="L71" s="16" t="str">
        <f t="shared" si="10"/>
        <v/>
      </c>
      <c r="M71" s="16" t="str">
        <f t="shared" si="11"/>
        <v/>
      </c>
      <c r="N71" s="16" t="str">
        <f t="shared" si="12"/>
        <v/>
      </c>
      <c r="O71" s="16" t="str">
        <f>IF(OR(N71="",NOT(OR(ISNUMBER(SEARCH("Antitarnish",Upload!N70&amp;Upload!O70&amp;Upload!P70&amp;Upload!Q70)),ISNUMBER(SEARCH("Anti Tarnish",Upload!N70&amp;Upload!O70&amp;Upload!P70&amp;Upload!Q70))))),"",0.0012*N71)</f>
        <v/>
      </c>
      <c r="P71" s="16" t="str">
        <f>IF(OR(D71="",NOT(OR(ISNUMBER(SEARCH("Epóx",Upload!N70&amp;Upload!O70&amp;Upload!P70&amp;Upload!Q70)),ISNUMBER(SEARCH("Epox",Upload!N70&amp;Upload!O70&amp;Upload!P70&amp;Upload!Q70)),ISNUMBER(SEARCH("Barniz",Upload!N70&amp;Upload!O70&amp;Upload!P70&amp;Upload!Q70))))),"",D71*0.000035)</f>
        <v/>
      </c>
      <c r="Q71" s="16" t="str">
        <f>IF(OR(D71="",NOT(OR(ISNUMBER(SEARCH("Epóx",Upload!N70&amp;Upload!O70&amp;Upload!P70&amp;Upload!Q70)),ISNUMBER(SEARCH("Epox",Upload!N70&amp;Upload!O70&amp;Upload!P70&amp;Upload!Q70)),ISNUMBER(SEARCH("Barniz",Upload!N70&amp;Upload!O70&amp;Upload!P70&amp;Upload!Q70))))),"",D71*0.000035)</f>
        <v/>
      </c>
      <c r="R71" s="16" t="str">
        <f t="shared" si="13"/>
        <v/>
      </c>
    </row>
    <row r="72" spans="1:18" x14ac:dyDescent="0.2">
      <c r="A72" s="10" t="e">
        <f t="shared" ca="1" si="7"/>
        <v>#NAME?</v>
      </c>
      <c r="B72" s="10">
        <f>Upload!E71</f>
        <v>0</v>
      </c>
      <c r="C72" s="10">
        <f>Upload!AJ71</f>
        <v>0</v>
      </c>
      <c r="D72" s="10">
        <f>Upload!AK71</f>
        <v>0</v>
      </c>
      <c r="E72" s="10" t="str">
        <f>Upload!AF71</f>
        <v/>
      </c>
      <c r="F72" s="10" t="str">
        <f>Upload!AH71</f>
        <v/>
      </c>
      <c r="G72" s="10" t="str">
        <f>Upload!AE71</f>
        <v>(seleccione)</v>
      </c>
      <c r="H72" s="10" t="str">
        <f>Upload!AG71</f>
        <v>(seleccione)</v>
      </c>
      <c r="J72" s="16" t="str">
        <f t="shared" si="8"/>
        <v/>
      </c>
      <c r="K72" s="16" t="str">
        <f t="shared" si="9"/>
        <v/>
      </c>
      <c r="L72" s="16" t="str">
        <f t="shared" si="10"/>
        <v/>
      </c>
      <c r="M72" s="16" t="str">
        <f t="shared" si="11"/>
        <v/>
      </c>
      <c r="N72" s="16" t="str">
        <f t="shared" si="12"/>
        <v/>
      </c>
      <c r="O72" s="16" t="str">
        <f>IF(OR(N72="",NOT(OR(ISNUMBER(SEARCH("Antitarnish",Upload!N71&amp;Upload!O71&amp;Upload!P71&amp;Upload!Q71)),ISNUMBER(SEARCH("Anti Tarnish",Upload!N71&amp;Upload!O71&amp;Upload!P71&amp;Upload!Q71))))),"",0.0012*N72)</f>
        <v/>
      </c>
      <c r="P72" s="16" t="str">
        <f>IF(OR(D72="",NOT(OR(ISNUMBER(SEARCH("Epóx",Upload!N71&amp;Upload!O71&amp;Upload!P71&amp;Upload!Q71)),ISNUMBER(SEARCH("Epox",Upload!N71&amp;Upload!O71&amp;Upload!P71&amp;Upload!Q71)),ISNUMBER(SEARCH("Barniz",Upload!N71&amp;Upload!O71&amp;Upload!P71&amp;Upload!Q71))))),"",D72*0.000035)</f>
        <v/>
      </c>
      <c r="Q72" s="16" t="str">
        <f>IF(OR(D72="",NOT(OR(ISNUMBER(SEARCH("Epóx",Upload!N71&amp;Upload!O71&amp;Upload!P71&amp;Upload!Q71)),ISNUMBER(SEARCH("Epox",Upload!N71&amp;Upload!O71&amp;Upload!P71&amp;Upload!Q71)),ISNUMBER(SEARCH("Barniz",Upload!N71&amp;Upload!O71&amp;Upload!P71&amp;Upload!Q71))))),"",D72*0.000035)</f>
        <v/>
      </c>
      <c r="R72" s="16" t="str">
        <f t="shared" si="13"/>
        <v/>
      </c>
    </row>
    <row r="73" spans="1:18" x14ac:dyDescent="0.2">
      <c r="A73" s="10" t="e">
        <f t="shared" ca="1" si="7"/>
        <v>#NAME?</v>
      </c>
      <c r="B73" s="10">
        <f>Upload!E72</f>
        <v>0</v>
      </c>
      <c r="C73" s="10">
        <f>Upload!AJ72</f>
        <v>0</v>
      </c>
      <c r="D73" s="10">
        <f>Upload!AK72</f>
        <v>0</v>
      </c>
      <c r="E73" s="10" t="str">
        <f>Upload!AF72</f>
        <v/>
      </c>
      <c r="F73" s="10" t="str">
        <f>Upload!AH72</f>
        <v/>
      </c>
      <c r="G73" s="10" t="str">
        <f>Upload!AE72</f>
        <v>(seleccione)</v>
      </c>
      <c r="H73" s="10" t="str">
        <f>Upload!AG72</f>
        <v>(seleccione)</v>
      </c>
      <c r="J73" s="16" t="str">
        <f t="shared" si="8"/>
        <v/>
      </c>
      <c r="K73" s="16" t="str">
        <f t="shared" si="9"/>
        <v/>
      </c>
      <c r="L73" s="16" t="str">
        <f t="shared" si="10"/>
        <v/>
      </c>
      <c r="M73" s="16" t="str">
        <f t="shared" si="11"/>
        <v/>
      </c>
      <c r="N73" s="16" t="str">
        <f t="shared" si="12"/>
        <v/>
      </c>
      <c r="O73" s="16" t="str">
        <f>IF(OR(N73="",NOT(OR(ISNUMBER(SEARCH("Antitarnish",Upload!N72&amp;Upload!O72&amp;Upload!P72&amp;Upload!Q72)),ISNUMBER(SEARCH("Anti Tarnish",Upload!N72&amp;Upload!O72&amp;Upload!P72&amp;Upload!Q72))))),"",0.0012*N73)</f>
        <v/>
      </c>
      <c r="P73" s="16" t="str">
        <f>IF(OR(D73="",NOT(OR(ISNUMBER(SEARCH("Epóx",Upload!N72&amp;Upload!O72&amp;Upload!P72&amp;Upload!Q72)),ISNUMBER(SEARCH("Epox",Upload!N72&amp;Upload!O72&amp;Upload!P72&amp;Upload!Q72)),ISNUMBER(SEARCH("Barniz",Upload!N72&amp;Upload!O72&amp;Upload!P72&amp;Upload!Q72))))),"",D73*0.000035)</f>
        <v/>
      </c>
      <c r="Q73" s="16" t="str">
        <f>IF(OR(D73="",NOT(OR(ISNUMBER(SEARCH("Epóx",Upload!N72&amp;Upload!O72&amp;Upload!P72&amp;Upload!Q72)),ISNUMBER(SEARCH("Epox",Upload!N72&amp;Upload!O72&amp;Upload!P72&amp;Upload!Q72)),ISNUMBER(SEARCH("Barniz",Upload!N72&amp;Upload!O72&amp;Upload!P72&amp;Upload!Q72))))),"",D73*0.000035)</f>
        <v/>
      </c>
      <c r="R73" s="16" t="str">
        <f t="shared" si="13"/>
        <v/>
      </c>
    </row>
    <row r="74" spans="1:18" x14ac:dyDescent="0.2">
      <c r="A74" s="10" t="e">
        <f t="shared" ca="1" si="7"/>
        <v>#NAME?</v>
      </c>
      <c r="B74" s="10">
        <f>Upload!E73</f>
        <v>0</v>
      </c>
      <c r="C74" s="10">
        <f>Upload!AJ73</f>
        <v>0</v>
      </c>
      <c r="D74" s="10">
        <f>Upload!AK73</f>
        <v>0</v>
      </c>
      <c r="E74" s="10" t="str">
        <f>Upload!AF73</f>
        <v/>
      </c>
      <c r="F74" s="10" t="str">
        <f>Upload!AH73</f>
        <v/>
      </c>
      <c r="G74" s="10" t="str">
        <f>Upload!AE73</f>
        <v>(seleccione)</v>
      </c>
      <c r="H74" s="10" t="str">
        <f>Upload!AG73</f>
        <v>(seleccione)</v>
      </c>
      <c r="J74" s="16" t="str">
        <f t="shared" si="8"/>
        <v/>
      </c>
      <c r="K74" s="16" t="str">
        <f t="shared" si="9"/>
        <v/>
      </c>
      <c r="L74" s="16" t="str">
        <f t="shared" si="10"/>
        <v/>
      </c>
      <c r="M74" s="16" t="str">
        <f t="shared" si="11"/>
        <v/>
      </c>
      <c r="N74" s="16" t="str">
        <f t="shared" si="12"/>
        <v/>
      </c>
      <c r="O74" s="16" t="str">
        <f>IF(OR(N74="",NOT(OR(ISNUMBER(SEARCH("Antitarnish",Upload!N73&amp;Upload!O73&amp;Upload!P73&amp;Upload!Q73)),ISNUMBER(SEARCH("Anti Tarnish",Upload!N73&amp;Upload!O73&amp;Upload!P73&amp;Upload!Q73))))),"",0.0012*N74)</f>
        <v/>
      </c>
      <c r="P74" s="16" t="str">
        <f>IF(OR(D74="",NOT(OR(ISNUMBER(SEARCH("Epóx",Upload!N73&amp;Upload!O73&amp;Upload!P73&amp;Upload!Q73)),ISNUMBER(SEARCH("Epox",Upload!N73&amp;Upload!O73&amp;Upload!P73&amp;Upload!Q73)),ISNUMBER(SEARCH("Barniz",Upload!N73&amp;Upload!O73&amp;Upload!P73&amp;Upload!Q73))))),"",D74*0.000035)</f>
        <v/>
      </c>
      <c r="Q74" s="16" t="str">
        <f>IF(OR(D74="",NOT(OR(ISNUMBER(SEARCH("Epóx",Upload!N73&amp;Upload!O73&amp;Upload!P73&amp;Upload!Q73)),ISNUMBER(SEARCH("Epox",Upload!N73&amp;Upload!O73&amp;Upload!P73&amp;Upload!Q73)),ISNUMBER(SEARCH("Barniz",Upload!N73&amp;Upload!O73&amp;Upload!P73&amp;Upload!Q73))))),"",D74*0.000035)</f>
        <v/>
      </c>
      <c r="R74" s="16" t="str">
        <f t="shared" si="13"/>
        <v/>
      </c>
    </row>
    <row r="75" spans="1:18" x14ac:dyDescent="0.2">
      <c r="A75" s="10" t="e">
        <f t="shared" ca="1" si="7"/>
        <v>#NAME?</v>
      </c>
      <c r="B75" s="10">
        <f>Upload!E74</f>
        <v>0</v>
      </c>
      <c r="C75" s="10">
        <f>Upload!AJ74</f>
        <v>0</v>
      </c>
      <c r="D75" s="10">
        <f>Upload!AK74</f>
        <v>0</v>
      </c>
      <c r="E75" s="10" t="str">
        <f>Upload!AF74</f>
        <v/>
      </c>
      <c r="F75" s="10" t="str">
        <f>Upload!AH74</f>
        <v/>
      </c>
      <c r="G75" s="10" t="str">
        <f>Upload!AE74</f>
        <v>(seleccione)</v>
      </c>
      <c r="H75" s="10" t="str">
        <f>Upload!AG74</f>
        <v>(seleccione)</v>
      </c>
      <c r="J75" s="16" t="str">
        <f t="shared" si="8"/>
        <v/>
      </c>
      <c r="K75" s="16" t="str">
        <f t="shared" si="9"/>
        <v/>
      </c>
      <c r="L75" s="16" t="str">
        <f t="shared" si="10"/>
        <v/>
      </c>
      <c r="M75" s="16" t="str">
        <f t="shared" si="11"/>
        <v/>
      </c>
      <c r="N75" s="16" t="str">
        <f t="shared" si="12"/>
        <v/>
      </c>
      <c r="O75" s="16" t="str">
        <f>IF(OR(N75="",NOT(OR(ISNUMBER(SEARCH("Antitarnish",Upload!N74&amp;Upload!O74&amp;Upload!P74&amp;Upload!Q74)),ISNUMBER(SEARCH("Anti Tarnish",Upload!N74&amp;Upload!O74&amp;Upload!P74&amp;Upload!Q74))))),"",0.0012*N75)</f>
        <v/>
      </c>
      <c r="P75" s="16" t="str">
        <f>IF(OR(D75="",NOT(OR(ISNUMBER(SEARCH("Epóx",Upload!N74&amp;Upload!O74&amp;Upload!P74&amp;Upload!Q74)),ISNUMBER(SEARCH("Epox",Upload!N74&amp;Upload!O74&amp;Upload!P74&amp;Upload!Q74)),ISNUMBER(SEARCH("Barniz",Upload!N74&amp;Upload!O74&amp;Upload!P74&amp;Upload!Q74))))),"",D75*0.000035)</f>
        <v/>
      </c>
      <c r="Q75" s="16" t="str">
        <f>IF(OR(D75="",NOT(OR(ISNUMBER(SEARCH("Epóx",Upload!N74&amp;Upload!O74&amp;Upload!P74&amp;Upload!Q74)),ISNUMBER(SEARCH("Epox",Upload!N74&amp;Upload!O74&amp;Upload!P74&amp;Upload!Q74)),ISNUMBER(SEARCH("Barniz",Upload!N74&amp;Upload!O74&amp;Upload!P74&amp;Upload!Q74))))),"",D75*0.000035)</f>
        <v/>
      </c>
      <c r="R75" s="16" t="str">
        <f t="shared" si="13"/>
        <v/>
      </c>
    </row>
    <row r="76" spans="1:18" x14ac:dyDescent="0.2">
      <c r="A76" s="10" t="e">
        <f t="shared" ca="1" si="7"/>
        <v>#NAME?</v>
      </c>
      <c r="B76" s="10">
        <f>Upload!E75</f>
        <v>0</v>
      </c>
      <c r="C76" s="10">
        <f>Upload!AJ75</f>
        <v>0</v>
      </c>
      <c r="D76" s="10">
        <f>Upload!AK75</f>
        <v>0</v>
      </c>
      <c r="E76" s="10" t="str">
        <f>Upload!AF75</f>
        <v/>
      </c>
      <c r="F76" s="10" t="str">
        <f>Upload!AH75</f>
        <v/>
      </c>
      <c r="G76" s="10" t="str">
        <f>Upload!AE75</f>
        <v>(seleccione)</v>
      </c>
      <c r="H76" s="10" t="str">
        <f>Upload!AG75</f>
        <v>(seleccione)</v>
      </c>
      <c r="J76" s="16" t="str">
        <f t="shared" si="8"/>
        <v/>
      </c>
      <c r="K76" s="16" t="str">
        <f t="shared" si="9"/>
        <v/>
      </c>
      <c r="L76" s="16" t="str">
        <f t="shared" si="10"/>
        <v/>
      </c>
      <c r="M76" s="16" t="str">
        <f t="shared" si="11"/>
        <v/>
      </c>
      <c r="N76" s="16" t="str">
        <f t="shared" si="12"/>
        <v/>
      </c>
      <c r="O76" s="16" t="str">
        <f>IF(OR(N76="",NOT(OR(ISNUMBER(SEARCH("Antitarnish",Upload!N75&amp;Upload!O75&amp;Upload!P75&amp;Upload!Q75)),ISNUMBER(SEARCH("Anti Tarnish",Upload!N75&amp;Upload!O75&amp;Upload!P75&amp;Upload!Q75))))),"",0.0012*N76)</f>
        <v/>
      </c>
      <c r="P76" s="16" t="str">
        <f>IF(OR(D76="",NOT(OR(ISNUMBER(SEARCH("Epóx",Upload!N75&amp;Upload!O75&amp;Upload!P75&amp;Upload!Q75)),ISNUMBER(SEARCH("Epox",Upload!N75&amp;Upload!O75&amp;Upload!P75&amp;Upload!Q75)),ISNUMBER(SEARCH("Barniz",Upload!N75&amp;Upload!O75&amp;Upload!P75&amp;Upload!Q75))))),"",D76*0.000035)</f>
        <v/>
      </c>
      <c r="Q76" s="16" t="str">
        <f>IF(OR(D76="",NOT(OR(ISNUMBER(SEARCH("Epóx",Upload!N75&amp;Upload!O75&amp;Upload!P75&amp;Upload!Q75)),ISNUMBER(SEARCH("Epox",Upload!N75&amp;Upload!O75&amp;Upload!P75&amp;Upload!Q75)),ISNUMBER(SEARCH("Barniz",Upload!N75&amp;Upload!O75&amp;Upload!P75&amp;Upload!Q75))))),"",D76*0.000035)</f>
        <v/>
      </c>
      <c r="R76" s="16" t="str">
        <f t="shared" si="13"/>
        <v/>
      </c>
    </row>
    <row r="77" spans="1:18" x14ac:dyDescent="0.2">
      <c r="A77" s="10" t="e">
        <f t="shared" ca="1" si="7"/>
        <v>#NAME?</v>
      </c>
      <c r="B77" s="10">
        <f>Upload!E76</f>
        <v>0</v>
      </c>
      <c r="C77" s="10">
        <f>Upload!AJ76</f>
        <v>0</v>
      </c>
      <c r="D77" s="10">
        <f>Upload!AK76</f>
        <v>0</v>
      </c>
      <c r="E77" s="10" t="str">
        <f>Upload!AF76</f>
        <v/>
      </c>
      <c r="F77" s="10" t="str">
        <f>Upload!AH76</f>
        <v/>
      </c>
      <c r="G77" s="10" t="str">
        <f>Upload!AE76</f>
        <v>(seleccione)</v>
      </c>
      <c r="H77" s="10" t="str">
        <f>Upload!AG76</f>
        <v>(seleccione)</v>
      </c>
      <c r="J77" s="16" t="str">
        <f t="shared" si="8"/>
        <v/>
      </c>
      <c r="K77" s="16" t="str">
        <f t="shared" si="9"/>
        <v/>
      </c>
      <c r="L77" s="16" t="str">
        <f t="shared" si="10"/>
        <v/>
      </c>
      <c r="M77" s="16" t="str">
        <f t="shared" si="11"/>
        <v/>
      </c>
      <c r="N77" s="16" t="str">
        <f t="shared" si="12"/>
        <v/>
      </c>
      <c r="O77" s="16" t="str">
        <f>IF(OR(N77="",NOT(OR(ISNUMBER(SEARCH("Antitarnish",Upload!N76&amp;Upload!O76&amp;Upload!P76&amp;Upload!Q76)),ISNUMBER(SEARCH("Anti Tarnish",Upload!N76&amp;Upload!O76&amp;Upload!P76&amp;Upload!Q76))))),"",0.0012*N77)</f>
        <v/>
      </c>
      <c r="P77" s="16" t="str">
        <f>IF(OR(D77="",NOT(OR(ISNUMBER(SEARCH("Epóx",Upload!N76&amp;Upload!O76&amp;Upload!P76&amp;Upload!Q76)),ISNUMBER(SEARCH("Epox",Upload!N76&amp;Upload!O76&amp;Upload!P76&amp;Upload!Q76)),ISNUMBER(SEARCH("Barniz",Upload!N76&amp;Upload!O76&amp;Upload!P76&amp;Upload!Q76))))),"",D77*0.000035)</f>
        <v/>
      </c>
      <c r="Q77" s="16" t="str">
        <f>IF(OR(D77="",NOT(OR(ISNUMBER(SEARCH("Epóx",Upload!N76&amp;Upload!O76&amp;Upload!P76&amp;Upload!Q76)),ISNUMBER(SEARCH("Epox",Upload!N76&amp;Upload!O76&amp;Upload!P76&amp;Upload!Q76)),ISNUMBER(SEARCH("Barniz",Upload!N76&amp;Upload!O76&amp;Upload!P76&amp;Upload!Q76))))),"",D77*0.000035)</f>
        <v/>
      </c>
      <c r="R77" s="16" t="str">
        <f t="shared" si="13"/>
        <v/>
      </c>
    </row>
    <row r="78" spans="1:18" x14ac:dyDescent="0.2">
      <c r="A78" s="10" t="e">
        <f t="shared" ca="1" si="7"/>
        <v>#NAME?</v>
      </c>
      <c r="B78" s="10">
        <f>Upload!E77</f>
        <v>0</v>
      </c>
      <c r="C78" s="10">
        <f>Upload!AJ77</f>
        <v>0</v>
      </c>
      <c r="D78" s="10">
        <f>Upload!AK77</f>
        <v>0</v>
      </c>
      <c r="E78" s="10" t="str">
        <f>Upload!AF77</f>
        <v/>
      </c>
      <c r="F78" s="10" t="str">
        <f>Upload!AH77</f>
        <v/>
      </c>
      <c r="G78" s="10" t="str">
        <f>Upload!AE77</f>
        <v>(seleccione)</v>
      </c>
      <c r="H78" s="10" t="str">
        <f>Upload!AG77</f>
        <v>(seleccione)</v>
      </c>
      <c r="J78" s="16" t="str">
        <f t="shared" si="8"/>
        <v/>
      </c>
      <c r="K78" s="16" t="str">
        <f t="shared" si="9"/>
        <v/>
      </c>
      <c r="L78" s="16" t="str">
        <f t="shared" si="10"/>
        <v/>
      </c>
      <c r="M78" s="16" t="str">
        <f t="shared" si="11"/>
        <v/>
      </c>
      <c r="N78" s="16" t="str">
        <f t="shared" si="12"/>
        <v/>
      </c>
      <c r="O78" s="16" t="str">
        <f>IF(OR(N78="",NOT(OR(ISNUMBER(SEARCH("Antitarnish",Upload!N77&amp;Upload!O77&amp;Upload!P77&amp;Upload!Q77)),ISNUMBER(SEARCH("Anti Tarnish",Upload!N77&amp;Upload!O77&amp;Upload!P77&amp;Upload!Q77))))),"",0.0012*N78)</f>
        <v/>
      </c>
      <c r="P78" s="16" t="str">
        <f>IF(OR(D78="",NOT(OR(ISNUMBER(SEARCH("Epóx",Upload!N77&amp;Upload!O77&amp;Upload!P77&amp;Upload!Q77)),ISNUMBER(SEARCH("Epox",Upload!N77&amp;Upload!O77&amp;Upload!P77&amp;Upload!Q77)),ISNUMBER(SEARCH("Barniz",Upload!N77&amp;Upload!O77&amp;Upload!P77&amp;Upload!Q77))))),"",D78*0.000035)</f>
        <v/>
      </c>
      <c r="Q78" s="16" t="str">
        <f>IF(OR(D78="",NOT(OR(ISNUMBER(SEARCH("Epóx",Upload!N77&amp;Upload!O77&amp;Upload!P77&amp;Upload!Q77)),ISNUMBER(SEARCH("Epox",Upload!N77&amp;Upload!O77&amp;Upload!P77&amp;Upload!Q77)),ISNUMBER(SEARCH("Barniz",Upload!N77&amp;Upload!O77&amp;Upload!P77&amp;Upload!Q77))))),"",D78*0.000035)</f>
        <v/>
      </c>
      <c r="R78" s="16" t="str">
        <f t="shared" si="13"/>
        <v/>
      </c>
    </row>
    <row r="79" spans="1:18" x14ac:dyDescent="0.2">
      <c r="A79" s="10" t="e">
        <f t="shared" ca="1" si="7"/>
        <v>#NAME?</v>
      </c>
      <c r="B79" s="10">
        <f>Upload!E78</f>
        <v>0</v>
      </c>
      <c r="C79" s="10">
        <f>Upload!AJ78</f>
        <v>0</v>
      </c>
      <c r="D79" s="10">
        <f>Upload!AK78</f>
        <v>0</v>
      </c>
      <c r="E79" s="10" t="str">
        <f>Upload!AF78</f>
        <v/>
      </c>
      <c r="F79" s="10" t="str">
        <f>Upload!AH78</f>
        <v/>
      </c>
      <c r="G79" s="10" t="str">
        <f>Upload!AE78</f>
        <v>(seleccione)</v>
      </c>
      <c r="H79" s="10" t="str">
        <f>Upload!AG78</f>
        <v>(seleccione)</v>
      </c>
      <c r="J79" s="16" t="str">
        <f t="shared" si="8"/>
        <v/>
      </c>
      <c r="K79" s="16" t="str">
        <f t="shared" si="9"/>
        <v/>
      </c>
      <c r="L79" s="16" t="str">
        <f t="shared" si="10"/>
        <v/>
      </c>
      <c r="M79" s="16" t="str">
        <f t="shared" si="11"/>
        <v/>
      </c>
      <c r="N79" s="16" t="str">
        <f t="shared" si="12"/>
        <v/>
      </c>
      <c r="O79" s="16" t="str">
        <f>IF(OR(N79="",NOT(OR(ISNUMBER(SEARCH("Antitarnish",Upload!N78&amp;Upload!O78&amp;Upload!P78&amp;Upload!Q78)),ISNUMBER(SEARCH("Anti Tarnish",Upload!N78&amp;Upload!O78&amp;Upload!P78&amp;Upload!Q78))))),"",0.0012*N79)</f>
        <v/>
      </c>
      <c r="P79" s="16" t="str">
        <f>IF(OR(D79="",NOT(OR(ISNUMBER(SEARCH("Epóx",Upload!N78&amp;Upload!O78&amp;Upload!P78&amp;Upload!Q78)),ISNUMBER(SEARCH("Epox",Upload!N78&amp;Upload!O78&amp;Upload!P78&amp;Upload!Q78)),ISNUMBER(SEARCH("Barniz",Upload!N78&amp;Upload!O78&amp;Upload!P78&amp;Upload!Q78))))),"",D79*0.000035)</f>
        <v/>
      </c>
      <c r="Q79" s="16" t="str">
        <f>IF(OR(D79="",NOT(OR(ISNUMBER(SEARCH("Epóx",Upload!N78&amp;Upload!O78&amp;Upload!P78&amp;Upload!Q78)),ISNUMBER(SEARCH("Epox",Upload!N78&amp;Upload!O78&amp;Upload!P78&amp;Upload!Q78)),ISNUMBER(SEARCH("Barniz",Upload!N78&amp;Upload!O78&amp;Upload!P78&amp;Upload!Q78))))),"",D79*0.000035)</f>
        <v/>
      </c>
      <c r="R79" s="16" t="str">
        <f t="shared" si="13"/>
        <v/>
      </c>
    </row>
    <row r="80" spans="1:18" x14ac:dyDescent="0.2">
      <c r="A80" s="10" t="e">
        <f t="shared" ca="1" si="7"/>
        <v>#NAME?</v>
      </c>
      <c r="B80" s="10">
        <f>Upload!E79</f>
        <v>0</v>
      </c>
      <c r="C80" s="10">
        <f>Upload!AJ79</f>
        <v>0</v>
      </c>
      <c r="D80" s="10">
        <f>Upload!AK79</f>
        <v>0</v>
      </c>
      <c r="E80" s="10" t="str">
        <f>Upload!AF79</f>
        <v/>
      </c>
      <c r="F80" s="10" t="str">
        <f>Upload!AH79</f>
        <v/>
      </c>
      <c r="G80" s="10" t="str">
        <f>Upload!AE79</f>
        <v>(seleccione)</v>
      </c>
      <c r="H80" s="10" t="str">
        <f>Upload!AG79</f>
        <v>(seleccione)</v>
      </c>
      <c r="J80" s="16" t="str">
        <f t="shared" si="8"/>
        <v/>
      </c>
      <c r="K80" s="16" t="str">
        <f t="shared" si="9"/>
        <v/>
      </c>
      <c r="L80" s="16" t="str">
        <f t="shared" si="10"/>
        <v/>
      </c>
      <c r="M80" s="16" t="str">
        <f t="shared" si="11"/>
        <v/>
      </c>
      <c r="N80" s="16" t="str">
        <f t="shared" si="12"/>
        <v/>
      </c>
      <c r="O80" s="16" t="str">
        <f>IF(OR(N80="",NOT(OR(ISNUMBER(SEARCH("Antitarnish",Upload!N79&amp;Upload!O79&amp;Upload!P79&amp;Upload!Q79)),ISNUMBER(SEARCH("Anti Tarnish",Upload!N79&amp;Upload!O79&amp;Upload!P79&amp;Upload!Q79))))),"",0.0012*N80)</f>
        <v/>
      </c>
      <c r="P80" s="16" t="str">
        <f>IF(OR(D80="",NOT(OR(ISNUMBER(SEARCH("Epóx",Upload!N79&amp;Upload!O79&amp;Upload!P79&amp;Upload!Q79)),ISNUMBER(SEARCH("Epox",Upload!N79&amp;Upload!O79&amp;Upload!P79&amp;Upload!Q79)),ISNUMBER(SEARCH("Barniz",Upload!N79&amp;Upload!O79&amp;Upload!P79&amp;Upload!Q79))))),"",D80*0.000035)</f>
        <v/>
      </c>
      <c r="Q80" s="16" t="str">
        <f>IF(OR(D80="",NOT(OR(ISNUMBER(SEARCH("Epóx",Upload!N79&amp;Upload!O79&amp;Upload!P79&amp;Upload!Q79)),ISNUMBER(SEARCH("Epox",Upload!N79&amp;Upload!O79&amp;Upload!P79&amp;Upload!Q79)),ISNUMBER(SEARCH("Barniz",Upload!N79&amp;Upload!O79&amp;Upload!P79&amp;Upload!Q79))))),"",D80*0.000035)</f>
        <v/>
      </c>
      <c r="R80" s="16" t="str">
        <f t="shared" si="13"/>
        <v/>
      </c>
    </row>
    <row r="81" spans="1:18" x14ac:dyDescent="0.2">
      <c r="A81" s="10" t="e">
        <f t="shared" ca="1" si="7"/>
        <v>#NAME?</v>
      </c>
      <c r="B81" s="10">
        <f>Upload!E80</f>
        <v>0</v>
      </c>
      <c r="C81" s="10">
        <f>Upload!AJ80</f>
        <v>0</v>
      </c>
      <c r="D81" s="10">
        <f>Upload!AK80</f>
        <v>0</v>
      </c>
      <c r="E81" s="10" t="str">
        <f>Upload!AF80</f>
        <v/>
      </c>
      <c r="F81" s="10" t="str">
        <f>Upload!AH80</f>
        <v/>
      </c>
      <c r="G81" s="10" t="str">
        <f>Upload!AE80</f>
        <v>(seleccione)</v>
      </c>
      <c r="H81" s="10" t="str">
        <f>Upload!AG80</f>
        <v>(seleccione)</v>
      </c>
      <c r="J81" s="16" t="str">
        <f t="shared" si="8"/>
        <v/>
      </c>
      <c r="K81" s="16" t="str">
        <f t="shared" si="9"/>
        <v/>
      </c>
      <c r="L81" s="16" t="str">
        <f t="shared" si="10"/>
        <v/>
      </c>
      <c r="M81" s="16" t="str">
        <f t="shared" si="11"/>
        <v/>
      </c>
      <c r="N81" s="16" t="str">
        <f t="shared" si="12"/>
        <v/>
      </c>
      <c r="O81" s="16" t="str">
        <f>IF(OR(N81="",NOT(OR(ISNUMBER(SEARCH("Antitarnish",Upload!N80&amp;Upload!O80&amp;Upload!P80&amp;Upload!Q80)),ISNUMBER(SEARCH("Anti Tarnish",Upload!N80&amp;Upload!O80&amp;Upload!P80&amp;Upload!Q80))))),"",0.0012*N81)</f>
        <v/>
      </c>
      <c r="P81" s="16" t="str">
        <f>IF(OR(D81="",NOT(OR(ISNUMBER(SEARCH("Epóx",Upload!N80&amp;Upload!O80&amp;Upload!P80&amp;Upload!Q80)),ISNUMBER(SEARCH("Epox",Upload!N80&amp;Upload!O80&amp;Upload!P80&amp;Upload!Q80)),ISNUMBER(SEARCH("Barniz",Upload!N80&amp;Upload!O80&amp;Upload!P80&amp;Upload!Q80))))),"",D81*0.000035)</f>
        <v/>
      </c>
      <c r="Q81" s="16" t="str">
        <f>IF(OR(D81="",NOT(OR(ISNUMBER(SEARCH("Epóx",Upload!N80&amp;Upload!O80&amp;Upload!P80&amp;Upload!Q80)),ISNUMBER(SEARCH("Epox",Upload!N80&amp;Upload!O80&amp;Upload!P80&amp;Upload!Q80)),ISNUMBER(SEARCH("Barniz",Upload!N80&amp;Upload!O80&amp;Upload!P80&amp;Upload!Q80))))),"",D81*0.000035)</f>
        <v/>
      </c>
      <c r="R81" s="16" t="str">
        <f t="shared" si="13"/>
        <v/>
      </c>
    </row>
    <row r="82" spans="1:18" x14ac:dyDescent="0.2">
      <c r="A82" s="10" t="e">
        <f t="shared" ca="1" si="7"/>
        <v>#NAME?</v>
      </c>
      <c r="B82" s="10">
        <f>Upload!E81</f>
        <v>0</v>
      </c>
      <c r="C82" s="10">
        <f>Upload!AJ81</f>
        <v>0</v>
      </c>
      <c r="D82" s="10">
        <f>Upload!AK81</f>
        <v>0</v>
      </c>
      <c r="E82" s="10" t="str">
        <f>Upload!AF81</f>
        <v/>
      </c>
      <c r="F82" s="10" t="str">
        <f>Upload!AH81</f>
        <v/>
      </c>
      <c r="G82" s="10" t="str">
        <f>Upload!AE81</f>
        <v>(seleccione)</v>
      </c>
      <c r="H82" s="10" t="str">
        <f>Upload!AG81</f>
        <v>(seleccione)</v>
      </c>
      <c r="J82" s="16" t="str">
        <f t="shared" si="8"/>
        <v/>
      </c>
      <c r="K82" s="16" t="str">
        <f t="shared" si="9"/>
        <v/>
      </c>
      <c r="L82" s="16" t="str">
        <f t="shared" si="10"/>
        <v/>
      </c>
      <c r="M82" s="16" t="str">
        <f t="shared" si="11"/>
        <v/>
      </c>
      <c r="N82" s="16" t="str">
        <f t="shared" si="12"/>
        <v/>
      </c>
      <c r="O82" s="16" t="str">
        <f>IF(OR(N82="",NOT(OR(ISNUMBER(SEARCH("Antitarnish",Upload!N81&amp;Upload!O81&amp;Upload!P81&amp;Upload!Q81)),ISNUMBER(SEARCH("Anti Tarnish",Upload!N81&amp;Upload!O81&amp;Upload!P81&amp;Upload!Q81))))),"",0.0012*N82)</f>
        <v/>
      </c>
      <c r="P82" s="16" t="str">
        <f>IF(OR(D82="",NOT(OR(ISNUMBER(SEARCH("Epóx",Upload!N81&amp;Upload!O81&amp;Upload!P81&amp;Upload!Q81)),ISNUMBER(SEARCH("Epox",Upload!N81&amp;Upload!O81&amp;Upload!P81&amp;Upload!Q81)),ISNUMBER(SEARCH("Barniz",Upload!N81&amp;Upload!O81&amp;Upload!P81&amp;Upload!Q81))))),"",D82*0.000035)</f>
        <v/>
      </c>
      <c r="Q82" s="16" t="str">
        <f>IF(OR(D82="",NOT(OR(ISNUMBER(SEARCH("Epóx",Upload!N81&amp;Upload!O81&amp;Upload!P81&amp;Upload!Q81)),ISNUMBER(SEARCH("Epox",Upload!N81&amp;Upload!O81&amp;Upload!P81&amp;Upload!Q81)),ISNUMBER(SEARCH("Barniz",Upload!N81&amp;Upload!O81&amp;Upload!P81&amp;Upload!Q81))))),"",D82*0.000035)</f>
        <v/>
      </c>
      <c r="R82" s="16" t="str">
        <f t="shared" si="13"/>
        <v/>
      </c>
    </row>
    <row r="83" spans="1:18" x14ac:dyDescent="0.2">
      <c r="A83" s="10" t="e">
        <f t="shared" ca="1" si="7"/>
        <v>#NAME?</v>
      </c>
      <c r="B83" s="10">
        <f>Upload!E82</f>
        <v>0</v>
      </c>
      <c r="C83" s="10">
        <f>Upload!AJ82</f>
        <v>0</v>
      </c>
      <c r="D83" s="10">
        <f>Upload!AK82</f>
        <v>0</v>
      </c>
      <c r="E83" s="10" t="str">
        <f>Upload!AF82</f>
        <v/>
      </c>
      <c r="F83" s="10" t="str">
        <f>Upload!AH82</f>
        <v/>
      </c>
      <c r="G83" s="10" t="str">
        <f>Upload!AE82</f>
        <v>(seleccione)</v>
      </c>
      <c r="H83" s="10" t="str">
        <f>Upload!AG82</f>
        <v>(seleccione)</v>
      </c>
      <c r="J83" s="16" t="str">
        <f t="shared" si="8"/>
        <v/>
      </c>
      <c r="K83" s="16" t="str">
        <f t="shared" si="9"/>
        <v/>
      </c>
      <c r="L83" s="16" t="str">
        <f t="shared" si="10"/>
        <v/>
      </c>
      <c r="M83" s="16" t="str">
        <f t="shared" si="11"/>
        <v/>
      </c>
      <c r="N83" s="16" t="str">
        <f t="shared" si="12"/>
        <v/>
      </c>
      <c r="O83" s="16" t="str">
        <f>IF(OR(N83="",NOT(OR(ISNUMBER(SEARCH("Antitarnish",Upload!N82&amp;Upload!O82&amp;Upload!P82&amp;Upload!Q82)),ISNUMBER(SEARCH("Anti Tarnish",Upload!N82&amp;Upload!O82&amp;Upload!P82&amp;Upload!Q82))))),"",0.0012*N83)</f>
        <v/>
      </c>
      <c r="P83" s="16" t="str">
        <f>IF(OR(D83="",NOT(OR(ISNUMBER(SEARCH("Epóx",Upload!N82&amp;Upload!O82&amp;Upload!P82&amp;Upload!Q82)),ISNUMBER(SEARCH("Epox",Upload!N82&amp;Upload!O82&amp;Upload!P82&amp;Upload!Q82)),ISNUMBER(SEARCH("Barniz",Upload!N82&amp;Upload!O82&amp;Upload!P82&amp;Upload!Q82))))),"",D83*0.000035)</f>
        <v/>
      </c>
      <c r="Q83" s="16" t="str">
        <f>IF(OR(D83="",NOT(OR(ISNUMBER(SEARCH("Epóx",Upload!N82&amp;Upload!O82&amp;Upload!P82&amp;Upload!Q82)),ISNUMBER(SEARCH("Epox",Upload!N82&amp;Upload!O82&amp;Upload!P82&amp;Upload!Q82)),ISNUMBER(SEARCH("Barniz",Upload!N82&amp;Upload!O82&amp;Upload!P82&amp;Upload!Q82))))),"",D83*0.000035)</f>
        <v/>
      </c>
      <c r="R83" s="16" t="str">
        <f t="shared" si="13"/>
        <v/>
      </c>
    </row>
    <row r="84" spans="1:18" x14ac:dyDescent="0.2">
      <c r="A84" s="10" t="e">
        <f t="shared" ca="1" si="7"/>
        <v>#NAME?</v>
      </c>
      <c r="B84" s="10">
        <f>Upload!E83</f>
        <v>0</v>
      </c>
      <c r="C84" s="10">
        <f>Upload!AJ83</f>
        <v>0</v>
      </c>
      <c r="D84" s="10">
        <f>Upload!AK83</f>
        <v>0</v>
      </c>
      <c r="E84" s="10" t="str">
        <f>Upload!AF83</f>
        <v/>
      </c>
      <c r="F84" s="10" t="str">
        <f>Upload!AH83</f>
        <v/>
      </c>
      <c r="G84" s="10" t="str">
        <f>Upload!AE83</f>
        <v>(seleccione)</v>
      </c>
      <c r="H84" s="10" t="str">
        <f>Upload!AG83</f>
        <v>(seleccione)</v>
      </c>
      <c r="J84" s="16" t="str">
        <f t="shared" si="8"/>
        <v/>
      </c>
      <c r="K84" s="16" t="str">
        <f t="shared" si="9"/>
        <v/>
      </c>
      <c r="L84" s="16" t="str">
        <f t="shared" si="10"/>
        <v/>
      </c>
      <c r="M84" s="16" t="str">
        <f t="shared" si="11"/>
        <v/>
      </c>
      <c r="N84" s="16" t="str">
        <f t="shared" si="12"/>
        <v/>
      </c>
      <c r="O84" s="16" t="str">
        <f>IF(OR(N84="",NOT(OR(ISNUMBER(SEARCH("Antitarnish",Upload!N83&amp;Upload!O83&amp;Upload!P83&amp;Upload!Q83)),ISNUMBER(SEARCH("Anti Tarnish",Upload!N83&amp;Upload!O83&amp;Upload!P83&amp;Upload!Q83))))),"",0.0012*N84)</f>
        <v/>
      </c>
      <c r="P84" s="16" t="str">
        <f>IF(OR(D84="",NOT(OR(ISNUMBER(SEARCH("Epóx",Upload!N83&amp;Upload!O83&amp;Upload!P83&amp;Upload!Q83)),ISNUMBER(SEARCH("Epox",Upload!N83&amp;Upload!O83&amp;Upload!P83&amp;Upload!Q83)),ISNUMBER(SEARCH("Barniz",Upload!N83&amp;Upload!O83&amp;Upload!P83&amp;Upload!Q83))))),"",D84*0.000035)</f>
        <v/>
      </c>
      <c r="Q84" s="16" t="str">
        <f>IF(OR(D84="",NOT(OR(ISNUMBER(SEARCH("Epóx",Upload!N83&amp;Upload!O83&amp;Upload!P83&amp;Upload!Q83)),ISNUMBER(SEARCH("Epox",Upload!N83&amp;Upload!O83&amp;Upload!P83&amp;Upload!Q83)),ISNUMBER(SEARCH("Barniz",Upload!N83&amp;Upload!O83&amp;Upload!P83&amp;Upload!Q83))))),"",D84*0.000035)</f>
        <v/>
      </c>
      <c r="R84" s="16" t="str">
        <f t="shared" si="13"/>
        <v/>
      </c>
    </row>
    <row r="85" spans="1:18" x14ac:dyDescent="0.2">
      <c r="A85" s="10" t="e">
        <f t="shared" ca="1" si="7"/>
        <v>#NAME?</v>
      </c>
      <c r="B85" s="10">
        <f>Upload!E84</f>
        <v>0</v>
      </c>
      <c r="C85" s="10">
        <f>Upload!AJ84</f>
        <v>0</v>
      </c>
      <c r="D85" s="10">
        <f>Upload!AK84</f>
        <v>0</v>
      </c>
      <c r="E85" s="10" t="str">
        <f>Upload!AF84</f>
        <v/>
      </c>
      <c r="F85" s="10" t="str">
        <f>Upload!AH84</f>
        <v/>
      </c>
      <c r="G85" s="10" t="str">
        <f>Upload!AE84</f>
        <v>(seleccione)</v>
      </c>
      <c r="H85" s="10" t="str">
        <f>Upload!AG84</f>
        <v>(seleccione)</v>
      </c>
      <c r="J85" s="16" t="str">
        <f t="shared" si="8"/>
        <v/>
      </c>
      <c r="K85" s="16" t="str">
        <f t="shared" si="9"/>
        <v/>
      </c>
      <c r="L85" s="16" t="str">
        <f t="shared" si="10"/>
        <v/>
      </c>
      <c r="M85" s="16" t="str">
        <f t="shared" si="11"/>
        <v/>
      </c>
      <c r="N85" s="16" t="str">
        <f t="shared" si="12"/>
        <v/>
      </c>
      <c r="O85" s="16" t="str">
        <f>IF(OR(N85="",NOT(OR(ISNUMBER(SEARCH("Antitarnish",Upload!N84&amp;Upload!O84&amp;Upload!P84&amp;Upload!Q84)),ISNUMBER(SEARCH("Anti Tarnish",Upload!N84&amp;Upload!O84&amp;Upload!P84&amp;Upload!Q84))))),"",0.0012*N85)</f>
        <v/>
      </c>
      <c r="P85" s="16" t="str">
        <f>IF(OR(D85="",NOT(OR(ISNUMBER(SEARCH("Epóx",Upload!N84&amp;Upload!O84&amp;Upload!P84&amp;Upload!Q84)),ISNUMBER(SEARCH("Epox",Upload!N84&amp;Upload!O84&amp;Upload!P84&amp;Upload!Q84)),ISNUMBER(SEARCH("Barniz",Upload!N84&amp;Upload!O84&amp;Upload!P84&amp;Upload!Q84))))),"",D85*0.000035)</f>
        <v/>
      </c>
      <c r="Q85" s="16" t="str">
        <f>IF(OR(D85="",NOT(OR(ISNUMBER(SEARCH("Epóx",Upload!N84&amp;Upload!O84&amp;Upload!P84&amp;Upload!Q84)),ISNUMBER(SEARCH("Epox",Upload!N84&amp;Upload!O84&amp;Upload!P84&amp;Upload!Q84)),ISNUMBER(SEARCH("Barniz",Upload!N84&amp;Upload!O84&amp;Upload!P84&amp;Upload!Q84))))),"",D85*0.000035)</f>
        <v/>
      </c>
      <c r="R85" s="16" t="str">
        <f t="shared" si="13"/>
        <v/>
      </c>
    </row>
    <row r="86" spans="1:18" x14ac:dyDescent="0.2">
      <c r="A86" s="10" t="e">
        <f t="shared" ca="1" si="7"/>
        <v>#NAME?</v>
      </c>
      <c r="B86" s="10">
        <f>Upload!E85</f>
        <v>0</v>
      </c>
      <c r="C86" s="10">
        <f>Upload!AJ85</f>
        <v>0</v>
      </c>
      <c r="D86" s="10">
        <f>Upload!AK85</f>
        <v>0</v>
      </c>
      <c r="E86" s="10" t="str">
        <f>Upload!AF85</f>
        <v/>
      </c>
      <c r="F86" s="10" t="str">
        <f>Upload!AH85</f>
        <v/>
      </c>
      <c r="G86" s="10" t="str">
        <f>Upload!AE85</f>
        <v>(seleccione)</v>
      </c>
      <c r="H86" s="10" t="str">
        <f>Upload!AG85</f>
        <v>(seleccione)</v>
      </c>
      <c r="J86" s="16" t="str">
        <f t="shared" si="8"/>
        <v/>
      </c>
      <c r="K86" s="16" t="str">
        <f t="shared" si="9"/>
        <v/>
      </c>
      <c r="L86" s="16" t="str">
        <f t="shared" si="10"/>
        <v/>
      </c>
      <c r="M86" s="16" t="str">
        <f t="shared" si="11"/>
        <v/>
      </c>
      <c r="N86" s="16" t="str">
        <f t="shared" si="12"/>
        <v/>
      </c>
      <c r="O86" s="16" t="str">
        <f>IF(OR(N86="",NOT(OR(ISNUMBER(SEARCH("Antitarnish",Upload!N85&amp;Upload!O85&amp;Upload!P85&amp;Upload!Q85)),ISNUMBER(SEARCH("Anti Tarnish",Upload!N85&amp;Upload!O85&amp;Upload!P85&amp;Upload!Q85))))),"",0.0012*N86)</f>
        <v/>
      </c>
      <c r="P86" s="16" t="str">
        <f>IF(OR(D86="",NOT(OR(ISNUMBER(SEARCH("Epóx",Upload!N85&amp;Upload!O85&amp;Upload!P85&amp;Upload!Q85)),ISNUMBER(SEARCH("Epox",Upload!N85&amp;Upload!O85&amp;Upload!P85&amp;Upload!Q85)),ISNUMBER(SEARCH("Barniz",Upload!N85&amp;Upload!O85&amp;Upload!P85&amp;Upload!Q85))))),"",D86*0.000035)</f>
        <v/>
      </c>
      <c r="Q86" s="16" t="str">
        <f>IF(OR(D86="",NOT(OR(ISNUMBER(SEARCH("Epóx",Upload!N85&amp;Upload!O85&amp;Upload!P85&amp;Upload!Q85)),ISNUMBER(SEARCH("Epox",Upload!N85&amp;Upload!O85&amp;Upload!P85&amp;Upload!Q85)),ISNUMBER(SEARCH("Barniz",Upload!N85&amp;Upload!O85&amp;Upload!P85&amp;Upload!Q85))))),"",D86*0.000035)</f>
        <v/>
      </c>
      <c r="R86" s="16" t="str">
        <f t="shared" si="13"/>
        <v/>
      </c>
    </row>
    <row r="87" spans="1:18" x14ac:dyDescent="0.2">
      <c r="A87" s="10" t="e">
        <f t="shared" ca="1" si="7"/>
        <v>#NAME?</v>
      </c>
      <c r="B87" s="10">
        <f>Upload!E86</f>
        <v>0</v>
      </c>
      <c r="C87" s="10">
        <f>Upload!AJ86</f>
        <v>0</v>
      </c>
      <c r="D87" s="10">
        <f>Upload!AK86</f>
        <v>0</v>
      </c>
      <c r="E87" s="10" t="str">
        <f>Upload!AF86</f>
        <v/>
      </c>
      <c r="F87" s="10" t="str">
        <f>Upload!AH86</f>
        <v/>
      </c>
      <c r="G87" s="10" t="str">
        <f>Upload!AE86</f>
        <v>(seleccione)</v>
      </c>
      <c r="H87" s="10" t="str">
        <f>Upload!AG86</f>
        <v>(seleccione)</v>
      </c>
      <c r="J87" s="16" t="str">
        <f t="shared" si="8"/>
        <v/>
      </c>
      <c r="K87" s="16" t="str">
        <f t="shared" si="9"/>
        <v/>
      </c>
      <c r="L87" s="16" t="str">
        <f t="shared" si="10"/>
        <v/>
      </c>
      <c r="M87" s="16" t="str">
        <f t="shared" si="11"/>
        <v/>
      </c>
      <c r="N87" s="16" t="str">
        <f t="shared" si="12"/>
        <v/>
      </c>
      <c r="O87" s="16" t="str">
        <f>IF(OR(N87="",NOT(OR(ISNUMBER(SEARCH("Antitarnish",Upload!N86&amp;Upload!O86&amp;Upload!P86&amp;Upload!Q86)),ISNUMBER(SEARCH("Anti Tarnish",Upload!N86&amp;Upload!O86&amp;Upload!P86&amp;Upload!Q86))))),"",0.0012*N87)</f>
        <v/>
      </c>
      <c r="P87" s="16" t="str">
        <f>IF(OR(D87="",NOT(OR(ISNUMBER(SEARCH("Epóx",Upload!N86&amp;Upload!O86&amp;Upload!P86&amp;Upload!Q86)),ISNUMBER(SEARCH("Epox",Upload!N86&amp;Upload!O86&amp;Upload!P86&amp;Upload!Q86)),ISNUMBER(SEARCH("Barniz",Upload!N86&amp;Upload!O86&amp;Upload!P86&amp;Upload!Q86))))),"",D87*0.000035)</f>
        <v/>
      </c>
      <c r="Q87" s="16" t="str">
        <f>IF(OR(D87="",NOT(OR(ISNUMBER(SEARCH("Epóx",Upload!N86&amp;Upload!O86&amp;Upload!P86&amp;Upload!Q86)),ISNUMBER(SEARCH("Epox",Upload!N86&amp;Upload!O86&amp;Upload!P86&amp;Upload!Q86)),ISNUMBER(SEARCH("Barniz",Upload!N86&amp;Upload!O86&amp;Upload!P86&amp;Upload!Q86))))),"",D87*0.000035)</f>
        <v/>
      </c>
      <c r="R87" s="16" t="str">
        <f t="shared" si="13"/>
        <v/>
      </c>
    </row>
    <row r="88" spans="1:18" x14ac:dyDescent="0.2">
      <c r="A88" s="10" t="e">
        <f t="shared" ca="1" si="7"/>
        <v>#NAME?</v>
      </c>
      <c r="B88" s="10">
        <f>Upload!E87</f>
        <v>0</v>
      </c>
      <c r="C88" s="10">
        <f>Upload!AJ87</f>
        <v>0</v>
      </c>
      <c r="D88" s="10">
        <f>Upload!AK87</f>
        <v>0</v>
      </c>
      <c r="E88" s="10" t="str">
        <f>Upload!AF87</f>
        <v/>
      </c>
      <c r="F88" s="10" t="str">
        <f>Upload!AH87</f>
        <v/>
      </c>
      <c r="G88" s="10" t="str">
        <f>Upload!AE87</f>
        <v>(seleccione)</v>
      </c>
      <c r="H88" s="10" t="str">
        <f>Upload!AG87</f>
        <v>(seleccione)</v>
      </c>
      <c r="J88" s="16" t="str">
        <f t="shared" si="8"/>
        <v/>
      </c>
      <c r="K88" s="16" t="str">
        <f t="shared" si="9"/>
        <v/>
      </c>
      <c r="L88" s="16" t="str">
        <f t="shared" si="10"/>
        <v/>
      </c>
      <c r="M88" s="16" t="str">
        <f t="shared" si="11"/>
        <v/>
      </c>
      <c r="N88" s="16" t="str">
        <f t="shared" si="12"/>
        <v/>
      </c>
      <c r="O88" s="16" t="str">
        <f>IF(OR(N88="",NOT(OR(ISNUMBER(SEARCH("Antitarnish",Upload!N87&amp;Upload!O87&amp;Upload!P87&amp;Upload!Q87)),ISNUMBER(SEARCH("Anti Tarnish",Upload!N87&amp;Upload!O87&amp;Upload!P87&amp;Upload!Q87))))),"",0.0012*N88)</f>
        <v/>
      </c>
      <c r="P88" s="16" t="str">
        <f>IF(OR(D88="",NOT(OR(ISNUMBER(SEARCH("Epóx",Upload!N87&amp;Upload!O87&amp;Upload!P87&amp;Upload!Q87)),ISNUMBER(SEARCH("Epox",Upload!N87&amp;Upload!O87&amp;Upload!P87&amp;Upload!Q87)),ISNUMBER(SEARCH("Barniz",Upload!N87&amp;Upload!O87&amp;Upload!P87&amp;Upload!Q87))))),"",D88*0.000035)</f>
        <v/>
      </c>
      <c r="Q88" s="16" t="str">
        <f>IF(OR(D88="",NOT(OR(ISNUMBER(SEARCH("Epóx",Upload!N87&amp;Upload!O87&amp;Upload!P87&amp;Upload!Q87)),ISNUMBER(SEARCH("Epox",Upload!N87&amp;Upload!O87&amp;Upload!P87&amp;Upload!Q87)),ISNUMBER(SEARCH("Barniz",Upload!N87&amp;Upload!O87&amp;Upload!P87&amp;Upload!Q87))))),"",D88*0.000035)</f>
        <v/>
      </c>
      <c r="R88" s="16" t="str">
        <f t="shared" si="13"/>
        <v/>
      </c>
    </row>
    <row r="89" spans="1:18" x14ac:dyDescent="0.2">
      <c r="A89" s="10" t="e">
        <f t="shared" ca="1" si="7"/>
        <v>#NAME?</v>
      </c>
      <c r="B89" s="10">
        <f>Upload!E88</f>
        <v>0</v>
      </c>
      <c r="C89" s="10">
        <f>Upload!AJ88</f>
        <v>0</v>
      </c>
      <c r="D89" s="10">
        <f>Upload!AK88</f>
        <v>0</v>
      </c>
      <c r="E89" s="10" t="str">
        <f>Upload!AF88</f>
        <v/>
      </c>
      <c r="F89" s="10" t="str">
        <f>Upload!AH88</f>
        <v/>
      </c>
      <c r="G89" s="10" t="str">
        <f>Upload!AE88</f>
        <v>(seleccione)</v>
      </c>
      <c r="H89" s="10" t="str">
        <f>Upload!AG88</f>
        <v>(seleccione)</v>
      </c>
      <c r="J89" s="16" t="str">
        <f t="shared" si="8"/>
        <v/>
      </c>
      <c r="K89" s="16" t="str">
        <f t="shared" si="9"/>
        <v/>
      </c>
      <c r="L89" s="16" t="str">
        <f t="shared" si="10"/>
        <v/>
      </c>
      <c r="M89" s="16" t="str">
        <f t="shared" si="11"/>
        <v/>
      </c>
      <c r="N89" s="16" t="str">
        <f t="shared" si="12"/>
        <v/>
      </c>
      <c r="O89" s="16" t="str">
        <f>IF(OR(N89="",NOT(OR(ISNUMBER(SEARCH("Antitarnish",Upload!N88&amp;Upload!O88&amp;Upload!P88&amp;Upload!Q88)),ISNUMBER(SEARCH("Anti Tarnish",Upload!N88&amp;Upload!O88&amp;Upload!P88&amp;Upload!Q88))))),"",0.0012*N89)</f>
        <v/>
      </c>
      <c r="P89" s="16" t="str">
        <f>IF(OR(D89="",NOT(OR(ISNUMBER(SEARCH("Epóx",Upload!N88&amp;Upload!O88&amp;Upload!P88&amp;Upload!Q88)),ISNUMBER(SEARCH("Epox",Upload!N88&amp;Upload!O88&amp;Upload!P88&amp;Upload!Q88)),ISNUMBER(SEARCH("Barniz",Upload!N88&amp;Upload!O88&amp;Upload!P88&amp;Upload!Q88))))),"",D89*0.000035)</f>
        <v/>
      </c>
      <c r="Q89" s="16" t="str">
        <f>IF(OR(D89="",NOT(OR(ISNUMBER(SEARCH("Epóx",Upload!N88&amp;Upload!O88&amp;Upload!P88&amp;Upload!Q88)),ISNUMBER(SEARCH("Epox",Upload!N88&amp;Upload!O88&amp;Upload!P88&amp;Upload!Q88)),ISNUMBER(SEARCH("Barniz",Upload!N88&amp;Upload!O88&amp;Upload!P88&amp;Upload!Q88))))),"",D89*0.000035)</f>
        <v/>
      </c>
      <c r="R89" s="16" t="str">
        <f t="shared" si="13"/>
        <v/>
      </c>
    </row>
    <row r="90" spans="1:18" x14ac:dyDescent="0.2">
      <c r="A90" s="10" t="e">
        <f t="shared" ca="1" si="7"/>
        <v>#NAME?</v>
      </c>
      <c r="B90" s="10">
        <f>Upload!E89</f>
        <v>0</v>
      </c>
      <c r="C90" s="10">
        <f>Upload!AJ89</f>
        <v>0</v>
      </c>
      <c r="D90" s="10">
        <f>Upload!AK89</f>
        <v>0</v>
      </c>
      <c r="E90" s="10" t="str">
        <f>Upload!AF89</f>
        <v/>
      </c>
      <c r="F90" s="10" t="str">
        <f>Upload!AH89</f>
        <v/>
      </c>
      <c r="G90" s="10" t="str">
        <f>Upload!AE89</f>
        <v>(seleccione)</v>
      </c>
      <c r="H90" s="10" t="str">
        <f>Upload!AG89</f>
        <v>(seleccione)</v>
      </c>
      <c r="J90" s="16" t="str">
        <f t="shared" si="8"/>
        <v/>
      </c>
      <c r="K90" s="16" t="str">
        <f t="shared" si="9"/>
        <v/>
      </c>
      <c r="L90" s="16" t="str">
        <f t="shared" si="10"/>
        <v/>
      </c>
      <c r="M90" s="16" t="str">
        <f t="shared" si="11"/>
        <v/>
      </c>
      <c r="N90" s="16" t="str">
        <f t="shared" si="12"/>
        <v/>
      </c>
      <c r="O90" s="16" t="str">
        <f>IF(OR(N90="",NOT(OR(ISNUMBER(SEARCH("Antitarnish",Upload!N89&amp;Upload!O89&amp;Upload!P89&amp;Upload!Q89)),ISNUMBER(SEARCH("Anti Tarnish",Upload!N89&amp;Upload!O89&amp;Upload!P89&amp;Upload!Q89))))),"",0.0012*N90)</f>
        <v/>
      </c>
      <c r="P90" s="16" t="str">
        <f>IF(OR(D90="",NOT(OR(ISNUMBER(SEARCH("Epóx",Upload!N89&amp;Upload!O89&amp;Upload!P89&amp;Upload!Q89)),ISNUMBER(SEARCH("Epox",Upload!N89&amp;Upload!O89&amp;Upload!P89&amp;Upload!Q89)),ISNUMBER(SEARCH("Barniz",Upload!N89&amp;Upload!O89&amp;Upload!P89&amp;Upload!Q89))))),"",D90*0.000035)</f>
        <v/>
      </c>
      <c r="Q90" s="16" t="str">
        <f>IF(OR(D90="",NOT(OR(ISNUMBER(SEARCH("Epóx",Upload!N89&amp;Upload!O89&amp;Upload!P89&amp;Upload!Q89)),ISNUMBER(SEARCH("Epox",Upload!N89&amp;Upload!O89&amp;Upload!P89&amp;Upload!Q89)),ISNUMBER(SEARCH("Barniz",Upload!N89&amp;Upload!O89&amp;Upload!P89&amp;Upload!Q89))))),"",D90*0.000035)</f>
        <v/>
      </c>
      <c r="R90" s="16" t="str">
        <f t="shared" si="13"/>
        <v/>
      </c>
    </row>
    <row r="91" spans="1:18" x14ac:dyDescent="0.2">
      <c r="A91" s="10" t="e">
        <f t="shared" ca="1" si="7"/>
        <v>#NAME?</v>
      </c>
      <c r="B91" s="10">
        <f>Upload!E90</f>
        <v>0</v>
      </c>
      <c r="C91" s="10">
        <f>Upload!AJ90</f>
        <v>0</v>
      </c>
      <c r="D91" s="10">
        <f>Upload!AK90</f>
        <v>0</v>
      </c>
      <c r="E91" s="10" t="str">
        <f>Upload!AF90</f>
        <v/>
      </c>
      <c r="F91" s="10" t="str">
        <f>Upload!AH90</f>
        <v/>
      </c>
      <c r="G91" s="10" t="str">
        <f>Upload!AE90</f>
        <v>(seleccione)</v>
      </c>
      <c r="H91" s="10" t="str">
        <f>Upload!AG90</f>
        <v>(seleccione)</v>
      </c>
      <c r="J91" s="16" t="str">
        <f t="shared" si="8"/>
        <v/>
      </c>
      <c r="K91" s="16" t="str">
        <f t="shared" si="9"/>
        <v/>
      </c>
      <c r="L91" s="16" t="str">
        <f t="shared" si="10"/>
        <v/>
      </c>
      <c r="M91" s="16" t="str">
        <f t="shared" si="11"/>
        <v/>
      </c>
      <c r="N91" s="16" t="str">
        <f t="shared" si="12"/>
        <v/>
      </c>
      <c r="O91" s="16" t="str">
        <f>IF(OR(N91="",NOT(OR(ISNUMBER(SEARCH("Antitarnish",Upload!N90&amp;Upload!O90&amp;Upload!P90&amp;Upload!Q90)),ISNUMBER(SEARCH("Anti Tarnish",Upload!N90&amp;Upload!O90&amp;Upload!P90&amp;Upload!Q90))))),"",0.0012*N91)</f>
        <v/>
      </c>
      <c r="P91" s="16" t="str">
        <f>IF(OR(D91="",NOT(OR(ISNUMBER(SEARCH("Epóx",Upload!N90&amp;Upload!O90&amp;Upload!P90&amp;Upload!Q90)),ISNUMBER(SEARCH("Epox",Upload!N90&amp;Upload!O90&amp;Upload!P90&amp;Upload!Q90)),ISNUMBER(SEARCH("Barniz",Upload!N90&amp;Upload!O90&amp;Upload!P90&amp;Upload!Q90))))),"",D91*0.000035)</f>
        <v/>
      </c>
      <c r="Q91" s="16" t="str">
        <f>IF(OR(D91="",NOT(OR(ISNUMBER(SEARCH("Epóx",Upload!N90&amp;Upload!O90&amp;Upload!P90&amp;Upload!Q90)),ISNUMBER(SEARCH("Epox",Upload!N90&amp;Upload!O90&amp;Upload!P90&amp;Upload!Q90)),ISNUMBER(SEARCH("Barniz",Upload!N90&amp;Upload!O90&amp;Upload!P90&amp;Upload!Q90))))),"",D91*0.000035)</f>
        <v/>
      </c>
      <c r="R91" s="16" t="str">
        <f t="shared" si="13"/>
        <v/>
      </c>
    </row>
    <row r="92" spans="1:18" x14ac:dyDescent="0.2">
      <c r="A92" s="10" t="e">
        <f t="shared" ca="1" si="7"/>
        <v>#NAME?</v>
      </c>
      <c r="B92" s="10">
        <f>Upload!E91</f>
        <v>0</v>
      </c>
      <c r="C92" s="10">
        <f>Upload!AJ91</f>
        <v>0</v>
      </c>
      <c r="D92" s="10">
        <f>Upload!AK91</f>
        <v>0</v>
      </c>
      <c r="E92" s="10" t="str">
        <f>Upload!AF91</f>
        <v/>
      </c>
      <c r="F92" s="10" t="str">
        <f>Upload!AH91</f>
        <v/>
      </c>
      <c r="G92" s="10" t="str">
        <f>Upload!AE91</f>
        <v>(seleccione)</v>
      </c>
      <c r="H92" s="10" t="str">
        <f>Upload!AG91</f>
        <v>(seleccione)</v>
      </c>
      <c r="J92" s="16" t="str">
        <f t="shared" si="8"/>
        <v/>
      </c>
      <c r="K92" s="16" t="str">
        <f t="shared" si="9"/>
        <v/>
      </c>
      <c r="L92" s="16" t="str">
        <f t="shared" si="10"/>
        <v/>
      </c>
      <c r="M92" s="16" t="str">
        <f t="shared" si="11"/>
        <v/>
      </c>
      <c r="N92" s="16" t="str">
        <f t="shared" si="12"/>
        <v/>
      </c>
      <c r="O92" s="16" t="str">
        <f>IF(OR(N92="",NOT(OR(ISNUMBER(SEARCH("Antitarnish",Upload!N91&amp;Upload!O91&amp;Upload!P91&amp;Upload!Q91)),ISNUMBER(SEARCH("Anti Tarnish",Upload!N91&amp;Upload!O91&amp;Upload!P91&amp;Upload!Q91))))),"",0.0012*N92)</f>
        <v/>
      </c>
      <c r="P92" s="16" t="str">
        <f>IF(OR(D92="",NOT(OR(ISNUMBER(SEARCH("Epóx",Upload!N91&amp;Upload!O91&amp;Upload!P91&amp;Upload!Q91)),ISNUMBER(SEARCH("Epox",Upload!N91&amp;Upload!O91&amp;Upload!P91&amp;Upload!Q91)),ISNUMBER(SEARCH("Barniz",Upload!N91&amp;Upload!O91&amp;Upload!P91&amp;Upload!Q91))))),"",D92*0.000035)</f>
        <v/>
      </c>
      <c r="Q92" s="16" t="str">
        <f>IF(OR(D92="",NOT(OR(ISNUMBER(SEARCH("Epóx",Upload!N91&amp;Upload!O91&amp;Upload!P91&amp;Upload!Q91)),ISNUMBER(SEARCH("Epox",Upload!N91&amp;Upload!O91&amp;Upload!P91&amp;Upload!Q91)),ISNUMBER(SEARCH("Barniz",Upload!N91&amp;Upload!O91&amp;Upload!P91&amp;Upload!Q91))))),"",D92*0.000035)</f>
        <v/>
      </c>
      <c r="R92" s="16" t="str">
        <f t="shared" si="13"/>
        <v/>
      </c>
    </row>
    <row r="93" spans="1:18" x14ac:dyDescent="0.2">
      <c r="A93" s="10" t="e">
        <f t="shared" ca="1" si="7"/>
        <v>#NAME?</v>
      </c>
      <c r="B93" s="10">
        <f>Upload!E92</f>
        <v>0</v>
      </c>
      <c r="C93" s="10">
        <f>Upload!AJ92</f>
        <v>0</v>
      </c>
      <c r="D93" s="10">
        <f>Upload!AK92</f>
        <v>0</v>
      </c>
      <c r="E93" s="10" t="str">
        <f>Upload!AF92</f>
        <v/>
      </c>
      <c r="F93" s="10" t="str">
        <f>Upload!AH92</f>
        <v/>
      </c>
      <c r="G93" s="10" t="str">
        <f>Upload!AE92</f>
        <v>(seleccione)</v>
      </c>
      <c r="H93" s="10" t="str">
        <f>Upload!AG92</f>
        <v>(seleccione)</v>
      </c>
      <c r="J93" s="16" t="str">
        <f t="shared" si="8"/>
        <v/>
      </c>
      <c r="K93" s="16" t="str">
        <f t="shared" si="9"/>
        <v/>
      </c>
      <c r="L93" s="16" t="str">
        <f t="shared" si="10"/>
        <v/>
      </c>
      <c r="M93" s="16" t="str">
        <f t="shared" si="11"/>
        <v/>
      </c>
      <c r="N93" s="16" t="str">
        <f t="shared" si="12"/>
        <v/>
      </c>
      <c r="O93" s="16" t="str">
        <f>IF(OR(N93="",NOT(OR(ISNUMBER(SEARCH("Antitarnish",Upload!N92&amp;Upload!O92&amp;Upload!P92&amp;Upload!Q92)),ISNUMBER(SEARCH("Anti Tarnish",Upload!N92&amp;Upload!O92&amp;Upload!P92&amp;Upload!Q92))))),"",0.0012*N93)</f>
        <v/>
      </c>
      <c r="P93" s="16" t="str">
        <f>IF(OR(D93="",NOT(OR(ISNUMBER(SEARCH("Epóx",Upload!N92&amp;Upload!O92&amp;Upload!P92&amp;Upload!Q92)),ISNUMBER(SEARCH("Epox",Upload!N92&amp;Upload!O92&amp;Upload!P92&amp;Upload!Q92)),ISNUMBER(SEARCH("Barniz",Upload!N92&amp;Upload!O92&amp;Upload!P92&amp;Upload!Q92))))),"",D93*0.000035)</f>
        <v/>
      </c>
      <c r="Q93" s="16" t="str">
        <f>IF(OR(D93="",NOT(OR(ISNUMBER(SEARCH("Epóx",Upload!N92&amp;Upload!O92&amp;Upload!P92&amp;Upload!Q92)),ISNUMBER(SEARCH("Epox",Upload!N92&amp;Upload!O92&amp;Upload!P92&amp;Upload!Q92)),ISNUMBER(SEARCH("Barniz",Upload!N92&amp;Upload!O92&amp;Upload!P92&amp;Upload!Q92))))),"",D93*0.000035)</f>
        <v/>
      </c>
      <c r="R93" s="16" t="str">
        <f t="shared" si="13"/>
        <v/>
      </c>
    </row>
    <row r="94" spans="1:18" x14ac:dyDescent="0.2">
      <c r="A94" s="10" t="e">
        <f t="shared" ca="1" si="7"/>
        <v>#NAME?</v>
      </c>
      <c r="B94" s="10">
        <f>Upload!E93</f>
        <v>0</v>
      </c>
      <c r="C94" s="10">
        <f>Upload!AJ93</f>
        <v>0</v>
      </c>
      <c r="D94" s="10">
        <f>Upload!AK93</f>
        <v>0</v>
      </c>
      <c r="E94" s="10" t="str">
        <f>Upload!AF93</f>
        <v/>
      </c>
      <c r="F94" s="10" t="str">
        <f>Upload!AH93</f>
        <v/>
      </c>
      <c r="G94" s="10" t="str">
        <f>Upload!AE93</f>
        <v>(seleccione)</v>
      </c>
      <c r="H94" s="10" t="str">
        <f>Upload!AG93</f>
        <v>(seleccione)</v>
      </c>
      <c r="J94" s="16" t="str">
        <f t="shared" si="8"/>
        <v/>
      </c>
      <c r="K94" s="16" t="str">
        <f t="shared" si="9"/>
        <v/>
      </c>
      <c r="L94" s="16" t="str">
        <f t="shared" si="10"/>
        <v/>
      </c>
      <c r="M94" s="16" t="str">
        <f t="shared" si="11"/>
        <v/>
      </c>
      <c r="N94" s="16" t="str">
        <f t="shared" si="12"/>
        <v/>
      </c>
      <c r="O94" s="16" t="str">
        <f>IF(OR(N94="",NOT(OR(ISNUMBER(SEARCH("Antitarnish",Upload!N93&amp;Upload!O93&amp;Upload!P93&amp;Upload!Q93)),ISNUMBER(SEARCH("Anti Tarnish",Upload!N93&amp;Upload!O93&amp;Upload!P93&amp;Upload!Q93))))),"",0.0012*N94)</f>
        <v/>
      </c>
      <c r="P94" s="16" t="str">
        <f>IF(OR(D94="",NOT(OR(ISNUMBER(SEARCH("Epóx",Upload!N93&amp;Upload!O93&amp;Upload!P93&amp;Upload!Q93)),ISNUMBER(SEARCH("Epox",Upload!N93&amp;Upload!O93&amp;Upload!P93&amp;Upload!Q93)),ISNUMBER(SEARCH("Barniz",Upload!N93&amp;Upload!O93&amp;Upload!P93&amp;Upload!Q93))))),"",D94*0.000035)</f>
        <v/>
      </c>
      <c r="Q94" s="16" t="str">
        <f>IF(OR(D94="",NOT(OR(ISNUMBER(SEARCH("Epóx",Upload!N93&amp;Upload!O93&amp;Upload!P93&amp;Upload!Q93)),ISNUMBER(SEARCH("Epox",Upload!N93&amp;Upload!O93&amp;Upload!P93&amp;Upload!Q93)),ISNUMBER(SEARCH("Barniz",Upload!N93&amp;Upload!O93&amp;Upload!P93&amp;Upload!Q93))))),"",D94*0.000035)</f>
        <v/>
      </c>
      <c r="R94" s="16" t="str">
        <f t="shared" si="13"/>
        <v/>
      </c>
    </row>
    <row r="95" spans="1:18" x14ac:dyDescent="0.2">
      <c r="A95" s="10" t="e">
        <f t="shared" ca="1" si="7"/>
        <v>#NAME?</v>
      </c>
      <c r="B95" s="10">
        <f>Upload!E94</f>
        <v>0</v>
      </c>
      <c r="C95" s="10">
        <f>Upload!AJ94</f>
        <v>0</v>
      </c>
      <c r="D95" s="10">
        <f>Upload!AK94</f>
        <v>0</v>
      </c>
      <c r="E95" s="10" t="str">
        <f>Upload!AF94</f>
        <v/>
      </c>
      <c r="F95" s="10" t="str">
        <f>Upload!AH94</f>
        <v/>
      </c>
      <c r="G95" s="10" t="str">
        <f>Upload!AE94</f>
        <v>(seleccione)</v>
      </c>
      <c r="H95" s="10" t="str">
        <f>Upload!AG94</f>
        <v>(seleccione)</v>
      </c>
      <c r="J95" s="16" t="str">
        <f t="shared" si="8"/>
        <v/>
      </c>
      <c r="K95" s="16" t="str">
        <f t="shared" si="9"/>
        <v/>
      </c>
      <c r="L95" s="16" t="str">
        <f t="shared" si="10"/>
        <v/>
      </c>
      <c r="M95" s="16" t="str">
        <f t="shared" si="11"/>
        <v/>
      </c>
      <c r="N95" s="16" t="str">
        <f t="shared" si="12"/>
        <v/>
      </c>
      <c r="O95" s="16" t="str">
        <f>IF(OR(N95="",NOT(OR(ISNUMBER(SEARCH("Antitarnish",Upload!N94&amp;Upload!O94&amp;Upload!P94&amp;Upload!Q94)),ISNUMBER(SEARCH("Anti Tarnish",Upload!N94&amp;Upload!O94&amp;Upload!P94&amp;Upload!Q94))))),"",0.0012*N95)</f>
        <v/>
      </c>
      <c r="P95" s="16" t="str">
        <f>IF(OR(D95="",NOT(OR(ISNUMBER(SEARCH("Epóx",Upload!N94&amp;Upload!O94&amp;Upload!P94&amp;Upload!Q94)),ISNUMBER(SEARCH("Epox",Upload!N94&amp;Upload!O94&amp;Upload!P94&amp;Upload!Q94)),ISNUMBER(SEARCH("Barniz",Upload!N94&amp;Upload!O94&amp;Upload!P94&amp;Upload!Q94))))),"",D95*0.000035)</f>
        <v/>
      </c>
      <c r="Q95" s="16" t="str">
        <f>IF(OR(D95="",NOT(OR(ISNUMBER(SEARCH("Epóx",Upload!N94&amp;Upload!O94&amp;Upload!P94&amp;Upload!Q94)),ISNUMBER(SEARCH("Epox",Upload!N94&amp;Upload!O94&amp;Upload!P94&amp;Upload!Q94)),ISNUMBER(SEARCH("Barniz",Upload!N94&amp;Upload!O94&amp;Upload!P94&amp;Upload!Q94))))),"",D95*0.000035)</f>
        <v/>
      </c>
      <c r="R95" s="16" t="str">
        <f t="shared" si="13"/>
        <v/>
      </c>
    </row>
    <row r="96" spans="1:18" x14ac:dyDescent="0.2">
      <c r="A96" s="10" t="e">
        <f t="shared" ca="1" si="7"/>
        <v>#NAME?</v>
      </c>
      <c r="B96" s="10">
        <f>Upload!E95</f>
        <v>0</v>
      </c>
      <c r="C96" s="10">
        <f>Upload!AJ95</f>
        <v>0</v>
      </c>
      <c r="D96" s="10">
        <f>Upload!AK95</f>
        <v>0</v>
      </c>
      <c r="E96" s="10" t="str">
        <f>Upload!AF95</f>
        <v/>
      </c>
      <c r="F96" s="10" t="str">
        <f>Upload!AH95</f>
        <v/>
      </c>
      <c r="G96" s="10" t="str">
        <f>Upload!AE95</f>
        <v>(seleccione)</v>
      </c>
      <c r="H96" s="10" t="str">
        <f>Upload!AG95</f>
        <v>(seleccione)</v>
      </c>
      <c r="J96" s="16" t="str">
        <f t="shared" si="8"/>
        <v/>
      </c>
      <c r="K96" s="16" t="str">
        <f t="shared" si="9"/>
        <v/>
      </c>
      <c r="L96" s="16" t="str">
        <f t="shared" si="10"/>
        <v/>
      </c>
      <c r="M96" s="16" t="str">
        <f t="shared" si="11"/>
        <v/>
      </c>
      <c r="N96" s="16" t="str">
        <f t="shared" si="12"/>
        <v/>
      </c>
      <c r="O96" s="16" t="str">
        <f>IF(OR(N96="",NOT(OR(ISNUMBER(SEARCH("Antitarnish",Upload!N95&amp;Upload!O95&amp;Upload!P95&amp;Upload!Q95)),ISNUMBER(SEARCH("Anti Tarnish",Upload!N95&amp;Upload!O95&amp;Upload!P95&amp;Upload!Q95))))),"",0.0012*N96)</f>
        <v/>
      </c>
      <c r="P96" s="16" t="str">
        <f>IF(OR(D96="",NOT(OR(ISNUMBER(SEARCH("Epóx",Upload!N95&amp;Upload!O95&amp;Upload!P95&amp;Upload!Q95)),ISNUMBER(SEARCH("Epox",Upload!N95&amp;Upload!O95&amp;Upload!P95&amp;Upload!Q95)),ISNUMBER(SEARCH("Barniz",Upload!N95&amp;Upload!O95&amp;Upload!P95&amp;Upload!Q95))))),"",D96*0.000035)</f>
        <v/>
      </c>
      <c r="Q96" s="16" t="str">
        <f>IF(OR(D96="",NOT(OR(ISNUMBER(SEARCH("Epóx",Upload!N95&amp;Upload!O95&amp;Upload!P95&amp;Upload!Q95)),ISNUMBER(SEARCH("Epox",Upload!N95&amp;Upload!O95&amp;Upload!P95&amp;Upload!Q95)),ISNUMBER(SEARCH("Barniz",Upload!N95&amp;Upload!O95&amp;Upload!P95&amp;Upload!Q95))))),"",D96*0.000035)</f>
        <v/>
      </c>
      <c r="R96" s="16" t="str">
        <f t="shared" si="13"/>
        <v/>
      </c>
    </row>
    <row r="97" spans="1:18" x14ac:dyDescent="0.2">
      <c r="A97" s="10" t="e">
        <f t="shared" ca="1" si="7"/>
        <v>#NAME?</v>
      </c>
      <c r="B97" s="10">
        <f>Upload!E96</f>
        <v>0</v>
      </c>
      <c r="C97" s="10">
        <f>Upload!AJ96</f>
        <v>0</v>
      </c>
      <c r="D97" s="10">
        <f>Upload!AK96</f>
        <v>0</v>
      </c>
      <c r="E97" s="10" t="str">
        <f>Upload!AF96</f>
        <v/>
      </c>
      <c r="F97" s="10" t="str">
        <f>Upload!AH96</f>
        <v/>
      </c>
      <c r="G97" s="10" t="str">
        <f>Upload!AE96</f>
        <v>(seleccione)</v>
      </c>
      <c r="H97" s="10" t="str">
        <f>Upload!AG96</f>
        <v>(seleccione)</v>
      </c>
      <c r="J97" s="16" t="str">
        <f t="shared" si="8"/>
        <v/>
      </c>
      <c r="K97" s="16" t="str">
        <f t="shared" si="9"/>
        <v/>
      </c>
      <c r="L97" s="16" t="str">
        <f t="shared" si="10"/>
        <v/>
      </c>
      <c r="M97" s="16" t="str">
        <f t="shared" si="11"/>
        <v/>
      </c>
      <c r="N97" s="16" t="str">
        <f t="shared" si="12"/>
        <v/>
      </c>
      <c r="O97" s="16" t="str">
        <f>IF(OR(N97="",NOT(OR(ISNUMBER(SEARCH("Antitarnish",Upload!N96&amp;Upload!O96&amp;Upload!P96&amp;Upload!Q96)),ISNUMBER(SEARCH("Anti Tarnish",Upload!N96&amp;Upload!O96&amp;Upload!P96&amp;Upload!Q96))))),"",0.0012*N97)</f>
        <v/>
      </c>
      <c r="P97" s="16" t="str">
        <f>IF(OR(D97="",NOT(OR(ISNUMBER(SEARCH("Epóx",Upload!N96&amp;Upload!O96&amp;Upload!P96&amp;Upload!Q96)),ISNUMBER(SEARCH("Epox",Upload!N96&amp;Upload!O96&amp;Upload!P96&amp;Upload!Q96)),ISNUMBER(SEARCH("Barniz",Upload!N96&amp;Upload!O96&amp;Upload!P96&amp;Upload!Q96))))),"",D97*0.000035)</f>
        <v/>
      </c>
      <c r="Q97" s="16" t="str">
        <f>IF(OR(D97="",NOT(OR(ISNUMBER(SEARCH("Epóx",Upload!N96&amp;Upload!O96&amp;Upload!P96&amp;Upload!Q96)),ISNUMBER(SEARCH("Epox",Upload!N96&amp;Upload!O96&amp;Upload!P96&amp;Upload!Q96)),ISNUMBER(SEARCH("Barniz",Upload!N96&amp;Upload!O96&amp;Upload!P96&amp;Upload!Q96))))),"",D97*0.000035)</f>
        <v/>
      </c>
      <c r="R97" s="16" t="str">
        <f t="shared" si="13"/>
        <v/>
      </c>
    </row>
    <row r="98" spans="1:18" x14ac:dyDescent="0.2">
      <c r="A98" s="10" t="e">
        <f t="shared" ca="1" si="7"/>
        <v>#NAME?</v>
      </c>
      <c r="B98" s="10">
        <f>Upload!E97</f>
        <v>0</v>
      </c>
      <c r="C98" s="10">
        <f>Upload!AJ97</f>
        <v>0</v>
      </c>
      <c r="D98" s="10">
        <f>Upload!AK97</f>
        <v>0</v>
      </c>
      <c r="E98" s="10" t="str">
        <f>Upload!AF97</f>
        <v/>
      </c>
      <c r="F98" s="10" t="str">
        <f>Upload!AH97</f>
        <v/>
      </c>
      <c r="G98" s="10" t="str">
        <f>Upload!AE97</f>
        <v>(seleccione)</v>
      </c>
      <c r="H98" s="10" t="str">
        <f>Upload!AG97</f>
        <v>(seleccione)</v>
      </c>
      <c r="J98" s="16" t="str">
        <f t="shared" si="8"/>
        <v/>
      </c>
      <c r="K98" s="16" t="str">
        <f t="shared" si="9"/>
        <v/>
      </c>
      <c r="L98" s="16" t="str">
        <f t="shared" si="10"/>
        <v/>
      </c>
      <c r="M98" s="16" t="str">
        <f t="shared" si="11"/>
        <v/>
      </c>
      <c r="N98" s="16" t="str">
        <f t="shared" si="12"/>
        <v/>
      </c>
      <c r="O98" s="16" t="str">
        <f>IF(OR(N98="",NOT(OR(ISNUMBER(SEARCH("Antitarnish",Upload!N97&amp;Upload!O97&amp;Upload!P97&amp;Upload!Q97)),ISNUMBER(SEARCH("Anti Tarnish",Upload!N97&amp;Upload!O97&amp;Upload!P97&amp;Upload!Q97))))),"",0.0012*N98)</f>
        <v/>
      </c>
      <c r="P98" s="16" t="str">
        <f>IF(OR(D98="",NOT(OR(ISNUMBER(SEARCH("Epóx",Upload!N97&amp;Upload!O97&amp;Upload!P97&amp;Upload!Q97)),ISNUMBER(SEARCH("Epox",Upload!N97&amp;Upload!O97&amp;Upload!P97&amp;Upload!Q97)),ISNUMBER(SEARCH("Barniz",Upload!N97&amp;Upload!O97&amp;Upload!P97&amp;Upload!Q97))))),"",D98*0.000035)</f>
        <v/>
      </c>
      <c r="Q98" s="16" t="str">
        <f>IF(OR(D98="",NOT(OR(ISNUMBER(SEARCH("Epóx",Upload!N97&amp;Upload!O97&amp;Upload!P97&amp;Upload!Q97)),ISNUMBER(SEARCH("Epox",Upload!N97&amp;Upload!O97&amp;Upload!P97&amp;Upload!Q97)),ISNUMBER(SEARCH("Barniz",Upload!N97&amp;Upload!O97&amp;Upload!P97&amp;Upload!Q97))))),"",D98*0.000035)</f>
        <v/>
      </c>
      <c r="R98" s="16" t="str">
        <f t="shared" si="13"/>
        <v/>
      </c>
    </row>
    <row r="99" spans="1:18" x14ac:dyDescent="0.2">
      <c r="A99" s="10" t="e">
        <f t="shared" ca="1" si="7"/>
        <v>#NAME?</v>
      </c>
      <c r="B99" s="10">
        <f>Upload!E98</f>
        <v>0</v>
      </c>
      <c r="C99" s="10">
        <f>Upload!AJ98</f>
        <v>0</v>
      </c>
      <c r="D99" s="10">
        <f>Upload!AK98</f>
        <v>0</v>
      </c>
      <c r="E99" s="10" t="str">
        <f>Upload!AF98</f>
        <v/>
      </c>
      <c r="F99" s="10" t="str">
        <f>Upload!AH98</f>
        <v/>
      </c>
      <c r="G99" s="10" t="str">
        <f>Upload!AE98</f>
        <v>(seleccione)</v>
      </c>
      <c r="H99" s="10" t="str">
        <f>Upload!AG98</f>
        <v>(seleccione)</v>
      </c>
      <c r="J99" s="16" t="str">
        <f t="shared" si="8"/>
        <v/>
      </c>
      <c r="K99" s="16" t="str">
        <f t="shared" si="9"/>
        <v/>
      </c>
      <c r="L99" s="16" t="str">
        <f t="shared" si="10"/>
        <v/>
      </c>
      <c r="M99" s="16" t="str">
        <f t="shared" si="11"/>
        <v/>
      </c>
      <c r="N99" s="16" t="str">
        <f t="shared" si="12"/>
        <v/>
      </c>
      <c r="O99" s="16" t="str">
        <f>IF(OR(N99="",NOT(OR(ISNUMBER(SEARCH("Antitarnish",Upload!N98&amp;Upload!O98&amp;Upload!P98&amp;Upload!Q98)),ISNUMBER(SEARCH("Anti Tarnish",Upload!N98&amp;Upload!O98&amp;Upload!P98&amp;Upload!Q98))))),"",0.0012*N99)</f>
        <v/>
      </c>
      <c r="P99" s="16" t="str">
        <f>IF(OR(D99="",NOT(OR(ISNUMBER(SEARCH("Epóx",Upload!N98&amp;Upload!O98&amp;Upload!P98&amp;Upload!Q98)),ISNUMBER(SEARCH("Epox",Upload!N98&amp;Upload!O98&amp;Upload!P98&amp;Upload!Q98)),ISNUMBER(SEARCH("Barniz",Upload!N98&amp;Upload!O98&amp;Upload!P98&amp;Upload!Q98))))),"",D99*0.000035)</f>
        <v/>
      </c>
      <c r="Q99" s="16" t="str">
        <f>IF(OR(D99="",NOT(OR(ISNUMBER(SEARCH("Epóx",Upload!N98&amp;Upload!O98&amp;Upload!P98&amp;Upload!Q98)),ISNUMBER(SEARCH("Epox",Upload!N98&amp;Upload!O98&amp;Upload!P98&amp;Upload!Q98)),ISNUMBER(SEARCH("Barniz",Upload!N98&amp;Upload!O98&amp;Upload!P98&amp;Upload!Q98))))),"",D99*0.000035)</f>
        <v/>
      </c>
      <c r="R99" s="16" t="str">
        <f t="shared" si="13"/>
        <v/>
      </c>
    </row>
    <row r="100" spans="1:18" x14ac:dyDescent="0.2">
      <c r="A100" s="10" t="e">
        <f t="shared" ca="1" si="7"/>
        <v>#NAME?</v>
      </c>
      <c r="B100" s="10">
        <f>Upload!E99</f>
        <v>0</v>
      </c>
      <c r="C100" s="10">
        <f>Upload!AJ99</f>
        <v>0</v>
      </c>
      <c r="D100" s="10">
        <f>Upload!AK99</f>
        <v>0</v>
      </c>
      <c r="E100" s="10" t="str">
        <f>Upload!AF99</f>
        <v/>
      </c>
      <c r="F100" s="10" t="str">
        <f>Upload!AH99</f>
        <v/>
      </c>
      <c r="G100" s="10" t="str">
        <f>Upload!AE99</f>
        <v>(seleccione)</v>
      </c>
      <c r="H100" s="10" t="str">
        <f>Upload!AG99</f>
        <v>(seleccione)</v>
      </c>
      <c r="J100" s="16" t="str">
        <f t="shared" si="8"/>
        <v/>
      </c>
      <c r="K100" s="16" t="str">
        <f t="shared" si="9"/>
        <v/>
      </c>
      <c r="L100" s="16" t="str">
        <f t="shared" si="10"/>
        <v/>
      </c>
      <c r="M100" s="16" t="str">
        <f t="shared" si="11"/>
        <v/>
      </c>
      <c r="N100" s="16" t="str">
        <f t="shared" si="12"/>
        <v/>
      </c>
      <c r="O100" s="16" t="str">
        <f>IF(OR(N100="",NOT(OR(ISNUMBER(SEARCH("Antitarnish",Upload!N99&amp;Upload!O99&amp;Upload!P99&amp;Upload!Q99)),ISNUMBER(SEARCH("Anti Tarnish",Upload!N99&amp;Upload!O99&amp;Upload!P99&amp;Upload!Q99))))),"",0.0012*N100)</f>
        <v/>
      </c>
      <c r="P100" s="16" t="str">
        <f>IF(OR(D100="",NOT(OR(ISNUMBER(SEARCH("Epóx",Upload!N99&amp;Upload!O99&amp;Upload!P99&amp;Upload!Q99)),ISNUMBER(SEARCH("Epox",Upload!N99&amp;Upload!O99&amp;Upload!P99&amp;Upload!Q99)),ISNUMBER(SEARCH("Barniz",Upload!N99&amp;Upload!O99&amp;Upload!P99&amp;Upload!Q99))))),"",D100*0.000035)</f>
        <v/>
      </c>
      <c r="Q100" s="16" t="str">
        <f>IF(OR(D100="",NOT(OR(ISNUMBER(SEARCH("Epóx",Upload!N99&amp;Upload!O99&amp;Upload!P99&amp;Upload!Q99)),ISNUMBER(SEARCH("Epox",Upload!N99&amp;Upload!O99&amp;Upload!P99&amp;Upload!Q99)),ISNUMBER(SEARCH("Barniz",Upload!N99&amp;Upload!O99&amp;Upload!P99&amp;Upload!Q99))))),"",D100*0.000035)</f>
        <v/>
      </c>
      <c r="R100" s="16" t="str">
        <f t="shared" si="13"/>
        <v/>
      </c>
    </row>
    <row r="101" spans="1:18" x14ac:dyDescent="0.2">
      <c r="A101" s="10" t="e">
        <f t="shared" ca="1" si="7"/>
        <v>#NAME?</v>
      </c>
      <c r="B101" s="10">
        <f>Upload!E100</f>
        <v>0</v>
      </c>
      <c r="C101" s="10">
        <f>Upload!AJ100</f>
        <v>0</v>
      </c>
      <c r="D101" s="10">
        <f>Upload!AK100</f>
        <v>0</v>
      </c>
      <c r="E101" s="10" t="str">
        <f>Upload!AF100</f>
        <v/>
      </c>
      <c r="F101" s="10" t="str">
        <f>Upload!AH100</f>
        <v/>
      </c>
      <c r="G101" s="10" t="str">
        <f>Upload!AE100</f>
        <v>(seleccione)</v>
      </c>
      <c r="H101" s="10" t="str">
        <f>Upload!AG100</f>
        <v>(seleccione)</v>
      </c>
      <c r="J101" s="16" t="str">
        <f t="shared" si="8"/>
        <v/>
      </c>
      <c r="K101" s="16" t="str">
        <f t="shared" si="9"/>
        <v/>
      </c>
      <c r="L101" s="16" t="str">
        <f t="shared" si="10"/>
        <v/>
      </c>
      <c r="M101" s="16" t="str">
        <f t="shared" si="11"/>
        <v/>
      </c>
      <c r="N101" s="16" t="str">
        <f t="shared" si="12"/>
        <v/>
      </c>
      <c r="O101" s="16" t="str">
        <f>IF(OR(N101="",NOT(OR(ISNUMBER(SEARCH("Antitarnish",Upload!N100&amp;Upload!O100&amp;Upload!P100&amp;Upload!Q100)),ISNUMBER(SEARCH("Anti Tarnish",Upload!N100&amp;Upload!O100&amp;Upload!P100&amp;Upload!Q100))))),"",0.0012*N101)</f>
        <v/>
      </c>
      <c r="P101" s="16" t="str">
        <f>IF(OR(D101="",NOT(OR(ISNUMBER(SEARCH("Epóx",Upload!N100&amp;Upload!O100&amp;Upload!P100&amp;Upload!Q100)),ISNUMBER(SEARCH("Epox",Upload!N100&amp;Upload!O100&amp;Upload!P100&amp;Upload!Q100)),ISNUMBER(SEARCH("Barniz",Upload!N100&amp;Upload!O100&amp;Upload!P100&amp;Upload!Q100))))),"",D101*0.000035)</f>
        <v/>
      </c>
      <c r="Q101" s="16" t="str">
        <f>IF(OR(D101="",NOT(OR(ISNUMBER(SEARCH("Epóx",Upload!N100&amp;Upload!O100&amp;Upload!P100&amp;Upload!Q100)),ISNUMBER(SEARCH("Epox",Upload!N100&amp;Upload!O100&amp;Upload!P100&amp;Upload!Q100)),ISNUMBER(SEARCH("Barniz",Upload!N100&amp;Upload!O100&amp;Upload!P100&amp;Upload!Q100))))),"",D101*0.000035)</f>
        <v/>
      </c>
      <c r="R101" s="16" t="str">
        <f t="shared" si="13"/>
        <v/>
      </c>
    </row>
    <row r="102" spans="1:18" x14ac:dyDescent="0.2">
      <c r="A102" s="10" t="e">
        <f t="shared" ca="1" si="7"/>
        <v>#NAME?</v>
      </c>
      <c r="B102" s="10">
        <f>Upload!E101</f>
        <v>0</v>
      </c>
      <c r="C102" s="10">
        <f>Upload!AJ101</f>
        <v>0</v>
      </c>
      <c r="D102" s="10">
        <f>Upload!AK101</f>
        <v>0</v>
      </c>
      <c r="E102" s="10" t="str">
        <f>Upload!AF101</f>
        <v/>
      </c>
      <c r="F102" s="10" t="str">
        <f>Upload!AH101</f>
        <v/>
      </c>
      <c r="G102" s="10" t="str">
        <f>Upload!AE101</f>
        <v>(seleccione)</v>
      </c>
      <c r="H102" s="10" t="str">
        <f>Upload!AG101</f>
        <v>(seleccione)</v>
      </c>
      <c r="J102" s="16" t="str">
        <f t="shared" si="8"/>
        <v/>
      </c>
      <c r="K102" s="16" t="str">
        <f t="shared" si="9"/>
        <v/>
      </c>
      <c r="L102" s="16" t="str">
        <f t="shared" si="10"/>
        <v/>
      </c>
      <c r="M102" s="16" t="str">
        <f t="shared" si="11"/>
        <v/>
      </c>
      <c r="N102" s="16" t="str">
        <f t="shared" si="12"/>
        <v/>
      </c>
      <c r="O102" s="16" t="str">
        <f>IF(OR(N102="",NOT(OR(ISNUMBER(SEARCH("Antitarnish",Upload!N101&amp;Upload!O101&amp;Upload!P101&amp;Upload!Q101)),ISNUMBER(SEARCH("Anti Tarnish",Upload!N101&amp;Upload!O101&amp;Upload!P101&amp;Upload!Q101))))),"",0.0012*N102)</f>
        <v/>
      </c>
      <c r="P102" s="16" t="str">
        <f>IF(OR(D102="",NOT(OR(ISNUMBER(SEARCH("Epóx",Upload!N101&amp;Upload!O101&amp;Upload!P101&amp;Upload!Q101)),ISNUMBER(SEARCH("Epox",Upload!N101&amp;Upload!O101&amp;Upload!P101&amp;Upload!Q101)),ISNUMBER(SEARCH("Barniz",Upload!N101&amp;Upload!O101&amp;Upload!P101&amp;Upload!Q101))))),"",D102*0.000035)</f>
        <v/>
      </c>
      <c r="Q102" s="16" t="str">
        <f>IF(OR(D102="",NOT(OR(ISNUMBER(SEARCH("Epóx",Upload!N101&amp;Upload!O101&amp;Upload!P101&amp;Upload!Q101)),ISNUMBER(SEARCH("Epox",Upload!N101&amp;Upload!O101&amp;Upload!P101&amp;Upload!Q101)),ISNUMBER(SEARCH("Barniz",Upload!N101&amp;Upload!O101&amp;Upload!P101&amp;Upload!Q101))))),"",D102*0.000035)</f>
        <v/>
      </c>
      <c r="R102" s="16" t="str">
        <f t="shared" si="13"/>
        <v/>
      </c>
    </row>
    <row r="103" spans="1:18" x14ac:dyDescent="0.2">
      <c r="A103" s="10" t="e">
        <f t="shared" ca="1" si="7"/>
        <v>#NAME?</v>
      </c>
      <c r="B103" s="10">
        <f>Upload!E102</f>
        <v>0</v>
      </c>
      <c r="C103" s="10">
        <f>Upload!AJ102</f>
        <v>0</v>
      </c>
      <c r="D103" s="10">
        <f>Upload!AK102</f>
        <v>0</v>
      </c>
      <c r="E103" s="10" t="str">
        <f>Upload!AF102</f>
        <v/>
      </c>
      <c r="F103" s="10" t="str">
        <f>Upload!AH102</f>
        <v/>
      </c>
      <c r="G103" s="10" t="str">
        <f>Upload!AE102</f>
        <v>(seleccione)</v>
      </c>
      <c r="H103" s="10" t="str">
        <f>Upload!AG102</f>
        <v>(seleccione)</v>
      </c>
      <c r="J103" s="16" t="str">
        <f t="shared" si="8"/>
        <v/>
      </c>
      <c r="K103" s="16" t="str">
        <f t="shared" si="9"/>
        <v/>
      </c>
      <c r="L103" s="16" t="str">
        <f t="shared" si="10"/>
        <v/>
      </c>
      <c r="M103" s="16" t="str">
        <f t="shared" si="11"/>
        <v/>
      </c>
      <c r="N103" s="16" t="str">
        <f t="shared" si="12"/>
        <v/>
      </c>
      <c r="O103" s="16" t="str">
        <f>IF(OR(N103="",NOT(OR(ISNUMBER(SEARCH("Antitarnish",Upload!N102&amp;Upload!O102&amp;Upload!P102&amp;Upload!Q102)),ISNUMBER(SEARCH("Anti Tarnish",Upload!N102&amp;Upload!O102&amp;Upload!P102&amp;Upload!Q102))))),"",0.0012*N103)</f>
        <v/>
      </c>
      <c r="P103" s="16" t="str">
        <f>IF(OR(D103="",NOT(OR(ISNUMBER(SEARCH("Epóx",Upload!N102&amp;Upload!O102&amp;Upload!P102&amp;Upload!Q102)),ISNUMBER(SEARCH("Epox",Upload!N102&amp;Upload!O102&amp;Upload!P102&amp;Upload!Q102)),ISNUMBER(SEARCH("Barniz",Upload!N102&amp;Upload!O102&amp;Upload!P102&amp;Upload!Q102))))),"",D103*0.000035)</f>
        <v/>
      </c>
      <c r="Q103" s="16" t="str">
        <f>IF(OR(D103="",NOT(OR(ISNUMBER(SEARCH("Epóx",Upload!N102&amp;Upload!O102&amp;Upload!P102&amp;Upload!Q102)),ISNUMBER(SEARCH("Epox",Upload!N102&amp;Upload!O102&amp;Upload!P102&amp;Upload!Q102)),ISNUMBER(SEARCH("Barniz",Upload!N102&amp;Upload!O102&amp;Upload!P102&amp;Upload!Q102))))),"",D103*0.000035)</f>
        <v/>
      </c>
      <c r="R103" s="16" t="str">
        <f t="shared" si="13"/>
        <v/>
      </c>
    </row>
    <row r="104" spans="1:18" x14ac:dyDescent="0.2">
      <c r="A104" s="10" t="e">
        <f t="shared" ca="1" si="7"/>
        <v>#NAME?</v>
      </c>
      <c r="B104" s="10">
        <f>Upload!E103</f>
        <v>0</v>
      </c>
      <c r="C104" s="10">
        <f>Upload!AJ103</f>
        <v>0</v>
      </c>
      <c r="D104" s="10">
        <f>Upload!AK103</f>
        <v>0</v>
      </c>
      <c r="E104" s="10" t="str">
        <f>Upload!AF103</f>
        <v/>
      </c>
      <c r="F104" s="10" t="str">
        <f>Upload!AH103</f>
        <v/>
      </c>
      <c r="G104" s="10" t="str">
        <f>Upload!AE103</f>
        <v>(seleccione)</v>
      </c>
      <c r="H104" s="10" t="str">
        <f>Upload!AG103</f>
        <v>(seleccione)</v>
      </c>
      <c r="J104" s="16" t="str">
        <f t="shared" si="8"/>
        <v/>
      </c>
      <c r="K104" s="16" t="str">
        <f t="shared" si="9"/>
        <v/>
      </c>
      <c r="L104" s="16" t="str">
        <f t="shared" si="10"/>
        <v/>
      </c>
      <c r="M104" s="16" t="str">
        <f t="shared" si="11"/>
        <v/>
      </c>
      <c r="N104" s="16" t="str">
        <f t="shared" si="12"/>
        <v/>
      </c>
      <c r="O104" s="16" t="str">
        <f>IF(OR(N104="",NOT(OR(ISNUMBER(SEARCH("Antitarnish",Upload!N103&amp;Upload!O103&amp;Upload!P103&amp;Upload!Q103)),ISNUMBER(SEARCH("Anti Tarnish",Upload!N103&amp;Upload!O103&amp;Upload!P103&amp;Upload!Q103))))),"",0.0012*N104)</f>
        <v/>
      </c>
      <c r="P104" s="16" t="str">
        <f>IF(OR(D104="",NOT(OR(ISNUMBER(SEARCH("Epóx",Upload!N103&amp;Upload!O103&amp;Upload!P103&amp;Upload!Q103)),ISNUMBER(SEARCH("Epox",Upload!N103&amp;Upload!O103&amp;Upload!P103&amp;Upload!Q103)),ISNUMBER(SEARCH("Barniz",Upload!N103&amp;Upload!O103&amp;Upload!P103&amp;Upload!Q103))))),"",D104*0.000035)</f>
        <v/>
      </c>
      <c r="Q104" s="16" t="str">
        <f>IF(OR(D104="",NOT(OR(ISNUMBER(SEARCH("Epóx",Upload!N103&amp;Upload!O103&amp;Upload!P103&amp;Upload!Q103)),ISNUMBER(SEARCH("Epox",Upload!N103&amp;Upload!O103&amp;Upload!P103&amp;Upload!Q103)),ISNUMBER(SEARCH("Barniz",Upload!N103&amp;Upload!O103&amp;Upload!P103&amp;Upload!Q103))))),"",D104*0.000035)</f>
        <v/>
      </c>
      <c r="R104" s="16" t="str">
        <f t="shared" si="13"/>
        <v/>
      </c>
    </row>
    <row r="105" spans="1:18" x14ac:dyDescent="0.2">
      <c r="A105" s="10" t="e">
        <f t="shared" ca="1" si="7"/>
        <v>#NAME?</v>
      </c>
      <c r="B105" s="10">
        <f>Upload!E104</f>
        <v>0</v>
      </c>
      <c r="C105" s="10">
        <f>Upload!AJ104</f>
        <v>0</v>
      </c>
      <c r="D105" s="10">
        <f>Upload!AK104</f>
        <v>0</v>
      </c>
      <c r="E105" s="10" t="str">
        <f>Upload!AF104</f>
        <v/>
      </c>
      <c r="F105" s="10" t="str">
        <f>Upload!AH104</f>
        <v/>
      </c>
      <c r="G105" s="10" t="str">
        <f>Upload!AE104</f>
        <v>(seleccione)</v>
      </c>
      <c r="H105" s="10" t="str">
        <f>Upload!AG104</f>
        <v>(seleccione)</v>
      </c>
      <c r="J105" s="16" t="str">
        <f t="shared" si="8"/>
        <v/>
      </c>
      <c r="K105" s="16" t="str">
        <f t="shared" si="9"/>
        <v/>
      </c>
      <c r="L105" s="16" t="str">
        <f t="shared" si="10"/>
        <v/>
      </c>
      <c r="M105" s="16" t="str">
        <f t="shared" si="11"/>
        <v/>
      </c>
      <c r="N105" s="16" t="str">
        <f t="shared" si="12"/>
        <v/>
      </c>
      <c r="O105" s="16" t="str">
        <f>IF(OR(N105="",NOT(OR(ISNUMBER(SEARCH("Antitarnish",Upload!N104&amp;Upload!O104&amp;Upload!P104&amp;Upload!Q104)),ISNUMBER(SEARCH("Anti Tarnish",Upload!N104&amp;Upload!O104&amp;Upload!P104&amp;Upload!Q104))))),"",0.0012*N105)</f>
        <v/>
      </c>
      <c r="P105" s="16" t="str">
        <f>IF(OR(D105="",NOT(OR(ISNUMBER(SEARCH("Epóx",Upload!N104&amp;Upload!O104&amp;Upload!P104&amp;Upload!Q104)),ISNUMBER(SEARCH("Epox",Upload!N104&amp;Upload!O104&amp;Upload!P104&amp;Upload!Q104)),ISNUMBER(SEARCH("Barniz",Upload!N104&amp;Upload!O104&amp;Upload!P104&amp;Upload!Q104))))),"",D105*0.000035)</f>
        <v/>
      </c>
      <c r="Q105" s="16" t="str">
        <f>IF(OR(D105="",NOT(OR(ISNUMBER(SEARCH("Epóx",Upload!N104&amp;Upload!O104&amp;Upload!P104&amp;Upload!Q104)),ISNUMBER(SEARCH("Epox",Upload!N104&amp;Upload!O104&amp;Upload!P104&amp;Upload!Q104)),ISNUMBER(SEARCH("Barniz",Upload!N104&amp;Upload!O104&amp;Upload!P104&amp;Upload!Q104))))),"",D105*0.000035)</f>
        <v/>
      </c>
      <c r="R105" s="16" t="str">
        <f t="shared" si="13"/>
        <v/>
      </c>
    </row>
    <row r="106" spans="1:18" x14ac:dyDescent="0.2">
      <c r="A106" s="10" t="e">
        <f t="shared" ca="1" si="7"/>
        <v>#NAME?</v>
      </c>
      <c r="B106" s="10">
        <f>Upload!E105</f>
        <v>0</v>
      </c>
      <c r="C106" s="10">
        <f>Upload!AJ105</f>
        <v>0</v>
      </c>
      <c r="D106" s="10">
        <f>Upload!AK105</f>
        <v>0</v>
      </c>
      <c r="E106" s="10" t="str">
        <f>Upload!AF105</f>
        <v/>
      </c>
      <c r="F106" s="10" t="str">
        <f>Upload!AH105</f>
        <v/>
      </c>
      <c r="G106" s="10" t="str">
        <f>Upload!AE105</f>
        <v>(seleccione)</v>
      </c>
      <c r="H106" s="10" t="str">
        <f>Upload!AG105</f>
        <v>(seleccione)</v>
      </c>
      <c r="J106" s="16" t="str">
        <f t="shared" si="8"/>
        <v/>
      </c>
      <c r="K106" s="16" t="str">
        <f t="shared" si="9"/>
        <v/>
      </c>
      <c r="L106" s="16" t="str">
        <f t="shared" si="10"/>
        <v/>
      </c>
      <c r="M106" s="16" t="str">
        <f t="shared" si="11"/>
        <v/>
      </c>
      <c r="N106" s="16" t="str">
        <f t="shared" si="12"/>
        <v/>
      </c>
      <c r="O106" s="16" t="str">
        <f>IF(OR(N106="",NOT(OR(ISNUMBER(SEARCH("Antitarnish",Upload!N105&amp;Upload!O105&amp;Upload!P105&amp;Upload!Q105)),ISNUMBER(SEARCH("Anti Tarnish",Upload!N105&amp;Upload!O105&amp;Upload!P105&amp;Upload!Q105))))),"",0.0012*N106)</f>
        <v/>
      </c>
      <c r="P106" s="16" t="str">
        <f>IF(OR(D106="",NOT(OR(ISNUMBER(SEARCH("Epóx",Upload!N105&amp;Upload!O105&amp;Upload!P105&amp;Upload!Q105)),ISNUMBER(SEARCH("Epox",Upload!N105&amp;Upload!O105&amp;Upload!P105&amp;Upload!Q105)),ISNUMBER(SEARCH("Barniz",Upload!N105&amp;Upload!O105&amp;Upload!P105&amp;Upload!Q105))))),"",D106*0.000035)</f>
        <v/>
      </c>
      <c r="Q106" s="16" t="str">
        <f>IF(OR(D106="",NOT(OR(ISNUMBER(SEARCH("Epóx",Upload!N105&amp;Upload!O105&amp;Upload!P105&amp;Upload!Q105)),ISNUMBER(SEARCH("Epox",Upload!N105&amp;Upload!O105&amp;Upload!P105&amp;Upload!Q105)),ISNUMBER(SEARCH("Barniz",Upload!N105&amp;Upload!O105&amp;Upload!P105&amp;Upload!Q105))))),"",D106*0.000035)</f>
        <v/>
      </c>
      <c r="R106" s="16" t="str">
        <f t="shared" si="13"/>
        <v/>
      </c>
    </row>
    <row r="107" spans="1:18" x14ac:dyDescent="0.2">
      <c r="A107" s="10" t="e">
        <f t="shared" ca="1" si="7"/>
        <v>#NAME?</v>
      </c>
      <c r="B107" s="10">
        <f>Upload!E106</f>
        <v>0</v>
      </c>
      <c r="C107" s="10">
        <f>Upload!AJ106</f>
        <v>0</v>
      </c>
      <c r="D107" s="10">
        <f>Upload!AK106</f>
        <v>0</v>
      </c>
      <c r="E107" s="10" t="str">
        <f>Upload!AF106</f>
        <v/>
      </c>
      <c r="F107" s="10" t="str">
        <f>Upload!AH106</f>
        <v/>
      </c>
      <c r="G107" s="10" t="str">
        <f>Upload!AE106</f>
        <v>(seleccione)</v>
      </c>
      <c r="H107" s="10" t="str">
        <f>Upload!AG106</f>
        <v>(seleccione)</v>
      </c>
      <c r="J107" s="16" t="str">
        <f t="shared" si="8"/>
        <v/>
      </c>
      <c r="K107" s="16" t="str">
        <f t="shared" si="9"/>
        <v/>
      </c>
      <c r="L107" s="16" t="str">
        <f t="shared" si="10"/>
        <v/>
      </c>
      <c r="M107" s="16" t="str">
        <f t="shared" si="11"/>
        <v/>
      </c>
      <c r="N107" s="16" t="str">
        <f t="shared" si="12"/>
        <v/>
      </c>
      <c r="O107" s="16" t="str">
        <f>IF(OR(N107="",NOT(OR(ISNUMBER(SEARCH("Antitarnish",Upload!N106&amp;Upload!O106&amp;Upload!P106&amp;Upload!Q106)),ISNUMBER(SEARCH("Anti Tarnish",Upload!N106&amp;Upload!O106&amp;Upload!P106&amp;Upload!Q106))))),"",0.0012*N107)</f>
        <v/>
      </c>
      <c r="P107" s="16" t="str">
        <f>IF(OR(D107="",NOT(OR(ISNUMBER(SEARCH("Epóx",Upload!N106&amp;Upload!O106&amp;Upload!P106&amp;Upload!Q106)),ISNUMBER(SEARCH("Epox",Upload!N106&amp;Upload!O106&amp;Upload!P106&amp;Upload!Q106)),ISNUMBER(SEARCH("Barniz",Upload!N106&amp;Upload!O106&amp;Upload!P106&amp;Upload!Q106))))),"",D107*0.000035)</f>
        <v/>
      </c>
      <c r="Q107" s="16" t="str">
        <f>IF(OR(D107="",NOT(OR(ISNUMBER(SEARCH("Epóx",Upload!N106&amp;Upload!O106&amp;Upload!P106&amp;Upload!Q106)),ISNUMBER(SEARCH("Epox",Upload!N106&amp;Upload!O106&amp;Upload!P106&amp;Upload!Q106)),ISNUMBER(SEARCH("Barniz",Upload!N106&amp;Upload!O106&amp;Upload!P106&amp;Upload!Q106))))),"",D107*0.000035)</f>
        <v/>
      </c>
      <c r="R107" s="16" t="str">
        <f t="shared" si="13"/>
        <v/>
      </c>
    </row>
    <row r="108" spans="1:18" x14ac:dyDescent="0.2">
      <c r="A108" s="10" t="e">
        <f t="shared" ca="1" si="7"/>
        <v>#NAME?</v>
      </c>
      <c r="B108" s="10">
        <f>Upload!E107</f>
        <v>0</v>
      </c>
      <c r="C108" s="10">
        <f>Upload!AJ107</f>
        <v>0</v>
      </c>
      <c r="D108" s="10">
        <f>Upload!AK107</f>
        <v>0</v>
      </c>
      <c r="E108" s="10" t="str">
        <f>Upload!AF107</f>
        <v/>
      </c>
      <c r="F108" s="10" t="str">
        <f>Upload!AH107</f>
        <v/>
      </c>
      <c r="G108" s="10" t="str">
        <f>Upload!AE107</f>
        <v>(seleccione)</v>
      </c>
      <c r="H108" s="10" t="str">
        <f>Upload!AG107</f>
        <v>(seleccione)</v>
      </c>
      <c r="J108" s="16" t="str">
        <f t="shared" si="8"/>
        <v/>
      </c>
      <c r="K108" s="16" t="str">
        <f t="shared" si="9"/>
        <v/>
      </c>
      <c r="L108" s="16" t="str">
        <f t="shared" si="10"/>
        <v/>
      </c>
      <c r="M108" s="16" t="str">
        <f t="shared" si="11"/>
        <v/>
      </c>
      <c r="N108" s="16" t="str">
        <f t="shared" si="12"/>
        <v/>
      </c>
      <c r="O108" s="16" t="str">
        <f>IF(OR(N108="",NOT(OR(ISNUMBER(SEARCH("Antitarnish",Upload!N107&amp;Upload!O107&amp;Upload!P107&amp;Upload!Q107)),ISNUMBER(SEARCH("Anti Tarnish",Upload!N107&amp;Upload!O107&amp;Upload!P107&amp;Upload!Q107))))),"",0.0012*N108)</f>
        <v/>
      </c>
      <c r="P108" s="16" t="str">
        <f>IF(OR(D108="",NOT(OR(ISNUMBER(SEARCH("Epóx",Upload!N107&amp;Upload!O107&amp;Upload!P107&amp;Upload!Q107)),ISNUMBER(SEARCH("Epox",Upload!N107&amp;Upload!O107&amp;Upload!P107&amp;Upload!Q107)),ISNUMBER(SEARCH("Barniz",Upload!N107&amp;Upload!O107&amp;Upload!P107&amp;Upload!Q107))))),"",D108*0.000035)</f>
        <v/>
      </c>
      <c r="Q108" s="16" t="str">
        <f>IF(OR(D108="",NOT(OR(ISNUMBER(SEARCH("Epóx",Upload!N107&amp;Upload!O107&amp;Upload!P107&amp;Upload!Q107)),ISNUMBER(SEARCH("Epox",Upload!N107&amp;Upload!O107&amp;Upload!P107&amp;Upload!Q107)),ISNUMBER(SEARCH("Barniz",Upload!N107&amp;Upload!O107&amp;Upload!P107&amp;Upload!Q107))))),"",D108*0.000035)</f>
        <v/>
      </c>
      <c r="R108" s="16" t="str">
        <f t="shared" si="13"/>
        <v/>
      </c>
    </row>
    <row r="109" spans="1:18" x14ac:dyDescent="0.2">
      <c r="A109" s="10" t="e">
        <f t="shared" ca="1" si="7"/>
        <v>#NAME?</v>
      </c>
      <c r="B109" s="10">
        <f>Upload!E108</f>
        <v>0</v>
      </c>
      <c r="C109" s="10">
        <f>Upload!AJ108</f>
        <v>0</v>
      </c>
      <c r="D109" s="10">
        <f>Upload!AK108</f>
        <v>0</v>
      </c>
      <c r="E109" s="10" t="str">
        <f>Upload!AF108</f>
        <v/>
      </c>
      <c r="F109" s="10" t="str">
        <f>Upload!AH108</f>
        <v/>
      </c>
      <c r="G109" s="10" t="str">
        <f>Upload!AE108</f>
        <v>(seleccione)</v>
      </c>
      <c r="H109" s="10" t="str">
        <f>Upload!AG108</f>
        <v>(seleccione)</v>
      </c>
      <c r="J109" s="16" t="str">
        <f t="shared" si="8"/>
        <v/>
      </c>
      <c r="K109" s="16" t="str">
        <f t="shared" si="9"/>
        <v/>
      </c>
      <c r="L109" s="16" t="str">
        <f t="shared" si="10"/>
        <v/>
      </c>
      <c r="M109" s="16" t="str">
        <f t="shared" si="11"/>
        <v/>
      </c>
      <c r="N109" s="16" t="str">
        <f t="shared" si="12"/>
        <v/>
      </c>
      <c r="O109" s="16" t="str">
        <f>IF(OR(N109="",NOT(OR(ISNUMBER(SEARCH("Antitarnish",Upload!N108&amp;Upload!O108&amp;Upload!P108&amp;Upload!Q108)),ISNUMBER(SEARCH("Anti Tarnish",Upload!N108&amp;Upload!O108&amp;Upload!P108&amp;Upload!Q108))))),"",0.0012*N109)</f>
        <v/>
      </c>
      <c r="P109" s="16" t="str">
        <f>IF(OR(D109="",NOT(OR(ISNUMBER(SEARCH("Epóx",Upload!N108&amp;Upload!O108&amp;Upload!P108&amp;Upload!Q108)),ISNUMBER(SEARCH("Epox",Upload!N108&amp;Upload!O108&amp;Upload!P108&amp;Upload!Q108)),ISNUMBER(SEARCH("Barniz",Upload!N108&amp;Upload!O108&amp;Upload!P108&amp;Upload!Q108))))),"",D109*0.000035)</f>
        <v/>
      </c>
      <c r="Q109" s="16" t="str">
        <f>IF(OR(D109="",NOT(OR(ISNUMBER(SEARCH("Epóx",Upload!N108&amp;Upload!O108&amp;Upload!P108&amp;Upload!Q108)),ISNUMBER(SEARCH("Epox",Upload!N108&amp;Upload!O108&amp;Upload!P108&amp;Upload!Q108)),ISNUMBER(SEARCH("Barniz",Upload!N108&amp;Upload!O108&amp;Upload!P108&amp;Upload!Q108))))),"",D109*0.000035)</f>
        <v/>
      </c>
      <c r="R109" s="16" t="str">
        <f t="shared" si="13"/>
        <v/>
      </c>
    </row>
    <row r="110" spans="1:18" x14ac:dyDescent="0.2">
      <c r="A110" s="10" t="e">
        <f t="shared" ca="1" si="7"/>
        <v>#NAME?</v>
      </c>
      <c r="B110" s="10">
        <f>Upload!E109</f>
        <v>0</v>
      </c>
      <c r="C110" s="10">
        <f>Upload!AJ109</f>
        <v>0</v>
      </c>
      <c r="D110" s="10">
        <f>Upload!AK109</f>
        <v>0</v>
      </c>
      <c r="E110" s="10" t="str">
        <f>Upload!AF109</f>
        <v/>
      </c>
      <c r="F110" s="10" t="str">
        <f>Upload!AH109</f>
        <v/>
      </c>
      <c r="G110" s="10" t="str">
        <f>Upload!AE109</f>
        <v>(seleccione)</v>
      </c>
      <c r="H110" s="10" t="str">
        <f>Upload!AG109</f>
        <v>(seleccione)</v>
      </c>
      <c r="J110" s="16" t="str">
        <f t="shared" si="8"/>
        <v/>
      </c>
      <c r="K110" s="16" t="str">
        <f t="shared" si="9"/>
        <v/>
      </c>
      <c r="L110" s="16" t="str">
        <f t="shared" si="10"/>
        <v/>
      </c>
      <c r="M110" s="16" t="str">
        <f t="shared" si="11"/>
        <v/>
      </c>
      <c r="N110" s="16" t="str">
        <f t="shared" si="12"/>
        <v/>
      </c>
      <c r="O110" s="16" t="str">
        <f>IF(OR(N110="",NOT(OR(ISNUMBER(SEARCH("Antitarnish",Upload!N109&amp;Upload!O109&amp;Upload!P109&amp;Upload!Q109)),ISNUMBER(SEARCH("Anti Tarnish",Upload!N109&amp;Upload!O109&amp;Upload!P109&amp;Upload!Q109))))),"",0.0012*N110)</f>
        <v/>
      </c>
      <c r="P110" s="16" t="str">
        <f>IF(OR(D110="",NOT(OR(ISNUMBER(SEARCH("Epóx",Upload!N109&amp;Upload!O109&amp;Upload!P109&amp;Upload!Q109)),ISNUMBER(SEARCH("Epox",Upload!N109&amp;Upload!O109&amp;Upload!P109&amp;Upload!Q109)),ISNUMBER(SEARCH("Barniz",Upload!N109&amp;Upload!O109&amp;Upload!P109&amp;Upload!Q109))))),"",D110*0.000035)</f>
        <v/>
      </c>
      <c r="Q110" s="16" t="str">
        <f>IF(OR(D110="",NOT(OR(ISNUMBER(SEARCH("Epóx",Upload!N109&amp;Upload!O109&amp;Upload!P109&amp;Upload!Q109)),ISNUMBER(SEARCH("Epox",Upload!N109&amp;Upload!O109&amp;Upload!P109&amp;Upload!Q109)),ISNUMBER(SEARCH("Barniz",Upload!N109&amp;Upload!O109&amp;Upload!P109&amp;Upload!Q109))))),"",D110*0.000035)</f>
        <v/>
      </c>
      <c r="R110" s="16" t="str">
        <f t="shared" si="13"/>
        <v/>
      </c>
    </row>
    <row r="111" spans="1:18" x14ac:dyDescent="0.2">
      <c r="A111" s="10" t="e">
        <f t="shared" ca="1" si="7"/>
        <v>#NAME?</v>
      </c>
      <c r="B111" s="10">
        <f>Upload!E110</f>
        <v>0</v>
      </c>
      <c r="C111" s="10">
        <f>Upload!AJ110</f>
        <v>0</v>
      </c>
      <c r="D111" s="10">
        <f>Upload!AK110</f>
        <v>0</v>
      </c>
      <c r="E111" s="10" t="str">
        <f>Upload!AF110</f>
        <v/>
      </c>
      <c r="F111" s="10" t="str">
        <f>Upload!AH110</f>
        <v/>
      </c>
      <c r="G111" s="10" t="str">
        <f>Upload!AE110</f>
        <v>(seleccione)</v>
      </c>
      <c r="H111" s="10" t="str">
        <f>Upload!AG110</f>
        <v>(seleccione)</v>
      </c>
      <c r="J111" s="16" t="str">
        <f t="shared" si="8"/>
        <v/>
      </c>
      <c r="K111" s="16" t="str">
        <f t="shared" si="9"/>
        <v/>
      </c>
      <c r="L111" s="16" t="str">
        <f t="shared" si="10"/>
        <v/>
      </c>
      <c r="M111" s="16" t="str">
        <f t="shared" si="11"/>
        <v/>
      </c>
      <c r="N111" s="16" t="str">
        <f t="shared" si="12"/>
        <v/>
      </c>
      <c r="O111" s="16" t="str">
        <f>IF(OR(N111="",NOT(OR(ISNUMBER(SEARCH("Antitarnish",Upload!N110&amp;Upload!O110&amp;Upload!P110&amp;Upload!Q110)),ISNUMBER(SEARCH("Anti Tarnish",Upload!N110&amp;Upload!O110&amp;Upload!P110&amp;Upload!Q110))))),"",0.0012*N111)</f>
        <v/>
      </c>
      <c r="P111" s="16" t="str">
        <f>IF(OR(D111="",NOT(OR(ISNUMBER(SEARCH("Epóx",Upload!N110&amp;Upload!O110&amp;Upload!P110&amp;Upload!Q110)),ISNUMBER(SEARCH("Epox",Upload!N110&amp;Upload!O110&amp;Upload!P110&amp;Upload!Q110)),ISNUMBER(SEARCH("Barniz",Upload!N110&amp;Upload!O110&amp;Upload!P110&amp;Upload!Q110))))),"",D111*0.000035)</f>
        <v/>
      </c>
      <c r="Q111" s="16" t="str">
        <f>IF(OR(D111="",NOT(OR(ISNUMBER(SEARCH("Epóx",Upload!N110&amp;Upload!O110&amp;Upload!P110&amp;Upload!Q110)),ISNUMBER(SEARCH("Epox",Upload!N110&amp;Upload!O110&amp;Upload!P110&amp;Upload!Q110)),ISNUMBER(SEARCH("Barniz",Upload!N110&amp;Upload!O110&amp;Upload!P110&amp;Upload!Q110))))),"",D111*0.000035)</f>
        <v/>
      </c>
      <c r="R111" s="16" t="str">
        <f t="shared" si="13"/>
        <v/>
      </c>
    </row>
    <row r="112" spans="1:18" x14ac:dyDescent="0.2">
      <c r="A112" s="10" t="e">
        <f t="shared" ca="1" si="7"/>
        <v>#NAME?</v>
      </c>
      <c r="B112" s="10">
        <f>Upload!E111</f>
        <v>0</v>
      </c>
      <c r="C112" s="10">
        <f>Upload!AJ111</f>
        <v>0</v>
      </c>
      <c r="D112" s="10">
        <f>Upload!AK111</f>
        <v>0</v>
      </c>
      <c r="E112" s="10" t="str">
        <f>Upload!AF111</f>
        <v/>
      </c>
      <c r="F112" s="10" t="str">
        <f>Upload!AH111</f>
        <v/>
      </c>
      <c r="G112" s="10" t="str">
        <f>Upload!AE111</f>
        <v>(seleccione)</v>
      </c>
      <c r="H112" s="10" t="str">
        <f>Upload!AG111</f>
        <v>(seleccione)</v>
      </c>
      <c r="J112" s="16" t="str">
        <f t="shared" si="8"/>
        <v/>
      </c>
      <c r="K112" s="16" t="str">
        <f t="shared" si="9"/>
        <v/>
      </c>
      <c r="L112" s="16" t="str">
        <f t="shared" si="10"/>
        <v/>
      </c>
      <c r="M112" s="16" t="str">
        <f t="shared" si="11"/>
        <v/>
      </c>
      <c r="N112" s="16" t="str">
        <f t="shared" si="12"/>
        <v/>
      </c>
      <c r="O112" s="16" t="str">
        <f>IF(OR(N112="",NOT(OR(ISNUMBER(SEARCH("Antitarnish",Upload!N111&amp;Upload!O111&amp;Upload!P111&amp;Upload!Q111)),ISNUMBER(SEARCH("Anti Tarnish",Upload!N111&amp;Upload!O111&amp;Upload!P111&amp;Upload!Q111))))),"",0.0012*N112)</f>
        <v/>
      </c>
      <c r="P112" s="16" t="str">
        <f>IF(OR(D112="",NOT(OR(ISNUMBER(SEARCH("Epóx",Upload!N111&amp;Upload!O111&amp;Upload!P111&amp;Upload!Q111)),ISNUMBER(SEARCH("Epox",Upload!N111&amp;Upload!O111&amp;Upload!P111&amp;Upload!Q111)),ISNUMBER(SEARCH("Barniz",Upload!N111&amp;Upload!O111&amp;Upload!P111&amp;Upload!Q111))))),"",D112*0.000035)</f>
        <v/>
      </c>
      <c r="Q112" s="16" t="str">
        <f>IF(OR(D112="",NOT(OR(ISNUMBER(SEARCH("Epóx",Upload!N111&amp;Upload!O111&amp;Upload!P111&amp;Upload!Q111)),ISNUMBER(SEARCH("Epox",Upload!N111&amp;Upload!O111&amp;Upload!P111&amp;Upload!Q111)),ISNUMBER(SEARCH("Barniz",Upload!N111&amp;Upload!O111&amp;Upload!P111&amp;Upload!Q111))))),"",D112*0.000035)</f>
        <v/>
      </c>
      <c r="R112" s="16" t="str">
        <f t="shared" si="13"/>
        <v/>
      </c>
    </row>
    <row r="113" spans="1:18" x14ac:dyDescent="0.2">
      <c r="A113" s="10" t="e">
        <f t="shared" ca="1" si="7"/>
        <v>#NAME?</v>
      </c>
      <c r="B113" s="10">
        <f>Upload!E112</f>
        <v>0</v>
      </c>
      <c r="C113" s="10">
        <f>Upload!AJ112</f>
        <v>0</v>
      </c>
      <c r="D113" s="10">
        <f>Upload!AK112</f>
        <v>0</v>
      </c>
      <c r="E113" s="10" t="str">
        <f>Upload!AF112</f>
        <v/>
      </c>
      <c r="F113" s="10" t="str">
        <f>Upload!AH112</f>
        <v/>
      </c>
      <c r="G113" s="10" t="str">
        <f>Upload!AE112</f>
        <v>(seleccione)</v>
      </c>
      <c r="H113" s="10" t="str">
        <f>Upload!AG112</f>
        <v>(seleccione)</v>
      </c>
      <c r="J113" s="16" t="str">
        <f t="shared" si="8"/>
        <v/>
      </c>
      <c r="K113" s="16" t="str">
        <f t="shared" si="9"/>
        <v/>
      </c>
      <c r="L113" s="16" t="str">
        <f t="shared" si="10"/>
        <v/>
      </c>
      <c r="M113" s="16" t="str">
        <f t="shared" si="11"/>
        <v/>
      </c>
      <c r="N113" s="16" t="str">
        <f t="shared" si="12"/>
        <v/>
      </c>
      <c r="O113" s="16" t="str">
        <f>IF(OR(N113="",NOT(OR(ISNUMBER(SEARCH("Antitarnish",Upload!N112&amp;Upload!O112&amp;Upload!P112&amp;Upload!Q112)),ISNUMBER(SEARCH("Anti Tarnish",Upload!N112&amp;Upload!O112&amp;Upload!P112&amp;Upload!Q112))))),"",0.0012*N113)</f>
        <v/>
      </c>
      <c r="P113" s="16" t="str">
        <f>IF(OR(D113="",NOT(OR(ISNUMBER(SEARCH("Epóx",Upload!N112&amp;Upload!O112&amp;Upload!P112&amp;Upload!Q112)),ISNUMBER(SEARCH("Epox",Upload!N112&amp;Upload!O112&amp;Upload!P112&amp;Upload!Q112)),ISNUMBER(SEARCH("Barniz",Upload!N112&amp;Upload!O112&amp;Upload!P112&amp;Upload!Q112))))),"",D113*0.000035)</f>
        <v/>
      </c>
      <c r="Q113" s="16" t="str">
        <f>IF(OR(D113="",NOT(OR(ISNUMBER(SEARCH("Epóx",Upload!N112&amp;Upload!O112&amp;Upload!P112&amp;Upload!Q112)),ISNUMBER(SEARCH("Epox",Upload!N112&amp;Upload!O112&amp;Upload!P112&amp;Upload!Q112)),ISNUMBER(SEARCH("Barniz",Upload!N112&amp;Upload!O112&amp;Upload!P112&amp;Upload!Q112))))),"",D113*0.000035)</f>
        <v/>
      </c>
      <c r="R113" s="16" t="str">
        <f t="shared" si="13"/>
        <v/>
      </c>
    </row>
    <row r="114" spans="1:18" x14ac:dyDescent="0.2">
      <c r="A114" s="10" t="e">
        <f t="shared" ca="1" si="7"/>
        <v>#NAME?</v>
      </c>
      <c r="B114" s="10">
        <f>Upload!E113</f>
        <v>0</v>
      </c>
      <c r="C114" s="10">
        <f>Upload!AJ113</f>
        <v>0</v>
      </c>
      <c r="D114" s="10">
        <f>Upload!AK113</f>
        <v>0</v>
      </c>
      <c r="E114" s="10" t="str">
        <f>Upload!AF113</f>
        <v/>
      </c>
      <c r="F114" s="10" t="str">
        <f>Upload!AH113</f>
        <v/>
      </c>
      <c r="G114" s="10" t="str">
        <f>Upload!AE113</f>
        <v>(seleccione)</v>
      </c>
      <c r="H114" s="10" t="str">
        <f>Upload!AG113</f>
        <v>(seleccione)</v>
      </c>
      <c r="J114" s="16" t="str">
        <f t="shared" si="8"/>
        <v/>
      </c>
      <c r="K114" s="16" t="str">
        <f t="shared" si="9"/>
        <v/>
      </c>
      <c r="L114" s="16" t="str">
        <f t="shared" si="10"/>
        <v/>
      </c>
      <c r="M114" s="16" t="str">
        <f t="shared" si="11"/>
        <v/>
      </c>
      <c r="N114" s="16" t="str">
        <f t="shared" si="12"/>
        <v/>
      </c>
      <c r="O114" s="16" t="str">
        <f>IF(OR(N114="",NOT(OR(ISNUMBER(SEARCH("Antitarnish",Upload!N113&amp;Upload!O113&amp;Upload!P113&amp;Upload!Q113)),ISNUMBER(SEARCH("Anti Tarnish",Upload!N113&amp;Upload!O113&amp;Upload!P113&amp;Upload!Q113))))),"",0.0012*N114)</f>
        <v/>
      </c>
      <c r="P114" s="16" t="str">
        <f>IF(OR(D114="",NOT(OR(ISNUMBER(SEARCH("Epóx",Upload!N113&amp;Upload!O113&amp;Upload!P113&amp;Upload!Q113)),ISNUMBER(SEARCH("Epox",Upload!N113&amp;Upload!O113&amp;Upload!P113&amp;Upload!Q113)),ISNUMBER(SEARCH("Barniz",Upload!N113&amp;Upload!O113&amp;Upload!P113&amp;Upload!Q113))))),"",D114*0.000035)</f>
        <v/>
      </c>
      <c r="Q114" s="16" t="str">
        <f>IF(OR(D114="",NOT(OR(ISNUMBER(SEARCH("Epóx",Upload!N113&amp;Upload!O113&amp;Upload!P113&amp;Upload!Q113)),ISNUMBER(SEARCH("Epox",Upload!N113&amp;Upload!O113&amp;Upload!P113&amp;Upload!Q113)),ISNUMBER(SEARCH("Barniz",Upload!N113&amp;Upload!O113&amp;Upload!P113&amp;Upload!Q113))))),"",D114*0.000035)</f>
        <v/>
      </c>
      <c r="R114" s="16" t="str">
        <f t="shared" si="13"/>
        <v/>
      </c>
    </row>
    <row r="115" spans="1:18" x14ac:dyDescent="0.2">
      <c r="A115" s="10" t="e">
        <f t="shared" ref="A115:A178" ca="1" si="14">_xludf.ROW()-18</f>
        <v>#NAME?</v>
      </c>
      <c r="B115" s="10">
        <f>Upload!E114</f>
        <v>0</v>
      </c>
      <c r="C115" s="10">
        <f>Upload!AJ114</f>
        <v>0</v>
      </c>
      <c r="D115" s="10">
        <f>Upload!AK114</f>
        <v>0</v>
      </c>
      <c r="E115" s="10" t="str">
        <f>Upload!AF114</f>
        <v/>
      </c>
      <c r="F115" s="10" t="str">
        <f>Upload!AH114</f>
        <v/>
      </c>
      <c r="G115" s="10" t="str">
        <f>Upload!AE114</f>
        <v>(seleccione)</v>
      </c>
      <c r="H115" s="10" t="str">
        <f>Upload!AG114</f>
        <v>(seleccione)</v>
      </c>
      <c r="J115" s="16" t="str">
        <f t="shared" si="8"/>
        <v/>
      </c>
      <c r="K115" s="16" t="str">
        <f t="shared" si="9"/>
        <v/>
      </c>
      <c r="L115" s="16" t="str">
        <f t="shared" si="10"/>
        <v/>
      </c>
      <c r="M115" s="16" t="str">
        <f t="shared" si="11"/>
        <v/>
      </c>
      <c r="N115" s="16" t="str">
        <f t="shared" si="12"/>
        <v/>
      </c>
      <c r="O115" s="16" t="str">
        <f>IF(OR(N115="",NOT(OR(ISNUMBER(SEARCH("Antitarnish",Upload!N114&amp;Upload!O114&amp;Upload!P114&amp;Upload!Q114)),ISNUMBER(SEARCH("Anti Tarnish",Upload!N114&amp;Upload!O114&amp;Upload!P114&amp;Upload!Q114))))),"",0.0012*N115)</f>
        <v/>
      </c>
      <c r="P115" s="16" t="str">
        <f>IF(OR(D115="",NOT(OR(ISNUMBER(SEARCH("Epóx",Upload!N114&amp;Upload!O114&amp;Upload!P114&amp;Upload!Q114)),ISNUMBER(SEARCH("Epox",Upload!N114&amp;Upload!O114&amp;Upload!P114&amp;Upload!Q114)),ISNUMBER(SEARCH("Barniz",Upload!N114&amp;Upload!O114&amp;Upload!P114&amp;Upload!Q114))))),"",D115*0.000035)</f>
        <v/>
      </c>
      <c r="Q115" s="16" t="str">
        <f>IF(OR(D115="",NOT(OR(ISNUMBER(SEARCH("Epóx",Upload!N114&amp;Upload!O114&amp;Upload!P114&amp;Upload!Q114)),ISNUMBER(SEARCH("Epox",Upload!N114&amp;Upload!O114&amp;Upload!P114&amp;Upload!Q114)),ISNUMBER(SEARCH("Barniz",Upload!N114&amp;Upload!O114&amp;Upload!P114&amp;Upload!Q114))))),"",D115*0.000035)</f>
        <v/>
      </c>
      <c r="R115" s="16" t="str">
        <f t="shared" si="13"/>
        <v/>
      </c>
    </row>
    <row r="116" spans="1:18" x14ac:dyDescent="0.2">
      <c r="A116" s="10" t="e">
        <f t="shared" ca="1" si="14"/>
        <v>#NAME?</v>
      </c>
      <c r="B116" s="10">
        <f>Upload!E115</f>
        <v>0</v>
      </c>
      <c r="C116" s="10">
        <f>Upload!AJ115</f>
        <v>0</v>
      </c>
      <c r="D116" s="10">
        <f>Upload!AK115</f>
        <v>0</v>
      </c>
      <c r="E116" s="10" t="str">
        <f>Upload!AF115</f>
        <v/>
      </c>
      <c r="F116" s="10" t="str">
        <f>Upload!AH115</f>
        <v/>
      </c>
      <c r="G116" s="10" t="str">
        <f>Upload!AE115</f>
        <v>(seleccione)</v>
      </c>
      <c r="H116" s="10" t="str">
        <f>Upload!AG115</f>
        <v>(seleccione)</v>
      </c>
      <c r="J116" s="16" t="str">
        <f t="shared" si="8"/>
        <v/>
      </c>
      <c r="K116" s="16" t="str">
        <f t="shared" si="9"/>
        <v/>
      </c>
      <c r="L116" s="16" t="str">
        <f t="shared" si="10"/>
        <v/>
      </c>
      <c r="M116" s="16" t="str">
        <f t="shared" si="11"/>
        <v/>
      </c>
      <c r="N116" s="16" t="str">
        <f t="shared" si="12"/>
        <v/>
      </c>
      <c r="O116" s="16" t="str">
        <f>IF(OR(N116="",NOT(OR(ISNUMBER(SEARCH("Antitarnish",Upload!N115&amp;Upload!O115&amp;Upload!P115&amp;Upload!Q115)),ISNUMBER(SEARCH("Anti Tarnish",Upload!N115&amp;Upload!O115&amp;Upload!P115&amp;Upload!Q115))))),"",0.0012*N116)</f>
        <v/>
      </c>
      <c r="P116" s="16" t="str">
        <f>IF(OR(D116="",NOT(OR(ISNUMBER(SEARCH("Epóx",Upload!N115&amp;Upload!O115&amp;Upload!P115&amp;Upload!Q115)),ISNUMBER(SEARCH("Epox",Upload!N115&amp;Upload!O115&amp;Upload!P115&amp;Upload!Q115)),ISNUMBER(SEARCH("Barniz",Upload!N115&amp;Upload!O115&amp;Upload!P115&amp;Upload!Q115))))),"",D116*0.000035)</f>
        <v/>
      </c>
      <c r="Q116" s="16" t="str">
        <f>IF(OR(D116="",NOT(OR(ISNUMBER(SEARCH("Epóx",Upload!N115&amp;Upload!O115&amp;Upload!P115&amp;Upload!Q115)),ISNUMBER(SEARCH("Epox",Upload!N115&amp;Upload!O115&amp;Upload!P115&amp;Upload!Q115)),ISNUMBER(SEARCH("Barniz",Upload!N115&amp;Upload!O115&amp;Upload!P115&amp;Upload!Q115))))),"",D116*0.000035)</f>
        <v/>
      </c>
      <c r="R116" s="16" t="str">
        <f t="shared" si="13"/>
        <v/>
      </c>
    </row>
    <row r="117" spans="1:18" x14ac:dyDescent="0.2">
      <c r="A117" s="10" t="e">
        <f t="shared" ca="1" si="14"/>
        <v>#NAME?</v>
      </c>
      <c r="B117" s="10">
        <f>Upload!E116</f>
        <v>0</v>
      </c>
      <c r="C117" s="10">
        <f>Upload!AJ116</f>
        <v>0</v>
      </c>
      <c r="D117" s="10">
        <f>Upload!AK116</f>
        <v>0</v>
      </c>
      <c r="E117" s="10" t="str">
        <f>Upload!AF116</f>
        <v/>
      </c>
      <c r="F117" s="10" t="str">
        <f>Upload!AH116</f>
        <v/>
      </c>
      <c r="G117" s="10" t="str">
        <f>Upload!AE116</f>
        <v>(seleccione)</v>
      </c>
      <c r="H117" s="10" t="str">
        <f>Upload!AG116</f>
        <v>(seleccione)</v>
      </c>
      <c r="J117" s="16" t="str">
        <f t="shared" si="8"/>
        <v/>
      </c>
      <c r="K117" s="16" t="str">
        <f t="shared" si="9"/>
        <v/>
      </c>
      <c r="L117" s="16" t="str">
        <f t="shared" si="10"/>
        <v/>
      </c>
      <c r="M117" s="16" t="str">
        <f t="shared" si="11"/>
        <v/>
      </c>
      <c r="N117" s="16" t="str">
        <f t="shared" si="12"/>
        <v/>
      </c>
      <c r="O117" s="16" t="str">
        <f>IF(OR(N117="",NOT(OR(ISNUMBER(SEARCH("Antitarnish",Upload!N116&amp;Upload!O116&amp;Upload!P116&amp;Upload!Q116)),ISNUMBER(SEARCH("Anti Tarnish",Upload!N116&amp;Upload!O116&amp;Upload!P116&amp;Upload!Q116))))),"",0.0012*N117)</f>
        <v/>
      </c>
      <c r="P117" s="16" t="str">
        <f>IF(OR(D117="",NOT(OR(ISNUMBER(SEARCH("Epóx",Upload!N116&amp;Upload!O116&amp;Upload!P116&amp;Upload!Q116)),ISNUMBER(SEARCH("Epox",Upload!N116&amp;Upload!O116&amp;Upload!P116&amp;Upload!Q116)),ISNUMBER(SEARCH("Barniz",Upload!N116&amp;Upload!O116&amp;Upload!P116&amp;Upload!Q116))))),"",D117*0.000035)</f>
        <v/>
      </c>
      <c r="Q117" s="16" t="str">
        <f>IF(OR(D117="",NOT(OR(ISNUMBER(SEARCH("Epóx",Upload!N116&amp;Upload!O116&amp;Upload!P116&amp;Upload!Q116)),ISNUMBER(SEARCH("Epox",Upload!N116&amp;Upload!O116&amp;Upload!P116&amp;Upload!Q116)),ISNUMBER(SEARCH("Barniz",Upload!N116&amp;Upload!O116&amp;Upload!P116&amp;Upload!Q116))))),"",D117*0.000035)</f>
        <v/>
      </c>
      <c r="R117" s="16" t="str">
        <f t="shared" si="13"/>
        <v/>
      </c>
    </row>
    <row r="118" spans="1:18" x14ac:dyDescent="0.2">
      <c r="A118" s="10" t="e">
        <f t="shared" ca="1" si="14"/>
        <v>#NAME?</v>
      </c>
      <c r="B118" s="10">
        <f>Upload!E117</f>
        <v>0</v>
      </c>
      <c r="C118" s="10">
        <f>Upload!AJ117</f>
        <v>0</v>
      </c>
      <c r="D118" s="10">
        <f>Upload!AK117</f>
        <v>0</v>
      </c>
      <c r="E118" s="10" t="str">
        <f>Upload!AF117</f>
        <v/>
      </c>
      <c r="F118" s="10" t="str">
        <f>Upload!AH117</f>
        <v/>
      </c>
      <c r="G118" s="10" t="str">
        <f>Upload!AE117</f>
        <v>(seleccione)</v>
      </c>
      <c r="H118" s="10" t="str">
        <f>Upload!AG117</f>
        <v>(seleccione)</v>
      </c>
      <c r="J118" s="16" t="str">
        <f t="shared" si="8"/>
        <v/>
      </c>
      <c r="K118" s="16" t="str">
        <f t="shared" si="9"/>
        <v/>
      </c>
      <c r="L118" s="16" t="str">
        <f t="shared" si="10"/>
        <v/>
      </c>
      <c r="M118" s="16" t="str">
        <f t="shared" si="11"/>
        <v/>
      </c>
      <c r="N118" s="16" t="str">
        <f t="shared" si="12"/>
        <v/>
      </c>
      <c r="O118" s="16" t="str">
        <f>IF(OR(N118="",NOT(OR(ISNUMBER(SEARCH("Antitarnish",Upload!N117&amp;Upload!O117&amp;Upload!P117&amp;Upload!Q117)),ISNUMBER(SEARCH("Anti Tarnish",Upload!N117&amp;Upload!O117&amp;Upload!P117&amp;Upload!Q117))))),"",0.0012*N118)</f>
        <v/>
      </c>
      <c r="P118" s="16" t="str">
        <f>IF(OR(D118="",NOT(OR(ISNUMBER(SEARCH("Epóx",Upload!N117&amp;Upload!O117&amp;Upload!P117&amp;Upload!Q117)),ISNUMBER(SEARCH("Epox",Upload!N117&amp;Upload!O117&amp;Upload!P117&amp;Upload!Q117)),ISNUMBER(SEARCH("Barniz",Upload!N117&amp;Upload!O117&amp;Upload!P117&amp;Upload!Q117))))),"",D118*0.000035)</f>
        <v/>
      </c>
      <c r="Q118" s="16" t="str">
        <f>IF(OR(D118="",NOT(OR(ISNUMBER(SEARCH("Epóx",Upload!N117&amp;Upload!O117&amp;Upload!P117&amp;Upload!Q117)),ISNUMBER(SEARCH("Epox",Upload!N117&amp;Upload!O117&amp;Upload!P117&amp;Upload!Q117)),ISNUMBER(SEARCH("Barniz",Upload!N117&amp;Upload!O117&amp;Upload!P117&amp;Upload!Q117))))),"",D118*0.000035)</f>
        <v/>
      </c>
      <c r="R118" s="16" t="str">
        <f t="shared" si="13"/>
        <v/>
      </c>
    </row>
    <row r="119" spans="1:18" x14ac:dyDescent="0.2">
      <c r="A119" s="10" t="e">
        <f t="shared" ca="1" si="14"/>
        <v>#NAME?</v>
      </c>
      <c r="B119" s="10">
        <f>Upload!E118</f>
        <v>0</v>
      </c>
      <c r="C119" s="10">
        <f>Upload!AJ118</f>
        <v>0</v>
      </c>
      <c r="D119" s="10">
        <f>Upload!AK118</f>
        <v>0</v>
      </c>
      <c r="E119" s="10" t="str">
        <f>Upload!AF118</f>
        <v/>
      </c>
      <c r="F119" s="10" t="str">
        <f>Upload!AH118</f>
        <v/>
      </c>
      <c r="G119" s="10" t="str">
        <f>Upload!AE118</f>
        <v>(seleccione)</v>
      </c>
      <c r="H119" s="10" t="str">
        <f>Upload!AG118</f>
        <v>(seleccione)</v>
      </c>
      <c r="J119" s="16" t="str">
        <f t="shared" si="8"/>
        <v/>
      </c>
      <c r="K119" s="16" t="str">
        <f t="shared" si="9"/>
        <v/>
      </c>
      <c r="L119" s="16" t="str">
        <f t="shared" si="10"/>
        <v/>
      </c>
      <c r="M119" s="16" t="str">
        <f t="shared" si="11"/>
        <v/>
      </c>
      <c r="N119" s="16" t="str">
        <f t="shared" si="12"/>
        <v/>
      </c>
      <c r="O119" s="16" t="str">
        <f>IF(OR(N119="",NOT(OR(ISNUMBER(SEARCH("Antitarnish",Upload!N118&amp;Upload!O118&amp;Upload!P118&amp;Upload!Q118)),ISNUMBER(SEARCH("Anti Tarnish",Upload!N118&amp;Upload!O118&amp;Upload!P118&amp;Upload!Q118))))),"",0.0012*N119)</f>
        <v/>
      </c>
      <c r="P119" s="16" t="str">
        <f>IF(OR(D119="",NOT(OR(ISNUMBER(SEARCH("Epóx",Upload!N118&amp;Upload!O118&amp;Upload!P118&amp;Upload!Q118)),ISNUMBER(SEARCH("Epox",Upload!N118&amp;Upload!O118&amp;Upload!P118&amp;Upload!Q118)),ISNUMBER(SEARCH("Barniz",Upload!N118&amp;Upload!O118&amp;Upload!P118&amp;Upload!Q118))))),"",D119*0.000035)</f>
        <v/>
      </c>
      <c r="Q119" s="16" t="str">
        <f>IF(OR(D119="",NOT(OR(ISNUMBER(SEARCH("Epóx",Upload!N118&amp;Upload!O118&amp;Upload!P118&amp;Upload!Q118)),ISNUMBER(SEARCH("Epox",Upload!N118&amp;Upload!O118&amp;Upload!P118&amp;Upload!Q118)),ISNUMBER(SEARCH("Barniz",Upload!N118&amp;Upload!O118&amp;Upload!P118&amp;Upload!Q118))))),"",D119*0.000035)</f>
        <v/>
      </c>
      <c r="R119" s="16" t="str">
        <f t="shared" si="13"/>
        <v/>
      </c>
    </row>
    <row r="120" spans="1:18" x14ac:dyDescent="0.2">
      <c r="A120" s="10" t="e">
        <f t="shared" ca="1" si="14"/>
        <v>#NAME?</v>
      </c>
      <c r="B120" s="10">
        <f>Upload!E119</f>
        <v>0</v>
      </c>
      <c r="C120" s="10">
        <f>Upload!AJ119</f>
        <v>0</v>
      </c>
      <c r="D120" s="10">
        <f>Upload!AK119</f>
        <v>0</v>
      </c>
      <c r="E120" s="10" t="str">
        <f>Upload!AF119</f>
        <v/>
      </c>
      <c r="F120" s="10" t="str">
        <f>Upload!AH119</f>
        <v/>
      </c>
      <c r="G120" s="10" t="str">
        <f>Upload!AE119</f>
        <v>(seleccione)</v>
      </c>
      <c r="H120" s="10" t="str">
        <f>Upload!AG119</f>
        <v>(seleccione)</v>
      </c>
      <c r="J120" s="16" t="str">
        <f t="shared" si="8"/>
        <v/>
      </c>
      <c r="K120" s="16" t="str">
        <f t="shared" si="9"/>
        <v/>
      </c>
      <c r="L120" s="16" t="str">
        <f t="shared" si="10"/>
        <v/>
      </c>
      <c r="M120" s="16" t="str">
        <f t="shared" si="11"/>
        <v/>
      </c>
      <c r="N120" s="16" t="str">
        <f t="shared" si="12"/>
        <v/>
      </c>
      <c r="O120" s="16" t="str">
        <f>IF(OR(N120="",NOT(OR(ISNUMBER(SEARCH("Antitarnish",Upload!N119&amp;Upload!O119&amp;Upload!P119&amp;Upload!Q119)),ISNUMBER(SEARCH("Anti Tarnish",Upload!N119&amp;Upload!O119&amp;Upload!P119&amp;Upload!Q119))))),"",0.0012*N120)</f>
        <v/>
      </c>
      <c r="P120" s="16" t="str">
        <f>IF(OR(D120="",NOT(OR(ISNUMBER(SEARCH("Epóx",Upload!N119&amp;Upload!O119&amp;Upload!P119&amp;Upload!Q119)),ISNUMBER(SEARCH("Epox",Upload!N119&amp;Upload!O119&amp;Upload!P119&amp;Upload!Q119)),ISNUMBER(SEARCH("Barniz",Upload!N119&amp;Upload!O119&amp;Upload!P119&amp;Upload!Q119))))),"",D120*0.000035)</f>
        <v/>
      </c>
      <c r="Q120" s="16" t="str">
        <f>IF(OR(D120="",NOT(OR(ISNUMBER(SEARCH("Epóx",Upload!N119&amp;Upload!O119&amp;Upload!P119&amp;Upload!Q119)),ISNUMBER(SEARCH("Epox",Upload!N119&amp;Upload!O119&amp;Upload!P119&amp;Upload!Q119)),ISNUMBER(SEARCH("Barniz",Upload!N119&amp;Upload!O119&amp;Upload!P119&amp;Upload!Q119))))),"",D120*0.000035)</f>
        <v/>
      </c>
      <c r="R120" s="16" t="str">
        <f t="shared" si="13"/>
        <v/>
      </c>
    </row>
    <row r="121" spans="1:18" x14ac:dyDescent="0.2">
      <c r="A121" s="10" t="e">
        <f t="shared" ca="1" si="14"/>
        <v>#NAME?</v>
      </c>
      <c r="B121" s="10">
        <f>Upload!E120</f>
        <v>0</v>
      </c>
      <c r="C121" s="10">
        <f>Upload!AJ120</f>
        <v>0</v>
      </c>
      <c r="D121" s="10">
        <f>Upload!AK120</f>
        <v>0</v>
      </c>
      <c r="E121" s="10" t="str">
        <f>Upload!AF120</f>
        <v/>
      </c>
      <c r="F121" s="10" t="str">
        <f>Upload!AH120</f>
        <v/>
      </c>
      <c r="G121" s="10" t="str">
        <f>Upload!AE120</f>
        <v>(seleccione)</v>
      </c>
      <c r="H121" s="10" t="str">
        <f>Upload!AG120</f>
        <v>(seleccione)</v>
      </c>
      <c r="J121" s="16" t="str">
        <f t="shared" si="8"/>
        <v/>
      </c>
      <c r="K121" s="16" t="str">
        <f t="shared" si="9"/>
        <v/>
      </c>
      <c r="L121" s="16" t="str">
        <f t="shared" si="10"/>
        <v/>
      </c>
      <c r="M121" s="16" t="str">
        <f t="shared" si="11"/>
        <v/>
      </c>
      <c r="N121" s="16" t="str">
        <f t="shared" si="12"/>
        <v/>
      </c>
      <c r="O121" s="16" t="str">
        <f>IF(OR(N121="",NOT(OR(ISNUMBER(SEARCH("Antitarnish",Upload!N120&amp;Upload!O120&amp;Upload!P120&amp;Upload!Q120)),ISNUMBER(SEARCH("Anti Tarnish",Upload!N120&amp;Upload!O120&amp;Upload!P120&amp;Upload!Q120))))),"",0.0012*N121)</f>
        <v/>
      </c>
      <c r="P121" s="16" t="str">
        <f>IF(OR(D121="",NOT(OR(ISNUMBER(SEARCH("Epóx",Upload!N120&amp;Upload!O120&amp;Upload!P120&amp;Upload!Q120)),ISNUMBER(SEARCH("Epox",Upload!N120&amp;Upload!O120&amp;Upload!P120&amp;Upload!Q120)),ISNUMBER(SEARCH("Barniz",Upload!N120&amp;Upload!O120&amp;Upload!P120&amp;Upload!Q120))))),"",D121*0.000035)</f>
        <v/>
      </c>
      <c r="Q121" s="16" t="str">
        <f>IF(OR(D121="",NOT(OR(ISNUMBER(SEARCH("Epóx",Upload!N120&amp;Upload!O120&amp;Upload!P120&amp;Upload!Q120)),ISNUMBER(SEARCH("Epox",Upload!N120&amp;Upload!O120&amp;Upload!P120&amp;Upload!Q120)),ISNUMBER(SEARCH("Barniz",Upload!N120&amp;Upload!O120&amp;Upload!P120&amp;Upload!Q120))))),"",D121*0.000035)</f>
        <v/>
      </c>
      <c r="R121" s="16" t="str">
        <f t="shared" si="13"/>
        <v/>
      </c>
    </row>
    <row r="122" spans="1:18" x14ac:dyDescent="0.2">
      <c r="A122" s="10" t="e">
        <f t="shared" ca="1" si="14"/>
        <v>#NAME?</v>
      </c>
      <c r="B122" s="10">
        <f>Upload!E121</f>
        <v>0</v>
      </c>
      <c r="C122" s="10">
        <f>Upload!AJ121</f>
        <v>0</v>
      </c>
      <c r="D122" s="10">
        <f>Upload!AK121</f>
        <v>0</v>
      </c>
      <c r="E122" s="10" t="str">
        <f>Upload!AF121</f>
        <v/>
      </c>
      <c r="F122" s="10" t="str">
        <f>Upload!AH121</f>
        <v/>
      </c>
      <c r="G122" s="10" t="str">
        <f>Upload!AE121</f>
        <v>(seleccione)</v>
      </c>
      <c r="H122" s="10" t="str">
        <f>Upload!AG121</f>
        <v>(seleccione)</v>
      </c>
      <c r="J122" s="16" t="str">
        <f t="shared" si="8"/>
        <v/>
      </c>
      <c r="K122" s="16" t="str">
        <f t="shared" si="9"/>
        <v/>
      </c>
      <c r="L122" s="16" t="str">
        <f t="shared" si="10"/>
        <v/>
      </c>
      <c r="M122" s="16" t="str">
        <f t="shared" si="11"/>
        <v/>
      </c>
      <c r="N122" s="16" t="str">
        <f t="shared" si="12"/>
        <v/>
      </c>
      <c r="O122" s="16" t="str">
        <f>IF(OR(N122="",NOT(OR(ISNUMBER(SEARCH("Antitarnish",Upload!N121&amp;Upload!O121&amp;Upload!P121&amp;Upload!Q121)),ISNUMBER(SEARCH("Anti Tarnish",Upload!N121&amp;Upload!O121&amp;Upload!P121&amp;Upload!Q121))))),"",0.0012*N122)</f>
        <v/>
      </c>
      <c r="P122" s="16" t="str">
        <f>IF(OR(D122="",NOT(OR(ISNUMBER(SEARCH("Epóx",Upload!N121&amp;Upload!O121&amp;Upload!P121&amp;Upload!Q121)),ISNUMBER(SEARCH("Epox",Upload!N121&amp;Upload!O121&amp;Upload!P121&amp;Upload!Q121)),ISNUMBER(SEARCH("Barniz",Upload!N121&amp;Upload!O121&amp;Upload!P121&amp;Upload!Q121))))),"",D122*0.000035)</f>
        <v/>
      </c>
      <c r="Q122" s="16" t="str">
        <f>IF(OR(D122="",NOT(OR(ISNUMBER(SEARCH("Epóx",Upload!N121&amp;Upload!O121&amp;Upload!P121&amp;Upload!Q121)),ISNUMBER(SEARCH("Epox",Upload!N121&amp;Upload!O121&amp;Upload!P121&amp;Upload!Q121)),ISNUMBER(SEARCH("Barniz",Upload!N121&amp;Upload!O121&amp;Upload!P121&amp;Upload!Q121))))),"",D122*0.000035)</f>
        <v/>
      </c>
      <c r="R122" s="16" t="str">
        <f t="shared" si="13"/>
        <v/>
      </c>
    </row>
    <row r="123" spans="1:18" x14ac:dyDescent="0.2">
      <c r="A123" s="10" t="e">
        <f t="shared" ca="1" si="14"/>
        <v>#NAME?</v>
      </c>
      <c r="B123" s="10">
        <f>Upload!E122</f>
        <v>0</v>
      </c>
      <c r="C123" s="10">
        <f>Upload!AJ122</f>
        <v>0</v>
      </c>
      <c r="D123" s="10">
        <f>Upload!AK122</f>
        <v>0</v>
      </c>
      <c r="E123" s="10" t="str">
        <f>Upload!AF122</f>
        <v/>
      </c>
      <c r="F123" s="10" t="str">
        <f>Upload!AH122</f>
        <v/>
      </c>
      <c r="G123" s="10" t="str">
        <f>Upload!AE122</f>
        <v>(seleccione)</v>
      </c>
      <c r="H123" s="10" t="str">
        <f>Upload!AG122</f>
        <v>(seleccione)</v>
      </c>
      <c r="J123" s="16" t="str">
        <f t="shared" si="8"/>
        <v/>
      </c>
      <c r="K123" s="16" t="str">
        <f t="shared" si="9"/>
        <v/>
      </c>
      <c r="L123" s="16" t="str">
        <f t="shared" si="10"/>
        <v/>
      </c>
      <c r="M123" s="16" t="str">
        <f t="shared" si="11"/>
        <v/>
      </c>
      <c r="N123" s="16" t="str">
        <f t="shared" si="12"/>
        <v/>
      </c>
      <c r="O123" s="16" t="str">
        <f>IF(OR(N123="",NOT(OR(ISNUMBER(SEARCH("Antitarnish",Upload!N122&amp;Upload!O122&amp;Upload!P122&amp;Upload!Q122)),ISNUMBER(SEARCH("Anti Tarnish",Upload!N122&amp;Upload!O122&amp;Upload!P122&amp;Upload!Q122))))),"",0.0012*N123)</f>
        <v/>
      </c>
      <c r="P123" s="16" t="str">
        <f>IF(OR(D123="",NOT(OR(ISNUMBER(SEARCH("Epóx",Upload!N122&amp;Upload!O122&amp;Upload!P122&amp;Upload!Q122)),ISNUMBER(SEARCH("Epox",Upload!N122&amp;Upload!O122&amp;Upload!P122&amp;Upload!Q122)),ISNUMBER(SEARCH("Barniz",Upload!N122&amp;Upload!O122&amp;Upload!P122&amp;Upload!Q122))))),"",D123*0.000035)</f>
        <v/>
      </c>
      <c r="Q123" s="16" t="str">
        <f>IF(OR(D123="",NOT(OR(ISNUMBER(SEARCH("Epóx",Upload!N122&amp;Upload!O122&amp;Upload!P122&amp;Upload!Q122)),ISNUMBER(SEARCH("Epox",Upload!N122&amp;Upload!O122&amp;Upload!P122&amp;Upload!Q122)),ISNUMBER(SEARCH("Barniz",Upload!N122&amp;Upload!O122&amp;Upload!P122&amp;Upload!Q122))))),"",D123*0.000035)</f>
        <v/>
      </c>
      <c r="R123" s="16" t="str">
        <f t="shared" si="13"/>
        <v/>
      </c>
    </row>
    <row r="124" spans="1:18" x14ac:dyDescent="0.2">
      <c r="A124" s="10" t="e">
        <f t="shared" ca="1" si="14"/>
        <v>#NAME?</v>
      </c>
      <c r="B124" s="10">
        <f>Upload!E123</f>
        <v>0</v>
      </c>
      <c r="C124" s="10">
        <f>Upload!AJ123</f>
        <v>0</v>
      </c>
      <c r="D124" s="10">
        <f>Upload!AK123</f>
        <v>0</v>
      </c>
      <c r="E124" s="10" t="str">
        <f>Upload!AF123</f>
        <v/>
      </c>
      <c r="F124" s="10" t="str">
        <f>Upload!AH123</f>
        <v/>
      </c>
      <c r="G124" s="10" t="str">
        <f>Upload!AE123</f>
        <v>(seleccione)</v>
      </c>
      <c r="H124" s="10" t="str">
        <f>Upload!AG123</f>
        <v>(seleccione)</v>
      </c>
      <c r="J124" s="16" t="str">
        <f t="shared" si="8"/>
        <v/>
      </c>
      <c r="K124" s="16" t="str">
        <f t="shared" si="9"/>
        <v/>
      </c>
      <c r="L124" s="16" t="str">
        <f t="shared" si="10"/>
        <v/>
      </c>
      <c r="M124" s="16" t="str">
        <f t="shared" si="11"/>
        <v/>
      </c>
      <c r="N124" s="16" t="str">
        <f t="shared" si="12"/>
        <v/>
      </c>
      <c r="O124" s="16" t="str">
        <f>IF(OR(N124="",NOT(OR(ISNUMBER(SEARCH("Antitarnish",Upload!N123&amp;Upload!O123&amp;Upload!P123&amp;Upload!Q123)),ISNUMBER(SEARCH("Anti Tarnish",Upload!N123&amp;Upload!O123&amp;Upload!P123&amp;Upload!Q123))))),"",0.0012*N124)</f>
        <v/>
      </c>
      <c r="P124" s="16" t="str">
        <f>IF(OR(D124="",NOT(OR(ISNUMBER(SEARCH("Epóx",Upload!N123&amp;Upload!O123&amp;Upload!P123&amp;Upload!Q123)),ISNUMBER(SEARCH("Epox",Upload!N123&amp;Upload!O123&amp;Upload!P123&amp;Upload!Q123)),ISNUMBER(SEARCH("Barniz",Upload!N123&amp;Upload!O123&amp;Upload!P123&amp;Upload!Q123))))),"",D124*0.000035)</f>
        <v/>
      </c>
      <c r="Q124" s="16" t="str">
        <f>IF(OR(D124="",NOT(OR(ISNUMBER(SEARCH("Epóx",Upload!N123&amp;Upload!O123&amp;Upload!P123&amp;Upload!Q123)),ISNUMBER(SEARCH("Epox",Upload!N123&amp;Upload!O123&amp;Upload!P123&amp;Upload!Q123)),ISNUMBER(SEARCH("Barniz",Upload!N123&amp;Upload!O123&amp;Upload!P123&amp;Upload!Q123))))),"",D124*0.000035)</f>
        <v/>
      </c>
      <c r="R124" s="16" t="str">
        <f t="shared" si="13"/>
        <v/>
      </c>
    </row>
    <row r="125" spans="1:18" x14ac:dyDescent="0.2">
      <c r="A125" s="10" t="e">
        <f t="shared" ca="1" si="14"/>
        <v>#NAME?</v>
      </c>
      <c r="B125" s="10">
        <f>Upload!E124</f>
        <v>0</v>
      </c>
      <c r="C125" s="10">
        <f>Upload!AJ124</f>
        <v>0</v>
      </c>
      <c r="D125" s="10">
        <f>Upload!AK124</f>
        <v>0</v>
      </c>
      <c r="E125" s="10" t="str">
        <f>Upload!AF124</f>
        <v/>
      </c>
      <c r="F125" s="10" t="str">
        <f>Upload!AH124</f>
        <v/>
      </c>
      <c r="G125" s="10" t="str">
        <f>Upload!AE124</f>
        <v>(seleccione)</v>
      </c>
      <c r="H125" s="10" t="str">
        <f>Upload!AG124</f>
        <v>(seleccione)</v>
      </c>
      <c r="J125" s="16" t="str">
        <f t="shared" si="8"/>
        <v/>
      </c>
      <c r="K125" s="16" t="str">
        <f t="shared" si="9"/>
        <v/>
      </c>
      <c r="L125" s="16" t="str">
        <f t="shared" si="10"/>
        <v/>
      </c>
      <c r="M125" s="16" t="str">
        <f t="shared" si="11"/>
        <v/>
      </c>
      <c r="N125" s="16" t="str">
        <f t="shared" si="12"/>
        <v/>
      </c>
      <c r="O125" s="16" t="str">
        <f>IF(OR(N125="",NOT(OR(ISNUMBER(SEARCH("Antitarnish",Upload!N124&amp;Upload!O124&amp;Upload!P124&amp;Upload!Q124)),ISNUMBER(SEARCH("Anti Tarnish",Upload!N124&amp;Upload!O124&amp;Upload!P124&amp;Upload!Q124))))),"",0.0012*N125)</f>
        <v/>
      </c>
      <c r="P125" s="16" t="str">
        <f>IF(OR(D125="",NOT(OR(ISNUMBER(SEARCH("Epóx",Upload!N124&amp;Upload!O124&amp;Upload!P124&amp;Upload!Q124)),ISNUMBER(SEARCH("Epox",Upload!N124&amp;Upload!O124&amp;Upload!P124&amp;Upload!Q124)),ISNUMBER(SEARCH("Barniz",Upload!N124&amp;Upload!O124&amp;Upload!P124&amp;Upload!Q124))))),"",D125*0.000035)</f>
        <v/>
      </c>
      <c r="Q125" s="16" t="str">
        <f>IF(OR(D125="",NOT(OR(ISNUMBER(SEARCH("Epóx",Upload!N124&amp;Upload!O124&amp;Upload!P124&amp;Upload!Q124)),ISNUMBER(SEARCH("Epox",Upload!N124&amp;Upload!O124&amp;Upload!P124&amp;Upload!Q124)),ISNUMBER(SEARCH("Barniz",Upload!N124&amp;Upload!O124&amp;Upload!P124&amp;Upload!Q124))))),"",D125*0.000035)</f>
        <v/>
      </c>
      <c r="R125" s="16" t="str">
        <f t="shared" si="13"/>
        <v/>
      </c>
    </row>
    <row r="126" spans="1:18" x14ac:dyDescent="0.2">
      <c r="A126" s="10" t="e">
        <f t="shared" ca="1" si="14"/>
        <v>#NAME?</v>
      </c>
      <c r="B126" s="10">
        <f>Upload!E125</f>
        <v>0</v>
      </c>
      <c r="C126" s="10">
        <f>Upload!AJ125</f>
        <v>0</v>
      </c>
      <c r="D126" s="10">
        <f>Upload!AK125</f>
        <v>0</v>
      </c>
      <c r="E126" s="10" t="str">
        <f>Upload!AF125</f>
        <v/>
      </c>
      <c r="F126" s="10" t="str">
        <f>Upload!AH125</f>
        <v/>
      </c>
      <c r="G126" s="10" t="str">
        <f>Upload!AE125</f>
        <v>(seleccione)</v>
      </c>
      <c r="H126" s="10" t="str">
        <f>Upload!AG125</f>
        <v>(seleccione)</v>
      </c>
      <c r="J126" s="16" t="str">
        <f t="shared" si="8"/>
        <v/>
      </c>
      <c r="K126" s="16" t="str">
        <f t="shared" si="9"/>
        <v/>
      </c>
      <c r="L126" s="16" t="str">
        <f t="shared" si="10"/>
        <v/>
      </c>
      <c r="M126" s="16" t="str">
        <f t="shared" si="11"/>
        <v/>
      </c>
      <c r="N126" s="16" t="str">
        <f t="shared" si="12"/>
        <v/>
      </c>
      <c r="O126" s="16" t="str">
        <f>IF(OR(N126="",NOT(OR(ISNUMBER(SEARCH("Antitarnish",Upload!N125&amp;Upload!O125&amp;Upload!P125&amp;Upload!Q125)),ISNUMBER(SEARCH("Anti Tarnish",Upload!N125&amp;Upload!O125&amp;Upload!P125&amp;Upload!Q125))))),"",0.0012*N126)</f>
        <v/>
      </c>
      <c r="P126" s="16" t="str">
        <f>IF(OR(D126="",NOT(OR(ISNUMBER(SEARCH("Epóx",Upload!N125&amp;Upload!O125&amp;Upload!P125&amp;Upload!Q125)),ISNUMBER(SEARCH("Epox",Upload!N125&amp;Upload!O125&amp;Upload!P125&amp;Upload!Q125)),ISNUMBER(SEARCH("Barniz",Upload!N125&amp;Upload!O125&amp;Upload!P125&amp;Upload!Q125))))),"",D126*0.000035)</f>
        <v/>
      </c>
      <c r="Q126" s="16" t="str">
        <f>IF(OR(D126="",NOT(OR(ISNUMBER(SEARCH("Epóx",Upload!N125&amp;Upload!O125&amp;Upload!P125&amp;Upload!Q125)),ISNUMBER(SEARCH("Epox",Upload!N125&amp;Upload!O125&amp;Upload!P125&amp;Upload!Q125)),ISNUMBER(SEARCH("Barniz",Upload!N125&amp;Upload!O125&amp;Upload!P125&amp;Upload!Q125))))),"",D126*0.000035)</f>
        <v/>
      </c>
      <c r="R126" s="16" t="str">
        <f t="shared" si="13"/>
        <v/>
      </c>
    </row>
    <row r="127" spans="1:18" x14ac:dyDescent="0.2">
      <c r="A127" s="10" t="e">
        <f t="shared" ca="1" si="14"/>
        <v>#NAME?</v>
      </c>
      <c r="B127" s="10">
        <f>Upload!E126</f>
        <v>0</v>
      </c>
      <c r="C127" s="10">
        <f>Upload!AJ126</f>
        <v>0</v>
      </c>
      <c r="D127" s="10">
        <f>Upload!AK126</f>
        <v>0</v>
      </c>
      <c r="E127" s="10" t="str">
        <f>Upload!AF126</f>
        <v/>
      </c>
      <c r="F127" s="10" t="str">
        <f>Upload!AH126</f>
        <v/>
      </c>
      <c r="G127" s="10" t="str">
        <f>Upload!AE126</f>
        <v>(seleccione)</v>
      </c>
      <c r="H127" s="10" t="str">
        <f>Upload!AG126</f>
        <v>(seleccione)</v>
      </c>
      <c r="J127" s="16" t="str">
        <f t="shared" si="8"/>
        <v/>
      </c>
      <c r="K127" s="16" t="str">
        <f t="shared" si="9"/>
        <v/>
      </c>
      <c r="L127" s="16" t="str">
        <f t="shared" si="10"/>
        <v/>
      </c>
      <c r="M127" s="16" t="str">
        <f t="shared" si="11"/>
        <v/>
      </c>
      <c r="N127" s="16" t="str">
        <f t="shared" si="12"/>
        <v/>
      </c>
      <c r="O127" s="16" t="str">
        <f>IF(OR(N127="",NOT(OR(ISNUMBER(SEARCH("Antitarnish",Upload!N126&amp;Upload!O126&amp;Upload!P126&amp;Upload!Q126)),ISNUMBER(SEARCH("Anti Tarnish",Upload!N126&amp;Upload!O126&amp;Upload!P126&amp;Upload!Q126))))),"",0.0012*N127)</f>
        <v/>
      </c>
      <c r="P127" s="16" t="str">
        <f>IF(OR(D127="",NOT(OR(ISNUMBER(SEARCH("Epóx",Upload!N126&amp;Upload!O126&amp;Upload!P126&amp;Upload!Q126)),ISNUMBER(SEARCH("Epox",Upload!N126&amp;Upload!O126&amp;Upload!P126&amp;Upload!Q126)),ISNUMBER(SEARCH("Barniz",Upload!N126&amp;Upload!O126&amp;Upload!P126&amp;Upload!Q126))))),"",D127*0.000035)</f>
        <v/>
      </c>
      <c r="Q127" s="16" t="str">
        <f>IF(OR(D127="",NOT(OR(ISNUMBER(SEARCH("Epóx",Upload!N126&amp;Upload!O126&amp;Upload!P126&amp;Upload!Q126)),ISNUMBER(SEARCH("Epox",Upload!N126&amp;Upload!O126&amp;Upload!P126&amp;Upload!Q126)),ISNUMBER(SEARCH("Barniz",Upload!N126&amp;Upload!O126&amp;Upload!P126&amp;Upload!Q126))))),"",D127*0.000035)</f>
        <v/>
      </c>
      <c r="R127" s="16" t="str">
        <f t="shared" si="13"/>
        <v/>
      </c>
    </row>
    <row r="128" spans="1:18" x14ac:dyDescent="0.2">
      <c r="A128" s="10" t="e">
        <f t="shared" ca="1" si="14"/>
        <v>#NAME?</v>
      </c>
      <c r="B128" s="10">
        <f>Upload!E127</f>
        <v>0</v>
      </c>
      <c r="C128" s="10">
        <f>Upload!AJ127</f>
        <v>0</v>
      </c>
      <c r="D128" s="10">
        <f>Upload!AK127</f>
        <v>0</v>
      </c>
      <c r="E128" s="10" t="str">
        <f>Upload!AF127</f>
        <v/>
      </c>
      <c r="F128" s="10" t="str">
        <f>Upload!AH127</f>
        <v/>
      </c>
      <c r="G128" s="10" t="str">
        <f>Upload!AE127</f>
        <v>(seleccione)</v>
      </c>
      <c r="H128" s="10" t="str">
        <f>Upload!AG127</f>
        <v>(seleccione)</v>
      </c>
      <c r="J128" s="16" t="str">
        <f t="shared" si="8"/>
        <v/>
      </c>
      <c r="K128" s="16" t="str">
        <f t="shared" si="9"/>
        <v/>
      </c>
      <c r="L128" s="16" t="str">
        <f t="shared" si="10"/>
        <v/>
      </c>
      <c r="M128" s="16" t="str">
        <f t="shared" si="11"/>
        <v/>
      </c>
      <c r="N128" s="16" t="str">
        <f t="shared" si="12"/>
        <v/>
      </c>
      <c r="O128" s="16" t="str">
        <f>IF(OR(N128="",NOT(OR(ISNUMBER(SEARCH("Antitarnish",Upload!N127&amp;Upload!O127&amp;Upload!P127&amp;Upload!Q127)),ISNUMBER(SEARCH("Anti Tarnish",Upload!N127&amp;Upload!O127&amp;Upload!P127&amp;Upload!Q127))))),"",0.0012*N128)</f>
        <v/>
      </c>
      <c r="P128" s="16" t="str">
        <f>IF(OR(D128="",NOT(OR(ISNUMBER(SEARCH("Epóx",Upload!N127&amp;Upload!O127&amp;Upload!P127&amp;Upload!Q127)),ISNUMBER(SEARCH("Epox",Upload!N127&amp;Upload!O127&amp;Upload!P127&amp;Upload!Q127)),ISNUMBER(SEARCH("Barniz",Upload!N127&amp;Upload!O127&amp;Upload!P127&amp;Upload!Q127))))),"",D128*0.000035)</f>
        <v/>
      </c>
      <c r="Q128" s="16" t="str">
        <f>IF(OR(D128="",NOT(OR(ISNUMBER(SEARCH("Epóx",Upload!N127&amp;Upload!O127&amp;Upload!P127&amp;Upload!Q127)),ISNUMBER(SEARCH("Epox",Upload!N127&amp;Upload!O127&amp;Upload!P127&amp;Upload!Q127)),ISNUMBER(SEARCH("Barniz",Upload!N127&amp;Upload!O127&amp;Upload!P127&amp;Upload!Q127))))),"",D128*0.000035)</f>
        <v/>
      </c>
      <c r="R128" s="16" t="str">
        <f t="shared" si="13"/>
        <v/>
      </c>
    </row>
    <row r="129" spans="1:18" x14ac:dyDescent="0.2">
      <c r="A129" s="10" t="e">
        <f t="shared" ca="1" si="14"/>
        <v>#NAME?</v>
      </c>
      <c r="B129" s="10">
        <f>Upload!E128</f>
        <v>0</v>
      </c>
      <c r="C129" s="10">
        <f>Upload!AJ128</f>
        <v>0</v>
      </c>
      <c r="D129" s="10">
        <f>Upload!AK128</f>
        <v>0</v>
      </c>
      <c r="E129" s="10" t="str">
        <f>Upload!AF128</f>
        <v/>
      </c>
      <c r="F129" s="10" t="str">
        <f>Upload!AH128</f>
        <v/>
      </c>
      <c r="G129" s="10" t="str">
        <f>Upload!AE128</f>
        <v>(seleccione)</v>
      </c>
      <c r="H129" s="10" t="str">
        <f>Upload!AG128</f>
        <v>(seleccione)</v>
      </c>
      <c r="J129" s="16" t="str">
        <f t="shared" si="8"/>
        <v/>
      </c>
      <c r="K129" s="16" t="str">
        <f t="shared" si="9"/>
        <v/>
      </c>
      <c r="L129" s="16" t="str">
        <f t="shared" si="10"/>
        <v/>
      </c>
      <c r="M129" s="16" t="str">
        <f t="shared" si="11"/>
        <v/>
      </c>
      <c r="N129" s="16" t="str">
        <f t="shared" si="12"/>
        <v/>
      </c>
      <c r="O129" s="16" t="str">
        <f>IF(OR(N129="",NOT(OR(ISNUMBER(SEARCH("Antitarnish",Upload!N128&amp;Upload!O128&amp;Upload!P128&amp;Upload!Q128)),ISNUMBER(SEARCH("Anti Tarnish",Upload!N128&amp;Upload!O128&amp;Upload!P128&amp;Upload!Q128))))),"",0.0012*N129)</f>
        <v/>
      </c>
      <c r="P129" s="16" t="str">
        <f>IF(OR(D129="",NOT(OR(ISNUMBER(SEARCH("Epóx",Upload!N128&amp;Upload!O128&amp;Upload!P128&amp;Upload!Q128)),ISNUMBER(SEARCH("Epox",Upload!N128&amp;Upload!O128&amp;Upload!P128&amp;Upload!Q128)),ISNUMBER(SEARCH("Barniz",Upload!N128&amp;Upload!O128&amp;Upload!P128&amp;Upload!Q128))))),"",D129*0.000035)</f>
        <v/>
      </c>
      <c r="Q129" s="16" t="str">
        <f>IF(OR(D129="",NOT(OR(ISNUMBER(SEARCH("Epóx",Upload!N128&amp;Upload!O128&amp;Upload!P128&amp;Upload!Q128)),ISNUMBER(SEARCH("Epox",Upload!N128&amp;Upload!O128&amp;Upload!P128&amp;Upload!Q128)),ISNUMBER(SEARCH("Barniz",Upload!N128&amp;Upload!O128&amp;Upload!P128&amp;Upload!Q128))))),"",D129*0.000035)</f>
        <v/>
      </c>
      <c r="R129" s="16" t="str">
        <f t="shared" si="13"/>
        <v/>
      </c>
    </row>
    <row r="130" spans="1:18" x14ac:dyDescent="0.2">
      <c r="A130" s="10" t="e">
        <f t="shared" ca="1" si="14"/>
        <v>#NAME?</v>
      </c>
      <c r="B130" s="10">
        <f>Upload!E129</f>
        <v>0</v>
      </c>
      <c r="C130" s="10">
        <f>Upload!AJ129</f>
        <v>0</v>
      </c>
      <c r="D130" s="10">
        <f>Upload!AK129</f>
        <v>0</v>
      </c>
      <c r="E130" s="10" t="str">
        <f>Upload!AF129</f>
        <v/>
      </c>
      <c r="F130" s="10" t="str">
        <f>Upload!AH129</f>
        <v/>
      </c>
      <c r="G130" s="10" t="str">
        <f>Upload!AE129</f>
        <v>(seleccione)</v>
      </c>
      <c r="H130" s="10" t="str">
        <f>Upload!AG129</f>
        <v>(seleccione)</v>
      </c>
      <c r="J130" s="16" t="str">
        <f t="shared" si="8"/>
        <v/>
      </c>
      <c r="K130" s="16" t="str">
        <f t="shared" si="9"/>
        <v/>
      </c>
      <c r="L130" s="16" t="str">
        <f t="shared" si="10"/>
        <v/>
      </c>
      <c r="M130" s="16" t="str">
        <f t="shared" si="11"/>
        <v/>
      </c>
      <c r="N130" s="16" t="str">
        <f t="shared" si="12"/>
        <v/>
      </c>
      <c r="O130" s="16" t="str">
        <f>IF(OR(N130="",NOT(OR(ISNUMBER(SEARCH("Antitarnish",Upload!N129&amp;Upload!O129&amp;Upload!P129&amp;Upload!Q129)),ISNUMBER(SEARCH("Anti Tarnish",Upload!N129&amp;Upload!O129&amp;Upload!P129&amp;Upload!Q129))))),"",0.0012*N130)</f>
        <v/>
      </c>
      <c r="P130" s="16" t="str">
        <f>IF(OR(D130="",NOT(OR(ISNUMBER(SEARCH("Epóx",Upload!N129&amp;Upload!O129&amp;Upload!P129&amp;Upload!Q129)),ISNUMBER(SEARCH("Epox",Upload!N129&amp;Upload!O129&amp;Upload!P129&amp;Upload!Q129)),ISNUMBER(SEARCH("Barniz",Upload!N129&amp;Upload!O129&amp;Upload!P129&amp;Upload!Q129))))),"",D130*0.000035)</f>
        <v/>
      </c>
      <c r="Q130" s="16" t="str">
        <f>IF(OR(D130="",NOT(OR(ISNUMBER(SEARCH("Epóx",Upload!N129&amp;Upload!O129&amp;Upload!P129&amp;Upload!Q129)),ISNUMBER(SEARCH("Epox",Upload!N129&amp;Upload!O129&amp;Upload!P129&amp;Upload!Q129)),ISNUMBER(SEARCH("Barniz",Upload!N129&amp;Upload!O129&amp;Upload!P129&amp;Upload!Q129))))),"",D130*0.000035)</f>
        <v/>
      </c>
      <c r="R130" s="16" t="str">
        <f t="shared" si="13"/>
        <v/>
      </c>
    </row>
    <row r="131" spans="1:18" x14ac:dyDescent="0.2">
      <c r="A131" s="10" t="e">
        <f t="shared" ca="1" si="14"/>
        <v>#NAME?</v>
      </c>
      <c r="B131" s="10">
        <f>Upload!E130</f>
        <v>0</v>
      </c>
      <c r="C131" s="10">
        <f>Upload!AJ130</f>
        <v>0</v>
      </c>
      <c r="D131" s="10">
        <f>Upload!AK130</f>
        <v>0</v>
      </c>
      <c r="E131" s="10" t="str">
        <f>Upload!AF130</f>
        <v/>
      </c>
      <c r="F131" s="10" t="str">
        <f>Upload!AH130</f>
        <v/>
      </c>
      <c r="G131" s="10" t="str">
        <f>Upload!AE130</f>
        <v>(seleccione)</v>
      </c>
      <c r="H131" s="10" t="str">
        <f>Upload!AG130</f>
        <v>(seleccione)</v>
      </c>
      <c r="J131" s="16" t="str">
        <f t="shared" si="8"/>
        <v/>
      </c>
      <c r="K131" s="16" t="str">
        <f t="shared" si="9"/>
        <v/>
      </c>
      <c r="L131" s="16" t="str">
        <f t="shared" si="10"/>
        <v/>
      </c>
      <c r="M131" s="16" t="str">
        <f t="shared" si="11"/>
        <v/>
      </c>
      <c r="N131" s="16" t="str">
        <f t="shared" si="12"/>
        <v/>
      </c>
      <c r="O131" s="16" t="str">
        <f>IF(OR(N131="",NOT(OR(ISNUMBER(SEARCH("Antitarnish",Upload!N130&amp;Upload!O130&amp;Upload!P130&amp;Upload!Q130)),ISNUMBER(SEARCH("Anti Tarnish",Upload!N130&amp;Upload!O130&amp;Upload!P130&amp;Upload!Q130))))),"",0.0012*N131)</f>
        <v/>
      </c>
      <c r="P131" s="16" t="str">
        <f>IF(OR(D131="",NOT(OR(ISNUMBER(SEARCH("Epóx",Upload!N130&amp;Upload!O130&amp;Upload!P130&amp;Upload!Q130)),ISNUMBER(SEARCH("Epox",Upload!N130&amp;Upload!O130&amp;Upload!P130&amp;Upload!Q130)),ISNUMBER(SEARCH("Barniz",Upload!N130&amp;Upload!O130&amp;Upload!P130&amp;Upload!Q130))))),"",D131*0.000035)</f>
        <v/>
      </c>
      <c r="Q131" s="16" t="str">
        <f>IF(OR(D131="",NOT(OR(ISNUMBER(SEARCH("Epóx",Upload!N130&amp;Upload!O130&amp;Upload!P130&amp;Upload!Q130)),ISNUMBER(SEARCH("Epox",Upload!N130&amp;Upload!O130&amp;Upload!P130&amp;Upload!Q130)),ISNUMBER(SEARCH("Barniz",Upload!N130&amp;Upload!O130&amp;Upload!P130&amp;Upload!Q130))))),"",D131*0.000035)</f>
        <v/>
      </c>
      <c r="R131" s="16" t="str">
        <f t="shared" si="13"/>
        <v/>
      </c>
    </row>
    <row r="132" spans="1:18" x14ac:dyDescent="0.2">
      <c r="A132" s="10" t="e">
        <f t="shared" ca="1" si="14"/>
        <v>#NAME?</v>
      </c>
      <c r="B132" s="10">
        <f>Upload!E131</f>
        <v>0</v>
      </c>
      <c r="C132" s="10">
        <f>Upload!AJ131</f>
        <v>0</v>
      </c>
      <c r="D132" s="10">
        <f>Upload!AK131</f>
        <v>0</v>
      </c>
      <c r="E132" s="10" t="str">
        <f>Upload!AF131</f>
        <v/>
      </c>
      <c r="F132" s="10" t="str">
        <f>Upload!AH131</f>
        <v/>
      </c>
      <c r="G132" s="10" t="str">
        <f>Upload!AE131</f>
        <v>(seleccione)</v>
      </c>
      <c r="H132" s="10" t="str">
        <f>Upload!AG131</f>
        <v>(seleccione)</v>
      </c>
      <c r="J132" s="16" t="str">
        <f t="shared" si="8"/>
        <v/>
      </c>
      <c r="K132" s="16" t="str">
        <f t="shared" si="9"/>
        <v/>
      </c>
      <c r="L132" s="16" t="str">
        <f t="shared" si="10"/>
        <v/>
      </c>
      <c r="M132" s="16" t="str">
        <f t="shared" si="11"/>
        <v/>
      </c>
      <c r="N132" s="16" t="str">
        <f t="shared" si="12"/>
        <v/>
      </c>
      <c r="O132" s="16" t="str">
        <f>IF(OR(N132="",NOT(OR(ISNUMBER(SEARCH("Antitarnish",Upload!N131&amp;Upload!O131&amp;Upload!P131&amp;Upload!Q131)),ISNUMBER(SEARCH("Anti Tarnish",Upload!N131&amp;Upload!O131&amp;Upload!P131&amp;Upload!Q131))))),"",0.0012*N132)</f>
        <v/>
      </c>
      <c r="P132" s="16" t="str">
        <f>IF(OR(D132="",NOT(OR(ISNUMBER(SEARCH("Epóx",Upload!N131&amp;Upload!O131&amp;Upload!P131&amp;Upload!Q131)),ISNUMBER(SEARCH("Epox",Upload!N131&amp;Upload!O131&amp;Upload!P131&amp;Upload!Q131)),ISNUMBER(SEARCH("Barniz",Upload!N131&amp;Upload!O131&amp;Upload!P131&amp;Upload!Q131))))),"",D132*0.000035)</f>
        <v/>
      </c>
      <c r="Q132" s="16" t="str">
        <f>IF(OR(D132="",NOT(OR(ISNUMBER(SEARCH("Epóx",Upload!N131&amp;Upload!O131&amp;Upload!P131&amp;Upload!Q131)),ISNUMBER(SEARCH("Epox",Upload!N131&amp;Upload!O131&amp;Upload!P131&amp;Upload!Q131)),ISNUMBER(SEARCH("Barniz",Upload!N131&amp;Upload!O131&amp;Upload!P131&amp;Upload!Q131))))),"",D132*0.000035)</f>
        <v/>
      </c>
      <c r="R132" s="16" t="str">
        <f t="shared" si="13"/>
        <v/>
      </c>
    </row>
    <row r="133" spans="1:18" x14ac:dyDescent="0.2">
      <c r="A133" s="10" t="e">
        <f t="shared" ca="1" si="14"/>
        <v>#NAME?</v>
      </c>
      <c r="B133" s="10">
        <f>Upload!E132</f>
        <v>0</v>
      </c>
      <c r="C133" s="10">
        <f>Upload!AJ132</f>
        <v>0</v>
      </c>
      <c r="D133" s="10">
        <f>Upload!AK132</f>
        <v>0</v>
      </c>
      <c r="E133" s="10" t="str">
        <f>Upload!AF132</f>
        <v/>
      </c>
      <c r="F133" s="10" t="str">
        <f>Upload!AH132</f>
        <v/>
      </c>
      <c r="G133" s="10" t="str">
        <f>Upload!AE132</f>
        <v>(seleccione)</v>
      </c>
      <c r="H133" s="10" t="str">
        <f>Upload!AG132</f>
        <v>(seleccione)</v>
      </c>
      <c r="J133" s="16" t="str">
        <f t="shared" si="8"/>
        <v/>
      </c>
      <c r="K133" s="16" t="str">
        <f t="shared" si="9"/>
        <v/>
      </c>
      <c r="L133" s="16" t="str">
        <f t="shared" si="10"/>
        <v/>
      </c>
      <c r="M133" s="16" t="str">
        <f t="shared" si="11"/>
        <v/>
      </c>
      <c r="N133" s="16" t="str">
        <f t="shared" si="12"/>
        <v/>
      </c>
      <c r="O133" s="16" t="str">
        <f>IF(OR(N133="",NOT(OR(ISNUMBER(SEARCH("Antitarnish",Upload!N132&amp;Upload!O132&amp;Upload!P132&amp;Upload!Q132)),ISNUMBER(SEARCH("Anti Tarnish",Upload!N132&amp;Upload!O132&amp;Upload!P132&amp;Upload!Q132))))),"",0.0012*N133)</f>
        <v/>
      </c>
      <c r="P133" s="16" t="str">
        <f>IF(OR(D133="",NOT(OR(ISNUMBER(SEARCH("Epóx",Upload!N132&amp;Upload!O132&amp;Upload!P132&amp;Upload!Q132)),ISNUMBER(SEARCH("Epox",Upload!N132&amp;Upload!O132&amp;Upload!P132&amp;Upload!Q132)),ISNUMBER(SEARCH("Barniz",Upload!N132&amp;Upload!O132&amp;Upload!P132&amp;Upload!Q132))))),"",D133*0.000035)</f>
        <v/>
      </c>
      <c r="Q133" s="16" t="str">
        <f>IF(OR(D133="",NOT(OR(ISNUMBER(SEARCH("Epóx",Upload!N132&amp;Upload!O132&amp;Upload!P132&amp;Upload!Q132)),ISNUMBER(SEARCH("Epox",Upload!N132&amp;Upload!O132&amp;Upload!P132&amp;Upload!Q132)),ISNUMBER(SEARCH("Barniz",Upload!N132&amp;Upload!O132&amp;Upload!P132&amp;Upload!Q132))))),"",D133*0.000035)</f>
        <v/>
      </c>
      <c r="R133" s="16" t="str">
        <f t="shared" si="13"/>
        <v/>
      </c>
    </row>
    <row r="134" spans="1:18" x14ac:dyDescent="0.2">
      <c r="A134" s="10" t="e">
        <f t="shared" ca="1" si="14"/>
        <v>#NAME?</v>
      </c>
      <c r="B134" s="10">
        <f>Upload!E133</f>
        <v>0</v>
      </c>
      <c r="C134" s="10">
        <f>Upload!AJ133</f>
        <v>0</v>
      </c>
      <c r="D134" s="10">
        <f>Upload!AK133</f>
        <v>0</v>
      </c>
      <c r="E134" s="10" t="str">
        <f>Upload!AF133</f>
        <v/>
      </c>
      <c r="F134" s="10" t="str">
        <f>Upload!AH133</f>
        <v/>
      </c>
      <c r="G134" s="10" t="str">
        <f>Upload!AE133</f>
        <v>(seleccione)</v>
      </c>
      <c r="H134" s="10" t="str">
        <f>Upload!AG133</f>
        <v>(seleccione)</v>
      </c>
      <c r="J134" s="16" t="str">
        <f t="shared" ref="J134:J197" si="15">IFERROR(IF(OR(C134="",IF(ISNUMBER(SEARCH("Plata",G134)),E134,IF(ISNUMBER(SEARCH("Plata",H134)),F134,""))=""),"",$D$6*C134*(IF(ISNUMBER(SEARCH("Plata",G134)),E134,IF(ISNUMBER(SEARCH("Plata",H134)),F134,"")))/10000000),"")</f>
        <v/>
      </c>
      <c r="K134" s="16" t="str">
        <f t="shared" ref="K134:K197" si="16">IFERROR(IF(OR(C134="",IF(OR(ISNUMBER(SEARCH("Estaño",G134)),ISNUMBER(SEARCH("Estañ",G134)),ISNUMBER(SEARCH("Tin",G134))),E134,IF(OR(ISNUMBER(SEARCH("Estaño",H134)),ISNUMBER(SEARCH("Estañ",H134)),ISNUMBER(SEARCH("Tin",H134))),F134,""))=""),"",$D$7*C134*(IF(OR(ISNUMBER(SEARCH("Estaño",G134)),ISNUMBER(SEARCH("Estañ",G134)),ISNUMBER(SEARCH("Tin",G134))),E134,IF(OR(ISNUMBER(SEARCH("Estaño",H134)),ISNUMBER(SEARCH("Estañ",H134)),ISNUMBER(SEARCH("Tin",H134))),F134,"")))/10000000),"")</f>
        <v/>
      </c>
      <c r="L134" s="16" t="str">
        <f t="shared" ref="L134:L197" si="17">IFERROR(IF(OR(C134="",IF(OR(ISNUMBER(SEARCH("Níquel",G134)),ISNUMBER(SEARCH("Niquel",G134))),E134,IF(OR(ISNUMBER(SEARCH("Níquel",H134)),ISNUMBER(SEARCH("Niquel",H134))),F134,""))=""),"",$D$8*C134*(IF(OR(ISNUMBER(SEARCH("Níquel",G134)),ISNUMBER(SEARCH("Niquel",G134))),E134,IF(OR(ISNUMBER(SEARCH("Níquel",H134)),ISNUMBER(SEARCH("Niquel",H134))),F134,"")))/10000000),"")</f>
        <v/>
      </c>
      <c r="M134" s="16" t="str">
        <f t="shared" ref="M134:M197" si="18">IFERROR(IF(OR(C134="",IF(ISNUMBER(SEARCH("Zinc",G134)),E134,IF(ISNUMBER(SEARCH("Zinc",H134)),F134,""))=""),"",$D$9*C134*(IF(ISNUMBER(SEARCH("Zinc",G134)),E134,IF(ISNUMBER(SEARCH("Zinc",H134)),F134,"")))/10000000),"")</f>
        <v/>
      </c>
      <c r="N134" s="16" t="str">
        <f t="shared" ref="N134:N197" si="19">IFERROR(IF(OR(C134="",IF(OR(ISNUMBER(SEARCH("Cobre",G134)),ISNUMBER(SEARCH("Bondal",G134))),E134,IF(OR(ISNUMBER(SEARCH("Cobre",H134)),ISNUMBER(SEARCH("Bondal",H134))),F134,""))=""),"",$D$10*C134*(IF(OR(ISNUMBER(SEARCH("Cobre",G134)),ISNUMBER(SEARCH("Bondal",G134))),E134,IF(OR(ISNUMBER(SEARCH("Cobre",H134)),ISNUMBER(SEARCH("Bondal",H134))),F134,"")))/10000000),"")</f>
        <v/>
      </c>
      <c r="O134" s="16" t="str">
        <f>IF(OR(N134="",NOT(OR(ISNUMBER(SEARCH("Antitarnish",Upload!N133&amp;Upload!O133&amp;Upload!P133&amp;Upload!Q133)),ISNUMBER(SEARCH("Anti Tarnish",Upload!N133&amp;Upload!O133&amp;Upload!P133&amp;Upload!Q133))))),"",0.0012*N134)</f>
        <v/>
      </c>
      <c r="P134" s="16" t="str">
        <f>IF(OR(D134="",NOT(OR(ISNUMBER(SEARCH("Epóx",Upload!N133&amp;Upload!O133&amp;Upload!P133&amp;Upload!Q133)),ISNUMBER(SEARCH("Epox",Upload!N133&amp;Upload!O133&amp;Upload!P133&amp;Upload!Q133)),ISNUMBER(SEARCH("Barniz",Upload!N133&amp;Upload!O133&amp;Upload!P133&amp;Upload!Q133))))),"",D134*0.000035)</f>
        <v/>
      </c>
      <c r="Q134" s="16" t="str">
        <f>IF(OR(D134="",NOT(OR(ISNUMBER(SEARCH("Epóx",Upload!N133&amp;Upload!O133&amp;Upload!P133&amp;Upload!Q133)),ISNUMBER(SEARCH("Epox",Upload!N133&amp;Upload!O133&amp;Upload!P133&amp;Upload!Q133)),ISNUMBER(SEARCH("Barniz",Upload!N133&amp;Upload!O133&amp;Upload!P133&amp;Upload!Q133))))),"",D134*0.000035)</f>
        <v/>
      </c>
      <c r="R134" s="16" t="str">
        <f t="shared" ref="R134:R197" si="20">IF(P134="","",P134*1.07)</f>
        <v/>
      </c>
    </row>
    <row r="135" spans="1:18" x14ac:dyDescent="0.2">
      <c r="A135" s="10" t="e">
        <f t="shared" ca="1" si="14"/>
        <v>#NAME?</v>
      </c>
      <c r="B135" s="10">
        <f>Upload!E134</f>
        <v>0</v>
      </c>
      <c r="C135" s="10">
        <f>Upload!AJ134</f>
        <v>0</v>
      </c>
      <c r="D135" s="10">
        <f>Upload!AK134</f>
        <v>0</v>
      </c>
      <c r="E135" s="10" t="str">
        <f>Upload!AF134</f>
        <v/>
      </c>
      <c r="F135" s="10" t="str">
        <f>Upload!AH134</f>
        <v/>
      </c>
      <c r="G135" s="10" t="str">
        <f>Upload!AE134</f>
        <v>(seleccione)</v>
      </c>
      <c r="H135" s="10" t="str">
        <f>Upload!AG134</f>
        <v>(seleccione)</v>
      </c>
      <c r="J135" s="16" t="str">
        <f t="shared" si="15"/>
        <v/>
      </c>
      <c r="K135" s="16" t="str">
        <f t="shared" si="16"/>
        <v/>
      </c>
      <c r="L135" s="16" t="str">
        <f t="shared" si="17"/>
        <v/>
      </c>
      <c r="M135" s="16" t="str">
        <f t="shared" si="18"/>
        <v/>
      </c>
      <c r="N135" s="16" t="str">
        <f t="shared" si="19"/>
        <v/>
      </c>
      <c r="O135" s="16" t="str">
        <f>IF(OR(N135="",NOT(OR(ISNUMBER(SEARCH("Antitarnish",Upload!N134&amp;Upload!O134&amp;Upload!P134&amp;Upload!Q134)),ISNUMBER(SEARCH("Anti Tarnish",Upload!N134&amp;Upload!O134&amp;Upload!P134&amp;Upload!Q134))))),"",0.0012*N135)</f>
        <v/>
      </c>
      <c r="P135" s="16" t="str">
        <f>IF(OR(D135="",NOT(OR(ISNUMBER(SEARCH("Epóx",Upload!N134&amp;Upload!O134&amp;Upload!P134&amp;Upload!Q134)),ISNUMBER(SEARCH("Epox",Upload!N134&amp;Upload!O134&amp;Upload!P134&amp;Upload!Q134)),ISNUMBER(SEARCH("Barniz",Upload!N134&amp;Upload!O134&amp;Upload!P134&amp;Upload!Q134))))),"",D135*0.000035)</f>
        <v/>
      </c>
      <c r="Q135" s="16" t="str">
        <f>IF(OR(D135="",NOT(OR(ISNUMBER(SEARCH("Epóx",Upload!N134&amp;Upload!O134&amp;Upload!P134&amp;Upload!Q134)),ISNUMBER(SEARCH("Epox",Upload!N134&amp;Upload!O134&amp;Upload!P134&amp;Upload!Q134)),ISNUMBER(SEARCH("Barniz",Upload!N134&amp;Upload!O134&amp;Upload!P134&amp;Upload!Q134))))),"",D135*0.000035)</f>
        <v/>
      </c>
      <c r="R135" s="16" t="str">
        <f t="shared" si="20"/>
        <v/>
      </c>
    </row>
    <row r="136" spans="1:18" x14ac:dyDescent="0.2">
      <c r="A136" s="10" t="e">
        <f t="shared" ca="1" si="14"/>
        <v>#NAME?</v>
      </c>
      <c r="B136" s="10">
        <f>Upload!E135</f>
        <v>0</v>
      </c>
      <c r="C136" s="10">
        <f>Upload!AJ135</f>
        <v>0</v>
      </c>
      <c r="D136" s="10">
        <f>Upload!AK135</f>
        <v>0</v>
      </c>
      <c r="E136" s="10" t="str">
        <f>Upload!AF135</f>
        <v/>
      </c>
      <c r="F136" s="10" t="str">
        <f>Upload!AH135</f>
        <v/>
      </c>
      <c r="G136" s="10" t="str">
        <f>Upload!AE135</f>
        <v>(seleccione)</v>
      </c>
      <c r="H136" s="10" t="str">
        <f>Upload!AG135</f>
        <v>(seleccione)</v>
      </c>
      <c r="J136" s="16" t="str">
        <f t="shared" si="15"/>
        <v/>
      </c>
      <c r="K136" s="16" t="str">
        <f t="shared" si="16"/>
        <v/>
      </c>
      <c r="L136" s="16" t="str">
        <f t="shared" si="17"/>
        <v/>
      </c>
      <c r="M136" s="16" t="str">
        <f t="shared" si="18"/>
        <v/>
      </c>
      <c r="N136" s="16" t="str">
        <f t="shared" si="19"/>
        <v/>
      </c>
      <c r="O136" s="16" t="str">
        <f>IF(OR(N136="",NOT(OR(ISNUMBER(SEARCH("Antitarnish",Upload!N135&amp;Upload!O135&amp;Upload!P135&amp;Upload!Q135)),ISNUMBER(SEARCH("Anti Tarnish",Upload!N135&amp;Upload!O135&amp;Upload!P135&amp;Upload!Q135))))),"",0.0012*N136)</f>
        <v/>
      </c>
      <c r="P136" s="16" t="str">
        <f>IF(OR(D136="",NOT(OR(ISNUMBER(SEARCH("Epóx",Upload!N135&amp;Upload!O135&amp;Upload!P135&amp;Upload!Q135)),ISNUMBER(SEARCH("Epox",Upload!N135&amp;Upload!O135&amp;Upload!P135&amp;Upload!Q135)),ISNUMBER(SEARCH("Barniz",Upload!N135&amp;Upload!O135&amp;Upload!P135&amp;Upload!Q135))))),"",D136*0.000035)</f>
        <v/>
      </c>
      <c r="Q136" s="16" t="str">
        <f>IF(OR(D136="",NOT(OR(ISNUMBER(SEARCH("Epóx",Upload!N135&amp;Upload!O135&amp;Upload!P135&amp;Upload!Q135)),ISNUMBER(SEARCH("Epox",Upload!N135&amp;Upload!O135&amp;Upload!P135&amp;Upload!Q135)),ISNUMBER(SEARCH("Barniz",Upload!N135&amp;Upload!O135&amp;Upload!P135&amp;Upload!Q135))))),"",D136*0.000035)</f>
        <v/>
      </c>
      <c r="R136" s="16" t="str">
        <f t="shared" si="20"/>
        <v/>
      </c>
    </row>
    <row r="137" spans="1:18" x14ac:dyDescent="0.2">
      <c r="A137" s="10" t="e">
        <f t="shared" ca="1" si="14"/>
        <v>#NAME?</v>
      </c>
      <c r="B137" s="10">
        <f>Upload!E136</f>
        <v>0</v>
      </c>
      <c r="C137" s="10">
        <f>Upload!AJ136</f>
        <v>0</v>
      </c>
      <c r="D137" s="10">
        <f>Upload!AK136</f>
        <v>0</v>
      </c>
      <c r="E137" s="10" t="str">
        <f>Upload!AF136</f>
        <v/>
      </c>
      <c r="F137" s="10" t="str">
        <f>Upload!AH136</f>
        <v/>
      </c>
      <c r="G137" s="10" t="str">
        <f>Upload!AE136</f>
        <v>(seleccione)</v>
      </c>
      <c r="H137" s="10" t="str">
        <f>Upload!AG136</f>
        <v>(seleccione)</v>
      </c>
      <c r="J137" s="16" t="str">
        <f t="shared" si="15"/>
        <v/>
      </c>
      <c r="K137" s="16" t="str">
        <f t="shared" si="16"/>
        <v/>
      </c>
      <c r="L137" s="16" t="str">
        <f t="shared" si="17"/>
        <v/>
      </c>
      <c r="M137" s="16" t="str">
        <f t="shared" si="18"/>
        <v/>
      </c>
      <c r="N137" s="16" t="str">
        <f t="shared" si="19"/>
        <v/>
      </c>
      <c r="O137" s="16" t="str">
        <f>IF(OR(N137="",NOT(OR(ISNUMBER(SEARCH("Antitarnish",Upload!N136&amp;Upload!O136&amp;Upload!P136&amp;Upload!Q136)),ISNUMBER(SEARCH("Anti Tarnish",Upload!N136&amp;Upload!O136&amp;Upload!P136&amp;Upload!Q136))))),"",0.0012*N137)</f>
        <v/>
      </c>
      <c r="P137" s="16" t="str">
        <f>IF(OR(D137="",NOT(OR(ISNUMBER(SEARCH("Epóx",Upload!N136&amp;Upload!O136&amp;Upload!P136&amp;Upload!Q136)),ISNUMBER(SEARCH("Epox",Upload!N136&amp;Upload!O136&amp;Upload!P136&amp;Upload!Q136)),ISNUMBER(SEARCH("Barniz",Upload!N136&amp;Upload!O136&amp;Upload!P136&amp;Upload!Q136))))),"",D137*0.000035)</f>
        <v/>
      </c>
      <c r="Q137" s="16" t="str">
        <f>IF(OR(D137="",NOT(OR(ISNUMBER(SEARCH("Epóx",Upload!N136&amp;Upload!O136&amp;Upload!P136&amp;Upload!Q136)),ISNUMBER(SEARCH("Epox",Upload!N136&amp;Upload!O136&amp;Upload!P136&amp;Upload!Q136)),ISNUMBER(SEARCH("Barniz",Upload!N136&amp;Upload!O136&amp;Upload!P136&amp;Upload!Q136))))),"",D137*0.000035)</f>
        <v/>
      </c>
      <c r="R137" s="16" t="str">
        <f t="shared" si="20"/>
        <v/>
      </c>
    </row>
    <row r="138" spans="1:18" x14ac:dyDescent="0.2">
      <c r="A138" s="10" t="e">
        <f t="shared" ca="1" si="14"/>
        <v>#NAME?</v>
      </c>
      <c r="B138" s="10">
        <f>Upload!E137</f>
        <v>0</v>
      </c>
      <c r="C138" s="10">
        <f>Upload!AJ137</f>
        <v>0</v>
      </c>
      <c r="D138" s="10">
        <f>Upload!AK137</f>
        <v>0</v>
      </c>
      <c r="E138" s="10" t="str">
        <f>Upload!AF137</f>
        <v/>
      </c>
      <c r="F138" s="10" t="str">
        <f>Upload!AH137</f>
        <v/>
      </c>
      <c r="G138" s="10" t="str">
        <f>Upload!AE137</f>
        <v>(seleccione)</v>
      </c>
      <c r="H138" s="10" t="str">
        <f>Upload!AG137</f>
        <v>(seleccione)</v>
      </c>
      <c r="J138" s="16" t="str">
        <f t="shared" si="15"/>
        <v/>
      </c>
      <c r="K138" s="16" t="str">
        <f t="shared" si="16"/>
        <v/>
      </c>
      <c r="L138" s="16" t="str">
        <f t="shared" si="17"/>
        <v/>
      </c>
      <c r="M138" s="16" t="str">
        <f t="shared" si="18"/>
        <v/>
      </c>
      <c r="N138" s="16" t="str">
        <f t="shared" si="19"/>
        <v/>
      </c>
      <c r="O138" s="16" t="str">
        <f>IF(OR(N138="",NOT(OR(ISNUMBER(SEARCH("Antitarnish",Upload!N137&amp;Upload!O137&amp;Upload!P137&amp;Upload!Q137)),ISNUMBER(SEARCH("Anti Tarnish",Upload!N137&amp;Upload!O137&amp;Upload!P137&amp;Upload!Q137))))),"",0.0012*N138)</f>
        <v/>
      </c>
      <c r="P138" s="16" t="str">
        <f>IF(OR(D138="",NOT(OR(ISNUMBER(SEARCH("Epóx",Upload!N137&amp;Upload!O137&amp;Upload!P137&amp;Upload!Q137)),ISNUMBER(SEARCH("Epox",Upload!N137&amp;Upload!O137&amp;Upload!P137&amp;Upload!Q137)),ISNUMBER(SEARCH("Barniz",Upload!N137&amp;Upload!O137&amp;Upload!P137&amp;Upload!Q137))))),"",D138*0.000035)</f>
        <v/>
      </c>
      <c r="Q138" s="16" t="str">
        <f>IF(OR(D138="",NOT(OR(ISNUMBER(SEARCH("Epóx",Upload!N137&amp;Upload!O137&amp;Upload!P137&amp;Upload!Q137)),ISNUMBER(SEARCH("Epox",Upload!N137&amp;Upload!O137&amp;Upload!P137&amp;Upload!Q137)),ISNUMBER(SEARCH("Barniz",Upload!N137&amp;Upload!O137&amp;Upload!P137&amp;Upload!Q137))))),"",D138*0.000035)</f>
        <v/>
      </c>
      <c r="R138" s="16" t="str">
        <f t="shared" si="20"/>
        <v/>
      </c>
    </row>
    <row r="139" spans="1:18" x14ac:dyDescent="0.2">
      <c r="A139" s="10" t="e">
        <f t="shared" ca="1" si="14"/>
        <v>#NAME?</v>
      </c>
      <c r="B139" s="10">
        <f>Upload!E138</f>
        <v>0</v>
      </c>
      <c r="C139" s="10">
        <f>Upload!AJ138</f>
        <v>0</v>
      </c>
      <c r="D139" s="10">
        <f>Upload!AK138</f>
        <v>0</v>
      </c>
      <c r="E139" s="10" t="str">
        <f>Upload!AF138</f>
        <v/>
      </c>
      <c r="F139" s="10" t="str">
        <f>Upload!AH138</f>
        <v/>
      </c>
      <c r="G139" s="10" t="str">
        <f>Upload!AE138</f>
        <v>(seleccione)</v>
      </c>
      <c r="H139" s="10" t="str">
        <f>Upload!AG138</f>
        <v>(seleccione)</v>
      </c>
      <c r="J139" s="16" t="str">
        <f t="shared" si="15"/>
        <v/>
      </c>
      <c r="K139" s="16" t="str">
        <f t="shared" si="16"/>
        <v/>
      </c>
      <c r="L139" s="16" t="str">
        <f t="shared" si="17"/>
        <v/>
      </c>
      <c r="M139" s="16" t="str">
        <f t="shared" si="18"/>
        <v/>
      </c>
      <c r="N139" s="16" t="str">
        <f t="shared" si="19"/>
        <v/>
      </c>
      <c r="O139" s="16" t="str">
        <f>IF(OR(N139="",NOT(OR(ISNUMBER(SEARCH("Antitarnish",Upload!N138&amp;Upload!O138&amp;Upload!P138&amp;Upload!Q138)),ISNUMBER(SEARCH("Anti Tarnish",Upload!N138&amp;Upload!O138&amp;Upload!P138&amp;Upload!Q138))))),"",0.0012*N139)</f>
        <v/>
      </c>
      <c r="P139" s="16" t="str">
        <f>IF(OR(D139="",NOT(OR(ISNUMBER(SEARCH("Epóx",Upload!N138&amp;Upload!O138&amp;Upload!P138&amp;Upload!Q138)),ISNUMBER(SEARCH("Epox",Upload!N138&amp;Upload!O138&amp;Upload!P138&amp;Upload!Q138)),ISNUMBER(SEARCH("Barniz",Upload!N138&amp;Upload!O138&amp;Upload!P138&amp;Upload!Q138))))),"",D139*0.000035)</f>
        <v/>
      </c>
      <c r="Q139" s="16" t="str">
        <f>IF(OR(D139="",NOT(OR(ISNUMBER(SEARCH("Epóx",Upload!N138&amp;Upload!O138&amp;Upload!P138&amp;Upload!Q138)),ISNUMBER(SEARCH("Epox",Upload!N138&amp;Upload!O138&amp;Upload!P138&amp;Upload!Q138)),ISNUMBER(SEARCH("Barniz",Upload!N138&amp;Upload!O138&amp;Upload!P138&amp;Upload!Q138))))),"",D139*0.000035)</f>
        <v/>
      </c>
      <c r="R139" s="16" t="str">
        <f t="shared" si="20"/>
        <v/>
      </c>
    </row>
    <row r="140" spans="1:18" x14ac:dyDescent="0.2">
      <c r="A140" s="10" t="e">
        <f t="shared" ca="1" si="14"/>
        <v>#NAME?</v>
      </c>
      <c r="B140" s="10">
        <f>Upload!E139</f>
        <v>0</v>
      </c>
      <c r="C140" s="10">
        <f>Upload!AJ139</f>
        <v>0</v>
      </c>
      <c r="D140" s="10">
        <f>Upload!AK139</f>
        <v>0</v>
      </c>
      <c r="E140" s="10" t="str">
        <f>Upload!AF139</f>
        <v/>
      </c>
      <c r="F140" s="10" t="str">
        <f>Upload!AH139</f>
        <v/>
      </c>
      <c r="G140" s="10" t="str">
        <f>Upload!AE139</f>
        <v>(seleccione)</v>
      </c>
      <c r="H140" s="10" t="str">
        <f>Upload!AG139</f>
        <v>(seleccione)</v>
      </c>
      <c r="J140" s="16" t="str">
        <f t="shared" si="15"/>
        <v/>
      </c>
      <c r="K140" s="16" t="str">
        <f t="shared" si="16"/>
        <v/>
      </c>
      <c r="L140" s="16" t="str">
        <f t="shared" si="17"/>
        <v/>
      </c>
      <c r="M140" s="16" t="str">
        <f t="shared" si="18"/>
        <v/>
      </c>
      <c r="N140" s="16" t="str">
        <f t="shared" si="19"/>
        <v/>
      </c>
      <c r="O140" s="16" t="str">
        <f>IF(OR(N140="",NOT(OR(ISNUMBER(SEARCH("Antitarnish",Upload!N139&amp;Upload!O139&amp;Upload!P139&amp;Upload!Q139)),ISNUMBER(SEARCH("Anti Tarnish",Upload!N139&amp;Upload!O139&amp;Upload!P139&amp;Upload!Q139))))),"",0.0012*N140)</f>
        <v/>
      </c>
      <c r="P140" s="16" t="str">
        <f>IF(OR(D140="",NOT(OR(ISNUMBER(SEARCH("Epóx",Upload!N139&amp;Upload!O139&amp;Upload!P139&amp;Upload!Q139)),ISNUMBER(SEARCH("Epox",Upload!N139&amp;Upload!O139&amp;Upload!P139&amp;Upload!Q139)),ISNUMBER(SEARCH("Barniz",Upload!N139&amp;Upload!O139&amp;Upload!P139&amp;Upload!Q139))))),"",D140*0.000035)</f>
        <v/>
      </c>
      <c r="Q140" s="16" t="str">
        <f>IF(OR(D140="",NOT(OR(ISNUMBER(SEARCH("Epóx",Upload!N139&amp;Upload!O139&amp;Upload!P139&amp;Upload!Q139)),ISNUMBER(SEARCH("Epox",Upload!N139&amp;Upload!O139&amp;Upload!P139&amp;Upload!Q139)),ISNUMBER(SEARCH("Barniz",Upload!N139&amp;Upload!O139&amp;Upload!P139&amp;Upload!Q139))))),"",D140*0.000035)</f>
        <v/>
      </c>
      <c r="R140" s="16" t="str">
        <f t="shared" si="20"/>
        <v/>
      </c>
    </row>
    <row r="141" spans="1:18" x14ac:dyDescent="0.2">
      <c r="A141" s="10" t="e">
        <f t="shared" ca="1" si="14"/>
        <v>#NAME?</v>
      </c>
      <c r="B141" s="10">
        <f>Upload!E140</f>
        <v>0</v>
      </c>
      <c r="C141" s="10">
        <f>Upload!AJ140</f>
        <v>0</v>
      </c>
      <c r="D141" s="10">
        <f>Upload!AK140</f>
        <v>0</v>
      </c>
      <c r="E141" s="10" t="str">
        <f>Upload!AF140</f>
        <v/>
      </c>
      <c r="F141" s="10" t="str">
        <f>Upload!AH140</f>
        <v/>
      </c>
      <c r="G141" s="10" t="str">
        <f>Upload!AE140</f>
        <v>(seleccione)</v>
      </c>
      <c r="H141" s="10" t="str">
        <f>Upload!AG140</f>
        <v>(seleccione)</v>
      </c>
      <c r="J141" s="16" t="str">
        <f t="shared" si="15"/>
        <v/>
      </c>
      <c r="K141" s="16" t="str">
        <f t="shared" si="16"/>
        <v/>
      </c>
      <c r="L141" s="16" t="str">
        <f t="shared" si="17"/>
        <v/>
      </c>
      <c r="M141" s="16" t="str">
        <f t="shared" si="18"/>
        <v/>
      </c>
      <c r="N141" s="16" t="str">
        <f t="shared" si="19"/>
        <v/>
      </c>
      <c r="O141" s="16" t="str">
        <f>IF(OR(N141="",NOT(OR(ISNUMBER(SEARCH("Antitarnish",Upload!N140&amp;Upload!O140&amp;Upload!P140&amp;Upload!Q140)),ISNUMBER(SEARCH("Anti Tarnish",Upload!N140&amp;Upload!O140&amp;Upload!P140&amp;Upload!Q140))))),"",0.0012*N141)</f>
        <v/>
      </c>
      <c r="P141" s="16" t="str">
        <f>IF(OR(D141="",NOT(OR(ISNUMBER(SEARCH("Epóx",Upload!N140&amp;Upload!O140&amp;Upload!P140&amp;Upload!Q140)),ISNUMBER(SEARCH("Epox",Upload!N140&amp;Upload!O140&amp;Upload!P140&amp;Upload!Q140)),ISNUMBER(SEARCH("Barniz",Upload!N140&amp;Upload!O140&amp;Upload!P140&amp;Upload!Q140))))),"",D141*0.000035)</f>
        <v/>
      </c>
      <c r="Q141" s="16" t="str">
        <f>IF(OR(D141="",NOT(OR(ISNUMBER(SEARCH("Epóx",Upload!N140&amp;Upload!O140&amp;Upload!P140&amp;Upload!Q140)),ISNUMBER(SEARCH("Epox",Upload!N140&amp;Upload!O140&amp;Upload!P140&amp;Upload!Q140)),ISNUMBER(SEARCH("Barniz",Upload!N140&amp;Upload!O140&amp;Upload!P140&amp;Upload!Q140))))),"",D141*0.000035)</f>
        <v/>
      </c>
      <c r="R141" s="16" t="str">
        <f t="shared" si="20"/>
        <v/>
      </c>
    </row>
    <row r="142" spans="1:18" x14ac:dyDescent="0.2">
      <c r="A142" s="10" t="e">
        <f t="shared" ca="1" si="14"/>
        <v>#NAME?</v>
      </c>
      <c r="B142" s="10">
        <f>Upload!E141</f>
        <v>0</v>
      </c>
      <c r="C142" s="10">
        <f>Upload!AJ141</f>
        <v>0</v>
      </c>
      <c r="D142" s="10">
        <f>Upload!AK141</f>
        <v>0</v>
      </c>
      <c r="E142" s="10" t="str">
        <f>Upload!AF141</f>
        <v/>
      </c>
      <c r="F142" s="10" t="str">
        <f>Upload!AH141</f>
        <v/>
      </c>
      <c r="G142" s="10" t="str">
        <f>Upload!AE141</f>
        <v>(seleccione)</v>
      </c>
      <c r="H142" s="10" t="str">
        <f>Upload!AG141</f>
        <v>(seleccione)</v>
      </c>
      <c r="J142" s="16" t="str">
        <f t="shared" si="15"/>
        <v/>
      </c>
      <c r="K142" s="16" t="str">
        <f t="shared" si="16"/>
        <v/>
      </c>
      <c r="L142" s="16" t="str">
        <f t="shared" si="17"/>
        <v/>
      </c>
      <c r="M142" s="16" t="str">
        <f t="shared" si="18"/>
        <v/>
      </c>
      <c r="N142" s="16" t="str">
        <f t="shared" si="19"/>
        <v/>
      </c>
      <c r="O142" s="16" t="str">
        <f>IF(OR(N142="",NOT(OR(ISNUMBER(SEARCH("Antitarnish",Upload!N141&amp;Upload!O141&amp;Upload!P141&amp;Upload!Q141)),ISNUMBER(SEARCH("Anti Tarnish",Upload!N141&amp;Upload!O141&amp;Upload!P141&amp;Upload!Q141))))),"",0.0012*N142)</f>
        <v/>
      </c>
      <c r="P142" s="16" t="str">
        <f>IF(OR(D142="",NOT(OR(ISNUMBER(SEARCH("Epóx",Upload!N141&amp;Upload!O141&amp;Upload!P141&amp;Upload!Q141)),ISNUMBER(SEARCH("Epox",Upload!N141&amp;Upload!O141&amp;Upload!P141&amp;Upload!Q141)),ISNUMBER(SEARCH("Barniz",Upload!N141&amp;Upload!O141&amp;Upload!P141&amp;Upload!Q141))))),"",D142*0.000035)</f>
        <v/>
      </c>
      <c r="Q142" s="16" t="str">
        <f>IF(OR(D142="",NOT(OR(ISNUMBER(SEARCH("Epóx",Upload!N141&amp;Upload!O141&amp;Upload!P141&amp;Upload!Q141)),ISNUMBER(SEARCH("Epox",Upload!N141&amp;Upload!O141&amp;Upload!P141&amp;Upload!Q141)),ISNUMBER(SEARCH("Barniz",Upload!N141&amp;Upload!O141&amp;Upload!P141&amp;Upload!Q141))))),"",D142*0.000035)</f>
        <v/>
      </c>
      <c r="R142" s="16" t="str">
        <f t="shared" si="20"/>
        <v/>
      </c>
    </row>
    <row r="143" spans="1:18" x14ac:dyDescent="0.2">
      <c r="A143" s="10" t="e">
        <f t="shared" ca="1" si="14"/>
        <v>#NAME?</v>
      </c>
      <c r="B143" s="10">
        <f>Upload!E142</f>
        <v>0</v>
      </c>
      <c r="C143" s="10">
        <f>Upload!AJ142</f>
        <v>0</v>
      </c>
      <c r="D143" s="10">
        <f>Upload!AK142</f>
        <v>0</v>
      </c>
      <c r="E143" s="10" t="str">
        <f>Upload!AF142</f>
        <v/>
      </c>
      <c r="F143" s="10" t="str">
        <f>Upload!AH142</f>
        <v/>
      </c>
      <c r="G143" s="10" t="str">
        <f>Upload!AE142</f>
        <v>(seleccione)</v>
      </c>
      <c r="H143" s="10" t="str">
        <f>Upload!AG142</f>
        <v>(seleccione)</v>
      </c>
      <c r="J143" s="16" t="str">
        <f t="shared" si="15"/>
        <v/>
      </c>
      <c r="K143" s="16" t="str">
        <f t="shared" si="16"/>
        <v/>
      </c>
      <c r="L143" s="16" t="str">
        <f t="shared" si="17"/>
        <v/>
      </c>
      <c r="M143" s="16" t="str">
        <f t="shared" si="18"/>
        <v/>
      </c>
      <c r="N143" s="16" t="str">
        <f t="shared" si="19"/>
        <v/>
      </c>
      <c r="O143" s="16" t="str">
        <f>IF(OR(N143="",NOT(OR(ISNUMBER(SEARCH("Antitarnish",Upload!N142&amp;Upload!O142&amp;Upload!P142&amp;Upload!Q142)),ISNUMBER(SEARCH("Anti Tarnish",Upload!N142&amp;Upload!O142&amp;Upload!P142&amp;Upload!Q142))))),"",0.0012*N143)</f>
        <v/>
      </c>
      <c r="P143" s="16" t="str">
        <f>IF(OR(D143="",NOT(OR(ISNUMBER(SEARCH("Epóx",Upload!N142&amp;Upload!O142&amp;Upload!P142&amp;Upload!Q142)),ISNUMBER(SEARCH("Epox",Upload!N142&amp;Upload!O142&amp;Upload!P142&amp;Upload!Q142)),ISNUMBER(SEARCH("Barniz",Upload!N142&amp;Upload!O142&amp;Upload!P142&amp;Upload!Q142))))),"",D143*0.000035)</f>
        <v/>
      </c>
      <c r="Q143" s="16" t="str">
        <f>IF(OR(D143="",NOT(OR(ISNUMBER(SEARCH("Epóx",Upload!N142&amp;Upload!O142&amp;Upload!P142&amp;Upload!Q142)),ISNUMBER(SEARCH("Epox",Upload!N142&amp;Upload!O142&amp;Upload!P142&amp;Upload!Q142)),ISNUMBER(SEARCH("Barniz",Upload!N142&amp;Upload!O142&amp;Upload!P142&amp;Upload!Q142))))),"",D143*0.000035)</f>
        <v/>
      </c>
      <c r="R143" s="16" t="str">
        <f t="shared" si="20"/>
        <v/>
      </c>
    </row>
    <row r="144" spans="1:18" x14ac:dyDescent="0.2">
      <c r="A144" s="10" t="e">
        <f t="shared" ca="1" si="14"/>
        <v>#NAME?</v>
      </c>
      <c r="B144" s="10">
        <f>Upload!E143</f>
        <v>0</v>
      </c>
      <c r="C144" s="10">
        <f>Upload!AJ143</f>
        <v>0</v>
      </c>
      <c r="D144" s="10">
        <f>Upload!AK143</f>
        <v>0</v>
      </c>
      <c r="E144" s="10" t="str">
        <f>Upload!AF143</f>
        <v/>
      </c>
      <c r="F144" s="10" t="str">
        <f>Upload!AH143</f>
        <v/>
      </c>
      <c r="G144" s="10" t="str">
        <f>Upload!AE143</f>
        <v>(seleccione)</v>
      </c>
      <c r="H144" s="10" t="str">
        <f>Upload!AG143</f>
        <v>(seleccione)</v>
      </c>
      <c r="J144" s="16" t="str">
        <f t="shared" si="15"/>
        <v/>
      </c>
      <c r="K144" s="16" t="str">
        <f t="shared" si="16"/>
        <v/>
      </c>
      <c r="L144" s="16" t="str">
        <f t="shared" si="17"/>
        <v/>
      </c>
      <c r="M144" s="16" t="str">
        <f t="shared" si="18"/>
        <v/>
      </c>
      <c r="N144" s="16" t="str">
        <f t="shared" si="19"/>
        <v/>
      </c>
      <c r="O144" s="16" t="str">
        <f>IF(OR(N144="",NOT(OR(ISNUMBER(SEARCH("Antitarnish",Upload!N143&amp;Upload!O143&amp;Upload!P143&amp;Upload!Q143)),ISNUMBER(SEARCH("Anti Tarnish",Upload!N143&amp;Upload!O143&amp;Upload!P143&amp;Upload!Q143))))),"",0.0012*N144)</f>
        <v/>
      </c>
      <c r="P144" s="16" t="str">
        <f>IF(OR(D144="",NOT(OR(ISNUMBER(SEARCH("Epóx",Upload!N143&amp;Upload!O143&amp;Upload!P143&amp;Upload!Q143)),ISNUMBER(SEARCH("Epox",Upload!N143&amp;Upload!O143&amp;Upload!P143&amp;Upload!Q143)),ISNUMBER(SEARCH("Barniz",Upload!N143&amp;Upload!O143&amp;Upload!P143&amp;Upload!Q143))))),"",D144*0.000035)</f>
        <v/>
      </c>
      <c r="Q144" s="16" t="str">
        <f>IF(OR(D144="",NOT(OR(ISNUMBER(SEARCH("Epóx",Upload!N143&amp;Upload!O143&amp;Upload!P143&amp;Upload!Q143)),ISNUMBER(SEARCH("Epox",Upload!N143&amp;Upload!O143&amp;Upload!P143&amp;Upload!Q143)),ISNUMBER(SEARCH("Barniz",Upload!N143&amp;Upload!O143&amp;Upload!P143&amp;Upload!Q143))))),"",D144*0.000035)</f>
        <v/>
      </c>
      <c r="R144" s="16" t="str">
        <f t="shared" si="20"/>
        <v/>
      </c>
    </row>
    <row r="145" spans="1:18" x14ac:dyDescent="0.2">
      <c r="A145" s="10" t="e">
        <f t="shared" ca="1" si="14"/>
        <v>#NAME?</v>
      </c>
      <c r="B145" s="10">
        <f>Upload!E144</f>
        <v>0</v>
      </c>
      <c r="C145" s="10">
        <f>Upload!AJ144</f>
        <v>0</v>
      </c>
      <c r="D145" s="10">
        <f>Upload!AK144</f>
        <v>0</v>
      </c>
      <c r="E145" s="10" t="str">
        <f>Upload!AF144</f>
        <v/>
      </c>
      <c r="F145" s="10" t="str">
        <f>Upload!AH144</f>
        <v/>
      </c>
      <c r="G145" s="10" t="str">
        <f>Upload!AE144</f>
        <v>(seleccione)</v>
      </c>
      <c r="H145" s="10" t="str">
        <f>Upload!AG144</f>
        <v>(seleccione)</v>
      </c>
      <c r="J145" s="16" t="str">
        <f t="shared" si="15"/>
        <v/>
      </c>
      <c r="K145" s="16" t="str">
        <f t="shared" si="16"/>
        <v/>
      </c>
      <c r="L145" s="16" t="str">
        <f t="shared" si="17"/>
        <v/>
      </c>
      <c r="M145" s="16" t="str">
        <f t="shared" si="18"/>
        <v/>
      </c>
      <c r="N145" s="16" t="str">
        <f t="shared" si="19"/>
        <v/>
      </c>
      <c r="O145" s="16" t="str">
        <f>IF(OR(N145="",NOT(OR(ISNUMBER(SEARCH("Antitarnish",Upload!N144&amp;Upload!O144&amp;Upload!P144&amp;Upload!Q144)),ISNUMBER(SEARCH("Anti Tarnish",Upload!N144&amp;Upload!O144&amp;Upload!P144&amp;Upload!Q144))))),"",0.0012*N145)</f>
        <v/>
      </c>
      <c r="P145" s="16" t="str">
        <f>IF(OR(D145="",NOT(OR(ISNUMBER(SEARCH("Epóx",Upload!N144&amp;Upload!O144&amp;Upload!P144&amp;Upload!Q144)),ISNUMBER(SEARCH("Epox",Upload!N144&amp;Upload!O144&amp;Upload!P144&amp;Upload!Q144)),ISNUMBER(SEARCH("Barniz",Upload!N144&amp;Upload!O144&amp;Upload!P144&amp;Upload!Q144))))),"",D145*0.000035)</f>
        <v/>
      </c>
      <c r="Q145" s="16" t="str">
        <f>IF(OR(D145="",NOT(OR(ISNUMBER(SEARCH("Epóx",Upload!N144&amp;Upload!O144&amp;Upload!P144&amp;Upload!Q144)),ISNUMBER(SEARCH("Epox",Upload!N144&amp;Upload!O144&amp;Upload!P144&amp;Upload!Q144)),ISNUMBER(SEARCH("Barniz",Upload!N144&amp;Upload!O144&amp;Upload!P144&amp;Upload!Q144))))),"",D145*0.000035)</f>
        <v/>
      </c>
      <c r="R145" s="16" t="str">
        <f t="shared" si="20"/>
        <v/>
      </c>
    </row>
    <row r="146" spans="1:18" x14ac:dyDescent="0.2">
      <c r="A146" s="10" t="e">
        <f t="shared" ca="1" si="14"/>
        <v>#NAME?</v>
      </c>
      <c r="B146" s="10">
        <f>Upload!E145</f>
        <v>0</v>
      </c>
      <c r="C146" s="10">
        <f>Upload!AJ145</f>
        <v>0</v>
      </c>
      <c r="D146" s="10">
        <f>Upload!AK145</f>
        <v>0</v>
      </c>
      <c r="E146" s="10" t="str">
        <f>Upload!AF145</f>
        <v/>
      </c>
      <c r="F146" s="10" t="str">
        <f>Upload!AH145</f>
        <v/>
      </c>
      <c r="G146" s="10" t="str">
        <f>Upload!AE145</f>
        <v>(seleccione)</v>
      </c>
      <c r="H146" s="10" t="str">
        <f>Upload!AG145</f>
        <v>(seleccione)</v>
      </c>
      <c r="J146" s="16" t="str">
        <f t="shared" si="15"/>
        <v/>
      </c>
      <c r="K146" s="16" t="str">
        <f t="shared" si="16"/>
        <v/>
      </c>
      <c r="L146" s="16" t="str">
        <f t="shared" si="17"/>
        <v/>
      </c>
      <c r="M146" s="16" t="str">
        <f t="shared" si="18"/>
        <v/>
      </c>
      <c r="N146" s="16" t="str">
        <f t="shared" si="19"/>
        <v/>
      </c>
      <c r="O146" s="16" t="str">
        <f>IF(OR(N146="",NOT(OR(ISNUMBER(SEARCH("Antitarnish",Upload!N145&amp;Upload!O145&amp;Upload!P145&amp;Upload!Q145)),ISNUMBER(SEARCH("Anti Tarnish",Upload!N145&amp;Upload!O145&amp;Upload!P145&amp;Upload!Q145))))),"",0.0012*N146)</f>
        <v/>
      </c>
      <c r="P146" s="16" t="str">
        <f>IF(OR(D146="",NOT(OR(ISNUMBER(SEARCH("Epóx",Upload!N145&amp;Upload!O145&amp;Upload!P145&amp;Upload!Q145)),ISNUMBER(SEARCH("Epox",Upload!N145&amp;Upload!O145&amp;Upload!P145&amp;Upload!Q145)),ISNUMBER(SEARCH("Barniz",Upload!N145&amp;Upload!O145&amp;Upload!P145&amp;Upload!Q145))))),"",D146*0.000035)</f>
        <v/>
      </c>
      <c r="Q146" s="16" t="str">
        <f>IF(OR(D146="",NOT(OR(ISNUMBER(SEARCH("Epóx",Upload!N145&amp;Upload!O145&amp;Upload!P145&amp;Upload!Q145)),ISNUMBER(SEARCH("Epox",Upload!N145&amp;Upload!O145&amp;Upload!P145&amp;Upload!Q145)),ISNUMBER(SEARCH("Barniz",Upload!N145&amp;Upload!O145&amp;Upload!P145&amp;Upload!Q145))))),"",D146*0.000035)</f>
        <v/>
      </c>
      <c r="R146" s="16" t="str">
        <f t="shared" si="20"/>
        <v/>
      </c>
    </row>
    <row r="147" spans="1:18" x14ac:dyDescent="0.2">
      <c r="A147" s="10" t="e">
        <f t="shared" ca="1" si="14"/>
        <v>#NAME?</v>
      </c>
      <c r="B147" s="10">
        <f>Upload!E146</f>
        <v>0</v>
      </c>
      <c r="C147" s="10">
        <f>Upload!AJ146</f>
        <v>0</v>
      </c>
      <c r="D147" s="10">
        <f>Upload!AK146</f>
        <v>0</v>
      </c>
      <c r="E147" s="10" t="str">
        <f>Upload!AF146</f>
        <v/>
      </c>
      <c r="F147" s="10" t="str">
        <f>Upload!AH146</f>
        <v/>
      </c>
      <c r="G147" s="10" t="str">
        <f>Upload!AE146</f>
        <v>(seleccione)</v>
      </c>
      <c r="H147" s="10" t="str">
        <f>Upload!AG146</f>
        <v>(seleccione)</v>
      </c>
      <c r="J147" s="16" t="str">
        <f t="shared" si="15"/>
        <v/>
      </c>
      <c r="K147" s="16" t="str">
        <f t="shared" si="16"/>
        <v/>
      </c>
      <c r="L147" s="16" t="str">
        <f t="shared" si="17"/>
        <v/>
      </c>
      <c r="M147" s="16" t="str">
        <f t="shared" si="18"/>
        <v/>
      </c>
      <c r="N147" s="16" t="str">
        <f t="shared" si="19"/>
        <v/>
      </c>
      <c r="O147" s="16" t="str">
        <f>IF(OR(N147="",NOT(OR(ISNUMBER(SEARCH("Antitarnish",Upload!N146&amp;Upload!O146&amp;Upload!P146&amp;Upload!Q146)),ISNUMBER(SEARCH("Anti Tarnish",Upload!N146&amp;Upload!O146&amp;Upload!P146&amp;Upload!Q146))))),"",0.0012*N147)</f>
        <v/>
      </c>
      <c r="P147" s="16" t="str">
        <f>IF(OR(D147="",NOT(OR(ISNUMBER(SEARCH("Epóx",Upload!N146&amp;Upload!O146&amp;Upload!P146&amp;Upload!Q146)),ISNUMBER(SEARCH("Epox",Upload!N146&amp;Upload!O146&amp;Upload!P146&amp;Upload!Q146)),ISNUMBER(SEARCH("Barniz",Upload!N146&amp;Upload!O146&amp;Upload!P146&amp;Upload!Q146))))),"",D147*0.000035)</f>
        <v/>
      </c>
      <c r="Q147" s="16" t="str">
        <f>IF(OR(D147="",NOT(OR(ISNUMBER(SEARCH("Epóx",Upload!N146&amp;Upload!O146&amp;Upload!P146&amp;Upload!Q146)),ISNUMBER(SEARCH("Epox",Upload!N146&amp;Upload!O146&amp;Upload!P146&amp;Upload!Q146)),ISNUMBER(SEARCH("Barniz",Upload!N146&amp;Upload!O146&amp;Upload!P146&amp;Upload!Q146))))),"",D147*0.000035)</f>
        <v/>
      </c>
      <c r="R147" s="16" t="str">
        <f t="shared" si="20"/>
        <v/>
      </c>
    </row>
    <row r="148" spans="1:18" x14ac:dyDescent="0.2">
      <c r="A148" s="10" t="e">
        <f t="shared" ca="1" si="14"/>
        <v>#NAME?</v>
      </c>
      <c r="B148" s="10">
        <f>Upload!E147</f>
        <v>0</v>
      </c>
      <c r="C148" s="10">
        <f>Upload!AJ147</f>
        <v>0</v>
      </c>
      <c r="D148" s="10">
        <f>Upload!AK147</f>
        <v>0</v>
      </c>
      <c r="E148" s="10" t="str">
        <f>Upload!AF147</f>
        <v/>
      </c>
      <c r="F148" s="10" t="str">
        <f>Upload!AH147</f>
        <v/>
      </c>
      <c r="G148" s="10" t="str">
        <f>Upload!AE147</f>
        <v>(seleccione)</v>
      </c>
      <c r="H148" s="10" t="str">
        <f>Upload!AG147</f>
        <v>(seleccione)</v>
      </c>
      <c r="J148" s="16" t="str">
        <f t="shared" si="15"/>
        <v/>
      </c>
      <c r="K148" s="16" t="str">
        <f t="shared" si="16"/>
        <v/>
      </c>
      <c r="L148" s="16" t="str">
        <f t="shared" si="17"/>
        <v/>
      </c>
      <c r="M148" s="16" t="str">
        <f t="shared" si="18"/>
        <v/>
      </c>
      <c r="N148" s="16" t="str">
        <f t="shared" si="19"/>
        <v/>
      </c>
      <c r="O148" s="16" t="str">
        <f>IF(OR(N148="",NOT(OR(ISNUMBER(SEARCH("Antitarnish",Upload!N147&amp;Upload!O147&amp;Upload!P147&amp;Upload!Q147)),ISNUMBER(SEARCH("Anti Tarnish",Upload!N147&amp;Upload!O147&amp;Upload!P147&amp;Upload!Q147))))),"",0.0012*N148)</f>
        <v/>
      </c>
      <c r="P148" s="16" t="str">
        <f>IF(OR(D148="",NOT(OR(ISNUMBER(SEARCH("Epóx",Upload!N147&amp;Upload!O147&amp;Upload!P147&amp;Upload!Q147)),ISNUMBER(SEARCH("Epox",Upload!N147&amp;Upload!O147&amp;Upload!P147&amp;Upload!Q147)),ISNUMBER(SEARCH("Barniz",Upload!N147&amp;Upload!O147&amp;Upload!P147&amp;Upload!Q147))))),"",D148*0.000035)</f>
        <v/>
      </c>
      <c r="Q148" s="16" t="str">
        <f>IF(OR(D148="",NOT(OR(ISNUMBER(SEARCH("Epóx",Upload!N147&amp;Upload!O147&amp;Upload!P147&amp;Upload!Q147)),ISNUMBER(SEARCH("Epox",Upload!N147&amp;Upload!O147&amp;Upload!P147&amp;Upload!Q147)),ISNUMBER(SEARCH("Barniz",Upload!N147&amp;Upload!O147&amp;Upload!P147&amp;Upload!Q147))))),"",D148*0.000035)</f>
        <v/>
      </c>
      <c r="R148" s="16" t="str">
        <f t="shared" si="20"/>
        <v/>
      </c>
    </row>
    <row r="149" spans="1:18" x14ac:dyDescent="0.2">
      <c r="A149" s="10" t="e">
        <f t="shared" ca="1" si="14"/>
        <v>#NAME?</v>
      </c>
      <c r="B149" s="10">
        <f>Upload!E148</f>
        <v>0</v>
      </c>
      <c r="C149" s="10">
        <f>Upload!AJ148</f>
        <v>0</v>
      </c>
      <c r="D149" s="10">
        <f>Upload!AK148</f>
        <v>0</v>
      </c>
      <c r="E149" s="10" t="str">
        <f>Upload!AF148</f>
        <v/>
      </c>
      <c r="F149" s="10" t="str">
        <f>Upload!AH148</f>
        <v/>
      </c>
      <c r="G149" s="10" t="str">
        <f>Upload!AE148</f>
        <v>(seleccione)</v>
      </c>
      <c r="H149" s="10" t="str">
        <f>Upload!AG148</f>
        <v>(seleccione)</v>
      </c>
      <c r="J149" s="16" t="str">
        <f t="shared" si="15"/>
        <v/>
      </c>
      <c r="K149" s="16" t="str">
        <f t="shared" si="16"/>
        <v/>
      </c>
      <c r="L149" s="16" t="str">
        <f t="shared" si="17"/>
        <v/>
      </c>
      <c r="M149" s="16" t="str">
        <f t="shared" si="18"/>
        <v/>
      </c>
      <c r="N149" s="16" t="str">
        <f t="shared" si="19"/>
        <v/>
      </c>
      <c r="O149" s="16" t="str">
        <f>IF(OR(N149="",NOT(OR(ISNUMBER(SEARCH("Antitarnish",Upload!N148&amp;Upload!O148&amp;Upload!P148&amp;Upload!Q148)),ISNUMBER(SEARCH("Anti Tarnish",Upload!N148&amp;Upload!O148&amp;Upload!P148&amp;Upload!Q148))))),"",0.0012*N149)</f>
        <v/>
      </c>
      <c r="P149" s="16" t="str">
        <f>IF(OR(D149="",NOT(OR(ISNUMBER(SEARCH("Epóx",Upload!N148&amp;Upload!O148&amp;Upload!P148&amp;Upload!Q148)),ISNUMBER(SEARCH("Epox",Upload!N148&amp;Upload!O148&amp;Upload!P148&amp;Upload!Q148)),ISNUMBER(SEARCH("Barniz",Upload!N148&amp;Upload!O148&amp;Upload!P148&amp;Upload!Q148))))),"",D149*0.000035)</f>
        <v/>
      </c>
      <c r="Q149" s="16" t="str">
        <f>IF(OR(D149="",NOT(OR(ISNUMBER(SEARCH("Epóx",Upload!N148&amp;Upload!O148&amp;Upload!P148&amp;Upload!Q148)),ISNUMBER(SEARCH("Epox",Upload!N148&amp;Upload!O148&amp;Upload!P148&amp;Upload!Q148)),ISNUMBER(SEARCH("Barniz",Upload!N148&amp;Upload!O148&amp;Upload!P148&amp;Upload!Q148))))),"",D149*0.000035)</f>
        <v/>
      </c>
      <c r="R149" s="16" t="str">
        <f t="shared" si="20"/>
        <v/>
      </c>
    </row>
    <row r="150" spans="1:18" x14ac:dyDescent="0.2">
      <c r="A150" s="10" t="e">
        <f t="shared" ca="1" si="14"/>
        <v>#NAME?</v>
      </c>
      <c r="B150" s="10">
        <f>Upload!E149</f>
        <v>0</v>
      </c>
      <c r="C150" s="10">
        <f>Upload!AJ149</f>
        <v>0</v>
      </c>
      <c r="D150" s="10">
        <f>Upload!AK149</f>
        <v>0</v>
      </c>
      <c r="E150" s="10" t="str">
        <f>Upload!AF149</f>
        <v/>
      </c>
      <c r="F150" s="10" t="str">
        <f>Upload!AH149</f>
        <v/>
      </c>
      <c r="G150" s="10" t="str">
        <f>Upload!AE149</f>
        <v>(seleccione)</v>
      </c>
      <c r="H150" s="10" t="str">
        <f>Upload!AG149</f>
        <v>(seleccione)</v>
      </c>
      <c r="J150" s="16" t="str">
        <f t="shared" si="15"/>
        <v/>
      </c>
      <c r="K150" s="16" t="str">
        <f t="shared" si="16"/>
        <v/>
      </c>
      <c r="L150" s="16" t="str">
        <f t="shared" si="17"/>
        <v/>
      </c>
      <c r="M150" s="16" t="str">
        <f t="shared" si="18"/>
        <v/>
      </c>
      <c r="N150" s="16" t="str">
        <f t="shared" si="19"/>
        <v/>
      </c>
      <c r="O150" s="16" t="str">
        <f>IF(OR(N150="",NOT(OR(ISNUMBER(SEARCH("Antitarnish",Upload!N149&amp;Upload!O149&amp;Upload!P149&amp;Upload!Q149)),ISNUMBER(SEARCH("Anti Tarnish",Upload!N149&amp;Upload!O149&amp;Upload!P149&amp;Upload!Q149))))),"",0.0012*N150)</f>
        <v/>
      </c>
      <c r="P150" s="16" t="str">
        <f>IF(OR(D150="",NOT(OR(ISNUMBER(SEARCH("Epóx",Upload!N149&amp;Upload!O149&amp;Upload!P149&amp;Upload!Q149)),ISNUMBER(SEARCH("Epox",Upload!N149&amp;Upload!O149&amp;Upload!P149&amp;Upload!Q149)),ISNUMBER(SEARCH("Barniz",Upload!N149&amp;Upload!O149&amp;Upload!P149&amp;Upload!Q149))))),"",D150*0.000035)</f>
        <v/>
      </c>
      <c r="Q150" s="16" t="str">
        <f>IF(OR(D150="",NOT(OR(ISNUMBER(SEARCH("Epóx",Upload!N149&amp;Upload!O149&amp;Upload!P149&amp;Upload!Q149)),ISNUMBER(SEARCH("Epox",Upload!N149&amp;Upload!O149&amp;Upload!P149&amp;Upload!Q149)),ISNUMBER(SEARCH("Barniz",Upload!N149&amp;Upload!O149&amp;Upload!P149&amp;Upload!Q149))))),"",D150*0.000035)</f>
        <v/>
      </c>
      <c r="R150" s="16" t="str">
        <f t="shared" si="20"/>
        <v/>
      </c>
    </row>
    <row r="151" spans="1:18" x14ac:dyDescent="0.2">
      <c r="A151" s="10" t="e">
        <f t="shared" ca="1" si="14"/>
        <v>#NAME?</v>
      </c>
      <c r="B151" s="10">
        <f>Upload!E150</f>
        <v>0</v>
      </c>
      <c r="C151" s="10">
        <f>Upload!AJ150</f>
        <v>0</v>
      </c>
      <c r="D151" s="10">
        <f>Upload!AK150</f>
        <v>0</v>
      </c>
      <c r="E151" s="10" t="str">
        <f>Upload!AF150</f>
        <v/>
      </c>
      <c r="F151" s="10" t="str">
        <f>Upload!AH150</f>
        <v/>
      </c>
      <c r="G151" s="10" t="str">
        <f>Upload!AE150</f>
        <v>(seleccione)</v>
      </c>
      <c r="H151" s="10" t="str">
        <f>Upload!AG150</f>
        <v>(seleccione)</v>
      </c>
      <c r="J151" s="16" t="str">
        <f t="shared" si="15"/>
        <v/>
      </c>
      <c r="K151" s="16" t="str">
        <f t="shared" si="16"/>
        <v/>
      </c>
      <c r="L151" s="16" t="str">
        <f t="shared" si="17"/>
        <v/>
      </c>
      <c r="M151" s="16" t="str">
        <f t="shared" si="18"/>
        <v/>
      </c>
      <c r="N151" s="16" t="str">
        <f t="shared" si="19"/>
        <v/>
      </c>
      <c r="O151" s="16" t="str">
        <f>IF(OR(N151="",NOT(OR(ISNUMBER(SEARCH("Antitarnish",Upload!N150&amp;Upload!O150&amp;Upload!P150&amp;Upload!Q150)),ISNUMBER(SEARCH("Anti Tarnish",Upload!N150&amp;Upload!O150&amp;Upload!P150&amp;Upload!Q150))))),"",0.0012*N151)</f>
        <v/>
      </c>
      <c r="P151" s="16" t="str">
        <f>IF(OR(D151="",NOT(OR(ISNUMBER(SEARCH("Epóx",Upload!N150&amp;Upload!O150&amp;Upload!P150&amp;Upload!Q150)),ISNUMBER(SEARCH("Epox",Upload!N150&amp;Upload!O150&amp;Upload!P150&amp;Upload!Q150)),ISNUMBER(SEARCH("Barniz",Upload!N150&amp;Upload!O150&amp;Upload!P150&amp;Upload!Q150))))),"",D151*0.000035)</f>
        <v/>
      </c>
      <c r="Q151" s="16" t="str">
        <f>IF(OR(D151="",NOT(OR(ISNUMBER(SEARCH("Epóx",Upload!N150&amp;Upload!O150&amp;Upload!P150&amp;Upload!Q150)),ISNUMBER(SEARCH("Epox",Upload!N150&amp;Upload!O150&amp;Upload!P150&amp;Upload!Q150)),ISNUMBER(SEARCH("Barniz",Upload!N150&amp;Upload!O150&amp;Upload!P150&amp;Upload!Q150))))),"",D151*0.000035)</f>
        <v/>
      </c>
      <c r="R151" s="16" t="str">
        <f t="shared" si="20"/>
        <v/>
      </c>
    </row>
    <row r="152" spans="1:18" x14ac:dyDescent="0.2">
      <c r="A152" s="10" t="e">
        <f t="shared" ca="1" si="14"/>
        <v>#NAME?</v>
      </c>
      <c r="B152" s="10">
        <f>Upload!E151</f>
        <v>0</v>
      </c>
      <c r="C152" s="10">
        <f>Upload!AJ151</f>
        <v>0</v>
      </c>
      <c r="D152" s="10">
        <f>Upload!AK151</f>
        <v>0</v>
      </c>
      <c r="E152" s="10" t="str">
        <f>Upload!AF151</f>
        <v/>
      </c>
      <c r="F152" s="10" t="str">
        <f>Upload!AH151</f>
        <v/>
      </c>
      <c r="G152" s="10" t="str">
        <f>Upload!AE151</f>
        <v>(seleccione)</v>
      </c>
      <c r="H152" s="10" t="str">
        <f>Upload!AG151</f>
        <v>(seleccione)</v>
      </c>
      <c r="J152" s="16" t="str">
        <f t="shared" si="15"/>
        <v/>
      </c>
      <c r="K152" s="16" t="str">
        <f t="shared" si="16"/>
        <v/>
      </c>
      <c r="L152" s="16" t="str">
        <f t="shared" si="17"/>
        <v/>
      </c>
      <c r="M152" s="16" t="str">
        <f t="shared" si="18"/>
        <v/>
      </c>
      <c r="N152" s="16" t="str">
        <f t="shared" si="19"/>
        <v/>
      </c>
      <c r="O152" s="16" t="str">
        <f>IF(OR(N152="",NOT(OR(ISNUMBER(SEARCH("Antitarnish",Upload!N151&amp;Upload!O151&amp;Upload!P151&amp;Upload!Q151)),ISNUMBER(SEARCH("Anti Tarnish",Upload!N151&amp;Upload!O151&amp;Upload!P151&amp;Upload!Q151))))),"",0.0012*N152)</f>
        <v/>
      </c>
      <c r="P152" s="16" t="str">
        <f>IF(OR(D152="",NOT(OR(ISNUMBER(SEARCH("Epóx",Upload!N151&amp;Upload!O151&amp;Upload!P151&amp;Upload!Q151)),ISNUMBER(SEARCH("Epox",Upload!N151&amp;Upload!O151&amp;Upload!P151&amp;Upload!Q151)),ISNUMBER(SEARCH("Barniz",Upload!N151&amp;Upload!O151&amp;Upload!P151&amp;Upload!Q151))))),"",D152*0.000035)</f>
        <v/>
      </c>
      <c r="Q152" s="16" t="str">
        <f>IF(OR(D152="",NOT(OR(ISNUMBER(SEARCH("Epóx",Upload!N151&amp;Upload!O151&amp;Upload!P151&amp;Upload!Q151)),ISNUMBER(SEARCH("Epox",Upload!N151&amp;Upload!O151&amp;Upload!P151&amp;Upload!Q151)),ISNUMBER(SEARCH("Barniz",Upload!N151&amp;Upload!O151&amp;Upload!P151&amp;Upload!Q151))))),"",D152*0.000035)</f>
        <v/>
      </c>
      <c r="R152" s="16" t="str">
        <f t="shared" si="20"/>
        <v/>
      </c>
    </row>
    <row r="153" spans="1:18" x14ac:dyDescent="0.2">
      <c r="A153" s="10" t="e">
        <f t="shared" ca="1" si="14"/>
        <v>#NAME?</v>
      </c>
      <c r="B153" s="10">
        <f>Upload!E152</f>
        <v>0</v>
      </c>
      <c r="C153" s="10">
        <f>Upload!AJ152</f>
        <v>0</v>
      </c>
      <c r="D153" s="10">
        <f>Upload!AK152</f>
        <v>0</v>
      </c>
      <c r="E153" s="10" t="str">
        <f>Upload!AF152</f>
        <v/>
      </c>
      <c r="F153" s="10" t="str">
        <f>Upload!AH152</f>
        <v/>
      </c>
      <c r="G153" s="10" t="str">
        <f>Upload!AE152</f>
        <v>(seleccione)</v>
      </c>
      <c r="H153" s="10" t="str">
        <f>Upload!AG152</f>
        <v>(seleccione)</v>
      </c>
      <c r="J153" s="16" t="str">
        <f t="shared" si="15"/>
        <v/>
      </c>
      <c r="K153" s="16" t="str">
        <f t="shared" si="16"/>
        <v/>
      </c>
      <c r="L153" s="16" t="str">
        <f t="shared" si="17"/>
        <v/>
      </c>
      <c r="M153" s="16" t="str">
        <f t="shared" si="18"/>
        <v/>
      </c>
      <c r="N153" s="16" t="str">
        <f t="shared" si="19"/>
        <v/>
      </c>
      <c r="O153" s="16" t="str">
        <f>IF(OR(N153="",NOT(OR(ISNUMBER(SEARCH("Antitarnish",Upload!N152&amp;Upload!O152&amp;Upload!P152&amp;Upload!Q152)),ISNUMBER(SEARCH("Anti Tarnish",Upload!N152&amp;Upload!O152&amp;Upload!P152&amp;Upload!Q152))))),"",0.0012*N153)</f>
        <v/>
      </c>
      <c r="P153" s="16" t="str">
        <f>IF(OR(D153="",NOT(OR(ISNUMBER(SEARCH("Epóx",Upload!N152&amp;Upload!O152&amp;Upload!P152&amp;Upload!Q152)),ISNUMBER(SEARCH("Epox",Upload!N152&amp;Upload!O152&amp;Upload!P152&amp;Upload!Q152)),ISNUMBER(SEARCH("Barniz",Upload!N152&amp;Upload!O152&amp;Upload!P152&amp;Upload!Q152))))),"",D153*0.000035)</f>
        <v/>
      </c>
      <c r="Q153" s="16" t="str">
        <f>IF(OR(D153="",NOT(OR(ISNUMBER(SEARCH("Epóx",Upload!N152&amp;Upload!O152&amp;Upload!P152&amp;Upload!Q152)),ISNUMBER(SEARCH("Epox",Upload!N152&amp;Upload!O152&amp;Upload!P152&amp;Upload!Q152)),ISNUMBER(SEARCH("Barniz",Upload!N152&amp;Upload!O152&amp;Upload!P152&amp;Upload!Q152))))),"",D153*0.000035)</f>
        <v/>
      </c>
      <c r="R153" s="16" t="str">
        <f t="shared" si="20"/>
        <v/>
      </c>
    </row>
    <row r="154" spans="1:18" x14ac:dyDescent="0.2">
      <c r="A154" s="10" t="e">
        <f t="shared" ca="1" si="14"/>
        <v>#NAME?</v>
      </c>
      <c r="B154" s="10">
        <f>Upload!E153</f>
        <v>0</v>
      </c>
      <c r="C154" s="10">
        <f>Upload!AJ153</f>
        <v>0</v>
      </c>
      <c r="D154" s="10">
        <f>Upload!AK153</f>
        <v>0</v>
      </c>
      <c r="E154" s="10" t="str">
        <f>Upload!AF153</f>
        <v/>
      </c>
      <c r="F154" s="10" t="str">
        <f>Upload!AH153</f>
        <v/>
      </c>
      <c r="G154" s="10" t="str">
        <f>Upload!AE153</f>
        <v>(seleccione)</v>
      </c>
      <c r="H154" s="10" t="str">
        <f>Upload!AG153</f>
        <v>(seleccione)</v>
      </c>
      <c r="J154" s="16" t="str">
        <f t="shared" si="15"/>
        <v/>
      </c>
      <c r="K154" s="16" t="str">
        <f t="shared" si="16"/>
        <v/>
      </c>
      <c r="L154" s="16" t="str">
        <f t="shared" si="17"/>
        <v/>
      </c>
      <c r="M154" s="16" t="str">
        <f t="shared" si="18"/>
        <v/>
      </c>
      <c r="N154" s="16" t="str">
        <f t="shared" si="19"/>
        <v/>
      </c>
      <c r="O154" s="16" t="str">
        <f>IF(OR(N154="",NOT(OR(ISNUMBER(SEARCH("Antitarnish",Upload!N153&amp;Upload!O153&amp;Upload!P153&amp;Upload!Q153)),ISNUMBER(SEARCH("Anti Tarnish",Upload!N153&amp;Upload!O153&amp;Upload!P153&amp;Upload!Q153))))),"",0.0012*N154)</f>
        <v/>
      </c>
      <c r="P154" s="16" t="str">
        <f>IF(OR(D154="",NOT(OR(ISNUMBER(SEARCH("Epóx",Upload!N153&amp;Upload!O153&amp;Upload!P153&amp;Upload!Q153)),ISNUMBER(SEARCH("Epox",Upload!N153&amp;Upload!O153&amp;Upload!P153&amp;Upload!Q153)),ISNUMBER(SEARCH("Barniz",Upload!N153&amp;Upload!O153&amp;Upload!P153&amp;Upload!Q153))))),"",D154*0.000035)</f>
        <v/>
      </c>
      <c r="Q154" s="16" t="str">
        <f>IF(OR(D154="",NOT(OR(ISNUMBER(SEARCH("Epóx",Upload!N153&amp;Upload!O153&amp;Upload!P153&amp;Upload!Q153)),ISNUMBER(SEARCH("Epox",Upload!N153&amp;Upload!O153&amp;Upload!P153&amp;Upload!Q153)),ISNUMBER(SEARCH("Barniz",Upload!N153&amp;Upload!O153&amp;Upload!P153&amp;Upload!Q153))))),"",D154*0.000035)</f>
        <v/>
      </c>
      <c r="R154" s="16" t="str">
        <f t="shared" si="20"/>
        <v/>
      </c>
    </row>
    <row r="155" spans="1:18" x14ac:dyDescent="0.2">
      <c r="A155" s="10" t="e">
        <f t="shared" ca="1" si="14"/>
        <v>#NAME?</v>
      </c>
      <c r="B155" s="10">
        <f>Upload!E154</f>
        <v>0</v>
      </c>
      <c r="C155" s="10">
        <f>Upload!AJ154</f>
        <v>0</v>
      </c>
      <c r="D155" s="10">
        <f>Upload!AK154</f>
        <v>0</v>
      </c>
      <c r="E155" s="10" t="str">
        <f>Upload!AF154</f>
        <v/>
      </c>
      <c r="F155" s="10" t="str">
        <f>Upload!AH154</f>
        <v/>
      </c>
      <c r="G155" s="10" t="str">
        <f>Upload!AE154</f>
        <v>(seleccione)</v>
      </c>
      <c r="H155" s="10" t="str">
        <f>Upload!AG154</f>
        <v>(seleccione)</v>
      </c>
      <c r="J155" s="16" t="str">
        <f t="shared" si="15"/>
        <v/>
      </c>
      <c r="K155" s="16" t="str">
        <f t="shared" si="16"/>
        <v/>
      </c>
      <c r="L155" s="16" t="str">
        <f t="shared" si="17"/>
        <v/>
      </c>
      <c r="M155" s="16" t="str">
        <f t="shared" si="18"/>
        <v/>
      </c>
      <c r="N155" s="16" t="str">
        <f t="shared" si="19"/>
        <v/>
      </c>
      <c r="O155" s="16" t="str">
        <f>IF(OR(N155="",NOT(OR(ISNUMBER(SEARCH("Antitarnish",Upload!N154&amp;Upload!O154&amp;Upload!P154&amp;Upload!Q154)),ISNUMBER(SEARCH("Anti Tarnish",Upload!N154&amp;Upload!O154&amp;Upload!P154&amp;Upload!Q154))))),"",0.0012*N155)</f>
        <v/>
      </c>
      <c r="P155" s="16" t="str">
        <f>IF(OR(D155="",NOT(OR(ISNUMBER(SEARCH("Epóx",Upload!N154&amp;Upload!O154&amp;Upload!P154&amp;Upload!Q154)),ISNUMBER(SEARCH("Epox",Upload!N154&amp;Upload!O154&amp;Upload!P154&amp;Upload!Q154)),ISNUMBER(SEARCH("Barniz",Upload!N154&amp;Upload!O154&amp;Upload!P154&amp;Upload!Q154))))),"",D155*0.000035)</f>
        <v/>
      </c>
      <c r="Q155" s="16" t="str">
        <f>IF(OR(D155="",NOT(OR(ISNUMBER(SEARCH("Epóx",Upload!N154&amp;Upload!O154&amp;Upload!P154&amp;Upload!Q154)),ISNUMBER(SEARCH("Epox",Upload!N154&amp;Upload!O154&amp;Upload!P154&amp;Upload!Q154)),ISNUMBER(SEARCH("Barniz",Upload!N154&amp;Upload!O154&amp;Upload!P154&amp;Upload!Q154))))),"",D155*0.000035)</f>
        <v/>
      </c>
      <c r="R155" s="16" t="str">
        <f t="shared" si="20"/>
        <v/>
      </c>
    </row>
    <row r="156" spans="1:18" x14ac:dyDescent="0.2">
      <c r="A156" s="10" t="e">
        <f t="shared" ca="1" si="14"/>
        <v>#NAME?</v>
      </c>
      <c r="B156" s="10">
        <f>Upload!E155</f>
        <v>0</v>
      </c>
      <c r="C156" s="10">
        <f>Upload!AJ155</f>
        <v>0</v>
      </c>
      <c r="D156" s="10">
        <f>Upload!AK155</f>
        <v>0</v>
      </c>
      <c r="E156" s="10" t="str">
        <f>Upload!AF155</f>
        <v/>
      </c>
      <c r="F156" s="10" t="str">
        <f>Upload!AH155</f>
        <v/>
      </c>
      <c r="G156" s="10" t="str">
        <f>Upload!AE155</f>
        <v>(seleccione)</v>
      </c>
      <c r="H156" s="10" t="str">
        <f>Upload!AG155</f>
        <v>(seleccione)</v>
      </c>
      <c r="J156" s="16" t="str">
        <f t="shared" si="15"/>
        <v/>
      </c>
      <c r="K156" s="16" t="str">
        <f t="shared" si="16"/>
        <v/>
      </c>
      <c r="L156" s="16" t="str">
        <f t="shared" si="17"/>
        <v/>
      </c>
      <c r="M156" s="16" t="str">
        <f t="shared" si="18"/>
        <v/>
      </c>
      <c r="N156" s="16" t="str">
        <f t="shared" si="19"/>
        <v/>
      </c>
      <c r="O156" s="16" t="str">
        <f>IF(OR(N156="",NOT(OR(ISNUMBER(SEARCH("Antitarnish",Upload!N155&amp;Upload!O155&amp;Upload!P155&amp;Upload!Q155)),ISNUMBER(SEARCH("Anti Tarnish",Upload!N155&amp;Upload!O155&amp;Upload!P155&amp;Upload!Q155))))),"",0.0012*N156)</f>
        <v/>
      </c>
      <c r="P156" s="16" t="str">
        <f>IF(OR(D156="",NOT(OR(ISNUMBER(SEARCH("Epóx",Upload!N155&amp;Upload!O155&amp;Upload!P155&amp;Upload!Q155)),ISNUMBER(SEARCH("Epox",Upload!N155&amp;Upload!O155&amp;Upload!P155&amp;Upload!Q155)),ISNUMBER(SEARCH("Barniz",Upload!N155&amp;Upload!O155&amp;Upload!P155&amp;Upload!Q155))))),"",D156*0.000035)</f>
        <v/>
      </c>
      <c r="Q156" s="16" t="str">
        <f>IF(OR(D156="",NOT(OR(ISNUMBER(SEARCH("Epóx",Upload!N155&amp;Upload!O155&amp;Upload!P155&amp;Upload!Q155)),ISNUMBER(SEARCH("Epox",Upload!N155&amp;Upload!O155&amp;Upload!P155&amp;Upload!Q155)),ISNUMBER(SEARCH("Barniz",Upload!N155&amp;Upload!O155&amp;Upload!P155&amp;Upload!Q155))))),"",D156*0.000035)</f>
        <v/>
      </c>
      <c r="R156" s="16" t="str">
        <f t="shared" si="20"/>
        <v/>
      </c>
    </row>
    <row r="157" spans="1:18" x14ac:dyDescent="0.2">
      <c r="A157" s="10" t="e">
        <f t="shared" ca="1" si="14"/>
        <v>#NAME?</v>
      </c>
      <c r="B157" s="10">
        <f>Upload!E156</f>
        <v>0</v>
      </c>
      <c r="C157" s="10">
        <f>Upload!AJ156</f>
        <v>0</v>
      </c>
      <c r="D157" s="10">
        <f>Upload!AK156</f>
        <v>0</v>
      </c>
      <c r="E157" s="10" t="str">
        <f>Upload!AF156</f>
        <v/>
      </c>
      <c r="F157" s="10" t="str">
        <f>Upload!AH156</f>
        <v/>
      </c>
      <c r="G157" s="10" t="str">
        <f>Upload!AE156</f>
        <v>(seleccione)</v>
      </c>
      <c r="H157" s="10" t="str">
        <f>Upload!AG156</f>
        <v>(seleccione)</v>
      </c>
      <c r="J157" s="16" t="str">
        <f t="shared" si="15"/>
        <v/>
      </c>
      <c r="K157" s="16" t="str">
        <f t="shared" si="16"/>
        <v/>
      </c>
      <c r="L157" s="16" t="str">
        <f t="shared" si="17"/>
        <v/>
      </c>
      <c r="M157" s="16" t="str">
        <f t="shared" si="18"/>
        <v/>
      </c>
      <c r="N157" s="16" t="str">
        <f t="shared" si="19"/>
        <v/>
      </c>
      <c r="O157" s="16" t="str">
        <f>IF(OR(N157="",NOT(OR(ISNUMBER(SEARCH("Antitarnish",Upload!N156&amp;Upload!O156&amp;Upload!P156&amp;Upload!Q156)),ISNUMBER(SEARCH("Anti Tarnish",Upload!N156&amp;Upload!O156&amp;Upload!P156&amp;Upload!Q156))))),"",0.0012*N157)</f>
        <v/>
      </c>
      <c r="P157" s="16" t="str">
        <f>IF(OR(D157="",NOT(OR(ISNUMBER(SEARCH("Epóx",Upload!N156&amp;Upload!O156&amp;Upload!P156&amp;Upload!Q156)),ISNUMBER(SEARCH("Epox",Upload!N156&amp;Upload!O156&amp;Upload!P156&amp;Upload!Q156)),ISNUMBER(SEARCH("Barniz",Upload!N156&amp;Upload!O156&amp;Upload!P156&amp;Upload!Q156))))),"",D157*0.000035)</f>
        <v/>
      </c>
      <c r="Q157" s="16" t="str">
        <f>IF(OR(D157="",NOT(OR(ISNUMBER(SEARCH("Epóx",Upload!N156&amp;Upload!O156&amp;Upload!P156&amp;Upload!Q156)),ISNUMBER(SEARCH("Epox",Upload!N156&amp;Upload!O156&amp;Upload!P156&amp;Upload!Q156)),ISNUMBER(SEARCH("Barniz",Upload!N156&amp;Upload!O156&amp;Upload!P156&amp;Upload!Q156))))),"",D157*0.000035)</f>
        <v/>
      </c>
      <c r="R157" s="16" t="str">
        <f t="shared" si="20"/>
        <v/>
      </c>
    </row>
    <row r="158" spans="1:18" x14ac:dyDescent="0.2">
      <c r="A158" s="10" t="e">
        <f t="shared" ca="1" si="14"/>
        <v>#NAME?</v>
      </c>
      <c r="B158" s="10">
        <f>Upload!E157</f>
        <v>0</v>
      </c>
      <c r="C158" s="10">
        <f>Upload!AJ157</f>
        <v>0</v>
      </c>
      <c r="D158" s="10">
        <f>Upload!AK157</f>
        <v>0</v>
      </c>
      <c r="E158" s="10" t="str">
        <f>Upload!AF157</f>
        <v/>
      </c>
      <c r="F158" s="10" t="str">
        <f>Upload!AH157</f>
        <v/>
      </c>
      <c r="G158" s="10" t="str">
        <f>Upload!AE157</f>
        <v>(seleccione)</v>
      </c>
      <c r="H158" s="10" t="str">
        <f>Upload!AG157</f>
        <v>(seleccione)</v>
      </c>
      <c r="J158" s="16" t="str">
        <f t="shared" si="15"/>
        <v/>
      </c>
      <c r="K158" s="16" t="str">
        <f t="shared" si="16"/>
        <v/>
      </c>
      <c r="L158" s="16" t="str">
        <f t="shared" si="17"/>
        <v/>
      </c>
      <c r="M158" s="16" t="str">
        <f t="shared" si="18"/>
        <v/>
      </c>
      <c r="N158" s="16" t="str">
        <f t="shared" si="19"/>
        <v/>
      </c>
      <c r="O158" s="16" t="str">
        <f>IF(OR(N158="",NOT(OR(ISNUMBER(SEARCH("Antitarnish",Upload!N157&amp;Upload!O157&amp;Upload!P157&amp;Upload!Q157)),ISNUMBER(SEARCH("Anti Tarnish",Upload!N157&amp;Upload!O157&amp;Upload!P157&amp;Upload!Q157))))),"",0.0012*N158)</f>
        <v/>
      </c>
      <c r="P158" s="16" t="str">
        <f>IF(OR(D158="",NOT(OR(ISNUMBER(SEARCH("Epóx",Upload!N157&amp;Upload!O157&amp;Upload!P157&amp;Upload!Q157)),ISNUMBER(SEARCH("Epox",Upload!N157&amp;Upload!O157&amp;Upload!P157&amp;Upload!Q157)),ISNUMBER(SEARCH("Barniz",Upload!N157&amp;Upload!O157&amp;Upload!P157&amp;Upload!Q157))))),"",D158*0.000035)</f>
        <v/>
      </c>
      <c r="Q158" s="16" t="str">
        <f>IF(OR(D158="",NOT(OR(ISNUMBER(SEARCH("Epóx",Upload!N157&amp;Upload!O157&amp;Upload!P157&amp;Upload!Q157)),ISNUMBER(SEARCH("Epox",Upload!N157&amp;Upload!O157&amp;Upload!P157&amp;Upload!Q157)),ISNUMBER(SEARCH("Barniz",Upload!N157&amp;Upload!O157&amp;Upload!P157&amp;Upload!Q157))))),"",D158*0.000035)</f>
        <v/>
      </c>
      <c r="R158" s="16" t="str">
        <f t="shared" si="20"/>
        <v/>
      </c>
    </row>
    <row r="159" spans="1:18" x14ac:dyDescent="0.2">
      <c r="A159" s="10" t="e">
        <f t="shared" ca="1" si="14"/>
        <v>#NAME?</v>
      </c>
      <c r="B159" s="10">
        <f>Upload!E158</f>
        <v>0</v>
      </c>
      <c r="C159" s="10">
        <f>Upload!AJ158</f>
        <v>0</v>
      </c>
      <c r="D159" s="10">
        <f>Upload!AK158</f>
        <v>0</v>
      </c>
      <c r="E159" s="10" t="str">
        <f>Upload!AF158</f>
        <v/>
      </c>
      <c r="F159" s="10" t="str">
        <f>Upload!AH158</f>
        <v/>
      </c>
      <c r="G159" s="10" t="str">
        <f>Upload!AE158</f>
        <v>(seleccione)</v>
      </c>
      <c r="H159" s="10" t="str">
        <f>Upload!AG158</f>
        <v>(seleccione)</v>
      </c>
      <c r="J159" s="16" t="str">
        <f t="shared" si="15"/>
        <v/>
      </c>
      <c r="K159" s="16" t="str">
        <f t="shared" si="16"/>
        <v/>
      </c>
      <c r="L159" s="16" t="str">
        <f t="shared" si="17"/>
        <v/>
      </c>
      <c r="M159" s="16" t="str">
        <f t="shared" si="18"/>
        <v/>
      </c>
      <c r="N159" s="16" t="str">
        <f t="shared" si="19"/>
        <v/>
      </c>
      <c r="O159" s="16" t="str">
        <f>IF(OR(N159="",NOT(OR(ISNUMBER(SEARCH("Antitarnish",Upload!N158&amp;Upload!O158&amp;Upload!P158&amp;Upload!Q158)),ISNUMBER(SEARCH("Anti Tarnish",Upload!N158&amp;Upload!O158&amp;Upload!P158&amp;Upload!Q158))))),"",0.0012*N159)</f>
        <v/>
      </c>
      <c r="P159" s="16" t="str">
        <f>IF(OR(D159="",NOT(OR(ISNUMBER(SEARCH("Epóx",Upload!N158&amp;Upload!O158&amp;Upload!P158&amp;Upload!Q158)),ISNUMBER(SEARCH("Epox",Upload!N158&amp;Upload!O158&amp;Upload!P158&amp;Upload!Q158)),ISNUMBER(SEARCH("Barniz",Upload!N158&amp;Upload!O158&amp;Upload!P158&amp;Upload!Q158))))),"",D159*0.000035)</f>
        <v/>
      </c>
      <c r="Q159" s="16" t="str">
        <f>IF(OR(D159="",NOT(OR(ISNUMBER(SEARCH("Epóx",Upload!N158&amp;Upload!O158&amp;Upload!P158&amp;Upload!Q158)),ISNUMBER(SEARCH("Epox",Upload!N158&amp;Upload!O158&amp;Upload!P158&amp;Upload!Q158)),ISNUMBER(SEARCH("Barniz",Upload!N158&amp;Upload!O158&amp;Upload!P158&amp;Upload!Q158))))),"",D159*0.000035)</f>
        <v/>
      </c>
      <c r="R159" s="16" t="str">
        <f t="shared" si="20"/>
        <v/>
      </c>
    </row>
    <row r="160" spans="1:18" x14ac:dyDescent="0.2">
      <c r="A160" s="10" t="e">
        <f t="shared" ca="1" si="14"/>
        <v>#NAME?</v>
      </c>
      <c r="B160" s="10">
        <f>Upload!E159</f>
        <v>0</v>
      </c>
      <c r="C160" s="10">
        <f>Upload!AJ159</f>
        <v>0</v>
      </c>
      <c r="D160" s="10">
        <f>Upload!AK159</f>
        <v>0</v>
      </c>
      <c r="E160" s="10" t="str">
        <f>Upload!AF159</f>
        <v/>
      </c>
      <c r="F160" s="10" t="str">
        <f>Upload!AH159</f>
        <v/>
      </c>
      <c r="G160" s="10" t="str">
        <f>Upload!AE159</f>
        <v>(seleccione)</v>
      </c>
      <c r="H160" s="10" t="str">
        <f>Upload!AG159</f>
        <v>(seleccione)</v>
      </c>
      <c r="J160" s="16" t="str">
        <f t="shared" si="15"/>
        <v/>
      </c>
      <c r="K160" s="16" t="str">
        <f t="shared" si="16"/>
        <v/>
      </c>
      <c r="L160" s="16" t="str">
        <f t="shared" si="17"/>
        <v/>
      </c>
      <c r="M160" s="16" t="str">
        <f t="shared" si="18"/>
        <v/>
      </c>
      <c r="N160" s="16" t="str">
        <f t="shared" si="19"/>
        <v/>
      </c>
      <c r="O160" s="16" t="str">
        <f>IF(OR(N160="",NOT(OR(ISNUMBER(SEARCH("Antitarnish",Upload!N159&amp;Upload!O159&amp;Upload!P159&amp;Upload!Q159)),ISNUMBER(SEARCH("Anti Tarnish",Upload!N159&amp;Upload!O159&amp;Upload!P159&amp;Upload!Q159))))),"",0.0012*N160)</f>
        <v/>
      </c>
      <c r="P160" s="16" t="str">
        <f>IF(OR(D160="",NOT(OR(ISNUMBER(SEARCH("Epóx",Upload!N159&amp;Upload!O159&amp;Upload!P159&amp;Upload!Q159)),ISNUMBER(SEARCH("Epox",Upload!N159&amp;Upload!O159&amp;Upload!P159&amp;Upload!Q159)),ISNUMBER(SEARCH("Barniz",Upload!N159&amp;Upload!O159&amp;Upload!P159&amp;Upload!Q159))))),"",D160*0.000035)</f>
        <v/>
      </c>
      <c r="Q160" s="16" t="str">
        <f>IF(OR(D160="",NOT(OR(ISNUMBER(SEARCH("Epóx",Upload!N159&amp;Upload!O159&amp;Upload!P159&amp;Upload!Q159)),ISNUMBER(SEARCH("Epox",Upload!N159&amp;Upload!O159&amp;Upload!P159&amp;Upload!Q159)),ISNUMBER(SEARCH("Barniz",Upload!N159&amp;Upload!O159&amp;Upload!P159&amp;Upload!Q159))))),"",D160*0.000035)</f>
        <v/>
      </c>
      <c r="R160" s="16" t="str">
        <f t="shared" si="20"/>
        <v/>
      </c>
    </row>
    <row r="161" spans="1:18" x14ac:dyDescent="0.2">
      <c r="A161" s="10" t="e">
        <f t="shared" ca="1" si="14"/>
        <v>#NAME?</v>
      </c>
      <c r="B161" s="10">
        <f>Upload!E160</f>
        <v>0</v>
      </c>
      <c r="C161" s="10">
        <f>Upload!AJ160</f>
        <v>0</v>
      </c>
      <c r="D161" s="10">
        <f>Upload!AK160</f>
        <v>0</v>
      </c>
      <c r="E161" s="10" t="str">
        <f>Upload!AF160</f>
        <v/>
      </c>
      <c r="F161" s="10" t="str">
        <f>Upload!AH160</f>
        <v/>
      </c>
      <c r="G161" s="10" t="str">
        <f>Upload!AE160</f>
        <v>(seleccione)</v>
      </c>
      <c r="H161" s="10" t="str">
        <f>Upload!AG160</f>
        <v>(seleccione)</v>
      </c>
      <c r="J161" s="16" t="str">
        <f t="shared" si="15"/>
        <v/>
      </c>
      <c r="K161" s="16" t="str">
        <f t="shared" si="16"/>
        <v/>
      </c>
      <c r="L161" s="16" t="str">
        <f t="shared" si="17"/>
        <v/>
      </c>
      <c r="M161" s="16" t="str">
        <f t="shared" si="18"/>
        <v/>
      </c>
      <c r="N161" s="16" t="str">
        <f t="shared" si="19"/>
        <v/>
      </c>
      <c r="O161" s="16" t="str">
        <f>IF(OR(N161="",NOT(OR(ISNUMBER(SEARCH("Antitarnish",Upload!N160&amp;Upload!O160&amp;Upload!P160&amp;Upload!Q160)),ISNUMBER(SEARCH("Anti Tarnish",Upload!N160&amp;Upload!O160&amp;Upload!P160&amp;Upload!Q160))))),"",0.0012*N161)</f>
        <v/>
      </c>
      <c r="P161" s="16" t="str">
        <f>IF(OR(D161="",NOT(OR(ISNUMBER(SEARCH("Epóx",Upload!N160&amp;Upload!O160&amp;Upload!P160&amp;Upload!Q160)),ISNUMBER(SEARCH("Epox",Upload!N160&amp;Upload!O160&amp;Upload!P160&amp;Upload!Q160)),ISNUMBER(SEARCH("Barniz",Upload!N160&amp;Upload!O160&amp;Upload!P160&amp;Upload!Q160))))),"",D161*0.000035)</f>
        <v/>
      </c>
      <c r="Q161" s="16" t="str">
        <f>IF(OR(D161="",NOT(OR(ISNUMBER(SEARCH("Epóx",Upload!N160&amp;Upload!O160&amp;Upload!P160&amp;Upload!Q160)),ISNUMBER(SEARCH("Epox",Upload!N160&amp;Upload!O160&amp;Upload!P160&amp;Upload!Q160)),ISNUMBER(SEARCH("Barniz",Upload!N160&amp;Upload!O160&amp;Upload!P160&amp;Upload!Q160))))),"",D161*0.000035)</f>
        <v/>
      </c>
      <c r="R161" s="16" t="str">
        <f t="shared" si="20"/>
        <v/>
      </c>
    </row>
    <row r="162" spans="1:18" x14ac:dyDescent="0.2">
      <c r="A162" s="10" t="e">
        <f t="shared" ca="1" si="14"/>
        <v>#NAME?</v>
      </c>
      <c r="B162" s="10">
        <f>Upload!E161</f>
        <v>0</v>
      </c>
      <c r="C162" s="10">
        <f>Upload!AJ161</f>
        <v>0</v>
      </c>
      <c r="D162" s="10">
        <f>Upload!AK161</f>
        <v>0</v>
      </c>
      <c r="E162" s="10" t="str">
        <f>Upload!AF161</f>
        <v/>
      </c>
      <c r="F162" s="10" t="str">
        <f>Upload!AH161</f>
        <v/>
      </c>
      <c r="G162" s="10" t="str">
        <f>Upload!AE161</f>
        <v>(seleccione)</v>
      </c>
      <c r="H162" s="10" t="str">
        <f>Upload!AG161</f>
        <v>(seleccione)</v>
      </c>
      <c r="J162" s="16" t="str">
        <f t="shared" si="15"/>
        <v/>
      </c>
      <c r="K162" s="16" t="str">
        <f t="shared" si="16"/>
        <v/>
      </c>
      <c r="L162" s="16" t="str">
        <f t="shared" si="17"/>
        <v/>
      </c>
      <c r="M162" s="16" t="str">
        <f t="shared" si="18"/>
        <v/>
      </c>
      <c r="N162" s="16" t="str">
        <f t="shared" si="19"/>
        <v/>
      </c>
      <c r="O162" s="16" t="str">
        <f>IF(OR(N162="",NOT(OR(ISNUMBER(SEARCH("Antitarnish",Upload!N161&amp;Upload!O161&amp;Upload!P161&amp;Upload!Q161)),ISNUMBER(SEARCH("Anti Tarnish",Upload!N161&amp;Upload!O161&amp;Upload!P161&amp;Upload!Q161))))),"",0.0012*N162)</f>
        <v/>
      </c>
      <c r="P162" s="16" t="str">
        <f>IF(OR(D162="",NOT(OR(ISNUMBER(SEARCH("Epóx",Upload!N161&amp;Upload!O161&amp;Upload!P161&amp;Upload!Q161)),ISNUMBER(SEARCH("Epox",Upload!N161&amp;Upload!O161&amp;Upload!P161&amp;Upload!Q161)),ISNUMBER(SEARCH("Barniz",Upload!N161&amp;Upload!O161&amp;Upload!P161&amp;Upload!Q161))))),"",D162*0.000035)</f>
        <v/>
      </c>
      <c r="Q162" s="16" t="str">
        <f>IF(OR(D162="",NOT(OR(ISNUMBER(SEARCH("Epóx",Upload!N161&amp;Upload!O161&amp;Upload!P161&amp;Upload!Q161)),ISNUMBER(SEARCH("Epox",Upload!N161&amp;Upload!O161&amp;Upload!P161&amp;Upload!Q161)),ISNUMBER(SEARCH("Barniz",Upload!N161&amp;Upload!O161&amp;Upload!P161&amp;Upload!Q161))))),"",D162*0.000035)</f>
        <v/>
      </c>
      <c r="R162" s="16" t="str">
        <f t="shared" si="20"/>
        <v/>
      </c>
    </row>
    <row r="163" spans="1:18" x14ac:dyDescent="0.2">
      <c r="A163" s="10" t="e">
        <f t="shared" ca="1" si="14"/>
        <v>#NAME?</v>
      </c>
      <c r="B163" s="10">
        <f>Upload!E162</f>
        <v>0</v>
      </c>
      <c r="C163" s="10">
        <f>Upload!AJ162</f>
        <v>0</v>
      </c>
      <c r="D163" s="10">
        <f>Upload!AK162</f>
        <v>0</v>
      </c>
      <c r="E163" s="10" t="str">
        <f>Upload!AF162</f>
        <v/>
      </c>
      <c r="F163" s="10" t="str">
        <f>Upload!AH162</f>
        <v/>
      </c>
      <c r="G163" s="10" t="str">
        <f>Upload!AE162</f>
        <v>(seleccione)</v>
      </c>
      <c r="H163" s="10" t="str">
        <f>Upload!AG162</f>
        <v>(seleccione)</v>
      </c>
      <c r="J163" s="16" t="str">
        <f t="shared" si="15"/>
        <v/>
      </c>
      <c r="K163" s="16" t="str">
        <f t="shared" si="16"/>
        <v/>
      </c>
      <c r="L163" s="16" t="str">
        <f t="shared" si="17"/>
        <v/>
      </c>
      <c r="M163" s="16" t="str">
        <f t="shared" si="18"/>
        <v/>
      </c>
      <c r="N163" s="16" t="str">
        <f t="shared" si="19"/>
        <v/>
      </c>
      <c r="O163" s="16" t="str">
        <f>IF(OR(N163="",NOT(OR(ISNUMBER(SEARCH("Antitarnish",Upload!N162&amp;Upload!O162&amp;Upload!P162&amp;Upload!Q162)),ISNUMBER(SEARCH("Anti Tarnish",Upload!N162&amp;Upload!O162&amp;Upload!P162&amp;Upload!Q162))))),"",0.0012*N163)</f>
        <v/>
      </c>
      <c r="P163" s="16" t="str">
        <f>IF(OR(D163="",NOT(OR(ISNUMBER(SEARCH("Epóx",Upload!N162&amp;Upload!O162&amp;Upload!P162&amp;Upload!Q162)),ISNUMBER(SEARCH("Epox",Upload!N162&amp;Upload!O162&amp;Upload!P162&amp;Upload!Q162)),ISNUMBER(SEARCH("Barniz",Upload!N162&amp;Upload!O162&amp;Upload!P162&amp;Upload!Q162))))),"",D163*0.000035)</f>
        <v/>
      </c>
      <c r="Q163" s="16" t="str">
        <f>IF(OR(D163="",NOT(OR(ISNUMBER(SEARCH("Epóx",Upload!N162&amp;Upload!O162&amp;Upload!P162&amp;Upload!Q162)),ISNUMBER(SEARCH("Epox",Upload!N162&amp;Upload!O162&amp;Upload!P162&amp;Upload!Q162)),ISNUMBER(SEARCH("Barniz",Upload!N162&amp;Upload!O162&amp;Upload!P162&amp;Upload!Q162))))),"",D163*0.000035)</f>
        <v/>
      </c>
      <c r="R163" s="16" t="str">
        <f t="shared" si="20"/>
        <v/>
      </c>
    </row>
    <row r="164" spans="1:18" x14ac:dyDescent="0.2">
      <c r="A164" s="10" t="e">
        <f t="shared" ca="1" si="14"/>
        <v>#NAME?</v>
      </c>
      <c r="B164" s="10">
        <f>Upload!E163</f>
        <v>0</v>
      </c>
      <c r="C164" s="10">
        <f>Upload!AJ163</f>
        <v>0</v>
      </c>
      <c r="D164" s="10">
        <f>Upload!AK163</f>
        <v>0</v>
      </c>
      <c r="E164" s="10" t="str">
        <f>Upload!AF163</f>
        <v/>
      </c>
      <c r="F164" s="10" t="str">
        <f>Upload!AH163</f>
        <v/>
      </c>
      <c r="G164" s="10" t="str">
        <f>Upload!AE163</f>
        <v>(seleccione)</v>
      </c>
      <c r="H164" s="10" t="str">
        <f>Upload!AG163</f>
        <v>(seleccione)</v>
      </c>
      <c r="J164" s="16" t="str">
        <f t="shared" si="15"/>
        <v/>
      </c>
      <c r="K164" s="16" t="str">
        <f t="shared" si="16"/>
        <v/>
      </c>
      <c r="L164" s="16" t="str">
        <f t="shared" si="17"/>
        <v/>
      </c>
      <c r="M164" s="16" t="str">
        <f t="shared" si="18"/>
        <v/>
      </c>
      <c r="N164" s="16" t="str">
        <f t="shared" si="19"/>
        <v/>
      </c>
      <c r="O164" s="16" t="str">
        <f>IF(OR(N164="",NOT(OR(ISNUMBER(SEARCH("Antitarnish",Upload!N163&amp;Upload!O163&amp;Upload!P163&amp;Upload!Q163)),ISNUMBER(SEARCH("Anti Tarnish",Upload!N163&amp;Upload!O163&amp;Upload!P163&amp;Upload!Q163))))),"",0.0012*N164)</f>
        <v/>
      </c>
      <c r="P164" s="16" t="str">
        <f>IF(OR(D164="",NOT(OR(ISNUMBER(SEARCH("Epóx",Upload!N163&amp;Upload!O163&amp;Upload!P163&amp;Upload!Q163)),ISNUMBER(SEARCH("Epox",Upload!N163&amp;Upload!O163&amp;Upload!P163&amp;Upload!Q163)),ISNUMBER(SEARCH("Barniz",Upload!N163&amp;Upload!O163&amp;Upload!P163&amp;Upload!Q163))))),"",D164*0.000035)</f>
        <v/>
      </c>
      <c r="Q164" s="16" t="str">
        <f>IF(OR(D164="",NOT(OR(ISNUMBER(SEARCH("Epóx",Upload!N163&amp;Upload!O163&amp;Upload!P163&amp;Upload!Q163)),ISNUMBER(SEARCH("Epox",Upload!N163&amp;Upload!O163&amp;Upload!P163&amp;Upload!Q163)),ISNUMBER(SEARCH("Barniz",Upload!N163&amp;Upload!O163&amp;Upload!P163&amp;Upload!Q163))))),"",D164*0.000035)</f>
        <v/>
      </c>
      <c r="R164" s="16" t="str">
        <f t="shared" si="20"/>
        <v/>
      </c>
    </row>
    <row r="165" spans="1:18" x14ac:dyDescent="0.2">
      <c r="A165" s="10" t="e">
        <f t="shared" ca="1" si="14"/>
        <v>#NAME?</v>
      </c>
      <c r="B165" s="10">
        <f>Upload!E164</f>
        <v>0</v>
      </c>
      <c r="C165" s="10">
        <f>Upload!AJ164</f>
        <v>0</v>
      </c>
      <c r="D165" s="10">
        <f>Upload!AK164</f>
        <v>0</v>
      </c>
      <c r="E165" s="10" t="str">
        <f>Upload!AF164</f>
        <v/>
      </c>
      <c r="F165" s="10" t="str">
        <f>Upload!AH164</f>
        <v/>
      </c>
      <c r="G165" s="10" t="str">
        <f>Upload!AE164</f>
        <v>(seleccione)</v>
      </c>
      <c r="H165" s="10" t="str">
        <f>Upload!AG164</f>
        <v>(seleccione)</v>
      </c>
      <c r="J165" s="16" t="str">
        <f t="shared" si="15"/>
        <v/>
      </c>
      <c r="K165" s="16" t="str">
        <f t="shared" si="16"/>
        <v/>
      </c>
      <c r="L165" s="16" t="str">
        <f t="shared" si="17"/>
        <v/>
      </c>
      <c r="M165" s="16" t="str">
        <f t="shared" si="18"/>
        <v/>
      </c>
      <c r="N165" s="16" t="str">
        <f t="shared" si="19"/>
        <v/>
      </c>
      <c r="O165" s="16" t="str">
        <f>IF(OR(N165="",NOT(OR(ISNUMBER(SEARCH("Antitarnish",Upload!N164&amp;Upload!O164&amp;Upload!P164&amp;Upload!Q164)),ISNUMBER(SEARCH("Anti Tarnish",Upload!N164&amp;Upload!O164&amp;Upload!P164&amp;Upload!Q164))))),"",0.0012*N165)</f>
        <v/>
      </c>
      <c r="P165" s="16" t="str">
        <f>IF(OR(D165="",NOT(OR(ISNUMBER(SEARCH("Epóx",Upload!N164&amp;Upload!O164&amp;Upload!P164&amp;Upload!Q164)),ISNUMBER(SEARCH("Epox",Upload!N164&amp;Upload!O164&amp;Upload!P164&amp;Upload!Q164)),ISNUMBER(SEARCH("Barniz",Upload!N164&amp;Upload!O164&amp;Upload!P164&amp;Upload!Q164))))),"",D165*0.000035)</f>
        <v/>
      </c>
      <c r="Q165" s="16" t="str">
        <f>IF(OR(D165="",NOT(OR(ISNUMBER(SEARCH("Epóx",Upload!N164&amp;Upload!O164&amp;Upload!P164&amp;Upload!Q164)),ISNUMBER(SEARCH("Epox",Upload!N164&amp;Upload!O164&amp;Upload!P164&amp;Upload!Q164)),ISNUMBER(SEARCH("Barniz",Upload!N164&amp;Upload!O164&amp;Upload!P164&amp;Upload!Q164))))),"",D165*0.000035)</f>
        <v/>
      </c>
      <c r="R165" s="16" t="str">
        <f t="shared" si="20"/>
        <v/>
      </c>
    </row>
    <row r="166" spans="1:18" x14ac:dyDescent="0.2">
      <c r="A166" s="10" t="e">
        <f t="shared" ca="1" si="14"/>
        <v>#NAME?</v>
      </c>
      <c r="B166" s="10">
        <f>Upload!E165</f>
        <v>0</v>
      </c>
      <c r="C166" s="10">
        <f>Upload!AJ165</f>
        <v>0</v>
      </c>
      <c r="D166" s="10">
        <f>Upload!AK165</f>
        <v>0</v>
      </c>
      <c r="E166" s="10" t="str">
        <f>Upload!AF165</f>
        <v/>
      </c>
      <c r="F166" s="10" t="str">
        <f>Upload!AH165</f>
        <v/>
      </c>
      <c r="G166" s="10" t="str">
        <f>Upload!AE165</f>
        <v>(seleccione)</v>
      </c>
      <c r="H166" s="10" t="str">
        <f>Upload!AG165</f>
        <v>(seleccione)</v>
      </c>
      <c r="J166" s="16" t="str">
        <f t="shared" si="15"/>
        <v/>
      </c>
      <c r="K166" s="16" t="str">
        <f t="shared" si="16"/>
        <v/>
      </c>
      <c r="L166" s="16" t="str">
        <f t="shared" si="17"/>
        <v/>
      </c>
      <c r="M166" s="16" t="str">
        <f t="shared" si="18"/>
        <v/>
      </c>
      <c r="N166" s="16" t="str">
        <f t="shared" si="19"/>
        <v/>
      </c>
      <c r="O166" s="16" t="str">
        <f>IF(OR(N166="",NOT(OR(ISNUMBER(SEARCH("Antitarnish",Upload!N165&amp;Upload!O165&amp;Upload!P165&amp;Upload!Q165)),ISNUMBER(SEARCH("Anti Tarnish",Upload!N165&amp;Upload!O165&amp;Upload!P165&amp;Upload!Q165))))),"",0.0012*N166)</f>
        <v/>
      </c>
      <c r="P166" s="16" t="str">
        <f>IF(OR(D166="",NOT(OR(ISNUMBER(SEARCH("Epóx",Upload!N165&amp;Upload!O165&amp;Upload!P165&amp;Upload!Q165)),ISNUMBER(SEARCH("Epox",Upload!N165&amp;Upload!O165&amp;Upload!P165&amp;Upload!Q165)),ISNUMBER(SEARCH("Barniz",Upload!N165&amp;Upload!O165&amp;Upload!P165&amp;Upload!Q165))))),"",D166*0.000035)</f>
        <v/>
      </c>
      <c r="Q166" s="16" t="str">
        <f>IF(OR(D166="",NOT(OR(ISNUMBER(SEARCH("Epóx",Upload!N165&amp;Upload!O165&amp;Upload!P165&amp;Upload!Q165)),ISNUMBER(SEARCH("Epox",Upload!N165&amp;Upload!O165&amp;Upload!P165&amp;Upload!Q165)),ISNUMBER(SEARCH("Barniz",Upload!N165&amp;Upload!O165&amp;Upload!P165&amp;Upload!Q165))))),"",D166*0.000035)</f>
        <v/>
      </c>
      <c r="R166" s="16" t="str">
        <f t="shared" si="20"/>
        <v/>
      </c>
    </row>
    <row r="167" spans="1:18" x14ac:dyDescent="0.2">
      <c r="A167" s="10" t="e">
        <f t="shared" ca="1" si="14"/>
        <v>#NAME?</v>
      </c>
      <c r="B167" s="10">
        <f>Upload!E166</f>
        <v>0</v>
      </c>
      <c r="C167" s="10">
        <f>Upload!AJ166</f>
        <v>0</v>
      </c>
      <c r="D167" s="10">
        <f>Upload!AK166</f>
        <v>0</v>
      </c>
      <c r="E167" s="10" t="str">
        <f>Upload!AF166</f>
        <v/>
      </c>
      <c r="F167" s="10" t="str">
        <f>Upload!AH166</f>
        <v/>
      </c>
      <c r="G167" s="10" t="str">
        <f>Upload!AE166</f>
        <v>(seleccione)</v>
      </c>
      <c r="H167" s="10" t="str">
        <f>Upload!AG166</f>
        <v>(seleccione)</v>
      </c>
      <c r="J167" s="16" t="str">
        <f t="shared" si="15"/>
        <v/>
      </c>
      <c r="K167" s="16" t="str">
        <f t="shared" si="16"/>
        <v/>
      </c>
      <c r="L167" s="16" t="str">
        <f t="shared" si="17"/>
        <v/>
      </c>
      <c r="M167" s="16" t="str">
        <f t="shared" si="18"/>
        <v/>
      </c>
      <c r="N167" s="16" t="str">
        <f t="shared" si="19"/>
        <v/>
      </c>
      <c r="O167" s="16" t="str">
        <f>IF(OR(N167="",NOT(OR(ISNUMBER(SEARCH("Antitarnish",Upload!N166&amp;Upload!O166&amp;Upload!P166&amp;Upload!Q166)),ISNUMBER(SEARCH("Anti Tarnish",Upload!N166&amp;Upload!O166&amp;Upload!P166&amp;Upload!Q166))))),"",0.0012*N167)</f>
        <v/>
      </c>
      <c r="P167" s="16" t="str">
        <f>IF(OR(D167="",NOT(OR(ISNUMBER(SEARCH("Epóx",Upload!N166&amp;Upload!O166&amp;Upload!P166&amp;Upload!Q166)),ISNUMBER(SEARCH("Epox",Upload!N166&amp;Upload!O166&amp;Upload!P166&amp;Upload!Q166)),ISNUMBER(SEARCH("Barniz",Upload!N166&amp;Upload!O166&amp;Upload!P166&amp;Upload!Q166))))),"",D167*0.000035)</f>
        <v/>
      </c>
      <c r="Q167" s="16" t="str">
        <f>IF(OR(D167="",NOT(OR(ISNUMBER(SEARCH("Epóx",Upload!N166&amp;Upload!O166&amp;Upload!P166&amp;Upload!Q166)),ISNUMBER(SEARCH("Epox",Upload!N166&amp;Upload!O166&amp;Upload!P166&amp;Upload!Q166)),ISNUMBER(SEARCH("Barniz",Upload!N166&amp;Upload!O166&amp;Upload!P166&amp;Upload!Q166))))),"",D167*0.000035)</f>
        <v/>
      </c>
      <c r="R167" s="16" t="str">
        <f t="shared" si="20"/>
        <v/>
      </c>
    </row>
    <row r="168" spans="1:18" x14ac:dyDescent="0.2">
      <c r="A168" s="10" t="e">
        <f t="shared" ca="1" si="14"/>
        <v>#NAME?</v>
      </c>
      <c r="B168" s="10">
        <f>Upload!E167</f>
        <v>0</v>
      </c>
      <c r="C168" s="10">
        <f>Upload!AJ167</f>
        <v>0</v>
      </c>
      <c r="D168" s="10">
        <f>Upload!AK167</f>
        <v>0</v>
      </c>
      <c r="E168" s="10" t="str">
        <f>Upload!AF167</f>
        <v/>
      </c>
      <c r="F168" s="10" t="str">
        <f>Upload!AH167</f>
        <v/>
      </c>
      <c r="G168" s="10" t="str">
        <f>Upload!AE167</f>
        <v>(seleccione)</v>
      </c>
      <c r="H168" s="10" t="str">
        <f>Upload!AG167</f>
        <v>(seleccione)</v>
      </c>
      <c r="J168" s="16" t="str">
        <f t="shared" si="15"/>
        <v/>
      </c>
      <c r="K168" s="16" t="str">
        <f t="shared" si="16"/>
        <v/>
      </c>
      <c r="L168" s="16" t="str">
        <f t="shared" si="17"/>
        <v/>
      </c>
      <c r="M168" s="16" t="str">
        <f t="shared" si="18"/>
        <v/>
      </c>
      <c r="N168" s="16" t="str">
        <f t="shared" si="19"/>
        <v/>
      </c>
      <c r="O168" s="16" t="str">
        <f>IF(OR(N168="",NOT(OR(ISNUMBER(SEARCH("Antitarnish",Upload!N167&amp;Upload!O167&amp;Upload!P167&amp;Upload!Q167)),ISNUMBER(SEARCH("Anti Tarnish",Upload!N167&amp;Upload!O167&amp;Upload!P167&amp;Upload!Q167))))),"",0.0012*N168)</f>
        <v/>
      </c>
      <c r="P168" s="16" t="str">
        <f>IF(OR(D168="",NOT(OR(ISNUMBER(SEARCH("Epóx",Upload!N167&amp;Upload!O167&amp;Upload!P167&amp;Upload!Q167)),ISNUMBER(SEARCH("Epox",Upload!N167&amp;Upload!O167&amp;Upload!P167&amp;Upload!Q167)),ISNUMBER(SEARCH("Barniz",Upload!N167&amp;Upload!O167&amp;Upload!P167&amp;Upload!Q167))))),"",D168*0.000035)</f>
        <v/>
      </c>
      <c r="Q168" s="16" t="str">
        <f>IF(OR(D168="",NOT(OR(ISNUMBER(SEARCH("Epóx",Upload!N167&amp;Upload!O167&amp;Upload!P167&amp;Upload!Q167)),ISNUMBER(SEARCH("Epox",Upload!N167&amp;Upload!O167&amp;Upload!P167&amp;Upload!Q167)),ISNUMBER(SEARCH("Barniz",Upload!N167&amp;Upload!O167&amp;Upload!P167&amp;Upload!Q167))))),"",D168*0.000035)</f>
        <v/>
      </c>
      <c r="R168" s="16" t="str">
        <f t="shared" si="20"/>
        <v/>
      </c>
    </row>
    <row r="169" spans="1:18" x14ac:dyDescent="0.2">
      <c r="A169" s="10" t="e">
        <f t="shared" ca="1" si="14"/>
        <v>#NAME?</v>
      </c>
      <c r="B169" s="10">
        <f>Upload!E168</f>
        <v>0</v>
      </c>
      <c r="C169" s="10">
        <f>Upload!AJ168</f>
        <v>0</v>
      </c>
      <c r="D169" s="10">
        <f>Upload!AK168</f>
        <v>0</v>
      </c>
      <c r="E169" s="10" t="str">
        <f>Upload!AF168</f>
        <v/>
      </c>
      <c r="F169" s="10" t="str">
        <f>Upload!AH168</f>
        <v/>
      </c>
      <c r="G169" s="10" t="str">
        <f>Upload!AE168</f>
        <v>(seleccione)</v>
      </c>
      <c r="H169" s="10" t="str">
        <f>Upload!AG168</f>
        <v>(seleccione)</v>
      </c>
      <c r="J169" s="16" t="str">
        <f t="shared" si="15"/>
        <v/>
      </c>
      <c r="K169" s="16" t="str">
        <f t="shared" si="16"/>
        <v/>
      </c>
      <c r="L169" s="16" t="str">
        <f t="shared" si="17"/>
        <v/>
      </c>
      <c r="M169" s="16" t="str">
        <f t="shared" si="18"/>
        <v/>
      </c>
      <c r="N169" s="16" t="str">
        <f t="shared" si="19"/>
        <v/>
      </c>
      <c r="O169" s="16" t="str">
        <f>IF(OR(N169="",NOT(OR(ISNUMBER(SEARCH("Antitarnish",Upload!N168&amp;Upload!O168&amp;Upload!P168&amp;Upload!Q168)),ISNUMBER(SEARCH("Anti Tarnish",Upload!N168&amp;Upload!O168&amp;Upload!P168&amp;Upload!Q168))))),"",0.0012*N169)</f>
        <v/>
      </c>
      <c r="P169" s="16" t="str">
        <f>IF(OR(D169="",NOT(OR(ISNUMBER(SEARCH("Epóx",Upload!N168&amp;Upload!O168&amp;Upload!P168&amp;Upload!Q168)),ISNUMBER(SEARCH("Epox",Upload!N168&amp;Upload!O168&amp;Upload!P168&amp;Upload!Q168)),ISNUMBER(SEARCH("Barniz",Upload!N168&amp;Upload!O168&amp;Upload!P168&amp;Upload!Q168))))),"",D169*0.000035)</f>
        <v/>
      </c>
      <c r="Q169" s="16" t="str">
        <f>IF(OR(D169="",NOT(OR(ISNUMBER(SEARCH("Epóx",Upload!N168&amp;Upload!O168&amp;Upload!P168&amp;Upload!Q168)),ISNUMBER(SEARCH("Epox",Upload!N168&amp;Upload!O168&amp;Upload!P168&amp;Upload!Q168)),ISNUMBER(SEARCH("Barniz",Upload!N168&amp;Upload!O168&amp;Upload!P168&amp;Upload!Q168))))),"",D169*0.000035)</f>
        <v/>
      </c>
      <c r="R169" s="16" t="str">
        <f t="shared" si="20"/>
        <v/>
      </c>
    </row>
    <row r="170" spans="1:18" x14ac:dyDescent="0.2">
      <c r="A170" s="10" t="e">
        <f t="shared" ca="1" si="14"/>
        <v>#NAME?</v>
      </c>
      <c r="B170" s="10">
        <f>Upload!E169</f>
        <v>0</v>
      </c>
      <c r="C170" s="10">
        <f>Upload!AJ169</f>
        <v>0</v>
      </c>
      <c r="D170" s="10">
        <f>Upload!AK169</f>
        <v>0</v>
      </c>
      <c r="E170" s="10" t="str">
        <f>Upload!AF169</f>
        <v/>
      </c>
      <c r="F170" s="10" t="str">
        <f>Upload!AH169</f>
        <v/>
      </c>
      <c r="G170" s="10" t="str">
        <f>Upload!AE169</f>
        <v>(seleccione)</v>
      </c>
      <c r="H170" s="10" t="str">
        <f>Upload!AG169</f>
        <v>(seleccione)</v>
      </c>
      <c r="J170" s="16" t="str">
        <f t="shared" si="15"/>
        <v/>
      </c>
      <c r="K170" s="16" t="str">
        <f t="shared" si="16"/>
        <v/>
      </c>
      <c r="L170" s="16" t="str">
        <f t="shared" si="17"/>
        <v/>
      </c>
      <c r="M170" s="16" t="str">
        <f t="shared" si="18"/>
        <v/>
      </c>
      <c r="N170" s="16" t="str">
        <f t="shared" si="19"/>
        <v/>
      </c>
      <c r="O170" s="16" t="str">
        <f>IF(OR(N170="",NOT(OR(ISNUMBER(SEARCH("Antitarnish",Upload!N169&amp;Upload!O169&amp;Upload!P169&amp;Upload!Q169)),ISNUMBER(SEARCH("Anti Tarnish",Upload!N169&amp;Upload!O169&amp;Upload!P169&amp;Upload!Q169))))),"",0.0012*N170)</f>
        <v/>
      </c>
      <c r="P170" s="16" t="str">
        <f>IF(OR(D170="",NOT(OR(ISNUMBER(SEARCH("Epóx",Upload!N169&amp;Upload!O169&amp;Upload!P169&amp;Upload!Q169)),ISNUMBER(SEARCH("Epox",Upload!N169&amp;Upload!O169&amp;Upload!P169&amp;Upload!Q169)),ISNUMBER(SEARCH("Barniz",Upload!N169&amp;Upload!O169&amp;Upload!P169&amp;Upload!Q169))))),"",D170*0.000035)</f>
        <v/>
      </c>
      <c r="Q170" s="16" t="str">
        <f>IF(OR(D170="",NOT(OR(ISNUMBER(SEARCH("Epóx",Upload!N169&amp;Upload!O169&amp;Upload!P169&amp;Upload!Q169)),ISNUMBER(SEARCH("Epox",Upload!N169&amp;Upload!O169&amp;Upload!P169&amp;Upload!Q169)),ISNUMBER(SEARCH("Barniz",Upload!N169&amp;Upload!O169&amp;Upload!P169&amp;Upload!Q169))))),"",D170*0.000035)</f>
        <v/>
      </c>
      <c r="R170" s="16" t="str">
        <f t="shared" si="20"/>
        <v/>
      </c>
    </row>
    <row r="171" spans="1:18" x14ac:dyDescent="0.2">
      <c r="A171" s="10" t="e">
        <f t="shared" ca="1" si="14"/>
        <v>#NAME?</v>
      </c>
      <c r="B171" s="10">
        <f>Upload!E170</f>
        <v>0</v>
      </c>
      <c r="C171" s="10">
        <f>Upload!AJ170</f>
        <v>0</v>
      </c>
      <c r="D171" s="10">
        <f>Upload!AK170</f>
        <v>0</v>
      </c>
      <c r="E171" s="10" t="str">
        <f>Upload!AF170</f>
        <v/>
      </c>
      <c r="F171" s="10" t="str">
        <f>Upload!AH170</f>
        <v/>
      </c>
      <c r="G171" s="10" t="str">
        <f>Upload!AE170</f>
        <v>(seleccione)</v>
      </c>
      <c r="H171" s="10" t="str">
        <f>Upload!AG170</f>
        <v>(seleccione)</v>
      </c>
      <c r="J171" s="16" t="str">
        <f t="shared" si="15"/>
        <v/>
      </c>
      <c r="K171" s="16" t="str">
        <f t="shared" si="16"/>
        <v/>
      </c>
      <c r="L171" s="16" t="str">
        <f t="shared" si="17"/>
        <v/>
      </c>
      <c r="M171" s="16" t="str">
        <f t="shared" si="18"/>
        <v/>
      </c>
      <c r="N171" s="16" t="str">
        <f t="shared" si="19"/>
        <v/>
      </c>
      <c r="O171" s="16" t="str">
        <f>IF(OR(N171="",NOT(OR(ISNUMBER(SEARCH("Antitarnish",Upload!N170&amp;Upload!O170&amp;Upload!P170&amp;Upload!Q170)),ISNUMBER(SEARCH("Anti Tarnish",Upload!N170&amp;Upload!O170&amp;Upload!P170&amp;Upload!Q170))))),"",0.0012*N171)</f>
        <v/>
      </c>
      <c r="P171" s="16" t="str">
        <f>IF(OR(D171="",NOT(OR(ISNUMBER(SEARCH("Epóx",Upload!N170&amp;Upload!O170&amp;Upload!P170&amp;Upload!Q170)),ISNUMBER(SEARCH("Epox",Upload!N170&amp;Upload!O170&amp;Upload!P170&amp;Upload!Q170)),ISNUMBER(SEARCH("Barniz",Upload!N170&amp;Upload!O170&amp;Upload!P170&amp;Upload!Q170))))),"",D171*0.000035)</f>
        <v/>
      </c>
      <c r="Q171" s="16" t="str">
        <f>IF(OR(D171="",NOT(OR(ISNUMBER(SEARCH("Epóx",Upload!N170&amp;Upload!O170&amp;Upload!P170&amp;Upload!Q170)),ISNUMBER(SEARCH("Epox",Upload!N170&amp;Upload!O170&amp;Upload!P170&amp;Upload!Q170)),ISNUMBER(SEARCH("Barniz",Upload!N170&amp;Upload!O170&amp;Upload!P170&amp;Upload!Q170))))),"",D171*0.000035)</f>
        <v/>
      </c>
      <c r="R171" s="16" t="str">
        <f t="shared" si="20"/>
        <v/>
      </c>
    </row>
    <row r="172" spans="1:18" x14ac:dyDescent="0.2">
      <c r="A172" s="10" t="e">
        <f t="shared" ca="1" si="14"/>
        <v>#NAME?</v>
      </c>
      <c r="B172" s="10">
        <f>Upload!E171</f>
        <v>0</v>
      </c>
      <c r="C172" s="10">
        <f>Upload!AJ171</f>
        <v>0</v>
      </c>
      <c r="D172" s="10">
        <f>Upload!AK171</f>
        <v>0</v>
      </c>
      <c r="E172" s="10" t="str">
        <f>Upload!AF171</f>
        <v/>
      </c>
      <c r="F172" s="10" t="str">
        <f>Upload!AH171</f>
        <v/>
      </c>
      <c r="G172" s="10" t="str">
        <f>Upload!AE171</f>
        <v>(seleccione)</v>
      </c>
      <c r="H172" s="10" t="str">
        <f>Upload!AG171</f>
        <v>(seleccione)</v>
      </c>
      <c r="J172" s="16" t="str">
        <f t="shared" si="15"/>
        <v/>
      </c>
      <c r="K172" s="16" t="str">
        <f t="shared" si="16"/>
        <v/>
      </c>
      <c r="L172" s="16" t="str">
        <f t="shared" si="17"/>
        <v/>
      </c>
      <c r="M172" s="16" t="str">
        <f t="shared" si="18"/>
        <v/>
      </c>
      <c r="N172" s="16" t="str">
        <f t="shared" si="19"/>
        <v/>
      </c>
      <c r="O172" s="16" t="str">
        <f>IF(OR(N172="",NOT(OR(ISNUMBER(SEARCH("Antitarnish",Upload!N171&amp;Upload!O171&amp;Upload!P171&amp;Upload!Q171)),ISNUMBER(SEARCH("Anti Tarnish",Upload!N171&amp;Upload!O171&amp;Upload!P171&amp;Upload!Q171))))),"",0.0012*N172)</f>
        <v/>
      </c>
      <c r="P172" s="16" t="str">
        <f>IF(OR(D172="",NOT(OR(ISNUMBER(SEARCH("Epóx",Upload!N171&amp;Upload!O171&amp;Upload!P171&amp;Upload!Q171)),ISNUMBER(SEARCH("Epox",Upload!N171&amp;Upload!O171&amp;Upload!P171&amp;Upload!Q171)),ISNUMBER(SEARCH("Barniz",Upload!N171&amp;Upload!O171&amp;Upload!P171&amp;Upload!Q171))))),"",D172*0.000035)</f>
        <v/>
      </c>
      <c r="Q172" s="16" t="str">
        <f>IF(OR(D172="",NOT(OR(ISNUMBER(SEARCH("Epóx",Upload!N171&amp;Upload!O171&amp;Upload!P171&amp;Upload!Q171)),ISNUMBER(SEARCH("Epox",Upload!N171&amp;Upload!O171&amp;Upload!P171&amp;Upload!Q171)),ISNUMBER(SEARCH("Barniz",Upload!N171&amp;Upload!O171&amp;Upload!P171&amp;Upload!Q171))))),"",D172*0.000035)</f>
        <v/>
      </c>
      <c r="R172" s="16" t="str">
        <f t="shared" si="20"/>
        <v/>
      </c>
    </row>
    <row r="173" spans="1:18" x14ac:dyDescent="0.2">
      <c r="A173" s="10" t="e">
        <f t="shared" ca="1" si="14"/>
        <v>#NAME?</v>
      </c>
      <c r="B173" s="10">
        <f>Upload!E172</f>
        <v>0</v>
      </c>
      <c r="C173" s="10">
        <f>Upload!AJ172</f>
        <v>0</v>
      </c>
      <c r="D173" s="10">
        <f>Upload!AK172</f>
        <v>0</v>
      </c>
      <c r="E173" s="10" t="str">
        <f>Upload!AF172</f>
        <v/>
      </c>
      <c r="F173" s="10" t="str">
        <f>Upload!AH172</f>
        <v/>
      </c>
      <c r="G173" s="10" t="str">
        <f>Upload!AE172</f>
        <v>(seleccione)</v>
      </c>
      <c r="H173" s="10" t="str">
        <f>Upload!AG172</f>
        <v>(seleccione)</v>
      </c>
      <c r="J173" s="16" t="str">
        <f t="shared" si="15"/>
        <v/>
      </c>
      <c r="K173" s="16" t="str">
        <f t="shared" si="16"/>
        <v/>
      </c>
      <c r="L173" s="16" t="str">
        <f t="shared" si="17"/>
        <v/>
      </c>
      <c r="M173" s="16" t="str">
        <f t="shared" si="18"/>
        <v/>
      </c>
      <c r="N173" s="16" t="str">
        <f t="shared" si="19"/>
        <v/>
      </c>
      <c r="O173" s="16" t="str">
        <f>IF(OR(N173="",NOT(OR(ISNUMBER(SEARCH("Antitarnish",Upload!N172&amp;Upload!O172&amp;Upload!P172&amp;Upload!Q172)),ISNUMBER(SEARCH("Anti Tarnish",Upload!N172&amp;Upload!O172&amp;Upload!P172&amp;Upload!Q172))))),"",0.0012*N173)</f>
        <v/>
      </c>
      <c r="P173" s="16" t="str">
        <f>IF(OR(D173="",NOT(OR(ISNUMBER(SEARCH("Epóx",Upload!N172&amp;Upload!O172&amp;Upload!P172&amp;Upload!Q172)),ISNUMBER(SEARCH("Epox",Upload!N172&amp;Upload!O172&amp;Upload!P172&amp;Upload!Q172)),ISNUMBER(SEARCH("Barniz",Upload!N172&amp;Upload!O172&amp;Upload!P172&amp;Upload!Q172))))),"",D173*0.000035)</f>
        <v/>
      </c>
      <c r="Q173" s="16" t="str">
        <f>IF(OR(D173="",NOT(OR(ISNUMBER(SEARCH("Epóx",Upload!N172&amp;Upload!O172&amp;Upload!P172&amp;Upload!Q172)),ISNUMBER(SEARCH("Epox",Upload!N172&amp;Upload!O172&amp;Upload!P172&amp;Upload!Q172)),ISNUMBER(SEARCH("Barniz",Upload!N172&amp;Upload!O172&amp;Upload!P172&amp;Upload!Q172))))),"",D173*0.000035)</f>
        <v/>
      </c>
      <c r="R173" s="16" t="str">
        <f t="shared" si="20"/>
        <v/>
      </c>
    </row>
    <row r="174" spans="1:18" x14ac:dyDescent="0.2">
      <c r="A174" s="10" t="e">
        <f t="shared" ca="1" si="14"/>
        <v>#NAME?</v>
      </c>
      <c r="B174" s="10">
        <f>Upload!E173</f>
        <v>0</v>
      </c>
      <c r="C174" s="10">
        <f>Upload!AJ173</f>
        <v>0</v>
      </c>
      <c r="D174" s="10">
        <f>Upload!AK173</f>
        <v>0</v>
      </c>
      <c r="E174" s="10" t="str">
        <f>Upload!AF173</f>
        <v/>
      </c>
      <c r="F174" s="10" t="str">
        <f>Upload!AH173</f>
        <v/>
      </c>
      <c r="G174" s="10" t="str">
        <f>Upload!AE173</f>
        <v>(seleccione)</v>
      </c>
      <c r="H174" s="10" t="str">
        <f>Upload!AG173</f>
        <v>(seleccione)</v>
      </c>
      <c r="J174" s="16" t="str">
        <f t="shared" si="15"/>
        <v/>
      </c>
      <c r="K174" s="16" t="str">
        <f t="shared" si="16"/>
        <v/>
      </c>
      <c r="L174" s="16" t="str">
        <f t="shared" si="17"/>
        <v/>
      </c>
      <c r="M174" s="16" t="str">
        <f t="shared" si="18"/>
        <v/>
      </c>
      <c r="N174" s="16" t="str">
        <f t="shared" si="19"/>
        <v/>
      </c>
      <c r="O174" s="16" t="str">
        <f>IF(OR(N174="",NOT(OR(ISNUMBER(SEARCH("Antitarnish",Upload!N173&amp;Upload!O173&amp;Upload!P173&amp;Upload!Q173)),ISNUMBER(SEARCH("Anti Tarnish",Upload!N173&amp;Upload!O173&amp;Upload!P173&amp;Upload!Q173))))),"",0.0012*N174)</f>
        <v/>
      </c>
      <c r="P174" s="16" t="str">
        <f>IF(OR(D174="",NOT(OR(ISNUMBER(SEARCH("Epóx",Upload!N173&amp;Upload!O173&amp;Upload!P173&amp;Upload!Q173)),ISNUMBER(SEARCH("Epox",Upload!N173&amp;Upload!O173&amp;Upload!P173&amp;Upload!Q173)),ISNUMBER(SEARCH("Barniz",Upload!N173&amp;Upload!O173&amp;Upload!P173&amp;Upload!Q173))))),"",D174*0.000035)</f>
        <v/>
      </c>
      <c r="Q174" s="16" t="str">
        <f>IF(OR(D174="",NOT(OR(ISNUMBER(SEARCH("Epóx",Upload!N173&amp;Upload!O173&amp;Upload!P173&amp;Upload!Q173)),ISNUMBER(SEARCH("Epox",Upload!N173&amp;Upload!O173&amp;Upload!P173&amp;Upload!Q173)),ISNUMBER(SEARCH("Barniz",Upload!N173&amp;Upload!O173&amp;Upload!P173&amp;Upload!Q173))))),"",D174*0.000035)</f>
        <v/>
      </c>
      <c r="R174" s="16" t="str">
        <f t="shared" si="20"/>
        <v/>
      </c>
    </row>
    <row r="175" spans="1:18" x14ac:dyDescent="0.2">
      <c r="A175" s="10" t="e">
        <f t="shared" ca="1" si="14"/>
        <v>#NAME?</v>
      </c>
      <c r="B175" s="10">
        <f>Upload!E174</f>
        <v>0</v>
      </c>
      <c r="C175" s="10">
        <f>Upload!AJ174</f>
        <v>0</v>
      </c>
      <c r="D175" s="10">
        <f>Upload!AK174</f>
        <v>0</v>
      </c>
      <c r="E175" s="10" t="str">
        <f>Upload!AF174</f>
        <v/>
      </c>
      <c r="F175" s="10" t="str">
        <f>Upload!AH174</f>
        <v/>
      </c>
      <c r="G175" s="10" t="str">
        <f>Upload!AE174</f>
        <v>(seleccione)</v>
      </c>
      <c r="H175" s="10" t="str">
        <f>Upload!AG174</f>
        <v>(seleccione)</v>
      </c>
      <c r="J175" s="16" t="str">
        <f t="shared" si="15"/>
        <v/>
      </c>
      <c r="K175" s="16" t="str">
        <f t="shared" si="16"/>
        <v/>
      </c>
      <c r="L175" s="16" t="str">
        <f t="shared" si="17"/>
        <v/>
      </c>
      <c r="M175" s="16" t="str">
        <f t="shared" si="18"/>
        <v/>
      </c>
      <c r="N175" s="16" t="str">
        <f t="shared" si="19"/>
        <v/>
      </c>
      <c r="O175" s="16" t="str">
        <f>IF(OR(N175="",NOT(OR(ISNUMBER(SEARCH("Antitarnish",Upload!N174&amp;Upload!O174&amp;Upload!P174&amp;Upload!Q174)),ISNUMBER(SEARCH("Anti Tarnish",Upload!N174&amp;Upload!O174&amp;Upload!P174&amp;Upload!Q174))))),"",0.0012*N175)</f>
        <v/>
      </c>
      <c r="P175" s="16" t="str">
        <f>IF(OR(D175="",NOT(OR(ISNUMBER(SEARCH("Epóx",Upload!N174&amp;Upload!O174&amp;Upload!P174&amp;Upload!Q174)),ISNUMBER(SEARCH("Epox",Upload!N174&amp;Upload!O174&amp;Upload!P174&amp;Upload!Q174)),ISNUMBER(SEARCH("Barniz",Upload!N174&amp;Upload!O174&amp;Upload!P174&amp;Upload!Q174))))),"",D175*0.000035)</f>
        <v/>
      </c>
      <c r="Q175" s="16" t="str">
        <f>IF(OR(D175="",NOT(OR(ISNUMBER(SEARCH("Epóx",Upload!N174&amp;Upload!O174&amp;Upload!P174&amp;Upload!Q174)),ISNUMBER(SEARCH("Epox",Upload!N174&amp;Upload!O174&amp;Upload!P174&amp;Upload!Q174)),ISNUMBER(SEARCH("Barniz",Upload!N174&amp;Upload!O174&amp;Upload!P174&amp;Upload!Q174))))),"",D175*0.000035)</f>
        <v/>
      </c>
      <c r="R175" s="16" t="str">
        <f t="shared" si="20"/>
        <v/>
      </c>
    </row>
    <row r="176" spans="1:18" x14ac:dyDescent="0.2">
      <c r="A176" s="10" t="e">
        <f t="shared" ca="1" si="14"/>
        <v>#NAME?</v>
      </c>
      <c r="B176" s="10">
        <f>Upload!E175</f>
        <v>0</v>
      </c>
      <c r="C176" s="10">
        <f>Upload!AJ175</f>
        <v>0</v>
      </c>
      <c r="D176" s="10">
        <f>Upload!AK175</f>
        <v>0</v>
      </c>
      <c r="E176" s="10" t="str">
        <f>Upload!AF175</f>
        <v/>
      </c>
      <c r="F176" s="10" t="str">
        <f>Upload!AH175</f>
        <v/>
      </c>
      <c r="G176" s="10" t="str">
        <f>Upload!AE175</f>
        <v>(seleccione)</v>
      </c>
      <c r="H176" s="10" t="str">
        <f>Upload!AG175</f>
        <v>(seleccione)</v>
      </c>
      <c r="J176" s="16" t="str">
        <f t="shared" si="15"/>
        <v/>
      </c>
      <c r="K176" s="16" t="str">
        <f t="shared" si="16"/>
        <v/>
      </c>
      <c r="L176" s="16" t="str">
        <f t="shared" si="17"/>
        <v/>
      </c>
      <c r="M176" s="16" t="str">
        <f t="shared" si="18"/>
        <v/>
      </c>
      <c r="N176" s="16" t="str">
        <f t="shared" si="19"/>
        <v/>
      </c>
      <c r="O176" s="16" t="str">
        <f>IF(OR(N176="",NOT(OR(ISNUMBER(SEARCH("Antitarnish",Upload!N175&amp;Upload!O175&amp;Upload!P175&amp;Upload!Q175)),ISNUMBER(SEARCH("Anti Tarnish",Upload!N175&amp;Upload!O175&amp;Upload!P175&amp;Upload!Q175))))),"",0.0012*N176)</f>
        <v/>
      </c>
      <c r="P176" s="16" t="str">
        <f>IF(OR(D176="",NOT(OR(ISNUMBER(SEARCH("Epóx",Upload!N175&amp;Upload!O175&amp;Upload!P175&amp;Upload!Q175)),ISNUMBER(SEARCH("Epox",Upload!N175&amp;Upload!O175&amp;Upload!P175&amp;Upload!Q175)),ISNUMBER(SEARCH("Barniz",Upload!N175&amp;Upload!O175&amp;Upload!P175&amp;Upload!Q175))))),"",D176*0.000035)</f>
        <v/>
      </c>
      <c r="Q176" s="16" t="str">
        <f>IF(OR(D176="",NOT(OR(ISNUMBER(SEARCH("Epóx",Upload!N175&amp;Upload!O175&amp;Upload!P175&amp;Upload!Q175)),ISNUMBER(SEARCH("Epox",Upload!N175&amp;Upload!O175&amp;Upload!P175&amp;Upload!Q175)),ISNUMBER(SEARCH("Barniz",Upload!N175&amp;Upload!O175&amp;Upload!P175&amp;Upload!Q175))))),"",D176*0.000035)</f>
        <v/>
      </c>
      <c r="R176" s="16" t="str">
        <f t="shared" si="20"/>
        <v/>
      </c>
    </row>
    <row r="177" spans="1:18" x14ac:dyDescent="0.2">
      <c r="A177" s="10" t="e">
        <f t="shared" ca="1" si="14"/>
        <v>#NAME?</v>
      </c>
      <c r="B177" s="10">
        <f>Upload!E176</f>
        <v>0</v>
      </c>
      <c r="C177" s="10">
        <f>Upload!AJ176</f>
        <v>0</v>
      </c>
      <c r="D177" s="10">
        <f>Upload!AK176</f>
        <v>0</v>
      </c>
      <c r="E177" s="10" t="str">
        <f>Upload!AF176</f>
        <v/>
      </c>
      <c r="F177" s="10" t="str">
        <f>Upload!AH176</f>
        <v/>
      </c>
      <c r="G177" s="10" t="str">
        <f>Upload!AE176</f>
        <v>(seleccione)</v>
      </c>
      <c r="H177" s="10" t="str">
        <f>Upload!AG176</f>
        <v>(seleccione)</v>
      </c>
      <c r="J177" s="16" t="str">
        <f t="shared" si="15"/>
        <v/>
      </c>
      <c r="K177" s="16" t="str">
        <f t="shared" si="16"/>
        <v/>
      </c>
      <c r="L177" s="16" t="str">
        <f t="shared" si="17"/>
        <v/>
      </c>
      <c r="M177" s="16" t="str">
        <f t="shared" si="18"/>
        <v/>
      </c>
      <c r="N177" s="16" t="str">
        <f t="shared" si="19"/>
        <v/>
      </c>
      <c r="O177" s="16" t="str">
        <f>IF(OR(N177="",NOT(OR(ISNUMBER(SEARCH("Antitarnish",Upload!N176&amp;Upload!O176&amp;Upload!P176&amp;Upload!Q176)),ISNUMBER(SEARCH("Anti Tarnish",Upload!N176&amp;Upload!O176&amp;Upload!P176&amp;Upload!Q176))))),"",0.0012*N177)</f>
        <v/>
      </c>
      <c r="P177" s="16" t="str">
        <f>IF(OR(D177="",NOT(OR(ISNUMBER(SEARCH("Epóx",Upload!N176&amp;Upload!O176&amp;Upload!P176&amp;Upload!Q176)),ISNUMBER(SEARCH("Epox",Upload!N176&amp;Upload!O176&amp;Upload!P176&amp;Upload!Q176)),ISNUMBER(SEARCH("Barniz",Upload!N176&amp;Upload!O176&amp;Upload!P176&amp;Upload!Q176))))),"",D177*0.000035)</f>
        <v/>
      </c>
      <c r="Q177" s="16" t="str">
        <f>IF(OR(D177="",NOT(OR(ISNUMBER(SEARCH("Epóx",Upload!N176&amp;Upload!O176&amp;Upload!P176&amp;Upload!Q176)),ISNUMBER(SEARCH("Epox",Upload!N176&amp;Upload!O176&amp;Upload!P176&amp;Upload!Q176)),ISNUMBER(SEARCH("Barniz",Upload!N176&amp;Upload!O176&amp;Upload!P176&amp;Upload!Q176))))),"",D177*0.000035)</f>
        <v/>
      </c>
      <c r="R177" s="16" t="str">
        <f t="shared" si="20"/>
        <v/>
      </c>
    </row>
    <row r="178" spans="1:18" x14ac:dyDescent="0.2">
      <c r="A178" s="10" t="e">
        <f t="shared" ca="1" si="14"/>
        <v>#NAME?</v>
      </c>
      <c r="B178" s="10">
        <f>Upload!E177</f>
        <v>0</v>
      </c>
      <c r="C178" s="10">
        <f>Upload!AJ177</f>
        <v>0</v>
      </c>
      <c r="D178" s="10">
        <f>Upload!AK177</f>
        <v>0</v>
      </c>
      <c r="E178" s="10" t="str">
        <f>Upload!AF177</f>
        <v/>
      </c>
      <c r="F178" s="10" t="str">
        <f>Upload!AH177</f>
        <v/>
      </c>
      <c r="G178" s="10" t="str">
        <f>Upload!AE177</f>
        <v>(seleccione)</v>
      </c>
      <c r="H178" s="10" t="str">
        <f>Upload!AG177</f>
        <v>(seleccione)</v>
      </c>
      <c r="J178" s="16" t="str">
        <f t="shared" si="15"/>
        <v/>
      </c>
      <c r="K178" s="16" t="str">
        <f t="shared" si="16"/>
        <v/>
      </c>
      <c r="L178" s="16" t="str">
        <f t="shared" si="17"/>
        <v/>
      </c>
      <c r="M178" s="16" t="str">
        <f t="shared" si="18"/>
        <v/>
      </c>
      <c r="N178" s="16" t="str">
        <f t="shared" si="19"/>
        <v/>
      </c>
      <c r="O178" s="16" t="str">
        <f>IF(OR(N178="",NOT(OR(ISNUMBER(SEARCH("Antitarnish",Upload!N177&amp;Upload!O177&amp;Upload!P177&amp;Upload!Q177)),ISNUMBER(SEARCH("Anti Tarnish",Upload!N177&amp;Upload!O177&amp;Upload!P177&amp;Upload!Q177))))),"",0.0012*N178)</f>
        <v/>
      </c>
      <c r="P178" s="16" t="str">
        <f>IF(OR(D178="",NOT(OR(ISNUMBER(SEARCH("Epóx",Upload!N177&amp;Upload!O177&amp;Upload!P177&amp;Upload!Q177)),ISNUMBER(SEARCH("Epox",Upload!N177&amp;Upload!O177&amp;Upload!P177&amp;Upload!Q177)),ISNUMBER(SEARCH("Barniz",Upload!N177&amp;Upload!O177&amp;Upload!P177&amp;Upload!Q177))))),"",D178*0.000035)</f>
        <v/>
      </c>
      <c r="Q178" s="16" t="str">
        <f>IF(OR(D178="",NOT(OR(ISNUMBER(SEARCH("Epóx",Upload!N177&amp;Upload!O177&amp;Upload!P177&amp;Upload!Q177)),ISNUMBER(SEARCH("Epox",Upload!N177&amp;Upload!O177&amp;Upload!P177&amp;Upload!Q177)),ISNUMBER(SEARCH("Barniz",Upload!N177&amp;Upload!O177&amp;Upload!P177&amp;Upload!Q177))))),"",D178*0.000035)</f>
        <v/>
      </c>
      <c r="R178" s="16" t="str">
        <f t="shared" si="20"/>
        <v/>
      </c>
    </row>
    <row r="179" spans="1:18" x14ac:dyDescent="0.2">
      <c r="A179" s="10" t="e">
        <f t="shared" ref="A179:A242" ca="1" si="21">_xludf.ROW()-18</f>
        <v>#NAME?</v>
      </c>
      <c r="B179" s="10">
        <f>Upload!E178</f>
        <v>0</v>
      </c>
      <c r="C179" s="10">
        <f>Upload!AJ178</f>
        <v>0</v>
      </c>
      <c r="D179" s="10">
        <f>Upload!AK178</f>
        <v>0</v>
      </c>
      <c r="E179" s="10" t="str">
        <f>Upload!AF178</f>
        <v/>
      </c>
      <c r="F179" s="10" t="str">
        <f>Upload!AH178</f>
        <v/>
      </c>
      <c r="G179" s="10" t="str">
        <f>Upload!AE178</f>
        <v>(seleccione)</v>
      </c>
      <c r="H179" s="10" t="str">
        <f>Upload!AG178</f>
        <v>(seleccione)</v>
      </c>
      <c r="J179" s="16" t="str">
        <f t="shared" si="15"/>
        <v/>
      </c>
      <c r="K179" s="16" t="str">
        <f t="shared" si="16"/>
        <v/>
      </c>
      <c r="L179" s="16" t="str">
        <f t="shared" si="17"/>
        <v/>
      </c>
      <c r="M179" s="16" t="str">
        <f t="shared" si="18"/>
        <v/>
      </c>
      <c r="N179" s="16" t="str">
        <f t="shared" si="19"/>
        <v/>
      </c>
      <c r="O179" s="16" t="str">
        <f>IF(OR(N179="",NOT(OR(ISNUMBER(SEARCH("Antitarnish",Upload!N178&amp;Upload!O178&amp;Upload!P178&amp;Upload!Q178)),ISNUMBER(SEARCH("Anti Tarnish",Upload!N178&amp;Upload!O178&amp;Upload!P178&amp;Upload!Q178))))),"",0.0012*N179)</f>
        <v/>
      </c>
      <c r="P179" s="16" t="str">
        <f>IF(OR(D179="",NOT(OR(ISNUMBER(SEARCH("Epóx",Upload!N178&amp;Upload!O178&amp;Upload!P178&amp;Upload!Q178)),ISNUMBER(SEARCH("Epox",Upload!N178&amp;Upload!O178&amp;Upload!P178&amp;Upload!Q178)),ISNUMBER(SEARCH("Barniz",Upload!N178&amp;Upload!O178&amp;Upload!P178&amp;Upload!Q178))))),"",D179*0.000035)</f>
        <v/>
      </c>
      <c r="Q179" s="16" t="str">
        <f>IF(OR(D179="",NOT(OR(ISNUMBER(SEARCH("Epóx",Upload!N178&amp;Upload!O178&amp;Upload!P178&amp;Upload!Q178)),ISNUMBER(SEARCH("Epox",Upload!N178&amp;Upload!O178&amp;Upload!P178&amp;Upload!Q178)),ISNUMBER(SEARCH("Barniz",Upload!N178&amp;Upload!O178&amp;Upload!P178&amp;Upload!Q178))))),"",D179*0.000035)</f>
        <v/>
      </c>
      <c r="R179" s="16" t="str">
        <f t="shared" si="20"/>
        <v/>
      </c>
    </row>
    <row r="180" spans="1:18" x14ac:dyDescent="0.2">
      <c r="A180" s="10" t="e">
        <f t="shared" ca="1" si="21"/>
        <v>#NAME?</v>
      </c>
      <c r="B180" s="10">
        <f>Upload!E179</f>
        <v>0</v>
      </c>
      <c r="C180" s="10">
        <f>Upload!AJ179</f>
        <v>0</v>
      </c>
      <c r="D180" s="10">
        <f>Upload!AK179</f>
        <v>0</v>
      </c>
      <c r="E180" s="10" t="str">
        <f>Upload!AF179</f>
        <v/>
      </c>
      <c r="F180" s="10" t="str">
        <f>Upload!AH179</f>
        <v/>
      </c>
      <c r="G180" s="10" t="str">
        <f>Upload!AE179</f>
        <v>(seleccione)</v>
      </c>
      <c r="H180" s="10" t="str">
        <f>Upload!AG179</f>
        <v>(seleccione)</v>
      </c>
      <c r="J180" s="16" t="str">
        <f t="shared" si="15"/>
        <v/>
      </c>
      <c r="K180" s="16" t="str">
        <f t="shared" si="16"/>
        <v/>
      </c>
      <c r="L180" s="16" t="str">
        <f t="shared" si="17"/>
        <v/>
      </c>
      <c r="M180" s="16" t="str">
        <f t="shared" si="18"/>
        <v/>
      </c>
      <c r="N180" s="16" t="str">
        <f t="shared" si="19"/>
        <v/>
      </c>
      <c r="O180" s="16" t="str">
        <f>IF(OR(N180="",NOT(OR(ISNUMBER(SEARCH("Antitarnish",Upload!N179&amp;Upload!O179&amp;Upload!P179&amp;Upload!Q179)),ISNUMBER(SEARCH("Anti Tarnish",Upload!N179&amp;Upload!O179&amp;Upload!P179&amp;Upload!Q179))))),"",0.0012*N180)</f>
        <v/>
      </c>
      <c r="P180" s="16" t="str">
        <f>IF(OR(D180="",NOT(OR(ISNUMBER(SEARCH("Epóx",Upload!N179&amp;Upload!O179&amp;Upload!P179&amp;Upload!Q179)),ISNUMBER(SEARCH("Epox",Upload!N179&amp;Upload!O179&amp;Upload!P179&amp;Upload!Q179)),ISNUMBER(SEARCH("Barniz",Upload!N179&amp;Upload!O179&amp;Upload!P179&amp;Upload!Q179))))),"",D180*0.000035)</f>
        <v/>
      </c>
      <c r="Q180" s="16" t="str">
        <f>IF(OR(D180="",NOT(OR(ISNUMBER(SEARCH("Epóx",Upload!N179&amp;Upload!O179&amp;Upload!P179&amp;Upload!Q179)),ISNUMBER(SEARCH("Epox",Upload!N179&amp;Upload!O179&amp;Upload!P179&amp;Upload!Q179)),ISNUMBER(SEARCH("Barniz",Upload!N179&amp;Upload!O179&amp;Upload!P179&amp;Upload!Q179))))),"",D180*0.000035)</f>
        <v/>
      </c>
      <c r="R180" s="16" t="str">
        <f t="shared" si="20"/>
        <v/>
      </c>
    </row>
    <row r="181" spans="1:18" x14ac:dyDescent="0.2">
      <c r="A181" s="10" t="e">
        <f t="shared" ca="1" si="21"/>
        <v>#NAME?</v>
      </c>
      <c r="B181" s="10">
        <f>Upload!E180</f>
        <v>0</v>
      </c>
      <c r="C181" s="10">
        <f>Upload!AJ180</f>
        <v>0</v>
      </c>
      <c r="D181" s="10">
        <f>Upload!AK180</f>
        <v>0</v>
      </c>
      <c r="E181" s="10" t="str">
        <f>Upload!AF180</f>
        <v/>
      </c>
      <c r="F181" s="10" t="str">
        <f>Upload!AH180</f>
        <v/>
      </c>
      <c r="G181" s="10" t="str">
        <f>Upload!AE180</f>
        <v>(seleccione)</v>
      </c>
      <c r="H181" s="10" t="str">
        <f>Upload!AG180</f>
        <v>(seleccione)</v>
      </c>
      <c r="J181" s="16" t="str">
        <f t="shared" si="15"/>
        <v/>
      </c>
      <c r="K181" s="16" t="str">
        <f t="shared" si="16"/>
        <v/>
      </c>
      <c r="L181" s="16" t="str">
        <f t="shared" si="17"/>
        <v/>
      </c>
      <c r="M181" s="16" t="str">
        <f t="shared" si="18"/>
        <v/>
      </c>
      <c r="N181" s="16" t="str">
        <f t="shared" si="19"/>
        <v/>
      </c>
      <c r="O181" s="16" t="str">
        <f>IF(OR(N181="",NOT(OR(ISNUMBER(SEARCH("Antitarnish",Upload!N180&amp;Upload!O180&amp;Upload!P180&amp;Upload!Q180)),ISNUMBER(SEARCH("Anti Tarnish",Upload!N180&amp;Upload!O180&amp;Upload!P180&amp;Upload!Q180))))),"",0.0012*N181)</f>
        <v/>
      </c>
      <c r="P181" s="16" t="str">
        <f>IF(OR(D181="",NOT(OR(ISNUMBER(SEARCH("Epóx",Upload!N180&amp;Upload!O180&amp;Upload!P180&amp;Upload!Q180)),ISNUMBER(SEARCH("Epox",Upload!N180&amp;Upload!O180&amp;Upload!P180&amp;Upload!Q180)),ISNUMBER(SEARCH("Barniz",Upload!N180&amp;Upload!O180&amp;Upload!P180&amp;Upload!Q180))))),"",D181*0.000035)</f>
        <v/>
      </c>
      <c r="Q181" s="16" t="str">
        <f>IF(OR(D181="",NOT(OR(ISNUMBER(SEARCH("Epóx",Upload!N180&amp;Upload!O180&amp;Upload!P180&amp;Upload!Q180)),ISNUMBER(SEARCH("Epox",Upload!N180&amp;Upload!O180&amp;Upload!P180&amp;Upload!Q180)),ISNUMBER(SEARCH("Barniz",Upload!N180&amp;Upload!O180&amp;Upload!P180&amp;Upload!Q180))))),"",D181*0.000035)</f>
        <v/>
      </c>
      <c r="R181" s="16" t="str">
        <f t="shared" si="20"/>
        <v/>
      </c>
    </row>
    <row r="182" spans="1:18" x14ac:dyDescent="0.2">
      <c r="A182" s="10" t="e">
        <f t="shared" ca="1" si="21"/>
        <v>#NAME?</v>
      </c>
      <c r="B182" s="10">
        <f>Upload!E181</f>
        <v>0</v>
      </c>
      <c r="C182" s="10">
        <f>Upload!AJ181</f>
        <v>0</v>
      </c>
      <c r="D182" s="10">
        <f>Upload!AK181</f>
        <v>0</v>
      </c>
      <c r="E182" s="10" t="str">
        <f>Upload!AF181</f>
        <v/>
      </c>
      <c r="F182" s="10" t="str">
        <f>Upload!AH181</f>
        <v/>
      </c>
      <c r="G182" s="10" t="str">
        <f>Upload!AE181</f>
        <v>(seleccione)</v>
      </c>
      <c r="H182" s="10" t="str">
        <f>Upload!AG181</f>
        <v>(seleccione)</v>
      </c>
      <c r="J182" s="16" t="str">
        <f t="shared" si="15"/>
        <v/>
      </c>
      <c r="K182" s="16" t="str">
        <f t="shared" si="16"/>
        <v/>
      </c>
      <c r="L182" s="16" t="str">
        <f t="shared" si="17"/>
        <v/>
      </c>
      <c r="M182" s="16" t="str">
        <f t="shared" si="18"/>
        <v/>
      </c>
      <c r="N182" s="16" t="str">
        <f t="shared" si="19"/>
        <v/>
      </c>
      <c r="O182" s="16" t="str">
        <f>IF(OR(N182="",NOT(OR(ISNUMBER(SEARCH("Antitarnish",Upload!N181&amp;Upload!O181&amp;Upload!P181&amp;Upload!Q181)),ISNUMBER(SEARCH("Anti Tarnish",Upload!N181&amp;Upload!O181&amp;Upload!P181&amp;Upload!Q181))))),"",0.0012*N182)</f>
        <v/>
      </c>
      <c r="P182" s="16" t="str">
        <f>IF(OR(D182="",NOT(OR(ISNUMBER(SEARCH("Epóx",Upload!N181&amp;Upload!O181&amp;Upload!P181&amp;Upload!Q181)),ISNUMBER(SEARCH("Epox",Upload!N181&amp;Upload!O181&amp;Upload!P181&amp;Upload!Q181)),ISNUMBER(SEARCH("Barniz",Upload!N181&amp;Upload!O181&amp;Upload!P181&amp;Upload!Q181))))),"",D182*0.000035)</f>
        <v/>
      </c>
      <c r="Q182" s="16" t="str">
        <f>IF(OR(D182="",NOT(OR(ISNUMBER(SEARCH("Epóx",Upload!N181&amp;Upload!O181&amp;Upload!P181&amp;Upload!Q181)),ISNUMBER(SEARCH("Epox",Upload!N181&amp;Upload!O181&amp;Upload!P181&amp;Upload!Q181)),ISNUMBER(SEARCH("Barniz",Upload!N181&amp;Upload!O181&amp;Upload!P181&amp;Upload!Q181))))),"",D182*0.000035)</f>
        <v/>
      </c>
      <c r="R182" s="16" t="str">
        <f t="shared" si="20"/>
        <v/>
      </c>
    </row>
    <row r="183" spans="1:18" x14ac:dyDescent="0.2">
      <c r="A183" s="10" t="e">
        <f t="shared" ca="1" si="21"/>
        <v>#NAME?</v>
      </c>
      <c r="B183" s="10">
        <f>Upload!E182</f>
        <v>0</v>
      </c>
      <c r="C183" s="10">
        <f>Upload!AJ182</f>
        <v>0</v>
      </c>
      <c r="D183" s="10">
        <f>Upload!AK182</f>
        <v>0</v>
      </c>
      <c r="E183" s="10" t="str">
        <f>Upload!AF182</f>
        <v/>
      </c>
      <c r="F183" s="10" t="str">
        <f>Upload!AH182</f>
        <v/>
      </c>
      <c r="G183" s="10" t="str">
        <f>Upload!AE182</f>
        <v>(seleccione)</v>
      </c>
      <c r="H183" s="10" t="str">
        <f>Upload!AG182</f>
        <v>(seleccione)</v>
      </c>
      <c r="J183" s="16" t="str">
        <f t="shared" si="15"/>
        <v/>
      </c>
      <c r="K183" s="16" t="str">
        <f t="shared" si="16"/>
        <v/>
      </c>
      <c r="L183" s="16" t="str">
        <f t="shared" si="17"/>
        <v/>
      </c>
      <c r="M183" s="16" t="str">
        <f t="shared" si="18"/>
        <v/>
      </c>
      <c r="N183" s="16" t="str">
        <f t="shared" si="19"/>
        <v/>
      </c>
      <c r="O183" s="16" t="str">
        <f>IF(OR(N183="",NOT(OR(ISNUMBER(SEARCH("Antitarnish",Upload!N182&amp;Upload!O182&amp;Upload!P182&amp;Upload!Q182)),ISNUMBER(SEARCH("Anti Tarnish",Upload!N182&amp;Upload!O182&amp;Upload!P182&amp;Upload!Q182))))),"",0.0012*N183)</f>
        <v/>
      </c>
      <c r="P183" s="16" t="str">
        <f>IF(OR(D183="",NOT(OR(ISNUMBER(SEARCH("Epóx",Upload!N182&amp;Upload!O182&amp;Upload!P182&amp;Upload!Q182)),ISNUMBER(SEARCH("Epox",Upload!N182&amp;Upload!O182&amp;Upload!P182&amp;Upload!Q182)),ISNUMBER(SEARCH("Barniz",Upload!N182&amp;Upload!O182&amp;Upload!P182&amp;Upload!Q182))))),"",D183*0.000035)</f>
        <v/>
      </c>
      <c r="Q183" s="16" t="str">
        <f>IF(OR(D183="",NOT(OR(ISNUMBER(SEARCH("Epóx",Upload!N182&amp;Upload!O182&amp;Upload!P182&amp;Upload!Q182)),ISNUMBER(SEARCH("Epox",Upload!N182&amp;Upload!O182&amp;Upload!P182&amp;Upload!Q182)),ISNUMBER(SEARCH("Barniz",Upload!N182&amp;Upload!O182&amp;Upload!P182&amp;Upload!Q182))))),"",D183*0.000035)</f>
        <v/>
      </c>
      <c r="R183" s="16" t="str">
        <f t="shared" si="20"/>
        <v/>
      </c>
    </row>
    <row r="184" spans="1:18" x14ac:dyDescent="0.2">
      <c r="A184" s="10" t="e">
        <f t="shared" ca="1" si="21"/>
        <v>#NAME?</v>
      </c>
      <c r="B184" s="10">
        <f>Upload!E183</f>
        <v>0</v>
      </c>
      <c r="C184" s="10">
        <f>Upload!AJ183</f>
        <v>0</v>
      </c>
      <c r="D184" s="10">
        <f>Upload!AK183</f>
        <v>0</v>
      </c>
      <c r="E184" s="10" t="str">
        <f>Upload!AF183</f>
        <v/>
      </c>
      <c r="F184" s="10" t="str">
        <f>Upload!AH183</f>
        <v/>
      </c>
      <c r="G184" s="10" t="str">
        <f>Upload!AE183</f>
        <v>(seleccione)</v>
      </c>
      <c r="H184" s="10" t="str">
        <f>Upload!AG183</f>
        <v>(seleccione)</v>
      </c>
      <c r="J184" s="16" t="str">
        <f t="shared" si="15"/>
        <v/>
      </c>
      <c r="K184" s="16" t="str">
        <f t="shared" si="16"/>
        <v/>
      </c>
      <c r="L184" s="16" t="str">
        <f t="shared" si="17"/>
        <v/>
      </c>
      <c r="M184" s="16" t="str">
        <f t="shared" si="18"/>
        <v/>
      </c>
      <c r="N184" s="16" t="str">
        <f t="shared" si="19"/>
        <v/>
      </c>
      <c r="O184" s="16" t="str">
        <f>IF(OR(N184="",NOT(OR(ISNUMBER(SEARCH("Antitarnish",Upload!N183&amp;Upload!O183&amp;Upload!P183&amp;Upload!Q183)),ISNUMBER(SEARCH("Anti Tarnish",Upload!N183&amp;Upload!O183&amp;Upload!P183&amp;Upload!Q183))))),"",0.0012*N184)</f>
        <v/>
      </c>
      <c r="P184" s="16" t="str">
        <f>IF(OR(D184="",NOT(OR(ISNUMBER(SEARCH("Epóx",Upload!N183&amp;Upload!O183&amp;Upload!P183&amp;Upload!Q183)),ISNUMBER(SEARCH("Epox",Upload!N183&amp;Upload!O183&amp;Upload!P183&amp;Upload!Q183)),ISNUMBER(SEARCH("Barniz",Upload!N183&amp;Upload!O183&amp;Upload!P183&amp;Upload!Q183))))),"",D184*0.000035)</f>
        <v/>
      </c>
      <c r="Q184" s="16" t="str">
        <f>IF(OR(D184="",NOT(OR(ISNUMBER(SEARCH("Epóx",Upload!N183&amp;Upload!O183&amp;Upload!P183&amp;Upload!Q183)),ISNUMBER(SEARCH("Epox",Upload!N183&amp;Upload!O183&amp;Upload!P183&amp;Upload!Q183)),ISNUMBER(SEARCH("Barniz",Upload!N183&amp;Upload!O183&amp;Upload!P183&amp;Upload!Q183))))),"",D184*0.000035)</f>
        <v/>
      </c>
      <c r="R184" s="16" t="str">
        <f t="shared" si="20"/>
        <v/>
      </c>
    </row>
    <row r="185" spans="1:18" x14ac:dyDescent="0.2">
      <c r="A185" s="10" t="e">
        <f t="shared" ca="1" si="21"/>
        <v>#NAME?</v>
      </c>
      <c r="B185" s="10">
        <f>Upload!E184</f>
        <v>0</v>
      </c>
      <c r="C185" s="10">
        <f>Upload!AJ184</f>
        <v>0</v>
      </c>
      <c r="D185" s="10">
        <f>Upload!AK184</f>
        <v>0</v>
      </c>
      <c r="E185" s="10" t="str">
        <f>Upload!AF184</f>
        <v/>
      </c>
      <c r="F185" s="10" t="str">
        <f>Upload!AH184</f>
        <v/>
      </c>
      <c r="G185" s="10" t="str">
        <f>Upload!AE184</f>
        <v>(seleccione)</v>
      </c>
      <c r="H185" s="10" t="str">
        <f>Upload!AG184</f>
        <v>(seleccione)</v>
      </c>
      <c r="J185" s="16" t="str">
        <f t="shared" si="15"/>
        <v/>
      </c>
      <c r="K185" s="16" t="str">
        <f t="shared" si="16"/>
        <v/>
      </c>
      <c r="L185" s="16" t="str">
        <f t="shared" si="17"/>
        <v/>
      </c>
      <c r="M185" s="16" t="str">
        <f t="shared" si="18"/>
        <v/>
      </c>
      <c r="N185" s="16" t="str">
        <f t="shared" si="19"/>
        <v/>
      </c>
      <c r="O185" s="16" t="str">
        <f>IF(OR(N185="",NOT(OR(ISNUMBER(SEARCH("Antitarnish",Upload!N184&amp;Upload!O184&amp;Upload!P184&amp;Upload!Q184)),ISNUMBER(SEARCH("Anti Tarnish",Upload!N184&amp;Upload!O184&amp;Upload!P184&amp;Upload!Q184))))),"",0.0012*N185)</f>
        <v/>
      </c>
      <c r="P185" s="16" t="str">
        <f>IF(OR(D185="",NOT(OR(ISNUMBER(SEARCH("Epóx",Upload!N184&amp;Upload!O184&amp;Upload!P184&amp;Upload!Q184)),ISNUMBER(SEARCH("Epox",Upload!N184&amp;Upload!O184&amp;Upload!P184&amp;Upload!Q184)),ISNUMBER(SEARCH("Barniz",Upload!N184&amp;Upload!O184&amp;Upload!P184&amp;Upload!Q184))))),"",D185*0.000035)</f>
        <v/>
      </c>
      <c r="Q185" s="16" t="str">
        <f>IF(OR(D185="",NOT(OR(ISNUMBER(SEARCH("Epóx",Upload!N184&amp;Upload!O184&amp;Upload!P184&amp;Upload!Q184)),ISNUMBER(SEARCH("Epox",Upload!N184&amp;Upload!O184&amp;Upload!P184&amp;Upload!Q184)),ISNUMBER(SEARCH("Barniz",Upload!N184&amp;Upload!O184&amp;Upload!P184&amp;Upload!Q184))))),"",D185*0.000035)</f>
        <v/>
      </c>
      <c r="R185" s="16" t="str">
        <f t="shared" si="20"/>
        <v/>
      </c>
    </row>
    <row r="186" spans="1:18" x14ac:dyDescent="0.2">
      <c r="A186" s="10" t="e">
        <f t="shared" ca="1" si="21"/>
        <v>#NAME?</v>
      </c>
      <c r="B186" s="10">
        <f>Upload!E185</f>
        <v>0</v>
      </c>
      <c r="C186" s="10">
        <f>Upload!AJ185</f>
        <v>0</v>
      </c>
      <c r="D186" s="10">
        <f>Upload!AK185</f>
        <v>0</v>
      </c>
      <c r="E186" s="10" t="str">
        <f>Upload!AF185</f>
        <v/>
      </c>
      <c r="F186" s="10" t="str">
        <f>Upload!AH185</f>
        <v/>
      </c>
      <c r="G186" s="10" t="str">
        <f>Upload!AE185</f>
        <v>(seleccione)</v>
      </c>
      <c r="H186" s="10" t="str">
        <f>Upload!AG185</f>
        <v>(seleccione)</v>
      </c>
      <c r="J186" s="16" t="str">
        <f t="shared" si="15"/>
        <v/>
      </c>
      <c r="K186" s="16" t="str">
        <f t="shared" si="16"/>
        <v/>
      </c>
      <c r="L186" s="16" t="str">
        <f t="shared" si="17"/>
        <v/>
      </c>
      <c r="M186" s="16" t="str">
        <f t="shared" si="18"/>
        <v/>
      </c>
      <c r="N186" s="16" t="str">
        <f t="shared" si="19"/>
        <v/>
      </c>
      <c r="O186" s="16" t="str">
        <f>IF(OR(N186="",NOT(OR(ISNUMBER(SEARCH("Antitarnish",Upload!N185&amp;Upload!O185&amp;Upload!P185&amp;Upload!Q185)),ISNUMBER(SEARCH("Anti Tarnish",Upload!N185&amp;Upload!O185&amp;Upload!P185&amp;Upload!Q185))))),"",0.0012*N186)</f>
        <v/>
      </c>
      <c r="P186" s="16" t="str">
        <f>IF(OR(D186="",NOT(OR(ISNUMBER(SEARCH("Epóx",Upload!N185&amp;Upload!O185&amp;Upload!P185&amp;Upload!Q185)),ISNUMBER(SEARCH("Epox",Upload!N185&amp;Upload!O185&amp;Upload!P185&amp;Upload!Q185)),ISNUMBER(SEARCH("Barniz",Upload!N185&amp;Upload!O185&amp;Upload!P185&amp;Upload!Q185))))),"",D186*0.000035)</f>
        <v/>
      </c>
      <c r="Q186" s="16" t="str">
        <f>IF(OR(D186="",NOT(OR(ISNUMBER(SEARCH("Epóx",Upload!N185&amp;Upload!O185&amp;Upload!P185&amp;Upload!Q185)),ISNUMBER(SEARCH("Epox",Upload!N185&amp;Upload!O185&amp;Upload!P185&amp;Upload!Q185)),ISNUMBER(SEARCH("Barniz",Upload!N185&amp;Upload!O185&amp;Upload!P185&amp;Upload!Q185))))),"",D186*0.000035)</f>
        <v/>
      </c>
      <c r="R186" s="16" t="str">
        <f t="shared" si="20"/>
        <v/>
      </c>
    </row>
    <row r="187" spans="1:18" x14ac:dyDescent="0.2">
      <c r="A187" s="10" t="e">
        <f t="shared" ca="1" si="21"/>
        <v>#NAME?</v>
      </c>
      <c r="B187" s="10">
        <f>Upload!E186</f>
        <v>0</v>
      </c>
      <c r="C187" s="10">
        <f>Upload!AJ186</f>
        <v>0</v>
      </c>
      <c r="D187" s="10">
        <f>Upload!AK186</f>
        <v>0</v>
      </c>
      <c r="E187" s="10" t="str">
        <f>Upload!AF186</f>
        <v/>
      </c>
      <c r="F187" s="10" t="str">
        <f>Upload!AH186</f>
        <v/>
      </c>
      <c r="G187" s="10" t="str">
        <f>Upload!AE186</f>
        <v>(seleccione)</v>
      </c>
      <c r="H187" s="10" t="str">
        <f>Upload!AG186</f>
        <v>(seleccione)</v>
      </c>
      <c r="J187" s="16" t="str">
        <f t="shared" si="15"/>
        <v/>
      </c>
      <c r="K187" s="16" t="str">
        <f t="shared" si="16"/>
        <v/>
      </c>
      <c r="L187" s="16" t="str">
        <f t="shared" si="17"/>
        <v/>
      </c>
      <c r="M187" s="16" t="str">
        <f t="shared" si="18"/>
        <v/>
      </c>
      <c r="N187" s="16" t="str">
        <f t="shared" si="19"/>
        <v/>
      </c>
      <c r="O187" s="16" t="str">
        <f>IF(OR(N187="",NOT(OR(ISNUMBER(SEARCH("Antitarnish",Upload!N186&amp;Upload!O186&amp;Upload!P186&amp;Upload!Q186)),ISNUMBER(SEARCH("Anti Tarnish",Upload!N186&amp;Upload!O186&amp;Upload!P186&amp;Upload!Q186))))),"",0.0012*N187)</f>
        <v/>
      </c>
      <c r="P187" s="16" t="str">
        <f>IF(OR(D187="",NOT(OR(ISNUMBER(SEARCH("Epóx",Upload!N186&amp;Upload!O186&amp;Upload!P186&amp;Upload!Q186)),ISNUMBER(SEARCH("Epox",Upload!N186&amp;Upload!O186&amp;Upload!P186&amp;Upload!Q186)),ISNUMBER(SEARCH("Barniz",Upload!N186&amp;Upload!O186&amp;Upload!P186&amp;Upload!Q186))))),"",D187*0.000035)</f>
        <v/>
      </c>
      <c r="Q187" s="16" t="str">
        <f>IF(OR(D187="",NOT(OR(ISNUMBER(SEARCH("Epóx",Upload!N186&amp;Upload!O186&amp;Upload!P186&amp;Upload!Q186)),ISNUMBER(SEARCH("Epox",Upload!N186&amp;Upload!O186&amp;Upload!P186&amp;Upload!Q186)),ISNUMBER(SEARCH("Barniz",Upload!N186&amp;Upload!O186&amp;Upload!P186&amp;Upload!Q186))))),"",D187*0.000035)</f>
        <v/>
      </c>
      <c r="R187" s="16" t="str">
        <f t="shared" si="20"/>
        <v/>
      </c>
    </row>
    <row r="188" spans="1:18" x14ac:dyDescent="0.2">
      <c r="A188" s="10" t="e">
        <f t="shared" ca="1" si="21"/>
        <v>#NAME?</v>
      </c>
      <c r="B188" s="10">
        <f>Upload!E187</f>
        <v>0</v>
      </c>
      <c r="C188" s="10">
        <f>Upload!AJ187</f>
        <v>0</v>
      </c>
      <c r="D188" s="10">
        <f>Upload!AK187</f>
        <v>0</v>
      </c>
      <c r="E188" s="10" t="str">
        <f>Upload!AF187</f>
        <v/>
      </c>
      <c r="F188" s="10" t="str">
        <f>Upload!AH187</f>
        <v/>
      </c>
      <c r="G188" s="10" t="str">
        <f>Upload!AE187</f>
        <v>(seleccione)</v>
      </c>
      <c r="H188" s="10" t="str">
        <f>Upload!AG187</f>
        <v>(seleccione)</v>
      </c>
      <c r="J188" s="16" t="str">
        <f t="shared" si="15"/>
        <v/>
      </c>
      <c r="K188" s="16" t="str">
        <f t="shared" si="16"/>
        <v/>
      </c>
      <c r="L188" s="16" t="str">
        <f t="shared" si="17"/>
        <v/>
      </c>
      <c r="M188" s="16" t="str">
        <f t="shared" si="18"/>
        <v/>
      </c>
      <c r="N188" s="16" t="str">
        <f t="shared" si="19"/>
        <v/>
      </c>
      <c r="O188" s="16" t="str">
        <f>IF(OR(N188="",NOT(OR(ISNUMBER(SEARCH("Antitarnish",Upload!N187&amp;Upload!O187&amp;Upload!P187&amp;Upload!Q187)),ISNUMBER(SEARCH("Anti Tarnish",Upload!N187&amp;Upload!O187&amp;Upload!P187&amp;Upload!Q187))))),"",0.0012*N188)</f>
        <v/>
      </c>
      <c r="P188" s="16" t="str">
        <f>IF(OR(D188="",NOT(OR(ISNUMBER(SEARCH("Epóx",Upload!N187&amp;Upload!O187&amp;Upload!P187&amp;Upload!Q187)),ISNUMBER(SEARCH("Epox",Upload!N187&amp;Upload!O187&amp;Upload!P187&amp;Upload!Q187)),ISNUMBER(SEARCH("Barniz",Upload!N187&amp;Upload!O187&amp;Upload!P187&amp;Upload!Q187))))),"",D188*0.000035)</f>
        <v/>
      </c>
      <c r="Q188" s="16" t="str">
        <f>IF(OR(D188="",NOT(OR(ISNUMBER(SEARCH("Epóx",Upload!N187&amp;Upload!O187&amp;Upload!P187&amp;Upload!Q187)),ISNUMBER(SEARCH("Epox",Upload!N187&amp;Upload!O187&amp;Upload!P187&amp;Upload!Q187)),ISNUMBER(SEARCH("Barniz",Upload!N187&amp;Upload!O187&amp;Upload!P187&amp;Upload!Q187))))),"",D188*0.000035)</f>
        <v/>
      </c>
      <c r="R188" s="16" t="str">
        <f t="shared" si="20"/>
        <v/>
      </c>
    </row>
    <row r="189" spans="1:18" x14ac:dyDescent="0.2">
      <c r="A189" s="10" t="e">
        <f t="shared" ca="1" si="21"/>
        <v>#NAME?</v>
      </c>
      <c r="B189" s="10">
        <f>Upload!E188</f>
        <v>0</v>
      </c>
      <c r="C189" s="10">
        <f>Upload!AJ188</f>
        <v>0</v>
      </c>
      <c r="D189" s="10">
        <f>Upload!AK188</f>
        <v>0</v>
      </c>
      <c r="E189" s="10" t="str">
        <f>Upload!AF188</f>
        <v/>
      </c>
      <c r="F189" s="10" t="str">
        <f>Upload!AH188</f>
        <v/>
      </c>
      <c r="G189" s="10" t="str">
        <f>Upload!AE188</f>
        <v>(seleccione)</v>
      </c>
      <c r="H189" s="10" t="str">
        <f>Upload!AG188</f>
        <v>(seleccione)</v>
      </c>
      <c r="J189" s="16" t="str">
        <f t="shared" si="15"/>
        <v/>
      </c>
      <c r="K189" s="16" t="str">
        <f t="shared" si="16"/>
        <v/>
      </c>
      <c r="L189" s="16" t="str">
        <f t="shared" si="17"/>
        <v/>
      </c>
      <c r="M189" s="16" t="str">
        <f t="shared" si="18"/>
        <v/>
      </c>
      <c r="N189" s="16" t="str">
        <f t="shared" si="19"/>
        <v/>
      </c>
      <c r="O189" s="16" t="str">
        <f>IF(OR(N189="",NOT(OR(ISNUMBER(SEARCH("Antitarnish",Upload!N188&amp;Upload!O188&amp;Upload!P188&amp;Upload!Q188)),ISNUMBER(SEARCH("Anti Tarnish",Upload!N188&amp;Upload!O188&amp;Upload!P188&amp;Upload!Q188))))),"",0.0012*N189)</f>
        <v/>
      </c>
      <c r="P189" s="16" t="str">
        <f>IF(OR(D189="",NOT(OR(ISNUMBER(SEARCH("Epóx",Upload!N188&amp;Upload!O188&amp;Upload!P188&amp;Upload!Q188)),ISNUMBER(SEARCH("Epox",Upload!N188&amp;Upload!O188&amp;Upload!P188&amp;Upload!Q188)),ISNUMBER(SEARCH("Barniz",Upload!N188&amp;Upload!O188&amp;Upload!P188&amp;Upload!Q188))))),"",D189*0.000035)</f>
        <v/>
      </c>
      <c r="Q189" s="16" t="str">
        <f>IF(OR(D189="",NOT(OR(ISNUMBER(SEARCH("Epóx",Upload!N188&amp;Upload!O188&amp;Upload!P188&amp;Upload!Q188)),ISNUMBER(SEARCH("Epox",Upload!N188&amp;Upload!O188&amp;Upload!P188&amp;Upload!Q188)),ISNUMBER(SEARCH("Barniz",Upload!N188&amp;Upload!O188&amp;Upload!P188&amp;Upload!Q188))))),"",D189*0.000035)</f>
        <v/>
      </c>
      <c r="R189" s="16" t="str">
        <f t="shared" si="20"/>
        <v/>
      </c>
    </row>
    <row r="190" spans="1:18" x14ac:dyDescent="0.2">
      <c r="A190" s="10" t="e">
        <f t="shared" ca="1" si="21"/>
        <v>#NAME?</v>
      </c>
      <c r="B190" s="10">
        <f>Upload!E189</f>
        <v>0</v>
      </c>
      <c r="C190" s="10">
        <f>Upload!AJ189</f>
        <v>0</v>
      </c>
      <c r="D190" s="10">
        <f>Upload!AK189</f>
        <v>0</v>
      </c>
      <c r="E190" s="10" t="str">
        <f>Upload!AF189</f>
        <v/>
      </c>
      <c r="F190" s="10" t="str">
        <f>Upload!AH189</f>
        <v/>
      </c>
      <c r="G190" s="10" t="str">
        <f>Upload!AE189</f>
        <v>(seleccione)</v>
      </c>
      <c r="H190" s="10" t="str">
        <f>Upload!AG189</f>
        <v>(seleccione)</v>
      </c>
      <c r="J190" s="16" t="str">
        <f t="shared" si="15"/>
        <v/>
      </c>
      <c r="K190" s="16" t="str">
        <f t="shared" si="16"/>
        <v/>
      </c>
      <c r="L190" s="16" t="str">
        <f t="shared" si="17"/>
        <v/>
      </c>
      <c r="M190" s="16" t="str">
        <f t="shared" si="18"/>
        <v/>
      </c>
      <c r="N190" s="16" t="str">
        <f t="shared" si="19"/>
        <v/>
      </c>
      <c r="O190" s="16" t="str">
        <f>IF(OR(N190="",NOT(OR(ISNUMBER(SEARCH("Antitarnish",Upload!N189&amp;Upload!O189&amp;Upload!P189&amp;Upload!Q189)),ISNUMBER(SEARCH("Anti Tarnish",Upload!N189&amp;Upload!O189&amp;Upload!P189&amp;Upload!Q189))))),"",0.0012*N190)</f>
        <v/>
      </c>
      <c r="P190" s="16" t="str">
        <f>IF(OR(D190="",NOT(OR(ISNUMBER(SEARCH("Epóx",Upload!N189&amp;Upload!O189&amp;Upload!P189&amp;Upload!Q189)),ISNUMBER(SEARCH("Epox",Upload!N189&amp;Upload!O189&amp;Upload!P189&amp;Upload!Q189)),ISNUMBER(SEARCH("Barniz",Upload!N189&amp;Upload!O189&amp;Upload!P189&amp;Upload!Q189))))),"",D190*0.000035)</f>
        <v/>
      </c>
      <c r="Q190" s="16" t="str">
        <f>IF(OR(D190="",NOT(OR(ISNUMBER(SEARCH("Epóx",Upload!N189&amp;Upload!O189&amp;Upload!P189&amp;Upload!Q189)),ISNUMBER(SEARCH("Epox",Upload!N189&amp;Upload!O189&amp;Upload!P189&amp;Upload!Q189)),ISNUMBER(SEARCH("Barniz",Upload!N189&amp;Upload!O189&amp;Upload!P189&amp;Upload!Q189))))),"",D190*0.000035)</f>
        <v/>
      </c>
      <c r="R190" s="16" t="str">
        <f t="shared" si="20"/>
        <v/>
      </c>
    </row>
    <row r="191" spans="1:18" x14ac:dyDescent="0.2">
      <c r="A191" s="10" t="e">
        <f t="shared" ca="1" si="21"/>
        <v>#NAME?</v>
      </c>
      <c r="B191" s="10">
        <f>Upload!E190</f>
        <v>0</v>
      </c>
      <c r="C191" s="10">
        <f>Upload!AJ190</f>
        <v>0</v>
      </c>
      <c r="D191" s="10">
        <f>Upload!AK190</f>
        <v>0</v>
      </c>
      <c r="E191" s="10" t="str">
        <f>Upload!AF190</f>
        <v/>
      </c>
      <c r="F191" s="10" t="str">
        <f>Upload!AH190</f>
        <v/>
      </c>
      <c r="G191" s="10" t="str">
        <f>Upload!AE190</f>
        <v>(seleccione)</v>
      </c>
      <c r="H191" s="10" t="str">
        <f>Upload!AG190</f>
        <v>(seleccione)</v>
      </c>
      <c r="J191" s="16" t="str">
        <f t="shared" si="15"/>
        <v/>
      </c>
      <c r="K191" s="16" t="str">
        <f t="shared" si="16"/>
        <v/>
      </c>
      <c r="L191" s="16" t="str">
        <f t="shared" si="17"/>
        <v/>
      </c>
      <c r="M191" s="16" t="str">
        <f t="shared" si="18"/>
        <v/>
      </c>
      <c r="N191" s="16" t="str">
        <f t="shared" si="19"/>
        <v/>
      </c>
      <c r="O191" s="16" t="str">
        <f>IF(OR(N191="",NOT(OR(ISNUMBER(SEARCH("Antitarnish",Upload!N190&amp;Upload!O190&amp;Upload!P190&amp;Upload!Q190)),ISNUMBER(SEARCH("Anti Tarnish",Upload!N190&amp;Upload!O190&amp;Upload!P190&amp;Upload!Q190))))),"",0.0012*N191)</f>
        <v/>
      </c>
      <c r="P191" s="16" t="str">
        <f>IF(OR(D191="",NOT(OR(ISNUMBER(SEARCH("Epóx",Upload!N190&amp;Upload!O190&amp;Upload!P190&amp;Upload!Q190)),ISNUMBER(SEARCH("Epox",Upload!N190&amp;Upload!O190&amp;Upload!P190&amp;Upload!Q190)),ISNUMBER(SEARCH("Barniz",Upload!N190&amp;Upload!O190&amp;Upload!P190&amp;Upload!Q190))))),"",D191*0.000035)</f>
        <v/>
      </c>
      <c r="Q191" s="16" t="str">
        <f>IF(OR(D191="",NOT(OR(ISNUMBER(SEARCH("Epóx",Upload!N190&amp;Upload!O190&amp;Upload!P190&amp;Upload!Q190)),ISNUMBER(SEARCH("Epox",Upload!N190&amp;Upload!O190&amp;Upload!P190&amp;Upload!Q190)),ISNUMBER(SEARCH("Barniz",Upload!N190&amp;Upload!O190&amp;Upload!P190&amp;Upload!Q190))))),"",D191*0.000035)</f>
        <v/>
      </c>
      <c r="R191" s="16" t="str">
        <f t="shared" si="20"/>
        <v/>
      </c>
    </row>
    <row r="192" spans="1:18" x14ac:dyDescent="0.2">
      <c r="A192" s="10" t="e">
        <f t="shared" ca="1" si="21"/>
        <v>#NAME?</v>
      </c>
      <c r="B192" s="10">
        <f>Upload!E191</f>
        <v>0</v>
      </c>
      <c r="C192" s="10">
        <f>Upload!AJ191</f>
        <v>0</v>
      </c>
      <c r="D192" s="10">
        <f>Upload!AK191</f>
        <v>0</v>
      </c>
      <c r="E192" s="10" t="str">
        <f>Upload!AF191</f>
        <v/>
      </c>
      <c r="F192" s="10" t="str">
        <f>Upload!AH191</f>
        <v/>
      </c>
      <c r="G192" s="10" t="str">
        <f>Upload!AE191</f>
        <v>(seleccione)</v>
      </c>
      <c r="H192" s="10" t="str">
        <f>Upload!AG191</f>
        <v>(seleccione)</v>
      </c>
      <c r="J192" s="16" t="str">
        <f t="shared" si="15"/>
        <v/>
      </c>
      <c r="K192" s="16" t="str">
        <f t="shared" si="16"/>
        <v/>
      </c>
      <c r="L192" s="16" t="str">
        <f t="shared" si="17"/>
        <v/>
      </c>
      <c r="M192" s="16" t="str">
        <f t="shared" si="18"/>
        <v/>
      </c>
      <c r="N192" s="16" t="str">
        <f t="shared" si="19"/>
        <v/>
      </c>
      <c r="O192" s="16" t="str">
        <f>IF(OR(N192="",NOT(OR(ISNUMBER(SEARCH("Antitarnish",Upload!N191&amp;Upload!O191&amp;Upload!P191&amp;Upload!Q191)),ISNUMBER(SEARCH("Anti Tarnish",Upload!N191&amp;Upload!O191&amp;Upload!P191&amp;Upload!Q191))))),"",0.0012*N192)</f>
        <v/>
      </c>
      <c r="P192" s="16" t="str">
        <f>IF(OR(D192="",NOT(OR(ISNUMBER(SEARCH("Epóx",Upload!N191&amp;Upload!O191&amp;Upload!P191&amp;Upload!Q191)),ISNUMBER(SEARCH("Epox",Upload!N191&amp;Upload!O191&amp;Upload!P191&amp;Upload!Q191)),ISNUMBER(SEARCH("Barniz",Upload!N191&amp;Upload!O191&amp;Upload!P191&amp;Upload!Q191))))),"",D192*0.000035)</f>
        <v/>
      </c>
      <c r="Q192" s="16" t="str">
        <f>IF(OR(D192="",NOT(OR(ISNUMBER(SEARCH("Epóx",Upload!N191&amp;Upload!O191&amp;Upload!P191&amp;Upload!Q191)),ISNUMBER(SEARCH("Epox",Upload!N191&amp;Upload!O191&amp;Upload!P191&amp;Upload!Q191)),ISNUMBER(SEARCH("Barniz",Upload!N191&amp;Upload!O191&amp;Upload!P191&amp;Upload!Q191))))),"",D192*0.000035)</f>
        <v/>
      </c>
      <c r="R192" s="16" t="str">
        <f t="shared" si="20"/>
        <v/>
      </c>
    </row>
    <row r="193" spans="1:18" x14ac:dyDescent="0.2">
      <c r="A193" s="10" t="e">
        <f t="shared" ca="1" si="21"/>
        <v>#NAME?</v>
      </c>
      <c r="B193" s="10">
        <f>Upload!E192</f>
        <v>0</v>
      </c>
      <c r="C193" s="10">
        <f>Upload!AJ192</f>
        <v>0</v>
      </c>
      <c r="D193" s="10">
        <f>Upload!AK192</f>
        <v>0</v>
      </c>
      <c r="E193" s="10" t="str">
        <f>Upload!AF192</f>
        <v/>
      </c>
      <c r="F193" s="10" t="str">
        <f>Upload!AH192</f>
        <v/>
      </c>
      <c r="G193" s="10" t="str">
        <f>Upload!AE192</f>
        <v>(seleccione)</v>
      </c>
      <c r="H193" s="10" t="str">
        <f>Upload!AG192</f>
        <v>(seleccione)</v>
      </c>
      <c r="J193" s="16" t="str">
        <f t="shared" si="15"/>
        <v/>
      </c>
      <c r="K193" s="16" t="str">
        <f t="shared" si="16"/>
        <v/>
      </c>
      <c r="L193" s="16" t="str">
        <f t="shared" si="17"/>
        <v/>
      </c>
      <c r="M193" s="16" t="str">
        <f t="shared" si="18"/>
        <v/>
      </c>
      <c r="N193" s="16" t="str">
        <f t="shared" si="19"/>
        <v/>
      </c>
      <c r="O193" s="16" t="str">
        <f>IF(OR(N193="",NOT(OR(ISNUMBER(SEARCH("Antitarnish",Upload!N192&amp;Upload!O192&amp;Upload!P192&amp;Upload!Q192)),ISNUMBER(SEARCH("Anti Tarnish",Upload!N192&amp;Upload!O192&amp;Upload!P192&amp;Upload!Q192))))),"",0.0012*N193)</f>
        <v/>
      </c>
      <c r="P193" s="16" t="str">
        <f>IF(OR(D193="",NOT(OR(ISNUMBER(SEARCH("Epóx",Upload!N192&amp;Upload!O192&amp;Upload!P192&amp;Upload!Q192)),ISNUMBER(SEARCH("Epox",Upload!N192&amp;Upload!O192&amp;Upload!P192&amp;Upload!Q192)),ISNUMBER(SEARCH("Barniz",Upload!N192&amp;Upload!O192&amp;Upload!P192&amp;Upload!Q192))))),"",D193*0.000035)</f>
        <v/>
      </c>
      <c r="Q193" s="16" t="str">
        <f>IF(OR(D193="",NOT(OR(ISNUMBER(SEARCH("Epóx",Upload!N192&amp;Upload!O192&amp;Upload!P192&amp;Upload!Q192)),ISNUMBER(SEARCH("Epox",Upload!N192&amp;Upload!O192&amp;Upload!P192&amp;Upload!Q192)),ISNUMBER(SEARCH("Barniz",Upload!N192&amp;Upload!O192&amp;Upload!P192&amp;Upload!Q192))))),"",D193*0.000035)</f>
        <v/>
      </c>
      <c r="R193" s="16" t="str">
        <f t="shared" si="20"/>
        <v/>
      </c>
    </row>
    <row r="194" spans="1:18" x14ac:dyDescent="0.2">
      <c r="A194" s="10" t="e">
        <f t="shared" ca="1" si="21"/>
        <v>#NAME?</v>
      </c>
      <c r="B194" s="10">
        <f>Upload!E193</f>
        <v>0</v>
      </c>
      <c r="C194" s="10">
        <f>Upload!AJ193</f>
        <v>0</v>
      </c>
      <c r="D194" s="10">
        <f>Upload!AK193</f>
        <v>0</v>
      </c>
      <c r="E194" s="10" t="str">
        <f>Upload!AF193</f>
        <v/>
      </c>
      <c r="F194" s="10" t="str">
        <f>Upload!AH193</f>
        <v/>
      </c>
      <c r="G194" s="10" t="str">
        <f>Upload!AE193</f>
        <v>(seleccione)</v>
      </c>
      <c r="H194" s="10" t="str">
        <f>Upload!AG193</f>
        <v>(seleccione)</v>
      </c>
      <c r="J194" s="16" t="str">
        <f t="shared" si="15"/>
        <v/>
      </c>
      <c r="K194" s="16" t="str">
        <f t="shared" si="16"/>
        <v/>
      </c>
      <c r="L194" s="16" t="str">
        <f t="shared" si="17"/>
        <v/>
      </c>
      <c r="M194" s="16" t="str">
        <f t="shared" si="18"/>
        <v/>
      </c>
      <c r="N194" s="16" t="str">
        <f t="shared" si="19"/>
        <v/>
      </c>
      <c r="O194" s="16" t="str">
        <f>IF(OR(N194="",NOT(OR(ISNUMBER(SEARCH("Antitarnish",Upload!N193&amp;Upload!O193&amp;Upload!P193&amp;Upload!Q193)),ISNUMBER(SEARCH("Anti Tarnish",Upload!N193&amp;Upload!O193&amp;Upload!P193&amp;Upload!Q193))))),"",0.0012*N194)</f>
        <v/>
      </c>
      <c r="P194" s="16" t="str">
        <f>IF(OR(D194="",NOT(OR(ISNUMBER(SEARCH("Epóx",Upload!N193&amp;Upload!O193&amp;Upload!P193&amp;Upload!Q193)),ISNUMBER(SEARCH("Epox",Upload!N193&amp;Upload!O193&amp;Upload!P193&amp;Upload!Q193)),ISNUMBER(SEARCH("Barniz",Upload!N193&amp;Upload!O193&amp;Upload!P193&amp;Upload!Q193))))),"",D194*0.000035)</f>
        <v/>
      </c>
      <c r="Q194" s="16" t="str">
        <f>IF(OR(D194="",NOT(OR(ISNUMBER(SEARCH("Epóx",Upload!N193&amp;Upload!O193&amp;Upload!P193&amp;Upload!Q193)),ISNUMBER(SEARCH("Epox",Upload!N193&amp;Upload!O193&amp;Upload!P193&amp;Upload!Q193)),ISNUMBER(SEARCH("Barniz",Upload!N193&amp;Upload!O193&amp;Upload!P193&amp;Upload!Q193))))),"",D194*0.000035)</f>
        <v/>
      </c>
      <c r="R194" s="16" t="str">
        <f t="shared" si="20"/>
        <v/>
      </c>
    </row>
    <row r="195" spans="1:18" x14ac:dyDescent="0.2">
      <c r="A195" s="10" t="e">
        <f t="shared" ca="1" si="21"/>
        <v>#NAME?</v>
      </c>
      <c r="B195" s="10">
        <f>Upload!E194</f>
        <v>0</v>
      </c>
      <c r="C195" s="10">
        <f>Upload!AJ194</f>
        <v>0</v>
      </c>
      <c r="D195" s="10">
        <f>Upload!AK194</f>
        <v>0</v>
      </c>
      <c r="E195" s="10" t="str">
        <f>Upload!AF194</f>
        <v/>
      </c>
      <c r="F195" s="10" t="str">
        <f>Upload!AH194</f>
        <v/>
      </c>
      <c r="G195" s="10" t="str">
        <f>Upload!AE194</f>
        <v>(seleccione)</v>
      </c>
      <c r="H195" s="10" t="str">
        <f>Upload!AG194</f>
        <v>(seleccione)</v>
      </c>
      <c r="J195" s="16" t="str">
        <f t="shared" si="15"/>
        <v/>
      </c>
      <c r="K195" s="16" t="str">
        <f t="shared" si="16"/>
        <v/>
      </c>
      <c r="L195" s="16" t="str">
        <f t="shared" si="17"/>
        <v/>
      </c>
      <c r="M195" s="16" t="str">
        <f t="shared" si="18"/>
        <v/>
      </c>
      <c r="N195" s="16" t="str">
        <f t="shared" si="19"/>
        <v/>
      </c>
      <c r="O195" s="16" t="str">
        <f>IF(OR(N195="",NOT(OR(ISNUMBER(SEARCH("Antitarnish",Upload!N194&amp;Upload!O194&amp;Upload!P194&amp;Upload!Q194)),ISNUMBER(SEARCH("Anti Tarnish",Upload!N194&amp;Upload!O194&amp;Upload!P194&amp;Upload!Q194))))),"",0.0012*N195)</f>
        <v/>
      </c>
      <c r="P195" s="16" t="str">
        <f>IF(OR(D195="",NOT(OR(ISNUMBER(SEARCH("Epóx",Upload!N194&amp;Upload!O194&amp;Upload!P194&amp;Upload!Q194)),ISNUMBER(SEARCH("Epox",Upload!N194&amp;Upload!O194&amp;Upload!P194&amp;Upload!Q194)),ISNUMBER(SEARCH("Barniz",Upload!N194&amp;Upload!O194&amp;Upload!P194&amp;Upload!Q194))))),"",D195*0.000035)</f>
        <v/>
      </c>
      <c r="Q195" s="16" t="str">
        <f>IF(OR(D195="",NOT(OR(ISNUMBER(SEARCH("Epóx",Upload!N194&amp;Upload!O194&amp;Upload!P194&amp;Upload!Q194)),ISNUMBER(SEARCH("Epox",Upload!N194&amp;Upload!O194&amp;Upload!P194&amp;Upload!Q194)),ISNUMBER(SEARCH("Barniz",Upload!N194&amp;Upload!O194&amp;Upload!P194&amp;Upload!Q194))))),"",D195*0.000035)</f>
        <v/>
      </c>
      <c r="R195" s="16" t="str">
        <f t="shared" si="20"/>
        <v/>
      </c>
    </row>
    <row r="196" spans="1:18" x14ac:dyDescent="0.2">
      <c r="A196" s="10" t="e">
        <f t="shared" ca="1" si="21"/>
        <v>#NAME?</v>
      </c>
      <c r="B196" s="10">
        <f>Upload!E195</f>
        <v>0</v>
      </c>
      <c r="C196" s="10">
        <f>Upload!AJ195</f>
        <v>0</v>
      </c>
      <c r="D196" s="10">
        <f>Upload!AK195</f>
        <v>0</v>
      </c>
      <c r="E196" s="10" t="str">
        <f>Upload!AF195</f>
        <v/>
      </c>
      <c r="F196" s="10" t="str">
        <f>Upload!AH195</f>
        <v/>
      </c>
      <c r="G196" s="10" t="str">
        <f>Upload!AE195</f>
        <v>(seleccione)</v>
      </c>
      <c r="H196" s="10" t="str">
        <f>Upload!AG195</f>
        <v>(seleccione)</v>
      </c>
      <c r="J196" s="16" t="str">
        <f t="shared" si="15"/>
        <v/>
      </c>
      <c r="K196" s="16" t="str">
        <f t="shared" si="16"/>
        <v/>
      </c>
      <c r="L196" s="16" t="str">
        <f t="shared" si="17"/>
        <v/>
      </c>
      <c r="M196" s="16" t="str">
        <f t="shared" si="18"/>
        <v/>
      </c>
      <c r="N196" s="16" t="str">
        <f t="shared" si="19"/>
        <v/>
      </c>
      <c r="O196" s="16" t="str">
        <f>IF(OR(N196="",NOT(OR(ISNUMBER(SEARCH("Antitarnish",Upload!N195&amp;Upload!O195&amp;Upload!P195&amp;Upload!Q195)),ISNUMBER(SEARCH("Anti Tarnish",Upload!N195&amp;Upload!O195&amp;Upload!P195&amp;Upload!Q195))))),"",0.0012*N196)</f>
        <v/>
      </c>
      <c r="P196" s="16" t="str">
        <f>IF(OR(D196="",NOT(OR(ISNUMBER(SEARCH("Epóx",Upload!N195&amp;Upload!O195&amp;Upload!P195&amp;Upload!Q195)),ISNUMBER(SEARCH("Epox",Upload!N195&amp;Upload!O195&amp;Upload!P195&amp;Upload!Q195)),ISNUMBER(SEARCH("Barniz",Upload!N195&amp;Upload!O195&amp;Upload!P195&amp;Upload!Q195))))),"",D196*0.000035)</f>
        <v/>
      </c>
      <c r="Q196" s="16" t="str">
        <f>IF(OR(D196="",NOT(OR(ISNUMBER(SEARCH("Epóx",Upload!N195&amp;Upload!O195&amp;Upload!P195&amp;Upload!Q195)),ISNUMBER(SEARCH("Epox",Upload!N195&amp;Upload!O195&amp;Upload!P195&amp;Upload!Q195)),ISNUMBER(SEARCH("Barniz",Upload!N195&amp;Upload!O195&amp;Upload!P195&amp;Upload!Q195))))),"",D196*0.000035)</f>
        <v/>
      </c>
      <c r="R196" s="16" t="str">
        <f t="shared" si="20"/>
        <v/>
      </c>
    </row>
    <row r="197" spans="1:18" x14ac:dyDescent="0.2">
      <c r="A197" s="10" t="e">
        <f t="shared" ca="1" si="21"/>
        <v>#NAME?</v>
      </c>
      <c r="B197" s="10">
        <f>Upload!E196</f>
        <v>0</v>
      </c>
      <c r="C197" s="10">
        <f>Upload!AJ196</f>
        <v>0</v>
      </c>
      <c r="D197" s="10">
        <f>Upload!AK196</f>
        <v>0</v>
      </c>
      <c r="E197" s="10" t="str">
        <f>Upload!AF196</f>
        <v/>
      </c>
      <c r="F197" s="10" t="str">
        <f>Upload!AH196</f>
        <v/>
      </c>
      <c r="G197" s="10" t="str">
        <f>Upload!AE196</f>
        <v>(seleccione)</v>
      </c>
      <c r="H197" s="10" t="str">
        <f>Upload!AG196</f>
        <v>(seleccione)</v>
      </c>
      <c r="J197" s="16" t="str">
        <f t="shared" si="15"/>
        <v/>
      </c>
      <c r="K197" s="16" t="str">
        <f t="shared" si="16"/>
        <v/>
      </c>
      <c r="L197" s="16" t="str">
        <f t="shared" si="17"/>
        <v/>
      </c>
      <c r="M197" s="16" t="str">
        <f t="shared" si="18"/>
        <v/>
      </c>
      <c r="N197" s="16" t="str">
        <f t="shared" si="19"/>
        <v/>
      </c>
      <c r="O197" s="16" t="str">
        <f>IF(OR(N197="",NOT(OR(ISNUMBER(SEARCH("Antitarnish",Upload!N196&amp;Upload!O196&amp;Upload!P196&amp;Upload!Q196)),ISNUMBER(SEARCH("Anti Tarnish",Upload!N196&amp;Upload!O196&amp;Upload!P196&amp;Upload!Q196))))),"",0.0012*N197)</f>
        <v/>
      </c>
      <c r="P197" s="16" t="str">
        <f>IF(OR(D197="",NOT(OR(ISNUMBER(SEARCH("Epóx",Upload!N196&amp;Upload!O196&amp;Upload!P196&amp;Upload!Q196)),ISNUMBER(SEARCH("Epox",Upload!N196&amp;Upload!O196&amp;Upload!P196&amp;Upload!Q196)),ISNUMBER(SEARCH("Barniz",Upload!N196&amp;Upload!O196&amp;Upload!P196&amp;Upload!Q196))))),"",D197*0.000035)</f>
        <v/>
      </c>
      <c r="Q197" s="16" t="str">
        <f>IF(OR(D197="",NOT(OR(ISNUMBER(SEARCH("Epóx",Upload!N196&amp;Upload!O196&amp;Upload!P196&amp;Upload!Q196)),ISNUMBER(SEARCH("Epox",Upload!N196&amp;Upload!O196&amp;Upload!P196&amp;Upload!Q196)),ISNUMBER(SEARCH("Barniz",Upload!N196&amp;Upload!O196&amp;Upload!P196&amp;Upload!Q196))))),"",D197*0.000035)</f>
        <v/>
      </c>
      <c r="R197" s="16" t="str">
        <f t="shared" si="20"/>
        <v/>
      </c>
    </row>
    <row r="198" spans="1:18" x14ac:dyDescent="0.2">
      <c r="A198" s="10" t="e">
        <f t="shared" ca="1" si="21"/>
        <v>#NAME?</v>
      </c>
      <c r="B198" s="10">
        <f>Upload!E197</f>
        <v>0</v>
      </c>
      <c r="C198" s="10">
        <f>Upload!AJ197</f>
        <v>0</v>
      </c>
      <c r="D198" s="10">
        <f>Upload!AK197</f>
        <v>0</v>
      </c>
      <c r="E198" s="10" t="str">
        <f>Upload!AF197</f>
        <v/>
      </c>
      <c r="F198" s="10" t="str">
        <f>Upload!AH197</f>
        <v/>
      </c>
      <c r="G198" s="10" t="str">
        <f>Upload!AE197</f>
        <v>(seleccione)</v>
      </c>
      <c r="H198" s="10" t="str">
        <f>Upload!AG197</f>
        <v>(seleccione)</v>
      </c>
      <c r="J198" s="16" t="str">
        <f t="shared" ref="J198:J261" si="22">IFERROR(IF(OR(C198="",IF(ISNUMBER(SEARCH("Plata",G198)),E198,IF(ISNUMBER(SEARCH("Plata",H198)),F198,""))=""),"",$D$6*C198*(IF(ISNUMBER(SEARCH("Plata",G198)),E198,IF(ISNUMBER(SEARCH("Plata",H198)),F198,"")))/10000000),"")</f>
        <v/>
      </c>
      <c r="K198" s="16" t="str">
        <f t="shared" ref="K198:K261" si="23">IFERROR(IF(OR(C198="",IF(OR(ISNUMBER(SEARCH("Estaño",G198)),ISNUMBER(SEARCH("Estañ",G198)),ISNUMBER(SEARCH("Tin",G198))),E198,IF(OR(ISNUMBER(SEARCH("Estaño",H198)),ISNUMBER(SEARCH("Estañ",H198)),ISNUMBER(SEARCH("Tin",H198))),F198,""))=""),"",$D$7*C198*(IF(OR(ISNUMBER(SEARCH("Estaño",G198)),ISNUMBER(SEARCH("Estañ",G198)),ISNUMBER(SEARCH("Tin",G198))),E198,IF(OR(ISNUMBER(SEARCH("Estaño",H198)),ISNUMBER(SEARCH("Estañ",H198)),ISNUMBER(SEARCH("Tin",H198))),F198,"")))/10000000),"")</f>
        <v/>
      </c>
      <c r="L198" s="16" t="str">
        <f t="shared" ref="L198:L261" si="24">IFERROR(IF(OR(C198="",IF(OR(ISNUMBER(SEARCH("Níquel",G198)),ISNUMBER(SEARCH("Niquel",G198))),E198,IF(OR(ISNUMBER(SEARCH("Níquel",H198)),ISNUMBER(SEARCH("Niquel",H198))),F198,""))=""),"",$D$8*C198*(IF(OR(ISNUMBER(SEARCH("Níquel",G198)),ISNUMBER(SEARCH("Niquel",G198))),E198,IF(OR(ISNUMBER(SEARCH("Níquel",H198)),ISNUMBER(SEARCH("Niquel",H198))),F198,"")))/10000000),"")</f>
        <v/>
      </c>
      <c r="M198" s="16" t="str">
        <f t="shared" ref="M198:M261" si="25">IFERROR(IF(OR(C198="",IF(ISNUMBER(SEARCH("Zinc",G198)),E198,IF(ISNUMBER(SEARCH("Zinc",H198)),F198,""))=""),"",$D$9*C198*(IF(ISNUMBER(SEARCH("Zinc",G198)),E198,IF(ISNUMBER(SEARCH("Zinc",H198)),F198,"")))/10000000),"")</f>
        <v/>
      </c>
      <c r="N198" s="16" t="str">
        <f t="shared" ref="N198:N261" si="26">IFERROR(IF(OR(C198="",IF(OR(ISNUMBER(SEARCH("Cobre",G198)),ISNUMBER(SEARCH("Bondal",G198))),E198,IF(OR(ISNUMBER(SEARCH("Cobre",H198)),ISNUMBER(SEARCH("Bondal",H198))),F198,""))=""),"",$D$10*C198*(IF(OR(ISNUMBER(SEARCH("Cobre",G198)),ISNUMBER(SEARCH("Bondal",G198))),E198,IF(OR(ISNUMBER(SEARCH("Cobre",H198)),ISNUMBER(SEARCH("Bondal",H198))),F198,"")))/10000000),"")</f>
        <v/>
      </c>
      <c r="O198" s="16" t="str">
        <f>IF(OR(N198="",NOT(OR(ISNUMBER(SEARCH("Antitarnish",Upload!N197&amp;Upload!O197&amp;Upload!P197&amp;Upload!Q197)),ISNUMBER(SEARCH("Anti Tarnish",Upload!N197&amp;Upload!O197&amp;Upload!P197&amp;Upload!Q197))))),"",0.0012*N198)</f>
        <v/>
      </c>
      <c r="P198" s="16" t="str">
        <f>IF(OR(D198="",NOT(OR(ISNUMBER(SEARCH("Epóx",Upload!N197&amp;Upload!O197&amp;Upload!P197&amp;Upload!Q197)),ISNUMBER(SEARCH("Epox",Upload!N197&amp;Upload!O197&amp;Upload!P197&amp;Upload!Q197)),ISNUMBER(SEARCH("Barniz",Upload!N197&amp;Upload!O197&amp;Upload!P197&amp;Upload!Q197))))),"",D198*0.000035)</f>
        <v/>
      </c>
      <c r="Q198" s="16" t="str">
        <f>IF(OR(D198="",NOT(OR(ISNUMBER(SEARCH("Epóx",Upload!N197&amp;Upload!O197&amp;Upload!P197&amp;Upload!Q197)),ISNUMBER(SEARCH("Epox",Upload!N197&amp;Upload!O197&amp;Upload!P197&amp;Upload!Q197)),ISNUMBER(SEARCH("Barniz",Upload!N197&amp;Upload!O197&amp;Upload!P197&amp;Upload!Q197))))),"",D198*0.000035)</f>
        <v/>
      </c>
      <c r="R198" s="16" t="str">
        <f t="shared" ref="R198:R261" si="27">IF(P198="","",P198*1.07)</f>
        <v/>
      </c>
    </row>
    <row r="199" spans="1:18" x14ac:dyDescent="0.2">
      <c r="A199" s="10" t="e">
        <f t="shared" ca="1" si="21"/>
        <v>#NAME?</v>
      </c>
      <c r="B199" s="10">
        <f>Upload!E198</f>
        <v>0</v>
      </c>
      <c r="C199" s="10">
        <f>Upload!AJ198</f>
        <v>0</v>
      </c>
      <c r="D199" s="10">
        <f>Upload!AK198</f>
        <v>0</v>
      </c>
      <c r="E199" s="10" t="str">
        <f>Upload!AF198</f>
        <v/>
      </c>
      <c r="F199" s="10" t="str">
        <f>Upload!AH198</f>
        <v/>
      </c>
      <c r="G199" s="10" t="str">
        <f>Upload!AE198</f>
        <v>(seleccione)</v>
      </c>
      <c r="H199" s="10" t="str">
        <f>Upload!AG198</f>
        <v>(seleccione)</v>
      </c>
      <c r="J199" s="16" t="str">
        <f t="shared" si="22"/>
        <v/>
      </c>
      <c r="K199" s="16" t="str">
        <f t="shared" si="23"/>
        <v/>
      </c>
      <c r="L199" s="16" t="str">
        <f t="shared" si="24"/>
        <v/>
      </c>
      <c r="M199" s="16" t="str">
        <f t="shared" si="25"/>
        <v/>
      </c>
      <c r="N199" s="16" t="str">
        <f t="shared" si="26"/>
        <v/>
      </c>
      <c r="O199" s="16" t="str">
        <f>IF(OR(N199="",NOT(OR(ISNUMBER(SEARCH("Antitarnish",Upload!N198&amp;Upload!O198&amp;Upload!P198&amp;Upload!Q198)),ISNUMBER(SEARCH("Anti Tarnish",Upload!N198&amp;Upload!O198&amp;Upload!P198&amp;Upload!Q198))))),"",0.0012*N199)</f>
        <v/>
      </c>
      <c r="P199" s="16" t="str">
        <f>IF(OR(D199="",NOT(OR(ISNUMBER(SEARCH("Epóx",Upload!N198&amp;Upload!O198&amp;Upload!P198&amp;Upload!Q198)),ISNUMBER(SEARCH("Epox",Upload!N198&amp;Upload!O198&amp;Upload!P198&amp;Upload!Q198)),ISNUMBER(SEARCH("Barniz",Upload!N198&amp;Upload!O198&amp;Upload!P198&amp;Upload!Q198))))),"",D199*0.000035)</f>
        <v/>
      </c>
      <c r="Q199" s="16" t="str">
        <f>IF(OR(D199="",NOT(OR(ISNUMBER(SEARCH("Epóx",Upload!N198&amp;Upload!O198&amp;Upload!P198&amp;Upload!Q198)),ISNUMBER(SEARCH("Epox",Upload!N198&amp;Upload!O198&amp;Upload!P198&amp;Upload!Q198)),ISNUMBER(SEARCH("Barniz",Upload!N198&amp;Upload!O198&amp;Upload!P198&amp;Upload!Q198))))),"",D199*0.000035)</f>
        <v/>
      </c>
      <c r="R199" s="16" t="str">
        <f t="shared" si="27"/>
        <v/>
      </c>
    </row>
    <row r="200" spans="1:18" x14ac:dyDescent="0.2">
      <c r="A200" s="10" t="e">
        <f t="shared" ca="1" si="21"/>
        <v>#NAME?</v>
      </c>
      <c r="B200" s="10">
        <f>Upload!E199</f>
        <v>0</v>
      </c>
      <c r="C200" s="10">
        <f>Upload!AJ199</f>
        <v>0</v>
      </c>
      <c r="D200" s="10">
        <f>Upload!AK199</f>
        <v>0</v>
      </c>
      <c r="E200" s="10" t="str">
        <f>Upload!AF199</f>
        <v/>
      </c>
      <c r="F200" s="10" t="str">
        <f>Upload!AH199</f>
        <v/>
      </c>
      <c r="G200" s="10" t="str">
        <f>Upload!AE199</f>
        <v>(seleccione)</v>
      </c>
      <c r="H200" s="10" t="str">
        <f>Upload!AG199</f>
        <v>(seleccione)</v>
      </c>
      <c r="J200" s="16" t="str">
        <f t="shared" si="22"/>
        <v/>
      </c>
      <c r="K200" s="16" t="str">
        <f t="shared" si="23"/>
        <v/>
      </c>
      <c r="L200" s="16" t="str">
        <f t="shared" si="24"/>
        <v/>
      </c>
      <c r="M200" s="16" t="str">
        <f t="shared" si="25"/>
        <v/>
      </c>
      <c r="N200" s="16" t="str">
        <f t="shared" si="26"/>
        <v/>
      </c>
      <c r="O200" s="16" t="str">
        <f>IF(OR(N200="",NOT(OR(ISNUMBER(SEARCH("Antitarnish",Upload!N199&amp;Upload!O199&amp;Upload!P199&amp;Upload!Q199)),ISNUMBER(SEARCH("Anti Tarnish",Upload!N199&amp;Upload!O199&amp;Upload!P199&amp;Upload!Q199))))),"",0.0012*N200)</f>
        <v/>
      </c>
      <c r="P200" s="16" t="str">
        <f>IF(OR(D200="",NOT(OR(ISNUMBER(SEARCH("Epóx",Upload!N199&amp;Upload!O199&amp;Upload!P199&amp;Upload!Q199)),ISNUMBER(SEARCH("Epox",Upload!N199&amp;Upload!O199&amp;Upload!P199&amp;Upload!Q199)),ISNUMBER(SEARCH("Barniz",Upload!N199&amp;Upload!O199&amp;Upload!P199&amp;Upload!Q199))))),"",D200*0.000035)</f>
        <v/>
      </c>
      <c r="Q200" s="16" t="str">
        <f>IF(OR(D200="",NOT(OR(ISNUMBER(SEARCH("Epóx",Upload!N199&amp;Upload!O199&amp;Upload!P199&amp;Upload!Q199)),ISNUMBER(SEARCH("Epox",Upload!N199&amp;Upload!O199&amp;Upload!P199&amp;Upload!Q199)),ISNUMBER(SEARCH("Barniz",Upload!N199&amp;Upload!O199&amp;Upload!P199&amp;Upload!Q199))))),"",D200*0.000035)</f>
        <v/>
      </c>
      <c r="R200" s="16" t="str">
        <f t="shared" si="27"/>
        <v/>
      </c>
    </row>
    <row r="201" spans="1:18" x14ac:dyDescent="0.2">
      <c r="A201" s="10" t="e">
        <f t="shared" ca="1" si="21"/>
        <v>#NAME?</v>
      </c>
      <c r="B201" s="10">
        <f>Upload!E200</f>
        <v>0</v>
      </c>
      <c r="C201" s="10">
        <f>Upload!AJ200</f>
        <v>0</v>
      </c>
      <c r="D201" s="10">
        <f>Upload!AK200</f>
        <v>0</v>
      </c>
      <c r="E201" s="10" t="str">
        <f>Upload!AF200</f>
        <v/>
      </c>
      <c r="F201" s="10" t="str">
        <f>Upload!AH200</f>
        <v/>
      </c>
      <c r="G201" s="10" t="str">
        <f>Upload!AE200</f>
        <v>(seleccione)</v>
      </c>
      <c r="H201" s="10" t="str">
        <f>Upload!AG200</f>
        <v>(seleccione)</v>
      </c>
      <c r="J201" s="16" t="str">
        <f t="shared" si="22"/>
        <v/>
      </c>
      <c r="K201" s="16" t="str">
        <f t="shared" si="23"/>
        <v/>
      </c>
      <c r="L201" s="16" t="str">
        <f t="shared" si="24"/>
        <v/>
      </c>
      <c r="M201" s="16" t="str">
        <f t="shared" si="25"/>
        <v/>
      </c>
      <c r="N201" s="16" t="str">
        <f t="shared" si="26"/>
        <v/>
      </c>
      <c r="O201" s="16" t="str">
        <f>IF(OR(N201="",NOT(OR(ISNUMBER(SEARCH("Antitarnish",Upload!N200&amp;Upload!O200&amp;Upload!P200&amp;Upload!Q200)),ISNUMBER(SEARCH("Anti Tarnish",Upload!N200&amp;Upload!O200&amp;Upload!P200&amp;Upload!Q200))))),"",0.0012*N201)</f>
        <v/>
      </c>
      <c r="P201" s="16" t="str">
        <f>IF(OR(D201="",NOT(OR(ISNUMBER(SEARCH("Epóx",Upload!N200&amp;Upload!O200&amp;Upload!P200&amp;Upload!Q200)),ISNUMBER(SEARCH("Epox",Upload!N200&amp;Upload!O200&amp;Upload!P200&amp;Upload!Q200)),ISNUMBER(SEARCH("Barniz",Upload!N200&amp;Upload!O200&amp;Upload!P200&amp;Upload!Q200))))),"",D201*0.000035)</f>
        <v/>
      </c>
      <c r="Q201" s="16" t="str">
        <f>IF(OR(D201="",NOT(OR(ISNUMBER(SEARCH("Epóx",Upload!N200&amp;Upload!O200&amp;Upload!P200&amp;Upload!Q200)),ISNUMBER(SEARCH("Epox",Upload!N200&amp;Upload!O200&amp;Upload!P200&amp;Upload!Q200)),ISNUMBER(SEARCH("Barniz",Upload!N200&amp;Upload!O200&amp;Upload!P200&amp;Upload!Q200))))),"",D201*0.000035)</f>
        <v/>
      </c>
      <c r="R201" s="16" t="str">
        <f t="shared" si="27"/>
        <v/>
      </c>
    </row>
    <row r="202" spans="1:18" x14ac:dyDescent="0.2">
      <c r="A202" s="10" t="e">
        <f t="shared" ca="1" si="21"/>
        <v>#NAME?</v>
      </c>
      <c r="B202" s="10">
        <f>Upload!E201</f>
        <v>0</v>
      </c>
      <c r="C202" s="10">
        <f>Upload!AJ201</f>
        <v>0</v>
      </c>
      <c r="D202" s="10">
        <f>Upload!AK201</f>
        <v>0</v>
      </c>
      <c r="E202" s="10" t="str">
        <f>Upload!AF201</f>
        <v/>
      </c>
      <c r="F202" s="10" t="str">
        <f>Upload!AH201</f>
        <v/>
      </c>
      <c r="G202" s="10" t="str">
        <f>Upload!AE201</f>
        <v>(seleccione)</v>
      </c>
      <c r="H202" s="10" t="str">
        <f>Upload!AG201</f>
        <v>(seleccione)</v>
      </c>
      <c r="J202" s="16" t="str">
        <f t="shared" si="22"/>
        <v/>
      </c>
      <c r="K202" s="16" t="str">
        <f t="shared" si="23"/>
        <v/>
      </c>
      <c r="L202" s="16" t="str">
        <f t="shared" si="24"/>
        <v/>
      </c>
      <c r="M202" s="16" t="str">
        <f t="shared" si="25"/>
        <v/>
      </c>
      <c r="N202" s="16" t="str">
        <f t="shared" si="26"/>
        <v/>
      </c>
      <c r="O202" s="16" t="str">
        <f>IF(OR(N202="",NOT(OR(ISNUMBER(SEARCH("Antitarnish",Upload!N201&amp;Upload!O201&amp;Upload!P201&amp;Upload!Q201)),ISNUMBER(SEARCH("Anti Tarnish",Upload!N201&amp;Upload!O201&amp;Upload!P201&amp;Upload!Q201))))),"",0.0012*N202)</f>
        <v/>
      </c>
      <c r="P202" s="16" t="str">
        <f>IF(OR(D202="",NOT(OR(ISNUMBER(SEARCH("Epóx",Upload!N201&amp;Upload!O201&amp;Upload!P201&amp;Upload!Q201)),ISNUMBER(SEARCH("Epox",Upload!N201&amp;Upload!O201&amp;Upload!P201&amp;Upload!Q201)),ISNUMBER(SEARCH("Barniz",Upload!N201&amp;Upload!O201&amp;Upload!P201&amp;Upload!Q201))))),"",D202*0.000035)</f>
        <v/>
      </c>
      <c r="Q202" s="16" t="str">
        <f>IF(OR(D202="",NOT(OR(ISNUMBER(SEARCH("Epóx",Upload!N201&amp;Upload!O201&amp;Upload!P201&amp;Upload!Q201)),ISNUMBER(SEARCH("Epox",Upload!N201&amp;Upload!O201&amp;Upload!P201&amp;Upload!Q201)),ISNUMBER(SEARCH("Barniz",Upload!N201&amp;Upload!O201&amp;Upload!P201&amp;Upload!Q201))))),"",D202*0.000035)</f>
        <v/>
      </c>
      <c r="R202" s="16" t="str">
        <f t="shared" si="27"/>
        <v/>
      </c>
    </row>
    <row r="203" spans="1:18" x14ac:dyDescent="0.2">
      <c r="A203" s="10" t="e">
        <f t="shared" ca="1" si="21"/>
        <v>#NAME?</v>
      </c>
      <c r="B203" s="10">
        <f>Upload!E202</f>
        <v>0</v>
      </c>
      <c r="C203" s="10">
        <f>Upload!AJ202</f>
        <v>0</v>
      </c>
      <c r="D203" s="10">
        <f>Upload!AK202</f>
        <v>0</v>
      </c>
      <c r="E203" s="10" t="str">
        <f>Upload!AF202</f>
        <v/>
      </c>
      <c r="F203" s="10" t="str">
        <f>Upload!AH202</f>
        <v/>
      </c>
      <c r="G203" s="10" t="str">
        <f>Upload!AE202</f>
        <v>(seleccione)</v>
      </c>
      <c r="H203" s="10" t="str">
        <f>Upload!AG202</f>
        <v>(seleccione)</v>
      </c>
      <c r="J203" s="16" t="str">
        <f t="shared" si="22"/>
        <v/>
      </c>
      <c r="K203" s="16" t="str">
        <f t="shared" si="23"/>
        <v/>
      </c>
      <c r="L203" s="16" t="str">
        <f t="shared" si="24"/>
        <v/>
      </c>
      <c r="M203" s="16" t="str">
        <f t="shared" si="25"/>
        <v/>
      </c>
      <c r="N203" s="16" t="str">
        <f t="shared" si="26"/>
        <v/>
      </c>
      <c r="O203" s="16" t="str">
        <f>IF(OR(N203="",NOT(OR(ISNUMBER(SEARCH("Antitarnish",Upload!N202&amp;Upload!O202&amp;Upload!P202&amp;Upload!Q202)),ISNUMBER(SEARCH("Anti Tarnish",Upload!N202&amp;Upload!O202&amp;Upload!P202&amp;Upload!Q202))))),"",0.0012*N203)</f>
        <v/>
      </c>
      <c r="P203" s="16" t="str">
        <f>IF(OR(D203="",NOT(OR(ISNUMBER(SEARCH("Epóx",Upload!N202&amp;Upload!O202&amp;Upload!P202&amp;Upload!Q202)),ISNUMBER(SEARCH("Epox",Upload!N202&amp;Upload!O202&amp;Upload!P202&amp;Upload!Q202)),ISNUMBER(SEARCH("Barniz",Upload!N202&amp;Upload!O202&amp;Upload!P202&amp;Upload!Q202))))),"",D203*0.000035)</f>
        <v/>
      </c>
      <c r="Q203" s="16" t="str">
        <f>IF(OR(D203="",NOT(OR(ISNUMBER(SEARCH("Epóx",Upload!N202&amp;Upload!O202&amp;Upload!P202&amp;Upload!Q202)),ISNUMBER(SEARCH("Epox",Upload!N202&amp;Upload!O202&amp;Upload!P202&amp;Upload!Q202)),ISNUMBER(SEARCH("Barniz",Upload!N202&amp;Upload!O202&amp;Upload!P202&amp;Upload!Q202))))),"",D203*0.000035)</f>
        <v/>
      </c>
      <c r="R203" s="16" t="str">
        <f t="shared" si="27"/>
        <v/>
      </c>
    </row>
    <row r="204" spans="1:18" x14ac:dyDescent="0.2">
      <c r="A204" s="10" t="e">
        <f t="shared" ca="1" si="21"/>
        <v>#NAME?</v>
      </c>
      <c r="B204" s="10">
        <f>Upload!E203</f>
        <v>0</v>
      </c>
      <c r="C204" s="10">
        <f>Upload!AJ203</f>
        <v>0</v>
      </c>
      <c r="D204" s="10">
        <f>Upload!AK203</f>
        <v>0</v>
      </c>
      <c r="E204" s="10" t="str">
        <f>Upload!AF203</f>
        <v/>
      </c>
      <c r="F204" s="10" t="str">
        <f>Upload!AH203</f>
        <v/>
      </c>
      <c r="G204" s="10" t="str">
        <f>Upload!AE203</f>
        <v>(seleccione)</v>
      </c>
      <c r="H204" s="10" t="str">
        <f>Upload!AG203</f>
        <v>(seleccione)</v>
      </c>
      <c r="J204" s="16" t="str">
        <f t="shared" si="22"/>
        <v/>
      </c>
      <c r="K204" s="16" t="str">
        <f t="shared" si="23"/>
        <v/>
      </c>
      <c r="L204" s="16" t="str">
        <f t="shared" si="24"/>
        <v/>
      </c>
      <c r="M204" s="16" t="str">
        <f t="shared" si="25"/>
        <v/>
      </c>
      <c r="N204" s="16" t="str">
        <f t="shared" si="26"/>
        <v/>
      </c>
      <c r="O204" s="16" t="str">
        <f>IF(OR(N204="",NOT(OR(ISNUMBER(SEARCH("Antitarnish",Upload!N203&amp;Upload!O203&amp;Upload!P203&amp;Upload!Q203)),ISNUMBER(SEARCH("Anti Tarnish",Upload!N203&amp;Upload!O203&amp;Upload!P203&amp;Upload!Q203))))),"",0.0012*N204)</f>
        <v/>
      </c>
      <c r="P204" s="16" t="str">
        <f>IF(OR(D204="",NOT(OR(ISNUMBER(SEARCH("Epóx",Upload!N203&amp;Upload!O203&amp;Upload!P203&amp;Upload!Q203)),ISNUMBER(SEARCH("Epox",Upload!N203&amp;Upload!O203&amp;Upload!P203&amp;Upload!Q203)),ISNUMBER(SEARCH("Barniz",Upload!N203&amp;Upload!O203&amp;Upload!P203&amp;Upload!Q203))))),"",D204*0.000035)</f>
        <v/>
      </c>
      <c r="Q204" s="16" t="str">
        <f>IF(OR(D204="",NOT(OR(ISNUMBER(SEARCH("Epóx",Upload!N203&amp;Upload!O203&amp;Upload!P203&amp;Upload!Q203)),ISNUMBER(SEARCH("Epox",Upload!N203&amp;Upload!O203&amp;Upload!P203&amp;Upload!Q203)),ISNUMBER(SEARCH("Barniz",Upload!N203&amp;Upload!O203&amp;Upload!P203&amp;Upload!Q203))))),"",D204*0.000035)</f>
        <v/>
      </c>
      <c r="R204" s="16" t="str">
        <f t="shared" si="27"/>
        <v/>
      </c>
    </row>
    <row r="205" spans="1:18" x14ac:dyDescent="0.2">
      <c r="A205" s="10" t="e">
        <f t="shared" ca="1" si="21"/>
        <v>#NAME?</v>
      </c>
      <c r="B205" s="10">
        <f>Upload!E204</f>
        <v>0</v>
      </c>
      <c r="C205" s="10">
        <f>Upload!AJ204</f>
        <v>0</v>
      </c>
      <c r="D205" s="10">
        <f>Upload!AK204</f>
        <v>0</v>
      </c>
      <c r="E205" s="10" t="str">
        <f>Upload!AF204</f>
        <v/>
      </c>
      <c r="F205" s="10" t="str">
        <f>Upload!AH204</f>
        <v/>
      </c>
      <c r="G205" s="10" t="str">
        <f>Upload!AE204</f>
        <v>(seleccione)</v>
      </c>
      <c r="H205" s="10" t="str">
        <f>Upload!AG204</f>
        <v>(seleccione)</v>
      </c>
      <c r="J205" s="16" t="str">
        <f t="shared" si="22"/>
        <v/>
      </c>
      <c r="K205" s="16" t="str">
        <f t="shared" si="23"/>
        <v/>
      </c>
      <c r="L205" s="16" t="str">
        <f t="shared" si="24"/>
        <v/>
      </c>
      <c r="M205" s="16" t="str">
        <f t="shared" si="25"/>
        <v/>
      </c>
      <c r="N205" s="16" t="str">
        <f t="shared" si="26"/>
        <v/>
      </c>
      <c r="O205" s="16" t="str">
        <f>IF(OR(N205="",NOT(OR(ISNUMBER(SEARCH("Antitarnish",Upload!N204&amp;Upload!O204&amp;Upload!P204&amp;Upload!Q204)),ISNUMBER(SEARCH("Anti Tarnish",Upload!N204&amp;Upload!O204&amp;Upload!P204&amp;Upload!Q204))))),"",0.0012*N205)</f>
        <v/>
      </c>
      <c r="P205" s="16" t="str">
        <f>IF(OR(D205="",NOT(OR(ISNUMBER(SEARCH("Epóx",Upload!N204&amp;Upload!O204&amp;Upload!P204&amp;Upload!Q204)),ISNUMBER(SEARCH("Epox",Upload!N204&amp;Upload!O204&amp;Upload!P204&amp;Upload!Q204)),ISNUMBER(SEARCH("Barniz",Upload!N204&amp;Upload!O204&amp;Upload!P204&amp;Upload!Q204))))),"",D205*0.000035)</f>
        <v/>
      </c>
      <c r="Q205" s="16" t="str">
        <f>IF(OR(D205="",NOT(OR(ISNUMBER(SEARCH("Epóx",Upload!N204&amp;Upload!O204&amp;Upload!P204&amp;Upload!Q204)),ISNUMBER(SEARCH("Epox",Upload!N204&amp;Upload!O204&amp;Upload!P204&amp;Upload!Q204)),ISNUMBER(SEARCH("Barniz",Upload!N204&amp;Upload!O204&amp;Upload!P204&amp;Upload!Q204))))),"",D205*0.000035)</f>
        <v/>
      </c>
      <c r="R205" s="16" t="str">
        <f t="shared" si="27"/>
        <v/>
      </c>
    </row>
    <row r="206" spans="1:18" x14ac:dyDescent="0.2">
      <c r="A206" s="10" t="e">
        <f t="shared" ca="1" si="21"/>
        <v>#NAME?</v>
      </c>
      <c r="B206" s="10">
        <f>Upload!E205</f>
        <v>0</v>
      </c>
      <c r="C206" s="10">
        <f>Upload!AJ205</f>
        <v>0</v>
      </c>
      <c r="D206" s="10">
        <f>Upload!AK205</f>
        <v>0</v>
      </c>
      <c r="E206" s="10" t="str">
        <f>Upload!AF205</f>
        <v/>
      </c>
      <c r="F206" s="10" t="str">
        <f>Upload!AH205</f>
        <v/>
      </c>
      <c r="G206" s="10" t="str">
        <f>Upload!AE205</f>
        <v>(seleccione)</v>
      </c>
      <c r="H206" s="10" t="str">
        <f>Upload!AG205</f>
        <v>(seleccione)</v>
      </c>
      <c r="J206" s="16" t="str">
        <f t="shared" si="22"/>
        <v/>
      </c>
      <c r="K206" s="16" t="str">
        <f t="shared" si="23"/>
        <v/>
      </c>
      <c r="L206" s="16" t="str">
        <f t="shared" si="24"/>
        <v/>
      </c>
      <c r="M206" s="16" t="str">
        <f t="shared" si="25"/>
        <v/>
      </c>
      <c r="N206" s="16" t="str">
        <f t="shared" si="26"/>
        <v/>
      </c>
      <c r="O206" s="16" t="str">
        <f>IF(OR(N206="",NOT(OR(ISNUMBER(SEARCH("Antitarnish",Upload!N205&amp;Upload!O205&amp;Upload!P205&amp;Upload!Q205)),ISNUMBER(SEARCH("Anti Tarnish",Upload!N205&amp;Upload!O205&amp;Upload!P205&amp;Upload!Q205))))),"",0.0012*N206)</f>
        <v/>
      </c>
      <c r="P206" s="16" t="str">
        <f>IF(OR(D206="",NOT(OR(ISNUMBER(SEARCH("Epóx",Upload!N205&amp;Upload!O205&amp;Upload!P205&amp;Upload!Q205)),ISNUMBER(SEARCH("Epox",Upload!N205&amp;Upload!O205&amp;Upload!P205&amp;Upload!Q205)),ISNUMBER(SEARCH("Barniz",Upload!N205&amp;Upload!O205&amp;Upload!P205&amp;Upload!Q205))))),"",D206*0.000035)</f>
        <v/>
      </c>
      <c r="Q206" s="16" t="str">
        <f>IF(OR(D206="",NOT(OR(ISNUMBER(SEARCH("Epóx",Upload!N205&amp;Upload!O205&amp;Upload!P205&amp;Upload!Q205)),ISNUMBER(SEARCH("Epox",Upload!N205&amp;Upload!O205&amp;Upload!P205&amp;Upload!Q205)),ISNUMBER(SEARCH("Barniz",Upload!N205&amp;Upload!O205&amp;Upload!P205&amp;Upload!Q205))))),"",D206*0.000035)</f>
        <v/>
      </c>
      <c r="R206" s="16" t="str">
        <f t="shared" si="27"/>
        <v/>
      </c>
    </row>
    <row r="207" spans="1:18" x14ac:dyDescent="0.2">
      <c r="A207" s="10" t="e">
        <f t="shared" ca="1" si="21"/>
        <v>#NAME?</v>
      </c>
      <c r="B207" s="10">
        <f>Upload!E206</f>
        <v>0</v>
      </c>
      <c r="C207" s="10">
        <f>Upload!AJ206</f>
        <v>0</v>
      </c>
      <c r="D207" s="10">
        <f>Upload!AK206</f>
        <v>0</v>
      </c>
      <c r="E207" s="10" t="str">
        <f>Upload!AF206</f>
        <v/>
      </c>
      <c r="F207" s="10" t="str">
        <f>Upload!AH206</f>
        <v/>
      </c>
      <c r="G207" s="10" t="str">
        <f>Upload!AE206</f>
        <v>(seleccione)</v>
      </c>
      <c r="H207" s="10" t="str">
        <f>Upload!AG206</f>
        <v>(seleccione)</v>
      </c>
      <c r="J207" s="16" t="str">
        <f t="shared" si="22"/>
        <v/>
      </c>
      <c r="K207" s="16" t="str">
        <f t="shared" si="23"/>
        <v/>
      </c>
      <c r="L207" s="16" t="str">
        <f t="shared" si="24"/>
        <v/>
      </c>
      <c r="M207" s="16" t="str">
        <f t="shared" si="25"/>
        <v/>
      </c>
      <c r="N207" s="16" t="str">
        <f t="shared" si="26"/>
        <v/>
      </c>
      <c r="O207" s="16" t="str">
        <f>IF(OR(N207="",NOT(OR(ISNUMBER(SEARCH("Antitarnish",Upload!N206&amp;Upload!O206&amp;Upload!P206&amp;Upload!Q206)),ISNUMBER(SEARCH("Anti Tarnish",Upload!N206&amp;Upload!O206&amp;Upload!P206&amp;Upload!Q206))))),"",0.0012*N207)</f>
        <v/>
      </c>
      <c r="P207" s="16" t="str">
        <f>IF(OR(D207="",NOT(OR(ISNUMBER(SEARCH("Epóx",Upload!N206&amp;Upload!O206&amp;Upload!P206&amp;Upload!Q206)),ISNUMBER(SEARCH("Epox",Upload!N206&amp;Upload!O206&amp;Upload!P206&amp;Upload!Q206)),ISNUMBER(SEARCH("Barniz",Upload!N206&amp;Upload!O206&amp;Upload!P206&amp;Upload!Q206))))),"",D207*0.000035)</f>
        <v/>
      </c>
      <c r="Q207" s="16" t="str">
        <f>IF(OR(D207="",NOT(OR(ISNUMBER(SEARCH("Epóx",Upload!N206&amp;Upload!O206&amp;Upload!P206&amp;Upload!Q206)),ISNUMBER(SEARCH("Epox",Upload!N206&amp;Upload!O206&amp;Upload!P206&amp;Upload!Q206)),ISNUMBER(SEARCH("Barniz",Upload!N206&amp;Upload!O206&amp;Upload!P206&amp;Upload!Q206))))),"",D207*0.000035)</f>
        <v/>
      </c>
      <c r="R207" s="16" t="str">
        <f t="shared" si="27"/>
        <v/>
      </c>
    </row>
    <row r="208" spans="1:18" x14ac:dyDescent="0.2">
      <c r="A208" s="10" t="e">
        <f t="shared" ca="1" si="21"/>
        <v>#NAME?</v>
      </c>
      <c r="B208" s="10">
        <f>Upload!E207</f>
        <v>0</v>
      </c>
      <c r="C208" s="10">
        <f>Upload!AJ207</f>
        <v>0</v>
      </c>
      <c r="D208" s="10">
        <f>Upload!AK207</f>
        <v>0</v>
      </c>
      <c r="E208" s="10" t="str">
        <f>Upload!AF207</f>
        <v/>
      </c>
      <c r="F208" s="10" t="str">
        <f>Upload!AH207</f>
        <v/>
      </c>
      <c r="G208" s="10" t="str">
        <f>Upload!AE207</f>
        <v>(seleccione)</v>
      </c>
      <c r="H208" s="10" t="str">
        <f>Upload!AG207</f>
        <v>(seleccione)</v>
      </c>
      <c r="J208" s="16" t="str">
        <f t="shared" si="22"/>
        <v/>
      </c>
      <c r="K208" s="16" t="str">
        <f t="shared" si="23"/>
        <v/>
      </c>
      <c r="L208" s="16" t="str">
        <f t="shared" si="24"/>
        <v/>
      </c>
      <c r="M208" s="16" t="str">
        <f t="shared" si="25"/>
        <v/>
      </c>
      <c r="N208" s="16" t="str">
        <f t="shared" si="26"/>
        <v/>
      </c>
      <c r="O208" s="16" t="str">
        <f>IF(OR(N208="",NOT(OR(ISNUMBER(SEARCH("Antitarnish",Upload!N207&amp;Upload!O207&amp;Upload!P207&amp;Upload!Q207)),ISNUMBER(SEARCH("Anti Tarnish",Upload!N207&amp;Upload!O207&amp;Upload!P207&amp;Upload!Q207))))),"",0.0012*N208)</f>
        <v/>
      </c>
      <c r="P208" s="16" t="str">
        <f>IF(OR(D208="",NOT(OR(ISNUMBER(SEARCH("Epóx",Upload!N207&amp;Upload!O207&amp;Upload!P207&amp;Upload!Q207)),ISNUMBER(SEARCH("Epox",Upload!N207&amp;Upload!O207&amp;Upload!P207&amp;Upload!Q207)),ISNUMBER(SEARCH("Barniz",Upload!N207&amp;Upload!O207&amp;Upload!P207&amp;Upload!Q207))))),"",D208*0.000035)</f>
        <v/>
      </c>
      <c r="Q208" s="16" t="str">
        <f>IF(OR(D208="",NOT(OR(ISNUMBER(SEARCH("Epóx",Upload!N207&amp;Upload!O207&amp;Upload!P207&amp;Upload!Q207)),ISNUMBER(SEARCH("Epox",Upload!N207&amp;Upload!O207&amp;Upload!P207&amp;Upload!Q207)),ISNUMBER(SEARCH("Barniz",Upload!N207&amp;Upload!O207&amp;Upload!P207&amp;Upload!Q207))))),"",D208*0.000035)</f>
        <v/>
      </c>
      <c r="R208" s="16" t="str">
        <f t="shared" si="27"/>
        <v/>
      </c>
    </row>
    <row r="209" spans="1:18" x14ac:dyDescent="0.2">
      <c r="A209" s="10" t="e">
        <f t="shared" ca="1" si="21"/>
        <v>#NAME?</v>
      </c>
      <c r="B209" s="10">
        <f>Upload!E208</f>
        <v>0</v>
      </c>
      <c r="C209" s="10">
        <f>Upload!AJ208</f>
        <v>0</v>
      </c>
      <c r="D209" s="10">
        <f>Upload!AK208</f>
        <v>0</v>
      </c>
      <c r="E209" s="10" t="str">
        <f>Upload!AF208</f>
        <v/>
      </c>
      <c r="F209" s="10" t="str">
        <f>Upload!AH208</f>
        <v/>
      </c>
      <c r="G209" s="10" t="str">
        <f>Upload!AE208</f>
        <v>(seleccione)</v>
      </c>
      <c r="H209" s="10" t="str">
        <f>Upload!AG208</f>
        <v>(seleccione)</v>
      </c>
      <c r="J209" s="16" t="str">
        <f t="shared" si="22"/>
        <v/>
      </c>
      <c r="K209" s="16" t="str">
        <f t="shared" si="23"/>
        <v/>
      </c>
      <c r="L209" s="16" t="str">
        <f t="shared" si="24"/>
        <v/>
      </c>
      <c r="M209" s="16" t="str">
        <f t="shared" si="25"/>
        <v/>
      </c>
      <c r="N209" s="16" t="str">
        <f t="shared" si="26"/>
        <v/>
      </c>
      <c r="O209" s="16" t="str">
        <f>IF(OR(N209="",NOT(OR(ISNUMBER(SEARCH("Antitarnish",Upload!N208&amp;Upload!O208&amp;Upload!P208&amp;Upload!Q208)),ISNUMBER(SEARCH("Anti Tarnish",Upload!N208&amp;Upload!O208&amp;Upload!P208&amp;Upload!Q208))))),"",0.0012*N209)</f>
        <v/>
      </c>
      <c r="P209" s="16" t="str">
        <f>IF(OR(D209="",NOT(OR(ISNUMBER(SEARCH("Epóx",Upload!N208&amp;Upload!O208&amp;Upload!P208&amp;Upload!Q208)),ISNUMBER(SEARCH("Epox",Upload!N208&amp;Upload!O208&amp;Upload!P208&amp;Upload!Q208)),ISNUMBER(SEARCH("Barniz",Upload!N208&amp;Upload!O208&amp;Upload!P208&amp;Upload!Q208))))),"",D209*0.000035)</f>
        <v/>
      </c>
      <c r="Q209" s="16" t="str">
        <f>IF(OR(D209="",NOT(OR(ISNUMBER(SEARCH("Epóx",Upload!N208&amp;Upload!O208&amp;Upload!P208&amp;Upload!Q208)),ISNUMBER(SEARCH("Epox",Upload!N208&amp;Upload!O208&amp;Upload!P208&amp;Upload!Q208)),ISNUMBER(SEARCH("Barniz",Upload!N208&amp;Upload!O208&amp;Upload!P208&amp;Upload!Q208))))),"",D209*0.000035)</f>
        <v/>
      </c>
      <c r="R209" s="16" t="str">
        <f t="shared" si="27"/>
        <v/>
      </c>
    </row>
    <row r="210" spans="1:18" x14ac:dyDescent="0.2">
      <c r="A210" s="10" t="e">
        <f t="shared" ca="1" si="21"/>
        <v>#NAME?</v>
      </c>
      <c r="B210" s="10">
        <f>Upload!E209</f>
        <v>0</v>
      </c>
      <c r="C210" s="10">
        <f>Upload!AJ209</f>
        <v>0</v>
      </c>
      <c r="D210" s="10">
        <f>Upload!AK209</f>
        <v>0</v>
      </c>
      <c r="E210" s="10" t="str">
        <f>Upload!AF209</f>
        <v/>
      </c>
      <c r="F210" s="10" t="str">
        <f>Upload!AH209</f>
        <v/>
      </c>
      <c r="G210" s="10" t="str">
        <f>Upload!AE209</f>
        <v>(seleccione)</v>
      </c>
      <c r="H210" s="10" t="str">
        <f>Upload!AG209</f>
        <v>(seleccione)</v>
      </c>
      <c r="J210" s="16" t="str">
        <f t="shared" si="22"/>
        <v/>
      </c>
      <c r="K210" s="16" t="str">
        <f t="shared" si="23"/>
        <v/>
      </c>
      <c r="L210" s="16" t="str">
        <f t="shared" si="24"/>
        <v/>
      </c>
      <c r="M210" s="16" t="str">
        <f t="shared" si="25"/>
        <v/>
      </c>
      <c r="N210" s="16" t="str">
        <f t="shared" si="26"/>
        <v/>
      </c>
      <c r="O210" s="16" t="str">
        <f>IF(OR(N210="",NOT(OR(ISNUMBER(SEARCH("Antitarnish",Upload!N209&amp;Upload!O209&amp;Upload!P209&amp;Upload!Q209)),ISNUMBER(SEARCH("Anti Tarnish",Upload!N209&amp;Upload!O209&amp;Upload!P209&amp;Upload!Q209))))),"",0.0012*N210)</f>
        <v/>
      </c>
      <c r="P210" s="16" t="str">
        <f>IF(OR(D210="",NOT(OR(ISNUMBER(SEARCH("Epóx",Upload!N209&amp;Upload!O209&amp;Upload!P209&amp;Upload!Q209)),ISNUMBER(SEARCH("Epox",Upload!N209&amp;Upload!O209&amp;Upload!P209&amp;Upload!Q209)),ISNUMBER(SEARCH("Barniz",Upload!N209&amp;Upload!O209&amp;Upload!P209&amp;Upload!Q209))))),"",D210*0.000035)</f>
        <v/>
      </c>
      <c r="Q210" s="16" t="str">
        <f>IF(OR(D210="",NOT(OR(ISNUMBER(SEARCH("Epóx",Upload!N209&amp;Upload!O209&amp;Upload!P209&amp;Upload!Q209)),ISNUMBER(SEARCH("Epox",Upload!N209&amp;Upload!O209&amp;Upload!P209&amp;Upload!Q209)),ISNUMBER(SEARCH("Barniz",Upload!N209&amp;Upload!O209&amp;Upload!P209&amp;Upload!Q209))))),"",D210*0.000035)</f>
        <v/>
      </c>
      <c r="R210" s="16" t="str">
        <f t="shared" si="27"/>
        <v/>
      </c>
    </row>
    <row r="211" spans="1:18" x14ac:dyDescent="0.2">
      <c r="A211" s="10" t="e">
        <f t="shared" ca="1" si="21"/>
        <v>#NAME?</v>
      </c>
      <c r="B211" s="10">
        <f>Upload!E210</f>
        <v>0</v>
      </c>
      <c r="C211" s="10">
        <f>Upload!AJ210</f>
        <v>0</v>
      </c>
      <c r="D211" s="10">
        <f>Upload!AK210</f>
        <v>0</v>
      </c>
      <c r="E211" s="10" t="str">
        <f>Upload!AF210</f>
        <v/>
      </c>
      <c r="F211" s="10" t="str">
        <f>Upload!AH210</f>
        <v/>
      </c>
      <c r="G211" s="10" t="str">
        <f>Upload!AE210</f>
        <v>(seleccione)</v>
      </c>
      <c r="H211" s="10" t="str">
        <f>Upload!AG210</f>
        <v>(seleccione)</v>
      </c>
      <c r="J211" s="16" t="str">
        <f t="shared" si="22"/>
        <v/>
      </c>
      <c r="K211" s="16" t="str">
        <f t="shared" si="23"/>
        <v/>
      </c>
      <c r="L211" s="16" t="str">
        <f t="shared" si="24"/>
        <v/>
      </c>
      <c r="M211" s="16" t="str">
        <f t="shared" si="25"/>
        <v/>
      </c>
      <c r="N211" s="16" t="str">
        <f t="shared" si="26"/>
        <v/>
      </c>
      <c r="O211" s="16" t="str">
        <f>IF(OR(N211="",NOT(OR(ISNUMBER(SEARCH("Antitarnish",Upload!N210&amp;Upload!O210&amp;Upload!P210&amp;Upload!Q210)),ISNUMBER(SEARCH("Anti Tarnish",Upload!N210&amp;Upload!O210&amp;Upload!P210&amp;Upload!Q210))))),"",0.0012*N211)</f>
        <v/>
      </c>
      <c r="P211" s="16" t="str">
        <f>IF(OR(D211="",NOT(OR(ISNUMBER(SEARCH("Epóx",Upload!N210&amp;Upload!O210&amp;Upload!P210&amp;Upload!Q210)),ISNUMBER(SEARCH("Epox",Upload!N210&amp;Upload!O210&amp;Upload!P210&amp;Upload!Q210)),ISNUMBER(SEARCH("Barniz",Upload!N210&amp;Upload!O210&amp;Upload!P210&amp;Upload!Q210))))),"",D211*0.000035)</f>
        <v/>
      </c>
      <c r="Q211" s="16" t="str">
        <f>IF(OR(D211="",NOT(OR(ISNUMBER(SEARCH("Epóx",Upload!N210&amp;Upload!O210&amp;Upload!P210&amp;Upload!Q210)),ISNUMBER(SEARCH("Epox",Upload!N210&amp;Upload!O210&amp;Upload!P210&amp;Upload!Q210)),ISNUMBER(SEARCH("Barniz",Upload!N210&amp;Upload!O210&amp;Upload!P210&amp;Upload!Q210))))),"",D211*0.000035)</f>
        <v/>
      </c>
      <c r="R211" s="16" t="str">
        <f t="shared" si="27"/>
        <v/>
      </c>
    </row>
    <row r="212" spans="1:18" x14ac:dyDescent="0.2">
      <c r="A212" s="10" t="e">
        <f t="shared" ca="1" si="21"/>
        <v>#NAME?</v>
      </c>
      <c r="B212" s="10">
        <f>Upload!E211</f>
        <v>0</v>
      </c>
      <c r="C212" s="10">
        <f>Upload!AJ211</f>
        <v>0</v>
      </c>
      <c r="D212" s="10">
        <f>Upload!AK211</f>
        <v>0</v>
      </c>
      <c r="E212" s="10" t="str">
        <f>Upload!AF211</f>
        <v/>
      </c>
      <c r="F212" s="10" t="str">
        <f>Upload!AH211</f>
        <v/>
      </c>
      <c r="G212" s="10" t="str">
        <f>Upload!AE211</f>
        <v>(seleccione)</v>
      </c>
      <c r="H212" s="10" t="str">
        <f>Upload!AG211</f>
        <v>(seleccione)</v>
      </c>
      <c r="J212" s="16" t="str">
        <f t="shared" si="22"/>
        <v/>
      </c>
      <c r="K212" s="16" t="str">
        <f t="shared" si="23"/>
        <v/>
      </c>
      <c r="L212" s="16" t="str">
        <f t="shared" si="24"/>
        <v/>
      </c>
      <c r="M212" s="16" t="str">
        <f t="shared" si="25"/>
        <v/>
      </c>
      <c r="N212" s="16" t="str">
        <f t="shared" si="26"/>
        <v/>
      </c>
      <c r="O212" s="16" t="str">
        <f>IF(OR(N212="",NOT(OR(ISNUMBER(SEARCH("Antitarnish",Upload!N211&amp;Upload!O211&amp;Upload!P211&amp;Upload!Q211)),ISNUMBER(SEARCH("Anti Tarnish",Upload!N211&amp;Upload!O211&amp;Upload!P211&amp;Upload!Q211))))),"",0.0012*N212)</f>
        <v/>
      </c>
      <c r="P212" s="16" t="str">
        <f>IF(OR(D212="",NOT(OR(ISNUMBER(SEARCH("Epóx",Upload!N211&amp;Upload!O211&amp;Upload!P211&amp;Upload!Q211)),ISNUMBER(SEARCH("Epox",Upload!N211&amp;Upload!O211&amp;Upload!P211&amp;Upload!Q211)),ISNUMBER(SEARCH("Barniz",Upload!N211&amp;Upload!O211&amp;Upload!P211&amp;Upload!Q211))))),"",D212*0.000035)</f>
        <v/>
      </c>
      <c r="Q212" s="16" t="str">
        <f>IF(OR(D212="",NOT(OR(ISNUMBER(SEARCH("Epóx",Upload!N211&amp;Upload!O211&amp;Upload!P211&amp;Upload!Q211)),ISNUMBER(SEARCH("Epox",Upload!N211&amp;Upload!O211&amp;Upload!P211&amp;Upload!Q211)),ISNUMBER(SEARCH("Barniz",Upload!N211&amp;Upload!O211&amp;Upload!P211&amp;Upload!Q211))))),"",D212*0.000035)</f>
        <v/>
      </c>
      <c r="R212" s="16" t="str">
        <f t="shared" si="27"/>
        <v/>
      </c>
    </row>
    <row r="213" spans="1:18" x14ac:dyDescent="0.2">
      <c r="A213" s="10" t="e">
        <f t="shared" ca="1" si="21"/>
        <v>#NAME?</v>
      </c>
      <c r="B213" s="10">
        <f>Upload!E212</f>
        <v>0</v>
      </c>
      <c r="C213" s="10">
        <f>Upload!AJ212</f>
        <v>0</v>
      </c>
      <c r="D213" s="10">
        <f>Upload!AK212</f>
        <v>0</v>
      </c>
      <c r="E213" s="10" t="str">
        <f>Upload!AF212</f>
        <v/>
      </c>
      <c r="F213" s="10" t="str">
        <f>Upload!AH212</f>
        <v/>
      </c>
      <c r="G213" s="10" t="str">
        <f>Upload!AE212</f>
        <v>(seleccione)</v>
      </c>
      <c r="H213" s="10" t="str">
        <f>Upload!AG212</f>
        <v>(seleccione)</v>
      </c>
      <c r="J213" s="16" t="str">
        <f t="shared" si="22"/>
        <v/>
      </c>
      <c r="K213" s="16" t="str">
        <f t="shared" si="23"/>
        <v/>
      </c>
      <c r="L213" s="16" t="str">
        <f t="shared" si="24"/>
        <v/>
      </c>
      <c r="M213" s="16" t="str">
        <f t="shared" si="25"/>
        <v/>
      </c>
      <c r="N213" s="16" t="str">
        <f t="shared" si="26"/>
        <v/>
      </c>
      <c r="O213" s="16" t="str">
        <f>IF(OR(N213="",NOT(OR(ISNUMBER(SEARCH("Antitarnish",Upload!N212&amp;Upload!O212&amp;Upload!P212&amp;Upload!Q212)),ISNUMBER(SEARCH("Anti Tarnish",Upload!N212&amp;Upload!O212&amp;Upload!P212&amp;Upload!Q212))))),"",0.0012*N213)</f>
        <v/>
      </c>
      <c r="P213" s="16" t="str">
        <f>IF(OR(D213="",NOT(OR(ISNUMBER(SEARCH("Epóx",Upload!N212&amp;Upload!O212&amp;Upload!P212&amp;Upload!Q212)),ISNUMBER(SEARCH("Epox",Upload!N212&amp;Upload!O212&amp;Upload!P212&amp;Upload!Q212)),ISNUMBER(SEARCH("Barniz",Upload!N212&amp;Upload!O212&amp;Upload!P212&amp;Upload!Q212))))),"",D213*0.000035)</f>
        <v/>
      </c>
      <c r="Q213" s="16" t="str">
        <f>IF(OR(D213="",NOT(OR(ISNUMBER(SEARCH("Epóx",Upload!N212&amp;Upload!O212&amp;Upload!P212&amp;Upload!Q212)),ISNUMBER(SEARCH("Epox",Upload!N212&amp;Upload!O212&amp;Upload!P212&amp;Upload!Q212)),ISNUMBER(SEARCH("Barniz",Upload!N212&amp;Upload!O212&amp;Upload!P212&amp;Upload!Q212))))),"",D213*0.000035)</f>
        <v/>
      </c>
      <c r="R213" s="16" t="str">
        <f t="shared" si="27"/>
        <v/>
      </c>
    </row>
    <row r="214" spans="1:18" x14ac:dyDescent="0.2">
      <c r="A214" s="10" t="e">
        <f t="shared" ca="1" si="21"/>
        <v>#NAME?</v>
      </c>
      <c r="B214" s="10">
        <f>Upload!E213</f>
        <v>0</v>
      </c>
      <c r="C214" s="10">
        <f>Upload!AJ213</f>
        <v>0</v>
      </c>
      <c r="D214" s="10">
        <f>Upload!AK213</f>
        <v>0</v>
      </c>
      <c r="E214" s="10" t="str">
        <f>Upload!AF213</f>
        <v/>
      </c>
      <c r="F214" s="10" t="str">
        <f>Upload!AH213</f>
        <v/>
      </c>
      <c r="G214" s="10" t="str">
        <f>Upload!AE213</f>
        <v>(seleccione)</v>
      </c>
      <c r="H214" s="10" t="str">
        <f>Upload!AG213</f>
        <v>(seleccione)</v>
      </c>
      <c r="J214" s="16" t="str">
        <f t="shared" si="22"/>
        <v/>
      </c>
      <c r="K214" s="16" t="str">
        <f t="shared" si="23"/>
        <v/>
      </c>
      <c r="L214" s="16" t="str">
        <f t="shared" si="24"/>
        <v/>
      </c>
      <c r="M214" s="16" t="str">
        <f t="shared" si="25"/>
        <v/>
      </c>
      <c r="N214" s="16" t="str">
        <f t="shared" si="26"/>
        <v/>
      </c>
      <c r="O214" s="16" t="str">
        <f>IF(OR(N214="",NOT(OR(ISNUMBER(SEARCH("Antitarnish",Upload!N213&amp;Upload!O213&amp;Upload!P213&amp;Upload!Q213)),ISNUMBER(SEARCH("Anti Tarnish",Upload!N213&amp;Upload!O213&amp;Upload!P213&amp;Upload!Q213))))),"",0.0012*N214)</f>
        <v/>
      </c>
      <c r="P214" s="16" t="str">
        <f>IF(OR(D214="",NOT(OR(ISNUMBER(SEARCH("Epóx",Upload!N213&amp;Upload!O213&amp;Upload!P213&amp;Upload!Q213)),ISNUMBER(SEARCH("Epox",Upload!N213&amp;Upload!O213&amp;Upload!P213&amp;Upload!Q213)),ISNUMBER(SEARCH("Barniz",Upload!N213&amp;Upload!O213&amp;Upload!P213&amp;Upload!Q213))))),"",D214*0.000035)</f>
        <v/>
      </c>
      <c r="Q214" s="16" t="str">
        <f>IF(OR(D214="",NOT(OR(ISNUMBER(SEARCH("Epóx",Upload!N213&amp;Upload!O213&amp;Upload!P213&amp;Upload!Q213)),ISNUMBER(SEARCH("Epox",Upload!N213&amp;Upload!O213&amp;Upload!P213&amp;Upload!Q213)),ISNUMBER(SEARCH("Barniz",Upload!N213&amp;Upload!O213&amp;Upload!P213&amp;Upload!Q213))))),"",D214*0.000035)</f>
        <v/>
      </c>
      <c r="R214" s="16" t="str">
        <f t="shared" si="27"/>
        <v/>
      </c>
    </row>
    <row r="215" spans="1:18" x14ac:dyDescent="0.2">
      <c r="A215" s="10" t="e">
        <f t="shared" ca="1" si="21"/>
        <v>#NAME?</v>
      </c>
      <c r="B215" s="10">
        <f>Upload!E214</f>
        <v>0</v>
      </c>
      <c r="C215" s="10">
        <f>Upload!AJ214</f>
        <v>0</v>
      </c>
      <c r="D215" s="10">
        <f>Upload!AK214</f>
        <v>0</v>
      </c>
      <c r="E215" s="10" t="str">
        <f>Upload!AF214</f>
        <v/>
      </c>
      <c r="F215" s="10" t="str">
        <f>Upload!AH214</f>
        <v/>
      </c>
      <c r="G215" s="10" t="str">
        <f>Upload!AE214</f>
        <v>(seleccione)</v>
      </c>
      <c r="H215" s="10" t="str">
        <f>Upload!AG214</f>
        <v>(seleccione)</v>
      </c>
      <c r="J215" s="16" t="str">
        <f t="shared" si="22"/>
        <v/>
      </c>
      <c r="K215" s="16" t="str">
        <f t="shared" si="23"/>
        <v/>
      </c>
      <c r="L215" s="16" t="str">
        <f t="shared" si="24"/>
        <v/>
      </c>
      <c r="M215" s="16" t="str">
        <f t="shared" si="25"/>
        <v/>
      </c>
      <c r="N215" s="16" t="str">
        <f t="shared" si="26"/>
        <v/>
      </c>
      <c r="O215" s="16" t="str">
        <f>IF(OR(N215="",NOT(OR(ISNUMBER(SEARCH("Antitarnish",Upload!N214&amp;Upload!O214&amp;Upload!P214&amp;Upload!Q214)),ISNUMBER(SEARCH("Anti Tarnish",Upload!N214&amp;Upload!O214&amp;Upload!P214&amp;Upload!Q214))))),"",0.0012*N215)</f>
        <v/>
      </c>
      <c r="P215" s="16" t="str">
        <f>IF(OR(D215="",NOT(OR(ISNUMBER(SEARCH("Epóx",Upload!N214&amp;Upload!O214&amp;Upload!P214&amp;Upload!Q214)),ISNUMBER(SEARCH("Epox",Upload!N214&amp;Upload!O214&amp;Upload!P214&amp;Upload!Q214)),ISNUMBER(SEARCH("Barniz",Upload!N214&amp;Upload!O214&amp;Upload!P214&amp;Upload!Q214))))),"",D215*0.000035)</f>
        <v/>
      </c>
      <c r="Q215" s="16" t="str">
        <f>IF(OR(D215="",NOT(OR(ISNUMBER(SEARCH("Epóx",Upload!N214&amp;Upload!O214&amp;Upload!P214&amp;Upload!Q214)),ISNUMBER(SEARCH("Epox",Upload!N214&amp;Upload!O214&amp;Upload!P214&amp;Upload!Q214)),ISNUMBER(SEARCH("Barniz",Upload!N214&amp;Upload!O214&amp;Upload!P214&amp;Upload!Q214))))),"",D215*0.000035)</f>
        <v/>
      </c>
      <c r="R215" s="16" t="str">
        <f t="shared" si="27"/>
        <v/>
      </c>
    </row>
    <row r="216" spans="1:18" x14ac:dyDescent="0.2">
      <c r="A216" s="10" t="e">
        <f t="shared" ca="1" si="21"/>
        <v>#NAME?</v>
      </c>
      <c r="B216" s="10">
        <f>Upload!E215</f>
        <v>0</v>
      </c>
      <c r="C216" s="10">
        <f>Upload!AJ215</f>
        <v>0</v>
      </c>
      <c r="D216" s="10">
        <f>Upload!AK215</f>
        <v>0</v>
      </c>
      <c r="E216" s="10" t="str">
        <f>Upload!AF215</f>
        <v/>
      </c>
      <c r="F216" s="10" t="str">
        <f>Upload!AH215</f>
        <v/>
      </c>
      <c r="G216" s="10" t="str">
        <f>Upload!AE215</f>
        <v>(seleccione)</v>
      </c>
      <c r="H216" s="10" t="str">
        <f>Upload!AG215</f>
        <v>(seleccione)</v>
      </c>
      <c r="J216" s="16" t="str">
        <f t="shared" si="22"/>
        <v/>
      </c>
      <c r="K216" s="16" t="str">
        <f t="shared" si="23"/>
        <v/>
      </c>
      <c r="L216" s="16" t="str">
        <f t="shared" si="24"/>
        <v/>
      </c>
      <c r="M216" s="16" t="str">
        <f t="shared" si="25"/>
        <v/>
      </c>
      <c r="N216" s="16" t="str">
        <f t="shared" si="26"/>
        <v/>
      </c>
      <c r="O216" s="16" t="str">
        <f>IF(OR(N216="",NOT(OR(ISNUMBER(SEARCH("Antitarnish",Upload!N215&amp;Upload!O215&amp;Upload!P215&amp;Upload!Q215)),ISNUMBER(SEARCH("Anti Tarnish",Upload!N215&amp;Upload!O215&amp;Upload!P215&amp;Upload!Q215))))),"",0.0012*N216)</f>
        <v/>
      </c>
      <c r="P216" s="16" t="str">
        <f>IF(OR(D216="",NOT(OR(ISNUMBER(SEARCH("Epóx",Upload!N215&amp;Upload!O215&amp;Upload!P215&amp;Upload!Q215)),ISNUMBER(SEARCH("Epox",Upload!N215&amp;Upload!O215&amp;Upload!P215&amp;Upload!Q215)),ISNUMBER(SEARCH("Barniz",Upload!N215&amp;Upload!O215&amp;Upload!P215&amp;Upload!Q215))))),"",D216*0.000035)</f>
        <v/>
      </c>
      <c r="Q216" s="16" t="str">
        <f>IF(OR(D216="",NOT(OR(ISNUMBER(SEARCH("Epóx",Upload!N215&amp;Upload!O215&amp;Upload!P215&amp;Upload!Q215)),ISNUMBER(SEARCH("Epox",Upload!N215&amp;Upload!O215&amp;Upload!P215&amp;Upload!Q215)),ISNUMBER(SEARCH("Barniz",Upload!N215&amp;Upload!O215&amp;Upload!P215&amp;Upload!Q215))))),"",D216*0.000035)</f>
        <v/>
      </c>
      <c r="R216" s="16" t="str">
        <f t="shared" si="27"/>
        <v/>
      </c>
    </row>
    <row r="217" spans="1:18" x14ac:dyDescent="0.2">
      <c r="A217" s="10" t="e">
        <f t="shared" ca="1" si="21"/>
        <v>#NAME?</v>
      </c>
      <c r="B217" s="10">
        <f>Upload!E216</f>
        <v>0</v>
      </c>
      <c r="C217" s="10">
        <f>Upload!AJ216</f>
        <v>0</v>
      </c>
      <c r="D217" s="10">
        <f>Upload!AK216</f>
        <v>0</v>
      </c>
      <c r="E217" s="10" t="str">
        <f>Upload!AF216</f>
        <v/>
      </c>
      <c r="F217" s="10" t="str">
        <f>Upload!AH216</f>
        <v/>
      </c>
      <c r="G217" s="10" t="str">
        <f>Upload!AE216</f>
        <v>(seleccione)</v>
      </c>
      <c r="H217" s="10" t="str">
        <f>Upload!AG216</f>
        <v>(seleccione)</v>
      </c>
      <c r="J217" s="16" t="str">
        <f t="shared" si="22"/>
        <v/>
      </c>
      <c r="K217" s="16" t="str">
        <f t="shared" si="23"/>
        <v/>
      </c>
      <c r="L217" s="16" t="str">
        <f t="shared" si="24"/>
        <v/>
      </c>
      <c r="M217" s="16" t="str">
        <f t="shared" si="25"/>
        <v/>
      </c>
      <c r="N217" s="16" t="str">
        <f t="shared" si="26"/>
        <v/>
      </c>
      <c r="O217" s="16" t="str">
        <f>IF(OR(N217="",NOT(OR(ISNUMBER(SEARCH("Antitarnish",Upload!N216&amp;Upload!O216&amp;Upload!P216&amp;Upload!Q216)),ISNUMBER(SEARCH("Anti Tarnish",Upload!N216&amp;Upload!O216&amp;Upload!P216&amp;Upload!Q216))))),"",0.0012*N217)</f>
        <v/>
      </c>
      <c r="P217" s="16" t="str">
        <f>IF(OR(D217="",NOT(OR(ISNUMBER(SEARCH("Epóx",Upload!N216&amp;Upload!O216&amp;Upload!P216&amp;Upload!Q216)),ISNUMBER(SEARCH("Epox",Upload!N216&amp;Upload!O216&amp;Upload!P216&amp;Upload!Q216)),ISNUMBER(SEARCH("Barniz",Upload!N216&amp;Upload!O216&amp;Upload!P216&amp;Upload!Q216))))),"",D217*0.000035)</f>
        <v/>
      </c>
      <c r="Q217" s="16" t="str">
        <f>IF(OR(D217="",NOT(OR(ISNUMBER(SEARCH("Epóx",Upload!N216&amp;Upload!O216&amp;Upload!P216&amp;Upload!Q216)),ISNUMBER(SEARCH("Epox",Upload!N216&amp;Upload!O216&amp;Upload!P216&amp;Upload!Q216)),ISNUMBER(SEARCH("Barniz",Upload!N216&amp;Upload!O216&amp;Upload!P216&amp;Upload!Q216))))),"",D217*0.000035)</f>
        <v/>
      </c>
      <c r="R217" s="16" t="str">
        <f t="shared" si="27"/>
        <v/>
      </c>
    </row>
    <row r="218" spans="1:18" x14ac:dyDescent="0.2">
      <c r="A218" s="10" t="e">
        <f t="shared" ca="1" si="21"/>
        <v>#NAME?</v>
      </c>
      <c r="B218" s="10">
        <f>Upload!E217</f>
        <v>0</v>
      </c>
      <c r="C218" s="10">
        <f>Upload!AJ217</f>
        <v>0</v>
      </c>
      <c r="D218" s="10">
        <f>Upload!AK217</f>
        <v>0</v>
      </c>
      <c r="E218" s="10" t="str">
        <f>Upload!AF217</f>
        <v/>
      </c>
      <c r="F218" s="10" t="str">
        <f>Upload!AH217</f>
        <v/>
      </c>
      <c r="G218" s="10" t="str">
        <f>Upload!AE217</f>
        <v>(seleccione)</v>
      </c>
      <c r="H218" s="10" t="str">
        <f>Upload!AG217</f>
        <v>(seleccione)</v>
      </c>
      <c r="J218" s="16" t="str">
        <f t="shared" si="22"/>
        <v/>
      </c>
      <c r="K218" s="16" t="str">
        <f t="shared" si="23"/>
        <v/>
      </c>
      <c r="L218" s="16" t="str">
        <f t="shared" si="24"/>
        <v/>
      </c>
      <c r="M218" s="16" t="str">
        <f t="shared" si="25"/>
        <v/>
      </c>
      <c r="N218" s="16" t="str">
        <f t="shared" si="26"/>
        <v/>
      </c>
      <c r="O218" s="16" t="str">
        <f>IF(OR(N218="",NOT(OR(ISNUMBER(SEARCH("Antitarnish",Upload!N217&amp;Upload!O217&amp;Upload!P217&amp;Upload!Q217)),ISNUMBER(SEARCH("Anti Tarnish",Upload!N217&amp;Upload!O217&amp;Upload!P217&amp;Upload!Q217))))),"",0.0012*N218)</f>
        <v/>
      </c>
      <c r="P218" s="16" t="str">
        <f>IF(OR(D218="",NOT(OR(ISNUMBER(SEARCH("Epóx",Upload!N217&amp;Upload!O217&amp;Upload!P217&amp;Upload!Q217)),ISNUMBER(SEARCH("Epox",Upload!N217&amp;Upload!O217&amp;Upload!P217&amp;Upload!Q217)),ISNUMBER(SEARCH("Barniz",Upload!N217&amp;Upload!O217&amp;Upload!P217&amp;Upload!Q217))))),"",D218*0.000035)</f>
        <v/>
      </c>
      <c r="Q218" s="16" t="str">
        <f>IF(OR(D218="",NOT(OR(ISNUMBER(SEARCH("Epóx",Upload!N217&amp;Upload!O217&amp;Upload!P217&amp;Upload!Q217)),ISNUMBER(SEARCH("Epox",Upload!N217&amp;Upload!O217&amp;Upload!P217&amp;Upload!Q217)),ISNUMBER(SEARCH("Barniz",Upload!N217&amp;Upload!O217&amp;Upload!P217&amp;Upload!Q217))))),"",D218*0.000035)</f>
        <v/>
      </c>
      <c r="R218" s="16" t="str">
        <f t="shared" si="27"/>
        <v/>
      </c>
    </row>
    <row r="219" spans="1:18" x14ac:dyDescent="0.2">
      <c r="A219" s="10" t="e">
        <f t="shared" ca="1" si="21"/>
        <v>#NAME?</v>
      </c>
      <c r="B219" s="10">
        <f>Upload!E218</f>
        <v>0</v>
      </c>
      <c r="C219" s="10">
        <f>Upload!AJ218</f>
        <v>0</v>
      </c>
      <c r="D219" s="10">
        <f>Upload!AK218</f>
        <v>0</v>
      </c>
      <c r="E219" s="10" t="str">
        <f>Upload!AF218</f>
        <v/>
      </c>
      <c r="F219" s="10" t="str">
        <f>Upload!AH218</f>
        <v/>
      </c>
      <c r="G219" s="10" t="str">
        <f>Upload!AE218</f>
        <v>(seleccione)</v>
      </c>
      <c r="H219" s="10" t="str">
        <f>Upload!AG218</f>
        <v>(seleccione)</v>
      </c>
      <c r="J219" s="16" t="str">
        <f t="shared" si="22"/>
        <v/>
      </c>
      <c r="K219" s="16" t="str">
        <f t="shared" si="23"/>
        <v/>
      </c>
      <c r="L219" s="16" t="str">
        <f t="shared" si="24"/>
        <v/>
      </c>
      <c r="M219" s="16" t="str">
        <f t="shared" si="25"/>
        <v/>
      </c>
      <c r="N219" s="16" t="str">
        <f t="shared" si="26"/>
        <v/>
      </c>
      <c r="O219" s="16" t="str">
        <f>IF(OR(N219="",NOT(OR(ISNUMBER(SEARCH("Antitarnish",Upload!N218&amp;Upload!O218&amp;Upload!P218&amp;Upload!Q218)),ISNUMBER(SEARCH("Anti Tarnish",Upload!N218&amp;Upload!O218&amp;Upload!P218&amp;Upload!Q218))))),"",0.0012*N219)</f>
        <v/>
      </c>
      <c r="P219" s="16" t="str">
        <f>IF(OR(D219="",NOT(OR(ISNUMBER(SEARCH("Epóx",Upload!N218&amp;Upload!O218&amp;Upload!P218&amp;Upload!Q218)),ISNUMBER(SEARCH("Epox",Upload!N218&amp;Upload!O218&amp;Upload!P218&amp;Upload!Q218)),ISNUMBER(SEARCH("Barniz",Upload!N218&amp;Upload!O218&amp;Upload!P218&amp;Upload!Q218))))),"",D219*0.000035)</f>
        <v/>
      </c>
      <c r="Q219" s="16" t="str">
        <f>IF(OR(D219="",NOT(OR(ISNUMBER(SEARCH("Epóx",Upload!N218&amp;Upload!O218&amp;Upload!P218&amp;Upload!Q218)),ISNUMBER(SEARCH("Epox",Upload!N218&amp;Upload!O218&amp;Upload!P218&amp;Upload!Q218)),ISNUMBER(SEARCH("Barniz",Upload!N218&amp;Upload!O218&amp;Upload!P218&amp;Upload!Q218))))),"",D219*0.000035)</f>
        <v/>
      </c>
      <c r="R219" s="16" t="str">
        <f t="shared" si="27"/>
        <v/>
      </c>
    </row>
    <row r="220" spans="1:18" x14ac:dyDescent="0.2">
      <c r="A220" s="10" t="e">
        <f t="shared" ca="1" si="21"/>
        <v>#NAME?</v>
      </c>
      <c r="B220" s="10">
        <f>Upload!E219</f>
        <v>0</v>
      </c>
      <c r="C220" s="10">
        <f>Upload!AJ219</f>
        <v>0</v>
      </c>
      <c r="D220" s="10">
        <f>Upload!AK219</f>
        <v>0</v>
      </c>
      <c r="E220" s="10" t="str">
        <f>Upload!AF219</f>
        <v/>
      </c>
      <c r="F220" s="10" t="str">
        <f>Upload!AH219</f>
        <v/>
      </c>
      <c r="G220" s="10" t="str">
        <f>Upload!AE219</f>
        <v>(seleccione)</v>
      </c>
      <c r="H220" s="10" t="str">
        <f>Upload!AG219</f>
        <v>(seleccione)</v>
      </c>
      <c r="J220" s="16" t="str">
        <f t="shared" si="22"/>
        <v/>
      </c>
      <c r="K220" s="16" t="str">
        <f t="shared" si="23"/>
        <v/>
      </c>
      <c r="L220" s="16" t="str">
        <f t="shared" si="24"/>
        <v/>
      </c>
      <c r="M220" s="16" t="str">
        <f t="shared" si="25"/>
        <v/>
      </c>
      <c r="N220" s="16" t="str">
        <f t="shared" si="26"/>
        <v/>
      </c>
      <c r="O220" s="16" t="str">
        <f>IF(OR(N220="",NOT(OR(ISNUMBER(SEARCH("Antitarnish",Upload!N219&amp;Upload!O219&amp;Upload!P219&amp;Upload!Q219)),ISNUMBER(SEARCH("Anti Tarnish",Upload!N219&amp;Upload!O219&amp;Upload!P219&amp;Upload!Q219))))),"",0.0012*N220)</f>
        <v/>
      </c>
      <c r="P220" s="16" t="str">
        <f>IF(OR(D220="",NOT(OR(ISNUMBER(SEARCH("Epóx",Upload!N219&amp;Upload!O219&amp;Upload!P219&amp;Upload!Q219)),ISNUMBER(SEARCH("Epox",Upload!N219&amp;Upload!O219&amp;Upload!P219&amp;Upload!Q219)),ISNUMBER(SEARCH("Barniz",Upload!N219&amp;Upload!O219&amp;Upload!P219&amp;Upload!Q219))))),"",D220*0.000035)</f>
        <v/>
      </c>
      <c r="Q220" s="16" t="str">
        <f>IF(OR(D220="",NOT(OR(ISNUMBER(SEARCH("Epóx",Upload!N219&amp;Upload!O219&amp;Upload!P219&amp;Upload!Q219)),ISNUMBER(SEARCH("Epox",Upload!N219&amp;Upload!O219&amp;Upload!P219&amp;Upload!Q219)),ISNUMBER(SEARCH("Barniz",Upload!N219&amp;Upload!O219&amp;Upload!P219&amp;Upload!Q219))))),"",D220*0.000035)</f>
        <v/>
      </c>
      <c r="R220" s="16" t="str">
        <f t="shared" si="27"/>
        <v/>
      </c>
    </row>
    <row r="221" spans="1:18" x14ac:dyDescent="0.2">
      <c r="A221" s="10" t="e">
        <f t="shared" ca="1" si="21"/>
        <v>#NAME?</v>
      </c>
      <c r="B221" s="10">
        <f>Upload!E220</f>
        <v>0</v>
      </c>
      <c r="C221" s="10">
        <f>Upload!AJ220</f>
        <v>0</v>
      </c>
      <c r="D221" s="10">
        <f>Upload!AK220</f>
        <v>0</v>
      </c>
      <c r="E221" s="10" t="str">
        <f>Upload!AF220</f>
        <v/>
      </c>
      <c r="F221" s="10" t="str">
        <f>Upload!AH220</f>
        <v/>
      </c>
      <c r="G221" s="10" t="str">
        <f>Upload!AE220</f>
        <v>(seleccione)</v>
      </c>
      <c r="H221" s="10" t="str">
        <f>Upload!AG220</f>
        <v>(seleccione)</v>
      </c>
      <c r="J221" s="16" t="str">
        <f t="shared" si="22"/>
        <v/>
      </c>
      <c r="K221" s="16" t="str">
        <f t="shared" si="23"/>
        <v/>
      </c>
      <c r="L221" s="16" t="str">
        <f t="shared" si="24"/>
        <v/>
      </c>
      <c r="M221" s="16" t="str">
        <f t="shared" si="25"/>
        <v/>
      </c>
      <c r="N221" s="16" t="str">
        <f t="shared" si="26"/>
        <v/>
      </c>
      <c r="O221" s="16" t="str">
        <f>IF(OR(N221="",NOT(OR(ISNUMBER(SEARCH("Antitarnish",Upload!N220&amp;Upload!O220&amp;Upload!P220&amp;Upload!Q220)),ISNUMBER(SEARCH("Anti Tarnish",Upload!N220&amp;Upload!O220&amp;Upload!P220&amp;Upload!Q220))))),"",0.0012*N221)</f>
        <v/>
      </c>
      <c r="P221" s="16" t="str">
        <f>IF(OR(D221="",NOT(OR(ISNUMBER(SEARCH("Epóx",Upload!N220&amp;Upload!O220&amp;Upload!P220&amp;Upload!Q220)),ISNUMBER(SEARCH("Epox",Upload!N220&amp;Upload!O220&amp;Upload!P220&amp;Upload!Q220)),ISNUMBER(SEARCH("Barniz",Upload!N220&amp;Upload!O220&amp;Upload!P220&amp;Upload!Q220))))),"",D221*0.000035)</f>
        <v/>
      </c>
      <c r="Q221" s="16" t="str">
        <f>IF(OR(D221="",NOT(OR(ISNUMBER(SEARCH("Epóx",Upload!N220&amp;Upload!O220&amp;Upload!P220&amp;Upload!Q220)),ISNUMBER(SEARCH("Epox",Upload!N220&amp;Upload!O220&amp;Upload!P220&amp;Upload!Q220)),ISNUMBER(SEARCH("Barniz",Upload!N220&amp;Upload!O220&amp;Upload!P220&amp;Upload!Q220))))),"",D221*0.000035)</f>
        <v/>
      </c>
      <c r="R221" s="16" t="str">
        <f t="shared" si="27"/>
        <v/>
      </c>
    </row>
    <row r="222" spans="1:18" x14ac:dyDescent="0.2">
      <c r="A222" s="10" t="e">
        <f t="shared" ca="1" si="21"/>
        <v>#NAME?</v>
      </c>
      <c r="B222" s="10">
        <f>Upload!E221</f>
        <v>0</v>
      </c>
      <c r="C222" s="10">
        <f>Upload!AJ221</f>
        <v>0</v>
      </c>
      <c r="D222" s="10">
        <f>Upload!AK221</f>
        <v>0</v>
      </c>
      <c r="E222" s="10" t="str">
        <f>Upload!AF221</f>
        <v/>
      </c>
      <c r="F222" s="10" t="str">
        <f>Upload!AH221</f>
        <v/>
      </c>
      <c r="G222" s="10" t="str">
        <f>Upload!AE221</f>
        <v>(seleccione)</v>
      </c>
      <c r="H222" s="10" t="str">
        <f>Upload!AG221</f>
        <v>(seleccione)</v>
      </c>
      <c r="J222" s="16" t="str">
        <f t="shared" si="22"/>
        <v/>
      </c>
      <c r="K222" s="16" t="str">
        <f t="shared" si="23"/>
        <v/>
      </c>
      <c r="L222" s="16" t="str">
        <f t="shared" si="24"/>
        <v/>
      </c>
      <c r="M222" s="16" t="str">
        <f t="shared" si="25"/>
        <v/>
      </c>
      <c r="N222" s="16" t="str">
        <f t="shared" si="26"/>
        <v/>
      </c>
      <c r="O222" s="16" t="str">
        <f>IF(OR(N222="",NOT(OR(ISNUMBER(SEARCH("Antitarnish",Upload!N221&amp;Upload!O221&amp;Upload!P221&amp;Upload!Q221)),ISNUMBER(SEARCH("Anti Tarnish",Upload!N221&amp;Upload!O221&amp;Upload!P221&amp;Upload!Q221))))),"",0.0012*N222)</f>
        <v/>
      </c>
      <c r="P222" s="16" t="str">
        <f>IF(OR(D222="",NOT(OR(ISNUMBER(SEARCH("Epóx",Upload!N221&amp;Upload!O221&amp;Upload!P221&amp;Upload!Q221)),ISNUMBER(SEARCH("Epox",Upload!N221&amp;Upload!O221&amp;Upload!P221&amp;Upload!Q221)),ISNUMBER(SEARCH("Barniz",Upload!N221&amp;Upload!O221&amp;Upload!P221&amp;Upload!Q221))))),"",D222*0.000035)</f>
        <v/>
      </c>
      <c r="Q222" s="16" t="str">
        <f>IF(OR(D222="",NOT(OR(ISNUMBER(SEARCH("Epóx",Upload!N221&amp;Upload!O221&amp;Upload!P221&amp;Upload!Q221)),ISNUMBER(SEARCH("Epox",Upload!N221&amp;Upload!O221&amp;Upload!P221&amp;Upload!Q221)),ISNUMBER(SEARCH("Barniz",Upload!N221&amp;Upload!O221&amp;Upload!P221&amp;Upload!Q221))))),"",D222*0.000035)</f>
        <v/>
      </c>
      <c r="R222" s="16" t="str">
        <f t="shared" si="27"/>
        <v/>
      </c>
    </row>
    <row r="223" spans="1:18" x14ac:dyDescent="0.2">
      <c r="A223" s="10" t="e">
        <f t="shared" ca="1" si="21"/>
        <v>#NAME?</v>
      </c>
      <c r="B223" s="10">
        <f>Upload!E222</f>
        <v>0</v>
      </c>
      <c r="C223" s="10">
        <f>Upload!AJ222</f>
        <v>0</v>
      </c>
      <c r="D223" s="10">
        <f>Upload!AK222</f>
        <v>0</v>
      </c>
      <c r="E223" s="10" t="str">
        <f>Upload!AF222</f>
        <v/>
      </c>
      <c r="F223" s="10" t="str">
        <f>Upload!AH222</f>
        <v/>
      </c>
      <c r="G223" s="10" t="str">
        <f>Upload!AE222</f>
        <v>(seleccione)</v>
      </c>
      <c r="H223" s="10" t="str">
        <f>Upload!AG222</f>
        <v>(seleccione)</v>
      </c>
      <c r="J223" s="16" t="str">
        <f t="shared" si="22"/>
        <v/>
      </c>
      <c r="K223" s="16" t="str">
        <f t="shared" si="23"/>
        <v/>
      </c>
      <c r="L223" s="16" t="str">
        <f t="shared" si="24"/>
        <v/>
      </c>
      <c r="M223" s="16" t="str">
        <f t="shared" si="25"/>
        <v/>
      </c>
      <c r="N223" s="16" t="str">
        <f t="shared" si="26"/>
        <v/>
      </c>
      <c r="O223" s="16" t="str">
        <f>IF(OR(N223="",NOT(OR(ISNUMBER(SEARCH("Antitarnish",Upload!N222&amp;Upload!O222&amp;Upload!P222&amp;Upload!Q222)),ISNUMBER(SEARCH("Anti Tarnish",Upload!N222&amp;Upload!O222&amp;Upload!P222&amp;Upload!Q222))))),"",0.0012*N223)</f>
        <v/>
      </c>
      <c r="P223" s="16" t="str">
        <f>IF(OR(D223="",NOT(OR(ISNUMBER(SEARCH("Epóx",Upload!N222&amp;Upload!O222&amp;Upload!P222&amp;Upload!Q222)),ISNUMBER(SEARCH("Epox",Upload!N222&amp;Upload!O222&amp;Upload!P222&amp;Upload!Q222)),ISNUMBER(SEARCH("Barniz",Upload!N222&amp;Upload!O222&amp;Upload!P222&amp;Upload!Q222))))),"",D223*0.000035)</f>
        <v/>
      </c>
      <c r="Q223" s="16" t="str">
        <f>IF(OR(D223="",NOT(OR(ISNUMBER(SEARCH("Epóx",Upload!N222&amp;Upload!O222&amp;Upload!P222&amp;Upload!Q222)),ISNUMBER(SEARCH("Epox",Upload!N222&amp;Upload!O222&amp;Upload!P222&amp;Upload!Q222)),ISNUMBER(SEARCH("Barniz",Upload!N222&amp;Upload!O222&amp;Upload!P222&amp;Upload!Q222))))),"",D223*0.000035)</f>
        <v/>
      </c>
      <c r="R223" s="16" t="str">
        <f t="shared" si="27"/>
        <v/>
      </c>
    </row>
    <row r="224" spans="1:18" x14ac:dyDescent="0.2">
      <c r="A224" s="10" t="e">
        <f t="shared" ca="1" si="21"/>
        <v>#NAME?</v>
      </c>
      <c r="B224" s="10">
        <f>Upload!E223</f>
        <v>0</v>
      </c>
      <c r="C224" s="10">
        <f>Upload!AJ223</f>
        <v>0</v>
      </c>
      <c r="D224" s="10">
        <f>Upload!AK223</f>
        <v>0</v>
      </c>
      <c r="E224" s="10" t="str">
        <f>Upload!AF223</f>
        <v/>
      </c>
      <c r="F224" s="10" t="str">
        <f>Upload!AH223</f>
        <v/>
      </c>
      <c r="G224" s="10" t="str">
        <f>Upload!AE223</f>
        <v>(seleccione)</v>
      </c>
      <c r="H224" s="10" t="str">
        <f>Upload!AG223</f>
        <v>(seleccione)</v>
      </c>
      <c r="J224" s="16" t="str">
        <f t="shared" si="22"/>
        <v/>
      </c>
      <c r="K224" s="16" t="str">
        <f t="shared" si="23"/>
        <v/>
      </c>
      <c r="L224" s="16" t="str">
        <f t="shared" si="24"/>
        <v/>
      </c>
      <c r="M224" s="16" t="str">
        <f t="shared" si="25"/>
        <v/>
      </c>
      <c r="N224" s="16" t="str">
        <f t="shared" si="26"/>
        <v/>
      </c>
      <c r="O224" s="16" t="str">
        <f>IF(OR(N224="",NOT(OR(ISNUMBER(SEARCH("Antitarnish",Upload!N223&amp;Upload!O223&amp;Upload!P223&amp;Upload!Q223)),ISNUMBER(SEARCH("Anti Tarnish",Upload!N223&amp;Upload!O223&amp;Upload!P223&amp;Upload!Q223))))),"",0.0012*N224)</f>
        <v/>
      </c>
      <c r="P224" s="16" t="str">
        <f>IF(OR(D224="",NOT(OR(ISNUMBER(SEARCH("Epóx",Upload!N223&amp;Upload!O223&amp;Upload!P223&amp;Upload!Q223)),ISNUMBER(SEARCH("Epox",Upload!N223&amp;Upload!O223&amp;Upload!P223&amp;Upload!Q223)),ISNUMBER(SEARCH("Barniz",Upload!N223&amp;Upload!O223&amp;Upload!P223&amp;Upload!Q223))))),"",D224*0.000035)</f>
        <v/>
      </c>
      <c r="Q224" s="16" t="str">
        <f>IF(OR(D224="",NOT(OR(ISNUMBER(SEARCH("Epóx",Upload!N223&amp;Upload!O223&amp;Upload!P223&amp;Upload!Q223)),ISNUMBER(SEARCH("Epox",Upload!N223&amp;Upload!O223&amp;Upload!P223&amp;Upload!Q223)),ISNUMBER(SEARCH("Barniz",Upload!N223&amp;Upload!O223&amp;Upload!P223&amp;Upload!Q223))))),"",D224*0.000035)</f>
        <v/>
      </c>
      <c r="R224" s="16" t="str">
        <f t="shared" si="27"/>
        <v/>
      </c>
    </row>
    <row r="225" spans="1:18" x14ac:dyDescent="0.2">
      <c r="A225" s="10" t="e">
        <f t="shared" ca="1" si="21"/>
        <v>#NAME?</v>
      </c>
      <c r="B225" s="10">
        <f>Upload!E224</f>
        <v>0</v>
      </c>
      <c r="C225" s="10">
        <f>Upload!AJ224</f>
        <v>0</v>
      </c>
      <c r="D225" s="10">
        <f>Upload!AK224</f>
        <v>0</v>
      </c>
      <c r="E225" s="10" t="str">
        <f>Upload!AF224</f>
        <v/>
      </c>
      <c r="F225" s="10" t="str">
        <f>Upload!AH224</f>
        <v/>
      </c>
      <c r="G225" s="10" t="str">
        <f>Upload!AE224</f>
        <v>(seleccione)</v>
      </c>
      <c r="H225" s="10" t="str">
        <f>Upload!AG224</f>
        <v>(seleccione)</v>
      </c>
      <c r="J225" s="16" t="str">
        <f t="shared" si="22"/>
        <v/>
      </c>
      <c r="K225" s="16" t="str">
        <f t="shared" si="23"/>
        <v/>
      </c>
      <c r="L225" s="16" t="str">
        <f t="shared" si="24"/>
        <v/>
      </c>
      <c r="M225" s="16" t="str">
        <f t="shared" si="25"/>
        <v/>
      </c>
      <c r="N225" s="16" t="str">
        <f t="shared" si="26"/>
        <v/>
      </c>
      <c r="O225" s="16" t="str">
        <f>IF(OR(N225="",NOT(OR(ISNUMBER(SEARCH("Antitarnish",Upload!N224&amp;Upload!O224&amp;Upload!P224&amp;Upload!Q224)),ISNUMBER(SEARCH("Anti Tarnish",Upload!N224&amp;Upload!O224&amp;Upload!P224&amp;Upload!Q224))))),"",0.0012*N225)</f>
        <v/>
      </c>
      <c r="P225" s="16" t="str">
        <f>IF(OR(D225="",NOT(OR(ISNUMBER(SEARCH("Epóx",Upload!N224&amp;Upload!O224&amp;Upload!P224&amp;Upload!Q224)),ISNUMBER(SEARCH("Epox",Upload!N224&amp;Upload!O224&amp;Upload!P224&amp;Upload!Q224)),ISNUMBER(SEARCH("Barniz",Upload!N224&amp;Upload!O224&amp;Upload!P224&amp;Upload!Q224))))),"",D225*0.000035)</f>
        <v/>
      </c>
      <c r="Q225" s="16" t="str">
        <f>IF(OR(D225="",NOT(OR(ISNUMBER(SEARCH("Epóx",Upload!N224&amp;Upload!O224&amp;Upload!P224&amp;Upload!Q224)),ISNUMBER(SEARCH("Epox",Upload!N224&amp;Upload!O224&amp;Upload!P224&amp;Upload!Q224)),ISNUMBER(SEARCH("Barniz",Upload!N224&amp;Upload!O224&amp;Upload!P224&amp;Upload!Q224))))),"",D225*0.000035)</f>
        <v/>
      </c>
      <c r="R225" s="16" t="str">
        <f t="shared" si="27"/>
        <v/>
      </c>
    </row>
    <row r="226" spans="1:18" x14ac:dyDescent="0.2">
      <c r="A226" s="10" t="e">
        <f t="shared" ca="1" si="21"/>
        <v>#NAME?</v>
      </c>
      <c r="B226" s="10">
        <f>Upload!E225</f>
        <v>0</v>
      </c>
      <c r="C226" s="10">
        <f>Upload!AJ225</f>
        <v>0</v>
      </c>
      <c r="D226" s="10">
        <f>Upload!AK225</f>
        <v>0</v>
      </c>
      <c r="E226" s="10" t="str">
        <f>Upload!AF225</f>
        <v/>
      </c>
      <c r="F226" s="10" t="str">
        <f>Upload!AH225</f>
        <v/>
      </c>
      <c r="G226" s="10" t="str">
        <f>Upload!AE225</f>
        <v>(seleccione)</v>
      </c>
      <c r="H226" s="10" t="str">
        <f>Upload!AG225</f>
        <v>(seleccione)</v>
      </c>
      <c r="J226" s="16" t="str">
        <f t="shared" si="22"/>
        <v/>
      </c>
      <c r="K226" s="16" t="str">
        <f t="shared" si="23"/>
        <v/>
      </c>
      <c r="L226" s="16" t="str">
        <f t="shared" si="24"/>
        <v/>
      </c>
      <c r="M226" s="16" t="str">
        <f t="shared" si="25"/>
        <v/>
      </c>
      <c r="N226" s="16" t="str">
        <f t="shared" si="26"/>
        <v/>
      </c>
      <c r="O226" s="16" t="str">
        <f>IF(OR(N226="",NOT(OR(ISNUMBER(SEARCH("Antitarnish",Upload!N225&amp;Upload!O225&amp;Upload!P225&amp;Upload!Q225)),ISNUMBER(SEARCH("Anti Tarnish",Upload!N225&amp;Upload!O225&amp;Upload!P225&amp;Upload!Q225))))),"",0.0012*N226)</f>
        <v/>
      </c>
      <c r="P226" s="16" t="str">
        <f>IF(OR(D226="",NOT(OR(ISNUMBER(SEARCH("Epóx",Upload!N225&amp;Upload!O225&amp;Upload!P225&amp;Upload!Q225)),ISNUMBER(SEARCH("Epox",Upload!N225&amp;Upload!O225&amp;Upload!P225&amp;Upload!Q225)),ISNUMBER(SEARCH("Barniz",Upload!N225&amp;Upload!O225&amp;Upload!P225&amp;Upload!Q225))))),"",D226*0.000035)</f>
        <v/>
      </c>
      <c r="Q226" s="16" t="str">
        <f>IF(OR(D226="",NOT(OR(ISNUMBER(SEARCH("Epóx",Upload!N225&amp;Upload!O225&amp;Upload!P225&amp;Upload!Q225)),ISNUMBER(SEARCH("Epox",Upload!N225&amp;Upload!O225&amp;Upload!P225&amp;Upload!Q225)),ISNUMBER(SEARCH("Barniz",Upload!N225&amp;Upload!O225&amp;Upload!P225&amp;Upload!Q225))))),"",D226*0.000035)</f>
        <v/>
      </c>
      <c r="R226" s="16" t="str">
        <f t="shared" si="27"/>
        <v/>
      </c>
    </row>
    <row r="227" spans="1:18" x14ac:dyDescent="0.2">
      <c r="A227" s="10" t="e">
        <f t="shared" ca="1" si="21"/>
        <v>#NAME?</v>
      </c>
      <c r="B227" s="10">
        <f>Upload!E226</f>
        <v>0</v>
      </c>
      <c r="C227" s="10">
        <f>Upload!AJ226</f>
        <v>0</v>
      </c>
      <c r="D227" s="10">
        <f>Upload!AK226</f>
        <v>0</v>
      </c>
      <c r="E227" s="10" t="str">
        <f>Upload!AF226</f>
        <v/>
      </c>
      <c r="F227" s="10" t="str">
        <f>Upload!AH226</f>
        <v/>
      </c>
      <c r="G227" s="10" t="str">
        <f>Upload!AE226</f>
        <v>(seleccione)</v>
      </c>
      <c r="H227" s="10" t="str">
        <f>Upload!AG226</f>
        <v>(seleccione)</v>
      </c>
      <c r="J227" s="16" t="str">
        <f t="shared" si="22"/>
        <v/>
      </c>
      <c r="K227" s="16" t="str">
        <f t="shared" si="23"/>
        <v/>
      </c>
      <c r="L227" s="16" t="str">
        <f t="shared" si="24"/>
        <v/>
      </c>
      <c r="M227" s="16" t="str">
        <f t="shared" si="25"/>
        <v/>
      </c>
      <c r="N227" s="16" t="str">
        <f t="shared" si="26"/>
        <v/>
      </c>
      <c r="O227" s="16" t="str">
        <f>IF(OR(N227="",NOT(OR(ISNUMBER(SEARCH("Antitarnish",Upload!N226&amp;Upload!O226&amp;Upload!P226&amp;Upload!Q226)),ISNUMBER(SEARCH("Anti Tarnish",Upload!N226&amp;Upload!O226&amp;Upload!P226&amp;Upload!Q226))))),"",0.0012*N227)</f>
        <v/>
      </c>
      <c r="P227" s="16" t="str">
        <f>IF(OR(D227="",NOT(OR(ISNUMBER(SEARCH("Epóx",Upload!N226&amp;Upload!O226&amp;Upload!P226&amp;Upload!Q226)),ISNUMBER(SEARCH("Epox",Upload!N226&amp;Upload!O226&amp;Upload!P226&amp;Upload!Q226)),ISNUMBER(SEARCH("Barniz",Upload!N226&amp;Upload!O226&amp;Upload!P226&amp;Upload!Q226))))),"",D227*0.000035)</f>
        <v/>
      </c>
      <c r="Q227" s="16" t="str">
        <f>IF(OR(D227="",NOT(OR(ISNUMBER(SEARCH("Epóx",Upload!N226&amp;Upload!O226&amp;Upload!P226&amp;Upload!Q226)),ISNUMBER(SEARCH("Epox",Upload!N226&amp;Upload!O226&amp;Upload!P226&amp;Upload!Q226)),ISNUMBER(SEARCH("Barniz",Upload!N226&amp;Upload!O226&amp;Upload!P226&amp;Upload!Q226))))),"",D227*0.000035)</f>
        <v/>
      </c>
      <c r="R227" s="16" t="str">
        <f t="shared" si="27"/>
        <v/>
      </c>
    </row>
    <row r="228" spans="1:18" x14ac:dyDescent="0.2">
      <c r="A228" s="10" t="e">
        <f t="shared" ca="1" si="21"/>
        <v>#NAME?</v>
      </c>
      <c r="B228" s="10">
        <f>Upload!E227</f>
        <v>0</v>
      </c>
      <c r="C228" s="10">
        <f>Upload!AJ227</f>
        <v>0</v>
      </c>
      <c r="D228" s="10">
        <f>Upload!AK227</f>
        <v>0</v>
      </c>
      <c r="E228" s="10" t="str">
        <f>Upload!AF227</f>
        <v/>
      </c>
      <c r="F228" s="10" t="str">
        <f>Upload!AH227</f>
        <v/>
      </c>
      <c r="G228" s="10" t="str">
        <f>Upload!AE227</f>
        <v>(seleccione)</v>
      </c>
      <c r="H228" s="10" t="str">
        <f>Upload!AG227</f>
        <v>(seleccione)</v>
      </c>
      <c r="J228" s="16" t="str">
        <f t="shared" si="22"/>
        <v/>
      </c>
      <c r="K228" s="16" t="str">
        <f t="shared" si="23"/>
        <v/>
      </c>
      <c r="L228" s="16" t="str">
        <f t="shared" si="24"/>
        <v/>
      </c>
      <c r="M228" s="16" t="str">
        <f t="shared" si="25"/>
        <v/>
      </c>
      <c r="N228" s="16" t="str">
        <f t="shared" si="26"/>
        <v/>
      </c>
      <c r="O228" s="16" t="str">
        <f>IF(OR(N228="",NOT(OR(ISNUMBER(SEARCH("Antitarnish",Upload!N227&amp;Upload!O227&amp;Upload!P227&amp;Upload!Q227)),ISNUMBER(SEARCH("Anti Tarnish",Upload!N227&amp;Upload!O227&amp;Upload!P227&amp;Upload!Q227))))),"",0.0012*N228)</f>
        <v/>
      </c>
      <c r="P228" s="16" t="str">
        <f>IF(OR(D228="",NOT(OR(ISNUMBER(SEARCH("Epóx",Upload!N227&amp;Upload!O227&amp;Upload!P227&amp;Upload!Q227)),ISNUMBER(SEARCH("Epox",Upload!N227&amp;Upload!O227&amp;Upload!P227&amp;Upload!Q227)),ISNUMBER(SEARCH("Barniz",Upload!N227&amp;Upload!O227&amp;Upload!P227&amp;Upload!Q227))))),"",D228*0.000035)</f>
        <v/>
      </c>
      <c r="Q228" s="16" t="str">
        <f>IF(OR(D228="",NOT(OR(ISNUMBER(SEARCH("Epóx",Upload!N227&amp;Upload!O227&amp;Upload!P227&amp;Upload!Q227)),ISNUMBER(SEARCH("Epox",Upload!N227&amp;Upload!O227&amp;Upload!P227&amp;Upload!Q227)),ISNUMBER(SEARCH("Barniz",Upload!N227&amp;Upload!O227&amp;Upload!P227&amp;Upload!Q227))))),"",D228*0.000035)</f>
        <v/>
      </c>
      <c r="R228" s="16" t="str">
        <f t="shared" si="27"/>
        <v/>
      </c>
    </row>
    <row r="229" spans="1:18" x14ac:dyDescent="0.2">
      <c r="A229" s="10" t="e">
        <f t="shared" ca="1" si="21"/>
        <v>#NAME?</v>
      </c>
      <c r="B229" s="10">
        <f>Upload!E228</f>
        <v>0</v>
      </c>
      <c r="C229" s="10">
        <f>Upload!AJ228</f>
        <v>0</v>
      </c>
      <c r="D229" s="10">
        <f>Upload!AK228</f>
        <v>0</v>
      </c>
      <c r="E229" s="10" t="str">
        <f>Upload!AF228</f>
        <v/>
      </c>
      <c r="F229" s="10" t="str">
        <f>Upload!AH228</f>
        <v/>
      </c>
      <c r="G229" s="10" t="str">
        <f>Upload!AE228</f>
        <v>(seleccione)</v>
      </c>
      <c r="H229" s="10" t="str">
        <f>Upload!AG228</f>
        <v>(seleccione)</v>
      </c>
      <c r="J229" s="16" t="str">
        <f t="shared" si="22"/>
        <v/>
      </c>
      <c r="K229" s="16" t="str">
        <f t="shared" si="23"/>
        <v/>
      </c>
      <c r="L229" s="16" t="str">
        <f t="shared" si="24"/>
        <v/>
      </c>
      <c r="M229" s="16" t="str">
        <f t="shared" si="25"/>
        <v/>
      </c>
      <c r="N229" s="16" t="str">
        <f t="shared" si="26"/>
        <v/>
      </c>
      <c r="O229" s="16" t="str">
        <f>IF(OR(N229="",NOT(OR(ISNUMBER(SEARCH("Antitarnish",Upload!N228&amp;Upload!O228&amp;Upload!P228&amp;Upload!Q228)),ISNUMBER(SEARCH("Anti Tarnish",Upload!N228&amp;Upload!O228&amp;Upload!P228&amp;Upload!Q228))))),"",0.0012*N229)</f>
        <v/>
      </c>
      <c r="P229" s="16" t="str">
        <f>IF(OR(D229="",NOT(OR(ISNUMBER(SEARCH("Epóx",Upload!N228&amp;Upload!O228&amp;Upload!P228&amp;Upload!Q228)),ISNUMBER(SEARCH("Epox",Upload!N228&amp;Upload!O228&amp;Upload!P228&amp;Upload!Q228)),ISNUMBER(SEARCH("Barniz",Upload!N228&amp;Upload!O228&amp;Upload!P228&amp;Upload!Q228))))),"",D229*0.000035)</f>
        <v/>
      </c>
      <c r="Q229" s="16" t="str">
        <f>IF(OR(D229="",NOT(OR(ISNUMBER(SEARCH("Epóx",Upload!N228&amp;Upload!O228&amp;Upload!P228&amp;Upload!Q228)),ISNUMBER(SEARCH("Epox",Upload!N228&amp;Upload!O228&amp;Upload!P228&amp;Upload!Q228)),ISNUMBER(SEARCH("Barniz",Upload!N228&amp;Upload!O228&amp;Upload!P228&amp;Upload!Q228))))),"",D229*0.000035)</f>
        <v/>
      </c>
      <c r="R229" s="16" t="str">
        <f t="shared" si="27"/>
        <v/>
      </c>
    </row>
    <row r="230" spans="1:18" x14ac:dyDescent="0.2">
      <c r="A230" s="10" t="e">
        <f t="shared" ca="1" si="21"/>
        <v>#NAME?</v>
      </c>
      <c r="B230" s="10">
        <f>Upload!E229</f>
        <v>0</v>
      </c>
      <c r="C230" s="10">
        <f>Upload!AJ229</f>
        <v>0</v>
      </c>
      <c r="D230" s="10">
        <f>Upload!AK229</f>
        <v>0</v>
      </c>
      <c r="E230" s="10" t="str">
        <f>Upload!AF229</f>
        <v/>
      </c>
      <c r="F230" s="10" t="str">
        <f>Upload!AH229</f>
        <v/>
      </c>
      <c r="G230" s="10" t="str">
        <f>Upload!AE229</f>
        <v>(seleccione)</v>
      </c>
      <c r="H230" s="10" t="str">
        <f>Upload!AG229</f>
        <v>(seleccione)</v>
      </c>
      <c r="J230" s="16" t="str">
        <f t="shared" si="22"/>
        <v/>
      </c>
      <c r="K230" s="16" t="str">
        <f t="shared" si="23"/>
        <v/>
      </c>
      <c r="L230" s="16" t="str">
        <f t="shared" si="24"/>
        <v/>
      </c>
      <c r="M230" s="16" t="str">
        <f t="shared" si="25"/>
        <v/>
      </c>
      <c r="N230" s="16" t="str">
        <f t="shared" si="26"/>
        <v/>
      </c>
      <c r="O230" s="16" t="str">
        <f>IF(OR(N230="",NOT(OR(ISNUMBER(SEARCH("Antitarnish",Upload!N229&amp;Upload!O229&amp;Upload!P229&amp;Upload!Q229)),ISNUMBER(SEARCH("Anti Tarnish",Upload!N229&amp;Upload!O229&amp;Upload!P229&amp;Upload!Q229))))),"",0.0012*N230)</f>
        <v/>
      </c>
      <c r="P230" s="16" t="str">
        <f>IF(OR(D230="",NOT(OR(ISNUMBER(SEARCH("Epóx",Upload!N229&amp;Upload!O229&amp;Upload!P229&amp;Upload!Q229)),ISNUMBER(SEARCH("Epox",Upload!N229&amp;Upload!O229&amp;Upload!P229&amp;Upload!Q229)),ISNUMBER(SEARCH("Barniz",Upload!N229&amp;Upload!O229&amp;Upload!P229&amp;Upload!Q229))))),"",D230*0.000035)</f>
        <v/>
      </c>
      <c r="Q230" s="16" t="str">
        <f>IF(OR(D230="",NOT(OR(ISNUMBER(SEARCH("Epóx",Upload!N229&amp;Upload!O229&amp;Upload!P229&amp;Upload!Q229)),ISNUMBER(SEARCH("Epox",Upload!N229&amp;Upload!O229&amp;Upload!P229&amp;Upload!Q229)),ISNUMBER(SEARCH("Barniz",Upload!N229&amp;Upload!O229&amp;Upload!P229&amp;Upload!Q229))))),"",D230*0.000035)</f>
        <v/>
      </c>
      <c r="R230" s="16" t="str">
        <f t="shared" si="27"/>
        <v/>
      </c>
    </row>
    <row r="231" spans="1:18" x14ac:dyDescent="0.2">
      <c r="A231" s="10" t="e">
        <f t="shared" ca="1" si="21"/>
        <v>#NAME?</v>
      </c>
      <c r="B231" s="10">
        <f>Upload!E230</f>
        <v>0</v>
      </c>
      <c r="C231" s="10">
        <f>Upload!AJ230</f>
        <v>0</v>
      </c>
      <c r="D231" s="10">
        <f>Upload!AK230</f>
        <v>0</v>
      </c>
      <c r="E231" s="10" t="str">
        <f>Upload!AF230</f>
        <v/>
      </c>
      <c r="F231" s="10" t="str">
        <f>Upload!AH230</f>
        <v/>
      </c>
      <c r="G231" s="10" t="str">
        <f>Upload!AE230</f>
        <v>(seleccione)</v>
      </c>
      <c r="H231" s="10" t="str">
        <f>Upload!AG230</f>
        <v>(seleccione)</v>
      </c>
      <c r="J231" s="16" t="str">
        <f t="shared" si="22"/>
        <v/>
      </c>
      <c r="K231" s="16" t="str">
        <f t="shared" si="23"/>
        <v/>
      </c>
      <c r="L231" s="16" t="str">
        <f t="shared" si="24"/>
        <v/>
      </c>
      <c r="M231" s="16" t="str">
        <f t="shared" si="25"/>
        <v/>
      </c>
      <c r="N231" s="16" t="str">
        <f t="shared" si="26"/>
        <v/>
      </c>
      <c r="O231" s="16" t="str">
        <f>IF(OR(N231="",NOT(OR(ISNUMBER(SEARCH("Antitarnish",Upload!N230&amp;Upload!O230&amp;Upload!P230&amp;Upload!Q230)),ISNUMBER(SEARCH("Anti Tarnish",Upload!N230&amp;Upload!O230&amp;Upload!P230&amp;Upload!Q230))))),"",0.0012*N231)</f>
        <v/>
      </c>
      <c r="P231" s="16" t="str">
        <f>IF(OR(D231="",NOT(OR(ISNUMBER(SEARCH("Epóx",Upload!N230&amp;Upload!O230&amp;Upload!P230&amp;Upload!Q230)),ISNUMBER(SEARCH("Epox",Upload!N230&amp;Upload!O230&amp;Upload!P230&amp;Upload!Q230)),ISNUMBER(SEARCH("Barniz",Upload!N230&amp;Upload!O230&amp;Upload!P230&amp;Upload!Q230))))),"",D231*0.000035)</f>
        <v/>
      </c>
      <c r="Q231" s="16" t="str">
        <f>IF(OR(D231="",NOT(OR(ISNUMBER(SEARCH("Epóx",Upload!N230&amp;Upload!O230&amp;Upload!P230&amp;Upload!Q230)),ISNUMBER(SEARCH("Epox",Upload!N230&amp;Upload!O230&amp;Upload!P230&amp;Upload!Q230)),ISNUMBER(SEARCH("Barniz",Upload!N230&amp;Upload!O230&amp;Upload!P230&amp;Upload!Q230))))),"",D231*0.000035)</f>
        <v/>
      </c>
      <c r="R231" s="16" t="str">
        <f t="shared" si="27"/>
        <v/>
      </c>
    </row>
    <row r="232" spans="1:18" x14ac:dyDescent="0.2">
      <c r="A232" s="10" t="e">
        <f t="shared" ca="1" si="21"/>
        <v>#NAME?</v>
      </c>
      <c r="B232" s="10">
        <f>Upload!E231</f>
        <v>0</v>
      </c>
      <c r="C232" s="10">
        <f>Upload!AJ231</f>
        <v>0</v>
      </c>
      <c r="D232" s="10">
        <f>Upload!AK231</f>
        <v>0</v>
      </c>
      <c r="E232" s="10" t="str">
        <f>Upload!AF231</f>
        <v/>
      </c>
      <c r="F232" s="10" t="str">
        <f>Upload!AH231</f>
        <v/>
      </c>
      <c r="G232" s="10" t="str">
        <f>Upload!AE231</f>
        <v>(seleccione)</v>
      </c>
      <c r="H232" s="10" t="str">
        <f>Upload!AG231</f>
        <v>(seleccione)</v>
      </c>
      <c r="J232" s="16" t="str">
        <f t="shared" si="22"/>
        <v/>
      </c>
      <c r="K232" s="16" t="str">
        <f t="shared" si="23"/>
        <v/>
      </c>
      <c r="L232" s="16" t="str">
        <f t="shared" si="24"/>
        <v/>
      </c>
      <c r="M232" s="16" t="str">
        <f t="shared" si="25"/>
        <v/>
      </c>
      <c r="N232" s="16" t="str">
        <f t="shared" si="26"/>
        <v/>
      </c>
      <c r="O232" s="16" t="str">
        <f>IF(OR(N232="",NOT(OR(ISNUMBER(SEARCH("Antitarnish",Upload!N231&amp;Upload!O231&amp;Upload!P231&amp;Upload!Q231)),ISNUMBER(SEARCH("Anti Tarnish",Upload!N231&amp;Upload!O231&amp;Upload!P231&amp;Upload!Q231))))),"",0.0012*N232)</f>
        <v/>
      </c>
      <c r="P232" s="16" t="str">
        <f>IF(OR(D232="",NOT(OR(ISNUMBER(SEARCH("Epóx",Upload!N231&amp;Upload!O231&amp;Upload!P231&amp;Upload!Q231)),ISNUMBER(SEARCH("Epox",Upload!N231&amp;Upload!O231&amp;Upload!P231&amp;Upload!Q231)),ISNUMBER(SEARCH("Barniz",Upload!N231&amp;Upload!O231&amp;Upload!P231&amp;Upload!Q231))))),"",D232*0.000035)</f>
        <v/>
      </c>
      <c r="Q232" s="16" t="str">
        <f>IF(OR(D232="",NOT(OR(ISNUMBER(SEARCH("Epóx",Upload!N231&amp;Upload!O231&amp;Upload!P231&amp;Upload!Q231)),ISNUMBER(SEARCH("Epox",Upload!N231&amp;Upload!O231&amp;Upload!P231&amp;Upload!Q231)),ISNUMBER(SEARCH("Barniz",Upload!N231&amp;Upload!O231&amp;Upload!P231&amp;Upload!Q231))))),"",D232*0.000035)</f>
        <v/>
      </c>
      <c r="R232" s="16" t="str">
        <f t="shared" si="27"/>
        <v/>
      </c>
    </row>
    <row r="233" spans="1:18" x14ac:dyDescent="0.2">
      <c r="A233" s="10" t="e">
        <f t="shared" ca="1" si="21"/>
        <v>#NAME?</v>
      </c>
      <c r="B233" s="10">
        <f>Upload!E232</f>
        <v>0</v>
      </c>
      <c r="C233" s="10">
        <f>Upload!AJ232</f>
        <v>0</v>
      </c>
      <c r="D233" s="10">
        <f>Upload!AK232</f>
        <v>0</v>
      </c>
      <c r="E233" s="10" t="str">
        <f>Upload!AF232</f>
        <v/>
      </c>
      <c r="F233" s="10" t="str">
        <f>Upload!AH232</f>
        <v/>
      </c>
      <c r="G233" s="10" t="str">
        <f>Upload!AE232</f>
        <v>(seleccione)</v>
      </c>
      <c r="H233" s="10" t="str">
        <f>Upload!AG232</f>
        <v>(seleccione)</v>
      </c>
      <c r="J233" s="16" t="str">
        <f t="shared" si="22"/>
        <v/>
      </c>
      <c r="K233" s="16" t="str">
        <f t="shared" si="23"/>
        <v/>
      </c>
      <c r="L233" s="16" t="str">
        <f t="shared" si="24"/>
        <v/>
      </c>
      <c r="M233" s="16" t="str">
        <f t="shared" si="25"/>
        <v/>
      </c>
      <c r="N233" s="16" t="str">
        <f t="shared" si="26"/>
        <v/>
      </c>
      <c r="O233" s="16" t="str">
        <f>IF(OR(N233="",NOT(OR(ISNUMBER(SEARCH("Antitarnish",Upload!N232&amp;Upload!O232&amp;Upload!P232&amp;Upload!Q232)),ISNUMBER(SEARCH("Anti Tarnish",Upload!N232&amp;Upload!O232&amp;Upload!P232&amp;Upload!Q232))))),"",0.0012*N233)</f>
        <v/>
      </c>
      <c r="P233" s="16" t="str">
        <f>IF(OR(D233="",NOT(OR(ISNUMBER(SEARCH("Epóx",Upload!N232&amp;Upload!O232&amp;Upload!P232&amp;Upload!Q232)),ISNUMBER(SEARCH("Epox",Upload!N232&amp;Upload!O232&amp;Upload!P232&amp;Upload!Q232)),ISNUMBER(SEARCH("Barniz",Upload!N232&amp;Upload!O232&amp;Upload!P232&amp;Upload!Q232))))),"",D233*0.000035)</f>
        <v/>
      </c>
      <c r="Q233" s="16" t="str">
        <f>IF(OR(D233="",NOT(OR(ISNUMBER(SEARCH("Epóx",Upload!N232&amp;Upload!O232&amp;Upload!P232&amp;Upload!Q232)),ISNUMBER(SEARCH("Epox",Upload!N232&amp;Upload!O232&amp;Upload!P232&amp;Upload!Q232)),ISNUMBER(SEARCH("Barniz",Upload!N232&amp;Upload!O232&amp;Upload!P232&amp;Upload!Q232))))),"",D233*0.000035)</f>
        <v/>
      </c>
      <c r="R233" s="16" t="str">
        <f t="shared" si="27"/>
        <v/>
      </c>
    </row>
    <row r="234" spans="1:18" x14ac:dyDescent="0.2">
      <c r="A234" s="10" t="e">
        <f t="shared" ca="1" si="21"/>
        <v>#NAME?</v>
      </c>
      <c r="B234" s="10">
        <f>Upload!E233</f>
        <v>0</v>
      </c>
      <c r="C234" s="10">
        <f>Upload!AJ233</f>
        <v>0</v>
      </c>
      <c r="D234" s="10">
        <f>Upload!AK233</f>
        <v>0</v>
      </c>
      <c r="E234" s="10" t="str">
        <f>Upload!AF233</f>
        <v/>
      </c>
      <c r="F234" s="10" t="str">
        <f>Upload!AH233</f>
        <v/>
      </c>
      <c r="G234" s="10" t="str">
        <f>Upload!AE233</f>
        <v>(seleccione)</v>
      </c>
      <c r="H234" s="10" t="str">
        <f>Upload!AG233</f>
        <v>(seleccione)</v>
      </c>
      <c r="J234" s="16" t="str">
        <f t="shared" si="22"/>
        <v/>
      </c>
      <c r="K234" s="16" t="str">
        <f t="shared" si="23"/>
        <v/>
      </c>
      <c r="L234" s="16" t="str">
        <f t="shared" si="24"/>
        <v/>
      </c>
      <c r="M234" s="16" t="str">
        <f t="shared" si="25"/>
        <v/>
      </c>
      <c r="N234" s="16" t="str">
        <f t="shared" si="26"/>
        <v/>
      </c>
      <c r="O234" s="16" t="str">
        <f>IF(OR(N234="",NOT(OR(ISNUMBER(SEARCH("Antitarnish",Upload!N233&amp;Upload!O233&amp;Upload!P233&amp;Upload!Q233)),ISNUMBER(SEARCH("Anti Tarnish",Upload!N233&amp;Upload!O233&amp;Upload!P233&amp;Upload!Q233))))),"",0.0012*N234)</f>
        <v/>
      </c>
      <c r="P234" s="16" t="str">
        <f>IF(OR(D234="",NOT(OR(ISNUMBER(SEARCH("Epóx",Upload!N233&amp;Upload!O233&amp;Upload!P233&amp;Upload!Q233)),ISNUMBER(SEARCH("Epox",Upload!N233&amp;Upload!O233&amp;Upload!P233&amp;Upload!Q233)),ISNUMBER(SEARCH("Barniz",Upload!N233&amp;Upload!O233&amp;Upload!P233&amp;Upload!Q233))))),"",D234*0.000035)</f>
        <v/>
      </c>
      <c r="Q234" s="16" t="str">
        <f>IF(OR(D234="",NOT(OR(ISNUMBER(SEARCH("Epóx",Upload!N233&amp;Upload!O233&amp;Upload!P233&amp;Upload!Q233)),ISNUMBER(SEARCH("Epox",Upload!N233&amp;Upload!O233&amp;Upload!P233&amp;Upload!Q233)),ISNUMBER(SEARCH("Barniz",Upload!N233&amp;Upload!O233&amp;Upload!P233&amp;Upload!Q233))))),"",D234*0.000035)</f>
        <v/>
      </c>
      <c r="R234" s="16" t="str">
        <f t="shared" si="27"/>
        <v/>
      </c>
    </row>
    <row r="235" spans="1:18" x14ac:dyDescent="0.2">
      <c r="A235" s="10" t="e">
        <f t="shared" ca="1" si="21"/>
        <v>#NAME?</v>
      </c>
      <c r="B235" s="10">
        <f>Upload!E234</f>
        <v>0</v>
      </c>
      <c r="C235" s="10">
        <f>Upload!AJ234</f>
        <v>0</v>
      </c>
      <c r="D235" s="10">
        <f>Upload!AK234</f>
        <v>0</v>
      </c>
      <c r="E235" s="10" t="str">
        <f>Upload!AF234</f>
        <v/>
      </c>
      <c r="F235" s="10" t="str">
        <f>Upload!AH234</f>
        <v/>
      </c>
      <c r="G235" s="10" t="str">
        <f>Upload!AE234</f>
        <v>(seleccione)</v>
      </c>
      <c r="H235" s="10" t="str">
        <f>Upload!AG234</f>
        <v>(seleccione)</v>
      </c>
      <c r="J235" s="16" t="str">
        <f t="shared" si="22"/>
        <v/>
      </c>
      <c r="K235" s="16" t="str">
        <f t="shared" si="23"/>
        <v/>
      </c>
      <c r="L235" s="16" t="str">
        <f t="shared" si="24"/>
        <v/>
      </c>
      <c r="M235" s="16" t="str">
        <f t="shared" si="25"/>
        <v/>
      </c>
      <c r="N235" s="16" t="str">
        <f t="shared" si="26"/>
        <v/>
      </c>
      <c r="O235" s="16" t="str">
        <f>IF(OR(N235="",NOT(OR(ISNUMBER(SEARCH("Antitarnish",Upload!N234&amp;Upload!O234&amp;Upload!P234&amp;Upload!Q234)),ISNUMBER(SEARCH("Anti Tarnish",Upload!N234&amp;Upload!O234&amp;Upload!P234&amp;Upload!Q234))))),"",0.0012*N235)</f>
        <v/>
      </c>
      <c r="P235" s="16" t="str">
        <f>IF(OR(D235="",NOT(OR(ISNUMBER(SEARCH("Epóx",Upload!N234&amp;Upload!O234&amp;Upload!P234&amp;Upload!Q234)),ISNUMBER(SEARCH("Epox",Upload!N234&amp;Upload!O234&amp;Upload!P234&amp;Upload!Q234)),ISNUMBER(SEARCH("Barniz",Upload!N234&amp;Upload!O234&amp;Upload!P234&amp;Upload!Q234))))),"",D235*0.000035)</f>
        <v/>
      </c>
      <c r="Q235" s="16" t="str">
        <f>IF(OR(D235="",NOT(OR(ISNUMBER(SEARCH("Epóx",Upload!N234&amp;Upload!O234&amp;Upload!P234&amp;Upload!Q234)),ISNUMBER(SEARCH("Epox",Upload!N234&amp;Upload!O234&amp;Upload!P234&amp;Upload!Q234)),ISNUMBER(SEARCH("Barniz",Upload!N234&amp;Upload!O234&amp;Upload!P234&amp;Upload!Q234))))),"",D235*0.000035)</f>
        <v/>
      </c>
      <c r="R235" s="16" t="str">
        <f t="shared" si="27"/>
        <v/>
      </c>
    </row>
    <row r="236" spans="1:18" x14ac:dyDescent="0.2">
      <c r="A236" s="10" t="e">
        <f t="shared" ca="1" si="21"/>
        <v>#NAME?</v>
      </c>
      <c r="B236" s="10">
        <f>Upload!E235</f>
        <v>0</v>
      </c>
      <c r="C236" s="10">
        <f>Upload!AJ235</f>
        <v>0</v>
      </c>
      <c r="D236" s="10">
        <f>Upload!AK235</f>
        <v>0</v>
      </c>
      <c r="E236" s="10" t="str">
        <f>Upload!AF235</f>
        <v/>
      </c>
      <c r="F236" s="10" t="str">
        <f>Upload!AH235</f>
        <v/>
      </c>
      <c r="G236" s="10" t="str">
        <f>Upload!AE235</f>
        <v>(seleccione)</v>
      </c>
      <c r="H236" s="10" t="str">
        <f>Upload!AG235</f>
        <v>(seleccione)</v>
      </c>
      <c r="J236" s="16" t="str">
        <f t="shared" si="22"/>
        <v/>
      </c>
      <c r="K236" s="16" t="str">
        <f t="shared" si="23"/>
        <v/>
      </c>
      <c r="L236" s="16" t="str">
        <f t="shared" si="24"/>
        <v/>
      </c>
      <c r="M236" s="16" t="str">
        <f t="shared" si="25"/>
        <v/>
      </c>
      <c r="N236" s="16" t="str">
        <f t="shared" si="26"/>
        <v/>
      </c>
      <c r="O236" s="16" t="str">
        <f>IF(OR(N236="",NOT(OR(ISNUMBER(SEARCH("Antitarnish",Upload!N235&amp;Upload!O235&amp;Upload!P235&amp;Upload!Q235)),ISNUMBER(SEARCH("Anti Tarnish",Upload!N235&amp;Upload!O235&amp;Upload!P235&amp;Upload!Q235))))),"",0.0012*N236)</f>
        <v/>
      </c>
      <c r="P236" s="16" t="str">
        <f>IF(OR(D236="",NOT(OR(ISNUMBER(SEARCH("Epóx",Upload!N235&amp;Upload!O235&amp;Upload!P235&amp;Upload!Q235)),ISNUMBER(SEARCH("Epox",Upload!N235&amp;Upload!O235&amp;Upload!P235&amp;Upload!Q235)),ISNUMBER(SEARCH("Barniz",Upload!N235&amp;Upload!O235&amp;Upload!P235&amp;Upload!Q235))))),"",D236*0.000035)</f>
        <v/>
      </c>
      <c r="Q236" s="16" t="str">
        <f>IF(OR(D236="",NOT(OR(ISNUMBER(SEARCH("Epóx",Upload!N235&amp;Upload!O235&amp;Upload!P235&amp;Upload!Q235)),ISNUMBER(SEARCH("Epox",Upload!N235&amp;Upload!O235&amp;Upload!P235&amp;Upload!Q235)),ISNUMBER(SEARCH("Barniz",Upload!N235&amp;Upload!O235&amp;Upload!P235&amp;Upload!Q235))))),"",D236*0.000035)</f>
        <v/>
      </c>
      <c r="R236" s="16" t="str">
        <f t="shared" si="27"/>
        <v/>
      </c>
    </row>
    <row r="237" spans="1:18" x14ac:dyDescent="0.2">
      <c r="A237" s="10" t="e">
        <f t="shared" ca="1" si="21"/>
        <v>#NAME?</v>
      </c>
      <c r="B237" s="10">
        <f>Upload!E236</f>
        <v>0</v>
      </c>
      <c r="C237" s="10">
        <f>Upload!AJ236</f>
        <v>0</v>
      </c>
      <c r="D237" s="10">
        <f>Upload!AK236</f>
        <v>0</v>
      </c>
      <c r="E237" s="10" t="str">
        <f>Upload!AF236</f>
        <v/>
      </c>
      <c r="F237" s="10" t="str">
        <f>Upload!AH236</f>
        <v/>
      </c>
      <c r="G237" s="10" t="str">
        <f>Upload!AE236</f>
        <v>(seleccione)</v>
      </c>
      <c r="H237" s="10" t="str">
        <f>Upload!AG236</f>
        <v>(seleccione)</v>
      </c>
      <c r="J237" s="16" t="str">
        <f t="shared" si="22"/>
        <v/>
      </c>
      <c r="K237" s="16" t="str">
        <f t="shared" si="23"/>
        <v/>
      </c>
      <c r="L237" s="16" t="str">
        <f t="shared" si="24"/>
        <v/>
      </c>
      <c r="M237" s="16" t="str">
        <f t="shared" si="25"/>
        <v/>
      </c>
      <c r="N237" s="16" t="str">
        <f t="shared" si="26"/>
        <v/>
      </c>
      <c r="O237" s="16" t="str">
        <f>IF(OR(N237="",NOT(OR(ISNUMBER(SEARCH("Antitarnish",Upload!N236&amp;Upload!O236&amp;Upload!P236&amp;Upload!Q236)),ISNUMBER(SEARCH("Anti Tarnish",Upload!N236&amp;Upload!O236&amp;Upload!P236&amp;Upload!Q236))))),"",0.0012*N237)</f>
        <v/>
      </c>
      <c r="P237" s="16" t="str">
        <f>IF(OR(D237="",NOT(OR(ISNUMBER(SEARCH("Epóx",Upload!N236&amp;Upload!O236&amp;Upload!P236&amp;Upload!Q236)),ISNUMBER(SEARCH("Epox",Upload!N236&amp;Upload!O236&amp;Upload!P236&amp;Upload!Q236)),ISNUMBER(SEARCH("Barniz",Upload!N236&amp;Upload!O236&amp;Upload!P236&amp;Upload!Q236))))),"",D237*0.000035)</f>
        <v/>
      </c>
      <c r="Q237" s="16" t="str">
        <f>IF(OR(D237="",NOT(OR(ISNUMBER(SEARCH("Epóx",Upload!N236&amp;Upload!O236&amp;Upload!P236&amp;Upload!Q236)),ISNUMBER(SEARCH("Epox",Upload!N236&amp;Upload!O236&amp;Upload!P236&amp;Upload!Q236)),ISNUMBER(SEARCH("Barniz",Upload!N236&amp;Upload!O236&amp;Upload!P236&amp;Upload!Q236))))),"",D237*0.000035)</f>
        <v/>
      </c>
      <c r="R237" s="16" t="str">
        <f t="shared" si="27"/>
        <v/>
      </c>
    </row>
    <row r="238" spans="1:18" x14ac:dyDescent="0.2">
      <c r="A238" s="10" t="e">
        <f t="shared" ca="1" si="21"/>
        <v>#NAME?</v>
      </c>
      <c r="B238" s="10">
        <f>Upload!E237</f>
        <v>0</v>
      </c>
      <c r="C238" s="10">
        <f>Upload!AJ237</f>
        <v>0</v>
      </c>
      <c r="D238" s="10">
        <f>Upload!AK237</f>
        <v>0</v>
      </c>
      <c r="E238" s="10" t="str">
        <f>Upload!AF237</f>
        <v/>
      </c>
      <c r="F238" s="10" t="str">
        <f>Upload!AH237</f>
        <v/>
      </c>
      <c r="G238" s="10" t="str">
        <f>Upload!AE237</f>
        <v>(seleccione)</v>
      </c>
      <c r="H238" s="10" t="str">
        <f>Upload!AG237</f>
        <v>(seleccione)</v>
      </c>
      <c r="J238" s="16" t="str">
        <f t="shared" si="22"/>
        <v/>
      </c>
      <c r="K238" s="16" t="str">
        <f t="shared" si="23"/>
        <v/>
      </c>
      <c r="L238" s="16" t="str">
        <f t="shared" si="24"/>
        <v/>
      </c>
      <c r="M238" s="16" t="str">
        <f t="shared" si="25"/>
        <v/>
      </c>
      <c r="N238" s="16" t="str">
        <f t="shared" si="26"/>
        <v/>
      </c>
      <c r="O238" s="16" t="str">
        <f>IF(OR(N238="",NOT(OR(ISNUMBER(SEARCH("Antitarnish",Upload!N237&amp;Upload!O237&amp;Upload!P237&amp;Upload!Q237)),ISNUMBER(SEARCH("Anti Tarnish",Upload!N237&amp;Upload!O237&amp;Upload!P237&amp;Upload!Q237))))),"",0.0012*N238)</f>
        <v/>
      </c>
      <c r="P238" s="16" t="str">
        <f>IF(OR(D238="",NOT(OR(ISNUMBER(SEARCH("Epóx",Upload!N237&amp;Upload!O237&amp;Upload!P237&amp;Upload!Q237)),ISNUMBER(SEARCH("Epox",Upload!N237&amp;Upload!O237&amp;Upload!P237&amp;Upload!Q237)),ISNUMBER(SEARCH("Barniz",Upload!N237&amp;Upload!O237&amp;Upload!P237&amp;Upload!Q237))))),"",D238*0.000035)</f>
        <v/>
      </c>
      <c r="Q238" s="16" t="str">
        <f>IF(OR(D238="",NOT(OR(ISNUMBER(SEARCH("Epóx",Upload!N237&amp;Upload!O237&amp;Upload!P237&amp;Upload!Q237)),ISNUMBER(SEARCH("Epox",Upload!N237&amp;Upload!O237&amp;Upload!P237&amp;Upload!Q237)),ISNUMBER(SEARCH("Barniz",Upload!N237&amp;Upload!O237&amp;Upload!P237&amp;Upload!Q237))))),"",D238*0.000035)</f>
        <v/>
      </c>
      <c r="R238" s="16" t="str">
        <f t="shared" si="27"/>
        <v/>
      </c>
    </row>
    <row r="239" spans="1:18" x14ac:dyDescent="0.2">
      <c r="A239" s="10" t="e">
        <f t="shared" ca="1" si="21"/>
        <v>#NAME?</v>
      </c>
      <c r="B239" s="10">
        <f>Upload!E238</f>
        <v>0</v>
      </c>
      <c r="C239" s="10">
        <f>Upload!AJ238</f>
        <v>0</v>
      </c>
      <c r="D239" s="10">
        <f>Upload!AK238</f>
        <v>0</v>
      </c>
      <c r="E239" s="10" t="str">
        <f>Upload!AF238</f>
        <v/>
      </c>
      <c r="F239" s="10" t="str">
        <f>Upload!AH238</f>
        <v/>
      </c>
      <c r="G239" s="10" t="str">
        <f>Upload!AE238</f>
        <v>(seleccione)</v>
      </c>
      <c r="H239" s="10" t="str">
        <f>Upload!AG238</f>
        <v>(seleccione)</v>
      </c>
      <c r="J239" s="16" t="str">
        <f t="shared" si="22"/>
        <v/>
      </c>
      <c r="K239" s="16" t="str">
        <f t="shared" si="23"/>
        <v/>
      </c>
      <c r="L239" s="16" t="str">
        <f t="shared" si="24"/>
        <v/>
      </c>
      <c r="M239" s="16" t="str">
        <f t="shared" si="25"/>
        <v/>
      </c>
      <c r="N239" s="16" t="str">
        <f t="shared" si="26"/>
        <v/>
      </c>
      <c r="O239" s="16" t="str">
        <f>IF(OR(N239="",NOT(OR(ISNUMBER(SEARCH("Antitarnish",Upload!N238&amp;Upload!O238&amp;Upload!P238&amp;Upload!Q238)),ISNUMBER(SEARCH("Anti Tarnish",Upload!N238&amp;Upload!O238&amp;Upload!P238&amp;Upload!Q238))))),"",0.0012*N239)</f>
        <v/>
      </c>
      <c r="P239" s="16" t="str">
        <f>IF(OR(D239="",NOT(OR(ISNUMBER(SEARCH("Epóx",Upload!N238&amp;Upload!O238&amp;Upload!P238&amp;Upload!Q238)),ISNUMBER(SEARCH("Epox",Upload!N238&amp;Upload!O238&amp;Upload!P238&amp;Upload!Q238)),ISNUMBER(SEARCH("Barniz",Upload!N238&amp;Upload!O238&amp;Upload!P238&amp;Upload!Q238))))),"",D239*0.000035)</f>
        <v/>
      </c>
      <c r="Q239" s="16" t="str">
        <f>IF(OR(D239="",NOT(OR(ISNUMBER(SEARCH("Epóx",Upload!N238&amp;Upload!O238&amp;Upload!P238&amp;Upload!Q238)),ISNUMBER(SEARCH("Epox",Upload!N238&amp;Upload!O238&amp;Upload!P238&amp;Upload!Q238)),ISNUMBER(SEARCH("Barniz",Upload!N238&amp;Upload!O238&amp;Upload!P238&amp;Upload!Q238))))),"",D239*0.000035)</f>
        <v/>
      </c>
      <c r="R239" s="16" t="str">
        <f t="shared" si="27"/>
        <v/>
      </c>
    </row>
    <row r="240" spans="1:18" x14ac:dyDescent="0.2">
      <c r="A240" s="10" t="e">
        <f t="shared" ca="1" si="21"/>
        <v>#NAME?</v>
      </c>
      <c r="B240" s="10">
        <f>Upload!E239</f>
        <v>0</v>
      </c>
      <c r="C240" s="10">
        <f>Upload!AJ239</f>
        <v>0</v>
      </c>
      <c r="D240" s="10">
        <f>Upload!AK239</f>
        <v>0</v>
      </c>
      <c r="E240" s="10" t="str">
        <f>Upload!AF239</f>
        <v/>
      </c>
      <c r="F240" s="10" t="str">
        <f>Upload!AH239</f>
        <v/>
      </c>
      <c r="G240" s="10" t="str">
        <f>Upload!AE239</f>
        <v>(seleccione)</v>
      </c>
      <c r="H240" s="10" t="str">
        <f>Upload!AG239</f>
        <v>(seleccione)</v>
      </c>
      <c r="J240" s="16" t="str">
        <f t="shared" si="22"/>
        <v/>
      </c>
      <c r="K240" s="16" t="str">
        <f t="shared" si="23"/>
        <v/>
      </c>
      <c r="L240" s="16" t="str">
        <f t="shared" si="24"/>
        <v/>
      </c>
      <c r="M240" s="16" t="str">
        <f t="shared" si="25"/>
        <v/>
      </c>
      <c r="N240" s="16" t="str">
        <f t="shared" si="26"/>
        <v/>
      </c>
      <c r="O240" s="16" t="str">
        <f>IF(OR(N240="",NOT(OR(ISNUMBER(SEARCH("Antitarnish",Upload!N239&amp;Upload!O239&amp;Upload!P239&amp;Upload!Q239)),ISNUMBER(SEARCH("Anti Tarnish",Upload!N239&amp;Upload!O239&amp;Upload!P239&amp;Upload!Q239))))),"",0.0012*N240)</f>
        <v/>
      </c>
      <c r="P240" s="16" t="str">
        <f>IF(OR(D240="",NOT(OR(ISNUMBER(SEARCH("Epóx",Upload!N239&amp;Upload!O239&amp;Upload!P239&amp;Upload!Q239)),ISNUMBER(SEARCH("Epox",Upload!N239&amp;Upload!O239&amp;Upload!P239&amp;Upload!Q239)),ISNUMBER(SEARCH("Barniz",Upload!N239&amp;Upload!O239&amp;Upload!P239&amp;Upload!Q239))))),"",D240*0.000035)</f>
        <v/>
      </c>
      <c r="Q240" s="16" t="str">
        <f>IF(OR(D240="",NOT(OR(ISNUMBER(SEARCH("Epóx",Upload!N239&amp;Upload!O239&amp;Upload!P239&amp;Upload!Q239)),ISNUMBER(SEARCH("Epox",Upload!N239&amp;Upload!O239&amp;Upload!P239&amp;Upload!Q239)),ISNUMBER(SEARCH("Barniz",Upload!N239&amp;Upload!O239&amp;Upload!P239&amp;Upload!Q239))))),"",D240*0.000035)</f>
        <v/>
      </c>
      <c r="R240" s="16" t="str">
        <f t="shared" si="27"/>
        <v/>
      </c>
    </row>
    <row r="241" spans="1:18" x14ac:dyDescent="0.2">
      <c r="A241" s="10" t="e">
        <f t="shared" ca="1" si="21"/>
        <v>#NAME?</v>
      </c>
      <c r="B241" s="10">
        <f>Upload!E240</f>
        <v>0</v>
      </c>
      <c r="C241" s="10">
        <f>Upload!AJ240</f>
        <v>0</v>
      </c>
      <c r="D241" s="10">
        <f>Upload!AK240</f>
        <v>0</v>
      </c>
      <c r="E241" s="10" t="str">
        <f>Upload!AF240</f>
        <v/>
      </c>
      <c r="F241" s="10" t="str">
        <f>Upload!AH240</f>
        <v/>
      </c>
      <c r="G241" s="10" t="str">
        <f>Upload!AE240</f>
        <v>(seleccione)</v>
      </c>
      <c r="H241" s="10" t="str">
        <f>Upload!AG240</f>
        <v>(seleccione)</v>
      </c>
      <c r="J241" s="16" t="str">
        <f t="shared" si="22"/>
        <v/>
      </c>
      <c r="K241" s="16" t="str">
        <f t="shared" si="23"/>
        <v/>
      </c>
      <c r="L241" s="16" t="str">
        <f t="shared" si="24"/>
        <v/>
      </c>
      <c r="M241" s="16" t="str">
        <f t="shared" si="25"/>
        <v/>
      </c>
      <c r="N241" s="16" t="str">
        <f t="shared" si="26"/>
        <v/>
      </c>
      <c r="O241" s="16" t="str">
        <f>IF(OR(N241="",NOT(OR(ISNUMBER(SEARCH("Antitarnish",Upload!N240&amp;Upload!O240&amp;Upload!P240&amp;Upload!Q240)),ISNUMBER(SEARCH("Anti Tarnish",Upload!N240&amp;Upload!O240&amp;Upload!P240&amp;Upload!Q240))))),"",0.0012*N241)</f>
        <v/>
      </c>
      <c r="P241" s="16" t="str">
        <f>IF(OR(D241="",NOT(OR(ISNUMBER(SEARCH("Epóx",Upload!N240&amp;Upload!O240&amp;Upload!P240&amp;Upload!Q240)),ISNUMBER(SEARCH("Epox",Upload!N240&amp;Upload!O240&amp;Upload!P240&amp;Upload!Q240)),ISNUMBER(SEARCH("Barniz",Upload!N240&amp;Upload!O240&amp;Upload!P240&amp;Upload!Q240))))),"",D241*0.000035)</f>
        <v/>
      </c>
      <c r="Q241" s="16" t="str">
        <f>IF(OR(D241="",NOT(OR(ISNUMBER(SEARCH("Epóx",Upload!N240&amp;Upload!O240&amp;Upload!P240&amp;Upload!Q240)),ISNUMBER(SEARCH("Epox",Upload!N240&amp;Upload!O240&amp;Upload!P240&amp;Upload!Q240)),ISNUMBER(SEARCH("Barniz",Upload!N240&amp;Upload!O240&amp;Upload!P240&amp;Upload!Q240))))),"",D241*0.000035)</f>
        <v/>
      </c>
      <c r="R241" s="16" t="str">
        <f t="shared" si="27"/>
        <v/>
      </c>
    </row>
    <row r="242" spans="1:18" x14ac:dyDescent="0.2">
      <c r="A242" s="10" t="e">
        <f t="shared" ca="1" si="21"/>
        <v>#NAME?</v>
      </c>
      <c r="B242" s="10">
        <f>Upload!E241</f>
        <v>0</v>
      </c>
      <c r="C242" s="10">
        <f>Upload!AJ241</f>
        <v>0</v>
      </c>
      <c r="D242" s="10">
        <f>Upload!AK241</f>
        <v>0</v>
      </c>
      <c r="E242" s="10" t="str">
        <f>Upload!AF241</f>
        <v/>
      </c>
      <c r="F242" s="10" t="str">
        <f>Upload!AH241</f>
        <v/>
      </c>
      <c r="G242" s="10" t="str">
        <f>Upload!AE241</f>
        <v>(seleccione)</v>
      </c>
      <c r="H242" s="10" t="str">
        <f>Upload!AG241</f>
        <v>(seleccione)</v>
      </c>
      <c r="J242" s="16" t="str">
        <f t="shared" si="22"/>
        <v/>
      </c>
      <c r="K242" s="16" t="str">
        <f t="shared" si="23"/>
        <v/>
      </c>
      <c r="L242" s="16" t="str">
        <f t="shared" si="24"/>
        <v/>
      </c>
      <c r="M242" s="16" t="str">
        <f t="shared" si="25"/>
        <v/>
      </c>
      <c r="N242" s="16" t="str">
        <f t="shared" si="26"/>
        <v/>
      </c>
      <c r="O242" s="16" t="str">
        <f>IF(OR(N242="",NOT(OR(ISNUMBER(SEARCH("Antitarnish",Upload!N241&amp;Upload!O241&amp;Upload!P241&amp;Upload!Q241)),ISNUMBER(SEARCH("Anti Tarnish",Upload!N241&amp;Upload!O241&amp;Upload!P241&amp;Upload!Q241))))),"",0.0012*N242)</f>
        <v/>
      </c>
      <c r="P242" s="16" t="str">
        <f>IF(OR(D242="",NOT(OR(ISNUMBER(SEARCH("Epóx",Upload!N241&amp;Upload!O241&amp;Upload!P241&amp;Upload!Q241)),ISNUMBER(SEARCH("Epox",Upload!N241&amp;Upload!O241&amp;Upload!P241&amp;Upload!Q241)),ISNUMBER(SEARCH("Barniz",Upload!N241&amp;Upload!O241&amp;Upload!P241&amp;Upload!Q241))))),"",D242*0.000035)</f>
        <v/>
      </c>
      <c r="Q242" s="16" t="str">
        <f>IF(OR(D242="",NOT(OR(ISNUMBER(SEARCH("Epóx",Upload!N241&amp;Upload!O241&amp;Upload!P241&amp;Upload!Q241)),ISNUMBER(SEARCH("Epox",Upload!N241&amp;Upload!O241&amp;Upload!P241&amp;Upload!Q241)),ISNUMBER(SEARCH("Barniz",Upload!N241&amp;Upload!O241&amp;Upload!P241&amp;Upload!Q241))))),"",D242*0.000035)</f>
        <v/>
      </c>
      <c r="R242" s="16" t="str">
        <f t="shared" si="27"/>
        <v/>
      </c>
    </row>
    <row r="243" spans="1:18" x14ac:dyDescent="0.2">
      <c r="A243" s="10" t="e">
        <f t="shared" ref="A243:A303" ca="1" si="28">_xludf.ROW()-18</f>
        <v>#NAME?</v>
      </c>
      <c r="B243" s="10">
        <f>Upload!E242</f>
        <v>0</v>
      </c>
      <c r="C243" s="10">
        <f>Upload!AJ242</f>
        <v>0</v>
      </c>
      <c r="D243" s="10">
        <f>Upload!AK242</f>
        <v>0</v>
      </c>
      <c r="E243" s="10" t="str">
        <f>Upload!AF242</f>
        <v/>
      </c>
      <c r="F243" s="10" t="str">
        <f>Upload!AH242</f>
        <v/>
      </c>
      <c r="G243" s="10" t="str">
        <f>Upload!AE242</f>
        <v>(seleccione)</v>
      </c>
      <c r="H243" s="10" t="str">
        <f>Upload!AG242</f>
        <v>(seleccione)</v>
      </c>
      <c r="J243" s="16" t="str">
        <f t="shared" si="22"/>
        <v/>
      </c>
      <c r="K243" s="16" t="str">
        <f t="shared" si="23"/>
        <v/>
      </c>
      <c r="L243" s="16" t="str">
        <f t="shared" si="24"/>
        <v/>
      </c>
      <c r="M243" s="16" t="str">
        <f t="shared" si="25"/>
        <v/>
      </c>
      <c r="N243" s="16" t="str">
        <f t="shared" si="26"/>
        <v/>
      </c>
      <c r="O243" s="16" t="str">
        <f>IF(OR(N243="",NOT(OR(ISNUMBER(SEARCH("Antitarnish",Upload!N242&amp;Upload!O242&amp;Upload!P242&amp;Upload!Q242)),ISNUMBER(SEARCH("Anti Tarnish",Upload!N242&amp;Upload!O242&amp;Upload!P242&amp;Upload!Q242))))),"",0.0012*N243)</f>
        <v/>
      </c>
      <c r="P243" s="16" t="str">
        <f>IF(OR(D243="",NOT(OR(ISNUMBER(SEARCH("Epóx",Upload!N242&amp;Upload!O242&amp;Upload!P242&amp;Upload!Q242)),ISNUMBER(SEARCH("Epox",Upload!N242&amp;Upload!O242&amp;Upload!P242&amp;Upload!Q242)),ISNUMBER(SEARCH("Barniz",Upload!N242&amp;Upload!O242&amp;Upload!P242&amp;Upload!Q242))))),"",D243*0.000035)</f>
        <v/>
      </c>
      <c r="Q243" s="16" t="str">
        <f>IF(OR(D243="",NOT(OR(ISNUMBER(SEARCH("Epóx",Upload!N242&amp;Upload!O242&amp;Upload!P242&amp;Upload!Q242)),ISNUMBER(SEARCH("Epox",Upload!N242&amp;Upload!O242&amp;Upload!P242&amp;Upload!Q242)),ISNUMBER(SEARCH("Barniz",Upload!N242&amp;Upload!O242&amp;Upload!P242&amp;Upload!Q242))))),"",D243*0.000035)</f>
        <v/>
      </c>
      <c r="R243" s="16" t="str">
        <f t="shared" si="27"/>
        <v/>
      </c>
    </row>
    <row r="244" spans="1:18" x14ac:dyDescent="0.2">
      <c r="A244" s="10" t="e">
        <f t="shared" ca="1" si="28"/>
        <v>#NAME?</v>
      </c>
      <c r="B244" s="10">
        <f>Upload!E243</f>
        <v>0</v>
      </c>
      <c r="C244" s="10">
        <f>Upload!AJ243</f>
        <v>0</v>
      </c>
      <c r="D244" s="10">
        <f>Upload!AK243</f>
        <v>0</v>
      </c>
      <c r="E244" s="10" t="str">
        <f>Upload!AF243</f>
        <v/>
      </c>
      <c r="F244" s="10" t="str">
        <f>Upload!AH243</f>
        <v/>
      </c>
      <c r="G244" s="10" t="str">
        <f>Upload!AE243</f>
        <v>(seleccione)</v>
      </c>
      <c r="H244" s="10" t="str">
        <f>Upload!AG243</f>
        <v>(seleccione)</v>
      </c>
      <c r="J244" s="16" t="str">
        <f t="shared" si="22"/>
        <v/>
      </c>
      <c r="K244" s="16" t="str">
        <f t="shared" si="23"/>
        <v/>
      </c>
      <c r="L244" s="16" t="str">
        <f t="shared" si="24"/>
        <v/>
      </c>
      <c r="M244" s="16" t="str">
        <f t="shared" si="25"/>
        <v/>
      </c>
      <c r="N244" s="16" t="str">
        <f t="shared" si="26"/>
        <v/>
      </c>
      <c r="O244" s="16" t="str">
        <f>IF(OR(N244="",NOT(OR(ISNUMBER(SEARCH("Antitarnish",Upload!N243&amp;Upload!O243&amp;Upload!P243&amp;Upload!Q243)),ISNUMBER(SEARCH("Anti Tarnish",Upload!N243&amp;Upload!O243&amp;Upload!P243&amp;Upload!Q243))))),"",0.0012*N244)</f>
        <v/>
      </c>
      <c r="P244" s="16" t="str">
        <f>IF(OR(D244="",NOT(OR(ISNUMBER(SEARCH("Epóx",Upload!N243&amp;Upload!O243&amp;Upload!P243&amp;Upload!Q243)),ISNUMBER(SEARCH("Epox",Upload!N243&amp;Upload!O243&amp;Upload!P243&amp;Upload!Q243)),ISNUMBER(SEARCH("Barniz",Upload!N243&amp;Upload!O243&amp;Upload!P243&amp;Upload!Q243))))),"",D244*0.000035)</f>
        <v/>
      </c>
      <c r="Q244" s="16" t="str">
        <f>IF(OR(D244="",NOT(OR(ISNUMBER(SEARCH("Epóx",Upload!N243&amp;Upload!O243&amp;Upload!P243&amp;Upload!Q243)),ISNUMBER(SEARCH("Epox",Upload!N243&amp;Upload!O243&amp;Upload!P243&amp;Upload!Q243)),ISNUMBER(SEARCH("Barniz",Upload!N243&amp;Upload!O243&amp;Upload!P243&amp;Upload!Q243))))),"",D244*0.000035)</f>
        <v/>
      </c>
      <c r="R244" s="16" t="str">
        <f t="shared" si="27"/>
        <v/>
      </c>
    </row>
    <row r="245" spans="1:18" x14ac:dyDescent="0.2">
      <c r="A245" s="10" t="e">
        <f t="shared" ca="1" si="28"/>
        <v>#NAME?</v>
      </c>
      <c r="B245" s="10">
        <f>Upload!E244</f>
        <v>0</v>
      </c>
      <c r="C245" s="10">
        <f>Upload!AJ244</f>
        <v>0</v>
      </c>
      <c r="D245" s="10">
        <f>Upload!AK244</f>
        <v>0</v>
      </c>
      <c r="E245" s="10" t="str">
        <f>Upload!AF244</f>
        <v/>
      </c>
      <c r="F245" s="10" t="str">
        <f>Upload!AH244</f>
        <v/>
      </c>
      <c r="G245" s="10" t="str">
        <f>Upload!AE244</f>
        <v>(seleccione)</v>
      </c>
      <c r="H245" s="10" t="str">
        <f>Upload!AG244</f>
        <v>(seleccione)</v>
      </c>
      <c r="J245" s="16" t="str">
        <f t="shared" si="22"/>
        <v/>
      </c>
      <c r="K245" s="16" t="str">
        <f t="shared" si="23"/>
        <v/>
      </c>
      <c r="L245" s="16" t="str">
        <f t="shared" si="24"/>
        <v/>
      </c>
      <c r="M245" s="16" t="str">
        <f t="shared" si="25"/>
        <v/>
      </c>
      <c r="N245" s="16" t="str">
        <f t="shared" si="26"/>
        <v/>
      </c>
      <c r="O245" s="16" t="str">
        <f>IF(OR(N245="",NOT(OR(ISNUMBER(SEARCH("Antitarnish",Upload!N244&amp;Upload!O244&amp;Upload!P244&amp;Upload!Q244)),ISNUMBER(SEARCH("Anti Tarnish",Upload!N244&amp;Upload!O244&amp;Upload!P244&amp;Upload!Q244))))),"",0.0012*N245)</f>
        <v/>
      </c>
      <c r="P245" s="16" t="str">
        <f>IF(OR(D245="",NOT(OR(ISNUMBER(SEARCH("Epóx",Upload!N244&amp;Upload!O244&amp;Upload!P244&amp;Upload!Q244)),ISNUMBER(SEARCH("Epox",Upload!N244&amp;Upload!O244&amp;Upload!P244&amp;Upload!Q244)),ISNUMBER(SEARCH("Barniz",Upload!N244&amp;Upload!O244&amp;Upload!P244&amp;Upload!Q244))))),"",D245*0.000035)</f>
        <v/>
      </c>
      <c r="Q245" s="16" t="str">
        <f>IF(OR(D245="",NOT(OR(ISNUMBER(SEARCH("Epóx",Upload!N244&amp;Upload!O244&amp;Upload!P244&amp;Upload!Q244)),ISNUMBER(SEARCH("Epox",Upload!N244&amp;Upload!O244&amp;Upload!P244&amp;Upload!Q244)),ISNUMBER(SEARCH("Barniz",Upload!N244&amp;Upload!O244&amp;Upload!P244&amp;Upload!Q244))))),"",D245*0.000035)</f>
        <v/>
      </c>
      <c r="R245" s="16" t="str">
        <f t="shared" si="27"/>
        <v/>
      </c>
    </row>
    <row r="246" spans="1:18" x14ac:dyDescent="0.2">
      <c r="A246" s="10" t="e">
        <f t="shared" ca="1" si="28"/>
        <v>#NAME?</v>
      </c>
      <c r="B246" s="10">
        <f>Upload!E245</f>
        <v>0</v>
      </c>
      <c r="C246" s="10">
        <f>Upload!AJ245</f>
        <v>0</v>
      </c>
      <c r="D246" s="10">
        <f>Upload!AK245</f>
        <v>0</v>
      </c>
      <c r="E246" s="10" t="str">
        <f>Upload!AF245</f>
        <v/>
      </c>
      <c r="F246" s="10" t="str">
        <f>Upload!AH245</f>
        <v/>
      </c>
      <c r="G246" s="10" t="str">
        <f>Upload!AE245</f>
        <v>(seleccione)</v>
      </c>
      <c r="H246" s="10" t="str">
        <f>Upload!AG245</f>
        <v>(seleccione)</v>
      </c>
      <c r="J246" s="16" t="str">
        <f t="shared" si="22"/>
        <v/>
      </c>
      <c r="K246" s="16" t="str">
        <f t="shared" si="23"/>
        <v/>
      </c>
      <c r="L246" s="16" t="str">
        <f t="shared" si="24"/>
        <v/>
      </c>
      <c r="M246" s="16" t="str">
        <f t="shared" si="25"/>
        <v/>
      </c>
      <c r="N246" s="16" t="str">
        <f t="shared" si="26"/>
        <v/>
      </c>
      <c r="O246" s="16" t="str">
        <f>IF(OR(N246="",NOT(OR(ISNUMBER(SEARCH("Antitarnish",Upload!N245&amp;Upload!O245&amp;Upload!P245&amp;Upload!Q245)),ISNUMBER(SEARCH("Anti Tarnish",Upload!N245&amp;Upload!O245&amp;Upload!P245&amp;Upload!Q245))))),"",0.0012*N246)</f>
        <v/>
      </c>
      <c r="P246" s="16" t="str">
        <f>IF(OR(D246="",NOT(OR(ISNUMBER(SEARCH("Epóx",Upload!N245&amp;Upload!O245&amp;Upload!P245&amp;Upload!Q245)),ISNUMBER(SEARCH("Epox",Upload!N245&amp;Upload!O245&amp;Upload!P245&amp;Upload!Q245)),ISNUMBER(SEARCH("Barniz",Upload!N245&amp;Upload!O245&amp;Upload!P245&amp;Upload!Q245))))),"",D246*0.000035)</f>
        <v/>
      </c>
      <c r="Q246" s="16" t="str">
        <f>IF(OR(D246="",NOT(OR(ISNUMBER(SEARCH("Epóx",Upload!N245&amp;Upload!O245&amp;Upload!P245&amp;Upload!Q245)),ISNUMBER(SEARCH("Epox",Upload!N245&amp;Upload!O245&amp;Upload!P245&amp;Upload!Q245)),ISNUMBER(SEARCH("Barniz",Upload!N245&amp;Upload!O245&amp;Upload!P245&amp;Upload!Q245))))),"",D246*0.000035)</f>
        <v/>
      </c>
      <c r="R246" s="16" t="str">
        <f t="shared" si="27"/>
        <v/>
      </c>
    </row>
    <row r="247" spans="1:18" x14ac:dyDescent="0.2">
      <c r="A247" s="10" t="e">
        <f t="shared" ca="1" si="28"/>
        <v>#NAME?</v>
      </c>
      <c r="B247" s="10">
        <f>Upload!E246</f>
        <v>0</v>
      </c>
      <c r="C247" s="10">
        <f>Upload!AJ246</f>
        <v>0</v>
      </c>
      <c r="D247" s="10">
        <f>Upload!AK246</f>
        <v>0</v>
      </c>
      <c r="E247" s="10" t="str">
        <f>Upload!AF246</f>
        <v/>
      </c>
      <c r="F247" s="10" t="str">
        <f>Upload!AH246</f>
        <v/>
      </c>
      <c r="G247" s="10" t="str">
        <f>Upload!AE246</f>
        <v>(seleccione)</v>
      </c>
      <c r="H247" s="10" t="str">
        <f>Upload!AG246</f>
        <v>(seleccione)</v>
      </c>
      <c r="J247" s="16" t="str">
        <f t="shared" si="22"/>
        <v/>
      </c>
      <c r="K247" s="16" t="str">
        <f t="shared" si="23"/>
        <v/>
      </c>
      <c r="L247" s="16" t="str">
        <f t="shared" si="24"/>
        <v/>
      </c>
      <c r="M247" s="16" t="str">
        <f t="shared" si="25"/>
        <v/>
      </c>
      <c r="N247" s="16" t="str">
        <f t="shared" si="26"/>
        <v/>
      </c>
      <c r="O247" s="16" t="str">
        <f>IF(OR(N247="",NOT(OR(ISNUMBER(SEARCH("Antitarnish",Upload!N246&amp;Upload!O246&amp;Upload!P246&amp;Upload!Q246)),ISNUMBER(SEARCH("Anti Tarnish",Upload!N246&amp;Upload!O246&amp;Upload!P246&amp;Upload!Q246))))),"",0.0012*N247)</f>
        <v/>
      </c>
      <c r="P247" s="16" t="str">
        <f>IF(OR(D247="",NOT(OR(ISNUMBER(SEARCH("Epóx",Upload!N246&amp;Upload!O246&amp;Upload!P246&amp;Upload!Q246)),ISNUMBER(SEARCH("Epox",Upload!N246&amp;Upload!O246&amp;Upload!P246&amp;Upload!Q246)),ISNUMBER(SEARCH("Barniz",Upload!N246&amp;Upload!O246&amp;Upload!P246&amp;Upload!Q246))))),"",D247*0.000035)</f>
        <v/>
      </c>
      <c r="Q247" s="16" t="str">
        <f>IF(OR(D247="",NOT(OR(ISNUMBER(SEARCH("Epóx",Upload!N246&amp;Upload!O246&amp;Upload!P246&amp;Upload!Q246)),ISNUMBER(SEARCH("Epox",Upload!N246&amp;Upload!O246&amp;Upload!P246&amp;Upload!Q246)),ISNUMBER(SEARCH("Barniz",Upload!N246&amp;Upload!O246&amp;Upload!P246&amp;Upload!Q246))))),"",D247*0.000035)</f>
        <v/>
      </c>
      <c r="R247" s="16" t="str">
        <f t="shared" si="27"/>
        <v/>
      </c>
    </row>
    <row r="248" spans="1:18" x14ac:dyDescent="0.2">
      <c r="A248" s="10" t="e">
        <f t="shared" ca="1" si="28"/>
        <v>#NAME?</v>
      </c>
      <c r="B248" s="10">
        <f>Upload!E247</f>
        <v>0</v>
      </c>
      <c r="C248" s="10">
        <f>Upload!AJ247</f>
        <v>0</v>
      </c>
      <c r="D248" s="10">
        <f>Upload!AK247</f>
        <v>0</v>
      </c>
      <c r="E248" s="10" t="str">
        <f>Upload!AF247</f>
        <v/>
      </c>
      <c r="F248" s="10" t="str">
        <f>Upload!AH247</f>
        <v/>
      </c>
      <c r="G248" s="10" t="str">
        <f>Upload!AE247</f>
        <v>(seleccione)</v>
      </c>
      <c r="H248" s="10" t="str">
        <f>Upload!AG247</f>
        <v>(seleccione)</v>
      </c>
      <c r="J248" s="16" t="str">
        <f t="shared" si="22"/>
        <v/>
      </c>
      <c r="K248" s="16" t="str">
        <f t="shared" si="23"/>
        <v/>
      </c>
      <c r="L248" s="16" t="str">
        <f t="shared" si="24"/>
        <v/>
      </c>
      <c r="M248" s="16" t="str">
        <f t="shared" si="25"/>
        <v/>
      </c>
      <c r="N248" s="16" t="str">
        <f t="shared" si="26"/>
        <v/>
      </c>
      <c r="O248" s="16" t="str">
        <f>IF(OR(N248="",NOT(OR(ISNUMBER(SEARCH("Antitarnish",Upload!N247&amp;Upload!O247&amp;Upload!P247&amp;Upload!Q247)),ISNUMBER(SEARCH("Anti Tarnish",Upload!N247&amp;Upload!O247&amp;Upload!P247&amp;Upload!Q247))))),"",0.0012*N248)</f>
        <v/>
      </c>
      <c r="P248" s="16" t="str">
        <f>IF(OR(D248="",NOT(OR(ISNUMBER(SEARCH("Epóx",Upload!N247&amp;Upload!O247&amp;Upload!P247&amp;Upload!Q247)),ISNUMBER(SEARCH("Epox",Upload!N247&amp;Upload!O247&amp;Upload!P247&amp;Upload!Q247)),ISNUMBER(SEARCH("Barniz",Upload!N247&amp;Upload!O247&amp;Upload!P247&amp;Upload!Q247))))),"",D248*0.000035)</f>
        <v/>
      </c>
      <c r="Q248" s="16" t="str">
        <f>IF(OR(D248="",NOT(OR(ISNUMBER(SEARCH("Epóx",Upload!N247&amp;Upload!O247&amp;Upload!P247&amp;Upload!Q247)),ISNUMBER(SEARCH("Epox",Upload!N247&amp;Upload!O247&amp;Upload!P247&amp;Upload!Q247)),ISNUMBER(SEARCH("Barniz",Upload!N247&amp;Upload!O247&amp;Upload!P247&amp;Upload!Q247))))),"",D248*0.000035)</f>
        <v/>
      </c>
      <c r="R248" s="16" t="str">
        <f t="shared" si="27"/>
        <v/>
      </c>
    </row>
    <row r="249" spans="1:18" x14ac:dyDescent="0.2">
      <c r="A249" s="10" t="e">
        <f t="shared" ca="1" si="28"/>
        <v>#NAME?</v>
      </c>
      <c r="B249" s="10">
        <f>Upload!E248</f>
        <v>0</v>
      </c>
      <c r="C249" s="10">
        <f>Upload!AJ248</f>
        <v>0</v>
      </c>
      <c r="D249" s="10">
        <f>Upload!AK248</f>
        <v>0</v>
      </c>
      <c r="E249" s="10" t="str">
        <f>Upload!AF248</f>
        <v/>
      </c>
      <c r="F249" s="10" t="str">
        <f>Upload!AH248</f>
        <v/>
      </c>
      <c r="G249" s="10" t="str">
        <f>Upload!AE248</f>
        <v>(seleccione)</v>
      </c>
      <c r="H249" s="10" t="str">
        <f>Upload!AG248</f>
        <v>(seleccione)</v>
      </c>
      <c r="J249" s="16" t="str">
        <f t="shared" si="22"/>
        <v/>
      </c>
      <c r="K249" s="16" t="str">
        <f t="shared" si="23"/>
        <v/>
      </c>
      <c r="L249" s="16" t="str">
        <f t="shared" si="24"/>
        <v/>
      </c>
      <c r="M249" s="16" t="str">
        <f t="shared" si="25"/>
        <v/>
      </c>
      <c r="N249" s="16" t="str">
        <f t="shared" si="26"/>
        <v/>
      </c>
      <c r="O249" s="16" t="str">
        <f>IF(OR(N249="",NOT(OR(ISNUMBER(SEARCH("Antitarnish",Upload!N248&amp;Upload!O248&amp;Upload!P248&amp;Upload!Q248)),ISNUMBER(SEARCH("Anti Tarnish",Upload!N248&amp;Upload!O248&amp;Upload!P248&amp;Upload!Q248))))),"",0.0012*N249)</f>
        <v/>
      </c>
      <c r="P249" s="16" t="str">
        <f>IF(OR(D249="",NOT(OR(ISNUMBER(SEARCH("Epóx",Upload!N248&amp;Upload!O248&amp;Upload!P248&amp;Upload!Q248)),ISNUMBER(SEARCH("Epox",Upload!N248&amp;Upload!O248&amp;Upload!P248&amp;Upload!Q248)),ISNUMBER(SEARCH("Barniz",Upload!N248&amp;Upload!O248&amp;Upload!P248&amp;Upload!Q248))))),"",D249*0.000035)</f>
        <v/>
      </c>
      <c r="Q249" s="16" t="str">
        <f>IF(OR(D249="",NOT(OR(ISNUMBER(SEARCH("Epóx",Upload!N248&amp;Upload!O248&amp;Upload!P248&amp;Upload!Q248)),ISNUMBER(SEARCH("Epox",Upload!N248&amp;Upload!O248&amp;Upload!P248&amp;Upload!Q248)),ISNUMBER(SEARCH("Barniz",Upload!N248&amp;Upload!O248&amp;Upload!P248&amp;Upload!Q248))))),"",D249*0.000035)</f>
        <v/>
      </c>
      <c r="R249" s="16" t="str">
        <f t="shared" si="27"/>
        <v/>
      </c>
    </row>
    <row r="250" spans="1:18" x14ac:dyDescent="0.2">
      <c r="A250" s="10" t="e">
        <f t="shared" ca="1" si="28"/>
        <v>#NAME?</v>
      </c>
      <c r="B250" s="10">
        <f>Upload!E249</f>
        <v>0</v>
      </c>
      <c r="C250" s="10">
        <f>Upload!AJ249</f>
        <v>0</v>
      </c>
      <c r="D250" s="10">
        <f>Upload!AK249</f>
        <v>0</v>
      </c>
      <c r="E250" s="10" t="str">
        <f>Upload!AF249</f>
        <v/>
      </c>
      <c r="F250" s="10" t="str">
        <f>Upload!AH249</f>
        <v/>
      </c>
      <c r="G250" s="10" t="str">
        <f>Upload!AE249</f>
        <v>(seleccione)</v>
      </c>
      <c r="H250" s="10" t="str">
        <f>Upload!AG249</f>
        <v>(seleccione)</v>
      </c>
      <c r="J250" s="16" t="str">
        <f t="shared" si="22"/>
        <v/>
      </c>
      <c r="K250" s="16" t="str">
        <f t="shared" si="23"/>
        <v/>
      </c>
      <c r="L250" s="16" t="str">
        <f t="shared" si="24"/>
        <v/>
      </c>
      <c r="M250" s="16" t="str">
        <f t="shared" si="25"/>
        <v/>
      </c>
      <c r="N250" s="16" t="str">
        <f t="shared" si="26"/>
        <v/>
      </c>
      <c r="O250" s="16" t="str">
        <f>IF(OR(N250="",NOT(OR(ISNUMBER(SEARCH("Antitarnish",Upload!N249&amp;Upload!O249&amp;Upload!P249&amp;Upload!Q249)),ISNUMBER(SEARCH("Anti Tarnish",Upload!N249&amp;Upload!O249&amp;Upload!P249&amp;Upload!Q249))))),"",0.0012*N250)</f>
        <v/>
      </c>
      <c r="P250" s="16" t="str">
        <f>IF(OR(D250="",NOT(OR(ISNUMBER(SEARCH("Epóx",Upload!N249&amp;Upload!O249&amp;Upload!P249&amp;Upload!Q249)),ISNUMBER(SEARCH("Epox",Upload!N249&amp;Upload!O249&amp;Upload!P249&amp;Upload!Q249)),ISNUMBER(SEARCH("Barniz",Upload!N249&amp;Upload!O249&amp;Upload!P249&amp;Upload!Q249))))),"",D250*0.000035)</f>
        <v/>
      </c>
      <c r="Q250" s="16" t="str">
        <f>IF(OR(D250="",NOT(OR(ISNUMBER(SEARCH("Epóx",Upload!N249&amp;Upload!O249&amp;Upload!P249&amp;Upload!Q249)),ISNUMBER(SEARCH("Epox",Upload!N249&amp;Upload!O249&amp;Upload!P249&amp;Upload!Q249)),ISNUMBER(SEARCH("Barniz",Upload!N249&amp;Upload!O249&amp;Upload!P249&amp;Upload!Q249))))),"",D250*0.000035)</f>
        <v/>
      </c>
      <c r="R250" s="16" t="str">
        <f t="shared" si="27"/>
        <v/>
      </c>
    </row>
    <row r="251" spans="1:18" x14ac:dyDescent="0.2">
      <c r="A251" s="10" t="e">
        <f t="shared" ca="1" si="28"/>
        <v>#NAME?</v>
      </c>
      <c r="B251" s="10">
        <f>Upload!E250</f>
        <v>0</v>
      </c>
      <c r="C251" s="10">
        <f>Upload!AJ250</f>
        <v>0</v>
      </c>
      <c r="D251" s="10">
        <f>Upload!AK250</f>
        <v>0</v>
      </c>
      <c r="E251" s="10" t="str">
        <f>Upload!AF250</f>
        <v/>
      </c>
      <c r="F251" s="10" t="str">
        <f>Upload!AH250</f>
        <v/>
      </c>
      <c r="G251" s="10" t="str">
        <f>Upload!AE250</f>
        <v>(seleccione)</v>
      </c>
      <c r="H251" s="10" t="str">
        <f>Upload!AG250</f>
        <v>(seleccione)</v>
      </c>
      <c r="J251" s="16" t="str">
        <f t="shared" si="22"/>
        <v/>
      </c>
      <c r="K251" s="16" t="str">
        <f t="shared" si="23"/>
        <v/>
      </c>
      <c r="L251" s="16" t="str">
        <f t="shared" si="24"/>
        <v/>
      </c>
      <c r="M251" s="16" t="str">
        <f t="shared" si="25"/>
        <v/>
      </c>
      <c r="N251" s="16" t="str">
        <f t="shared" si="26"/>
        <v/>
      </c>
      <c r="O251" s="16" t="str">
        <f>IF(OR(N251="",NOT(OR(ISNUMBER(SEARCH("Antitarnish",Upload!N250&amp;Upload!O250&amp;Upload!P250&amp;Upload!Q250)),ISNUMBER(SEARCH("Anti Tarnish",Upload!N250&amp;Upload!O250&amp;Upload!P250&amp;Upload!Q250))))),"",0.0012*N251)</f>
        <v/>
      </c>
      <c r="P251" s="16" t="str">
        <f>IF(OR(D251="",NOT(OR(ISNUMBER(SEARCH("Epóx",Upload!N250&amp;Upload!O250&amp;Upload!P250&amp;Upload!Q250)),ISNUMBER(SEARCH("Epox",Upload!N250&amp;Upload!O250&amp;Upload!P250&amp;Upload!Q250)),ISNUMBER(SEARCH("Barniz",Upload!N250&amp;Upload!O250&amp;Upload!P250&amp;Upload!Q250))))),"",D251*0.000035)</f>
        <v/>
      </c>
      <c r="Q251" s="16" t="str">
        <f>IF(OR(D251="",NOT(OR(ISNUMBER(SEARCH("Epóx",Upload!N250&amp;Upload!O250&amp;Upload!P250&amp;Upload!Q250)),ISNUMBER(SEARCH("Epox",Upload!N250&amp;Upload!O250&amp;Upload!P250&amp;Upload!Q250)),ISNUMBER(SEARCH("Barniz",Upload!N250&amp;Upload!O250&amp;Upload!P250&amp;Upload!Q250))))),"",D251*0.000035)</f>
        <v/>
      </c>
      <c r="R251" s="16" t="str">
        <f t="shared" si="27"/>
        <v/>
      </c>
    </row>
    <row r="252" spans="1:18" x14ac:dyDescent="0.2">
      <c r="A252" s="10" t="e">
        <f t="shared" ca="1" si="28"/>
        <v>#NAME?</v>
      </c>
      <c r="B252" s="10">
        <f>Upload!E251</f>
        <v>0</v>
      </c>
      <c r="C252" s="10">
        <f>Upload!AJ251</f>
        <v>0</v>
      </c>
      <c r="D252" s="10">
        <f>Upload!AK251</f>
        <v>0</v>
      </c>
      <c r="E252" s="10" t="str">
        <f>Upload!AF251</f>
        <v/>
      </c>
      <c r="F252" s="10" t="str">
        <f>Upload!AH251</f>
        <v/>
      </c>
      <c r="G252" s="10" t="str">
        <f>Upload!AE251</f>
        <v>(seleccione)</v>
      </c>
      <c r="H252" s="10" t="str">
        <f>Upload!AG251</f>
        <v>(seleccione)</v>
      </c>
      <c r="J252" s="16" t="str">
        <f t="shared" si="22"/>
        <v/>
      </c>
      <c r="K252" s="16" t="str">
        <f t="shared" si="23"/>
        <v/>
      </c>
      <c r="L252" s="16" t="str">
        <f t="shared" si="24"/>
        <v/>
      </c>
      <c r="M252" s="16" t="str">
        <f t="shared" si="25"/>
        <v/>
      </c>
      <c r="N252" s="16" t="str">
        <f t="shared" si="26"/>
        <v/>
      </c>
      <c r="O252" s="16" t="str">
        <f>IF(OR(N252="",NOT(OR(ISNUMBER(SEARCH("Antitarnish",Upload!N251&amp;Upload!O251&amp;Upload!P251&amp;Upload!Q251)),ISNUMBER(SEARCH("Anti Tarnish",Upload!N251&amp;Upload!O251&amp;Upload!P251&amp;Upload!Q251))))),"",0.0012*N252)</f>
        <v/>
      </c>
      <c r="P252" s="16" t="str">
        <f>IF(OR(D252="",NOT(OR(ISNUMBER(SEARCH("Epóx",Upload!N251&amp;Upload!O251&amp;Upload!P251&amp;Upload!Q251)),ISNUMBER(SEARCH("Epox",Upload!N251&amp;Upload!O251&amp;Upload!P251&amp;Upload!Q251)),ISNUMBER(SEARCH("Barniz",Upload!N251&amp;Upload!O251&amp;Upload!P251&amp;Upload!Q251))))),"",D252*0.000035)</f>
        <v/>
      </c>
      <c r="Q252" s="16" t="str">
        <f>IF(OR(D252="",NOT(OR(ISNUMBER(SEARCH("Epóx",Upload!N251&amp;Upload!O251&amp;Upload!P251&amp;Upload!Q251)),ISNUMBER(SEARCH("Epox",Upload!N251&amp;Upload!O251&amp;Upload!P251&amp;Upload!Q251)),ISNUMBER(SEARCH("Barniz",Upload!N251&amp;Upload!O251&amp;Upload!P251&amp;Upload!Q251))))),"",D252*0.000035)</f>
        <v/>
      </c>
      <c r="R252" s="16" t="str">
        <f t="shared" si="27"/>
        <v/>
      </c>
    </row>
    <row r="253" spans="1:18" x14ac:dyDescent="0.2">
      <c r="A253" s="10" t="e">
        <f t="shared" ca="1" si="28"/>
        <v>#NAME?</v>
      </c>
      <c r="B253" s="10">
        <f>Upload!E252</f>
        <v>0</v>
      </c>
      <c r="C253" s="10">
        <f>Upload!AJ252</f>
        <v>0</v>
      </c>
      <c r="D253" s="10">
        <f>Upload!AK252</f>
        <v>0</v>
      </c>
      <c r="E253" s="10" t="str">
        <f>Upload!AF252</f>
        <v/>
      </c>
      <c r="F253" s="10" t="str">
        <f>Upload!AH252</f>
        <v/>
      </c>
      <c r="G253" s="10" t="str">
        <f>Upload!AE252</f>
        <v>(seleccione)</v>
      </c>
      <c r="H253" s="10" t="str">
        <f>Upload!AG252</f>
        <v>(seleccione)</v>
      </c>
      <c r="J253" s="16" t="str">
        <f t="shared" si="22"/>
        <v/>
      </c>
      <c r="K253" s="16" t="str">
        <f t="shared" si="23"/>
        <v/>
      </c>
      <c r="L253" s="16" t="str">
        <f t="shared" si="24"/>
        <v/>
      </c>
      <c r="M253" s="16" t="str">
        <f t="shared" si="25"/>
        <v/>
      </c>
      <c r="N253" s="16" t="str">
        <f t="shared" si="26"/>
        <v/>
      </c>
      <c r="O253" s="16" t="str">
        <f>IF(OR(N253="",NOT(OR(ISNUMBER(SEARCH("Antitarnish",Upload!N252&amp;Upload!O252&amp;Upload!P252&amp;Upload!Q252)),ISNUMBER(SEARCH("Anti Tarnish",Upload!N252&amp;Upload!O252&amp;Upload!P252&amp;Upload!Q252))))),"",0.0012*N253)</f>
        <v/>
      </c>
      <c r="P253" s="16" t="str">
        <f>IF(OR(D253="",NOT(OR(ISNUMBER(SEARCH("Epóx",Upload!N252&amp;Upload!O252&amp;Upload!P252&amp;Upload!Q252)),ISNUMBER(SEARCH("Epox",Upload!N252&amp;Upload!O252&amp;Upload!P252&amp;Upload!Q252)),ISNUMBER(SEARCH("Barniz",Upload!N252&amp;Upload!O252&amp;Upload!P252&amp;Upload!Q252))))),"",D253*0.000035)</f>
        <v/>
      </c>
      <c r="Q253" s="16" t="str">
        <f>IF(OR(D253="",NOT(OR(ISNUMBER(SEARCH("Epóx",Upload!N252&amp;Upload!O252&amp;Upload!P252&amp;Upload!Q252)),ISNUMBER(SEARCH("Epox",Upload!N252&amp;Upload!O252&amp;Upload!P252&amp;Upload!Q252)),ISNUMBER(SEARCH("Barniz",Upload!N252&amp;Upload!O252&amp;Upload!P252&amp;Upload!Q252))))),"",D253*0.000035)</f>
        <v/>
      </c>
      <c r="R253" s="16" t="str">
        <f t="shared" si="27"/>
        <v/>
      </c>
    </row>
    <row r="254" spans="1:18" x14ac:dyDescent="0.2">
      <c r="A254" s="10" t="e">
        <f t="shared" ca="1" si="28"/>
        <v>#NAME?</v>
      </c>
      <c r="B254" s="10">
        <f>Upload!E253</f>
        <v>0</v>
      </c>
      <c r="C254" s="10">
        <f>Upload!AJ253</f>
        <v>0</v>
      </c>
      <c r="D254" s="10">
        <f>Upload!AK253</f>
        <v>0</v>
      </c>
      <c r="E254" s="10" t="str">
        <f>Upload!AF253</f>
        <v/>
      </c>
      <c r="F254" s="10" t="str">
        <f>Upload!AH253</f>
        <v/>
      </c>
      <c r="G254" s="10" t="str">
        <f>Upload!AE253</f>
        <v>(seleccione)</v>
      </c>
      <c r="H254" s="10" t="str">
        <f>Upload!AG253</f>
        <v>(seleccione)</v>
      </c>
      <c r="J254" s="16" t="str">
        <f t="shared" si="22"/>
        <v/>
      </c>
      <c r="K254" s="16" t="str">
        <f t="shared" si="23"/>
        <v/>
      </c>
      <c r="L254" s="16" t="str">
        <f t="shared" si="24"/>
        <v/>
      </c>
      <c r="M254" s="16" t="str">
        <f t="shared" si="25"/>
        <v/>
      </c>
      <c r="N254" s="16" t="str">
        <f t="shared" si="26"/>
        <v/>
      </c>
      <c r="O254" s="16" t="str">
        <f>IF(OR(N254="",NOT(OR(ISNUMBER(SEARCH("Antitarnish",Upload!N253&amp;Upload!O253&amp;Upload!P253&amp;Upload!Q253)),ISNUMBER(SEARCH("Anti Tarnish",Upload!N253&amp;Upload!O253&amp;Upload!P253&amp;Upload!Q253))))),"",0.0012*N254)</f>
        <v/>
      </c>
      <c r="P254" s="16" t="str">
        <f>IF(OR(D254="",NOT(OR(ISNUMBER(SEARCH("Epóx",Upload!N253&amp;Upload!O253&amp;Upload!P253&amp;Upload!Q253)),ISNUMBER(SEARCH("Epox",Upload!N253&amp;Upload!O253&amp;Upload!P253&amp;Upload!Q253)),ISNUMBER(SEARCH("Barniz",Upload!N253&amp;Upload!O253&amp;Upload!P253&amp;Upload!Q253))))),"",D254*0.000035)</f>
        <v/>
      </c>
      <c r="Q254" s="16" t="str">
        <f>IF(OR(D254="",NOT(OR(ISNUMBER(SEARCH("Epóx",Upload!N253&amp;Upload!O253&amp;Upload!P253&amp;Upload!Q253)),ISNUMBER(SEARCH("Epox",Upload!N253&amp;Upload!O253&amp;Upload!P253&amp;Upload!Q253)),ISNUMBER(SEARCH("Barniz",Upload!N253&amp;Upload!O253&amp;Upload!P253&amp;Upload!Q253))))),"",D254*0.000035)</f>
        <v/>
      </c>
      <c r="R254" s="16" t="str">
        <f t="shared" si="27"/>
        <v/>
      </c>
    </row>
    <row r="255" spans="1:18" x14ac:dyDescent="0.2">
      <c r="A255" s="10" t="e">
        <f t="shared" ca="1" si="28"/>
        <v>#NAME?</v>
      </c>
      <c r="B255" s="10">
        <f>Upload!E254</f>
        <v>0</v>
      </c>
      <c r="C255" s="10">
        <f>Upload!AJ254</f>
        <v>0</v>
      </c>
      <c r="D255" s="10">
        <f>Upload!AK254</f>
        <v>0</v>
      </c>
      <c r="E255" s="10" t="str">
        <f>Upload!AF254</f>
        <v/>
      </c>
      <c r="F255" s="10" t="str">
        <f>Upload!AH254</f>
        <v/>
      </c>
      <c r="G255" s="10" t="str">
        <f>Upload!AE254</f>
        <v>(seleccione)</v>
      </c>
      <c r="H255" s="10" t="str">
        <f>Upload!AG254</f>
        <v>(seleccione)</v>
      </c>
      <c r="J255" s="16" t="str">
        <f t="shared" si="22"/>
        <v/>
      </c>
      <c r="K255" s="16" t="str">
        <f t="shared" si="23"/>
        <v/>
      </c>
      <c r="L255" s="16" t="str">
        <f t="shared" si="24"/>
        <v/>
      </c>
      <c r="M255" s="16" t="str">
        <f t="shared" si="25"/>
        <v/>
      </c>
      <c r="N255" s="16" t="str">
        <f t="shared" si="26"/>
        <v/>
      </c>
      <c r="O255" s="16" t="str">
        <f>IF(OR(N255="",NOT(OR(ISNUMBER(SEARCH("Antitarnish",Upload!N254&amp;Upload!O254&amp;Upload!P254&amp;Upload!Q254)),ISNUMBER(SEARCH("Anti Tarnish",Upload!N254&amp;Upload!O254&amp;Upload!P254&amp;Upload!Q254))))),"",0.0012*N255)</f>
        <v/>
      </c>
      <c r="P255" s="16" t="str">
        <f>IF(OR(D255="",NOT(OR(ISNUMBER(SEARCH("Epóx",Upload!N254&amp;Upload!O254&amp;Upload!P254&amp;Upload!Q254)),ISNUMBER(SEARCH("Epox",Upload!N254&amp;Upload!O254&amp;Upload!P254&amp;Upload!Q254)),ISNUMBER(SEARCH("Barniz",Upload!N254&amp;Upload!O254&amp;Upload!P254&amp;Upload!Q254))))),"",D255*0.000035)</f>
        <v/>
      </c>
      <c r="Q255" s="16" t="str">
        <f>IF(OR(D255="",NOT(OR(ISNUMBER(SEARCH("Epóx",Upload!N254&amp;Upload!O254&amp;Upload!P254&amp;Upload!Q254)),ISNUMBER(SEARCH("Epox",Upload!N254&amp;Upload!O254&amp;Upload!P254&amp;Upload!Q254)),ISNUMBER(SEARCH("Barniz",Upload!N254&amp;Upload!O254&amp;Upload!P254&amp;Upload!Q254))))),"",D255*0.000035)</f>
        <v/>
      </c>
      <c r="R255" s="16" t="str">
        <f t="shared" si="27"/>
        <v/>
      </c>
    </row>
    <row r="256" spans="1:18" x14ac:dyDescent="0.2">
      <c r="A256" s="10" t="e">
        <f t="shared" ca="1" si="28"/>
        <v>#NAME?</v>
      </c>
      <c r="B256" s="10">
        <f>Upload!E255</f>
        <v>0</v>
      </c>
      <c r="C256" s="10">
        <f>Upload!AJ255</f>
        <v>0</v>
      </c>
      <c r="D256" s="10">
        <f>Upload!AK255</f>
        <v>0</v>
      </c>
      <c r="E256" s="10" t="str">
        <f>Upload!AF255</f>
        <v/>
      </c>
      <c r="F256" s="10" t="str">
        <f>Upload!AH255</f>
        <v/>
      </c>
      <c r="G256" s="10" t="str">
        <f>Upload!AE255</f>
        <v>(seleccione)</v>
      </c>
      <c r="H256" s="10" t="str">
        <f>Upload!AG255</f>
        <v>(seleccione)</v>
      </c>
      <c r="J256" s="16" t="str">
        <f t="shared" si="22"/>
        <v/>
      </c>
      <c r="K256" s="16" t="str">
        <f t="shared" si="23"/>
        <v/>
      </c>
      <c r="L256" s="16" t="str">
        <f t="shared" si="24"/>
        <v/>
      </c>
      <c r="M256" s="16" t="str">
        <f t="shared" si="25"/>
        <v/>
      </c>
      <c r="N256" s="16" t="str">
        <f t="shared" si="26"/>
        <v/>
      </c>
      <c r="O256" s="16" t="str">
        <f>IF(OR(N256="",NOT(OR(ISNUMBER(SEARCH("Antitarnish",Upload!N255&amp;Upload!O255&amp;Upload!P255&amp;Upload!Q255)),ISNUMBER(SEARCH("Anti Tarnish",Upload!N255&amp;Upload!O255&amp;Upload!P255&amp;Upload!Q255))))),"",0.0012*N256)</f>
        <v/>
      </c>
      <c r="P256" s="16" t="str">
        <f>IF(OR(D256="",NOT(OR(ISNUMBER(SEARCH("Epóx",Upload!N255&amp;Upload!O255&amp;Upload!P255&amp;Upload!Q255)),ISNUMBER(SEARCH("Epox",Upload!N255&amp;Upload!O255&amp;Upload!P255&amp;Upload!Q255)),ISNUMBER(SEARCH("Barniz",Upload!N255&amp;Upload!O255&amp;Upload!P255&amp;Upload!Q255))))),"",D256*0.000035)</f>
        <v/>
      </c>
      <c r="Q256" s="16" t="str">
        <f>IF(OR(D256="",NOT(OR(ISNUMBER(SEARCH("Epóx",Upload!N255&amp;Upload!O255&amp;Upload!P255&amp;Upload!Q255)),ISNUMBER(SEARCH("Epox",Upload!N255&amp;Upload!O255&amp;Upload!P255&amp;Upload!Q255)),ISNUMBER(SEARCH("Barniz",Upload!N255&amp;Upload!O255&amp;Upload!P255&amp;Upload!Q255))))),"",D256*0.000035)</f>
        <v/>
      </c>
      <c r="R256" s="16" t="str">
        <f t="shared" si="27"/>
        <v/>
      </c>
    </row>
    <row r="257" spans="1:18" x14ac:dyDescent="0.2">
      <c r="A257" s="10" t="e">
        <f t="shared" ca="1" si="28"/>
        <v>#NAME?</v>
      </c>
      <c r="B257" s="10">
        <f>Upload!E256</f>
        <v>0</v>
      </c>
      <c r="C257" s="10">
        <f>Upload!AJ256</f>
        <v>0</v>
      </c>
      <c r="D257" s="10">
        <f>Upload!AK256</f>
        <v>0</v>
      </c>
      <c r="E257" s="10" t="str">
        <f>Upload!AF256</f>
        <v/>
      </c>
      <c r="F257" s="10" t="str">
        <f>Upload!AH256</f>
        <v/>
      </c>
      <c r="G257" s="10" t="str">
        <f>Upload!AE256</f>
        <v>(seleccione)</v>
      </c>
      <c r="H257" s="10" t="str">
        <f>Upload!AG256</f>
        <v>(seleccione)</v>
      </c>
      <c r="J257" s="16" t="str">
        <f t="shared" si="22"/>
        <v/>
      </c>
      <c r="K257" s="16" t="str">
        <f t="shared" si="23"/>
        <v/>
      </c>
      <c r="L257" s="16" t="str">
        <f t="shared" si="24"/>
        <v/>
      </c>
      <c r="M257" s="16" t="str">
        <f t="shared" si="25"/>
        <v/>
      </c>
      <c r="N257" s="16" t="str">
        <f t="shared" si="26"/>
        <v/>
      </c>
      <c r="O257" s="16" t="str">
        <f>IF(OR(N257="",NOT(OR(ISNUMBER(SEARCH("Antitarnish",Upload!N256&amp;Upload!O256&amp;Upload!P256&amp;Upload!Q256)),ISNUMBER(SEARCH("Anti Tarnish",Upload!N256&amp;Upload!O256&amp;Upload!P256&amp;Upload!Q256))))),"",0.0012*N257)</f>
        <v/>
      </c>
      <c r="P257" s="16" t="str">
        <f>IF(OR(D257="",NOT(OR(ISNUMBER(SEARCH("Epóx",Upload!N256&amp;Upload!O256&amp;Upload!P256&amp;Upload!Q256)),ISNUMBER(SEARCH("Epox",Upload!N256&amp;Upload!O256&amp;Upload!P256&amp;Upload!Q256)),ISNUMBER(SEARCH("Barniz",Upload!N256&amp;Upload!O256&amp;Upload!P256&amp;Upload!Q256))))),"",D257*0.000035)</f>
        <v/>
      </c>
      <c r="Q257" s="16" t="str">
        <f>IF(OR(D257="",NOT(OR(ISNUMBER(SEARCH("Epóx",Upload!N256&amp;Upload!O256&amp;Upload!P256&amp;Upload!Q256)),ISNUMBER(SEARCH("Epox",Upload!N256&amp;Upload!O256&amp;Upload!P256&amp;Upload!Q256)),ISNUMBER(SEARCH("Barniz",Upload!N256&amp;Upload!O256&amp;Upload!P256&amp;Upload!Q256))))),"",D257*0.000035)</f>
        <v/>
      </c>
      <c r="R257" s="16" t="str">
        <f t="shared" si="27"/>
        <v/>
      </c>
    </row>
    <row r="258" spans="1:18" x14ac:dyDescent="0.2">
      <c r="A258" s="10" t="e">
        <f t="shared" ca="1" si="28"/>
        <v>#NAME?</v>
      </c>
      <c r="B258" s="10">
        <f>Upload!E257</f>
        <v>0</v>
      </c>
      <c r="C258" s="10">
        <f>Upload!AJ257</f>
        <v>0</v>
      </c>
      <c r="D258" s="10">
        <f>Upload!AK257</f>
        <v>0</v>
      </c>
      <c r="E258" s="10" t="str">
        <f>Upload!AF257</f>
        <v/>
      </c>
      <c r="F258" s="10" t="str">
        <f>Upload!AH257</f>
        <v/>
      </c>
      <c r="G258" s="10" t="str">
        <f>Upload!AE257</f>
        <v>(seleccione)</v>
      </c>
      <c r="H258" s="10" t="str">
        <f>Upload!AG257</f>
        <v>(seleccione)</v>
      </c>
      <c r="J258" s="16" t="str">
        <f t="shared" si="22"/>
        <v/>
      </c>
      <c r="K258" s="16" t="str">
        <f t="shared" si="23"/>
        <v/>
      </c>
      <c r="L258" s="16" t="str">
        <f t="shared" si="24"/>
        <v/>
      </c>
      <c r="M258" s="16" t="str">
        <f t="shared" si="25"/>
        <v/>
      </c>
      <c r="N258" s="16" t="str">
        <f t="shared" si="26"/>
        <v/>
      </c>
      <c r="O258" s="16" t="str">
        <f>IF(OR(N258="",NOT(OR(ISNUMBER(SEARCH("Antitarnish",Upload!N257&amp;Upload!O257&amp;Upload!P257&amp;Upload!Q257)),ISNUMBER(SEARCH("Anti Tarnish",Upload!N257&amp;Upload!O257&amp;Upload!P257&amp;Upload!Q257))))),"",0.0012*N258)</f>
        <v/>
      </c>
      <c r="P258" s="16" t="str">
        <f>IF(OR(D258="",NOT(OR(ISNUMBER(SEARCH("Epóx",Upload!N257&amp;Upload!O257&amp;Upload!P257&amp;Upload!Q257)),ISNUMBER(SEARCH("Epox",Upload!N257&amp;Upload!O257&amp;Upload!P257&amp;Upload!Q257)),ISNUMBER(SEARCH("Barniz",Upload!N257&amp;Upload!O257&amp;Upload!P257&amp;Upload!Q257))))),"",D258*0.000035)</f>
        <v/>
      </c>
      <c r="Q258" s="16" t="str">
        <f>IF(OR(D258="",NOT(OR(ISNUMBER(SEARCH("Epóx",Upload!N257&amp;Upload!O257&amp;Upload!P257&amp;Upload!Q257)),ISNUMBER(SEARCH("Epox",Upload!N257&amp;Upload!O257&amp;Upload!P257&amp;Upload!Q257)),ISNUMBER(SEARCH("Barniz",Upload!N257&amp;Upload!O257&amp;Upload!P257&amp;Upload!Q257))))),"",D258*0.000035)</f>
        <v/>
      </c>
      <c r="R258" s="16" t="str">
        <f t="shared" si="27"/>
        <v/>
      </c>
    </row>
    <row r="259" spans="1:18" x14ac:dyDescent="0.2">
      <c r="A259" s="10" t="e">
        <f t="shared" ca="1" si="28"/>
        <v>#NAME?</v>
      </c>
      <c r="B259" s="10">
        <f>Upload!E258</f>
        <v>0</v>
      </c>
      <c r="C259" s="10">
        <f>Upload!AJ258</f>
        <v>0</v>
      </c>
      <c r="D259" s="10">
        <f>Upload!AK258</f>
        <v>0</v>
      </c>
      <c r="E259" s="10" t="str">
        <f>Upload!AF258</f>
        <v/>
      </c>
      <c r="F259" s="10" t="str">
        <f>Upload!AH258</f>
        <v/>
      </c>
      <c r="G259" s="10" t="str">
        <f>Upload!AE258</f>
        <v>(seleccione)</v>
      </c>
      <c r="H259" s="10" t="str">
        <f>Upload!AG258</f>
        <v>(seleccione)</v>
      </c>
      <c r="J259" s="16" t="str">
        <f t="shared" si="22"/>
        <v/>
      </c>
      <c r="K259" s="16" t="str">
        <f t="shared" si="23"/>
        <v/>
      </c>
      <c r="L259" s="16" t="str">
        <f t="shared" si="24"/>
        <v/>
      </c>
      <c r="M259" s="16" t="str">
        <f t="shared" si="25"/>
        <v/>
      </c>
      <c r="N259" s="16" t="str">
        <f t="shared" si="26"/>
        <v/>
      </c>
      <c r="O259" s="16" t="str">
        <f>IF(OR(N259="",NOT(OR(ISNUMBER(SEARCH("Antitarnish",Upload!N258&amp;Upload!O258&amp;Upload!P258&amp;Upload!Q258)),ISNUMBER(SEARCH("Anti Tarnish",Upload!N258&amp;Upload!O258&amp;Upload!P258&amp;Upload!Q258))))),"",0.0012*N259)</f>
        <v/>
      </c>
      <c r="P259" s="16" t="str">
        <f>IF(OR(D259="",NOT(OR(ISNUMBER(SEARCH("Epóx",Upload!N258&amp;Upload!O258&amp;Upload!P258&amp;Upload!Q258)),ISNUMBER(SEARCH("Epox",Upload!N258&amp;Upload!O258&amp;Upload!P258&amp;Upload!Q258)),ISNUMBER(SEARCH("Barniz",Upload!N258&amp;Upload!O258&amp;Upload!P258&amp;Upload!Q258))))),"",D259*0.000035)</f>
        <v/>
      </c>
      <c r="Q259" s="16" t="str">
        <f>IF(OR(D259="",NOT(OR(ISNUMBER(SEARCH("Epóx",Upload!N258&amp;Upload!O258&amp;Upload!P258&amp;Upload!Q258)),ISNUMBER(SEARCH("Epox",Upload!N258&amp;Upload!O258&amp;Upload!P258&amp;Upload!Q258)),ISNUMBER(SEARCH("Barniz",Upload!N258&amp;Upload!O258&amp;Upload!P258&amp;Upload!Q258))))),"",D259*0.000035)</f>
        <v/>
      </c>
      <c r="R259" s="16" t="str">
        <f t="shared" si="27"/>
        <v/>
      </c>
    </row>
    <row r="260" spans="1:18" x14ac:dyDescent="0.2">
      <c r="A260" s="10" t="e">
        <f t="shared" ca="1" si="28"/>
        <v>#NAME?</v>
      </c>
      <c r="B260" s="10">
        <f>Upload!E259</f>
        <v>0</v>
      </c>
      <c r="C260" s="10">
        <f>Upload!AJ259</f>
        <v>0</v>
      </c>
      <c r="D260" s="10">
        <f>Upload!AK259</f>
        <v>0</v>
      </c>
      <c r="E260" s="10" t="str">
        <f>Upload!AF259</f>
        <v/>
      </c>
      <c r="F260" s="10" t="str">
        <f>Upload!AH259</f>
        <v/>
      </c>
      <c r="G260" s="10" t="str">
        <f>Upload!AE259</f>
        <v>(seleccione)</v>
      </c>
      <c r="H260" s="10" t="str">
        <f>Upload!AG259</f>
        <v>(seleccione)</v>
      </c>
      <c r="J260" s="16" t="str">
        <f t="shared" si="22"/>
        <v/>
      </c>
      <c r="K260" s="16" t="str">
        <f t="shared" si="23"/>
        <v/>
      </c>
      <c r="L260" s="16" t="str">
        <f t="shared" si="24"/>
        <v/>
      </c>
      <c r="M260" s="16" t="str">
        <f t="shared" si="25"/>
        <v/>
      </c>
      <c r="N260" s="16" t="str">
        <f t="shared" si="26"/>
        <v/>
      </c>
      <c r="O260" s="16" t="str">
        <f>IF(OR(N260="",NOT(OR(ISNUMBER(SEARCH("Antitarnish",Upload!N259&amp;Upload!O259&amp;Upload!P259&amp;Upload!Q259)),ISNUMBER(SEARCH("Anti Tarnish",Upload!N259&amp;Upload!O259&amp;Upload!P259&amp;Upload!Q259))))),"",0.0012*N260)</f>
        <v/>
      </c>
      <c r="P260" s="16" t="str">
        <f>IF(OR(D260="",NOT(OR(ISNUMBER(SEARCH("Epóx",Upload!N259&amp;Upload!O259&amp;Upload!P259&amp;Upload!Q259)),ISNUMBER(SEARCH("Epox",Upload!N259&amp;Upload!O259&amp;Upload!P259&amp;Upload!Q259)),ISNUMBER(SEARCH("Barniz",Upload!N259&amp;Upload!O259&amp;Upload!P259&amp;Upload!Q259))))),"",D260*0.000035)</f>
        <v/>
      </c>
      <c r="Q260" s="16" t="str">
        <f>IF(OR(D260="",NOT(OR(ISNUMBER(SEARCH("Epóx",Upload!N259&amp;Upload!O259&amp;Upload!P259&amp;Upload!Q259)),ISNUMBER(SEARCH("Epox",Upload!N259&amp;Upload!O259&amp;Upload!P259&amp;Upload!Q259)),ISNUMBER(SEARCH("Barniz",Upload!N259&amp;Upload!O259&amp;Upload!P259&amp;Upload!Q259))))),"",D260*0.000035)</f>
        <v/>
      </c>
      <c r="R260" s="16" t="str">
        <f t="shared" si="27"/>
        <v/>
      </c>
    </row>
    <row r="261" spans="1:18" x14ac:dyDescent="0.2">
      <c r="A261" s="10" t="e">
        <f t="shared" ca="1" si="28"/>
        <v>#NAME?</v>
      </c>
      <c r="B261" s="10">
        <f>Upload!E260</f>
        <v>0</v>
      </c>
      <c r="C261" s="10">
        <f>Upload!AJ260</f>
        <v>0</v>
      </c>
      <c r="D261" s="10">
        <f>Upload!AK260</f>
        <v>0</v>
      </c>
      <c r="E261" s="10" t="str">
        <f>Upload!AF260</f>
        <v/>
      </c>
      <c r="F261" s="10" t="str">
        <f>Upload!AH260</f>
        <v/>
      </c>
      <c r="G261" s="10" t="str">
        <f>Upload!AE260</f>
        <v>(seleccione)</v>
      </c>
      <c r="H261" s="10" t="str">
        <f>Upload!AG260</f>
        <v>(seleccione)</v>
      </c>
      <c r="J261" s="16" t="str">
        <f t="shared" si="22"/>
        <v/>
      </c>
      <c r="K261" s="16" t="str">
        <f t="shared" si="23"/>
        <v/>
      </c>
      <c r="L261" s="16" t="str">
        <f t="shared" si="24"/>
        <v/>
      </c>
      <c r="M261" s="16" t="str">
        <f t="shared" si="25"/>
        <v/>
      </c>
      <c r="N261" s="16" t="str">
        <f t="shared" si="26"/>
        <v/>
      </c>
      <c r="O261" s="16" t="str">
        <f>IF(OR(N261="",NOT(OR(ISNUMBER(SEARCH("Antitarnish",Upload!N260&amp;Upload!O260&amp;Upload!P260&amp;Upload!Q260)),ISNUMBER(SEARCH("Anti Tarnish",Upload!N260&amp;Upload!O260&amp;Upload!P260&amp;Upload!Q260))))),"",0.0012*N261)</f>
        <v/>
      </c>
      <c r="P261" s="16" t="str">
        <f>IF(OR(D261="",NOT(OR(ISNUMBER(SEARCH("Epóx",Upload!N260&amp;Upload!O260&amp;Upload!P260&amp;Upload!Q260)),ISNUMBER(SEARCH("Epox",Upload!N260&amp;Upload!O260&amp;Upload!P260&amp;Upload!Q260)),ISNUMBER(SEARCH("Barniz",Upload!N260&amp;Upload!O260&amp;Upload!P260&amp;Upload!Q260))))),"",D261*0.000035)</f>
        <v/>
      </c>
      <c r="Q261" s="16" t="str">
        <f>IF(OR(D261="",NOT(OR(ISNUMBER(SEARCH("Epóx",Upload!N260&amp;Upload!O260&amp;Upload!P260&amp;Upload!Q260)),ISNUMBER(SEARCH("Epox",Upload!N260&amp;Upload!O260&amp;Upload!P260&amp;Upload!Q260)),ISNUMBER(SEARCH("Barniz",Upload!N260&amp;Upload!O260&amp;Upload!P260&amp;Upload!Q260))))),"",D261*0.000035)</f>
        <v/>
      </c>
      <c r="R261" s="16" t="str">
        <f t="shared" si="27"/>
        <v/>
      </c>
    </row>
    <row r="262" spans="1:18" x14ac:dyDescent="0.2">
      <c r="A262" s="10" t="e">
        <f t="shared" ca="1" si="28"/>
        <v>#NAME?</v>
      </c>
      <c r="B262" s="10">
        <f>Upload!E261</f>
        <v>0</v>
      </c>
      <c r="C262" s="10">
        <f>Upload!AJ261</f>
        <v>0</v>
      </c>
      <c r="D262" s="10">
        <f>Upload!AK261</f>
        <v>0</v>
      </c>
      <c r="E262" s="10" t="str">
        <f>Upload!AF261</f>
        <v/>
      </c>
      <c r="F262" s="10" t="str">
        <f>Upload!AH261</f>
        <v/>
      </c>
      <c r="G262" s="10" t="str">
        <f>Upload!AE261</f>
        <v>(seleccione)</v>
      </c>
      <c r="H262" s="10" t="str">
        <f>Upload!AG261</f>
        <v>(seleccione)</v>
      </c>
      <c r="J262" s="16" t="str">
        <f t="shared" ref="J262:J303" si="29">IFERROR(IF(OR(C262="",IF(ISNUMBER(SEARCH("Plata",G262)),E262,IF(ISNUMBER(SEARCH("Plata",H262)),F262,""))=""),"",$D$6*C262*(IF(ISNUMBER(SEARCH("Plata",G262)),E262,IF(ISNUMBER(SEARCH("Plata",H262)),F262,"")))/10000000),"")</f>
        <v/>
      </c>
      <c r="K262" s="16" t="str">
        <f t="shared" ref="K262:K303" si="30">IFERROR(IF(OR(C262="",IF(OR(ISNUMBER(SEARCH("Estaño",G262)),ISNUMBER(SEARCH("Estañ",G262)),ISNUMBER(SEARCH("Tin",G262))),E262,IF(OR(ISNUMBER(SEARCH("Estaño",H262)),ISNUMBER(SEARCH("Estañ",H262)),ISNUMBER(SEARCH("Tin",H262))),F262,""))=""),"",$D$7*C262*(IF(OR(ISNUMBER(SEARCH("Estaño",G262)),ISNUMBER(SEARCH("Estañ",G262)),ISNUMBER(SEARCH("Tin",G262))),E262,IF(OR(ISNUMBER(SEARCH("Estaño",H262)),ISNUMBER(SEARCH("Estañ",H262)),ISNUMBER(SEARCH("Tin",H262))),F262,"")))/10000000),"")</f>
        <v/>
      </c>
      <c r="L262" s="16" t="str">
        <f t="shared" ref="L262:L303" si="31">IFERROR(IF(OR(C262="",IF(OR(ISNUMBER(SEARCH("Níquel",G262)),ISNUMBER(SEARCH("Niquel",G262))),E262,IF(OR(ISNUMBER(SEARCH("Níquel",H262)),ISNUMBER(SEARCH("Niquel",H262))),F262,""))=""),"",$D$8*C262*(IF(OR(ISNUMBER(SEARCH("Níquel",G262)),ISNUMBER(SEARCH("Niquel",G262))),E262,IF(OR(ISNUMBER(SEARCH("Níquel",H262)),ISNUMBER(SEARCH("Niquel",H262))),F262,"")))/10000000),"")</f>
        <v/>
      </c>
      <c r="M262" s="16" t="str">
        <f t="shared" ref="M262:M303" si="32">IFERROR(IF(OR(C262="",IF(ISNUMBER(SEARCH("Zinc",G262)),E262,IF(ISNUMBER(SEARCH("Zinc",H262)),F262,""))=""),"",$D$9*C262*(IF(ISNUMBER(SEARCH("Zinc",G262)),E262,IF(ISNUMBER(SEARCH("Zinc",H262)),F262,"")))/10000000),"")</f>
        <v/>
      </c>
      <c r="N262" s="16" t="str">
        <f t="shared" ref="N262:N303" si="33">IFERROR(IF(OR(C262="",IF(OR(ISNUMBER(SEARCH("Cobre",G262)),ISNUMBER(SEARCH("Bondal",G262))),E262,IF(OR(ISNUMBER(SEARCH("Cobre",H262)),ISNUMBER(SEARCH("Bondal",H262))),F262,""))=""),"",$D$10*C262*(IF(OR(ISNUMBER(SEARCH("Cobre",G262)),ISNUMBER(SEARCH("Bondal",G262))),E262,IF(OR(ISNUMBER(SEARCH("Cobre",H262)),ISNUMBER(SEARCH("Bondal",H262))),F262,"")))/10000000),"")</f>
        <v/>
      </c>
      <c r="O262" s="16" t="str">
        <f>IF(OR(N262="",NOT(OR(ISNUMBER(SEARCH("Antitarnish",Upload!N261&amp;Upload!O261&amp;Upload!P261&amp;Upload!Q261)),ISNUMBER(SEARCH("Anti Tarnish",Upload!N261&amp;Upload!O261&amp;Upload!P261&amp;Upload!Q261))))),"",0.0012*N262)</f>
        <v/>
      </c>
      <c r="P262" s="16" t="str">
        <f>IF(OR(D262="",NOT(OR(ISNUMBER(SEARCH("Epóx",Upload!N261&amp;Upload!O261&amp;Upload!P261&amp;Upload!Q261)),ISNUMBER(SEARCH("Epox",Upload!N261&amp;Upload!O261&amp;Upload!P261&amp;Upload!Q261)),ISNUMBER(SEARCH("Barniz",Upload!N261&amp;Upload!O261&amp;Upload!P261&amp;Upload!Q261))))),"",D262*0.000035)</f>
        <v/>
      </c>
      <c r="Q262" s="16" t="str">
        <f>IF(OR(D262="",NOT(OR(ISNUMBER(SEARCH("Epóx",Upload!N261&amp;Upload!O261&amp;Upload!P261&amp;Upload!Q261)),ISNUMBER(SEARCH("Epox",Upload!N261&amp;Upload!O261&amp;Upload!P261&amp;Upload!Q261)),ISNUMBER(SEARCH("Barniz",Upload!N261&amp;Upload!O261&amp;Upload!P261&amp;Upload!Q261))))),"",D262*0.000035)</f>
        <v/>
      </c>
      <c r="R262" s="16" t="str">
        <f t="shared" ref="R262:R303" si="34">IF(P262="","",P262*1.07)</f>
        <v/>
      </c>
    </row>
    <row r="263" spans="1:18" x14ac:dyDescent="0.2">
      <c r="A263" s="10" t="e">
        <f t="shared" ca="1" si="28"/>
        <v>#NAME?</v>
      </c>
      <c r="B263" s="10">
        <f>Upload!E262</f>
        <v>0</v>
      </c>
      <c r="C263" s="10">
        <f>Upload!AJ262</f>
        <v>0</v>
      </c>
      <c r="D263" s="10">
        <f>Upload!AK262</f>
        <v>0</v>
      </c>
      <c r="E263" s="10" t="str">
        <f>Upload!AF262</f>
        <v/>
      </c>
      <c r="F263" s="10" t="str">
        <f>Upload!AH262</f>
        <v/>
      </c>
      <c r="G263" s="10" t="str">
        <f>Upload!AE262</f>
        <v>(seleccione)</v>
      </c>
      <c r="H263" s="10" t="str">
        <f>Upload!AG262</f>
        <v>(seleccione)</v>
      </c>
      <c r="J263" s="16" t="str">
        <f t="shared" si="29"/>
        <v/>
      </c>
      <c r="K263" s="16" t="str">
        <f t="shared" si="30"/>
        <v/>
      </c>
      <c r="L263" s="16" t="str">
        <f t="shared" si="31"/>
        <v/>
      </c>
      <c r="M263" s="16" t="str">
        <f t="shared" si="32"/>
        <v/>
      </c>
      <c r="N263" s="16" t="str">
        <f t="shared" si="33"/>
        <v/>
      </c>
      <c r="O263" s="16" t="str">
        <f>IF(OR(N263="",NOT(OR(ISNUMBER(SEARCH("Antitarnish",Upload!N262&amp;Upload!O262&amp;Upload!P262&amp;Upload!Q262)),ISNUMBER(SEARCH("Anti Tarnish",Upload!N262&amp;Upload!O262&amp;Upload!P262&amp;Upload!Q262))))),"",0.0012*N263)</f>
        <v/>
      </c>
      <c r="P263" s="16" t="str">
        <f>IF(OR(D263="",NOT(OR(ISNUMBER(SEARCH("Epóx",Upload!N262&amp;Upload!O262&amp;Upload!P262&amp;Upload!Q262)),ISNUMBER(SEARCH("Epox",Upload!N262&amp;Upload!O262&amp;Upload!P262&amp;Upload!Q262)),ISNUMBER(SEARCH("Barniz",Upload!N262&amp;Upload!O262&amp;Upload!P262&amp;Upload!Q262))))),"",D263*0.000035)</f>
        <v/>
      </c>
      <c r="Q263" s="16" t="str">
        <f>IF(OR(D263="",NOT(OR(ISNUMBER(SEARCH("Epóx",Upload!N262&amp;Upload!O262&amp;Upload!P262&amp;Upload!Q262)),ISNUMBER(SEARCH("Epox",Upload!N262&amp;Upload!O262&amp;Upload!P262&amp;Upload!Q262)),ISNUMBER(SEARCH("Barniz",Upload!N262&amp;Upload!O262&amp;Upload!P262&amp;Upload!Q262))))),"",D263*0.000035)</f>
        <v/>
      </c>
      <c r="R263" s="16" t="str">
        <f t="shared" si="34"/>
        <v/>
      </c>
    </row>
    <row r="264" spans="1:18" x14ac:dyDescent="0.2">
      <c r="A264" s="10" t="e">
        <f t="shared" ca="1" si="28"/>
        <v>#NAME?</v>
      </c>
      <c r="B264" s="10">
        <f>Upload!E263</f>
        <v>0</v>
      </c>
      <c r="C264" s="10">
        <f>Upload!AJ263</f>
        <v>0</v>
      </c>
      <c r="D264" s="10">
        <f>Upload!AK263</f>
        <v>0</v>
      </c>
      <c r="E264" s="10" t="str">
        <f>Upload!AF263</f>
        <v/>
      </c>
      <c r="F264" s="10" t="str">
        <f>Upload!AH263</f>
        <v/>
      </c>
      <c r="G264" s="10" t="str">
        <f>Upload!AE263</f>
        <v>(seleccione)</v>
      </c>
      <c r="H264" s="10" t="str">
        <f>Upload!AG263</f>
        <v>(seleccione)</v>
      </c>
      <c r="J264" s="16" t="str">
        <f t="shared" si="29"/>
        <v/>
      </c>
      <c r="K264" s="16" t="str">
        <f t="shared" si="30"/>
        <v/>
      </c>
      <c r="L264" s="16" t="str">
        <f t="shared" si="31"/>
        <v/>
      </c>
      <c r="M264" s="16" t="str">
        <f t="shared" si="32"/>
        <v/>
      </c>
      <c r="N264" s="16" t="str">
        <f t="shared" si="33"/>
        <v/>
      </c>
      <c r="O264" s="16" t="str">
        <f>IF(OR(N264="",NOT(OR(ISNUMBER(SEARCH("Antitarnish",Upload!N263&amp;Upload!O263&amp;Upload!P263&amp;Upload!Q263)),ISNUMBER(SEARCH("Anti Tarnish",Upload!N263&amp;Upload!O263&amp;Upload!P263&amp;Upload!Q263))))),"",0.0012*N264)</f>
        <v/>
      </c>
      <c r="P264" s="16" t="str">
        <f>IF(OR(D264="",NOT(OR(ISNUMBER(SEARCH("Epóx",Upload!N263&amp;Upload!O263&amp;Upload!P263&amp;Upload!Q263)),ISNUMBER(SEARCH("Epox",Upload!N263&amp;Upload!O263&amp;Upload!P263&amp;Upload!Q263)),ISNUMBER(SEARCH("Barniz",Upload!N263&amp;Upload!O263&amp;Upload!P263&amp;Upload!Q263))))),"",D264*0.000035)</f>
        <v/>
      </c>
      <c r="Q264" s="16" t="str">
        <f>IF(OR(D264="",NOT(OR(ISNUMBER(SEARCH("Epóx",Upload!N263&amp;Upload!O263&amp;Upload!P263&amp;Upload!Q263)),ISNUMBER(SEARCH("Epox",Upload!N263&amp;Upload!O263&amp;Upload!P263&amp;Upload!Q263)),ISNUMBER(SEARCH("Barniz",Upload!N263&amp;Upload!O263&amp;Upload!P263&amp;Upload!Q263))))),"",D264*0.000035)</f>
        <v/>
      </c>
      <c r="R264" s="16" t="str">
        <f t="shared" si="34"/>
        <v/>
      </c>
    </row>
    <row r="265" spans="1:18" x14ac:dyDescent="0.2">
      <c r="A265" s="10" t="e">
        <f t="shared" ca="1" si="28"/>
        <v>#NAME?</v>
      </c>
      <c r="B265" s="10">
        <f>Upload!E264</f>
        <v>0</v>
      </c>
      <c r="C265" s="10">
        <f>Upload!AJ264</f>
        <v>0</v>
      </c>
      <c r="D265" s="10">
        <f>Upload!AK264</f>
        <v>0</v>
      </c>
      <c r="E265" s="10" t="str">
        <f>Upload!AF264</f>
        <v/>
      </c>
      <c r="F265" s="10" t="str">
        <f>Upload!AH264</f>
        <v/>
      </c>
      <c r="G265" s="10" t="str">
        <f>Upload!AE264</f>
        <v>(seleccione)</v>
      </c>
      <c r="H265" s="10" t="str">
        <f>Upload!AG264</f>
        <v>(seleccione)</v>
      </c>
      <c r="J265" s="16" t="str">
        <f t="shared" si="29"/>
        <v/>
      </c>
      <c r="K265" s="16" t="str">
        <f t="shared" si="30"/>
        <v/>
      </c>
      <c r="L265" s="16" t="str">
        <f t="shared" si="31"/>
        <v/>
      </c>
      <c r="M265" s="16" t="str">
        <f t="shared" si="32"/>
        <v/>
      </c>
      <c r="N265" s="16" t="str">
        <f t="shared" si="33"/>
        <v/>
      </c>
      <c r="O265" s="16" t="str">
        <f>IF(OR(N265="",NOT(OR(ISNUMBER(SEARCH("Antitarnish",Upload!N264&amp;Upload!O264&amp;Upload!P264&amp;Upload!Q264)),ISNUMBER(SEARCH("Anti Tarnish",Upload!N264&amp;Upload!O264&amp;Upload!P264&amp;Upload!Q264))))),"",0.0012*N265)</f>
        <v/>
      </c>
      <c r="P265" s="16" t="str">
        <f>IF(OR(D265="",NOT(OR(ISNUMBER(SEARCH("Epóx",Upload!N264&amp;Upload!O264&amp;Upload!P264&amp;Upload!Q264)),ISNUMBER(SEARCH("Epox",Upload!N264&amp;Upload!O264&amp;Upload!P264&amp;Upload!Q264)),ISNUMBER(SEARCH("Barniz",Upload!N264&amp;Upload!O264&amp;Upload!P264&amp;Upload!Q264))))),"",D265*0.000035)</f>
        <v/>
      </c>
      <c r="Q265" s="16" t="str">
        <f>IF(OR(D265="",NOT(OR(ISNUMBER(SEARCH("Epóx",Upload!N264&amp;Upload!O264&amp;Upload!P264&amp;Upload!Q264)),ISNUMBER(SEARCH("Epox",Upload!N264&amp;Upload!O264&amp;Upload!P264&amp;Upload!Q264)),ISNUMBER(SEARCH("Barniz",Upload!N264&amp;Upload!O264&amp;Upload!P264&amp;Upload!Q264))))),"",D265*0.000035)</f>
        <v/>
      </c>
      <c r="R265" s="16" t="str">
        <f t="shared" si="34"/>
        <v/>
      </c>
    </row>
    <row r="266" spans="1:18" x14ac:dyDescent="0.2">
      <c r="A266" s="10" t="e">
        <f t="shared" ca="1" si="28"/>
        <v>#NAME?</v>
      </c>
      <c r="B266" s="10">
        <f>Upload!E265</f>
        <v>0</v>
      </c>
      <c r="C266" s="10">
        <f>Upload!AJ265</f>
        <v>0</v>
      </c>
      <c r="D266" s="10">
        <f>Upload!AK265</f>
        <v>0</v>
      </c>
      <c r="E266" s="10" t="str">
        <f>Upload!AF265</f>
        <v/>
      </c>
      <c r="F266" s="10" t="str">
        <f>Upload!AH265</f>
        <v/>
      </c>
      <c r="G266" s="10" t="str">
        <f>Upload!AE265</f>
        <v>(seleccione)</v>
      </c>
      <c r="H266" s="10" t="str">
        <f>Upload!AG265</f>
        <v>(seleccione)</v>
      </c>
      <c r="J266" s="16" t="str">
        <f t="shared" si="29"/>
        <v/>
      </c>
      <c r="K266" s="16" t="str">
        <f t="shared" si="30"/>
        <v/>
      </c>
      <c r="L266" s="16" t="str">
        <f t="shared" si="31"/>
        <v/>
      </c>
      <c r="M266" s="16" t="str">
        <f t="shared" si="32"/>
        <v/>
      </c>
      <c r="N266" s="16" t="str">
        <f t="shared" si="33"/>
        <v/>
      </c>
      <c r="O266" s="16" t="str">
        <f>IF(OR(N266="",NOT(OR(ISNUMBER(SEARCH("Antitarnish",Upload!N265&amp;Upload!O265&amp;Upload!P265&amp;Upload!Q265)),ISNUMBER(SEARCH("Anti Tarnish",Upload!N265&amp;Upload!O265&amp;Upload!P265&amp;Upload!Q265))))),"",0.0012*N266)</f>
        <v/>
      </c>
      <c r="P266" s="16" t="str">
        <f>IF(OR(D266="",NOT(OR(ISNUMBER(SEARCH("Epóx",Upload!N265&amp;Upload!O265&amp;Upload!P265&amp;Upload!Q265)),ISNUMBER(SEARCH("Epox",Upload!N265&amp;Upload!O265&amp;Upload!P265&amp;Upload!Q265)),ISNUMBER(SEARCH("Barniz",Upload!N265&amp;Upload!O265&amp;Upload!P265&amp;Upload!Q265))))),"",D266*0.000035)</f>
        <v/>
      </c>
      <c r="Q266" s="16" t="str">
        <f>IF(OR(D266="",NOT(OR(ISNUMBER(SEARCH("Epóx",Upload!N265&amp;Upload!O265&amp;Upload!P265&amp;Upload!Q265)),ISNUMBER(SEARCH("Epox",Upload!N265&amp;Upload!O265&amp;Upload!P265&amp;Upload!Q265)),ISNUMBER(SEARCH("Barniz",Upload!N265&amp;Upload!O265&amp;Upload!P265&amp;Upload!Q265))))),"",D266*0.000035)</f>
        <v/>
      </c>
      <c r="R266" s="16" t="str">
        <f t="shared" si="34"/>
        <v/>
      </c>
    </row>
    <row r="267" spans="1:18" x14ac:dyDescent="0.2">
      <c r="A267" s="10" t="e">
        <f t="shared" ca="1" si="28"/>
        <v>#NAME?</v>
      </c>
      <c r="B267" s="10">
        <f>Upload!E266</f>
        <v>0</v>
      </c>
      <c r="C267" s="10">
        <f>Upload!AJ266</f>
        <v>0</v>
      </c>
      <c r="D267" s="10">
        <f>Upload!AK266</f>
        <v>0</v>
      </c>
      <c r="E267" s="10" t="str">
        <f>Upload!AF266</f>
        <v/>
      </c>
      <c r="F267" s="10" t="str">
        <f>Upload!AH266</f>
        <v/>
      </c>
      <c r="G267" s="10" t="str">
        <f>Upload!AE266</f>
        <v>(seleccione)</v>
      </c>
      <c r="H267" s="10" t="str">
        <f>Upload!AG266</f>
        <v>(seleccione)</v>
      </c>
      <c r="J267" s="16" t="str">
        <f t="shared" si="29"/>
        <v/>
      </c>
      <c r="K267" s="16" t="str">
        <f t="shared" si="30"/>
        <v/>
      </c>
      <c r="L267" s="16" t="str">
        <f t="shared" si="31"/>
        <v/>
      </c>
      <c r="M267" s="16" t="str">
        <f t="shared" si="32"/>
        <v/>
      </c>
      <c r="N267" s="16" t="str">
        <f t="shared" si="33"/>
        <v/>
      </c>
      <c r="O267" s="16" t="str">
        <f>IF(OR(N267="",NOT(OR(ISNUMBER(SEARCH("Antitarnish",Upload!N266&amp;Upload!O266&amp;Upload!P266&amp;Upload!Q266)),ISNUMBER(SEARCH("Anti Tarnish",Upload!N266&amp;Upload!O266&amp;Upload!P266&amp;Upload!Q266))))),"",0.0012*N267)</f>
        <v/>
      </c>
      <c r="P267" s="16" t="str">
        <f>IF(OR(D267="",NOT(OR(ISNUMBER(SEARCH("Epóx",Upload!N266&amp;Upload!O266&amp;Upload!P266&amp;Upload!Q266)),ISNUMBER(SEARCH("Epox",Upload!N266&amp;Upload!O266&amp;Upload!P266&amp;Upload!Q266)),ISNUMBER(SEARCH("Barniz",Upload!N266&amp;Upload!O266&amp;Upload!P266&amp;Upload!Q266))))),"",D267*0.000035)</f>
        <v/>
      </c>
      <c r="Q267" s="16" t="str">
        <f>IF(OR(D267="",NOT(OR(ISNUMBER(SEARCH("Epóx",Upload!N266&amp;Upload!O266&amp;Upload!P266&amp;Upload!Q266)),ISNUMBER(SEARCH("Epox",Upload!N266&amp;Upload!O266&amp;Upload!P266&amp;Upload!Q266)),ISNUMBER(SEARCH("Barniz",Upload!N266&amp;Upload!O266&amp;Upload!P266&amp;Upload!Q266))))),"",D267*0.000035)</f>
        <v/>
      </c>
      <c r="R267" s="16" t="str">
        <f t="shared" si="34"/>
        <v/>
      </c>
    </row>
    <row r="268" spans="1:18" x14ac:dyDescent="0.2">
      <c r="A268" s="10" t="e">
        <f t="shared" ca="1" si="28"/>
        <v>#NAME?</v>
      </c>
      <c r="B268" s="10">
        <f>Upload!E267</f>
        <v>0</v>
      </c>
      <c r="C268" s="10">
        <f>Upload!AJ267</f>
        <v>0</v>
      </c>
      <c r="D268" s="10">
        <f>Upload!AK267</f>
        <v>0</v>
      </c>
      <c r="E268" s="10" t="str">
        <f>Upload!AF267</f>
        <v/>
      </c>
      <c r="F268" s="10" t="str">
        <f>Upload!AH267</f>
        <v/>
      </c>
      <c r="G268" s="10" t="str">
        <f>Upload!AE267</f>
        <v>(seleccione)</v>
      </c>
      <c r="H268" s="10" t="str">
        <f>Upload!AG267</f>
        <v>(seleccione)</v>
      </c>
      <c r="J268" s="16" t="str">
        <f t="shared" si="29"/>
        <v/>
      </c>
      <c r="K268" s="16" t="str">
        <f t="shared" si="30"/>
        <v/>
      </c>
      <c r="L268" s="16" t="str">
        <f t="shared" si="31"/>
        <v/>
      </c>
      <c r="M268" s="16" t="str">
        <f t="shared" si="32"/>
        <v/>
      </c>
      <c r="N268" s="16" t="str">
        <f t="shared" si="33"/>
        <v/>
      </c>
      <c r="O268" s="16" t="str">
        <f>IF(OR(N268="",NOT(OR(ISNUMBER(SEARCH("Antitarnish",Upload!N267&amp;Upload!O267&amp;Upload!P267&amp;Upload!Q267)),ISNUMBER(SEARCH("Anti Tarnish",Upload!N267&amp;Upload!O267&amp;Upload!P267&amp;Upload!Q267))))),"",0.0012*N268)</f>
        <v/>
      </c>
      <c r="P268" s="16" t="str">
        <f>IF(OR(D268="",NOT(OR(ISNUMBER(SEARCH("Epóx",Upload!N267&amp;Upload!O267&amp;Upload!P267&amp;Upload!Q267)),ISNUMBER(SEARCH("Epox",Upload!N267&amp;Upload!O267&amp;Upload!P267&amp;Upload!Q267)),ISNUMBER(SEARCH("Barniz",Upload!N267&amp;Upload!O267&amp;Upload!P267&amp;Upload!Q267))))),"",D268*0.000035)</f>
        <v/>
      </c>
      <c r="Q268" s="16" t="str">
        <f>IF(OR(D268="",NOT(OR(ISNUMBER(SEARCH("Epóx",Upload!N267&amp;Upload!O267&amp;Upload!P267&amp;Upload!Q267)),ISNUMBER(SEARCH("Epox",Upload!N267&amp;Upload!O267&amp;Upload!P267&amp;Upload!Q267)),ISNUMBER(SEARCH("Barniz",Upload!N267&amp;Upload!O267&amp;Upload!P267&amp;Upload!Q267))))),"",D268*0.000035)</f>
        <v/>
      </c>
      <c r="R268" s="16" t="str">
        <f t="shared" si="34"/>
        <v/>
      </c>
    </row>
    <row r="269" spans="1:18" x14ac:dyDescent="0.2">
      <c r="A269" s="10" t="e">
        <f t="shared" ca="1" si="28"/>
        <v>#NAME?</v>
      </c>
      <c r="B269" s="10">
        <f>Upload!E268</f>
        <v>0</v>
      </c>
      <c r="C269" s="10">
        <f>Upload!AJ268</f>
        <v>0</v>
      </c>
      <c r="D269" s="10">
        <f>Upload!AK268</f>
        <v>0</v>
      </c>
      <c r="E269" s="10" t="str">
        <f>Upload!AF268</f>
        <v/>
      </c>
      <c r="F269" s="10" t="str">
        <f>Upload!AH268</f>
        <v/>
      </c>
      <c r="G269" s="10" t="str">
        <f>Upload!AE268</f>
        <v>(seleccione)</v>
      </c>
      <c r="H269" s="10" t="str">
        <f>Upload!AG268</f>
        <v>(seleccione)</v>
      </c>
      <c r="J269" s="16" t="str">
        <f t="shared" si="29"/>
        <v/>
      </c>
      <c r="K269" s="16" t="str">
        <f t="shared" si="30"/>
        <v/>
      </c>
      <c r="L269" s="16" t="str">
        <f t="shared" si="31"/>
        <v/>
      </c>
      <c r="M269" s="16" t="str">
        <f t="shared" si="32"/>
        <v/>
      </c>
      <c r="N269" s="16" t="str">
        <f t="shared" si="33"/>
        <v/>
      </c>
      <c r="O269" s="16" t="str">
        <f>IF(OR(N269="",NOT(OR(ISNUMBER(SEARCH("Antitarnish",Upload!N268&amp;Upload!O268&amp;Upload!P268&amp;Upload!Q268)),ISNUMBER(SEARCH("Anti Tarnish",Upload!N268&amp;Upload!O268&amp;Upload!P268&amp;Upload!Q268))))),"",0.0012*N269)</f>
        <v/>
      </c>
      <c r="P269" s="16" t="str">
        <f>IF(OR(D269="",NOT(OR(ISNUMBER(SEARCH("Epóx",Upload!N268&amp;Upload!O268&amp;Upload!P268&amp;Upload!Q268)),ISNUMBER(SEARCH("Epox",Upload!N268&amp;Upload!O268&amp;Upload!P268&amp;Upload!Q268)),ISNUMBER(SEARCH("Barniz",Upload!N268&amp;Upload!O268&amp;Upload!P268&amp;Upload!Q268))))),"",D269*0.000035)</f>
        <v/>
      </c>
      <c r="Q269" s="16" t="str">
        <f>IF(OR(D269="",NOT(OR(ISNUMBER(SEARCH("Epóx",Upload!N268&amp;Upload!O268&amp;Upload!P268&amp;Upload!Q268)),ISNUMBER(SEARCH("Epox",Upload!N268&amp;Upload!O268&amp;Upload!P268&amp;Upload!Q268)),ISNUMBER(SEARCH("Barniz",Upload!N268&amp;Upload!O268&amp;Upload!P268&amp;Upload!Q268))))),"",D269*0.000035)</f>
        <v/>
      </c>
      <c r="R269" s="16" t="str">
        <f t="shared" si="34"/>
        <v/>
      </c>
    </row>
    <row r="270" spans="1:18" x14ac:dyDescent="0.2">
      <c r="A270" s="10" t="e">
        <f t="shared" ca="1" si="28"/>
        <v>#NAME?</v>
      </c>
      <c r="B270" s="10">
        <f>Upload!E269</f>
        <v>0</v>
      </c>
      <c r="C270" s="10">
        <f>Upload!AJ269</f>
        <v>0</v>
      </c>
      <c r="D270" s="10">
        <f>Upload!AK269</f>
        <v>0</v>
      </c>
      <c r="E270" s="10" t="str">
        <f>Upload!AF269</f>
        <v/>
      </c>
      <c r="F270" s="10" t="str">
        <f>Upload!AH269</f>
        <v/>
      </c>
      <c r="G270" s="10" t="str">
        <f>Upload!AE269</f>
        <v>(seleccione)</v>
      </c>
      <c r="H270" s="10" t="str">
        <f>Upload!AG269</f>
        <v>(seleccione)</v>
      </c>
      <c r="J270" s="16" t="str">
        <f t="shared" si="29"/>
        <v/>
      </c>
      <c r="K270" s="16" t="str">
        <f t="shared" si="30"/>
        <v/>
      </c>
      <c r="L270" s="16" t="str">
        <f t="shared" si="31"/>
        <v/>
      </c>
      <c r="M270" s="16" t="str">
        <f t="shared" si="32"/>
        <v/>
      </c>
      <c r="N270" s="16" t="str">
        <f t="shared" si="33"/>
        <v/>
      </c>
      <c r="O270" s="16" t="str">
        <f>IF(OR(N270="",NOT(OR(ISNUMBER(SEARCH("Antitarnish",Upload!N269&amp;Upload!O269&amp;Upload!P269&amp;Upload!Q269)),ISNUMBER(SEARCH("Anti Tarnish",Upload!N269&amp;Upload!O269&amp;Upload!P269&amp;Upload!Q269))))),"",0.0012*N270)</f>
        <v/>
      </c>
      <c r="P270" s="16" t="str">
        <f>IF(OR(D270="",NOT(OR(ISNUMBER(SEARCH("Epóx",Upload!N269&amp;Upload!O269&amp;Upload!P269&amp;Upload!Q269)),ISNUMBER(SEARCH("Epox",Upload!N269&amp;Upload!O269&amp;Upload!P269&amp;Upload!Q269)),ISNUMBER(SEARCH("Barniz",Upload!N269&amp;Upload!O269&amp;Upload!P269&amp;Upload!Q269))))),"",D270*0.000035)</f>
        <v/>
      </c>
      <c r="Q270" s="16" t="str">
        <f>IF(OR(D270="",NOT(OR(ISNUMBER(SEARCH("Epóx",Upload!N269&amp;Upload!O269&amp;Upload!P269&amp;Upload!Q269)),ISNUMBER(SEARCH("Epox",Upload!N269&amp;Upload!O269&amp;Upload!P269&amp;Upload!Q269)),ISNUMBER(SEARCH("Barniz",Upload!N269&amp;Upload!O269&amp;Upload!P269&amp;Upload!Q269))))),"",D270*0.000035)</f>
        <v/>
      </c>
      <c r="R270" s="16" t="str">
        <f t="shared" si="34"/>
        <v/>
      </c>
    </row>
    <row r="271" spans="1:18" x14ac:dyDescent="0.2">
      <c r="A271" s="10" t="e">
        <f t="shared" ca="1" si="28"/>
        <v>#NAME?</v>
      </c>
      <c r="B271" s="10">
        <f>Upload!E270</f>
        <v>0</v>
      </c>
      <c r="C271" s="10">
        <f>Upload!AJ270</f>
        <v>0</v>
      </c>
      <c r="D271" s="10">
        <f>Upload!AK270</f>
        <v>0</v>
      </c>
      <c r="E271" s="10" t="str">
        <f>Upload!AF270</f>
        <v/>
      </c>
      <c r="F271" s="10" t="str">
        <f>Upload!AH270</f>
        <v/>
      </c>
      <c r="G271" s="10" t="str">
        <f>Upload!AE270</f>
        <v>(seleccione)</v>
      </c>
      <c r="H271" s="10" t="str">
        <f>Upload!AG270</f>
        <v>(seleccione)</v>
      </c>
      <c r="J271" s="16" t="str">
        <f t="shared" si="29"/>
        <v/>
      </c>
      <c r="K271" s="16" t="str">
        <f t="shared" si="30"/>
        <v/>
      </c>
      <c r="L271" s="16" t="str">
        <f t="shared" si="31"/>
        <v/>
      </c>
      <c r="M271" s="16" t="str">
        <f t="shared" si="32"/>
        <v/>
      </c>
      <c r="N271" s="16" t="str">
        <f t="shared" si="33"/>
        <v/>
      </c>
      <c r="O271" s="16" t="str">
        <f>IF(OR(N271="",NOT(OR(ISNUMBER(SEARCH("Antitarnish",Upload!N270&amp;Upload!O270&amp;Upload!P270&amp;Upload!Q270)),ISNUMBER(SEARCH("Anti Tarnish",Upload!N270&amp;Upload!O270&amp;Upload!P270&amp;Upload!Q270))))),"",0.0012*N271)</f>
        <v/>
      </c>
      <c r="P271" s="16" t="str">
        <f>IF(OR(D271="",NOT(OR(ISNUMBER(SEARCH("Epóx",Upload!N270&amp;Upload!O270&amp;Upload!P270&amp;Upload!Q270)),ISNUMBER(SEARCH("Epox",Upload!N270&amp;Upload!O270&amp;Upload!P270&amp;Upload!Q270)),ISNUMBER(SEARCH("Barniz",Upload!N270&amp;Upload!O270&amp;Upload!P270&amp;Upload!Q270))))),"",D271*0.000035)</f>
        <v/>
      </c>
      <c r="Q271" s="16" t="str">
        <f>IF(OR(D271="",NOT(OR(ISNUMBER(SEARCH("Epóx",Upload!N270&amp;Upload!O270&amp;Upload!P270&amp;Upload!Q270)),ISNUMBER(SEARCH("Epox",Upload!N270&amp;Upload!O270&amp;Upload!P270&amp;Upload!Q270)),ISNUMBER(SEARCH("Barniz",Upload!N270&amp;Upload!O270&amp;Upload!P270&amp;Upload!Q270))))),"",D271*0.000035)</f>
        <v/>
      </c>
      <c r="R271" s="16" t="str">
        <f t="shared" si="34"/>
        <v/>
      </c>
    </row>
    <row r="272" spans="1:18" x14ac:dyDescent="0.2">
      <c r="A272" s="10" t="e">
        <f t="shared" ca="1" si="28"/>
        <v>#NAME?</v>
      </c>
      <c r="B272" s="10">
        <f>Upload!E271</f>
        <v>0</v>
      </c>
      <c r="C272" s="10">
        <f>Upload!AJ271</f>
        <v>0</v>
      </c>
      <c r="D272" s="10">
        <f>Upload!AK271</f>
        <v>0</v>
      </c>
      <c r="E272" s="10" t="str">
        <f>Upload!AF271</f>
        <v/>
      </c>
      <c r="F272" s="10" t="str">
        <f>Upload!AH271</f>
        <v/>
      </c>
      <c r="G272" s="10" t="str">
        <f>Upload!AE271</f>
        <v>(seleccione)</v>
      </c>
      <c r="H272" s="10" t="str">
        <f>Upload!AG271</f>
        <v>(seleccione)</v>
      </c>
      <c r="J272" s="16" t="str">
        <f t="shared" si="29"/>
        <v/>
      </c>
      <c r="K272" s="16" t="str">
        <f t="shared" si="30"/>
        <v/>
      </c>
      <c r="L272" s="16" t="str">
        <f t="shared" si="31"/>
        <v/>
      </c>
      <c r="M272" s="16" t="str">
        <f t="shared" si="32"/>
        <v/>
      </c>
      <c r="N272" s="16" t="str">
        <f t="shared" si="33"/>
        <v/>
      </c>
      <c r="O272" s="16" t="str">
        <f>IF(OR(N272="",NOT(OR(ISNUMBER(SEARCH("Antitarnish",Upload!N271&amp;Upload!O271&amp;Upload!P271&amp;Upload!Q271)),ISNUMBER(SEARCH("Anti Tarnish",Upload!N271&amp;Upload!O271&amp;Upload!P271&amp;Upload!Q271))))),"",0.0012*N272)</f>
        <v/>
      </c>
      <c r="P272" s="16" t="str">
        <f>IF(OR(D272="",NOT(OR(ISNUMBER(SEARCH("Epóx",Upload!N271&amp;Upload!O271&amp;Upload!P271&amp;Upload!Q271)),ISNUMBER(SEARCH("Epox",Upload!N271&amp;Upload!O271&amp;Upload!P271&amp;Upload!Q271)),ISNUMBER(SEARCH("Barniz",Upload!N271&amp;Upload!O271&amp;Upload!P271&amp;Upload!Q271))))),"",D272*0.000035)</f>
        <v/>
      </c>
      <c r="Q272" s="16" t="str">
        <f>IF(OR(D272="",NOT(OR(ISNUMBER(SEARCH("Epóx",Upload!N271&amp;Upload!O271&amp;Upload!P271&amp;Upload!Q271)),ISNUMBER(SEARCH("Epox",Upload!N271&amp;Upload!O271&amp;Upload!P271&amp;Upload!Q271)),ISNUMBER(SEARCH("Barniz",Upload!N271&amp;Upload!O271&amp;Upload!P271&amp;Upload!Q271))))),"",D272*0.000035)</f>
        <v/>
      </c>
      <c r="R272" s="16" t="str">
        <f t="shared" si="34"/>
        <v/>
      </c>
    </row>
    <row r="273" spans="1:18" x14ac:dyDescent="0.2">
      <c r="A273" s="10" t="e">
        <f t="shared" ca="1" si="28"/>
        <v>#NAME?</v>
      </c>
      <c r="B273" s="10">
        <f>Upload!E272</f>
        <v>0</v>
      </c>
      <c r="C273" s="10">
        <f>Upload!AJ272</f>
        <v>0</v>
      </c>
      <c r="D273" s="10">
        <f>Upload!AK272</f>
        <v>0</v>
      </c>
      <c r="E273" s="10" t="str">
        <f>Upload!AF272</f>
        <v/>
      </c>
      <c r="F273" s="10" t="str">
        <f>Upload!AH272</f>
        <v/>
      </c>
      <c r="G273" s="10" t="str">
        <f>Upload!AE272</f>
        <v>(seleccione)</v>
      </c>
      <c r="H273" s="10" t="str">
        <f>Upload!AG272</f>
        <v>(seleccione)</v>
      </c>
      <c r="J273" s="16" t="str">
        <f t="shared" si="29"/>
        <v/>
      </c>
      <c r="K273" s="16" t="str">
        <f t="shared" si="30"/>
        <v/>
      </c>
      <c r="L273" s="16" t="str">
        <f t="shared" si="31"/>
        <v/>
      </c>
      <c r="M273" s="16" t="str">
        <f t="shared" si="32"/>
        <v/>
      </c>
      <c r="N273" s="16" t="str">
        <f t="shared" si="33"/>
        <v/>
      </c>
      <c r="O273" s="16" t="str">
        <f>IF(OR(N273="",NOT(OR(ISNUMBER(SEARCH("Antitarnish",Upload!N272&amp;Upload!O272&amp;Upload!P272&amp;Upload!Q272)),ISNUMBER(SEARCH("Anti Tarnish",Upload!N272&amp;Upload!O272&amp;Upload!P272&amp;Upload!Q272))))),"",0.0012*N273)</f>
        <v/>
      </c>
      <c r="P273" s="16" t="str">
        <f>IF(OR(D273="",NOT(OR(ISNUMBER(SEARCH("Epóx",Upload!N272&amp;Upload!O272&amp;Upload!P272&amp;Upload!Q272)),ISNUMBER(SEARCH("Epox",Upload!N272&amp;Upload!O272&amp;Upload!P272&amp;Upload!Q272)),ISNUMBER(SEARCH("Barniz",Upload!N272&amp;Upload!O272&amp;Upload!P272&amp;Upload!Q272))))),"",D273*0.000035)</f>
        <v/>
      </c>
      <c r="Q273" s="16" t="str">
        <f>IF(OR(D273="",NOT(OR(ISNUMBER(SEARCH("Epóx",Upload!N272&amp;Upload!O272&amp;Upload!P272&amp;Upload!Q272)),ISNUMBER(SEARCH("Epox",Upload!N272&amp;Upload!O272&amp;Upload!P272&amp;Upload!Q272)),ISNUMBER(SEARCH("Barniz",Upload!N272&amp;Upload!O272&amp;Upload!P272&amp;Upload!Q272))))),"",D273*0.000035)</f>
        <v/>
      </c>
      <c r="R273" s="16" t="str">
        <f t="shared" si="34"/>
        <v/>
      </c>
    </row>
    <row r="274" spans="1:18" x14ac:dyDescent="0.2">
      <c r="A274" s="10" t="e">
        <f t="shared" ca="1" si="28"/>
        <v>#NAME?</v>
      </c>
      <c r="B274" s="10">
        <f>Upload!E273</f>
        <v>0</v>
      </c>
      <c r="C274" s="10">
        <f>Upload!AJ273</f>
        <v>0</v>
      </c>
      <c r="D274" s="10">
        <f>Upload!AK273</f>
        <v>0</v>
      </c>
      <c r="E274" s="10" t="str">
        <f>Upload!AF273</f>
        <v/>
      </c>
      <c r="F274" s="10" t="str">
        <f>Upload!AH273</f>
        <v/>
      </c>
      <c r="G274" s="10" t="str">
        <f>Upload!AE273</f>
        <v>(seleccione)</v>
      </c>
      <c r="H274" s="10" t="str">
        <f>Upload!AG273</f>
        <v>(seleccione)</v>
      </c>
      <c r="J274" s="16" t="str">
        <f t="shared" si="29"/>
        <v/>
      </c>
      <c r="K274" s="16" t="str">
        <f t="shared" si="30"/>
        <v/>
      </c>
      <c r="L274" s="16" t="str">
        <f t="shared" si="31"/>
        <v/>
      </c>
      <c r="M274" s="16" t="str">
        <f t="shared" si="32"/>
        <v/>
      </c>
      <c r="N274" s="16" t="str">
        <f t="shared" si="33"/>
        <v/>
      </c>
      <c r="O274" s="16" t="str">
        <f>IF(OR(N274="",NOT(OR(ISNUMBER(SEARCH("Antitarnish",Upload!N273&amp;Upload!O273&amp;Upload!P273&amp;Upload!Q273)),ISNUMBER(SEARCH("Anti Tarnish",Upload!N273&amp;Upload!O273&amp;Upload!P273&amp;Upload!Q273))))),"",0.0012*N274)</f>
        <v/>
      </c>
      <c r="P274" s="16" t="str">
        <f>IF(OR(D274="",NOT(OR(ISNUMBER(SEARCH("Epóx",Upload!N273&amp;Upload!O273&amp;Upload!P273&amp;Upload!Q273)),ISNUMBER(SEARCH("Epox",Upload!N273&amp;Upload!O273&amp;Upload!P273&amp;Upload!Q273)),ISNUMBER(SEARCH("Barniz",Upload!N273&amp;Upload!O273&amp;Upload!P273&amp;Upload!Q273))))),"",D274*0.000035)</f>
        <v/>
      </c>
      <c r="Q274" s="16" t="str">
        <f>IF(OR(D274="",NOT(OR(ISNUMBER(SEARCH("Epóx",Upload!N273&amp;Upload!O273&amp;Upload!P273&amp;Upload!Q273)),ISNUMBER(SEARCH("Epox",Upload!N273&amp;Upload!O273&amp;Upload!P273&amp;Upload!Q273)),ISNUMBER(SEARCH("Barniz",Upload!N273&amp;Upload!O273&amp;Upload!P273&amp;Upload!Q273))))),"",D274*0.000035)</f>
        <v/>
      </c>
      <c r="R274" s="16" t="str">
        <f t="shared" si="34"/>
        <v/>
      </c>
    </row>
    <row r="275" spans="1:18" x14ac:dyDescent="0.2">
      <c r="A275" s="10" t="e">
        <f t="shared" ca="1" si="28"/>
        <v>#NAME?</v>
      </c>
      <c r="B275" s="10">
        <f>Upload!E274</f>
        <v>0</v>
      </c>
      <c r="C275" s="10">
        <f>Upload!AJ274</f>
        <v>0</v>
      </c>
      <c r="D275" s="10">
        <f>Upload!AK274</f>
        <v>0</v>
      </c>
      <c r="E275" s="10" t="str">
        <f>Upload!AF274</f>
        <v/>
      </c>
      <c r="F275" s="10" t="str">
        <f>Upload!AH274</f>
        <v/>
      </c>
      <c r="G275" s="10" t="str">
        <f>Upload!AE274</f>
        <v>(seleccione)</v>
      </c>
      <c r="H275" s="10" t="str">
        <f>Upload!AG274</f>
        <v>(seleccione)</v>
      </c>
      <c r="J275" s="16" t="str">
        <f t="shared" si="29"/>
        <v/>
      </c>
      <c r="K275" s="16" t="str">
        <f t="shared" si="30"/>
        <v/>
      </c>
      <c r="L275" s="16" t="str">
        <f t="shared" si="31"/>
        <v/>
      </c>
      <c r="M275" s="16" t="str">
        <f t="shared" si="32"/>
        <v/>
      </c>
      <c r="N275" s="16" t="str">
        <f t="shared" si="33"/>
        <v/>
      </c>
      <c r="O275" s="16" t="str">
        <f>IF(OR(N275="",NOT(OR(ISNUMBER(SEARCH("Antitarnish",Upload!N274&amp;Upload!O274&amp;Upload!P274&amp;Upload!Q274)),ISNUMBER(SEARCH("Anti Tarnish",Upload!N274&amp;Upload!O274&amp;Upload!P274&amp;Upload!Q274))))),"",0.0012*N275)</f>
        <v/>
      </c>
      <c r="P275" s="16" t="str">
        <f>IF(OR(D275="",NOT(OR(ISNUMBER(SEARCH("Epóx",Upload!N274&amp;Upload!O274&amp;Upload!P274&amp;Upload!Q274)),ISNUMBER(SEARCH("Epox",Upload!N274&amp;Upload!O274&amp;Upload!P274&amp;Upload!Q274)),ISNUMBER(SEARCH("Barniz",Upload!N274&amp;Upload!O274&amp;Upload!P274&amp;Upload!Q274))))),"",D275*0.000035)</f>
        <v/>
      </c>
      <c r="Q275" s="16" t="str">
        <f>IF(OR(D275="",NOT(OR(ISNUMBER(SEARCH("Epóx",Upload!N274&amp;Upload!O274&amp;Upload!P274&amp;Upload!Q274)),ISNUMBER(SEARCH("Epox",Upload!N274&amp;Upload!O274&amp;Upload!P274&amp;Upload!Q274)),ISNUMBER(SEARCH("Barniz",Upload!N274&amp;Upload!O274&amp;Upload!P274&amp;Upload!Q274))))),"",D275*0.000035)</f>
        <v/>
      </c>
      <c r="R275" s="16" t="str">
        <f t="shared" si="34"/>
        <v/>
      </c>
    </row>
    <row r="276" spans="1:18" x14ac:dyDescent="0.2">
      <c r="A276" s="10" t="e">
        <f t="shared" ca="1" si="28"/>
        <v>#NAME?</v>
      </c>
      <c r="B276" s="10">
        <f>Upload!E275</f>
        <v>0</v>
      </c>
      <c r="C276" s="10">
        <f>Upload!AJ275</f>
        <v>0</v>
      </c>
      <c r="D276" s="10">
        <f>Upload!AK275</f>
        <v>0</v>
      </c>
      <c r="E276" s="10" t="str">
        <f>Upload!AF275</f>
        <v/>
      </c>
      <c r="F276" s="10" t="str">
        <f>Upload!AH275</f>
        <v/>
      </c>
      <c r="G276" s="10" t="str">
        <f>Upload!AE275</f>
        <v>(seleccione)</v>
      </c>
      <c r="H276" s="10" t="str">
        <f>Upload!AG275</f>
        <v>(seleccione)</v>
      </c>
      <c r="J276" s="16" t="str">
        <f t="shared" si="29"/>
        <v/>
      </c>
      <c r="K276" s="16" t="str">
        <f t="shared" si="30"/>
        <v/>
      </c>
      <c r="L276" s="16" t="str">
        <f t="shared" si="31"/>
        <v/>
      </c>
      <c r="M276" s="16" t="str">
        <f t="shared" si="32"/>
        <v/>
      </c>
      <c r="N276" s="16" t="str">
        <f t="shared" si="33"/>
        <v/>
      </c>
      <c r="O276" s="16" t="str">
        <f>IF(OR(N276="",NOT(OR(ISNUMBER(SEARCH("Antitarnish",Upload!N275&amp;Upload!O275&amp;Upload!P275&amp;Upload!Q275)),ISNUMBER(SEARCH("Anti Tarnish",Upload!N275&amp;Upload!O275&amp;Upload!P275&amp;Upload!Q275))))),"",0.0012*N276)</f>
        <v/>
      </c>
      <c r="P276" s="16" t="str">
        <f>IF(OR(D276="",NOT(OR(ISNUMBER(SEARCH("Epóx",Upload!N275&amp;Upload!O275&amp;Upload!P275&amp;Upload!Q275)),ISNUMBER(SEARCH("Epox",Upload!N275&amp;Upload!O275&amp;Upload!P275&amp;Upload!Q275)),ISNUMBER(SEARCH("Barniz",Upload!N275&amp;Upload!O275&amp;Upload!P275&amp;Upload!Q275))))),"",D276*0.000035)</f>
        <v/>
      </c>
      <c r="Q276" s="16" t="str">
        <f>IF(OR(D276="",NOT(OR(ISNUMBER(SEARCH("Epóx",Upload!N275&amp;Upload!O275&amp;Upload!P275&amp;Upload!Q275)),ISNUMBER(SEARCH("Epox",Upload!N275&amp;Upload!O275&amp;Upload!P275&amp;Upload!Q275)),ISNUMBER(SEARCH("Barniz",Upload!N275&amp;Upload!O275&amp;Upload!P275&amp;Upload!Q275))))),"",D276*0.000035)</f>
        <v/>
      </c>
      <c r="R276" s="16" t="str">
        <f t="shared" si="34"/>
        <v/>
      </c>
    </row>
    <row r="277" spans="1:18" x14ac:dyDescent="0.2">
      <c r="A277" s="10" t="e">
        <f t="shared" ca="1" si="28"/>
        <v>#NAME?</v>
      </c>
      <c r="B277" s="10">
        <f>Upload!E276</f>
        <v>0</v>
      </c>
      <c r="C277" s="10">
        <f>Upload!AJ276</f>
        <v>0</v>
      </c>
      <c r="D277" s="10">
        <f>Upload!AK276</f>
        <v>0</v>
      </c>
      <c r="E277" s="10" t="str">
        <f>Upload!AF276</f>
        <v/>
      </c>
      <c r="F277" s="10" t="str">
        <f>Upload!AH276</f>
        <v/>
      </c>
      <c r="G277" s="10" t="str">
        <f>Upload!AE276</f>
        <v>(seleccione)</v>
      </c>
      <c r="H277" s="10" t="str">
        <f>Upload!AG276</f>
        <v>(seleccione)</v>
      </c>
      <c r="J277" s="16" t="str">
        <f t="shared" si="29"/>
        <v/>
      </c>
      <c r="K277" s="16" t="str">
        <f t="shared" si="30"/>
        <v/>
      </c>
      <c r="L277" s="16" t="str">
        <f t="shared" si="31"/>
        <v/>
      </c>
      <c r="M277" s="16" t="str">
        <f t="shared" si="32"/>
        <v/>
      </c>
      <c r="N277" s="16" t="str">
        <f t="shared" si="33"/>
        <v/>
      </c>
      <c r="O277" s="16" t="str">
        <f>IF(OR(N277="",NOT(OR(ISNUMBER(SEARCH("Antitarnish",Upload!N276&amp;Upload!O276&amp;Upload!P276&amp;Upload!Q276)),ISNUMBER(SEARCH("Anti Tarnish",Upload!N276&amp;Upload!O276&amp;Upload!P276&amp;Upload!Q276))))),"",0.0012*N277)</f>
        <v/>
      </c>
      <c r="P277" s="16" t="str">
        <f>IF(OR(D277="",NOT(OR(ISNUMBER(SEARCH("Epóx",Upload!N276&amp;Upload!O276&amp;Upload!P276&amp;Upload!Q276)),ISNUMBER(SEARCH("Epox",Upload!N276&amp;Upload!O276&amp;Upload!P276&amp;Upload!Q276)),ISNUMBER(SEARCH("Barniz",Upload!N276&amp;Upload!O276&amp;Upload!P276&amp;Upload!Q276))))),"",D277*0.000035)</f>
        <v/>
      </c>
      <c r="Q277" s="16" t="str">
        <f>IF(OR(D277="",NOT(OR(ISNUMBER(SEARCH("Epóx",Upload!N276&amp;Upload!O276&amp;Upload!P276&amp;Upload!Q276)),ISNUMBER(SEARCH("Epox",Upload!N276&amp;Upload!O276&amp;Upload!P276&amp;Upload!Q276)),ISNUMBER(SEARCH("Barniz",Upload!N276&amp;Upload!O276&amp;Upload!P276&amp;Upload!Q276))))),"",D277*0.000035)</f>
        <v/>
      </c>
      <c r="R277" s="16" t="str">
        <f t="shared" si="34"/>
        <v/>
      </c>
    </row>
    <row r="278" spans="1:18" x14ac:dyDescent="0.2">
      <c r="A278" s="10" t="e">
        <f t="shared" ca="1" si="28"/>
        <v>#NAME?</v>
      </c>
      <c r="B278" s="10">
        <f>Upload!E277</f>
        <v>0</v>
      </c>
      <c r="C278" s="10">
        <f>Upload!AJ277</f>
        <v>0</v>
      </c>
      <c r="D278" s="10">
        <f>Upload!AK277</f>
        <v>0</v>
      </c>
      <c r="E278" s="10" t="str">
        <f>Upload!AF277</f>
        <v/>
      </c>
      <c r="F278" s="10" t="str">
        <f>Upload!AH277</f>
        <v/>
      </c>
      <c r="G278" s="10" t="str">
        <f>Upload!AE277</f>
        <v>(seleccione)</v>
      </c>
      <c r="H278" s="10" t="str">
        <f>Upload!AG277</f>
        <v>(seleccione)</v>
      </c>
      <c r="J278" s="16" t="str">
        <f t="shared" si="29"/>
        <v/>
      </c>
      <c r="K278" s="16" t="str">
        <f t="shared" si="30"/>
        <v/>
      </c>
      <c r="L278" s="16" t="str">
        <f t="shared" si="31"/>
        <v/>
      </c>
      <c r="M278" s="16" t="str">
        <f t="shared" si="32"/>
        <v/>
      </c>
      <c r="N278" s="16" t="str">
        <f t="shared" si="33"/>
        <v/>
      </c>
      <c r="O278" s="16" t="str">
        <f>IF(OR(N278="",NOT(OR(ISNUMBER(SEARCH("Antitarnish",Upload!N277&amp;Upload!O277&amp;Upload!P277&amp;Upload!Q277)),ISNUMBER(SEARCH("Anti Tarnish",Upload!N277&amp;Upload!O277&amp;Upload!P277&amp;Upload!Q277))))),"",0.0012*N278)</f>
        <v/>
      </c>
      <c r="P278" s="16" t="str">
        <f>IF(OR(D278="",NOT(OR(ISNUMBER(SEARCH("Epóx",Upload!N277&amp;Upload!O277&amp;Upload!P277&amp;Upload!Q277)),ISNUMBER(SEARCH("Epox",Upload!N277&amp;Upload!O277&amp;Upload!P277&amp;Upload!Q277)),ISNUMBER(SEARCH("Barniz",Upload!N277&amp;Upload!O277&amp;Upload!P277&amp;Upload!Q277))))),"",D278*0.000035)</f>
        <v/>
      </c>
      <c r="Q278" s="16" t="str">
        <f>IF(OR(D278="",NOT(OR(ISNUMBER(SEARCH("Epóx",Upload!N277&amp;Upload!O277&amp;Upload!P277&amp;Upload!Q277)),ISNUMBER(SEARCH("Epox",Upload!N277&amp;Upload!O277&amp;Upload!P277&amp;Upload!Q277)),ISNUMBER(SEARCH("Barniz",Upload!N277&amp;Upload!O277&amp;Upload!P277&amp;Upload!Q277))))),"",D278*0.000035)</f>
        <v/>
      </c>
      <c r="R278" s="16" t="str">
        <f t="shared" si="34"/>
        <v/>
      </c>
    </row>
    <row r="279" spans="1:18" x14ac:dyDescent="0.2">
      <c r="A279" s="10" t="e">
        <f t="shared" ca="1" si="28"/>
        <v>#NAME?</v>
      </c>
      <c r="B279" s="10">
        <f>Upload!E278</f>
        <v>0</v>
      </c>
      <c r="C279" s="10">
        <f>Upload!AJ278</f>
        <v>0</v>
      </c>
      <c r="D279" s="10">
        <f>Upload!AK278</f>
        <v>0</v>
      </c>
      <c r="E279" s="10" t="str">
        <f>Upload!AF278</f>
        <v/>
      </c>
      <c r="F279" s="10" t="str">
        <f>Upload!AH278</f>
        <v/>
      </c>
      <c r="G279" s="10" t="str">
        <f>Upload!AE278</f>
        <v>(seleccione)</v>
      </c>
      <c r="H279" s="10" t="str">
        <f>Upload!AG278</f>
        <v>(seleccione)</v>
      </c>
      <c r="J279" s="16" t="str">
        <f t="shared" si="29"/>
        <v/>
      </c>
      <c r="K279" s="16" t="str">
        <f t="shared" si="30"/>
        <v/>
      </c>
      <c r="L279" s="16" t="str">
        <f t="shared" si="31"/>
        <v/>
      </c>
      <c r="M279" s="16" t="str">
        <f t="shared" si="32"/>
        <v/>
      </c>
      <c r="N279" s="16" t="str">
        <f t="shared" si="33"/>
        <v/>
      </c>
      <c r="O279" s="16" t="str">
        <f>IF(OR(N279="",NOT(OR(ISNUMBER(SEARCH("Antitarnish",Upload!N278&amp;Upload!O278&amp;Upload!P278&amp;Upload!Q278)),ISNUMBER(SEARCH("Anti Tarnish",Upload!N278&amp;Upload!O278&amp;Upload!P278&amp;Upload!Q278))))),"",0.0012*N279)</f>
        <v/>
      </c>
      <c r="P279" s="16" t="str">
        <f>IF(OR(D279="",NOT(OR(ISNUMBER(SEARCH("Epóx",Upload!N278&amp;Upload!O278&amp;Upload!P278&amp;Upload!Q278)),ISNUMBER(SEARCH("Epox",Upload!N278&amp;Upload!O278&amp;Upload!P278&amp;Upload!Q278)),ISNUMBER(SEARCH("Barniz",Upload!N278&amp;Upload!O278&amp;Upload!P278&amp;Upload!Q278))))),"",D279*0.000035)</f>
        <v/>
      </c>
      <c r="Q279" s="16" t="str">
        <f>IF(OR(D279="",NOT(OR(ISNUMBER(SEARCH("Epóx",Upload!N278&amp;Upload!O278&amp;Upload!P278&amp;Upload!Q278)),ISNUMBER(SEARCH("Epox",Upload!N278&amp;Upload!O278&amp;Upload!P278&amp;Upload!Q278)),ISNUMBER(SEARCH("Barniz",Upload!N278&amp;Upload!O278&amp;Upload!P278&amp;Upload!Q278))))),"",D279*0.000035)</f>
        <v/>
      </c>
      <c r="R279" s="16" t="str">
        <f t="shared" si="34"/>
        <v/>
      </c>
    </row>
    <row r="280" spans="1:18" x14ac:dyDescent="0.2">
      <c r="A280" s="10" t="e">
        <f t="shared" ca="1" si="28"/>
        <v>#NAME?</v>
      </c>
      <c r="B280" s="10">
        <f>Upload!E279</f>
        <v>0</v>
      </c>
      <c r="C280" s="10">
        <f>Upload!AJ279</f>
        <v>0</v>
      </c>
      <c r="D280" s="10">
        <f>Upload!AK279</f>
        <v>0</v>
      </c>
      <c r="E280" s="10" t="str">
        <f>Upload!AF279</f>
        <v/>
      </c>
      <c r="F280" s="10" t="str">
        <f>Upload!AH279</f>
        <v/>
      </c>
      <c r="G280" s="10" t="str">
        <f>Upload!AE279</f>
        <v>(seleccione)</v>
      </c>
      <c r="H280" s="10" t="str">
        <f>Upload!AG279</f>
        <v>(seleccione)</v>
      </c>
      <c r="J280" s="16" t="str">
        <f t="shared" si="29"/>
        <v/>
      </c>
      <c r="K280" s="16" t="str">
        <f t="shared" si="30"/>
        <v/>
      </c>
      <c r="L280" s="16" t="str">
        <f t="shared" si="31"/>
        <v/>
      </c>
      <c r="M280" s="16" t="str">
        <f t="shared" si="32"/>
        <v/>
      </c>
      <c r="N280" s="16" t="str">
        <f t="shared" si="33"/>
        <v/>
      </c>
      <c r="O280" s="16" t="str">
        <f>IF(OR(N280="",NOT(OR(ISNUMBER(SEARCH("Antitarnish",Upload!N279&amp;Upload!O279&amp;Upload!P279&amp;Upload!Q279)),ISNUMBER(SEARCH("Anti Tarnish",Upload!N279&amp;Upload!O279&amp;Upload!P279&amp;Upload!Q279))))),"",0.0012*N280)</f>
        <v/>
      </c>
      <c r="P280" s="16" t="str">
        <f>IF(OR(D280="",NOT(OR(ISNUMBER(SEARCH("Epóx",Upload!N279&amp;Upload!O279&amp;Upload!P279&amp;Upload!Q279)),ISNUMBER(SEARCH("Epox",Upload!N279&amp;Upload!O279&amp;Upload!P279&amp;Upload!Q279)),ISNUMBER(SEARCH("Barniz",Upload!N279&amp;Upload!O279&amp;Upload!P279&amp;Upload!Q279))))),"",D280*0.000035)</f>
        <v/>
      </c>
      <c r="Q280" s="16" t="str">
        <f>IF(OR(D280="",NOT(OR(ISNUMBER(SEARCH("Epóx",Upload!N279&amp;Upload!O279&amp;Upload!P279&amp;Upload!Q279)),ISNUMBER(SEARCH("Epox",Upload!N279&amp;Upload!O279&amp;Upload!P279&amp;Upload!Q279)),ISNUMBER(SEARCH("Barniz",Upload!N279&amp;Upload!O279&amp;Upload!P279&amp;Upload!Q279))))),"",D280*0.000035)</f>
        <v/>
      </c>
      <c r="R280" s="16" t="str">
        <f t="shared" si="34"/>
        <v/>
      </c>
    </row>
    <row r="281" spans="1:18" x14ac:dyDescent="0.2">
      <c r="A281" s="10" t="e">
        <f t="shared" ca="1" si="28"/>
        <v>#NAME?</v>
      </c>
      <c r="B281" s="10">
        <f>Upload!E280</f>
        <v>0</v>
      </c>
      <c r="C281" s="10">
        <f>Upload!AJ280</f>
        <v>0</v>
      </c>
      <c r="D281" s="10">
        <f>Upload!AK280</f>
        <v>0</v>
      </c>
      <c r="E281" s="10" t="str">
        <f>Upload!AF280</f>
        <v/>
      </c>
      <c r="F281" s="10" t="str">
        <f>Upload!AH280</f>
        <v/>
      </c>
      <c r="G281" s="10" t="str">
        <f>Upload!AE280</f>
        <v>(seleccione)</v>
      </c>
      <c r="H281" s="10" t="str">
        <f>Upload!AG280</f>
        <v>(seleccione)</v>
      </c>
      <c r="J281" s="16" t="str">
        <f t="shared" si="29"/>
        <v/>
      </c>
      <c r="K281" s="16" t="str">
        <f t="shared" si="30"/>
        <v/>
      </c>
      <c r="L281" s="16" t="str">
        <f t="shared" si="31"/>
        <v/>
      </c>
      <c r="M281" s="16" t="str">
        <f t="shared" si="32"/>
        <v/>
      </c>
      <c r="N281" s="16" t="str">
        <f t="shared" si="33"/>
        <v/>
      </c>
      <c r="O281" s="16" t="str">
        <f>IF(OR(N281="",NOT(OR(ISNUMBER(SEARCH("Antitarnish",Upload!N280&amp;Upload!O280&amp;Upload!P280&amp;Upload!Q280)),ISNUMBER(SEARCH("Anti Tarnish",Upload!N280&amp;Upload!O280&amp;Upload!P280&amp;Upload!Q280))))),"",0.0012*N281)</f>
        <v/>
      </c>
      <c r="P281" s="16" t="str">
        <f>IF(OR(D281="",NOT(OR(ISNUMBER(SEARCH("Epóx",Upload!N280&amp;Upload!O280&amp;Upload!P280&amp;Upload!Q280)),ISNUMBER(SEARCH("Epox",Upload!N280&amp;Upload!O280&amp;Upload!P280&amp;Upload!Q280)),ISNUMBER(SEARCH("Barniz",Upload!N280&amp;Upload!O280&amp;Upload!P280&amp;Upload!Q280))))),"",D281*0.000035)</f>
        <v/>
      </c>
      <c r="Q281" s="16" t="str">
        <f>IF(OR(D281="",NOT(OR(ISNUMBER(SEARCH("Epóx",Upload!N280&amp;Upload!O280&amp;Upload!P280&amp;Upload!Q280)),ISNUMBER(SEARCH("Epox",Upload!N280&amp;Upload!O280&amp;Upload!P280&amp;Upload!Q280)),ISNUMBER(SEARCH("Barniz",Upload!N280&amp;Upload!O280&amp;Upload!P280&amp;Upload!Q280))))),"",D281*0.000035)</f>
        <v/>
      </c>
      <c r="R281" s="16" t="str">
        <f t="shared" si="34"/>
        <v/>
      </c>
    </row>
    <row r="282" spans="1:18" x14ac:dyDescent="0.2">
      <c r="A282" s="10" t="e">
        <f t="shared" ca="1" si="28"/>
        <v>#NAME?</v>
      </c>
      <c r="B282" s="10">
        <f>Upload!E281</f>
        <v>0</v>
      </c>
      <c r="C282" s="10">
        <f>Upload!AJ281</f>
        <v>0</v>
      </c>
      <c r="D282" s="10">
        <f>Upload!AK281</f>
        <v>0</v>
      </c>
      <c r="E282" s="10" t="str">
        <f>Upload!AF281</f>
        <v/>
      </c>
      <c r="F282" s="10" t="str">
        <f>Upload!AH281</f>
        <v/>
      </c>
      <c r="G282" s="10" t="str">
        <f>Upload!AE281</f>
        <v>(seleccione)</v>
      </c>
      <c r="H282" s="10" t="str">
        <f>Upload!AG281</f>
        <v>(seleccione)</v>
      </c>
      <c r="J282" s="16" t="str">
        <f t="shared" si="29"/>
        <v/>
      </c>
      <c r="K282" s="16" t="str">
        <f t="shared" si="30"/>
        <v/>
      </c>
      <c r="L282" s="16" t="str">
        <f t="shared" si="31"/>
        <v/>
      </c>
      <c r="M282" s="16" t="str">
        <f t="shared" si="32"/>
        <v/>
      </c>
      <c r="N282" s="16" t="str">
        <f t="shared" si="33"/>
        <v/>
      </c>
      <c r="O282" s="16" t="str">
        <f>IF(OR(N282="",NOT(OR(ISNUMBER(SEARCH("Antitarnish",Upload!N281&amp;Upload!O281&amp;Upload!P281&amp;Upload!Q281)),ISNUMBER(SEARCH("Anti Tarnish",Upload!N281&amp;Upload!O281&amp;Upload!P281&amp;Upload!Q281))))),"",0.0012*N282)</f>
        <v/>
      </c>
      <c r="P282" s="16" t="str">
        <f>IF(OR(D282="",NOT(OR(ISNUMBER(SEARCH("Epóx",Upload!N281&amp;Upload!O281&amp;Upload!P281&amp;Upload!Q281)),ISNUMBER(SEARCH("Epox",Upload!N281&amp;Upload!O281&amp;Upload!P281&amp;Upload!Q281)),ISNUMBER(SEARCH("Barniz",Upload!N281&amp;Upload!O281&amp;Upload!P281&amp;Upload!Q281))))),"",D282*0.000035)</f>
        <v/>
      </c>
      <c r="Q282" s="16" t="str">
        <f>IF(OR(D282="",NOT(OR(ISNUMBER(SEARCH("Epóx",Upload!N281&amp;Upload!O281&amp;Upload!P281&amp;Upload!Q281)),ISNUMBER(SEARCH("Epox",Upload!N281&amp;Upload!O281&amp;Upload!P281&amp;Upload!Q281)),ISNUMBER(SEARCH("Barniz",Upload!N281&amp;Upload!O281&amp;Upload!P281&amp;Upload!Q281))))),"",D282*0.000035)</f>
        <v/>
      </c>
      <c r="R282" s="16" t="str">
        <f t="shared" si="34"/>
        <v/>
      </c>
    </row>
    <row r="283" spans="1:18" x14ac:dyDescent="0.2">
      <c r="A283" s="10" t="e">
        <f t="shared" ca="1" si="28"/>
        <v>#NAME?</v>
      </c>
      <c r="B283" s="10">
        <f>Upload!E282</f>
        <v>0</v>
      </c>
      <c r="C283" s="10">
        <f>Upload!AJ282</f>
        <v>0</v>
      </c>
      <c r="D283" s="10">
        <f>Upload!AK282</f>
        <v>0</v>
      </c>
      <c r="E283" s="10" t="str">
        <f>Upload!AF282</f>
        <v/>
      </c>
      <c r="F283" s="10" t="str">
        <f>Upload!AH282</f>
        <v/>
      </c>
      <c r="G283" s="10" t="str">
        <f>Upload!AE282</f>
        <v>(seleccione)</v>
      </c>
      <c r="H283" s="10" t="str">
        <f>Upload!AG282</f>
        <v>(seleccione)</v>
      </c>
      <c r="J283" s="16" t="str">
        <f t="shared" si="29"/>
        <v/>
      </c>
      <c r="K283" s="16" t="str">
        <f t="shared" si="30"/>
        <v/>
      </c>
      <c r="L283" s="16" t="str">
        <f t="shared" si="31"/>
        <v/>
      </c>
      <c r="M283" s="16" t="str">
        <f t="shared" si="32"/>
        <v/>
      </c>
      <c r="N283" s="16" t="str">
        <f t="shared" si="33"/>
        <v/>
      </c>
      <c r="O283" s="16" t="str">
        <f>IF(OR(N283="",NOT(OR(ISNUMBER(SEARCH("Antitarnish",Upload!N282&amp;Upload!O282&amp;Upload!P282&amp;Upload!Q282)),ISNUMBER(SEARCH("Anti Tarnish",Upload!N282&amp;Upload!O282&amp;Upload!P282&amp;Upload!Q282))))),"",0.0012*N283)</f>
        <v/>
      </c>
      <c r="P283" s="16" t="str">
        <f>IF(OR(D283="",NOT(OR(ISNUMBER(SEARCH("Epóx",Upload!N282&amp;Upload!O282&amp;Upload!P282&amp;Upload!Q282)),ISNUMBER(SEARCH("Epox",Upload!N282&amp;Upload!O282&amp;Upload!P282&amp;Upload!Q282)),ISNUMBER(SEARCH("Barniz",Upload!N282&amp;Upload!O282&amp;Upload!P282&amp;Upload!Q282))))),"",D283*0.000035)</f>
        <v/>
      </c>
      <c r="Q283" s="16" t="str">
        <f>IF(OR(D283="",NOT(OR(ISNUMBER(SEARCH("Epóx",Upload!N282&amp;Upload!O282&amp;Upload!P282&amp;Upload!Q282)),ISNUMBER(SEARCH("Epox",Upload!N282&amp;Upload!O282&amp;Upload!P282&amp;Upload!Q282)),ISNUMBER(SEARCH("Barniz",Upload!N282&amp;Upload!O282&amp;Upload!P282&amp;Upload!Q282))))),"",D283*0.000035)</f>
        <v/>
      </c>
      <c r="R283" s="16" t="str">
        <f t="shared" si="34"/>
        <v/>
      </c>
    </row>
    <row r="284" spans="1:18" x14ac:dyDescent="0.2">
      <c r="A284" s="10" t="e">
        <f t="shared" ca="1" si="28"/>
        <v>#NAME?</v>
      </c>
      <c r="B284" s="10">
        <f>Upload!E283</f>
        <v>0</v>
      </c>
      <c r="C284" s="10">
        <f>Upload!AJ283</f>
        <v>0</v>
      </c>
      <c r="D284" s="10">
        <f>Upload!AK283</f>
        <v>0</v>
      </c>
      <c r="E284" s="10" t="str">
        <f>Upload!AF283</f>
        <v/>
      </c>
      <c r="F284" s="10" t="str">
        <f>Upload!AH283</f>
        <v/>
      </c>
      <c r="G284" s="10" t="str">
        <f>Upload!AE283</f>
        <v>(seleccione)</v>
      </c>
      <c r="H284" s="10" t="str">
        <f>Upload!AG283</f>
        <v>(seleccione)</v>
      </c>
      <c r="J284" s="16" t="str">
        <f t="shared" si="29"/>
        <v/>
      </c>
      <c r="K284" s="16" t="str">
        <f t="shared" si="30"/>
        <v/>
      </c>
      <c r="L284" s="16" t="str">
        <f t="shared" si="31"/>
        <v/>
      </c>
      <c r="M284" s="16" t="str">
        <f t="shared" si="32"/>
        <v/>
      </c>
      <c r="N284" s="16" t="str">
        <f t="shared" si="33"/>
        <v/>
      </c>
      <c r="O284" s="16" t="str">
        <f>IF(OR(N284="",NOT(OR(ISNUMBER(SEARCH("Antitarnish",Upload!N283&amp;Upload!O283&amp;Upload!P283&amp;Upload!Q283)),ISNUMBER(SEARCH("Anti Tarnish",Upload!N283&amp;Upload!O283&amp;Upload!P283&amp;Upload!Q283))))),"",0.0012*N284)</f>
        <v/>
      </c>
      <c r="P284" s="16" t="str">
        <f>IF(OR(D284="",NOT(OR(ISNUMBER(SEARCH("Epóx",Upload!N283&amp;Upload!O283&amp;Upload!P283&amp;Upload!Q283)),ISNUMBER(SEARCH("Epox",Upload!N283&amp;Upload!O283&amp;Upload!P283&amp;Upload!Q283)),ISNUMBER(SEARCH("Barniz",Upload!N283&amp;Upload!O283&amp;Upload!P283&amp;Upload!Q283))))),"",D284*0.000035)</f>
        <v/>
      </c>
      <c r="Q284" s="16" t="str">
        <f>IF(OR(D284="",NOT(OR(ISNUMBER(SEARCH("Epóx",Upload!N283&amp;Upload!O283&amp;Upload!P283&amp;Upload!Q283)),ISNUMBER(SEARCH("Epox",Upload!N283&amp;Upload!O283&amp;Upload!P283&amp;Upload!Q283)),ISNUMBER(SEARCH("Barniz",Upload!N283&amp;Upload!O283&amp;Upload!P283&amp;Upload!Q283))))),"",D284*0.000035)</f>
        <v/>
      </c>
      <c r="R284" s="16" t="str">
        <f t="shared" si="34"/>
        <v/>
      </c>
    </row>
    <row r="285" spans="1:18" x14ac:dyDescent="0.2">
      <c r="A285" s="10" t="e">
        <f t="shared" ca="1" si="28"/>
        <v>#NAME?</v>
      </c>
      <c r="B285" s="10">
        <f>Upload!E284</f>
        <v>0</v>
      </c>
      <c r="C285" s="10">
        <f>Upload!AJ284</f>
        <v>0</v>
      </c>
      <c r="D285" s="10">
        <f>Upload!AK284</f>
        <v>0</v>
      </c>
      <c r="E285" s="10" t="str">
        <f>Upload!AF284</f>
        <v/>
      </c>
      <c r="F285" s="10" t="str">
        <f>Upload!AH284</f>
        <v/>
      </c>
      <c r="G285" s="10" t="str">
        <f>Upload!AE284</f>
        <v>(seleccione)</v>
      </c>
      <c r="H285" s="10" t="str">
        <f>Upload!AG284</f>
        <v>(seleccione)</v>
      </c>
      <c r="J285" s="16" t="str">
        <f t="shared" si="29"/>
        <v/>
      </c>
      <c r="K285" s="16" t="str">
        <f t="shared" si="30"/>
        <v/>
      </c>
      <c r="L285" s="16" t="str">
        <f t="shared" si="31"/>
        <v/>
      </c>
      <c r="M285" s="16" t="str">
        <f t="shared" si="32"/>
        <v/>
      </c>
      <c r="N285" s="16" t="str">
        <f t="shared" si="33"/>
        <v/>
      </c>
      <c r="O285" s="16" t="str">
        <f>IF(OR(N285="",NOT(OR(ISNUMBER(SEARCH("Antitarnish",Upload!N284&amp;Upload!O284&amp;Upload!P284&amp;Upload!Q284)),ISNUMBER(SEARCH("Anti Tarnish",Upload!N284&amp;Upload!O284&amp;Upload!P284&amp;Upload!Q284))))),"",0.0012*N285)</f>
        <v/>
      </c>
      <c r="P285" s="16" t="str">
        <f>IF(OR(D285="",NOT(OR(ISNUMBER(SEARCH("Epóx",Upload!N284&amp;Upload!O284&amp;Upload!P284&amp;Upload!Q284)),ISNUMBER(SEARCH("Epox",Upload!N284&amp;Upload!O284&amp;Upload!P284&amp;Upload!Q284)),ISNUMBER(SEARCH("Barniz",Upload!N284&amp;Upload!O284&amp;Upload!P284&amp;Upload!Q284))))),"",D285*0.000035)</f>
        <v/>
      </c>
      <c r="Q285" s="16" t="str">
        <f>IF(OR(D285="",NOT(OR(ISNUMBER(SEARCH("Epóx",Upload!N284&amp;Upload!O284&amp;Upload!P284&amp;Upload!Q284)),ISNUMBER(SEARCH("Epox",Upload!N284&amp;Upload!O284&amp;Upload!P284&amp;Upload!Q284)),ISNUMBER(SEARCH("Barniz",Upload!N284&amp;Upload!O284&amp;Upload!P284&amp;Upload!Q284))))),"",D285*0.000035)</f>
        <v/>
      </c>
      <c r="R285" s="16" t="str">
        <f t="shared" si="34"/>
        <v/>
      </c>
    </row>
    <row r="286" spans="1:18" x14ac:dyDescent="0.2">
      <c r="A286" s="10" t="e">
        <f t="shared" ca="1" si="28"/>
        <v>#NAME?</v>
      </c>
      <c r="B286" s="10">
        <f>Upload!E285</f>
        <v>0</v>
      </c>
      <c r="C286" s="10">
        <f>Upload!AJ285</f>
        <v>0</v>
      </c>
      <c r="D286" s="10">
        <f>Upload!AK285</f>
        <v>0</v>
      </c>
      <c r="E286" s="10" t="str">
        <f>Upload!AF285</f>
        <v/>
      </c>
      <c r="F286" s="10" t="str">
        <f>Upload!AH285</f>
        <v/>
      </c>
      <c r="G286" s="10" t="str">
        <f>Upload!AE285</f>
        <v>(seleccione)</v>
      </c>
      <c r="H286" s="10" t="str">
        <f>Upload!AG285</f>
        <v>(seleccione)</v>
      </c>
      <c r="J286" s="16" t="str">
        <f t="shared" si="29"/>
        <v/>
      </c>
      <c r="K286" s="16" t="str">
        <f t="shared" si="30"/>
        <v/>
      </c>
      <c r="L286" s="16" t="str">
        <f t="shared" si="31"/>
        <v/>
      </c>
      <c r="M286" s="16" t="str">
        <f t="shared" si="32"/>
        <v/>
      </c>
      <c r="N286" s="16" t="str">
        <f t="shared" si="33"/>
        <v/>
      </c>
      <c r="O286" s="16" t="str">
        <f>IF(OR(N286="",NOT(OR(ISNUMBER(SEARCH("Antitarnish",Upload!N285&amp;Upload!O285&amp;Upload!P285&amp;Upload!Q285)),ISNUMBER(SEARCH("Anti Tarnish",Upload!N285&amp;Upload!O285&amp;Upload!P285&amp;Upload!Q285))))),"",0.0012*N286)</f>
        <v/>
      </c>
      <c r="P286" s="16" t="str">
        <f>IF(OR(D286="",NOT(OR(ISNUMBER(SEARCH("Epóx",Upload!N285&amp;Upload!O285&amp;Upload!P285&amp;Upload!Q285)),ISNUMBER(SEARCH("Epox",Upload!N285&amp;Upload!O285&amp;Upload!P285&amp;Upload!Q285)),ISNUMBER(SEARCH("Barniz",Upload!N285&amp;Upload!O285&amp;Upload!P285&amp;Upload!Q285))))),"",D286*0.000035)</f>
        <v/>
      </c>
      <c r="Q286" s="16" t="str">
        <f>IF(OR(D286="",NOT(OR(ISNUMBER(SEARCH("Epóx",Upload!N285&amp;Upload!O285&amp;Upload!P285&amp;Upload!Q285)),ISNUMBER(SEARCH("Epox",Upload!N285&amp;Upload!O285&amp;Upload!P285&amp;Upload!Q285)),ISNUMBER(SEARCH("Barniz",Upload!N285&amp;Upload!O285&amp;Upload!P285&amp;Upload!Q285))))),"",D286*0.000035)</f>
        <v/>
      </c>
      <c r="R286" s="16" t="str">
        <f t="shared" si="34"/>
        <v/>
      </c>
    </row>
    <row r="287" spans="1:18" x14ac:dyDescent="0.2">
      <c r="A287" s="10" t="e">
        <f t="shared" ca="1" si="28"/>
        <v>#NAME?</v>
      </c>
      <c r="B287" s="10">
        <f>Upload!E286</f>
        <v>0</v>
      </c>
      <c r="C287" s="10">
        <f>Upload!AJ286</f>
        <v>0</v>
      </c>
      <c r="D287" s="10">
        <f>Upload!AK286</f>
        <v>0</v>
      </c>
      <c r="E287" s="10" t="str">
        <f>Upload!AF286</f>
        <v/>
      </c>
      <c r="F287" s="10" t="str">
        <f>Upload!AH286</f>
        <v/>
      </c>
      <c r="G287" s="10" t="str">
        <f>Upload!AE286</f>
        <v>(seleccione)</v>
      </c>
      <c r="H287" s="10" t="str">
        <f>Upload!AG286</f>
        <v>(seleccione)</v>
      </c>
      <c r="J287" s="16" t="str">
        <f t="shared" si="29"/>
        <v/>
      </c>
      <c r="K287" s="16" t="str">
        <f t="shared" si="30"/>
        <v/>
      </c>
      <c r="L287" s="16" t="str">
        <f t="shared" si="31"/>
        <v/>
      </c>
      <c r="M287" s="16" t="str">
        <f t="shared" si="32"/>
        <v/>
      </c>
      <c r="N287" s="16" t="str">
        <f t="shared" si="33"/>
        <v/>
      </c>
      <c r="O287" s="16" t="str">
        <f>IF(OR(N287="",NOT(OR(ISNUMBER(SEARCH("Antitarnish",Upload!N286&amp;Upload!O286&amp;Upload!P286&amp;Upload!Q286)),ISNUMBER(SEARCH("Anti Tarnish",Upload!N286&amp;Upload!O286&amp;Upload!P286&amp;Upload!Q286))))),"",0.0012*N287)</f>
        <v/>
      </c>
      <c r="P287" s="16" t="str">
        <f>IF(OR(D287="",NOT(OR(ISNUMBER(SEARCH("Epóx",Upload!N286&amp;Upload!O286&amp;Upload!P286&amp;Upload!Q286)),ISNUMBER(SEARCH("Epox",Upload!N286&amp;Upload!O286&amp;Upload!P286&amp;Upload!Q286)),ISNUMBER(SEARCH("Barniz",Upload!N286&amp;Upload!O286&amp;Upload!P286&amp;Upload!Q286))))),"",D287*0.000035)</f>
        <v/>
      </c>
      <c r="Q287" s="16" t="str">
        <f>IF(OR(D287="",NOT(OR(ISNUMBER(SEARCH("Epóx",Upload!N286&amp;Upload!O286&amp;Upload!P286&amp;Upload!Q286)),ISNUMBER(SEARCH("Epox",Upload!N286&amp;Upload!O286&amp;Upload!P286&amp;Upload!Q286)),ISNUMBER(SEARCH("Barniz",Upload!N286&amp;Upload!O286&amp;Upload!P286&amp;Upload!Q286))))),"",D287*0.000035)</f>
        <v/>
      </c>
      <c r="R287" s="16" t="str">
        <f t="shared" si="34"/>
        <v/>
      </c>
    </row>
    <row r="288" spans="1:18" x14ac:dyDescent="0.2">
      <c r="A288" s="10" t="e">
        <f t="shared" ca="1" si="28"/>
        <v>#NAME?</v>
      </c>
      <c r="B288" s="10">
        <f>Upload!E287</f>
        <v>0</v>
      </c>
      <c r="C288" s="10">
        <f>Upload!AJ287</f>
        <v>0</v>
      </c>
      <c r="D288" s="10">
        <f>Upload!AK287</f>
        <v>0</v>
      </c>
      <c r="E288" s="10" t="str">
        <f>Upload!AF287</f>
        <v/>
      </c>
      <c r="F288" s="10" t="str">
        <f>Upload!AH287</f>
        <v/>
      </c>
      <c r="G288" s="10" t="str">
        <f>Upload!AE287</f>
        <v>(seleccione)</v>
      </c>
      <c r="H288" s="10" t="str">
        <f>Upload!AG287</f>
        <v>(seleccione)</v>
      </c>
      <c r="J288" s="16" t="str">
        <f t="shared" si="29"/>
        <v/>
      </c>
      <c r="K288" s="16" t="str">
        <f t="shared" si="30"/>
        <v/>
      </c>
      <c r="L288" s="16" t="str">
        <f t="shared" si="31"/>
        <v/>
      </c>
      <c r="M288" s="16" t="str">
        <f t="shared" si="32"/>
        <v/>
      </c>
      <c r="N288" s="16" t="str">
        <f t="shared" si="33"/>
        <v/>
      </c>
      <c r="O288" s="16" t="str">
        <f>IF(OR(N288="",NOT(OR(ISNUMBER(SEARCH("Antitarnish",Upload!N287&amp;Upload!O287&amp;Upload!P287&amp;Upload!Q287)),ISNUMBER(SEARCH("Anti Tarnish",Upload!N287&amp;Upload!O287&amp;Upload!P287&amp;Upload!Q287))))),"",0.0012*N288)</f>
        <v/>
      </c>
      <c r="P288" s="16" t="str">
        <f>IF(OR(D288="",NOT(OR(ISNUMBER(SEARCH("Epóx",Upload!N287&amp;Upload!O287&amp;Upload!P287&amp;Upload!Q287)),ISNUMBER(SEARCH("Epox",Upload!N287&amp;Upload!O287&amp;Upload!P287&amp;Upload!Q287)),ISNUMBER(SEARCH("Barniz",Upload!N287&amp;Upload!O287&amp;Upload!P287&amp;Upload!Q287))))),"",D288*0.000035)</f>
        <v/>
      </c>
      <c r="Q288" s="16" t="str">
        <f>IF(OR(D288="",NOT(OR(ISNUMBER(SEARCH("Epóx",Upload!N287&amp;Upload!O287&amp;Upload!P287&amp;Upload!Q287)),ISNUMBER(SEARCH("Epox",Upload!N287&amp;Upload!O287&amp;Upload!P287&amp;Upload!Q287)),ISNUMBER(SEARCH("Barniz",Upload!N287&amp;Upload!O287&amp;Upload!P287&amp;Upload!Q287))))),"",D288*0.000035)</f>
        <v/>
      </c>
      <c r="R288" s="16" t="str">
        <f t="shared" si="34"/>
        <v/>
      </c>
    </row>
    <row r="289" spans="1:18" x14ac:dyDescent="0.2">
      <c r="A289" s="10" t="e">
        <f t="shared" ca="1" si="28"/>
        <v>#NAME?</v>
      </c>
      <c r="B289" s="10">
        <f>Upload!E288</f>
        <v>0</v>
      </c>
      <c r="C289" s="10">
        <f>Upload!AJ288</f>
        <v>0</v>
      </c>
      <c r="D289" s="10">
        <f>Upload!AK288</f>
        <v>0</v>
      </c>
      <c r="E289" s="10" t="str">
        <f>Upload!AF288</f>
        <v/>
      </c>
      <c r="F289" s="10" t="str">
        <f>Upload!AH288</f>
        <v/>
      </c>
      <c r="G289" s="10" t="str">
        <f>Upload!AE288</f>
        <v>(seleccione)</v>
      </c>
      <c r="H289" s="10" t="str">
        <f>Upload!AG288</f>
        <v>(seleccione)</v>
      </c>
      <c r="J289" s="16" t="str">
        <f t="shared" si="29"/>
        <v/>
      </c>
      <c r="K289" s="16" t="str">
        <f t="shared" si="30"/>
        <v/>
      </c>
      <c r="L289" s="16" t="str">
        <f t="shared" si="31"/>
        <v/>
      </c>
      <c r="M289" s="16" t="str">
        <f t="shared" si="32"/>
        <v/>
      </c>
      <c r="N289" s="16" t="str">
        <f t="shared" si="33"/>
        <v/>
      </c>
      <c r="O289" s="16" t="str">
        <f>IF(OR(N289="",NOT(OR(ISNUMBER(SEARCH("Antitarnish",Upload!N288&amp;Upload!O288&amp;Upload!P288&amp;Upload!Q288)),ISNUMBER(SEARCH("Anti Tarnish",Upload!N288&amp;Upload!O288&amp;Upload!P288&amp;Upload!Q288))))),"",0.0012*N289)</f>
        <v/>
      </c>
      <c r="P289" s="16" t="str">
        <f>IF(OR(D289="",NOT(OR(ISNUMBER(SEARCH("Epóx",Upload!N288&amp;Upload!O288&amp;Upload!P288&amp;Upload!Q288)),ISNUMBER(SEARCH("Epox",Upload!N288&amp;Upload!O288&amp;Upload!P288&amp;Upload!Q288)),ISNUMBER(SEARCH("Barniz",Upload!N288&amp;Upload!O288&amp;Upload!P288&amp;Upload!Q288))))),"",D289*0.000035)</f>
        <v/>
      </c>
      <c r="Q289" s="16" t="str">
        <f>IF(OR(D289="",NOT(OR(ISNUMBER(SEARCH("Epóx",Upload!N288&amp;Upload!O288&amp;Upload!P288&amp;Upload!Q288)),ISNUMBER(SEARCH("Epox",Upload!N288&amp;Upload!O288&amp;Upload!P288&amp;Upload!Q288)),ISNUMBER(SEARCH("Barniz",Upload!N288&amp;Upload!O288&amp;Upload!P288&amp;Upload!Q288))))),"",D289*0.000035)</f>
        <v/>
      </c>
      <c r="R289" s="16" t="str">
        <f t="shared" si="34"/>
        <v/>
      </c>
    </row>
    <row r="290" spans="1:18" x14ac:dyDescent="0.2">
      <c r="A290" s="10" t="e">
        <f t="shared" ca="1" si="28"/>
        <v>#NAME?</v>
      </c>
      <c r="B290" s="10">
        <f>Upload!E289</f>
        <v>0</v>
      </c>
      <c r="C290" s="10">
        <f>Upload!AJ289</f>
        <v>0</v>
      </c>
      <c r="D290" s="10">
        <f>Upload!AK289</f>
        <v>0</v>
      </c>
      <c r="E290" s="10" t="str">
        <f>Upload!AF289</f>
        <v/>
      </c>
      <c r="F290" s="10" t="str">
        <f>Upload!AH289</f>
        <v/>
      </c>
      <c r="G290" s="10" t="str">
        <f>Upload!AE289</f>
        <v>(seleccione)</v>
      </c>
      <c r="H290" s="10" t="str">
        <f>Upload!AG289</f>
        <v>(seleccione)</v>
      </c>
      <c r="J290" s="16" t="str">
        <f t="shared" si="29"/>
        <v/>
      </c>
      <c r="K290" s="16" t="str">
        <f t="shared" si="30"/>
        <v/>
      </c>
      <c r="L290" s="16" t="str">
        <f t="shared" si="31"/>
        <v/>
      </c>
      <c r="M290" s="16" t="str">
        <f t="shared" si="32"/>
        <v/>
      </c>
      <c r="N290" s="16" t="str">
        <f t="shared" si="33"/>
        <v/>
      </c>
      <c r="O290" s="16" t="str">
        <f>IF(OR(N290="",NOT(OR(ISNUMBER(SEARCH("Antitarnish",Upload!N289&amp;Upload!O289&amp;Upload!P289&amp;Upload!Q289)),ISNUMBER(SEARCH("Anti Tarnish",Upload!N289&amp;Upload!O289&amp;Upload!P289&amp;Upload!Q289))))),"",0.0012*N290)</f>
        <v/>
      </c>
      <c r="P290" s="16" t="str">
        <f>IF(OR(D290="",NOT(OR(ISNUMBER(SEARCH("Epóx",Upload!N289&amp;Upload!O289&amp;Upload!P289&amp;Upload!Q289)),ISNUMBER(SEARCH("Epox",Upload!N289&amp;Upload!O289&amp;Upload!P289&amp;Upload!Q289)),ISNUMBER(SEARCH("Barniz",Upload!N289&amp;Upload!O289&amp;Upload!P289&amp;Upload!Q289))))),"",D290*0.000035)</f>
        <v/>
      </c>
      <c r="Q290" s="16" t="str">
        <f>IF(OR(D290="",NOT(OR(ISNUMBER(SEARCH("Epóx",Upload!N289&amp;Upload!O289&amp;Upload!P289&amp;Upload!Q289)),ISNUMBER(SEARCH("Epox",Upload!N289&amp;Upload!O289&amp;Upload!P289&amp;Upload!Q289)),ISNUMBER(SEARCH("Barniz",Upload!N289&amp;Upload!O289&amp;Upload!P289&amp;Upload!Q289))))),"",D290*0.000035)</f>
        <v/>
      </c>
      <c r="R290" s="16" t="str">
        <f t="shared" si="34"/>
        <v/>
      </c>
    </row>
    <row r="291" spans="1:18" x14ac:dyDescent="0.2">
      <c r="A291" s="10" t="e">
        <f t="shared" ca="1" si="28"/>
        <v>#NAME?</v>
      </c>
      <c r="B291" s="10">
        <f>Upload!E290</f>
        <v>0</v>
      </c>
      <c r="C291" s="10">
        <f>Upload!AJ290</f>
        <v>0</v>
      </c>
      <c r="D291" s="10">
        <f>Upload!AK290</f>
        <v>0</v>
      </c>
      <c r="E291" s="10" t="str">
        <f>Upload!AF290</f>
        <v/>
      </c>
      <c r="F291" s="10" t="str">
        <f>Upload!AH290</f>
        <v/>
      </c>
      <c r="G291" s="10" t="str">
        <f>Upload!AE290</f>
        <v>(seleccione)</v>
      </c>
      <c r="H291" s="10" t="str">
        <f>Upload!AG290</f>
        <v>(seleccione)</v>
      </c>
      <c r="J291" s="16" t="str">
        <f t="shared" si="29"/>
        <v/>
      </c>
      <c r="K291" s="16" t="str">
        <f t="shared" si="30"/>
        <v/>
      </c>
      <c r="L291" s="16" t="str">
        <f t="shared" si="31"/>
        <v/>
      </c>
      <c r="M291" s="16" t="str">
        <f t="shared" si="32"/>
        <v/>
      </c>
      <c r="N291" s="16" t="str">
        <f t="shared" si="33"/>
        <v/>
      </c>
      <c r="O291" s="16" t="str">
        <f>IF(OR(N291="",NOT(OR(ISNUMBER(SEARCH("Antitarnish",Upload!N290&amp;Upload!O290&amp;Upload!P290&amp;Upload!Q290)),ISNUMBER(SEARCH("Anti Tarnish",Upload!N290&amp;Upload!O290&amp;Upload!P290&amp;Upload!Q290))))),"",0.0012*N291)</f>
        <v/>
      </c>
      <c r="P291" s="16" t="str">
        <f>IF(OR(D291="",NOT(OR(ISNUMBER(SEARCH("Epóx",Upload!N290&amp;Upload!O290&amp;Upload!P290&amp;Upload!Q290)),ISNUMBER(SEARCH("Epox",Upload!N290&amp;Upload!O290&amp;Upload!P290&amp;Upload!Q290)),ISNUMBER(SEARCH("Barniz",Upload!N290&amp;Upload!O290&amp;Upload!P290&amp;Upload!Q290))))),"",D291*0.000035)</f>
        <v/>
      </c>
      <c r="Q291" s="16" t="str">
        <f>IF(OR(D291="",NOT(OR(ISNUMBER(SEARCH("Epóx",Upload!N290&amp;Upload!O290&amp;Upload!P290&amp;Upload!Q290)),ISNUMBER(SEARCH("Epox",Upload!N290&amp;Upload!O290&amp;Upload!P290&amp;Upload!Q290)),ISNUMBER(SEARCH("Barniz",Upload!N290&amp;Upload!O290&amp;Upload!P290&amp;Upload!Q290))))),"",D291*0.000035)</f>
        <v/>
      </c>
      <c r="R291" s="16" t="str">
        <f t="shared" si="34"/>
        <v/>
      </c>
    </row>
    <row r="292" spans="1:18" x14ac:dyDescent="0.2">
      <c r="A292" s="10" t="e">
        <f t="shared" ca="1" si="28"/>
        <v>#NAME?</v>
      </c>
      <c r="B292" s="10">
        <f>Upload!E291</f>
        <v>0</v>
      </c>
      <c r="C292" s="10">
        <f>Upload!AJ291</f>
        <v>0</v>
      </c>
      <c r="D292" s="10">
        <f>Upload!AK291</f>
        <v>0</v>
      </c>
      <c r="E292" s="10" t="str">
        <f>Upload!AF291</f>
        <v/>
      </c>
      <c r="F292" s="10" t="str">
        <f>Upload!AH291</f>
        <v/>
      </c>
      <c r="G292" s="10" t="str">
        <f>Upload!AE291</f>
        <v>(seleccione)</v>
      </c>
      <c r="H292" s="10" t="str">
        <f>Upload!AG291</f>
        <v>(seleccione)</v>
      </c>
      <c r="J292" s="16" t="str">
        <f t="shared" si="29"/>
        <v/>
      </c>
      <c r="K292" s="16" t="str">
        <f t="shared" si="30"/>
        <v/>
      </c>
      <c r="L292" s="16" t="str">
        <f t="shared" si="31"/>
        <v/>
      </c>
      <c r="M292" s="16" t="str">
        <f t="shared" si="32"/>
        <v/>
      </c>
      <c r="N292" s="16" t="str">
        <f t="shared" si="33"/>
        <v/>
      </c>
      <c r="O292" s="16" t="str">
        <f>IF(OR(N292="",NOT(OR(ISNUMBER(SEARCH("Antitarnish",Upload!N291&amp;Upload!O291&amp;Upload!P291&amp;Upload!Q291)),ISNUMBER(SEARCH("Anti Tarnish",Upload!N291&amp;Upload!O291&amp;Upload!P291&amp;Upload!Q291))))),"",0.0012*N292)</f>
        <v/>
      </c>
      <c r="P292" s="16" t="str">
        <f>IF(OR(D292="",NOT(OR(ISNUMBER(SEARCH("Epóx",Upload!N291&amp;Upload!O291&amp;Upload!P291&amp;Upload!Q291)),ISNUMBER(SEARCH("Epox",Upload!N291&amp;Upload!O291&amp;Upload!P291&amp;Upload!Q291)),ISNUMBER(SEARCH("Barniz",Upload!N291&amp;Upload!O291&amp;Upload!P291&amp;Upload!Q291))))),"",D292*0.000035)</f>
        <v/>
      </c>
      <c r="Q292" s="16" t="str">
        <f>IF(OR(D292="",NOT(OR(ISNUMBER(SEARCH("Epóx",Upload!N291&amp;Upload!O291&amp;Upload!P291&amp;Upload!Q291)),ISNUMBER(SEARCH("Epox",Upload!N291&amp;Upload!O291&amp;Upload!P291&amp;Upload!Q291)),ISNUMBER(SEARCH("Barniz",Upload!N291&amp;Upload!O291&amp;Upload!P291&amp;Upload!Q291))))),"",D292*0.000035)</f>
        <v/>
      </c>
      <c r="R292" s="16" t="str">
        <f t="shared" si="34"/>
        <v/>
      </c>
    </row>
    <row r="293" spans="1:18" x14ac:dyDescent="0.2">
      <c r="A293" s="10" t="e">
        <f t="shared" ca="1" si="28"/>
        <v>#NAME?</v>
      </c>
      <c r="B293" s="10">
        <f>Upload!E292</f>
        <v>0</v>
      </c>
      <c r="C293" s="10">
        <f>Upload!AJ292</f>
        <v>0</v>
      </c>
      <c r="D293" s="10">
        <f>Upload!AK292</f>
        <v>0</v>
      </c>
      <c r="E293" s="10" t="str">
        <f>Upload!AF292</f>
        <v/>
      </c>
      <c r="F293" s="10" t="str">
        <f>Upload!AH292</f>
        <v/>
      </c>
      <c r="G293" s="10" t="str">
        <f>Upload!AE292</f>
        <v>(seleccione)</v>
      </c>
      <c r="H293" s="10" t="str">
        <f>Upload!AG292</f>
        <v>(seleccione)</v>
      </c>
      <c r="J293" s="16" t="str">
        <f t="shared" si="29"/>
        <v/>
      </c>
      <c r="K293" s="16" t="str">
        <f t="shared" si="30"/>
        <v/>
      </c>
      <c r="L293" s="16" t="str">
        <f t="shared" si="31"/>
        <v/>
      </c>
      <c r="M293" s="16" t="str">
        <f t="shared" si="32"/>
        <v/>
      </c>
      <c r="N293" s="16" t="str">
        <f t="shared" si="33"/>
        <v/>
      </c>
      <c r="O293" s="16" t="str">
        <f>IF(OR(N293="",NOT(OR(ISNUMBER(SEARCH("Antitarnish",Upload!N292&amp;Upload!O292&amp;Upload!P292&amp;Upload!Q292)),ISNUMBER(SEARCH("Anti Tarnish",Upload!N292&amp;Upload!O292&amp;Upload!P292&amp;Upload!Q292))))),"",0.0012*N293)</f>
        <v/>
      </c>
      <c r="P293" s="16" t="str">
        <f>IF(OR(D293="",NOT(OR(ISNUMBER(SEARCH("Epóx",Upload!N292&amp;Upload!O292&amp;Upload!P292&amp;Upload!Q292)),ISNUMBER(SEARCH("Epox",Upload!N292&amp;Upload!O292&amp;Upload!P292&amp;Upload!Q292)),ISNUMBER(SEARCH("Barniz",Upload!N292&amp;Upload!O292&amp;Upload!P292&amp;Upload!Q292))))),"",D293*0.000035)</f>
        <v/>
      </c>
      <c r="Q293" s="16" t="str">
        <f>IF(OR(D293="",NOT(OR(ISNUMBER(SEARCH("Epóx",Upload!N292&amp;Upload!O292&amp;Upload!P292&amp;Upload!Q292)),ISNUMBER(SEARCH("Epox",Upload!N292&amp;Upload!O292&amp;Upload!P292&amp;Upload!Q292)),ISNUMBER(SEARCH("Barniz",Upload!N292&amp;Upload!O292&amp;Upload!P292&amp;Upload!Q292))))),"",D293*0.000035)</f>
        <v/>
      </c>
      <c r="R293" s="16" t="str">
        <f t="shared" si="34"/>
        <v/>
      </c>
    </row>
    <row r="294" spans="1:18" x14ac:dyDescent="0.2">
      <c r="A294" s="10" t="e">
        <f t="shared" ca="1" si="28"/>
        <v>#NAME?</v>
      </c>
      <c r="B294" s="10">
        <f>Upload!E293</f>
        <v>0</v>
      </c>
      <c r="C294" s="10">
        <f>Upload!AJ293</f>
        <v>0</v>
      </c>
      <c r="D294" s="10">
        <f>Upload!AK293</f>
        <v>0</v>
      </c>
      <c r="E294" s="10" t="str">
        <f>Upload!AF293</f>
        <v/>
      </c>
      <c r="F294" s="10" t="str">
        <f>Upload!AH293</f>
        <v/>
      </c>
      <c r="G294" s="10" t="str">
        <f>Upload!AE293</f>
        <v>(seleccione)</v>
      </c>
      <c r="H294" s="10" t="str">
        <f>Upload!AG293</f>
        <v>(seleccione)</v>
      </c>
      <c r="J294" s="16" t="str">
        <f t="shared" si="29"/>
        <v/>
      </c>
      <c r="K294" s="16" t="str">
        <f t="shared" si="30"/>
        <v/>
      </c>
      <c r="L294" s="16" t="str">
        <f t="shared" si="31"/>
        <v/>
      </c>
      <c r="M294" s="16" t="str">
        <f t="shared" si="32"/>
        <v/>
      </c>
      <c r="N294" s="16" t="str">
        <f t="shared" si="33"/>
        <v/>
      </c>
      <c r="O294" s="16" t="str">
        <f>IF(OR(N294="",NOT(OR(ISNUMBER(SEARCH("Antitarnish",Upload!N293&amp;Upload!O293&amp;Upload!P293&amp;Upload!Q293)),ISNUMBER(SEARCH("Anti Tarnish",Upload!N293&amp;Upload!O293&amp;Upload!P293&amp;Upload!Q293))))),"",0.0012*N294)</f>
        <v/>
      </c>
      <c r="P294" s="16" t="str">
        <f>IF(OR(D294="",NOT(OR(ISNUMBER(SEARCH("Epóx",Upload!N293&amp;Upload!O293&amp;Upload!P293&amp;Upload!Q293)),ISNUMBER(SEARCH("Epox",Upload!N293&amp;Upload!O293&amp;Upload!P293&amp;Upload!Q293)),ISNUMBER(SEARCH("Barniz",Upload!N293&amp;Upload!O293&amp;Upload!P293&amp;Upload!Q293))))),"",D294*0.000035)</f>
        <v/>
      </c>
      <c r="Q294" s="16" t="str">
        <f>IF(OR(D294="",NOT(OR(ISNUMBER(SEARCH("Epóx",Upload!N293&amp;Upload!O293&amp;Upload!P293&amp;Upload!Q293)),ISNUMBER(SEARCH("Epox",Upload!N293&amp;Upload!O293&amp;Upload!P293&amp;Upload!Q293)),ISNUMBER(SEARCH("Barniz",Upload!N293&amp;Upload!O293&amp;Upload!P293&amp;Upload!Q293))))),"",D294*0.000035)</f>
        <v/>
      </c>
      <c r="R294" s="16" t="str">
        <f t="shared" si="34"/>
        <v/>
      </c>
    </row>
    <row r="295" spans="1:18" x14ac:dyDescent="0.2">
      <c r="A295" s="10" t="e">
        <f t="shared" ca="1" si="28"/>
        <v>#NAME?</v>
      </c>
      <c r="B295" s="10">
        <f>Upload!E294</f>
        <v>0</v>
      </c>
      <c r="C295" s="10">
        <f>Upload!AJ294</f>
        <v>0</v>
      </c>
      <c r="D295" s="10">
        <f>Upload!AK294</f>
        <v>0</v>
      </c>
      <c r="E295" s="10" t="str">
        <f>Upload!AF294</f>
        <v/>
      </c>
      <c r="F295" s="10" t="str">
        <f>Upload!AH294</f>
        <v/>
      </c>
      <c r="G295" s="10" t="str">
        <f>Upload!AE294</f>
        <v>(seleccione)</v>
      </c>
      <c r="H295" s="10" t="str">
        <f>Upload!AG294</f>
        <v>(seleccione)</v>
      </c>
      <c r="J295" s="16" t="str">
        <f t="shared" si="29"/>
        <v/>
      </c>
      <c r="K295" s="16" t="str">
        <f t="shared" si="30"/>
        <v/>
      </c>
      <c r="L295" s="16" t="str">
        <f t="shared" si="31"/>
        <v/>
      </c>
      <c r="M295" s="16" t="str">
        <f t="shared" si="32"/>
        <v/>
      </c>
      <c r="N295" s="16" t="str">
        <f t="shared" si="33"/>
        <v/>
      </c>
      <c r="O295" s="16" t="str">
        <f>IF(OR(N295="",NOT(OR(ISNUMBER(SEARCH("Antitarnish",Upload!N294&amp;Upload!O294&amp;Upload!P294&amp;Upload!Q294)),ISNUMBER(SEARCH("Anti Tarnish",Upload!N294&amp;Upload!O294&amp;Upload!P294&amp;Upload!Q294))))),"",0.0012*N295)</f>
        <v/>
      </c>
      <c r="P295" s="16" t="str">
        <f>IF(OR(D295="",NOT(OR(ISNUMBER(SEARCH("Epóx",Upload!N294&amp;Upload!O294&amp;Upload!P294&amp;Upload!Q294)),ISNUMBER(SEARCH("Epox",Upload!N294&amp;Upload!O294&amp;Upload!P294&amp;Upload!Q294)),ISNUMBER(SEARCH("Barniz",Upload!N294&amp;Upload!O294&amp;Upload!P294&amp;Upload!Q294))))),"",D295*0.000035)</f>
        <v/>
      </c>
      <c r="Q295" s="16" t="str">
        <f>IF(OR(D295="",NOT(OR(ISNUMBER(SEARCH("Epóx",Upload!N294&amp;Upload!O294&amp;Upload!P294&amp;Upload!Q294)),ISNUMBER(SEARCH("Epox",Upload!N294&amp;Upload!O294&amp;Upload!P294&amp;Upload!Q294)),ISNUMBER(SEARCH("Barniz",Upload!N294&amp;Upload!O294&amp;Upload!P294&amp;Upload!Q294))))),"",D295*0.000035)</f>
        <v/>
      </c>
      <c r="R295" s="16" t="str">
        <f t="shared" si="34"/>
        <v/>
      </c>
    </row>
    <row r="296" spans="1:18" x14ac:dyDescent="0.2">
      <c r="A296" s="10" t="e">
        <f t="shared" ca="1" si="28"/>
        <v>#NAME?</v>
      </c>
      <c r="B296" s="10">
        <f>Upload!E295</f>
        <v>0</v>
      </c>
      <c r="C296" s="10">
        <f>Upload!AJ295</f>
        <v>0</v>
      </c>
      <c r="D296" s="10">
        <f>Upload!AK295</f>
        <v>0</v>
      </c>
      <c r="E296" s="10" t="str">
        <f>Upload!AF295</f>
        <v/>
      </c>
      <c r="F296" s="10" t="str">
        <f>Upload!AH295</f>
        <v/>
      </c>
      <c r="G296" s="10" t="str">
        <f>Upload!AE295</f>
        <v>(seleccione)</v>
      </c>
      <c r="H296" s="10" t="str">
        <f>Upload!AG295</f>
        <v>(seleccione)</v>
      </c>
      <c r="J296" s="16" t="str">
        <f t="shared" si="29"/>
        <v/>
      </c>
      <c r="K296" s="16" t="str">
        <f t="shared" si="30"/>
        <v/>
      </c>
      <c r="L296" s="16" t="str">
        <f t="shared" si="31"/>
        <v/>
      </c>
      <c r="M296" s="16" t="str">
        <f t="shared" si="32"/>
        <v/>
      </c>
      <c r="N296" s="16" t="str">
        <f t="shared" si="33"/>
        <v/>
      </c>
      <c r="O296" s="16" t="str">
        <f>IF(OR(N296="",NOT(OR(ISNUMBER(SEARCH("Antitarnish",Upload!N295&amp;Upload!O295&amp;Upload!P295&amp;Upload!Q295)),ISNUMBER(SEARCH("Anti Tarnish",Upload!N295&amp;Upload!O295&amp;Upload!P295&amp;Upload!Q295))))),"",0.0012*N296)</f>
        <v/>
      </c>
      <c r="P296" s="16" t="str">
        <f>IF(OR(D296="",NOT(OR(ISNUMBER(SEARCH("Epóx",Upload!N295&amp;Upload!O295&amp;Upload!P295&amp;Upload!Q295)),ISNUMBER(SEARCH("Epox",Upload!N295&amp;Upload!O295&amp;Upload!P295&amp;Upload!Q295)),ISNUMBER(SEARCH("Barniz",Upload!N295&amp;Upload!O295&amp;Upload!P295&amp;Upload!Q295))))),"",D296*0.000035)</f>
        <v/>
      </c>
      <c r="Q296" s="16" t="str">
        <f>IF(OR(D296="",NOT(OR(ISNUMBER(SEARCH("Epóx",Upload!N295&amp;Upload!O295&amp;Upload!P295&amp;Upload!Q295)),ISNUMBER(SEARCH("Epox",Upload!N295&amp;Upload!O295&amp;Upload!P295&amp;Upload!Q295)),ISNUMBER(SEARCH("Barniz",Upload!N295&amp;Upload!O295&amp;Upload!P295&amp;Upload!Q295))))),"",D296*0.000035)</f>
        <v/>
      </c>
      <c r="R296" s="16" t="str">
        <f t="shared" si="34"/>
        <v/>
      </c>
    </row>
    <row r="297" spans="1:18" x14ac:dyDescent="0.2">
      <c r="A297" s="10" t="e">
        <f t="shared" ca="1" si="28"/>
        <v>#NAME?</v>
      </c>
      <c r="B297" s="10">
        <f>Upload!E296</f>
        <v>0</v>
      </c>
      <c r="C297" s="10">
        <f>Upload!AJ296</f>
        <v>0</v>
      </c>
      <c r="D297" s="10">
        <f>Upload!AK296</f>
        <v>0</v>
      </c>
      <c r="E297" s="10" t="str">
        <f>Upload!AF296</f>
        <v/>
      </c>
      <c r="F297" s="10" t="str">
        <f>Upload!AH296</f>
        <v/>
      </c>
      <c r="G297" s="10" t="str">
        <f>Upload!AE296</f>
        <v>(seleccione)</v>
      </c>
      <c r="H297" s="10" t="str">
        <f>Upload!AG296</f>
        <v>(seleccione)</v>
      </c>
      <c r="J297" s="16" t="str">
        <f t="shared" si="29"/>
        <v/>
      </c>
      <c r="K297" s="16" t="str">
        <f t="shared" si="30"/>
        <v/>
      </c>
      <c r="L297" s="16" t="str">
        <f t="shared" si="31"/>
        <v/>
      </c>
      <c r="M297" s="16" t="str">
        <f t="shared" si="32"/>
        <v/>
      </c>
      <c r="N297" s="16" t="str">
        <f t="shared" si="33"/>
        <v/>
      </c>
      <c r="O297" s="16" t="str">
        <f>IF(OR(N297="",NOT(OR(ISNUMBER(SEARCH("Antitarnish",Upload!N296&amp;Upload!O296&amp;Upload!P296&amp;Upload!Q296)),ISNUMBER(SEARCH("Anti Tarnish",Upload!N296&amp;Upload!O296&amp;Upload!P296&amp;Upload!Q296))))),"",0.0012*N297)</f>
        <v/>
      </c>
      <c r="P297" s="16" t="str">
        <f>IF(OR(D297="",NOT(OR(ISNUMBER(SEARCH("Epóx",Upload!N296&amp;Upload!O296&amp;Upload!P296&amp;Upload!Q296)),ISNUMBER(SEARCH("Epox",Upload!N296&amp;Upload!O296&amp;Upload!P296&amp;Upload!Q296)),ISNUMBER(SEARCH("Barniz",Upload!N296&amp;Upload!O296&amp;Upload!P296&amp;Upload!Q296))))),"",D297*0.000035)</f>
        <v/>
      </c>
      <c r="Q297" s="16" t="str">
        <f>IF(OR(D297="",NOT(OR(ISNUMBER(SEARCH("Epóx",Upload!N296&amp;Upload!O296&amp;Upload!P296&amp;Upload!Q296)),ISNUMBER(SEARCH("Epox",Upload!N296&amp;Upload!O296&amp;Upload!P296&amp;Upload!Q296)),ISNUMBER(SEARCH("Barniz",Upload!N296&amp;Upload!O296&amp;Upload!P296&amp;Upload!Q296))))),"",D297*0.000035)</f>
        <v/>
      </c>
      <c r="R297" s="16" t="str">
        <f t="shared" si="34"/>
        <v/>
      </c>
    </row>
    <row r="298" spans="1:18" x14ac:dyDescent="0.2">
      <c r="A298" s="10" t="e">
        <f t="shared" ca="1" si="28"/>
        <v>#NAME?</v>
      </c>
      <c r="B298" s="10">
        <f>Upload!E297</f>
        <v>0</v>
      </c>
      <c r="C298" s="10">
        <f>Upload!AJ297</f>
        <v>0</v>
      </c>
      <c r="D298" s="10">
        <f>Upload!AK297</f>
        <v>0</v>
      </c>
      <c r="E298" s="10" t="str">
        <f>Upload!AF297</f>
        <v/>
      </c>
      <c r="F298" s="10" t="str">
        <f>Upload!AH297</f>
        <v/>
      </c>
      <c r="G298" s="10" t="str">
        <f>Upload!AE297</f>
        <v>(seleccione)</v>
      </c>
      <c r="H298" s="10" t="str">
        <f>Upload!AG297</f>
        <v>(seleccione)</v>
      </c>
      <c r="J298" s="16" t="str">
        <f t="shared" si="29"/>
        <v/>
      </c>
      <c r="K298" s="16" t="str">
        <f t="shared" si="30"/>
        <v/>
      </c>
      <c r="L298" s="16" t="str">
        <f t="shared" si="31"/>
        <v/>
      </c>
      <c r="M298" s="16" t="str">
        <f t="shared" si="32"/>
        <v/>
      </c>
      <c r="N298" s="16" t="str">
        <f t="shared" si="33"/>
        <v/>
      </c>
      <c r="O298" s="16" t="str">
        <f>IF(OR(N298="",NOT(OR(ISNUMBER(SEARCH("Antitarnish",Upload!N297&amp;Upload!O297&amp;Upload!P297&amp;Upload!Q297)),ISNUMBER(SEARCH("Anti Tarnish",Upload!N297&amp;Upload!O297&amp;Upload!P297&amp;Upload!Q297))))),"",0.0012*N298)</f>
        <v/>
      </c>
      <c r="P298" s="16" t="str">
        <f>IF(OR(D298="",NOT(OR(ISNUMBER(SEARCH("Epóx",Upload!N297&amp;Upload!O297&amp;Upload!P297&amp;Upload!Q297)),ISNUMBER(SEARCH("Epox",Upload!N297&amp;Upload!O297&amp;Upload!P297&amp;Upload!Q297)),ISNUMBER(SEARCH("Barniz",Upload!N297&amp;Upload!O297&amp;Upload!P297&amp;Upload!Q297))))),"",D298*0.000035)</f>
        <v/>
      </c>
      <c r="Q298" s="16" t="str">
        <f>IF(OR(D298="",NOT(OR(ISNUMBER(SEARCH("Epóx",Upload!N297&amp;Upload!O297&amp;Upload!P297&amp;Upload!Q297)),ISNUMBER(SEARCH("Epox",Upload!N297&amp;Upload!O297&amp;Upload!P297&amp;Upload!Q297)),ISNUMBER(SEARCH("Barniz",Upload!N297&amp;Upload!O297&amp;Upload!P297&amp;Upload!Q297))))),"",D298*0.000035)</f>
        <v/>
      </c>
      <c r="R298" s="16" t="str">
        <f t="shared" si="34"/>
        <v/>
      </c>
    </row>
    <row r="299" spans="1:18" x14ac:dyDescent="0.2">
      <c r="A299" s="10" t="e">
        <f t="shared" ca="1" si="28"/>
        <v>#NAME?</v>
      </c>
      <c r="B299" s="10">
        <f>Upload!E298</f>
        <v>0</v>
      </c>
      <c r="C299" s="10">
        <f>Upload!AJ298</f>
        <v>0</v>
      </c>
      <c r="D299" s="10">
        <f>Upload!AK298</f>
        <v>0</v>
      </c>
      <c r="E299" s="10" t="str">
        <f>Upload!AF298</f>
        <v/>
      </c>
      <c r="F299" s="10" t="str">
        <f>Upload!AH298</f>
        <v/>
      </c>
      <c r="G299" s="10" t="str">
        <f>Upload!AE298</f>
        <v>(seleccione)</v>
      </c>
      <c r="H299" s="10" t="str">
        <f>Upload!AG298</f>
        <v>(seleccione)</v>
      </c>
      <c r="J299" s="16" t="str">
        <f t="shared" si="29"/>
        <v/>
      </c>
      <c r="K299" s="16" t="str">
        <f t="shared" si="30"/>
        <v/>
      </c>
      <c r="L299" s="16" t="str">
        <f t="shared" si="31"/>
        <v/>
      </c>
      <c r="M299" s="16" t="str">
        <f t="shared" si="32"/>
        <v/>
      </c>
      <c r="N299" s="16" t="str">
        <f t="shared" si="33"/>
        <v/>
      </c>
      <c r="O299" s="16" t="str">
        <f>IF(OR(N299="",NOT(OR(ISNUMBER(SEARCH("Antitarnish",Upload!N298&amp;Upload!O298&amp;Upload!P298&amp;Upload!Q298)),ISNUMBER(SEARCH("Anti Tarnish",Upload!N298&amp;Upload!O298&amp;Upload!P298&amp;Upload!Q298))))),"",0.0012*N299)</f>
        <v/>
      </c>
      <c r="P299" s="16" t="str">
        <f>IF(OR(D299="",NOT(OR(ISNUMBER(SEARCH("Epóx",Upload!N298&amp;Upload!O298&amp;Upload!P298&amp;Upload!Q298)),ISNUMBER(SEARCH("Epox",Upload!N298&amp;Upload!O298&amp;Upload!P298&amp;Upload!Q298)),ISNUMBER(SEARCH("Barniz",Upload!N298&amp;Upload!O298&amp;Upload!P298&amp;Upload!Q298))))),"",D299*0.000035)</f>
        <v/>
      </c>
      <c r="Q299" s="16" t="str">
        <f>IF(OR(D299="",NOT(OR(ISNUMBER(SEARCH("Epóx",Upload!N298&amp;Upload!O298&amp;Upload!P298&amp;Upload!Q298)),ISNUMBER(SEARCH("Epox",Upload!N298&amp;Upload!O298&amp;Upload!P298&amp;Upload!Q298)),ISNUMBER(SEARCH("Barniz",Upload!N298&amp;Upload!O298&amp;Upload!P298&amp;Upload!Q298))))),"",D299*0.000035)</f>
        <v/>
      </c>
      <c r="R299" s="16" t="str">
        <f t="shared" si="34"/>
        <v/>
      </c>
    </row>
    <row r="300" spans="1:18" x14ac:dyDescent="0.2">
      <c r="A300" s="10" t="e">
        <f t="shared" ca="1" si="28"/>
        <v>#NAME?</v>
      </c>
      <c r="B300" s="10">
        <f>Upload!E299</f>
        <v>0</v>
      </c>
      <c r="C300" s="10">
        <f>Upload!AJ299</f>
        <v>0</v>
      </c>
      <c r="D300" s="10">
        <f>Upload!AK299</f>
        <v>0</v>
      </c>
      <c r="E300" s="10" t="str">
        <f>Upload!AF299</f>
        <v/>
      </c>
      <c r="F300" s="10" t="str">
        <f>Upload!AH299</f>
        <v/>
      </c>
      <c r="G300" s="10" t="str">
        <f>Upload!AE299</f>
        <v>(seleccione)</v>
      </c>
      <c r="H300" s="10" t="str">
        <f>Upload!AG299</f>
        <v>(seleccione)</v>
      </c>
      <c r="J300" s="16" t="str">
        <f t="shared" si="29"/>
        <v/>
      </c>
      <c r="K300" s="16" t="str">
        <f t="shared" si="30"/>
        <v/>
      </c>
      <c r="L300" s="16" t="str">
        <f t="shared" si="31"/>
        <v/>
      </c>
      <c r="M300" s="16" t="str">
        <f t="shared" si="32"/>
        <v/>
      </c>
      <c r="N300" s="16" t="str">
        <f t="shared" si="33"/>
        <v/>
      </c>
      <c r="O300" s="16" t="str">
        <f>IF(OR(N300="",NOT(OR(ISNUMBER(SEARCH("Antitarnish",Upload!N299&amp;Upload!O299&amp;Upload!P299&amp;Upload!Q299)),ISNUMBER(SEARCH("Anti Tarnish",Upload!N299&amp;Upload!O299&amp;Upload!P299&amp;Upload!Q299))))),"",0.0012*N300)</f>
        <v/>
      </c>
      <c r="P300" s="16" t="str">
        <f>IF(OR(D300="",NOT(OR(ISNUMBER(SEARCH("Epóx",Upload!N299&amp;Upload!O299&amp;Upload!P299&amp;Upload!Q299)),ISNUMBER(SEARCH("Epox",Upload!N299&amp;Upload!O299&amp;Upload!P299&amp;Upload!Q299)),ISNUMBER(SEARCH("Barniz",Upload!N299&amp;Upload!O299&amp;Upload!P299&amp;Upload!Q299))))),"",D300*0.000035)</f>
        <v/>
      </c>
      <c r="Q300" s="16" t="str">
        <f>IF(OR(D300="",NOT(OR(ISNUMBER(SEARCH("Epóx",Upload!N299&amp;Upload!O299&amp;Upload!P299&amp;Upload!Q299)),ISNUMBER(SEARCH("Epox",Upload!N299&amp;Upload!O299&amp;Upload!P299&amp;Upload!Q299)),ISNUMBER(SEARCH("Barniz",Upload!N299&amp;Upload!O299&amp;Upload!P299&amp;Upload!Q299))))),"",D300*0.000035)</f>
        <v/>
      </c>
      <c r="R300" s="16" t="str">
        <f t="shared" si="34"/>
        <v/>
      </c>
    </row>
    <row r="301" spans="1:18" x14ac:dyDescent="0.2">
      <c r="A301" s="10" t="e">
        <f t="shared" ca="1" si="28"/>
        <v>#NAME?</v>
      </c>
      <c r="B301" s="10">
        <f>Upload!E300</f>
        <v>0</v>
      </c>
      <c r="C301" s="10">
        <f>Upload!AJ300</f>
        <v>0</v>
      </c>
      <c r="D301" s="10">
        <f>Upload!AK300</f>
        <v>0</v>
      </c>
      <c r="E301" s="10" t="str">
        <f>Upload!AF300</f>
        <v/>
      </c>
      <c r="F301" s="10" t="str">
        <f>Upload!AH300</f>
        <v/>
      </c>
      <c r="G301" s="10" t="str">
        <f>Upload!AE300</f>
        <v>(seleccione)</v>
      </c>
      <c r="H301" s="10" t="str">
        <f>Upload!AG300</f>
        <v>(seleccione)</v>
      </c>
      <c r="J301" s="16" t="str">
        <f t="shared" si="29"/>
        <v/>
      </c>
      <c r="K301" s="16" t="str">
        <f t="shared" si="30"/>
        <v/>
      </c>
      <c r="L301" s="16" t="str">
        <f t="shared" si="31"/>
        <v/>
      </c>
      <c r="M301" s="16" t="str">
        <f t="shared" si="32"/>
        <v/>
      </c>
      <c r="N301" s="16" t="str">
        <f t="shared" si="33"/>
        <v/>
      </c>
      <c r="O301" s="16" t="str">
        <f>IF(OR(N301="",NOT(OR(ISNUMBER(SEARCH("Antitarnish",Upload!N300&amp;Upload!O300&amp;Upload!P300&amp;Upload!Q300)),ISNUMBER(SEARCH("Anti Tarnish",Upload!N300&amp;Upload!O300&amp;Upload!P300&amp;Upload!Q300))))),"",0.0012*N301)</f>
        <v/>
      </c>
      <c r="P301" s="16" t="str">
        <f>IF(OR(D301="",NOT(OR(ISNUMBER(SEARCH("Epóx",Upload!N300&amp;Upload!O300&amp;Upload!P300&amp;Upload!Q300)),ISNUMBER(SEARCH("Epox",Upload!N300&amp;Upload!O300&amp;Upload!P300&amp;Upload!Q300)),ISNUMBER(SEARCH("Barniz",Upload!N300&amp;Upload!O300&amp;Upload!P300&amp;Upload!Q300))))),"",D301*0.000035)</f>
        <v/>
      </c>
      <c r="Q301" s="16" t="str">
        <f>IF(OR(D301="",NOT(OR(ISNUMBER(SEARCH("Epóx",Upload!N300&amp;Upload!O300&amp;Upload!P300&amp;Upload!Q300)),ISNUMBER(SEARCH("Epox",Upload!N300&amp;Upload!O300&amp;Upload!P300&amp;Upload!Q300)),ISNUMBER(SEARCH("Barniz",Upload!N300&amp;Upload!O300&amp;Upload!P300&amp;Upload!Q300))))),"",D301*0.000035)</f>
        <v/>
      </c>
      <c r="R301" s="16" t="str">
        <f t="shared" si="34"/>
        <v/>
      </c>
    </row>
    <row r="302" spans="1:18" x14ac:dyDescent="0.2">
      <c r="A302" s="10" t="e">
        <f t="shared" ca="1" si="28"/>
        <v>#NAME?</v>
      </c>
      <c r="B302" s="10">
        <f>Upload!E301</f>
        <v>0</v>
      </c>
      <c r="C302" s="10">
        <f>Upload!AJ301</f>
        <v>0</v>
      </c>
      <c r="D302" s="10">
        <f>Upload!AK301</f>
        <v>0</v>
      </c>
      <c r="E302" s="10">
        <f>Upload!AF301</f>
        <v>0</v>
      </c>
      <c r="F302" s="10">
        <f>Upload!AH301</f>
        <v>0</v>
      </c>
      <c r="G302" s="10">
        <f>Upload!AE301</f>
        <v>0</v>
      </c>
      <c r="H302" s="10">
        <f>Upload!AG301</f>
        <v>0</v>
      </c>
      <c r="J302" s="16" t="str">
        <f t="shared" si="29"/>
        <v/>
      </c>
      <c r="K302" s="16" t="str">
        <f t="shared" si="30"/>
        <v/>
      </c>
      <c r="L302" s="16" t="str">
        <f t="shared" si="31"/>
        <v/>
      </c>
      <c r="M302" s="16" t="str">
        <f t="shared" si="32"/>
        <v/>
      </c>
      <c r="N302" s="16" t="str">
        <f t="shared" si="33"/>
        <v/>
      </c>
      <c r="O302" s="16" t="str">
        <f>IF(OR(N302="",NOT(OR(ISNUMBER(SEARCH("Antitarnish",Upload!N301&amp;Upload!O301&amp;Upload!P301&amp;Upload!Q301)),ISNUMBER(SEARCH("Anti Tarnish",Upload!N301&amp;Upload!O301&amp;Upload!P301&amp;Upload!Q301))))),"",0.0012*N302)</f>
        <v/>
      </c>
      <c r="P302" s="16" t="str">
        <f>IF(OR(D302="",NOT(OR(ISNUMBER(SEARCH("Epóx",Upload!N301&amp;Upload!O301&amp;Upload!P301&amp;Upload!Q301)),ISNUMBER(SEARCH("Epox",Upload!N301&amp;Upload!O301&amp;Upload!P301&amp;Upload!Q301)),ISNUMBER(SEARCH("Barniz",Upload!N301&amp;Upload!O301&amp;Upload!P301&amp;Upload!Q301))))),"",D302*0.000035)</f>
        <v/>
      </c>
      <c r="Q302" s="16" t="str">
        <f>IF(OR(D302="",NOT(OR(ISNUMBER(SEARCH("Epóx",Upload!N301&amp;Upload!O301&amp;Upload!P301&amp;Upload!Q301)),ISNUMBER(SEARCH("Epox",Upload!N301&amp;Upload!O301&amp;Upload!P301&amp;Upload!Q301)),ISNUMBER(SEARCH("Barniz",Upload!N301&amp;Upload!O301&amp;Upload!P301&amp;Upload!Q301))))),"",D302*0.000035)</f>
        <v/>
      </c>
      <c r="R302" s="16" t="str">
        <f t="shared" si="34"/>
        <v/>
      </c>
    </row>
    <row r="303" spans="1:18" x14ac:dyDescent="0.2">
      <c r="A303" s="10" t="e">
        <f t="shared" ca="1" si="28"/>
        <v>#NAME?</v>
      </c>
      <c r="B303" s="10">
        <f>Upload!E302</f>
        <v>0</v>
      </c>
      <c r="C303" s="10">
        <f>Upload!AJ302</f>
        <v>0</v>
      </c>
      <c r="D303" s="10">
        <f>Upload!AK302</f>
        <v>0</v>
      </c>
      <c r="E303" s="10">
        <f>Upload!AF302</f>
        <v>0</v>
      </c>
      <c r="F303" s="10">
        <f>Upload!AH302</f>
        <v>0</v>
      </c>
      <c r="G303" s="10">
        <f>Upload!AE302</f>
        <v>0</v>
      </c>
      <c r="H303" s="10">
        <f>Upload!AG302</f>
        <v>0</v>
      </c>
      <c r="J303" s="16" t="str">
        <f t="shared" si="29"/>
        <v/>
      </c>
      <c r="K303" s="16" t="str">
        <f t="shared" si="30"/>
        <v/>
      </c>
      <c r="L303" s="16" t="str">
        <f t="shared" si="31"/>
        <v/>
      </c>
      <c r="M303" s="16" t="str">
        <f t="shared" si="32"/>
        <v/>
      </c>
      <c r="N303" s="16" t="str">
        <f t="shared" si="33"/>
        <v/>
      </c>
      <c r="O303" s="16" t="str">
        <f>IF(OR(N303="",NOT(OR(ISNUMBER(SEARCH("Antitarnish",Upload!N302&amp;Upload!O302&amp;Upload!P302&amp;Upload!Q302)),ISNUMBER(SEARCH("Anti Tarnish",Upload!N302&amp;Upload!O302&amp;Upload!P302&amp;Upload!Q302))))),"",0.0012*N303)</f>
        <v/>
      </c>
      <c r="P303" s="16" t="str">
        <f>IF(OR(D303="",NOT(OR(ISNUMBER(SEARCH("Epóx",Upload!N302&amp;Upload!O302&amp;Upload!P302&amp;Upload!Q302)),ISNUMBER(SEARCH("Epox",Upload!N302&amp;Upload!O302&amp;Upload!P302&amp;Upload!Q302)),ISNUMBER(SEARCH("Barniz",Upload!N302&amp;Upload!O302&amp;Upload!P302&amp;Upload!Q302))))),"",D303*0.000035)</f>
        <v/>
      </c>
      <c r="Q303" s="16" t="str">
        <f>IF(OR(D303="",NOT(OR(ISNUMBER(SEARCH("Epóx",Upload!N302&amp;Upload!O302&amp;Upload!P302&amp;Upload!Q302)),ISNUMBER(SEARCH("Epox",Upload!N302&amp;Upload!O302&amp;Upload!P302&amp;Upload!Q302)),ISNUMBER(SEARCH("Barniz",Upload!N302&amp;Upload!O302&amp;Upload!P302&amp;Upload!Q302))))),"",D303*0.000035)</f>
        <v/>
      </c>
      <c r="R303" s="16" t="str">
        <f t="shared" si="34"/>
        <v/>
      </c>
    </row>
  </sheetData>
  <mergeCells count="1">
    <mergeCell ref="A1:N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rgb="FF90CAF9"/>
  </sheetPr>
  <dimension ref="A1:A161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ColWidth="8.6640625" defaultRowHeight="15" x14ac:dyDescent="0.2"/>
  <cols>
    <col min="1" max="1" width="100" customWidth="1"/>
  </cols>
  <sheetData>
    <row r="1" spans="1:1" ht="19" customHeight="1" x14ac:dyDescent="0.2">
      <c r="A1" s="1" t="s">
        <v>1103</v>
      </c>
    </row>
    <row r="2" spans="1:1" x14ac:dyDescent="0.2">
      <c r="A2" s="4"/>
    </row>
    <row r="3" spans="1:1" ht="17" customHeight="1" x14ac:dyDescent="0.2">
      <c r="A3" s="5" t="s">
        <v>1104</v>
      </c>
    </row>
    <row r="4" spans="1:1" x14ac:dyDescent="0.2">
      <c r="A4" s="5" t="s">
        <v>1105</v>
      </c>
    </row>
    <row r="5" spans="1:1" x14ac:dyDescent="0.2">
      <c r="A5" s="5" t="s">
        <v>1106</v>
      </c>
    </row>
    <row r="6" spans="1:1" x14ac:dyDescent="0.2">
      <c r="A6" s="4" t="s">
        <v>1107</v>
      </c>
    </row>
    <row r="7" spans="1:1" x14ac:dyDescent="0.2">
      <c r="A7" s="2"/>
    </row>
    <row r="8" spans="1:1" ht="17" x14ac:dyDescent="0.2">
      <c r="A8" s="3" t="s">
        <v>1108</v>
      </c>
    </row>
    <row r="9" spans="1:1" x14ac:dyDescent="0.2">
      <c r="A9" s="4" t="s">
        <v>1109</v>
      </c>
    </row>
    <row r="10" spans="1:1" x14ac:dyDescent="0.2">
      <c r="A10" s="4" t="s">
        <v>1110</v>
      </c>
    </row>
    <row r="11" spans="1:1" ht="17" customHeight="1" x14ac:dyDescent="0.2">
      <c r="A11" s="4"/>
    </row>
    <row r="12" spans="1:1" x14ac:dyDescent="0.2">
      <c r="A12" s="4" t="s">
        <v>1111</v>
      </c>
    </row>
    <row r="13" spans="1:1" x14ac:dyDescent="0.2">
      <c r="A13" s="4" t="s">
        <v>1112</v>
      </c>
    </row>
    <row r="14" spans="1:1" ht="16" x14ac:dyDescent="0.2">
      <c r="A14" s="2" t="s">
        <v>1113</v>
      </c>
    </row>
    <row r="15" spans="1:1" ht="17" x14ac:dyDescent="0.2">
      <c r="A15" s="3" t="s">
        <v>1114</v>
      </c>
    </row>
    <row r="16" spans="1:1" x14ac:dyDescent="0.2">
      <c r="A16" s="4" t="s">
        <v>1115</v>
      </c>
    </row>
    <row r="17" spans="1:1" x14ac:dyDescent="0.2">
      <c r="A17" s="4" t="s">
        <v>1116</v>
      </c>
    </row>
    <row r="18" spans="1:1" ht="17" customHeight="1" x14ac:dyDescent="0.2">
      <c r="A18" s="4" t="s">
        <v>1117</v>
      </c>
    </row>
    <row r="19" spans="1:1" x14ac:dyDescent="0.2">
      <c r="A19" s="4"/>
    </row>
    <row r="20" spans="1:1" x14ac:dyDescent="0.2">
      <c r="A20" s="4" t="s">
        <v>1118</v>
      </c>
    </row>
    <row r="21" spans="1:1" x14ac:dyDescent="0.2">
      <c r="A21" s="4" t="s">
        <v>1119</v>
      </c>
    </row>
    <row r="22" spans="1:1" x14ac:dyDescent="0.2">
      <c r="A22" s="4" t="s">
        <v>1120</v>
      </c>
    </row>
    <row r="23" spans="1:1" x14ac:dyDescent="0.2">
      <c r="A23" s="2"/>
    </row>
    <row r="24" spans="1:1" ht="17" x14ac:dyDescent="0.2">
      <c r="A24" s="3" t="s">
        <v>1121</v>
      </c>
    </row>
    <row r="25" spans="1:1" x14ac:dyDescent="0.2">
      <c r="A25" s="4" t="s">
        <v>1122</v>
      </c>
    </row>
    <row r="26" spans="1:1" x14ac:dyDescent="0.2">
      <c r="A26" s="4" t="s">
        <v>1123</v>
      </c>
    </row>
    <row r="27" spans="1:1" ht="17" customHeight="1" x14ac:dyDescent="0.2">
      <c r="A27" s="4" t="s">
        <v>1124</v>
      </c>
    </row>
    <row r="28" spans="1:1" x14ac:dyDescent="0.2">
      <c r="A28" s="4" t="s">
        <v>1125</v>
      </c>
    </row>
    <row r="29" spans="1:1" x14ac:dyDescent="0.2">
      <c r="A29" s="4" t="s">
        <v>1126</v>
      </c>
    </row>
    <row r="30" spans="1:1" ht="16" x14ac:dyDescent="0.2">
      <c r="A30" s="2" t="s">
        <v>1127</v>
      </c>
    </row>
    <row r="31" spans="1:1" ht="17" x14ac:dyDescent="0.2">
      <c r="A31" s="3" t="s">
        <v>1128</v>
      </c>
    </row>
    <row r="32" spans="1:1" x14ac:dyDescent="0.2">
      <c r="A32" s="4" t="s">
        <v>1129</v>
      </c>
    </row>
    <row r="33" spans="1:1" x14ac:dyDescent="0.2">
      <c r="A33" s="4" t="s">
        <v>1130</v>
      </c>
    </row>
    <row r="34" spans="1:1" ht="17" customHeight="1" x14ac:dyDescent="0.2">
      <c r="A34" s="4" t="s">
        <v>1131</v>
      </c>
    </row>
    <row r="36" spans="1:1" x14ac:dyDescent="0.2">
      <c r="A36" t="s">
        <v>1132</v>
      </c>
    </row>
    <row r="37" spans="1:1" x14ac:dyDescent="0.2">
      <c r="A37" t="s">
        <v>1133</v>
      </c>
    </row>
    <row r="38" spans="1:1" x14ac:dyDescent="0.2">
      <c r="A38" t="s">
        <v>1134</v>
      </c>
    </row>
    <row r="39" spans="1:1" x14ac:dyDescent="0.2">
      <c r="A39" t="s">
        <v>1135</v>
      </c>
    </row>
    <row r="41" spans="1:1" x14ac:dyDescent="0.2">
      <c r="A41" t="s">
        <v>1136</v>
      </c>
    </row>
    <row r="42" spans="1:1" x14ac:dyDescent="0.2">
      <c r="A42" t="s">
        <v>1137</v>
      </c>
    </row>
    <row r="43" spans="1:1" x14ac:dyDescent="0.2">
      <c r="A43" t="s">
        <v>1138</v>
      </c>
    </row>
    <row r="45" spans="1:1" x14ac:dyDescent="0.2">
      <c r="A45" t="s">
        <v>1139</v>
      </c>
    </row>
    <row r="46" spans="1:1" x14ac:dyDescent="0.2">
      <c r="A46" t="s">
        <v>1140</v>
      </c>
    </row>
    <row r="47" spans="1:1" x14ac:dyDescent="0.2">
      <c r="A47" t="s">
        <v>1141</v>
      </c>
    </row>
    <row r="48" spans="1:1" x14ac:dyDescent="0.2">
      <c r="A48" t="s">
        <v>1142</v>
      </c>
    </row>
    <row r="50" spans="1:1" x14ac:dyDescent="0.2">
      <c r="A50" t="s">
        <v>1143</v>
      </c>
    </row>
    <row r="51" spans="1:1" x14ac:dyDescent="0.2">
      <c r="A51" t="s">
        <v>1144</v>
      </c>
    </row>
    <row r="52" spans="1:1" x14ac:dyDescent="0.2">
      <c r="A52" t="s">
        <v>1145</v>
      </c>
    </row>
    <row r="53" spans="1:1" x14ac:dyDescent="0.2">
      <c r="A53" t="s">
        <v>1146</v>
      </c>
    </row>
    <row r="54" spans="1:1" x14ac:dyDescent="0.2">
      <c r="A54" t="s">
        <v>1147</v>
      </c>
    </row>
    <row r="55" spans="1:1" x14ac:dyDescent="0.2">
      <c r="A55" t="s">
        <v>1148</v>
      </c>
    </row>
    <row r="57" spans="1:1" x14ac:dyDescent="0.2">
      <c r="A57" t="s">
        <v>1149</v>
      </c>
    </row>
    <row r="58" spans="1:1" x14ac:dyDescent="0.2">
      <c r="A58" t="s">
        <v>1150</v>
      </c>
    </row>
    <row r="59" spans="1:1" x14ac:dyDescent="0.2">
      <c r="A59" t="s">
        <v>1151</v>
      </c>
    </row>
    <row r="60" spans="1:1" x14ac:dyDescent="0.2">
      <c r="A60" t="s">
        <v>1152</v>
      </c>
    </row>
    <row r="61" spans="1:1" x14ac:dyDescent="0.2">
      <c r="A61" t="s">
        <v>1153</v>
      </c>
    </row>
    <row r="62" spans="1:1" x14ac:dyDescent="0.2">
      <c r="A62" t="s">
        <v>1154</v>
      </c>
    </row>
    <row r="63" spans="1:1" x14ac:dyDescent="0.2">
      <c r="A63" t="s">
        <v>1155</v>
      </c>
    </row>
    <row r="64" spans="1:1" x14ac:dyDescent="0.2">
      <c r="A64" t="s">
        <v>1156</v>
      </c>
    </row>
    <row r="65" spans="1:1" x14ac:dyDescent="0.2">
      <c r="A65" t="s">
        <v>1157</v>
      </c>
    </row>
    <row r="67" spans="1:1" x14ac:dyDescent="0.2">
      <c r="A67" t="s">
        <v>1158</v>
      </c>
    </row>
    <row r="68" spans="1:1" x14ac:dyDescent="0.2">
      <c r="A68" t="s">
        <v>1159</v>
      </c>
    </row>
    <row r="69" spans="1:1" x14ac:dyDescent="0.2">
      <c r="A69" t="s">
        <v>1160</v>
      </c>
    </row>
    <row r="71" spans="1:1" x14ac:dyDescent="0.2">
      <c r="A71" t="s">
        <v>1161</v>
      </c>
    </row>
    <row r="72" spans="1:1" x14ac:dyDescent="0.2">
      <c r="A72" t="s">
        <v>1162</v>
      </c>
    </row>
    <row r="74" spans="1:1" x14ac:dyDescent="0.2">
      <c r="A74" t="s">
        <v>1163</v>
      </c>
    </row>
    <row r="75" spans="1:1" x14ac:dyDescent="0.2">
      <c r="A75" t="s">
        <v>1164</v>
      </c>
    </row>
    <row r="76" spans="1:1" x14ac:dyDescent="0.2">
      <c r="A76" t="s">
        <v>1165</v>
      </c>
    </row>
    <row r="77" spans="1:1" x14ac:dyDescent="0.2">
      <c r="A77" t="s">
        <v>1166</v>
      </c>
    </row>
    <row r="78" spans="1:1" x14ac:dyDescent="0.2">
      <c r="A78" t="s">
        <v>1167</v>
      </c>
    </row>
    <row r="80" spans="1:1" x14ac:dyDescent="0.2">
      <c r="A80" t="s">
        <v>1168</v>
      </c>
    </row>
    <row r="81" spans="1:1" x14ac:dyDescent="0.2">
      <c r="A81" t="s">
        <v>1169</v>
      </c>
    </row>
    <row r="82" spans="1:1" x14ac:dyDescent="0.2">
      <c r="A82" t="s">
        <v>1170</v>
      </c>
    </row>
    <row r="83" spans="1:1" x14ac:dyDescent="0.2">
      <c r="A83" t="s">
        <v>1171</v>
      </c>
    </row>
    <row r="84" spans="1:1" x14ac:dyDescent="0.2">
      <c r="A84" t="s">
        <v>1172</v>
      </c>
    </row>
    <row r="86" spans="1:1" x14ac:dyDescent="0.2">
      <c r="A86" t="s">
        <v>1173</v>
      </c>
    </row>
    <row r="87" spans="1:1" x14ac:dyDescent="0.2">
      <c r="A87" t="s">
        <v>1174</v>
      </c>
    </row>
    <row r="88" spans="1:1" x14ac:dyDescent="0.2">
      <c r="A88" t="s">
        <v>1175</v>
      </c>
    </row>
    <row r="89" spans="1:1" x14ac:dyDescent="0.2">
      <c r="A89" t="s">
        <v>1176</v>
      </c>
    </row>
    <row r="90" spans="1:1" x14ac:dyDescent="0.2">
      <c r="A90" t="s">
        <v>1177</v>
      </c>
    </row>
    <row r="92" spans="1:1" x14ac:dyDescent="0.2">
      <c r="A92" t="s">
        <v>1178</v>
      </c>
    </row>
    <row r="93" spans="1:1" x14ac:dyDescent="0.2">
      <c r="A93" t="s">
        <v>1179</v>
      </c>
    </row>
    <row r="94" spans="1:1" x14ac:dyDescent="0.2">
      <c r="A94" t="s">
        <v>1180</v>
      </c>
    </row>
    <row r="95" spans="1:1" x14ac:dyDescent="0.2">
      <c r="A95" t="s">
        <v>1181</v>
      </c>
    </row>
    <row r="96" spans="1:1" x14ac:dyDescent="0.2">
      <c r="A96" t="s">
        <v>1182</v>
      </c>
    </row>
    <row r="98" spans="1:1" x14ac:dyDescent="0.2">
      <c r="A98" t="s">
        <v>1183</v>
      </c>
    </row>
    <row r="99" spans="1:1" x14ac:dyDescent="0.2">
      <c r="A99" t="s">
        <v>1184</v>
      </c>
    </row>
    <row r="100" spans="1:1" x14ac:dyDescent="0.2">
      <c r="A100" t="s">
        <v>1185</v>
      </c>
    </row>
    <row r="101" spans="1:1" x14ac:dyDescent="0.2">
      <c r="A101" t="s">
        <v>1186</v>
      </c>
    </row>
    <row r="102" spans="1:1" x14ac:dyDescent="0.2">
      <c r="A102" t="s">
        <v>1187</v>
      </c>
    </row>
    <row r="103" spans="1:1" x14ac:dyDescent="0.2">
      <c r="A103" t="s">
        <v>1188</v>
      </c>
    </row>
    <row r="105" spans="1:1" x14ac:dyDescent="0.2">
      <c r="A105" t="s">
        <v>1189</v>
      </c>
    </row>
    <row r="106" spans="1:1" x14ac:dyDescent="0.2">
      <c r="A106" t="s">
        <v>1190</v>
      </c>
    </row>
    <row r="107" spans="1:1" x14ac:dyDescent="0.2">
      <c r="A107" t="s">
        <v>1191</v>
      </c>
    </row>
    <row r="108" spans="1:1" x14ac:dyDescent="0.2">
      <c r="A108" t="s">
        <v>1192</v>
      </c>
    </row>
    <row r="110" spans="1:1" x14ac:dyDescent="0.2">
      <c r="A110" t="s">
        <v>1193</v>
      </c>
    </row>
    <row r="111" spans="1:1" x14ac:dyDescent="0.2">
      <c r="A111" t="s">
        <v>1194</v>
      </c>
    </row>
    <row r="112" spans="1:1" x14ac:dyDescent="0.2">
      <c r="A112" t="s">
        <v>1195</v>
      </c>
    </row>
    <row r="113" spans="1:1" x14ac:dyDescent="0.2">
      <c r="A113" t="s">
        <v>1196</v>
      </c>
    </row>
    <row r="114" spans="1:1" x14ac:dyDescent="0.2">
      <c r="A114" t="s">
        <v>1197</v>
      </c>
    </row>
    <row r="115" spans="1:1" x14ac:dyDescent="0.2">
      <c r="A115" t="s">
        <v>1198</v>
      </c>
    </row>
    <row r="116" spans="1:1" x14ac:dyDescent="0.2">
      <c r="A116" t="s">
        <v>1199</v>
      </c>
    </row>
    <row r="117" spans="1:1" x14ac:dyDescent="0.2">
      <c r="A117" t="s">
        <v>1200</v>
      </c>
    </row>
    <row r="118" spans="1:1" x14ac:dyDescent="0.2">
      <c r="A118" t="s">
        <v>1201</v>
      </c>
    </row>
    <row r="119" spans="1:1" x14ac:dyDescent="0.2">
      <c r="A119" t="s">
        <v>1202</v>
      </c>
    </row>
    <row r="121" spans="1:1" x14ac:dyDescent="0.2">
      <c r="A121" t="s">
        <v>1203</v>
      </c>
    </row>
    <row r="122" spans="1:1" x14ac:dyDescent="0.2">
      <c r="A122" t="s">
        <v>1204</v>
      </c>
    </row>
    <row r="123" spans="1:1" x14ac:dyDescent="0.2">
      <c r="A123" t="s">
        <v>1205</v>
      </c>
    </row>
    <row r="124" spans="1:1" x14ac:dyDescent="0.2">
      <c r="A124" t="s">
        <v>1206</v>
      </c>
    </row>
    <row r="125" spans="1:1" x14ac:dyDescent="0.2">
      <c r="A125" t="s">
        <v>1207</v>
      </c>
    </row>
    <row r="126" spans="1:1" x14ac:dyDescent="0.2">
      <c r="A126" t="s">
        <v>1208</v>
      </c>
    </row>
    <row r="127" spans="1:1" x14ac:dyDescent="0.2">
      <c r="A127" t="s">
        <v>1209</v>
      </c>
    </row>
    <row r="128" spans="1:1" x14ac:dyDescent="0.2">
      <c r="A128" t="s">
        <v>1210</v>
      </c>
    </row>
    <row r="130" spans="1:1" x14ac:dyDescent="0.2">
      <c r="A130" t="s">
        <v>1211</v>
      </c>
    </row>
    <row r="131" spans="1:1" x14ac:dyDescent="0.2">
      <c r="A131" t="s">
        <v>1212</v>
      </c>
    </row>
    <row r="133" spans="1:1" x14ac:dyDescent="0.2">
      <c r="A133" t="s">
        <v>1213</v>
      </c>
    </row>
    <row r="134" spans="1:1" x14ac:dyDescent="0.2">
      <c r="A134" t="s">
        <v>1214</v>
      </c>
    </row>
    <row r="135" spans="1:1" x14ac:dyDescent="0.2">
      <c r="A135" t="s">
        <v>1215</v>
      </c>
    </row>
    <row r="136" spans="1:1" x14ac:dyDescent="0.2">
      <c r="A136" t="s">
        <v>1216</v>
      </c>
    </row>
    <row r="137" spans="1:1" x14ac:dyDescent="0.2">
      <c r="A137" t="s">
        <v>1217</v>
      </c>
    </row>
    <row r="138" spans="1:1" x14ac:dyDescent="0.2">
      <c r="A138" t="s">
        <v>1218</v>
      </c>
    </row>
    <row r="140" spans="1:1" x14ac:dyDescent="0.2">
      <c r="A140" t="s">
        <v>1219</v>
      </c>
    </row>
    <row r="141" spans="1:1" x14ac:dyDescent="0.2">
      <c r="A141" t="s">
        <v>1220</v>
      </c>
    </row>
    <row r="142" spans="1:1" x14ac:dyDescent="0.2">
      <c r="A142" t="s">
        <v>1221</v>
      </c>
    </row>
    <row r="143" spans="1:1" x14ac:dyDescent="0.2">
      <c r="A143" t="s">
        <v>1222</v>
      </c>
    </row>
    <row r="144" spans="1:1" x14ac:dyDescent="0.2">
      <c r="A144" t="s">
        <v>1223</v>
      </c>
    </row>
    <row r="145" spans="1:1" x14ac:dyDescent="0.2">
      <c r="A145" t="s">
        <v>1224</v>
      </c>
    </row>
    <row r="146" spans="1:1" x14ac:dyDescent="0.2">
      <c r="A146" t="s">
        <v>1225</v>
      </c>
    </row>
    <row r="147" spans="1:1" x14ac:dyDescent="0.2">
      <c r="A147" t="s">
        <v>1226</v>
      </c>
    </row>
    <row r="148" spans="1:1" x14ac:dyDescent="0.2">
      <c r="A148" t="s">
        <v>1227</v>
      </c>
    </row>
    <row r="149" spans="1:1" x14ac:dyDescent="0.2">
      <c r="A149" t="s">
        <v>1228</v>
      </c>
    </row>
    <row r="150" spans="1:1" x14ac:dyDescent="0.2">
      <c r="A150" t="s">
        <v>1229</v>
      </c>
    </row>
    <row r="152" spans="1:1" x14ac:dyDescent="0.2">
      <c r="A152" t="s">
        <v>1230</v>
      </c>
    </row>
    <row r="153" spans="1:1" x14ac:dyDescent="0.2">
      <c r="A153" t="s">
        <v>1231</v>
      </c>
    </row>
    <row r="154" spans="1:1" x14ac:dyDescent="0.2">
      <c r="A154" t="s">
        <v>1232</v>
      </c>
    </row>
    <row r="155" spans="1:1" x14ac:dyDescent="0.2">
      <c r="A155" t="s">
        <v>1233</v>
      </c>
    </row>
    <row r="156" spans="1:1" x14ac:dyDescent="0.2">
      <c r="A156" t="s">
        <v>1234</v>
      </c>
    </row>
    <row r="157" spans="1:1" x14ac:dyDescent="0.2">
      <c r="A157" t="s">
        <v>1235</v>
      </c>
    </row>
    <row r="159" spans="1:1" x14ac:dyDescent="0.2">
      <c r="A159" t="s">
        <v>1236</v>
      </c>
    </row>
    <row r="160" spans="1:1" x14ac:dyDescent="0.2">
      <c r="A160" t="s">
        <v>1237</v>
      </c>
    </row>
    <row r="161" spans="1:1" x14ac:dyDescent="0.2">
      <c r="A161" t="s">
        <v>1238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Upload</vt:lpstr>
      <vt:lpstr>Listas</vt:lpstr>
      <vt:lpstr>Cálculo MP</vt:lpstr>
      <vt:lpstr>Ayuda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Omar Fidel Viazcán Gómez</cp:lastModifiedBy>
  <cp:revision>0</cp:revision>
  <dcterms:created xsi:type="dcterms:W3CDTF">2026-03-25T00:28:21Z</dcterms:created>
  <dcterms:modified xsi:type="dcterms:W3CDTF">2026-04-01T22:32:52Z</dcterms:modified>
  <dc:language>en-US</dc:language>
</cp:coreProperties>
</file>