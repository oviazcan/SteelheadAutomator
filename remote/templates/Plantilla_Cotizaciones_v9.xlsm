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oviazcan/SteelheadAutomator/"/>
    </mc:Choice>
  </mc:AlternateContent>
  <xr:revisionPtr revIDLastSave="0" documentId="8_{8FAFBEC3-5BD0-B04A-8F24-E84F827B7C6B}" xr6:coauthVersionLast="47" xr6:coauthVersionMax="47" xr10:uidLastSave="{00000000-0000-0000-0000-000000000000}"/>
  <bookViews>
    <workbookView xWindow="0" yWindow="680" windowWidth="30800" windowHeight="19760" tabRatio="500" xr2:uid="{00000000-000D-0000-FFFF-FFFF00000000}"/>
  </bookViews>
  <sheets>
    <sheet name="Upload" sheetId="1" r:id="rId1"/>
    <sheet name="Ayuda" sheetId="8" r:id="rId2"/>
    <sheet name="Listas" sheetId="9" r:id="rId3"/>
    <sheet name="Cálculo MP" sheetId="10" r:id="rId4"/>
  </sheets>
  <definedNames>
    <definedName name="_xlnm._FilterDatabase" localSheetId="0" hidden="1">Upload!$A$3:$G$13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3" i="1" l="1"/>
  <c r="F24" i="10" s="1"/>
  <c r="AH24" i="1"/>
  <c r="F25" i="10" s="1"/>
  <c r="AH25" i="1"/>
  <c r="F26" i="10" s="1"/>
  <c r="AH26" i="1"/>
  <c r="F27" i="10" s="1"/>
  <c r="AH27" i="1"/>
  <c r="F28" i="10" s="1"/>
  <c r="AH28" i="1"/>
  <c r="F29" i="10" s="1"/>
  <c r="AH29" i="1"/>
  <c r="F30" i="10" s="1"/>
  <c r="AH30" i="1"/>
  <c r="F31" i="10" s="1"/>
  <c r="AH31" i="1"/>
  <c r="F32" i="10" s="1"/>
  <c r="AH32" i="1"/>
  <c r="F33" i="10" s="1"/>
  <c r="AH33" i="1"/>
  <c r="F34" i="10" s="1"/>
  <c r="AH34" i="1"/>
  <c r="F35" i="10" s="1"/>
  <c r="AH35" i="1"/>
  <c r="F36" i="10" s="1"/>
  <c r="AH36" i="1"/>
  <c r="F37" i="10" s="1"/>
  <c r="AH37" i="1"/>
  <c r="F38" i="10" s="1"/>
  <c r="AH38" i="1"/>
  <c r="F39" i="10" s="1"/>
  <c r="AH39" i="1"/>
  <c r="F40" i="10" s="1"/>
  <c r="AH40" i="1"/>
  <c r="F41" i="10" s="1"/>
  <c r="AH41" i="1"/>
  <c r="F42" i="10" s="1"/>
  <c r="AH42" i="1"/>
  <c r="F43" i="10" s="1"/>
  <c r="AH43" i="1"/>
  <c r="F44" i="10" s="1"/>
  <c r="AH44" i="1"/>
  <c r="F45" i="10" s="1"/>
  <c r="AH45" i="1"/>
  <c r="F46" i="10" s="1"/>
  <c r="AH46" i="1"/>
  <c r="F47" i="10" s="1"/>
  <c r="AH47" i="1"/>
  <c r="F48" i="10" s="1"/>
  <c r="AH48" i="1"/>
  <c r="F49" i="10" s="1"/>
  <c r="AH49" i="1"/>
  <c r="F50" i="10" s="1"/>
  <c r="AH50" i="1"/>
  <c r="F51" i="10" s="1"/>
  <c r="AH51" i="1"/>
  <c r="F52" i="10" s="1"/>
  <c r="AH52" i="1"/>
  <c r="F53" i="10" s="1"/>
  <c r="AH53" i="1"/>
  <c r="F54" i="10" s="1"/>
  <c r="AH54" i="1"/>
  <c r="F55" i="10" s="1"/>
  <c r="AH55" i="1"/>
  <c r="F56" i="10" s="1"/>
  <c r="AH56" i="1"/>
  <c r="F57" i="10" s="1"/>
  <c r="AH57" i="1"/>
  <c r="F58" i="10" s="1"/>
  <c r="AH58" i="1"/>
  <c r="F59" i="10" s="1"/>
  <c r="AH59" i="1"/>
  <c r="F60" i="10" s="1"/>
  <c r="AH60" i="1"/>
  <c r="F61" i="10" s="1"/>
  <c r="AH61" i="1"/>
  <c r="F62" i="10" s="1"/>
  <c r="AH62" i="1"/>
  <c r="F63" i="10" s="1"/>
  <c r="AH63" i="1"/>
  <c r="F64" i="10" s="1"/>
  <c r="AH64" i="1"/>
  <c r="F65" i="10" s="1"/>
  <c r="AH65" i="1"/>
  <c r="F66" i="10" s="1"/>
  <c r="AH66" i="1"/>
  <c r="F67" i="10" s="1"/>
  <c r="AH67" i="1"/>
  <c r="F68" i="10" s="1"/>
  <c r="AH68" i="1"/>
  <c r="F69" i="10" s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19" i="1"/>
  <c r="F20" i="10" s="1"/>
  <c r="AH20" i="1"/>
  <c r="F21" i="10" s="1"/>
  <c r="AH21" i="1"/>
  <c r="F22" i="10" s="1"/>
  <c r="AH22" i="1"/>
  <c r="F23" i="10" s="1"/>
  <c r="AH18" i="1"/>
  <c r="F19" i="10" s="1"/>
  <c r="AF19" i="1"/>
  <c r="E20" i="10" s="1"/>
  <c r="AF20" i="1"/>
  <c r="E21" i="10" s="1"/>
  <c r="AF21" i="1"/>
  <c r="E22" i="10" s="1"/>
  <c r="AF22" i="1"/>
  <c r="E23" i="10" s="1"/>
  <c r="AF23" i="1"/>
  <c r="E24" i="10" s="1"/>
  <c r="AF24" i="1"/>
  <c r="E25" i="10" s="1"/>
  <c r="AF25" i="1"/>
  <c r="E26" i="10" s="1"/>
  <c r="AF26" i="1"/>
  <c r="E27" i="10" s="1"/>
  <c r="AF27" i="1"/>
  <c r="E28" i="10" s="1"/>
  <c r="AF28" i="1"/>
  <c r="E29" i="10" s="1"/>
  <c r="AF29" i="1"/>
  <c r="E30" i="10" s="1"/>
  <c r="AF30" i="1"/>
  <c r="E31" i="10" s="1"/>
  <c r="AF31" i="1"/>
  <c r="E32" i="10" s="1"/>
  <c r="AF32" i="1"/>
  <c r="E33" i="10" s="1"/>
  <c r="AF33" i="1"/>
  <c r="E34" i="10" s="1"/>
  <c r="AF34" i="1"/>
  <c r="E35" i="10" s="1"/>
  <c r="AF35" i="1"/>
  <c r="E36" i="10" s="1"/>
  <c r="AF36" i="1"/>
  <c r="E37" i="10" s="1"/>
  <c r="AF37" i="1"/>
  <c r="E38" i="10" s="1"/>
  <c r="AF38" i="1"/>
  <c r="E39" i="10" s="1"/>
  <c r="AF39" i="1"/>
  <c r="E40" i="10" s="1"/>
  <c r="AF40" i="1"/>
  <c r="E41" i="10" s="1"/>
  <c r="AF41" i="1"/>
  <c r="E42" i="10" s="1"/>
  <c r="AF42" i="1"/>
  <c r="E43" i="10" s="1"/>
  <c r="AF43" i="1"/>
  <c r="E44" i="10" s="1"/>
  <c r="AF44" i="1"/>
  <c r="E45" i="10" s="1"/>
  <c r="AF45" i="1"/>
  <c r="E46" i="10" s="1"/>
  <c r="AF46" i="1"/>
  <c r="E47" i="10" s="1"/>
  <c r="AF47" i="1"/>
  <c r="E48" i="10" s="1"/>
  <c r="AF48" i="1"/>
  <c r="E49" i="10" s="1"/>
  <c r="AF49" i="1"/>
  <c r="E50" i="10" s="1"/>
  <c r="AF50" i="1"/>
  <c r="E51" i="10" s="1"/>
  <c r="AF51" i="1"/>
  <c r="E52" i="10" s="1"/>
  <c r="AF52" i="1"/>
  <c r="E53" i="10" s="1"/>
  <c r="AF53" i="1"/>
  <c r="E54" i="10" s="1"/>
  <c r="AF54" i="1"/>
  <c r="E55" i="10" s="1"/>
  <c r="AF55" i="1"/>
  <c r="E56" i="10" s="1"/>
  <c r="AF56" i="1"/>
  <c r="E57" i="10" s="1"/>
  <c r="AF57" i="1"/>
  <c r="E58" i="10" s="1"/>
  <c r="AF58" i="1"/>
  <c r="E59" i="10" s="1"/>
  <c r="AF59" i="1"/>
  <c r="E60" i="10" s="1"/>
  <c r="AF60" i="1"/>
  <c r="E61" i="10" s="1"/>
  <c r="AF61" i="1"/>
  <c r="E62" i="10" s="1"/>
  <c r="AF62" i="1"/>
  <c r="E63" i="10" s="1"/>
  <c r="AF63" i="1"/>
  <c r="E64" i="10" s="1"/>
  <c r="AF64" i="1"/>
  <c r="E65" i="10" s="1"/>
  <c r="AF65" i="1"/>
  <c r="E66" i="10" s="1"/>
  <c r="AF66" i="1"/>
  <c r="E67" i="10" s="1"/>
  <c r="AF67" i="1"/>
  <c r="E68" i="10" s="1"/>
  <c r="AF68" i="1"/>
  <c r="E69" i="10" s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18" i="1"/>
  <c r="E19" i="10" s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O179" i="1"/>
  <c r="BO180" i="1"/>
  <c r="BO181" i="1"/>
  <c r="BO182" i="1"/>
  <c r="BO183" i="1"/>
  <c r="BO184" i="1"/>
  <c r="BO185" i="1"/>
  <c r="BO186" i="1"/>
  <c r="BO187" i="1"/>
  <c r="BO188" i="1"/>
  <c r="BO189" i="1"/>
  <c r="BO190" i="1"/>
  <c r="BO191" i="1"/>
  <c r="BO192" i="1"/>
  <c r="BO193" i="1"/>
  <c r="BO194" i="1"/>
  <c r="BO195" i="1"/>
  <c r="BO196" i="1"/>
  <c r="BO197" i="1"/>
  <c r="BO198" i="1"/>
  <c r="BO199" i="1"/>
  <c r="BO200" i="1"/>
  <c r="BO201" i="1"/>
  <c r="BO202" i="1"/>
  <c r="BO203" i="1"/>
  <c r="BO204" i="1"/>
  <c r="BO205" i="1"/>
  <c r="BO206" i="1"/>
  <c r="BO207" i="1"/>
  <c r="BO208" i="1"/>
  <c r="BO209" i="1"/>
  <c r="BO210" i="1"/>
  <c r="BO211" i="1"/>
  <c r="BO212" i="1"/>
  <c r="BO213" i="1"/>
  <c r="BO214" i="1"/>
  <c r="BO215" i="1"/>
  <c r="BO216" i="1"/>
  <c r="BO217" i="1"/>
  <c r="BO218" i="1"/>
  <c r="BO219" i="1"/>
  <c r="BO220" i="1"/>
  <c r="BO221" i="1"/>
  <c r="BO222" i="1"/>
  <c r="BO223" i="1"/>
  <c r="BO224" i="1"/>
  <c r="BO225" i="1"/>
  <c r="BO226" i="1"/>
  <c r="BO227" i="1"/>
  <c r="BO228" i="1"/>
  <c r="BO229" i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2" i="1"/>
  <c r="BO293" i="1"/>
  <c r="BO294" i="1"/>
  <c r="BO295" i="1"/>
  <c r="BO296" i="1"/>
  <c r="BO297" i="1"/>
  <c r="BO298" i="1"/>
  <c r="BO299" i="1"/>
  <c r="BO300" i="1"/>
  <c r="BO301" i="1"/>
  <c r="BO302" i="1"/>
  <c r="BO303" i="1"/>
  <c r="BO304" i="1"/>
  <c r="BO305" i="1"/>
  <c r="BO306" i="1"/>
  <c r="BO307" i="1"/>
  <c r="BO308" i="1"/>
  <c r="BO309" i="1"/>
  <c r="BO310" i="1"/>
  <c r="BO311" i="1"/>
  <c r="BO312" i="1"/>
  <c r="BO313" i="1"/>
  <c r="BO314" i="1"/>
  <c r="BO315" i="1"/>
  <c r="BO316" i="1"/>
  <c r="BO317" i="1"/>
  <c r="BO318" i="1"/>
  <c r="BO319" i="1"/>
  <c r="BO320" i="1"/>
  <c r="BO321" i="1"/>
  <c r="BO322" i="1"/>
  <c r="BO323" i="1"/>
  <c r="BO324" i="1"/>
  <c r="BO325" i="1"/>
  <c r="BO326" i="1"/>
  <c r="BO327" i="1"/>
  <c r="BO328" i="1"/>
  <c r="BO329" i="1"/>
  <c r="BO330" i="1"/>
  <c r="BO331" i="1"/>
  <c r="BO332" i="1"/>
  <c r="BO333" i="1"/>
  <c r="BO334" i="1"/>
  <c r="BO335" i="1"/>
  <c r="BO336" i="1"/>
  <c r="BO337" i="1"/>
  <c r="BO338" i="1"/>
  <c r="BO339" i="1"/>
  <c r="BO340" i="1"/>
  <c r="BO341" i="1"/>
  <c r="BO342" i="1"/>
  <c r="BO343" i="1"/>
  <c r="BO344" i="1"/>
  <c r="BO345" i="1"/>
  <c r="BO346" i="1"/>
  <c r="BO347" i="1"/>
  <c r="BO348" i="1"/>
  <c r="BO349" i="1"/>
  <c r="BO350" i="1"/>
  <c r="BO351" i="1"/>
  <c r="BO352" i="1"/>
  <c r="BO353" i="1"/>
  <c r="BO354" i="1"/>
  <c r="BO355" i="1"/>
  <c r="BO356" i="1"/>
  <c r="BO357" i="1"/>
  <c r="BO358" i="1"/>
  <c r="BO359" i="1"/>
  <c r="BO360" i="1"/>
  <c r="BO361" i="1"/>
  <c r="BO362" i="1"/>
  <c r="BO363" i="1"/>
  <c r="BO364" i="1"/>
  <c r="BO365" i="1"/>
  <c r="BO366" i="1"/>
  <c r="BO367" i="1"/>
  <c r="BO368" i="1"/>
  <c r="BO369" i="1"/>
  <c r="BO370" i="1"/>
  <c r="BO371" i="1"/>
  <c r="BO372" i="1"/>
  <c r="BO373" i="1"/>
  <c r="BO374" i="1"/>
  <c r="BO375" i="1"/>
  <c r="BO376" i="1"/>
  <c r="BO377" i="1"/>
  <c r="BO378" i="1"/>
  <c r="BO379" i="1"/>
  <c r="BO380" i="1"/>
  <c r="BO381" i="1"/>
  <c r="BO382" i="1"/>
  <c r="BO383" i="1"/>
  <c r="BO384" i="1"/>
  <c r="BO385" i="1"/>
  <c r="BO386" i="1"/>
  <c r="BO387" i="1"/>
  <c r="BO388" i="1"/>
  <c r="BO389" i="1"/>
  <c r="BO390" i="1"/>
  <c r="BO391" i="1"/>
  <c r="BO392" i="1"/>
  <c r="BO393" i="1"/>
  <c r="BO394" i="1"/>
  <c r="BO395" i="1"/>
  <c r="BO396" i="1"/>
  <c r="BO397" i="1"/>
  <c r="BO398" i="1"/>
  <c r="BO399" i="1"/>
  <c r="BO400" i="1"/>
  <c r="BO401" i="1"/>
  <c r="BO402" i="1"/>
  <c r="BO403" i="1"/>
  <c r="BO404" i="1"/>
  <c r="BO405" i="1"/>
  <c r="BO406" i="1"/>
  <c r="BO407" i="1"/>
  <c r="BO408" i="1"/>
  <c r="BO409" i="1"/>
  <c r="BO410" i="1"/>
  <c r="BO411" i="1"/>
  <c r="BO412" i="1"/>
  <c r="BO413" i="1"/>
  <c r="BO414" i="1"/>
  <c r="BO415" i="1"/>
  <c r="BO416" i="1"/>
  <c r="BO417" i="1"/>
  <c r="BO418" i="1"/>
  <c r="BO419" i="1"/>
  <c r="BO420" i="1"/>
  <c r="BO421" i="1"/>
  <c r="BO422" i="1"/>
  <c r="BO423" i="1"/>
  <c r="BO424" i="1"/>
  <c r="BO425" i="1"/>
  <c r="BO426" i="1"/>
  <c r="BO427" i="1"/>
  <c r="BO428" i="1"/>
  <c r="BO429" i="1"/>
  <c r="BO430" i="1"/>
  <c r="BO431" i="1"/>
  <c r="BO432" i="1"/>
  <c r="BO433" i="1"/>
  <c r="BO434" i="1"/>
  <c r="BO435" i="1"/>
  <c r="BO436" i="1"/>
  <c r="BO437" i="1"/>
  <c r="BO438" i="1"/>
  <c r="BO439" i="1"/>
  <c r="BO440" i="1"/>
  <c r="BO441" i="1"/>
  <c r="BO442" i="1"/>
  <c r="BO443" i="1"/>
  <c r="BO444" i="1"/>
  <c r="BO445" i="1"/>
  <c r="BO446" i="1"/>
  <c r="BO447" i="1"/>
  <c r="BO448" i="1"/>
  <c r="BO449" i="1"/>
  <c r="BO450" i="1"/>
  <c r="BO451" i="1"/>
  <c r="BO452" i="1"/>
  <c r="BO453" i="1"/>
  <c r="BO454" i="1"/>
  <c r="BO455" i="1"/>
  <c r="BO456" i="1"/>
  <c r="BO457" i="1"/>
  <c r="BO458" i="1"/>
  <c r="BO459" i="1"/>
  <c r="BO460" i="1"/>
  <c r="BO461" i="1"/>
  <c r="BO462" i="1"/>
  <c r="BO463" i="1"/>
  <c r="BO464" i="1"/>
  <c r="BO465" i="1"/>
  <c r="BO466" i="1"/>
  <c r="BO467" i="1"/>
  <c r="BO468" i="1"/>
  <c r="BO469" i="1"/>
  <c r="BO470" i="1"/>
  <c r="BO471" i="1"/>
  <c r="BO472" i="1"/>
  <c r="BO473" i="1"/>
  <c r="BO474" i="1"/>
  <c r="BO475" i="1"/>
  <c r="BO476" i="1"/>
  <c r="BO477" i="1"/>
  <c r="BO478" i="1"/>
  <c r="BO479" i="1"/>
  <c r="BO480" i="1"/>
  <c r="BO481" i="1"/>
  <c r="BO482" i="1"/>
  <c r="BO483" i="1"/>
  <c r="BO484" i="1"/>
  <c r="BO485" i="1"/>
  <c r="BO486" i="1"/>
  <c r="BO487" i="1"/>
  <c r="BO488" i="1"/>
  <c r="BO489" i="1"/>
  <c r="BO490" i="1"/>
  <c r="BO491" i="1"/>
  <c r="BO492" i="1"/>
  <c r="BO493" i="1"/>
  <c r="BO494" i="1"/>
  <c r="BO495" i="1"/>
  <c r="BO496" i="1"/>
  <c r="BO497" i="1"/>
  <c r="BO498" i="1"/>
  <c r="BO499" i="1"/>
  <c r="BO500" i="1"/>
  <c r="BO501" i="1"/>
  <c r="BO502" i="1"/>
  <c r="BO503" i="1"/>
  <c r="BO504" i="1"/>
  <c r="BO505" i="1"/>
  <c r="BO506" i="1"/>
  <c r="BO507" i="1"/>
  <c r="BO508" i="1"/>
  <c r="BO509" i="1"/>
  <c r="BO510" i="1"/>
  <c r="BO511" i="1"/>
  <c r="BO512" i="1"/>
  <c r="BO513" i="1"/>
  <c r="BO514" i="1"/>
  <c r="BO515" i="1"/>
  <c r="BO516" i="1"/>
  <c r="BO517" i="1"/>
  <c r="BO518" i="1"/>
  <c r="BO18" i="1"/>
  <c r="H69" i="10"/>
  <c r="G69" i="10"/>
  <c r="D69" i="10"/>
  <c r="C69" i="10"/>
  <c r="B69" i="10"/>
  <c r="A69" i="10"/>
  <c r="H68" i="10"/>
  <c r="G68" i="10"/>
  <c r="D68" i="10"/>
  <c r="C68" i="10"/>
  <c r="B68" i="10"/>
  <c r="A68" i="10"/>
  <c r="H67" i="10"/>
  <c r="G67" i="10"/>
  <c r="D67" i="10"/>
  <c r="C67" i="10"/>
  <c r="B67" i="10"/>
  <c r="A67" i="10"/>
  <c r="H66" i="10"/>
  <c r="G66" i="10"/>
  <c r="D66" i="10"/>
  <c r="C66" i="10"/>
  <c r="B66" i="10"/>
  <c r="A66" i="10"/>
  <c r="H65" i="10"/>
  <c r="G65" i="10"/>
  <c r="D65" i="10"/>
  <c r="C65" i="10"/>
  <c r="B65" i="10"/>
  <c r="A65" i="10"/>
  <c r="H64" i="10"/>
  <c r="G64" i="10"/>
  <c r="D64" i="10"/>
  <c r="C64" i="10"/>
  <c r="B64" i="10"/>
  <c r="A64" i="10"/>
  <c r="H63" i="10"/>
  <c r="G63" i="10"/>
  <c r="D63" i="10"/>
  <c r="C63" i="10"/>
  <c r="B63" i="10"/>
  <c r="A63" i="10"/>
  <c r="H62" i="10"/>
  <c r="G62" i="10"/>
  <c r="D62" i="10"/>
  <c r="C62" i="10"/>
  <c r="B62" i="10"/>
  <c r="A62" i="10"/>
  <c r="H61" i="10"/>
  <c r="G61" i="10"/>
  <c r="D61" i="10"/>
  <c r="C61" i="10"/>
  <c r="B61" i="10"/>
  <c r="A61" i="10"/>
  <c r="H60" i="10"/>
  <c r="G60" i="10"/>
  <c r="D60" i="10"/>
  <c r="C60" i="10"/>
  <c r="B60" i="10"/>
  <c r="A60" i="10"/>
  <c r="H59" i="10"/>
  <c r="G59" i="10"/>
  <c r="D59" i="10"/>
  <c r="C59" i="10"/>
  <c r="B59" i="10"/>
  <c r="A59" i="10"/>
  <c r="H58" i="10"/>
  <c r="G58" i="10"/>
  <c r="D58" i="10"/>
  <c r="C58" i="10"/>
  <c r="B58" i="10"/>
  <c r="A58" i="10"/>
  <c r="H57" i="10"/>
  <c r="G57" i="10"/>
  <c r="D57" i="10"/>
  <c r="C57" i="10"/>
  <c r="B57" i="10"/>
  <c r="A57" i="10"/>
  <c r="H56" i="10"/>
  <c r="G56" i="10"/>
  <c r="D56" i="10"/>
  <c r="C56" i="10"/>
  <c r="B56" i="10"/>
  <c r="A56" i="10"/>
  <c r="H55" i="10"/>
  <c r="G55" i="10"/>
  <c r="D55" i="10"/>
  <c r="C55" i="10"/>
  <c r="B55" i="10"/>
  <c r="A55" i="10"/>
  <c r="H54" i="10"/>
  <c r="G54" i="10"/>
  <c r="D54" i="10"/>
  <c r="C54" i="10"/>
  <c r="B54" i="10"/>
  <c r="A54" i="10"/>
  <c r="H53" i="10"/>
  <c r="G53" i="10"/>
  <c r="D53" i="10"/>
  <c r="C53" i="10"/>
  <c r="B53" i="10"/>
  <c r="A53" i="10"/>
  <c r="H52" i="10"/>
  <c r="G52" i="10"/>
  <c r="D52" i="10"/>
  <c r="C52" i="10"/>
  <c r="B52" i="10"/>
  <c r="A52" i="10"/>
  <c r="H51" i="10"/>
  <c r="G51" i="10"/>
  <c r="D51" i="10"/>
  <c r="C51" i="10"/>
  <c r="B51" i="10"/>
  <c r="A51" i="10"/>
  <c r="H50" i="10"/>
  <c r="G50" i="10"/>
  <c r="D50" i="10"/>
  <c r="C50" i="10"/>
  <c r="B50" i="10"/>
  <c r="A50" i="10"/>
  <c r="H49" i="10"/>
  <c r="G49" i="10"/>
  <c r="D49" i="10"/>
  <c r="C49" i="10"/>
  <c r="B49" i="10"/>
  <c r="A49" i="10"/>
  <c r="H48" i="10"/>
  <c r="G48" i="10"/>
  <c r="D48" i="10"/>
  <c r="C48" i="10"/>
  <c r="B48" i="10"/>
  <c r="A48" i="10"/>
  <c r="H47" i="10"/>
  <c r="G47" i="10"/>
  <c r="D47" i="10"/>
  <c r="C47" i="10"/>
  <c r="B47" i="10"/>
  <c r="A47" i="10"/>
  <c r="H46" i="10"/>
  <c r="G46" i="10"/>
  <c r="D46" i="10"/>
  <c r="C46" i="10"/>
  <c r="B46" i="10"/>
  <c r="A46" i="10"/>
  <c r="H45" i="10"/>
  <c r="G45" i="10"/>
  <c r="D45" i="10"/>
  <c r="C45" i="10"/>
  <c r="B45" i="10"/>
  <c r="A45" i="10"/>
  <c r="H44" i="10"/>
  <c r="G44" i="10"/>
  <c r="D44" i="10"/>
  <c r="C44" i="10"/>
  <c r="B44" i="10"/>
  <c r="A44" i="10"/>
  <c r="H43" i="10"/>
  <c r="G43" i="10"/>
  <c r="D43" i="10"/>
  <c r="C43" i="10"/>
  <c r="B43" i="10"/>
  <c r="A43" i="10"/>
  <c r="H42" i="10"/>
  <c r="G42" i="10"/>
  <c r="D42" i="10"/>
  <c r="C42" i="10"/>
  <c r="B42" i="10"/>
  <c r="A42" i="10"/>
  <c r="H41" i="10"/>
  <c r="G41" i="10"/>
  <c r="D41" i="10"/>
  <c r="C41" i="10"/>
  <c r="B41" i="10"/>
  <c r="A41" i="10"/>
  <c r="H40" i="10"/>
  <c r="G40" i="10"/>
  <c r="D40" i="10"/>
  <c r="C40" i="10"/>
  <c r="B40" i="10"/>
  <c r="A40" i="10"/>
  <c r="H39" i="10"/>
  <c r="G39" i="10"/>
  <c r="D39" i="10"/>
  <c r="C39" i="10"/>
  <c r="B39" i="10"/>
  <c r="A39" i="10"/>
  <c r="H38" i="10"/>
  <c r="G38" i="10"/>
  <c r="D38" i="10"/>
  <c r="C38" i="10"/>
  <c r="B38" i="10"/>
  <c r="A38" i="10"/>
  <c r="H37" i="10"/>
  <c r="G37" i="10"/>
  <c r="D37" i="10"/>
  <c r="C37" i="10"/>
  <c r="B37" i="10"/>
  <c r="A37" i="10"/>
  <c r="H36" i="10"/>
  <c r="G36" i="10"/>
  <c r="D36" i="10"/>
  <c r="C36" i="10"/>
  <c r="B36" i="10"/>
  <c r="A36" i="10"/>
  <c r="H35" i="10"/>
  <c r="G35" i="10"/>
  <c r="D35" i="10"/>
  <c r="C35" i="10"/>
  <c r="B35" i="10"/>
  <c r="A35" i="10"/>
  <c r="H34" i="10"/>
  <c r="G34" i="10"/>
  <c r="D34" i="10"/>
  <c r="C34" i="10"/>
  <c r="B34" i="10"/>
  <c r="A34" i="10"/>
  <c r="H33" i="10"/>
  <c r="G33" i="10"/>
  <c r="D33" i="10"/>
  <c r="C33" i="10"/>
  <c r="B33" i="10"/>
  <c r="A33" i="10"/>
  <c r="H32" i="10"/>
  <c r="G32" i="10"/>
  <c r="D32" i="10"/>
  <c r="C32" i="10"/>
  <c r="B32" i="10"/>
  <c r="A32" i="10"/>
  <c r="H31" i="10"/>
  <c r="G31" i="10"/>
  <c r="D31" i="10"/>
  <c r="C31" i="10"/>
  <c r="B31" i="10"/>
  <c r="A31" i="10"/>
  <c r="H30" i="10"/>
  <c r="G30" i="10"/>
  <c r="D30" i="10"/>
  <c r="C30" i="10"/>
  <c r="B30" i="10"/>
  <c r="A30" i="10"/>
  <c r="H29" i="10"/>
  <c r="G29" i="10"/>
  <c r="D29" i="10"/>
  <c r="C29" i="10"/>
  <c r="B29" i="10"/>
  <c r="A29" i="10"/>
  <c r="H28" i="10"/>
  <c r="G28" i="10"/>
  <c r="D28" i="10"/>
  <c r="C28" i="10"/>
  <c r="B28" i="10"/>
  <c r="A28" i="10"/>
  <c r="H27" i="10"/>
  <c r="G27" i="10"/>
  <c r="D27" i="10"/>
  <c r="C27" i="10"/>
  <c r="B27" i="10"/>
  <c r="A27" i="10"/>
  <c r="H26" i="10"/>
  <c r="G26" i="10"/>
  <c r="D26" i="10"/>
  <c r="C26" i="10"/>
  <c r="B26" i="10"/>
  <c r="A26" i="10"/>
  <c r="H25" i="10"/>
  <c r="G25" i="10"/>
  <c r="D25" i="10"/>
  <c r="C25" i="10"/>
  <c r="B25" i="10"/>
  <c r="A25" i="10"/>
  <c r="H24" i="10"/>
  <c r="G24" i="10"/>
  <c r="D24" i="10"/>
  <c r="C24" i="10"/>
  <c r="B24" i="10"/>
  <c r="A24" i="10"/>
  <c r="H23" i="10"/>
  <c r="G23" i="10"/>
  <c r="D23" i="10"/>
  <c r="C23" i="10"/>
  <c r="B23" i="10"/>
  <c r="A23" i="10"/>
  <c r="H22" i="10"/>
  <c r="G22" i="10"/>
  <c r="D22" i="10"/>
  <c r="C22" i="10"/>
  <c r="B22" i="10"/>
  <c r="A22" i="10"/>
  <c r="H21" i="10"/>
  <c r="G21" i="10"/>
  <c r="D21" i="10"/>
  <c r="C21" i="10"/>
  <c r="B21" i="10"/>
  <c r="A21" i="10"/>
  <c r="H20" i="10"/>
  <c r="G20" i="10"/>
  <c r="D20" i="10"/>
  <c r="C20" i="10"/>
  <c r="B20" i="10"/>
  <c r="A20" i="10"/>
  <c r="H19" i="10"/>
  <c r="G19" i="10"/>
  <c r="D19" i="10"/>
  <c r="C19" i="10"/>
  <c r="B19" i="10"/>
  <c r="A19" i="10"/>
  <c r="F18" i="10"/>
  <c r="E18" i="10"/>
  <c r="D18" i="10"/>
  <c r="C18" i="10"/>
  <c r="B18" i="10"/>
  <c r="Q21" i="10" l="1"/>
  <c r="BF20" i="1" s="1"/>
  <c r="P21" i="10"/>
  <c r="P69" i="10"/>
  <c r="Q69" i="10"/>
  <c r="BF68" i="1" s="1"/>
  <c r="M69" i="10"/>
  <c r="BB68" i="1" s="1"/>
  <c r="L69" i="10"/>
  <c r="BA68" i="1" s="1"/>
  <c r="N69" i="10"/>
  <c r="K69" i="10"/>
  <c r="AZ68" i="1" s="1"/>
  <c r="J69" i="10"/>
  <c r="AY68" i="1" s="1"/>
  <c r="Q68" i="10"/>
  <c r="BF67" i="1" s="1"/>
  <c r="P68" i="10"/>
  <c r="N68" i="10"/>
  <c r="J68" i="10"/>
  <c r="AY67" i="1" s="1"/>
  <c r="K68" i="10"/>
  <c r="AZ67" i="1" s="1"/>
  <c r="M68" i="10"/>
  <c r="BB67" i="1" s="1"/>
  <c r="L68" i="10"/>
  <c r="BA67" i="1" s="1"/>
  <c r="P67" i="10"/>
  <c r="Q67" i="10"/>
  <c r="BF66" i="1" s="1"/>
  <c r="J67" i="10"/>
  <c r="AY66" i="1" s="1"/>
  <c r="N67" i="10"/>
  <c r="M67" i="10"/>
  <c r="BB66" i="1" s="1"/>
  <c r="K67" i="10"/>
  <c r="AZ66" i="1" s="1"/>
  <c r="L67" i="10"/>
  <c r="BA66" i="1" s="1"/>
  <c r="P66" i="10"/>
  <c r="Q66" i="10"/>
  <c r="BF65" i="1" s="1"/>
  <c r="J66" i="10"/>
  <c r="AY65" i="1" s="1"/>
  <c r="N66" i="10"/>
  <c r="M66" i="10"/>
  <c r="BB65" i="1" s="1"/>
  <c r="K66" i="10"/>
  <c r="AZ65" i="1" s="1"/>
  <c r="L66" i="10"/>
  <c r="BA65" i="1" s="1"/>
  <c r="Q65" i="10"/>
  <c r="BF64" i="1" s="1"/>
  <c r="P65" i="10"/>
  <c r="J65" i="10"/>
  <c r="AY64" i="1" s="1"/>
  <c r="M65" i="10"/>
  <c r="BB64" i="1" s="1"/>
  <c r="N65" i="10"/>
  <c r="K65" i="10"/>
  <c r="AZ64" i="1" s="1"/>
  <c r="L65" i="10"/>
  <c r="BA64" i="1" s="1"/>
  <c r="Q64" i="10"/>
  <c r="BF63" i="1" s="1"/>
  <c r="P64" i="10"/>
  <c r="L64" i="10"/>
  <c r="BA63" i="1" s="1"/>
  <c r="M64" i="10"/>
  <c r="BB63" i="1" s="1"/>
  <c r="J64" i="10"/>
  <c r="AY63" i="1" s="1"/>
  <c r="K64" i="10"/>
  <c r="AZ63" i="1" s="1"/>
  <c r="N64" i="10"/>
  <c r="Q63" i="10"/>
  <c r="BF62" i="1" s="1"/>
  <c r="P63" i="10"/>
  <c r="J63" i="10"/>
  <c r="AY62" i="1" s="1"/>
  <c r="K63" i="10"/>
  <c r="AZ62" i="1" s="1"/>
  <c r="L63" i="10"/>
  <c r="BA62" i="1" s="1"/>
  <c r="M63" i="10"/>
  <c r="BB62" i="1" s="1"/>
  <c r="N63" i="10"/>
  <c r="P62" i="10"/>
  <c r="Q62" i="10"/>
  <c r="BF61" i="1" s="1"/>
  <c r="J62" i="10"/>
  <c r="AY61" i="1" s="1"/>
  <c r="K62" i="10"/>
  <c r="AZ61" i="1" s="1"/>
  <c r="L62" i="10"/>
  <c r="BA61" i="1" s="1"/>
  <c r="M62" i="10"/>
  <c r="BB61" i="1" s="1"/>
  <c r="N62" i="10"/>
  <c r="P61" i="10"/>
  <c r="Q61" i="10"/>
  <c r="BF60" i="1" s="1"/>
  <c r="L61" i="10"/>
  <c r="BA60" i="1" s="1"/>
  <c r="M61" i="10"/>
  <c r="BB60" i="1" s="1"/>
  <c r="K61" i="10"/>
  <c r="AZ60" i="1" s="1"/>
  <c r="N61" i="10"/>
  <c r="J61" i="10"/>
  <c r="AY60" i="1" s="1"/>
  <c r="P60" i="10"/>
  <c r="Q60" i="10"/>
  <c r="BF59" i="1" s="1"/>
  <c r="K60" i="10"/>
  <c r="AZ59" i="1" s="1"/>
  <c r="J60" i="10"/>
  <c r="AY59" i="1" s="1"/>
  <c r="L60" i="10"/>
  <c r="BA59" i="1" s="1"/>
  <c r="M60" i="10"/>
  <c r="BB59" i="1" s="1"/>
  <c r="N60" i="10"/>
  <c r="P59" i="10"/>
  <c r="Q59" i="10"/>
  <c r="BF58" i="1" s="1"/>
  <c r="J59" i="10"/>
  <c r="AY58" i="1" s="1"/>
  <c r="N59" i="10"/>
  <c r="L59" i="10"/>
  <c r="BA58" i="1" s="1"/>
  <c r="M59" i="10"/>
  <c r="BB58" i="1" s="1"/>
  <c r="K59" i="10"/>
  <c r="AZ58" i="1" s="1"/>
  <c r="Q58" i="10"/>
  <c r="BF57" i="1" s="1"/>
  <c r="P58" i="10"/>
  <c r="N58" i="10"/>
  <c r="J58" i="10"/>
  <c r="AY57" i="1" s="1"/>
  <c r="L58" i="10"/>
  <c r="BA57" i="1" s="1"/>
  <c r="M58" i="10"/>
  <c r="BB57" i="1" s="1"/>
  <c r="K58" i="10"/>
  <c r="AZ57" i="1" s="1"/>
  <c r="Q57" i="10"/>
  <c r="BF56" i="1" s="1"/>
  <c r="P57" i="10"/>
  <c r="N57" i="10"/>
  <c r="O57" i="10" s="1"/>
  <c r="M57" i="10"/>
  <c r="BB56" i="1" s="1"/>
  <c r="L57" i="10"/>
  <c r="BA56" i="1" s="1"/>
  <c r="K57" i="10"/>
  <c r="AZ56" i="1" s="1"/>
  <c r="J57" i="10"/>
  <c r="AY56" i="1" s="1"/>
  <c r="Q56" i="10"/>
  <c r="BF55" i="1" s="1"/>
  <c r="P56" i="10"/>
  <c r="M56" i="10"/>
  <c r="BB55" i="1" s="1"/>
  <c r="L56" i="10"/>
  <c r="BA55" i="1" s="1"/>
  <c r="K56" i="10"/>
  <c r="AZ55" i="1" s="1"/>
  <c r="J56" i="10"/>
  <c r="AY55" i="1" s="1"/>
  <c r="N56" i="10"/>
  <c r="O56" i="10" s="1"/>
  <c r="Q55" i="10"/>
  <c r="BF54" i="1" s="1"/>
  <c r="P55" i="10"/>
  <c r="N55" i="10"/>
  <c r="O55" i="10" s="1"/>
  <c r="L55" i="10"/>
  <c r="BA54" i="1" s="1"/>
  <c r="M55" i="10"/>
  <c r="BB54" i="1" s="1"/>
  <c r="K55" i="10"/>
  <c r="AZ54" i="1" s="1"/>
  <c r="J55" i="10"/>
  <c r="AY54" i="1" s="1"/>
  <c r="P54" i="10"/>
  <c r="Q54" i="10"/>
  <c r="BF53" i="1" s="1"/>
  <c r="N54" i="10"/>
  <c r="O54" i="10" s="1"/>
  <c r="L54" i="10"/>
  <c r="BA53" i="1" s="1"/>
  <c r="M54" i="10"/>
  <c r="BB53" i="1" s="1"/>
  <c r="K54" i="10"/>
  <c r="AZ53" i="1" s="1"/>
  <c r="J54" i="10"/>
  <c r="AY53" i="1" s="1"/>
  <c r="P53" i="10"/>
  <c r="Q53" i="10"/>
  <c r="BF52" i="1" s="1"/>
  <c r="J53" i="10"/>
  <c r="AY52" i="1" s="1"/>
  <c r="N53" i="10"/>
  <c r="M53" i="10"/>
  <c r="BB52" i="1" s="1"/>
  <c r="L53" i="10"/>
  <c r="BA52" i="1" s="1"/>
  <c r="K53" i="10"/>
  <c r="AZ52" i="1" s="1"/>
  <c r="P52" i="10"/>
  <c r="Q52" i="10"/>
  <c r="BF51" i="1" s="1"/>
  <c r="L52" i="10"/>
  <c r="BA51" i="1" s="1"/>
  <c r="K52" i="10"/>
  <c r="AZ51" i="1" s="1"/>
  <c r="N52" i="10"/>
  <c r="M52" i="10"/>
  <c r="BB51" i="1" s="1"/>
  <c r="J52" i="10"/>
  <c r="AY51" i="1" s="1"/>
  <c r="P51" i="10"/>
  <c r="Q51" i="10"/>
  <c r="BF50" i="1" s="1"/>
  <c r="M51" i="10"/>
  <c r="BB50" i="1" s="1"/>
  <c r="K51" i="10"/>
  <c r="AZ50" i="1" s="1"/>
  <c r="N51" i="10"/>
  <c r="J51" i="10"/>
  <c r="AY50" i="1" s="1"/>
  <c r="L51" i="10"/>
  <c r="BA50" i="1" s="1"/>
  <c r="Q50" i="10"/>
  <c r="BF49" i="1" s="1"/>
  <c r="P50" i="10"/>
  <c r="K50" i="10"/>
  <c r="AZ49" i="1" s="1"/>
  <c r="N50" i="10"/>
  <c r="L50" i="10"/>
  <c r="BA49" i="1" s="1"/>
  <c r="J50" i="10"/>
  <c r="AY49" i="1" s="1"/>
  <c r="M50" i="10"/>
  <c r="BB49" i="1" s="1"/>
  <c r="Q49" i="10"/>
  <c r="BF48" i="1" s="1"/>
  <c r="P49" i="10"/>
  <c r="K49" i="10"/>
  <c r="AZ48" i="1" s="1"/>
  <c r="N49" i="10"/>
  <c r="L49" i="10"/>
  <c r="BA48" i="1" s="1"/>
  <c r="M49" i="10"/>
  <c r="BB48" i="1" s="1"/>
  <c r="J49" i="10"/>
  <c r="AY48" i="1" s="1"/>
  <c r="Q48" i="10"/>
  <c r="BF47" i="1" s="1"/>
  <c r="P48" i="10"/>
  <c r="J48" i="10"/>
  <c r="AY47" i="1" s="1"/>
  <c r="M48" i="10"/>
  <c r="BB47" i="1" s="1"/>
  <c r="N48" i="10"/>
  <c r="K48" i="10"/>
  <c r="AZ47" i="1" s="1"/>
  <c r="L48" i="10"/>
  <c r="BA47" i="1" s="1"/>
  <c r="Q47" i="10"/>
  <c r="BF46" i="1" s="1"/>
  <c r="P47" i="10"/>
  <c r="J47" i="10"/>
  <c r="AY46" i="1" s="1"/>
  <c r="M47" i="10"/>
  <c r="BB46" i="1" s="1"/>
  <c r="K47" i="10"/>
  <c r="AZ46" i="1" s="1"/>
  <c r="L47" i="10"/>
  <c r="BA46" i="1" s="1"/>
  <c r="N47" i="10"/>
  <c r="P46" i="10"/>
  <c r="Q46" i="10"/>
  <c r="BF45" i="1" s="1"/>
  <c r="J46" i="10"/>
  <c r="AY45" i="1" s="1"/>
  <c r="M46" i="10"/>
  <c r="BB45" i="1" s="1"/>
  <c r="K46" i="10"/>
  <c r="AZ45" i="1" s="1"/>
  <c r="N46" i="10"/>
  <c r="O46" i="10" s="1"/>
  <c r="L46" i="10"/>
  <c r="BA45" i="1" s="1"/>
  <c r="P45" i="10"/>
  <c r="Q45" i="10"/>
  <c r="BF44" i="1" s="1"/>
  <c r="L45" i="10"/>
  <c r="BA44" i="1" s="1"/>
  <c r="M45" i="10"/>
  <c r="BB44" i="1" s="1"/>
  <c r="K45" i="10"/>
  <c r="AZ44" i="1" s="1"/>
  <c r="J45" i="10"/>
  <c r="AY44" i="1" s="1"/>
  <c r="N45" i="10"/>
  <c r="O45" i="10" s="1"/>
  <c r="P44" i="10"/>
  <c r="Q44" i="10"/>
  <c r="BF43" i="1" s="1"/>
  <c r="M44" i="10"/>
  <c r="BB43" i="1" s="1"/>
  <c r="N44" i="10"/>
  <c r="O44" i="10" s="1"/>
  <c r="J44" i="10"/>
  <c r="AY43" i="1" s="1"/>
  <c r="K44" i="10"/>
  <c r="AZ43" i="1" s="1"/>
  <c r="L44" i="10"/>
  <c r="BA43" i="1" s="1"/>
  <c r="P43" i="10"/>
  <c r="Q43" i="10"/>
  <c r="BF42" i="1" s="1"/>
  <c r="M43" i="10"/>
  <c r="BB42" i="1" s="1"/>
  <c r="L43" i="10"/>
  <c r="BA42" i="1" s="1"/>
  <c r="N43" i="10"/>
  <c r="O43" i="10" s="1"/>
  <c r="K43" i="10"/>
  <c r="AZ42" i="1" s="1"/>
  <c r="J43" i="10"/>
  <c r="AY42" i="1" s="1"/>
  <c r="P42" i="10"/>
  <c r="Q42" i="10"/>
  <c r="BF41" i="1" s="1"/>
  <c r="J42" i="10"/>
  <c r="AY41" i="1" s="1"/>
  <c r="M42" i="10"/>
  <c r="BB41" i="1" s="1"/>
  <c r="L42" i="10"/>
  <c r="BA41" i="1" s="1"/>
  <c r="K42" i="10"/>
  <c r="AZ41" i="1" s="1"/>
  <c r="N42" i="10"/>
  <c r="O42" i="10" s="1"/>
  <c r="P41" i="10"/>
  <c r="Q41" i="10"/>
  <c r="BF40" i="1" s="1"/>
  <c r="K41" i="10"/>
  <c r="AZ40" i="1" s="1"/>
  <c r="N41" i="10"/>
  <c r="J41" i="10"/>
  <c r="AY40" i="1" s="1"/>
  <c r="L41" i="10"/>
  <c r="BA40" i="1" s="1"/>
  <c r="M41" i="10"/>
  <c r="BB40" i="1" s="1"/>
  <c r="Q40" i="10"/>
  <c r="BF39" i="1" s="1"/>
  <c r="P40" i="10"/>
  <c r="K40" i="10"/>
  <c r="AZ39" i="1" s="1"/>
  <c r="M40" i="10"/>
  <c r="BB39" i="1" s="1"/>
  <c r="L40" i="10"/>
  <c r="BA39" i="1" s="1"/>
  <c r="J40" i="10"/>
  <c r="AY39" i="1" s="1"/>
  <c r="N40" i="10"/>
  <c r="P39" i="10"/>
  <c r="Q39" i="10"/>
  <c r="BF38" i="1" s="1"/>
  <c r="J39" i="10"/>
  <c r="AY38" i="1" s="1"/>
  <c r="K39" i="10"/>
  <c r="AZ38" i="1" s="1"/>
  <c r="N39" i="10"/>
  <c r="M39" i="10"/>
  <c r="BB38" i="1" s="1"/>
  <c r="L39" i="10"/>
  <c r="BA38" i="1" s="1"/>
  <c r="P38" i="10"/>
  <c r="Q38" i="10"/>
  <c r="BF37" i="1" s="1"/>
  <c r="L38" i="10"/>
  <c r="BA37" i="1" s="1"/>
  <c r="N38" i="10"/>
  <c r="J38" i="10"/>
  <c r="AY37" i="1" s="1"/>
  <c r="M38" i="10"/>
  <c r="BB37" i="1" s="1"/>
  <c r="K38" i="10"/>
  <c r="AZ37" i="1" s="1"/>
  <c r="P37" i="10"/>
  <c r="Q37" i="10"/>
  <c r="BF36" i="1" s="1"/>
  <c r="N37" i="10"/>
  <c r="M37" i="10"/>
  <c r="BB36" i="1" s="1"/>
  <c r="J37" i="10"/>
  <c r="AY36" i="1" s="1"/>
  <c r="L37" i="10"/>
  <c r="BA36" i="1" s="1"/>
  <c r="K37" i="10"/>
  <c r="AZ36" i="1" s="1"/>
  <c r="Q36" i="10"/>
  <c r="BF35" i="1" s="1"/>
  <c r="P36" i="10"/>
  <c r="N36" i="10"/>
  <c r="K36" i="10"/>
  <c r="AZ35" i="1" s="1"/>
  <c r="J36" i="10"/>
  <c r="AY35" i="1" s="1"/>
  <c r="M36" i="10"/>
  <c r="BB35" i="1" s="1"/>
  <c r="L36" i="10"/>
  <c r="BA35" i="1" s="1"/>
  <c r="Q35" i="10"/>
  <c r="BF34" i="1" s="1"/>
  <c r="P35" i="10"/>
  <c r="J35" i="10"/>
  <c r="AY34" i="1" s="1"/>
  <c r="K35" i="10"/>
  <c r="AZ34" i="1" s="1"/>
  <c r="M35" i="10"/>
  <c r="BB34" i="1" s="1"/>
  <c r="L35" i="10"/>
  <c r="BA34" i="1" s="1"/>
  <c r="N35" i="10"/>
  <c r="O35" i="10" s="1"/>
  <c r="Q34" i="10"/>
  <c r="BF33" i="1" s="1"/>
  <c r="P34" i="10"/>
  <c r="J34" i="10"/>
  <c r="AY33" i="1" s="1"/>
  <c r="L34" i="10"/>
  <c r="BA33" i="1" s="1"/>
  <c r="K34" i="10"/>
  <c r="AZ33" i="1" s="1"/>
  <c r="M34" i="10"/>
  <c r="BB33" i="1" s="1"/>
  <c r="N34" i="10"/>
  <c r="O34" i="10" s="1"/>
  <c r="Q33" i="10"/>
  <c r="BF32" i="1" s="1"/>
  <c r="P33" i="10"/>
  <c r="J33" i="10"/>
  <c r="AY32" i="1" s="1"/>
  <c r="K33" i="10"/>
  <c r="AZ32" i="1" s="1"/>
  <c r="M33" i="10"/>
  <c r="BB32" i="1" s="1"/>
  <c r="N33" i="10"/>
  <c r="O33" i="10" s="1"/>
  <c r="L33" i="10"/>
  <c r="BA32" i="1" s="1"/>
  <c r="P32" i="10"/>
  <c r="Q32" i="10"/>
  <c r="BF31" i="1" s="1"/>
  <c r="K32" i="10"/>
  <c r="AZ31" i="1" s="1"/>
  <c r="M32" i="10"/>
  <c r="BB31" i="1" s="1"/>
  <c r="N32" i="10"/>
  <c r="O32" i="10" s="1"/>
  <c r="L32" i="10"/>
  <c r="BA31" i="1" s="1"/>
  <c r="J32" i="10"/>
  <c r="AY31" i="1" s="1"/>
  <c r="P31" i="10"/>
  <c r="Q31" i="10"/>
  <c r="BF30" i="1" s="1"/>
  <c r="N31" i="10"/>
  <c r="O31" i="10" s="1"/>
  <c r="J31" i="10"/>
  <c r="AY30" i="1" s="1"/>
  <c r="L31" i="10"/>
  <c r="BA30" i="1" s="1"/>
  <c r="K31" i="10"/>
  <c r="AZ30" i="1" s="1"/>
  <c r="M31" i="10"/>
  <c r="BB30" i="1" s="1"/>
  <c r="Q30" i="10"/>
  <c r="BF29" i="1" s="1"/>
  <c r="P30" i="10"/>
  <c r="M30" i="10"/>
  <c r="BB29" i="1" s="1"/>
  <c r="J30" i="10"/>
  <c r="AY29" i="1" s="1"/>
  <c r="L30" i="10"/>
  <c r="BA29" i="1" s="1"/>
  <c r="K30" i="10"/>
  <c r="AZ29" i="1" s="1"/>
  <c r="N30" i="10"/>
  <c r="Q29" i="10"/>
  <c r="BF28" i="1" s="1"/>
  <c r="P29" i="10"/>
  <c r="N29" i="10"/>
  <c r="M29" i="10"/>
  <c r="BB28" i="1" s="1"/>
  <c r="K29" i="10"/>
  <c r="AZ28" i="1" s="1"/>
  <c r="L29" i="10"/>
  <c r="BA28" i="1" s="1"/>
  <c r="J29" i="10"/>
  <c r="AY28" i="1" s="1"/>
  <c r="Q28" i="10"/>
  <c r="BF27" i="1" s="1"/>
  <c r="P28" i="10"/>
  <c r="M28" i="10"/>
  <c r="BB27" i="1" s="1"/>
  <c r="K28" i="10"/>
  <c r="AZ27" i="1" s="1"/>
  <c r="L28" i="10"/>
  <c r="BA27" i="1" s="1"/>
  <c r="J28" i="10"/>
  <c r="AY27" i="1" s="1"/>
  <c r="N28" i="10"/>
  <c r="Q27" i="10"/>
  <c r="BF26" i="1" s="1"/>
  <c r="P27" i="10"/>
  <c r="K27" i="10"/>
  <c r="AZ26" i="1" s="1"/>
  <c r="J27" i="10"/>
  <c r="AY26" i="1" s="1"/>
  <c r="L27" i="10"/>
  <c r="BA26" i="1" s="1"/>
  <c r="N27" i="10"/>
  <c r="M27" i="10"/>
  <c r="BB26" i="1" s="1"/>
  <c r="P26" i="10"/>
  <c r="Q26" i="10"/>
  <c r="BF25" i="1" s="1"/>
  <c r="K26" i="10"/>
  <c r="AZ25" i="1" s="1"/>
  <c r="N26" i="10"/>
  <c r="J26" i="10"/>
  <c r="AY25" i="1" s="1"/>
  <c r="L26" i="10"/>
  <c r="BA25" i="1" s="1"/>
  <c r="M26" i="10"/>
  <c r="BB25" i="1" s="1"/>
  <c r="Q25" i="10"/>
  <c r="BF24" i="1" s="1"/>
  <c r="P25" i="10"/>
  <c r="M25" i="10"/>
  <c r="BB24" i="1" s="1"/>
  <c r="L25" i="10"/>
  <c r="BA24" i="1" s="1"/>
  <c r="K25" i="10"/>
  <c r="AZ24" i="1" s="1"/>
  <c r="J25" i="10"/>
  <c r="AY24" i="1" s="1"/>
  <c r="N25" i="10"/>
  <c r="Q24" i="10"/>
  <c r="BF23" i="1" s="1"/>
  <c r="P24" i="10"/>
  <c r="L24" i="10"/>
  <c r="BA23" i="1" s="1"/>
  <c r="M24" i="10"/>
  <c r="BB23" i="1" s="1"/>
  <c r="J24" i="10"/>
  <c r="AY23" i="1" s="1"/>
  <c r="K24" i="10"/>
  <c r="AZ23" i="1" s="1"/>
  <c r="N24" i="10"/>
  <c r="P23" i="10"/>
  <c r="Q23" i="10"/>
  <c r="BF22" i="1" s="1"/>
  <c r="P22" i="10"/>
  <c r="Q22" i="10"/>
  <c r="BF21" i="1" s="1"/>
  <c r="Q20" i="10"/>
  <c r="BF19" i="1" s="1"/>
  <c r="P20" i="10"/>
  <c r="Q19" i="10"/>
  <c r="BF18" i="1" s="1"/>
  <c r="P19" i="10"/>
  <c r="N23" i="10"/>
  <c r="M23" i="10"/>
  <c r="BB22" i="1" s="1"/>
  <c r="L23" i="10"/>
  <c r="BA22" i="1" s="1"/>
  <c r="K23" i="10"/>
  <c r="AZ22" i="1" s="1"/>
  <c r="J23" i="10"/>
  <c r="AY22" i="1" s="1"/>
  <c r="N22" i="10"/>
  <c r="M22" i="10"/>
  <c r="BB21" i="1" s="1"/>
  <c r="L22" i="10"/>
  <c r="BA21" i="1" s="1"/>
  <c r="K22" i="10"/>
  <c r="AZ21" i="1" s="1"/>
  <c r="J22" i="10"/>
  <c r="AY21" i="1" s="1"/>
  <c r="N21" i="10"/>
  <c r="M21" i="10"/>
  <c r="BB20" i="1" s="1"/>
  <c r="L21" i="10"/>
  <c r="BA20" i="1" s="1"/>
  <c r="K21" i="10"/>
  <c r="AZ20" i="1" s="1"/>
  <c r="J21" i="10"/>
  <c r="AY20" i="1" s="1"/>
  <c r="N20" i="10"/>
  <c r="M20" i="10"/>
  <c r="BB19" i="1" s="1"/>
  <c r="L20" i="10"/>
  <c r="BA19" i="1" s="1"/>
  <c r="K20" i="10"/>
  <c r="AZ19" i="1" s="1"/>
  <c r="J20" i="10"/>
  <c r="AY19" i="1" s="1"/>
  <c r="N19" i="10"/>
  <c r="O19" i="10" s="1"/>
  <c r="M19" i="10"/>
  <c r="BB18" i="1" s="1"/>
  <c r="K19" i="10"/>
  <c r="AZ18" i="1" s="1"/>
  <c r="L19" i="10"/>
  <c r="BA18" i="1" s="1"/>
  <c r="J19" i="10"/>
  <c r="AY18" i="1" s="1"/>
  <c r="BD30" i="1"/>
  <c r="BC30" i="1"/>
  <c r="BD31" i="1"/>
  <c r="BC31" i="1"/>
  <c r="BD32" i="1"/>
  <c r="BC32" i="1"/>
  <c r="BD33" i="1"/>
  <c r="BC33" i="1"/>
  <c r="BD34" i="1"/>
  <c r="BC34" i="1"/>
  <c r="BD41" i="1"/>
  <c r="BC41" i="1"/>
  <c r="BD42" i="1"/>
  <c r="BC42" i="1"/>
  <c r="BD43" i="1"/>
  <c r="BC43" i="1"/>
  <c r="BD44" i="1"/>
  <c r="BC44" i="1"/>
  <c r="BD45" i="1"/>
  <c r="BC45" i="1"/>
  <c r="BD53" i="1"/>
  <c r="BC53" i="1"/>
  <c r="BD54" i="1"/>
  <c r="BC54" i="1"/>
  <c r="BD55" i="1"/>
  <c r="BC55" i="1"/>
  <c r="BD56" i="1"/>
  <c r="BC56" i="1"/>
  <c r="R21" i="10" l="1"/>
  <c r="BG20" i="1" s="1"/>
  <c r="BE20" i="1"/>
  <c r="O69" i="10"/>
  <c r="BD68" i="1" s="1"/>
  <c r="BC68" i="1"/>
  <c r="O68" i="10"/>
  <c r="BD67" i="1" s="1"/>
  <c r="BC67" i="1"/>
  <c r="O67" i="10"/>
  <c r="BD66" i="1" s="1"/>
  <c r="BC66" i="1"/>
  <c r="O30" i="10"/>
  <c r="BD29" i="1" s="1"/>
  <c r="BC29" i="1"/>
  <c r="O66" i="10"/>
  <c r="BD65" i="1" s="1"/>
  <c r="BC65" i="1"/>
  <c r="O41" i="10"/>
  <c r="BD40" i="1" s="1"/>
  <c r="BC40" i="1"/>
  <c r="O29" i="10"/>
  <c r="BD28" i="1" s="1"/>
  <c r="BC28" i="1"/>
  <c r="O65" i="10"/>
  <c r="BD64" i="1" s="1"/>
  <c r="BC64" i="1"/>
  <c r="O64" i="10"/>
  <c r="BD63" i="1" s="1"/>
  <c r="BC63" i="1"/>
  <c r="O63" i="10"/>
  <c r="BD62" i="1" s="1"/>
  <c r="BC62" i="1"/>
  <c r="O62" i="10"/>
  <c r="BD61" i="1" s="1"/>
  <c r="BC61" i="1"/>
  <c r="O61" i="10"/>
  <c r="BD60" i="1" s="1"/>
  <c r="BC60" i="1"/>
  <c r="O60" i="10"/>
  <c r="BD59" i="1" s="1"/>
  <c r="BC59" i="1"/>
  <c r="O59" i="10"/>
  <c r="BD58" i="1" s="1"/>
  <c r="BC58" i="1"/>
  <c r="O58" i="10"/>
  <c r="BD57" i="1" s="1"/>
  <c r="BC57" i="1"/>
  <c r="O53" i="10"/>
  <c r="BD52" i="1" s="1"/>
  <c r="BC52" i="1"/>
  <c r="O52" i="10"/>
  <c r="BD51" i="1" s="1"/>
  <c r="BC51" i="1"/>
  <c r="O51" i="10"/>
  <c r="BD50" i="1" s="1"/>
  <c r="BC50" i="1"/>
  <c r="O50" i="10"/>
  <c r="BD49" i="1" s="1"/>
  <c r="BC49" i="1"/>
  <c r="O49" i="10"/>
  <c r="BD48" i="1" s="1"/>
  <c r="BC48" i="1"/>
  <c r="O48" i="10"/>
  <c r="BD47" i="1" s="1"/>
  <c r="BC47" i="1"/>
  <c r="O47" i="10"/>
  <c r="BD46" i="1" s="1"/>
  <c r="BC46" i="1"/>
  <c r="O40" i="10"/>
  <c r="BD39" i="1" s="1"/>
  <c r="BC39" i="1"/>
  <c r="O39" i="10"/>
  <c r="BD38" i="1" s="1"/>
  <c r="BC38" i="1"/>
  <c r="O38" i="10"/>
  <c r="BD37" i="1" s="1"/>
  <c r="BC37" i="1"/>
  <c r="O37" i="10"/>
  <c r="BD36" i="1" s="1"/>
  <c r="BC36" i="1"/>
  <c r="O36" i="10"/>
  <c r="BD35" i="1" s="1"/>
  <c r="BC35" i="1"/>
  <c r="O28" i="10"/>
  <c r="BD27" i="1" s="1"/>
  <c r="BC27" i="1"/>
  <c r="O27" i="10"/>
  <c r="BD26" i="1" s="1"/>
  <c r="BC26" i="1"/>
  <c r="O26" i="10"/>
  <c r="BD25" i="1" s="1"/>
  <c r="BC25" i="1"/>
  <c r="O25" i="10"/>
  <c r="BD24" i="1" s="1"/>
  <c r="BC24" i="1"/>
  <c r="O24" i="10"/>
  <c r="BD23" i="1" s="1"/>
  <c r="BC23" i="1"/>
  <c r="R69" i="10"/>
  <c r="BG68" i="1" s="1"/>
  <c r="BE68" i="1"/>
  <c r="R68" i="10"/>
  <c r="BG67" i="1" s="1"/>
  <c r="BE67" i="1"/>
  <c r="R67" i="10"/>
  <c r="BG66" i="1" s="1"/>
  <c r="BE66" i="1"/>
  <c r="R66" i="10"/>
  <c r="BG65" i="1" s="1"/>
  <c r="BE65" i="1"/>
  <c r="R65" i="10"/>
  <c r="BG64" i="1" s="1"/>
  <c r="BE64" i="1"/>
  <c r="R64" i="10"/>
  <c r="BG63" i="1" s="1"/>
  <c r="BE63" i="1"/>
  <c r="R63" i="10"/>
  <c r="BG62" i="1" s="1"/>
  <c r="BE62" i="1"/>
  <c r="R62" i="10"/>
  <c r="BG61" i="1" s="1"/>
  <c r="BE61" i="1"/>
  <c r="R61" i="10"/>
  <c r="BG60" i="1" s="1"/>
  <c r="BE60" i="1"/>
  <c r="R60" i="10"/>
  <c r="BG59" i="1" s="1"/>
  <c r="BE59" i="1"/>
  <c r="R59" i="10"/>
  <c r="BG58" i="1" s="1"/>
  <c r="BE58" i="1"/>
  <c r="R58" i="10"/>
  <c r="BG57" i="1" s="1"/>
  <c r="BE57" i="1"/>
  <c r="R57" i="10"/>
  <c r="BG56" i="1" s="1"/>
  <c r="BE56" i="1"/>
  <c r="R56" i="10"/>
  <c r="BG55" i="1" s="1"/>
  <c r="BE55" i="1"/>
  <c r="R55" i="10"/>
  <c r="BG54" i="1" s="1"/>
  <c r="BE54" i="1"/>
  <c r="R54" i="10"/>
  <c r="BG53" i="1" s="1"/>
  <c r="BE53" i="1"/>
  <c r="R53" i="10"/>
  <c r="BG52" i="1" s="1"/>
  <c r="BE52" i="1"/>
  <c r="R52" i="10"/>
  <c r="BG51" i="1" s="1"/>
  <c r="BE51" i="1"/>
  <c r="R51" i="10"/>
  <c r="BG50" i="1" s="1"/>
  <c r="BE50" i="1"/>
  <c r="R50" i="10"/>
  <c r="BG49" i="1" s="1"/>
  <c r="BE49" i="1"/>
  <c r="R49" i="10"/>
  <c r="BG48" i="1" s="1"/>
  <c r="BE48" i="1"/>
  <c r="R48" i="10"/>
  <c r="BG47" i="1" s="1"/>
  <c r="BE47" i="1"/>
  <c r="R47" i="10"/>
  <c r="BG46" i="1" s="1"/>
  <c r="BE46" i="1"/>
  <c r="R46" i="10"/>
  <c r="BG45" i="1" s="1"/>
  <c r="BE45" i="1"/>
  <c r="R45" i="10"/>
  <c r="BG44" i="1" s="1"/>
  <c r="BE44" i="1"/>
  <c r="R44" i="10"/>
  <c r="BG43" i="1" s="1"/>
  <c r="BE43" i="1"/>
  <c r="R43" i="10"/>
  <c r="BG42" i="1" s="1"/>
  <c r="BE42" i="1"/>
  <c r="R42" i="10"/>
  <c r="BG41" i="1" s="1"/>
  <c r="BE41" i="1"/>
  <c r="R41" i="10"/>
  <c r="BG40" i="1" s="1"/>
  <c r="BE40" i="1"/>
  <c r="R40" i="10"/>
  <c r="BG39" i="1" s="1"/>
  <c r="BE39" i="1"/>
  <c r="R39" i="10"/>
  <c r="BG38" i="1" s="1"/>
  <c r="BE38" i="1"/>
  <c r="R38" i="10"/>
  <c r="BG37" i="1" s="1"/>
  <c r="BE37" i="1"/>
  <c r="R37" i="10"/>
  <c r="BG36" i="1" s="1"/>
  <c r="BE36" i="1"/>
  <c r="R36" i="10"/>
  <c r="BG35" i="1" s="1"/>
  <c r="BE35" i="1"/>
  <c r="R35" i="10"/>
  <c r="BG34" i="1" s="1"/>
  <c r="BE34" i="1"/>
  <c r="R34" i="10"/>
  <c r="BG33" i="1" s="1"/>
  <c r="BE33" i="1"/>
  <c r="R33" i="10"/>
  <c r="BG32" i="1" s="1"/>
  <c r="BE32" i="1"/>
  <c r="R32" i="10"/>
  <c r="BG31" i="1" s="1"/>
  <c r="BE31" i="1"/>
  <c r="R31" i="10"/>
  <c r="BG30" i="1" s="1"/>
  <c r="BE30" i="1"/>
  <c r="R30" i="10"/>
  <c r="BG29" i="1" s="1"/>
  <c r="BE29" i="1"/>
  <c r="R29" i="10"/>
  <c r="BG28" i="1" s="1"/>
  <c r="BE28" i="1"/>
  <c r="R28" i="10"/>
  <c r="BG27" i="1" s="1"/>
  <c r="BE27" i="1"/>
  <c r="R27" i="10"/>
  <c r="BG26" i="1" s="1"/>
  <c r="BE26" i="1"/>
  <c r="R26" i="10"/>
  <c r="BG25" i="1" s="1"/>
  <c r="BE25" i="1"/>
  <c r="R25" i="10"/>
  <c r="BG24" i="1" s="1"/>
  <c r="BE24" i="1"/>
  <c r="R24" i="10"/>
  <c r="BG23" i="1" s="1"/>
  <c r="BE23" i="1"/>
  <c r="R23" i="10"/>
  <c r="BG22" i="1" s="1"/>
  <c r="BE22" i="1"/>
  <c r="R22" i="10"/>
  <c r="BG21" i="1" s="1"/>
  <c r="BE21" i="1"/>
  <c r="R20" i="10"/>
  <c r="BG19" i="1" s="1"/>
  <c r="BE19" i="1"/>
  <c r="R19" i="10"/>
  <c r="BG18" i="1" s="1"/>
  <c r="BE18" i="1"/>
  <c r="O23" i="10"/>
  <c r="BD22" i="1" s="1"/>
  <c r="BC22" i="1"/>
  <c r="O22" i="10"/>
  <c r="BD21" i="1" s="1"/>
  <c r="BC21" i="1"/>
  <c r="O21" i="10"/>
  <c r="BD20" i="1" s="1"/>
  <c r="BC20" i="1"/>
  <c r="O20" i="10"/>
  <c r="BD19" i="1" s="1"/>
  <c r="BC19" i="1"/>
  <c r="BC18" i="1"/>
  <c r="BD1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DL v8.3</author>
  </authors>
  <commentList>
    <comment ref="A16" authorId="0" shapeId="0" xr:uid="{00000000-0006-0000-0000-000001000000}">
      <text>
        <r>
          <rPr>
            <sz val="11"/>
            <color theme="1"/>
            <rFont val="Calibri"/>
            <family val="2"/>
            <charset val="1"/>
          </rPr>
          <t>Sí=archiva PN.
Vacío=no archivar. -(guión)=desarchivar.</t>
        </r>
      </text>
    </comment>
    <comment ref="B16" authorId="0" shapeId="0" xr:uid="{00000000-0006-0000-0000-000002000000}">
      <text>
        <r>
          <rPr>
            <sz val="11"/>
            <color rgb="FF000000"/>
            <rFont val="Calibri"/>
            <family val="2"/>
            <charset val="1"/>
          </rPr>
          <t xml:space="preserve">Sí=activa opt-in validación al primer recibo.
</t>
        </r>
        <r>
          <rPr>
            <sz val="11"/>
            <color rgb="FF000000"/>
            <rFont val="Calibri"/>
            <family val="2"/>
            <charset val="1"/>
          </rPr>
          <t>processNodeId:231176.</t>
        </r>
      </text>
    </comment>
    <comment ref="C16" authorId="0" shapeId="0" xr:uid="{00000000-0006-0000-0000-000003000000}">
      <text>
        <r>
          <rPr>
            <sz val="11"/>
            <color rgb="FF000000"/>
            <rFont val="Calibri"/>
            <family val="2"/>
            <charset val="1"/>
          </rPr>
          <t xml:space="preserve">Sí=crea PN NUEVO aunque exista uno con el mismo nombre.
</t>
        </r>
        <r>
          <rPr>
            <sz val="11"/>
            <color rgb="FF000000"/>
            <rFont val="Calibri"/>
            <family val="2"/>
            <charset val="1"/>
          </rPr>
          <t xml:space="preserve">Política: un PN se considera "existente" solo si coincide
</t>
        </r>
        <r>
          <rPr>
            <sz val="11"/>
            <color rgb="FF000000"/>
            <rFont val="Calibri"/>
            <family val="2"/>
            <charset val="1"/>
          </rPr>
          <t xml:space="preserve">Nombre + Cliente + Acabado (labels) + Spec.
</t>
        </r>
        <r>
          <rPr>
            <sz val="11"/>
            <color rgb="FF000000"/>
            <rFont val="Calibri"/>
            <family val="2"/>
            <charset val="1"/>
          </rPr>
          <t xml:space="preserve">Si alguno difiere, se recomienda forzar duplicado.
</t>
        </r>
        <r>
          <rPr>
            <sz val="11"/>
            <color rgb="FF000000"/>
            <rFont val="Calibri"/>
            <family val="2"/>
            <charset val="1"/>
          </rPr>
          <t>El preview muestra discrepancias.</t>
        </r>
      </text>
    </comment>
    <comment ref="D16" authorId="0" shapeId="0" xr:uid="{00000000-0006-0000-0000-000004000000}">
      <text>
        <r>
          <rPr>
            <sz val="11"/>
            <color rgb="FF000000"/>
            <rFont val="Calibri"/>
            <family val="2"/>
            <charset val="1"/>
          </rPr>
          <t xml:space="preserve">Sí=archiva el PN viejo al forzar duplicado.
</t>
        </r>
        <r>
          <rPr>
            <sz val="11"/>
            <color rgb="FF000000"/>
            <rFont val="Calibri"/>
            <family val="2"/>
            <charset val="1"/>
          </rPr>
          <t>Solo aplica si "Forzar duplicar"=Sí.</t>
        </r>
      </text>
    </comment>
    <comment ref="E16" authorId="0" shapeId="0" xr:uid="{00000000-0006-0000-0000-000005000000}">
      <text>
        <r>
          <rPr>
            <sz val="11"/>
            <color rgb="FF000000"/>
            <rFont val="Calibri"/>
            <family val="2"/>
            <charset val="1"/>
          </rPr>
          <t>REQUERIDO. Nombre exacto del PN.</t>
        </r>
      </text>
    </comment>
    <comment ref="F16" authorId="0" shapeId="0" xr:uid="{00000000-0006-0000-0000-000006000000}">
      <text>
        <r>
          <rPr>
            <sz val="11"/>
            <color rgb="FF000000"/>
            <rFont val="Calibri"/>
            <family val="2"/>
            <charset val="1"/>
          </rPr>
          <t>Comas separan múltiples. DatosAdicionalesNP.NumeroParteAlterno.</t>
        </r>
      </text>
    </comment>
    <comment ref="G16" authorId="0" shapeId="0" xr:uid="{00000000-0006-0000-0000-000007000000}">
      <text>
        <r>
          <rPr>
            <sz val="11"/>
            <color rgb="FF000000"/>
            <rFont val="Calibri"/>
            <family val="2"/>
            <charset val="1"/>
          </rPr>
          <t>Part Number Group. Debe existir en SH.</t>
        </r>
      </text>
    </comment>
    <comment ref="H16" authorId="0" shapeId="0" xr:uid="{00000000-0006-0000-0000-000008000000}">
      <text>
        <r>
          <rPr>
            <sz val="11"/>
            <color rgb="FF000000"/>
            <rFont val="Calibri"/>
            <family val="2"/>
            <charset val="1"/>
          </rPr>
          <t>REQUERIDO. quantityPerParent.</t>
        </r>
      </text>
    </comment>
    <comment ref="I16" authorId="0" shapeId="0" xr:uid="{00000000-0006-0000-0000-000009000000}">
      <text>
        <r>
          <rPr>
            <sz val="11"/>
            <color rgb="FF000000"/>
            <rFont val="Calibri"/>
            <family val="2"/>
            <charset val="1"/>
          </rPr>
          <t>Precio unitario. 0 es válido.</t>
        </r>
      </text>
    </comment>
    <comment ref="J16" authorId="0" shapeId="0" xr:uid="{00000000-0006-0000-0000-00000A000000}">
      <text>
        <r>
          <rPr>
            <sz val="11"/>
            <color rgb="FF000000"/>
            <rFont val="Calibri"/>
            <family val="2"/>
            <charset val="1"/>
          </rPr>
          <t>Vacío=PZA. Opciones: PZA,KGM,CMK,FTK,LM,LBR,LO.</t>
        </r>
      </text>
    </comment>
    <comment ref="K16" authorId="0" shapeId="0" xr:uid="{00000000-0006-0000-0000-00000B000000}">
      <text>
        <r>
          <rPr>
            <sz val="11"/>
            <color rgb="FF000000"/>
            <rFont val="Calibri"/>
            <family val="2"/>
            <charset val="1"/>
          </rPr>
          <t>Sí=marca este precio como default del PN.</t>
        </r>
      </text>
    </comment>
    <comment ref="L16" authorId="0" shapeId="0" xr:uid="{00000000-0006-0000-0000-00000C000000}">
      <text>
        <r>
          <rPr>
            <sz val="11"/>
            <color theme="1"/>
            <rFont val="Calibri"/>
            <family val="2"/>
            <charset val="1"/>
          </rPr>
          <t>descriptionMarkdown. Acepta markdown.</t>
        </r>
      </text>
    </comment>
    <comment ref="M16" authorId="0" shapeId="0" xr:uid="{00000000-0006-0000-0000-00000D000000}">
      <text>
        <r>
          <rPr>
            <sz val="11"/>
            <color theme="1"/>
            <rFont val="Calibri"/>
            <family val="2"/>
            <charset val="1"/>
          </rPr>
          <t>Substrato. DatosAdicionalesNP.BaseMetal.
Agregar nuevos: SH &gt; PN Custom Inputs schema.</t>
        </r>
      </text>
    </comment>
    <comment ref="N16" authorId="0" shapeId="0" xr:uid="{00000000-0006-0000-0000-00000E000000}">
      <text>
        <r>
          <rPr>
            <sz val="11"/>
            <color rgb="FF000000"/>
            <rFont val="Calibri"/>
            <family val="2"/>
            <charset val="1"/>
          </rPr>
          <t xml:space="preserve">Label del catálogo SH.
</t>
        </r>
        <r>
          <rPr>
            <sz val="11"/>
            <color rgb="FF000000"/>
            <rFont val="Calibri"/>
            <family val="2"/>
            <charset val="1"/>
          </rPr>
          <t>Agregar nuevas: SH &gt; Domain Settings &gt; Labels.</t>
        </r>
      </text>
    </comment>
    <comment ref="R16" authorId="0" shapeId="0" xr:uid="{00000000-0006-0000-0000-00000F000000}">
      <text>
        <r>
          <rPr>
            <sz val="11"/>
            <color theme="1"/>
            <rFont val="Calibri"/>
            <family val="2"/>
            <charset val="1"/>
          </rPr>
          <t>Override del proceso default. Vacío=usa header.</t>
        </r>
      </text>
    </comment>
    <comment ref="S16" authorId="0" shapeId="0" xr:uid="{00000000-0006-0000-0000-000011000000}">
      <text>
        <r>
          <rPr>
            <sz val="11"/>
            <color rgb="FF000000"/>
            <rFont val="Calibri"/>
            <family val="2"/>
            <charset val="1"/>
          </rPr>
          <t>Producto contable. Agregar: SH &gt; Products.</t>
        </r>
      </text>
    </comment>
    <comment ref="AE16" authorId="0" shapeId="0" xr:uid="{00000000-0006-0000-0000-000012000000}">
      <text>
        <r>
          <rPr>
            <sz val="11"/>
            <color theme="1"/>
            <rFont val="Calibri"/>
            <family val="2"/>
            <charset val="1"/>
          </rPr>
          <t>Formato: "Nombre Spec | Parámetro"
Si 1 param, basta el nombre.
Agregar: SH &gt; Specs.</t>
        </r>
      </text>
    </comment>
    <comment ref="AF16" authorId="0" shapeId="0" xr:uid="{00000000-0006-0000-0000-000013000000}">
      <text>
        <r>
          <rPr>
            <sz val="11"/>
            <color theme="1"/>
            <rFont val="Calibri"/>
            <family val="2"/>
            <charset val="1"/>
          </rPr>
          <t>Espesor objetivo en µm.
Se calcula auto del punto medio del rango.
Puedes escribir encima para override.
Alimenta Cálculo MP.</t>
        </r>
      </text>
    </comment>
    <comment ref="AG16" authorId="0" shapeId="0" xr:uid="{00000000-0006-0000-0000-000014000000}">
      <text>
        <r>
          <rPr>
            <sz val="11"/>
            <color theme="1"/>
            <rFont val="Calibri"/>
            <family val="2"/>
            <charset val="1"/>
          </rPr>
          <t>Segunda spec.</t>
        </r>
      </text>
    </comment>
    <comment ref="AH16" authorId="0" shapeId="0" xr:uid="{00000000-0006-0000-0000-000015000000}">
      <text>
        <r>
          <rPr>
            <sz val="11"/>
            <color theme="1"/>
            <rFont val="Calibri"/>
            <family val="2"/>
            <charset val="1"/>
          </rPr>
          <t>Idem Spec 1.</t>
        </r>
      </text>
    </comment>
    <comment ref="AI16" authorId="0" shapeId="0" xr:uid="{00000000-0006-0000-0000-000016000000}">
      <text>
        <r>
          <rPr>
            <sz val="11"/>
            <color rgb="FF000000"/>
            <rFont val="Calibri"/>
            <family val="2"/>
            <charset val="1"/>
          </rPr>
          <t>kg/pza. Auto genera LBR.</t>
        </r>
      </text>
    </comment>
    <comment ref="AJ16" authorId="0" shapeId="0" xr:uid="{00000000-0006-0000-0000-000017000000}">
      <text>
        <r>
          <rPr>
            <sz val="11"/>
            <color rgb="FF000000"/>
            <rFont val="Calibri"/>
            <family val="2"/>
            <charset val="1"/>
          </rPr>
          <t xml:space="preserve">cm²/pza. Auto genera FTK.
</t>
        </r>
        <r>
          <rPr>
            <sz val="11"/>
            <color rgb="FF000000"/>
            <rFont val="Calibri"/>
            <family val="2"/>
            <charset val="1"/>
          </rPr>
          <t>Usado en Cálculo MP para predictive metals.</t>
        </r>
      </text>
    </comment>
    <comment ref="AK16" authorId="0" shapeId="0" xr:uid="{00000000-0006-0000-0000-000018000000}">
      <text>
        <r>
          <rPr>
            <sz val="11"/>
            <color theme="1"/>
            <rFont val="Calibri"/>
            <family val="2"/>
            <charset val="1"/>
          </rPr>
          <t>m/pza. Auto genera FOT.
Usado en Cálculo MP para epóxicas.</t>
        </r>
      </text>
    </comment>
    <comment ref="AL16" authorId="0" shapeId="0" xr:uid="{00000000-0006-0000-0000-000019000000}">
      <text>
        <r>
          <rPr>
            <sz val="11"/>
            <color theme="1"/>
            <rFont val="Calibri"/>
            <family val="2"/>
            <charset val="1"/>
          </rPr>
          <t>Genera LO (1/n).</t>
        </r>
      </text>
    </comment>
    <comment ref="AM16" authorId="0" shapeId="0" xr:uid="{00000000-0006-0000-0000-00001A000000}">
      <text>
        <r>
          <rPr>
            <sz val="11"/>
            <color theme="1"/>
            <rFont val="Calibri"/>
            <family val="2"/>
            <charset val="1"/>
          </rPr>
          <t>Solo FlyBar/Barril. Agregar: SH &gt; Rack Types.</t>
        </r>
      </text>
    </comment>
    <comment ref="AO16" authorId="0" shapeId="0" xr:uid="{00000000-0006-0000-0000-00001B000000}">
      <text>
        <r>
          <rPr>
            <sz val="11"/>
            <color theme="1"/>
            <rFont val="Calibri"/>
            <family val="2"/>
            <charset val="1"/>
          </rPr>
          <t>Cualquier tipo.</t>
        </r>
      </text>
    </comment>
    <comment ref="AQ16" authorId="0" shapeId="0" xr:uid="{00000000-0006-0000-0000-00001C000000}">
      <text>
        <r>
          <rPr>
            <sz val="11"/>
            <color theme="1"/>
            <rFont val="Calibri"/>
            <family val="2"/>
            <charset val="1"/>
          </rPr>
          <t>Geom Genérica 831. DimTypeId:1284.</t>
        </r>
      </text>
    </comment>
    <comment ref="AR16" authorId="0" shapeId="0" xr:uid="{00000000-0006-0000-0000-00001D000000}">
      <text>
        <r>
          <rPr>
            <sz val="11"/>
            <color theme="1"/>
            <rFont val="Calibri"/>
            <family val="2"/>
            <charset val="1"/>
          </rPr>
          <t>DimTypeId:1011.</t>
        </r>
      </text>
    </comment>
    <comment ref="AS16" authorId="0" shapeId="0" xr:uid="{00000000-0006-0000-0000-00001E000000}">
      <text>
        <r>
          <rPr>
            <sz val="11"/>
            <color theme="1"/>
            <rFont val="Calibri"/>
            <family val="2"/>
            <charset val="1"/>
          </rPr>
          <t>DimTypeId:1012.</t>
        </r>
      </text>
    </comment>
    <comment ref="AT16" authorId="0" shapeId="0" xr:uid="{00000000-0006-0000-0000-00001F000000}">
      <text>
        <r>
          <rPr>
            <sz val="11"/>
            <color theme="1"/>
            <rFont val="Calibri"/>
            <family val="2"/>
            <charset val="1"/>
          </rPr>
          <t>DimTypeId:1013.</t>
        </r>
      </text>
    </comment>
    <comment ref="AU16" authorId="0" shapeId="0" xr:uid="{00000000-0006-0000-0000-000020000000}">
      <text>
        <r>
          <rPr>
            <sz val="11"/>
            <color theme="1"/>
            <rFont val="Calibri"/>
            <family val="2"/>
            <charset val="1"/>
          </rPr>
          <t>DimTypeId:1014.</t>
        </r>
      </text>
    </comment>
    <comment ref="AV16" authorId="0" shapeId="0" xr:uid="{00000000-0006-0000-0000-000021000000}">
      <text>
        <r>
          <rPr>
            <sz val="11"/>
            <color theme="1"/>
            <rFont val="Calibri"/>
            <family val="2"/>
            <charset val="1"/>
          </rPr>
          <t>Dim Custom Value. Pendiente IDs.</t>
        </r>
      </text>
    </comment>
    <comment ref="AW16" authorId="0" shapeId="0" xr:uid="{00000000-0006-0000-0000-000022000000}">
      <text>
        <r>
          <rPr>
            <sz val="11"/>
            <color theme="1"/>
            <rFont val="Calibri"/>
            <family val="2"/>
            <charset val="1"/>
          </rPr>
          <t>Dim Custom Value. Pendiente IDs.</t>
        </r>
      </text>
    </comment>
    <comment ref="AX16" authorId="0" shapeId="0" xr:uid="{00000000-0006-0000-0000-000023000000}">
      <text>
        <r>
          <rPr>
            <sz val="11"/>
            <color theme="1"/>
            <rFont val="Calibri"/>
            <family val="2"/>
            <charset val="1"/>
          </rPr>
          <t>Default: Servicios de enchapado.
DatosFacturacion.CodigoSAT.</t>
        </r>
      </text>
    </comment>
    <comment ref="AY16" authorId="0" shapeId="0" xr:uid="{00000000-0006-0000-0000-000024000000}">
      <text>
        <r>
          <rPr>
            <sz val="11"/>
            <color theme="1"/>
            <rFont val="Calibri"/>
            <family val="2"/>
            <charset val="1"/>
          </rPr>
          <t>ID:364506. Fórmula auto desde Cálculo MP.</t>
        </r>
      </text>
    </comment>
    <comment ref="AZ16" authorId="0" shapeId="0" xr:uid="{00000000-0006-0000-0000-000025000000}">
      <text>
        <r>
          <rPr>
            <sz val="11"/>
            <color theme="1"/>
            <rFont val="Calibri"/>
            <family val="2"/>
            <charset val="1"/>
          </rPr>
          <t>ID:397490.</t>
        </r>
      </text>
    </comment>
    <comment ref="BA16" authorId="0" shapeId="0" xr:uid="{00000000-0006-0000-0000-000026000000}">
      <text>
        <r>
          <rPr>
            <sz val="11"/>
            <color rgb="FF000000"/>
            <rFont val="Calibri"/>
            <family val="2"/>
            <charset val="1"/>
          </rPr>
          <t>ID:412305.</t>
        </r>
      </text>
    </comment>
    <comment ref="BB16" authorId="0" shapeId="0" xr:uid="{00000000-0006-0000-0000-000027000000}">
      <text>
        <r>
          <rPr>
            <sz val="11"/>
            <color theme="1"/>
            <rFont val="Calibri"/>
            <family val="2"/>
            <charset val="1"/>
          </rPr>
          <t>ID:412805.</t>
        </r>
      </text>
    </comment>
    <comment ref="BC16" authorId="0" shapeId="0" xr:uid="{00000000-0006-0000-0000-000028000000}">
      <text>
        <r>
          <rPr>
            <sz val="11"/>
            <color theme="1"/>
            <rFont val="Calibri"/>
            <family val="2"/>
            <charset val="1"/>
          </rPr>
          <t>ID:412479.</t>
        </r>
      </text>
    </comment>
    <comment ref="BD16" authorId="0" shapeId="0" xr:uid="{00000000-0006-0000-0000-000029000000}">
      <text>
        <r>
          <rPr>
            <sz val="11"/>
            <color theme="1"/>
            <rFont val="Calibri"/>
            <family val="2"/>
            <charset val="1"/>
          </rPr>
          <t>ID:412723. 0.0012×cobre_kg.</t>
        </r>
      </text>
    </comment>
    <comment ref="BE16" authorId="0" shapeId="0" xr:uid="{00000000-0006-0000-0000-00002A000000}">
      <text>
        <r>
          <rPr>
            <sz val="11"/>
            <color theme="1"/>
            <rFont val="Calibri"/>
            <family val="2"/>
            <charset val="1"/>
          </rPr>
          <t>ID:702767. 1069.98 g/m × LM / 453.592.</t>
        </r>
      </text>
    </comment>
    <comment ref="BF16" authorId="0" shapeId="0" xr:uid="{00000000-0006-0000-0000-00002B000000}">
      <text>
        <r>
          <rPr>
            <sz val="11"/>
            <color theme="1"/>
            <rFont val="Calibri"/>
            <family val="2"/>
            <charset val="1"/>
          </rPr>
          <t>ID:702769. 165.60 g/m × LM / 453.592.</t>
        </r>
      </text>
    </comment>
    <comment ref="BG16" authorId="0" shapeId="0" xr:uid="{00000000-0006-0000-0000-00002C000000}">
      <text>
        <r>
          <rPr>
            <sz val="11"/>
            <color rgb="FF000000"/>
            <rFont val="Calibri"/>
            <family val="2"/>
            <charset val="1"/>
          </rPr>
          <t xml:space="preserve">ID:702768. MT </t>
        </r>
        <r>
          <rPr>
            <sz val="11"/>
            <color rgb="FF000000"/>
            <rFont val="Calibri"/>
            <family val="2"/>
            <charset val="1"/>
          </rPr>
          <t>×</t>
        </r>
        <r>
          <rPr>
            <sz val="11"/>
            <color rgb="FF000000"/>
            <rFont val="Calibri"/>
            <family val="2"/>
            <charset val="1"/>
          </rPr>
          <t xml:space="preserve"> 1.07.</t>
        </r>
      </text>
    </comment>
    <comment ref="BO16" authorId="0" shapeId="0" xr:uid="{00000000-0006-0000-0000-00002D000000}">
      <text>
        <r>
          <rPr>
            <sz val="11"/>
            <color rgb="FF000000"/>
            <rFont val="Calibri"/>
            <family val="2"/>
            <charset val="1"/>
          </rPr>
          <t>=Cant</t>
        </r>
        <r>
          <rPr>
            <sz val="11"/>
            <color rgb="FF000000"/>
            <rFont val="Calibri"/>
            <family val="2"/>
            <charset val="1"/>
          </rPr>
          <t>×</t>
        </r>
        <r>
          <rPr>
            <sz val="11"/>
            <color rgb="FF000000"/>
            <rFont val="Calibri"/>
            <family val="2"/>
            <charset val="1"/>
          </rPr>
          <t>Precio. Rojo si no cuadra.</t>
        </r>
      </text>
    </comment>
  </commentList>
</comments>
</file>

<file path=xl/sharedStrings.xml><?xml version="1.0" encoding="utf-8"?>
<sst xmlns="http://schemas.openxmlformats.org/spreadsheetml/2006/main" count="1376" uniqueCount="1134">
  <si>
    <t>Steelhead Data Loader v8.4</t>
  </si>
  <si>
    <t>Modo:</t>
  </si>
  <si>
    <t>COTIZACIÓN+NP o SOLO_PN.</t>
  </si>
  <si>
    <t>Nombre Cotización:</t>
  </si>
  <si>
    <t>Requerido en modo COTIZACIÓN.</t>
  </si>
  <si>
    <t>Cliente:</t>
  </si>
  <si>
    <t>WIELAND METAL SERVICES — Karen Ramos La Griega 117 Parque Industr</t>
  </si>
  <si>
    <t>Desplegable: nombre + dirección.</t>
  </si>
  <si>
    <t>Proceso (default):</t>
  </si>
  <si>
    <t>T300 (FIB)-T205 (PLA)-T300 (ANT)-CU-SOLERA WIELAND (16.3)</t>
  </si>
  <si>
    <t>Desplegable. Fallback para líneas sin proceso.</t>
  </si>
  <si>
    <t>USD</t>
  </si>
  <si>
    <t>USD/MXN.</t>
  </si>
  <si>
    <t>Empresa Emisora:</t>
  </si>
  <si>
    <t>ECO</t>
  </si>
  <si>
    <t>ECO/PRO.</t>
  </si>
  <si>
    <t>Notas Externas:</t>
  </si>
  <si>
    <t>Proyecto de Barras</t>
  </si>
  <si>
    <t>Visible al cliente.</t>
  </si>
  <si>
    <t>Notas Internas:</t>
  </si>
  <si>
    <t>Los "ganchos"</t>
  </si>
  <si>
    <t>Solo equipo.</t>
  </si>
  <si>
    <t>Asignado:</t>
  </si>
  <si>
    <t>OMAR FIDEL VIAZCAN GOMEZ</t>
  </si>
  <si>
    <t>Nombre vendedor.</t>
  </si>
  <si>
    <t>Válida Hasta (días):</t>
  </si>
  <si>
    <t>30</t>
  </si>
  <si>
    <t>Días desde hoy.</t>
  </si>
  <si>
    <t>Vacío = no tocar.  Guión (-) = borrar dato.  Espesor: se calcula auto del punto medio del rango de la Spec.</t>
  </si>
  <si>
    <t>PARÁMETROS</t>
  </si>
  <si>
    <t>IDENTIFICACIÓN</t>
  </si>
  <si>
    <t>ACABADOS (Labels)</t>
  </si>
  <si>
    <t>PROCESO</t>
  </si>
  <si>
    <t>PRODUCTOS ×3</t>
  </si>
  <si>
    <t>SPECS ×2</t>
  </si>
  <si>
    <t>CONV. UNIDADES</t>
  </si>
  <si>
    <t>RACKS ×2</t>
  </si>
  <si>
    <t>DIMENSIONES ×5</t>
  </si>
  <si>
    <t>ASIG. CONTABLE</t>
  </si>
  <si>
    <t>PREDICTIVE USAGE</t>
  </si>
  <si>
    <t>CHECK</t>
  </si>
  <si>
    <t>Archivado</t>
  </si>
  <si>
    <t>Validación
1er recibo</t>
  </si>
  <si>
    <t>Forzar
duplicar</t>
  </si>
  <si>
    <t>Archivar
anterior</t>
  </si>
  <si>
    <t>Número de
parte</t>
  </si>
  <si>
    <t>PN alterno</t>
  </si>
  <si>
    <t>Grupo</t>
  </si>
  <si>
    <t>Cantidad</t>
  </si>
  <si>
    <t>Precio</t>
  </si>
  <si>
    <t>Unidad
precio</t>
  </si>
  <si>
    <t>Precio
default</t>
  </si>
  <si>
    <t>Descripción</t>
  </si>
  <si>
    <t>Metal base</t>
  </si>
  <si>
    <t>Etiqueta 1</t>
  </si>
  <si>
    <t>Etiqueta 2</t>
  </si>
  <si>
    <t>Etiqueta 3</t>
  </si>
  <si>
    <t>Etiqueta 4</t>
  </si>
  <si>
    <t>Proceso</t>
  </si>
  <si>
    <t>Producto 1</t>
  </si>
  <si>
    <t>Precio P1</t>
  </si>
  <si>
    <t>Cant P1</t>
  </si>
  <si>
    <t>Unidad P1</t>
  </si>
  <si>
    <t>Producto 2</t>
  </si>
  <si>
    <t>Precio P2</t>
  </si>
  <si>
    <t>Cant P2</t>
  </si>
  <si>
    <t>Unidad P2</t>
  </si>
  <si>
    <t>Producto 3</t>
  </si>
  <si>
    <t>Precio P3</t>
  </si>
  <si>
    <t>Cant P3</t>
  </si>
  <si>
    <t>Unidad P3</t>
  </si>
  <si>
    <t>Spec 1</t>
  </si>
  <si>
    <t>Esp. Spec 1
(µm)</t>
  </si>
  <si>
    <t>Spec 2</t>
  </si>
  <si>
    <t>Esp. Spec 2
(µm)</t>
  </si>
  <si>
    <t>KGM
(kg/pza)</t>
  </si>
  <si>
    <t>CMK
(cm²/pza)</t>
  </si>
  <si>
    <t>LM
(m/pza)</t>
  </si>
  <si>
    <t>Mín Pzas
Lote</t>
  </si>
  <si>
    <t>Rack Línea</t>
  </si>
  <si>
    <t>Pzas/Rack
Línea</t>
  </si>
  <si>
    <t>Rack Sec.</t>
  </si>
  <si>
    <t>Pzas/Rack
Sec.</t>
  </si>
  <si>
    <t>Longitud
(m)</t>
  </si>
  <si>
    <t>Ancho
(m)</t>
  </si>
  <si>
    <t>Alto
(m)</t>
  </si>
  <si>
    <t>Diám.Ext
(m)</t>
  </si>
  <si>
    <t>Diám.Int
(m)</t>
  </si>
  <si>
    <t>Línea</t>
  </si>
  <si>
    <t>Departamento</t>
  </si>
  <si>
    <t>Código SAT</t>
  </si>
  <si>
    <t>Plata
(kg/pza)</t>
  </si>
  <si>
    <t>Estaño
(kg/pza)</t>
  </si>
  <si>
    <t>Níquel
(kg/pza)</t>
  </si>
  <si>
    <t>Zinc
(kg/pza)</t>
  </si>
  <si>
    <t>Cobre
(kg/pza)</t>
  </si>
  <si>
    <t>Antitarnish
(L/pza)</t>
  </si>
  <si>
    <t>Epóx. MT
(lb/pza)</t>
  </si>
  <si>
    <t>Epóx. BT
(lb/pza)</t>
  </si>
  <si>
    <t>Epóx. MTR
(lb/pza)</t>
  </si>
  <si>
    <t>Total
línea</t>
  </si>
  <si>
    <t>Sí/No</t>
  </si>
  <si>
    <t>Texto</t>
  </si>
  <si>
    <t>$/ud</t>
  </si>
  <si>
    <t>Desp.</t>
  </si>
  <si>
    <t>Auto</t>
  </si>
  <si>
    <t>Auto/Input</t>
  </si>
  <si>
    <t>Peso</t>
  </si>
  <si>
    <t>Área</t>
  </si>
  <si>
    <t>Long</t>
  </si>
  <si>
    <t>Cargo</t>
  </si>
  <si>
    <t>FL/BA</t>
  </si>
  <si>
    <t>Todos</t>
  </si>
  <si>
    <t>Fórmula</t>
  </si>
  <si>
    <t>Proyecto Barras</t>
  </si>
  <si>
    <t>KGM</t>
  </si>
  <si>
    <t>Cobre</t>
  </si>
  <si>
    <t>Plata Flash</t>
  </si>
  <si>
    <t>Plateado Flash</t>
  </si>
  <si>
    <t>80065-DS-004 (Plata) | 7.26 - 9.26 µm</t>
  </si>
  <si>
    <t>T205-FL01</t>
  </si>
  <si>
    <t>73181106 - Servicios de enchapado</t>
  </si>
  <si>
    <t>PZA</t>
  </si>
  <si>
    <t>Empaque</t>
  </si>
  <si>
    <t>Empacado</t>
  </si>
  <si>
    <t>80065-DS-005 (Plata Flash) | 0.076 - 0.2 µm</t>
  </si>
  <si>
    <t>Fierro</t>
  </si>
  <si>
    <t>Plata</t>
  </si>
  <si>
    <t>Antitarnish</t>
  </si>
  <si>
    <t>Activo</t>
  </si>
  <si>
    <t>Etiquetas</t>
  </si>
  <si>
    <t>Activo, Industrial, Rojo Gómez, CDMX</t>
  </si>
  <si>
    <t>Industrial</t>
  </si>
  <si>
    <t>Prospecto</t>
  </si>
  <si>
    <t>Obsoleto</t>
  </si>
  <si>
    <t>Activo, Automotriz</t>
  </si>
  <si>
    <t>Activo, Industrial</t>
  </si>
  <si>
    <t>Activo, Industrial, Proquipa</t>
  </si>
  <si>
    <t>Activo, Industrial, Tlaxcala</t>
  </si>
  <si>
    <t>Activo, Automotriz, Proquipa</t>
  </si>
  <si>
    <t>Activo, Industrial, Automotriz</t>
  </si>
  <si>
    <t>Dimer</t>
  </si>
  <si>
    <t>Activo, Proquipa</t>
  </si>
  <si>
    <t>Activo, Automotriz, Industrial</t>
  </si>
  <si>
    <t>Industrial, Activo</t>
  </si>
  <si>
    <t>Automotriz, Prospecto</t>
  </si>
  <si>
    <t>Tratamiento Térmico</t>
  </si>
  <si>
    <t>M100-CE02 Inspección (ANT) y Empaque</t>
  </si>
  <si>
    <t>M101 (EST)-AL-VARIOS</t>
  </si>
  <si>
    <t>M101 (EST)-CU-VARIOS</t>
  </si>
  <si>
    <t>M102 (EST)-AL-VARIOS</t>
  </si>
  <si>
    <t>M102 (EST)-CU-VARIOS</t>
  </si>
  <si>
    <t>M102 (PLA)-M100 (ANT)-CU-VARIOS</t>
  </si>
  <si>
    <t>M103 (EST)-(NIQ)-AL-EATON</t>
  </si>
  <si>
    <t>Prueba de bloqueo</t>
  </si>
  <si>
    <t>RT Desniquelado Bujía</t>
  </si>
  <si>
    <t>T100 (SAB)-T104 (EST)-CU-HUBBELL (6.0)</t>
  </si>
  <si>
    <t>T100 (SAB)-T107 (PLA)-CU-C5 (60.0)</t>
  </si>
  <si>
    <t>T101 (BRI)-CU-VARIOS (4.0)</t>
  </si>
  <si>
    <t>T101 (CRO)-AL-MAT. MECANICO ELECTRICO (4.0)</t>
  </si>
  <si>
    <t>T101 (DEC)-AL-VARIOS (4.0)</t>
  </si>
  <si>
    <t>T101 (DEC)-CU-VARIOS (4.0)</t>
  </si>
  <si>
    <t>T101 (DEC)-FE-VARIOS (4.0)</t>
  </si>
  <si>
    <t>T101 (DEC)-INOX-VARIOS (4.0)</t>
  </si>
  <si>
    <t>T101 (DEC)-LA-VARIOS (4.0)</t>
  </si>
  <si>
    <t>T101 (DES)-INOX/CU-VARIOS (4.0)</t>
  </si>
  <si>
    <t>T101 (IRI)-AL-VARIOS (4.0)</t>
  </si>
  <si>
    <t>T101 (LAV)-AL-VARIOS (4.0)</t>
  </si>
  <si>
    <t>T101 (LAV)-CU-VARIOS (4.0)</t>
  </si>
  <si>
    <t>T101 (LAV)-CU/BR-HUBBELL (4.0)</t>
  </si>
  <si>
    <t>T101 (LAV)-FE-VARIOS (4.0)</t>
  </si>
  <si>
    <t>T101 (LAV)-INOX-VARIOS (4.0)</t>
  </si>
  <si>
    <t>T101 (LAV)-LA-VARIOS (4.0)</t>
  </si>
  <si>
    <t>T101 (NOX)-AL-VARIOS (4.0)</t>
  </si>
  <si>
    <t>T101 (PAS)-CU-VARIOS (4.0)</t>
  </si>
  <si>
    <t>T101 (PAS)-FE-VARIOS (4.0)</t>
  </si>
  <si>
    <t>T101 (PAS)-INOX-VARIOS (4.0)</t>
  </si>
  <si>
    <t>T101 (PRE)-T108 (NSU)-T109 (PAS)-LA-VARIOS (13.0)</t>
  </si>
  <si>
    <t>T101 (PRE)-T108 (NWO)-T108 (NEL)-T109(PAS)-FE-BUJIA (13.0)</t>
  </si>
  <si>
    <t>T101 (PRE)-T112 (NWO)-T109 (NSU)-CU/LA/FE/INOX-VARIOS (13.2)</t>
  </si>
  <si>
    <t>T101 (PRE)-T112 (NWO)-T109 (NSU)-INOX-RPK (15.0)</t>
  </si>
  <si>
    <t>T101 (PRE)-T112 (NWO)-T112 (NEL)-T109 (PAS)-LA-VARIOS (13.2)</t>
  </si>
  <si>
    <t>T101 (PRE)-T112 (NWO)-T203 (PLA)-LA-VARIOS (16.0)</t>
  </si>
  <si>
    <t>T101 (PRE)-T112 (NWO)-T204 (PLA)-LA-VARIOS (16.1)</t>
  </si>
  <si>
    <t>T101 (PRE)-T203 (PLA)-LA-VARIOS (16.0)</t>
  </si>
  <si>
    <t>T102 (COB)-AL-VARIOS (12.0)</t>
  </si>
  <si>
    <t>T102 (COB)-T102 (EST)-FE-VARIOS (12.0)</t>
  </si>
  <si>
    <t>T102 (EST)-AL-VARIOS (12.0)</t>
  </si>
  <si>
    <t>T102 (EST)-CU-VARIOS (12.0)</t>
  </si>
  <si>
    <t>T102 (IRI)-AL-FISHER (12.0)</t>
  </si>
  <si>
    <t>T104 (EST)-CU-VARIOS (6.0)</t>
  </si>
  <si>
    <t>T104 (ZAZ)-FE-VARIOS (6.0)</t>
  </si>
  <si>
    <t>T104 (ZAZ)-T100 (HOR)-FE-VARIOS (6.0)</t>
  </si>
  <si>
    <t>T104 (ZTR)-FE-VARIOS (6.0)</t>
  </si>
  <si>
    <t>T104 (ZTR)-T100 (HOR)-FE-VARIOS (6.0)</t>
  </si>
  <si>
    <t>T104 (ZVO)-FE-VARIOS (6.0)</t>
  </si>
  <si>
    <t>T104 (ZVO)-T100 (HOR)-FE-VARIOS (6.0)</t>
  </si>
  <si>
    <t>T105 (ZAZ)-FE-VARIOS (7.0)</t>
  </si>
  <si>
    <t>T105 (ZAZ)-T100 (HOR)-FE-VARIOS (7.0)</t>
  </si>
  <si>
    <t>T105 (ZTR)-FE-VARIOS (7.0)</t>
  </si>
  <si>
    <t>T105 (ZVO)-FE-VARIOS (7.0)</t>
  </si>
  <si>
    <t>T105-LI Zinc Semiautomático (7)</t>
  </si>
  <si>
    <t>T106 (ZAM)-FE-VARIOS (10.0)</t>
  </si>
  <si>
    <t>T106 (ZAM)-T100 (HOR)-FE-VARIOS (10.0)</t>
  </si>
  <si>
    <t>T106 (ZAT)-FE-VARIOS (10.0)</t>
  </si>
  <si>
    <t>T106 (ZAZ)-FE-VARIOS (10.0)</t>
  </si>
  <si>
    <t>T106 (ZAZ)-T100 (HOR)-FE-VARIOS (10.0)</t>
  </si>
  <si>
    <t>T106 (ZNE)-FE-VARIOS (10.0)</t>
  </si>
  <si>
    <t>T106 (ZNT)-FE-VARIOS (10.0)</t>
  </si>
  <si>
    <t>T106 (ZRO)-FE-VARIOS (10.0)</t>
  </si>
  <si>
    <t>T106 (ZTR)-FE-VARIOS (10.0)</t>
  </si>
  <si>
    <t>T106 (ZVO)-FE-VARIOS (10.0)</t>
  </si>
  <si>
    <t>T107 (COB)</t>
  </si>
  <si>
    <t>T107 (PLA)-CU-C4 (60.0)</t>
  </si>
  <si>
    <t>T108 (NEL)-T100 (HOR)-T108 (DEC)-T100 (FIB)-FE-CAGES FISHER (13.0)</t>
  </si>
  <si>
    <t>T108 (NWO)-T108 (NEL)-T100 (HOR)-T108 (DEC)-T100 (FIB)-FE-CAGES FISHER (13.0)</t>
  </si>
  <si>
    <t>T108 (NWO)-T108(COB)-T108(NWO)-T108 (NEL)-T109 (PAS)-FE/ZA-VARIOS (13.0)</t>
  </si>
  <si>
    <t>T109 (LAV)-T000 (TRT)-T109 (NBR)-FE-BIMETALES (15.0)</t>
  </si>
  <si>
    <t>T109 (NSU)-FE-BUJIA (15.0)</t>
  </si>
  <si>
    <t>T109 (NSU)-FE-BUJIA RENAULT (15.0)</t>
  </si>
  <si>
    <t>T110 (DEC)-CU-VARIOS (26.0)</t>
  </si>
  <si>
    <t xml:space="preserve">T111 (AND)-AL-VARIOS (14.0) </t>
  </si>
  <si>
    <t>T111 (COB)-T110 (PLA)-AL-VARIOS (26.0)</t>
  </si>
  <si>
    <t>T111 (COB)-T203 (PLA)-AL-HEATER (16.0)</t>
  </si>
  <si>
    <t>T111 (ESM)-AL-VARIOS (14.0)</t>
  </si>
  <si>
    <t>T111 (ESM)-CU-VARIOS (14.0)</t>
  </si>
  <si>
    <t>T111 (EST)-AL-VARIOS (14.0)</t>
  </si>
  <si>
    <t>T111 (EST)-CU-VARIOS (14.0)</t>
  </si>
  <si>
    <t>T112 (NWO)-T203 (PLA)-FE-VARIOS (16.0)</t>
  </si>
  <si>
    <t>T112 (NWO)-T204 (PLA)-FE-VARIOS (16.1)</t>
  </si>
  <si>
    <t>T112 (NWO)-T301 (EST)-CU/FE/LA-VARIOS (24.0)</t>
  </si>
  <si>
    <t>T113 (ZAZ)-FE-VARIOS (17.0)</t>
  </si>
  <si>
    <t>T113 (ZAZ)-T100 (HOR)-FE-VARIOS (17.0)</t>
  </si>
  <si>
    <t>T114 (FMS)-FE-GM (7.1)</t>
  </si>
  <si>
    <t>T114 (FMS)-FE-PISTON (7.1)</t>
  </si>
  <si>
    <t>T114 (FMS)-FE-PIÑON (7.1)</t>
  </si>
  <si>
    <t>T115 (NCR)-FE-VARIOS (23.0)</t>
  </si>
  <si>
    <t>T117 (ZNN)-FE-BONNETE (28.0)</t>
  </si>
  <si>
    <t>T201 (COB)-AL-VARIOS (25.0)</t>
  </si>
  <si>
    <t>T201 (ESM)-AL-VARIOS (25.0)</t>
  </si>
  <si>
    <t>T201 (ESM)-CU-VARIOS (25.0)</t>
  </si>
  <si>
    <t>T201 (EST)-AL-VARIOS (25.0)</t>
  </si>
  <si>
    <t>T201 (EST)-CU-VARIOS (25.0)</t>
  </si>
  <si>
    <t>T201 (NSU)-CU-VARIOS (25.0)</t>
  </si>
  <si>
    <t>T202 (DEC)-CU-BARE (16.2)</t>
  </si>
  <si>
    <t>T202 (LES)-T202 (PLA)-CU-VARIOS (16.2)</t>
  </si>
  <si>
    <t>T203 (LES)-T203 (PLA)-CU-VARIOS (16.0)</t>
  </si>
  <si>
    <t>T204 (DEC)-CU-BARE (16.1)</t>
  </si>
  <si>
    <t>T205 (DEC)-CU-BARE (16.3)</t>
  </si>
  <si>
    <t>T205 (DEC)-T205 (EST)-T401 (EBT)-CU-VARIOS (16.3)</t>
  </si>
  <si>
    <t>T205 (EST)-AL-VARIOS (16.3)</t>
  </si>
  <si>
    <t>T205 (EST)-CU-VARIOS (16.3)</t>
  </si>
  <si>
    <t>T205 (PLA)-CU-MAQUILA QRO (16.3)</t>
  </si>
  <si>
    <t>T205 (PLA)-T300 (ANT)-CU-MAQUILA RG (16.3)</t>
  </si>
  <si>
    <t>T205 (PLA)-T300 (ANT)-CU-SOLERA RG (16.3)</t>
  </si>
  <si>
    <t>T206 (LAV)-T000 (TRT)-T206 (EST)-FE-BIMETALES (18.0)</t>
  </si>
  <si>
    <t>T207 (ELE)-FE-FISHER (16.4)</t>
  </si>
  <si>
    <t>T300 (ANT)</t>
  </si>
  <si>
    <t>T300 (FIB)-T205 (PLA)-CU-ZION (16.3)</t>
  </si>
  <si>
    <t>T300 (LES)-T110 (PLA)-CU-VARIOS (26.0)</t>
  </si>
  <si>
    <t>T300 (LES)-T110 (PLA)-T300 (ANT)-CU-VARIOS (26.0)</t>
  </si>
  <si>
    <t>T300 (LES)-T204 (DEC)-T204 (EST)-T401 (EBT)-CU-VARIOS (16.1)</t>
  </si>
  <si>
    <t>T300 (LES)-T204 (EST)-CU-VARIOS (16.1)</t>
  </si>
  <si>
    <t>T300 (LES)-T204 (NWO)-T204 (PLA)-CU-VARIOS (16.1)</t>
  </si>
  <si>
    <t>T300 (LES)-T204 (PLA)-CU-VARIOS (16.1)</t>
  </si>
  <si>
    <t>T300 (LES)-T204 (PLA)-T300 (ANT)-CU-VARIOS (16.1)</t>
  </si>
  <si>
    <t>T301 (EST)-CU/FE-VARIOS (24.0)</t>
  </si>
  <si>
    <t>T301 (LES)-T301 (EST)-CU-CELCO (24.0)</t>
  </si>
  <si>
    <t>T400 (ANT)</t>
  </si>
  <si>
    <t>T401 (EBT)-T110 (DEC)-T110 (PLA)-T300 (ANT)-CU-VARIOS (26.0)</t>
  </si>
  <si>
    <t>T401 (EBT)-T204 (DEC)-T204 (PLA)-T300 (ANT)-CU-VARIOS (16.1)</t>
  </si>
  <si>
    <t>T401 (EBT)-T205 (DEC)-T205 (PLA)-T300 (ANT)-CU-VARIOS (16.3)</t>
  </si>
  <si>
    <t>T401 (EMT)-T110 (DEC)-T110 (PLA)-T300 (ANT)-CU-VARIOS (26.0)</t>
  </si>
  <si>
    <t>T401 (EMT)-T204 (DEC)-T204 (EST)-CU-VARIOS (16.1)</t>
  </si>
  <si>
    <t>T401 (EMT)-T204 (DEC)-T204 (PLA)-T300 (ANT)-CU-VARIOS (16.1)</t>
  </si>
  <si>
    <t>T401 (EMT)-T205 (DEC)-T205 (EST)-CU-VARIOS (16.3)</t>
  </si>
  <si>
    <t>T401 (EMT)-T205 (DEC)-T205 (PLA)-T300 (ANT)-CU-VARIOS (16.3)</t>
  </si>
  <si>
    <t>T500-CE04 Ensamble de Kits</t>
  </si>
  <si>
    <t>T500-CE04 Recibo de Componentes de Kits</t>
  </si>
  <si>
    <t>TEST</t>
  </si>
  <si>
    <t>TEST CK</t>
  </si>
  <si>
    <t>Estaño</t>
  </si>
  <si>
    <t>Prelimpieza</t>
  </si>
  <si>
    <t>Sandblast</t>
  </si>
  <si>
    <t>Abrillantado</t>
  </si>
  <si>
    <t>Aceitado</t>
  </si>
  <si>
    <t>Cobrizado</t>
  </si>
  <si>
    <t>Cromato Verde Olivo</t>
  </si>
  <si>
    <t>Decapado</t>
  </si>
  <si>
    <t>Desengrase</t>
  </si>
  <si>
    <t>Ensamble de Kits</t>
  </si>
  <si>
    <t>Fibrado</t>
  </si>
  <si>
    <t>Fosfato de Manganeso</t>
  </si>
  <si>
    <t>Horneado</t>
  </si>
  <si>
    <t>Metales</t>
  </si>
  <si>
    <t>Pasivado</t>
  </si>
  <si>
    <t>Plateado</t>
  </si>
  <si>
    <t>281D SILVER FLASH PART FABRICADAS</t>
  </si>
  <si>
    <t>281E EPOXICO BT</t>
  </si>
  <si>
    <t>281G ESTAÑADO SOBRE COBRE</t>
  </si>
  <si>
    <t>281J Silver Flash Soleras de Cobre</t>
  </si>
  <si>
    <t>281K PLATEADO TRENCILLAS, BARRAS CU</t>
  </si>
  <si>
    <t>281M DECAPADO, ACABADO PLATEADO/CU</t>
  </si>
  <si>
    <t>281N DECAPADO, ACABADO ESTAÑADO/CU</t>
  </si>
  <si>
    <t>281P PLATA SOLO AREAS DE CONTACTO</t>
  </si>
  <si>
    <t>281Q ESTAÑADO SOBRE ALUMINIO</t>
  </si>
  <si>
    <t>281R ZINCADO TRIVALENTE</t>
  </si>
  <si>
    <t>281S BARNIZADO PIEZAS DE COBRE</t>
  </si>
  <si>
    <t>281T ESTAÑADO BARRAS DE ALUMINIO</t>
  </si>
  <si>
    <t>281U ENCAPSULADO EPÓXICO</t>
  </si>
  <si>
    <t>281W ANTI TARNISH TREAT OVER CU</t>
  </si>
  <si>
    <t>Anodizado Convencional</t>
  </si>
  <si>
    <t>Anodizado Decorativo</t>
  </si>
  <si>
    <t>Anodizado Duro</t>
  </si>
  <si>
    <t>Arranque de línea</t>
  </si>
  <si>
    <t>Bimetal</t>
  </si>
  <si>
    <t>Bright Dip</t>
  </si>
  <si>
    <t>Casetas</t>
  </si>
  <si>
    <t>Cianuro de Plata</t>
  </si>
  <si>
    <t>Cobrizado-Plateado</t>
  </si>
  <si>
    <t>Cromado Decorativo</t>
  </si>
  <si>
    <t>Cromado Duro</t>
  </si>
  <si>
    <t>Cromatizado</t>
  </si>
  <si>
    <t>Decapado Estañado</t>
  </si>
  <si>
    <t>Decapado Plateado</t>
  </si>
  <si>
    <t>Decapado no oxidante</t>
  </si>
  <si>
    <t>Desbarbado</t>
  </si>
  <si>
    <t>Descuento por Scrap</t>
  </si>
  <si>
    <t>Desniquelado</t>
  </si>
  <si>
    <t>Electropulido</t>
  </si>
  <si>
    <t>Equipo de Protección Personal</t>
  </si>
  <si>
    <t>Estañado</t>
  </si>
  <si>
    <t>Estañado Mate</t>
  </si>
  <si>
    <t>Fabricación de Herramentales</t>
  </si>
  <si>
    <t>Flete</t>
  </si>
  <si>
    <t>Fletes</t>
  </si>
  <si>
    <t>Fosfatizado de Manganeso</t>
  </si>
  <si>
    <t>Fosfatizado de Zinc</t>
  </si>
  <si>
    <t>Fundición de Plata</t>
  </si>
  <si>
    <t>Granallado</t>
  </si>
  <si>
    <t>Iridizado</t>
  </si>
  <si>
    <t>Jornada Extraordinaria</t>
  </si>
  <si>
    <t>Lavado</t>
  </si>
  <si>
    <t>Limpieza de Recubrimiento</t>
  </si>
  <si>
    <t>Maquila de Tratamiento Térmico</t>
  </si>
  <si>
    <t>Materia Prima</t>
  </si>
  <si>
    <t>Niquelado Brillante</t>
  </si>
  <si>
    <t>Niquelado Electroless</t>
  </si>
  <si>
    <t>Niquelado Estaño</t>
  </si>
  <si>
    <t>Niquelado Plateado</t>
  </si>
  <si>
    <t>Niquelado Sulfamato</t>
  </si>
  <si>
    <t>Niquelado Woods</t>
  </si>
  <si>
    <t>Pavonado</t>
  </si>
  <si>
    <t>Pintura Epóxica BT</t>
  </si>
  <si>
    <t>Pintura Epóxica MT</t>
  </si>
  <si>
    <t>Plateado Selectivo</t>
  </si>
  <si>
    <t>Pre-Limpieza</t>
  </si>
  <si>
    <t>Preparación previa al acabado</t>
  </si>
  <si>
    <t>Refacciones</t>
  </si>
  <si>
    <t>Retrabajo Ecoplating</t>
  </si>
  <si>
    <t>Servicio Logístico</t>
  </si>
  <si>
    <t>Tiempo de Ingeniería y Línea</t>
  </si>
  <si>
    <t>Tricapa Estaño Níquel Cobre</t>
  </si>
  <si>
    <t>Zinc Cromo Trivalente</t>
  </si>
  <si>
    <t>Zinc Níquel</t>
  </si>
  <si>
    <t>Zincado</t>
  </si>
  <si>
    <t>En desarrollo</t>
  </si>
  <si>
    <t>Plata Mate</t>
  </si>
  <si>
    <t>Níquel Sulfamato</t>
  </si>
  <si>
    <t>Rebabeo</t>
  </si>
  <si>
    <t>Plata Semibrillante</t>
  </si>
  <si>
    <t>Níquel Electroless</t>
  </si>
  <si>
    <t>Sellado</t>
  </si>
  <si>
    <t>Lavado de Bimetales</t>
  </si>
  <si>
    <t>Epóxico BT</t>
  </si>
  <si>
    <t>Fosfato de Zinc</t>
  </si>
  <si>
    <t>Níquel Woods</t>
  </si>
  <si>
    <t>Deshidrogenado</t>
  </si>
  <si>
    <t>Pulido</t>
  </si>
  <si>
    <t>Zinc</t>
  </si>
  <si>
    <t>Limpieza Especial PCL</t>
  </si>
  <si>
    <t>Estaño Mate</t>
  </si>
  <si>
    <t>Epóxico MT</t>
  </si>
  <si>
    <t>NP Desconocido</t>
  </si>
  <si>
    <t>Flexset - Silver</t>
  </si>
  <si>
    <t>Muestras</t>
  </si>
  <si>
    <t>Bus Ways</t>
  </si>
  <si>
    <t>Níquel Cromvet</t>
  </si>
  <si>
    <t>Limpieza Especial ISP</t>
  </si>
  <si>
    <t>Evabrite</t>
  </si>
  <si>
    <t>Epóxico Rojo</t>
  </si>
  <si>
    <t>SRG</t>
  </si>
  <si>
    <t>SQR</t>
  </si>
  <si>
    <t>SMY</t>
  </si>
  <si>
    <t>SCM</t>
  </si>
  <si>
    <t>Anodizado Negro</t>
  </si>
  <si>
    <t>Querétaro</t>
  </si>
  <si>
    <t>Cobre Flash</t>
  </si>
  <si>
    <t>Rojo Gómez</t>
  </si>
  <si>
    <t>No Oxide</t>
  </si>
  <si>
    <t>Anodizado Natural</t>
  </si>
  <si>
    <t>Níquel</t>
  </si>
  <si>
    <t>CDMX</t>
  </si>
  <si>
    <t>STX</t>
  </si>
  <si>
    <t>CGR</t>
  </si>
  <si>
    <t>Barnizado</t>
  </si>
  <si>
    <t>Tlaxcala</t>
  </si>
  <si>
    <t>Cromo Duro</t>
  </si>
  <si>
    <t>Brill 61</t>
  </si>
  <si>
    <t>Limpieza Mecánica</t>
  </si>
  <si>
    <t>Producción</t>
  </si>
  <si>
    <t>Unidad</t>
  </si>
  <si>
    <t>—</t>
  </si>
  <si>
    <t>1.28.031 (Zinc Trivalente)</t>
  </si>
  <si>
    <t>1.28.003 (Pavonado)</t>
  </si>
  <si>
    <t>48053-005-01 (Lavado Bimetales)</t>
  </si>
  <si>
    <t>48951-008-01 (Desengrase)</t>
  </si>
  <si>
    <t>48057-004-01 (Bright Dip)</t>
  </si>
  <si>
    <t>48860-031-01 (Lavado)</t>
  </si>
  <si>
    <t>CJ02 Caja de Plástico</t>
  </si>
  <si>
    <t>M101-BA01 Barril</t>
  </si>
  <si>
    <t>M102-FL01 FlyBar Cobre</t>
  </si>
  <si>
    <t>M102-FL02 FlyBar Cobre y Acero</t>
  </si>
  <si>
    <t>M102-RA01 Bastón 6"</t>
  </si>
  <si>
    <t>M102-RA02 Bastón 4"</t>
  </si>
  <si>
    <t>M102-RA03 Bastón 3"</t>
  </si>
  <si>
    <t>M102-RA04 Gancho 1 Nivel</t>
  </si>
  <si>
    <t>M102-RA05 Parrilla 1" a 1.75"</t>
  </si>
  <si>
    <t>M102-RA06 Parrilla 2" a 2.75"</t>
  </si>
  <si>
    <t>M102-RA07 Parrilla 2" a 3.75"</t>
  </si>
  <si>
    <t>M102-RA08 Clip 4</t>
  </si>
  <si>
    <t>M102-RA09 Clip 5</t>
  </si>
  <si>
    <t>M102-RA10 Clip 6</t>
  </si>
  <si>
    <t>M102-RA11 Parrilla ABB</t>
  </si>
  <si>
    <t>M102-RA12 Gancho 2 Niveles</t>
  </si>
  <si>
    <t>M102-RA13 Baston Modificado 4" a 6"</t>
  </si>
  <si>
    <t>M102-RA14 Gancho EAV</t>
  </si>
  <si>
    <t>M102-RA15 Gancho 4 Niveles</t>
  </si>
  <si>
    <t>M102-RA16 Angulo</t>
  </si>
  <si>
    <t>M102-RA17 Clip 400</t>
  </si>
  <si>
    <t>M102-RA18 Clip 28</t>
  </si>
  <si>
    <t>M102-RA19 Clip 37</t>
  </si>
  <si>
    <t>M103-FL01 FlyBar Eaton</t>
  </si>
  <si>
    <t>M103-RA01 Racks Eaton</t>
  </si>
  <si>
    <t>MADERA</t>
  </si>
  <si>
    <t>T101-FL01</t>
  </si>
  <si>
    <t>T102-BA01</t>
  </si>
  <si>
    <t>T102-LI Estaño e Iridizado (12)</t>
  </si>
  <si>
    <t>T103-FL01</t>
  </si>
  <si>
    <t>T103-RA01</t>
  </si>
  <si>
    <t>T103-RA02</t>
  </si>
  <si>
    <t>T103-RA04</t>
  </si>
  <si>
    <t>T103-RA09</t>
  </si>
  <si>
    <t>T105-FL01</t>
  </si>
  <si>
    <t>T106-BA01</t>
  </si>
  <si>
    <t>T107-FL01</t>
  </si>
  <si>
    <t>T107-RA01</t>
  </si>
  <si>
    <t>T107-RA02</t>
  </si>
  <si>
    <t>T108-BA01</t>
  </si>
  <si>
    <t>T108-FL01</t>
  </si>
  <si>
    <t>T109-BA01</t>
  </si>
  <si>
    <t>T110-FL01</t>
  </si>
  <si>
    <t>T111-FL01</t>
  </si>
  <si>
    <t>T111-RA01</t>
  </si>
  <si>
    <t>T111-RA02</t>
  </si>
  <si>
    <t>T111-RA03</t>
  </si>
  <si>
    <t>T111-RA04</t>
  </si>
  <si>
    <t>T111-RA05</t>
  </si>
  <si>
    <t>T111-RA06</t>
  </si>
  <si>
    <t>T111-RA07</t>
  </si>
  <si>
    <t>T111-RA08</t>
  </si>
  <si>
    <t>T112-BA01</t>
  </si>
  <si>
    <t>T113-BA01</t>
  </si>
  <si>
    <t>T114-CA01</t>
  </si>
  <si>
    <t>T114-FL01</t>
  </si>
  <si>
    <t>T115-FL01</t>
  </si>
  <si>
    <t>T117-FL01</t>
  </si>
  <si>
    <t>T201-FL01</t>
  </si>
  <si>
    <t>T202-FL01</t>
  </si>
  <si>
    <t>T203-BA01</t>
  </si>
  <si>
    <t>T204-FL01</t>
  </si>
  <si>
    <t>T205-RA01</t>
  </si>
  <si>
    <t>T205-RA02</t>
  </si>
  <si>
    <t>T205-RA03</t>
  </si>
  <si>
    <t>T205-RA04</t>
  </si>
  <si>
    <t>T205-RA05</t>
  </si>
  <si>
    <t>T205-RA06</t>
  </si>
  <si>
    <t>T205-RA07</t>
  </si>
  <si>
    <t>T205-RA08</t>
  </si>
  <si>
    <t>T205-RA09</t>
  </si>
  <si>
    <t>T205-RA10</t>
  </si>
  <si>
    <t>T206-BA01</t>
  </si>
  <si>
    <t>T301-BA01</t>
  </si>
  <si>
    <t>T401-FL01</t>
  </si>
  <si>
    <t>STEELHEAD DATA LOADER v8.3</t>
  </si>
  <si>
    <t>61 cols (A-BI). Header 3-17. Datos fila 22+.</t>
  </si>
  <si>
    <t>Vacío=no tocar. Guión(-)=borrar.</t>
  </si>
  <si>
    <t>A-D:Parámetros | E-L:Identificación | M-Q:Acabados</t>
  </si>
  <si>
    <t>R-S:Proceso | T-AE:Productos×3 | AF-AI:Specs×2+Espesor</t>
  </si>
  <si>
    <t>AJ-AM:Conv.Unidades | AN-AQ:Racks×2 | AR-AV:Dimensiones</t>
  </si>
  <si>
    <t>AW-AY:Asig.Contable | AZ-BH:Predictive Usage | BI:Check</t>
  </si>
  <si>
    <t>NUEVO v8.3:</t>
  </si>
  <si>
    <t>- Espesor auto del punto medio del rango de la Spec</t>
  </si>
  <si>
    <t>- Columna de espesor junto a cada Spec</t>
  </si>
  <si>
    <t>- Cálculo MP rutea espesor al metal correcto via SEARCH</t>
  </si>
  <si>
    <t>- Política forzar nuevo: Cliente+Labels+Spec</t>
  </si>
  <si>
    <t>Clientes</t>
  </si>
  <si>
    <t>Procesos</t>
  </si>
  <si>
    <t>Productos</t>
  </si>
  <si>
    <t>Specs</t>
  </si>
  <si>
    <t>Racks Línea</t>
  </si>
  <si>
    <t>Racks Todos</t>
  </si>
  <si>
    <t>CódigoSAT</t>
  </si>
  <si>
    <t>MetalBase</t>
  </si>
  <si>
    <t>1.28.001 (Zinc negro azul) | 3.81 - 11.43 μm</t>
  </si>
  <si>
    <t>BRAININ DE MEXICO — Av. San Luis Tlatilco 42 Parque Industri</t>
  </si>
  <si>
    <t>73181109 - Servicios de niquelado</t>
  </si>
  <si>
    <t>Aluminio</t>
  </si>
  <si>
    <t>73181119 - Servicio de recubrimiento con pintura en polvo</t>
  </si>
  <si>
    <t>CONTROLES Y MEDIDORES ESPECIALIZADOS — Paseo de la Reforma 2608 Int Piso 3, Ofi</t>
  </si>
  <si>
    <t>73151500 - Servicios de ensamble</t>
  </si>
  <si>
    <t>Latón</t>
  </si>
  <si>
    <t>CUPRUM — Av. Diego Díaz de Berlanga Colonia Nogal</t>
  </si>
  <si>
    <t>73151506 - Servicio de subensamble o ensamble definitivo</t>
  </si>
  <si>
    <t>Acero Inoxidable</t>
  </si>
  <si>
    <t>DISEÑO Y METALMECANICA — Coltongo 158, Azcapotzalco,, Cuidad de M</t>
  </si>
  <si>
    <t>11191500 - Cuerpos sólidos de metal</t>
  </si>
  <si>
    <t>Bronce</t>
  </si>
  <si>
    <t>DISPOSITIVOS MECANICOS R.B. — Avenida de la Piedra 42 Ignacio Lopez Ra</t>
  </si>
  <si>
    <t>1.28.037 (Zinc) | 5 - 9 µm</t>
  </si>
  <si>
    <t>30262200 - Barras de cobre</t>
  </si>
  <si>
    <t>Bimetálica</t>
  </si>
  <si>
    <t xml:space="preserve">EATON INDUSTRIES — </t>
  </si>
  <si>
    <t>1.28.041 (Níquel) | 5 - 10 µm</t>
  </si>
  <si>
    <t>31281500 - Componentes estampados</t>
  </si>
  <si>
    <t>Varios</t>
  </si>
  <si>
    <t>ECOPLATING MONTERREY — Quinta Avenida 203 Parque Industrial Esc</t>
  </si>
  <si>
    <t>40001-053-02 (Estaño) | &gt; 5.08 µm &lt; 10.0 µm</t>
  </si>
  <si>
    <t>31281813 - Componentes de cobre perforados</t>
  </si>
  <si>
    <t>ESTAMPADOS MONTERREY — DIAZ ORDAZ 339 Santa Catarina Centro San</t>
  </si>
  <si>
    <t>40004-014-01 (Estaño) | 5 - 10 µm</t>
  </si>
  <si>
    <t>39121400 - Lengüetas de conexión conectadores y terminales</t>
  </si>
  <si>
    <t>FALCO ELECTRONICS MEXICO — Calle 37 611 Itzincab Mérida, Yucatán  9</t>
  </si>
  <si>
    <t>40004-015-01 (Estaño) | 5.08 - 10 µm</t>
  </si>
  <si>
    <t>FEDERAL MOGUL — Tenneco Puebla, Carretera Resurrección 7</t>
  </si>
  <si>
    <t>40004-017-01 (Zinc) | Espesor</t>
  </si>
  <si>
    <t>FEDERAL-MOGUL DE MEXICO — Poniente 150 956 Industrial Vallejo Ciud</t>
  </si>
  <si>
    <t xml:space="preserve">FISHER CONTROLES DE MEXICO — INDUSTRIAS QUIMICAS 203 Zona Industrial </t>
  </si>
  <si>
    <t>40004-086-01 (Plata Flash) | &gt;= 1.27 µm</t>
  </si>
  <si>
    <t>GRAMMER AUTOMOTIVE PUEBLA — Ivan Cortés Blvd TETLA 107 Lote 1 Manzan</t>
  </si>
  <si>
    <t>GRUPO COLLADO — Av. Gavilan 200 Guadalupe del Moral Ciud</t>
  </si>
  <si>
    <t>HIRSCHVOGEL COMPONENTS MEXICO — Dr. Manfred Hirschvogel Parque Industria</t>
  </si>
  <si>
    <t>HOFFMANN PRECISION METAL — Parque Industrial El Marques, El Colorad</t>
  </si>
  <si>
    <t>48057-002-02 (Níquel Bimetales) | 0.5 - 2.0 μm</t>
  </si>
  <si>
    <t>HOFFMANN PRECISION METAL — Privada del Conde 4, Int. 2</t>
  </si>
  <si>
    <t>HUBBELL PRODUCTS MEXICO — CINCO SUR 104 PARQUE INDUSTRIAL TOLUCA 2</t>
  </si>
  <si>
    <t>IMPRO INDUSTRIES MEXICO — Rocío de la Cruz Pichado Bernalejo 115 E</t>
  </si>
  <si>
    <t>48057-006-01 (Plata) | 2.5 - 4.0 μm</t>
  </si>
  <si>
    <t>INDUSTRIA EN ENGRANES Y MAQUINADOS — Col. Pro-hogar 02600</t>
  </si>
  <si>
    <t>48057-007-01 (Estaño Bimetales) | 1.9 - 5.0 μm</t>
  </si>
  <si>
    <t>INDUSTRIA EN ENGRANES Y MAQUINADOS — Moldeadores 318</t>
  </si>
  <si>
    <t>INDUSTRIAL ELECTRIC MANUFACTURING — 3600 Port Jacksonville Pkwy Jacksonville</t>
  </si>
  <si>
    <t>INDUSTRIAL TAMTO DE PUEBLA — Av. Hidalgo 24</t>
  </si>
  <si>
    <t>INDUSTRIAL TAMTO DE PUEBLA — Col. Santa Cruz Buenavista, Puebla, 7217</t>
  </si>
  <si>
    <t>INDUSTRIAS MECANICO ELECTRICAS — Av. Central 23</t>
  </si>
  <si>
    <t>48957-014-01 (Niquel) | 5.0 - 10.0 μm</t>
  </si>
  <si>
    <t>INDUSTRIAS MECANICO ELECTRICAS — Col. R�stica Xalostoc, Ecatepec, 55340</t>
  </si>
  <si>
    <t>50-25681 (Zinc) | &gt;= 5.08 µm Sn / &gt;=2.54 µm Ni / = 1.27µm</t>
  </si>
  <si>
    <t>INDUSTRIAS UNIDAS — IUSA CARRETERA PANAMERICANA MEXICO QUERE</t>
  </si>
  <si>
    <t>80065-DS-001 (Estaño s/Cobre) | 5.08 - 8.89 µm</t>
  </si>
  <si>
    <t>INTEGRACION Y DIGITALIZACION INDUSTRIAL — Sandino Martinez Villa union 451 Monterr</t>
  </si>
  <si>
    <t>80065-DS-002 (Estaño s/Aluminio) | 5.08 - 8.89 µm</t>
  </si>
  <si>
    <t xml:space="preserve">INTERNATIONAL METALS DE MEXICO — IMMSA Avenida Alfredo del Mazo #14 Lote </t>
  </si>
  <si>
    <t xml:space="preserve">JABIL EMS SWITZERLAND GMBH — </t>
  </si>
  <si>
    <t xml:space="preserve">JINRONG MEXICO PRECISION MACHINERY — </t>
  </si>
  <si>
    <t>KEATS DE MEXICO — KEATS DE MEXICO Av. Brasil 17 Parque Ind</t>
  </si>
  <si>
    <t>80282-DS-005 (Epóxico BT) | 4 -11 mils (milipulgadas)</t>
  </si>
  <si>
    <t xml:space="preserve">KEMET ELECTRONICS CORPORATION — BILLY MITCHELL BLVD BROWNSVILLE, Texas  </t>
  </si>
  <si>
    <t>KERN LIEBERS MEXICO — Kern liebers AVENIDA EL TEPEYAC 11080 In</t>
  </si>
  <si>
    <t>ABD01030 (Plata) | 2 - 5 µm</t>
  </si>
  <si>
    <t>KWD INDUSTRIAS — Calle 4 Norte 100 Parque Industrial Tolu</t>
  </si>
  <si>
    <t>ACP5-618 (Plata) | 0.076 - 0.2 μm</t>
  </si>
  <si>
    <t>LEV INDUSTRIAL — Antigua Carretera a Quer�taro S/N Bodega</t>
  </si>
  <si>
    <t>ASTM B 545 (Niquel) | 5.0 - 8.0 μm</t>
  </si>
  <si>
    <t>LEV INDUSTRIAL — San Francisco 2da Secci�n, Tepeji del R�</t>
  </si>
  <si>
    <t>MACOR DE MEXICO — Doctor Coss 2330 Del Norte Monterrey, Nu</t>
  </si>
  <si>
    <t xml:space="preserve">MANUFACTURAS METALICAS CORREA — Priv. de los Gómez Los Gómez Soledad de </t>
  </si>
  <si>
    <t>MAQGARBEN Y SERVICIOS — Priv. Elias Flores, 810, Moderno Apodaca</t>
  </si>
  <si>
    <t>MECANOMATIC — España 440, San Nicolás Tolentino, Iztap</t>
  </si>
  <si>
    <t xml:space="preserve">METALWORKING — </t>
  </si>
  <si>
    <t>MJCELCO MEXICO — AVENIDA LUIS DONALDO COLOSIO Parque Indu</t>
  </si>
  <si>
    <t>DIN EN 12476 (Medición de Grano - Con aceite) | 2.54 - 7.62 µm</t>
  </si>
  <si>
    <t>MUCCINI — Aguascalientes, 1430, LOC 3 Reynosa, Tam</t>
  </si>
  <si>
    <t>DIN EN 12476 (Medición de Grano - Sin aceite) | 3 - 12 µm</t>
  </si>
  <si>
    <t>NEW DYNACAST DE MEXICO — San Mart�n Obispo Tepetlixpan, Cuautitl�</t>
  </si>
  <si>
    <t>DS258-103-00 (Estaño) | &gt; 5.08 µm &lt; 10.0 µm</t>
  </si>
  <si>
    <t>NEW DYNACAST DE MEXICO — Tejocotes Lote 77 2A</t>
  </si>
  <si>
    <t>E27550 (Plata) | 1.27 - 3.5 μm</t>
  </si>
  <si>
    <t>NICRO — NICRO Pirul 33 Bellavista Puente de Viga</t>
  </si>
  <si>
    <t>E27780 (Epóxico MT) | 50 - 100 mils</t>
  </si>
  <si>
    <t>NUEVA GENERACION MANUFACTURAS — Av. Tezozomoc 239</t>
  </si>
  <si>
    <t>Eco CU s/FE | 12.7 - 22 µm</t>
  </si>
  <si>
    <t>NUEVA GENERACION MANUFACTURAS — Fraccionamiento Industrial San Antonio A</t>
  </si>
  <si>
    <t xml:space="preserve">OLSON METAL PRODUCTS LLC — OLSON WEST ALGONQUIN ROAD 511 ARLINGTON </t>
  </si>
  <si>
    <t xml:space="preserve">POLLMANN DE MEXICO — Circuito Corral de Piedras 52 Corral de </t>
  </si>
  <si>
    <t>POLLMANN DE MEXICO — POLLMAN DE MEXICO Circuito Corral de Pie</t>
  </si>
  <si>
    <t xml:space="preserve">PROCESOS TECNICOS RAMIREZ — RAMIREZ Avenida de la Piedra 42 Ignacio </t>
  </si>
  <si>
    <t>PRODUCTOS EL ROBLE — BREA 188 Granjas México Ciudad de México</t>
  </si>
  <si>
    <t xml:space="preserve">PROGRESSIVE STAMPING DE MEXICO — PROGRESSIVE STAMPING DE MEXICO Calle 2, </t>
  </si>
  <si>
    <t>RESORTES Y PARTES — GUIZAR Y VALENCIA San Andrés Atoto Nauca</t>
  </si>
  <si>
    <t>ROYAL POWER SOLUTIONS — Royal Power Solutions //Eaton Carr Estat</t>
  </si>
  <si>
    <t>RPK MEXICO — controller@rpk.com.mx Oriente 5 Ciudad I</t>
  </si>
  <si>
    <t>SANMINA CORPORATION — SANMINA 2700 North First Street San Jose</t>
  </si>
  <si>
    <t>SANMINA-SCI DE MEXICO — Sanmina Mty AVENIDA INDUSTRIAL RIO SAN J</t>
  </si>
  <si>
    <t>SANMINA-SCI RSP DE MEXICO — SANMINA GDL Carretera.Guadalajara-Chapal</t>
  </si>
  <si>
    <t>SANMINA-SCI SYSTEMS DE MEXICO — Av. Solidaridad Iberoamericana 7020</t>
  </si>
  <si>
    <t>SANMINA-SCI SYSTEMS DE MEXICO — Club de Golf Atlas, El Salto Jalisco, 45</t>
  </si>
  <si>
    <t xml:space="preserve">SCHNEIDER ELECTRIC MEXICO — Javier Rojo Gómez 1121-A, Guadalupe del </t>
  </si>
  <si>
    <t>SCHNEIDER ELECTRIC USA INC — 5914 San Bernardo, Suite 4-960, Laredo,,</t>
  </si>
  <si>
    <t>SCHNEIDER ELECTRIC USA INC — Vesta Industrial Park Querétaro, Av. Ves</t>
  </si>
  <si>
    <t>Steelhead Manufacturing — 12501 Grand River Rd Brighton, MI  48116</t>
  </si>
  <si>
    <t>Steelhead Manufacturing — av 1 de mayo 1801 toluca, mexico 51200 t</t>
  </si>
  <si>
    <t xml:space="preserve">STK INDUSTRIAS — CARRETERA A VILLA DE GARCIA 2501-BODEGA </t>
  </si>
  <si>
    <t xml:space="preserve">TECNOLOGIA HERGO — PRIV. DE JOSE CLARK FLORES 104, Moderna </t>
  </si>
  <si>
    <t>THYSSENKRUPP MATERIALS DE MEXICO — KM 117 AUTOPISTA MEXICO PUEBLA Sin Numer</t>
  </si>
  <si>
    <t>TINPRECISION — TINPRECISION 20 de Noviembre 1001 Santia</t>
  </si>
  <si>
    <t>TROQUELADOS INDUSTRIALES DE PRECISION — ING. RICARDO RAMIREZ Adolfo Lopez Mateos</t>
  </si>
  <si>
    <t>ZION &amp; EBENEZER TECHNOLOGIES — Estado de México 1 Int. 2 y 3, Prof. Cri</t>
  </si>
  <si>
    <t>Cálculo de consumo de materia prima por pieza</t>
  </si>
  <si>
    <t>Metales: densidad×área×espesor/10⁷=kg. AT:0.0012L/kg_Cu. Epóx:g/m×LM/453.592=lb. MTR:MT×1.07</t>
  </si>
  <si>
    <t>Espesor se lee automáticamente de Upload (punto medio del rango de la Spec). Puede editarse directamente.</t>
  </si>
  <si>
    <t>#</t>
  </si>
  <si>
    <t>Material</t>
  </si>
  <si>
    <t>Símbolo</t>
  </si>
  <si>
    <t>Densidad
(g/cm³)</t>
  </si>
  <si>
    <t>ID</t>
  </si>
  <si>
    <t>BOM Item SH</t>
  </si>
  <si>
    <t>Keyword</t>
  </si>
  <si>
    <t>Ag</t>
  </si>
  <si>
    <t>Plata Fina</t>
  </si>
  <si>
    <t>Sn</t>
  </si>
  <si>
    <t>Estaño Puro</t>
  </si>
  <si>
    <t>Ni</t>
  </si>
  <si>
    <t>Níquel Metálico</t>
  </si>
  <si>
    <t>Zn</t>
  </si>
  <si>
    <t>Zinc Metálico</t>
  </si>
  <si>
    <t>Cu</t>
  </si>
  <si>
    <t>Placa Cobre Electrolítico</t>
  </si>
  <si>
    <t>Sterlingshield S</t>
  </si>
  <si>
    <t>LTS</t>
  </si>
  <si>
    <t>Epóxica MT</t>
  </si>
  <si>
    <t>Epoxy MT</t>
  </si>
  <si>
    <t>LBR</t>
  </si>
  <si>
    <t>Epóx</t>
  </si>
  <si>
    <t>Epóxica BT</t>
  </si>
  <si>
    <t>Epoxica BT</t>
  </si>
  <si>
    <t>Epóxica MT Roja</t>
  </si>
  <si>
    <t>Epoxica MT Red</t>
  </si>
  <si>
    <t>CÁLCULO POR NÚMERO DE PARTE</t>
  </si>
  <si>
    <t>PN</t>
  </si>
  <si>
    <t>Área
(cm²)</t>
  </si>
  <si>
    <t>Esp.1
(µm)</t>
  </si>
  <si>
    <t>Esp.2
(µm)</t>
  </si>
  <si>
    <t>Spec1
keyword</t>
  </si>
  <si>
    <t>Spec2
keyword</t>
  </si>
  <si>
    <t>Plata
(kg)</t>
  </si>
  <si>
    <t>Estaño
(kg)</t>
  </si>
  <si>
    <t>Níquel
(kg)</t>
  </si>
  <si>
    <t>Zinc
(kg)</t>
  </si>
  <si>
    <t>Cobre
(kg)</t>
  </si>
  <si>
    <t>AT
(L)</t>
  </si>
  <si>
    <t>MT
(lb)</t>
  </si>
  <si>
    <t>BT
(lb)</t>
  </si>
  <si>
    <t>MTR
(lb)</t>
  </si>
  <si>
    <t>CALC</t>
  </si>
  <si>
    <t>Líneas</t>
  </si>
  <si>
    <t>Departamentos</t>
  </si>
  <si>
    <t>T101-LI Pre Limpieza (4 - 5)</t>
  </si>
  <si>
    <t>T103-LI Cromo Duro (11)</t>
  </si>
  <si>
    <t>T104-LI Zinc y Estaño Manual (6)</t>
  </si>
  <si>
    <t>Administración</t>
  </si>
  <si>
    <t>Almacén</t>
  </si>
  <si>
    <t>Almacén de Materia Prima</t>
  </si>
  <si>
    <t>Calidad</t>
  </si>
  <si>
    <t>Compras</t>
  </si>
  <si>
    <t>Contabilidad</t>
  </si>
  <si>
    <t>Dirección</t>
  </si>
  <si>
    <t>Ingeniería de Procesos</t>
  </si>
  <si>
    <t>Laboratorio</t>
  </si>
  <si>
    <t>Mantenimiento</t>
  </si>
  <si>
    <t>Recursos Humanos</t>
  </si>
  <si>
    <t>Sistemas</t>
  </si>
  <si>
    <t>Divisa</t>
  </si>
  <si>
    <t>T106-LI Zinc Automático (8)</t>
  </si>
  <si>
    <t>T107-LI Plata (9)</t>
  </si>
  <si>
    <t>T108-LI Electroless Níquel (14)</t>
  </si>
  <si>
    <t>T109-LI Varios Manual (10)</t>
  </si>
  <si>
    <t>T110-LI Rack Automático (13)</t>
  </si>
  <si>
    <t>T111-LI Ensamble (13.1)</t>
  </si>
  <si>
    <t>T112-LI Barril Automático (15)</t>
  </si>
  <si>
    <t>T113-LI Rack Automático (16)</t>
  </si>
  <si>
    <t>T114-LI Barril Automático (16.1)</t>
  </si>
  <si>
    <t>T115-LI Anodizado (17)</t>
  </si>
  <si>
    <t>T116-LI Rack Automático (18)</t>
  </si>
  <si>
    <t>T117-LI Rack Automático (19)</t>
  </si>
  <si>
    <t>T200-LI CuSO4 Automático (1)</t>
  </si>
  <si>
    <t>T201-LI Níquel Automático (2)</t>
  </si>
  <si>
    <t>T202-LI Cromo Decorativo (3)</t>
  </si>
  <si>
    <t>T203-LI Zinc (7.1)</t>
  </si>
  <si>
    <t>T204-LI Varios Manual (10.1)</t>
  </si>
  <si>
    <t>T205-LI Plata (9.1)</t>
  </si>
  <si>
    <t>T206-LI Electroless Níquel (14.1)</t>
  </si>
  <si>
    <t>T207-LI Enjuague Rack Auto (2.1)</t>
  </si>
  <si>
    <t>T208-LI Pre Limpieza (4.1)</t>
  </si>
  <si>
    <t>Logística</t>
  </si>
  <si>
    <t>Planta 1</t>
  </si>
  <si>
    <t>Planta 2</t>
  </si>
  <si>
    <t>Seguridad e Higiene</t>
  </si>
  <si>
    <t>Taller Mecánico</t>
  </si>
  <si>
    <t>Tratamiento de Aguas</t>
  </si>
  <si>
    <t>Ventas</t>
  </si>
  <si>
    <t>Ventas Internacionales</t>
  </si>
  <si>
    <t>Fin</t>
  </si>
  <si>
    <t>Código de colores:</t>
  </si>
  <si>
    <t>Editable</t>
  </si>
  <si>
    <t>Fórmula (no tocar)</t>
  </si>
  <si>
    <t>Híbrida (auto/editable)</t>
  </si>
  <si>
    <t>SOLO_PN</t>
  </si>
  <si>
    <t>T100 (PUL)-T103 (CRD)-T103 (ACE)-T100 (ABR)-FE-FISHER (11.0)</t>
  </si>
  <si>
    <t>T101 (DEC)-T109 (NBR)-FE/AC-GRANEL (15.0)</t>
  </si>
  <si>
    <t>T101 (DEC)-T109 (NSU)-FE/AC-GRANEL (15.0)</t>
  </si>
  <si>
    <t>T101 (ROD)-T108 (NWO)-T108 (NEL)-T109 (PAS)-INOX/FE-VARIOS (13.0)</t>
  </si>
  <si>
    <t>T101 (ROD)-T109 (NBR)-FE/AC-GRANEL (15.0)</t>
  </si>
  <si>
    <t>T101 (ROD)-T109 (NBR)-T100 (HOR)-FE/AC-GRANEL (15.0)</t>
  </si>
  <si>
    <t>T101 (ROD)-T109 (NSU)-FE/AC-GRANEL (15.0)</t>
  </si>
  <si>
    <t>T101 (ROD)-T109 (NSU)-T100 (HOR)-FE/AC-GRANEL (15.0)</t>
  </si>
  <si>
    <t>T101 (ROD)-T112 (NEL)-T109 (PAS)-FE-VARIOS (13.2)</t>
  </si>
  <si>
    <t>T101 (ROD)-T112 (NWO)-T112 (NEL)-T112 (ACE)-INOX-MONEDA (13.2)</t>
  </si>
  <si>
    <t>T103 (CRD)-FE-VEEBALL (11.0)</t>
  </si>
  <si>
    <t>T109 (NBR)-FE/AC-GRANEL (15.0)</t>
  </si>
  <si>
    <t>T109 (NBR)-T100 (HOR)-FE/AC-GRANEL (15.0)</t>
  </si>
  <si>
    <t>T109 (NSU)-FE/AC-GRANEL (15.0)</t>
  </si>
  <si>
    <t>T109 (NSU)-T100 (HOR)-FE/AC-GRANEL (15.0)</t>
  </si>
  <si>
    <t>T200 (REB)-T109 (NBR)-FE/AC-GRANEL (15.0)</t>
  </si>
  <si>
    <t>T200 (REB)-T109 (NBR)-T100 (HOR)-FE/AC-GRANEL (15.0)</t>
  </si>
  <si>
    <t>T200 (REB)-T109 (NSU)-FE/AC-GRANEL (15.0)</t>
  </si>
  <si>
    <t>T200 (REB)-T109 (NSU)-T100 (HOR)-FE/AC-GRANEL (15.0)</t>
  </si>
  <si>
    <t>T201 (DEC)-T201 (EST)-T401 (EBT)-CU-VARIOS (25.0)</t>
  </si>
  <si>
    <t>T401 (EMT)-T201 (DEC)-T201 (EST)-CU-VARIOS (25.0)</t>
  </si>
  <si>
    <t>Cancelación por NC</t>
  </si>
  <si>
    <t>1.28.032 (Níquel) | 2.54 - 7.62 μm</t>
  </si>
  <si>
    <t>1.28.032 (Níquel) | 5.8 - 8.89 μm</t>
  </si>
  <si>
    <t>1.28.032 (Níquel) | 7.62 - 15.24 μm</t>
  </si>
  <si>
    <t>40004-022-01 (Estaño s/Aluminio) | 5.08 µm - 7.54 µm</t>
  </si>
  <si>
    <t>48053-001-01 (Deshidrogenado)</t>
  </si>
  <si>
    <t>48057-002-01 (Níquel) | 2.5 - 5.0 μm</t>
  </si>
  <si>
    <t>48057-003-01 (Zinc Cromato Claro | 6.0 - 10.0 μm</t>
  </si>
  <si>
    <t>48951-001-01 (Rebabeo)</t>
  </si>
  <si>
    <t>48951-001-02 (Rebabeo)</t>
  </si>
  <si>
    <t>80065-DS-008 (Plata) | 0.5 - 1.0 μm</t>
  </si>
  <si>
    <t>A-48057-003 (Zinc) | 5.0 -8.0 μm</t>
  </si>
  <si>
    <t>ASTM B 633 (Zinc Cromato Claro) | 8.0 - 12.0 μm</t>
  </si>
  <si>
    <t>ASTM B689  TYPE I CLASS 5 (Niquel) | 7.6 - 12.7 μm</t>
  </si>
  <si>
    <t>ASTM B689 (Níquel) | 15.0 - 25.0 μm</t>
  </si>
  <si>
    <t>ASTM B700 (Plata) | 7.6 - 12.7 μm</t>
  </si>
  <si>
    <t>ASTM B700-97 (Plata) | 0.4 - 2.5 μm</t>
  </si>
  <si>
    <t>AUD-CONSERVAION-PROD-CLIENTE</t>
  </si>
  <si>
    <t>BURNDY DI-EI-01/81 (Estaño) | 5.0 - 12.0 μm</t>
  </si>
  <si>
    <t>F4383 (Estaño) | 7.62 - 25.4 μm</t>
  </si>
  <si>
    <t>T104-FL01</t>
  </si>
  <si>
    <t>T116-FL01</t>
  </si>
  <si>
    <t>T207-FL01</t>
  </si>
  <si>
    <t>T103-RA05</t>
  </si>
  <si>
    <t>T103-RA06</t>
  </si>
  <si>
    <t>T103-RA07</t>
  </si>
  <si>
    <t>T103-RA08</t>
  </si>
  <si>
    <t>T103-RA10</t>
  </si>
  <si>
    <t>T103-RA11</t>
  </si>
  <si>
    <t>T103-RA12</t>
  </si>
  <si>
    <t>T201-RA01</t>
  </si>
  <si>
    <t>T201-RA02</t>
  </si>
  <si>
    <t>T204-RA01</t>
  </si>
  <si>
    <t>T204-RA02</t>
  </si>
  <si>
    <t>T204-RA03</t>
  </si>
  <si>
    <t>T204-RA04</t>
  </si>
  <si>
    <t>T204-RA05</t>
  </si>
  <si>
    <t>T205-RA11</t>
  </si>
  <si>
    <t>T205-RA12</t>
  </si>
  <si>
    <t>PruebaSoloPN</t>
  </si>
  <si>
    <t xml:space="preserve">204871A                       </t>
  </si>
  <si>
    <t xml:space="preserve">204871C                       </t>
  </si>
  <si>
    <t xml:space="preserve">218793                        </t>
  </si>
  <si>
    <t xml:space="preserve">HR CONTACT SPRING                       </t>
  </si>
  <si>
    <t xml:space="preserve">RESORTE                                 </t>
  </si>
  <si>
    <t>211394D</t>
  </si>
  <si>
    <t>211394C</t>
  </si>
  <si>
    <t>S1B1645102</t>
  </si>
  <si>
    <t>REFERENCIA IBMS</t>
  </si>
  <si>
    <t>QuoteIBMS</t>
  </si>
  <si>
    <t>EstacionIBMS</t>
  </si>
  <si>
    <t>Plano</t>
  </si>
  <si>
    <t>Piezas por Carga</t>
  </si>
  <si>
    <t>Cargas por Hora</t>
  </si>
  <si>
    <t>Tiempo de Entrega</t>
  </si>
  <si>
    <t>Notas adicionales</t>
  </si>
  <si>
    <t>T101 (BDP)-CU-VARIOS (4.0)</t>
  </si>
  <si>
    <t>T106 (ZTV)-FE-VARIOS (10.0)</t>
  </si>
  <si>
    <t>T114 (FMS)-T114 (ACE)-FE-PIÑON (7.1)</t>
  </si>
  <si>
    <t>T114 (FMS)-T114 (ACE)-FE-PISTON (7.1)</t>
  </si>
  <si>
    <t>T116 (FZI)-T116 (ACE)-FE-VARIOS (7.2)</t>
  </si>
  <si>
    <t>T116 (PAV)-T116 (ACE)-FE-VARIOS (7.2)</t>
  </si>
  <si>
    <t>T207 (AND)-AL-VARIOS (16.4)</t>
  </si>
  <si>
    <t>T207 (AND)-T207 (TIN)-AL-VARIOS (16.4)</t>
  </si>
  <si>
    <t>T401 (EBT)-CU-VARIOS (30.0)</t>
  </si>
  <si>
    <t>T401 (EMR)-CU-VARIOS (30.0)</t>
  </si>
  <si>
    <t>T401 (EMT)-CU-VARIOS (30.0)</t>
  </si>
  <si>
    <t>Cromato Amarillo Especial</t>
  </si>
  <si>
    <t>Cromato Negro</t>
  </si>
  <si>
    <t>Cromato Trivalente Tropicalizado</t>
  </si>
  <si>
    <t>Cromato Tropicalizado (Amarillo)</t>
  </si>
  <si>
    <t>Níquel Brillante (Sulfato)</t>
  </si>
  <si>
    <t>Rodado</t>
  </si>
  <si>
    <t>Tinta Azul</t>
  </si>
  <si>
    <t>Tinta Negra</t>
  </si>
  <si>
    <t>Tinta Roja</t>
  </si>
  <si>
    <t>Tinta Verde</t>
  </si>
  <si>
    <t>Zinc Claro (Azul)</t>
  </si>
  <si>
    <t>ABIGAHIL FLORES SANCHEZ</t>
  </si>
  <si>
    <t>ALAN EMANUEL URBINA AZOTEA</t>
  </si>
  <si>
    <t>ALEJANDRO LOPEZ ZARATE</t>
  </si>
  <si>
    <t>ALEJANDRO MARTINEZ ENRIQUEZ</t>
  </si>
  <si>
    <t>ALEJANDRO ROCHA RAMIREZ</t>
  </si>
  <si>
    <t>ALEXA RENEE PAGES DE ROSENZWEIG</t>
  </si>
  <si>
    <t>ALFONSO ESTRADA SANCHEZ</t>
  </si>
  <si>
    <t>ALFONSO FLORES HERNANDEZ</t>
  </si>
  <si>
    <t>ALFONSO GONZALEZ BECERRIL</t>
  </si>
  <si>
    <t>AMALIO ALVARADO ESCANDON</t>
  </si>
  <si>
    <t>ANA LAURA GONZALEZ MARTINEZ</t>
  </si>
  <si>
    <t>ANDRES LOPEZ RICO</t>
  </si>
  <si>
    <t>ANGEL CESAR CALDERON CONTRERAS</t>
  </si>
  <si>
    <t>ANGEL DANIEL GUADARRAMA DOMINGUEZ</t>
  </si>
  <si>
    <t>ANGEL FRANCISCO HERNANDEZ PUGA</t>
  </si>
  <si>
    <t>ANGEL PASCUAL MARCIAL DEL</t>
  </si>
  <si>
    <t>ANGEL VILLEGAS GUADARRAMA</t>
  </si>
  <si>
    <t>ANGELICA PEREZ FLORES</t>
  </si>
  <si>
    <t>ANGELINA FLORES SANCHEZ</t>
  </si>
  <si>
    <t>ANTONIO CORRAL TEMAHUAYA</t>
  </si>
  <si>
    <t>ANUHAR SILVA GARCIA</t>
  </si>
  <si>
    <t>ANYELO RICARDO GONZALEZ TORRES</t>
  </si>
  <si>
    <t>ARI EDUARDO MARTINEZ VALDEZ</t>
  </si>
  <si>
    <t>ARIADNA PAOLA CEBALLOS ROMERO</t>
  </si>
  <si>
    <t>ARTURO MORALES MARIN</t>
  </si>
  <si>
    <t>AURELIANO GARCIA GARCIA</t>
  </si>
  <si>
    <t>BENITO RODOLFO ALVARADO SALAS</t>
  </si>
  <si>
    <t>BERNARDO ROMERO HERNANDEZ</t>
  </si>
  <si>
    <t>BRANDON DIAZ MONDRAGON</t>
  </si>
  <si>
    <t>BRAULIO HERNANDEZ CUADROS</t>
  </si>
  <si>
    <t>BRAYAN NOE PICHARDO FRIAS</t>
  </si>
  <si>
    <t>BRAYAN OSCAR GONZALEZ LUJA</t>
  </si>
  <si>
    <t>BRENDA MARLEN MARTINEZ FLORES</t>
  </si>
  <si>
    <t>BRYAN AGUILAR MEJIA</t>
  </si>
  <si>
    <t>CARLOS ALBERTO ARZATE VAZQUEZ</t>
  </si>
  <si>
    <t>CARLOS ALBERTO BERNAL VALDES</t>
  </si>
  <si>
    <t>CARLOS ALBERTO FERNANDEZ REYES</t>
  </si>
  <si>
    <t>CARLOS ALBERTO ORTEGA HERNANDEZ</t>
  </si>
  <si>
    <t>CARLOS ALEXANDER GONZALEZ RAMIREZ</t>
  </si>
  <si>
    <t>CARLOS GARCIA AVILES</t>
  </si>
  <si>
    <t>CARLOS JACALES PIEDRA</t>
  </si>
  <si>
    <t>CARLOS MILLAN DURAN</t>
  </si>
  <si>
    <t>CARLOS SANTANA HERNANDEZ</t>
  </si>
  <si>
    <t>CARLOS SANTANA VALDES</t>
  </si>
  <si>
    <t>CARMEN DOMINGUEZ CASTILLO</t>
  </si>
  <si>
    <t>CATALINA BALLESTEROS RODRIGUEZ</t>
  </si>
  <si>
    <t>CELIA MALVAEZ DOMINGUEZ</t>
  </si>
  <si>
    <t>CESAR ALEJANDRO REYES HERNANDEZ</t>
  </si>
  <si>
    <t>CESAR GARCIA APOLONIO</t>
  </si>
  <si>
    <t>CHRISTIAN GONZALEZ VENTA</t>
  </si>
  <si>
    <t>CHRYSTIAN GEOVANI HERNANDEZ NAVA</t>
  </si>
  <si>
    <t>CRISTIAN GEOVANI RUIZ GUTIERREZ</t>
  </si>
  <si>
    <t>CRISTIAN REYES PICHARDO</t>
  </si>
  <si>
    <t>CRUZ OROZCO ALDAMA</t>
  </si>
  <si>
    <t>DAISY VILLAGRAN SEGUNDO</t>
  </si>
  <si>
    <t>DAMIAN AGUILAR OLMOS</t>
  </si>
  <si>
    <t>DANIEL SHARSHI LAZARO</t>
  </si>
  <si>
    <t>DANIEL VILLANUEVA HERNANDEZ</t>
  </si>
  <si>
    <t>DAVID ALBERTO MARTINEZ SANCHEZ</t>
  </si>
  <si>
    <t>DAVID ALEJANDRO ALVAREZ DOMINGUEZ</t>
  </si>
  <si>
    <t>DAVID CRUZ GARCIA</t>
  </si>
  <si>
    <t>DAVID GONZALEZ BECERRIL</t>
  </si>
  <si>
    <t>DAVID MACEDO ZARATE</t>
  </si>
  <si>
    <t>DAVID ROBERTO RIVERA PADILLA</t>
  </si>
  <si>
    <t>deployment</t>
  </si>
  <si>
    <t>DIANA IRIS VILLAGRAN SEGUNDO</t>
  </si>
  <si>
    <t>DIANA RUBI HEREDIA SANCHEZ</t>
  </si>
  <si>
    <t>DIEGO FERNANDO MILLAN ALVAREZ</t>
  </si>
  <si>
    <t>DIEGO REYES VARELA</t>
  </si>
  <si>
    <t>DIEGO RIVERA TREJO</t>
  </si>
  <si>
    <t>DIEGO SAENZ ORTIZ</t>
  </si>
  <si>
    <t>DOLORES BELTRAN GONZALEZ</t>
  </si>
  <si>
    <t>DULCE MARIA ROMERO SANCHEZ</t>
  </si>
  <si>
    <t>EDUARDO A. CHI PECH</t>
  </si>
  <si>
    <t>EDUARDO MONDRAGON BLANCAS</t>
  </si>
  <si>
    <t>ELDER DAVID CONCEPCION NAVARRETE</t>
  </si>
  <si>
    <t>ELIUD GERMAN MUNOZ ALVAREZ</t>
  </si>
  <si>
    <t>EMANUEL HERNANDEZ ALBARRAN</t>
  </si>
  <si>
    <t>EMANUEL RUIZ ESQUIVEL</t>
  </si>
  <si>
    <t>EMILIO PICHARDO FRIAS</t>
  </si>
  <si>
    <t>ERICA GONZALEZ GARDUNO</t>
  </si>
  <si>
    <t>ERICK ALEJANDRO ROSALES BERNAL</t>
  </si>
  <si>
    <t>ERICK EFREN ESCAMILLA LOPEZ</t>
  </si>
  <si>
    <t>ERICK GABRIEL REYES LOPEZ</t>
  </si>
  <si>
    <t>ERICK JIMENEZ MONDRAGON</t>
  </si>
  <si>
    <t>ERNESTO GERARDO RIOS ALVAREZ</t>
  </si>
  <si>
    <t>ERNESTO MARTINEZ DE LA CRUZ</t>
  </si>
  <si>
    <t>ERNESTO SANCHEZ CRISANTOS</t>
  </si>
  <si>
    <t>ERON ROSARIO VALLEJO</t>
  </si>
  <si>
    <t>ESTEBAN CLEMENTE NOLASCO</t>
  </si>
  <si>
    <t>ESTEBAN JESUS MARTINEZ VALLEJO</t>
  </si>
  <si>
    <t>EUGENIO CHAVEZ SANCHEZ</t>
  </si>
  <si>
    <t>EULOGIO LOPEZ COLIN</t>
  </si>
  <si>
    <t>EVELIN MARTINEZ GUTIERREZ</t>
  </si>
  <si>
    <t>EYMI CELAYA DIAZ</t>
  </si>
  <si>
    <t>FABIAN JESUS TREVILLA PEREZ</t>
  </si>
  <si>
    <t>FELIPE PORFIRIO GARCIA</t>
  </si>
  <si>
    <t>FELIPE TERRON VAZQUEZ</t>
  </si>
  <si>
    <t>FERNANDO HERNANDEZ SALAZAR</t>
  </si>
  <si>
    <t>FERNANDO OCTAVIO ANAYA ALBARRAN</t>
  </si>
  <si>
    <t>FERNANDO OLIVARES VELAZQUEZ</t>
  </si>
  <si>
    <t>FERNANDO PAGES</t>
  </si>
  <si>
    <t>FRANCISCO JAVIER DIAZ HERNANDEZ</t>
  </si>
  <si>
    <t>FROYLAN QUIRINO MARTINEZ</t>
  </si>
  <si>
    <t>GABRIEL CORREA GONZALEZ</t>
  </si>
  <si>
    <t>GABRIEL IGNACIO MATA VEGA</t>
  </si>
  <si>
    <t>GALDINO VIVANCO EVARISTO</t>
  </si>
  <si>
    <t>GERARDO FLORES SALGADO</t>
  </si>
  <si>
    <t>GERARDO GUTIERREZ ALVA</t>
  </si>
  <si>
    <t>GERARDO VALLEJO PEREZ</t>
  </si>
  <si>
    <t>GERMAN GONZALEZ BECERRIL</t>
  </si>
  <si>
    <t>GERMAN MOYA CONTRERAS</t>
  </si>
  <si>
    <t>GILBERTO ARMANDO ARELLANO ONTIVEROS</t>
  </si>
  <si>
    <t>GIOVANNI JAVIER LOURIDO PONCE</t>
  </si>
  <si>
    <t>GREGORIO MAURO CIENEGA GONZALEZ</t>
  </si>
  <si>
    <t>GUADALUPE ESPINOSA OSORIO</t>
  </si>
  <si>
    <t>GUADALUPE LETICIA ORTEGA SANTANA</t>
  </si>
  <si>
    <t>GUILLERMO GARCIA ROSALES</t>
  </si>
  <si>
    <t>GUILLERMO MARTINEZ LOPEZ</t>
  </si>
  <si>
    <t>GUILLERMO TEPEPA GRANDA</t>
  </si>
  <si>
    <t>GUSTAVO ADOLFO GARCIA MORALES</t>
  </si>
  <si>
    <t>GUSTAVO ANGEL ANGELES GONZALEZ</t>
  </si>
  <si>
    <t>HECTOR PUGA GRANADOS</t>
  </si>
  <si>
    <t>HECTOR VAZQUEZ MONTES</t>
  </si>
  <si>
    <t>HERMINO TORAL MORA</t>
  </si>
  <si>
    <t>HORACIO CELAYA ENGUILO</t>
  </si>
  <si>
    <t>HUGO VILLANUEVA MARTINEZ</t>
  </si>
  <si>
    <t>ISMAEL HERNANDEZ NAVA</t>
  </si>
  <si>
    <t>ISRAEL DE JESUS ANGELES</t>
  </si>
  <si>
    <t>ISRAEL GOMEZ JIMENEZ</t>
  </si>
  <si>
    <t>ISRAEL MEJIA CORANGUEZ</t>
  </si>
  <si>
    <t>JACOBO REYES ALVAREZ</t>
  </si>
  <si>
    <t>JAIR JIMENEZ MONDRAGON</t>
  </si>
  <si>
    <t>JANELI PAULETTE MARTINEZ ARRIAGA</t>
  </si>
  <si>
    <t>JAROL ALEXIS FLORES HERNANDEZ</t>
  </si>
  <si>
    <t>JAVIER ALVAREZ MIRANDA</t>
  </si>
  <si>
    <t>JAVIER VALDEZ BECERRIL</t>
  </si>
  <si>
    <t>JAZMIN MONDRAGON BOTELLO</t>
  </si>
  <si>
    <t>JESUS ANGELES TIRZO</t>
  </si>
  <si>
    <t>JESUS AXEL GUADALUPE ALCANTARA</t>
  </si>
  <si>
    <t>JESUS FLORES ROMERO</t>
  </si>
  <si>
    <t>JESUS HERNANDEZ GOMEZ</t>
  </si>
  <si>
    <t>JESUS ROMERO GARCIA</t>
  </si>
  <si>
    <t>JESUS SANCHEZ GALVAN</t>
  </si>
  <si>
    <t>JOEL ADRIAN GUADARRAMA MARTINEZ</t>
  </si>
  <si>
    <t>JONATAN OMAR ALCANTARA ESCOBEDO</t>
  </si>
  <si>
    <t>JONATHAN HERNANDEZ SANCHEZ</t>
  </si>
  <si>
    <t>JORGE ALBERTO LOPEZ COLIN</t>
  </si>
  <si>
    <t>JORGE CAMPOS GARCIA</t>
  </si>
  <si>
    <t>JORGE EMILIANO AVELINO BELMONT</t>
  </si>
  <si>
    <t>JORGE MEJIA VAZQUEZ</t>
  </si>
  <si>
    <t>JORGE TURRAL ROSAS</t>
  </si>
  <si>
    <t>JOSE ADRIAN PEREZ CARBAJAL</t>
  </si>
  <si>
    <t>JOSE ADRIAN ZAMORA FLORES</t>
  </si>
  <si>
    <t>JOSE ALBERTO GOMEZ VALDES</t>
  </si>
  <si>
    <t>JOSE ANGEL DOMINGUEZ NAVA</t>
  </si>
  <si>
    <t>JOSE ANGEL MIRANDA SANTIN</t>
  </si>
  <si>
    <t>JOSE ANTONIO GUTIERREZ MORA</t>
  </si>
  <si>
    <t>JOSE ANTONIO HERNANDEZ NAVA</t>
  </si>
  <si>
    <t>JOSE DANIEL CONTRERAS PICHARDO</t>
  </si>
  <si>
    <t>JOSE DE JESUS AGUILAR MARTINEZ</t>
  </si>
  <si>
    <t>JOSE GUADALUPE FELIX MUNGUIA</t>
  </si>
  <si>
    <t>JOSE GUADALUPE GONZALEZ MAYA</t>
  </si>
  <si>
    <t>JOSE LUIS FLORES DOMINGUEZ</t>
  </si>
  <si>
    <t>JOSE LUIS JIMENEZ MONDRAGON</t>
  </si>
  <si>
    <t>JOSE LUIS JULIAN ALBINO</t>
  </si>
  <si>
    <t>JOSE LUIS LOPEZ COLIN</t>
  </si>
  <si>
    <t>JOSE LUIS MARTINEZ ACEVES</t>
  </si>
  <si>
    <t>JOSE LUIS RIVAS REBOLLO</t>
  </si>
  <si>
    <t>JOSE LUIS SAMANO GARCIA</t>
  </si>
  <si>
    <t>JOSE MANUEL GALVAN ERASTO</t>
  </si>
  <si>
    <t>JOSE MANUEL JIMENEZ JIMENEZ</t>
  </si>
  <si>
    <t>JOSE MANUEL REBOLLAR DELGADO</t>
  </si>
  <si>
    <t>JOSE MARCO ANTONIO VELAZQUEZ GUADARRAMA</t>
  </si>
  <si>
    <t>JOSE MIGUEL REGINO ALVARADO</t>
  </si>
  <si>
    <t>JOSE RAUL GONZALEZ ARRIAGA</t>
  </si>
  <si>
    <t>JOSE YAEL ALVAREZ DOMINGUEZ</t>
  </si>
  <si>
    <t>JOSUE GALVAN COLIN</t>
  </si>
  <si>
    <t>JOSUE GONZALES AVILES</t>
  </si>
  <si>
    <t>JUAN ANTONIO SALDANA CLAVEL</t>
  </si>
  <si>
    <t>JUAN CARLOS CHAVEZ MONDRAGON</t>
  </si>
  <si>
    <t>JUAN CARLOS GONZALEZ GUTIERREZ</t>
  </si>
  <si>
    <t>JUAN CARLOS NAVA REYES</t>
  </si>
  <si>
    <t>JUAN CARLOS PORTILLO MEDINA</t>
  </si>
  <si>
    <t>JUAN CERRITOS JASSO</t>
  </si>
  <si>
    <t>JUAN ERNESTO GARDUNO PALMA</t>
  </si>
  <si>
    <t>JUAN MORALES AGUILAR</t>
  </si>
  <si>
    <t>JUANA CAPULIN EVARISTO</t>
  </si>
  <si>
    <t>JULIANA FRANCELLY LINARES ALCANTARA</t>
  </si>
  <si>
    <t>JULIO MARTINEZ ARAUJO</t>
  </si>
  <si>
    <t>KARINA ALVAREZ MENDIETA</t>
  </si>
  <si>
    <t>KARLA HERNANDEZ BENITEZ</t>
  </si>
  <si>
    <t>KEVIN ISRAEL PEREZ NUÑEZ</t>
  </si>
  <si>
    <t>KEVIN RODRIGO LARA RUIZ</t>
  </si>
  <si>
    <t>KEVIN YAHIR CARBAJAL ARRIAGA</t>
  </si>
  <si>
    <t>LARISSA YUDID CASTILLO PRADO</t>
  </si>
  <si>
    <t>LAZARO MORALES ESTRADA</t>
  </si>
  <si>
    <t>LEANDRO HERNANDEZ REYES</t>
  </si>
  <si>
    <t>LIDIA BELTRAN GONZALEZ</t>
  </si>
  <si>
    <t>LIZBETH REYES ALCANTARA</t>
  </si>
  <si>
    <t>LIZETH DAVILA DAVID</t>
  </si>
  <si>
    <t>LORENZO ORTEGA ROMERO</t>
  </si>
  <si>
    <t>LUIS ANGEL HUARACHE SABINO</t>
  </si>
  <si>
    <t>LUIS BARRANCO MELITON</t>
  </si>
  <si>
    <t>LUIS DANIEL NUÑEZ PIÑA</t>
  </si>
  <si>
    <t>LUIS GUSTAVO VELAZQUEZ CAMACHO</t>
  </si>
  <si>
    <t>LUIS JAVIER ESQUIVEL GOMEZ</t>
  </si>
  <si>
    <t>LUIS ORLANDO MORENO MARTINEZ</t>
  </si>
  <si>
    <t>MARCO ANTONIO ROMERO HERRERA</t>
  </si>
  <si>
    <t>MARIA ALTAGRACIA ALMAZAN DOMINGUEZ</t>
  </si>
  <si>
    <t>MARIA DE LA LUZ PEREZ CABRERA</t>
  </si>
  <si>
    <t>MARIA DEL CARMEN ESQUIVEL DE JESUS</t>
  </si>
  <si>
    <t>MARIA EUGENIA ALMAZAN DOMINGUEZ</t>
  </si>
  <si>
    <t>MARIA GUADALUPE ROSALES VALLE</t>
  </si>
  <si>
    <t>MARIA INES IGNACIO REYES</t>
  </si>
  <si>
    <t>MARIA ITZEL ESCOBAR ALBARRAN</t>
  </si>
  <si>
    <t>MARIA TERESA ANGELES TIRZO</t>
  </si>
  <si>
    <t>MARICRUZ SALAZAR RICO</t>
  </si>
  <si>
    <t>MARIO MENDOZA MORENO</t>
  </si>
  <si>
    <t>MARTHA CEJUDO ROJAS</t>
  </si>
  <si>
    <t>MARTHA JACQUELINE CARTA DESALES</t>
  </si>
  <si>
    <t>MARTIN ALVAREZ ROJAS</t>
  </si>
  <si>
    <t>MARTIN REYES TELLEZ</t>
  </si>
  <si>
    <t>MAURICIO ALBERTO CARBAJAL LOPEZ</t>
  </si>
  <si>
    <t>MAURICIO ALBERTO CASTRO TREJO</t>
  </si>
  <si>
    <t>MAXIMINO SIERRA MENDOZA</t>
  </si>
  <si>
    <t>MIGUEL ANGEL REYES CASTILLO</t>
  </si>
  <si>
    <t>MIGUEL ANGEL VAZQUEZ TAPIA</t>
  </si>
  <si>
    <t>MIGUEL ESCARAMUZA SANCHEZ</t>
  </si>
  <si>
    <t>MONICA ORTEGA RUIZ</t>
  </si>
  <si>
    <t>NESTOR LOPEZ IGLESIAS</t>
  </si>
  <si>
    <t>NOE GUADARRAMA MARTINEZ</t>
  </si>
  <si>
    <t>NOE RODOLFO CARBAJAL PADILLA</t>
  </si>
  <si>
    <t>NOE SARANDINGUA FRANCES</t>
  </si>
  <si>
    <t>NORBERTO ROMERO LERMA</t>
  </si>
  <si>
    <t>OBED HERNANDEZ ROBLES</t>
  </si>
  <si>
    <t>OBED RAMIRO VALDEZ BELTRAN</t>
  </si>
  <si>
    <t>OCTAVIO NERI BERNAL</t>
  </si>
  <si>
    <t>OCTAVIO SALGADO REYES</t>
  </si>
  <si>
    <t>OMAR FLORES HERNANDEZ</t>
  </si>
  <si>
    <t>OSCAR DAVID AGUILAR FLORES</t>
  </si>
  <si>
    <t>OSCAR GONZALEZ BALDERAS</t>
  </si>
  <si>
    <t>OSCAR MARTINEZ FUENTES</t>
  </si>
  <si>
    <t>OSVALDO MARTINEZ LOPEZ</t>
  </si>
  <si>
    <t>OSVALDO NAVA REYES</t>
  </si>
  <si>
    <t>PABLO GUADARRAMA SALINAS</t>
  </si>
  <si>
    <t>PAOLA BENITEZ VALLE</t>
  </si>
  <si>
    <t>PAOLA PALMA GUADARRAMA</t>
  </si>
  <si>
    <t>PASCUAL GIOVANNI LOPEZ MARTINEZ</t>
  </si>
  <si>
    <t>PAULA SUSANA VELAZQUEZ GARCIA</t>
  </si>
  <si>
    <t>PEDRO CUEVAS PEREZ</t>
  </si>
  <si>
    <t>PEDRO RAMIREZ CONTRERAS</t>
  </si>
  <si>
    <t>PERLA ITZEL GARCIA MARTINEZ</t>
  </si>
  <si>
    <t>Prueba</t>
  </si>
  <si>
    <t>RAFAEL OSCAR GARCIA GALEANA</t>
  </si>
  <si>
    <t>RAMON CAMILO PAGES DE ROSENZWEIG</t>
  </si>
  <si>
    <t>RAMON VALLEJO GIL</t>
  </si>
  <si>
    <t>RICARDO AMBRIZ CORRAL</t>
  </si>
  <si>
    <t>RICARDO MIGUEL MACARIO</t>
  </si>
  <si>
    <t>ROBERTO JESUS OROZCO MOLINA</t>
  </si>
  <si>
    <t>ROCIO GONZALEZ MARTINEZ</t>
  </si>
  <si>
    <t>RODRIGO MEJIA PERALTA</t>
  </si>
  <si>
    <t>RODRIGO MONTES HERNANDEZ</t>
  </si>
  <si>
    <t>ROGELIO ANGELES JIMENEZ</t>
  </si>
  <si>
    <t>ROLANDO HERNANDEZ ROMERO</t>
  </si>
  <si>
    <t>ROSALIA ALEJANDRA SABAS CHAVEZ</t>
  </si>
  <si>
    <t>ROSANNA KATHLEEN PAGES DE ROSENZWEIG</t>
  </si>
  <si>
    <t>RUBEN ANGEL OROZCO REYES</t>
  </si>
  <si>
    <t>RUFINO GONZALEZ BALDERAS</t>
  </si>
  <si>
    <t>RUTH ANDREA ALVAREZ VALDES</t>
  </si>
  <si>
    <t>SALVADOR ARRIAGA LOPEZ</t>
  </si>
  <si>
    <t>SALVADOR GONZALEZ DE AQUINO</t>
  </si>
  <si>
    <t>SAUL NOE MARTINEZ LOPEZ</t>
  </si>
  <si>
    <t>SEBASTIAN MOTA CONTRERAS</t>
  </si>
  <si>
    <t>SERGIO CESAR HERNANDEZ GUZMAN</t>
  </si>
  <si>
    <t>SERGIO MUNGUIA VENTOLERO</t>
  </si>
  <si>
    <t>SERGIO ROSALES PEREZ</t>
  </si>
  <si>
    <t>Support - Ecoplating</t>
  </si>
  <si>
    <t>TELESFORO FERNANDO MARTINEZ GARCIA</t>
  </si>
  <si>
    <t>TRINIDAD DOMINGUEZ CASTILLO</t>
  </si>
  <si>
    <t>URIEL ENRIQUE LOYOLA MENDOZA</t>
  </si>
  <si>
    <t>USIEL VIEYRA ALMONTE</t>
  </si>
  <si>
    <t>VENANCIO FELIX MUNGUIA</t>
  </si>
  <si>
    <t>VERONICA FLORES FLORES</t>
  </si>
  <si>
    <t>VERONICA GONZALEZ TORRES</t>
  </si>
  <si>
    <t>VICENTE RIVERA VEGA</t>
  </si>
  <si>
    <t>ZULMA CELESTE ALMANZA HERRERA</t>
  </si>
  <si>
    <t>Bimetales</t>
  </si>
  <si>
    <t>FPN123</t>
  </si>
  <si>
    <t>GM</t>
  </si>
  <si>
    <t>Kits</t>
  </si>
  <si>
    <t>Moneda</t>
  </si>
  <si>
    <t>Nuevo</t>
  </si>
  <si>
    <t>RFQ873FS</t>
  </si>
  <si>
    <t>S17A9813A1</t>
  </si>
  <si>
    <t>S18A2476A1</t>
  </si>
  <si>
    <t>S18A2479A1</t>
  </si>
  <si>
    <t>S18A2482A1</t>
  </si>
  <si>
    <t>S18A6259A2</t>
  </si>
  <si>
    <t>S39B1449E4</t>
  </si>
  <si>
    <t>Usuarios</t>
  </si>
  <si>
    <t>Grupos de Partes</t>
  </si>
  <si>
    <t>BOOSTER PRECISION COMPONENTS (BELUSA) S.R.O. — Beluša-Hloža 2520, Booster Precision Com</t>
  </si>
  <si>
    <t>CGR DE MEXICO — Sin Nombre 7, Fraccionamiento Industrial</t>
  </si>
  <si>
    <t>RESISTENCIAS JOV — Juárez 13, San José Iturbide,, Guanajuat</t>
  </si>
  <si>
    <t>Tlaxcala, Activo, Industrial, Querétaro</t>
  </si>
  <si>
    <t>Test Customer, Prospecto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</si>
</sst>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31">
    <font>
      <sz val="11"/>
      <color theme="1"/>
      <name val="Calibri"/>
      <family val="2"/>
      <charset val="1"/>
    </font>
    <font>
      <sz val="12"/>
      <color theme="1"/>
      <name val="Calibri"/>
      <family val="2"/>
      <scheme val="minor"/>
    </font>
    <font>
      <b/>
      <sz val="14"/>
      <color rgb="FFFFFFFF"/>
      <name val="Arial"/>
      <family val="2"/>
    </font>
    <font>
      <i/>
      <sz val="9"/>
      <color rgb="FF666666"/>
      <name val="Arial"/>
      <family val="2"/>
    </font>
    <font>
      <i/>
      <sz val="10"/>
      <color rgb="FF2E7D32"/>
      <name val="Arial"/>
      <family val="2"/>
    </font>
    <font>
      <b/>
      <sz val="8"/>
      <color rgb="FFFFFFFF"/>
      <name val="Arial"/>
      <family val="2"/>
    </font>
    <font>
      <sz val="8"/>
      <color rgb="FF999999"/>
      <name val="Arial"/>
      <family val="2"/>
    </font>
    <font>
      <sz val="10"/>
      <color rgb="FF2F3E4C"/>
      <name val="Arial"/>
      <family val="2"/>
    </font>
    <font>
      <sz val="10"/>
      <color rgb="FFE65100"/>
      <name val="Arial"/>
      <family val="2"/>
    </font>
    <font>
      <b/>
      <sz val="12"/>
      <color rgb="FF2F3E4C"/>
      <name val="Arial"/>
      <family val="2"/>
    </font>
    <font>
      <b/>
      <sz val="9"/>
      <color rgb="FFFFFFFF"/>
      <name val="Arial"/>
      <family val="2"/>
    </font>
    <font>
      <b/>
      <sz val="16"/>
      <color rgb="FF1E3A5F"/>
      <name val="Arial"/>
      <family val="2"/>
    </font>
    <font>
      <b/>
      <sz val="11"/>
      <color rgb="FF334155"/>
      <name val="Arial"/>
      <family val="2"/>
    </font>
    <font>
      <i/>
      <sz val="9"/>
      <color rgb="FF94A3B8"/>
      <name val="Arial"/>
      <family val="2"/>
    </font>
    <font>
      <sz val="10"/>
      <color rgb="FF64748B"/>
      <name val="Arial"/>
      <family val="2"/>
    </font>
    <font>
      <b/>
      <sz val="10"/>
      <color rgb="FFFFFFFF"/>
      <name val="Arial"/>
      <family val="2"/>
    </font>
    <font>
      <sz val="10"/>
      <color rgb="FF94A3B8"/>
      <name val="Arial"/>
      <family val="2"/>
    </font>
    <font>
      <b/>
      <sz val="14"/>
      <color rgb="FF1E3A5F"/>
      <name val="Arial"/>
      <family val="2"/>
    </font>
    <font>
      <sz val="10"/>
      <name val="Arial"/>
      <family val="2"/>
    </font>
    <font>
      <b/>
      <sz val="11"/>
      <color rgb="FF1E3A5F"/>
      <name val="Arial"/>
      <family val="2"/>
    </font>
    <font>
      <sz val="10"/>
      <color rgb="FFFF0000"/>
      <name val="Arial"/>
      <family val="2"/>
    </font>
    <font>
      <sz val="11"/>
      <color rgb="FF1E293B"/>
      <name val="Calibri"/>
      <family val="2"/>
    </font>
    <font>
      <i/>
      <sz val="9"/>
      <color rgb="FF94A3B8"/>
      <name val="Calibri"/>
      <family val="2"/>
    </font>
    <font>
      <b/>
      <sz val="10"/>
      <color rgb="FFFFFFFF"/>
      <name val="Calibri"/>
      <family val="2"/>
    </font>
    <font>
      <b/>
      <sz val="9"/>
      <color rgb="FF1E293B"/>
      <name val="Calibri"/>
      <family val="2"/>
    </font>
    <font>
      <i/>
      <sz val="8"/>
      <color rgb="FF94A3B8"/>
      <name val="Calibri"/>
      <family val="2"/>
    </font>
    <font>
      <sz val="11"/>
      <color rgb="FF000000"/>
      <name val="Calibri"/>
      <family val="2"/>
      <charset val="1"/>
    </font>
    <font>
      <b/>
      <sz val="16"/>
      <color rgb="FF000000"/>
      <name val="Calibri"/>
      <family val="2"/>
    </font>
    <font>
      <b/>
      <sz val="9"/>
      <color rgb="FF2F3E4C"/>
      <name val="Arial"/>
      <family val="2"/>
    </font>
    <font>
      <sz val="9"/>
      <color rgb="FF2F3E4C"/>
      <name val="Arial"/>
      <family val="2"/>
    </font>
    <font>
      <sz val="12"/>
      <name val="Aptos Narrow"/>
    </font>
  </fonts>
  <fills count="26">
    <fill>
      <patternFill patternType="none"/>
    </fill>
    <fill>
      <patternFill patternType="gray125"/>
    </fill>
    <fill>
      <patternFill patternType="solid">
        <fgColor rgb="FF2F3E4C"/>
        <bgColor rgb="FF3B5068"/>
      </patternFill>
    </fill>
    <fill>
      <patternFill patternType="solid">
        <fgColor rgb="FF616161"/>
      </patternFill>
    </fill>
    <fill>
      <patternFill patternType="solid">
        <fgColor rgb="FFF8FAFC"/>
      </patternFill>
    </fill>
    <fill>
      <patternFill patternType="solid">
        <fgColor rgb="FFFFFBEB"/>
      </patternFill>
    </fill>
    <fill>
      <patternFill patternType="solid">
        <fgColor rgb="FF7C3AED"/>
      </patternFill>
    </fill>
    <fill>
      <patternFill patternType="solid">
        <fgColor rgb="FF1D4ED8"/>
      </patternFill>
    </fill>
    <fill>
      <patternFill patternType="solid">
        <fgColor rgb="FF059669"/>
      </patternFill>
    </fill>
    <fill>
      <patternFill patternType="solid">
        <fgColor rgb="FF92400E"/>
      </patternFill>
    </fill>
    <fill>
      <patternFill patternType="solid">
        <fgColor rgb="FFC2410C"/>
      </patternFill>
    </fill>
    <fill>
      <patternFill patternType="solid">
        <fgColor rgb="FF7E22CE"/>
      </patternFill>
    </fill>
    <fill>
      <patternFill patternType="solid">
        <fgColor rgb="FF0F766E"/>
      </patternFill>
    </fill>
    <fill>
      <patternFill patternType="solid">
        <fgColor rgb="FF78350F"/>
      </patternFill>
    </fill>
    <fill>
      <patternFill patternType="solid">
        <fgColor rgb="FF1E3A8A"/>
      </patternFill>
    </fill>
    <fill>
      <patternFill patternType="solid">
        <fgColor rgb="FF5B21B6"/>
      </patternFill>
    </fill>
    <fill>
      <patternFill patternType="solid">
        <fgColor rgb="FF9A3412"/>
      </patternFill>
    </fill>
    <fill>
      <patternFill patternType="solid">
        <fgColor rgb="FF475569"/>
      </patternFill>
    </fill>
    <fill>
      <patternFill patternType="solid">
        <fgColor rgb="FF334155"/>
      </patternFill>
    </fill>
    <fill>
      <patternFill patternType="solid">
        <fgColor rgb="FFF0F9FF"/>
      </patternFill>
    </fill>
    <fill>
      <patternFill patternType="solid">
        <fgColor rgb="FFF0FDF4"/>
      </patternFill>
    </fill>
    <fill>
      <patternFill patternType="solid">
        <fgColor rgb="FFF1F5F9"/>
      </patternFill>
    </fill>
    <fill>
      <patternFill patternType="solid">
        <fgColor rgb="FFE8F5E9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E0E0E0"/>
        <bgColor indexed="64"/>
      </patternFill>
    </fill>
  </fills>
  <borders count="10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 style="thin">
        <color rgb="FFE2E8F0"/>
      </right>
      <top style="thin">
        <color rgb="FFE2E8F0"/>
      </top>
      <bottom style="thin">
        <color rgb="FFE2E8F0"/>
      </bottom>
      <diagonal/>
    </border>
    <border>
      <left/>
      <right/>
      <top/>
      <bottom style="thin">
        <color rgb="FFCBD5E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/>
      <diagonal/>
    </border>
    <border>
      <left style="thin">
        <color rgb="FFE2E8F0"/>
      </left>
      <right/>
      <top style="thin">
        <color rgb="FFE2E8F0"/>
      </top>
      <bottom style="thin">
        <color rgb="FFE2E8F0"/>
      </bottom>
      <diagonal/>
    </border>
  </borders>
  <cellStyleXfs count="2">
    <xf numFmtId="0" fontId="0" fillId="0" borderId="0"/>
    <xf numFmtId="0" fontId="1" fillId="0" borderId="0"/>
  </cellStyleXfs>
  <cellXfs count="112">
    <xf numFmtId="0" fontId="0" fillId="0" borderId="0" xfId="0"/>
    <xf numFmtId="0" fontId="2" fillId="2" borderId="0" xfId="0" applyFont="1" applyFill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7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10" fillId="3" borderId="0" xfId="0" applyFont="1" applyFill="1" applyAlignment="1">
      <alignment horizontal="center" vertical="center"/>
    </xf>
    <xf numFmtId="0" fontId="6" fillId="0" borderId="0" xfId="0" applyFont="1"/>
    <xf numFmtId="0" fontId="13" fillId="0" borderId="0" xfId="0" applyFont="1"/>
    <xf numFmtId="0" fontId="15" fillId="16" borderId="2" xfId="0" applyFont="1" applyFill="1" applyBorder="1" applyAlignment="1">
      <alignment horizontal="center" vertical="center" wrapText="1"/>
    </xf>
    <xf numFmtId="0" fontId="14" fillId="0" borderId="0" xfId="0" applyFont="1"/>
    <xf numFmtId="0" fontId="15" fillId="18" borderId="2" xfId="0" applyFont="1" applyFill="1" applyBorder="1" applyAlignment="1">
      <alignment horizontal="center" vertical="center" wrapText="1"/>
    </xf>
    <xf numFmtId="0" fontId="18" fillId="0" borderId="2" xfId="0" applyFont="1" applyBorder="1"/>
    <xf numFmtId="0" fontId="18" fillId="19" borderId="2" xfId="0" applyFont="1" applyFill="1" applyBorder="1"/>
    <xf numFmtId="0" fontId="19" fillId="0" borderId="0" xfId="0" applyFont="1"/>
    <xf numFmtId="0" fontId="13" fillId="0" borderId="0" xfId="0" applyFont="1" applyAlignment="1">
      <alignment horizontal="center" vertical="center" wrapText="1"/>
    </xf>
    <xf numFmtId="0" fontId="14" fillId="20" borderId="2" xfId="0" applyFont="1" applyFill="1" applyBorder="1"/>
    <xf numFmtId="0" fontId="22" fillId="0" borderId="0" xfId="0" applyFont="1" applyAlignment="1">
      <alignment vertical="center"/>
    </xf>
    <xf numFmtId="0" fontId="13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 wrapText="1"/>
    </xf>
    <xf numFmtId="0" fontId="5" fillId="0" borderId="0" xfId="0" applyFont="1"/>
    <xf numFmtId="0" fontId="22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left" vertical="center" wrapText="1"/>
    </xf>
    <xf numFmtId="4" fontId="7" fillId="0" borderId="1" xfId="0" applyNumberFormat="1" applyFont="1" applyBorder="1" applyAlignment="1">
      <alignment horizontal="right" vertical="center"/>
    </xf>
    <xf numFmtId="3" fontId="7" fillId="0" borderId="1" xfId="0" applyNumberFormat="1" applyFont="1" applyBorder="1" applyAlignment="1">
      <alignment horizontal="right" vertical="center"/>
    </xf>
    <xf numFmtId="164" fontId="7" fillId="0" borderId="1" xfId="0" applyNumberFormat="1" applyFont="1" applyBorder="1" applyAlignment="1">
      <alignment horizontal="right" vertical="center"/>
    </xf>
    <xf numFmtId="4" fontId="8" fillId="0" borderId="1" xfId="0" applyNumberFormat="1" applyFont="1" applyBorder="1" applyAlignment="1">
      <alignment horizontal="right" vertical="center"/>
    </xf>
    <xf numFmtId="0" fontId="23" fillId="17" borderId="2" xfId="0" applyFont="1" applyFill="1" applyBorder="1" applyAlignment="1">
      <alignment horizontal="center" vertical="center" wrapText="1"/>
    </xf>
    <xf numFmtId="3" fontId="24" fillId="21" borderId="2" xfId="0" applyNumberFormat="1" applyFont="1" applyFill="1" applyBorder="1" applyAlignment="1">
      <alignment horizontal="center" vertical="center" wrapText="1"/>
    </xf>
    <xf numFmtId="0" fontId="24" fillId="21" borderId="2" xfId="0" applyFont="1" applyFill="1" applyBorder="1" applyAlignment="1">
      <alignment horizontal="center" vertical="center" wrapText="1"/>
    </xf>
    <xf numFmtId="4" fontId="24" fillId="21" borderId="2" xfId="0" applyNumberFormat="1" applyFont="1" applyFill="1" applyBorder="1" applyAlignment="1">
      <alignment horizontal="center" vertical="center" wrapText="1"/>
    </xf>
    <xf numFmtId="0" fontId="23" fillId="9" borderId="2" xfId="0" applyFont="1" applyFill="1" applyBorder="1" applyAlignment="1">
      <alignment horizontal="center" vertical="center" wrapText="1"/>
    </xf>
    <xf numFmtId="3" fontId="13" fillId="5" borderId="2" xfId="0" applyNumberFormat="1" applyFont="1" applyFill="1" applyBorder="1" applyAlignment="1">
      <alignment horizontal="right" vertical="center"/>
    </xf>
    <xf numFmtId="0" fontId="0" fillId="0" borderId="3" xfId="0" applyBorder="1"/>
    <xf numFmtId="0" fontId="0" fillId="0" borderId="4" xfId="0" applyBorder="1"/>
    <xf numFmtId="4" fontId="21" fillId="21" borderId="2" xfId="0" applyNumberFormat="1" applyFont="1" applyFill="1" applyBorder="1" applyAlignment="1">
      <alignment vertical="center"/>
    </xf>
    <xf numFmtId="0" fontId="21" fillId="21" borderId="2" xfId="0" applyFont="1" applyFill="1" applyBorder="1" applyAlignment="1">
      <alignment vertical="center"/>
    </xf>
    <xf numFmtId="0" fontId="23" fillId="13" borderId="2" xfId="0" applyFont="1" applyFill="1" applyBorder="1" applyAlignment="1">
      <alignment horizontal="center" vertical="center" wrapText="1"/>
    </xf>
    <xf numFmtId="0" fontId="23" fillId="7" borderId="2" xfId="0" applyFont="1" applyFill="1" applyBorder="1" applyAlignment="1">
      <alignment horizontal="center" vertical="center" wrapText="1"/>
    </xf>
    <xf numFmtId="0" fontId="23" fillId="16" borderId="2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left" vertical="center"/>
    </xf>
    <xf numFmtId="0" fontId="0" fillId="0" borderId="0" xfId="0"/>
    <xf numFmtId="0" fontId="23" fillId="15" borderId="2" xfId="0" applyFont="1" applyFill="1" applyBorder="1" applyAlignment="1">
      <alignment horizontal="center" vertical="center" wrapText="1"/>
    </xf>
    <xf numFmtId="0" fontId="23" fillId="8" borderId="2" xfId="0" applyFont="1" applyFill="1" applyBorder="1" applyAlignment="1">
      <alignment horizontal="center" vertical="center" wrapText="1"/>
    </xf>
    <xf numFmtId="0" fontId="23" fillId="14" borderId="2" xfId="0" applyFont="1" applyFill="1" applyBorder="1" applyAlignment="1">
      <alignment horizontal="center" vertical="center" wrapText="1"/>
    </xf>
    <xf numFmtId="3" fontId="23" fillId="10" borderId="2" xfId="0" applyNumberFormat="1" applyFont="1" applyFill="1" applyBorder="1" applyAlignment="1">
      <alignment horizontal="center" vertical="center" wrapText="1"/>
    </xf>
    <xf numFmtId="0" fontId="23" fillId="12" borderId="2" xfId="0" applyFont="1" applyFill="1" applyBorder="1" applyAlignment="1">
      <alignment horizontal="center" vertical="center" wrapText="1"/>
    </xf>
    <xf numFmtId="3" fontId="23" fillId="6" borderId="2" xfId="0" applyNumberFormat="1" applyFont="1" applyFill="1" applyBorder="1" applyAlignment="1">
      <alignment horizontal="center" vertical="center" wrapText="1"/>
    </xf>
    <xf numFmtId="4" fontId="23" fillId="11" borderId="2" xfId="0" applyNumberFormat="1" applyFont="1" applyFill="1" applyBorder="1" applyAlignment="1">
      <alignment horizontal="center" vertical="center" wrapText="1"/>
    </xf>
    <xf numFmtId="0" fontId="17" fillId="0" borderId="0" xfId="0" applyFont="1"/>
    <xf numFmtId="0" fontId="0" fillId="22" borderId="0" xfId="0" applyFill="1" applyAlignment="1">
      <alignment horizontal="center" vertical="center"/>
    </xf>
    <xf numFmtId="3" fontId="25" fillId="22" borderId="5" xfId="0" applyNumberFormat="1" applyFont="1" applyFill="1" applyBorder="1" applyAlignment="1">
      <alignment horizontal="center" vertical="center"/>
    </xf>
    <xf numFmtId="0" fontId="25" fillId="22" borderId="5" xfId="0" applyFont="1" applyFill="1" applyBorder="1" applyAlignment="1">
      <alignment horizontal="center" vertical="center"/>
    </xf>
    <xf numFmtId="4" fontId="25" fillId="22" borderId="5" xfId="0" applyNumberFormat="1" applyFont="1" applyFill="1" applyBorder="1" applyAlignment="1">
      <alignment horizontal="center" vertical="center"/>
    </xf>
    <xf numFmtId="0" fontId="7" fillId="22" borderId="1" xfId="0" applyFont="1" applyFill="1" applyBorder="1" applyAlignment="1">
      <alignment vertical="center"/>
    </xf>
    <xf numFmtId="0" fontId="0" fillId="22" borderId="0" xfId="0" applyFill="1" applyAlignment="1">
      <alignment vertical="center"/>
    </xf>
    <xf numFmtId="0" fontId="4" fillId="22" borderId="1" xfId="0" applyFont="1" applyFill="1" applyBorder="1" applyAlignment="1">
      <alignment vertical="center"/>
    </xf>
    <xf numFmtId="3" fontId="7" fillId="22" borderId="1" xfId="0" applyNumberFormat="1" applyFont="1" applyFill="1" applyBorder="1" applyAlignment="1">
      <alignment vertical="center"/>
    </xf>
    <xf numFmtId="4" fontId="7" fillId="22" borderId="1" xfId="0" applyNumberFormat="1" applyFont="1" applyFill="1" applyBorder="1" applyAlignment="1">
      <alignment vertical="center"/>
    </xf>
    <xf numFmtId="0" fontId="16" fillId="22" borderId="0" xfId="0" applyFont="1" applyFill="1" applyAlignment="1">
      <alignment vertical="center"/>
    </xf>
    <xf numFmtId="0" fontId="14" fillId="22" borderId="0" xfId="0" applyFont="1" applyFill="1" applyAlignment="1">
      <alignment horizontal="center" vertical="center"/>
    </xf>
    <xf numFmtId="4" fontId="8" fillId="22" borderId="1" xfId="0" applyNumberFormat="1" applyFont="1" applyFill="1" applyBorder="1" applyAlignment="1">
      <alignment vertical="center"/>
    </xf>
    <xf numFmtId="0" fontId="14" fillId="23" borderId="0" xfId="0" applyFont="1" applyFill="1" applyAlignment="1">
      <alignment horizontal="center" vertical="center"/>
    </xf>
    <xf numFmtId="0" fontId="25" fillId="23" borderId="5" xfId="0" applyFont="1" applyFill="1" applyBorder="1" applyAlignment="1">
      <alignment horizontal="center" vertical="center"/>
    </xf>
    <xf numFmtId="0" fontId="20" fillId="24" borderId="0" xfId="0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25" fillId="24" borderId="5" xfId="0" applyFont="1" applyFill="1" applyBorder="1" applyAlignment="1">
      <alignment horizontal="center" vertical="center"/>
    </xf>
    <xf numFmtId="3" fontId="7" fillId="22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7" fillId="22" borderId="1" xfId="0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4" fontId="7" fillId="22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2" fillId="4" borderId="2" xfId="0" applyFont="1" applyFill="1" applyBorder="1" applyAlignment="1">
      <alignment horizontal="left" vertical="center"/>
    </xf>
    <xf numFmtId="0" fontId="0" fillId="0" borderId="0" xfId="0" applyAlignment="1"/>
    <xf numFmtId="3" fontId="12" fillId="4" borderId="2" xfId="0" applyNumberFormat="1" applyFont="1" applyFill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28" fillId="0" borderId="1" xfId="0" applyFont="1" applyBorder="1" applyAlignment="1">
      <alignment horizontal="left" vertical="center" wrapText="1"/>
    </xf>
    <xf numFmtId="0" fontId="29" fillId="22" borderId="1" xfId="0" applyFont="1" applyFill="1" applyBorder="1" applyAlignment="1">
      <alignment horizontal="left" vertical="center" wrapText="1"/>
    </xf>
    <xf numFmtId="0" fontId="29" fillId="23" borderId="1" xfId="0" applyFont="1" applyFill="1" applyBorder="1" applyAlignment="1">
      <alignment horizontal="left" vertical="center" wrapText="1"/>
    </xf>
    <xf numFmtId="4" fontId="29" fillId="24" borderId="1" xfId="0" applyNumberFormat="1" applyFont="1" applyFill="1" applyBorder="1" applyAlignment="1">
      <alignment horizontal="right" vertical="center"/>
    </xf>
    <xf numFmtId="0" fontId="12" fillId="25" borderId="2" xfId="0" applyFont="1" applyFill="1" applyBorder="1" applyAlignment="1">
      <alignment horizontal="left" vertical="center"/>
    </xf>
    <xf numFmtId="0" fontId="0" fillId="25" borderId="0" xfId="0" applyFill="1" applyAlignment="1"/>
    <xf numFmtId="0" fontId="21" fillId="25" borderId="2" xfId="0" applyFont="1" applyFill="1" applyBorder="1" applyAlignment="1">
      <alignment vertical="center"/>
    </xf>
    <xf numFmtId="0" fontId="0" fillId="25" borderId="4" xfId="0" applyFill="1" applyBorder="1"/>
    <xf numFmtId="3" fontId="12" fillId="25" borderId="2" xfId="0" applyNumberFormat="1" applyFont="1" applyFill="1" applyBorder="1" applyAlignment="1">
      <alignment horizontal="left" vertical="center"/>
    </xf>
    <xf numFmtId="0" fontId="7" fillId="25" borderId="1" xfId="0" applyFont="1" applyFill="1" applyBorder="1" applyAlignment="1">
      <alignment horizontal="left" vertical="center"/>
    </xf>
    <xf numFmtId="4" fontId="21" fillId="25" borderId="2" xfId="0" applyNumberFormat="1" applyFont="1" applyFill="1" applyBorder="1" applyAlignment="1">
      <alignment vertical="center"/>
    </xf>
    <xf numFmtId="0" fontId="7" fillId="25" borderId="1" xfId="0" applyFont="1" applyFill="1" applyBorder="1" applyAlignment="1">
      <alignment horizontal="center" vertical="center"/>
    </xf>
    <xf numFmtId="4" fontId="7" fillId="25" borderId="1" xfId="0" applyNumberFormat="1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5" borderId="0" xfId="0" applyFill="1" applyAlignment="1">
      <alignment horizontal="center" vertical="center"/>
    </xf>
    <xf numFmtId="0" fontId="24" fillId="25" borderId="2" xfId="0" applyFont="1" applyFill="1" applyBorder="1" applyAlignment="1">
      <alignment horizontal="center" vertical="center" wrapText="1"/>
    </xf>
    <xf numFmtId="4" fontId="24" fillId="25" borderId="2" xfId="0" applyNumberFormat="1" applyFont="1" applyFill="1" applyBorder="1" applyAlignment="1">
      <alignment horizontal="center" vertical="center" wrapText="1"/>
    </xf>
    <xf numFmtId="0" fontId="25" fillId="25" borderId="5" xfId="0" applyFont="1" applyFill="1" applyBorder="1" applyAlignment="1">
      <alignment horizontal="center" vertical="center"/>
    </xf>
    <xf numFmtId="4" fontId="25" fillId="25" borderId="5" xfId="0" applyNumberFormat="1" applyFont="1" applyFill="1" applyBorder="1" applyAlignment="1">
      <alignment horizontal="center" vertical="center"/>
    </xf>
    <xf numFmtId="3" fontId="7" fillId="25" borderId="1" xfId="0" applyNumberFormat="1" applyFont="1" applyFill="1" applyBorder="1" applyAlignment="1">
      <alignment vertical="center"/>
    </xf>
    <xf numFmtId="164" fontId="7" fillId="25" borderId="1" xfId="0" applyNumberFormat="1" applyFont="1" applyFill="1" applyBorder="1" applyAlignment="1">
      <alignment vertical="center"/>
    </xf>
    <xf numFmtId="164" fontId="7" fillId="25" borderId="1" xfId="0" applyNumberFormat="1" applyFont="1" applyFill="1" applyBorder="1" applyAlignment="1">
      <alignment horizontal="center" vertical="center"/>
    </xf>
    <xf numFmtId="3" fontId="7" fillId="25" borderId="1" xfId="0" applyNumberFormat="1" applyFont="1" applyFill="1" applyBorder="1" applyAlignment="1">
      <alignment horizontal="center" vertical="center"/>
    </xf>
    <xf numFmtId="0" fontId="7" fillId="25" borderId="1" xfId="0" applyFont="1" applyFill="1" applyBorder="1" applyAlignment="1">
      <alignment vertical="center"/>
    </xf>
    <xf numFmtId="0" fontId="0" fillId="25" borderId="0" xfId="0" applyFill="1" applyAlignment="1">
      <alignment vertical="center"/>
    </xf>
    <xf numFmtId="3" fontId="24" fillId="25" borderId="2" xfId="0" applyNumberFormat="1" applyFont="1" applyFill="1" applyBorder="1" applyAlignment="1">
      <alignment horizontal="center" vertical="center" wrapText="1"/>
    </xf>
    <xf numFmtId="164" fontId="24" fillId="25" borderId="2" xfId="0" applyNumberFormat="1" applyFont="1" applyFill="1" applyBorder="1" applyAlignment="1">
      <alignment horizontal="center" vertical="center" wrapText="1"/>
    </xf>
    <xf numFmtId="3" fontId="25" fillId="25" borderId="5" xfId="0" applyNumberFormat="1" applyFont="1" applyFill="1" applyBorder="1" applyAlignment="1">
      <alignment horizontal="center" vertical="center"/>
    </xf>
    <xf numFmtId="164" fontId="25" fillId="25" borderId="5" xfId="0" applyNumberFormat="1" applyFont="1" applyFill="1" applyBorder="1" applyAlignment="1">
      <alignment horizontal="center" vertical="center"/>
    </xf>
    <xf numFmtId="0" fontId="0" fillId="0" borderId="6" xfId="0" applyBorder="1"/>
    <xf numFmtId="0" fontId="1" fillId="0" borderId="7" xfId="1" applyBorder="1" applyAlignment="1">
      <alignment vertical="center" wrapText="1"/>
    </xf>
    <xf numFmtId="0" fontId="0" fillId="0" borderId="8" xfId="0" applyBorder="1"/>
    <xf numFmtId="1" fontId="0" fillId="22" borderId="0" xfId="0" applyNumberFormat="1" applyFill="1" applyAlignment="1">
      <alignment horizontal="center" vertical="center"/>
    </xf>
    <xf numFmtId="0" fontId="23" fillId="15" borderId="9" xfId="0" applyFont="1" applyFill="1" applyBorder="1" applyAlignment="1">
      <alignment horizontal="center" vertical="center" wrapText="1"/>
    </xf>
    <xf numFmtId="0" fontId="23" fillId="15" borderId="3" xfId="0" applyFont="1" applyFill="1" applyBorder="1" applyAlignment="1">
      <alignment horizontal="center" vertical="center" wrapText="1"/>
    </xf>
    <xf numFmtId="0" fontId="23" fillId="15" borderId="4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EB202A6D-D625-F341-9162-E24DEF25C7E9}"/>
  </cellStyles>
  <dxfs count="9">
    <dxf>
      <font>
        <color rgb="FF991B1B"/>
      </font>
      <fill>
        <patternFill patternType="solid">
          <fgColor rgb="FFFEE2E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6A1B9A"/>
      <rgbColor rgb="FF008080"/>
      <rgbColor rgb="FFCCCCCC"/>
      <rgbColor rgb="FF666666"/>
      <rgbColor rgb="FF9999FF"/>
      <rgbColor rgb="FF795548"/>
      <rgbColor rgb="FFFFF3E0"/>
      <rgbColor rgb="FFE8F5E9"/>
      <rgbColor rgb="FF660066"/>
      <rgbColor rgb="FFFF8A65"/>
      <rgbColor rgb="FF1565C0"/>
      <rgbColor rgb="FFCFD8DC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EF3F6"/>
      <rgbColor rgb="FFF1F8E9"/>
      <rgbColor rgb="FFFFFFF0"/>
      <rgbColor rgb="FF90CAF9"/>
      <rgbColor rgb="FFF5F5F5"/>
      <rgbColor rgb="FFCE93D8"/>
      <rgbColor rgb="FFFFB74D"/>
      <rgbColor rgb="FF3366FF"/>
      <rgbColor rgb="FF42A5F5"/>
      <rgbColor rgb="FF66BB6A"/>
      <rgbColor rgb="FFFFCC00"/>
      <rgbColor rgb="FFFF9900"/>
      <rgbColor rgb="FFE65100"/>
      <rgbColor rgb="FF4A6A8A"/>
      <rgbColor rgb="FF999999"/>
      <rgbColor rgb="FF003366"/>
      <rgbColor rgb="FF2E7D32"/>
      <rgbColor rgb="FF003300"/>
      <rgbColor rgb="FF333300"/>
      <rgbColor rgb="FF993300"/>
      <rgbColor rgb="FF993366"/>
      <rgbColor rgb="FF3B5068"/>
      <rgbColor rgb="FF2F3E4C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3</xdr:row>
          <xdr:rowOff>63500</xdr:rowOff>
        </xdr:from>
        <xdr:to>
          <xdr:col>7</xdr:col>
          <xdr:colOff>317500</xdr:colOff>
          <xdr:row>4</xdr:row>
          <xdr:rowOff>165100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 pitchFamily="2"/>
                  <a:cs typeface="Calibri" pitchFamily="2"/>
                </a:rPr>
                <a:t>Refrescar Listas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3</xdr:row>
          <xdr:rowOff>0</xdr:rowOff>
        </xdr:from>
        <xdr:to>
          <xdr:col>10</xdr:col>
          <xdr:colOff>254000</xdr:colOff>
          <xdr:row>4</xdr:row>
          <xdr:rowOff>101600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Exportar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88900</xdr:colOff>
          <xdr:row>5</xdr:row>
          <xdr:rowOff>203200</xdr:rowOff>
        </xdr:from>
        <xdr:to>
          <xdr:col>7</xdr:col>
          <xdr:colOff>393700</xdr:colOff>
          <xdr:row>7</xdr:row>
          <xdr:rowOff>25400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AA91245E-D618-10C7-8CAE-628E23B72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Limpiar Datos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D4ED8"/>
  </sheetPr>
  <dimension ref="A1:BO519"/>
  <sheetViews>
    <sheetView tabSelected="1" zoomScaleNormal="100" workbookViewId="0">
      <pane xSplit="4" ySplit="17" topLeftCell="BK18" activePane="bottomRight" state="frozen"/>
      <selection pane="topRight"/>
      <selection pane="bottomLeft" activeCell="A14" sqref="A14"/>
      <selection pane="bottomRight" activeCell="C6" sqref="C6:D6"/>
    </sheetView>
  </sheetViews>
  <sheetFormatPr baseColWidth="10" defaultColWidth="8.6640625" defaultRowHeight="15"/>
  <cols>
    <col min="1" max="1" width="11.33203125" customWidth="1"/>
    <col min="2" max="2" width="10" customWidth="1"/>
    <col min="3" max="3" width="10.6640625" customWidth="1"/>
    <col min="4" max="4" width="11.6640625" customWidth="1"/>
    <col min="5" max="5" width="16.5" customWidth="1"/>
    <col min="6" max="6" width="18" customWidth="1"/>
    <col min="7" max="7" width="16" customWidth="1"/>
    <col min="8" max="8" width="8" customWidth="1"/>
    <col min="9" max="9" width="9" customWidth="1"/>
    <col min="10" max="11" width="8" customWidth="1"/>
    <col min="12" max="12" width="30" customWidth="1"/>
    <col min="13" max="13" width="12" customWidth="1"/>
    <col min="14" max="17" width="16" customWidth="1"/>
    <col min="18" max="18" width="44" customWidth="1"/>
    <col min="19" max="19" width="30" customWidth="1"/>
    <col min="20" max="20" width="8" customWidth="1"/>
    <col min="21" max="21" width="7" customWidth="1"/>
    <col min="22" max="22" width="8" customWidth="1"/>
    <col min="23" max="23" width="30" customWidth="1"/>
    <col min="24" max="24" width="8" customWidth="1"/>
    <col min="25" max="25" width="7" customWidth="1"/>
    <col min="26" max="26" width="8" customWidth="1"/>
    <col min="27" max="27" width="30" customWidth="1"/>
    <col min="28" max="28" width="8" customWidth="1"/>
    <col min="29" max="29" width="7" customWidth="1"/>
    <col min="30" max="30" width="8" customWidth="1"/>
    <col min="31" max="31" width="38" customWidth="1"/>
    <col min="32" max="32" width="29.1640625" customWidth="1"/>
    <col min="33" max="33" width="38" customWidth="1"/>
    <col min="34" max="38" width="10" customWidth="1"/>
    <col min="39" max="39" width="14" customWidth="1"/>
    <col min="40" max="40" width="9" customWidth="1"/>
    <col min="41" max="41" width="14" customWidth="1"/>
    <col min="42" max="42" width="9" customWidth="1"/>
    <col min="43" max="47" width="10" customWidth="1"/>
    <col min="48" max="48" width="12" customWidth="1"/>
    <col min="49" max="49" width="13" customWidth="1"/>
    <col min="50" max="50" width="34" customWidth="1"/>
    <col min="51" max="56" width="10.5" bestFit="1" customWidth="1"/>
    <col min="57" max="67" width="10" customWidth="1"/>
  </cols>
  <sheetData>
    <row r="1" spans="1:67" ht="28" customHeight="1">
      <c r="A1" s="43" t="s">
        <v>0</v>
      </c>
      <c r="B1" s="44"/>
      <c r="C1" s="44"/>
      <c r="D1" s="44"/>
      <c r="E1" s="44"/>
      <c r="F1" s="44"/>
    </row>
    <row r="2" spans="1:67" ht="4" customHeight="1"/>
    <row r="3" spans="1:67" ht="22" customHeight="1">
      <c r="A3" s="73" t="s">
        <v>1</v>
      </c>
      <c r="B3" s="74"/>
      <c r="C3" s="39" t="s">
        <v>727</v>
      </c>
      <c r="D3" s="37"/>
      <c r="E3" s="17" t="s">
        <v>2</v>
      </c>
      <c r="H3" s="18"/>
    </row>
    <row r="4" spans="1:67" ht="22" customHeight="1">
      <c r="A4" s="81" t="s">
        <v>3</v>
      </c>
      <c r="B4" s="82"/>
      <c r="C4" s="83" t="s">
        <v>788</v>
      </c>
      <c r="D4" s="84"/>
      <c r="E4" s="17" t="s">
        <v>4</v>
      </c>
      <c r="H4" s="18"/>
    </row>
    <row r="5" spans="1:67" ht="22" customHeight="1">
      <c r="A5" s="73" t="s">
        <v>5</v>
      </c>
      <c r="B5" s="74"/>
      <c r="C5" s="39" t="s">
        <v>611</v>
      </c>
      <c r="D5" s="37"/>
      <c r="E5" s="17" t="s">
        <v>7</v>
      </c>
      <c r="H5" s="18"/>
    </row>
    <row r="6" spans="1:67" ht="22" customHeight="1">
      <c r="A6" s="73" t="s">
        <v>8</v>
      </c>
      <c r="B6" s="74"/>
      <c r="C6" s="39"/>
      <c r="D6" s="37"/>
      <c r="E6" s="17" t="s">
        <v>10</v>
      </c>
      <c r="H6" s="18"/>
    </row>
    <row r="7" spans="1:67" ht="22" customHeight="1">
      <c r="A7" s="81" t="s">
        <v>692</v>
      </c>
      <c r="B7" s="82"/>
      <c r="C7" s="83" t="s">
        <v>11</v>
      </c>
      <c r="D7" s="84"/>
      <c r="E7" s="17" t="s">
        <v>12</v>
      </c>
      <c r="H7" s="8"/>
    </row>
    <row r="8" spans="1:67" ht="22" customHeight="1">
      <c r="A8" s="81" t="s">
        <v>13</v>
      </c>
      <c r="B8" s="82"/>
      <c r="C8" s="83" t="s">
        <v>14</v>
      </c>
      <c r="D8" s="84"/>
      <c r="E8" s="17" t="s">
        <v>15</v>
      </c>
      <c r="H8" s="8"/>
      <c r="J8" s="19"/>
      <c r="U8" s="19"/>
      <c r="W8" s="19"/>
      <c r="AA8" s="19"/>
      <c r="AE8" s="19"/>
      <c r="AF8" s="20"/>
      <c r="AI8" s="20"/>
      <c r="AN8" s="20"/>
    </row>
    <row r="9" spans="1:67" ht="22" customHeight="1">
      <c r="A9" s="81" t="s">
        <v>16</v>
      </c>
      <c r="B9" s="82"/>
      <c r="C9" s="83" t="s">
        <v>17</v>
      </c>
      <c r="D9" s="84"/>
      <c r="E9" s="21" t="s">
        <v>18</v>
      </c>
      <c r="F9" s="22"/>
      <c r="G9" s="22"/>
      <c r="H9" s="8"/>
      <c r="J9" s="22"/>
      <c r="U9" s="22"/>
      <c r="W9" s="22"/>
      <c r="X9" s="22"/>
      <c r="Y9" s="22"/>
      <c r="Z9" s="22"/>
      <c r="AA9" s="22"/>
      <c r="AC9" s="22"/>
      <c r="AE9" s="22"/>
      <c r="AF9" s="7"/>
      <c r="AG9" s="7"/>
      <c r="AH9" s="7"/>
      <c r="AI9" s="7"/>
      <c r="AJ9" s="7"/>
      <c r="AK9" s="7"/>
      <c r="AL9" s="7"/>
      <c r="AM9" s="7"/>
      <c r="AN9" s="7"/>
    </row>
    <row r="10" spans="1:67" ht="22" customHeight="1">
      <c r="A10" s="85" t="s">
        <v>19</v>
      </c>
      <c r="B10" s="86"/>
      <c r="C10" s="87" t="s">
        <v>20</v>
      </c>
      <c r="D10" s="84"/>
      <c r="E10" s="21" t="s">
        <v>21</v>
      </c>
      <c r="F10" s="24"/>
      <c r="G10" s="23"/>
      <c r="H10" s="25"/>
      <c r="I10" s="23"/>
      <c r="J10" s="23"/>
      <c r="K10" s="26"/>
      <c r="L10" s="27"/>
      <c r="M10" s="23"/>
      <c r="N10" s="23"/>
      <c r="O10" s="26"/>
      <c r="P10" s="27"/>
      <c r="Q10" s="23"/>
      <c r="R10" s="23"/>
      <c r="S10" s="27"/>
      <c r="T10" s="23"/>
      <c r="U10" s="23"/>
      <c r="V10" s="23"/>
      <c r="W10" s="28"/>
      <c r="X10" s="28"/>
      <c r="Y10" s="28"/>
      <c r="Z10" s="27"/>
      <c r="AA10" s="23"/>
      <c r="AB10" s="27"/>
      <c r="AC10" s="23"/>
      <c r="AD10" s="27"/>
      <c r="AE10" s="29"/>
    </row>
    <row r="11" spans="1:67" ht="22" customHeight="1">
      <c r="A11" s="75" t="s">
        <v>22</v>
      </c>
      <c r="B11" s="76"/>
      <c r="C11" s="38" t="s">
        <v>23</v>
      </c>
      <c r="D11" s="37"/>
      <c r="E11" s="21" t="s">
        <v>24</v>
      </c>
      <c r="F11" s="24"/>
      <c r="G11" s="23"/>
      <c r="H11" s="25"/>
      <c r="I11" s="23"/>
      <c r="J11" s="23"/>
      <c r="K11" s="26"/>
      <c r="L11" s="27"/>
      <c r="M11" s="23"/>
      <c r="N11" s="23"/>
      <c r="O11" s="26"/>
      <c r="P11" s="27"/>
      <c r="Q11" s="23"/>
      <c r="R11" s="23"/>
      <c r="S11" s="27"/>
      <c r="T11" s="23"/>
      <c r="U11" s="23"/>
      <c r="V11" s="23"/>
      <c r="W11" s="28"/>
      <c r="X11" s="28"/>
      <c r="Y11" s="28"/>
      <c r="Z11" s="27"/>
      <c r="AA11" s="23"/>
      <c r="AB11" s="27"/>
      <c r="AC11" s="23"/>
      <c r="AD11" s="27"/>
      <c r="AE11" s="29"/>
    </row>
    <row r="12" spans="1:67" ht="22" customHeight="1">
      <c r="A12" s="85" t="s">
        <v>25</v>
      </c>
      <c r="B12" s="86"/>
      <c r="C12" s="87" t="s">
        <v>26</v>
      </c>
      <c r="D12" s="84"/>
      <c r="E12" s="21" t="s">
        <v>27</v>
      </c>
      <c r="F12" s="24"/>
      <c r="G12" s="23"/>
      <c r="H12" s="25"/>
      <c r="I12" s="23"/>
      <c r="J12" s="23"/>
      <c r="K12" s="26"/>
      <c r="L12" s="27"/>
      <c r="M12" s="23"/>
      <c r="N12" s="23"/>
      <c r="O12" s="26"/>
      <c r="P12" s="27"/>
      <c r="Q12" s="23"/>
      <c r="R12" s="23"/>
      <c r="S12" s="27"/>
      <c r="T12" s="23"/>
      <c r="U12" s="23"/>
      <c r="V12" s="23"/>
      <c r="W12" s="28"/>
      <c r="X12" s="28"/>
      <c r="Y12" s="28"/>
      <c r="Z12" s="27"/>
      <c r="AA12" s="23"/>
      <c r="AB12" s="27"/>
      <c r="AC12" s="23"/>
      <c r="AD12" s="27"/>
      <c r="AE12" s="29"/>
    </row>
    <row r="13" spans="1:67" ht="24" customHeight="1">
      <c r="A13" s="35" t="s">
        <v>28</v>
      </c>
      <c r="B13" s="36"/>
      <c r="C13" s="36"/>
      <c r="D13" s="36"/>
      <c r="E13" s="36"/>
      <c r="F13" s="36"/>
      <c r="G13" s="37"/>
      <c r="H13" s="77" t="s">
        <v>723</v>
      </c>
      <c r="I13" s="78" t="s">
        <v>724</v>
      </c>
      <c r="J13" s="79" t="s">
        <v>725</v>
      </c>
      <c r="K13" s="80" t="s">
        <v>726</v>
      </c>
      <c r="L13" s="27"/>
      <c r="M13" s="23"/>
      <c r="N13" s="23"/>
      <c r="O13" s="26"/>
      <c r="P13" s="27"/>
      <c r="Q13" s="23"/>
      <c r="R13" s="23"/>
      <c r="S13" s="27"/>
      <c r="T13" s="23"/>
      <c r="U13" s="23"/>
      <c r="V13" s="23"/>
      <c r="W13" s="28"/>
      <c r="X13" s="28"/>
      <c r="Y13" s="28"/>
      <c r="Z13" s="27"/>
      <c r="AA13" s="23"/>
      <c r="AB13" s="27"/>
      <c r="AC13" s="23"/>
      <c r="AD13" s="27"/>
      <c r="AE13" s="29"/>
    </row>
    <row r="14" spans="1:67" ht="4" customHeight="1">
      <c r="A14" s="27"/>
      <c r="B14" s="23"/>
      <c r="C14" s="26"/>
      <c r="D14" s="23"/>
      <c r="E14" s="23"/>
      <c r="F14" s="24"/>
      <c r="G14" s="23"/>
      <c r="H14" s="23"/>
      <c r="I14" s="23"/>
      <c r="J14" s="23"/>
      <c r="K14" s="26"/>
      <c r="L14" s="27"/>
      <c r="M14" s="23"/>
      <c r="N14" s="23"/>
      <c r="O14" s="26"/>
      <c r="P14" s="27"/>
      <c r="Q14" s="23"/>
      <c r="R14" s="23"/>
      <c r="S14" s="27"/>
      <c r="T14" s="23"/>
      <c r="U14" s="23"/>
      <c r="V14" s="23"/>
      <c r="W14" s="28"/>
      <c r="X14" s="28"/>
      <c r="Y14" s="28"/>
      <c r="Z14" s="27"/>
      <c r="AA14" s="23"/>
      <c r="AB14" s="27"/>
      <c r="AC14" s="23"/>
      <c r="AD14" s="27"/>
      <c r="AE14" s="29"/>
    </row>
    <row r="15" spans="1:67" ht="22" customHeight="1">
      <c r="A15" s="50" t="s">
        <v>29</v>
      </c>
      <c r="B15" s="36"/>
      <c r="C15" s="36"/>
      <c r="D15" s="37"/>
      <c r="E15" s="41" t="s">
        <v>30</v>
      </c>
      <c r="F15" s="36"/>
      <c r="G15" s="36"/>
      <c r="H15" s="36"/>
      <c r="I15" s="36"/>
      <c r="J15" s="36"/>
      <c r="K15" s="36"/>
      <c r="L15" s="37"/>
      <c r="M15" s="46" t="s">
        <v>31</v>
      </c>
      <c r="N15" s="36"/>
      <c r="O15" s="36"/>
      <c r="P15" s="36"/>
      <c r="Q15" s="37"/>
      <c r="R15" s="34" t="s">
        <v>32</v>
      </c>
      <c r="S15" s="48" t="s">
        <v>33</v>
      </c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7"/>
      <c r="AE15" s="51" t="s">
        <v>34</v>
      </c>
      <c r="AF15" s="36"/>
      <c r="AG15" s="36"/>
      <c r="AH15" s="37"/>
      <c r="AI15" s="49" t="s">
        <v>35</v>
      </c>
      <c r="AJ15" s="36"/>
      <c r="AK15" s="36"/>
      <c r="AL15" s="37"/>
      <c r="AM15" s="40" t="s">
        <v>36</v>
      </c>
      <c r="AN15" s="36"/>
      <c r="AO15" s="36"/>
      <c r="AP15" s="37"/>
      <c r="AQ15" s="47" t="s">
        <v>37</v>
      </c>
      <c r="AR15" s="36"/>
      <c r="AS15" s="36"/>
      <c r="AT15" s="36"/>
      <c r="AU15" s="37"/>
      <c r="AV15" s="45" t="s">
        <v>38</v>
      </c>
      <c r="AW15" s="36"/>
      <c r="AX15" s="37"/>
      <c r="AY15" s="42" t="s">
        <v>39</v>
      </c>
      <c r="AZ15" s="36"/>
      <c r="BA15" s="36"/>
      <c r="BB15" s="36"/>
      <c r="BC15" s="36"/>
      <c r="BD15" s="36"/>
      <c r="BE15" s="36"/>
      <c r="BF15" s="36"/>
      <c r="BG15" s="37"/>
      <c r="BH15" s="109" t="s">
        <v>797</v>
      </c>
      <c r="BI15" s="110"/>
      <c r="BJ15" s="110"/>
      <c r="BK15" s="110"/>
      <c r="BL15" s="110"/>
      <c r="BM15" s="110"/>
      <c r="BN15" s="111"/>
      <c r="BO15" s="30" t="s">
        <v>40</v>
      </c>
    </row>
    <row r="16" spans="1:67" ht="36" customHeight="1">
      <c r="A16" s="31" t="s">
        <v>41</v>
      </c>
      <c r="B16" s="32" t="s">
        <v>42</v>
      </c>
      <c r="C16" s="33" t="s">
        <v>43</v>
      </c>
      <c r="D16" s="32" t="s">
        <v>44</v>
      </c>
      <c r="E16" s="32" t="s">
        <v>45</v>
      </c>
      <c r="F16" s="32" t="s">
        <v>46</v>
      </c>
      <c r="G16" s="32" t="s">
        <v>47</v>
      </c>
      <c r="H16" s="91" t="s">
        <v>48</v>
      </c>
      <c r="I16" s="91" t="s">
        <v>49</v>
      </c>
      <c r="J16" s="91" t="s">
        <v>50</v>
      </c>
      <c r="K16" s="92" t="s">
        <v>51</v>
      </c>
      <c r="L16" s="31" t="s">
        <v>52</v>
      </c>
      <c r="M16" s="32" t="s">
        <v>53</v>
      </c>
      <c r="N16" s="32" t="s">
        <v>54</v>
      </c>
      <c r="O16" s="33" t="s">
        <v>55</v>
      </c>
      <c r="P16" s="31" t="s">
        <v>56</v>
      </c>
      <c r="Q16" s="32" t="s">
        <v>57</v>
      </c>
      <c r="R16" s="32" t="s">
        <v>58</v>
      </c>
      <c r="S16" s="101" t="s">
        <v>59</v>
      </c>
      <c r="T16" s="91" t="s">
        <v>60</v>
      </c>
      <c r="U16" s="91" t="s">
        <v>61</v>
      </c>
      <c r="V16" s="91" t="s">
        <v>62</v>
      </c>
      <c r="W16" s="102" t="s">
        <v>63</v>
      </c>
      <c r="X16" s="102" t="s">
        <v>64</v>
      </c>
      <c r="Y16" s="102" t="s">
        <v>65</v>
      </c>
      <c r="Z16" s="101" t="s">
        <v>66</v>
      </c>
      <c r="AA16" s="91" t="s">
        <v>67</v>
      </c>
      <c r="AB16" s="101" t="s">
        <v>68</v>
      </c>
      <c r="AC16" s="91" t="s">
        <v>69</v>
      </c>
      <c r="AD16" s="101" t="s">
        <v>70</v>
      </c>
      <c r="AE16" s="33" t="s">
        <v>71</v>
      </c>
      <c r="AF16" s="32" t="s">
        <v>72</v>
      </c>
      <c r="AG16" s="32" t="s">
        <v>73</v>
      </c>
      <c r="AH16" s="32" t="s">
        <v>74</v>
      </c>
      <c r="AI16" s="32" t="s">
        <v>75</v>
      </c>
      <c r="AJ16" s="32" t="s">
        <v>76</v>
      </c>
      <c r="AK16" s="32" t="s">
        <v>77</v>
      </c>
      <c r="AL16" s="32" t="s">
        <v>78</v>
      </c>
      <c r="AM16" s="32" t="s">
        <v>79</v>
      </c>
      <c r="AN16" s="32" t="s">
        <v>80</v>
      </c>
      <c r="AO16" s="32" t="s">
        <v>81</v>
      </c>
      <c r="AP16" s="32" t="s">
        <v>82</v>
      </c>
      <c r="AQ16" s="32" t="s">
        <v>83</v>
      </c>
      <c r="AR16" s="32" t="s">
        <v>84</v>
      </c>
      <c r="AS16" s="32" t="s">
        <v>85</v>
      </c>
      <c r="AT16" s="32" t="s">
        <v>86</v>
      </c>
      <c r="AU16" s="32" t="s">
        <v>87</v>
      </c>
      <c r="AV16" s="32" t="s">
        <v>88</v>
      </c>
      <c r="AW16" s="32" t="s">
        <v>89</v>
      </c>
      <c r="AX16" s="32" t="s">
        <v>90</v>
      </c>
      <c r="AY16" s="32" t="s">
        <v>91</v>
      </c>
      <c r="AZ16" s="32" t="s">
        <v>92</v>
      </c>
      <c r="BA16" s="32" t="s">
        <v>93</v>
      </c>
      <c r="BB16" s="32" t="s">
        <v>94</v>
      </c>
      <c r="BC16" s="32" t="s">
        <v>95</v>
      </c>
      <c r="BD16" s="32" t="s">
        <v>96</v>
      </c>
      <c r="BE16" s="32" t="s">
        <v>97</v>
      </c>
      <c r="BF16" s="32" t="s">
        <v>98</v>
      </c>
      <c r="BG16" s="32" t="s">
        <v>99</v>
      </c>
      <c r="BH16" s="32" t="s">
        <v>798</v>
      </c>
      <c r="BI16" s="32" t="s">
        <v>799</v>
      </c>
      <c r="BJ16" s="32" t="s">
        <v>800</v>
      </c>
      <c r="BK16" s="32" t="s">
        <v>801</v>
      </c>
      <c r="BL16" s="32" t="s">
        <v>802</v>
      </c>
      <c r="BM16" s="32" t="s">
        <v>803</v>
      </c>
      <c r="BN16" s="32" t="s">
        <v>804</v>
      </c>
      <c r="BO16" s="32" t="s">
        <v>100</v>
      </c>
    </row>
    <row r="17" spans="1:67" ht="18" customHeight="1">
      <c r="A17" s="54" t="s">
        <v>101</v>
      </c>
      <c r="B17" s="55" t="s">
        <v>101</v>
      </c>
      <c r="C17" s="56" t="s">
        <v>101</v>
      </c>
      <c r="D17" s="55" t="s">
        <v>101</v>
      </c>
      <c r="E17" s="55"/>
      <c r="F17" s="55" t="s">
        <v>102</v>
      </c>
      <c r="G17" s="55" t="s">
        <v>102</v>
      </c>
      <c r="H17" s="93"/>
      <c r="I17" s="93" t="s">
        <v>103</v>
      </c>
      <c r="J17" s="93" t="s">
        <v>104</v>
      </c>
      <c r="K17" s="94" t="s">
        <v>101</v>
      </c>
      <c r="L17" s="54"/>
      <c r="M17" s="55" t="s">
        <v>104</v>
      </c>
      <c r="N17" s="55" t="s">
        <v>104</v>
      </c>
      <c r="O17" s="56" t="s">
        <v>104</v>
      </c>
      <c r="P17" s="54" t="s">
        <v>104</v>
      </c>
      <c r="Q17" s="55" t="s">
        <v>104</v>
      </c>
      <c r="R17" s="55" t="s">
        <v>104</v>
      </c>
      <c r="S17" s="103" t="s">
        <v>104</v>
      </c>
      <c r="T17" s="93"/>
      <c r="U17" s="93"/>
      <c r="V17" s="93"/>
      <c r="W17" s="104" t="s">
        <v>104</v>
      </c>
      <c r="X17" s="104"/>
      <c r="Y17" s="104"/>
      <c r="Z17" s="103"/>
      <c r="AA17" s="93" t="s">
        <v>104</v>
      </c>
      <c r="AB17" s="103"/>
      <c r="AC17" s="93"/>
      <c r="AD17" s="103"/>
      <c r="AE17" s="56" t="s">
        <v>104</v>
      </c>
      <c r="AF17" s="69" t="s">
        <v>106</v>
      </c>
      <c r="AG17" s="55" t="s">
        <v>104</v>
      </c>
      <c r="AH17" s="69" t="s">
        <v>106</v>
      </c>
      <c r="AI17" s="55" t="s">
        <v>107</v>
      </c>
      <c r="AJ17" s="55" t="s">
        <v>108</v>
      </c>
      <c r="AK17" s="55" t="s">
        <v>109</v>
      </c>
      <c r="AL17" s="55" t="s">
        <v>110</v>
      </c>
      <c r="AM17" s="55" t="s">
        <v>111</v>
      </c>
      <c r="AN17" s="55"/>
      <c r="AO17" s="55" t="s">
        <v>112</v>
      </c>
      <c r="AP17" s="55"/>
      <c r="AQ17" s="55"/>
      <c r="AR17" s="55"/>
      <c r="AS17" s="55"/>
      <c r="AT17" s="55"/>
      <c r="AU17" s="55"/>
      <c r="AV17" s="55" t="s">
        <v>104</v>
      </c>
      <c r="AW17" s="55" t="s">
        <v>104</v>
      </c>
      <c r="AX17" s="55" t="s">
        <v>104</v>
      </c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66" t="s">
        <v>113</v>
      </c>
    </row>
    <row r="18" spans="1:67" ht="19.5" customHeight="1">
      <c r="A18" s="70" t="b">
        <v>0</v>
      </c>
      <c r="B18" s="71" t="b">
        <v>1</v>
      </c>
      <c r="C18" s="72" t="b">
        <v>0</v>
      </c>
      <c r="D18" s="72" t="b">
        <v>0</v>
      </c>
      <c r="E18" s="105" t="s">
        <v>795</v>
      </c>
      <c r="F18" s="107" t="s">
        <v>796</v>
      </c>
      <c r="G18" s="57"/>
      <c r="H18" s="88"/>
      <c r="I18" s="107">
        <v>3.2000000000000001E-2</v>
      </c>
      <c r="J18" s="88" t="s">
        <v>122</v>
      </c>
      <c r="K18" s="89" t="b">
        <v>1</v>
      </c>
      <c r="L18" s="107" t="s">
        <v>792</v>
      </c>
      <c r="M18" s="57" t="s">
        <v>524</v>
      </c>
      <c r="N18" s="57" t="s">
        <v>401</v>
      </c>
      <c r="O18" s="61" t="s">
        <v>377</v>
      </c>
      <c r="P18" s="60"/>
      <c r="Q18" s="57"/>
      <c r="R18" s="106" t="s">
        <v>740</v>
      </c>
      <c r="S18" s="95"/>
      <c r="T18" s="88"/>
      <c r="U18" s="88"/>
      <c r="V18" s="88"/>
      <c r="W18" s="96"/>
      <c r="X18" s="97"/>
      <c r="Y18" s="97"/>
      <c r="Z18" s="98"/>
      <c r="AA18" s="99"/>
      <c r="AB18" s="98"/>
      <c r="AC18" s="88"/>
      <c r="AD18" s="98"/>
      <c r="AE18" s="64" t="s">
        <v>755</v>
      </c>
      <c r="AF18" s="67">
        <f>IFERROR((VALUE(TRIM(LEFT(MID(AE18,FIND("|",AE18)+1,99),FIND("-",MID(AE18,FIND("|",AE18)+1,99))-1)))+VALUE(TRIM(SUBSTITUTE(SUBSTITUTE(SUBSTITUTE(MID(MID(AE18,FIND("|",AE18)+1,99),FIND("-",MID(AE18,FIND("|",AE18)+1,99))+1,20),"µm",""),"μm","")," ",""))))/2,"")</f>
        <v>3.75</v>
      </c>
      <c r="AG18" s="58"/>
      <c r="AH18" s="68" t="str">
        <f>IFERROR((VALUE(TRIM(LEFT(MID(AG18,FIND("|",AG18)+1,99),FIND("-",MID(AG18,FIND("|",AG18)+1,99))-1)))+VALUE(TRIM(SUBSTITUTE(SUBSTITUTE(SUBSTITUTE(MID(MID(AG18,FIND("|",AG18)+1,99),FIND("-",MID(AG18,FIND("|",AG18)+1,99))+1,20),"µm",""),"μm","")," ",""))))/2,"")</f>
        <v/>
      </c>
      <c r="AI18" s="53">
        <v>8.3000000000000001E-4</v>
      </c>
      <c r="AJ18" s="53">
        <v>8</v>
      </c>
      <c r="AK18" s="53"/>
      <c r="AL18" s="53">
        <v>0</v>
      </c>
      <c r="AM18" s="53" t="s">
        <v>460</v>
      </c>
      <c r="AN18" s="53">
        <v>12650</v>
      </c>
      <c r="AO18" s="53"/>
      <c r="AP18" s="53"/>
      <c r="AQ18" s="53"/>
      <c r="AR18" s="53"/>
      <c r="AS18" s="53"/>
      <c r="AT18" s="53"/>
      <c r="AU18" s="53"/>
      <c r="AV18" s="58"/>
      <c r="AW18" s="58"/>
      <c r="AX18" s="62" t="s">
        <v>121</v>
      </c>
      <c r="AY18" s="63" t="str">
        <f>IF('Cálculo MP'!J19="","",'Cálculo MP'!J19)</f>
        <v/>
      </c>
      <c r="AZ18" s="63" t="str">
        <f>IF('Cálculo MP'!K19="","",'Cálculo MP'!K19)</f>
        <v/>
      </c>
      <c r="BA18" s="63">
        <f>IF('Cálculo MP'!L19="","",'Cálculo MP'!L19)</f>
        <v>2.6699999999999998E-5</v>
      </c>
      <c r="BB18" s="63" t="str">
        <f>IF('Cálculo MP'!M19="","",'Cálculo MP'!M19)</f>
        <v/>
      </c>
      <c r="BC18" s="63" t="str">
        <f>IF('Cálculo MP'!N19="","",'Cálculo MP'!N19)</f>
        <v/>
      </c>
      <c r="BD18" s="63" t="str">
        <f>IF('Cálculo MP'!O19="","",'Cálculo MP'!O19)</f>
        <v/>
      </c>
      <c r="BE18" s="63" t="str">
        <f>IF('Cálculo MP'!P19="","",'Cálculo MP'!P19)</f>
        <v/>
      </c>
      <c r="BF18" s="63" t="str">
        <f>IF('Cálculo MP'!Q19="","",'Cálculo MP'!Q19)</f>
        <v/>
      </c>
      <c r="BG18" s="63" t="str">
        <f>IF('Cálculo MP'!R19="","",'Cálculo MP'!R19)</f>
        <v/>
      </c>
      <c r="BH18" s="63"/>
      <c r="BI18" s="63"/>
      <c r="BJ18" s="63"/>
      <c r="BK18" s="63"/>
      <c r="BL18" s="63"/>
      <c r="BM18" s="63"/>
      <c r="BN18" s="63"/>
      <c r="BO18" s="65">
        <f>IF(E18="","",H18*I18)</f>
        <v>0</v>
      </c>
    </row>
    <row r="19" spans="1:67" ht="19.5" customHeight="1">
      <c r="A19" s="70" t="b">
        <v>0</v>
      </c>
      <c r="B19" s="71" t="b">
        <v>1</v>
      </c>
      <c r="C19" s="72" t="b">
        <v>0</v>
      </c>
      <c r="D19" s="71" t="b">
        <v>0</v>
      </c>
      <c r="E19" s="105" t="s">
        <v>794</v>
      </c>
      <c r="F19" s="59"/>
      <c r="G19" s="57"/>
      <c r="H19" s="88"/>
      <c r="I19" s="107">
        <v>4.2999999999999997E-2</v>
      </c>
      <c r="J19" s="88" t="s">
        <v>122</v>
      </c>
      <c r="K19" s="89" t="b">
        <v>1</v>
      </c>
      <c r="L19" s="107" t="s">
        <v>792</v>
      </c>
      <c r="M19" s="57" t="s">
        <v>524</v>
      </c>
      <c r="N19" s="57" t="s">
        <v>401</v>
      </c>
      <c r="O19" s="61" t="s">
        <v>377</v>
      </c>
      <c r="P19" s="60" t="s">
        <v>385</v>
      </c>
      <c r="Q19" s="57"/>
      <c r="R19" s="106" t="s">
        <v>740</v>
      </c>
      <c r="S19" s="95"/>
      <c r="T19" s="88"/>
      <c r="U19" s="88"/>
      <c r="V19" s="88"/>
      <c r="W19" s="96"/>
      <c r="X19" s="97"/>
      <c r="Y19" s="97"/>
      <c r="Z19" s="97"/>
      <c r="AA19" s="99"/>
      <c r="AB19" s="98"/>
      <c r="AC19" s="88"/>
      <c r="AD19" s="98"/>
      <c r="AE19" s="64" t="s">
        <v>583</v>
      </c>
      <c r="AF19" s="67">
        <f t="shared" ref="AF19:AF82" si="0">IFERROR((VALUE(TRIM(LEFT(MID(AE19,FIND("|",AE19)+1,99),FIND("-",MID(AE19,FIND("|",AE19)+1,99))-1)))+VALUE(TRIM(SUBSTITUTE(SUBSTITUTE(SUBSTITUTE(MID(MID(AE19,FIND("|",AE19)+1,99),FIND("-",MID(AE19,FIND("|",AE19)+1,99))+1,20),"µm",""),"μm","")," ",""))))/2,"")</f>
        <v>6.5</v>
      </c>
      <c r="AG19" s="58"/>
      <c r="AH19" s="68" t="str">
        <f t="shared" ref="AH19:AH82" si="1">IFERROR((VALUE(TRIM(LEFT(MID(AG19,FIND("|",AG19)+1,99),FIND("-",MID(AG19,FIND("|",AG19)+1,99))-1)))+VALUE(TRIM(SUBSTITUTE(SUBSTITUTE(SUBSTITUTE(MID(MID(AG19,FIND("|",AG19)+1,99),FIND("-",MID(AG19,FIND("|",AG19)+1,99))+1,20),"µm",""),"μm","")," ",""))))/2,"")</f>
        <v/>
      </c>
      <c r="AI19" s="53">
        <v>8.3000000000000001E-4</v>
      </c>
      <c r="AJ19" s="53">
        <v>8</v>
      </c>
      <c r="AK19" s="53"/>
      <c r="AL19" s="108">
        <v>2325.5813953488373</v>
      </c>
      <c r="AM19" s="53" t="s">
        <v>460</v>
      </c>
      <c r="AN19" s="53">
        <v>8000</v>
      </c>
      <c r="AO19" s="53"/>
      <c r="AP19" s="53"/>
      <c r="AQ19" s="53"/>
      <c r="AR19" s="53"/>
      <c r="AS19" s="53"/>
      <c r="AT19" s="53"/>
      <c r="AU19" s="53"/>
      <c r="AV19" s="58"/>
      <c r="AW19" s="58"/>
      <c r="AX19" s="62" t="s">
        <v>121</v>
      </c>
      <c r="AY19" s="63" t="str">
        <f>IF('Cálculo MP'!J20="","",'Cálculo MP'!J20)</f>
        <v/>
      </c>
      <c r="AZ19" s="63" t="str">
        <f>IF('Cálculo MP'!K20="","",'Cálculo MP'!K20)</f>
        <v/>
      </c>
      <c r="BA19" s="63">
        <f>IF('Cálculo MP'!L20="","",'Cálculo MP'!L20)</f>
        <v>4.6280000000000004E-5</v>
      </c>
      <c r="BB19" s="63" t="str">
        <f>IF('Cálculo MP'!M20="","",'Cálculo MP'!M20)</f>
        <v/>
      </c>
      <c r="BC19" s="63" t="str">
        <f>IF('Cálculo MP'!N20="","",'Cálculo MP'!N20)</f>
        <v/>
      </c>
      <c r="BD19" s="63" t="str">
        <f>IF('Cálculo MP'!O20="","",'Cálculo MP'!O20)</f>
        <v/>
      </c>
      <c r="BE19" s="63" t="str">
        <f>IF('Cálculo MP'!P20="","",'Cálculo MP'!P20)</f>
        <v/>
      </c>
      <c r="BF19" s="63" t="str">
        <f>IF('Cálculo MP'!Q20="","",'Cálculo MP'!Q20)</f>
        <v/>
      </c>
      <c r="BG19" s="63" t="str">
        <f>IF('Cálculo MP'!R20="","",'Cálculo MP'!R20)</f>
        <v/>
      </c>
      <c r="BH19" s="63"/>
      <c r="BI19" s="63"/>
      <c r="BJ19" s="63"/>
      <c r="BK19" s="63"/>
      <c r="BL19" s="63"/>
      <c r="BM19" s="63"/>
      <c r="BN19" s="63"/>
      <c r="BO19" s="65">
        <f t="shared" ref="BO19:BO82" si="2">IF(E19="","",H19*I19)</f>
        <v>0</v>
      </c>
    </row>
    <row r="20" spans="1:67" ht="19.5" customHeight="1">
      <c r="A20" s="70" t="b">
        <v>0</v>
      </c>
      <c r="B20" s="71" t="b">
        <v>1</v>
      </c>
      <c r="C20" s="72" t="b">
        <v>0</v>
      </c>
      <c r="D20" s="72" t="b">
        <v>0</v>
      </c>
      <c r="E20" s="105" t="s">
        <v>789</v>
      </c>
      <c r="F20" s="59"/>
      <c r="G20" s="57"/>
      <c r="H20" s="88"/>
      <c r="I20" s="107">
        <v>4.8000000000000001E-2</v>
      </c>
      <c r="J20" s="88" t="s">
        <v>122</v>
      </c>
      <c r="K20" s="89" t="b">
        <v>1</v>
      </c>
      <c r="L20" s="107" t="s">
        <v>793</v>
      </c>
      <c r="M20" s="57" t="s">
        <v>524</v>
      </c>
      <c r="N20" s="57" t="s">
        <v>401</v>
      </c>
      <c r="O20" s="61" t="s">
        <v>377</v>
      </c>
      <c r="P20" s="60"/>
      <c r="Q20" s="57"/>
      <c r="R20" s="106" t="s">
        <v>740</v>
      </c>
      <c r="S20" s="95"/>
      <c r="T20" s="88"/>
      <c r="U20" s="88"/>
      <c r="V20" s="88"/>
      <c r="W20" s="96"/>
      <c r="X20" s="97"/>
      <c r="Y20" s="97"/>
      <c r="Z20" s="97"/>
      <c r="AA20" s="99"/>
      <c r="AB20" s="98"/>
      <c r="AC20" s="88"/>
      <c r="AD20" s="98"/>
      <c r="AE20" s="64" t="s">
        <v>755</v>
      </c>
      <c r="AF20" s="67">
        <f t="shared" si="0"/>
        <v>3.75</v>
      </c>
      <c r="AG20" s="58"/>
      <c r="AH20" s="68" t="str">
        <f t="shared" si="1"/>
        <v/>
      </c>
      <c r="AI20" s="53">
        <v>5.9999999999999995E-4</v>
      </c>
      <c r="AJ20" s="53">
        <v>16.48</v>
      </c>
      <c r="AK20" s="53"/>
      <c r="AL20" s="108">
        <v>2083.3333333333335</v>
      </c>
      <c r="AM20" s="53" t="s">
        <v>460</v>
      </c>
      <c r="AN20" s="53">
        <v>3641</v>
      </c>
      <c r="AO20" s="53"/>
      <c r="AP20" s="53"/>
      <c r="AQ20" s="53"/>
      <c r="AR20" s="53"/>
      <c r="AS20" s="53"/>
      <c r="AT20" s="53"/>
      <c r="AU20" s="53"/>
      <c r="AV20" s="58"/>
      <c r="AW20" s="58"/>
      <c r="AX20" s="62" t="s">
        <v>121</v>
      </c>
      <c r="AY20" s="63" t="str">
        <f>IF('Cálculo MP'!J21="","",'Cálculo MP'!J21)</f>
        <v/>
      </c>
      <c r="AZ20" s="63" t="str">
        <f>IF('Cálculo MP'!K21="","",'Cálculo MP'!K21)</f>
        <v/>
      </c>
      <c r="BA20" s="63">
        <f>IF('Cálculo MP'!L21="","",'Cálculo MP'!L21)</f>
        <v>5.5002E-5</v>
      </c>
      <c r="BB20" s="63" t="str">
        <f>IF('Cálculo MP'!M21="","",'Cálculo MP'!M21)</f>
        <v/>
      </c>
      <c r="BC20" s="63" t="str">
        <f>IF('Cálculo MP'!N21="","",'Cálculo MP'!N21)</f>
        <v/>
      </c>
      <c r="BD20" s="63" t="str">
        <f>IF('Cálculo MP'!O21="","",'Cálculo MP'!O21)</f>
        <v/>
      </c>
      <c r="BE20" s="63" t="str">
        <f>IF('Cálculo MP'!P21="","",'Cálculo MP'!P21)</f>
        <v/>
      </c>
      <c r="BF20" s="63" t="str">
        <f>IF('Cálculo MP'!Q21="","",'Cálculo MP'!Q21)</f>
        <v/>
      </c>
      <c r="BG20" s="63" t="str">
        <f>IF('Cálculo MP'!R21="","",'Cálculo MP'!R21)</f>
        <v/>
      </c>
      <c r="BH20" s="63"/>
      <c r="BI20" s="63"/>
      <c r="BJ20" s="63"/>
      <c r="BK20" s="63"/>
      <c r="BL20" s="63"/>
      <c r="BM20" s="63"/>
      <c r="BN20" s="63"/>
      <c r="BO20" s="65">
        <f t="shared" si="2"/>
        <v>0</v>
      </c>
    </row>
    <row r="21" spans="1:67" ht="19.5" customHeight="1">
      <c r="A21" s="70" t="b">
        <v>0</v>
      </c>
      <c r="B21" s="71" t="b">
        <v>1</v>
      </c>
      <c r="C21" s="72" t="b">
        <v>0</v>
      </c>
      <c r="D21" s="72" t="b">
        <v>0</v>
      </c>
      <c r="E21" s="105" t="s">
        <v>790</v>
      </c>
      <c r="F21" s="59"/>
      <c r="G21" s="57"/>
      <c r="H21" s="88"/>
      <c r="I21" s="107">
        <v>4.8000000000000001E-2</v>
      </c>
      <c r="J21" s="88" t="s">
        <v>122</v>
      </c>
      <c r="K21" s="89" t="b">
        <v>1</v>
      </c>
      <c r="L21" s="107" t="s">
        <v>793</v>
      </c>
      <c r="M21" s="57" t="s">
        <v>524</v>
      </c>
      <c r="N21" s="57" t="s">
        <v>401</v>
      </c>
      <c r="O21" s="61" t="s">
        <v>377</v>
      </c>
      <c r="P21" s="60"/>
      <c r="Q21" s="57"/>
      <c r="R21" s="106" t="s">
        <v>740</v>
      </c>
      <c r="S21" s="95"/>
      <c r="T21" s="88"/>
      <c r="U21" s="88"/>
      <c r="V21" s="88"/>
      <c r="W21" s="96"/>
      <c r="X21" s="97"/>
      <c r="Y21" s="97"/>
      <c r="Z21" s="98"/>
      <c r="AA21" s="99"/>
      <c r="AB21" s="98"/>
      <c r="AC21" s="88"/>
      <c r="AD21" s="98"/>
      <c r="AE21" s="64" t="s">
        <v>755</v>
      </c>
      <c r="AF21" s="67">
        <f t="shared" si="0"/>
        <v>3.75</v>
      </c>
      <c r="AG21" s="58"/>
      <c r="AH21" s="68" t="str">
        <f t="shared" si="1"/>
        <v/>
      </c>
      <c r="AI21" s="53">
        <v>5.9999999999999995E-4</v>
      </c>
      <c r="AJ21" s="53">
        <v>16.48</v>
      </c>
      <c r="AK21" s="53"/>
      <c r="AL21" s="108">
        <v>2083.3333333333335</v>
      </c>
      <c r="AM21" s="53" t="s">
        <v>460</v>
      </c>
      <c r="AN21" s="53">
        <v>3641</v>
      </c>
      <c r="AO21" s="53"/>
      <c r="AP21" s="53"/>
      <c r="AQ21" s="53"/>
      <c r="AR21" s="53"/>
      <c r="AS21" s="53"/>
      <c r="AT21" s="53"/>
      <c r="AU21" s="53"/>
      <c r="AV21" s="58"/>
      <c r="AW21" s="58"/>
      <c r="AX21" s="62" t="s">
        <v>121</v>
      </c>
      <c r="AY21" s="63" t="str">
        <f>IF('Cálculo MP'!J22="","",'Cálculo MP'!J22)</f>
        <v/>
      </c>
      <c r="AZ21" s="63" t="str">
        <f>IF('Cálculo MP'!K22="","",'Cálculo MP'!K22)</f>
        <v/>
      </c>
      <c r="BA21" s="63">
        <f>IF('Cálculo MP'!L22="","",'Cálculo MP'!L22)</f>
        <v>5.5002E-5</v>
      </c>
      <c r="BB21" s="63" t="str">
        <f>IF('Cálculo MP'!M22="","",'Cálculo MP'!M22)</f>
        <v/>
      </c>
      <c r="BC21" s="63" t="str">
        <f>IF('Cálculo MP'!N22="","",'Cálculo MP'!N22)</f>
        <v/>
      </c>
      <c r="BD21" s="63" t="str">
        <f>IF('Cálculo MP'!O22="","",'Cálculo MP'!O22)</f>
        <v/>
      </c>
      <c r="BE21" s="63" t="str">
        <f>IF('Cálculo MP'!P22="","",'Cálculo MP'!P22)</f>
        <v/>
      </c>
      <c r="BF21" s="63" t="str">
        <f>IF('Cálculo MP'!Q22="","",'Cálculo MP'!Q22)</f>
        <v/>
      </c>
      <c r="BG21" s="63" t="str">
        <f>IF('Cálculo MP'!R22="","",'Cálculo MP'!R22)</f>
        <v/>
      </c>
      <c r="BH21" s="63"/>
      <c r="BI21" s="63"/>
      <c r="BJ21" s="63"/>
      <c r="BK21" s="63"/>
      <c r="BL21" s="63"/>
      <c r="BM21" s="63"/>
      <c r="BN21" s="63"/>
      <c r="BO21" s="65">
        <f t="shared" si="2"/>
        <v>0</v>
      </c>
    </row>
    <row r="22" spans="1:67" ht="19.5" customHeight="1">
      <c r="A22" s="70" t="b">
        <v>0</v>
      </c>
      <c r="B22" s="71" t="b">
        <v>1</v>
      </c>
      <c r="C22" s="72" t="b">
        <v>0</v>
      </c>
      <c r="D22" s="72" t="b">
        <v>0</v>
      </c>
      <c r="E22" s="105" t="s">
        <v>791</v>
      </c>
      <c r="F22" s="59"/>
      <c r="G22" s="57"/>
      <c r="H22" s="88"/>
      <c r="I22" s="107">
        <v>3.4000000000000002E-2</v>
      </c>
      <c r="J22" s="88" t="s">
        <v>122</v>
      </c>
      <c r="K22" s="89" t="b">
        <v>1</v>
      </c>
      <c r="L22" s="107" t="s">
        <v>793</v>
      </c>
      <c r="M22" s="57" t="s">
        <v>524</v>
      </c>
      <c r="N22" s="57" t="s">
        <v>401</v>
      </c>
      <c r="O22" s="61"/>
      <c r="P22" s="60"/>
      <c r="Q22" s="57"/>
      <c r="R22" s="106" t="s">
        <v>180</v>
      </c>
      <c r="S22" s="95"/>
      <c r="T22" s="88"/>
      <c r="U22" s="88"/>
      <c r="V22" s="88"/>
      <c r="W22" s="96"/>
      <c r="X22" s="97"/>
      <c r="Y22" s="97"/>
      <c r="Z22" s="98"/>
      <c r="AA22" s="99"/>
      <c r="AB22" s="98"/>
      <c r="AC22" s="88"/>
      <c r="AD22" s="98"/>
      <c r="AE22" s="64" t="s">
        <v>583</v>
      </c>
      <c r="AF22" s="67">
        <f t="shared" si="0"/>
        <v>6.5</v>
      </c>
      <c r="AG22" s="58"/>
      <c r="AH22" s="68" t="str">
        <f t="shared" si="1"/>
        <v/>
      </c>
      <c r="AI22" s="53">
        <v>5.9999999999999995E-4</v>
      </c>
      <c r="AJ22" s="53">
        <v>10.6</v>
      </c>
      <c r="AK22" s="53"/>
      <c r="AL22" s="108">
        <v>5441.1764705882351</v>
      </c>
      <c r="AM22" s="53" t="s">
        <v>460</v>
      </c>
      <c r="AN22" s="53">
        <v>3000</v>
      </c>
      <c r="AO22" s="53"/>
      <c r="AP22" s="53"/>
      <c r="AQ22" s="53"/>
      <c r="AR22" s="53"/>
      <c r="AS22" s="53"/>
      <c r="AT22" s="53"/>
      <c r="AU22" s="53"/>
      <c r="AV22" s="58"/>
      <c r="AW22" s="58"/>
      <c r="AX22" s="62" t="s">
        <v>121</v>
      </c>
      <c r="AY22" s="63" t="str">
        <f>IF('Cálculo MP'!J23="","",'Cálculo MP'!J23)</f>
        <v/>
      </c>
      <c r="AZ22" s="63" t="str">
        <f>IF('Cálculo MP'!K23="","",'Cálculo MP'!K23)</f>
        <v/>
      </c>
      <c r="BA22" s="63">
        <f>IF('Cálculo MP'!L23="","",'Cálculo MP'!L23)</f>
        <v>6.1321000000000005E-5</v>
      </c>
      <c r="BB22" s="63" t="str">
        <f>IF('Cálculo MP'!M23="","",'Cálculo MP'!M23)</f>
        <v/>
      </c>
      <c r="BC22" s="63" t="str">
        <f>IF('Cálculo MP'!N23="","",'Cálculo MP'!N23)</f>
        <v/>
      </c>
      <c r="BD22" s="63" t="str">
        <f>IF('Cálculo MP'!O23="","",'Cálculo MP'!O23)</f>
        <v/>
      </c>
      <c r="BE22" s="63" t="str">
        <f>IF('Cálculo MP'!P23="","",'Cálculo MP'!P23)</f>
        <v/>
      </c>
      <c r="BF22" s="63" t="str">
        <f>IF('Cálculo MP'!Q23="","",'Cálculo MP'!Q23)</f>
        <v/>
      </c>
      <c r="BG22" s="63" t="str">
        <f>IF('Cálculo MP'!R23="","",'Cálculo MP'!R23)</f>
        <v/>
      </c>
      <c r="BH22" s="63"/>
      <c r="BI22" s="63"/>
      <c r="BJ22" s="63"/>
      <c r="BK22" s="63"/>
      <c r="BL22" s="63"/>
      <c r="BM22" s="63"/>
      <c r="BN22" s="63"/>
      <c r="BO22" s="65">
        <f t="shared" si="2"/>
        <v>0</v>
      </c>
    </row>
    <row r="23" spans="1:67" ht="19.5" customHeight="1">
      <c r="A23" s="70" t="b">
        <v>0</v>
      </c>
      <c r="B23" s="71" t="b">
        <v>1</v>
      </c>
      <c r="C23" s="72" t="b">
        <v>0</v>
      </c>
      <c r="D23" s="72" t="b">
        <v>0</v>
      </c>
      <c r="E23" s="57"/>
      <c r="F23" s="59"/>
      <c r="G23" s="57"/>
      <c r="H23" s="88"/>
      <c r="I23" s="88"/>
      <c r="J23" s="88"/>
      <c r="K23" s="89" t="b">
        <v>1</v>
      </c>
      <c r="L23" s="60"/>
      <c r="M23" s="57"/>
      <c r="N23" s="57"/>
      <c r="O23" s="61"/>
      <c r="P23" s="60"/>
      <c r="Q23" s="57"/>
      <c r="R23" s="57"/>
      <c r="S23" s="95"/>
      <c r="T23" s="88"/>
      <c r="U23" s="88"/>
      <c r="V23" s="88"/>
      <c r="W23" s="96"/>
      <c r="X23" s="97"/>
      <c r="Y23" s="97"/>
      <c r="Z23" s="98"/>
      <c r="AA23" s="99"/>
      <c r="AB23" s="98"/>
      <c r="AC23" s="88"/>
      <c r="AD23" s="98"/>
      <c r="AE23" s="64"/>
      <c r="AF23" s="67" t="str">
        <f t="shared" si="0"/>
        <v/>
      </c>
      <c r="AG23" s="58"/>
      <c r="AH23" s="68" t="str">
        <f t="shared" si="1"/>
        <v/>
      </c>
      <c r="AI23" s="53"/>
      <c r="AJ23" s="53"/>
      <c r="AK23" s="53"/>
      <c r="AL23" s="53"/>
      <c r="AM23" s="53"/>
      <c r="AN23" s="53"/>
      <c r="AO23" s="53"/>
      <c r="AP23" s="53"/>
      <c r="AQ23" s="53"/>
      <c r="AR23" s="53"/>
      <c r="AS23" s="53"/>
      <c r="AT23" s="53"/>
      <c r="AU23" s="53"/>
      <c r="AV23" s="58"/>
      <c r="AW23" s="58"/>
      <c r="AX23" s="62" t="s">
        <v>121</v>
      </c>
      <c r="AY23" s="63" t="str">
        <f>IF('Cálculo MP'!J24="","",'Cálculo MP'!J24)</f>
        <v/>
      </c>
      <c r="AZ23" s="63" t="str">
        <f>IF('Cálculo MP'!K24="","",'Cálculo MP'!K24)</f>
        <v/>
      </c>
      <c r="BA23" s="63" t="str">
        <f>IF('Cálculo MP'!L24="","",'Cálculo MP'!L24)</f>
        <v/>
      </c>
      <c r="BB23" s="63" t="str">
        <f>IF('Cálculo MP'!M24="","",'Cálculo MP'!M24)</f>
        <v/>
      </c>
      <c r="BC23" s="63" t="str">
        <f>IF('Cálculo MP'!N24="","",'Cálculo MP'!N24)</f>
        <v/>
      </c>
      <c r="BD23" s="63" t="str">
        <f>IF('Cálculo MP'!O24="","",'Cálculo MP'!O24)</f>
        <v/>
      </c>
      <c r="BE23" s="63" t="str">
        <f>IF('Cálculo MP'!P24="","",'Cálculo MP'!P24)</f>
        <v/>
      </c>
      <c r="BF23" s="63" t="str">
        <f>IF('Cálculo MP'!Q24="","",'Cálculo MP'!Q24)</f>
        <v/>
      </c>
      <c r="BG23" s="63" t="str">
        <f>IF('Cálculo MP'!R24="","",'Cálculo MP'!R24)</f>
        <v/>
      </c>
      <c r="BH23" s="63"/>
      <c r="BI23" s="63"/>
      <c r="BJ23" s="63"/>
      <c r="BK23" s="63"/>
      <c r="BL23" s="63"/>
      <c r="BM23" s="63"/>
      <c r="BN23" s="63"/>
      <c r="BO23" s="65" t="str">
        <f t="shared" si="2"/>
        <v/>
      </c>
    </row>
    <row r="24" spans="1:67" ht="19.5" customHeight="1">
      <c r="A24" s="70" t="b">
        <v>0</v>
      </c>
      <c r="B24" s="71" t="b">
        <v>1</v>
      </c>
      <c r="C24" s="72" t="b">
        <v>0</v>
      </c>
      <c r="D24" s="72" t="b">
        <v>0</v>
      </c>
      <c r="E24" s="57"/>
      <c r="F24" s="59"/>
      <c r="G24" s="57"/>
      <c r="H24" s="88"/>
      <c r="I24" s="88"/>
      <c r="J24" s="88"/>
      <c r="K24" s="89" t="b">
        <v>1</v>
      </c>
      <c r="L24" s="60"/>
      <c r="M24" s="57"/>
      <c r="N24" s="57"/>
      <c r="O24" s="61"/>
      <c r="P24" s="60"/>
      <c r="Q24" s="57"/>
      <c r="R24" s="57"/>
      <c r="S24" s="95"/>
      <c r="T24" s="88"/>
      <c r="U24" s="88"/>
      <c r="V24" s="88"/>
      <c r="W24" s="96"/>
      <c r="X24" s="97"/>
      <c r="Y24" s="97"/>
      <c r="Z24" s="98"/>
      <c r="AA24" s="99"/>
      <c r="AB24" s="98"/>
      <c r="AC24" s="88"/>
      <c r="AD24" s="98"/>
      <c r="AE24" s="64"/>
      <c r="AF24" s="67" t="str">
        <f t="shared" si="0"/>
        <v/>
      </c>
      <c r="AG24" s="58"/>
      <c r="AH24" s="68" t="str">
        <f t="shared" si="1"/>
        <v/>
      </c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8"/>
      <c r="AW24" s="58"/>
      <c r="AX24" s="62" t="s">
        <v>121</v>
      </c>
      <c r="AY24" s="63" t="str">
        <f>IF('Cálculo MP'!J25="","",'Cálculo MP'!J25)</f>
        <v/>
      </c>
      <c r="AZ24" s="63" t="str">
        <f>IF('Cálculo MP'!K25="","",'Cálculo MP'!K25)</f>
        <v/>
      </c>
      <c r="BA24" s="63" t="str">
        <f>IF('Cálculo MP'!L25="","",'Cálculo MP'!L25)</f>
        <v/>
      </c>
      <c r="BB24" s="63" t="str">
        <f>IF('Cálculo MP'!M25="","",'Cálculo MP'!M25)</f>
        <v/>
      </c>
      <c r="BC24" s="63" t="str">
        <f>IF('Cálculo MP'!N25="","",'Cálculo MP'!N25)</f>
        <v/>
      </c>
      <c r="BD24" s="63" t="str">
        <f>IF('Cálculo MP'!O25="","",'Cálculo MP'!O25)</f>
        <v/>
      </c>
      <c r="BE24" s="63" t="str">
        <f>IF('Cálculo MP'!P25="","",'Cálculo MP'!P25)</f>
        <v/>
      </c>
      <c r="BF24" s="63" t="str">
        <f>IF('Cálculo MP'!Q25="","",'Cálculo MP'!Q25)</f>
        <v/>
      </c>
      <c r="BG24" s="63" t="str">
        <f>IF('Cálculo MP'!R25="","",'Cálculo MP'!R25)</f>
        <v/>
      </c>
      <c r="BH24" s="63"/>
      <c r="BI24" s="63"/>
      <c r="BJ24" s="63"/>
      <c r="BK24" s="63"/>
      <c r="BL24" s="63"/>
      <c r="BM24" s="63"/>
      <c r="BN24" s="63"/>
      <c r="BO24" s="65" t="str">
        <f t="shared" si="2"/>
        <v/>
      </c>
    </row>
    <row r="25" spans="1:67" ht="19.5" customHeight="1">
      <c r="A25" s="70" t="b">
        <v>0</v>
      </c>
      <c r="B25" s="71" t="b">
        <v>1</v>
      </c>
      <c r="C25" s="72" t="b">
        <v>0</v>
      </c>
      <c r="D25" s="72" t="b">
        <v>0</v>
      </c>
      <c r="E25" s="57"/>
      <c r="F25" s="59"/>
      <c r="G25" s="57"/>
      <c r="H25" s="88"/>
      <c r="I25" s="88"/>
      <c r="J25" s="88"/>
      <c r="K25" s="89" t="b">
        <v>1</v>
      </c>
      <c r="L25" s="60"/>
      <c r="M25" s="57"/>
      <c r="N25" s="57"/>
      <c r="O25" s="61"/>
      <c r="P25" s="60"/>
      <c r="Q25" s="57"/>
      <c r="R25" s="57"/>
      <c r="S25" s="95"/>
      <c r="T25" s="88"/>
      <c r="U25" s="88"/>
      <c r="V25" s="88"/>
      <c r="W25" s="96"/>
      <c r="X25" s="97"/>
      <c r="Y25" s="97"/>
      <c r="Z25" s="98"/>
      <c r="AA25" s="99"/>
      <c r="AB25" s="98"/>
      <c r="AC25" s="88"/>
      <c r="AD25" s="98"/>
      <c r="AE25" s="64"/>
      <c r="AF25" s="67" t="str">
        <f t="shared" si="0"/>
        <v/>
      </c>
      <c r="AG25" s="58"/>
      <c r="AH25" s="68" t="str">
        <f t="shared" si="1"/>
        <v/>
      </c>
      <c r="AI25" s="53"/>
      <c r="AJ25" s="53"/>
      <c r="AK25" s="53"/>
      <c r="AL25" s="53"/>
      <c r="AM25" s="53"/>
      <c r="AN25" s="53"/>
      <c r="AO25" s="53"/>
      <c r="AP25" s="53"/>
      <c r="AQ25" s="53"/>
      <c r="AR25" s="53"/>
      <c r="AS25" s="53"/>
      <c r="AT25" s="53"/>
      <c r="AU25" s="53"/>
      <c r="AV25" s="58"/>
      <c r="AW25" s="58"/>
      <c r="AX25" s="62" t="s">
        <v>121</v>
      </c>
      <c r="AY25" s="63" t="str">
        <f>IF('Cálculo MP'!J26="","",'Cálculo MP'!J26)</f>
        <v/>
      </c>
      <c r="AZ25" s="63" t="str">
        <f>IF('Cálculo MP'!K26="","",'Cálculo MP'!K26)</f>
        <v/>
      </c>
      <c r="BA25" s="63" t="str">
        <f>IF('Cálculo MP'!L26="","",'Cálculo MP'!L26)</f>
        <v/>
      </c>
      <c r="BB25" s="63" t="str">
        <f>IF('Cálculo MP'!M26="","",'Cálculo MP'!M26)</f>
        <v/>
      </c>
      <c r="BC25" s="63" t="str">
        <f>IF('Cálculo MP'!N26="","",'Cálculo MP'!N26)</f>
        <v/>
      </c>
      <c r="BD25" s="63" t="str">
        <f>IF('Cálculo MP'!O26="","",'Cálculo MP'!O26)</f>
        <v/>
      </c>
      <c r="BE25" s="63" t="str">
        <f>IF('Cálculo MP'!P26="","",'Cálculo MP'!P26)</f>
        <v/>
      </c>
      <c r="BF25" s="63" t="str">
        <f>IF('Cálculo MP'!Q26="","",'Cálculo MP'!Q26)</f>
        <v/>
      </c>
      <c r="BG25" s="63" t="str">
        <f>IF('Cálculo MP'!R26="","",'Cálculo MP'!R26)</f>
        <v/>
      </c>
      <c r="BH25" s="63"/>
      <c r="BI25" s="63"/>
      <c r="BJ25" s="63"/>
      <c r="BK25" s="63"/>
      <c r="BL25" s="63"/>
      <c r="BM25" s="63"/>
      <c r="BN25" s="63"/>
      <c r="BO25" s="65" t="str">
        <f t="shared" si="2"/>
        <v/>
      </c>
    </row>
    <row r="26" spans="1:67" ht="19.5" customHeight="1">
      <c r="A26" s="70" t="b">
        <v>0</v>
      </c>
      <c r="B26" s="71" t="b">
        <v>1</v>
      </c>
      <c r="C26" s="72" t="b">
        <v>0</v>
      </c>
      <c r="D26" s="72" t="b">
        <v>0</v>
      </c>
      <c r="E26" s="57"/>
      <c r="F26" s="59"/>
      <c r="G26" s="57"/>
      <c r="H26" s="88"/>
      <c r="I26" s="88"/>
      <c r="J26" s="88"/>
      <c r="K26" s="89" t="b">
        <v>1</v>
      </c>
      <c r="L26" s="60"/>
      <c r="M26" s="57"/>
      <c r="N26" s="57"/>
      <c r="O26" s="61"/>
      <c r="P26" s="60"/>
      <c r="Q26" s="57"/>
      <c r="R26" s="57"/>
      <c r="S26" s="95"/>
      <c r="T26" s="88"/>
      <c r="U26" s="88"/>
      <c r="V26" s="88"/>
      <c r="W26" s="96"/>
      <c r="X26" s="97"/>
      <c r="Y26" s="97"/>
      <c r="Z26" s="98"/>
      <c r="AA26" s="99"/>
      <c r="AB26" s="98"/>
      <c r="AC26" s="88"/>
      <c r="AD26" s="98"/>
      <c r="AE26" s="64"/>
      <c r="AF26" s="67" t="str">
        <f t="shared" si="0"/>
        <v/>
      </c>
      <c r="AG26" s="58"/>
      <c r="AH26" s="68" t="str">
        <f t="shared" si="1"/>
        <v/>
      </c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8"/>
      <c r="AW26" s="58"/>
      <c r="AX26" s="62" t="s">
        <v>121</v>
      </c>
      <c r="AY26" s="63" t="str">
        <f>IF('Cálculo MP'!J27="","",'Cálculo MP'!J27)</f>
        <v/>
      </c>
      <c r="AZ26" s="63" t="str">
        <f>IF('Cálculo MP'!K27="","",'Cálculo MP'!K27)</f>
        <v/>
      </c>
      <c r="BA26" s="63" t="str">
        <f>IF('Cálculo MP'!L27="","",'Cálculo MP'!L27)</f>
        <v/>
      </c>
      <c r="BB26" s="63" t="str">
        <f>IF('Cálculo MP'!M27="","",'Cálculo MP'!M27)</f>
        <v/>
      </c>
      <c r="BC26" s="63" t="str">
        <f>IF('Cálculo MP'!N27="","",'Cálculo MP'!N27)</f>
        <v/>
      </c>
      <c r="BD26" s="63" t="str">
        <f>IF('Cálculo MP'!O27="","",'Cálculo MP'!O27)</f>
        <v/>
      </c>
      <c r="BE26" s="63" t="str">
        <f>IF('Cálculo MP'!P27="","",'Cálculo MP'!P27)</f>
        <v/>
      </c>
      <c r="BF26" s="63" t="str">
        <f>IF('Cálculo MP'!Q27="","",'Cálculo MP'!Q27)</f>
        <v/>
      </c>
      <c r="BG26" s="63" t="str">
        <f>IF('Cálculo MP'!R27="","",'Cálculo MP'!R27)</f>
        <v/>
      </c>
      <c r="BH26" s="63"/>
      <c r="BI26" s="63"/>
      <c r="BJ26" s="63"/>
      <c r="BK26" s="63"/>
      <c r="BL26" s="63"/>
      <c r="BM26" s="63"/>
      <c r="BN26" s="63"/>
      <c r="BO26" s="65" t="str">
        <f t="shared" si="2"/>
        <v/>
      </c>
    </row>
    <row r="27" spans="1:67" ht="19.5" customHeight="1">
      <c r="A27" s="70" t="b">
        <v>0</v>
      </c>
      <c r="B27" s="71" t="b">
        <v>1</v>
      </c>
      <c r="C27" s="72" t="b">
        <v>0</v>
      </c>
      <c r="D27" s="72" t="b">
        <v>0</v>
      </c>
      <c r="E27" s="57"/>
      <c r="F27" s="59"/>
      <c r="G27" s="57"/>
      <c r="H27" s="88"/>
      <c r="I27" s="88"/>
      <c r="J27" s="88"/>
      <c r="K27" s="89" t="b">
        <v>1</v>
      </c>
      <c r="L27" s="60"/>
      <c r="M27" s="57"/>
      <c r="N27" s="57"/>
      <c r="O27" s="61"/>
      <c r="P27" s="60"/>
      <c r="Q27" s="57"/>
      <c r="R27" s="57"/>
      <c r="S27" s="95"/>
      <c r="T27" s="88"/>
      <c r="U27" s="88"/>
      <c r="V27" s="88"/>
      <c r="W27" s="96"/>
      <c r="X27" s="97"/>
      <c r="Y27" s="97"/>
      <c r="Z27" s="98"/>
      <c r="AA27" s="99"/>
      <c r="AB27" s="98"/>
      <c r="AC27" s="88"/>
      <c r="AD27" s="98"/>
      <c r="AE27" s="64"/>
      <c r="AF27" s="67" t="str">
        <f t="shared" si="0"/>
        <v/>
      </c>
      <c r="AG27" s="58"/>
      <c r="AH27" s="68" t="str">
        <f t="shared" si="1"/>
        <v/>
      </c>
      <c r="AI27" s="53"/>
      <c r="AJ27" s="53"/>
      <c r="AK27" s="53"/>
      <c r="AL27" s="53"/>
      <c r="AM27" s="53"/>
      <c r="AN27" s="53"/>
      <c r="AO27" s="53"/>
      <c r="AP27" s="53"/>
      <c r="AQ27" s="53"/>
      <c r="AR27" s="53"/>
      <c r="AS27" s="53"/>
      <c r="AT27" s="53"/>
      <c r="AU27" s="53"/>
      <c r="AV27" s="58"/>
      <c r="AW27" s="58"/>
      <c r="AX27" s="62" t="s">
        <v>121</v>
      </c>
      <c r="AY27" s="63" t="str">
        <f>IF('Cálculo MP'!J28="","",'Cálculo MP'!J28)</f>
        <v/>
      </c>
      <c r="AZ27" s="63" t="str">
        <f>IF('Cálculo MP'!K28="","",'Cálculo MP'!K28)</f>
        <v/>
      </c>
      <c r="BA27" s="63" t="str">
        <f>IF('Cálculo MP'!L28="","",'Cálculo MP'!L28)</f>
        <v/>
      </c>
      <c r="BB27" s="63" t="str">
        <f>IF('Cálculo MP'!M28="","",'Cálculo MP'!M28)</f>
        <v/>
      </c>
      <c r="BC27" s="63" t="str">
        <f>IF('Cálculo MP'!N28="","",'Cálculo MP'!N28)</f>
        <v/>
      </c>
      <c r="BD27" s="63" t="str">
        <f>IF('Cálculo MP'!O28="","",'Cálculo MP'!O28)</f>
        <v/>
      </c>
      <c r="BE27" s="63" t="str">
        <f>IF('Cálculo MP'!P28="","",'Cálculo MP'!P28)</f>
        <v/>
      </c>
      <c r="BF27" s="63" t="str">
        <f>IF('Cálculo MP'!Q28="","",'Cálculo MP'!Q28)</f>
        <v/>
      </c>
      <c r="BG27" s="63" t="str">
        <f>IF('Cálculo MP'!R28="","",'Cálculo MP'!R28)</f>
        <v/>
      </c>
      <c r="BH27" s="63"/>
      <c r="BI27" s="63"/>
      <c r="BJ27" s="63"/>
      <c r="BK27" s="63"/>
      <c r="BL27" s="63"/>
      <c r="BM27" s="63"/>
      <c r="BN27" s="63"/>
      <c r="BO27" s="65" t="str">
        <f t="shared" si="2"/>
        <v/>
      </c>
    </row>
    <row r="28" spans="1:67" ht="19.5" customHeight="1">
      <c r="A28" s="70" t="b">
        <v>0</v>
      </c>
      <c r="B28" s="71" t="b">
        <v>1</v>
      </c>
      <c r="C28" s="72" t="b">
        <v>0</v>
      </c>
      <c r="D28" s="72" t="b">
        <v>0</v>
      </c>
      <c r="E28" s="57"/>
      <c r="F28" s="59"/>
      <c r="G28" s="57"/>
      <c r="H28" s="88"/>
      <c r="I28" s="88"/>
      <c r="J28" s="88"/>
      <c r="K28" s="89" t="b">
        <v>1</v>
      </c>
      <c r="L28" s="60"/>
      <c r="M28" s="57"/>
      <c r="N28" s="57"/>
      <c r="O28" s="61"/>
      <c r="P28" s="60"/>
      <c r="Q28" s="57"/>
      <c r="R28" s="57"/>
      <c r="S28" s="95"/>
      <c r="T28" s="88"/>
      <c r="U28" s="88"/>
      <c r="V28" s="88"/>
      <c r="W28" s="96"/>
      <c r="X28" s="97"/>
      <c r="Y28" s="97"/>
      <c r="Z28" s="98"/>
      <c r="AA28" s="99"/>
      <c r="AB28" s="98"/>
      <c r="AC28" s="88"/>
      <c r="AD28" s="98"/>
      <c r="AE28" s="64"/>
      <c r="AF28" s="67" t="str">
        <f t="shared" si="0"/>
        <v/>
      </c>
      <c r="AG28" s="58"/>
      <c r="AH28" s="68" t="str">
        <f t="shared" si="1"/>
        <v/>
      </c>
      <c r="AI28" s="53"/>
      <c r="AJ28" s="53"/>
      <c r="AK28" s="53"/>
      <c r="AL28" s="53"/>
      <c r="AM28" s="53"/>
      <c r="AN28" s="53"/>
      <c r="AO28" s="53"/>
      <c r="AP28" s="53"/>
      <c r="AQ28" s="53"/>
      <c r="AR28" s="53"/>
      <c r="AS28" s="53"/>
      <c r="AT28" s="53"/>
      <c r="AU28" s="53"/>
      <c r="AV28" s="58"/>
      <c r="AW28" s="58"/>
      <c r="AX28" s="62" t="s">
        <v>121</v>
      </c>
      <c r="AY28" s="63" t="str">
        <f>IF('Cálculo MP'!J29="","",'Cálculo MP'!J29)</f>
        <v/>
      </c>
      <c r="AZ28" s="63" t="str">
        <f>IF('Cálculo MP'!K29="","",'Cálculo MP'!K29)</f>
        <v/>
      </c>
      <c r="BA28" s="63" t="str">
        <f>IF('Cálculo MP'!L29="","",'Cálculo MP'!L29)</f>
        <v/>
      </c>
      <c r="BB28" s="63" t="str">
        <f>IF('Cálculo MP'!M29="","",'Cálculo MP'!M29)</f>
        <v/>
      </c>
      <c r="BC28" s="63" t="str">
        <f>IF('Cálculo MP'!N29="","",'Cálculo MP'!N29)</f>
        <v/>
      </c>
      <c r="BD28" s="63" t="str">
        <f>IF('Cálculo MP'!O29="","",'Cálculo MP'!O29)</f>
        <v/>
      </c>
      <c r="BE28" s="63" t="str">
        <f>IF('Cálculo MP'!P29="","",'Cálculo MP'!P29)</f>
        <v/>
      </c>
      <c r="BF28" s="63" t="str">
        <f>IF('Cálculo MP'!Q29="","",'Cálculo MP'!Q29)</f>
        <v/>
      </c>
      <c r="BG28" s="63" t="str">
        <f>IF('Cálculo MP'!R29="","",'Cálculo MP'!R29)</f>
        <v/>
      </c>
      <c r="BH28" s="63"/>
      <c r="BI28" s="63"/>
      <c r="BJ28" s="63"/>
      <c r="BK28" s="63"/>
      <c r="BL28" s="63"/>
      <c r="BM28" s="63"/>
      <c r="BN28" s="63"/>
      <c r="BO28" s="65" t="str">
        <f t="shared" si="2"/>
        <v/>
      </c>
    </row>
    <row r="29" spans="1:67" ht="19.5" customHeight="1">
      <c r="A29" s="70" t="b">
        <v>0</v>
      </c>
      <c r="B29" s="71" t="b">
        <v>1</v>
      </c>
      <c r="C29" s="72" t="b">
        <v>0</v>
      </c>
      <c r="D29" s="72" t="b">
        <v>0</v>
      </c>
      <c r="E29" s="57"/>
      <c r="F29" s="59"/>
      <c r="G29" s="57"/>
      <c r="H29" s="88"/>
      <c r="I29" s="88"/>
      <c r="J29" s="88"/>
      <c r="K29" s="89" t="b">
        <v>1</v>
      </c>
      <c r="L29" s="60"/>
      <c r="M29" s="57"/>
      <c r="N29" s="57"/>
      <c r="O29" s="61"/>
      <c r="P29" s="60"/>
      <c r="Q29" s="57"/>
      <c r="R29" s="57"/>
      <c r="S29" s="95"/>
      <c r="T29" s="88"/>
      <c r="U29" s="88"/>
      <c r="V29" s="88"/>
      <c r="W29" s="96"/>
      <c r="X29" s="97"/>
      <c r="Y29" s="97"/>
      <c r="Z29" s="98"/>
      <c r="AA29" s="99"/>
      <c r="AB29" s="98"/>
      <c r="AC29" s="88"/>
      <c r="AD29" s="98"/>
      <c r="AE29" s="64"/>
      <c r="AF29" s="67" t="str">
        <f t="shared" si="0"/>
        <v/>
      </c>
      <c r="AG29" s="58"/>
      <c r="AH29" s="68" t="str">
        <f t="shared" si="1"/>
        <v/>
      </c>
      <c r="AI29" s="53"/>
      <c r="AJ29" s="53"/>
      <c r="AK29" s="53"/>
      <c r="AL29" s="53"/>
      <c r="AM29" s="53"/>
      <c r="AN29" s="53"/>
      <c r="AO29" s="53"/>
      <c r="AP29" s="53"/>
      <c r="AQ29" s="53"/>
      <c r="AR29" s="53"/>
      <c r="AS29" s="53"/>
      <c r="AT29" s="53"/>
      <c r="AU29" s="53"/>
      <c r="AV29" s="58"/>
      <c r="AW29" s="58"/>
      <c r="AX29" s="62" t="s">
        <v>121</v>
      </c>
      <c r="AY29" s="63" t="str">
        <f>IF('Cálculo MP'!J30="","",'Cálculo MP'!J30)</f>
        <v/>
      </c>
      <c r="AZ29" s="63" t="str">
        <f>IF('Cálculo MP'!K30="","",'Cálculo MP'!K30)</f>
        <v/>
      </c>
      <c r="BA29" s="63" t="str">
        <f>IF('Cálculo MP'!L30="","",'Cálculo MP'!L30)</f>
        <v/>
      </c>
      <c r="BB29" s="63" t="str">
        <f>IF('Cálculo MP'!M30="","",'Cálculo MP'!M30)</f>
        <v/>
      </c>
      <c r="BC29" s="63" t="str">
        <f>IF('Cálculo MP'!N30="","",'Cálculo MP'!N30)</f>
        <v/>
      </c>
      <c r="BD29" s="63" t="str">
        <f>IF('Cálculo MP'!O30="","",'Cálculo MP'!O30)</f>
        <v/>
      </c>
      <c r="BE29" s="63" t="str">
        <f>IF('Cálculo MP'!P30="","",'Cálculo MP'!P30)</f>
        <v/>
      </c>
      <c r="BF29" s="63" t="str">
        <f>IF('Cálculo MP'!Q30="","",'Cálculo MP'!Q30)</f>
        <v/>
      </c>
      <c r="BG29" s="63" t="str">
        <f>IF('Cálculo MP'!R30="","",'Cálculo MP'!R30)</f>
        <v/>
      </c>
      <c r="BH29" s="63"/>
      <c r="BI29" s="63"/>
      <c r="BJ29" s="63"/>
      <c r="BK29" s="63"/>
      <c r="BL29" s="63"/>
      <c r="BM29" s="63"/>
      <c r="BN29" s="63"/>
      <c r="BO29" s="65" t="str">
        <f t="shared" si="2"/>
        <v/>
      </c>
    </row>
    <row r="30" spans="1:67" ht="19.5" customHeight="1">
      <c r="A30" s="70" t="b">
        <v>0</v>
      </c>
      <c r="B30" s="71" t="b">
        <v>1</v>
      </c>
      <c r="C30" s="72" t="b">
        <v>0</v>
      </c>
      <c r="D30" s="72" t="b">
        <v>0</v>
      </c>
      <c r="E30" s="57"/>
      <c r="F30" s="59"/>
      <c r="G30" s="57"/>
      <c r="H30" s="88"/>
      <c r="I30" s="88"/>
      <c r="J30" s="88"/>
      <c r="K30" s="89" t="b">
        <v>1</v>
      </c>
      <c r="L30" s="60"/>
      <c r="M30" s="57"/>
      <c r="N30" s="57"/>
      <c r="O30" s="61"/>
      <c r="P30" s="60"/>
      <c r="Q30" s="57"/>
      <c r="R30" s="57"/>
      <c r="S30" s="95"/>
      <c r="T30" s="88"/>
      <c r="U30" s="88"/>
      <c r="V30" s="88"/>
      <c r="W30" s="96"/>
      <c r="X30" s="97"/>
      <c r="Y30" s="97"/>
      <c r="Z30" s="98"/>
      <c r="AA30" s="99"/>
      <c r="AB30" s="98"/>
      <c r="AC30" s="88"/>
      <c r="AD30" s="98"/>
      <c r="AE30" s="64"/>
      <c r="AF30" s="67" t="str">
        <f t="shared" si="0"/>
        <v/>
      </c>
      <c r="AG30" s="58"/>
      <c r="AH30" s="68" t="str">
        <f t="shared" si="1"/>
        <v/>
      </c>
      <c r="AI30" s="53"/>
      <c r="AJ30" s="53"/>
      <c r="AK30" s="53"/>
      <c r="AL30" s="53"/>
      <c r="AM30" s="53"/>
      <c r="AN30" s="53"/>
      <c r="AO30" s="53"/>
      <c r="AP30" s="53"/>
      <c r="AQ30" s="53"/>
      <c r="AR30" s="53"/>
      <c r="AS30" s="53"/>
      <c r="AT30" s="53"/>
      <c r="AU30" s="53"/>
      <c r="AV30" s="58"/>
      <c r="AW30" s="58"/>
      <c r="AX30" s="62" t="s">
        <v>121</v>
      </c>
      <c r="AY30" s="63" t="str">
        <f>IF('Cálculo MP'!J31="","",'Cálculo MP'!J31)</f>
        <v/>
      </c>
      <c r="AZ30" s="63" t="str">
        <f>IF('Cálculo MP'!K31="","",'Cálculo MP'!K31)</f>
        <v/>
      </c>
      <c r="BA30" s="63" t="str">
        <f>IF('Cálculo MP'!L31="","",'Cálculo MP'!L31)</f>
        <v/>
      </c>
      <c r="BB30" s="63" t="str">
        <f>IF('Cálculo MP'!M31="","",'Cálculo MP'!M31)</f>
        <v/>
      </c>
      <c r="BC30" s="63" t="str">
        <f>IF('Cálculo MP'!N31="","",'Cálculo MP'!N31)</f>
        <v/>
      </c>
      <c r="BD30" s="63" t="str">
        <f>IF('Cálculo MP'!O31="","",'Cálculo MP'!O31)</f>
        <v/>
      </c>
      <c r="BE30" s="63" t="str">
        <f>IF('Cálculo MP'!P31="","",'Cálculo MP'!P31)</f>
        <v/>
      </c>
      <c r="BF30" s="63" t="str">
        <f>IF('Cálculo MP'!Q31="","",'Cálculo MP'!Q31)</f>
        <v/>
      </c>
      <c r="BG30" s="63" t="str">
        <f>IF('Cálculo MP'!R31="","",'Cálculo MP'!R31)</f>
        <v/>
      </c>
      <c r="BH30" s="63"/>
      <c r="BI30" s="63"/>
      <c r="BJ30" s="63"/>
      <c r="BK30" s="63"/>
      <c r="BL30" s="63"/>
      <c r="BM30" s="63"/>
      <c r="BN30" s="63"/>
      <c r="BO30" s="65" t="str">
        <f t="shared" si="2"/>
        <v/>
      </c>
    </row>
    <row r="31" spans="1:67" ht="19.5" customHeight="1">
      <c r="A31" s="70" t="b">
        <v>0</v>
      </c>
      <c r="B31" s="71" t="b">
        <v>1</v>
      </c>
      <c r="C31" s="72" t="b">
        <v>0</v>
      </c>
      <c r="D31" s="72" t="b">
        <v>0</v>
      </c>
      <c r="E31" s="57"/>
      <c r="F31" s="59"/>
      <c r="G31" s="57"/>
      <c r="H31" s="88"/>
      <c r="I31" s="88"/>
      <c r="J31" s="88"/>
      <c r="K31" s="89" t="b">
        <v>1</v>
      </c>
      <c r="L31" s="60"/>
      <c r="M31" s="57"/>
      <c r="N31" s="57"/>
      <c r="O31" s="61"/>
      <c r="P31" s="60"/>
      <c r="Q31" s="57"/>
      <c r="R31" s="57"/>
      <c r="S31" s="95"/>
      <c r="T31" s="88"/>
      <c r="U31" s="88"/>
      <c r="V31" s="88"/>
      <c r="W31" s="96"/>
      <c r="X31" s="97"/>
      <c r="Y31" s="97"/>
      <c r="Z31" s="98"/>
      <c r="AA31" s="99"/>
      <c r="AB31" s="98"/>
      <c r="AC31" s="88"/>
      <c r="AD31" s="98"/>
      <c r="AE31" s="64"/>
      <c r="AF31" s="67" t="str">
        <f t="shared" si="0"/>
        <v/>
      </c>
      <c r="AG31" s="58"/>
      <c r="AH31" s="68" t="str">
        <f t="shared" si="1"/>
        <v/>
      </c>
      <c r="AI31" s="53"/>
      <c r="AJ31" s="53"/>
      <c r="AK31" s="53"/>
      <c r="AL31" s="53"/>
      <c r="AM31" s="53"/>
      <c r="AN31" s="53"/>
      <c r="AO31" s="53"/>
      <c r="AP31" s="53"/>
      <c r="AQ31" s="53"/>
      <c r="AR31" s="53"/>
      <c r="AS31" s="53"/>
      <c r="AT31" s="53"/>
      <c r="AU31" s="53"/>
      <c r="AV31" s="58"/>
      <c r="AW31" s="58"/>
      <c r="AX31" s="62" t="s">
        <v>121</v>
      </c>
      <c r="AY31" s="63" t="str">
        <f>IF('Cálculo MP'!J32="","",'Cálculo MP'!J32)</f>
        <v/>
      </c>
      <c r="AZ31" s="63" t="str">
        <f>IF('Cálculo MP'!K32="","",'Cálculo MP'!K32)</f>
        <v/>
      </c>
      <c r="BA31" s="63" t="str">
        <f>IF('Cálculo MP'!L32="","",'Cálculo MP'!L32)</f>
        <v/>
      </c>
      <c r="BB31" s="63" t="str">
        <f>IF('Cálculo MP'!M32="","",'Cálculo MP'!M32)</f>
        <v/>
      </c>
      <c r="BC31" s="63" t="str">
        <f>IF('Cálculo MP'!N32="","",'Cálculo MP'!N32)</f>
        <v/>
      </c>
      <c r="BD31" s="63" t="str">
        <f>IF('Cálculo MP'!O32="","",'Cálculo MP'!O32)</f>
        <v/>
      </c>
      <c r="BE31" s="63" t="str">
        <f>IF('Cálculo MP'!P32="","",'Cálculo MP'!P32)</f>
        <v/>
      </c>
      <c r="BF31" s="63" t="str">
        <f>IF('Cálculo MP'!Q32="","",'Cálculo MP'!Q32)</f>
        <v/>
      </c>
      <c r="BG31" s="63" t="str">
        <f>IF('Cálculo MP'!R32="","",'Cálculo MP'!R32)</f>
        <v/>
      </c>
      <c r="BH31" s="63"/>
      <c r="BI31" s="63"/>
      <c r="BJ31" s="63"/>
      <c r="BK31" s="63"/>
      <c r="BL31" s="63"/>
      <c r="BM31" s="63"/>
      <c r="BN31" s="63"/>
      <c r="BO31" s="65" t="str">
        <f t="shared" si="2"/>
        <v/>
      </c>
    </row>
    <row r="32" spans="1:67" ht="19.5" customHeight="1">
      <c r="A32" s="70" t="b">
        <v>0</v>
      </c>
      <c r="B32" s="71" t="b">
        <v>1</v>
      </c>
      <c r="C32" s="72" t="b">
        <v>0</v>
      </c>
      <c r="D32" s="72" t="b">
        <v>0</v>
      </c>
      <c r="E32" s="57"/>
      <c r="F32" s="59"/>
      <c r="G32" s="57"/>
      <c r="H32" s="88"/>
      <c r="I32" s="88"/>
      <c r="J32" s="88"/>
      <c r="K32" s="89" t="b">
        <v>1</v>
      </c>
      <c r="L32" s="60"/>
      <c r="M32" s="57"/>
      <c r="N32" s="57"/>
      <c r="O32" s="61"/>
      <c r="P32" s="60"/>
      <c r="Q32" s="57"/>
      <c r="R32" s="57"/>
      <c r="S32" s="95"/>
      <c r="T32" s="88"/>
      <c r="U32" s="88"/>
      <c r="V32" s="88"/>
      <c r="W32" s="96"/>
      <c r="X32" s="97"/>
      <c r="Y32" s="97"/>
      <c r="Z32" s="98"/>
      <c r="AA32" s="99"/>
      <c r="AB32" s="98"/>
      <c r="AC32" s="88"/>
      <c r="AD32" s="98"/>
      <c r="AE32" s="64"/>
      <c r="AF32" s="67" t="str">
        <f t="shared" si="0"/>
        <v/>
      </c>
      <c r="AG32" s="58"/>
      <c r="AH32" s="68" t="str">
        <f t="shared" si="1"/>
        <v/>
      </c>
      <c r="AI32" s="53"/>
      <c r="AJ32" s="53"/>
      <c r="AK32" s="53"/>
      <c r="AL32" s="53"/>
      <c r="AM32" s="53"/>
      <c r="AN32" s="53"/>
      <c r="AO32" s="53"/>
      <c r="AP32" s="53"/>
      <c r="AQ32" s="53"/>
      <c r="AR32" s="53"/>
      <c r="AS32" s="53"/>
      <c r="AT32" s="53"/>
      <c r="AU32" s="53"/>
      <c r="AV32" s="58"/>
      <c r="AW32" s="58"/>
      <c r="AX32" s="62" t="s">
        <v>121</v>
      </c>
      <c r="AY32" s="63" t="str">
        <f>IF('Cálculo MP'!J33="","",'Cálculo MP'!J33)</f>
        <v/>
      </c>
      <c r="AZ32" s="63" t="str">
        <f>IF('Cálculo MP'!K33="","",'Cálculo MP'!K33)</f>
        <v/>
      </c>
      <c r="BA32" s="63" t="str">
        <f>IF('Cálculo MP'!L33="","",'Cálculo MP'!L33)</f>
        <v/>
      </c>
      <c r="BB32" s="63" t="str">
        <f>IF('Cálculo MP'!M33="","",'Cálculo MP'!M33)</f>
        <v/>
      </c>
      <c r="BC32" s="63" t="str">
        <f>IF('Cálculo MP'!N33="","",'Cálculo MP'!N33)</f>
        <v/>
      </c>
      <c r="BD32" s="63" t="str">
        <f>IF('Cálculo MP'!O33="","",'Cálculo MP'!O33)</f>
        <v/>
      </c>
      <c r="BE32" s="63" t="str">
        <f>IF('Cálculo MP'!P33="","",'Cálculo MP'!P33)</f>
        <v/>
      </c>
      <c r="BF32" s="63" t="str">
        <f>IF('Cálculo MP'!Q33="","",'Cálculo MP'!Q33)</f>
        <v/>
      </c>
      <c r="BG32" s="63" t="str">
        <f>IF('Cálculo MP'!R33="","",'Cálculo MP'!R33)</f>
        <v/>
      </c>
      <c r="BH32" s="63"/>
      <c r="BI32" s="63"/>
      <c r="BJ32" s="63"/>
      <c r="BK32" s="63"/>
      <c r="BL32" s="63"/>
      <c r="BM32" s="63"/>
      <c r="BN32" s="63"/>
      <c r="BO32" s="65" t="str">
        <f t="shared" si="2"/>
        <v/>
      </c>
    </row>
    <row r="33" spans="1:67" ht="19.5" customHeight="1">
      <c r="A33" s="70" t="b">
        <v>0</v>
      </c>
      <c r="B33" s="71" t="b">
        <v>1</v>
      </c>
      <c r="C33" s="72" t="b">
        <v>0</v>
      </c>
      <c r="D33" s="72" t="b">
        <v>0</v>
      </c>
      <c r="E33" s="57"/>
      <c r="F33" s="59"/>
      <c r="G33" s="57"/>
      <c r="H33" s="88"/>
      <c r="I33" s="88"/>
      <c r="J33" s="88"/>
      <c r="K33" s="89" t="b">
        <v>1</v>
      </c>
      <c r="L33" s="60"/>
      <c r="M33" s="57"/>
      <c r="N33" s="57"/>
      <c r="O33" s="61"/>
      <c r="P33" s="60"/>
      <c r="Q33" s="57"/>
      <c r="R33" s="57"/>
      <c r="S33" s="95"/>
      <c r="T33" s="88"/>
      <c r="U33" s="88"/>
      <c r="V33" s="88"/>
      <c r="W33" s="96"/>
      <c r="X33" s="97"/>
      <c r="Y33" s="97"/>
      <c r="Z33" s="98"/>
      <c r="AA33" s="99"/>
      <c r="AB33" s="98"/>
      <c r="AC33" s="88"/>
      <c r="AD33" s="98"/>
      <c r="AE33" s="64"/>
      <c r="AF33" s="67" t="str">
        <f t="shared" si="0"/>
        <v/>
      </c>
      <c r="AG33" s="58"/>
      <c r="AH33" s="68" t="str">
        <f t="shared" si="1"/>
        <v/>
      </c>
      <c r="AI33" s="53"/>
      <c r="AJ33" s="53"/>
      <c r="AK33" s="53"/>
      <c r="AL33" s="53"/>
      <c r="AM33" s="53"/>
      <c r="AN33" s="53"/>
      <c r="AO33" s="53"/>
      <c r="AP33" s="53"/>
      <c r="AQ33" s="53"/>
      <c r="AR33" s="53"/>
      <c r="AS33" s="53"/>
      <c r="AT33" s="53"/>
      <c r="AU33" s="53"/>
      <c r="AV33" s="58"/>
      <c r="AW33" s="58"/>
      <c r="AX33" s="62" t="s">
        <v>121</v>
      </c>
      <c r="AY33" s="63" t="str">
        <f>IF('Cálculo MP'!J34="","",'Cálculo MP'!J34)</f>
        <v/>
      </c>
      <c r="AZ33" s="63" t="str">
        <f>IF('Cálculo MP'!K34="","",'Cálculo MP'!K34)</f>
        <v/>
      </c>
      <c r="BA33" s="63" t="str">
        <f>IF('Cálculo MP'!L34="","",'Cálculo MP'!L34)</f>
        <v/>
      </c>
      <c r="BB33" s="63" t="str">
        <f>IF('Cálculo MP'!M34="","",'Cálculo MP'!M34)</f>
        <v/>
      </c>
      <c r="BC33" s="63" t="str">
        <f>IF('Cálculo MP'!N34="","",'Cálculo MP'!N34)</f>
        <v/>
      </c>
      <c r="BD33" s="63" t="str">
        <f>IF('Cálculo MP'!O34="","",'Cálculo MP'!O34)</f>
        <v/>
      </c>
      <c r="BE33" s="63" t="str">
        <f>IF('Cálculo MP'!P34="","",'Cálculo MP'!P34)</f>
        <v/>
      </c>
      <c r="BF33" s="63" t="str">
        <f>IF('Cálculo MP'!Q34="","",'Cálculo MP'!Q34)</f>
        <v/>
      </c>
      <c r="BG33" s="63" t="str">
        <f>IF('Cálculo MP'!R34="","",'Cálculo MP'!R34)</f>
        <v/>
      </c>
      <c r="BH33" s="63"/>
      <c r="BI33" s="63"/>
      <c r="BJ33" s="63"/>
      <c r="BK33" s="63"/>
      <c r="BL33" s="63"/>
      <c r="BM33" s="63"/>
      <c r="BN33" s="63"/>
      <c r="BO33" s="65" t="str">
        <f t="shared" si="2"/>
        <v/>
      </c>
    </row>
    <row r="34" spans="1:67" ht="19.5" customHeight="1">
      <c r="A34" s="70" t="b">
        <v>0</v>
      </c>
      <c r="B34" s="71" t="b">
        <v>1</v>
      </c>
      <c r="C34" s="72" t="b">
        <v>0</v>
      </c>
      <c r="D34" s="72" t="b">
        <v>0</v>
      </c>
      <c r="E34" s="57"/>
      <c r="F34" s="59"/>
      <c r="G34" s="57"/>
      <c r="H34" s="88"/>
      <c r="I34" s="88"/>
      <c r="J34" s="88"/>
      <c r="K34" s="89" t="b">
        <v>1</v>
      </c>
      <c r="L34" s="60"/>
      <c r="M34" s="57"/>
      <c r="N34" s="57"/>
      <c r="O34" s="61"/>
      <c r="P34" s="60"/>
      <c r="Q34" s="57"/>
      <c r="R34" s="57"/>
      <c r="S34" s="95"/>
      <c r="T34" s="88"/>
      <c r="U34" s="88"/>
      <c r="V34" s="88"/>
      <c r="W34" s="96"/>
      <c r="X34" s="97"/>
      <c r="Y34" s="97"/>
      <c r="Z34" s="98"/>
      <c r="AA34" s="99"/>
      <c r="AB34" s="98"/>
      <c r="AC34" s="88"/>
      <c r="AD34" s="98"/>
      <c r="AE34" s="64"/>
      <c r="AF34" s="67" t="str">
        <f t="shared" si="0"/>
        <v/>
      </c>
      <c r="AG34" s="58"/>
      <c r="AH34" s="68" t="str">
        <f t="shared" si="1"/>
        <v/>
      </c>
      <c r="AI34" s="53"/>
      <c r="AJ34" s="53"/>
      <c r="AK34" s="53"/>
      <c r="AL34" s="53"/>
      <c r="AM34" s="53"/>
      <c r="AN34" s="53"/>
      <c r="AO34" s="53"/>
      <c r="AP34" s="53"/>
      <c r="AQ34" s="53"/>
      <c r="AR34" s="53"/>
      <c r="AS34" s="53"/>
      <c r="AT34" s="53"/>
      <c r="AU34" s="53"/>
      <c r="AV34" s="58"/>
      <c r="AW34" s="58"/>
      <c r="AX34" s="62" t="s">
        <v>121</v>
      </c>
      <c r="AY34" s="63" t="str">
        <f>IF('Cálculo MP'!J35="","",'Cálculo MP'!J35)</f>
        <v/>
      </c>
      <c r="AZ34" s="63" t="str">
        <f>IF('Cálculo MP'!K35="","",'Cálculo MP'!K35)</f>
        <v/>
      </c>
      <c r="BA34" s="63" t="str">
        <f>IF('Cálculo MP'!L35="","",'Cálculo MP'!L35)</f>
        <v/>
      </c>
      <c r="BB34" s="63" t="str">
        <f>IF('Cálculo MP'!M35="","",'Cálculo MP'!M35)</f>
        <v/>
      </c>
      <c r="BC34" s="63" t="str">
        <f>IF('Cálculo MP'!N35="","",'Cálculo MP'!N35)</f>
        <v/>
      </c>
      <c r="BD34" s="63" t="str">
        <f>IF('Cálculo MP'!O35="","",'Cálculo MP'!O35)</f>
        <v/>
      </c>
      <c r="BE34" s="63" t="str">
        <f>IF('Cálculo MP'!P35="","",'Cálculo MP'!P35)</f>
        <v/>
      </c>
      <c r="BF34" s="63" t="str">
        <f>IF('Cálculo MP'!Q35="","",'Cálculo MP'!Q35)</f>
        <v/>
      </c>
      <c r="BG34" s="63" t="str">
        <f>IF('Cálculo MP'!R35="","",'Cálculo MP'!R35)</f>
        <v/>
      </c>
      <c r="BH34" s="63"/>
      <c r="BI34" s="63"/>
      <c r="BJ34" s="63"/>
      <c r="BK34" s="63"/>
      <c r="BL34" s="63"/>
      <c r="BM34" s="63"/>
      <c r="BN34" s="63"/>
      <c r="BO34" s="65" t="str">
        <f t="shared" si="2"/>
        <v/>
      </c>
    </row>
    <row r="35" spans="1:67" ht="19.5" customHeight="1">
      <c r="A35" s="70" t="b">
        <v>0</v>
      </c>
      <c r="B35" s="71" t="b">
        <v>1</v>
      </c>
      <c r="C35" s="72" t="b">
        <v>0</v>
      </c>
      <c r="D35" s="72" t="b">
        <v>0</v>
      </c>
      <c r="E35" s="57"/>
      <c r="F35" s="59"/>
      <c r="G35" s="57"/>
      <c r="H35" s="88"/>
      <c r="I35" s="88"/>
      <c r="J35" s="88"/>
      <c r="K35" s="89" t="b">
        <v>1</v>
      </c>
      <c r="L35" s="60"/>
      <c r="M35" s="57"/>
      <c r="N35" s="57"/>
      <c r="O35" s="61"/>
      <c r="P35" s="60"/>
      <c r="Q35" s="57"/>
      <c r="R35" s="57"/>
      <c r="S35" s="95"/>
      <c r="T35" s="88"/>
      <c r="U35" s="88"/>
      <c r="V35" s="88"/>
      <c r="W35" s="96"/>
      <c r="X35" s="97"/>
      <c r="Y35" s="97"/>
      <c r="Z35" s="98"/>
      <c r="AA35" s="99"/>
      <c r="AB35" s="98"/>
      <c r="AC35" s="88"/>
      <c r="AD35" s="98"/>
      <c r="AE35" s="64"/>
      <c r="AF35" s="67" t="str">
        <f t="shared" si="0"/>
        <v/>
      </c>
      <c r="AG35" s="58"/>
      <c r="AH35" s="68" t="str">
        <f t="shared" si="1"/>
        <v/>
      </c>
      <c r="AI35" s="53"/>
      <c r="AJ35" s="53"/>
      <c r="AK35" s="53"/>
      <c r="AL35" s="53"/>
      <c r="AM35" s="53"/>
      <c r="AN35" s="53"/>
      <c r="AO35" s="53"/>
      <c r="AP35" s="53"/>
      <c r="AQ35" s="53"/>
      <c r="AR35" s="53"/>
      <c r="AS35" s="53"/>
      <c r="AT35" s="53"/>
      <c r="AU35" s="53"/>
      <c r="AV35" s="58"/>
      <c r="AW35" s="58"/>
      <c r="AX35" s="62" t="s">
        <v>121</v>
      </c>
      <c r="AY35" s="63" t="str">
        <f>IF('Cálculo MP'!J36="","",'Cálculo MP'!J36)</f>
        <v/>
      </c>
      <c r="AZ35" s="63" t="str">
        <f>IF('Cálculo MP'!K36="","",'Cálculo MP'!K36)</f>
        <v/>
      </c>
      <c r="BA35" s="63" t="str">
        <f>IF('Cálculo MP'!L36="","",'Cálculo MP'!L36)</f>
        <v/>
      </c>
      <c r="BB35" s="63" t="str">
        <f>IF('Cálculo MP'!M36="","",'Cálculo MP'!M36)</f>
        <v/>
      </c>
      <c r="BC35" s="63" t="str">
        <f>IF('Cálculo MP'!N36="","",'Cálculo MP'!N36)</f>
        <v/>
      </c>
      <c r="BD35" s="63" t="str">
        <f>IF('Cálculo MP'!O36="","",'Cálculo MP'!O36)</f>
        <v/>
      </c>
      <c r="BE35" s="63" t="str">
        <f>IF('Cálculo MP'!P36="","",'Cálculo MP'!P36)</f>
        <v/>
      </c>
      <c r="BF35" s="63" t="str">
        <f>IF('Cálculo MP'!Q36="","",'Cálculo MP'!Q36)</f>
        <v/>
      </c>
      <c r="BG35" s="63" t="str">
        <f>IF('Cálculo MP'!R36="","",'Cálculo MP'!R36)</f>
        <v/>
      </c>
      <c r="BH35" s="63"/>
      <c r="BI35" s="63"/>
      <c r="BJ35" s="63"/>
      <c r="BK35" s="63"/>
      <c r="BL35" s="63"/>
      <c r="BM35" s="63"/>
      <c r="BN35" s="63"/>
      <c r="BO35" s="65" t="str">
        <f t="shared" si="2"/>
        <v/>
      </c>
    </row>
    <row r="36" spans="1:67" ht="19.5" customHeight="1">
      <c r="A36" s="70" t="b">
        <v>0</v>
      </c>
      <c r="B36" s="71" t="b">
        <v>1</v>
      </c>
      <c r="C36" s="72" t="b">
        <v>0</v>
      </c>
      <c r="D36" s="72" t="b">
        <v>0</v>
      </c>
      <c r="E36" s="57"/>
      <c r="F36" s="59"/>
      <c r="G36" s="57"/>
      <c r="H36" s="88"/>
      <c r="I36" s="88"/>
      <c r="J36" s="88"/>
      <c r="K36" s="89" t="b">
        <v>1</v>
      </c>
      <c r="L36" s="60"/>
      <c r="M36" s="57"/>
      <c r="N36" s="57"/>
      <c r="O36" s="61"/>
      <c r="P36" s="60"/>
      <c r="Q36" s="57"/>
      <c r="R36" s="57"/>
      <c r="S36" s="95"/>
      <c r="T36" s="88"/>
      <c r="U36" s="88"/>
      <c r="V36" s="88"/>
      <c r="W36" s="96"/>
      <c r="X36" s="97"/>
      <c r="Y36" s="97"/>
      <c r="Z36" s="98"/>
      <c r="AA36" s="99"/>
      <c r="AB36" s="98"/>
      <c r="AC36" s="88"/>
      <c r="AD36" s="98"/>
      <c r="AE36" s="64"/>
      <c r="AF36" s="67" t="str">
        <f t="shared" si="0"/>
        <v/>
      </c>
      <c r="AG36" s="58"/>
      <c r="AH36" s="68" t="str">
        <f t="shared" si="1"/>
        <v/>
      </c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8"/>
      <c r="AW36" s="58"/>
      <c r="AX36" s="62" t="s">
        <v>121</v>
      </c>
      <c r="AY36" s="63" t="str">
        <f>IF('Cálculo MP'!J37="","",'Cálculo MP'!J37)</f>
        <v/>
      </c>
      <c r="AZ36" s="63" t="str">
        <f>IF('Cálculo MP'!K37="","",'Cálculo MP'!K37)</f>
        <v/>
      </c>
      <c r="BA36" s="63" t="str">
        <f>IF('Cálculo MP'!L37="","",'Cálculo MP'!L37)</f>
        <v/>
      </c>
      <c r="BB36" s="63" t="str">
        <f>IF('Cálculo MP'!M37="","",'Cálculo MP'!M37)</f>
        <v/>
      </c>
      <c r="BC36" s="63" t="str">
        <f>IF('Cálculo MP'!N37="","",'Cálculo MP'!N37)</f>
        <v/>
      </c>
      <c r="BD36" s="63" t="str">
        <f>IF('Cálculo MP'!O37="","",'Cálculo MP'!O37)</f>
        <v/>
      </c>
      <c r="BE36" s="63" t="str">
        <f>IF('Cálculo MP'!P37="","",'Cálculo MP'!P37)</f>
        <v/>
      </c>
      <c r="BF36" s="63" t="str">
        <f>IF('Cálculo MP'!Q37="","",'Cálculo MP'!Q37)</f>
        <v/>
      </c>
      <c r="BG36" s="63" t="str">
        <f>IF('Cálculo MP'!R37="","",'Cálculo MP'!R37)</f>
        <v/>
      </c>
      <c r="BH36" s="63"/>
      <c r="BI36" s="63"/>
      <c r="BJ36" s="63"/>
      <c r="BK36" s="63"/>
      <c r="BL36" s="63"/>
      <c r="BM36" s="63"/>
      <c r="BN36" s="63"/>
      <c r="BO36" s="65" t="str">
        <f t="shared" si="2"/>
        <v/>
      </c>
    </row>
    <row r="37" spans="1:67" ht="19.5" customHeight="1">
      <c r="A37" s="70" t="b">
        <v>0</v>
      </c>
      <c r="B37" s="71" t="b">
        <v>1</v>
      </c>
      <c r="C37" s="72" t="b">
        <v>0</v>
      </c>
      <c r="D37" s="72" t="b">
        <v>0</v>
      </c>
      <c r="E37" s="57"/>
      <c r="F37" s="59"/>
      <c r="G37" s="57"/>
      <c r="H37" s="88"/>
      <c r="I37" s="88"/>
      <c r="J37" s="88"/>
      <c r="K37" s="89" t="b">
        <v>1</v>
      </c>
      <c r="L37" s="60"/>
      <c r="M37" s="57"/>
      <c r="N37" s="57"/>
      <c r="O37" s="61"/>
      <c r="P37" s="60"/>
      <c r="Q37" s="57"/>
      <c r="R37" s="57"/>
      <c r="S37" s="95"/>
      <c r="T37" s="88"/>
      <c r="U37" s="88"/>
      <c r="V37" s="88"/>
      <c r="W37" s="96"/>
      <c r="X37" s="97"/>
      <c r="Y37" s="97"/>
      <c r="Z37" s="98"/>
      <c r="AA37" s="99"/>
      <c r="AB37" s="98"/>
      <c r="AC37" s="88"/>
      <c r="AD37" s="98"/>
      <c r="AE37" s="64"/>
      <c r="AF37" s="67" t="str">
        <f t="shared" si="0"/>
        <v/>
      </c>
      <c r="AG37" s="58"/>
      <c r="AH37" s="68" t="str">
        <f t="shared" si="1"/>
        <v/>
      </c>
      <c r="AI37" s="53"/>
      <c r="AJ37" s="53"/>
      <c r="AK37" s="53"/>
      <c r="AL37" s="53"/>
      <c r="AM37" s="53"/>
      <c r="AN37" s="53"/>
      <c r="AO37" s="53"/>
      <c r="AP37" s="53"/>
      <c r="AQ37" s="53"/>
      <c r="AR37" s="53"/>
      <c r="AS37" s="53"/>
      <c r="AT37" s="53"/>
      <c r="AU37" s="53"/>
      <c r="AV37" s="58"/>
      <c r="AW37" s="58"/>
      <c r="AX37" s="62" t="s">
        <v>121</v>
      </c>
      <c r="AY37" s="63" t="str">
        <f>IF('Cálculo MP'!J38="","",'Cálculo MP'!J38)</f>
        <v/>
      </c>
      <c r="AZ37" s="63" t="str">
        <f>IF('Cálculo MP'!K38="","",'Cálculo MP'!K38)</f>
        <v/>
      </c>
      <c r="BA37" s="63" t="str">
        <f>IF('Cálculo MP'!L38="","",'Cálculo MP'!L38)</f>
        <v/>
      </c>
      <c r="BB37" s="63" t="str">
        <f>IF('Cálculo MP'!M38="","",'Cálculo MP'!M38)</f>
        <v/>
      </c>
      <c r="BC37" s="63" t="str">
        <f>IF('Cálculo MP'!N38="","",'Cálculo MP'!N38)</f>
        <v/>
      </c>
      <c r="BD37" s="63" t="str">
        <f>IF('Cálculo MP'!O38="","",'Cálculo MP'!O38)</f>
        <v/>
      </c>
      <c r="BE37" s="63" t="str">
        <f>IF('Cálculo MP'!P38="","",'Cálculo MP'!P38)</f>
        <v/>
      </c>
      <c r="BF37" s="63" t="str">
        <f>IF('Cálculo MP'!Q38="","",'Cálculo MP'!Q38)</f>
        <v/>
      </c>
      <c r="BG37" s="63" t="str">
        <f>IF('Cálculo MP'!R38="","",'Cálculo MP'!R38)</f>
        <v/>
      </c>
      <c r="BH37" s="63"/>
      <c r="BI37" s="63"/>
      <c r="BJ37" s="63"/>
      <c r="BK37" s="63"/>
      <c r="BL37" s="63"/>
      <c r="BM37" s="63"/>
      <c r="BN37" s="63"/>
      <c r="BO37" s="65" t="str">
        <f t="shared" si="2"/>
        <v/>
      </c>
    </row>
    <row r="38" spans="1:67" ht="19.5" customHeight="1">
      <c r="A38" s="70" t="b">
        <v>0</v>
      </c>
      <c r="B38" s="71" t="b">
        <v>1</v>
      </c>
      <c r="C38" s="72" t="b">
        <v>0</v>
      </c>
      <c r="D38" s="72" t="b">
        <v>0</v>
      </c>
      <c r="E38" s="57"/>
      <c r="F38" s="59"/>
      <c r="G38" s="57"/>
      <c r="H38" s="88"/>
      <c r="I38" s="88"/>
      <c r="J38" s="88"/>
      <c r="K38" s="89" t="b">
        <v>1</v>
      </c>
      <c r="L38" s="60"/>
      <c r="M38" s="57"/>
      <c r="N38" s="57"/>
      <c r="O38" s="61"/>
      <c r="P38" s="60"/>
      <c r="Q38" s="57"/>
      <c r="R38" s="57"/>
      <c r="S38" s="95"/>
      <c r="T38" s="88"/>
      <c r="U38" s="88"/>
      <c r="V38" s="88"/>
      <c r="W38" s="96"/>
      <c r="X38" s="97"/>
      <c r="Y38" s="97"/>
      <c r="Z38" s="98"/>
      <c r="AA38" s="99"/>
      <c r="AB38" s="98"/>
      <c r="AC38" s="88"/>
      <c r="AD38" s="98"/>
      <c r="AE38" s="64"/>
      <c r="AF38" s="67" t="str">
        <f t="shared" si="0"/>
        <v/>
      </c>
      <c r="AG38" s="58"/>
      <c r="AH38" s="68" t="str">
        <f t="shared" si="1"/>
        <v/>
      </c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8"/>
      <c r="AW38" s="58"/>
      <c r="AX38" s="62" t="s">
        <v>121</v>
      </c>
      <c r="AY38" s="63" t="str">
        <f>IF('Cálculo MP'!J39="","",'Cálculo MP'!J39)</f>
        <v/>
      </c>
      <c r="AZ38" s="63" t="str">
        <f>IF('Cálculo MP'!K39="","",'Cálculo MP'!K39)</f>
        <v/>
      </c>
      <c r="BA38" s="63" t="str">
        <f>IF('Cálculo MP'!L39="","",'Cálculo MP'!L39)</f>
        <v/>
      </c>
      <c r="BB38" s="63" t="str">
        <f>IF('Cálculo MP'!M39="","",'Cálculo MP'!M39)</f>
        <v/>
      </c>
      <c r="BC38" s="63" t="str">
        <f>IF('Cálculo MP'!N39="","",'Cálculo MP'!N39)</f>
        <v/>
      </c>
      <c r="BD38" s="63" t="str">
        <f>IF('Cálculo MP'!O39="","",'Cálculo MP'!O39)</f>
        <v/>
      </c>
      <c r="BE38" s="63" t="str">
        <f>IF('Cálculo MP'!P39="","",'Cálculo MP'!P39)</f>
        <v/>
      </c>
      <c r="BF38" s="63" t="str">
        <f>IF('Cálculo MP'!Q39="","",'Cálculo MP'!Q39)</f>
        <v/>
      </c>
      <c r="BG38" s="63" t="str">
        <f>IF('Cálculo MP'!R39="","",'Cálculo MP'!R39)</f>
        <v/>
      </c>
      <c r="BH38" s="63"/>
      <c r="BI38" s="63"/>
      <c r="BJ38" s="63"/>
      <c r="BK38" s="63"/>
      <c r="BL38" s="63"/>
      <c r="BM38" s="63"/>
      <c r="BN38" s="63"/>
      <c r="BO38" s="65" t="str">
        <f t="shared" si="2"/>
        <v/>
      </c>
    </row>
    <row r="39" spans="1:67" ht="19.5" customHeight="1">
      <c r="A39" s="70" t="b">
        <v>0</v>
      </c>
      <c r="B39" s="71" t="b">
        <v>1</v>
      </c>
      <c r="C39" s="72" t="b">
        <v>0</v>
      </c>
      <c r="D39" s="72" t="b">
        <v>0</v>
      </c>
      <c r="E39" s="57"/>
      <c r="F39" s="59"/>
      <c r="G39" s="57"/>
      <c r="H39" s="88"/>
      <c r="I39" s="88"/>
      <c r="J39" s="88"/>
      <c r="K39" s="89" t="b">
        <v>1</v>
      </c>
      <c r="L39" s="60"/>
      <c r="M39" s="57"/>
      <c r="N39" s="57"/>
      <c r="O39" s="61"/>
      <c r="P39" s="60"/>
      <c r="Q39" s="57"/>
      <c r="R39" s="57"/>
      <c r="S39" s="95"/>
      <c r="T39" s="88"/>
      <c r="U39" s="88"/>
      <c r="V39" s="88"/>
      <c r="W39" s="96"/>
      <c r="X39" s="97"/>
      <c r="Y39" s="97"/>
      <c r="Z39" s="98"/>
      <c r="AA39" s="99"/>
      <c r="AB39" s="98"/>
      <c r="AC39" s="88"/>
      <c r="AD39" s="98"/>
      <c r="AE39" s="64"/>
      <c r="AF39" s="67" t="str">
        <f t="shared" si="0"/>
        <v/>
      </c>
      <c r="AG39" s="58"/>
      <c r="AH39" s="68" t="str">
        <f t="shared" si="1"/>
        <v/>
      </c>
      <c r="AI39" s="53"/>
      <c r="AJ39" s="53"/>
      <c r="AK39" s="53"/>
      <c r="AL39" s="53"/>
      <c r="AM39" s="53"/>
      <c r="AN39" s="53"/>
      <c r="AO39" s="53"/>
      <c r="AP39" s="53"/>
      <c r="AQ39" s="53"/>
      <c r="AR39" s="53"/>
      <c r="AS39" s="53"/>
      <c r="AT39" s="53"/>
      <c r="AU39" s="53"/>
      <c r="AV39" s="58"/>
      <c r="AW39" s="58"/>
      <c r="AX39" s="62" t="s">
        <v>121</v>
      </c>
      <c r="AY39" s="63" t="str">
        <f>IF('Cálculo MP'!J40="","",'Cálculo MP'!J40)</f>
        <v/>
      </c>
      <c r="AZ39" s="63" t="str">
        <f>IF('Cálculo MP'!K40="","",'Cálculo MP'!K40)</f>
        <v/>
      </c>
      <c r="BA39" s="63" t="str">
        <f>IF('Cálculo MP'!L40="","",'Cálculo MP'!L40)</f>
        <v/>
      </c>
      <c r="BB39" s="63" t="str">
        <f>IF('Cálculo MP'!M40="","",'Cálculo MP'!M40)</f>
        <v/>
      </c>
      <c r="BC39" s="63" t="str">
        <f>IF('Cálculo MP'!N40="","",'Cálculo MP'!N40)</f>
        <v/>
      </c>
      <c r="BD39" s="63" t="str">
        <f>IF('Cálculo MP'!O40="","",'Cálculo MP'!O40)</f>
        <v/>
      </c>
      <c r="BE39" s="63" t="str">
        <f>IF('Cálculo MP'!P40="","",'Cálculo MP'!P40)</f>
        <v/>
      </c>
      <c r="BF39" s="63" t="str">
        <f>IF('Cálculo MP'!Q40="","",'Cálculo MP'!Q40)</f>
        <v/>
      </c>
      <c r="BG39" s="63" t="str">
        <f>IF('Cálculo MP'!R40="","",'Cálculo MP'!R40)</f>
        <v/>
      </c>
      <c r="BH39" s="63"/>
      <c r="BI39" s="63"/>
      <c r="BJ39" s="63"/>
      <c r="BK39" s="63"/>
      <c r="BL39" s="63"/>
      <c r="BM39" s="63"/>
      <c r="BN39" s="63"/>
      <c r="BO39" s="65" t="str">
        <f t="shared" si="2"/>
        <v/>
      </c>
    </row>
    <row r="40" spans="1:67" ht="19.5" customHeight="1">
      <c r="A40" s="70" t="b">
        <v>0</v>
      </c>
      <c r="B40" s="71" t="b">
        <v>1</v>
      </c>
      <c r="C40" s="72" t="b">
        <v>0</v>
      </c>
      <c r="D40" s="72" t="b">
        <v>0</v>
      </c>
      <c r="E40" s="57"/>
      <c r="F40" s="59"/>
      <c r="G40" s="57"/>
      <c r="H40" s="88"/>
      <c r="I40" s="88"/>
      <c r="J40" s="88"/>
      <c r="K40" s="89" t="b">
        <v>1</v>
      </c>
      <c r="L40" s="60"/>
      <c r="M40" s="57"/>
      <c r="N40" s="57"/>
      <c r="O40" s="61"/>
      <c r="P40" s="60"/>
      <c r="Q40" s="57"/>
      <c r="R40" s="57"/>
      <c r="S40" s="95"/>
      <c r="T40" s="88"/>
      <c r="U40" s="88"/>
      <c r="V40" s="88"/>
      <c r="W40" s="96"/>
      <c r="X40" s="97"/>
      <c r="Y40" s="97"/>
      <c r="Z40" s="98"/>
      <c r="AA40" s="99"/>
      <c r="AB40" s="98"/>
      <c r="AC40" s="88"/>
      <c r="AD40" s="98"/>
      <c r="AE40" s="64"/>
      <c r="AF40" s="67" t="str">
        <f t="shared" si="0"/>
        <v/>
      </c>
      <c r="AG40" s="58"/>
      <c r="AH40" s="68" t="str">
        <f t="shared" si="1"/>
        <v/>
      </c>
      <c r="AI40" s="53"/>
      <c r="AJ40" s="53"/>
      <c r="AK40" s="53"/>
      <c r="AL40" s="53"/>
      <c r="AM40" s="53"/>
      <c r="AN40" s="53"/>
      <c r="AO40" s="53"/>
      <c r="AP40" s="53"/>
      <c r="AQ40" s="53"/>
      <c r="AR40" s="53"/>
      <c r="AS40" s="53"/>
      <c r="AT40" s="53"/>
      <c r="AU40" s="53"/>
      <c r="AV40" s="58"/>
      <c r="AW40" s="58"/>
      <c r="AX40" s="62" t="s">
        <v>121</v>
      </c>
      <c r="AY40" s="63" t="str">
        <f>IF('Cálculo MP'!J41="","",'Cálculo MP'!J41)</f>
        <v/>
      </c>
      <c r="AZ40" s="63" t="str">
        <f>IF('Cálculo MP'!K41="","",'Cálculo MP'!K41)</f>
        <v/>
      </c>
      <c r="BA40" s="63" t="str">
        <f>IF('Cálculo MP'!L41="","",'Cálculo MP'!L41)</f>
        <v/>
      </c>
      <c r="BB40" s="63" t="str">
        <f>IF('Cálculo MP'!M41="","",'Cálculo MP'!M41)</f>
        <v/>
      </c>
      <c r="BC40" s="63" t="str">
        <f>IF('Cálculo MP'!N41="","",'Cálculo MP'!N41)</f>
        <v/>
      </c>
      <c r="BD40" s="63" t="str">
        <f>IF('Cálculo MP'!O41="","",'Cálculo MP'!O41)</f>
        <v/>
      </c>
      <c r="BE40" s="63" t="str">
        <f>IF('Cálculo MP'!P41="","",'Cálculo MP'!P41)</f>
        <v/>
      </c>
      <c r="BF40" s="63" t="str">
        <f>IF('Cálculo MP'!Q41="","",'Cálculo MP'!Q41)</f>
        <v/>
      </c>
      <c r="BG40" s="63" t="str">
        <f>IF('Cálculo MP'!R41="","",'Cálculo MP'!R41)</f>
        <v/>
      </c>
      <c r="BH40" s="63"/>
      <c r="BI40" s="63"/>
      <c r="BJ40" s="63"/>
      <c r="BK40" s="63"/>
      <c r="BL40" s="63"/>
      <c r="BM40" s="63"/>
      <c r="BN40" s="63"/>
      <c r="BO40" s="65" t="str">
        <f t="shared" si="2"/>
        <v/>
      </c>
    </row>
    <row r="41" spans="1:67" ht="19.5" customHeight="1">
      <c r="A41" s="70" t="b">
        <v>0</v>
      </c>
      <c r="B41" s="71" t="b">
        <v>1</v>
      </c>
      <c r="C41" s="72" t="b">
        <v>0</v>
      </c>
      <c r="D41" s="72" t="b">
        <v>0</v>
      </c>
      <c r="E41" s="57"/>
      <c r="F41" s="59"/>
      <c r="G41" s="57"/>
      <c r="H41" s="88"/>
      <c r="I41" s="88"/>
      <c r="J41" s="88"/>
      <c r="K41" s="89" t="b">
        <v>1</v>
      </c>
      <c r="L41" s="60"/>
      <c r="M41" s="57"/>
      <c r="N41" s="57"/>
      <c r="O41" s="61"/>
      <c r="P41" s="60"/>
      <c r="Q41" s="57"/>
      <c r="R41" s="57"/>
      <c r="S41" s="95"/>
      <c r="T41" s="88"/>
      <c r="U41" s="88"/>
      <c r="V41" s="88"/>
      <c r="W41" s="96"/>
      <c r="X41" s="97"/>
      <c r="Y41" s="97"/>
      <c r="Z41" s="98"/>
      <c r="AA41" s="99"/>
      <c r="AB41" s="98"/>
      <c r="AC41" s="88"/>
      <c r="AD41" s="98"/>
      <c r="AE41" s="64"/>
      <c r="AF41" s="67" t="str">
        <f t="shared" si="0"/>
        <v/>
      </c>
      <c r="AG41" s="58"/>
      <c r="AH41" s="68" t="str">
        <f t="shared" si="1"/>
        <v/>
      </c>
      <c r="AI41" s="53"/>
      <c r="AJ41" s="53"/>
      <c r="AK41" s="53"/>
      <c r="AL41" s="53"/>
      <c r="AM41" s="53"/>
      <c r="AN41" s="53"/>
      <c r="AO41" s="53"/>
      <c r="AP41" s="53"/>
      <c r="AQ41" s="53"/>
      <c r="AR41" s="53"/>
      <c r="AS41" s="53"/>
      <c r="AT41" s="53"/>
      <c r="AU41" s="53"/>
      <c r="AV41" s="58"/>
      <c r="AW41" s="58"/>
      <c r="AX41" s="62" t="s">
        <v>121</v>
      </c>
      <c r="AY41" s="63" t="str">
        <f>IF('Cálculo MP'!J42="","",'Cálculo MP'!J42)</f>
        <v/>
      </c>
      <c r="AZ41" s="63" t="str">
        <f>IF('Cálculo MP'!K42="","",'Cálculo MP'!K42)</f>
        <v/>
      </c>
      <c r="BA41" s="63" t="str">
        <f>IF('Cálculo MP'!L42="","",'Cálculo MP'!L42)</f>
        <v/>
      </c>
      <c r="BB41" s="63" t="str">
        <f>IF('Cálculo MP'!M42="","",'Cálculo MP'!M42)</f>
        <v/>
      </c>
      <c r="BC41" s="63" t="str">
        <f>IF('Cálculo MP'!N42="","",'Cálculo MP'!N42)</f>
        <v/>
      </c>
      <c r="BD41" s="63" t="str">
        <f>IF('Cálculo MP'!O42="","",'Cálculo MP'!O42)</f>
        <v/>
      </c>
      <c r="BE41" s="63" t="str">
        <f>IF('Cálculo MP'!P42="","",'Cálculo MP'!P42)</f>
        <v/>
      </c>
      <c r="BF41" s="63" t="str">
        <f>IF('Cálculo MP'!Q42="","",'Cálculo MP'!Q42)</f>
        <v/>
      </c>
      <c r="BG41" s="63" t="str">
        <f>IF('Cálculo MP'!R42="","",'Cálculo MP'!R42)</f>
        <v/>
      </c>
      <c r="BH41" s="63"/>
      <c r="BI41" s="63"/>
      <c r="BJ41" s="63"/>
      <c r="BK41" s="63"/>
      <c r="BL41" s="63"/>
      <c r="BM41" s="63"/>
      <c r="BN41" s="63"/>
      <c r="BO41" s="65" t="str">
        <f t="shared" si="2"/>
        <v/>
      </c>
    </row>
    <row r="42" spans="1:67" ht="19.5" customHeight="1">
      <c r="A42" s="70" t="b">
        <v>0</v>
      </c>
      <c r="B42" s="71" t="b">
        <v>1</v>
      </c>
      <c r="C42" s="72" t="b">
        <v>0</v>
      </c>
      <c r="D42" s="72" t="b">
        <v>0</v>
      </c>
      <c r="E42" s="57"/>
      <c r="F42" s="59"/>
      <c r="G42" s="57"/>
      <c r="H42" s="88"/>
      <c r="I42" s="88"/>
      <c r="J42" s="88"/>
      <c r="K42" s="89" t="b">
        <v>1</v>
      </c>
      <c r="L42" s="60"/>
      <c r="M42" s="57"/>
      <c r="N42" s="57"/>
      <c r="O42" s="61"/>
      <c r="P42" s="60"/>
      <c r="Q42" s="57"/>
      <c r="R42" s="57"/>
      <c r="S42" s="95"/>
      <c r="T42" s="88"/>
      <c r="U42" s="88"/>
      <c r="V42" s="88"/>
      <c r="W42" s="96"/>
      <c r="X42" s="97"/>
      <c r="Y42" s="97"/>
      <c r="Z42" s="98"/>
      <c r="AA42" s="99"/>
      <c r="AB42" s="98"/>
      <c r="AC42" s="88"/>
      <c r="AD42" s="98"/>
      <c r="AE42" s="64"/>
      <c r="AF42" s="67" t="str">
        <f t="shared" si="0"/>
        <v/>
      </c>
      <c r="AG42" s="58"/>
      <c r="AH42" s="68" t="str">
        <f t="shared" si="1"/>
        <v/>
      </c>
      <c r="AI42" s="53"/>
      <c r="AJ42" s="53"/>
      <c r="AK42" s="53"/>
      <c r="AL42" s="53"/>
      <c r="AM42" s="53"/>
      <c r="AN42" s="53"/>
      <c r="AO42" s="53"/>
      <c r="AP42" s="53"/>
      <c r="AQ42" s="53"/>
      <c r="AR42" s="53"/>
      <c r="AS42" s="53"/>
      <c r="AT42" s="53"/>
      <c r="AU42" s="53"/>
      <c r="AV42" s="58"/>
      <c r="AW42" s="58"/>
      <c r="AX42" s="62" t="s">
        <v>121</v>
      </c>
      <c r="AY42" s="63" t="str">
        <f>IF('Cálculo MP'!J43="","",'Cálculo MP'!J43)</f>
        <v/>
      </c>
      <c r="AZ42" s="63" t="str">
        <f>IF('Cálculo MP'!K43="","",'Cálculo MP'!K43)</f>
        <v/>
      </c>
      <c r="BA42" s="63" t="str">
        <f>IF('Cálculo MP'!L43="","",'Cálculo MP'!L43)</f>
        <v/>
      </c>
      <c r="BB42" s="63" t="str">
        <f>IF('Cálculo MP'!M43="","",'Cálculo MP'!M43)</f>
        <v/>
      </c>
      <c r="BC42" s="63" t="str">
        <f>IF('Cálculo MP'!N43="","",'Cálculo MP'!N43)</f>
        <v/>
      </c>
      <c r="BD42" s="63" t="str">
        <f>IF('Cálculo MP'!O43="","",'Cálculo MP'!O43)</f>
        <v/>
      </c>
      <c r="BE42" s="63" t="str">
        <f>IF('Cálculo MP'!P43="","",'Cálculo MP'!P43)</f>
        <v/>
      </c>
      <c r="BF42" s="63" t="str">
        <f>IF('Cálculo MP'!Q43="","",'Cálculo MP'!Q43)</f>
        <v/>
      </c>
      <c r="BG42" s="63" t="str">
        <f>IF('Cálculo MP'!R43="","",'Cálculo MP'!R43)</f>
        <v/>
      </c>
      <c r="BH42" s="63"/>
      <c r="BI42" s="63"/>
      <c r="BJ42" s="63"/>
      <c r="BK42" s="63"/>
      <c r="BL42" s="63"/>
      <c r="BM42" s="63"/>
      <c r="BN42" s="63"/>
      <c r="BO42" s="65" t="str">
        <f t="shared" si="2"/>
        <v/>
      </c>
    </row>
    <row r="43" spans="1:67" ht="19.5" customHeight="1">
      <c r="A43" s="70" t="b">
        <v>0</v>
      </c>
      <c r="B43" s="71" t="b">
        <v>1</v>
      </c>
      <c r="C43" s="72" t="b">
        <v>0</v>
      </c>
      <c r="D43" s="72" t="b">
        <v>0</v>
      </c>
      <c r="E43" s="57"/>
      <c r="F43" s="59"/>
      <c r="G43" s="57"/>
      <c r="H43" s="88"/>
      <c r="I43" s="88"/>
      <c r="J43" s="88"/>
      <c r="K43" s="89" t="b">
        <v>1</v>
      </c>
      <c r="L43" s="60"/>
      <c r="M43" s="57"/>
      <c r="N43" s="57"/>
      <c r="O43" s="61"/>
      <c r="P43" s="60"/>
      <c r="Q43" s="57"/>
      <c r="R43" s="57"/>
      <c r="S43" s="95"/>
      <c r="T43" s="88"/>
      <c r="U43" s="88"/>
      <c r="V43" s="88"/>
      <c r="W43" s="96"/>
      <c r="X43" s="97"/>
      <c r="Y43" s="97"/>
      <c r="Z43" s="98"/>
      <c r="AA43" s="99"/>
      <c r="AB43" s="98"/>
      <c r="AC43" s="88"/>
      <c r="AD43" s="98"/>
      <c r="AE43" s="64"/>
      <c r="AF43" s="67" t="str">
        <f t="shared" si="0"/>
        <v/>
      </c>
      <c r="AG43" s="58"/>
      <c r="AH43" s="68" t="str">
        <f t="shared" si="1"/>
        <v/>
      </c>
      <c r="AI43" s="53"/>
      <c r="AJ43" s="53"/>
      <c r="AK43" s="53"/>
      <c r="AL43" s="53"/>
      <c r="AM43" s="53"/>
      <c r="AN43" s="53"/>
      <c r="AO43" s="53"/>
      <c r="AP43" s="53"/>
      <c r="AQ43" s="53"/>
      <c r="AR43" s="53"/>
      <c r="AS43" s="53"/>
      <c r="AT43" s="53"/>
      <c r="AU43" s="53"/>
      <c r="AV43" s="58"/>
      <c r="AW43" s="58"/>
      <c r="AX43" s="62" t="s">
        <v>121</v>
      </c>
      <c r="AY43" s="63" t="str">
        <f>IF('Cálculo MP'!J44="","",'Cálculo MP'!J44)</f>
        <v/>
      </c>
      <c r="AZ43" s="63" t="str">
        <f>IF('Cálculo MP'!K44="","",'Cálculo MP'!K44)</f>
        <v/>
      </c>
      <c r="BA43" s="63" t="str">
        <f>IF('Cálculo MP'!L44="","",'Cálculo MP'!L44)</f>
        <v/>
      </c>
      <c r="BB43" s="63" t="str">
        <f>IF('Cálculo MP'!M44="","",'Cálculo MP'!M44)</f>
        <v/>
      </c>
      <c r="BC43" s="63" t="str">
        <f>IF('Cálculo MP'!N44="","",'Cálculo MP'!N44)</f>
        <v/>
      </c>
      <c r="BD43" s="63" t="str">
        <f>IF('Cálculo MP'!O44="","",'Cálculo MP'!O44)</f>
        <v/>
      </c>
      <c r="BE43" s="63" t="str">
        <f>IF('Cálculo MP'!P44="","",'Cálculo MP'!P44)</f>
        <v/>
      </c>
      <c r="BF43" s="63" t="str">
        <f>IF('Cálculo MP'!Q44="","",'Cálculo MP'!Q44)</f>
        <v/>
      </c>
      <c r="BG43" s="63" t="str">
        <f>IF('Cálculo MP'!R44="","",'Cálculo MP'!R44)</f>
        <v/>
      </c>
      <c r="BH43" s="63"/>
      <c r="BI43" s="63"/>
      <c r="BJ43" s="63"/>
      <c r="BK43" s="63"/>
      <c r="BL43" s="63"/>
      <c r="BM43" s="63"/>
      <c r="BN43" s="63"/>
      <c r="BO43" s="65" t="str">
        <f t="shared" si="2"/>
        <v/>
      </c>
    </row>
    <row r="44" spans="1:67" ht="19.5" customHeight="1">
      <c r="A44" s="70" t="b">
        <v>0</v>
      </c>
      <c r="B44" s="71" t="b">
        <v>1</v>
      </c>
      <c r="C44" s="72" t="b">
        <v>0</v>
      </c>
      <c r="D44" s="72" t="b">
        <v>0</v>
      </c>
      <c r="E44" s="57"/>
      <c r="F44" s="59"/>
      <c r="G44" s="57"/>
      <c r="H44" s="88"/>
      <c r="I44" s="88"/>
      <c r="J44" s="88"/>
      <c r="K44" s="89" t="b">
        <v>1</v>
      </c>
      <c r="L44" s="60"/>
      <c r="M44" s="57"/>
      <c r="N44" s="57"/>
      <c r="O44" s="61"/>
      <c r="P44" s="60"/>
      <c r="Q44" s="57"/>
      <c r="R44" s="57"/>
      <c r="S44" s="95"/>
      <c r="T44" s="88"/>
      <c r="U44" s="88"/>
      <c r="V44" s="88"/>
      <c r="W44" s="96"/>
      <c r="X44" s="97"/>
      <c r="Y44" s="97"/>
      <c r="Z44" s="98"/>
      <c r="AA44" s="99"/>
      <c r="AB44" s="98"/>
      <c r="AC44" s="88"/>
      <c r="AD44" s="98"/>
      <c r="AE44" s="64"/>
      <c r="AF44" s="67" t="str">
        <f t="shared" si="0"/>
        <v/>
      </c>
      <c r="AG44" s="58"/>
      <c r="AH44" s="68" t="str">
        <f t="shared" si="1"/>
        <v/>
      </c>
      <c r="AI44" s="53"/>
      <c r="AJ44" s="53"/>
      <c r="AK44" s="53"/>
      <c r="AL44" s="53"/>
      <c r="AM44" s="53"/>
      <c r="AN44" s="53"/>
      <c r="AO44" s="53"/>
      <c r="AP44" s="53"/>
      <c r="AQ44" s="53"/>
      <c r="AR44" s="53"/>
      <c r="AS44" s="53"/>
      <c r="AT44" s="53"/>
      <c r="AU44" s="53"/>
      <c r="AV44" s="58"/>
      <c r="AW44" s="58"/>
      <c r="AX44" s="62" t="s">
        <v>121</v>
      </c>
      <c r="AY44" s="63" t="str">
        <f>IF('Cálculo MP'!J45="","",'Cálculo MP'!J45)</f>
        <v/>
      </c>
      <c r="AZ44" s="63" t="str">
        <f>IF('Cálculo MP'!K45="","",'Cálculo MP'!K45)</f>
        <v/>
      </c>
      <c r="BA44" s="63" t="str">
        <f>IF('Cálculo MP'!L45="","",'Cálculo MP'!L45)</f>
        <v/>
      </c>
      <c r="BB44" s="63" t="str">
        <f>IF('Cálculo MP'!M45="","",'Cálculo MP'!M45)</f>
        <v/>
      </c>
      <c r="BC44" s="63" t="str">
        <f>IF('Cálculo MP'!N45="","",'Cálculo MP'!N45)</f>
        <v/>
      </c>
      <c r="BD44" s="63" t="str">
        <f>IF('Cálculo MP'!O45="","",'Cálculo MP'!O45)</f>
        <v/>
      </c>
      <c r="BE44" s="63" t="str">
        <f>IF('Cálculo MP'!P45="","",'Cálculo MP'!P45)</f>
        <v/>
      </c>
      <c r="BF44" s="63" t="str">
        <f>IF('Cálculo MP'!Q45="","",'Cálculo MP'!Q45)</f>
        <v/>
      </c>
      <c r="BG44" s="63" t="str">
        <f>IF('Cálculo MP'!R45="","",'Cálculo MP'!R45)</f>
        <v/>
      </c>
      <c r="BH44" s="63"/>
      <c r="BI44" s="63"/>
      <c r="BJ44" s="63"/>
      <c r="BK44" s="63"/>
      <c r="BL44" s="63"/>
      <c r="BM44" s="63"/>
      <c r="BN44" s="63"/>
      <c r="BO44" s="65" t="str">
        <f t="shared" si="2"/>
        <v/>
      </c>
    </row>
    <row r="45" spans="1:67" ht="19.5" customHeight="1">
      <c r="A45" s="70" t="b">
        <v>0</v>
      </c>
      <c r="B45" s="71" t="b">
        <v>1</v>
      </c>
      <c r="C45" s="72" t="b">
        <v>0</v>
      </c>
      <c r="D45" s="72" t="b">
        <v>0</v>
      </c>
      <c r="E45" s="57"/>
      <c r="F45" s="59"/>
      <c r="G45" s="57"/>
      <c r="H45" s="88"/>
      <c r="I45" s="88"/>
      <c r="J45" s="88"/>
      <c r="K45" s="89" t="b">
        <v>1</v>
      </c>
      <c r="L45" s="60"/>
      <c r="M45" s="57"/>
      <c r="N45" s="57"/>
      <c r="O45" s="61"/>
      <c r="P45" s="60"/>
      <c r="Q45" s="57"/>
      <c r="R45" s="57"/>
      <c r="S45" s="95"/>
      <c r="T45" s="88"/>
      <c r="U45" s="88"/>
      <c r="V45" s="88"/>
      <c r="W45" s="96"/>
      <c r="X45" s="97"/>
      <c r="Y45" s="97"/>
      <c r="Z45" s="98"/>
      <c r="AA45" s="99"/>
      <c r="AB45" s="98"/>
      <c r="AC45" s="88"/>
      <c r="AD45" s="98"/>
      <c r="AE45" s="64"/>
      <c r="AF45" s="67" t="str">
        <f t="shared" si="0"/>
        <v/>
      </c>
      <c r="AG45" s="58"/>
      <c r="AH45" s="68" t="str">
        <f t="shared" si="1"/>
        <v/>
      </c>
      <c r="AI45" s="53"/>
      <c r="AJ45" s="53"/>
      <c r="AK45" s="53"/>
      <c r="AL45" s="53"/>
      <c r="AM45" s="53"/>
      <c r="AN45" s="53"/>
      <c r="AO45" s="53"/>
      <c r="AP45" s="53"/>
      <c r="AQ45" s="53"/>
      <c r="AR45" s="53"/>
      <c r="AS45" s="53"/>
      <c r="AT45" s="53"/>
      <c r="AU45" s="53"/>
      <c r="AV45" s="58"/>
      <c r="AW45" s="58"/>
      <c r="AX45" s="62" t="s">
        <v>121</v>
      </c>
      <c r="AY45" s="63" t="str">
        <f>IF('Cálculo MP'!J46="","",'Cálculo MP'!J46)</f>
        <v/>
      </c>
      <c r="AZ45" s="63" t="str">
        <f>IF('Cálculo MP'!K46="","",'Cálculo MP'!K46)</f>
        <v/>
      </c>
      <c r="BA45" s="63" t="str">
        <f>IF('Cálculo MP'!L46="","",'Cálculo MP'!L46)</f>
        <v/>
      </c>
      <c r="BB45" s="63" t="str">
        <f>IF('Cálculo MP'!M46="","",'Cálculo MP'!M46)</f>
        <v/>
      </c>
      <c r="BC45" s="63" t="str">
        <f>IF('Cálculo MP'!N46="","",'Cálculo MP'!N46)</f>
        <v/>
      </c>
      <c r="BD45" s="63" t="str">
        <f>IF('Cálculo MP'!O46="","",'Cálculo MP'!O46)</f>
        <v/>
      </c>
      <c r="BE45" s="63" t="str">
        <f>IF('Cálculo MP'!P46="","",'Cálculo MP'!P46)</f>
        <v/>
      </c>
      <c r="BF45" s="63" t="str">
        <f>IF('Cálculo MP'!Q46="","",'Cálculo MP'!Q46)</f>
        <v/>
      </c>
      <c r="BG45" s="63" t="str">
        <f>IF('Cálculo MP'!R46="","",'Cálculo MP'!R46)</f>
        <v/>
      </c>
      <c r="BH45" s="63"/>
      <c r="BI45" s="63"/>
      <c r="BJ45" s="63"/>
      <c r="BK45" s="63"/>
      <c r="BL45" s="63"/>
      <c r="BM45" s="63"/>
      <c r="BN45" s="63"/>
      <c r="BO45" s="65" t="str">
        <f t="shared" si="2"/>
        <v/>
      </c>
    </row>
    <row r="46" spans="1:67" ht="19.5" customHeight="1">
      <c r="A46" s="70" t="b">
        <v>0</v>
      </c>
      <c r="B46" s="71" t="b">
        <v>1</v>
      </c>
      <c r="C46" s="72" t="b">
        <v>0</v>
      </c>
      <c r="D46" s="72" t="b">
        <v>0</v>
      </c>
      <c r="E46" s="57"/>
      <c r="F46" s="59"/>
      <c r="G46" s="57"/>
      <c r="H46" s="88"/>
      <c r="I46" s="88"/>
      <c r="J46" s="88"/>
      <c r="K46" s="89" t="b">
        <v>1</v>
      </c>
      <c r="L46" s="60"/>
      <c r="M46" s="57"/>
      <c r="N46" s="57"/>
      <c r="O46" s="61"/>
      <c r="P46" s="60"/>
      <c r="Q46" s="57"/>
      <c r="R46" s="57"/>
      <c r="S46" s="95"/>
      <c r="T46" s="88"/>
      <c r="U46" s="88"/>
      <c r="V46" s="88"/>
      <c r="W46" s="96"/>
      <c r="X46" s="97"/>
      <c r="Y46" s="97"/>
      <c r="Z46" s="98"/>
      <c r="AA46" s="99"/>
      <c r="AB46" s="98"/>
      <c r="AC46" s="88"/>
      <c r="AD46" s="98"/>
      <c r="AE46" s="64"/>
      <c r="AF46" s="67" t="str">
        <f t="shared" si="0"/>
        <v/>
      </c>
      <c r="AG46" s="58"/>
      <c r="AH46" s="68" t="str">
        <f t="shared" si="1"/>
        <v/>
      </c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8"/>
      <c r="AW46" s="58"/>
      <c r="AX46" s="62" t="s">
        <v>121</v>
      </c>
      <c r="AY46" s="63" t="str">
        <f>IF('Cálculo MP'!J47="","",'Cálculo MP'!J47)</f>
        <v/>
      </c>
      <c r="AZ46" s="63" t="str">
        <f>IF('Cálculo MP'!K47="","",'Cálculo MP'!K47)</f>
        <v/>
      </c>
      <c r="BA46" s="63" t="str">
        <f>IF('Cálculo MP'!L47="","",'Cálculo MP'!L47)</f>
        <v/>
      </c>
      <c r="BB46" s="63" t="str">
        <f>IF('Cálculo MP'!M47="","",'Cálculo MP'!M47)</f>
        <v/>
      </c>
      <c r="BC46" s="63" t="str">
        <f>IF('Cálculo MP'!N47="","",'Cálculo MP'!N47)</f>
        <v/>
      </c>
      <c r="BD46" s="63" t="str">
        <f>IF('Cálculo MP'!O47="","",'Cálculo MP'!O47)</f>
        <v/>
      </c>
      <c r="BE46" s="63" t="str">
        <f>IF('Cálculo MP'!P47="","",'Cálculo MP'!P47)</f>
        <v/>
      </c>
      <c r="BF46" s="63" t="str">
        <f>IF('Cálculo MP'!Q47="","",'Cálculo MP'!Q47)</f>
        <v/>
      </c>
      <c r="BG46" s="63" t="str">
        <f>IF('Cálculo MP'!R47="","",'Cálculo MP'!R47)</f>
        <v/>
      </c>
      <c r="BH46" s="63"/>
      <c r="BI46" s="63"/>
      <c r="BJ46" s="63"/>
      <c r="BK46" s="63"/>
      <c r="BL46" s="63"/>
      <c r="BM46" s="63"/>
      <c r="BN46" s="63"/>
      <c r="BO46" s="65" t="str">
        <f t="shared" si="2"/>
        <v/>
      </c>
    </row>
    <row r="47" spans="1:67" ht="19.5" customHeight="1">
      <c r="A47" s="70" t="b">
        <v>0</v>
      </c>
      <c r="B47" s="71" t="b">
        <v>1</v>
      </c>
      <c r="C47" s="72" t="b">
        <v>0</v>
      </c>
      <c r="D47" s="72" t="b">
        <v>0</v>
      </c>
      <c r="E47" s="57"/>
      <c r="F47" s="59"/>
      <c r="G47" s="57"/>
      <c r="H47" s="88"/>
      <c r="I47" s="88"/>
      <c r="J47" s="88"/>
      <c r="K47" s="89" t="b">
        <v>1</v>
      </c>
      <c r="L47" s="60"/>
      <c r="M47" s="57"/>
      <c r="N47" s="57"/>
      <c r="O47" s="61"/>
      <c r="P47" s="60"/>
      <c r="Q47" s="57"/>
      <c r="R47" s="57"/>
      <c r="S47" s="95"/>
      <c r="T47" s="88"/>
      <c r="U47" s="88"/>
      <c r="V47" s="88"/>
      <c r="W47" s="96"/>
      <c r="X47" s="97"/>
      <c r="Y47" s="97"/>
      <c r="Z47" s="98"/>
      <c r="AA47" s="99"/>
      <c r="AB47" s="98"/>
      <c r="AC47" s="88"/>
      <c r="AD47" s="98"/>
      <c r="AE47" s="64"/>
      <c r="AF47" s="67" t="str">
        <f t="shared" si="0"/>
        <v/>
      </c>
      <c r="AG47" s="58"/>
      <c r="AH47" s="68" t="str">
        <f t="shared" si="1"/>
        <v/>
      </c>
      <c r="AI47" s="53"/>
      <c r="AJ47" s="53"/>
      <c r="AK47" s="53"/>
      <c r="AL47" s="53"/>
      <c r="AM47" s="53"/>
      <c r="AN47" s="53"/>
      <c r="AO47" s="53"/>
      <c r="AP47" s="53"/>
      <c r="AQ47" s="53"/>
      <c r="AR47" s="53"/>
      <c r="AS47" s="53"/>
      <c r="AT47" s="53"/>
      <c r="AU47" s="53"/>
      <c r="AV47" s="58"/>
      <c r="AW47" s="58"/>
      <c r="AX47" s="62" t="s">
        <v>121</v>
      </c>
      <c r="AY47" s="63" t="str">
        <f>IF('Cálculo MP'!J48="","",'Cálculo MP'!J48)</f>
        <v/>
      </c>
      <c r="AZ47" s="63" t="str">
        <f>IF('Cálculo MP'!K48="","",'Cálculo MP'!K48)</f>
        <v/>
      </c>
      <c r="BA47" s="63" t="str">
        <f>IF('Cálculo MP'!L48="","",'Cálculo MP'!L48)</f>
        <v/>
      </c>
      <c r="BB47" s="63" t="str">
        <f>IF('Cálculo MP'!M48="","",'Cálculo MP'!M48)</f>
        <v/>
      </c>
      <c r="BC47" s="63" t="str">
        <f>IF('Cálculo MP'!N48="","",'Cálculo MP'!N48)</f>
        <v/>
      </c>
      <c r="BD47" s="63" t="str">
        <f>IF('Cálculo MP'!O48="","",'Cálculo MP'!O48)</f>
        <v/>
      </c>
      <c r="BE47" s="63" t="str">
        <f>IF('Cálculo MP'!P48="","",'Cálculo MP'!P48)</f>
        <v/>
      </c>
      <c r="BF47" s="63" t="str">
        <f>IF('Cálculo MP'!Q48="","",'Cálculo MP'!Q48)</f>
        <v/>
      </c>
      <c r="BG47" s="63" t="str">
        <f>IF('Cálculo MP'!R48="","",'Cálculo MP'!R48)</f>
        <v/>
      </c>
      <c r="BH47" s="63"/>
      <c r="BI47" s="63"/>
      <c r="BJ47" s="63"/>
      <c r="BK47" s="63"/>
      <c r="BL47" s="63"/>
      <c r="BM47" s="63"/>
      <c r="BN47" s="63"/>
      <c r="BO47" s="65" t="str">
        <f t="shared" si="2"/>
        <v/>
      </c>
    </row>
    <row r="48" spans="1:67" ht="19.5" customHeight="1">
      <c r="A48" s="70" t="b">
        <v>0</v>
      </c>
      <c r="B48" s="71" t="b">
        <v>1</v>
      </c>
      <c r="C48" s="72" t="b">
        <v>0</v>
      </c>
      <c r="D48" s="72" t="b">
        <v>0</v>
      </c>
      <c r="E48" s="57"/>
      <c r="F48" s="59"/>
      <c r="G48" s="57"/>
      <c r="H48" s="88"/>
      <c r="I48" s="88"/>
      <c r="J48" s="88"/>
      <c r="K48" s="89" t="b">
        <v>1</v>
      </c>
      <c r="L48" s="60"/>
      <c r="M48" s="57"/>
      <c r="N48" s="57"/>
      <c r="O48" s="61"/>
      <c r="P48" s="60"/>
      <c r="Q48" s="57"/>
      <c r="R48" s="57"/>
      <c r="S48" s="95"/>
      <c r="T48" s="88"/>
      <c r="U48" s="88"/>
      <c r="V48" s="88"/>
      <c r="W48" s="96"/>
      <c r="X48" s="97"/>
      <c r="Y48" s="97"/>
      <c r="Z48" s="98"/>
      <c r="AA48" s="99"/>
      <c r="AB48" s="98"/>
      <c r="AC48" s="88"/>
      <c r="AD48" s="98"/>
      <c r="AE48" s="64"/>
      <c r="AF48" s="67" t="str">
        <f t="shared" si="0"/>
        <v/>
      </c>
      <c r="AG48" s="58"/>
      <c r="AH48" s="68" t="str">
        <f t="shared" si="1"/>
        <v/>
      </c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8"/>
      <c r="AW48" s="58"/>
      <c r="AX48" s="62" t="s">
        <v>121</v>
      </c>
      <c r="AY48" s="63" t="str">
        <f>IF('Cálculo MP'!J49="","",'Cálculo MP'!J49)</f>
        <v/>
      </c>
      <c r="AZ48" s="63" t="str">
        <f>IF('Cálculo MP'!K49="","",'Cálculo MP'!K49)</f>
        <v/>
      </c>
      <c r="BA48" s="63" t="str">
        <f>IF('Cálculo MP'!L49="","",'Cálculo MP'!L49)</f>
        <v/>
      </c>
      <c r="BB48" s="63" t="str">
        <f>IF('Cálculo MP'!M49="","",'Cálculo MP'!M49)</f>
        <v/>
      </c>
      <c r="BC48" s="63" t="str">
        <f>IF('Cálculo MP'!N49="","",'Cálculo MP'!N49)</f>
        <v/>
      </c>
      <c r="BD48" s="63" t="str">
        <f>IF('Cálculo MP'!O49="","",'Cálculo MP'!O49)</f>
        <v/>
      </c>
      <c r="BE48" s="63" t="str">
        <f>IF('Cálculo MP'!P49="","",'Cálculo MP'!P49)</f>
        <v/>
      </c>
      <c r="BF48" s="63" t="str">
        <f>IF('Cálculo MP'!Q49="","",'Cálculo MP'!Q49)</f>
        <v/>
      </c>
      <c r="BG48" s="63" t="str">
        <f>IF('Cálculo MP'!R49="","",'Cálculo MP'!R49)</f>
        <v/>
      </c>
      <c r="BH48" s="63"/>
      <c r="BI48" s="63"/>
      <c r="BJ48" s="63"/>
      <c r="BK48" s="63"/>
      <c r="BL48" s="63"/>
      <c r="BM48" s="63"/>
      <c r="BN48" s="63"/>
      <c r="BO48" s="65" t="str">
        <f t="shared" si="2"/>
        <v/>
      </c>
    </row>
    <row r="49" spans="1:67" ht="19.5" customHeight="1">
      <c r="A49" s="70" t="b">
        <v>0</v>
      </c>
      <c r="B49" s="71" t="b">
        <v>1</v>
      </c>
      <c r="C49" s="72" t="b">
        <v>0</v>
      </c>
      <c r="D49" s="72" t="b">
        <v>0</v>
      </c>
      <c r="E49" s="57"/>
      <c r="F49" s="59"/>
      <c r="G49" s="57"/>
      <c r="H49" s="88"/>
      <c r="I49" s="88"/>
      <c r="J49" s="88"/>
      <c r="K49" s="89" t="b">
        <v>1</v>
      </c>
      <c r="L49" s="60"/>
      <c r="M49" s="57"/>
      <c r="N49" s="57"/>
      <c r="O49" s="61"/>
      <c r="P49" s="60"/>
      <c r="Q49" s="57"/>
      <c r="R49" s="57"/>
      <c r="S49" s="95"/>
      <c r="T49" s="88"/>
      <c r="U49" s="88"/>
      <c r="V49" s="88"/>
      <c r="W49" s="96"/>
      <c r="X49" s="97"/>
      <c r="Y49" s="97"/>
      <c r="Z49" s="98"/>
      <c r="AA49" s="99"/>
      <c r="AB49" s="98"/>
      <c r="AC49" s="88"/>
      <c r="AD49" s="98"/>
      <c r="AE49" s="64"/>
      <c r="AF49" s="67" t="str">
        <f t="shared" si="0"/>
        <v/>
      </c>
      <c r="AG49" s="58"/>
      <c r="AH49" s="68" t="str">
        <f t="shared" si="1"/>
        <v/>
      </c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8"/>
      <c r="AW49" s="58"/>
      <c r="AX49" s="62" t="s">
        <v>121</v>
      </c>
      <c r="AY49" s="63" t="str">
        <f>IF('Cálculo MP'!J50="","",'Cálculo MP'!J50)</f>
        <v/>
      </c>
      <c r="AZ49" s="63" t="str">
        <f>IF('Cálculo MP'!K50="","",'Cálculo MP'!K50)</f>
        <v/>
      </c>
      <c r="BA49" s="63" t="str">
        <f>IF('Cálculo MP'!L50="","",'Cálculo MP'!L50)</f>
        <v/>
      </c>
      <c r="BB49" s="63" t="str">
        <f>IF('Cálculo MP'!M50="","",'Cálculo MP'!M50)</f>
        <v/>
      </c>
      <c r="BC49" s="63" t="str">
        <f>IF('Cálculo MP'!N50="","",'Cálculo MP'!N50)</f>
        <v/>
      </c>
      <c r="BD49" s="63" t="str">
        <f>IF('Cálculo MP'!O50="","",'Cálculo MP'!O50)</f>
        <v/>
      </c>
      <c r="BE49" s="63" t="str">
        <f>IF('Cálculo MP'!P50="","",'Cálculo MP'!P50)</f>
        <v/>
      </c>
      <c r="BF49" s="63" t="str">
        <f>IF('Cálculo MP'!Q50="","",'Cálculo MP'!Q50)</f>
        <v/>
      </c>
      <c r="BG49" s="63" t="str">
        <f>IF('Cálculo MP'!R50="","",'Cálculo MP'!R50)</f>
        <v/>
      </c>
      <c r="BH49" s="63"/>
      <c r="BI49" s="63"/>
      <c r="BJ49" s="63"/>
      <c r="BK49" s="63"/>
      <c r="BL49" s="63"/>
      <c r="BM49" s="63"/>
      <c r="BN49" s="63"/>
      <c r="BO49" s="65" t="str">
        <f t="shared" si="2"/>
        <v/>
      </c>
    </row>
    <row r="50" spans="1:67" ht="19.5" customHeight="1">
      <c r="A50" s="70" t="b">
        <v>0</v>
      </c>
      <c r="B50" s="71" t="b">
        <v>1</v>
      </c>
      <c r="C50" s="72" t="b">
        <v>0</v>
      </c>
      <c r="D50" s="72" t="b">
        <v>0</v>
      </c>
      <c r="E50" s="57"/>
      <c r="F50" s="59"/>
      <c r="G50" s="57"/>
      <c r="H50" s="88"/>
      <c r="I50" s="88"/>
      <c r="J50" s="88"/>
      <c r="K50" s="89" t="b">
        <v>1</v>
      </c>
      <c r="L50" s="60"/>
      <c r="M50" s="57"/>
      <c r="N50" s="57"/>
      <c r="O50" s="61"/>
      <c r="P50" s="60"/>
      <c r="Q50" s="57"/>
      <c r="R50" s="57"/>
      <c r="S50" s="95"/>
      <c r="T50" s="88"/>
      <c r="U50" s="88"/>
      <c r="V50" s="88"/>
      <c r="W50" s="96"/>
      <c r="X50" s="97"/>
      <c r="Y50" s="97"/>
      <c r="Z50" s="98"/>
      <c r="AA50" s="99"/>
      <c r="AB50" s="98"/>
      <c r="AC50" s="88"/>
      <c r="AD50" s="98"/>
      <c r="AE50" s="64"/>
      <c r="AF50" s="67" t="str">
        <f t="shared" si="0"/>
        <v/>
      </c>
      <c r="AG50" s="58"/>
      <c r="AH50" s="68" t="str">
        <f t="shared" si="1"/>
        <v/>
      </c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8"/>
      <c r="AW50" s="58"/>
      <c r="AX50" s="62" t="s">
        <v>121</v>
      </c>
      <c r="AY50" s="63" t="str">
        <f>IF('Cálculo MP'!J51="","",'Cálculo MP'!J51)</f>
        <v/>
      </c>
      <c r="AZ50" s="63" t="str">
        <f>IF('Cálculo MP'!K51="","",'Cálculo MP'!K51)</f>
        <v/>
      </c>
      <c r="BA50" s="63" t="str">
        <f>IF('Cálculo MP'!L51="","",'Cálculo MP'!L51)</f>
        <v/>
      </c>
      <c r="BB50" s="63" t="str">
        <f>IF('Cálculo MP'!M51="","",'Cálculo MP'!M51)</f>
        <v/>
      </c>
      <c r="BC50" s="63" t="str">
        <f>IF('Cálculo MP'!N51="","",'Cálculo MP'!N51)</f>
        <v/>
      </c>
      <c r="BD50" s="63" t="str">
        <f>IF('Cálculo MP'!O51="","",'Cálculo MP'!O51)</f>
        <v/>
      </c>
      <c r="BE50" s="63" t="str">
        <f>IF('Cálculo MP'!P51="","",'Cálculo MP'!P51)</f>
        <v/>
      </c>
      <c r="BF50" s="63" t="str">
        <f>IF('Cálculo MP'!Q51="","",'Cálculo MP'!Q51)</f>
        <v/>
      </c>
      <c r="BG50" s="63" t="str">
        <f>IF('Cálculo MP'!R51="","",'Cálculo MP'!R51)</f>
        <v/>
      </c>
      <c r="BH50" s="63"/>
      <c r="BI50" s="63"/>
      <c r="BJ50" s="63"/>
      <c r="BK50" s="63"/>
      <c r="BL50" s="63"/>
      <c r="BM50" s="63"/>
      <c r="BN50" s="63"/>
      <c r="BO50" s="65" t="str">
        <f t="shared" si="2"/>
        <v/>
      </c>
    </row>
    <row r="51" spans="1:67" ht="19.5" customHeight="1">
      <c r="A51" s="70" t="b">
        <v>0</v>
      </c>
      <c r="B51" s="71" t="b">
        <v>1</v>
      </c>
      <c r="C51" s="72" t="b">
        <v>0</v>
      </c>
      <c r="D51" s="72" t="b">
        <v>0</v>
      </c>
      <c r="E51" s="57"/>
      <c r="F51" s="59"/>
      <c r="G51" s="57"/>
      <c r="H51" s="88"/>
      <c r="I51" s="88"/>
      <c r="J51" s="88"/>
      <c r="K51" s="89" t="b">
        <v>1</v>
      </c>
      <c r="L51" s="60"/>
      <c r="M51" s="57"/>
      <c r="N51" s="57"/>
      <c r="O51" s="61"/>
      <c r="P51" s="60"/>
      <c r="Q51" s="57"/>
      <c r="R51" s="57"/>
      <c r="S51" s="95"/>
      <c r="T51" s="88"/>
      <c r="U51" s="88"/>
      <c r="V51" s="88"/>
      <c r="W51" s="96"/>
      <c r="X51" s="97"/>
      <c r="Y51" s="97"/>
      <c r="Z51" s="98"/>
      <c r="AA51" s="99"/>
      <c r="AB51" s="98"/>
      <c r="AC51" s="88"/>
      <c r="AD51" s="98"/>
      <c r="AE51" s="64"/>
      <c r="AF51" s="67" t="str">
        <f t="shared" si="0"/>
        <v/>
      </c>
      <c r="AG51" s="58"/>
      <c r="AH51" s="68" t="str">
        <f t="shared" si="1"/>
        <v/>
      </c>
      <c r="AI51" s="53"/>
      <c r="AJ51" s="53"/>
      <c r="AK51" s="53"/>
      <c r="AL51" s="53"/>
      <c r="AM51" s="53"/>
      <c r="AN51" s="53"/>
      <c r="AO51" s="53"/>
      <c r="AP51" s="53"/>
      <c r="AQ51" s="53"/>
      <c r="AR51" s="53"/>
      <c r="AS51" s="53"/>
      <c r="AT51" s="53"/>
      <c r="AU51" s="53"/>
      <c r="AV51" s="58"/>
      <c r="AW51" s="58"/>
      <c r="AX51" s="62" t="s">
        <v>121</v>
      </c>
      <c r="AY51" s="63" t="str">
        <f>IF('Cálculo MP'!J52="","",'Cálculo MP'!J52)</f>
        <v/>
      </c>
      <c r="AZ51" s="63" t="str">
        <f>IF('Cálculo MP'!K52="","",'Cálculo MP'!K52)</f>
        <v/>
      </c>
      <c r="BA51" s="63" t="str">
        <f>IF('Cálculo MP'!L52="","",'Cálculo MP'!L52)</f>
        <v/>
      </c>
      <c r="BB51" s="63" t="str">
        <f>IF('Cálculo MP'!M52="","",'Cálculo MP'!M52)</f>
        <v/>
      </c>
      <c r="BC51" s="63" t="str">
        <f>IF('Cálculo MP'!N52="","",'Cálculo MP'!N52)</f>
        <v/>
      </c>
      <c r="BD51" s="63" t="str">
        <f>IF('Cálculo MP'!O52="","",'Cálculo MP'!O52)</f>
        <v/>
      </c>
      <c r="BE51" s="63" t="str">
        <f>IF('Cálculo MP'!P52="","",'Cálculo MP'!P52)</f>
        <v/>
      </c>
      <c r="BF51" s="63" t="str">
        <f>IF('Cálculo MP'!Q52="","",'Cálculo MP'!Q52)</f>
        <v/>
      </c>
      <c r="BG51" s="63" t="str">
        <f>IF('Cálculo MP'!R52="","",'Cálculo MP'!R52)</f>
        <v/>
      </c>
      <c r="BH51" s="63"/>
      <c r="BI51" s="63"/>
      <c r="BJ51" s="63"/>
      <c r="BK51" s="63"/>
      <c r="BL51" s="63"/>
      <c r="BM51" s="63"/>
      <c r="BN51" s="63"/>
      <c r="BO51" s="65" t="str">
        <f t="shared" si="2"/>
        <v/>
      </c>
    </row>
    <row r="52" spans="1:67" ht="19.5" customHeight="1">
      <c r="A52" s="70" t="b">
        <v>0</v>
      </c>
      <c r="B52" s="71" t="b">
        <v>1</v>
      </c>
      <c r="C52" s="72" t="b">
        <v>0</v>
      </c>
      <c r="D52" s="72" t="b">
        <v>0</v>
      </c>
      <c r="E52" s="57"/>
      <c r="F52" s="59"/>
      <c r="G52" s="57"/>
      <c r="H52" s="88"/>
      <c r="I52" s="88"/>
      <c r="J52" s="88"/>
      <c r="K52" s="89" t="b">
        <v>1</v>
      </c>
      <c r="L52" s="60"/>
      <c r="M52" s="57"/>
      <c r="N52" s="57"/>
      <c r="O52" s="61"/>
      <c r="P52" s="60"/>
      <c r="Q52" s="57"/>
      <c r="R52" s="57"/>
      <c r="S52" s="95"/>
      <c r="T52" s="88"/>
      <c r="U52" s="88"/>
      <c r="V52" s="88"/>
      <c r="W52" s="96"/>
      <c r="X52" s="97"/>
      <c r="Y52" s="97"/>
      <c r="Z52" s="98"/>
      <c r="AA52" s="99"/>
      <c r="AB52" s="98"/>
      <c r="AC52" s="88"/>
      <c r="AD52" s="98"/>
      <c r="AE52" s="64"/>
      <c r="AF52" s="67" t="str">
        <f t="shared" si="0"/>
        <v/>
      </c>
      <c r="AG52" s="58"/>
      <c r="AH52" s="68" t="str">
        <f t="shared" si="1"/>
        <v/>
      </c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8"/>
      <c r="AW52" s="58"/>
      <c r="AX52" s="62" t="s">
        <v>121</v>
      </c>
      <c r="AY52" s="63" t="str">
        <f>IF('Cálculo MP'!J53="","",'Cálculo MP'!J53)</f>
        <v/>
      </c>
      <c r="AZ52" s="63" t="str">
        <f>IF('Cálculo MP'!K53="","",'Cálculo MP'!K53)</f>
        <v/>
      </c>
      <c r="BA52" s="63" t="str">
        <f>IF('Cálculo MP'!L53="","",'Cálculo MP'!L53)</f>
        <v/>
      </c>
      <c r="BB52" s="63" t="str">
        <f>IF('Cálculo MP'!M53="","",'Cálculo MP'!M53)</f>
        <v/>
      </c>
      <c r="BC52" s="63" t="str">
        <f>IF('Cálculo MP'!N53="","",'Cálculo MP'!N53)</f>
        <v/>
      </c>
      <c r="BD52" s="63" t="str">
        <f>IF('Cálculo MP'!O53="","",'Cálculo MP'!O53)</f>
        <v/>
      </c>
      <c r="BE52" s="63" t="str">
        <f>IF('Cálculo MP'!P53="","",'Cálculo MP'!P53)</f>
        <v/>
      </c>
      <c r="BF52" s="63" t="str">
        <f>IF('Cálculo MP'!Q53="","",'Cálculo MP'!Q53)</f>
        <v/>
      </c>
      <c r="BG52" s="63" t="str">
        <f>IF('Cálculo MP'!R53="","",'Cálculo MP'!R53)</f>
        <v/>
      </c>
      <c r="BH52" s="63"/>
      <c r="BI52" s="63"/>
      <c r="BJ52" s="63"/>
      <c r="BK52" s="63"/>
      <c r="BL52" s="63"/>
      <c r="BM52" s="63"/>
      <c r="BN52" s="63"/>
      <c r="BO52" s="65" t="str">
        <f t="shared" si="2"/>
        <v/>
      </c>
    </row>
    <row r="53" spans="1:67" ht="19.5" customHeight="1">
      <c r="A53" s="70" t="b">
        <v>0</v>
      </c>
      <c r="B53" s="71" t="b">
        <v>1</v>
      </c>
      <c r="C53" s="72" t="b">
        <v>0</v>
      </c>
      <c r="D53" s="72" t="b">
        <v>0</v>
      </c>
      <c r="E53" s="57"/>
      <c r="F53" s="59"/>
      <c r="G53" s="57"/>
      <c r="H53" s="88"/>
      <c r="I53" s="88"/>
      <c r="J53" s="88"/>
      <c r="K53" s="89" t="b">
        <v>1</v>
      </c>
      <c r="L53" s="60"/>
      <c r="M53" s="57"/>
      <c r="N53" s="57"/>
      <c r="O53" s="61"/>
      <c r="P53" s="60"/>
      <c r="Q53" s="57"/>
      <c r="R53" s="57"/>
      <c r="S53" s="95"/>
      <c r="T53" s="88"/>
      <c r="U53" s="88"/>
      <c r="V53" s="88"/>
      <c r="W53" s="96"/>
      <c r="X53" s="97"/>
      <c r="Y53" s="97"/>
      <c r="Z53" s="98"/>
      <c r="AA53" s="99"/>
      <c r="AB53" s="98"/>
      <c r="AC53" s="88"/>
      <c r="AD53" s="98"/>
      <c r="AE53" s="64"/>
      <c r="AF53" s="67" t="str">
        <f t="shared" si="0"/>
        <v/>
      </c>
      <c r="AG53" s="58"/>
      <c r="AH53" s="68" t="str">
        <f t="shared" si="1"/>
        <v/>
      </c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8"/>
      <c r="AW53" s="58"/>
      <c r="AX53" s="62" t="s">
        <v>121</v>
      </c>
      <c r="AY53" s="63" t="str">
        <f>IF('Cálculo MP'!J54="","",'Cálculo MP'!J54)</f>
        <v/>
      </c>
      <c r="AZ53" s="63" t="str">
        <f>IF('Cálculo MP'!K54="","",'Cálculo MP'!K54)</f>
        <v/>
      </c>
      <c r="BA53" s="63" t="str">
        <f>IF('Cálculo MP'!L54="","",'Cálculo MP'!L54)</f>
        <v/>
      </c>
      <c r="BB53" s="63" t="str">
        <f>IF('Cálculo MP'!M54="","",'Cálculo MP'!M54)</f>
        <v/>
      </c>
      <c r="BC53" s="63" t="str">
        <f>IF('Cálculo MP'!N54="","",'Cálculo MP'!N54)</f>
        <v/>
      </c>
      <c r="BD53" s="63" t="str">
        <f>IF('Cálculo MP'!O54="","",'Cálculo MP'!O54)</f>
        <v/>
      </c>
      <c r="BE53" s="63" t="str">
        <f>IF('Cálculo MP'!P54="","",'Cálculo MP'!P54)</f>
        <v/>
      </c>
      <c r="BF53" s="63" t="str">
        <f>IF('Cálculo MP'!Q54="","",'Cálculo MP'!Q54)</f>
        <v/>
      </c>
      <c r="BG53" s="63" t="str">
        <f>IF('Cálculo MP'!R54="","",'Cálculo MP'!R54)</f>
        <v/>
      </c>
      <c r="BH53" s="63"/>
      <c r="BI53" s="63"/>
      <c r="BJ53" s="63"/>
      <c r="BK53" s="63"/>
      <c r="BL53" s="63"/>
      <c r="BM53" s="63"/>
      <c r="BN53" s="63"/>
      <c r="BO53" s="65" t="str">
        <f t="shared" si="2"/>
        <v/>
      </c>
    </row>
    <row r="54" spans="1:67" ht="19.5" customHeight="1">
      <c r="A54" s="70" t="b">
        <v>0</v>
      </c>
      <c r="B54" s="71" t="b">
        <v>1</v>
      </c>
      <c r="C54" s="72" t="b">
        <v>0</v>
      </c>
      <c r="D54" s="72" t="b">
        <v>0</v>
      </c>
      <c r="E54" s="57"/>
      <c r="F54" s="59"/>
      <c r="G54" s="57"/>
      <c r="H54" s="88"/>
      <c r="I54" s="88"/>
      <c r="J54" s="88"/>
      <c r="K54" s="89" t="b">
        <v>1</v>
      </c>
      <c r="L54" s="60"/>
      <c r="M54" s="57"/>
      <c r="N54" s="57"/>
      <c r="O54" s="61"/>
      <c r="P54" s="60"/>
      <c r="Q54" s="57"/>
      <c r="R54" s="57"/>
      <c r="S54" s="95"/>
      <c r="T54" s="88"/>
      <c r="U54" s="88"/>
      <c r="V54" s="88"/>
      <c r="W54" s="96"/>
      <c r="X54" s="97"/>
      <c r="Y54" s="97"/>
      <c r="Z54" s="98"/>
      <c r="AA54" s="99"/>
      <c r="AB54" s="98"/>
      <c r="AC54" s="88"/>
      <c r="AD54" s="98"/>
      <c r="AE54" s="64"/>
      <c r="AF54" s="67" t="str">
        <f t="shared" si="0"/>
        <v/>
      </c>
      <c r="AG54" s="58"/>
      <c r="AH54" s="68" t="str">
        <f t="shared" si="1"/>
        <v/>
      </c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8"/>
      <c r="AW54" s="58"/>
      <c r="AX54" s="62" t="s">
        <v>121</v>
      </c>
      <c r="AY54" s="63" t="str">
        <f>IF('Cálculo MP'!J55="","",'Cálculo MP'!J55)</f>
        <v/>
      </c>
      <c r="AZ54" s="63" t="str">
        <f>IF('Cálculo MP'!K55="","",'Cálculo MP'!K55)</f>
        <v/>
      </c>
      <c r="BA54" s="63" t="str">
        <f>IF('Cálculo MP'!L55="","",'Cálculo MP'!L55)</f>
        <v/>
      </c>
      <c r="BB54" s="63" t="str">
        <f>IF('Cálculo MP'!M55="","",'Cálculo MP'!M55)</f>
        <v/>
      </c>
      <c r="BC54" s="63" t="str">
        <f>IF('Cálculo MP'!N55="","",'Cálculo MP'!N55)</f>
        <v/>
      </c>
      <c r="BD54" s="63" t="str">
        <f>IF('Cálculo MP'!O55="","",'Cálculo MP'!O55)</f>
        <v/>
      </c>
      <c r="BE54" s="63" t="str">
        <f>IF('Cálculo MP'!P55="","",'Cálculo MP'!P55)</f>
        <v/>
      </c>
      <c r="BF54" s="63" t="str">
        <f>IF('Cálculo MP'!Q55="","",'Cálculo MP'!Q55)</f>
        <v/>
      </c>
      <c r="BG54" s="63" t="str">
        <f>IF('Cálculo MP'!R55="","",'Cálculo MP'!R55)</f>
        <v/>
      </c>
      <c r="BH54" s="63"/>
      <c r="BI54" s="63"/>
      <c r="BJ54" s="63"/>
      <c r="BK54" s="63"/>
      <c r="BL54" s="63"/>
      <c r="BM54" s="63"/>
      <c r="BN54" s="63"/>
      <c r="BO54" s="65" t="str">
        <f t="shared" si="2"/>
        <v/>
      </c>
    </row>
    <row r="55" spans="1:67" ht="19.5" customHeight="1">
      <c r="A55" s="70" t="b">
        <v>0</v>
      </c>
      <c r="B55" s="71" t="b">
        <v>1</v>
      </c>
      <c r="C55" s="72" t="b">
        <v>0</v>
      </c>
      <c r="D55" s="72" t="b">
        <v>0</v>
      </c>
      <c r="E55" s="57"/>
      <c r="F55" s="59"/>
      <c r="G55" s="57"/>
      <c r="H55" s="88"/>
      <c r="I55" s="88"/>
      <c r="J55" s="88"/>
      <c r="K55" s="89" t="b">
        <v>1</v>
      </c>
      <c r="L55" s="60"/>
      <c r="M55" s="57"/>
      <c r="N55" s="57"/>
      <c r="O55" s="61"/>
      <c r="P55" s="60"/>
      <c r="Q55" s="57"/>
      <c r="R55" s="57"/>
      <c r="S55" s="95"/>
      <c r="T55" s="88"/>
      <c r="U55" s="88"/>
      <c r="V55" s="88"/>
      <c r="W55" s="96"/>
      <c r="X55" s="97"/>
      <c r="Y55" s="97"/>
      <c r="Z55" s="98"/>
      <c r="AA55" s="99"/>
      <c r="AB55" s="98"/>
      <c r="AC55" s="88"/>
      <c r="AD55" s="98"/>
      <c r="AE55" s="64"/>
      <c r="AF55" s="67" t="str">
        <f t="shared" si="0"/>
        <v/>
      </c>
      <c r="AG55" s="58"/>
      <c r="AH55" s="68" t="str">
        <f t="shared" si="1"/>
        <v/>
      </c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8"/>
      <c r="AW55" s="58"/>
      <c r="AX55" s="62" t="s">
        <v>121</v>
      </c>
      <c r="AY55" s="63" t="str">
        <f>IF('Cálculo MP'!J56="","",'Cálculo MP'!J56)</f>
        <v/>
      </c>
      <c r="AZ55" s="63" t="str">
        <f>IF('Cálculo MP'!K56="","",'Cálculo MP'!K56)</f>
        <v/>
      </c>
      <c r="BA55" s="63" t="str">
        <f>IF('Cálculo MP'!L56="","",'Cálculo MP'!L56)</f>
        <v/>
      </c>
      <c r="BB55" s="63" t="str">
        <f>IF('Cálculo MP'!M56="","",'Cálculo MP'!M56)</f>
        <v/>
      </c>
      <c r="BC55" s="63" t="str">
        <f>IF('Cálculo MP'!N56="","",'Cálculo MP'!N56)</f>
        <v/>
      </c>
      <c r="BD55" s="63" t="str">
        <f>IF('Cálculo MP'!O56="","",'Cálculo MP'!O56)</f>
        <v/>
      </c>
      <c r="BE55" s="63" t="str">
        <f>IF('Cálculo MP'!P56="","",'Cálculo MP'!P56)</f>
        <v/>
      </c>
      <c r="BF55" s="63" t="str">
        <f>IF('Cálculo MP'!Q56="","",'Cálculo MP'!Q56)</f>
        <v/>
      </c>
      <c r="BG55" s="63" t="str">
        <f>IF('Cálculo MP'!R56="","",'Cálculo MP'!R56)</f>
        <v/>
      </c>
      <c r="BH55" s="63"/>
      <c r="BI55" s="63"/>
      <c r="BJ55" s="63"/>
      <c r="BK55" s="63"/>
      <c r="BL55" s="63"/>
      <c r="BM55" s="63"/>
      <c r="BN55" s="63"/>
      <c r="BO55" s="65" t="str">
        <f t="shared" si="2"/>
        <v/>
      </c>
    </row>
    <row r="56" spans="1:67" ht="19.5" customHeight="1">
      <c r="A56" s="70" t="b">
        <v>0</v>
      </c>
      <c r="B56" s="71" t="b">
        <v>1</v>
      </c>
      <c r="C56" s="72" t="b">
        <v>0</v>
      </c>
      <c r="D56" s="72" t="b">
        <v>0</v>
      </c>
      <c r="E56" s="57"/>
      <c r="F56" s="59"/>
      <c r="G56" s="57"/>
      <c r="H56" s="88"/>
      <c r="I56" s="88"/>
      <c r="J56" s="88"/>
      <c r="K56" s="89" t="b">
        <v>1</v>
      </c>
      <c r="L56" s="60"/>
      <c r="M56" s="57"/>
      <c r="N56" s="57"/>
      <c r="O56" s="61"/>
      <c r="P56" s="60"/>
      <c r="Q56" s="57"/>
      <c r="R56" s="57"/>
      <c r="S56" s="95"/>
      <c r="T56" s="88"/>
      <c r="U56" s="88"/>
      <c r="V56" s="88"/>
      <c r="W56" s="96"/>
      <c r="X56" s="97"/>
      <c r="Y56" s="97"/>
      <c r="Z56" s="98"/>
      <c r="AA56" s="99"/>
      <c r="AB56" s="98"/>
      <c r="AC56" s="88"/>
      <c r="AD56" s="98"/>
      <c r="AE56" s="64"/>
      <c r="AF56" s="67" t="str">
        <f t="shared" si="0"/>
        <v/>
      </c>
      <c r="AG56" s="58"/>
      <c r="AH56" s="68" t="str">
        <f t="shared" si="1"/>
        <v/>
      </c>
      <c r="AI56" s="53"/>
      <c r="AJ56" s="53"/>
      <c r="AK56" s="53"/>
      <c r="AL56" s="53"/>
      <c r="AM56" s="53"/>
      <c r="AN56" s="53"/>
      <c r="AO56" s="53"/>
      <c r="AP56" s="53"/>
      <c r="AQ56" s="53"/>
      <c r="AR56" s="53"/>
      <c r="AS56" s="53"/>
      <c r="AT56" s="53"/>
      <c r="AU56" s="53"/>
      <c r="AV56" s="58"/>
      <c r="AW56" s="58"/>
      <c r="AX56" s="62" t="s">
        <v>121</v>
      </c>
      <c r="AY56" s="63" t="str">
        <f>IF('Cálculo MP'!J57="","",'Cálculo MP'!J57)</f>
        <v/>
      </c>
      <c r="AZ56" s="63" t="str">
        <f>IF('Cálculo MP'!K57="","",'Cálculo MP'!K57)</f>
        <v/>
      </c>
      <c r="BA56" s="63" t="str">
        <f>IF('Cálculo MP'!L57="","",'Cálculo MP'!L57)</f>
        <v/>
      </c>
      <c r="BB56" s="63" t="str">
        <f>IF('Cálculo MP'!M57="","",'Cálculo MP'!M57)</f>
        <v/>
      </c>
      <c r="BC56" s="63" t="str">
        <f>IF('Cálculo MP'!N57="","",'Cálculo MP'!N57)</f>
        <v/>
      </c>
      <c r="BD56" s="63" t="str">
        <f>IF('Cálculo MP'!O57="","",'Cálculo MP'!O57)</f>
        <v/>
      </c>
      <c r="BE56" s="63" t="str">
        <f>IF('Cálculo MP'!P57="","",'Cálculo MP'!P57)</f>
        <v/>
      </c>
      <c r="BF56" s="63" t="str">
        <f>IF('Cálculo MP'!Q57="","",'Cálculo MP'!Q57)</f>
        <v/>
      </c>
      <c r="BG56" s="63" t="str">
        <f>IF('Cálculo MP'!R57="","",'Cálculo MP'!R57)</f>
        <v/>
      </c>
      <c r="BH56" s="63"/>
      <c r="BI56" s="63"/>
      <c r="BJ56" s="63"/>
      <c r="BK56" s="63"/>
      <c r="BL56" s="63"/>
      <c r="BM56" s="63"/>
      <c r="BN56" s="63"/>
      <c r="BO56" s="65" t="str">
        <f t="shared" si="2"/>
        <v/>
      </c>
    </row>
    <row r="57" spans="1:67" ht="19.5" customHeight="1">
      <c r="A57" s="70" t="b">
        <v>0</v>
      </c>
      <c r="B57" s="71" t="b">
        <v>1</v>
      </c>
      <c r="C57" s="72" t="b">
        <v>0</v>
      </c>
      <c r="D57" s="72" t="b">
        <v>0</v>
      </c>
      <c r="E57" s="57"/>
      <c r="F57" s="59"/>
      <c r="G57" s="57"/>
      <c r="H57" s="88"/>
      <c r="I57" s="88"/>
      <c r="J57" s="88"/>
      <c r="K57" s="89" t="b">
        <v>1</v>
      </c>
      <c r="L57" s="60"/>
      <c r="M57" s="57"/>
      <c r="N57" s="57"/>
      <c r="O57" s="61"/>
      <c r="P57" s="60"/>
      <c r="Q57" s="57"/>
      <c r="R57" s="57"/>
      <c r="S57" s="95"/>
      <c r="T57" s="88"/>
      <c r="U57" s="88"/>
      <c r="V57" s="88"/>
      <c r="W57" s="96"/>
      <c r="X57" s="97"/>
      <c r="Y57" s="97"/>
      <c r="Z57" s="98"/>
      <c r="AA57" s="99"/>
      <c r="AB57" s="98"/>
      <c r="AC57" s="88"/>
      <c r="AD57" s="98"/>
      <c r="AE57" s="64"/>
      <c r="AF57" s="67" t="str">
        <f t="shared" si="0"/>
        <v/>
      </c>
      <c r="AG57" s="58"/>
      <c r="AH57" s="68" t="str">
        <f t="shared" si="1"/>
        <v/>
      </c>
      <c r="AI57" s="53"/>
      <c r="AJ57" s="53"/>
      <c r="AK57" s="53"/>
      <c r="AL57" s="53"/>
      <c r="AM57" s="53"/>
      <c r="AN57" s="53"/>
      <c r="AO57" s="53"/>
      <c r="AP57" s="53"/>
      <c r="AQ57" s="53"/>
      <c r="AR57" s="53"/>
      <c r="AS57" s="53"/>
      <c r="AT57" s="53"/>
      <c r="AU57" s="53"/>
      <c r="AV57" s="58"/>
      <c r="AW57" s="58"/>
      <c r="AX57" s="62" t="s">
        <v>121</v>
      </c>
      <c r="AY57" s="63" t="str">
        <f>IF('Cálculo MP'!J58="","",'Cálculo MP'!J58)</f>
        <v/>
      </c>
      <c r="AZ57" s="63" t="str">
        <f>IF('Cálculo MP'!K58="","",'Cálculo MP'!K58)</f>
        <v/>
      </c>
      <c r="BA57" s="63" t="str">
        <f>IF('Cálculo MP'!L58="","",'Cálculo MP'!L58)</f>
        <v/>
      </c>
      <c r="BB57" s="63" t="str">
        <f>IF('Cálculo MP'!M58="","",'Cálculo MP'!M58)</f>
        <v/>
      </c>
      <c r="BC57" s="63" t="str">
        <f>IF('Cálculo MP'!N58="","",'Cálculo MP'!N58)</f>
        <v/>
      </c>
      <c r="BD57" s="63" t="str">
        <f>IF('Cálculo MP'!O58="","",'Cálculo MP'!O58)</f>
        <v/>
      </c>
      <c r="BE57" s="63" t="str">
        <f>IF('Cálculo MP'!P58="","",'Cálculo MP'!P58)</f>
        <v/>
      </c>
      <c r="BF57" s="63" t="str">
        <f>IF('Cálculo MP'!Q58="","",'Cálculo MP'!Q58)</f>
        <v/>
      </c>
      <c r="BG57" s="63" t="str">
        <f>IF('Cálculo MP'!R58="","",'Cálculo MP'!R58)</f>
        <v/>
      </c>
      <c r="BH57" s="63"/>
      <c r="BI57" s="63"/>
      <c r="BJ57" s="63"/>
      <c r="BK57" s="63"/>
      <c r="BL57" s="63"/>
      <c r="BM57" s="63"/>
      <c r="BN57" s="63"/>
      <c r="BO57" s="65" t="str">
        <f t="shared" si="2"/>
        <v/>
      </c>
    </row>
    <row r="58" spans="1:67" ht="19.5" customHeight="1">
      <c r="A58" s="70" t="b">
        <v>0</v>
      </c>
      <c r="B58" s="71" t="b">
        <v>1</v>
      </c>
      <c r="C58" s="72" t="b">
        <v>0</v>
      </c>
      <c r="D58" s="72" t="b">
        <v>0</v>
      </c>
      <c r="E58" s="57"/>
      <c r="F58" s="59"/>
      <c r="G58" s="57"/>
      <c r="H58" s="88"/>
      <c r="I58" s="88"/>
      <c r="J58" s="88"/>
      <c r="K58" s="89" t="b">
        <v>1</v>
      </c>
      <c r="L58" s="60"/>
      <c r="M58" s="57"/>
      <c r="N58" s="57"/>
      <c r="O58" s="61"/>
      <c r="P58" s="60"/>
      <c r="Q58" s="57"/>
      <c r="R58" s="57"/>
      <c r="S58" s="95"/>
      <c r="T58" s="88"/>
      <c r="U58" s="88"/>
      <c r="V58" s="88"/>
      <c r="W58" s="96"/>
      <c r="X58" s="97"/>
      <c r="Y58" s="97"/>
      <c r="Z58" s="98"/>
      <c r="AA58" s="99"/>
      <c r="AB58" s="98"/>
      <c r="AC58" s="88"/>
      <c r="AD58" s="98"/>
      <c r="AE58" s="64"/>
      <c r="AF58" s="67" t="str">
        <f t="shared" si="0"/>
        <v/>
      </c>
      <c r="AG58" s="58"/>
      <c r="AH58" s="68" t="str">
        <f t="shared" si="1"/>
        <v/>
      </c>
      <c r="AI58" s="53"/>
      <c r="AJ58" s="53"/>
      <c r="AK58" s="53"/>
      <c r="AL58" s="53"/>
      <c r="AM58" s="53"/>
      <c r="AN58" s="53"/>
      <c r="AO58" s="53"/>
      <c r="AP58" s="53"/>
      <c r="AQ58" s="53"/>
      <c r="AR58" s="53"/>
      <c r="AS58" s="53"/>
      <c r="AT58" s="53"/>
      <c r="AU58" s="53"/>
      <c r="AV58" s="58"/>
      <c r="AW58" s="58"/>
      <c r="AX58" s="62" t="s">
        <v>121</v>
      </c>
      <c r="AY58" s="63" t="str">
        <f>IF('Cálculo MP'!J59="","",'Cálculo MP'!J59)</f>
        <v/>
      </c>
      <c r="AZ58" s="63" t="str">
        <f>IF('Cálculo MP'!K59="","",'Cálculo MP'!K59)</f>
        <v/>
      </c>
      <c r="BA58" s="63" t="str">
        <f>IF('Cálculo MP'!L59="","",'Cálculo MP'!L59)</f>
        <v/>
      </c>
      <c r="BB58" s="63" t="str">
        <f>IF('Cálculo MP'!M59="","",'Cálculo MP'!M59)</f>
        <v/>
      </c>
      <c r="BC58" s="63" t="str">
        <f>IF('Cálculo MP'!N59="","",'Cálculo MP'!N59)</f>
        <v/>
      </c>
      <c r="BD58" s="63" t="str">
        <f>IF('Cálculo MP'!O59="","",'Cálculo MP'!O59)</f>
        <v/>
      </c>
      <c r="BE58" s="63" t="str">
        <f>IF('Cálculo MP'!P59="","",'Cálculo MP'!P59)</f>
        <v/>
      </c>
      <c r="BF58" s="63" t="str">
        <f>IF('Cálculo MP'!Q59="","",'Cálculo MP'!Q59)</f>
        <v/>
      </c>
      <c r="BG58" s="63" t="str">
        <f>IF('Cálculo MP'!R59="","",'Cálculo MP'!R59)</f>
        <v/>
      </c>
      <c r="BH58" s="63"/>
      <c r="BI58" s="63"/>
      <c r="BJ58" s="63"/>
      <c r="BK58" s="63"/>
      <c r="BL58" s="63"/>
      <c r="BM58" s="63"/>
      <c r="BN58" s="63"/>
      <c r="BO58" s="65" t="str">
        <f t="shared" si="2"/>
        <v/>
      </c>
    </row>
    <row r="59" spans="1:67" ht="19.5" customHeight="1">
      <c r="A59" s="70" t="b">
        <v>0</v>
      </c>
      <c r="B59" s="71" t="b">
        <v>1</v>
      </c>
      <c r="C59" s="72" t="b">
        <v>0</v>
      </c>
      <c r="D59" s="72" t="b">
        <v>0</v>
      </c>
      <c r="E59" s="57"/>
      <c r="F59" s="59"/>
      <c r="G59" s="57"/>
      <c r="H59" s="88"/>
      <c r="I59" s="88"/>
      <c r="J59" s="88"/>
      <c r="K59" s="89" t="b">
        <v>1</v>
      </c>
      <c r="L59" s="60"/>
      <c r="M59" s="57"/>
      <c r="N59" s="57"/>
      <c r="O59" s="61"/>
      <c r="P59" s="60"/>
      <c r="Q59" s="57"/>
      <c r="R59" s="57"/>
      <c r="S59" s="95"/>
      <c r="T59" s="88"/>
      <c r="U59" s="88"/>
      <c r="V59" s="88"/>
      <c r="W59" s="96"/>
      <c r="X59" s="97"/>
      <c r="Y59" s="97"/>
      <c r="Z59" s="98"/>
      <c r="AA59" s="99"/>
      <c r="AB59" s="98"/>
      <c r="AC59" s="88"/>
      <c r="AD59" s="98"/>
      <c r="AE59" s="64"/>
      <c r="AF59" s="67" t="str">
        <f t="shared" si="0"/>
        <v/>
      </c>
      <c r="AG59" s="58"/>
      <c r="AH59" s="68" t="str">
        <f t="shared" si="1"/>
        <v/>
      </c>
      <c r="AI59" s="53"/>
      <c r="AJ59" s="53"/>
      <c r="AK59" s="53"/>
      <c r="AL59" s="53"/>
      <c r="AM59" s="53"/>
      <c r="AN59" s="53"/>
      <c r="AO59" s="53"/>
      <c r="AP59" s="53"/>
      <c r="AQ59" s="53"/>
      <c r="AR59" s="53"/>
      <c r="AS59" s="53"/>
      <c r="AT59" s="53"/>
      <c r="AU59" s="53"/>
      <c r="AV59" s="58"/>
      <c r="AW59" s="58"/>
      <c r="AX59" s="62" t="s">
        <v>121</v>
      </c>
      <c r="AY59" s="63" t="str">
        <f>IF('Cálculo MP'!J60="","",'Cálculo MP'!J60)</f>
        <v/>
      </c>
      <c r="AZ59" s="63" t="str">
        <f>IF('Cálculo MP'!K60="","",'Cálculo MP'!K60)</f>
        <v/>
      </c>
      <c r="BA59" s="63" t="str">
        <f>IF('Cálculo MP'!L60="","",'Cálculo MP'!L60)</f>
        <v/>
      </c>
      <c r="BB59" s="63" t="str">
        <f>IF('Cálculo MP'!M60="","",'Cálculo MP'!M60)</f>
        <v/>
      </c>
      <c r="BC59" s="63" t="str">
        <f>IF('Cálculo MP'!N60="","",'Cálculo MP'!N60)</f>
        <v/>
      </c>
      <c r="BD59" s="63" t="str">
        <f>IF('Cálculo MP'!O60="","",'Cálculo MP'!O60)</f>
        <v/>
      </c>
      <c r="BE59" s="63" t="str">
        <f>IF('Cálculo MP'!P60="","",'Cálculo MP'!P60)</f>
        <v/>
      </c>
      <c r="BF59" s="63" t="str">
        <f>IF('Cálculo MP'!Q60="","",'Cálculo MP'!Q60)</f>
        <v/>
      </c>
      <c r="BG59" s="63" t="str">
        <f>IF('Cálculo MP'!R60="","",'Cálculo MP'!R60)</f>
        <v/>
      </c>
      <c r="BH59" s="63"/>
      <c r="BI59" s="63"/>
      <c r="BJ59" s="63"/>
      <c r="BK59" s="63"/>
      <c r="BL59" s="63"/>
      <c r="BM59" s="63"/>
      <c r="BN59" s="63"/>
      <c r="BO59" s="65" t="str">
        <f t="shared" si="2"/>
        <v/>
      </c>
    </row>
    <row r="60" spans="1:67" ht="19.5" customHeight="1">
      <c r="A60" s="70" t="b">
        <v>0</v>
      </c>
      <c r="B60" s="71" t="b">
        <v>1</v>
      </c>
      <c r="C60" s="72" t="b">
        <v>0</v>
      </c>
      <c r="D60" s="72" t="b">
        <v>0</v>
      </c>
      <c r="E60" s="57"/>
      <c r="F60" s="59"/>
      <c r="G60" s="57"/>
      <c r="H60" s="88"/>
      <c r="I60" s="88"/>
      <c r="J60" s="88"/>
      <c r="K60" s="89" t="b">
        <v>1</v>
      </c>
      <c r="L60" s="60"/>
      <c r="M60" s="57"/>
      <c r="N60" s="57"/>
      <c r="O60" s="61"/>
      <c r="P60" s="60"/>
      <c r="Q60" s="57"/>
      <c r="R60" s="57"/>
      <c r="S60" s="95"/>
      <c r="T60" s="88"/>
      <c r="U60" s="88"/>
      <c r="V60" s="88"/>
      <c r="W60" s="96"/>
      <c r="X60" s="97"/>
      <c r="Y60" s="97"/>
      <c r="Z60" s="98"/>
      <c r="AA60" s="99"/>
      <c r="AB60" s="98"/>
      <c r="AC60" s="88"/>
      <c r="AD60" s="98"/>
      <c r="AE60" s="64"/>
      <c r="AF60" s="67" t="str">
        <f t="shared" si="0"/>
        <v/>
      </c>
      <c r="AG60" s="58"/>
      <c r="AH60" s="68" t="str">
        <f t="shared" si="1"/>
        <v/>
      </c>
      <c r="AI60" s="53"/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8"/>
      <c r="AW60" s="58"/>
      <c r="AX60" s="62" t="s">
        <v>121</v>
      </c>
      <c r="AY60" s="63" t="str">
        <f>IF('Cálculo MP'!J61="","",'Cálculo MP'!J61)</f>
        <v/>
      </c>
      <c r="AZ60" s="63" t="str">
        <f>IF('Cálculo MP'!K61="","",'Cálculo MP'!K61)</f>
        <v/>
      </c>
      <c r="BA60" s="63" t="str">
        <f>IF('Cálculo MP'!L61="","",'Cálculo MP'!L61)</f>
        <v/>
      </c>
      <c r="BB60" s="63" t="str">
        <f>IF('Cálculo MP'!M61="","",'Cálculo MP'!M61)</f>
        <v/>
      </c>
      <c r="BC60" s="63" t="str">
        <f>IF('Cálculo MP'!N61="","",'Cálculo MP'!N61)</f>
        <v/>
      </c>
      <c r="BD60" s="63" t="str">
        <f>IF('Cálculo MP'!O61="","",'Cálculo MP'!O61)</f>
        <v/>
      </c>
      <c r="BE60" s="63" t="str">
        <f>IF('Cálculo MP'!P61="","",'Cálculo MP'!P61)</f>
        <v/>
      </c>
      <c r="BF60" s="63" t="str">
        <f>IF('Cálculo MP'!Q61="","",'Cálculo MP'!Q61)</f>
        <v/>
      </c>
      <c r="BG60" s="63" t="str">
        <f>IF('Cálculo MP'!R61="","",'Cálculo MP'!R61)</f>
        <v/>
      </c>
      <c r="BH60" s="63"/>
      <c r="BI60" s="63"/>
      <c r="BJ60" s="63"/>
      <c r="BK60" s="63"/>
      <c r="BL60" s="63"/>
      <c r="BM60" s="63"/>
      <c r="BN60" s="63"/>
      <c r="BO60" s="65" t="str">
        <f t="shared" si="2"/>
        <v/>
      </c>
    </row>
    <row r="61" spans="1:67" ht="19.5" customHeight="1">
      <c r="A61" s="70" t="b">
        <v>0</v>
      </c>
      <c r="B61" s="71" t="b">
        <v>1</v>
      </c>
      <c r="C61" s="72" t="b">
        <v>0</v>
      </c>
      <c r="D61" s="72" t="b">
        <v>0</v>
      </c>
      <c r="E61" s="57"/>
      <c r="F61" s="59"/>
      <c r="G61" s="57"/>
      <c r="H61" s="88"/>
      <c r="I61" s="88"/>
      <c r="J61" s="88"/>
      <c r="K61" s="89" t="b">
        <v>1</v>
      </c>
      <c r="L61" s="60"/>
      <c r="M61" s="57"/>
      <c r="N61" s="57"/>
      <c r="O61" s="61"/>
      <c r="P61" s="60"/>
      <c r="Q61" s="57"/>
      <c r="R61" s="57"/>
      <c r="S61" s="95"/>
      <c r="T61" s="88"/>
      <c r="U61" s="88"/>
      <c r="V61" s="88"/>
      <c r="W61" s="96"/>
      <c r="X61" s="97"/>
      <c r="Y61" s="97"/>
      <c r="Z61" s="98"/>
      <c r="AA61" s="99"/>
      <c r="AB61" s="98"/>
      <c r="AC61" s="88"/>
      <c r="AD61" s="98"/>
      <c r="AE61" s="64"/>
      <c r="AF61" s="67" t="str">
        <f t="shared" si="0"/>
        <v/>
      </c>
      <c r="AG61" s="58"/>
      <c r="AH61" s="68" t="str">
        <f t="shared" si="1"/>
        <v/>
      </c>
      <c r="AI61" s="53"/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8"/>
      <c r="AW61" s="58"/>
      <c r="AX61" s="62" t="s">
        <v>121</v>
      </c>
      <c r="AY61" s="63" t="str">
        <f>IF('Cálculo MP'!J62="","",'Cálculo MP'!J62)</f>
        <v/>
      </c>
      <c r="AZ61" s="63" t="str">
        <f>IF('Cálculo MP'!K62="","",'Cálculo MP'!K62)</f>
        <v/>
      </c>
      <c r="BA61" s="63" t="str">
        <f>IF('Cálculo MP'!L62="","",'Cálculo MP'!L62)</f>
        <v/>
      </c>
      <c r="BB61" s="63" t="str">
        <f>IF('Cálculo MP'!M62="","",'Cálculo MP'!M62)</f>
        <v/>
      </c>
      <c r="BC61" s="63" t="str">
        <f>IF('Cálculo MP'!N62="","",'Cálculo MP'!N62)</f>
        <v/>
      </c>
      <c r="BD61" s="63" t="str">
        <f>IF('Cálculo MP'!O62="","",'Cálculo MP'!O62)</f>
        <v/>
      </c>
      <c r="BE61" s="63" t="str">
        <f>IF('Cálculo MP'!P62="","",'Cálculo MP'!P62)</f>
        <v/>
      </c>
      <c r="BF61" s="63" t="str">
        <f>IF('Cálculo MP'!Q62="","",'Cálculo MP'!Q62)</f>
        <v/>
      </c>
      <c r="BG61" s="63" t="str">
        <f>IF('Cálculo MP'!R62="","",'Cálculo MP'!R62)</f>
        <v/>
      </c>
      <c r="BH61" s="63"/>
      <c r="BI61" s="63"/>
      <c r="BJ61" s="63"/>
      <c r="BK61" s="63"/>
      <c r="BL61" s="63"/>
      <c r="BM61" s="63"/>
      <c r="BN61" s="63"/>
      <c r="BO61" s="65" t="str">
        <f t="shared" si="2"/>
        <v/>
      </c>
    </row>
    <row r="62" spans="1:67" ht="19.5" customHeight="1">
      <c r="A62" s="70" t="b">
        <v>0</v>
      </c>
      <c r="B62" s="71" t="b">
        <v>1</v>
      </c>
      <c r="C62" s="72" t="b">
        <v>0</v>
      </c>
      <c r="D62" s="72" t="b">
        <v>0</v>
      </c>
      <c r="E62" s="57"/>
      <c r="F62" s="59"/>
      <c r="G62" s="57"/>
      <c r="H62" s="88"/>
      <c r="I62" s="88"/>
      <c r="J62" s="88"/>
      <c r="K62" s="89" t="b">
        <v>1</v>
      </c>
      <c r="L62" s="60"/>
      <c r="M62" s="57"/>
      <c r="N62" s="57"/>
      <c r="O62" s="61"/>
      <c r="P62" s="60"/>
      <c r="Q62" s="57"/>
      <c r="R62" s="57"/>
      <c r="S62" s="95"/>
      <c r="T62" s="88"/>
      <c r="U62" s="88"/>
      <c r="V62" s="88"/>
      <c r="W62" s="96"/>
      <c r="X62" s="97"/>
      <c r="Y62" s="97"/>
      <c r="Z62" s="98"/>
      <c r="AA62" s="99"/>
      <c r="AB62" s="98"/>
      <c r="AC62" s="88"/>
      <c r="AD62" s="98"/>
      <c r="AE62" s="64"/>
      <c r="AF62" s="67" t="str">
        <f t="shared" si="0"/>
        <v/>
      </c>
      <c r="AG62" s="58"/>
      <c r="AH62" s="68" t="str">
        <f t="shared" si="1"/>
        <v/>
      </c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8"/>
      <c r="AW62" s="58"/>
      <c r="AX62" s="62" t="s">
        <v>121</v>
      </c>
      <c r="AY62" s="63" t="str">
        <f>IF('Cálculo MP'!J63="","",'Cálculo MP'!J63)</f>
        <v/>
      </c>
      <c r="AZ62" s="63" t="str">
        <f>IF('Cálculo MP'!K63="","",'Cálculo MP'!K63)</f>
        <v/>
      </c>
      <c r="BA62" s="63" t="str">
        <f>IF('Cálculo MP'!L63="","",'Cálculo MP'!L63)</f>
        <v/>
      </c>
      <c r="BB62" s="63" t="str">
        <f>IF('Cálculo MP'!M63="","",'Cálculo MP'!M63)</f>
        <v/>
      </c>
      <c r="BC62" s="63" t="str">
        <f>IF('Cálculo MP'!N63="","",'Cálculo MP'!N63)</f>
        <v/>
      </c>
      <c r="BD62" s="63" t="str">
        <f>IF('Cálculo MP'!O63="","",'Cálculo MP'!O63)</f>
        <v/>
      </c>
      <c r="BE62" s="63" t="str">
        <f>IF('Cálculo MP'!P63="","",'Cálculo MP'!P63)</f>
        <v/>
      </c>
      <c r="BF62" s="63" t="str">
        <f>IF('Cálculo MP'!Q63="","",'Cálculo MP'!Q63)</f>
        <v/>
      </c>
      <c r="BG62" s="63" t="str">
        <f>IF('Cálculo MP'!R63="","",'Cálculo MP'!R63)</f>
        <v/>
      </c>
      <c r="BH62" s="63"/>
      <c r="BI62" s="63"/>
      <c r="BJ62" s="63"/>
      <c r="BK62" s="63"/>
      <c r="BL62" s="63"/>
      <c r="BM62" s="63"/>
      <c r="BN62" s="63"/>
      <c r="BO62" s="65" t="str">
        <f t="shared" si="2"/>
        <v/>
      </c>
    </row>
    <row r="63" spans="1:67" ht="19.5" customHeight="1">
      <c r="A63" s="70" t="b">
        <v>0</v>
      </c>
      <c r="B63" s="71" t="b">
        <v>1</v>
      </c>
      <c r="C63" s="72" t="b">
        <v>0</v>
      </c>
      <c r="D63" s="72" t="b">
        <v>0</v>
      </c>
      <c r="E63" s="57"/>
      <c r="F63" s="59"/>
      <c r="G63" s="57"/>
      <c r="H63" s="88"/>
      <c r="I63" s="88"/>
      <c r="J63" s="88"/>
      <c r="K63" s="89" t="b">
        <v>1</v>
      </c>
      <c r="L63" s="60"/>
      <c r="M63" s="57"/>
      <c r="N63" s="57"/>
      <c r="O63" s="61"/>
      <c r="P63" s="60"/>
      <c r="Q63" s="57"/>
      <c r="R63" s="57"/>
      <c r="S63" s="95"/>
      <c r="T63" s="88"/>
      <c r="U63" s="88"/>
      <c r="V63" s="88"/>
      <c r="W63" s="96"/>
      <c r="X63" s="97"/>
      <c r="Y63" s="97"/>
      <c r="Z63" s="98"/>
      <c r="AA63" s="99"/>
      <c r="AB63" s="98"/>
      <c r="AC63" s="88"/>
      <c r="AD63" s="98"/>
      <c r="AE63" s="64"/>
      <c r="AF63" s="67" t="str">
        <f t="shared" si="0"/>
        <v/>
      </c>
      <c r="AG63" s="58"/>
      <c r="AH63" s="68" t="str">
        <f t="shared" si="1"/>
        <v/>
      </c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8"/>
      <c r="AW63" s="58"/>
      <c r="AX63" s="62" t="s">
        <v>121</v>
      </c>
      <c r="AY63" s="63" t="str">
        <f>IF('Cálculo MP'!J64="","",'Cálculo MP'!J64)</f>
        <v/>
      </c>
      <c r="AZ63" s="63" t="str">
        <f>IF('Cálculo MP'!K64="","",'Cálculo MP'!K64)</f>
        <v/>
      </c>
      <c r="BA63" s="63" t="str">
        <f>IF('Cálculo MP'!L64="","",'Cálculo MP'!L64)</f>
        <v/>
      </c>
      <c r="BB63" s="63" t="str">
        <f>IF('Cálculo MP'!M64="","",'Cálculo MP'!M64)</f>
        <v/>
      </c>
      <c r="BC63" s="63" t="str">
        <f>IF('Cálculo MP'!N64="","",'Cálculo MP'!N64)</f>
        <v/>
      </c>
      <c r="BD63" s="63" t="str">
        <f>IF('Cálculo MP'!O64="","",'Cálculo MP'!O64)</f>
        <v/>
      </c>
      <c r="BE63" s="63" t="str">
        <f>IF('Cálculo MP'!P64="","",'Cálculo MP'!P64)</f>
        <v/>
      </c>
      <c r="BF63" s="63" t="str">
        <f>IF('Cálculo MP'!Q64="","",'Cálculo MP'!Q64)</f>
        <v/>
      </c>
      <c r="BG63" s="63" t="str">
        <f>IF('Cálculo MP'!R64="","",'Cálculo MP'!R64)</f>
        <v/>
      </c>
      <c r="BH63" s="63"/>
      <c r="BI63" s="63"/>
      <c r="BJ63" s="63"/>
      <c r="BK63" s="63"/>
      <c r="BL63" s="63"/>
      <c r="BM63" s="63"/>
      <c r="BN63" s="63"/>
      <c r="BO63" s="65" t="str">
        <f t="shared" si="2"/>
        <v/>
      </c>
    </row>
    <row r="64" spans="1:67" ht="19.5" customHeight="1">
      <c r="A64" s="70" t="b">
        <v>0</v>
      </c>
      <c r="B64" s="71" t="b">
        <v>1</v>
      </c>
      <c r="C64" s="72" t="b">
        <v>0</v>
      </c>
      <c r="D64" s="72" t="b">
        <v>0</v>
      </c>
      <c r="E64" s="57"/>
      <c r="F64" s="59"/>
      <c r="G64" s="57"/>
      <c r="H64" s="88"/>
      <c r="I64" s="88"/>
      <c r="J64" s="88"/>
      <c r="K64" s="89" t="b">
        <v>1</v>
      </c>
      <c r="L64" s="60"/>
      <c r="M64" s="57"/>
      <c r="N64" s="57"/>
      <c r="O64" s="61"/>
      <c r="P64" s="60"/>
      <c r="Q64" s="57"/>
      <c r="R64" s="57"/>
      <c r="S64" s="95"/>
      <c r="T64" s="88"/>
      <c r="U64" s="88"/>
      <c r="V64" s="88"/>
      <c r="W64" s="96"/>
      <c r="X64" s="97"/>
      <c r="Y64" s="97"/>
      <c r="Z64" s="98"/>
      <c r="AA64" s="99"/>
      <c r="AB64" s="98"/>
      <c r="AC64" s="88"/>
      <c r="AD64" s="98"/>
      <c r="AE64" s="64"/>
      <c r="AF64" s="67" t="str">
        <f t="shared" si="0"/>
        <v/>
      </c>
      <c r="AG64" s="58"/>
      <c r="AH64" s="68" t="str">
        <f t="shared" si="1"/>
        <v/>
      </c>
      <c r="AI64" s="53"/>
      <c r="AJ64" s="53"/>
      <c r="AK64" s="53"/>
      <c r="AL64" s="53"/>
      <c r="AM64" s="53"/>
      <c r="AN64" s="53"/>
      <c r="AO64" s="53"/>
      <c r="AP64" s="53"/>
      <c r="AQ64" s="53"/>
      <c r="AR64" s="53"/>
      <c r="AS64" s="53"/>
      <c r="AT64" s="53"/>
      <c r="AU64" s="53"/>
      <c r="AV64" s="58"/>
      <c r="AW64" s="58"/>
      <c r="AX64" s="62" t="s">
        <v>121</v>
      </c>
      <c r="AY64" s="63" t="str">
        <f>IF('Cálculo MP'!J65="","",'Cálculo MP'!J65)</f>
        <v/>
      </c>
      <c r="AZ64" s="63" t="str">
        <f>IF('Cálculo MP'!K65="","",'Cálculo MP'!K65)</f>
        <v/>
      </c>
      <c r="BA64" s="63" t="str">
        <f>IF('Cálculo MP'!L65="","",'Cálculo MP'!L65)</f>
        <v/>
      </c>
      <c r="BB64" s="63" t="str">
        <f>IF('Cálculo MP'!M65="","",'Cálculo MP'!M65)</f>
        <v/>
      </c>
      <c r="BC64" s="63" t="str">
        <f>IF('Cálculo MP'!N65="","",'Cálculo MP'!N65)</f>
        <v/>
      </c>
      <c r="BD64" s="63" t="str">
        <f>IF('Cálculo MP'!O65="","",'Cálculo MP'!O65)</f>
        <v/>
      </c>
      <c r="BE64" s="63" t="str">
        <f>IF('Cálculo MP'!P65="","",'Cálculo MP'!P65)</f>
        <v/>
      </c>
      <c r="BF64" s="63" t="str">
        <f>IF('Cálculo MP'!Q65="","",'Cálculo MP'!Q65)</f>
        <v/>
      </c>
      <c r="BG64" s="63" t="str">
        <f>IF('Cálculo MP'!R65="","",'Cálculo MP'!R65)</f>
        <v/>
      </c>
      <c r="BH64" s="63"/>
      <c r="BI64" s="63"/>
      <c r="BJ64" s="63"/>
      <c r="BK64" s="63"/>
      <c r="BL64" s="63"/>
      <c r="BM64" s="63"/>
      <c r="BN64" s="63"/>
      <c r="BO64" s="65" t="str">
        <f t="shared" si="2"/>
        <v/>
      </c>
    </row>
    <row r="65" spans="1:67" ht="19.5" customHeight="1">
      <c r="A65" s="70" t="b">
        <v>0</v>
      </c>
      <c r="B65" s="71" t="b">
        <v>1</v>
      </c>
      <c r="C65" s="72" t="b">
        <v>0</v>
      </c>
      <c r="D65" s="72" t="b">
        <v>0</v>
      </c>
      <c r="E65" s="57"/>
      <c r="F65" s="59"/>
      <c r="G65" s="57"/>
      <c r="H65" s="88"/>
      <c r="I65" s="88"/>
      <c r="J65" s="88"/>
      <c r="K65" s="89" t="b">
        <v>1</v>
      </c>
      <c r="L65" s="60"/>
      <c r="M65" s="57"/>
      <c r="N65" s="57"/>
      <c r="O65" s="61"/>
      <c r="P65" s="60"/>
      <c r="Q65" s="57"/>
      <c r="R65" s="57"/>
      <c r="S65" s="95"/>
      <c r="T65" s="88"/>
      <c r="U65" s="88"/>
      <c r="V65" s="88"/>
      <c r="W65" s="96"/>
      <c r="X65" s="97"/>
      <c r="Y65" s="97"/>
      <c r="Z65" s="98"/>
      <c r="AA65" s="99"/>
      <c r="AB65" s="98"/>
      <c r="AC65" s="88"/>
      <c r="AD65" s="98"/>
      <c r="AE65" s="64"/>
      <c r="AF65" s="67" t="str">
        <f t="shared" si="0"/>
        <v/>
      </c>
      <c r="AG65" s="58"/>
      <c r="AH65" s="68" t="str">
        <f t="shared" si="1"/>
        <v/>
      </c>
      <c r="AI65" s="53"/>
      <c r="AJ65" s="53"/>
      <c r="AK65" s="53"/>
      <c r="AL65" s="53"/>
      <c r="AM65" s="53"/>
      <c r="AN65" s="53"/>
      <c r="AO65" s="53"/>
      <c r="AP65" s="53"/>
      <c r="AQ65" s="53"/>
      <c r="AR65" s="53"/>
      <c r="AS65" s="53"/>
      <c r="AT65" s="53"/>
      <c r="AU65" s="53"/>
      <c r="AV65" s="58"/>
      <c r="AW65" s="58"/>
      <c r="AX65" s="62" t="s">
        <v>121</v>
      </c>
      <c r="AY65" s="63" t="str">
        <f>IF('Cálculo MP'!J66="","",'Cálculo MP'!J66)</f>
        <v/>
      </c>
      <c r="AZ65" s="63" t="str">
        <f>IF('Cálculo MP'!K66="","",'Cálculo MP'!K66)</f>
        <v/>
      </c>
      <c r="BA65" s="63" t="str">
        <f>IF('Cálculo MP'!L66="","",'Cálculo MP'!L66)</f>
        <v/>
      </c>
      <c r="BB65" s="63" t="str">
        <f>IF('Cálculo MP'!M66="","",'Cálculo MP'!M66)</f>
        <v/>
      </c>
      <c r="BC65" s="63" t="str">
        <f>IF('Cálculo MP'!N66="","",'Cálculo MP'!N66)</f>
        <v/>
      </c>
      <c r="BD65" s="63" t="str">
        <f>IF('Cálculo MP'!O66="","",'Cálculo MP'!O66)</f>
        <v/>
      </c>
      <c r="BE65" s="63" t="str">
        <f>IF('Cálculo MP'!P66="","",'Cálculo MP'!P66)</f>
        <v/>
      </c>
      <c r="BF65" s="63" t="str">
        <f>IF('Cálculo MP'!Q66="","",'Cálculo MP'!Q66)</f>
        <v/>
      </c>
      <c r="BG65" s="63" t="str">
        <f>IF('Cálculo MP'!R66="","",'Cálculo MP'!R66)</f>
        <v/>
      </c>
      <c r="BH65" s="63"/>
      <c r="BI65" s="63"/>
      <c r="BJ65" s="63"/>
      <c r="BK65" s="63"/>
      <c r="BL65" s="63"/>
      <c r="BM65" s="63"/>
      <c r="BN65" s="63"/>
      <c r="BO65" s="65" t="str">
        <f t="shared" si="2"/>
        <v/>
      </c>
    </row>
    <row r="66" spans="1:67" ht="19.5" customHeight="1">
      <c r="A66" s="70" t="b">
        <v>0</v>
      </c>
      <c r="B66" s="71" t="b">
        <v>1</v>
      </c>
      <c r="C66" s="72" t="b">
        <v>0</v>
      </c>
      <c r="D66" s="72" t="b">
        <v>0</v>
      </c>
      <c r="E66" s="57"/>
      <c r="F66" s="59"/>
      <c r="G66" s="57"/>
      <c r="H66" s="88"/>
      <c r="I66" s="88"/>
      <c r="J66" s="88"/>
      <c r="K66" s="89" t="b">
        <v>1</v>
      </c>
      <c r="L66" s="60"/>
      <c r="M66" s="57"/>
      <c r="N66" s="57"/>
      <c r="O66" s="61"/>
      <c r="P66" s="60"/>
      <c r="Q66" s="57"/>
      <c r="R66" s="57"/>
      <c r="S66" s="95"/>
      <c r="T66" s="88"/>
      <c r="U66" s="88"/>
      <c r="V66" s="88"/>
      <c r="W66" s="96"/>
      <c r="X66" s="97"/>
      <c r="Y66" s="97"/>
      <c r="Z66" s="98"/>
      <c r="AA66" s="99"/>
      <c r="AB66" s="98"/>
      <c r="AC66" s="88"/>
      <c r="AD66" s="98"/>
      <c r="AE66" s="64"/>
      <c r="AF66" s="67" t="str">
        <f t="shared" si="0"/>
        <v/>
      </c>
      <c r="AG66" s="58"/>
      <c r="AH66" s="68" t="str">
        <f t="shared" si="1"/>
        <v/>
      </c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53"/>
      <c r="AV66" s="58"/>
      <c r="AW66" s="58"/>
      <c r="AX66" s="62" t="s">
        <v>121</v>
      </c>
      <c r="AY66" s="63" t="str">
        <f>IF('Cálculo MP'!J67="","",'Cálculo MP'!J67)</f>
        <v/>
      </c>
      <c r="AZ66" s="63" t="str">
        <f>IF('Cálculo MP'!K67="","",'Cálculo MP'!K67)</f>
        <v/>
      </c>
      <c r="BA66" s="63" t="str">
        <f>IF('Cálculo MP'!L67="","",'Cálculo MP'!L67)</f>
        <v/>
      </c>
      <c r="BB66" s="63" t="str">
        <f>IF('Cálculo MP'!M67="","",'Cálculo MP'!M67)</f>
        <v/>
      </c>
      <c r="BC66" s="63" t="str">
        <f>IF('Cálculo MP'!N67="","",'Cálculo MP'!N67)</f>
        <v/>
      </c>
      <c r="BD66" s="63" t="str">
        <f>IF('Cálculo MP'!O67="","",'Cálculo MP'!O67)</f>
        <v/>
      </c>
      <c r="BE66" s="63" t="str">
        <f>IF('Cálculo MP'!P67="","",'Cálculo MP'!P67)</f>
        <v/>
      </c>
      <c r="BF66" s="63" t="str">
        <f>IF('Cálculo MP'!Q67="","",'Cálculo MP'!Q67)</f>
        <v/>
      </c>
      <c r="BG66" s="63" t="str">
        <f>IF('Cálculo MP'!R67="","",'Cálculo MP'!R67)</f>
        <v/>
      </c>
      <c r="BH66" s="63"/>
      <c r="BI66" s="63"/>
      <c r="BJ66" s="63"/>
      <c r="BK66" s="63"/>
      <c r="BL66" s="63"/>
      <c r="BM66" s="63"/>
      <c r="BN66" s="63"/>
      <c r="BO66" s="65" t="str">
        <f t="shared" si="2"/>
        <v/>
      </c>
    </row>
    <row r="67" spans="1:67" ht="19.5" customHeight="1">
      <c r="A67" s="70" t="b">
        <v>0</v>
      </c>
      <c r="B67" s="71" t="b">
        <v>1</v>
      </c>
      <c r="C67" s="72" t="b">
        <v>0</v>
      </c>
      <c r="D67" s="72" t="b">
        <v>0</v>
      </c>
      <c r="E67" s="57"/>
      <c r="F67" s="59"/>
      <c r="G67" s="57"/>
      <c r="H67" s="88"/>
      <c r="I67" s="88"/>
      <c r="J67" s="88"/>
      <c r="K67" s="89" t="b">
        <v>1</v>
      </c>
      <c r="L67" s="60"/>
      <c r="M67" s="57"/>
      <c r="N67" s="57"/>
      <c r="O67" s="61"/>
      <c r="P67" s="60"/>
      <c r="Q67" s="57"/>
      <c r="R67" s="57"/>
      <c r="S67" s="95"/>
      <c r="T67" s="88"/>
      <c r="U67" s="88"/>
      <c r="V67" s="88"/>
      <c r="W67" s="96"/>
      <c r="X67" s="97"/>
      <c r="Y67" s="97"/>
      <c r="Z67" s="98"/>
      <c r="AA67" s="99"/>
      <c r="AB67" s="98"/>
      <c r="AC67" s="88"/>
      <c r="AD67" s="98"/>
      <c r="AE67" s="64"/>
      <c r="AF67" s="67" t="str">
        <f t="shared" si="0"/>
        <v/>
      </c>
      <c r="AG67" s="58"/>
      <c r="AH67" s="68" t="str">
        <f t="shared" si="1"/>
        <v/>
      </c>
      <c r="AI67" s="53"/>
      <c r="AJ67" s="53"/>
      <c r="AK67" s="53"/>
      <c r="AL67" s="53"/>
      <c r="AM67" s="53"/>
      <c r="AN67" s="53"/>
      <c r="AO67" s="53"/>
      <c r="AP67" s="53"/>
      <c r="AQ67" s="53"/>
      <c r="AR67" s="53"/>
      <c r="AS67" s="53"/>
      <c r="AT67" s="53"/>
      <c r="AU67" s="53"/>
      <c r="AV67" s="58"/>
      <c r="AW67" s="58"/>
      <c r="AX67" s="62" t="s">
        <v>121</v>
      </c>
      <c r="AY67" s="63" t="str">
        <f>IF('Cálculo MP'!J68="","",'Cálculo MP'!J68)</f>
        <v/>
      </c>
      <c r="AZ67" s="63" t="str">
        <f>IF('Cálculo MP'!K68="","",'Cálculo MP'!K68)</f>
        <v/>
      </c>
      <c r="BA67" s="63" t="str">
        <f>IF('Cálculo MP'!L68="","",'Cálculo MP'!L68)</f>
        <v/>
      </c>
      <c r="BB67" s="63" t="str">
        <f>IF('Cálculo MP'!M68="","",'Cálculo MP'!M68)</f>
        <v/>
      </c>
      <c r="BC67" s="63" t="str">
        <f>IF('Cálculo MP'!N68="","",'Cálculo MP'!N68)</f>
        <v/>
      </c>
      <c r="BD67" s="63" t="str">
        <f>IF('Cálculo MP'!O68="","",'Cálculo MP'!O68)</f>
        <v/>
      </c>
      <c r="BE67" s="63" t="str">
        <f>IF('Cálculo MP'!P68="","",'Cálculo MP'!P68)</f>
        <v/>
      </c>
      <c r="BF67" s="63" t="str">
        <f>IF('Cálculo MP'!Q68="","",'Cálculo MP'!Q68)</f>
        <v/>
      </c>
      <c r="BG67" s="63" t="str">
        <f>IF('Cálculo MP'!R68="","",'Cálculo MP'!R68)</f>
        <v/>
      </c>
      <c r="BH67" s="63"/>
      <c r="BI67" s="63"/>
      <c r="BJ67" s="63"/>
      <c r="BK67" s="63"/>
      <c r="BL67" s="63"/>
      <c r="BM67" s="63"/>
      <c r="BN67" s="63"/>
      <c r="BO67" s="65" t="str">
        <f t="shared" si="2"/>
        <v/>
      </c>
    </row>
    <row r="68" spans="1:67" ht="19.5" customHeight="1">
      <c r="A68" s="70" t="b">
        <v>0</v>
      </c>
      <c r="B68" s="71" t="b">
        <v>1</v>
      </c>
      <c r="C68" s="72" t="b">
        <v>0</v>
      </c>
      <c r="D68" s="72" t="b">
        <v>0</v>
      </c>
      <c r="E68" s="57"/>
      <c r="F68" s="59"/>
      <c r="G68" s="57"/>
      <c r="H68" s="88"/>
      <c r="I68" s="88"/>
      <c r="J68" s="88"/>
      <c r="K68" s="89" t="b">
        <v>1</v>
      </c>
      <c r="L68" s="60"/>
      <c r="M68" s="57"/>
      <c r="N68" s="57"/>
      <c r="O68" s="61"/>
      <c r="P68" s="60"/>
      <c r="Q68" s="57"/>
      <c r="R68" s="57"/>
      <c r="S68" s="95"/>
      <c r="T68" s="88"/>
      <c r="U68" s="88"/>
      <c r="V68" s="88"/>
      <c r="W68" s="96"/>
      <c r="X68" s="97"/>
      <c r="Y68" s="97"/>
      <c r="Z68" s="98"/>
      <c r="AA68" s="99"/>
      <c r="AB68" s="98"/>
      <c r="AC68" s="88"/>
      <c r="AD68" s="98"/>
      <c r="AE68" s="64"/>
      <c r="AF68" s="67" t="str">
        <f t="shared" si="0"/>
        <v/>
      </c>
      <c r="AG68" s="58"/>
      <c r="AH68" s="68" t="str">
        <f t="shared" si="1"/>
        <v/>
      </c>
      <c r="AI68" s="53"/>
      <c r="AJ68" s="53"/>
      <c r="AK68" s="53"/>
      <c r="AL68" s="53"/>
      <c r="AM68" s="53"/>
      <c r="AN68" s="53"/>
      <c r="AO68" s="53"/>
      <c r="AP68" s="53"/>
      <c r="AQ68" s="53"/>
      <c r="AR68" s="53"/>
      <c r="AS68" s="53"/>
      <c r="AT68" s="53"/>
      <c r="AU68" s="53"/>
      <c r="AV68" s="58"/>
      <c r="AW68" s="58"/>
      <c r="AX68" s="58"/>
      <c r="AY68" s="63" t="str">
        <f>IF('Cálculo MP'!J69="","",'Cálculo MP'!J69)</f>
        <v/>
      </c>
      <c r="AZ68" s="63" t="str">
        <f>IF('Cálculo MP'!K69="","",'Cálculo MP'!K69)</f>
        <v/>
      </c>
      <c r="BA68" s="63" t="str">
        <f>IF('Cálculo MP'!L69="","",'Cálculo MP'!L69)</f>
        <v/>
      </c>
      <c r="BB68" s="63" t="str">
        <f>IF('Cálculo MP'!M69="","",'Cálculo MP'!M69)</f>
        <v/>
      </c>
      <c r="BC68" s="63" t="str">
        <f>IF('Cálculo MP'!N69="","",'Cálculo MP'!N69)</f>
        <v/>
      </c>
      <c r="BD68" s="63" t="str">
        <f>IF('Cálculo MP'!O69="","",'Cálculo MP'!O69)</f>
        <v/>
      </c>
      <c r="BE68" s="63" t="str">
        <f>IF('Cálculo MP'!P69="","",'Cálculo MP'!P69)</f>
        <v/>
      </c>
      <c r="BF68" s="63" t="str">
        <f>IF('Cálculo MP'!Q69="","",'Cálculo MP'!Q69)</f>
        <v/>
      </c>
      <c r="BG68" s="63" t="str">
        <f>IF('Cálculo MP'!R69="","",'Cálculo MP'!R69)</f>
        <v/>
      </c>
      <c r="BH68" s="63"/>
      <c r="BI68" s="63"/>
      <c r="BJ68" s="63"/>
      <c r="BK68" s="63"/>
      <c r="BL68" s="63"/>
      <c r="BM68" s="63"/>
      <c r="BN68" s="63"/>
      <c r="BO68" s="65" t="str">
        <f t="shared" si="2"/>
        <v/>
      </c>
    </row>
    <row r="69" spans="1:67" ht="19.5" customHeight="1">
      <c r="A69" s="70" t="b">
        <v>0</v>
      </c>
      <c r="B69" s="71" t="b">
        <v>1</v>
      </c>
      <c r="C69" s="72" t="b">
        <v>0</v>
      </c>
      <c r="D69" s="72" t="b">
        <v>0</v>
      </c>
      <c r="E69" s="57"/>
      <c r="F69" s="59"/>
      <c r="G69" s="57"/>
      <c r="H69" s="88"/>
      <c r="I69" s="88"/>
      <c r="J69" s="88"/>
      <c r="K69" s="89" t="b">
        <v>1</v>
      </c>
      <c r="L69" s="60"/>
      <c r="M69" s="57"/>
      <c r="N69" s="57"/>
      <c r="O69" s="61"/>
      <c r="P69" s="60"/>
      <c r="Q69" s="57"/>
      <c r="R69" s="57"/>
      <c r="S69" s="95"/>
      <c r="T69" s="88"/>
      <c r="U69" s="88"/>
      <c r="V69" s="88"/>
      <c r="W69" s="96"/>
      <c r="X69" s="97"/>
      <c r="Y69" s="97"/>
      <c r="Z69" s="98"/>
      <c r="AA69" s="99"/>
      <c r="AB69" s="98"/>
      <c r="AC69" s="88"/>
      <c r="AD69" s="98"/>
      <c r="AE69" s="64"/>
      <c r="AF69" s="67" t="str">
        <f t="shared" si="0"/>
        <v/>
      </c>
      <c r="AG69" s="58"/>
      <c r="AH69" s="68" t="str">
        <f t="shared" si="1"/>
        <v/>
      </c>
      <c r="AI69" s="53"/>
      <c r="AJ69" s="53"/>
      <c r="AK69" s="53"/>
      <c r="AL69" s="53"/>
      <c r="AM69" s="53"/>
      <c r="AN69" s="53"/>
      <c r="AO69" s="53"/>
      <c r="AP69" s="53"/>
      <c r="AQ69" s="53"/>
      <c r="AR69" s="53"/>
      <c r="AS69" s="53"/>
      <c r="AT69" s="53"/>
      <c r="AU69" s="53"/>
      <c r="AV69" s="58"/>
      <c r="AW69" s="58"/>
      <c r="AX69" s="58"/>
      <c r="AY69" s="53"/>
      <c r="AZ69" s="53"/>
      <c r="BA69" s="53"/>
      <c r="BB69" s="53"/>
      <c r="BC69" s="53"/>
      <c r="BD69" s="53"/>
      <c r="BE69" s="53"/>
      <c r="BF69" s="53"/>
      <c r="BG69" s="53"/>
      <c r="BH69" s="53"/>
      <c r="BI69" s="53"/>
      <c r="BJ69" s="53"/>
      <c r="BK69" s="53"/>
      <c r="BL69" s="53"/>
      <c r="BM69" s="53"/>
      <c r="BN69" s="53"/>
      <c r="BO69" s="65" t="str">
        <f t="shared" si="2"/>
        <v/>
      </c>
    </row>
    <row r="70" spans="1:67" ht="19.5" customHeight="1">
      <c r="A70" s="70" t="b">
        <v>0</v>
      </c>
      <c r="B70" s="71" t="b">
        <v>1</v>
      </c>
      <c r="C70" s="72" t="b">
        <v>0</v>
      </c>
      <c r="D70" s="72" t="b">
        <v>0</v>
      </c>
      <c r="E70" s="57"/>
      <c r="F70" s="59"/>
      <c r="G70" s="57"/>
      <c r="H70" s="88"/>
      <c r="I70" s="88"/>
      <c r="J70" s="88"/>
      <c r="K70" s="89" t="b">
        <v>1</v>
      </c>
      <c r="L70" s="60"/>
      <c r="M70" s="57"/>
      <c r="N70" s="57"/>
      <c r="O70" s="61"/>
      <c r="P70" s="60"/>
      <c r="Q70" s="57"/>
      <c r="R70" s="57"/>
      <c r="S70" s="95"/>
      <c r="T70" s="88"/>
      <c r="U70" s="88"/>
      <c r="V70" s="88"/>
      <c r="W70" s="96"/>
      <c r="X70" s="97"/>
      <c r="Y70" s="97"/>
      <c r="Z70" s="98"/>
      <c r="AA70" s="99"/>
      <c r="AB70" s="98"/>
      <c r="AC70" s="88"/>
      <c r="AD70" s="98"/>
      <c r="AE70" s="64"/>
      <c r="AF70" s="67" t="str">
        <f t="shared" si="0"/>
        <v/>
      </c>
      <c r="AG70" s="58"/>
      <c r="AH70" s="68" t="str">
        <f t="shared" si="1"/>
        <v/>
      </c>
      <c r="AI70" s="53"/>
      <c r="AJ70" s="53"/>
      <c r="AK70" s="53"/>
      <c r="AL70" s="53"/>
      <c r="AM70" s="53"/>
      <c r="AN70" s="53"/>
      <c r="AO70" s="53"/>
      <c r="AP70" s="53"/>
      <c r="AQ70" s="53"/>
      <c r="AR70" s="53"/>
      <c r="AS70" s="53"/>
      <c r="AT70" s="53"/>
      <c r="AU70" s="53"/>
      <c r="AV70" s="58"/>
      <c r="AW70" s="58"/>
      <c r="AX70" s="58"/>
      <c r="AY70" s="53"/>
      <c r="AZ70" s="53"/>
      <c r="BA70" s="53"/>
      <c r="BB70" s="53"/>
      <c r="BC70" s="53"/>
      <c r="BD70" s="53"/>
      <c r="BE70" s="53"/>
      <c r="BF70" s="53"/>
      <c r="BG70" s="53"/>
      <c r="BH70" s="53"/>
      <c r="BI70" s="53"/>
      <c r="BJ70" s="53"/>
      <c r="BK70" s="53"/>
      <c r="BL70" s="53"/>
      <c r="BM70" s="53"/>
      <c r="BN70" s="53"/>
      <c r="BO70" s="65" t="str">
        <f t="shared" si="2"/>
        <v/>
      </c>
    </row>
    <row r="71" spans="1:67" ht="19.5" customHeight="1">
      <c r="A71" s="70" t="b">
        <v>0</v>
      </c>
      <c r="B71" s="71" t="b">
        <v>1</v>
      </c>
      <c r="C71" s="72" t="b">
        <v>0</v>
      </c>
      <c r="D71" s="72" t="b">
        <v>0</v>
      </c>
      <c r="E71" s="57"/>
      <c r="F71" s="59"/>
      <c r="G71" s="57"/>
      <c r="H71" s="88"/>
      <c r="I71" s="88"/>
      <c r="J71" s="88"/>
      <c r="K71" s="89" t="b">
        <v>1</v>
      </c>
      <c r="L71" s="60"/>
      <c r="M71" s="57"/>
      <c r="N71" s="57"/>
      <c r="O71" s="61"/>
      <c r="P71" s="60"/>
      <c r="Q71" s="57"/>
      <c r="R71" s="57"/>
      <c r="S71" s="95"/>
      <c r="T71" s="88"/>
      <c r="U71" s="88"/>
      <c r="V71" s="88"/>
      <c r="W71" s="96"/>
      <c r="X71" s="97"/>
      <c r="Y71" s="97"/>
      <c r="Z71" s="98"/>
      <c r="AA71" s="99"/>
      <c r="AB71" s="98"/>
      <c r="AC71" s="88"/>
      <c r="AD71" s="98"/>
      <c r="AE71" s="64"/>
      <c r="AF71" s="67" t="str">
        <f t="shared" si="0"/>
        <v/>
      </c>
      <c r="AG71" s="58"/>
      <c r="AH71" s="68" t="str">
        <f t="shared" si="1"/>
        <v/>
      </c>
      <c r="AI71" s="53"/>
      <c r="AJ71" s="53"/>
      <c r="AK71" s="53"/>
      <c r="AL71" s="53"/>
      <c r="AM71" s="53"/>
      <c r="AN71" s="53"/>
      <c r="AO71" s="53"/>
      <c r="AP71" s="53"/>
      <c r="AQ71" s="53"/>
      <c r="AR71" s="53"/>
      <c r="AS71" s="53"/>
      <c r="AT71" s="53"/>
      <c r="AU71" s="53"/>
      <c r="AV71" s="58"/>
      <c r="AW71" s="58"/>
      <c r="AX71" s="58"/>
      <c r="AY71" s="53"/>
      <c r="AZ71" s="53"/>
      <c r="BA71" s="53"/>
      <c r="BB71" s="53"/>
      <c r="BC71" s="53"/>
      <c r="BD71" s="53"/>
      <c r="BE71" s="53"/>
      <c r="BF71" s="53"/>
      <c r="BG71" s="53"/>
      <c r="BH71" s="53"/>
      <c r="BI71" s="53"/>
      <c r="BJ71" s="53"/>
      <c r="BK71" s="53"/>
      <c r="BL71" s="53"/>
      <c r="BM71" s="53"/>
      <c r="BN71" s="53"/>
      <c r="BO71" s="65" t="str">
        <f t="shared" si="2"/>
        <v/>
      </c>
    </row>
    <row r="72" spans="1:67" ht="19.5" customHeight="1">
      <c r="A72" s="70" t="b">
        <v>0</v>
      </c>
      <c r="B72" s="71" t="b">
        <v>1</v>
      </c>
      <c r="C72" s="72" t="b">
        <v>0</v>
      </c>
      <c r="D72" s="72" t="b">
        <v>0</v>
      </c>
      <c r="E72" s="57"/>
      <c r="F72" s="59"/>
      <c r="G72" s="57"/>
      <c r="H72" s="88"/>
      <c r="I72" s="88"/>
      <c r="J72" s="88"/>
      <c r="K72" s="89" t="b">
        <v>1</v>
      </c>
      <c r="L72" s="60"/>
      <c r="M72" s="57"/>
      <c r="N72" s="57"/>
      <c r="O72" s="61"/>
      <c r="P72" s="60"/>
      <c r="Q72" s="57"/>
      <c r="R72" s="57"/>
      <c r="S72" s="95"/>
      <c r="T72" s="88"/>
      <c r="U72" s="88"/>
      <c r="V72" s="88"/>
      <c r="W72" s="96"/>
      <c r="X72" s="97"/>
      <c r="Y72" s="97"/>
      <c r="Z72" s="98"/>
      <c r="AA72" s="99"/>
      <c r="AB72" s="98"/>
      <c r="AC72" s="88"/>
      <c r="AD72" s="98"/>
      <c r="AE72" s="64"/>
      <c r="AF72" s="67" t="str">
        <f t="shared" si="0"/>
        <v/>
      </c>
      <c r="AG72" s="58"/>
      <c r="AH72" s="68" t="str">
        <f t="shared" si="1"/>
        <v/>
      </c>
      <c r="AI72" s="53"/>
      <c r="AJ72" s="53"/>
      <c r="AK72" s="53"/>
      <c r="AL72" s="53"/>
      <c r="AM72" s="53"/>
      <c r="AN72" s="53"/>
      <c r="AO72" s="53"/>
      <c r="AP72" s="53"/>
      <c r="AQ72" s="53"/>
      <c r="AR72" s="53"/>
      <c r="AS72" s="53"/>
      <c r="AT72" s="53"/>
      <c r="AU72" s="53"/>
      <c r="AV72" s="58"/>
      <c r="AW72" s="58"/>
      <c r="AX72" s="58"/>
      <c r="AY72" s="53"/>
      <c r="AZ72" s="53"/>
      <c r="BA72" s="53"/>
      <c r="BB72" s="53"/>
      <c r="BC72" s="53"/>
      <c r="BD72" s="53"/>
      <c r="BE72" s="53"/>
      <c r="BF72" s="53"/>
      <c r="BG72" s="53"/>
      <c r="BH72" s="53"/>
      <c r="BI72" s="53"/>
      <c r="BJ72" s="53"/>
      <c r="BK72" s="53"/>
      <c r="BL72" s="53"/>
      <c r="BM72" s="53"/>
      <c r="BN72" s="53"/>
      <c r="BO72" s="65" t="str">
        <f t="shared" si="2"/>
        <v/>
      </c>
    </row>
    <row r="73" spans="1:67" ht="19.5" customHeight="1">
      <c r="A73" s="70" t="b">
        <v>0</v>
      </c>
      <c r="B73" s="71" t="b">
        <v>1</v>
      </c>
      <c r="C73" s="72" t="b">
        <v>0</v>
      </c>
      <c r="D73" s="72" t="b">
        <v>0</v>
      </c>
      <c r="E73" s="57"/>
      <c r="F73" s="59"/>
      <c r="G73" s="57"/>
      <c r="H73" s="88"/>
      <c r="I73" s="88"/>
      <c r="J73" s="88"/>
      <c r="K73" s="89" t="b">
        <v>1</v>
      </c>
      <c r="L73" s="60"/>
      <c r="M73" s="57"/>
      <c r="N73" s="57"/>
      <c r="O73" s="61"/>
      <c r="P73" s="60"/>
      <c r="Q73" s="57"/>
      <c r="R73" s="57"/>
      <c r="S73" s="95"/>
      <c r="T73" s="88"/>
      <c r="U73" s="88"/>
      <c r="V73" s="88"/>
      <c r="W73" s="96"/>
      <c r="X73" s="97"/>
      <c r="Y73" s="97"/>
      <c r="Z73" s="98"/>
      <c r="AA73" s="99"/>
      <c r="AB73" s="98"/>
      <c r="AC73" s="88"/>
      <c r="AD73" s="98"/>
      <c r="AE73" s="64"/>
      <c r="AF73" s="67" t="str">
        <f t="shared" si="0"/>
        <v/>
      </c>
      <c r="AG73" s="58"/>
      <c r="AH73" s="68" t="str">
        <f t="shared" si="1"/>
        <v/>
      </c>
      <c r="AI73" s="53"/>
      <c r="AJ73" s="53"/>
      <c r="AK73" s="53"/>
      <c r="AL73" s="53"/>
      <c r="AM73" s="53"/>
      <c r="AN73" s="53"/>
      <c r="AO73" s="53"/>
      <c r="AP73" s="53"/>
      <c r="AQ73" s="53"/>
      <c r="AR73" s="53"/>
      <c r="AS73" s="53"/>
      <c r="AT73" s="53"/>
      <c r="AU73" s="53"/>
      <c r="AV73" s="58"/>
      <c r="AW73" s="58"/>
      <c r="AX73" s="58"/>
      <c r="AY73" s="53"/>
      <c r="AZ73" s="53"/>
      <c r="BA73" s="53"/>
      <c r="BB73" s="53"/>
      <c r="BC73" s="53"/>
      <c r="BD73" s="53"/>
      <c r="BE73" s="53"/>
      <c r="BF73" s="53"/>
      <c r="BG73" s="53"/>
      <c r="BH73" s="53"/>
      <c r="BI73" s="53"/>
      <c r="BJ73" s="53"/>
      <c r="BK73" s="53"/>
      <c r="BL73" s="53"/>
      <c r="BM73" s="53"/>
      <c r="BN73" s="53"/>
      <c r="BO73" s="65" t="str">
        <f t="shared" si="2"/>
        <v/>
      </c>
    </row>
    <row r="74" spans="1:67" ht="19.5" customHeight="1">
      <c r="A74" s="70" t="b">
        <v>0</v>
      </c>
      <c r="B74" s="71" t="b">
        <v>1</v>
      </c>
      <c r="C74" s="72" t="b">
        <v>0</v>
      </c>
      <c r="D74" s="72" t="b">
        <v>0</v>
      </c>
      <c r="E74" s="57"/>
      <c r="F74" s="59"/>
      <c r="G74" s="57"/>
      <c r="H74" s="88"/>
      <c r="I74" s="88"/>
      <c r="J74" s="88"/>
      <c r="K74" s="89" t="b">
        <v>1</v>
      </c>
      <c r="L74" s="60"/>
      <c r="M74" s="57"/>
      <c r="N74" s="57"/>
      <c r="O74" s="61"/>
      <c r="P74" s="60"/>
      <c r="Q74" s="57"/>
      <c r="R74" s="57"/>
      <c r="S74" s="95"/>
      <c r="T74" s="88"/>
      <c r="U74" s="88"/>
      <c r="V74" s="88"/>
      <c r="W74" s="96"/>
      <c r="X74" s="97"/>
      <c r="Y74" s="97"/>
      <c r="Z74" s="98"/>
      <c r="AA74" s="99"/>
      <c r="AB74" s="98"/>
      <c r="AC74" s="88"/>
      <c r="AD74" s="98"/>
      <c r="AE74" s="64"/>
      <c r="AF74" s="67" t="str">
        <f t="shared" si="0"/>
        <v/>
      </c>
      <c r="AG74" s="58"/>
      <c r="AH74" s="68" t="str">
        <f t="shared" si="1"/>
        <v/>
      </c>
      <c r="AI74" s="53"/>
      <c r="AJ74" s="53"/>
      <c r="AK74" s="53"/>
      <c r="AL74" s="53"/>
      <c r="AM74" s="53"/>
      <c r="AN74" s="53"/>
      <c r="AO74" s="53"/>
      <c r="AP74" s="53"/>
      <c r="AQ74" s="53"/>
      <c r="AR74" s="53"/>
      <c r="AS74" s="53"/>
      <c r="AT74" s="53"/>
      <c r="AU74" s="53"/>
      <c r="AV74" s="58"/>
      <c r="AW74" s="58"/>
      <c r="AX74" s="58"/>
      <c r="AY74" s="53"/>
      <c r="AZ74" s="53"/>
      <c r="BA74" s="53"/>
      <c r="BB74" s="53"/>
      <c r="BC74" s="53"/>
      <c r="BD74" s="53"/>
      <c r="BE74" s="53"/>
      <c r="BF74" s="53"/>
      <c r="BG74" s="53"/>
      <c r="BH74" s="53"/>
      <c r="BI74" s="53"/>
      <c r="BJ74" s="53"/>
      <c r="BK74" s="53"/>
      <c r="BL74" s="53"/>
      <c r="BM74" s="53"/>
      <c r="BN74" s="53"/>
      <c r="BO74" s="65" t="str">
        <f t="shared" si="2"/>
        <v/>
      </c>
    </row>
    <row r="75" spans="1:67" ht="19.5" customHeight="1">
      <c r="A75" s="70" t="b">
        <v>0</v>
      </c>
      <c r="B75" s="71" t="b">
        <v>1</v>
      </c>
      <c r="C75" s="72" t="b">
        <v>0</v>
      </c>
      <c r="D75" s="72" t="b">
        <v>0</v>
      </c>
      <c r="E75" s="57"/>
      <c r="F75" s="59"/>
      <c r="G75" s="57"/>
      <c r="H75" s="88"/>
      <c r="I75" s="88"/>
      <c r="J75" s="88"/>
      <c r="K75" s="89" t="b">
        <v>1</v>
      </c>
      <c r="L75" s="60"/>
      <c r="M75" s="57"/>
      <c r="N75" s="57"/>
      <c r="O75" s="61"/>
      <c r="P75" s="60"/>
      <c r="Q75" s="57"/>
      <c r="R75" s="57"/>
      <c r="S75" s="95"/>
      <c r="T75" s="88"/>
      <c r="U75" s="88"/>
      <c r="V75" s="88"/>
      <c r="W75" s="96"/>
      <c r="X75" s="97"/>
      <c r="Y75" s="97"/>
      <c r="Z75" s="98"/>
      <c r="AA75" s="99"/>
      <c r="AB75" s="98"/>
      <c r="AC75" s="88"/>
      <c r="AD75" s="98"/>
      <c r="AE75" s="64"/>
      <c r="AF75" s="67" t="str">
        <f t="shared" si="0"/>
        <v/>
      </c>
      <c r="AG75" s="58"/>
      <c r="AH75" s="68" t="str">
        <f t="shared" si="1"/>
        <v/>
      </c>
      <c r="AI75" s="53"/>
      <c r="AJ75" s="53"/>
      <c r="AK75" s="53"/>
      <c r="AL75" s="53"/>
      <c r="AM75" s="53"/>
      <c r="AN75" s="53"/>
      <c r="AO75" s="53"/>
      <c r="AP75" s="53"/>
      <c r="AQ75" s="53"/>
      <c r="AR75" s="53"/>
      <c r="AS75" s="53"/>
      <c r="AT75" s="53"/>
      <c r="AU75" s="53"/>
      <c r="AV75" s="58"/>
      <c r="AW75" s="58"/>
      <c r="AX75" s="58"/>
      <c r="AY75" s="53"/>
      <c r="AZ75" s="53"/>
      <c r="BA75" s="53"/>
      <c r="BB75" s="53"/>
      <c r="BC75" s="53"/>
      <c r="BD75" s="53"/>
      <c r="BE75" s="53"/>
      <c r="BF75" s="53"/>
      <c r="BG75" s="53"/>
      <c r="BH75" s="53"/>
      <c r="BI75" s="53"/>
      <c r="BJ75" s="53"/>
      <c r="BK75" s="53"/>
      <c r="BL75" s="53"/>
      <c r="BM75" s="53"/>
      <c r="BN75" s="53"/>
      <c r="BO75" s="65" t="str">
        <f t="shared" si="2"/>
        <v/>
      </c>
    </row>
    <row r="76" spans="1:67" ht="19.5" customHeight="1">
      <c r="A76" s="70" t="b">
        <v>0</v>
      </c>
      <c r="B76" s="71" t="b">
        <v>1</v>
      </c>
      <c r="C76" s="72" t="b">
        <v>0</v>
      </c>
      <c r="D76" s="72" t="b">
        <v>0</v>
      </c>
      <c r="E76" s="57"/>
      <c r="F76" s="59"/>
      <c r="G76" s="57"/>
      <c r="H76" s="88"/>
      <c r="I76" s="88"/>
      <c r="J76" s="88"/>
      <c r="K76" s="89" t="b">
        <v>1</v>
      </c>
      <c r="L76" s="60"/>
      <c r="M76" s="57"/>
      <c r="N76" s="57"/>
      <c r="O76" s="61"/>
      <c r="P76" s="60"/>
      <c r="Q76" s="57"/>
      <c r="R76" s="57"/>
      <c r="S76" s="95"/>
      <c r="T76" s="88"/>
      <c r="U76" s="88"/>
      <c r="V76" s="88"/>
      <c r="W76" s="96"/>
      <c r="X76" s="97"/>
      <c r="Y76" s="97"/>
      <c r="Z76" s="98"/>
      <c r="AA76" s="99"/>
      <c r="AB76" s="98"/>
      <c r="AC76" s="88"/>
      <c r="AD76" s="98"/>
      <c r="AE76" s="64"/>
      <c r="AF76" s="67" t="str">
        <f t="shared" si="0"/>
        <v/>
      </c>
      <c r="AG76" s="58"/>
      <c r="AH76" s="68" t="str">
        <f t="shared" si="1"/>
        <v/>
      </c>
      <c r="AI76" s="53"/>
      <c r="AJ76" s="53"/>
      <c r="AK76" s="53"/>
      <c r="AL76" s="53"/>
      <c r="AM76" s="53"/>
      <c r="AN76" s="53"/>
      <c r="AO76" s="53"/>
      <c r="AP76" s="53"/>
      <c r="AQ76" s="53"/>
      <c r="AR76" s="53"/>
      <c r="AS76" s="53"/>
      <c r="AT76" s="53"/>
      <c r="AU76" s="53"/>
      <c r="AV76" s="58"/>
      <c r="AW76" s="58"/>
      <c r="AX76" s="58"/>
      <c r="AY76" s="53"/>
      <c r="AZ76" s="53"/>
      <c r="BA76" s="53"/>
      <c r="BB76" s="53"/>
      <c r="BC76" s="53"/>
      <c r="BD76" s="53"/>
      <c r="BE76" s="53"/>
      <c r="BF76" s="53"/>
      <c r="BG76" s="53"/>
      <c r="BH76" s="53"/>
      <c r="BI76" s="53"/>
      <c r="BJ76" s="53"/>
      <c r="BK76" s="53"/>
      <c r="BL76" s="53"/>
      <c r="BM76" s="53"/>
      <c r="BN76" s="53"/>
      <c r="BO76" s="65" t="str">
        <f t="shared" si="2"/>
        <v/>
      </c>
    </row>
    <row r="77" spans="1:67" ht="19.5" customHeight="1">
      <c r="A77" s="70" t="b">
        <v>0</v>
      </c>
      <c r="B77" s="71" t="b">
        <v>1</v>
      </c>
      <c r="C77" s="72" t="b">
        <v>0</v>
      </c>
      <c r="D77" s="72" t="b">
        <v>0</v>
      </c>
      <c r="E77" s="57"/>
      <c r="F77" s="59"/>
      <c r="G77" s="57"/>
      <c r="H77" s="88"/>
      <c r="I77" s="88"/>
      <c r="J77" s="88"/>
      <c r="K77" s="89" t="b">
        <v>1</v>
      </c>
      <c r="L77" s="60"/>
      <c r="M77" s="57"/>
      <c r="N77" s="57"/>
      <c r="O77" s="61"/>
      <c r="P77" s="60"/>
      <c r="Q77" s="57"/>
      <c r="R77" s="57"/>
      <c r="S77" s="95"/>
      <c r="T77" s="88"/>
      <c r="U77" s="88"/>
      <c r="V77" s="88"/>
      <c r="W77" s="96"/>
      <c r="X77" s="97"/>
      <c r="Y77" s="97"/>
      <c r="Z77" s="98"/>
      <c r="AA77" s="99"/>
      <c r="AB77" s="98"/>
      <c r="AC77" s="88"/>
      <c r="AD77" s="98"/>
      <c r="AE77" s="64"/>
      <c r="AF77" s="67" t="str">
        <f t="shared" si="0"/>
        <v/>
      </c>
      <c r="AG77" s="58"/>
      <c r="AH77" s="68" t="str">
        <f t="shared" si="1"/>
        <v/>
      </c>
      <c r="AI77" s="53"/>
      <c r="AJ77" s="53"/>
      <c r="AK77" s="53"/>
      <c r="AL77" s="53"/>
      <c r="AM77" s="53"/>
      <c r="AN77" s="53"/>
      <c r="AO77" s="53"/>
      <c r="AP77" s="53"/>
      <c r="AQ77" s="53"/>
      <c r="AR77" s="53"/>
      <c r="AS77" s="53"/>
      <c r="AT77" s="53"/>
      <c r="AU77" s="53"/>
      <c r="AV77" s="58"/>
      <c r="AW77" s="58"/>
      <c r="AX77" s="58"/>
      <c r="AY77" s="53"/>
      <c r="AZ77" s="53"/>
      <c r="BA77" s="53"/>
      <c r="BB77" s="53"/>
      <c r="BC77" s="53"/>
      <c r="BD77" s="53"/>
      <c r="BE77" s="53"/>
      <c r="BF77" s="53"/>
      <c r="BG77" s="53"/>
      <c r="BH77" s="53"/>
      <c r="BI77" s="53"/>
      <c r="BJ77" s="53"/>
      <c r="BK77" s="53"/>
      <c r="BL77" s="53"/>
      <c r="BM77" s="53"/>
      <c r="BN77" s="53"/>
      <c r="BO77" s="65" t="str">
        <f t="shared" si="2"/>
        <v/>
      </c>
    </row>
    <row r="78" spans="1:67" ht="19.5" customHeight="1">
      <c r="A78" s="70" t="b">
        <v>0</v>
      </c>
      <c r="B78" s="71" t="b">
        <v>1</v>
      </c>
      <c r="C78" s="72" t="b">
        <v>0</v>
      </c>
      <c r="D78" s="72" t="b">
        <v>0</v>
      </c>
      <c r="E78" s="57"/>
      <c r="F78" s="59"/>
      <c r="G78" s="57"/>
      <c r="H78" s="88"/>
      <c r="I78" s="88"/>
      <c r="J78" s="88"/>
      <c r="K78" s="89" t="b">
        <v>1</v>
      </c>
      <c r="L78" s="60"/>
      <c r="M78" s="57"/>
      <c r="N78" s="57"/>
      <c r="O78" s="61"/>
      <c r="P78" s="60"/>
      <c r="Q78" s="57"/>
      <c r="R78" s="57"/>
      <c r="S78" s="95"/>
      <c r="T78" s="88"/>
      <c r="U78" s="88"/>
      <c r="V78" s="88"/>
      <c r="W78" s="96"/>
      <c r="X78" s="97"/>
      <c r="Y78" s="97"/>
      <c r="Z78" s="98"/>
      <c r="AA78" s="99"/>
      <c r="AB78" s="98"/>
      <c r="AC78" s="88"/>
      <c r="AD78" s="98"/>
      <c r="AE78" s="64"/>
      <c r="AF78" s="67" t="str">
        <f t="shared" si="0"/>
        <v/>
      </c>
      <c r="AG78" s="58"/>
      <c r="AH78" s="68" t="str">
        <f t="shared" si="1"/>
        <v/>
      </c>
      <c r="AI78" s="53"/>
      <c r="AJ78" s="53"/>
      <c r="AK78" s="53"/>
      <c r="AL78" s="53"/>
      <c r="AM78" s="53"/>
      <c r="AN78" s="53"/>
      <c r="AO78" s="53"/>
      <c r="AP78" s="53"/>
      <c r="AQ78" s="53"/>
      <c r="AR78" s="53"/>
      <c r="AS78" s="53"/>
      <c r="AT78" s="53"/>
      <c r="AU78" s="53"/>
      <c r="AV78" s="58"/>
      <c r="AW78" s="58"/>
      <c r="AX78" s="58"/>
      <c r="AY78" s="53"/>
      <c r="AZ78" s="53"/>
      <c r="BA78" s="53"/>
      <c r="BB78" s="53"/>
      <c r="BC78" s="53"/>
      <c r="BD78" s="53"/>
      <c r="BE78" s="53"/>
      <c r="BF78" s="53"/>
      <c r="BG78" s="53"/>
      <c r="BH78" s="53"/>
      <c r="BI78" s="53"/>
      <c r="BJ78" s="53"/>
      <c r="BK78" s="53"/>
      <c r="BL78" s="53"/>
      <c r="BM78" s="53"/>
      <c r="BN78" s="53"/>
      <c r="BO78" s="65" t="str">
        <f t="shared" si="2"/>
        <v/>
      </c>
    </row>
    <row r="79" spans="1:67" ht="19.5" customHeight="1">
      <c r="A79" s="70" t="b">
        <v>0</v>
      </c>
      <c r="B79" s="71" t="b">
        <v>1</v>
      </c>
      <c r="C79" s="72" t="b">
        <v>0</v>
      </c>
      <c r="D79" s="72" t="b">
        <v>0</v>
      </c>
      <c r="E79" s="57"/>
      <c r="F79" s="59"/>
      <c r="G79" s="57"/>
      <c r="H79" s="88"/>
      <c r="I79" s="88"/>
      <c r="J79" s="88"/>
      <c r="K79" s="89" t="b">
        <v>1</v>
      </c>
      <c r="L79" s="60"/>
      <c r="M79" s="57"/>
      <c r="N79" s="57"/>
      <c r="O79" s="61"/>
      <c r="P79" s="60"/>
      <c r="Q79" s="57"/>
      <c r="R79" s="57"/>
      <c r="S79" s="95"/>
      <c r="T79" s="88"/>
      <c r="U79" s="88"/>
      <c r="V79" s="88"/>
      <c r="W79" s="96"/>
      <c r="X79" s="97"/>
      <c r="Y79" s="97"/>
      <c r="Z79" s="98"/>
      <c r="AA79" s="99"/>
      <c r="AB79" s="98"/>
      <c r="AC79" s="88"/>
      <c r="AD79" s="98"/>
      <c r="AE79" s="64"/>
      <c r="AF79" s="67" t="str">
        <f t="shared" si="0"/>
        <v/>
      </c>
      <c r="AG79" s="58"/>
      <c r="AH79" s="68" t="str">
        <f t="shared" si="1"/>
        <v/>
      </c>
      <c r="AI79" s="53"/>
      <c r="AJ79" s="53"/>
      <c r="AK79" s="53"/>
      <c r="AL79" s="53"/>
      <c r="AM79" s="53"/>
      <c r="AN79" s="53"/>
      <c r="AO79" s="53"/>
      <c r="AP79" s="53"/>
      <c r="AQ79" s="53"/>
      <c r="AR79" s="53"/>
      <c r="AS79" s="53"/>
      <c r="AT79" s="53"/>
      <c r="AU79" s="53"/>
      <c r="AV79" s="58"/>
      <c r="AW79" s="58"/>
      <c r="AX79" s="58"/>
      <c r="AY79" s="53"/>
      <c r="AZ79" s="53"/>
      <c r="BA79" s="53"/>
      <c r="BB79" s="53"/>
      <c r="BC79" s="53"/>
      <c r="BD79" s="53"/>
      <c r="BE79" s="53"/>
      <c r="BF79" s="53"/>
      <c r="BG79" s="53"/>
      <c r="BH79" s="53"/>
      <c r="BI79" s="53"/>
      <c r="BJ79" s="53"/>
      <c r="BK79" s="53"/>
      <c r="BL79" s="53"/>
      <c r="BM79" s="53"/>
      <c r="BN79" s="53"/>
      <c r="BO79" s="65" t="str">
        <f t="shared" si="2"/>
        <v/>
      </c>
    </row>
    <row r="80" spans="1:67" ht="19.5" customHeight="1">
      <c r="A80" s="70" t="b">
        <v>0</v>
      </c>
      <c r="B80" s="71" t="b">
        <v>1</v>
      </c>
      <c r="C80" s="72" t="b">
        <v>0</v>
      </c>
      <c r="D80" s="72" t="b">
        <v>0</v>
      </c>
      <c r="E80" s="57"/>
      <c r="F80" s="59"/>
      <c r="G80" s="57"/>
      <c r="H80" s="88"/>
      <c r="I80" s="88"/>
      <c r="J80" s="88"/>
      <c r="K80" s="89" t="b">
        <v>1</v>
      </c>
      <c r="L80" s="60"/>
      <c r="M80" s="57"/>
      <c r="N80" s="57"/>
      <c r="O80" s="61"/>
      <c r="P80" s="60"/>
      <c r="Q80" s="57"/>
      <c r="R80" s="57"/>
      <c r="S80" s="95"/>
      <c r="T80" s="88"/>
      <c r="U80" s="88"/>
      <c r="V80" s="88"/>
      <c r="W80" s="96"/>
      <c r="X80" s="97"/>
      <c r="Y80" s="97"/>
      <c r="Z80" s="98"/>
      <c r="AA80" s="99"/>
      <c r="AB80" s="98"/>
      <c r="AC80" s="88"/>
      <c r="AD80" s="98"/>
      <c r="AE80" s="64"/>
      <c r="AF80" s="67" t="str">
        <f t="shared" si="0"/>
        <v/>
      </c>
      <c r="AG80" s="58"/>
      <c r="AH80" s="68" t="str">
        <f t="shared" si="1"/>
        <v/>
      </c>
      <c r="AI80" s="53"/>
      <c r="AJ80" s="53"/>
      <c r="AK80" s="53"/>
      <c r="AL80" s="53"/>
      <c r="AM80" s="53"/>
      <c r="AN80" s="53"/>
      <c r="AO80" s="53"/>
      <c r="AP80" s="53"/>
      <c r="AQ80" s="53"/>
      <c r="AR80" s="53"/>
      <c r="AS80" s="53"/>
      <c r="AT80" s="53"/>
      <c r="AU80" s="53"/>
      <c r="AV80" s="58"/>
      <c r="AW80" s="58"/>
      <c r="AX80" s="58"/>
      <c r="AY80" s="53"/>
      <c r="AZ80" s="53"/>
      <c r="BA80" s="53"/>
      <c r="BB80" s="53"/>
      <c r="BC80" s="53"/>
      <c r="BD80" s="53"/>
      <c r="BE80" s="53"/>
      <c r="BF80" s="53"/>
      <c r="BG80" s="53"/>
      <c r="BH80" s="53"/>
      <c r="BI80" s="53"/>
      <c r="BJ80" s="53"/>
      <c r="BK80" s="53"/>
      <c r="BL80" s="53"/>
      <c r="BM80" s="53"/>
      <c r="BN80" s="53"/>
      <c r="BO80" s="65" t="str">
        <f t="shared" si="2"/>
        <v/>
      </c>
    </row>
    <row r="81" spans="1:67" ht="19.5" customHeight="1">
      <c r="A81" s="70" t="b">
        <v>0</v>
      </c>
      <c r="B81" s="71" t="b">
        <v>1</v>
      </c>
      <c r="C81" s="72" t="b">
        <v>0</v>
      </c>
      <c r="D81" s="72" t="b">
        <v>0</v>
      </c>
      <c r="E81" s="57"/>
      <c r="F81" s="59"/>
      <c r="G81" s="57"/>
      <c r="H81" s="88"/>
      <c r="I81" s="88"/>
      <c r="J81" s="88"/>
      <c r="K81" s="89" t="b">
        <v>1</v>
      </c>
      <c r="L81" s="60"/>
      <c r="M81" s="57"/>
      <c r="N81" s="57"/>
      <c r="O81" s="61"/>
      <c r="P81" s="60"/>
      <c r="Q81" s="57"/>
      <c r="R81" s="57"/>
      <c r="S81" s="95"/>
      <c r="T81" s="88"/>
      <c r="U81" s="88"/>
      <c r="V81" s="88"/>
      <c r="W81" s="96"/>
      <c r="X81" s="97"/>
      <c r="Y81" s="97"/>
      <c r="Z81" s="98"/>
      <c r="AA81" s="99"/>
      <c r="AB81" s="98"/>
      <c r="AC81" s="88"/>
      <c r="AD81" s="98"/>
      <c r="AE81" s="64"/>
      <c r="AF81" s="67" t="str">
        <f t="shared" si="0"/>
        <v/>
      </c>
      <c r="AG81" s="58"/>
      <c r="AH81" s="68" t="str">
        <f t="shared" si="1"/>
        <v/>
      </c>
      <c r="AI81" s="53"/>
      <c r="AJ81" s="53"/>
      <c r="AK81" s="53"/>
      <c r="AL81" s="53"/>
      <c r="AM81" s="53"/>
      <c r="AN81" s="53"/>
      <c r="AO81" s="53"/>
      <c r="AP81" s="53"/>
      <c r="AQ81" s="53"/>
      <c r="AR81" s="53"/>
      <c r="AS81" s="53"/>
      <c r="AT81" s="53"/>
      <c r="AU81" s="53"/>
      <c r="AV81" s="58"/>
      <c r="AW81" s="58"/>
      <c r="AX81" s="58"/>
      <c r="AY81" s="53"/>
      <c r="AZ81" s="53"/>
      <c r="BA81" s="53"/>
      <c r="BB81" s="53"/>
      <c r="BC81" s="53"/>
      <c r="BD81" s="53"/>
      <c r="BE81" s="53"/>
      <c r="BF81" s="53"/>
      <c r="BG81" s="53"/>
      <c r="BH81" s="53"/>
      <c r="BI81" s="53"/>
      <c r="BJ81" s="53"/>
      <c r="BK81" s="53"/>
      <c r="BL81" s="53"/>
      <c r="BM81" s="53"/>
      <c r="BN81" s="53"/>
      <c r="BO81" s="65" t="str">
        <f t="shared" si="2"/>
        <v/>
      </c>
    </row>
    <row r="82" spans="1:67" ht="19.5" customHeight="1">
      <c r="A82" s="70" t="b">
        <v>0</v>
      </c>
      <c r="B82" s="71" t="b">
        <v>1</v>
      </c>
      <c r="C82" s="72" t="b">
        <v>0</v>
      </c>
      <c r="D82" s="72" t="b">
        <v>0</v>
      </c>
      <c r="E82" s="57"/>
      <c r="F82" s="59"/>
      <c r="G82" s="57"/>
      <c r="H82" s="88"/>
      <c r="I82" s="88"/>
      <c r="J82" s="88"/>
      <c r="K82" s="89" t="b">
        <v>1</v>
      </c>
      <c r="L82" s="60"/>
      <c r="M82" s="57"/>
      <c r="N82" s="57"/>
      <c r="O82" s="61"/>
      <c r="P82" s="60"/>
      <c r="Q82" s="57"/>
      <c r="R82" s="57"/>
      <c r="S82" s="95"/>
      <c r="T82" s="88"/>
      <c r="U82" s="88"/>
      <c r="V82" s="88"/>
      <c r="W82" s="96"/>
      <c r="X82" s="97"/>
      <c r="Y82" s="97"/>
      <c r="Z82" s="98"/>
      <c r="AA82" s="99"/>
      <c r="AB82" s="98"/>
      <c r="AC82" s="88"/>
      <c r="AD82" s="98"/>
      <c r="AE82" s="64"/>
      <c r="AF82" s="67" t="str">
        <f t="shared" si="0"/>
        <v/>
      </c>
      <c r="AG82" s="58"/>
      <c r="AH82" s="68" t="str">
        <f t="shared" si="1"/>
        <v/>
      </c>
      <c r="AI82" s="53"/>
      <c r="AJ82" s="53"/>
      <c r="AK82" s="53"/>
      <c r="AL82" s="53"/>
      <c r="AM82" s="53"/>
      <c r="AN82" s="53"/>
      <c r="AO82" s="53"/>
      <c r="AP82" s="53"/>
      <c r="AQ82" s="53"/>
      <c r="AR82" s="53"/>
      <c r="AS82" s="53"/>
      <c r="AT82" s="53"/>
      <c r="AU82" s="53"/>
      <c r="AV82" s="58"/>
      <c r="AW82" s="58"/>
      <c r="AX82" s="58"/>
      <c r="AY82" s="53"/>
      <c r="AZ82" s="53"/>
      <c r="BA82" s="53"/>
      <c r="BB82" s="53"/>
      <c r="BC82" s="53"/>
      <c r="BD82" s="53"/>
      <c r="BE82" s="53"/>
      <c r="BF82" s="53"/>
      <c r="BG82" s="53"/>
      <c r="BH82" s="53"/>
      <c r="BI82" s="53"/>
      <c r="BJ82" s="53"/>
      <c r="BK82" s="53"/>
      <c r="BL82" s="53"/>
      <c r="BM82" s="53"/>
      <c r="BN82" s="53"/>
      <c r="BO82" s="65" t="str">
        <f t="shared" si="2"/>
        <v/>
      </c>
    </row>
    <row r="83" spans="1:67" ht="19.5" customHeight="1">
      <c r="A83" s="70" t="b">
        <v>0</v>
      </c>
      <c r="B83" s="71" t="b">
        <v>1</v>
      </c>
      <c r="C83" s="72" t="b">
        <v>0</v>
      </c>
      <c r="D83" s="72" t="b">
        <v>0</v>
      </c>
      <c r="E83" s="57"/>
      <c r="F83" s="59"/>
      <c r="G83" s="57"/>
      <c r="H83" s="88"/>
      <c r="I83" s="88"/>
      <c r="J83" s="88"/>
      <c r="K83" s="89" t="b">
        <v>1</v>
      </c>
      <c r="L83" s="60"/>
      <c r="M83" s="57"/>
      <c r="N83" s="57"/>
      <c r="O83" s="61"/>
      <c r="P83" s="60"/>
      <c r="Q83" s="57"/>
      <c r="R83" s="57"/>
      <c r="S83" s="95"/>
      <c r="T83" s="88"/>
      <c r="U83" s="88"/>
      <c r="V83" s="88"/>
      <c r="W83" s="96"/>
      <c r="X83" s="97"/>
      <c r="Y83" s="97"/>
      <c r="Z83" s="98"/>
      <c r="AA83" s="99"/>
      <c r="AB83" s="98"/>
      <c r="AC83" s="88"/>
      <c r="AD83" s="98"/>
      <c r="AE83" s="64"/>
      <c r="AF83" s="67" t="str">
        <f t="shared" ref="AF83:AF146" si="3">IFERROR((VALUE(TRIM(LEFT(MID(AE83,FIND("|",AE83)+1,99),FIND("-",MID(AE83,FIND("|",AE83)+1,99))-1)))+VALUE(TRIM(SUBSTITUTE(SUBSTITUTE(SUBSTITUTE(MID(MID(AE83,FIND("|",AE83)+1,99),FIND("-",MID(AE83,FIND("|",AE83)+1,99))+1,20),"µm",""),"μm","")," ",""))))/2,"")</f>
        <v/>
      </c>
      <c r="AG83" s="58"/>
      <c r="AH83" s="68" t="str">
        <f t="shared" ref="AH83:AH146" si="4">IFERROR((VALUE(TRIM(LEFT(MID(AG83,FIND("|",AG83)+1,99),FIND("-",MID(AG83,FIND("|",AG83)+1,99))-1)))+VALUE(TRIM(SUBSTITUTE(SUBSTITUTE(SUBSTITUTE(MID(MID(AG83,FIND("|",AG83)+1,99),FIND("-",MID(AG83,FIND("|",AG83)+1,99))+1,20),"µm",""),"μm","")," ",""))))/2,"")</f>
        <v/>
      </c>
      <c r="AI83" s="53"/>
      <c r="AJ83" s="53"/>
      <c r="AK83" s="53"/>
      <c r="AL83" s="53"/>
      <c r="AM83" s="53"/>
      <c r="AN83" s="53"/>
      <c r="AO83" s="53"/>
      <c r="AP83" s="53"/>
      <c r="AQ83" s="53"/>
      <c r="AR83" s="53"/>
      <c r="AS83" s="53"/>
      <c r="AT83" s="53"/>
      <c r="AU83" s="53"/>
      <c r="AV83" s="58"/>
      <c r="AW83" s="58"/>
      <c r="AX83" s="58"/>
      <c r="AY83" s="53"/>
      <c r="AZ83" s="53"/>
      <c r="BA83" s="53"/>
      <c r="BB83" s="53"/>
      <c r="BC83" s="53"/>
      <c r="BD83" s="53"/>
      <c r="BE83" s="53"/>
      <c r="BF83" s="53"/>
      <c r="BG83" s="53"/>
      <c r="BH83" s="53"/>
      <c r="BI83" s="53"/>
      <c r="BJ83" s="53"/>
      <c r="BK83" s="53"/>
      <c r="BL83" s="53"/>
      <c r="BM83" s="53"/>
      <c r="BN83" s="53"/>
      <c r="BO83" s="65" t="str">
        <f t="shared" ref="BO83:BO146" si="5">IF(E83="","",H83*I83)</f>
        <v/>
      </c>
    </row>
    <row r="84" spans="1:67" ht="19.5" customHeight="1">
      <c r="A84" s="70" t="b">
        <v>0</v>
      </c>
      <c r="B84" s="71" t="b">
        <v>1</v>
      </c>
      <c r="C84" s="72" t="b">
        <v>0</v>
      </c>
      <c r="D84" s="72" t="b">
        <v>0</v>
      </c>
      <c r="E84" s="57"/>
      <c r="F84" s="59"/>
      <c r="G84" s="57"/>
      <c r="H84" s="88"/>
      <c r="I84" s="88"/>
      <c r="J84" s="88"/>
      <c r="K84" s="89" t="b">
        <v>1</v>
      </c>
      <c r="L84" s="60"/>
      <c r="M84" s="57"/>
      <c r="N84" s="57"/>
      <c r="O84" s="61"/>
      <c r="P84" s="60"/>
      <c r="Q84" s="57"/>
      <c r="R84" s="57"/>
      <c r="S84" s="95"/>
      <c r="T84" s="88"/>
      <c r="U84" s="88"/>
      <c r="V84" s="88"/>
      <c r="W84" s="96"/>
      <c r="X84" s="97"/>
      <c r="Y84" s="97"/>
      <c r="Z84" s="98"/>
      <c r="AA84" s="99"/>
      <c r="AB84" s="98"/>
      <c r="AC84" s="88"/>
      <c r="AD84" s="98"/>
      <c r="AE84" s="64"/>
      <c r="AF84" s="67" t="str">
        <f t="shared" si="3"/>
        <v/>
      </c>
      <c r="AG84" s="58"/>
      <c r="AH84" s="68" t="str">
        <f t="shared" si="4"/>
        <v/>
      </c>
      <c r="AI84" s="53"/>
      <c r="AJ84" s="53"/>
      <c r="AK84" s="53"/>
      <c r="AL84" s="53"/>
      <c r="AM84" s="53"/>
      <c r="AN84" s="53"/>
      <c r="AO84" s="53"/>
      <c r="AP84" s="53"/>
      <c r="AQ84" s="53"/>
      <c r="AR84" s="53"/>
      <c r="AS84" s="53"/>
      <c r="AT84" s="53"/>
      <c r="AU84" s="53"/>
      <c r="AV84" s="58"/>
      <c r="AW84" s="58"/>
      <c r="AX84" s="58"/>
      <c r="AY84" s="53"/>
      <c r="AZ84" s="53"/>
      <c r="BA84" s="53"/>
      <c r="BB84" s="53"/>
      <c r="BC84" s="53"/>
      <c r="BD84" s="53"/>
      <c r="BE84" s="53"/>
      <c r="BF84" s="53"/>
      <c r="BG84" s="53"/>
      <c r="BH84" s="53"/>
      <c r="BI84" s="53"/>
      <c r="BJ84" s="53"/>
      <c r="BK84" s="53"/>
      <c r="BL84" s="53"/>
      <c r="BM84" s="53"/>
      <c r="BN84" s="53"/>
      <c r="BO84" s="65" t="str">
        <f t="shared" si="5"/>
        <v/>
      </c>
    </row>
    <row r="85" spans="1:67" ht="19.5" customHeight="1">
      <c r="A85" s="70" t="b">
        <v>0</v>
      </c>
      <c r="B85" s="71" t="b">
        <v>1</v>
      </c>
      <c r="C85" s="72" t="b">
        <v>0</v>
      </c>
      <c r="D85" s="72" t="b">
        <v>0</v>
      </c>
      <c r="E85" s="57"/>
      <c r="F85" s="59"/>
      <c r="G85" s="57"/>
      <c r="H85" s="88"/>
      <c r="I85" s="88"/>
      <c r="J85" s="88"/>
      <c r="K85" s="89" t="b">
        <v>1</v>
      </c>
      <c r="L85" s="60"/>
      <c r="M85" s="57"/>
      <c r="N85" s="57"/>
      <c r="O85" s="61"/>
      <c r="P85" s="60"/>
      <c r="Q85" s="57"/>
      <c r="R85" s="57"/>
      <c r="S85" s="95"/>
      <c r="T85" s="88"/>
      <c r="U85" s="88"/>
      <c r="V85" s="88"/>
      <c r="W85" s="96"/>
      <c r="X85" s="97"/>
      <c r="Y85" s="97"/>
      <c r="Z85" s="98"/>
      <c r="AA85" s="99"/>
      <c r="AB85" s="98"/>
      <c r="AC85" s="88"/>
      <c r="AD85" s="98"/>
      <c r="AE85" s="64"/>
      <c r="AF85" s="67" t="str">
        <f t="shared" si="3"/>
        <v/>
      </c>
      <c r="AG85" s="58"/>
      <c r="AH85" s="68" t="str">
        <f t="shared" si="4"/>
        <v/>
      </c>
      <c r="AI85" s="53"/>
      <c r="AJ85" s="53"/>
      <c r="AK85" s="53"/>
      <c r="AL85" s="53"/>
      <c r="AM85" s="53"/>
      <c r="AN85" s="53"/>
      <c r="AO85" s="53"/>
      <c r="AP85" s="53"/>
      <c r="AQ85" s="53"/>
      <c r="AR85" s="53"/>
      <c r="AS85" s="53"/>
      <c r="AT85" s="53"/>
      <c r="AU85" s="53"/>
      <c r="AV85" s="58"/>
      <c r="AW85" s="58"/>
      <c r="AX85" s="58"/>
      <c r="AY85" s="53"/>
      <c r="AZ85" s="53"/>
      <c r="BA85" s="53"/>
      <c r="BB85" s="53"/>
      <c r="BC85" s="53"/>
      <c r="BD85" s="53"/>
      <c r="BE85" s="53"/>
      <c r="BF85" s="53"/>
      <c r="BG85" s="53"/>
      <c r="BH85" s="53"/>
      <c r="BI85" s="53"/>
      <c r="BJ85" s="53"/>
      <c r="BK85" s="53"/>
      <c r="BL85" s="53"/>
      <c r="BM85" s="53"/>
      <c r="BN85" s="53"/>
      <c r="BO85" s="65" t="str">
        <f t="shared" si="5"/>
        <v/>
      </c>
    </row>
    <row r="86" spans="1:67" ht="19.5" customHeight="1">
      <c r="A86" s="70" t="b">
        <v>0</v>
      </c>
      <c r="B86" s="71" t="b">
        <v>1</v>
      </c>
      <c r="C86" s="72" t="b">
        <v>0</v>
      </c>
      <c r="D86" s="72" t="b">
        <v>0</v>
      </c>
      <c r="E86" s="57"/>
      <c r="F86" s="59"/>
      <c r="G86" s="57"/>
      <c r="H86" s="88"/>
      <c r="I86" s="88"/>
      <c r="J86" s="88"/>
      <c r="K86" s="89" t="b">
        <v>1</v>
      </c>
      <c r="L86" s="60"/>
      <c r="M86" s="57"/>
      <c r="N86" s="57"/>
      <c r="O86" s="61"/>
      <c r="P86" s="60"/>
      <c r="Q86" s="57"/>
      <c r="R86" s="57"/>
      <c r="S86" s="95"/>
      <c r="T86" s="88"/>
      <c r="U86" s="88"/>
      <c r="V86" s="88"/>
      <c r="W86" s="96"/>
      <c r="X86" s="97"/>
      <c r="Y86" s="97"/>
      <c r="Z86" s="98"/>
      <c r="AA86" s="99"/>
      <c r="AB86" s="98"/>
      <c r="AC86" s="88"/>
      <c r="AD86" s="98"/>
      <c r="AE86" s="64"/>
      <c r="AF86" s="67" t="str">
        <f t="shared" si="3"/>
        <v/>
      </c>
      <c r="AG86" s="58"/>
      <c r="AH86" s="68" t="str">
        <f t="shared" si="4"/>
        <v/>
      </c>
      <c r="AI86" s="53"/>
      <c r="AJ86" s="53"/>
      <c r="AK86" s="53"/>
      <c r="AL86" s="53"/>
      <c r="AM86" s="53"/>
      <c r="AN86" s="53"/>
      <c r="AO86" s="53"/>
      <c r="AP86" s="53"/>
      <c r="AQ86" s="53"/>
      <c r="AR86" s="53"/>
      <c r="AS86" s="53"/>
      <c r="AT86" s="53"/>
      <c r="AU86" s="53"/>
      <c r="AV86" s="58"/>
      <c r="AW86" s="58"/>
      <c r="AX86" s="58"/>
      <c r="AY86" s="53"/>
      <c r="AZ86" s="53"/>
      <c r="BA86" s="53"/>
      <c r="BB86" s="53"/>
      <c r="BC86" s="53"/>
      <c r="BD86" s="53"/>
      <c r="BE86" s="53"/>
      <c r="BF86" s="53"/>
      <c r="BG86" s="53"/>
      <c r="BH86" s="53"/>
      <c r="BI86" s="53"/>
      <c r="BJ86" s="53"/>
      <c r="BK86" s="53"/>
      <c r="BL86" s="53"/>
      <c r="BM86" s="53"/>
      <c r="BN86" s="53"/>
      <c r="BO86" s="65" t="str">
        <f t="shared" si="5"/>
        <v/>
      </c>
    </row>
    <row r="87" spans="1:67" ht="19.5" customHeight="1">
      <c r="A87" s="70" t="b">
        <v>0</v>
      </c>
      <c r="B87" s="71" t="b">
        <v>1</v>
      </c>
      <c r="C87" s="72" t="b">
        <v>0</v>
      </c>
      <c r="D87" s="72" t="b">
        <v>0</v>
      </c>
      <c r="E87" s="57"/>
      <c r="F87" s="59"/>
      <c r="G87" s="57"/>
      <c r="H87" s="88"/>
      <c r="I87" s="88"/>
      <c r="J87" s="88"/>
      <c r="K87" s="89" t="b">
        <v>1</v>
      </c>
      <c r="L87" s="60"/>
      <c r="M87" s="57"/>
      <c r="N87" s="57"/>
      <c r="O87" s="61"/>
      <c r="P87" s="60"/>
      <c r="Q87" s="57"/>
      <c r="R87" s="57"/>
      <c r="S87" s="95"/>
      <c r="T87" s="88"/>
      <c r="U87" s="88"/>
      <c r="V87" s="88"/>
      <c r="W87" s="96"/>
      <c r="X87" s="97"/>
      <c r="Y87" s="97"/>
      <c r="Z87" s="98"/>
      <c r="AA87" s="99"/>
      <c r="AB87" s="98"/>
      <c r="AC87" s="88"/>
      <c r="AD87" s="98"/>
      <c r="AE87" s="64"/>
      <c r="AF87" s="67" t="str">
        <f t="shared" si="3"/>
        <v/>
      </c>
      <c r="AG87" s="58"/>
      <c r="AH87" s="68" t="str">
        <f t="shared" si="4"/>
        <v/>
      </c>
      <c r="AI87" s="53"/>
      <c r="AJ87" s="53"/>
      <c r="AK87" s="53"/>
      <c r="AL87" s="53"/>
      <c r="AM87" s="53"/>
      <c r="AN87" s="53"/>
      <c r="AO87" s="53"/>
      <c r="AP87" s="53"/>
      <c r="AQ87" s="53"/>
      <c r="AR87" s="53"/>
      <c r="AS87" s="53"/>
      <c r="AT87" s="53"/>
      <c r="AU87" s="53"/>
      <c r="AV87" s="58"/>
      <c r="AW87" s="58"/>
      <c r="AX87" s="58"/>
      <c r="AY87" s="53"/>
      <c r="AZ87" s="53"/>
      <c r="BA87" s="53"/>
      <c r="BB87" s="53"/>
      <c r="BC87" s="53"/>
      <c r="BD87" s="53"/>
      <c r="BE87" s="53"/>
      <c r="BF87" s="53"/>
      <c r="BG87" s="53"/>
      <c r="BH87" s="53"/>
      <c r="BI87" s="53"/>
      <c r="BJ87" s="53"/>
      <c r="BK87" s="53"/>
      <c r="BL87" s="53"/>
      <c r="BM87" s="53"/>
      <c r="BN87" s="53"/>
      <c r="BO87" s="65" t="str">
        <f t="shared" si="5"/>
        <v/>
      </c>
    </row>
    <row r="88" spans="1:67" ht="19.5" customHeight="1">
      <c r="A88" s="70" t="b">
        <v>0</v>
      </c>
      <c r="B88" s="71" t="b">
        <v>1</v>
      </c>
      <c r="C88" s="72" t="b">
        <v>0</v>
      </c>
      <c r="D88" s="72" t="b">
        <v>0</v>
      </c>
      <c r="E88" s="57"/>
      <c r="F88" s="59"/>
      <c r="G88" s="57"/>
      <c r="H88" s="88"/>
      <c r="I88" s="88"/>
      <c r="J88" s="88"/>
      <c r="K88" s="89" t="b">
        <v>1</v>
      </c>
      <c r="L88" s="60"/>
      <c r="M88" s="57"/>
      <c r="N88" s="57"/>
      <c r="O88" s="61"/>
      <c r="P88" s="60"/>
      <c r="Q88" s="57"/>
      <c r="R88" s="57"/>
      <c r="S88" s="95"/>
      <c r="T88" s="88"/>
      <c r="U88" s="88"/>
      <c r="V88" s="88"/>
      <c r="W88" s="96"/>
      <c r="X88" s="97"/>
      <c r="Y88" s="97"/>
      <c r="Z88" s="98"/>
      <c r="AA88" s="99"/>
      <c r="AB88" s="98"/>
      <c r="AC88" s="88"/>
      <c r="AD88" s="98"/>
      <c r="AE88" s="64"/>
      <c r="AF88" s="67" t="str">
        <f t="shared" si="3"/>
        <v/>
      </c>
      <c r="AG88" s="58"/>
      <c r="AH88" s="68" t="str">
        <f t="shared" si="4"/>
        <v/>
      </c>
      <c r="AI88" s="53"/>
      <c r="AJ88" s="53"/>
      <c r="AK88" s="53"/>
      <c r="AL88" s="53"/>
      <c r="AM88" s="53"/>
      <c r="AN88" s="53"/>
      <c r="AO88" s="53"/>
      <c r="AP88" s="53"/>
      <c r="AQ88" s="53"/>
      <c r="AR88" s="53"/>
      <c r="AS88" s="53"/>
      <c r="AT88" s="53"/>
      <c r="AU88" s="53"/>
      <c r="AV88" s="58"/>
      <c r="AW88" s="58"/>
      <c r="AX88" s="58"/>
      <c r="AY88" s="53"/>
      <c r="AZ88" s="53"/>
      <c r="BA88" s="53"/>
      <c r="BB88" s="53"/>
      <c r="BC88" s="53"/>
      <c r="BD88" s="53"/>
      <c r="BE88" s="53"/>
      <c r="BF88" s="53"/>
      <c r="BG88" s="53"/>
      <c r="BH88" s="53"/>
      <c r="BI88" s="53"/>
      <c r="BJ88" s="53"/>
      <c r="BK88" s="53"/>
      <c r="BL88" s="53"/>
      <c r="BM88" s="53"/>
      <c r="BN88" s="53"/>
      <c r="BO88" s="65" t="str">
        <f t="shared" si="5"/>
        <v/>
      </c>
    </row>
    <row r="89" spans="1:67" ht="19.5" customHeight="1">
      <c r="A89" s="70" t="b">
        <v>0</v>
      </c>
      <c r="B89" s="71" t="b">
        <v>1</v>
      </c>
      <c r="C89" s="72" t="b">
        <v>0</v>
      </c>
      <c r="D89" s="72" t="b">
        <v>0</v>
      </c>
      <c r="E89" s="57"/>
      <c r="F89" s="59"/>
      <c r="G89" s="57"/>
      <c r="H89" s="88"/>
      <c r="I89" s="88"/>
      <c r="J89" s="88"/>
      <c r="K89" s="89" t="b">
        <v>1</v>
      </c>
      <c r="L89" s="60"/>
      <c r="M89" s="57"/>
      <c r="N89" s="57"/>
      <c r="O89" s="61"/>
      <c r="P89" s="60"/>
      <c r="Q89" s="57"/>
      <c r="R89" s="57"/>
      <c r="S89" s="95"/>
      <c r="T89" s="88"/>
      <c r="U89" s="88"/>
      <c r="V89" s="88"/>
      <c r="W89" s="96"/>
      <c r="X89" s="97"/>
      <c r="Y89" s="97"/>
      <c r="Z89" s="98"/>
      <c r="AA89" s="99"/>
      <c r="AB89" s="98"/>
      <c r="AC89" s="88"/>
      <c r="AD89" s="98"/>
      <c r="AE89" s="64"/>
      <c r="AF89" s="67" t="str">
        <f t="shared" si="3"/>
        <v/>
      </c>
      <c r="AG89" s="58"/>
      <c r="AH89" s="68" t="str">
        <f t="shared" si="4"/>
        <v/>
      </c>
      <c r="AI89" s="53"/>
      <c r="AJ89" s="53"/>
      <c r="AK89" s="53"/>
      <c r="AL89" s="53"/>
      <c r="AM89" s="53"/>
      <c r="AN89" s="53"/>
      <c r="AO89" s="53"/>
      <c r="AP89" s="53"/>
      <c r="AQ89" s="53"/>
      <c r="AR89" s="53"/>
      <c r="AS89" s="53"/>
      <c r="AT89" s="53"/>
      <c r="AU89" s="53"/>
      <c r="AV89" s="58"/>
      <c r="AW89" s="58"/>
      <c r="AX89" s="58"/>
      <c r="AY89" s="53"/>
      <c r="AZ89" s="53"/>
      <c r="BA89" s="53"/>
      <c r="BB89" s="53"/>
      <c r="BC89" s="53"/>
      <c r="BD89" s="53"/>
      <c r="BE89" s="53"/>
      <c r="BF89" s="53"/>
      <c r="BG89" s="53"/>
      <c r="BH89" s="53"/>
      <c r="BI89" s="53"/>
      <c r="BJ89" s="53"/>
      <c r="BK89" s="53"/>
      <c r="BL89" s="53"/>
      <c r="BM89" s="53"/>
      <c r="BN89" s="53"/>
      <c r="BO89" s="65" t="str">
        <f t="shared" si="5"/>
        <v/>
      </c>
    </row>
    <row r="90" spans="1:67" ht="19.5" customHeight="1">
      <c r="A90" s="70" t="b">
        <v>0</v>
      </c>
      <c r="B90" s="71" t="b">
        <v>1</v>
      </c>
      <c r="C90" s="72" t="b">
        <v>0</v>
      </c>
      <c r="D90" s="72" t="b">
        <v>0</v>
      </c>
      <c r="E90" s="57"/>
      <c r="F90" s="59"/>
      <c r="G90" s="57"/>
      <c r="H90" s="88"/>
      <c r="I90" s="88"/>
      <c r="J90" s="88"/>
      <c r="K90" s="89" t="b">
        <v>1</v>
      </c>
      <c r="L90" s="60"/>
      <c r="M90" s="57"/>
      <c r="N90" s="57"/>
      <c r="O90" s="61"/>
      <c r="P90" s="60"/>
      <c r="Q90" s="57"/>
      <c r="R90" s="57"/>
      <c r="S90" s="95"/>
      <c r="T90" s="88"/>
      <c r="U90" s="88"/>
      <c r="V90" s="88"/>
      <c r="W90" s="96"/>
      <c r="X90" s="97"/>
      <c r="Y90" s="97"/>
      <c r="Z90" s="98"/>
      <c r="AA90" s="99"/>
      <c r="AB90" s="98"/>
      <c r="AC90" s="88"/>
      <c r="AD90" s="98"/>
      <c r="AE90" s="64"/>
      <c r="AF90" s="67" t="str">
        <f t="shared" si="3"/>
        <v/>
      </c>
      <c r="AG90" s="58"/>
      <c r="AH90" s="68" t="str">
        <f t="shared" si="4"/>
        <v/>
      </c>
      <c r="AI90" s="53"/>
      <c r="AJ90" s="53"/>
      <c r="AK90" s="53"/>
      <c r="AL90" s="53"/>
      <c r="AM90" s="53"/>
      <c r="AN90" s="53"/>
      <c r="AO90" s="53"/>
      <c r="AP90" s="53"/>
      <c r="AQ90" s="53"/>
      <c r="AR90" s="53"/>
      <c r="AS90" s="53"/>
      <c r="AT90" s="53"/>
      <c r="AU90" s="53"/>
      <c r="AV90" s="58"/>
      <c r="AW90" s="58"/>
      <c r="AX90" s="58"/>
      <c r="AY90" s="53"/>
      <c r="AZ90" s="53"/>
      <c r="BA90" s="53"/>
      <c r="BB90" s="53"/>
      <c r="BC90" s="53"/>
      <c r="BD90" s="53"/>
      <c r="BE90" s="53"/>
      <c r="BF90" s="53"/>
      <c r="BG90" s="53"/>
      <c r="BH90" s="53"/>
      <c r="BI90" s="53"/>
      <c r="BJ90" s="53"/>
      <c r="BK90" s="53"/>
      <c r="BL90" s="53"/>
      <c r="BM90" s="53"/>
      <c r="BN90" s="53"/>
      <c r="BO90" s="65" t="str">
        <f t="shared" si="5"/>
        <v/>
      </c>
    </row>
    <row r="91" spans="1:67" ht="19.5" customHeight="1">
      <c r="A91" s="70" t="b">
        <v>0</v>
      </c>
      <c r="B91" s="71" t="b">
        <v>1</v>
      </c>
      <c r="C91" s="72" t="b">
        <v>0</v>
      </c>
      <c r="D91" s="72" t="b">
        <v>0</v>
      </c>
      <c r="E91" s="57"/>
      <c r="F91" s="59"/>
      <c r="G91" s="57"/>
      <c r="H91" s="88"/>
      <c r="I91" s="88"/>
      <c r="J91" s="88"/>
      <c r="K91" s="89" t="b">
        <v>1</v>
      </c>
      <c r="L91" s="60"/>
      <c r="M91" s="57"/>
      <c r="N91" s="57"/>
      <c r="O91" s="61"/>
      <c r="P91" s="60"/>
      <c r="Q91" s="57"/>
      <c r="R91" s="57"/>
      <c r="S91" s="95"/>
      <c r="T91" s="88"/>
      <c r="U91" s="88"/>
      <c r="V91" s="88"/>
      <c r="W91" s="96"/>
      <c r="X91" s="97"/>
      <c r="Y91" s="97"/>
      <c r="Z91" s="98"/>
      <c r="AA91" s="99"/>
      <c r="AB91" s="98"/>
      <c r="AC91" s="88"/>
      <c r="AD91" s="98"/>
      <c r="AE91" s="64"/>
      <c r="AF91" s="67" t="str">
        <f t="shared" si="3"/>
        <v/>
      </c>
      <c r="AG91" s="58"/>
      <c r="AH91" s="68" t="str">
        <f t="shared" si="4"/>
        <v/>
      </c>
      <c r="AI91" s="53"/>
      <c r="AJ91" s="53"/>
      <c r="AK91" s="53"/>
      <c r="AL91" s="53"/>
      <c r="AM91" s="53"/>
      <c r="AN91" s="53"/>
      <c r="AO91" s="53"/>
      <c r="AP91" s="53"/>
      <c r="AQ91" s="53"/>
      <c r="AR91" s="53"/>
      <c r="AS91" s="53"/>
      <c r="AT91" s="53"/>
      <c r="AU91" s="53"/>
      <c r="AV91" s="58"/>
      <c r="AW91" s="58"/>
      <c r="AX91" s="58"/>
      <c r="AY91" s="53"/>
      <c r="AZ91" s="53"/>
      <c r="BA91" s="53"/>
      <c r="BB91" s="53"/>
      <c r="BC91" s="53"/>
      <c r="BD91" s="53"/>
      <c r="BE91" s="53"/>
      <c r="BF91" s="53"/>
      <c r="BG91" s="53"/>
      <c r="BH91" s="53"/>
      <c r="BI91" s="53"/>
      <c r="BJ91" s="53"/>
      <c r="BK91" s="53"/>
      <c r="BL91" s="53"/>
      <c r="BM91" s="53"/>
      <c r="BN91" s="53"/>
      <c r="BO91" s="65" t="str">
        <f t="shared" si="5"/>
        <v/>
      </c>
    </row>
    <row r="92" spans="1:67" ht="19.5" customHeight="1">
      <c r="A92" s="70" t="b">
        <v>0</v>
      </c>
      <c r="B92" s="71" t="b">
        <v>1</v>
      </c>
      <c r="C92" s="72" t="b">
        <v>0</v>
      </c>
      <c r="D92" s="72" t="b">
        <v>0</v>
      </c>
      <c r="E92" s="57"/>
      <c r="F92" s="59"/>
      <c r="G92" s="57"/>
      <c r="H92" s="88"/>
      <c r="I92" s="88"/>
      <c r="J92" s="88"/>
      <c r="K92" s="89" t="b">
        <v>1</v>
      </c>
      <c r="L92" s="60"/>
      <c r="M92" s="57"/>
      <c r="N92" s="57"/>
      <c r="O92" s="61"/>
      <c r="P92" s="60"/>
      <c r="Q92" s="57"/>
      <c r="R92" s="57"/>
      <c r="S92" s="95"/>
      <c r="T92" s="88"/>
      <c r="U92" s="88"/>
      <c r="V92" s="88"/>
      <c r="W92" s="96"/>
      <c r="X92" s="97"/>
      <c r="Y92" s="97"/>
      <c r="Z92" s="98"/>
      <c r="AA92" s="99"/>
      <c r="AB92" s="98"/>
      <c r="AC92" s="88"/>
      <c r="AD92" s="98"/>
      <c r="AE92" s="64"/>
      <c r="AF92" s="67" t="str">
        <f t="shared" si="3"/>
        <v/>
      </c>
      <c r="AG92" s="58"/>
      <c r="AH92" s="68" t="str">
        <f t="shared" si="4"/>
        <v/>
      </c>
      <c r="AI92" s="53"/>
      <c r="AJ92" s="53"/>
      <c r="AK92" s="53"/>
      <c r="AL92" s="53"/>
      <c r="AM92" s="53"/>
      <c r="AN92" s="53"/>
      <c r="AO92" s="53"/>
      <c r="AP92" s="53"/>
      <c r="AQ92" s="53"/>
      <c r="AR92" s="53"/>
      <c r="AS92" s="53"/>
      <c r="AT92" s="53"/>
      <c r="AU92" s="53"/>
      <c r="AV92" s="58"/>
      <c r="AW92" s="58"/>
      <c r="AX92" s="58"/>
      <c r="AY92" s="53"/>
      <c r="AZ92" s="53"/>
      <c r="BA92" s="53"/>
      <c r="BB92" s="53"/>
      <c r="BC92" s="53"/>
      <c r="BD92" s="53"/>
      <c r="BE92" s="53"/>
      <c r="BF92" s="53"/>
      <c r="BG92" s="53"/>
      <c r="BH92" s="53"/>
      <c r="BI92" s="53"/>
      <c r="BJ92" s="53"/>
      <c r="BK92" s="53"/>
      <c r="BL92" s="53"/>
      <c r="BM92" s="53"/>
      <c r="BN92" s="53"/>
      <c r="BO92" s="65" t="str">
        <f t="shared" si="5"/>
        <v/>
      </c>
    </row>
    <row r="93" spans="1:67" ht="19.5" customHeight="1">
      <c r="A93" s="70" t="b">
        <v>0</v>
      </c>
      <c r="B93" s="71" t="b">
        <v>1</v>
      </c>
      <c r="C93" s="72" t="b">
        <v>0</v>
      </c>
      <c r="D93" s="72" t="b">
        <v>0</v>
      </c>
      <c r="E93" s="57"/>
      <c r="F93" s="59"/>
      <c r="G93" s="57"/>
      <c r="H93" s="88"/>
      <c r="I93" s="88"/>
      <c r="J93" s="88"/>
      <c r="K93" s="89" t="b">
        <v>1</v>
      </c>
      <c r="L93" s="60"/>
      <c r="M93" s="57"/>
      <c r="N93" s="57"/>
      <c r="O93" s="61"/>
      <c r="P93" s="60"/>
      <c r="Q93" s="57"/>
      <c r="R93" s="57"/>
      <c r="S93" s="95"/>
      <c r="T93" s="88"/>
      <c r="U93" s="88"/>
      <c r="V93" s="88"/>
      <c r="W93" s="96"/>
      <c r="X93" s="97"/>
      <c r="Y93" s="97"/>
      <c r="Z93" s="98"/>
      <c r="AA93" s="99"/>
      <c r="AB93" s="98"/>
      <c r="AC93" s="88"/>
      <c r="AD93" s="98"/>
      <c r="AE93" s="64"/>
      <c r="AF93" s="67" t="str">
        <f t="shared" si="3"/>
        <v/>
      </c>
      <c r="AG93" s="58"/>
      <c r="AH93" s="68" t="str">
        <f t="shared" si="4"/>
        <v/>
      </c>
      <c r="AI93" s="53"/>
      <c r="AJ93" s="53"/>
      <c r="AK93" s="53"/>
      <c r="AL93" s="53"/>
      <c r="AM93" s="53"/>
      <c r="AN93" s="53"/>
      <c r="AO93" s="53"/>
      <c r="AP93" s="53"/>
      <c r="AQ93" s="53"/>
      <c r="AR93" s="53"/>
      <c r="AS93" s="53"/>
      <c r="AT93" s="53"/>
      <c r="AU93" s="53"/>
      <c r="AV93" s="58"/>
      <c r="AW93" s="58"/>
      <c r="AX93" s="58"/>
      <c r="AY93" s="53"/>
      <c r="AZ93" s="53"/>
      <c r="BA93" s="53"/>
      <c r="BB93" s="53"/>
      <c r="BC93" s="53"/>
      <c r="BD93" s="53"/>
      <c r="BE93" s="53"/>
      <c r="BF93" s="53"/>
      <c r="BG93" s="53"/>
      <c r="BH93" s="53"/>
      <c r="BI93" s="53"/>
      <c r="BJ93" s="53"/>
      <c r="BK93" s="53"/>
      <c r="BL93" s="53"/>
      <c r="BM93" s="53"/>
      <c r="BN93" s="53"/>
      <c r="BO93" s="65" t="str">
        <f t="shared" si="5"/>
        <v/>
      </c>
    </row>
    <row r="94" spans="1:67" ht="19.5" customHeight="1">
      <c r="A94" s="70" t="b">
        <v>0</v>
      </c>
      <c r="B94" s="71" t="b">
        <v>1</v>
      </c>
      <c r="C94" s="72" t="b">
        <v>0</v>
      </c>
      <c r="D94" s="72" t="b">
        <v>0</v>
      </c>
      <c r="E94" s="57"/>
      <c r="F94" s="59"/>
      <c r="G94" s="57"/>
      <c r="H94" s="88"/>
      <c r="I94" s="88"/>
      <c r="J94" s="88"/>
      <c r="K94" s="89" t="b">
        <v>1</v>
      </c>
      <c r="L94" s="60"/>
      <c r="M94" s="57"/>
      <c r="N94" s="57"/>
      <c r="O94" s="61"/>
      <c r="P94" s="60"/>
      <c r="Q94" s="57"/>
      <c r="R94" s="57"/>
      <c r="S94" s="95"/>
      <c r="T94" s="88"/>
      <c r="U94" s="88"/>
      <c r="V94" s="88"/>
      <c r="W94" s="96"/>
      <c r="X94" s="97"/>
      <c r="Y94" s="97"/>
      <c r="Z94" s="98"/>
      <c r="AA94" s="99"/>
      <c r="AB94" s="98"/>
      <c r="AC94" s="88"/>
      <c r="AD94" s="98"/>
      <c r="AE94" s="64"/>
      <c r="AF94" s="67" t="str">
        <f t="shared" si="3"/>
        <v/>
      </c>
      <c r="AG94" s="58"/>
      <c r="AH94" s="68" t="str">
        <f t="shared" si="4"/>
        <v/>
      </c>
      <c r="AI94" s="53"/>
      <c r="AJ94" s="53"/>
      <c r="AK94" s="53"/>
      <c r="AL94" s="53"/>
      <c r="AM94" s="53"/>
      <c r="AN94" s="53"/>
      <c r="AO94" s="53"/>
      <c r="AP94" s="53"/>
      <c r="AQ94" s="53"/>
      <c r="AR94" s="53"/>
      <c r="AS94" s="53"/>
      <c r="AT94" s="53"/>
      <c r="AU94" s="53"/>
      <c r="AV94" s="58"/>
      <c r="AW94" s="58"/>
      <c r="AX94" s="58"/>
      <c r="AY94" s="53"/>
      <c r="AZ94" s="53"/>
      <c r="BA94" s="53"/>
      <c r="BB94" s="53"/>
      <c r="BC94" s="53"/>
      <c r="BD94" s="53"/>
      <c r="BE94" s="53"/>
      <c r="BF94" s="53"/>
      <c r="BG94" s="53"/>
      <c r="BH94" s="53"/>
      <c r="BI94" s="53"/>
      <c r="BJ94" s="53"/>
      <c r="BK94" s="53"/>
      <c r="BL94" s="53"/>
      <c r="BM94" s="53"/>
      <c r="BN94" s="53"/>
      <c r="BO94" s="65" t="str">
        <f t="shared" si="5"/>
        <v/>
      </c>
    </row>
    <row r="95" spans="1:67" ht="19.5" customHeight="1">
      <c r="A95" s="70" t="b">
        <v>0</v>
      </c>
      <c r="B95" s="71" t="b">
        <v>1</v>
      </c>
      <c r="C95" s="72" t="b">
        <v>0</v>
      </c>
      <c r="D95" s="72" t="b">
        <v>0</v>
      </c>
      <c r="E95" s="57"/>
      <c r="F95" s="59"/>
      <c r="G95" s="57"/>
      <c r="H95" s="88"/>
      <c r="I95" s="88"/>
      <c r="J95" s="88"/>
      <c r="K95" s="89" t="b">
        <v>1</v>
      </c>
      <c r="L95" s="60"/>
      <c r="M95" s="57"/>
      <c r="N95" s="57"/>
      <c r="O95" s="61"/>
      <c r="P95" s="60"/>
      <c r="Q95" s="57"/>
      <c r="R95" s="57"/>
      <c r="S95" s="95"/>
      <c r="T95" s="88"/>
      <c r="U95" s="88"/>
      <c r="V95" s="88"/>
      <c r="W95" s="96"/>
      <c r="X95" s="97"/>
      <c r="Y95" s="97"/>
      <c r="Z95" s="98"/>
      <c r="AA95" s="99"/>
      <c r="AB95" s="98"/>
      <c r="AC95" s="88"/>
      <c r="AD95" s="98"/>
      <c r="AE95" s="64"/>
      <c r="AF95" s="67" t="str">
        <f t="shared" si="3"/>
        <v/>
      </c>
      <c r="AG95" s="58"/>
      <c r="AH95" s="68" t="str">
        <f t="shared" si="4"/>
        <v/>
      </c>
      <c r="AI95" s="53"/>
      <c r="AJ95" s="53"/>
      <c r="AK95" s="53"/>
      <c r="AL95" s="53"/>
      <c r="AM95" s="53"/>
      <c r="AN95" s="53"/>
      <c r="AO95" s="53"/>
      <c r="AP95" s="53"/>
      <c r="AQ95" s="53"/>
      <c r="AR95" s="53"/>
      <c r="AS95" s="53"/>
      <c r="AT95" s="53"/>
      <c r="AU95" s="53"/>
      <c r="AV95" s="58"/>
      <c r="AW95" s="58"/>
      <c r="AX95" s="58"/>
      <c r="AY95" s="53"/>
      <c r="AZ95" s="53"/>
      <c r="BA95" s="53"/>
      <c r="BB95" s="53"/>
      <c r="BC95" s="53"/>
      <c r="BD95" s="53"/>
      <c r="BE95" s="53"/>
      <c r="BF95" s="53"/>
      <c r="BG95" s="53"/>
      <c r="BH95" s="53"/>
      <c r="BI95" s="53"/>
      <c r="BJ95" s="53"/>
      <c r="BK95" s="53"/>
      <c r="BL95" s="53"/>
      <c r="BM95" s="53"/>
      <c r="BN95" s="53"/>
      <c r="BO95" s="65" t="str">
        <f t="shared" si="5"/>
        <v/>
      </c>
    </row>
    <row r="96" spans="1:67" ht="19.5" customHeight="1">
      <c r="A96" s="70" t="b">
        <v>0</v>
      </c>
      <c r="B96" s="71" t="b">
        <v>1</v>
      </c>
      <c r="C96" s="72" t="b">
        <v>0</v>
      </c>
      <c r="D96" s="72" t="b">
        <v>0</v>
      </c>
      <c r="E96" s="57"/>
      <c r="F96" s="59"/>
      <c r="G96" s="57"/>
      <c r="H96" s="88"/>
      <c r="I96" s="88"/>
      <c r="J96" s="88"/>
      <c r="K96" s="89" t="b">
        <v>1</v>
      </c>
      <c r="L96" s="60"/>
      <c r="M96" s="57"/>
      <c r="N96" s="57"/>
      <c r="O96" s="61"/>
      <c r="P96" s="60"/>
      <c r="Q96" s="57"/>
      <c r="R96" s="57"/>
      <c r="S96" s="95"/>
      <c r="T96" s="88"/>
      <c r="U96" s="88"/>
      <c r="V96" s="88"/>
      <c r="W96" s="96"/>
      <c r="X96" s="97"/>
      <c r="Y96" s="97"/>
      <c r="Z96" s="98"/>
      <c r="AA96" s="99"/>
      <c r="AB96" s="98"/>
      <c r="AC96" s="88"/>
      <c r="AD96" s="98"/>
      <c r="AE96" s="64"/>
      <c r="AF96" s="67" t="str">
        <f t="shared" si="3"/>
        <v/>
      </c>
      <c r="AG96" s="58"/>
      <c r="AH96" s="68" t="str">
        <f t="shared" si="4"/>
        <v/>
      </c>
      <c r="AI96" s="53"/>
      <c r="AJ96" s="53"/>
      <c r="AK96" s="53"/>
      <c r="AL96" s="53"/>
      <c r="AM96" s="53"/>
      <c r="AN96" s="53"/>
      <c r="AO96" s="53"/>
      <c r="AP96" s="53"/>
      <c r="AQ96" s="53"/>
      <c r="AR96" s="53"/>
      <c r="AS96" s="53"/>
      <c r="AT96" s="53"/>
      <c r="AU96" s="53"/>
      <c r="AV96" s="58"/>
      <c r="AW96" s="58"/>
      <c r="AX96" s="58"/>
      <c r="AY96" s="53"/>
      <c r="AZ96" s="53"/>
      <c r="BA96" s="53"/>
      <c r="BB96" s="53"/>
      <c r="BC96" s="53"/>
      <c r="BD96" s="53"/>
      <c r="BE96" s="53"/>
      <c r="BF96" s="53"/>
      <c r="BG96" s="53"/>
      <c r="BH96" s="53"/>
      <c r="BI96" s="53"/>
      <c r="BJ96" s="53"/>
      <c r="BK96" s="53"/>
      <c r="BL96" s="53"/>
      <c r="BM96" s="53"/>
      <c r="BN96" s="53"/>
      <c r="BO96" s="65" t="str">
        <f t="shared" si="5"/>
        <v/>
      </c>
    </row>
    <row r="97" spans="1:67" ht="19.5" customHeight="1">
      <c r="A97" s="70" t="b">
        <v>0</v>
      </c>
      <c r="B97" s="71" t="b">
        <v>1</v>
      </c>
      <c r="C97" s="72" t="b">
        <v>0</v>
      </c>
      <c r="D97" s="72" t="b">
        <v>0</v>
      </c>
      <c r="E97" s="57"/>
      <c r="F97" s="59"/>
      <c r="G97" s="57"/>
      <c r="H97" s="88"/>
      <c r="I97" s="88"/>
      <c r="J97" s="88"/>
      <c r="K97" s="89" t="b">
        <v>1</v>
      </c>
      <c r="L97" s="60"/>
      <c r="M97" s="57"/>
      <c r="N97" s="57"/>
      <c r="O97" s="61"/>
      <c r="P97" s="60"/>
      <c r="Q97" s="57"/>
      <c r="R97" s="57"/>
      <c r="S97" s="95"/>
      <c r="T97" s="88"/>
      <c r="U97" s="88"/>
      <c r="V97" s="88"/>
      <c r="W97" s="96"/>
      <c r="X97" s="97"/>
      <c r="Y97" s="97"/>
      <c r="Z97" s="98"/>
      <c r="AA97" s="99"/>
      <c r="AB97" s="98"/>
      <c r="AC97" s="88"/>
      <c r="AD97" s="98"/>
      <c r="AE97" s="64"/>
      <c r="AF97" s="67" t="str">
        <f t="shared" si="3"/>
        <v/>
      </c>
      <c r="AG97" s="58"/>
      <c r="AH97" s="68" t="str">
        <f t="shared" si="4"/>
        <v/>
      </c>
      <c r="AI97" s="53"/>
      <c r="AJ97" s="53"/>
      <c r="AK97" s="53"/>
      <c r="AL97" s="53"/>
      <c r="AM97" s="53"/>
      <c r="AN97" s="53"/>
      <c r="AO97" s="53"/>
      <c r="AP97" s="53"/>
      <c r="AQ97" s="53"/>
      <c r="AR97" s="53"/>
      <c r="AS97" s="53"/>
      <c r="AT97" s="53"/>
      <c r="AU97" s="53"/>
      <c r="AV97" s="58"/>
      <c r="AW97" s="58"/>
      <c r="AX97" s="58"/>
      <c r="AY97" s="53"/>
      <c r="AZ97" s="53"/>
      <c r="BA97" s="53"/>
      <c r="BB97" s="53"/>
      <c r="BC97" s="53"/>
      <c r="BD97" s="53"/>
      <c r="BE97" s="53"/>
      <c r="BF97" s="53"/>
      <c r="BG97" s="53"/>
      <c r="BH97" s="53"/>
      <c r="BI97" s="53"/>
      <c r="BJ97" s="53"/>
      <c r="BK97" s="53"/>
      <c r="BL97" s="53"/>
      <c r="BM97" s="53"/>
      <c r="BN97" s="53"/>
      <c r="BO97" s="65" t="str">
        <f t="shared" si="5"/>
        <v/>
      </c>
    </row>
    <row r="98" spans="1:67" ht="19.5" customHeight="1">
      <c r="A98" s="70" t="b">
        <v>0</v>
      </c>
      <c r="B98" s="71" t="b">
        <v>1</v>
      </c>
      <c r="C98" s="72" t="b">
        <v>0</v>
      </c>
      <c r="D98" s="72" t="b">
        <v>0</v>
      </c>
      <c r="E98" s="57"/>
      <c r="F98" s="59"/>
      <c r="G98" s="57"/>
      <c r="H98" s="88"/>
      <c r="I98" s="88"/>
      <c r="J98" s="88"/>
      <c r="K98" s="89" t="b">
        <v>1</v>
      </c>
      <c r="L98" s="60"/>
      <c r="M98" s="57"/>
      <c r="N98" s="57"/>
      <c r="O98" s="61"/>
      <c r="P98" s="60"/>
      <c r="Q98" s="57"/>
      <c r="R98" s="57"/>
      <c r="S98" s="95"/>
      <c r="T98" s="88"/>
      <c r="U98" s="88"/>
      <c r="V98" s="88"/>
      <c r="W98" s="96"/>
      <c r="X98" s="97"/>
      <c r="Y98" s="97"/>
      <c r="Z98" s="98"/>
      <c r="AA98" s="99"/>
      <c r="AB98" s="98"/>
      <c r="AC98" s="88"/>
      <c r="AD98" s="98"/>
      <c r="AE98" s="64"/>
      <c r="AF98" s="67" t="str">
        <f t="shared" si="3"/>
        <v/>
      </c>
      <c r="AG98" s="58"/>
      <c r="AH98" s="68" t="str">
        <f t="shared" si="4"/>
        <v/>
      </c>
      <c r="AI98" s="53"/>
      <c r="AJ98" s="53"/>
      <c r="AK98" s="53"/>
      <c r="AL98" s="53"/>
      <c r="AM98" s="53"/>
      <c r="AN98" s="53"/>
      <c r="AO98" s="53"/>
      <c r="AP98" s="53"/>
      <c r="AQ98" s="53"/>
      <c r="AR98" s="53"/>
      <c r="AS98" s="53"/>
      <c r="AT98" s="53"/>
      <c r="AU98" s="53"/>
      <c r="AV98" s="58"/>
      <c r="AW98" s="58"/>
      <c r="AX98" s="58"/>
      <c r="AY98" s="53"/>
      <c r="AZ98" s="53"/>
      <c r="BA98" s="53"/>
      <c r="BB98" s="53"/>
      <c r="BC98" s="53"/>
      <c r="BD98" s="53"/>
      <c r="BE98" s="53"/>
      <c r="BF98" s="53"/>
      <c r="BG98" s="53"/>
      <c r="BH98" s="53"/>
      <c r="BI98" s="53"/>
      <c r="BJ98" s="53"/>
      <c r="BK98" s="53"/>
      <c r="BL98" s="53"/>
      <c r="BM98" s="53"/>
      <c r="BN98" s="53"/>
      <c r="BO98" s="65" t="str">
        <f t="shared" si="5"/>
        <v/>
      </c>
    </row>
    <row r="99" spans="1:67" ht="19.5" customHeight="1">
      <c r="A99" s="70" t="b">
        <v>0</v>
      </c>
      <c r="B99" s="71" t="b">
        <v>1</v>
      </c>
      <c r="C99" s="72" t="b">
        <v>0</v>
      </c>
      <c r="D99" s="72" t="b">
        <v>0</v>
      </c>
      <c r="E99" s="57"/>
      <c r="F99" s="59"/>
      <c r="G99" s="57"/>
      <c r="H99" s="88"/>
      <c r="I99" s="88"/>
      <c r="J99" s="88"/>
      <c r="K99" s="89" t="b">
        <v>1</v>
      </c>
      <c r="L99" s="60"/>
      <c r="M99" s="57"/>
      <c r="N99" s="57"/>
      <c r="O99" s="61"/>
      <c r="P99" s="60"/>
      <c r="Q99" s="57"/>
      <c r="R99" s="57"/>
      <c r="S99" s="95"/>
      <c r="T99" s="88"/>
      <c r="U99" s="88"/>
      <c r="V99" s="88"/>
      <c r="W99" s="96"/>
      <c r="X99" s="97"/>
      <c r="Y99" s="97"/>
      <c r="Z99" s="98"/>
      <c r="AA99" s="99"/>
      <c r="AB99" s="98"/>
      <c r="AC99" s="88"/>
      <c r="AD99" s="98"/>
      <c r="AE99" s="64"/>
      <c r="AF99" s="67" t="str">
        <f t="shared" si="3"/>
        <v/>
      </c>
      <c r="AG99" s="58"/>
      <c r="AH99" s="68" t="str">
        <f t="shared" si="4"/>
        <v/>
      </c>
      <c r="AI99" s="53"/>
      <c r="AJ99" s="53"/>
      <c r="AK99" s="53"/>
      <c r="AL99" s="53"/>
      <c r="AM99" s="53"/>
      <c r="AN99" s="53"/>
      <c r="AO99" s="53"/>
      <c r="AP99" s="53"/>
      <c r="AQ99" s="53"/>
      <c r="AR99" s="53"/>
      <c r="AS99" s="53"/>
      <c r="AT99" s="53"/>
      <c r="AU99" s="53"/>
      <c r="AV99" s="58"/>
      <c r="AW99" s="58"/>
      <c r="AX99" s="58"/>
      <c r="AY99" s="53"/>
      <c r="AZ99" s="53"/>
      <c r="BA99" s="53"/>
      <c r="BB99" s="53"/>
      <c r="BC99" s="53"/>
      <c r="BD99" s="53"/>
      <c r="BE99" s="53"/>
      <c r="BF99" s="53"/>
      <c r="BG99" s="53"/>
      <c r="BH99" s="53"/>
      <c r="BI99" s="53"/>
      <c r="BJ99" s="53"/>
      <c r="BK99" s="53"/>
      <c r="BL99" s="53"/>
      <c r="BM99" s="53"/>
      <c r="BN99" s="53"/>
      <c r="BO99" s="65" t="str">
        <f t="shared" si="5"/>
        <v/>
      </c>
    </row>
    <row r="100" spans="1:67" ht="19.5" customHeight="1">
      <c r="A100" s="70" t="b">
        <v>0</v>
      </c>
      <c r="B100" s="71" t="b">
        <v>1</v>
      </c>
      <c r="C100" s="72" t="b">
        <v>0</v>
      </c>
      <c r="D100" s="72" t="b">
        <v>0</v>
      </c>
      <c r="E100" s="57"/>
      <c r="F100" s="59"/>
      <c r="G100" s="57"/>
      <c r="H100" s="88"/>
      <c r="I100" s="88"/>
      <c r="J100" s="88"/>
      <c r="K100" s="89" t="b">
        <v>1</v>
      </c>
      <c r="L100" s="60"/>
      <c r="M100" s="57"/>
      <c r="N100" s="57"/>
      <c r="O100" s="61"/>
      <c r="P100" s="60"/>
      <c r="Q100" s="57"/>
      <c r="R100" s="57"/>
      <c r="S100" s="95"/>
      <c r="T100" s="88"/>
      <c r="U100" s="88"/>
      <c r="V100" s="88"/>
      <c r="W100" s="96"/>
      <c r="X100" s="97"/>
      <c r="Y100" s="97"/>
      <c r="Z100" s="98"/>
      <c r="AA100" s="99"/>
      <c r="AB100" s="98"/>
      <c r="AC100" s="88"/>
      <c r="AD100" s="98"/>
      <c r="AE100" s="64"/>
      <c r="AF100" s="67" t="str">
        <f t="shared" si="3"/>
        <v/>
      </c>
      <c r="AG100" s="58"/>
      <c r="AH100" s="68" t="str">
        <f t="shared" si="4"/>
        <v/>
      </c>
      <c r="AI100" s="53"/>
      <c r="AJ100" s="53"/>
      <c r="AK100" s="53"/>
      <c r="AL100" s="53"/>
      <c r="AM100" s="53"/>
      <c r="AN100" s="53"/>
      <c r="AO100" s="53"/>
      <c r="AP100" s="53"/>
      <c r="AQ100" s="53"/>
      <c r="AR100" s="53"/>
      <c r="AS100" s="53"/>
      <c r="AT100" s="53"/>
      <c r="AU100" s="53"/>
      <c r="AV100" s="58"/>
      <c r="AW100" s="58"/>
      <c r="AX100" s="58"/>
      <c r="AY100" s="53"/>
      <c r="AZ100" s="53"/>
      <c r="BA100" s="53"/>
      <c r="BB100" s="53"/>
      <c r="BC100" s="53"/>
      <c r="BD100" s="53"/>
      <c r="BE100" s="53"/>
      <c r="BF100" s="53"/>
      <c r="BG100" s="53"/>
      <c r="BH100" s="53"/>
      <c r="BI100" s="53"/>
      <c r="BJ100" s="53"/>
      <c r="BK100" s="53"/>
      <c r="BL100" s="53"/>
      <c r="BM100" s="53"/>
      <c r="BN100" s="53"/>
      <c r="BO100" s="65" t="str">
        <f t="shared" si="5"/>
        <v/>
      </c>
    </row>
    <row r="101" spans="1:67" ht="19.5" customHeight="1">
      <c r="A101" s="70" t="b">
        <v>0</v>
      </c>
      <c r="B101" s="71" t="b">
        <v>1</v>
      </c>
      <c r="C101" s="72" t="b">
        <v>0</v>
      </c>
      <c r="D101" s="72" t="b">
        <v>0</v>
      </c>
      <c r="E101" s="57"/>
      <c r="F101" s="59"/>
      <c r="G101" s="57"/>
      <c r="H101" s="88"/>
      <c r="I101" s="88"/>
      <c r="J101" s="88"/>
      <c r="K101" s="89" t="b">
        <v>1</v>
      </c>
      <c r="L101" s="60"/>
      <c r="M101" s="57"/>
      <c r="N101" s="57"/>
      <c r="O101" s="61"/>
      <c r="P101" s="60"/>
      <c r="Q101" s="57"/>
      <c r="R101" s="57"/>
      <c r="S101" s="95"/>
      <c r="T101" s="88"/>
      <c r="U101" s="88"/>
      <c r="V101" s="88"/>
      <c r="W101" s="96"/>
      <c r="X101" s="97"/>
      <c r="Y101" s="97"/>
      <c r="Z101" s="98"/>
      <c r="AA101" s="99"/>
      <c r="AB101" s="98"/>
      <c r="AC101" s="88"/>
      <c r="AD101" s="98"/>
      <c r="AE101" s="64"/>
      <c r="AF101" s="67" t="str">
        <f t="shared" si="3"/>
        <v/>
      </c>
      <c r="AG101" s="58"/>
      <c r="AH101" s="68" t="str">
        <f t="shared" si="4"/>
        <v/>
      </c>
      <c r="AI101" s="53"/>
      <c r="AJ101" s="53"/>
      <c r="AK101" s="53"/>
      <c r="AL101" s="53"/>
      <c r="AM101" s="53"/>
      <c r="AN101" s="53"/>
      <c r="AO101" s="53"/>
      <c r="AP101" s="53"/>
      <c r="AQ101" s="53"/>
      <c r="AR101" s="53"/>
      <c r="AS101" s="53"/>
      <c r="AT101" s="53"/>
      <c r="AU101" s="53"/>
      <c r="AV101" s="58"/>
      <c r="AW101" s="58"/>
      <c r="AX101" s="58"/>
      <c r="AY101" s="53"/>
      <c r="AZ101" s="53"/>
      <c r="BA101" s="53"/>
      <c r="BB101" s="53"/>
      <c r="BC101" s="53"/>
      <c r="BD101" s="53"/>
      <c r="BE101" s="53"/>
      <c r="BF101" s="53"/>
      <c r="BG101" s="53"/>
      <c r="BH101" s="53"/>
      <c r="BI101" s="53"/>
      <c r="BJ101" s="53"/>
      <c r="BK101" s="53"/>
      <c r="BL101" s="53"/>
      <c r="BM101" s="53"/>
      <c r="BN101" s="53"/>
      <c r="BO101" s="65" t="str">
        <f t="shared" si="5"/>
        <v/>
      </c>
    </row>
    <row r="102" spans="1:67" ht="19.5" customHeight="1">
      <c r="A102" s="70" t="b">
        <v>0</v>
      </c>
      <c r="B102" s="71" t="b">
        <v>1</v>
      </c>
      <c r="C102" s="72" t="b">
        <v>0</v>
      </c>
      <c r="D102" s="72" t="b">
        <v>0</v>
      </c>
      <c r="E102" s="57"/>
      <c r="F102" s="59"/>
      <c r="G102" s="57"/>
      <c r="H102" s="88"/>
      <c r="I102" s="88"/>
      <c r="J102" s="88"/>
      <c r="K102" s="89" t="b">
        <v>1</v>
      </c>
      <c r="L102" s="60"/>
      <c r="M102" s="57"/>
      <c r="N102" s="57"/>
      <c r="O102" s="61"/>
      <c r="P102" s="60"/>
      <c r="Q102" s="57"/>
      <c r="R102" s="57"/>
      <c r="S102" s="95"/>
      <c r="T102" s="88"/>
      <c r="U102" s="88"/>
      <c r="V102" s="88"/>
      <c r="W102" s="96"/>
      <c r="X102" s="97"/>
      <c r="Y102" s="97"/>
      <c r="Z102" s="98"/>
      <c r="AA102" s="99"/>
      <c r="AB102" s="98"/>
      <c r="AC102" s="88"/>
      <c r="AD102" s="98"/>
      <c r="AE102" s="64"/>
      <c r="AF102" s="67" t="str">
        <f t="shared" si="3"/>
        <v/>
      </c>
      <c r="AG102" s="58"/>
      <c r="AH102" s="68" t="str">
        <f t="shared" si="4"/>
        <v/>
      </c>
      <c r="AI102" s="53"/>
      <c r="AJ102" s="53"/>
      <c r="AK102" s="53"/>
      <c r="AL102" s="53"/>
      <c r="AM102" s="53"/>
      <c r="AN102" s="53"/>
      <c r="AO102" s="53"/>
      <c r="AP102" s="53"/>
      <c r="AQ102" s="53"/>
      <c r="AR102" s="53"/>
      <c r="AS102" s="53"/>
      <c r="AT102" s="53"/>
      <c r="AU102" s="53"/>
      <c r="AV102" s="58"/>
      <c r="AW102" s="58"/>
      <c r="AX102" s="58"/>
      <c r="AY102" s="53"/>
      <c r="AZ102" s="53"/>
      <c r="BA102" s="53"/>
      <c r="BB102" s="53"/>
      <c r="BC102" s="53"/>
      <c r="BD102" s="53"/>
      <c r="BE102" s="53"/>
      <c r="BF102" s="53"/>
      <c r="BG102" s="53"/>
      <c r="BH102" s="53"/>
      <c r="BI102" s="53"/>
      <c r="BJ102" s="53"/>
      <c r="BK102" s="53"/>
      <c r="BL102" s="53"/>
      <c r="BM102" s="53"/>
      <c r="BN102" s="53"/>
      <c r="BO102" s="65" t="str">
        <f t="shared" si="5"/>
        <v/>
      </c>
    </row>
    <row r="103" spans="1:67" ht="19.5" customHeight="1">
      <c r="A103" s="70" t="b">
        <v>0</v>
      </c>
      <c r="B103" s="71" t="b">
        <v>1</v>
      </c>
      <c r="C103" s="72" t="b">
        <v>0</v>
      </c>
      <c r="D103" s="72" t="b">
        <v>0</v>
      </c>
      <c r="E103" s="57"/>
      <c r="F103" s="59"/>
      <c r="G103" s="57"/>
      <c r="H103" s="88"/>
      <c r="I103" s="88"/>
      <c r="J103" s="88"/>
      <c r="K103" s="89" t="b">
        <v>1</v>
      </c>
      <c r="L103" s="60"/>
      <c r="M103" s="57"/>
      <c r="N103" s="57"/>
      <c r="O103" s="61"/>
      <c r="P103" s="60"/>
      <c r="Q103" s="57"/>
      <c r="R103" s="57"/>
      <c r="S103" s="95"/>
      <c r="T103" s="88"/>
      <c r="U103" s="88"/>
      <c r="V103" s="88"/>
      <c r="W103" s="96"/>
      <c r="X103" s="97"/>
      <c r="Y103" s="97"/>
      <c r="Z103" s="98"/>
      <c r="AA103" s="99"/>
      <c r="AB103" s="98"/>
      <c r="AC103" s="88"/>
      <c r="AD103" s="98"/>
      <c r="AE103" s="64"/>
      <c r="AF103" s="67" t="str">
        <f t="shared" si="3"/>
        <v/>
      </c>
      <c r="AG103" s="58"/>
      <c r="AH103" s="68" t="str">
        <f t="shared" si="4"/>
        <v/>
      </c>
      <c r="AI103" s="53"/>
      <c r="AJ103" s="53"/>
      <c r="AK103" s="53"/>
      <c r="AL103" s="53"/>
      <c r="AM103" s="53"/>
      <c r="AN103" s="53"/>
      <c r="AO103" s="53"/>
      <c r="AP103" s="53"/>
      <c r="AQ103" s="53"/>
      <c r="AR103" s="53"/>
      <c r="AS103" s="53"/>
      <c r="AT103" s="53"/>
      <c r="AU103" s="53"/>
      <c r="AV103" s="58"/>
      <c r="AW103" s="58"/>
      <c r="AX103" s="58"/>
      <c r="AY103" s="53"/>
      <c r="AZ103" s="53"/>
      <c r="BA103" s="53"/>
      <c r="BB103" s="53"/>
      <c r="BC103" s="53"/>
      <c r="BD103" s="53"/>
      <c r="BE103" s="53"/>
      <c r="BF103" s="53"/>
      <c r="BG103" s="53"/>
      <c r="BH103" s="53"/>
      <c r="BI103" s="53"/>
      <c r="BJ103" s="53"/>
      <c r="BK103" s="53"/>
      <c r="BL103" s="53"/>
      <c r="BM103" s="53"/>
      <c r="BN103" s="53"/>
      <c r="BO103" s="65" t="str">
        <f t="shared" si="5"/>
        <v/>
      </c>
    </row>
    <row r="104" spans="1:67" ht="19.5" customHeight="1">
      <c r="A104" s="70" t="b">
        <v>0</v>
      </c>
      <c r="B104" s="71" t="b">
        <v>1</v>
      </c>
      <c r="C104" s="72" t="b">
        <v>0</v>
      </c>
      <c r="D104" s="72" t="b">
        <v>0</v>
      </c>
      <c r="E104" s="57"/>
      <c r="F104" s="59"/>
      <c r="G104" s="57"/>
      <c r="H104" s="88"/>
      <c r="I104" s="88"/>
      <c r="J104" s="88"/>
      <c r="K104" s="89" t="b">
        <v>1</v>
      </c>
      <c r="L104" s="60"/>
      <c r="M104" s="57"/>
      <c r="N104" s="57"/>
      <c r="O104" s="61"/>
      <c r="P104" s="60"/>
      <c r="Q104" s="57"/>
      <c r="R104" s="57"/>
      <c r="S104" s="95"/>
      <c r="T104" s="88"/>
      <c r="U104" s="88"/>
      <c r="V104" s="88"/>
      <c r="W104" s="96"/>
      <c r="X104" s="97"/>
      <c r="Y104" s="97"/>
      <c r="Z104" s="98"/>
      <c r="AA104" s="99"/>
      <c r="AB104" s="98"/>
      <c r="AC104" s="88"/>
      <c r="AD104" s="98"/>
      <c r="AE104" s="64"/>
      <c r="AF104" s="67" t="str">
        <f t="shared" si="3"/>
        <v/>
      </c>
      <c r="AG104" s="58"/>
      <c r="AH104" s="68" t="str">
        <f t="shared" si="4"/>
        <v/>
      </c>
      <c r="AI104" s="53"/>
      <c r="AJ104" s="53"/>
      <c r="AK104" s="53"/>
      <c r="AL104" s="53"/>
      <c r="AM104" s="53"/>
      <c r="AN104" s="53"/>
      <c r="AO104" s="53"/>
      <c r="AP104" s="53"/>
      <c r="AQ104" s="53"/>
      <c r="AR104" s="53"/>
      <c r="AS104" s="53"/>
      <c r="AT104" s="53"/>
      <c r="AU104" s="53"/>
      <c r="AV104" s="58"/>
      <c r="AW104" s="58"/>
      <c r="AX104" s="58"/>
      <c r="AY104" s="53"/>
      <c r="AZ104" s="53"/>
      <c r="BA104" s="53"/>
      <c r="BB104" s="53"/>
      <c r="BC104" s="53"/>
      <c r="BD104" s="53"/>
      <c r="BE104" s="53"/>
      <c r="BF104" s="53"/>
      <c r="BG104" s="53"/>
      <c r="BH104" s="53"/>
      <c r="BI104" s="53"/>
      <c r="BJ104" s="53"/>
      <c r="BK104" s="53"/>
      <c r="BL104" s="53"/>
      <c r="BM104" s="53"/>
      <c r="BN104" s="53"/>
      <c r="BO104" s="65" t="str">
        <f t="shared" si="5"/>
        <v/>
      </c>
    </row>
    <row r="105" spans="1:67" ht="19.5" customHeight="1">
      <c r="A105" s="70" t="b">
        <v>0</v>
      </c>
      <c r="B105" s="71" t="b">
        <v>1</v>
      </c>
      <c r="C105" s="72" t="b">
        <v>0</v>
      </c>
      <c r="D105" s="72" t="b">
        <v>0</v>
      </c>
      <c r="E105" s="57"/>
      <c r="F105" s="59"/>
      <c r="G105" s="57"/>
      <c r="H105" s="88"/>
      <c r="I105" s="88"/>
      <c r="J105" s="88"/>
      <c r="K105" s="89" t="b">
        <v>1</v>
      </c>
      <c r="L105" s="60"/>
      <c r="M105" s="57"/>
      <c r="N105" s="57"/>
      <c r="O105" s="61"/>
      <c r="P105" s="60"/>
      <c r="Q105" s="57"/>
      <c r="R105" s="57"/>
      <c r="S105" s="95"/>
      <c r="T105" s="88"/>
      <c r="U105" s="88"/>
      <c r="V105" s="88"/>
      <c r="W105" s="96"/>
      <c r="X105" s="97"/>
      <c r="Y105" s="97"/>
      <c r="Z105" s="98"/>
      <c r="AA105" s="99"/>
      <c r="AB105" s="98"/>
      <c r="AC105" s="88"/>
      <c r="AD105" s="98"/>
      <c r="AE105" s="64"/>
      <c r="AF105" s="67" t="str">
        <f t="shared" si="3"/>
        <v/>
      </c>
      <c r="AG105" s="58"/>
      <c r="AH105" s="68" t="str">
        <f t="shared" si="4"/>
        <v/>
      </c>
      <c r="AI105" s="53"/>
      <c r="AJ105" s="53"/>
      <c r="AK105" s="53"/>
      <c r="AL105" s="53"/>
      <c r="AM105" s="53"/>
      <c r="AN105" s="53"/>
      <c r="AO105" s="53"/>
      <c r="AP105" s="53"/>
      <c r="AQ105" s="53"/>
      <c r="AR105" s="53"/>
      <c r="AS105" s="53"/>
      <c r="AT105" s="53"/>
      <c r="AU105" s="53"/>
      <c r="AV105" s="58"/>
      <c r="AW105" s="58"/>
      <c r="AX105" s="58"/>
      <c r="AY105" s="53"/>
      <c r="AZ105" s="53"/>
      <c r="BA105" s="53"/>
      <c r="BB105" s="53"/>
      <c r="BC105" s="53"/>
      <c r="BD105" s="53"/>
      <c r="BE105" s="53"/>
      <c r="BF105" s="53"/>
      <c r="BG105" s="53"/>
      <c r="BH105" s="53"/>
      <c r="BI105" s="53"/>
      <c r="BJ105" s="53"/>
      <c r="BK105" s="53"/>
      <c r="BL105" s="53"/>
      <c r="BM105" s="53"/>
      <c r="BN105" s="53"/>
      <c r="BO105" s="65" t="str">
        <f t="shared" si="5"/>
        <v/>
      </c>
    </row>
    <row r="106" spans="1:67" ht="19.5" customHeight="1">
      <c r="A106" s="70" t="b">
        <v>0</v>
      </c>
      <c r="B106" s="71" t="b">
        <v>1</v>
      </c>
      <c r="C106" s="72" t="b">
        <v>0</v>
      </c>
      <c r="D106" s="72" t="b">
        <v>0</v>
      </c>
      <c r="E106" s="57"/>
      <c r="F106" s="59"/>
      <c r="G106" s="57"/>
      <c r="H106" s="88"/>
      <c r="I106" s="88"/>
      <c r="J106" s="88"/>
      <c r="K106" s="89" t="b">
        <v>1</v>
      </c>
      <c r="L106" s="60"/>
      <c r="M106" s="57"/>
      <c r="N106" s="57"/>
      <c r="O106" s="61"/>
      <c r="P106" s="60"/>
      <c r="Q106" s="57"/>
      <c r="R106" s="57"/>
      <c r="S106" s="95"/>
      <c r="T106" s="88"/>
      <c r="U106" s="88"/>
      <c r="V106" s="88"/>
      <c r="W106" s="96"/>
      <c r="X106" s="97"/>
      <c r="Y106" s="97"/>
      <c r="Z106" s="98"/>
      <c r="AA106" s="99"/>
      <c r="AB106" s="98"/>
      <c r="AC106" s="88"/>
      <c r="AD106" s="98"/>
      <c r="AE106" s="64"/>
      <c r="AF106" s="67" t="str">
        <f t="shared" si="3"/>
        <v/>
      </c>
      <c r="AG106" s="58"/>
      <c r="AH106" s="68" t="str">
        <f t="shared" si="4"/>
        <v/>
      </c>
      <c r="AI106" s="53"/>
      <c r="AJ106" s="53"/>
      <c r="AK106" s="53"/>
      <c r="AL106" s="53"/>
      <c r="AM106" s="53"/>
      <c r="AN106" s="53"/>
      <c r="AO106" s="53"/>
      <c r="AP106" s="53"/>
      <c r="AQ106" s="53"/>
      <c r="AR106" s="53"/>
      <c r="AS106" s="53"/>
      <c r="AT106" s="53"/>
      <c r="AU106" s="53"/>
      <c r="AV106" s="58"/>
      <c r="AW106" s="58"/>
      <c r="AX106" s="58"/>
      <c r="AY106" s="53"/>
      <c r="AZ106" s="53"/>
      <c r="BA106" s="53"/>
      <c r="BB106" s="53"/>
      <c r="BC106" s="53"/>
      <c r="BD106" s="53"/>
      <c r="BE106" s="53"/>
      <c r="BF106" s="53"/>
      <c r="BG106" s="53"/>
      <c r="BH106" s="53"/>
      <c r="BI106" s="53"/>
      <c r="BJ106" s="53"/>
      <c r="BK106" s="53"/>
      <c r="BL106" s="53"/>
      <c r="BM106" s="53"/>
      <c r="BN106" s="53"/>
      <c r="BO106" s="65" t="str">
        <f t="shared" si="5"/>
        <v/>
      </c>
    </row>
    <row r="107" spans="1:67" ht="19.5" customHeight="1">
      <c r="A107" s="70" t="b">
        <v>0</v>
      </c>
      <c r="B107" s="71" t="b">
        <v>1</v>
      </c>
      <c r="C107" s="72" t="b">
        <v>0</v>
      </c>
      <c r="D107" s="72" t="b">
        <v>0</v>
      </c>
      <c r="E107" s="57"/>
      <c r="F107" s="59"/>
      <c r="G107" s="57"/>
      <c r="H107" s="88"/>
      <c r="I107" s="88"/>
      <c r="J107" s="88"/>
      <c r="K107" s="89" t="b">
        <v>1</v>
      </c>
      <c r="L107" s="60"/>
      <c r="M107" s="57"/>
      <c r="N107" s="57"/>
      <c r="O107" s="61"/>
      <c r="P107" s="60"/>
      <c r="Q107" s="57"/>
      <c r="R107" s="57"/>
      <c r="S107" s="95"/>
      <c r="T107" s="88"/>
      <c r="U107" s="88"/>
      <c r="V107" s="88"/>
      <c r="W107" s="96"/>
      <c r="X107" s="97"/>
      <c r="Y107" s="97"/>
      <c r="Z107" s="98"/>
      <c r="AA107" s="99"/>
      <c r="AB107" s="98"/>
      <c r="AC107" s="88"/>
      <c r="AD107" s="98"/>
      <c r="AE107" s="64"/>
      <c r="AF107" s="67" t="str">
        <f t="shared" si="3"/>
        <v/>
      </c>
      <c r="AG107" s="58"/>
      <c r="AH107" s="68" t="str">
        <f t="shared" si="4"/>
        <v/>
      </c>
      <c r="AI107" s="53"/>
      <c r="AJ107" s="53"/>
      <c r="AK107" s="53"/>
      <c r="AL107" s="53"/>
      <c r="AM107" s="53"/>
      <c r="AN107" s="53"/>
      <c r="AO107" s="53"/>
      <c r="AP107" s="53"/>
      <c r="AQ107" s="53"/>
      <c r="AR107" s="53"/>
      <c r="AS107" s="53"/>
      <c r="AT107" s="53"/>
      <c r="AU107" s="53"/>
      <c r="AV107" s="58"/>
      <c r="AW107" s="58"/>
      <c r="AX107" s="58"/>
      <c r="AY107" s="53"/>
      <c r="AZ107" s="53"/>
      <c r="BA107" s="53"/>
      <c r="BB107" s="53"/>
      <c r="BC107" s="53"/>
      <c r="BD107" s="53"/>
      <c r="BE107" s="53"/>
      <c r="BF107" s="53"/>
      <c r="BG107" s="53"/>
      <c r="BH107" s="53"/>
      <c r="BI107" s="53"/>
      <c r="BJ107" s="53"/>
      <c r="BK107" s="53"/>
      <c r="BL107" s="53"/>
      <c r="BM107" s="53"/>
      <c r="BN107" s="53"/>
      <c r="BO107" s="65" t="str">
        <f t="shared" si="5"/>
        <v/>
      </c>
    </row>
    <row r="108" spans="1:67" ht="19.5" customHeight="1">
      <c r="A108" s="70" t="b">
        <v>0</v>
      </c>
      <c r="B108" s="71" t="b">
        <v>1</v>
      </c>
      <c r="C108" s="72" t="b">
        <v>0</v>
      </c>
      <c r="D108" s="72" t="b">
        <v>0</v>
      </c>
      <c r="E108" s="57"/>
      <c r="F108" s="59"/>
      <c r="G108" s="57"/>
      <c r="H108" s="88"/>
      <c r="I108" s="88"/>
      <c r="J108" s="88"/>
      <c r="K108" s="89" t="b">
        <v>1</v>
      </c>
      <c r="L108" s="60"/>
      <c r="M108" s="57"/>
      <c r="N108" s="57"/>
      <c r="O108" s="61"/>
      <c r="P108" s="60"/>
      <c r="Q108" s="57"/>
      <c r="R108" s="57"/>
      <c r="S108" s="95"/>
      <c r="T108" s="88"/>
      <c r="U108" s="88"/>
      <c r="V108" s="88"/>
      <c r="W108" s="96"/>
      <c r="X108" s="97"/>
      <c r="Y108" s="97"/>
      <c r="Z108" s="98"/>
      <c r="AA108" s="99"/>
      <c r="AB108" s="98"/>
      <c r="AC108" s="88"/>
      <c r="AD108" s="98"/>
      <c r="AE108" s="64"/>
      <c r="AF108" s="67" t="str">
        <f t="shared" si="3"/>
        <v/>
      </c>
      <c r="AG108" s="58"/>
      <c r="AH108" s="68" t="str">
        <f t="shared" si="4"/>
        <v/>
      </c>
      <c r="AI108" s="53"/>
      <c r="AJ108" s="53"/>
      <c r="AK108" s="53"/>
      <c r="AL108" s="53"/>
      <c r="AM108" s="53"/>
      <c r="AN108" s="53"/>
      <c r="AO108" s="53"/>
      <c r="AP108" s="53"/>
      <c r="AQ108" s="53"/>
      <c r="AR108" s="53"/>
      <c r="AS108" s="53"/>
      <c r="AT108" s="53"/>
      <c r="AU108" s="53"/>
      <c r="AV108" s="58"/>
      <c r="AW108" s="58"/>
      <c r="AX108" s="58"/>
      <c r="AY108" s="53"/>
      <c r="AZ108" s="53"/>
      <c r="BA108" s="53"/>
      <c r="BB108" s="53"/>
      <c r="BC108" s="53"/>
      <c r="BD108" s="53"/>
      <c r="BE108" s="53"/>
      <c r="BF108" s="53"/>
      <c r="BG108" s="53"/>
      <c r="BH108" s="53"/>
      <c r="BI108" s="53"/>
      <c r="BJ108" s="53"/>
      <c r="BK108" s="53"/>
      <c r="BL108" s="53"/>
      <c r="BM108" s="53"/>
      <c r="BN108" s="53"/>
      <c r="BO108" s="65" t="str">
        <f t="shared" si="5"/>
        <v/>
      </c>
    </row>
    <row r="109" spans="1:67" ht="19.5" customHeight="1">
      <c r="A109" s="70" t="b">
        <v>0</v>
      </c>
      <c r="B109" s="71" t="b">
        <v>1</v>
      </c>
      <c r="C109" s="72" t="b">
        <v>0</v>
      </c>
      <c r="D109" s="72" t="b">
        <v>0</v>
      </c>
      <c r="E109" s="57"/>
      <c r="F109" s="59"/>
      <c r="G109" s="57"/>
      <c r="H109" s="88"/>
      <c r="I109" s="88"/>
      <c r="J109" s="88"/>
      <c r="K109" s="89" t="b">
        <v>1</v>
      </c>
      <c r="L109" s="60"/>
      <c r="M109" s="57"/>
      <c r="N109" s="57"/>
      <c r="O109" s="61"/>
      <c r="P109" s="60"/>
      <c r="Q109" s="57"/>
      <c r="R109" s="57"/>
      <c r="S109" s="95"/>
      <c r="T109" s="88"/>
      <c r="U109" s="88"/>
      <c r="V109" s="88"/>
      <c r="W109" s="96"/>
      <c r="X109" s="97"/>
      <c r="Y109" s="97"/>
      <c r="Z109" s="98"/>
      <c r="AA109" s="99"/>
      <c r="AB109" s="98"/>
      <c r="AC109" s="88"/>
      <c r="AD109" s="98"/>
      <c r="AE109" s="64"/>
      <c r="AF109" s="67" t="str">
        <f t="shared" si="3"/>
        <v/>
      </c>
      <c r="AG109" s="58"/>
      <c r="AH109" s="68" t="str">
        <f t="shared" si="4"/>
        <v/>
      </c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8"/>
      <c r="AW109" s="58"/>
      <c r="AX109" s="58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  <c r="BK109" s="53"/>
      <c r="BL109" s="53"/>
      <c r="BM109" s="53"/>
      <c r="BN109" s="53"/>
      <c r="BO109" s="65" t="str">
        <f t="shared" si="5"/>
        <v/>
      </c>
    </row>
    <row r="110" spans="1:67" ht="19.5" customHeight="1">
      <c r="A110" s="70" t="b">
        <v>0</v>
      </c>
      <c r="B110" s="71" t="b">
        <v>1</v>
      </c>
      <c r="C110" s="72" t="b">
        <v>0</v>
      </c>
      <c r="D110" s="72" t="b">
        <v>0</v>
      </c>
      <c r="E110" s="57"/>
      <c r="F110" s="59"/>
      <c r="G110" s="57"/>
      <c r="H110" s="88"/>
      <c r="I110" s="88"/>
      <c r="J110" s="88"/>
      <c r="K110" s="89" t="b">
        <v>1</v>
      </c>
      <c r="L110" s="60"/>
      <c r="M110" s="57"/>
      <c r="N110" s="57"/>
      <c r="O110" s="61"/>
      <c r="P110" s="60"/>
      <c r="Q110" s="57"/>
      <c r="R110" s="57"/>
      <c r="S110" s="95"/>
      <c r="T110" s="88"/>
      <c r="U110" s="88"/>
      <c r="V110" s="88"/>
      <c r="W110" s="96"/>
      <c r="X110" s="97"/>
      <c r="Y110" s="97"/>
      <c r="Z110" s="98"/>
      <c r="AA110" s="99"/>
      <c r="AB110" s="98"/>
      <c r="AC110" s="88"/>
      <c r="AD110" s="98"/>
      <c r="AE110" s="64"/>
      <c r="AF110" s="67" t="str">
        <f t="shared" si="3"/>
        <v/>
      </c>
      <c r="AG110" s="58"/>
      <c r="AH110" s="68" t="str">
        <f t="shared" si="4"/>
        <v/>
      </c>
      <c r="AI110" s="53"/>
      <c r="AJ110" s="53"/>
      <c r="AK110" s="53"/>
      <c r="AL110" s="53"/>
      <c r="AM110" s="53"/>
      <c r="AN110" s="53"/>
      <c r="AO110" s="53"/>
      <c r="AP110" s="53"/>
      <c r="AQ110" s="53"/>
      <c r="AR110" s="53"/>
      <c r="AS110" s="53"/>
      <c r="AT110" s="53"/>
      <c r="AU110" s="53"/>
      <c r="AV110" s="58"/>
      <c r="AW110" s="58"/>
      <c r="AX110" s="58"/>
      <c r="AY110" s="53"/>
      <c r="AZ110" s="53"/>
      <c r="BA110" s="53"/>
      <c r="BB110" s="53"/>
      <c r="BC110" s="53"/>
      <c r="BD110" s="53"/>
      <c r="BE110" s="53"/>
      <c r="BF110" s="53"/>
      <c r="BG110" s="53"/>
      <c r="BH110" s="53"/>
      <c r="BI110" s="53"/>
      <c r="BJ110" s="53"/>
      <c r="BK110" s="53"/>
      <c r="BL110" s="53"/>
      <c r="BM110" s="53"/>
      <c r="BN110" s="53"/>
      <c r="BO110" s="65" t="str">
        <f t="shared" si="5"/>
        <v/>
      </c>
    </row>
    <row r="111" spans="1:67" ht="19.5" customHeight="1">
      <c r="A111" s="70" t="b">
        <v>0</v>
      </c>
      <c r="B111" s="71" t="b">
        <v>1</v>
      </c>
      <c r="C111" s="72" t="b">
        <v>0</v>
      </c>
      <c r="D111" s="72" t="b">
        <v>0</v>
      </c>
      <c r="E111" s="57"/>
      <c r="F111" s="59"/>
      <c r="G111" s="57"/>
      <c r="H111" s="88"/>
      <c r="I111" s="88"/>
      <c r="J111" s="88"/>
      <c r="K111" s="89" t="b">
        <v>1</v>
      </c>
      <c r="L111" s="60"/>
      <c r="M111" s="57"/>
      <c r="N111" s="57"/>
      <c r="O111" s="61"/>
      <c r="P111" s="60"/>
      <c r="Q111" s="57"/>
      <c r="R111" s="57"/>
      <c r="S111" s="95"/>
      <c r="T111" s="88"/>
      <c r="U111" s="88"/>
      <c r="V111" s="88"/>
      <c r="W111" s="96"/>
      <c r="X111" s="97"/>
      <c r="Y111" s="97"/>
      <c r="Z111" s="98"/>
      <c r="AA111" s="99"/>
      <c r="AB111" s="98"/>
      <c r="AC111" s="88"/>
      <c r="AD111" s="98"/>
      <c r="AE111" s="64"/>
      <c r="AF111" s="67" t="str">
        <f t="shared" si="3"/>
        <v/>
      </c>
      <c r="AG111" s="58"/>
      <c r="AH111" s="68" t="str">
        <f t="shared" si="4"/>
        <v/>
      </c>
      <c r="AI111" s="53"/>
      <c r="AJ111" s="53"/>
      <c r="AK111" s="53"/>
      <c r="AL111" s="53"/>
      <c r="AM111" s="53"/>
      <c r="AN111" s="53"/>
      <c r="AO111" s="53"/>
      <c r="AP111" s="53"/>
      <c r="AQ111" s="53"/>
      <c r="AR111" s="53"/>
      <c r="AS111" s="53"/>
      <c r="AT111" s="53"/>
      <c r="AU111" s="53"/>
      <c r="AV111" s="58"/>
      <c r="AW111" s="58"/>
      <c r="AX111" s="58"/>
      <c r="AY111" s="53"/>
      <c r="AZ111" s="53"/>
      <c r="BA111" s="53"/>
      <c r="BB111" s="53"/>
      <c r="BC111" s="53"/>
      <c r="BD111" s="53"/>
      <c r="BE111" s="53"/>
      <c r="BF111" s="53"/>
      <c r="BG111" s="53"/>
      <c r="BH111" s="53"/>
      <c r="BI111" s="53"/>
      <c r="BJ111" s="53"/>
      <c r="BK111" s="53"/>
      <c r="BL111" s="53"/>
      <c r="BM111" s="53"/>
      <c r="BN111" s="53"/>
      <c r="BO111" s="65" t="str">
        <f t="shared" si="5"/>
        <v/>
      </c>
    </row>
    <row r="112" spans="1:67" ht="19.5" customHeight="1">
      <c r="A112" s="70" t="b">
        <v>0</v>
      </c>
      <c r="B112" s="71" t="b">
        <v>1</v>
      </c>
      <c r="C112" s="72" t="b">
        <v>0</v>
      </c>
      <c r="D112" s="72" t="b">
        <v>0</v>
      </c>
      <c r="E112" s="57"/>
      <c r="F112" s="59"/>
      <c r="G112" s="57"/>
      <c r="H112" s="88"/>
      <c r="I112" s="88"/>
      <c r="J112" s="88"/>
      <c r="K112" s="89" t="b">
        <v>1</v>
      </c>
      <c r="L112" s="60"/>
      <c r="M112" s="57"/>
      <c r="N112" s="57"/>
      <c r="O112" s="61"/>
      <c r="P112" s="60"/>
      <c r="Q112" s="57"/>
      <c r="R112" s="57"/>
      <c r="S112" s="95"/>
      <c r="T112" s="88"/>
      <c r="U112" s="88"/>
      <c r="V112" s="88"/>
      <c r="W112" s="96"/>
      <c r="X112" s="97"/>
      <c r="Y112" s="97"/>
      <c r="Z112" s="98"/>
      <c r="AA112" s="99"/>
      <c r="AB112" s="98"/>
      <c r="AC112" s="88"/>
      <c r="AD112" s="98"/>
      <c r="AE112" s="64"/>
      <c r="AF112" s="67" t="str">
        <f t="shared" si="3"/>
        <v/>
      </c>
      <c r="AG112" s="58"/>
      <c r="AH112" s="68" t="str">
        <f t="shared" si="4"/>
        <v/>
      </c>
      <c r="AI112" s="53"/>
      <c r="AJ112" s="53"/>
      <c r="AK112" s="53"/>
      <c r="AL112" s="53"/>
      <c r="AM112" s="53"/>
      <c r="AN112" s="53"/>
      <c r="AO112" s="53"/>
      <c r="AP112" s="53"/>
      <c r="AQ112" s="53"/>
      <c r="AR112" s="53"/>
      <c r="AS112" s="53"/>
      <c r="AT112" s="53"/>
      <c r="AU112" s="53"/>
      <c r="AV112" s="58"/>
      <c r="AW112" s="58"/>
      <c r="AX112" s="58"/>
      <c r="AY112" s="53"/>
      <c r="AZ112" s="53"/>
      <c r="BA112" s="53"/>
      <c r="BB112" s="53"/>
      <c r="BC112" s="53"/>
      <c r="BD112" s="53"/>
      <c r="BE112" s="53"/>
      <c r="BF112" s="53"/>
      <c r="BG112" s="53"/>
      <c r="BH112" s="53"/>
      <c r="BI112" s="53"/>
      <c r="BJ112" s="53"/>
      <c r="BK112" s="53"/>
      <c r="BL112" s="53"/>
      <c r="BM112" s="53"/>
      <c r="BN112" s="53"/>
      <c r="BO112" s="65" t="str">
        <f t="shared" si="5"/>
        <v/>
      </c>
    </row>
    <row r="113" spans="1:67" ht="19.5" customHeight="1">
      <c r="A113" s="70" t="b">
        <v>0</v>
      </c>
      <c r="B113" s="71" t="b">
        <v>1</v>
      </c>
      <c r="C113" s="72" t="b">
        <v>0</v>
      </c>
      <c r="D113" s="72" t="b">
        <v>0</v>
      </c>
      <c r="E113" s="57"/>
      <c r="F113" s="59"/>
      <c r="G113" s="57"/>
      <c r="H113" s="88"/>
      <c r="I113" s="88"/>
      <c r="J113" s="88"/>
      <c r="K113" s="89" t="b">
        <v>1</v>
      </c>
      <c r="L113" s="60"/>
      <c r="M113" s="57"/>
      <c r="N113" s="57"/>
      <c r="O113" s="61"/>
      <c r="P113" s="60"/>
      <c r="Q113" s="57"/>
      <c r="R113" s="57"/>
      <c r="S113" s="95"/>
      <c r="T113" s="88"/>
      <c r="U113" s="88"/>
      <c r="V113" s="88"/>
      <c r="W113" s="96"/>
      <c r="X113" s="97"/>
      <c r="Y113" s="97"/>
      <c r="Z113" s="98"/>
      <c r="AA113" s="99"/>
      <c r="AB113" s="98"/>
      <c r="AC113" s="88"/>
      <c r="AD113" s="98"/>
      <c r="AE113" s="64"/>
      <c r="AF113" s="67" t="str">
        <f t="shared" si="3"/>
        <v/>
      </c>
      <c r="AG113" s="58"/>
      <c r="AH113" s="68" t="str">
        <f t="shared" si="4"/>
        <v/>
      </c>
      <c r="AI113" s="53"/>
      <c r="AJ113" s="53"/>
      <c r="AK113" s="53"/>
      <c r="AL113" s="53"/>
      <c r="AM113" s="53"/>
      <c r="AN113" s="53"/>
      <c r="AO113" s="53"/>
      <c r="AP113" s="53"/>
      <c r="AQ113" s="53"/>
      <c r="AR113" s="53"/>
      <c r="AS113" s="53"/>
      <c r="AT113" s="53"/>
      <c r="AU113" s="53"/>
      <c r="AV113" s="58"/>
      <c r="AW113" s="58"/>
      <c r="AX113" s="58"/>
      <c r="AY113" s="53"/>
      <c r="AZ113" s="53"/>
      <c r="BA113" s="53"/>
      <c r="BB113" s="53"/>
      <c r="BC113" s="53"/>
      <c r="BD113" s="53"/>
      <c r="BE113" s="53"/>
      <c r="BF113" s="53"/>
      <c r="BG113" s="53"/>
      <c r="BH113" s="53"/>
      <c r="BI113" s="53"/>
      <c r="BJ113" s="53"/>
      <c r="BK113" s="53"/>
      <c r="BL113" s="53"/>
      <c r="BM113" s="53"/>
      <c r="BN113" s="53"/>
      <c r="BO113" s="65" t="str">
        <f t="shared" si="5"/>
        <v/>
      </c>
    </row>
    <row r="114" spans="1:67" ht="19.5" customHeight="1">
      <c r="A114" s="70" t="b">
        <v>0</v>
      </c>
      <c r="B114" s="71" t="b">
        <v>1</v>
      </c>
      <c r="C114" s="72" t="b">
        <v>0</v>
      </c>
      <c r="D114" s="72" t="b">
        <v>0</v>
      </c>
      <c r="E114" s="57"/>
      <c r="F114" s="59"/>
      <c r="G114" s="57"/>
      <c r="H114" s="88"/>
      <c r="I114" s="88"/>
      <c r="J114" s="88"/>
      <c r="K114" s="89" t="b">
        <v>1</v>
      </c>
      <c r="L114" s="60"/>
      <c r="M114" s="57"/>
      <c r="N114" s="57"/>
      <c r="O114" s="61"/>
      <c r="P114" s="60"/>
      <c r="Q114" s="57"/>
      <c r="R114" s="57"/>
      <c r="S114" s="95"/>
      <c r="T114" s="88"/>
      <c r="U114" s="88"/>
      <c r="V114" s="88"/>
      <c r="W114" s="96"/>
      <c r="X114" s="97"/>
      <c r="Y114" s="97"/>
      <c r="Z114" s="98"/>
      <c r="AA114" s="99"/>
      <c r="AB114" s="98"/>
      <c r="AC114" s="88"/>
      <c r="AD114" s="98"/>
      <c r="AE114" s="64"/>
      <c r="AF114" s="67" t="str">
        <f t="shared" si="3"/>
        <v/>
      </c>
      <c r="AG114" s="58"/>
      <c r="AH114" s="68" t="str">
        <f t="shared" si="4"/>
        <v/>
      </c>
      <c r="AI114" s="53"/>
      <c r="AJ114" s="53"/>
      <c r="AK114" s="53"/>
      <c r="AL114" s="53"/>
      <c r="AM114" s="53"/>
      <c r="AN114" s="53"/>
      <c r="AO114" s="53"/>
      <c r="AP114" s="53"/>
      <c r="AQ114" s="53"/>
      <c r="AR114" s="53"/>
      <c r="AS114" s="53"/>
      <c r="AT114" s="53"/>
      <c r="AU114" s="53"/>
      <c r="AV114" s="58"/>
      <c r="AW114" s="58"/>
      <c r="AX114" s="58"/>
      <c r="AY114" s="53"/>
      <c r="AZ114" s="53"/>
      <c r="BA114" s="53"/>
      <c r="BB114" s="53"/>
      <c r="BC114" s="53"/>
      <c r="BD114" s="53"/>
      <c r="BE114" s="53"/>
      <c r="BF114" s="53"/>
      <c r="BG114" s="53"/>
      <c r="BH114" s="53"/>
      <c r="BI114" s="53"/>
      <c r="BJ114" s="53"/>
      <c r="BK114" s="53"/>
      <c r="BL114" s="53"/>
      <c r="BM114" s="53"/>
      <c r="BN114" s="53"/>
      <c r="BO114" s="65" t="str">
        <f t="shared" si="5"/>
        <v/>
      </c>
    </row>
    <row r="115" spans="1:67" ht="19.5" customHeight="1">
      <c r="A115" s="70" t="b">
        <v>0</v>
      </c>
      <c r="B115" s="71" t="b">
        <v>1</v>
      </c>
      <c r="C115" s="72" t="b">
        <v>0</v>
      </c>
      <c r="D115" s="72" t="b">
        <v>0</v>
      </c>
      <c r="E115" s="57"/>
      <c r="F115" s="59"/>
      <c r="G115" s="57"/>
      <c r="H115" s="88"/>
      <c r="I115" s="88"/>
      <c r="J115" s="88"/>
      <c r="K115" s="89" t="b">
        <v>1</v>
      </c>
      <c r="L115" s="60"/>
      <c r="M115" s="57"/>
      <c r="N115" s="57"/>
      <c r="O115" s="61"/>
      <c r="P115" s="60"/>
      <c r="Q115" s="57"/>
      <c r="R115" s="57"/>
      <c r="S115" s="95"/>
      <c r="T115" s="88"/>
      <c r="U115" s="88"/>
      <c r="V115" s="88"/>
      <c r="W115" s="96"/>
      <c r="X115" s="97"/>
      <c r="Y115" s="97"/>
      <c r="Z115" s="98"/>
      <c r="AA115" s="99"/>
      <c r="AB115" s="98"/>
      <c r="AC115" s="88"/>
      <c r="AD115" s="98"/>
      <c r="AE115" s="64"/>
      <c r="AF115" s="67" t="str">
        <f t="shared" si="3"/>
        <v/>
      </c>
      <c r="AG115" s="58"/>
      <c r="AH115" s="68" t="str">
        <f t="shared" si="4"/>
        <v/>
      </c>
      <c r="AI115" s="53"/>
      <c r="AJ115" s="53"/>
      <c r="AK115" s="53"/>
      <c r="AL115" s="53"/>
      <c r="AM115" s="53"/>
      <c r="AN115" s="53"/>
      <c r="AO115" s="53"/>
      <c r="AP115" s="53"/>
      <c r="AQ115" s="53"/>
      <c r="AR115" s="53"/>
      <c r="AS115" s="53"/>
      <c r="AT115" s="53"/>
      <c r="AU115" s="53"/>
      <c r="AV115" s="58"/>
      <c r="AW115" s="58"/>
      <c r="AX115" s="58"/>
      <c r="AY115" s="53"/>
      <c r="AZ115" s="53"/>
      <c r="BA115" s="53"/>
      <c r="BB115" s="53"/>
      <c r="BC115" s="53"/>
      <c r="BD115" s="53"/>
      <c r="BE115" s="53"/>
      <c r="BF115" s="53"/>
      <c r="BG115" s="53"/>
      <c r="BH115" s="53"/>
      <c r="BI115" s="53"/>
      <c r="BJ115" s="53"/>
      <c r="BK115" s="53"/>
      <c r="BL115" s="53"/>
      <c r="BM115" s="53"/>
      <c r="BN115" s="53"/>
      <c r="BO115" s="65" t="str">
        <f t="shared" si="5"/>
        <v/>
      </c>
    </row>
    <row r="116" spans="1:67" ht="19.5" customHeight="1">
      <c r="A116" s="70" t="b">
        <v>0</v>
      </c>
      <c r="B116" s="71" t="b">
        <v>1</v>
      </c>
      <c r="C116" s="72" t="b">
        <v>0</v>
      </c>
      <c r="D116" s="72" t="b">
        <v>0</v>
      </c>
      <c r="E116" s="57"/>
      <c r="F116" s="59"/>
      <c r="G116" s="57"/>
      <c r="H116" s="88"/>
      <c r="I116" s="88"/>
      <c r="J116" s="88"/>
      <c r="K116" s="89" t="b">
        <v>1</v>
      </c>
      <c r="L116" s="60"/>
      <c r="M116" s="57"/>
      <c r="N116" s="57"/>
      <c r="O116" s="61"/>
      <c r="P116" s="60"/>
      <c r="Q116" s="57"/>
      <c r="R116" s="57"/>
      <c r="S116" s="95"/>
      <c r="T116" s="88"/>
      <c r="U116" s="88"/>
      <c r="V116" s="88"/>
      <c r="W116" s="96"/>
      <c r="X116" s="97"/>
      <c r="Y116" s="97"/>
      <c r="Z116" s="98"/>
      <c r="AA116" s="99"/>
      <c r="AB116" s="98"/>
      <c r="AC116" s="88"/>
      <c r="AD116" s="98"/>
      <c r="AE116" s="64"/>
      <c r="AF116" s="67" t="str">
        <f t="shared" si="3"/>
        <v/>
      </c>
      <c r="AG116" s="58"/>
      <c r="AH116" s="68" t="str">
        <f t="shared" si="4"/>
        <v/>
      </c>
      <c r="AI116" s="53"/>
      <c r="AJ116" s="53"/>
      <c r="AK116" s="53"/>
      <c r="AL116" s="53"/>
      <c r="AM116" s="53"/>
      <c r="AN116" s="53"/>
      <c r="AO116" s="53"/>
      <c r="AP116" s="53"/>
      <c r="AQ116" s="53"/>
      <c r="AR116" s="53"/>
      <c r="AS116" s="53"/>
      <c r="AT116" s="53"/>
      <c r="AU116" s="53"/>
      <c r="AV116" s="58"/>
      <c r="AW116" s="58"/>
      <c r="AX116" s="58"/>
      <c r="AY116" s="53"/>
      <c r="AZ116" s="53"/>
      <c r="BA116" s="53"/>
      <c r="BB116" s="53"/>
      <c r="BC116" s="53"/>
      <c r="BD116" s="53"/>
      <c r="BE116" s="53"/>
      <c r="BF116" s="53"/>
      <c r="BG116" s="53"/>
      <c r="BH116" s="53"/>
      <c r="BI116" s="53"/>
      <c r="BJ116" s="53"/>
      <c r="BK116" s="53"/>
      <c r="BL116" s="53"/>
      <c r="BM116" s="53"/>
      <c r="BN116" s="53"/>
      <c r="BO116" s="65" t="str">
        <f t="shared" si="5"/>
        <v/>
      </c>
    </row>
    <row r="117" spans="1:67" ht="19.5" customHeight="1">
      <c r="A117" s="70" t="b">
        <v>0</v>
      </c>
      <c r="B117" s="71" t="b">
        <v>1</v>
      </c>
      <c r="C117" s="72" t="b">
        <v>0</v>
      </c>
      <c r="D117" s="72" t="b">
        <v>0</v>
      </c>
      <c r="E117" s="57"/>
      <c r="F117" s="59"/>
      <c r="G117" s="57"/>
      <c r="H117" s="88"/>
      <c r="I117" s="88"/>
      <c r="J117" s="88"/>
      <c r="K117" s="89" t="b">
        <v>1</v>
      </c>
      <c r="L117" s="60"/>
      <c r="M117" s="57"/>
      <c r="N117" s="57"/>
      <c r="O117" s="61"/>
      <c r="P117" s="60"/>
      <c r="Q117" s="57"/>
      <c r="R117" s="57"/>
      <c r="S117" s="95"/>
      <c r="T117" s="88"/>
      <c r="U117" s="88"/>
      <c r="V117" s="88"/>
      <c r="W117" s="96"/>
      <c r="X117" s="97"/>
      <c r="Y117" s="97"/>
      <c r="Z117" s="98"/>
      <c r="AA117" s="99"/>
      <c r="AB117" s="98"/>
      <c r="AC117" s="88"/>
      <c r="AD117" s="98"/>
      <c r="AE117" s="64"/>
      <c r="AF117" s="67" t="str">
        <f t="shared" si="3"/>
        <v/>
      </c>
      <c r="AG117" s="58"/>
      <c r="AH117" s="68" t="str">
        <f t="shared" si="4"/>
        <v/>
      </c>
      <c r="AI117" s="53"/>
      <c r="AJ117" s="53"/>
      <c r="AK117" s="53"/>
      <c r="AL117" s="53"/>
      <c r="AM117" s="53"/>
      <c r="AN117" s="53"/>
      <c r="AO117" s="53"/>
      <c r="AP117" s="53"/>
      <c r="AQ117" s="53"/>
      <c r="AR117" s="53"/>
      <c r="AS117" s="53"/>
      <c r="AT117" s="53"/>
      <c r="AU117" s="53"/>
      <c r="AV117" s="58"/>
      <c r="AW117" s="58"/>
      <c r="AX117" s="58"/>
      <c r="AY117" s="53"/>
      <c r="AZ117" s="53"/>
      <c r="BA117" s="53"/>
      <c r="BB117" s="53"/>
      <c r="BC117" s="53"/>
      <c r="BD117" s="53"/>
      <c r="BE117" s="53"/>
      <c r="BF117" s="53"/>
      <c r="BG117" s="53"/>
      <c r="BH117" s="53"/>
      <c r="BI117" s="53"/>
      <c r="BJ117" s="53"/>
      <c r="BK117" s="53"/>
      <c r="BL117" s="53"/>
      <c r="BM117" s="53"/>
      <c r="BN117" s="53"/>
      <c r="BO117" s="65" t="str">
        <f t="shared" si="5"/>
        <v/>
      </c>
    </row>
    <row r="118" spans="1:67" ht="19.5" customHeight="1">
      <c r="A118" s="70" t="b">
        <v>0</v>
      </c>
      <c r="B118" s="71" t="b">
        <v>1</v>
      </c>
      <c r="C118" s="72" t="b">
        <v>0</v>
      </c>
      <c r="D118" s="72" t="b">
        <v>0</v>
      </c>
      <c r="E118" s="57"/>
      <c r="F118" s="59"/>
      <c r="G118" s="57"/>
      <c r="H118" s="88"/>
      <c r="I118" s="88"/>
      <c r="J118" s="88"/>
      <c r="K118" s="89" t="b">
        <v>1</v>
      </c>
      <c r="L118" s="60"/>
      <c r="M118" s="57"/>
      <c r="N118" s="57"/>
      <c r="O118" s="61"/>
      <c r="P118" s="60"/>
      <c r="Q118" s="57"/>
      <c r="R118" s="57"/>
      <c r="S118" s="95"/>
      <c r="T118" s="88"/>
      <c r="U118" s="88"/>
      <c r="V118" s="88"/>
      <c r="W118" s="96"/>
      <c r="X118" s="97"/>
      <c r="Y118" s="97"/>
      <c r="Z118" s="98"/>
      <c r="AA118" s="99"/>
      <c r="AB118" s="98"/>
      <c r="AC118" s="88"/>
      <c r="AD118" s="98"/>
      <c r="AE118" s="64"/>
      <c r="AF118" s="67" t="str">
        <f t="shared" si="3"/>
        <v/>
      </c>
      <c r="AG118" s="58"/>
      <c r="AH118" s="68" t="str">
        <f t="shared" si="4"/>
        <v/>
      </c>
      <c r="AI118" s="53"/>
      <c r="AJ118" s="53"/>
      <c r="AK118" s="53"/>
      <c r="AL118" s="53"/>
      <c r="AM118" s="53"/>
      <c r="AN118" s="53"/>
      <c r="AO118" s="53"/>
      <c r="AP118" s="53"/>
      <c r="AQ118" s="53"/>
      <c r="AR118" s="53"/>
      <c r="AS118" s="53"/>
      <c r="AT118" s="53"/>
      <c r="AU118" s="53"/>
      <c r="AV118" s="58"/>
      <c r="AW118" s="58"/>
      <c r="AX118" s="58"/>
      <c r="AY118" s="53"/>
      <c r="AZ118" s="53"/>
      <c r="BA118" s="53"/>
      <c r="BB118" s="53"/>
      <c r="BC118" s="53"/>
      <c r="BD118" s="53"/>
      <c r="BE118" s="53"/>
      <c r="BF118" s="53"/>
      <c r="BG118" s="53"/>
      <c r="BH118" s="53"/>
      <c r="BI118" s="53"/>
      <c r="BJ118" s="53"/>
      <c r="BK118" s="53"/>
      <c r="BL118" s="53"/>
      <c r="BM118" s="53"/>
      <c r="BN118" s="53"/>
      <c r="BO118" s="65" t="str">
        <f t="shared" si="5"/>
        <v/>
      </c>
    </row>
    <row r="119" spans="1:67" ht="19.5" customHeight="1">
      <c r="A119" s="70" t="b">
        <v>0</v>
      </c>
      <c r="B119" s="71" t="b">
        <v>1</v>
      </c>
      <c r="C119" s="72" t="b">
        <v>0</v>
      </c>
      <c r="D119" s="72" t="b">
        <v>0</v>
      </c>
      <c r="E119" s="57"/>
      <c r="F119" s="59"/>
      <c r="G119" s="57"/>
      <c r="H119" s="88"/>
      <c r="I119" s="88"/>
      <c r="J119" s="88"/>
      <c r="K119" s="89" t="b">
        <v>1</v>
      </c>
      <c r="L119" s="60"/>
      <c r="M119" s="57"/>
      <c r="N119" s="57"/>
      <c r="O119" s="61"/>
      <c r="P119" s="60"/>
      <c r="Q119" s="57"/>
      <c r="R119" s="57"/>
      <c r="S119" s="95"/>
      <c r="T119" s="88"/>
      <c r="U119" s="88"/>
      <c r="V119" s="88"/>
      <c r="W119" s="96"/>
      <c r="X119" s="97"/>
      <c r="Y119" s="97"/>
      <c r="Z119" s="98"/>
      <c r="AA119" s="99"/>
      <c r="AB119" s="98"/>
      <c r="AC119" s="88"/>
      <c r="AD119" s="98"/>
      <c r="AE119" s="64"/>
      <c r="AF119" s="67" t="str">
        <f t="shared" si="3"/>
        <v/>
      </c>
      <c r="AG119" s="58"/>
      <c r="AH119" s="68" t="str">
        <f t="shared" si="4"/>
        <v/>
      </c>
      <c r="AI119" s="53"/>
      <c r="AJ119" s="53"/>
      <c r="AK119" s="53"/>
      <c r="AL119" s="53"/>
      <c r="AM119" s="53"/>
      <c r="AN119" s="53"/>
      <c r="AO119" s="53"/>
      <c r="AP119" s="53"/>
      <c r="AQ119" s="53"/>
      <c r="AR119" s="53"/>
      <c r="AS119" s="53"/>
      <c r="AT119" s="53"/>
      <c r="AU119" s="53"/>
      <c r="AV119" s="58"/>
      <c r="AW119" s="58"/>
      <c r="AX119" s="58"/>
      <c r="AY119" s="53"/>
      <c r="AZ119" s="53"/>
      <c r="BA119" s="53"/>
      <c r="BB119" s="53"/>
      <c r="BC119" s="53"/>
      <c r="BD119" s="53"/>
      <c r="BE119" s="53"/>
      <c r="BF119" s="53"/>
      <c r="BG119" s="53"/>
      <c r="BH119" s="53"/>
      <c r="BI119" s="53"/>
      <c r="BJ119" s="53"/>
      <c r="BK119" s="53"/>
      <c r="BL119" s="53"/>
      <c r="BM119" s="53"/>
      <c r="BN119" s="53"/>
      <c r="BO119" s="65" t="str">
        <f t="shared" si="5"/>
        <v/>
      </c>
    </row>
    <row r="120" spans="1:67" ht="19.5" customHeight="1">
      <c r="A120" s="70" t="b">
        <v>0</v>
      </c>
      <c r="B120" s="71" t="b">
        <v>1</v>
      </c>
      <c r="C120" s="72" t="b">
        <v>0</v>
      </c>
      <c r="D120" s="72" t="b">
        <v>0</v>
      </c>
      <c r="E120" s="57"/>
      <c r="F120" s="59"/>
      <c r="G120" s="57"/>
      <c r="H120" s="88"/>
      <c r="I120" s="88"/>
      <c r="J120" s="88"/>
      <c r="K120" s="89" t="b">
        <v>1</v>
      </c>
      <c r="L120" s="60"/>
      <c r="M120" s="57"/>
      <c r="N120" s="57"/>
      <c r="O120" s="61"/>
      <c r="P120" s="60"/>
      <c r="Q120" s="57"/>
      <c r="R120" s="57"/>
      <c r="S120" s="95"/>
      <c r="T120" s="88"/>
      <c r="U120" s="88"/>
      <c r="V120" s="88"/>
      <c r="W120" s="96"/>
      <c r="X120" s="97"/>
      <c r="Y120" s="97"/>
      <c r="Z120" s="98"/>
      <c r="AA120" s="99"/>
      <c r="AB120" s="98"/>
      <c r="AC120" s="88"/>
      <c r="AD120" s="98"/>
      <c r="AE120" s="64"/>
      <c r="AF120" s="67" t="str">
        <f t="shared" si="3"/>
        <v/>
      </c>
      <c r="AG120" s="58"/>
      <c r="AH120" s="68" t="str">
        <f t="shared" si="4"/>
        <v/>
      </c>
      <c r="AI120" s="53"/>
      <c r="AJ120" s="53"/>
      <c r="AK120" s="53"/>
      <c r="AL120" s="53"/>
      <c r="AM120" s="53"/>
      <c r="AN120" s="53"/>
      <c r="AO120" s="53"/>
      <c r="AP120" s="53"/>
      <c r="AQ120" s="53"/>
      <c r="AR120" s="53"/>
      <c r="AS120" s="53"/>
      <c r="AT120" s="53"/>
      <c r="AU120" s="53"/>
      <c r="AV120" s="58"/>
      <c r="AW120" s="58"/>
      <c r="AX120" s="58"/>
      <c r="AY120" s="53"/>
      <c r="AZ120" s="53"/>
      <c r="BA120" s="53"/>
      <c r="BB120" s="53"/>
      <c r="BC120" s="53"/>
      <c r="BD120" s="53"/>
      <c r="BE120" s="53"/>
      <c r="BF120" s="53"/>
      <c r="BG120" s="53"/>
      <c r="BH120" s="53"/>
      <c r="BI120" s="53"/>
      <c r="BJ120" s="53"/>
      <c r="BK120" s="53"/>
      <c r="BL120" s="53"/>
      <c r="BM120" s="53"/>
      <c r="BN120" s="53"/>
      <c r="BO120" s="65" t="str">
        <f t="shared" si="5"/>
        <v/>
      </c>
    </row>
    <row r="121" spans="1:67" ht="19.5" customHeight="1">
      <c r="A121" s="70" t="b">
        <v>0</v>
      </c>
      <c r="B121" s="71" t="b">
        <v>1</v>
      </c>
      <c r="C121" s="72" t="b">
        <v>0</v>
      </c>
      <c r="D121" s="72" t="b">
        <v>0</v>
      </c>
      <c r="E121" s="57"/>
      <c r="F121" s="59"/>
      <c r="G121" s="57"/>
      <c r="H121" s="88"/>
      <c r="I121" s="88"/>
      <c r="J121" s="88"/>
      <c r="K121" s="89" t="b">
        <v>1</v>
      </c>
      <c r="L121" s="60"/>
      <c r="M121" s="57"/>
      <c r="N121" s="57"/>
      <c r="O121" s="61"/>
      <c r="P121" s="60"/>
      <c r="Q121" s="57"/>
      <c r="R121" s="57"/>
      <c r="S121" s="95"/>
      <c r="T121" s="88"/>
      <c r="U121" s="88"/>
      <c r="V121" s="88"/>
      <c r="W121" s="96"/>
      <c r="X121" s="97"/>
      <c r="Y121" s="97"/>
      <c r="Z121" s="98"/>
      <c r="AA121" s="99"/>
      <c r="AB121" s="98"/>
      <c r="AC121" s="88"/>
      <c r="AD121" s="98"/>
      <c r="AE121" s="64"/>
      <c r="AF121" s="67" t="str">
        <f t="shared" si="3"/>
        <v/>
      </c>
      <c r="AG121" s="58"/>
      <c r="AH121" s="68" t="str">
        <f t="shared" si="4"/>
        <v/>
      </c>
      <c r="AI121" s="53"/>
      <c r="AJ121" s="53"/>
      <c r="AK121" s="53"/>
      <c r="AL121" s="53"/>
      <c r="AM121" s="53"/>
      <c r="AN121" s="53"/>
      <c r="AO121" s="53"/>
      <c r="AP121" s="53"/>
      <c r="AQ121" s="53"/>
      <c r="AR121" s="53"/>
      <c r="AS121" s="53"/>
      <c r="AT121" s="53"/>
      <c r="AU121" s="53"/>
      <c r="AV121" s="58"/>
      <c r="AW121" s="58"/>
      <c r="AX121" s="58"/>
      <c r="AY121" s="53"/>
      <c r="AZ121" s="53"/>
      <c r="BA121" s="53"/>
      <c r="BB121" s="53"/>
      <c r="BC121" s="53"/>
      <c r="BD121" s="53"/>
      <c r="BE121" s="53"/>
      <c r="BF121" s="53"/>
      <c r="BG121" s="53"/>
      <c r="BH121" s="53"/>
      <c r="BI121" s="53"/>
      <c r="BJ121" s="53"/>
      <c r="BK121" s="53"/>
      <c r="BL121" s="53"/>
      <c r="BM121" s="53"/>
      <c r="BN121" s="53"/>
      <c r="BO121" s="65" t="str">
        <f t="shared" si="5"/>
        <v/>
      </c>
    </row>
    <row r="122" spans="1:67" ht="19.5" customHeight="1">
      <c r="A122" s="70" t="b">
        <v>0</v>
      </c>
      <c r="B122" s="71" t="b">
        <v>1</v>
      </c>
      <c r="C122" s="72" t="b">
        <v>0</v>
      </c>
      <c r="D122" s="72" t="b">
        <v>0</v>
      </c>
      <c r="E122" s="57"/>
      <c r="F122" s="59"/>
      <c r="G122" s="57"/>
      <c r="H122" s="88"/>
      <c r="I122" s="88"/>
      <c r="J122" s="88"/>
      <c r="K122" s="89" t="b">
        <v>1</v>
      </c>
      <c r="L122" s="60"/>
      <c r="M122" s="57"/>
      <c r="N122" s="57"/>
      <c r="O122" s="61"/>
      <c r="P122" s="60"/>
      <c r="Q122" s="57"/>
      <c r="R122" s="57"/>
      <c r="S122" s="95"/>
      <c r="T122" s="88"/>
      <c r="U122" s="88"/>
      <c r="V122" s="88"/>
      <c r="W122" s="96"/>
      <c r="X122" s="97"/>
      <c r="Y122" s="97"/>
      <c r="Z122" s="98"/>
      <c r="AA122" s="99"/>
      <c r="AB122" s="98"/>
      <c r="AC122" s="88"/>
      <c r="AD122" s="98"/>
      <c r="AE122" s="64"/>
      <c r="AF122" s="67" t="str">
        <f t="shared" si="3"/>
        <v/>
      </c>
      <c r="AG122" s="58"/>
      <c r="AH122" s="68" t="str">
        <f t="shared" si="4"/>
        <v/>
      </c>
      <c r="AI122" s="53"/>
      <c r="AJ122" s="53"/>
      <c r="AK122" s="53"/>
      <c r="AL122" s="53"/>
      <c r="AM122" s="53"/>
      <c r="AN122" s="53"/>
      <c r="AO122" s="53"/>
      <c r="AP122" s="53"/>
      <c r="AQ122" s="53"/>
      <c r="AR122" s="53"/>
      <c r="AS122" s="53"/>
      <c r="AT122" s="53"/>
      <c r="AU122" s="53"/>
      <c r="AV122" s="58"/>
      <c r="AW122" s="58"/>
      <c r="AX122" s="58"/>
      <c r="AY122" s="53"/>
      <c r="AZ122" s="53"/>
      <c r="BA122" s="53"/>
      <c r="BB122" s="53"/>
      <c r="BC122" s="53"/>
      <c r="BD122" s="53"/>
      <c r="BE122" s="53"/>
      <c r="BF122" s="53"/>
      <c r="BG122" s="53"/>
      <c r="BH122" s="53"/>
      <c r="BI122" s="53"/>
      <c r="BJ122" s="53"/>
      <c r="BK122" s="53"/>
      <c r="BL122" s="53"/>
      <c r="BM122" s="53"/>
      <c r="BN122" s="53"/>
      <c r="BO122" s="65" t="str">
        <f t="shared" si="5"/>
        <v/>
      </c>
    </row>
    <row r="123" spans="1:67" ht="19.5" customHeight="1">
      <c r="A123" s="70" t="b">
        <v>0</v>
      </c>
      <c r="B123" s="71" t="b">
        <v>1</v>
      </c>
      <c r="C123" s="72" t="b">
        <v>0</v>
      </c>
      <c r="D123" s="72" t="b">
        <v>0</v>
      </c>
      <c r="E123" s="57"/>
      <c r="F123" s="59"/>
      <c r="G123" s="57"/>
      <c r="H123" s="88"/>
      <c r="I123" s="88"/>
      <c r="J123" s="88"/>
      <c r="K123" s="89" t="b">
        <v>1</v>
      </c>
      <c r="L123" s="60"/>
      <c r="M123" s="57"/>
      <c r="N123" s="57"/>
      <c r="O123" s="61"/>
      <c r="P123" s="60"/>
      <c r="Q123" s="57"/>
      <c r="R123" s="57"/>
      <c r="S123" s="95"/>
      <c r="T123" s="88"/>
      <c r="U123" s="88"/>
      <c r="V123" s="88"/>
      <c r="W123" s="96"/>
      <c r="X123" s="97"/>
      <c r="Y123" s="97"/>
      <c r="Z123" s="98"/>
      <c r="AA123" s="99"/>
      <c r="AB123" s="98"/>
      <c r="AC123" s="88"/>
      <c r="AD123" s="98"/>
      <c r="AE123" s="64"/>
      <c r="AF123" s="67" t="str">
        <f t="shared" si="3"/>
        <v/>
      </c>
      <c r="AG123" s="58"/>
      <c r="AH123" s="68" t="str">
        <f t="shared" si="4"/>
        <v/>
      </c>
      <c r="AI123" s="53"/>
      <c r="AJ123" s="53"/>
      <c r="AK123" s="53"/>
      <c r="AL123" s="53"/>
      <c r="AM123" s="53"/>
      <c r="AN123" s="53"/>
      <c r="AO123" s="53"/>
      <c r="AP123" s="53"/>
      <c r="AQ123" s="53"/>
      <c r="AR123" s="53"/>
      <c r="AS123" s="53"/>
      <c r="AT123" s="53"/>
      <c r="AU123" s="53"/>
      <c r="AV123" s="58"/>
      <c r="AW123" s="58"/>
      <c r="AX123" s="58"/>
      <c r="AY123" s="53"/>
      <c r="AZ123" s="53"/>
      <c r="BA123" s="53"/>
      <c r="BB123" s="53"/>
      <c r="BC123" s="53"/>
      <c r="BD123" s="53"/>
      <c r="BE123" s="53"/>
      <c r="BF123" s="53"/>
      <c r="BG123" s="53"/>
      <c r="BH123" s="53"/>
      <c r="BI123" s="53"/>
      <c r="BJ123" s="53"/>
      <c r="BK123" s="53"/>
      <c r="BL123" s="53"/>
      <c r="BM123" s="53"/>
      <c r="BN123" s="53"/>
      <c r="BO123" s="65" t="str">
        <f t="shared" si="5"/>
        <v/>
      </c>
    </row>
    <row r="124" spans="1:67" ht="19.5" customHeight="1">
      <c r="A124" s="70" t="b">
        <v>0</v>
      </c>
      <c r="B124" s="71" t="b">
        <v>1</v>
      </c>
      <c r="C124" s="72" t="b">
        <v>0</v>
      </c>
      <c r="D124" s="72" t="b">
        <v>0</v>
      </c>
      <c r="E124" s="57"/>
      <c r="F124" s="59"/>
      <c r="G124" s="57"/>
      <c r="H124" s="88"/>
      <c r="I124" s="88"/>
      <c r="J124" s="88"/>
      <c r="K124" s="89" t="b">
        <v>1</v>
      </c>
      <c r="L124" s="60"/>
      <c r="M124" s="57"/>
      <c r="N124" s="57"/>
      <c r="O124" s="61"/>
      <c r="P124" s="60"/>
      <c r="Q124" s="57"/>
      <c r="R124" s="57"/>
      <c r="S124" s="95"/>
      <c r="T124" s="88"/>
      <c r="U124" s="88"/>
      <c r="V124" s="88"/>
      <c r="W124" s="96"/>
      <c r="X124" s="97"/>
      <c r="Y124" s="97"/>
      <c r="Z124" s="98"/>
      <c r="AA124" s="99"/>
      <c r="AB124" s="98"/>
      <c r="AC124" s="88"/>
      <c r="AD124" s="98"/>
      <c r="AE124" s="64"/>
      <c r="AF124" s="67" t="str">
        <f t="shared" si="3"/>
        <v/>
      </c>
      <c r="AG124" s="58"/>
      <c r="AH124" s="68" t="str">
        <f t="shared" si="4"/>
        <v/>
      </c>
      <c r="AI124" s="53"/>
      <c r="AJ124" s="53"/>
      <c r="AK124" s="53"/>
      <c r="AL124" s="53"/>
      <c r="AM124" s="53"/>
      <c r="AN124" s="53"/>
      <c r="AO124" s="53"/>
      <c r="AP124" s="53"/>
      <c r="AQ124" s="53"/>
      <c r="AR124" s="53"/>
      <c r="AS124" s="53"/>
      <c r="AT124" s="53"/>
      <c r="AU124" s="53"/>
      <c r="AV124" s="58"/>
      <c r="AW124" s="58"/>
      <c r="AX124" s="58"/>
      <c r="AY124" s="53"/>
      <c r="AZ124" s="53"/>
      <c r="BA124" s="53"/>
      <c r="BB124" s="53"/>
      <c r="BC124" s="53"/>
      <c r="BD124" s="53"/>
      <c r="BE124" s="53"/>
      <c r="BF124" s="53"/>
      <c r="BG124" s="53"/>
      <c r="BH124" s="53"/>
      <c r="BI124" s="53"/>
      <c r="BJ124" s="53"/>
      <c r="BK124" s="53"/>
      <c r="BL124" s="53"/>
      <c r="BM124" s="53"/>
      <c r="BN124" s="53"/>
      <c r="BO124" s="65" t="str">
        <f t="shared" si="5"/>
        <v/>
      </c>
    </row>
    <row r="125" spans="1:67" ht="19.5" customHeight="1">
      <c r="A125" s="70" t="b">
        <v>0</v>
      </c>
      <c r="B125" s="71" t="b">
        <v>1</v>
      </c>
      <c r="C125" s="72" t="b">
        <v>0</v>
      </c>
      <c r="D125" s="72" t="b">
        <v>0</v>
      </c>
      <c r="E125" s="57"/>
      <c r="F125" s="59"/>
      <c r="G125" s="57"/>
      <c r="H125" s="88"/>
      <c r="I125" s="88"/>
      <c r="J125" s="88"/>
      <c r="K125" s="89" t="b">
        <v>1</v>
      </c>
      <c r="L125" s="60"/>
      <c r="M125" s="57"/>
      <c r="N125" s="57"/>
      <c r="O125" s="61"/>
      <c r="P125" s="60"/>
      <c r="Q125" s="57"/>
      <c r="R125" s="57"/>
      <c r="S125" s="95"/>
      <c r="T125" s="88"/>
      <c r="U125" s="88"/>
      <c r="V125" s="88"/>
      <c r="W125" s="96"/>
      <c r="X125" s="97"/>
      <c r="Y125" s="97"/>
      <c r="Z125" s="98"/>
      <c r="AA125" s="99"/>
      <c r="AB125" s="98"/>
      <c r="AC125" s="88"/>
      <c r="AD125" s="98"/>
      <c r="AE125" s="64"/>
      <c r="AF125" s="67" t="str">
        <f t="shared" si="3"/>
        <v/>
      </c>
      <c r="AG125" s="58"/>
      <c r="AH125" s="68" t="str">
        <f t="shared" si="4"/>
        <v/>
      </c>
      <c r="AI125" s="53"/>
      <c r="AJ125" s="53"/>
      <c r="AK125" s="53"/>
      <c r="AL125" s="53"/>
      <c r="AM125" s="53"/>
      <c r="AN125" s="53"/>
      <c r="AO125" s="53"/>
      <c r="AP125" s="53"/>
      <c r="AQ125" s="53"/>
      <c r="AR125" s="53"/>
      <c r="AS125" s="53"/>
      <c r="AT125" s="53"/>
      <c r="AU125" s="53"/>
      <c r="AV125" s="58"/>
      <c r="AW125" s="58"/>
      <c r="AX125" s="58"/>
      <c r="AY125" s="53"/>
      <c r="AZ125" s="53"/>
      <c r="BA125" s="53"/>
      <c r="BB125" s="53"/>
      <c r="BC125" s="53"/>
      <c r="BD125" s="53"/>
      <c r="BE125" s="53"/>
      <c r="BF125" s="53"/>
      <c r="BG125" s="53"/>
      <c r="BH125" s="53"/>
      <c r="BI125" s="53"/>
      <c r="BJ125" s="53"/>
      <c r="BK125" s="53"/>
      <c r="BL125" s="53"/>
      <c r="BM125" s="53"/>
      <c r="BN125" s="53"/>
      <c r="BO125" s="65" t="str">
        <f t="shared" si="5"/>
        <v/>
      </c>
    </row>
    <row r="126" spans="1:67" ht="19.5" customHeight="1">
      <c r="A126" s="70" t="b">
        <v>0</v>
      </c>
      <c r="B126" s="71" t="b">
        <v>1</v>
      </c>
      <c r="C126" s="72" t="b">
        <v>0</v>
      </c>
      <c r="D126" s="72" t="b">
        <v>0</v>
      </c>
      <c r="E126" s="57"/>
      <c r="F126" s="59"/>
      <c r="G126" s="57"/>
      <c r="H126" s="88"/>
      <c r="I126" s="88"/>
      <c r="J126" s="88"/>
      <c r="K126" s="89" t="b">
        <v>1</v>
      </c>
      <c r="L126" s="60"/>
      <c r="M126" s="57"/>
      <c r="N126" s="57"/>
      <c r="O126" s="61"/>
      <c r="P126" s="60"/>
      <c r="Q126" s="57"/>
      <c r="R126" s="57"/>
      <c r="S126" s="95"/>
      <c r="T126" s="88"/>
      <c r="U126" s="88"/>
      <c r="V126" s="88"/>
      <c r="W126" s="96"/>
      <c r="X126" s="97"/>
      <c r="Y126" s="97"/>
      <c r="Z126" s="98"/>
      <c r="AA126" s="99"/>
      <c r="AB126" s="98"/>
      <c r="AC126" s="88"/>
      <c r="AD126" s="98"/>
      <c r="AE126" s="64"/>
      <c r="AF126" s="67" t="str">
        <f t="shared" si="3"/>
        <v/>
      </c>
      <c r="AG126" s="58"/>
      <c r="AH126" s="68" t="str">
        <f t="shared" si="4"/>
        <v/>
      </c>
      <c r="AI126" s="53"/>
      <c r="AJ126" s="53"/>
      <c r="AK126" s="53"/>
      <c r="AL126" s="53"/>
      <c r="AM126" s="53"/>
      <c r="AN126" s="53"/>
      <c r="AO126" s="53"/>
      <c r="AP126" s="53"/>
      <c r="AQ126" s="53"/>
      <c r="AR126" s="53"/>
      <c r="AS126" s="53"/>
      <c r="AT126" s="53"/>
      <c r="AU126" s="53"/>
      <c r="AV126" s="58"/>
      <c r="AW126" s="58"/>
      <c r="AX126" s="58"/>
      <c r="AY126" s="53"/>
      <c r="AZ126" s="53"/>
      <c r="BA126" s="53"/>
      <c r="BB126" s="53"/>
      <c r="BC126" s="53"/>
      <c r="BD126" s="53"/>
      <c r="BE126" s="53"/>
      <c r="BF126" s="53"/>
      <c r="BG126" s="53"/>
      <c r="BH126" s="53"/>
      <c r="BI126" s="53"/>
      <c r="BJ126" s="53"/>
      <c r="BK126" s="53"/>
      <c r="BL126" s="53"/>
      <c r="BM126" s="53"/>
      <c r="BN126" s="53"/>
      <c r="BO126" s="65" t="str">
        <f t="shared" si="5"/>
        <v/>
      </c>
    </row>
    <row r="127" spans="1:67" ht="19.5" customHeight="1">
      <c r="A127" s="70" t="b">
        <v>0</v>
      </c>
      <c r="B127" s="71" t="b">
        <v>1</v>
      </c>
      <c r="C127" s="72" t="b">
        <v>0</v>
      </c>
      <c r="D127" s="72" t="b">
        <v>0</v>
      </c>
      <c r="E127" s="57"/>
      <c r="F127" s="59"/>
      <c r="G127" s="57"/>
      <c r="H127" s="88"/>
      <c r="I127" s="88"/>
      <c r="J127" s="88"/>
      <c r="K127" s="89" t="b">
        <v>1</v>
      </c>
      <c r="L127" s="60"/>
      <c r="M127" s="57"/>
      <c r="N127" s="57"/>
      <c r="O127" s="61"/>
      <c r="P127" s="60"/>
      <c r="Q127" s="57"/>
      <c r="R127" s="57"/>
      <c r="S127" s="95"/>
      <c r="T127" s="88"/>
      <c r="U127" s="88"/>
      <c r="V127" s="88"/>
      <c r="W127" s="96"/>
      <c r="X127" s="97"/>
      <c r="Y127" s="97"/>
      <c r="Z127" s="98"/>
      <c r="AA127" s="99"/>
      <c r="AB127" s="98"/>
      <c r="AC127" s="88"/>
      <c r="AD127" s="98"/>
      <c r="AE127" s="64"/>
      <c r="AF127" s="67" t="str">
        <f t="shared" si="3"/>
        <v/>
      </c>
      <c r="AG127" s="58"/>
      <c r="AH127" s="68" t="str">
        <f t="shared" si="4"/>
        <v/>
      </c>
      <c r="AI127" s="53"/>
      <c r="AJ127" s="53"/>
      <c r="AK127" s="53"/>
      <c r="AL127" s="53"/>
      <c r="AM127" s="53"/>
      <c r="AN127" s="53"/>
      <c r="AO127" s="53"/>
      <c r="AP127" s="53"/>
      <c r="AQ127" s="53"/>
      <c r="AR127" s="53"/>
      <c r="AS127" s="53"/>
      <c r="AT127" s="53"/>
      <c r="AU127" s="53"/>
      <c r="AV127" s="58"/>
      <c r="AW127" s="58"/>
      <c r="AX127" s="58"/>
      <c r="AY127" s="53"/>
      <c r="AZ127" s="53"/>
      <c r="BA127" s="53"/>
      <c r="BB127" s="53"/>
      <c r="BC127" s="53"/>
      <c r="BD127" s="53"/>
      <c r="BE127" s="53"/>
      <c r="BF127" s="53"/>
      <c r="BG127" s="53"/>
      <c r="BH127" s="53"/>
      <c r="BI127" s="53"/>
      <c r="BJ127" s="53"/>
      <c r="BK127" s="53"/>
      <c r="BL127" s="53"/>
      <c r="BM127" s="53"/>
      <c r="BN127" s="53"/>
      <c r="BO127" s="65" t="str">
        <f t="shared" si="5"/>
        <v/>
      </c>
    </row>
    <row r="128" spans="1:67" ht="19.5" customHeight="1">
      <c r="A128" s="70" t="b">
        <v>0</v>
      </c>
      <c r="B128" s="71" t="b">
        <v>1</v>
      </c>
      <c r="C128" s="72" t="b">
        <v>0</v>
      </c>
      <c r="D128" s="72" t="b">
        <v>0</v>
      </c>
      <c r="E128" s="57"/>
      <c r="F128" s="59"/>
      <c r="G128" s="57"/>
      <c r="H128" s="88"/>
      <c r="I128" s="88"/>
      <c r="J128" s="88"/>
      <c r="K128" s="89" t="b">
        <v>1</v>
      </c>
      <c r="L128" s="60"/>
      <c r="M128" s="57"/>
      <c r="N128" s="57"/>
      <c r="O128" s="61"/>
      <c r="P128" s="60"/>
      <c r="Q128" s="57"/>
      <c r="R128" s="57"/>
      <c r="S128" s="95"/>
      <c r="T128" s="88"/>
      <c r="U128" s="88"/>
      <c r="V128" s="88"/>
      <c r="W128" s="96"/>
      <c r="X128" s="97"/>
      <c r="Y128" s="97"/>
      <c r="Z128" s="98"/>
      <c r="AA128" s="99"/>
      <c r="AB128" s="98"/>
      <c r="AC128" s="88"/>
      <c r="AD128" s="98"/>
      <c r="AE128" s="64"/>
      <c r="AF128" s="67" t="str">
        <f t="shared" si="3"/>
        <v/>
      </c>
      <c r="AG128" s="58"/>
      <c r="AH128" s="68" t="str">
        <f t="shared" si="4"/>
        <v/>
      </c>
      <c r="AI128" s="53"/>
      <c r="AJ128" s="53"/>
      <c r="AK128" s="53"/>
      <c r="AL128" s="53"/>
      <c r="AM128" s="53"/>
      <c r="AN128" s="53"/>
      <c r="AO128" s="53"/>
      <c r="AP128" s="53"/>
      <c r="AQ128" s="53"/>
      <c r="AR128" s="53"/>
      <c r="AS128" s="53"/>
      <c r="AT128" s="53"/>
      <c r="AU128" s="53"/>
      <c r="AV128" s="58"/>
      <c r="AW128" s="58"/>
      <c r="AX128" s="58"/>
      <c r="AY128" s="53"/>
      <c r="AZ128" s="53"/>
      <c r="BA128" s="53"/>
      <c r="BB128" s="53"/>
      <c r="BC128" s="53"/>
      <c r="BD128" s="53"/>
      <c r="BE128" s="53"/>
      <c r="BF128" s="53"/>
      <c r="BG128" s="53"/>
      <c r="BH128" s="53"/>
      <c r="BI128" s="53"/>
      <c r="BJ128" s="53"/>
      <c r="BK128" s="53"/>
      <c r="BL128" s="53"/>
      <c r="BM128" s="53"/>
      <c r="BN128" s="53"/>
      <c r="BO128" s="65" t="str">
        <f t="shared" si="5"/>
        <v/>
      </c>
    </row>
    <row r="129" spans="1:67" ht="19.5" customHeight="1">
      <c r="A129" s="70" t="b">
        <v>0</v>
      </c>
      <c r="B129" s="71" t="b">
        <v>1</v>
      </c>
      <c r="C129" s="72" t="b">
        <v>0</v>
      </c>
      <c r="D129" s="72" t="b">
        <v>0</v>
      </c>
      <c r="E129" s="57"/>
      <c r="F129" s="59"/>
      <c r="G129" s="57"/>
      <c r="H129" s="88"/>
      <c r="I129" s="88"/>
      <c r="J129" s="88"/>
      <c r="K129" s="89" t="b">
        <v>1</v>
      </c>
      <c r="L129" s="60"/>
      <c r="M129" s="57"/>
      <c r="N129" s="57"/>
      <c r="O129" s="61"/>
      <c r="P129" s="60"/>
      <c r="Q129" s="57"/>
      <c r="R129" s="57"/>
      <c r="S129" s="95"/>
      <c r="T129" s="88"/>
      <c r="U129" s="88"/>
      <c r="V129" s="88"/>
      <c r="W129" s="96"/>
      <c r="X129" s="97"/>
      <c r="Y129" s="97"/>
      <c r="Z129" s="98"/>
      <c r="AA129" s="99"/>
      <c r="AB129" s="98"/>
      <c r="AC129" s="88"/>
      <c r="AD129" s="98"/>
      <c r="AE129" s="64"/>
      <c r="AF129" s="67" t="str">
        <f t="shared" si="3"/>
        <v/>
      </c>
      <c r="AG129" s="58"/>
      <c r="AH129" s="68" t="str">
        <f t="shared" si="4"/>
        <v/>
      </c>
      <c r="AI129" s="53"/>
      <c r="AJ129" s="53"/>
      <c r="AK129" s="53"/>
      <c r="AL129" s="53"/>
      <c r="AM129" s="53"/>
      <c r="AN129" s="53"/>
      <c r="AO129" s="53"/>
      <c r="AP129" s="53"/>
      <c r="AQ129" s="53"/>
      <c r="AR129" s="53"/>
      <c r="AS129" s="53"/>
      <c r="AT129" s="53"/>
      <c r="AU129" s="53"/>
      <c r="AV129" s="58"/>
      <c r="AW129" s="58"/>
      <c r="AX129" s="58"/>
      <c r="AY129" s="53"/>
      <c r="AZ129" s="53"/>
      <c r="BA129" s="53"/>
      <c r="BB129" s="53"/>
      <c r="BC129" s="53"/>
      <c r="BD129" s="53"/>
      <c r="BE129" s="53"/>
      <c r="BF129" s="53"/>
      <c r="BG129" s="53"/>
      <c r="BH129" s="53"/>
      <c r="BI129" s="53"/>
      <c r="BJ129" s="53"/>
      <c r="BK129" s="53"/>
      <c r="BL129" s="53"/>
      <c r="BM129" s="53"/>
      <c r="BN129" s="53"/>
      <c r="BO129" s="65" t="str">
        <f t="shared" si="5"/>
        <v/>
      </c>
    </row>
    <row r="130" spans="1:67" ht="19.5" customHeight="1">
      <c r="A130" s="70" t="b">
        <v>0</v>
      </c>
      <c r="B130" s="71" t="b">
        <v>1</v>
      </c>
      <c r="C130" s="72" t="b">
        <v>0</v>
      </c>
      <c r="D130" s="72" t="b">
        <v>0</v>
      </c>
      <c r="E130" s="57"/>
      <c r="F130" s="59"/>
      <c r="G130" s="57"/>
      <c r="H130" s="88"/>
      <c r="I130" s="88"/>
      <c r="J130" s="88"/>
      <c r="K130" s="89" t="b">
        <v>1</v>
      </c>
      <c r="L130" s="60"/>
      <c r="M130" s="57"/>
      <c r="N130" s="57"/>
      <c r="O130" s="61"/>
      <c r="P130" s="60"/>
      <c r="Q130" s="57"/>
      <c r="R130" s="57"/>
      <c r="S130" s="95"/>
      <c r="T130" s="88"/>
      <c r="U130" s="88"/>
      <c r="V130" s="88"/>
      <c r="W130" s="96"/>
      <c r="X130" s="97"/>
      <c r="Y130" s="97"/>
      <c r="Z130" s="98"/>
      <c r="AA130" s="99"/>
      <c r="AB130" s="98"/>
      <c r="AC130" s="88"/>
      <c r="AD130" s="98"/>
      <c r="AE130" s="64"/>
      <c r="AF130" s="67" t="str">
        <f t="shared" si="3"/>
        <v/>
      </c>
      <c r="AG130" s="58"/>
      <c r="AH130" s="68" t="str">
        <f t="shared" si="4"/>
        <v/>
      </c>
      <c r="AI130" s="53"/>
      <c r="AJ130" s="53"/>
      <c r="AK130" s="53"/>
      <c r="AL130" s="53"/>
      <c r="AM130" s="53"/>
      <c r="AN130" s="53"/>
      <c r="AO130" s="53"/>
      <c r="AP130" s="53"/>
      <c r="AQ130" s="53"/>
      <c r="AR130" s="53"/>
      <c r="AS130" s="53"/>
      <c r="AT130" s="53"/>
      <c r="AU130" s="53"/>
      <c r="AV130" s="58"/>
      <c r="AW130" s="58"/>
      <c r="AX130" s="58"/>
      <c r="AY130" s="53"/>
      <c r="AZ130" s="53"/>
      <c r="BA130" s="53"/>
      <c r="BB130" s="53"/>
      <c r="BC130" s="53"/>
      <c r="BD130" s="53"/>
      <c r="BE130" s="53"/>
      <c r="BF130" s="53"/>
      <c r="BG130" s="53"/>
      <c r="BH130" s="53"/>
      <c r="BI130" s="53"/>
      <c r="BJ130" s="53"/>
      <c r="BK130" s="53"/>
      <c r="BL130" s="53"/>
      <c r="BM130" s="53"/>
      <c r="BN130" s="53"/>
      <c r="BO130" s="65" t="str">
        <f t="shared" si="5"/>
        <v/>
      </c>
    </row>
    <row r="131" spans="1:67" ht="19.5" customHeight="1">
      <c r="A131" s="70" t="b">
        <v>0</v>
      </c>
      <c r="B131" s="71" t="b">
        <v>1</v>
      </c>
      <c r="C131" s="72" t="b">
        <v>0</v>
      </c>
      <c r="D131" s="72" t="b">
        <v>0</v>
      </c>
      <c r="E131" s="57"/>
      <c r="F131" s="59"/>
      <c r="G131" s="57"/>
      <c r="H131" s="88"/>
      <c r="I131" s="88"/>
      <c r="J131" s="88"/>
      <c r="K131" s="89" t="b">
        <v>1</v>
      </c>
      <c r="L131" s="60"/>
      <c r="M131" s="57"/>
      <c r="N131" s="57"/>
      <c r="O131" s="61"/>
      <c r="P131" s="60"/>
      <c r="Q131" s="57"/>
      <c r="R131" s="57"/>
      <c r="S131" s="95"/>
      <c r="T131" s="88"/>
      <c r="U131" s="88"/>
      <c r="V131" s="88"/>
      <c r="W131" s="96"/>
      <c r="X131" s="97"/>
      <c r="Y131" s="97"/>
      <c r="Z131" s="98"/>
      <c r="AA131" s="99"/>
      <c r="AB131" s="98"/>
      <c r="AC131" s="88"/>
      <c r="AD131" s="98"/>
      <c r="AE131" s="64"/>
      <c r="AF131" s="67" t="str">
        <f t="shared" si="3"/>
        <v/>
      </c>
      <c r="AG131" s="58"/>
      <c r="AH131" s="68" t="str">
        <f t="shared" si="4"/>
        <v/>
      </c>
      <c r="AI131" s="53"/>
      <c r="AJ131" s="53"/>
      <c r="AK131" s="53"/>
      <c r="AL131" s="53"/>
      <c r="AM131" s="53"/>
      <c r="AN131" s="53"/>
      <c r="AO131" s="53"/>
      <c r="AP131" s="53"/>
      <c r="AQ131" s="53"/>
      <c r="AR131" s="53"/>
      <c r="AS131" s="53"/>
      <c r="AT131" s="53"/>
      <c r="AU131" s="53"/>
      <c r="AV131" s="58"/>
      <c r="AW131" s="58"/>
      <c r="AX131" s="58"/>
      <c r="AY131" s="53"/>
      <c r="AZ131" s="53"/>
      <c r="BA131" s="53"/>
      <c r="BB131" s="53"/>
      <c r="BC131" s="53"/>
      <c r="BD131" s="53"/>
      <c r="BE131" s="53"/>
      <c r="BF131" s="53"/>
      <c r="BG131" s="53"/>
      <c r="BH131" s="53"/>
      <c r="BI131" s="53"/>
      <c r="BJ131" s="53"/>
      <c r="BK131" s="53"/>
      <c r="BL131" s="53"/>
      <c r="BM131" s="53"/>
      <c r="BN131" s="53"/>
      <c r="BO131" s="65" t="str">
        <f t="shared" si="5"/>
        <v/>
      </c>
    </row>
    <row r="132" spans="1:67" ht="19.5" customHeight="1">
      <c r="A132" s="70" t="b">
        <v>0</v>
      </c>
      <c r="B132" s="71" t="b">
        <v>1</v>
      </c>
      <c r="C132" s="72" t="b">
        <v>0</v>
      </c>
      <c r="D132" s="72" t="b">
        <v>0</v>
      </c>
      <c r="E132" s="57"/>
      <c r="F132" s="59"/>
      <c r="G132" s="57"/>
      <c r="H132" s="88"/>
      <c r="I132" s="88"/>
      <c r="J132" s="88"/>
      <c r="K132" s="89" t="b">
        <v>1</v>
      </c>
      <c r="L132" s="60"/>
      <c r="M132" s="57"/>
      <c r="N132" s="57"/>
      <c r="O132" s="61"/>
      <c r="P132" s="60"/>
      <c r="Q132" s="57"/>
      <c r="R132" s="57"/>
      <c r="S132" s="95"/>
      <c r="T132" s="88"/>
      <c r="U132" s="88"/>
      <c r="V132" s="88"/>
      <c r="W132" s="96"/>
      <c r="X132" s="97"/>
      <c r="Y132" s="97"/>
      <c r="Z132" s="98"/>
      <c r="AA132" s="99"/>
      <c r="AB132" s="98"/>
      <c r="AC132" s="88"/>
      <c r="AD132" s="98"/>
      <c r="AE132" s="64"/>
      <c r="AF132" s="67" t="str">
        <f t="shared" si="3"/>
        <v/>
      </c>
      <c r="AG132" s="58"/>
      <c r="AH132" s="68" t="str">
        <f t="shared" si="4"/>
        <v/>
      </c>
      <c r="AI132" s="53"/>
      <c r="AJ132" s="53"/>
      <c r="AK132" s="53"/>
      <c r="AL132" s="53"/>
      <c r="AM132" s="53"/>
      <c r="AN132" s="53"/>
      <c r="AO132" s="53"/>
      <c r="AP132" s="53"/>
      <c r="AQ132" s="53"/>
      <c r="AR132" s="53"/>
      <c r="AS132" s="53"/>
      <c r="AT132" s="53"/>
      <c r="AU132" s="53"/>
      <c r="AV132" s="58"/>
      <c r="AW132" s="58"/>
      <c r="AX132" s="58"/>
      <c r="AY132" s="53"/>
      <c r="AZ132" s="53"/>
      <c r="BA132" s="53"/>
      <c r="BB132" s="53"/>
      <c r="BC132" s="53"/>
      <c r="BD132" s="53"/>
      <c r="BE132" s="53"/>
      <c r="BF132" s="53"/>
      <c r="BG132" s="53"/>
      <c r="BH132" s="53"/>
      <c r="BI132" s="53"/>
      <c r="BJ132" s="53"/>
      <c r="BK132" s="53"/>
      <c r="BL132" s="53"/>
      <c r="BM132" s="53"/>
      <c r="BN132" s="53"/>
      <c r="BO132" s="65" t="str">
        <f t="shared" si="5"/>
        <v/>
      </c>
    </row>
    <row r="133" spans="1:67" ht="19.5" customHeight="1">
      <c r="A133" s="70" t="b">
        <v>0</v>
      </c>
      <c r="B133" s="71" t="b">
        <v>1</v>
      </c>
      <c r="C133" s="72" t="b">
        <v>0</v>
      </c>
      <c r="D133" s="72" t="b">
        <v>0</v>
      </c>
      <c r="E133" s="57"/>
      <c r="F133" s="59"/>
      <c r="G133" s="57"/>
      <c r="H133" s="88"/>
      <c r="I133" s="88"/>
      <c r="J133" s="88"/>
      <c r="K133" s="89" t="b">
        <v>1</v>
      </c>
      <c r="L133" s="60"/>
      <c r="M133" s="57"/>
      <c r="N133" s="57"/>
      <c r="O133" s="61"/>
      <c r="P133" s="60"/>
      <c r="Q133" s="57"/>
      <c r="R133" s="57"/>
      <c r="S133" s="95"/>
      <c r="T133" s="88"/>
      <c r="U133" s="88"/>
      <c r="V133" s="88"/>
      <c r="W133" s="96"/>
      <c r="X133" s="97"/>
      <c r="Y133" s="97"/>
      <c r="Z133" s="98"/>
      <c r="AA133" s="99"/>
      <c r="AB133" s="98"/>
      <c r="AC133" s="88"/>
      <c r="AD133" s="98"/>
      <c r="AE133" s="64"/>
      <c r="AF133" s="67" t="str">
        <f t="shared" si="3"/>
        <v/>
      </c>
      <c r="AG133" s="58"/>
      <c r="AH133" s="68" t="str">
        <f t="shared" si="4"/>
        <v/>
      </c>
      <c r="AI133" s="53"/>
      <c r="AJ133" s="53"/>
      <c r="AK133" s="53"/>
      <c r="AL133" s="53"/>
      <c r="AM133" s="53"/>
      <c r="AN133" s="53"/>
      <c r="AO133" s="53"/>
      <c r="AP133" s="53"/>
      <c r="AQ133" s="53"/>
      <c r="AR133" s="53"/>
      <c r="AS133" s="53"/>
      <c r="AT133" s="53"/>
      <c r="AU133" s="53"/>
      <c r="AV133" s="58"/>
      <c r="AW133" s="58"/>
      <c r="AX133" s="58"/>
      <c r="AY133" s="53"/>
      <c r="AZ133" s="53"/>
      <c r="BA133" s="53"/>
      <c r="BB133" s="53"/>
      <c r="BC133" s="53"/>
      <c r="BD133" s="53"/>
      <c r="BE133" s="53"/>
      <c r="BF133" s="53"/>
      <c r="BG133" s="53"/>
      <c r="BH133" s="53"/>
      <c r="BI133" s="53"/>
      <c r="BJ133" s="53"/>
      <c r="BK133" s="53"/>
      <c r="BL133" s="53"/>
      <c r="BM133" s="53"/>
      <c r="BN133" s="53"/>
      <c r="BO133" s="65" t="str">
        <f t="shared" si="5"/>
        <v/>
      </c>
    </row>
    <row r="134" spans="1:67" ht="19.5" customHeight="1">
      <c r="A134" s="70" t="b">
        <v>0</v>
      </c>
      <c r="B134" s="71" t="b">
        <v>1</v>
      </c>
      <c r="C134" s="72" t="b">
        <v>0</v>
      </c>
      <c r="D134" s="72" t="b">
        <v>0</v>
      </c>
      <c r="E134" s="57"/>
      <c r="F134" s="59"/>
      <c r="G134" s="57"/>
      <c r="H134" s="88"/>
      <c r="I134" s="88"/>
      <c r="J134" s="88"/>
      <c r="K134" s="89" t="b">
        <v>1</v>
      </c>
      <c r="L134" s="60"/>
      <c r="M134" s="57"/>
      <c r="N134" s="57"/>
      <c r="O134" s="61"/>
      <c r="P134" s="60"/>
      <c r="Q134" s="57"/>
      <c r="R134" s="57"/>
      <c r="S134" s="95"/>
      <c r="T134" s="88"/>
      <c r="U134" s="88"/>
      <c r="V134" s="88"/>
      <c r="W134" s="96"/>
      <c r="X134" s="97"/>
      <c r="Y134" s="97"/>
      <c r="Z134" s="98"/>
      <c r="AA134" s="99"/>
      <c r="AB134" s="98"/>
      <c r="AC134" s="88"/>
      <c r="AD134" s="98"/>
      <c r="AE134" s="64"/>
      <c r="AF134" s="67" t="str">
        <f t="shared" si="3"/>
        <v/>
      </c>
      <c r="AG134" s="58"/>
      <c r="AH134" s="68" t="str">
        <f t="shared" si="4"/>
        <v/>
      </c>
      <c r="AI134" s="53"/>
      <c r="AJ134" s="53"/>
      <c r="AK134" s="53"/>
      <c r="AL134" s="53"/>
      <c r="AM134" s="53"/>
      <c r="AN134" s="53"/>
      <c r="AO134" s="53"/>
      <c r="AP134" s="53"/>
      <c r="AQ134" s="53"/>
      <c r="AR134" s="53"/>
      <c r="AS134" s="53"/>
      <c r="AT134" s="53"/>
      <c r="AU134" s="53"/>
      <c r="AV134" s="58"/>
      <c r="AW134" s="58"/>
      <c r="AX134" s="58"/>
      <c r="AY134" s="53"/>
      <c r="AZ134" s="53"/>
      <c r="BA134" s="53"/>
      <c r="BB134" s="53"/>
      <c r="BC134" s="53"/>
      <c r="BD134" s="53"/>
      <c r="BE134" s="53"/>
      <c r="BF134" s="53"/>
      <c r="BG134" s="53"/>
      <c r="BH134" s="53"/>
      <c r="BI134" s="53"/>
      <c r="BJ134" s="53"/>
      <c r="BK134" s="53"/>
      <c r="BL134" s="53"/>
      <c r="BM134" s="53"/>
      <c r="BN134" s="53"/>
      <c r="BO134" s="65" t="str">
        <f t="shared" si="5"/>
        <v/>
      </c>
    </row>
    <row r="135" spans="1:67" ht="19.5" customHeight="1">
      <c r="A135" s="70" t="b">
        <v>0</v>
      </c>
      <c r="B135" s="71" t="b">
        <v>1</v>
      </c>
      <c r="C135" s="72" t="b">
        <v>0</v>
      </c>
      <c r="D135" s="72" t="b">
        <v>0</v>
      </c>
      <c r="E135" s="57"/>
      <c r="F135" s="59"/>
      <c r="G135" s="57"/>
      <c r="H135" s="88"/>
      <c r="I135" s="88"/>
      <c r="J135" s="88"/>
      <c r="K135" s="89" t="b">
        <v>1</v>
      </c>
      <c r="L135" s="60"/>
      <c r="M135" s="57"/>
      <c r="N135" s="57"/>
      <c r="O135" s="61"/>
      <c r="P135" s="60"/>
      <c r="Q135" s="57"/>
      <c r="R135" s="57"/>
      <c r="S135" s="95"/>
      <c r="T135" s="88"/>
      <c r="U135" s="88"/>
      <c r="V135" s="88"/>
      <c r="W135" s="96"/>
      <c r="X135" s="97"/>
      <c r="Y135" s="97"/>
      <c r="Z135" s="98"/>
      <c r="AA135" s="99"/>
      <c r="AB135" s="98"/>
      <c r="AC135" s="88"/>
      <c r="AD135" s="98"/>
      <c r="AE135" s="64"/>
      <c r="AF135" s="67" t="str">
        <f t="shared" si="3"/>
        <v/>
      </c>
      <c r="AG135" s="58"/>
      <c r="AH135" s="68" t="str">
        <f t="shared" si="4"/>
        <v/>
      </c>
      <c r="AI135" s="53"/>
      <c r="AJ135" s="53"/>
      <c r="AK135" s="53"/>
      <c r="AL135" s="53"/>
      <c r="AM135" s="53"/>
      <c r="AN135" s="53"/>
      <c r="AO135" s="53"/>
      <c r="AP135" s="53"/>
      <c r="AQ135" s="53"/>
      <c r="AR135" s="53"/>
      <c r="AS135" s="53"/>
      <c r="AT135" s="53"/>
      <c r="AU135" s="53"/>
      <c r="AV135" s="58"/>
      <c r="AW135" s="58"/>
      <c r="AX135" s="58"/>
      <c r="AY135" s="53"/>
      <c r="AZ135" s="53"/>
      <c r="BA135" s="53"/>
      <c r="BB135" s="53"/>
      <c r="BC135" s="53"/>
      <c r="BD135" s="53"/>
      <c r="BE135" s="53"/>
      <c r="BF135" s="53"/>
      <c r="BG135" s="53"/>
      <c r="BH135" s="53"/>
      <c r="BI135" s="53"/>
      <c r="BJ135" s="53"/>
      <c r="BK135" s="53"/>
      <c r="BL135" s="53"/>
      <c r="BM135" s="53"/>
      <c r="BN135" s="53"/>
      <c r="BO135" s="65" t="str">
        <f t="shared" si="5"/>
        <v/>
      </c>
    </row>
    <row r="136" spans="1:67" ht="19.5" customHeight="1">
      <c r="A136" s="70" t="b">
        <v>0</v>
      </c>
      <c r="B136" s="71" t="b">
        <v>1</v>
      </c>
      <c r="C136" s="72" t="b">
        <v>0</v>
      </c>
      <c r="D136" s="72" t="b">
        <v>0</v>
      </c>
      <c r="E136" s="57"/>
      <c r="F136" s="59"/>
      <c r="G136" s="57"/>
      <c r="H136" s="88"/>
      <c r="I136" s="88"/>
      <c r="J136" s="88"/>
      <c r="K136" s="89" t="b">
        <v>1</v>
      </c>
      <c r="L136" s="60"/>
      <c r="M136" s="57"/>
      <c r="N136" s="57"/>
      <c r="O136" s="61"/>
      <c r="P136" s="60"/>
      <c r="Q136" s="57"/>
      <c r="R136" s="57"/>
      <c r="S136" s="95"/>
      <c r="T136" s="88"/>
      <c r="U136" s="88"/>
      <c r="V136" s="88"/>
      <c r="W136" s="96"/>
      <c r="X136" s="97"/>
      <c r="Y136" s="97"/>
      <c r="Z136" s="98"/>
      <c r="AA136" s="99"/>
      <c r="AB136" s="98"/>
      <c r="AC136" s="88"/>
      <c r="AD136" s="98"/>
      <c r="AE136" s="64"/>
      <c r="AF136" s="67" t="str">
        <f t="shared" si="3"/>
        <v/>
      </c>
      <c r="AG136" s="58"/>
      <c r="AH136" s="68" t="str">
        <f t="shared" si="4"/>
        <v/>
      </c>
      <c r="AI136" s="53"/>
      <c r="AJ136" s="53"/>
      <c r="AK136" s="53"/>
      <c r="AL136" s="53"/>
      <c r="AM136" s="53"/>
      <c r="AN136" s="53"/>
      <c r="AO136" s="53"/>
      <c r="AP136" s="53"/>
      <c r="AQ136" s="53"/>
      <c r="AR136" s="53"/>
      <c r="AS136" s="53"/>
      <c r="AT136" s="53"/>
      <c r="AU136" s="53"/>
      <c r="AV136" s="58"/>
      <c r="AW136" s="58"/>
      <c r="AX136" s="58"/>
      <c r="AY136" s="53"/>
      <c r="AZ136" s="53"/>
      <c r="BA136" s="53"/>
      <c r="BB136" s="53"/>
      <c r="BC136" s="53"/>
      <c r="BD136" s="53"/>
      <c r="BE136" s="53"/>
      <c r="BF136" s="53"/>
      <c r="BG136" s="53"/>
      <c r="BH136" s="53"/>
      <c r="BI136" s="53"/>
      <c r="BJ136" s="53"/>
      <c r="BK136" s="53"/>
      <c r="BL136" s="53"/>
      <c r="BM136" s="53"/>
      <c r="BN136" s="53"/>
      <c r="BO136" s="65" t="str">
        <f t="shared" si="5"/>
        <v/>
      </c>
    </row>
    <row r="137" spans="1:67" ht="19.5" customHeight="1">
      <c r="A137" s="70" t="b">
        <v>0</v>
      </c>
      <c r="B137" s="71" t="b">
        <v>1</v>
      </c>
      <c r="C137" s="72" t="b">
        <v>0</v>
      </c>
      <c r="D137" s="72" t="b">
        <v>0</v>
      </c>
      <c r="E137" s="57"/>
      <c r="F137" s="59"/>
      <c r="G137" s="57"/>
      <c r="H137" s="88"/>
      <c r="I137" s="88"/>
      <c r="J137" s="88"/>
      <c r="K137" s="89" t="b">
        <v>1</v>
      </c>
      <c r="L137" s="60"/>
      <c r="M137" s="57"/>
      <c r="N137" s="57"/>
      <c r="O137" s="61"/>
      <c r="P137" s="60"/>
      <c r="Q137" s="57"/>
      <c r="R137" s="57"/>
      <c r="S137" s="95"/>
      <c r="T137" s="88"/>
      <c r="U137" s="88"/>
      <c r="V137" s="88"/>
      <c r="W137" s="96"/>
      <c r="X137" s="97"/>
      <c r="Y137" s="97"/>
      <c r="Z137" s="98"/>
      <c r="AA137" s="99"/>
      <c r="AB137" s="98"/>
      <c r="AC137" s="88"/>
      <c r="AD137" s="98"/>
      <c r="AE137" s="64"/>
      <c r="AF137" s="67" t="str">
        <f t="shared" si="3"/>
        <v/>
      </c>
      <c r="AG137" s="58"/>
      <c r="AH137" s="68" t="str">
        <f t="shared" si="4"/>
        <v/>
      </c>
      <c r="AI137" s="53"/>
      <c r="AJ137" s="53"/>
      <c r="AK137" s="53"/>
      <c r="AL137" s="53"/>
      <c r="AM137" s="53"/>
      <c r="AN137" s="53"/>
      <c r="AO137" s="53"/>
      <c r="AP137" s="53"/>
      <c r="AQ137" s="53"/>
      <c r="AR137" s="53"/>
      <c r="AS137" s="53"/>
      <c r="AT137" s="53"/>
      <c r="AU137" s="53"/>
      <c r="AV137" s="58"/>
      <c r="AW137" s="58"/>
      <c r="AX137" s="58"/>
      <c r="AY137" s="53"/>
      <c r="AZ137" s="53"/>
      <c r="BA137" s="53"/>
      <c r="BB137" s="53"/>
      <c r="BC137" s="53"/>
      <c r="BD137" s="53"/>
      <c r="BE137" s="53"/>
      <c r="BF137" s="53"/>
      <c r="BG137" s="53"/>
      <c r="BH137" s="53"/>
      <c r="BI137" s="53"/>
      <c r="BJ137" s="53"/>
      <c r="BK137" s="53"/>
      <c r="BL137" s="53"/>
      <c r="BM137" s="53"/>
      <c r="BN137" s="53"/>
      <c r="BO137" s="65" t="str">
        <f t="shared" si="5"/>
        <v/>
      </c>
    </row>
    <row r="138" spans="1:67" ht="19.5" customHeight="1">
      <c r="A138" s="70" t="b">
        <v>0</v>
      </c>
      <c r="B138" s="71" t="b">
        <v>1</v>
      </c>
      <c r="C138" s="72" t="b">
        <v>0</v>
      </c>
      <c r="D138" s="72" t="b">
        <v>0</v>
      </c>
      <c r="E138" s="57"/>
      <c r="F138" s="59"/>
      <c r="G138" s="57"/>
      <c r="H138" s="88"/>
      <c r="I138" s="88"/>
      <c r="J138" s="88"/>
      <c r="K138" s="89" t="b">
        <v>1</v>
      </c>
      <c r="L138" s="60"/>
      <c r="M138" s="57"/>
      <c r="N138" s="57"/>
      <c r="O138" s="61"/>
      <c r="P138" s="60"/>
      <c r="Q138" s="57"/>
      <c r="R138" s="57"/>
      <c r="S138" s="95"/>
      <c r="T138" s="88"/>
      <c r="U138" s="88"/>
      <c r="V138" s="88"/>
      <c r="W138" s="96"/>
      <c r="X138" s="97"/>
      <c r="Y138" s="97"/>
      <c r="Z138" s="98"/>
      <c r="AA138" s="99"/>
      <c r="AB138" s="98"/>
      <c r="AC138" s="88"/>
      <c r="AD138" s="98"/>
      <c r="AE138" s="64"/>
      <c r="AF138" s="67" t="str">
        <f t="shared" si="3"/>
        <v/>
      </c>
      <c r="AG138" s="58"/>
      <c r="AH138" s="68" t="str">
        <f t="shared" si="4"/>
        <v/>
      </c>
      <c r="AI138" s="53"/>
      <c r="AJ138" s="53"/>
      <c r="AK138" s="53"/>
      <c r="AL138" s="53"/>
      <c r="AM138" s="53"/>
      <c r="AN138" s="53"/>
      <c r="AO138" s="53"/>
      <c r="AP138" s="53"/>
      <c r="AQ138" s="53"/>
      <c r="AR138" s="53"/>
      <c r="AS138" s="53"/>
      <c r="AT138" s="53"/>
      <c r="AU138" s="53"/>
      <c r="AV138" s="58"/>
      <c r="AW138" s="58"/>
      <c r="AX138" s="58"/>
      <c r="AY138" s="53"/>
      <c r="AZ138" s="53"/>
      <c r="BA138" s="53"/>
      <c r="BB138" s="53"/>
      <c r="BC138" s="53"/>
      <c r="BD138" s="53"/>
      <c r="BE138" s="53"/>
      <c r="BF138" s="53"/>
      <c r="BG138" s="53"/>
      <c r="BH138" s="53"/>
      <c r="BI138" s="53"/>
      <c r="BJ138" s="53"/>
      <c r="BK138" s="53"/>
      <c r="BL138" s="53"/>
      <c r="BM138" s="53"/>
      <c r="BN138" s="53"/>
      <c r="BO138" s="65" t="str">
        <f t="shared" si="5"/>
        <v/>
      </c>
    </row>
    <row r="139" spans="1:67" ht="19.5" customHeight="1">
      <c r="A139" s="70" t="b">
        <v>0</v>
      </c>
      <c r="B139" s="71" t="b">
        <v>1</v>
      </c>
      <c r="C139" s="72" t="b">
        <v>0</v>
      </c>
      <c r="D139" s="72" t="b">
        <v>0</v>
      </c>
      <c r="E139" s="57"/>
      <c r="F139" s="59"/>
      <c r="G139" s="57"/>
      <c r="H139" s="88"/>
      <c r="I139" s="88"/>
      <c r="J139" s="88"/>
      <c r="K139" s="89" t="b">
        <v>1</v>
      </c>
      <c r="L139" s="60"/>
      <c r="M139" s="57"/>
      <c r="N139" s="57"/>
      <c r="O139" s="61"/>
      <c r="P139" s="60"/>
      <c r="Q139" s="57"/>
      <c r="R139" s="57"/>
      <c r="S139" s="95"/>
      <c r="T139" s="88"/>
      <c r="U139" s="88"/>
      <c r="V139" s="88"/>
      <c r="W139" s="96"/>
      <c r="X139" s="97"/>
      <c r="Y139" s="97"/>
      <c r="Z139" s="98"/>
      <c r="AA139" s="99"/>
      <c r="AB139" s="98"/>
      <c r="AC139" s="88"/>
      <c r="AD139" s="98"/>
      <c r="AE139" s="64"/>
      <c r="AF139" s="67" t="str">
        <f t="shared" si="3"/>
        <v/>
      </c>
      <c r="AG139" s="58"/>
      <c r="AH139" s="68" t="str">
        <f t="shared" si="4"/>
        <v/>
      </c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  <c r="AS139" s="53"/>
      <c r="AT139" s="53"/>
      <c r="AU139" s="53"/>
      <c r="AV139" s="58"/>
      <c r="AW139" s="58"/>
      <c r="AX139" s="58"/>
      <c r="AY139" s="53"/>
      <c r="AZ139" s="53"/>
      <c r="BA139" s="53"/>
      <c r="BB139" s="53"/>
      <c r="BC139" s="53"/>
      <c r="BD139" s="53"/>
      <c r="BE139" s="53"/>
      <c r="BF139" s="53"/>
      <c r="BG139" s="53"/>
      <c r="BH139" s="53"/>
      <c r="BI139" s="53"/>
      <c r="BJ139" s="53"/>
      <c r="BK139" s="53"/>
      <c r="BL139" s="53"/>
      <c r="BM139" s="53"/>
      <c r="BN139" s="53"/>
      <c r="BO139" s="65" t="str">
        <f t="shared" si="5"/>
        <v/>
      </c>
    </row>
    <row r="140" spans="1:67" ht="19.5" customHeight="1">
      <c r="A140" s="70" t="b">
        <v>0</v>
      </c>
      <c r="B140" s="71" t="b">
        <v>1</v>
      </c>
      <c r="C140" s="72" t="b">
        <v>0</v>
      </c>
      <c r="D140" s="72" t="b">
        <v>0</v>
      </c>
      <c r="E140" s="57"/>
      <c r="F140" s="59"/>
      <c r="G140" s="57"/>
      <c r="H140" s="88"/>
      <c r="I140" s="88"/>
      <c r="J140" s="88"/>
      <c r="K140" s="89" t="b">
        <v>1</v>
      </c>
      <c r="L140" s="60"/>
      <c r="M140" s="57"/>
      <c r="N140" s="57"/>
      <c r="O140" s="61"/>
      <c r="P140" s="60"/>
      <c r="Q140" s="57"/>
      <c r="R140" s="57"/>
      <c r="S140" s="95"/>
      <c r="T140" s="88"/>
      <c r="U140" s="88"/>
      <c r="V140" s="88"/>
      <c r="W140" s="96"/>
      <c r="X140" s="97"/>
      <c r="Y140" s="97"/>
      <c r="Z140" s="98"/>
      <c r="AA140" s="99"/>
      <c r="AB140" s="98"/>
      <c r="AC140" s="88"/>
      <c r="AD140" s="98"/>
      <c r="AE140" s="64"/>
      <c r="AF140" s="67" t="str">
        <f t="shared" si="3"/>
        <v/>
      </c>
      <c r="AG140" s="58"/>
      <c r="AH140" s="68" t="str">
        <f t="shared" si="4"/>
        <v/>
      </c>
      <c r="AI140" s="53"/>
      <c r="AJ140" s="53"/>
      <c r="AK140" s="53"/>
      <c r="AL140" s="53"/>
      <c r="AM140" s="53"/>
      <c r="AN140" s="53"/>
      <c r="AO140" s="53"/>
      <c r="AP140" s="53"/>
      <c r="AQ140" s="53"/>
      <c r="AR140" s="53"/>
      <c r="AS140" s="53"/>
      <c r="AT140" s="53"/>
      <c r="AU140" s="53"/>
      <c r="AV140" s="58"/>
      <c r="AW140" s="58"/>
      <c r="AX140" s="58"/>
      <c r="AY140" s="53"/>
      <c r="AZ140" s="53"/>
      <c r="BA140" s="53"/>
      <c r="BB140" s="53"/>
      <c r="BC140" s="53"/>
      <c r="BD140" s="53"/>
      <c r="BE140" s="53"/>
      <c r="BF140" s="53"/>
      <c r="BG140" s="53"/>
      <c r="BH140" s="53"/>
      <c r="BI140" s="53"/>
      <c r="BJ140" s="53"/>
      <c r="BK140" s="53"/>
      <c r="BL140" s="53"/>
      <c r="BM140" s="53"/>
      <c r="BN140" s="53"/>
      <c r="BO140" s="65" t="str">
        <f t="shared" si="5"/>
        <v/>
      </c>
    </row>
    <row r="141" spans="1:67" ht="19.5" customHeight="1">
      <c r="A141" s="70" t="b">
        <v>0</v>
      </c>
      <c r="B141" s="71" t="b">
        <v>1</v>
      </c>
      <c r="C141" s="72" t="b">
        <v>0</v>
      </c>
      <c r="D141" s="72" t="b">
        <v>0</v>
      </c>
      <c r="E141" s="57"/>
      <c r="F141" s="59"/>
      <c r="G141" s="57"/>
      <c r="H141" s="88"/>
      <c r="I141" s="88"/>
      <c r="J141" s="88"/>
      <c r="K141" s="89" t="b">
        <v>1</v>
      </c>
      <c r="L141" s="60"/>
      <c r="M141" s="57"/>
      <c r="N141" s="57"/>
      <c r="O141" s="61"/>
      <c r="P141" s="60"/>
      <c r="Q141" s="57"/>
      <c r="R141" s="57"/>
      <c r="S141" s="95"/>
      <c r="T141" s="88"/>
      <c r="U141" s="88"/>
      <c r="V141" s="88"/>
      <c r="W141" s="96"/>
      <c r="X141" s="97"/>
      <c r="Y141" s="97"/>
      <c r="Z141" s="98"/>
      <c r="AA141" s="99"/>
      <c r="AB141" s="98"/>
      <c r="AC141" s="88"/>
      <c r="AD141" s="98"/>
      <c r="AE141" s="64"/>
      <c r="AF141" s="67" t="str">
        <f t="shared" si="3"/>
        <v/>
      </c>
      <c r="AG141" s="58"/>
      <c r="AH141" s="68" t="str">
        <f t="shared" si="4"/>
        <v/>
      </c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8"/>
      <c r="AW141" s="58"/>
      <c r="AX141" s="58"/>
      <c r="AY141" s="53"/>
      <c r="AZ141" s="53"/>
      <c r="BA141" s="53"/>
      <c r="BB141" s="53"/>
      <c r="BC141" s="53"/>
      <c r="BD141" s="53"/>
      <c r="BE141" s="53"/>
      <c r="BF141" s="53"/>
      <c r="BG141" s="53"/>
      <c r="BH141" s="53"/>
      <c r="BI141" s="53"/>
      <c r="BJ141" s="53"/>
      <c r="BK141" s="53"/>
      <c r="BL141" s="53"/>
      <c r="BM141" s="53"/>
      <c r="BN141" s="53"/>
      <c r="BO141" s="65" t="str">
        <f t="shared" si="5"/>
        <v/>
      </c>
    </row>
    <row r="142" spans="1:67" ht="19.5" customHeight="1">
      <c r="A142" s="70" t="b">
        <v>0</v>
      </c>
      <c r="B142" s="71" t="b">
        <v>1</v>
      </c>
      <c r="C142" s="72" t="b">
        <v>0</v>
      </c>
      <c r="D142" s="72" t="b">
        <v>0</v>
      </c>
      <c r="E142" s="57"/>
      <c r="F142" s="59"/>
      <c r="G142" s="57"/>
      <c r="H142" s="88"/>
      <c r="I142" s="88"/>
      <c r="J142" s="88"/>
      <c r="K142" s="89" t="b">
        <v>1</v>
      </c>
      <c r="L142" s="60"/>
      <c r="M142" s="57"/>
      <c r="N142" s="57"/>
      <c r="O142" s="61"/>
      <c r="P142" s="60"/>
      <c r="Q142" s="57"/>
      <c r="R142" s="57"/>
      <c r="S142" s="95"/>
      <c r="T142" s="88"/>
      <c r="U142" s="88"/>
      <c r="V142" s="88"/>
      <c r="W142" s="96"/>
      <c r="X142" s="97"/>
      <c r="Y142" s="97"/>
      <c r="Z142" s="98"/>
      <c r="AA142" s="99"/>
      <c r="AB142" s="98"/>
      <c r="AC142" s="88"/>
      <c r="AD142" s="98"/>
      <c r="AE142" s="64"/>
      <c r="AF142" s="67" t="str">
        <f t="shared" si="3"/>
        <v/>
      </c>
      <c r="AG142" s="58"/>
      <c r="AH142" s="68" t="str">
        <f t="shared" si="4"/>
        <v/>
      </c>
      <c r="AI142" s="53"/>
      <c r="AJ142" s="53"/>
      <c r="AK142" s="53"/>
      <c r="AL142" s="53"/>
      <c r="AM142" s="53"/>
      <c r="AN142" s="53"/>
      <c r="AO142" s="53"/>
      <c r="AP142" s="53"/>
      <c r="AQ142" s="53"/>
      <c r="AR142" s="53"/>
      <c r="AS142" s="53"/>
      <c r="AT142" s="53"/>
      <c r="AU142" s="53"/>
      <c r="AV142" s="58"/>
      <c r="AW142" s="58"/>
      <c r="AX142" s="58"/>
      <c r="AY142" s="53"/>
      <c r="AZ142" s="53"/>
      <c r="BA142" s="53"/>
      <c r="BB142" s="53"/>
      <c r="BC142" s="53"/>
      <c r="BD142" s="53"/>
      <c r="BE142" s="53"/>
      <c r="BF142" s="53"/>
      <c r="BG142" s="53"/>
      <c r="BH142" s="53"/>
      <c r="BI142" s="53"/>
      <c r="BJ142" s="53"/>
      <c r="BK142" s="53"/>
      <c r="BL142" s="53"/>
      <c r="BM142" s="53"/>
      <c r="BN142" s="53"/>
      <c r="BO142" s="65" t="str">
        <f t="shared" si="5"/>
        <v/>
      </c>
    </row>
    <row r="143" spans="1:67" ht="19.5" customHeight="1">
      <c r="A143" s="70" t="b">
        <v>0</v>
      </c>
      <c r="B143" s="71" t="b">
        <v>1</v>
      </c>
      <c r="C143" s="72" t="b">
        <v>0</v>
      </c>
      <c r="D143" s="72" t="b">
        <v>0</v>
      </c>
      <c r="E143" s="57"/>
      <c r="F143" s="59"/>
      <c r="G143" s="57"/>
      <c r="H143" s="88"/>
      <c r="I143" s="88"/>
      <c r="J143" s="88"/>
      <c r="K143" s="89" t="b">
        <v>1</v>
      </c>
      <c r="L143" s="60"/>
      <c r="M143" s="57"/>
      <c r="N143" s="57"/>
      <c r="O143" s="61"/>
      <c r="P143" s="60"/>
      <c r="Q143" s="57"/>
      <c r="R143" s="57"/>
      <c r="S143" s="95"/>
      <c r="T143" s="88"/>
      <c r="U143" s="88"/>
      <c r="V143" s="88"/>
      <c r="W143" s="96"/>
      <c r="X143" s="97"/>
      <c r="Y143" s="97"/>
      <c r="Z143" s="98"/>
      <c r="AA143" s="99"/>
      <c r="AB143" s="98"/>
      <c r="AC143" s="88"/>
      <c r="AD143" s="98"/>
      <c r="AE143" s="64"/>
      <c r="AF143" s="67" t="str">
        <f t="shared" si="3"/>
        <v/>
      </c>
      <c r="AG143" s="58"/>
      <c r="AH143" s="68" t="str">
        <f t="shared" si="4"/>
        <v/>
      </c>
      <c r="AI143" s="53"/>
      <c r="AJ143" s="53"/>
      <c r="AK143" s="53"/>
      <c r="AL143" s="53"/>
      <c r="AM143" s="53"/>
      <c r="AN143" s="53"/>
      <c r="AO143" s="53"/>
      <c r="AP143" s="53"/>
      <c r="AQ143" s="53"/>
      <c r="AR143" s="53"/>
      <c r="AS143" s="53"/>
      <c r="AT143" s="53"/>
      <c r="AU143" s="53"/>
      <c r="AV143" s="58"/>
      <c r="AW143" s="58"/>
      <c r="AX143" s="58"/>
      <c r="AY143" s="53"/>
      <c r="AZ143" s="53"/>
      <c r="BA143" s="53"/>
      <c r="BB143" s="53"/>
      <c r="BC143" s="53"/>
      <c r="BD143" s="53"/>
      <c r="BE143" s="53"/>
      <c r="BF143" s="53"/>
      <c r="BG143" s="53"/>
      <c r="BH143" s="53"/>
      <c r="BI143" s="53"/>
      <c r="BJ143" s="53"/>
      <c r="BK143" s="53"/>
      <c r="BL143" s="53"/>
      <c r="BM143" s="53"/>
      <c r="BN143" s="53"/>
      <c r="BO143" s="65" t="str">
        <f t="shared" si="5"/>
        <v/>
      </c>
    </row>
    <row r="144" spans="1:67" ht="19.5" customHeight="1">
      <c r="A144" s="70" t="b">
        <v>0</v>
      </c>
      <c r="B144" s="71" t="b">
        <v>1</v>
      </c>
      <c r="C144" s="72" t="b">
        <v>0</v>
      </c>
      <c r="D144" s="72" t="b">
        <v>0</v>
      </c>
      <c r="E144" s="57"/>
      <c r="F144" s="59"/>
      <c r="G144" s="57"/>
      <c r="H144" s="88"/>
      <c r="I144" s="88"/>
      <c r="J144" s="88"/>
      <c r="K144" s="89" t="b">
        <v>1</v>
      </c>
      <c r="L144" s="60"/>
      <c r="M144" s="57"/>
      <c r="N144" s="57"/>
      <c r="O144" s="61"/>
      <c r="P144" s="60"/>
      <c r="Q144" s="57"/>
      <c r="R144" s="57"/>
      <c r="S144" s="95"/>
      <c r="T144" s="88"/>
      <c r="U144" s="88"/>
      <c r="V144" s="88"/>
      <c r="W144" s="96"/>
      <c r="X144" s="97"/>
      <c r="Y144" s="97"/>
      <c r="Z144" s="98"/>
      <c r="AA144" s="99"/>
      <c r="AB144" s="98"/>
      <c r="AC144" s="88"/>
      <c r="AD144" s="98"/>
      <c r="AE144" s="64"/>
      <c r="AF144" s="67" t="str">
        <f t="shared" si="3"/>
        <v/>
      </c>
      <c r="AG144" s="58"/>
      <c r="AH144" s="68" t="str">
        <f t="shared" si="4"/>
        <v/>
      </c>
      <c r="AI144" s="53"/>
      <c r="AJ144" s="53"/>
      <c r="AK144" s="53"/>
      <c r="AL144" s="53"/>
      <c r="AM144" s="53"/>
      <c r="AN144" s="53"/>
      <c r="AO144" s="53"/>
      <c r="AP144" s="53"/>
      <c r="AQ144" s="53"/>
      <c r="AR144" s="53"/>
      <c r="AS144" s="53"/>
      <c r="AT144" s="53"/>
      <c r="AU144" s="53"/>
      <c r="AV144" s="58"/>
      <c r="AW144" s="58"/>
      <c r="AX144" s="58"/>
      <c r="AY144" s="53"/>
      <c r="AZ144" s="53"/>
      <c r="BA144" s="53"/>
      <c r="BB144" s="53"/>
      <c r="BC144" s="53"/>
      <c r="BD144" s="53"/>
      <c r="BE144" s="53"/>
      <c r="BF144" s="53"/>
      <c r="BG144" s="53"/>
      <c r="BH144" s="53"/>
      <c r="BI144" s="53"/>
      <c r="BJ144" s="53"/>
      <c r="BK144" s="53"/>
      <c r="BL144" s="53"/>
      <c r="BM144" s="53"/>
      <c r="BN144" s="53"/>
      <c r="BO144" s="65" t="str">
        <f t="shared" si="5"/>
        <v/>
      </c>
    </row>
    <row r="145" spans="1:67" ht="19.5" customHeight="1">
      <c r="A145" s="70" t="b">
        <v>0</v>
      </c>
      <c r="B145" s="71" t="b">
        <v>1</v>
      </c>
      <c r="C145" s="72" t="b">
        <v>0</v>
      </c>
      <c r="D145" s="72" t="b">
        <v>0</v>
      </c>
      <c r="E145" s="57"/>
      <c r="F145" s="59"/>
      <c r="G145" s="57"/>
      <c r="H145" s="88"/>
      <c r="I145" s="88"/>
      <c r="J145" s="88"/>
      <c r="K145" s="89" t="b">
        <v>1</v>
      </c>
      <c r="L145" s="60"/>
      <c r="M145" s="57"/>
      <c r="N145" s="57"/>
      <c r="O145" s="61"/>
      <c r="P145" s="60"/>
      <c r="Q145" s="57"/>
      <c r="R145" s="57"/>
      <c r="S145" s="95"/>
      <c r="T145" s="88"/>
      <c r="U145" s="88"/>
      <c r="V145" s="88"/>
      <c r="W145" s="96"/>
      <c r="X145" s="97"/>
      <c r="Y145" s="97"/>
      <c r="Z145" s="98"/>
      <c r="AA145" s="99"/>
      <c r="AB145" s="98"/>
      <c r="AC145" s="88"/>
      <c r="AD145" s="98"/>
      <c r="AE145" s="64"/>
      <c r="AF145" s="67" t="str">
        <f t="shared" si="3"/>
        <v/>
      </c>
      <c r="AG145" s="58"/>
      <c r="AH145" s="68" t="str">
        <f t="shared" si="4"/>
        <v/>
      </c>
      <c r="AI145" s="53"/>
      <c r="AJ145" s="53"/>
      <c r="AK145" s="53"/>
      <c r="AL145" s="53"/>
      <c r="AM145" s="53"/>
      <c r="AN145" s="53"/>
      <c r="AO145" s="53"/>
      <c r="AP145" s="53"/>
      <c r="AQ145" s="53"/>
      <c r="AR145" s="53"/>
      <c r="AS145" s="53"/>
      <c r="AT145" s="53"/>
      <c r="AU145" s="53"/>
      <c r="AV145" s="58"/>
      <c r="AW145" s="58"/>
      <c r="AX145" s="58"/>
      <c r="AY145" s="53"/>
      <c r="AZ145" s="53"/>
      <c r="BA145" s="53"/>
      <c r="BB145" s="53"/>
      <c r="BC145" s="53"/>
      <c r="BD145" s="53"/>
      <c r="BE145" s="53"/>
      <c r="BF145" s="53"/>
      <c r="BG145" s="53"/>
      <c r="BH145" s="53"/>
      <c r="BI145" s="53"/>
      <c r="BJ145" s="53"/>
      <c r="BK145" s="53"/>
      <c r="BL145" s="53"/>
      <c r="BM145" s="53"/>
      <c r="BN145" s="53"/>
      <c r="BO145" s="65" t="str">
        <f t="shared" si="5"/>
        <v/>
      </c>
    </row>
    <row r="146" spans="1:67" ht="19.5" customHeight="1">
      <c r="A146" s="70" t="b">
        <v>0</v>
      </c>
      <c r="B146" s="71" t="b">
        <v>1</v>
      </c>
      <c r="C146" s="72" t="b">
        <v>0</v>
      </c>
      <c r="D146" s="72" t="b">
        <v>0</v>
      </c>
      <c r="E146" s="57"/>
      <c r="F146" s="59"/>
      <c r="G146" s="57"/>
      <c r="H146" s="88"/>
      <c r="I146" s="88"/>
      <c r="J146" s="88"/>
      <c r="K146" s="89" t="b">
        <v>1</v>
      </c>
      <c r="L146" s="60"/>
      <c r="M146" s="57"/>
      <c r="N146" s="57"/>
      <c r="O146" s="61"/>
      <c r="P146" s="60"/>
      <c r="Q146" s="57"/>
      <c r="R146" s="57"/>
      <c r="S146" s="95"/>
      <c r="T146" s="88"/>
      <c r="U146" s="88"/>
      <c r="V146" s="88"/>
      <c r="W146" s="96"/>
      <c r="X146" s="97"/>
      <c r="Y146" s="97"/>
      <c r="Z146" s="98"/>
      <c r="AA146" s="99"/>
      <c r="AB146" s="98"/>
      <c r="AC146" s="88"/>
      <c r="AD146" s="98"/>
      <c r="AE146" s="64"/>
      <c r="AF146" s="67" t="str">
        <f t="shared" si="3"/>
        <v/>
      </c>
      <c r="AG146" s="58"/>
      <c r="AH146" s="68" t="str">
        <f t="shared" si="4"/>
        <v/>
      </c>
      <c r="AI146" s="53"/>
      <c r="AJ146" s="53"/>
      <c r="AK146" s="53"/>
      <c r="AL146" s="53"/>
      <c r="AM146" s="53"/>
      <c r="AN146" s="53"/>
      <c r="AO146" s="53"/>
      <c r="AP146" s="53"/>
      <c r="AQ146" s="53"/>
      <c r="AR146" s="53"/>
      <c r="AS146" s="53"/>
      <c r="AT146" s="53"/>
      <c r="AU146" s="53"/>
      <c r="AV146" s="58"/>
      <c r="AW146" s="58"/>
      <c r="AX146" s="58"/>
      <c r="AY146" s="53"/>
      <c r="AZ146" s="53"/>
      <c r="BA146" s="53"/>
      <c r="BB146" s="53"/>
      <c r="BC146" s="53"/>
      <c r="BD146" s="53"/>
      <c r="BE146" s="53"/>
      <c r="BF146" s="53"/>
      <c r="BG146" s="53"/>
      <c r="BH146" s="53"/>
      <c r="BI146" s="53"/>
      <c r="BJ146" s="53"/>
      <c r="BK146" s="53"/>
      <c r="BL146" s="53"/>
      <c r="BM146" s="53"/>
      <c r="BN146" s="53"/>
      <c r="BO146" s="65" t="str">
        <f t="shared" si="5"/>
        <v/>
      </c>
    </row>
    <row r="147" spans="1:67" ht="19.5" customHeight="1">
      <c r="A147" s="70" t="b">
        <v>0</v>
      </c>
      <c r="B147" s="71" t="b">
        <v>1</v>
      </c>
      <c r="C147" s="72" t="b">
        <v>0</v>
      </c>
      <c r="D147" s="72" t="b">
        <v>0</v>
      </c>
      <c r="E147" s="57"/>
      <c r="F147" s="59"/>
      <c r="G147" s="57"/>
      <c r="H147" s="88"/>
      <c r="I147" s="88"/>
      <c r="J147" s="88"/>
      <c r="K147" s="89" t="b">
        <v>1</v>
      </c>
      <c r="L147" s="60"/>
      <c r="M147" s="57"/>
      <c r="N147" s="57"/>
      <c r="O147" s="61"/>
      <c r="P147" s="60"/>
      <c r="Q147" s="57"/>
      <c r="R147" s="57"/>
      <c r="S147" s="95"/>
      <c r="T147" s="88"/>
      <c r="U147" s="88"/>
      <c r="V147" s="88"/>
      <c r="W147" s="96"/>
      <c r="X147" s="97"/>
      <c r="Y147" s="97"/>
      <c r="Z147" s="98"/>
      <c r="AA147" s="99"/>
      <c r="AB147" s="98"/>
      <c r="AC147" s="88"/>
      <c r="AD147" s="98"/>
      <c r="AE147" s="64"/>
      <c r="AF147" s="67" t="str">
        <f t="shared" ref="AF147:AF210" si="6">IFERROR((VALUE(TRIM(LEFT(MID(AE147,FIND("|",AE147)+1,99),FIND("-",MID(AE147,FIND("|",AE147)+1,99))-1)))+VALUE(TRIM(SUBSTITUTE(SUBSTITUTE(SUBSTITUTE(MID(MID(AE147,FIND("|",AE147)+1,99),FIND("-",MID(AE147,FIND("|",AE147)+1,99))+1,20),"µm",""),"μm","")," ",""))))/2,"")</f>
        <v/>
      </c>
      <c r="AG147" s="58"/>
      <c r="AH147" s="68" t="str">
        <f t="shared" ref="AH147:AH210" si="7">IFERROR((VALUE(TRIM(LEFT(MID(AG147,FIND("|",AG147)+1,99),FIND("-",MID(AG147,FIND("|",AG147)+1,99))-1)))+VALUE(TRIM(SUBSTITUTE(SUBSTITUTE(SUBSTITUTE(MID(MID(AG147,FIND("|",AG147)+1,99),FIND("-",MID(AG147,FIND("|",AG147)+1,99))+1,20),"µm",""),"μm","")," ",""))))/2,"")</f>
        <v/>
      </c>
      <c r="AI147" s="53"/>
      <c r="AJ147" s="53"/>
      <c r="AK147" s="53"/>
      <c r="AL147" s="53"/>
      <c r="AM147" s="53"/>
      <c r="AN147" s="53"/>
      <c r="AO147" s="53"/>
      <c r="AP147" s="53"/>
      <c r="AQ147" s="53"/>
      <c r="AR147" s="53"/>
      <c r="AS147" s="53"/>
      <c r="AT147" s="53"/>
      <c r="AU147" s="53"/>
      <c r="AV147" s="58"/>
      <c r="AW147" s="58"/>
      <c r="AX147" s="58"/>
      <c r="AY147" s="53"/>
      <c r="AZ147" s="53"/>
      <c r="BA147" s="53"/>
      <c r="BB147" s="53"/>
      <c r="BC147" s="53"/>
      <c r="BD147" s="53"/>
      <c r="BE147" s="53"/>
      <c r="BF147" s="53"/>
      <c r="BG147" s="53"/>
      <c r="BH147" s="53"/>
      <c r="BI147" s="53"/>
      <c r="BJ147" s="53"/>
      <c r="BK147" s="53"/>
      <c r="BL147" s="53"/>
      <c r="BM147" s="53"/>
      <c r="BN147" s="53"/>
      <c r="BO147" s="65" t="str">
        <f t="shared" ref="BO147:BO210" si="8">IF(E147="","",H147*I147)</f>
        <v/>
      </c>
    </row>
    <row r="148" spans="1:67" ht="19.5" customHeight="1">
      <c r="A148" s="70" t="b">
        <v>0</v>
      </c>
      <c r="B148" s="71" t="b">
        <v>1</v>
      </c>
      <c r="C148" s="72" t="b">
        <v>0</v>
      </c>
      <c r="D148" s="72" t="b">
        <v>0</v>
      </c>
      <c r="E148" s="57"/>
      <c r="F148" s="59"/>
      <c r="G148" s="57"/>
      <c r="H148" s="88"/>
      <c r="I148" s="88"/>
      <c r="J148" s="88"/>
      <c r="K148" s="89" t="b">
        <v>1</v>
      </c>
      <c r="L148" s="60"/>
      <c r="M148" s="57"/>
      <c r="N148" s="57"/>
      <c r="O148" s="61"/>
      <c r="P148" s="60"/>
      <c r="Q148" s="57"/>
      <c r="R148" s="57"/>
      <c r="S148" s="95"/>
      <c r="T148" s="88"/>
      <c r="U148" s="88"/>
      <c r="V148" s="88"/>
      <c r="W148" s="96"/>
      <c r="X148" s="97"/>
      <c r="Y148" s="97"/>
      <c r="Z148" s="98"/>
      <c r="AA148" s="99"/>
      <c r="AB148" s="98"/>
      <c r="AC148" s="88"/>
      <c r="AD148" s="98"/>
      <c r="AE148" s="64"/>
      <c r="AF148" s="67" t="str">
        <f t="shared" si="6"/>
        <v/>
      </c>
      <c r="AG148" s="58"/>
      <c r="AH148" s="68" t="str">
        <f t="shared" si="7"/>
        <v/>
      </c>
      <c r="AI148" s="53"/>
      <c r="AJ148" s="53"/>
      <c r="AK148" s="53"/>
      <c r="AL148" s="53"/>
      <c r="AM148" s="53"/>
      <c r="AN148" s="53"/>
      <c r="AO148" s="53"/>
      <c r="AP148" s="53"/>
      <c r="AQ148" s="53"/>
      <c r="AR148" s="53"/>
      <c r="AS148" s="53"/>
      <c r="AT148" s="53"/>
      <c r="AU148" s="53"/>
      <c r="AV148" s="58"/>
      <c r="AW148" s="58"/>
      <c r="AX148" s="58"/>
      <c r="AY148" s="53"/>
      <c r="AZ148" s="53"/>
      <c r="BA148" s="53"/>
      <c r="BB148" s="53"/>
      <c r="BC148" s="53"/>
      <c r="BD148" s="53"/>
      <c r="BE148" s="53"/>
      <c r="BF148" s="53"/>
      <c r="BG148" s="53"/>
      <c r="BH148" s="53"/>
      <c r="BI148" s="53"/>
      <c r="BJ148" s="53"/>
      <c r="BK148" s="53"/>
      <c r="BL148" s="53"/>
      <c r="BM148" s="53"/>
      <c r="BN148" s="53"/>
      <c r="BO148" s="65" t="str">
        <f t="shared" si="8"/>
        <v/>
      </c>
    </row>
    <row r="149" spans="1:67" ht="19.5" customHeight="1">
      <c r="A149" s="70" t="b">
        <v>0</v>
      </c>
      <c r="B149" s="71" t="b">
        <v>1</v>
      </c>
      <c r="C149" s="72" t="b">
        <v>0</v>
      </c>
      <c r="D149" s="72" t="b">
        <v>0</v>
      </c>
      <c r="E149" s="57"/>
      <c r="F149" s="59"/>
      <c r="G149" s="57"/>
      <c r="H149" s="88"/>
      <c r="I149" s="88"/>
      <c r="J149" s="88"/>
      <c r="K149" s="89" t="b">
        <v>1</v>
      </c>
      <c r="L149" s="60"/>
      <c r="M149" s="57"/>
      <c r="N149" s="57"/>
      <c r="O149" s="61"/>
      <c r="P149" s="60"/>
      <c r="Q149" s="57"/>
      <c r="R149" s="57"/>
      <c r="S149" s="95"/>
      <c r="T149" s="88"/>
      <c r="U149" s="88"/>
      <c r="V149" s="88"/>
      <c r="W149" s="96"/>
      <c r="X149" s="97"/>
      <c r="Y149" s="97"/>
      <c r="Z149" s="98"/>
      <c r="AA149" s="99"/>
      <c r="AB149" s="98"/>
      <c r="AC149" s="88"/>
      <c r="AD149" s="98"/>
      <c r="AE149" s="64"/>
      <c r="AF149" s="67" t="str">
        <f t="shared" si="6"/>
        <v/>
      </c>
      <c r="AG149" s="58"/>
      <c r="AH149" s="68" t="str">
        <f t="shared" si="7"/>
        <v/>
      </c>
      <c r="AI149" s="53"/>
      <c r="AJ149" s="53"/>
      <c r="AK149" s="53"/>
      <c r="AL149" s="53"/>
      <c r="AM149" s="53"/>
      <c r="AN149" s="53"/>
      <c r="AO149" s="53"/>
      <c r="AP149" s="53"/>
      <c r="AQ149" s="53"/>
      <c r="AR149" s="53"/>
      <c r="AS149" s="53"/>
      <c r="AT149" s="53"/>
      <c r="AU149" s="53"/>
      <c r="AV149" s="58"/>
      <c r="AW149" s="58"/>
      <c r="AX149" s="58"/>
      <c r="AY149" s="53"/>
      <c r="AZ149" s="53"/>
      <c r="BA149" s="53"/>
      <c r="BB149" s="53"/>
      <c r="BC149" s="53"/>
      <c r="BD149" s="53"/>
      <c r="BE149" s="53"/>
      <c r="BF149" s="53"/>
      <c r="BG149" s="53"/>
      <c r="BH149" s="53"/>
      <c r="BI149" s="53"/>
      <c r="BJ149" s="53"/>
      <c r="BK149" s="53"/>
      <c r="BL149" s="53"/>
      <c r="BM149" s="53"/>
      <c r="BN149" s="53"/>
      <c r="BO149" s="65" t="str">
        <f t="shared" si="8"/>
        <v/>
      </c>
    </row>
    <row r="150" spans="1:67" ht="19.5" customHeight="1">
      <c r="A150" s="70" t="b">
        <v>0</v>
      </c>
      <c r="B150" s="71" t="b">
        <v>1</v>
      </c>
      <c r="C150" s="72" t="b">
        <v>0</v>
      </c>
      <c r="D150" s="72" t="b">
        <v>0</v>
      </c>
      <c r="E150" s="57"/>
      <c r="F150" s="59"/>
      <c r="G150" s="57"/>
      <c r="H150" s="88"/>
      <c r="I150" s="88"/>
      <c r="J150" s="88"/>
      <c r="K150" s="89" t="b">
        <v>1</v>
      </c>
      <c r="L150" s="60"/>
      <c r="M150" s="57"/>
      <c r="N150" s="57"/>
      <c r="O150" s="61"/>
      <c r="P150" s="60"/>
      <c r="Q150" s="57"/>
      <c r="R150" s="57"/>
      <c r="S150" s="95"/>
      <c r="T150" s="88"/>
      <c r="U150" s="88"/>
      <c r="V150" s="88"/>
      <c r="W150" s="96"/>
      <c r="X150" s="97"/>
      <c r="Y150" s="97"/>
      <c r="Z150" s="98"/>
      <c r="AA150" s="99"/>
      <c r="AB150" s="98"/>
      <c r="AC150" s="88"/>
      <c r="AD150" s="98"/>
      <c r="AE150" s="64"/>
      <c r="AF150" s="67" t="str">
        <f t="shared" si="6"/>
        <v/>
      </c>
      <c r="AG150" s="58"/>
      <c r="AH150" s="68" t="str">
        <f t="shared" si="7"/>
        <v/>
      </c>
      <c r="AI150" s="53"/>
      <c r="AJ150" s="53"/>
      <c r="AK150" s="53"/>
      <c r="AL150" s="53"/>
      <c r="AM150" s="53"/>
      <c r="AN150" s="53"/>
      <c r="AO150" s="53"/>
      <c r="AP150" s="53"/>
      <c r="AQ150" s="53"/>
      <c r="AR150" s="53"/>
      <c r="AS150" s="53"/>
      <c r="AT150" s="53"/>
      <c r="AU150" s="53"/>
      <c r="AV150" s="58"/>
      <c r="AW150" s="58"/>
      <c r="AX150" s="58"/>
      <c r="AY150" s="53"/>
      <c r="AZ150" s="53"/>
      <c r="BA150" s="53"/>
      <c r="BB150" s="53"/>
      <c r="BC150" s="53"/>
      <c r="BD150" s="53"/>
      <c r="BE150" s="53"/>
      <c r="BF150" s="53"/>
      <c r="BG150" s="53"/>
      <c r="BH150" s="53"/>
      <c r="BI150" s="53"/>
      <c r="BJ150" s="53"/>
      <c r="BK150" s="53"/>
      <c r="BL150" s="53"/>
      <c r="BM150" s="53"/>
      <c r="BN150" s="53"/>
      <c r="BO150" s="65" t="str">
        <f t="shared" si="8"/>
        <v/>
      </c>
    </row>
    <row r="151" spans="1:67" ht="19.5" customHeight="1">
      <c r="A151" s="70" t="b">
        <v>0</v>
      </c>
      <c r="B151" s="71" t="b">
        <v>1</v>
      </c>
      <c r="C151" s="72" t="b">
        <v>0</v>
      </c>
      <c r="D151" s="72" t="b">
        <v>0</v>
      </c>
      <c r="E151" s="57"/>
      <c r="F151" s="59"/>
      <c r="G151" s="57"/>
      <c r="H151" s="88"/>
      <c r="I151" s="88"/>
      <c r="J151" s="88"/>
      <c r="K151" s="89" t="b">
        <v>1</v>
      </c>
      <c r="L151" s="60"/>
      <c r="M151" s="57"/>
      <c r="N151" s="57"/>
      <c r="O151" s="61"/>
      <c r="P151" s="60"/>
      <c r="Q151" s="57"/>
      <c r="R151" s="57"/>
      <c r="S151" s="95"/>
      <c r="T151" s="88"/>
      <c r="U151" s="88"/>
      <c r="V151" s="88"/>
      <c r="W151" s="96"/>
      <c r="X151" s="97"/>
      <c r="Y151" s="97"/>
      <c r="Z151" s="98"/>
      <c r="AA151" s="99"/>
      <c r="AB151" s="98"/>
      <c r="AC151" s="88"/>
      <c r="AD151" s="98"/>
      <c r="AE151" s="64"/>
      <c r="AF151" s="67" t="str">
        <f t="shared" si="6"/>
        <v/>
      </c>
      <c r="AG151" s="58"/>
      <c r="AH151" s="68" t="str">
        <f t="shared" si="7"/>
        <v/>
      </c>
      <c r="AI151" s="53"/>
      <c r="AJ151" s="53"/>
      <c r="AK151" s="53"/>
      <c r="AL151" s="53"/>
      <c r="AM151" s="53"/>
      <c r="AN151" s="53"/>
      <c r="AO151" s="53"/>
      <c r="AP151" s="53"/>
      <c r="AQ151" s="53"/>
      <c r="AR151" s="53"/>
      <c r="AS151" s="53"/>
      <c r="AT151" s="53"/>
      <c r="AU151" s="53"/>
      <c r="AV151" s="58"/>
      <c r="AW151" s="58"/>
      <c r="AX151" s="58"/>
      <c r="AY151" s="53"/>
      <c r="AZ151" s="53"/>
      <c r="BA151" s="53"/>
      <c r="BB151" s="53"/>
      <c r="BC151" s="53"/>
      <c r="BD151" s="53"/>
      <c r="BE151" s="53"/>
      <c r="BF151" s="53"/>
      <c r="BG151" s="53"/>
      <c r="BH151" s="53"/>
      <c r="BI151" s="53"/>
      <c r="BJ151" s="53"/>
      <c r="BK151" s="53"/>
      <c r="BL151" s="53"/>
      <c r="BM151" s="53"/>
      <c r="BN151" s="53"/>
      <c r="BO151" s="65" t="str">
        <f t="shared" si="8"/>
        <v/>
      </c>
    </row>
    <row r="152" spans="1:67" ht="19.5" customHeight="1">
      <c r="A152" s="70" t="b">
        <v>0</v>
      </c>
      <c r="B152" s="71" t="b">
        <v>1</v>
      </c>
      <c r="C152" s="72" t="b">
        <v>0</v>
      </c>
      <c r="D152" s="72" t="b">
        <v>0</v>
      </c>
      <c r="E152" s="57"/>
      <c r="F152" s="59"/>
      <c r="G152" s="57"/>
      <c r="H152" s="88"/>
      <c r="I152" s="88"/>
      <c r="J152" s="88"/>
      <c r="K152" s="89" t="b">
        <v>1</v>
      </c>
      <c r="L152" s="60"/>
      <c r="M152" s="57"/>
      <c r="N152" s="57"/>
      <c r="O152" s="61"/>
      <c r="P152" s="60"/>
      <c r="Q152" s="57"/>
      <c r="R152" s="57"/>
      <c r="S152" s="95"/>
      <c r="T152" s="88"/>
      <c r="U152" s="88"/>
      <c r="V152" s="88"/>
      <c r="W152" s="96"/>
      <c r="X152" s="97"/>
      <c r="Y152" s="97"/>
      <c r="Z152" s="98"/>
      <c r="AA152" s="99"/>
      <c r="AB152" s="98"/>
      <c r="AC152" s="88"/>
      <c r="AD152" s="98"/>
      <c r="AE152" s="64"/>
      <c r="AF152" s="67" t="str">
        <f t="shared" si="6"/>
        <v/>
      </c>
      <c r="AG152" s="58"/>
      <c r="AH152" s="68" t="str">
        <f t="shared" si="7"/>
        <v/>
      </c>
      <c r="AI152" s="53"/>
      <c r="AJ152" s="53"/>
      <c r="AK152" s="53"/>
      <c r="AL152" s="53"/>
      <c r="AM152" s="53"/>
      <c r="AN152" s="53"/>
      <c r="AO152" s="53"/>
      <c r="AP152" s="53"/>
      <c r="AQ152" s="53"/>
      <c r="AR152" s="53"/>
      <c r="AS152" s="53"/>
      <c r="AT152" s="53"/>
      <c r="AU152" s="53"/>
      <c r="AV152" s="58"/>
      <c r="AW152" s="58"/>
      <c r="AX152" s="58"/>
      <c r="AY152" s="53"/>
      <c r="AZ152" s="53"/>
      <c r="BA152" s="53"/>
      <c r="BB152" s="53"/>
      <c r="BC152" s="53"/>
      <c r="BD152" s="53"/>
      <c r="BE152" s="53"/>
      <c r="BF152" s="53"/>
      <c r="BG152" s="53"/>
      <c r="BH152" s="53"/>
      <c r="BI152" s="53"/>
      <c r="BJ152" s="53"/>
      <c r="BK152" s="53"/>
      <c r="BL152" s="53"/>
      <c r="BM152" s="53"/>
      <c r="BN152" s="53"/>
      <c r="BO152" s="65" t="str">
        <f t="shared" si="8"/>
        <v/>
      </c>
    </row>
    <row r="153" spans="1:67" ht="19.5" customHeight="1">
      <c r="A153" s="70" t="b">
        <v>0</v>
      </c>
      <c r="B153" s="71" t="b">
        <v>1</v>
      </c>
      <c r="C153" s="72" t="b">
        <v>0</v>
      </c>
      <c r="D153" s="72" t="b">
        <v>0</v>
      </c>
      <c r="E153" s="57"/>
      <c r="F153" s="59"/>
      <c r="G153" s="57"/>
      <c r="H153" s="88"/>
      <c r="I153" s="88"/>
      <c r="J153" s="88"/>
      <c r="K153" s="89" t="b">
        <v>1</v>
      </c>
      <c r="L153" s="60"/>
      <c r="M153" s="57"/>
      <c r="N153" s="57"/>
      <c r="O153" s="61"/>
      <c r="P153" s="60"/>
      <c r="Q153" s="57"/>
      <c r="R153" s="57"/>
      <c r="S153" s="95"/>
      <c r="T153" s="88"/>
      <c r="U153" s="88"/>
      <c r="V153" s="88"/>
      <c r="W153" s="96"/>
      <c r="X153" s="97"/>
      <c r="Y153" s="97"/>
      <c r="Z153" s="98"/>
      <c r="AA153" s="99"/>
      <c r="AB153" s="98"/>
      <c r="AC153" s="88"/>
      <c r="AD153" s="98"/>
      <c r="AE153" s="64"/>
      <c r="AF153" s="67" t="str">
        <f t="shared" si="6"/>
        <v/>
      </c>
      <c r="AG153" s="58"/>
      <c r="AH153" s="68" t="str">
        <f t="shared" si="7"/>
        <v/>
      </c>
      <c r="AI153" s="53"/>
      <c r="AJ153" s="53"/>
      <c r="AK153" s="53"/>
      <c r="AL153" s="53"/>
      <c r="AM153" s="53"/>
      <c r="AN153" s="53"/>
      <c r="AO153" s="53"/>
      <c r="AP153" s="53"/>
      <c r="AQ153" s="53"/>
      <c r="AR153" s="53"/>
      <c r="AS153" s="53"/>
      <c r="AT153" s="53"/>
      <c r="AU153" s="53"/>
      <c r="AV153" s="58"/>
      <c r="AW153" s="58"/>
      <c r="AX153" s="58"/>
      <c r="AY153" s="53"/>
      <c r="AZ153" s="53"/>
      <c r="BA153" s="53"/>
      <c r="BB153" s="53"/>
      <c r="BC153" s="53"/>
      <c r="BD153" s="53"/>
      <c r="BE153" s="53"/>
      <c r="BF153" s="53"/>
      <c r="BG153" s="53"/>
      <c r="BH153" s="53"/>
      <c r="BI153" s="53"/>
      <c r="BJ153" s="53"/>
      <c r="BK153" s="53"/>
      <c r="BL153" s="53"/>
      <c r="BM153" s="53"/>
      <c r="BN153" s="53"/>
      <c r="BO153" s="65" t="str">
        <f t="shared" si="8"/>
        <v/>
      </c>
    </row>
    <row r="154" spans="1:67" ht="19.5" customHeight="1">
      <c r="A154" s="70" t="b">
        <v>0</v>
      </c>
      <c r="B154" s="71" t="b">
        <v>1</v>
      </c>
      <c r="C154" s="72" t="b">
        <v>0</v>
      </c>
      <c r="D154" s="72" t="b">
        <v>0</v>
      </c>
      <c r="E154" s="57"/>
      <c r="F154" s="59"/>
      <c r="G154" s="57"/>
      <c r="H154" s="88"/>
      <c r="I154" s="88"/>
      <c r="J154" s="88"/>
      <c r="K154" s="89" t="b">
        <v>1</v>
      </c>
      <c r="L154" s="60"/>
      <c r="M154" s="57"/>
      <c r="N154" s="57"/>
      <c r="O154" s="61"/>
      <c r="P154" s="60"/>
      <c r="Q154" s="57"/>
      <c r="R154" s="57"/>
      <c r="S154" s="95"/>
      <c r="T154" s="88"/>
      <c r="U154" s="88"/>
      <c r="V154" s="88"/>
      <c r="W154" s="96"/>
      <c r="X154" s="97"/>
      <c r="Y154" s="97"/>
      <c r="Z154" s="98"/>
      <c r="AA154" s="99"/>
      <c r="AB154" s="98"/>
      <c r="AC154" s="88"/>
      <c r="AD154" s="98"/>
      <c r="AE154" s="64"/>
      <c r="AF154" s="67" t="str">
        <f t="shared" si="6"/>
        <v/>
      </c>
      <c r="AG154" s="58"/>
      <c r="AH154" s="68" t="str">
        <f t="shared" si="7"/>
        <v/>
      </c>
      <c r="AI154" s="53"/>
      <c r="AJ154" s="53"/>
      <c r="AK154" s="53"/>
      <c r="AL154" s="53"/>
      <c r="AM154" s="53"/>
      <c r="AN154" s="53"/>
      <c r="AO154" s="53"/>
      <c r="AP154" s="53"/>
      <c r="AQ154" s="53"/>
      <c r="AR154" s="53"/>
      <c r="AS154" s="53"/>
      <c r="AT154" s="53"/>
      <c r="AU154" s="53"/>
      <c r="AV154" s="58"/>
      <c r="AW154" s="58"/>
      <c r="AX154" s="58"/>
      <c r="AY154" s="53"/>
      <c r="AZ154" s="53"/>
      <c r="BA154" s="53"/>
      <c r="BB154" s="53"/>
      <c r="BC154" s="53"/>
      <c r="BD154" s="53"/>
      <c r="BE154" s="53"/>
      <c r="BF154" s="53"/>
      <c r="BG154" s="53"/>
      <c r="BH154" s="53"/>
      <c r="BI154" s="53"/>
      <c r="BJ154" s="53"/>
      <c r="BK154" s="53"/>
      <c r="BL154" s="53"/>
      <c r="BM154" s="53"/>
      <c r="BN154" s="53"/>
      <c r="BO154" s="65" t="str">
        <f t="shared" si="8"/>
        <v/>
      </c>
    </row>
    <row r="155" spans="1:67" ht="19.5" customHeight="1">
      <c r="A155" s="70" t="b">
        <v>0</v>
      </c>
      <c r="B155" s="71" t="b">
        <v>1</v>
      </c>
      <c r="C155" s="72" t="b">
        <v>0</v>
      </c>
      <c r="D155" s="72" t="b">
        <v>0</v>
      </c>
      <c r="E155" s="57"/>
      <c r="F155" s="59"/>
      <c r="G155" s="57"/>
      <c r="H155" s="88"/>
      <c r="I155" s="88"/>
      <c r="J155" s="88"/>
      <c r="K155" s="89" t="b">
        <v>1</v>
      </c>
      <c r="L155" s="60"/>
      <c r="M155" s="57"/>
      <c r="N155" s="57"/>
      <c r="O155" s="61"/>
      <c r="P155" s="60"/>
      <c r="Q155" s="57"/>
      <c r="R155" s="57"/>
      <c r="S155" s="95"/>
      <c r="T155" s="88"/>
      <c r="U155" s="88"/>
      <c r="V155" s="88"/>
      <c r="W155" s="96"/>
      <c r="X155" s="97"/>
      <c r="Y155" s="97"/>
      <c r="Z155" s="98"/>
      <c r="AA155" s="99"/>
      <c r="AB155" s="98"/>
      <c r="AC155" s="88"/>
      <c r="AD155" s="98"/>
      <c r="AE155" s="64"/>
      <c r="AF155" s="67" t="str">
        <f t="shared" si="6"/>
        <v/>
      </c>
      <c r="AG155" s="58"/>
      <c r="AH155" s="68" t="str">
        <f t="shared" si="7"/>
        <v/>
      </c>
      <c r="AI155" s="53"/>
      <c r="AJ155" s="53"/>
      <c r="AK155" s="53"/>
      <c r="AL155" s="53"/>
      <c r="AM155" s="53"/>
      <c r="AN155" s="53"/>
      <c r="AO155" s="53"/>
      <c r="AP155" s="53"/>
      <c r="AQ155" s="53"/>
      <c r="AR155" s="53"/>
      <c r="AS155" s="53"/>
      <c r="AT155" s="53"/>
      <c r="AU155" s="53"/>
      <c r="AV155" s="58"/>
      <c r="AW155" s="58"/>
      <c r="AX155" s="58"/>
      <c r="AY155" s="53"/>
      <c r="AZ155" s="53"/>
      <c r="BA155" s="53"/>
      <c r="BB155" s="53"/>
      <c r="BC155" s="53"/>
      <c r="BD155" s="53"/>
      <c r="BE155" s="53"/>
      <c r="BF155" s="53"/>
      <c r="BG155" s="53"/>
      <c r="BH155" s="53"/>
      <c r="BI155" s="53"/>
      <c r="BJ155" s="53"/>
      <c r="BK155" s="53"/>
      <c r="BL155" s="53"/>
      <c r="BM155" s="53"/>
      <c r="BN155" s="53"/>
      <c r="BO155" s="65" t="str">
        <f t="shared" si="8"/>
        <v/>
      </c>
    </row>
    <row r="156" spans="1:67" ht="19.5" customHeight="1">
      <c r="A156" s="70" t="b">
        <v>0</v>
      </c>
      <c r="B156" s="71" t="b">
        <v>1</v>
      </c>
      <c r="C156" s="72" t="b">
        <v>0</v>
      </c>
      <c r="D156" s="72" t="b">
        <v>0</v>
      </c>
      <c r="E156" s="57"/>
      <c r="F156" s="59"/>
      <c r="G156" s="57"/>
      <c r="H156" s="88"/>
      <c r="I156" s="88"/>
      <c r="J156" s="88"/>
      <c r="K156" s="89" t="b">
        <v>1</v>
      </c>
      <c r="L156" s="60"/>
      <c r="M156" s="57"/>
      <c r="N156" s="57"/>
      <c r="O156" s="61"/>
      <c r="P156" s="60"/>
      <c r="Q156" s="57"/>
      <c r="R156" s="57"/>
      <c r="S156" s="95"/>
      <c r="T156" s="88"/>
      <c r="U156" s="88"/>
      <c r="V156" s="88"/>
      <c r="W156" s="96"/>
      <c r="X156" s="97"/>
      <c r="Y156" s="97"/>
      <c r="Z156" s="98"/>
      <c r="AA156" s="99"/>
      <c r="AB156" s="98"/>
      <c r="AC156" s="88"/>
      <c r="AD156" s="98"/>
      <c r="AE156" s="64"/>
      <c r="AF156" s="67" t="str">
        <f t="shared" si="6"/>
        <v/>
      </c>
      <c r="AG156" s="58"/>
      <c r="AH156" s="68" t="str">
        <f t="shared" si="7"/>
        <v/>
      </c>
      <c r="AI156" s="53"/>
      <c r="AJ156" s="53"/>
      <c r="AK156" s="53"/>
      <c r="AL156" s="53"/>
      <c r="AM156" s="53"/>
      <c r="AN156" s="53"/>
      <c r="AO156" s="53"/>
      <c r="AP156" s="53"/>
      <c r="AQ156" s="53"/>
      <c r="AR156" s="53"/>
      <c r="AS156" s="53"/>
      <c r="AT156" s="53"/>
      <c r="AU156" s="53"/>
      <c r="AV156" s="58"/>
      <c r="AW156" s="58"/>
      <c r="AX156" s="58"/>
      <c r="AY156" s="53"/>
      <c r="AZ156" s="53"/>
      <c r="BA156" s="53"/>
      <c r="BB156" s="53"/>
      <c r="BC156" s="53"/>
      <c r="BD156" s="53"/>
      <c r="BE156" s="53"/>
      <c r="BF156" s="53"/>
      <c r="BG156" s="53"/>
      <c r="BH156" s="53"/>
      <c r="BI156" s="53"/>
      <c r="BJ156" s="53"/>
      <c r="BK156" s="53"/>
      <c r="BL156" s="53"/>
      <c r="BM156" s="53"/>
      <c r="BN156" s="53"/>
      <c r="BO156" s="65" t="str">
        <f t="shared" si="8"/>
        <v/>
      </c>
    </row>
    <row r="157" spans="1:67" ht="19.5" customHeight="1">
      <c r="A157" s="70" t="b">
        <v>0</v>
      </c>
      <c r="B157" s="71" t="b">
        <v>1</v>
      </c>
      <c r="C157" s="72" t="b">
        <v>0</v>
      </c>
      <c r="D157" s="72" t="b">
        <v>0</v>
      </c>
      <c r="E157" s="57"/>
      <c r="F157" s="59"/>
      <c r="G157" s="57"/>
      <c r="H157" s="88"/>
      <c r="I157" s="88"/>
      <c r="J157" s="88"/>
      <c r="K157" s="89" t="b">
        <v>1</v>
      </c>
      <c r="L157" s="60"/>
      <c r="M157" s="57"/>
      <c r="N157" s="57"/>
      <c r="O157" s="61"/>
      <c r="P157" s="60"/>
      <c r="Q157" s="57"/>
      <c r="R157" s="57"/>
      <c r="S157" s="95"/>
      <c r="T157" s="88"/>
      <c r="U157" s="88"/>
      <c r="V157" s="88"/>
      <c r="W157" s="96"/>
      <c r="X157" s="97"/>
      <c r="Y157" s="97"/>
      <c r="Z157" s="98"/>
      <c r="AA157" s="99"/>
      <c r="AB157" s="98"/>
      <c r="AC157" s="88"/>
      <c r="AD157" s="98"/>
      <c r="AE157" s="64"/>
      <c r="AF157" s="67" t="str">
        <f t="shared" si="6"/>
        <v/>
      </c>
      <c r="AG157" s="58"/>
      <c r="AH157" s="68" t="str">
        <f t="shared" si="7"/>
        <v/>
      </c>
      <c r="AI157" s="53"/>
      <c r="AJ157" s="53"/>
      <c r="AK157" s="53"/>
      <c r="AL157" s="53"/>
      <c r="AM157" s="53"/>
      <c r="AN157" s="53"/>
      <c r="AO157" s="53"/>
      <c r="AP157" s="53"/>
      <c r="AQ157" s="53"/>
      <c r="AR157" s="53"/>
      <c r="AS157" s="53"/>
      <c r="AT157" s="53"/>
      <c r="AU157" s="53"/>
      <c r="AV157" s="58"/>
      <c r="AW157" s="58"/>
      <c r="AX157" s="58"/>
      <c r="AY157" s="53"/>
      <c r="AZ157" s="53"/>
      <c r="BA157" s="53"/>
      <c r="BB157" s="53"/>
      <c r="BC157" s="53"/>
      <c r="BD157" s="53"/>
      <c r="BE157" s="53"/>
      <c r="BF157" s="53"/>
      <c r="BG157" s="53"/>
      <c r="BH157" s="53"/>
      <c r="BI157" s="53"/>
      <c r="BJ157" s="53"/>
      <c r="BK157" s="53"/>
      <c r="BL157" s="53"/>
      <c r="BM157" s="53"/>
      <c r="BN157" s="53"/>
      <c r="BO157" s="65" t="str">
        <f t="shared" si="8"/>
        <v/>
      </c>
    </row>
    <row r="158" spans="1:67" ht="19.5" customHeight="1">
      <c r="A158" s="70" t="b">
        <v>0</v>
      </c>
      <c r="B158" s="71" t="b">
        <v>1</v>
      </c>
      <c r="C158" s="72" t="b">
        <v>0</v>
      </c>
      <c r="D158" s="72" t="b">
        <v>0</v>
      </c>
      <c r="E158" s="57"/>
      <c r="F158" s="59"/>
      <c r="G158" s="57"/>
      <c r="H158" s="88"/>
      <c r="I158" s="88"/>
      <c r="J158" s="88"/>
      <c r="K158" s="89" t="b">
        <v>1</v>
      </c>
      <c r="L158" s="60"/>
      <c r="M158" s="57"/>
      <c r="N158" s="57"/>
      <c r="O158" s="61"/>
      <c r="P158" s="60"/>
      <c r="Q158" s="57"/>
      <c r="R158" s="57"/>
      <c r="S158" s="95"/>
      <c r="T158" s="88"/>
      <c r="U158" s="88"/>
      <c r="V158" s="88"/>
      <c r="W158" s="96"/>
      <c r="X158" s="97"/>
      <c r="Y158" s="97"/>
      <c r="Z158" s="98"/>
      <c r="AA158" s="99"/>
      <c r="AB158" s="98"/>
      <c r="AC158" s="88"/>
      <c r="AD158" s="98"/>
      <c r="AE158" s="64"/>
      <c r="AF158" s="67" t="str">
        <f t="shared" si="6"/>
        <v/>
      </c>
      <c r="AG158" s="58"/>
      <c r="AH158" s="68" t="str">
        <f t="shared" si="7"/>
        <v/>
      </c>
      <c r="AI158" s="53"/>
      <c r="AJ158" s="53"/>
      <c r="AK158" s="53"/>
      <c r="AL158" s="53"/>
      <c r="AM158" s="53"/>
      <c r="AN158" s="53"/>
      <c r="AO158" s="53"/>
      <c r="AP158" s="53"/>
      <c r="AQ158" s="53"/>
      <c r="AR158" s="53"/>
      <c r="AS158" s="53"/>
      <c r="AT158" s="53"/>
      <c r="AU158" s="53"/>
      <c r="AV158" s="58"/>
      <c r="AW158" s="58"/>
      <c r="AX158" s="58"/>
      <c r="AY158" s="53"/>
      <c r="AZ158" s="53"/>
      <c r="BA158" s="53"/>
      <c r="BB158" s="53"/>
      <c r="BC158" s="53"/>
      <c r="BD158" s="53"/>
      <c r="BE158" s="53"/>
      <c r="BF158" s="53"/>
      <c r="BG158" s="53"/>
      <c r="BH158" s="53"/>
      <c r="BI158" s="53"/>
      <c r="BJ158" s="53"/>
      <c r="BK158" s="53"/>
      <c r="BL158" s="53"/>
      <c r="BM158" s="53"/>
      <c r="BN158" s="53"/>
      <c r="BO158" s="65" t="str">
        <f t="shared" si="8"/>
        <v/>
      </c>
    </row>
    <row r="159" spans="1:67" ht="19.5" customHeight="1">
      <c r="A159" s="70" t="b">
        <v>0</v>
      </c>
      <c r="B159" s="71" t="b">
        <v>1</v>
      </c>
      <c r="C159" s="72" t="b">
        <v>0</v>
      </c>
      <c r="D159" s="72" t="b">
        <v>0</v>
      </c>
      <c r="E159" s="57"/>
      <c r="F159" s="59"/>
      <c r="G159" s="57"/>
      <c r="H159" s="88"/>
      <c r="I159" s="88"/>
      <c r="J159" s="88"/>
      <c r="K159" s="89" t="b">
        <v>1</v>
      </c>
      <c r="L159" s="60"/>
      <c r="M159" s="57"/>
      <c r="N159" s="57"/>
      <c r="O159" s="61"/>
      <c r="P159" s="60"/>
      <c r="Q159" s="57"/>
      <c r="R159" s="57"/>
      <c r="S159" s="95"/>
      <c r="T159" s="88"/>
      <c r="U159" s="88"/>
      <c r="V159" s="88"/>
      <c r="W159" s="96"/>
      <c r="X159" s="97"/>
      <c r="Y159" s="97"/>
      <c r="Z159" s="98"/>
      <c r="AA159" s="99"/>
      <c r="AB159" s="98"/>
      <c r="AC159" s="88"/>
      <c r="AD159" s="98"/>
      <c r="AE159" s="64"/>
      <c r="AF159" s="67" t="str">
        <f t="shared" si="6"/>
        <v/>
      </c>
      <c r="AG159" s="58"/>
      <c r="AH159" s="68" t="str">
        <f t="shared" si="7"/>
        <v/>
      </c>
      <c r="AI159" s="53"/>
      <c r="AJ159" s="53"/>
      <c r="AK159" s="53"/>
      <c r="AL159" s="53"/>
      <c r="AM159" s="53"/>
      <c r="AN159" s="53"/>
      <c r="AO159" s="53"/>
      <c r="AP159" s="53"/>
      <c r="AQ159" s="53"/>
      <c r="AR159" s="53"/>
      <c r="AS159" s="53"/>
      <c r="AT159" s="53"/>
      <c r="AU159" s="53"/>
      <c r="AV159" s="58"/>
      <c r="AW159" s="58"/>
      <c r="AX159" s="58"/>
      <c r="AY159" s="53"/>
      <c r="AZ159" s="53"/>
      <c r="BA159" s="53"/>
      <c r="BB159" s="53"/>
      <c r="BC159" s="53"/>
      <c r="BD159" s="53"/>
      <c r="BE159" s="53"/>
      <c r="BF159" s="53"/>
      <c r="BG159" s="53"/>
      <c r="BH159" s="53"/>
      <c r="BI159" s="53"/>
      <c r="BJ159" s="53"/>
      <c r="BK159" s="53"/>
      <c r="BL159" s="53"/>
      <c r="BM159" s="53"/>
      <c r="BN159" s="53"/>
      <c r="BO159" s="65" t="str">
        <f t="shared" si="8"/>
        <v/>
      </c>
    </row>
    <row r="160" spans="1:67" ht="19.5" customHeight="1">
      <c r="A160" s="70" t="b">
        <v>0</v>
      </c>
      <c r="B160" s="71" t="b">
        <v>1</v>
      </c>
      <c r="C160" s="72" t="b">
        <v>0</v>
      </c>
      <c r="D160" s="72" t="b">
        <v>0</v>
      </c>
      <c r="E160" s="57"/>
      <c r="F160" s="59"/>
      <c r="G160" s="57"/>
      <c r="H160" s="88"/>
      <c r="I160" s="88"/>
      <c r="J160" s="88"/>
      <c r="K160" s="89" t="b">
        <v>1</v>
      </c>
      <c r="L160" s="60"/>
      <c r="M160" s="57"/>
      <c r="N160" s="57"/>
      <c r="O160" s="61"/>
      <c r="P160" s="60"/>
      <c r="Q160" s="57"/>
      <c r="R160" s="57"/>
      <c r="S160" s="95"/>
      <c r="T160" s="88"/>
      <c r="U160" s="88"/>
      <c r="V160" s="88"/>
      <c r="W160" s="96"/>
      <c r="X160" s="97"/>
      <c r="Y160" s="97"/>
      <c r="Z160" s="98"/>
      <c r="AA160" s="99"/>
      <c r="AB160" s="98"/>
      <c r="AC160" s="88"/>
      <c r="AD160" s="98"/>
      <c r="AE160" s="64"/>
      <c r="AF160" s="67" t="str">
        <f t="shared" si="6"/>
        <v/>
      </c>
      <c r="AG160" s="58"/>
      <c r="AH160" s="68" t="str">
        <f t="shared" si="7"/>
        <v/>
      </c>
      <c r="AI160" s="53"/>
      <c r="AJ160" s="53"/>
      <c r="AK160" s="53"/>
      <c r="AL160" s="53"/>
      <c r="AM160" s="53"/>
      <c r="AN160" s="53"/>
      <c r="AO160" s="53"/>
      <c r="AP160" s="53"/>
      <c r="AQ160" s="53"/>
      <c r="AR160" s="53"/>
      <c r="AS160" s="53"/>
      <c r="AT160" s="53"/>
      <c r="AU160" s="53"/>
      <c r="AV160" s="58"/>
      <c r="AW160" s="58"/>
      <c r="AX160" s="58"/>
      <c r="AY160" s="53"/>
      <c r="AZ160" s="53"/>
      <c r="BA160" s="53"/>
      <c r="BB160" s="53"/>
      <c r="BC160" s="53"/>
      <c r="BD160" s="53"/>
      <c r="BE160" s="53"/>
      <c r="BF160" s="53"/>
      <c r="BG160" s="53"/>
      <c r="BH160" s="53"/>
      <c r="BI160" s="53"/>
      <c r="BJ160" s="53"/>
      <c r="BK160" s="53"/>
      <c r="BL160" s="53"/>
      <c r="BM160" s="53"/>
      <c r="BN160" s="53"/>
      <c r="BO160" s="65" t="str">
        <f t="shared" si="8"/>
        <v/>
      </c>
    </row>
    <row r="161" spans="1:67" ht="19.5" customHeight="1">
      <c r="A161" s="70" t="b">
        <v>0</v>
      </c>
      <c r="B161" s="71" t="b">
        <v>1</v>
      </c>
      <c r="C161" s="72" t="b">
        <v>0</v>
      </c>
      <c r="D161" s="72" t="b">
        <v>0</v>
      </c>
      <c r="E161" s="57"/>
      <c r="F161" s="59"/>
      <c r="G161" s="57"/>
      <c r="H161" s="88"/>
      <c r="I161" s="88"/>
      <c r="J161" s="88"/>
      <c r="K161" s="89" t="b">
        <v>1</v>
      </c>
      <c r="L161" s="60"/>
      <c r="M161" s="57"/>
      <c r="N161" s="57"/>
      <c r="O161" s="61"/>
      <c r="P161" s="60"/>
      <c r="Q161" s="57"/>
      <c r="R161" s="57"/>
      <c r="S161" s="95"/>
      <c r="T161" s="88"/>
      <c r="U161" s="88"/>
      <c r="V161" s="88"/>
      <c r="W161" s="96"/>
      <c r="X161" s="97"/>
      <c r="Y161" s="97"/>
      <c r="Z161" s="98"/>
      <c r="AA161" s="99"/>
      <c r="AB161" s="98"/>
      <c r="AC161" s="88"/>
      <c r="AD161" s="98"/>
      <c r="AE161" s="64"/>
      <c r="AF161" s="67" t="str">
        <f t="shared" si="6"/>
        <v/>
      </c>
      <c r="AG161" s="58"/>
      <c r="AH161" s="68" t="str">
        <f t="shared" si="7"/>
        <v/>
      </c>
      <c r="AI161" s="53"/>
      <c r="AJ161" s="53"/>
      <c r="AK161" s="53"/>
      <c r="AL161" s="53"/>
      <c r="AM161" s="53"/>
      <c r="AN161" s="53"/>
      <c r="AO161" s="53"/>
      <c r="AP161" s="53"/>
      <c r="AQ161" s="53"/>
      <c r="AR161" s="53"/>
      <c r="AS161" s="53"/>
      <c r="AT161" s="53"/>
      <c r="AU161" s="53"/>
      <c r="AV161" s="58"/>
      <c r="AW161" s="58"/>
      <c r="AX161" s="58"/>
      <c r="AY161" s="53"/>
      <c r="AZ161" s="53"/>
      <c r="BA161" s="53"/>
      <c r="BB161" s="53"/>
      <c r="BC161" s="53"/>
      <c r="BD161" s="53"/>
      <c r="BE161" s="53"/>
      <c r="BF161" s="53"/>
      <c r="BG161" s="53"/>
      <c r="BH161" s="53"/>
      <c r="BI161" s="53"/>
      <c r="BJ161" s="53"/>
      <c r="BK161" s="53"/>
      <c r="BL161" s="53"/>
      <c r="BM161" s="53"/>
      <c r="BN161" s="53"/>
      <c r="BO161" s="65" t="str">
        <f t="shared" si="8"/>
        <v/>
      </c>
    </row>
    <row r="162" spans="1:67" ht="19.5" customHeight="1">
      <c r="A162" s="70" t="b">
        <v>0</v>
      </c>
      <c r="B162" s="71" t="b">
        <v>1</v>
      </c>
      <c r="C162" s="72" t="b">
        <v>0</v>
      </c>
      <c r="D162" s="72" t="b">
        <v>0</v>
      </c>
      <c r="E162" s="57"/>
      <c r="F162" s="59"/>
      <c r="G162" s="57"/>
      <c r="H162" s="88"/>
      <c r="I162" s="88"/>
      <c r="J162" s="88"/>
      <c r="K162" s="89" t="b">
        <v>1</v>
      </c>
      <c r="L162" s="60"/>
      <c r="M162" s="57"/>
      <c r="N162" s="57"/>
      <c r="O162" s="61"/>
      <c r="P162" s="60"/>
      <c r="Q162" s="57"/>
      <c r="R162" s="57"/>
      <c r="S162" s="95"/>
      <c r="T162" s="88"/>
      <c r="U162" s="88"/>
      <c r="V162" s="88"/>
      <c r="W162" s="96"/>
      <c r="X162" s="97"/>
      <c r="Y162" s="97"/>
      <c r="Z162" s="98"/>
      <c r="AA162" s="99"/>
      <c r="AB162" s="98"/>
      <c r="AC162" s="88"/>
      <c r="AD162" s="98"/>
      <c r="AE162" s="64"/>
      <c r="AF162" s="67" t="str">
        <f t="shared" si="6"/>
        <v/>
      </c>
      <c r="AG162" s="58"/>
      <c r="AH162" s="68" t="str">
        <f t="shared" si="7"/>
        <v/>
      </c>
      <c r="AI162" s="53"/>
      <c r="AJ162" s="53"/>
      <c r="AK162" s="53"/>
      <c r="AL162" s="53"/>
      <c r="AM162" s="53"/>
      <c r="AN162" s="53"/>
      <c r="AO162" s="53"/>
      <c r="AP162" s="53"/>
      <c r="AQ162" s="53"/>
      <c r="AR162" s="53"/>
      <c r="AS162" s="53"/>
      <c r="AT162" s="53"/>
      <c r="AU162" s="53"/>
      <c r="AV162" s="58"/>
      <c r="AW162" s="58"/>
      <c r="AX162" s="58"/>
      <c r="AY162" s="53"/>
      <c r="AZ162" s="53"/>
      <c r="BA162" s="53"/>
      <c r="BB162" s="53"/>
      <c r="BC162" s="53"/>
      <c r="BD162" s="53"/>
      <c r="BE162" s="53"/>
      <c r="BF162" s="53"/>
      <c r="BG162" s="53"/>
      <c r="BH162" s="53"/>
      <c r="BI162" s="53"/>
      <c r="BJ162" s="53"/>
      <c r="BK162" s="53"/>
      <c r="BL162" s="53"/>
      <c r="BM162" s="53"/>
      <c r="BN162" s="53"/>
      <c r="BO162" s="65" t="str">
        <f t="shared" si="8"/>
        <v/>
      </c>
    </row>
    <row r="163" spans="1:67" ht="19.5" customHeight="1">
      <c r="A163" s="70" t="b">
        <v>0</v>
      </c>
      <c r="B163" s="71" t="b">
        <v>1</v>
      </c>
      <c r="C163" s="72" t="b">
        <v>0</v>
      </c>
      <c r="D163" s="72" t="b">
        <v>0</v>
      </c>
      <c r="E163" s="57"/>
      <c r="F163" s="59"/>
      <c r="G163" s="57"/>
      <c r="H163" s="88"/>
      <c r="I163" s="88"/>
      <c r="J163" s="88"/>
      <c r="K163" s="89" t="b">
        <v>1</v>
      </c>
      <c r="L163" s="60"/>
      <c r="M163" s="57"/>
      <c r="N163" s="57"/>
      <c r="O163" s="61"/>
      <c r="P163" s="60"/>
      <c r="Q163" s="57"/>
      <c r="R163" s="57"/>
      <c r="S163" s="95"/>
      <c r="T163" s="88"/>
      <c r="U163" s="88"/>
      <c r="V163" s="88"/>
      <c r="W163" s="96"/>
      <c r="X163" s="97"/>
      <c r="Y163" s="97"/>
      <c r="Z163" s="98"/>
      <c r="AA163" s="99"/>
      <c r="AB163" s="98"/>
      <c r="AC163" s="88"/>
      <c r="AD163" s="98"/>
      <c r="AE163" s="64"/>
      <c r="AF163" s="67" t="str">
        <f t="shared" si="6"/>
        <v/>
      </c>
      <c r="AG163" s="58"/>
      <c r="AH163" s="68" t="str">
        <f t="shared" si="7"/>
        <v/>
      </c>
      <c r="AI163" s="53"/>
      <c r="AJ163" s="53"/>
      <c r="AK163" s="53"/>
      <c r="AL163" s="53"/>
      <c r="AM163" s="53"/>
      <c r="AN163" s="53"/>
      <c r="AO163" s="53"/>
      <c r="AP163" s="53"/>
      <c r="AQ163" s="53"/>
      <c r="AR163" s="53"/>
      <c r="AS163" s="53"/>
      <c r="AT163" s="53"/>
      <c r="AU163" s="53"/>
      <c r="AV163" s="58"/>
      <c r="AW163" s="58"/>
      <c r="AX163" s="58"/>
      <c r="AY163" s="53"/>
      <c r="AZ163" s="53"/>
      <c r="BA163" s="53"/>
      <c r="BB163" s="53"/>
      <c r="BC163" s="53"/>
      <c r="BD163" s="53"/>
      <c r="BE163" s="53"/>
      <c r="BF163" s="53"/>
      <c r="BG163" s="53"/>
      <c r="BH163" s="53"/>
      <c r="BI163" s="53"/>
      <c r="BJ163" s="53"/>
      <c r="BK163" s="53"/>
      <c r="BL163" s="53"/>
      <c r="BM163" s="53"/>
      <c r="BN163" s="53"/>
      <c r="BO163" s="65" t="str">
        <f t="shared" si="8"/>
        <v/>
      </c>
    </row>
    <row r="164" spans="1:67" ht="19.5" customHeight="1">
      <c r="A164" s="70" t="b">
        <v>0</v>
      </c>
      <c r="B164" s="71" t="b">
        <v>1</v>
      </c>
      <c r="C164" s="72" t="b">
        <v>0</v>
      </c>
      <c r="D164" s="72" t="b">
        <v>0</v>
      </c>
      <c r="E164" s="57"/>
      <c r="F164" s="59"/>
      <c r="G164" s="57"/>
      <c r="H164" s="88"/>
      <c r="I164" s="88"/>
      <c r="J164" s="88"/>
      <c r="K164" s="89" t="b">
        <v>1</v>
      </c>
      <c r="L164" s="60"/>
      <c r="M164" s="57"/>
      <c r="N164" s="57"/>
      <c r="O164" s="61"/>
      <c r="P164" s="60"/>
      <c r="Q164" s="57"/>
      <c r="R164" s="57"/>
      <c r="S164" s="95"/>
      <c r="T164" s="88"/>
      <c r="U164" s="88"/>
      <c r="V164" s="88"/>
      <c r="W164" s="96"/>
      <c r="X164" s="97"/>
      <c r="Y164" s="97"/>
      <c r="Z164" s="98"/>
      <c r="AA164" s="99"/>
      <c r="AB164" s="98"/>
      <c r="AC164" s="88"/>
      <c r="AD164" s="98"/>
      <c r="AE164" s="64"/>
      <c r="AF164" s="67" t="str">
        <f t="shared" si="6"/>
        <v/>
      </c>
      <c r="AG164" s="58"/>
      <c r="AH164" s="68" t="str">
        <f t="shared" si="7"/>
        <v/>
      </c>
      <c r="AI164" s="53"/>
      <c r="AJ164" s="53"/>
      <c r="AK164" s="53"/>
      <c r="AL164" s="53"/>
      <c r="AM164" s="53"/>
      <c r="AN164" s="53"/>
      <c r="AO164" s="53"/>
      <c r="AP164" s="53"/>
      <c r="AQ164" s="53"/>
      <c r="AR164" s="53"/>
      <c r="AS164" s="53"/>
      <c r="AT164" s="53"/>
      <c r="AU164" s="53"/>
      <c r="AV164" s="58"/>
      <c r="AW164" s="58"/>
      <c r="AX164" s="58"/>
      <c r="AY164" s="53"/>
      <c r="AZ164" s="53"/>
      <c r="BA164" s="53"/>
      <c r="BB164" s="53"/>
      <c r="BC164" s="53"/>
      <c r="BD164" s="53"/>
      <c r="BE164" s="53"/>
      <c r="BF164" s="53"/>
      <c r="BG164" s="53"/>
      <c r="BH164" s="53"/>
      <c r="BI164" s="53"/>
      <c r="BJ164" s="53"/>
      <c r="BK164" s="53"/>
      <c r="BL164" s="53"/>
      <c r="BM164" s="53"/>
      <c r="BN164" s="53"/>
      <c r="BO164" s="65" t="str">
        <f t="shared" si="8"/>
        <v/>
      </c>
    </row>
    <row r="165" spans="1:67" ht="19.5" customHeight="1">
      <c r="A165" s="70" t="b">
        <v>0</v>
      </c>
      <c r="B165" s="71" t="b">
        <v>1</v>
      </c>
      <c r="C165" s="72" t="b">
        <v>0</v>
      </c>
      <c r="D165" s="72" t="b">
        <v>0</v>
      </c>
      <c r="E165" s="57"/>
      <c r="F165" s="59"/>
      <c r="G165" s="57"/>
      <c r="H165" s="88"/>
      <c r="I165" s="88"/>
      <c r="J165" s="88"/>
      <c r="K165" s="89" t="b">
        <v>1</v>
      </c>
      <c r="L165" s="60"/>
      <c r="M165" s="57"/>
      <c r="N165" s="57"/>
      <c r="O165" s="61"/>
      <c r="P165" s="60"/>
      <c r="Q165" s="57"/>
      <c r="R165" s="57"/>
      <c r="S165" s="95"/>
      <c r="T165" s="88"/>
      <c r="U165" s="88"/>
      <c r="V165" s="88"/>
      <c r="W165" s="96"/>
      <c r="X165" s="97"/>
      <c r="Y165" s="97"/>
      <c r="Z165" s="98"/>
      <c r="AA165" s="99"/>
      <c r="AB165" s="98"/>
      <c r="AC165" s="88"/>
      <c r="AD165" s="98"/>
      <c r="AE165" s="64"/>
      <c r="AF165" s="67" t="str">
        <f t="shared" si="6"/>
        <v/>
      </c>
      <c r="AG165" s="58"/>
      <c r="AH165" s="68" t="str">
        <f t="shared" si="7"/>
        <v/>
      </c>
      <c r="AI165" s="53"/>
      <c r="AJ165" s="53"/>
      <c r="AK165" s="53"/>
      <c r="AL165" s="53"/>
      <c r="AM165" s="53"/>
      <c r="AN165" s="53"/>
      <c r="AO165" s="53"/>
      <c r="AP165" s="53"/>
      <c r="AQ165" s="53"/>
      <c r="AR165" s="53"/>
      <c r="AS165" s="53"/>
      <c r="AT165" s="53"/>
      <c r="AU165" s="53"/>
      <c r="AV165" s="58"/>
      <c r="AW165" s="58"/>
      <c r="AX165" s="58"/>
      <c r="AY165" s="53"/>
      <c r="AZ165" s="53"/>
      <c r="BA165" s="53"/>
      <c r="BB165" s="53"/>
      <c r="BC165" s="53"/>
      <c r="BD165" s="53"/>
      <c r="BE165" s="53"/>
      <c r="BF165" s="53"/>
      <c r="BG165" s="53"/>
      <c r="BH165" s="53"/>
      <c r="BI165" s="53"/>
      <c r="BJ165" s="53"/>
      <c r="BK165" s="53"/>
      <c r="BL165" s="53"/>
      <c r="BM165" s="53"/>
      <c r="BN165" s="53"/>
      <c r="BO165" s="65" t="str">
        <f t="shared" si="8"/>
        <v/>
      </c>
    </row>
    <row r="166" spans="1:67" ht="19.5" customHeight="1">
      <c r="A166" s="70" t="b">
        <v>0</v>
      </c>
      <c r="B166" s="71" t="b">
        <v>1</v>
      </c>
      <c r="C166" s="72" t="b">
        <v>0</v>
      </c>
      <c r="D166" s="72" t="b">
        <v>0</v>
      </c>
      <c r="E166" s="57"/>
      <c r="F166" s="59"/>
      <c r="G166" s="57"/>
      <c r="H166" s="88"/>
      <c r="I166" s="88"/>
      <c r="J166" s="88"/>
      <c r="K166" s="89" t="b">
        <v>1</v>
      </c>
      <c r="L166" s="60"/>
      <c r="M166" s="57"/>
      <c r="N166" s="57"/>
      <c r="O166" s="61"/>
      <c r="P166" s="60"/>
      <c r="Q166" s="57"/>
      <c r="R166" s="57"/>
      <c r="S166" s="95"/>
      <c r="T166" s="88"/>
      <c r="U166" s="88"/>
      <c r="V166" s="88"/>
      <c r="W166" s="96"/>
      <c r="X166" s="97"/>
      <c r="Y166" s="97"/>
      <c r="Z166" s="98"/>
      <c r="AA166" s="99"/>
      <c r="AB166" s="98"/>
      <c r="AC166" s="88"/>
      <c r="AD166" s="98"/>
      <c r="AE166" s="64"/>
      <c r="AF166" s="67" t="str">
        <f t="shared" si="6"/>
        <v/>
      </c>
      <c r="AG166" s="58"/>
      <c r="AH166" s="68" t="str">
        <f t="shared" si="7"/>
        <v/>
      </c>
      <c r="AI166" s="53"/>
      <c r="AJ166" s="53"/>
      <c r="AK166" s="53"/>
      <c r="AL166" s="53"/>
      <c r="AM166" s="53"/>
      <c r="AN166" s="53"/>
      <c r="AO166" s="53"/>
      <c r="AP166" s="53"/>
      <c r="AQ166" s="53"/>
      <c r="AR166" s="53"/>
      <c r="AS166" s="53"/>
      <c r="AT166" s="53"/>
      <c r="AU166" s="53"/>
      <c r="AV166" s="58"/>
      <c r="AW166" s="58"/>
      <c r="AX166" s="58"/>
      <c r="AY166" s="53"/>
      <c r="AZ166" s="53"/>
      <c r="BA166" s="53"/>
      <c r="BB166" s="53"/>
      <c r="BC166" s="53"/>
      <c r="BD166" s="53"/>
      <c r="BE166" s="53"/>
      <c r="BF166" s="53"/>
      <c r="BG166" s="53"/>
      <c r="BH166" s="53"/>
      <c r="BI166" s="53"/>
      <c r="BJ166" s="53"/>
      <c r="BK166" s="53"/>
      <c r="BL166" s="53"/>
      <c r="BM166" s="53"/>
      <c r="BN166" s="53"/>
      <c r="BO166" s="65" t="str">
        <f t="shared" si="8"/>
        <v/>
      </c>
    </row>
    <row r="167" spans="1:67" ht="19.5" customHeight="1">
      <c r="A167" s="70" t="b">
        <v>0</v>
      </c>
      <c r="B167" s="71" t="b">
        <v>1</v>
      </c>
      <c r="C167" s="72" t="b">
        <v>0</v>
      </c>
      <c r="D167" s="72" t="b">
        <v>0</v>
      </c>
      <c r="E167" s="57"/>
      <c r="F167" s="59"/>
      <c r="G167" s="57"/>
      <c r="H167" s="88"/>
      <c r="I167" s="88"/>
      <c r="J167" s="88"/>
      <c r="K167" s="89" t="b">
        <v>1</v>
      </c>
      <c r="L167" s="60"/>
      <c r="M167" s="57"/>
      <c r="N167" s="57"/>
      <c r="O167" s="61"/>
      <c r="P167" s="60"/>
      <c r="Q167" s="57"/>
      <c r="R167" s="57"/>
      <c r="S167" s="95"/>
      <c r="T167" s="88"/>
      <c r="U167" s="88"/>
      <c r="V167" s="88"/>
      <c r="W167" s="96"/>
      <c r="X167" s="97"/>
      <c r="Y167" s="97"/>
      <c r="Z167" s="98"/>
      <c r="AA167" s="99"/>
      <c r="AB167" s="98"/>
      <c r="AC167" s="88"/>
      <c r="AD167" s="98"/>
      <c r="AE167" s="64"/>
      <c r="AF167" s="67" t="str">
        <f t="shared" si="6"/>
        <v/>
      </c>
      <c r="AG167" s="58"/>
      <c r="AH167" s="68" t="str">
        <f t="shared" si="7"/>
        <v/>
      </c>
      <c r="AI167" s="53"/>
      <c r="AJ167" s="53"/>
      <c r="AK167" s="53"/>
      <c r="AL167" s="53"/>
      <c r="AM167" s="53"/>
      <c r="AN167" s="53"/>
      <c r="AO167" s="53"/>
      <c r="AP167" s="53"/>
      <c r="AQ167" s="53"/>
      <c r="AR167" s="53"/>
      <c r="AS167" s="53"/>
      <c r="AT167" s="53"/>
      <c r="AU167" s="53"/>
      <c r="AV167" s="58"/>
      <c r="AW167" s="58"/>
      <c r="AX167" s="58"/>
      <c r="AY167" s="53"/>
      <c r="AZ167" s="53"/>
      <c r="BA167" s="53"/>
      <c r="BB167" s="53"/>
      <c r="BC167" s="53"/>
      <c r="BD167" s="53"/>
      <c r="BE167" s="53"/>
      <c r="BF167" s="53"/>
      <c r="BG167" s="53"/>
      <c r="BH167" s="53"/>
      <c r="BI167" s="53"/>
      <c r="BJ167" s="53"/>
      <c r="BK167" s="53"/>
      <c r="BL167" s="53"/>
      <c r="BM167" s="53"/>
      <c r="BN167" s="53"/>
      <c r="BO167" s="65" t="str">
        <f t="shared" si="8"/>
        <v/>
      </c>
    </row>
    <row r="168" spans="1:67" ht="19.5" customHeight="1">
      <c r="A168" s="70" t="b">
        <v>0</v>
      </c>
      <c r="B168" s="71" t="b">
        <v>1</v>
      </c>
      <c r="C168" s="72" t="b">
        <v>0</v>
      </c>
      <c r="D168" s="72" t="b">
        <v>0</v>
      </c>
      <c r="E168" s="57"/>
      <c r="F168" s="59"/>
      <c r="G168" s="57"/>
      <c r="H168" s="88"/>
      <c r="I168" s="88"/>
      <c r="J168" s="88"/>
      <c r="K168" s="89" t="b">
        <v>1</v>
      </c>
      <c r="L168" s="60"/>
      <c r="M168" s="57"/>
      <c r="N168" s="57"/>
      <c r="O168" s="61"/>
      <c r="P168" s="60"/>
      <c r="Q168" s="57"/>
      <c r="R168" s="57"/>
      <c r="S168" s="95"/>
      <c r="T168" s="88"/>
      <c r="U168" s="88"/>
      <c r="V168" s="88"/>
      <c r="W168" s="96"/>
      <c r="X168" s="97"/>
      <c r="Y168" s="97"/>
      <c r="Z168" s="98"/>
      <c r="AA168" s="99"/>
      <c r="AB168" s="98"/>
      <c r="AC168" s="88"/>
      <c r="AD168" s="98"/>
      <c r="AE168" s="64"/>
      <c r="AF168" s="67" t="str">
        <f t="shared" si="6"/>
        <v/>
      </c>
      <c r="AG168" s="58"/>
      <c r="AH168" s="68" t="str">
        <f t="shared" si="7"/>
        <v/>
      </c>
      <c r="AI168" s="53"/>
      <c r="AJ168" s="53"/>
      <c r="AK168" s="53"/>
      <c r="AL168" s="53"/>
      <c r="AM168" s="53"/>
      <c r="AN168" s="53"/>
      <c r="AO168" s="53"/>
      <c r="AP168" s="53"/>
      <c r="AQ168" s="53"/>
      <c r="AR168" s="53"/>
      <c r="AS168" s="53"/>
      <c r="AT168" s="53"/>
      <c r="AU168" s="53"/>
      <c r="AV168" s="58"/>
      <c r="AW168" s="58"/>
      <c r="AX168" s="58"/>
      <c r="AY168" s="53"/>
      <c r="AZ168" s="53"/>
      <c r="BA168" s="53"/>
      <c r="BB168" s="53"/>
      <c r="BC168" s="53"/>
      <c r="BD168" s="53"/>
      <c r="BE168" s="53"/>
      <c r="BF168" s="53"/>
      <c r="BG168" s="53"/>
      <c r="BH168" s="53"/>
      <c r="BI168" s="53"/>
      <c r="BJ168" s="53"/>
      <c r="BK168" s="53"/>
      <c r="BL168" s="53"/>
      <c r="BM168" s="53"/>
      <c r="BN168" s="53"/>
      <c r="BO168" s="65" t="str">
        <f t="shared" si="8"/>
        <v/>
      </c>
    </row>
    <row r="169" spans="1:67" ht="19.5" customHeight="1">
      <c r="A169" s="70" t="b">
        <v>0</v>
      </c>
      <c r="B169" s="71" t="b">
        <v>1</v>
      </c>
      <c r="C169" s="72" t="b">
        <v>0</v>
      </c>
      <c r="D169" s="72" t="b">
        <v>0</v>
      </c>
      <c r="E169" s="57"/>
      <c r="F169" s="59"/>
      <c r="G169" s="57"/>
      <c r="H169" s="88"/>
      <c r="I169" s="88"/>
      <c r="J169" s="88"/>
      <c r="K169" s="89" t="b">
        <v>1</v>
      </c>
      <c r="L169" s="60"/>
      <c r="M169" s="57"/>
      <c r="N169" s="57"/>
      <c r="O169" s="61"/>
      <c r="P169" s="60"/>
      <c r="Q169" s="57"/>
      <c r="R169" s="57"/>
      <c r="S169" s="95"/>
      <c r="T169" s="88"/>
      <c r="U169" s="88"/>
      <c r="V169" s="88"/>
      <c r="W169" s="96"/>
      <c r="X169" s="97"/>
      <c r="Y169" s="97"/>
      <c r="Z169" s="98"/>
      <c r="AA169" s="99"/>
      <c r="AB169" s="98"/>
      <c r="AC169" s="88"/>
      <c r="AD169" s="98"/>
      <c r="AE169" s="64"/>
      <c r="AF169" s="67" t="str">
        <f t="shared" si="6"/>
        <v/>
      </c>
      <c r="AG169" s="58"/>
      <c r="AH169" s="68" t="str">
        <f t="shared" si="7"/>
        <v/>
      </c>
      <c r="AI169" s="53"/>
      <c r="AJ169" s="53"/>
      <c r="AK169" s="53"/>
      <c r="AL169" s="53"/>
      <c r="AM169" s="53"/>
      <c r="AN169" s="53"/>
      <c r="AO169" s="53"/>
      <c r="AP169" s="53"/>
      <c r="AQ169" s="53"/>
      <c r="AR169" s="53"/>
      <c r="AS169" s="53"/>
      <c r="AT169" s="53"/>
      <c r="AU169" s="53"/>
      <c r="AV169" s="58"/>
      <c r="AW169" s="58"/>
      <c r="AX169" s="58"/>
      <c r="AY169" s="53"/>
      <c r="AZ169" s="53"/>
      <c r="BA169" s="53"/>
      <c r="BB169" s="53"/>
      <c r="BC169" s="53"/>
      <c r="BD169" s="53"/>
      <c r="BE169" s="53"/>
      <c r="BF169" s="53"/>
      <c r="BG169" s="53"/>
      <c r="BH169" s="53"/>
      <c r="BI169" s="53"/>
      <c r="BJ169" s="53"/>
      <c r="BK169" s="53"/>
      <c r="BL169" s="53"/>
      <c r="BM169" s="53"/>
      <c r="BN169" s="53"/>
      <c r="BO169" s="65" t="str">
        <f t="shared" si="8"/>
        <v/>
      </c>
    </row>
    <row r="170" spans="1:67" ht="19.5" customHeight="1">
      <c r="A170" s="70" t="b">
        <v>0</v>
      </c>
      <c r="B170" s="71" t="b">
        <v>1</v>
      </c>
      <c r="C170" s="72" t="b">
        <v>0</v>
      </c>
      <c r="D170" s="72" t="b">
        <v>0</v>
      </c>
      <c r="E170" s="57"/>
      <c r="F170" s="59"/>
      <c r="G170" s="57"/>
      <c r="H170" s="88"/>
      <c r="I170" s="88"/>
      <c r="J170" s="88"/>
      <c r="K170" s="89" t="b">
        <v>1</v>
      </c>
      <c r="L170" s="60"/>
      <c r="M170" s="57"/>
      <c r="N170" s="57"/>
      <c r="O170" s="61"/>
      <c r="P170" s="60"/>
      <c r="Q170" s="57"/>
      <c r="R170" s="57"/>
      <c r="S170" s="95"/>
      <c r="T170" s="88"/>
      <c r="U170" s="88"/>
      <c r="V170" s="88"/>
      <c r="W170" s="96"/>
      <c r="X170" s="97"/>
      <c r="Y170" s="97"/>
      <c r="Z170" s="98"/>
      <c r="AA170" s="99"/>
      <c r="AB170" s="98"/>
      <c r="AC170" s="88"/>
      <c r="AD170" s="98"/>
      <c r="AE170" s="64"/>
      <c r="AF170" s="67" t="str">
        <f t="shared" si="6"/>
        <v/>
      </c>
      <c r="AG170" s="58"/>
      <c r="AH170" s="68" t="str">
        <f t="shared" si="7"/>
        <v/>
      </c>
      <c r="AI170" s="53"/>
      <c r="AJ170" s="53"/>
      <c r="AK170" s="53"/>
      <c r="AL170" s="53"/>
      <c r="AM170" s="53"/>
      <c r="AN170" s="53"/>
      <c r="AO170" s="53"/>
      <c r="AP170" s="53"/>
      <c r="AQ170" s="53"/>
      <c r="AR170" s="53"/>
      <c r="AS170" s="53"/>
      <c r="AT170" s="53"/>
      <c r="AU170" s="53"/>
      <c r="AV170" s="58"/>
      <c r="AW170" s="58"/>
      <c r="AX170" s="58"/>
      <c r="AY170" s="53"/>
      <c r="AZ170" s="53"/>
      <c r="BA170" s="53"/>
      <c r="BB170" s="53"/>
      <c r="BC170" s="53"/>
      <c r="BD170" s="53"/>
      <c r="BE170" s="53"/>
      <c r="BF170" s="53"/>
      <c r="BG170" s="53"/>
      <c r="BH170" s="53"/>
      <c r="BI170" s="53"/>
      <c r="BJ170" s="53"/>
      <c r="BK170" s="53"/>
      <c r="BL170" s="53"/>
      <c r="BM170" s="53"/>
      <c r="BN170" s="53"/>
      <c r="BO170" s="65" t="str">
        <f t="shared" si="8"/>
        <v/>
      </c>
    </row>
    <row r="171" spans="1:67" ht="19.5" customHeight="1">
      <c r="A171" s="70" t="b">
        <v>0</v>
      </c>
      <c r="B171" s="71" t="b">
        <v>1</v>
      </c>
      <c r="C171" s="72" t="b">
        <v>0</v>
      </c>
      <c r="D171" s="72" t="b">
        <v>0</v>
      </c>
      <c r="E171" s="57"/>
      <c r="F171" s="59"/>
      <c r="G171" s="57"/>
      <c r="H171" s="88"/>
      <c r="I171" s="88"/>
      <c r="J171" s="88"/>
      <c r="K171" s="89" t="b">
        <v>1</v>
      </c>
      <c r="L171" s="60"/>
      <c r="M171" s="57"/>
      <c r="N171" s="57"/>
      <c r="O171" s="61"/>
      <c r="P171" s="60"/>
      <c r="Q171" s="57"/>
      <c r="R171" s="57"/>
      <c r="S171" s="95"/>
      <c r="T171" s="88"/>
      <c r="U171" s="88"/>
      <c r="V171" s="88"/>
      <c r="W171" s="96"/>
      <c r="X171" s="97"/>
      <c r="Y171" s="97"/>
      <c r="Z171" s="98"/>
      <c r="AA171" s="99"/>
      <c r="AB171" s="98"/>
      <c r="AC171" s="88"/>
      <c r="AD171" s="98"/>
      <c r="AE171" s="64"/>
      <c r="AF171" s="67" t="str">
        <f t="shared" si="6"/>
        <v/>
      </c>
      <c r="AG171" s="58"/>
      <c r="AH171" s="68" t="str">
        <f t="shared" si="7"/>
        <v/>
      </c>
      <c r="AI171" s="53"/>
      <c r="AJ171" s="53"/>
      <c r="AK171" s="53"/>
      <c r="AL171" s="53"/>
      <c r="AM171" s="53"/>
      <c r="AN171" s="53"/>
      <c r="AO171" s="53"/>
      <c r="AP171" s="53"/>
      <c r="AQ171" s="53"/>
      <c r="AR171" s="53"/>
      <c r="AS171" s="53"/>
      <c r="AT171" s="53"/>
      <c r="AU171" s="53"/>
      <c r="AV171" s="58"/>
      <c r="AW171" s="58"/>
      <c r="AX171" s="58"/>
      <c r="AY171" s="53"/>
      <c r="AZ171" s="53"/>
      <c r="BA171" s="53"/>
      <c r="BB171" s="53"/>
      <c r="BC171" s="53"/>
      <c r="BD171" s="53"/>
      <c r="BE171" s="53"/>
      <c r="BF171" s="53"/>
      <c r="BG171" s="53"/>
      <c r="BH171" s="53"/>
      <c r="BI171" s="53"/>
      <c r="BJ171" s="53"/>
      <c r="BK171" s="53"/>
      <c r="BL171" s="53"/>
      <c r="BM171" s="53"/>
      <c r="BN171" s="53"/>
      <c r="BO171" s="65" t="str">
        <f t="shared" si="8"/>
        <v/>
      </c>
    </row>
    <row r="172" spans="1:67" ht="19.5" customHeight="1">
      <c r="A172" s="70" t="b">
        <v>0</v>
      </c>
      <c r="B172" s="71" t="b">
        <v>1</v>
      </c>
      <c r="C172" s="72" t="b">
        <v>0</v>
      </c>
      <c r="D172" s="72" t="b">
        <v>0</v>
      </c>
      <c r="E172" s="57"/>
      <c r="F172" s="59"/>
      <c r="G172" s="57"/>
      <c r="H172" s="88"/>
      <c r="I172" s="88"/>
      <c r="J172" s="88"/>
      <c r="K172" s="89" t="b">
        <v>1</v>
      </c>
      <c r="L172" s="60"/>
      <c r="M172" s="57"/>
      <c r="N172" s="57"/>
      <c r="O172" s="61"/>
      <c r="P172" s="60"/>
      <c r="Q172" s="57"/>
      <c r="R172" s="57"/>
      <c r="S172" s="95"/>
      <c r="T172" s="88"/>
      <c r="U172" s="88"/>
      <c r="V172" s="88"/>
      <c r="W172" s="96"/>
      <c r="X172" s="97"/>
      <c r="Y172" s="97"/>
      <c r="Z172" s="98"/>
      <c r="AA172" s="99"/>
      <c r="AB172" s="98"/>
      <c r="AC172" s="88"/>
      <c r="AD172" s="98"/>
      <c r="AE172" s="64"/>
      <c r="AF172" s="67" t="str">
        <f t="shared" si="6"/>
        <v/>
      </c>
      <c r="AG172" s="58"/>
      <c r="AH172" s="68" t="str">
        <f t="shared" si="7"/>
        <v/>
      </c>
      <c r="AI172" s="53"/>
      <c r="AJ172" s="53"/>
      <c r="AK172" s="53"/>
      <c r="AL172" s="53"/>
      <c r="AM172" s="53"/>
      <c r="AN172" s="53"/>
      <c r="AO172" s="53"/>
      <c r="AP172" s="53"/>
      <c r="AQ172" s="53"/>
      <c r="AR172" s="53"/>
      <c r="AS172" s="53"/>
      <c r="AT172" s="53"/>
      <c r="AU172" s="53"/>
      <c r="AV172" s="58"/>
      <c r="AW172" s="58"/>
      <c r="AX172" s="58"/>
      <c r="AY172" s="53"/>
      <c r="AZ172" s="53"/>
      <c r="BA172" s="53"/>
      <c r="BB172" s="53"/>
      <c r="BC172" s="53"/>
      <c r="BD172" s="53"/>
      <c r="BE172" s="53"/>
      <c r="BF172" s="53"/>
      <c r="BG172" s="53"/>
      <c r="BH172" s="53"/>
      <c r="BI172" s="53"/>
      <c r="BJ172" s="53"/>
      <c r="BK172" s="53"/>
      <c r="BL172" s="53"/>
      <c r="BM172" s="53"/>
      <c r="BN172" s="53"/>
      <c r="BO172" s="65" t="str">
        <f t="shared" si="8"/>
        <v/>
      </c>
    </row>
    <row r="173" spans="1:67" ht="19.5" customHeight="1">
      <c r="A173" s="70" t="b">
        <v>0</v>
      </c>
      <c r="B173" s="71" t="b">
        <v>1</v>
      </c>
      <c r="C173" s="72" t="b">
        <v>0</v>
      </c>
      <c r="D173" s="72" t="b">
        <v>0</v>
      </c>
      <c r="E173" s="57"/>
      <c r="F173" s="59"/>
      <c r="G173" s="57"/>
      <c r="H173" s="88"/>
      <c r="I173" s="88"/>
      <c r="J173" s="88"/>
      <c r="K173" s="89" t="b">
        <v>1</v>
      </c>
      <c r="L173" s="60"/>
      <c r="M173" s="57"/>
      <c r="N173" s="57"/>
      <c r="O173" s="61"/>
      <c r="P173" s="60"/>
      <c r="Q173" s="57"/>
      <c r="R173" s="57"/>
      <c r="S173" s="95"/>
      <c r="T173" s="88"/>
      <c r="U173" s="88"/>
      <c r="V173" s="88"/>
      <c r="W173" s="96"/>
      <c r="X173" s="97"/>
      <c r="Y173" s="97"/>
      <c r="Z173" s="98"/>
      <c r="AA173" s="99"/>
      <c r="AB173" s="98"/>
      <c r="AC173" s="88"/>
      <c r="AD173" s="98"/>
      <c r="AE173" s="64"/>
      <c r="AF173" s="67" t="str">
        <f t="shared" si="6"/>
        <v/>
      </c>
      <c r="AG173" s="58"/>
      <c r="AH173" s="68" t="str">
        <f t="shared" si="7"/>
        <v/>
      </c>
      <c r="AI173" s="53"/>
      <c r="AJ173" s="53"/>
      <c r="AK173" s="53"/>
      <c r="AL173" s="53"/>
      <c r="AM173" s="53"/>
      <c r="AN173" s="53"/>
      <c r="AO173" s="53"/>
      <c r="AP173" s="53"/>
      <c r="AQ173" s="53"/>
      <c r="AR173" s="53"/>
      <c r="AS173" s="53"/>
      <c r="AT173" s="53"/>
      <c r="AU173" s="53"/>
      <c r="AV173" s="58"/>
      <c r="AW173" s="58"/>
      <c r="AX173" s="58"/>
      <c r="AY173" s="53"/>
      <c r="AZ173" s="53"/>
      <c r="BA173" s="53"/>
      <c r="BB173" s="53"/>
      <c r="BC173" s="53"/>
      <c r="BD173" s="53"/>
      <c r="BE173" s="53"/>
      <c r="BF173" s="53"/>
      <c r="BG173" s="53"/>
      <c r="BH173" s="53"/>
      <c r="BI173" s="53"/>
      <c r="BJ173" s="53"/>
      <c r="BK173" s="53"/>
      <c r="BL173" s="53"/>
      <c r="BM173" s="53"/>
      <c r="BN173" s="53"/>
      <c r="BO173" s="65" t="str">
        <f t="shared" si="8"/>
        <v/>
      </c>
    </row>
    <row r="174" spans="1:67" ht="19.5" customHeight="1">
      <c r="A174" s="70" t="b">
        <v>0</v>
      </c>
      <c r="B174" s="71" t="b">
        <v>1</v>
      </c>
      <c r="C174" s="72" t="b">
        <v>0</v>
      </c>
      <c r="D174" s="72" t="b">
        <v>0</v>
      </c>
      <c r="E174" s="57"/>
      <c r="F174" s="59"/>
      <c r="G174" s="57"/>
      <c r="H174" s="88"/>
      <c r="I174" s="88"/>
      <c r="J174" s="88"/>
      <c r="K174" s="89" t="b">
        <v>1</v>
      </c>
      <c r="L174" s="60"/>
      <c r="M174" s="57"/>
      <c r="N174" s="57"/>
      <c r="O174" s="61"/>
      <c r="P174" s="60"/>
      <c r="Q174" s="57"/>
      <c r="R174" s="57"/>
      <c r="S174" s="95"/>
      <c r="T174" s="88"/>
      <c r="U174" s="88"/>
      <c r="V174" s="88"/>
      <c r="W174" s="96"/>
      <c r="X174" s="97"/>
      <c r="Y174" s="97"/>
      <c r="Z174" s="98"/>
      <c r="AA174" s="99"/>
      <c r="AB174" s="98"/>
      <c r="AC174" s="88"/>
      <c r="AD174" s="98"/>
      <c r="AE174" s="64"/>
      <c r="AF174" s="67" t="str">
        <f t="shared" si="6"/>
        <v/>
      </c>
      <c r="AG174" s="58"/>
      <c r="AH174" s="68" t="str">
        <f t="shared" si="7"/>
        <v/>
      </c>
      <c r="AI174" s="53"/>
      <c r="AJ174" s="53"/>
      <c r="AK174" s="53"/>
      <c r="AL174" s="53"/>
      <c r="AM174" s="53"/>
      <c r="AN174" s="53"/>
      <c r="AO174" s="53"/>
      <c r="AP174" s="53"/>
      <c r="AQ174" s="53"/>
      <c r="AR174" s="53"/>
      <c r="AS174" s="53"/>
      <c r="AT174" s="53"/>
      <c r="AU174" s="53"/>
      <c r="AV174" s="58"/>
      <c r="AW174" s="58"/>
      <c r="AX174" s="58"/>
      <c r="AY174" s="53"/>
      <c r="AZ174" s="53"/>
      <c r="BA174" s="53"/>
      <c r="BB174" s="53"/>
      <c r="BC174" s="53"/>
      <c r="BD174" s="53"/>
      <c r="BE174" s="53"/>
      <c r="BF174" s="53"/>
      <c r="BG174" s="53"/>
      <c r="BH174" s="53"/>
      <c r="BI174" s="53"/>
      <c r="BJ174" s="53"/>
      <c r="BK174" s="53"/>
      <c r="BL174" s="53"/>
      <c r="BM174" s="53"/>
      <c r="BN174" s="53"/>
      <c r="BO174" s="65" t="str">
        <f t="shared" si="8"/>
        <v/>
      </c>
    </row>
    <row r="175" spans="1:67" ht="19.5" customHeight="1">
      <c r="A175" s="70" t="b">
        <v>0</v>
      </c>
      <c r="B175" s="71" t="b">
        <v>1</v>
      </c>
      <c r="C175" s="72" t="b">
        <v>0</v>
      </c>
      <c r="D175" s="72" t="b">
        <v>0</v>
      </c>
      <c r="E175" s="57"/>
      <c r="F175" s="59"/>
      <c r="G175" s="57"/>
      <c r="H175" s="88"/>
      <c r="I175" s="88"/>
      <c r="J175" s="88"/>
      <c r="K175" s="89" t="b">
        <v>1</v>
      </c>
      <c r="L175" s="60"/>
      <c r="M175" s="57"/>
      <c r="N175" s="57"/>
      <c r="O175" s="61"/>
      <c r="P175" s="60"/>
      <c r="Q175" s="57"/>
      <c r="R175" s="57"/>
      <c r="S175" s="95"/>
      <c r="T175" s="88"/>
      <c r="U175" s="88"/>
      <c r="V175" s="88"/>
      <c r="W175" s="96"/>
      <c r="X175" s="97"/>
      <c r="Y175" s="97"/>
      <c r="Z175" s="98"/>
      <c r="AA175" s="99"/>
      <c r="AB175" s="98"/>
      <c r="AC175" s="88"/>
      <c r="AD175" s="98"/>
      <c r="AE175" s="64"/>
      <c r="AF175" s="67" t="str">
        <f t="shared" si="6"/>
        <v/>
      </c>
      <c r="AG175" s="58"/>
      <c r="AH175" s="68" t="str">
        <f t="shared" si="7"/>
        <v/>
      </c>
      <c r="AI175" s="53"/>
      <c r="AJ175" s="53"/>
      <c r="AK175" s="53"/>
      <c r="AL175" s="53"/>
      <c r="AM175" s="53"/>
      <c r="AN175" s="53"/>
      <c r="AO175" s="53"/>
      <c r="AP175" s="53"/>
      <c r="AQ175" s="53"/>
      <c r="AR175" s="53"/>
      <c r="AS175" s="53"/>
      <c r="AT175" s="53"/>
      <c r="AU175" s="53"/>
      <c r="AV175" s="58"/>
      <c r="AW175" s="58"/>
      <c r="AX175" s="58"/>
      <c r="AY175" s="53"/>
      <c r="AZ175" s="53"/>
      <c r="BA175" s="53"/>
      <c r="BB175" s="53"/>
      <c r="BC175" s="53"/>
      <c r="BD175" s="53"/>
      <c r="BE175" s="53"/>
      <c r="BF175" s="53"/>
      <c r="BG175" s="53"/>
      <c r="BH175" s="53"/>
      <c r="BI175" s="53"/>
      <c r="BJ175" s="53"/>
      <c r="BK175" s="53"/>
      <c r="BL175" s="53"/>
      <c r="BM175" s="53"/>
      <c r="BN175" s="53"/>
      <c r="BO175" s="65" t="str">
        <f t="shared" si="8"/>
        <v/>
      </c>
    </row>
    <row r="176" spans="1:67" ht="19.5" customHeight="1">
      <c r="A176" s="70" t="b">
        <v>0</v>
      </c>
      <c r="B176" s="71" t="b">
        <v>1</v>
      </c>
      <c r="C176" s="72" t="b">
        <v>0</v>
      </c>
      <c r="D176" s="72" t="b">
        <v>0</v>
      </c>
      <c r="E176" s="57"/>
      <c r="F176" s="59"/>
      <c r="G176" s="57"/>
      <c r="H176" s="88"/>
      <c r="I176" s="88"/>
      <c r="J176" s="88"/>
      <c r="K176" s="89" t="b">
        <v>1</v>
      </c>
      <c r="L176" s="60"/>
      <c r="M176" s="57"/>
      <c r="N176" s="57"/>
      <c r="O176" s="61"/>
      <c r="P176" s="60"/>
      <c r="Q176" s="57"/>
      <c r="R176" s="57"/>
      <c r="S176" s="95"/>
      <c r="T176" s="88"/>
      <c r="U176" s="88"/>
      <c r="V176" s="88"/>
      <c r="W176" s="96"/>
      <c r="X176" s="97"/>
      <c r="Y176" s="97"/>
      <c r="Z176" s="98"/>
      <c r="AA176" s="99"/>
      <c r="AB176" s="98"/>
      <c r="AC176" s="88"/>
      <c r="AD176" s="98"/>
      <c r="AE176" s="64"/>
      <c r="AF176" s="67" t="str">
        <f t="shared" si="6"/>
        <v/>
      </c>
      <c r="AG176" s="58"/>
      <c r="AH176" s="68" t="str">
        <f t="shared" si="7"/>
        <v/>
      </c>
      <c r="AI176" s="53"/>
      <c r="AJ176" s="53"/>
      <c r="AK176" s="53"/>
      <c r="AL176" s="53"/>
      <c r="AM176" s="53"/>
      <c r="AN176" s="53"/>
      <c r="AO176" s="53"/>
      <c r="AP176" s="53"/>
      <c r="AQ176" s="53"/>
      <c r="AR176" s="53"/>
      <c r="AS176" s="53"/>
      <c r="AT176" s="53"/>
      <c r="AU176" s="53"/>
      <c r="AV176" s="58"/>
      <c r="AW176" s="58"/>
      <c r="AX176" s="58"/>
      <c r="AY176" s="53"/>
      <c r="AZ176" s="53"/>
      <c r="BA176" s="53"/>
      <c r="BB176" s="53"/>
      <c r="BC176" s="53"/>
      <c r="BD176" s="53"/>
      <c r="BE176" s="53"/>
      <c r="BF176" s="53"/>
      <c r="BG176" s="53"/>
      <c r="BH176" s="53"/>
      <c r="BI176" s="53"/>
      <c r="BJ176" s="53"/>
      <c r="BK176" s="53"/>
      <c r="BL176" s="53"/>
      <c r="BM176" s="53"/>
      <c r="BN176" s="53"/>
      <c r="BO176" s="65" t="str">
        <f t="shared" si="8"/>
        <v/>
      </c>
    </row>
    <row r="177" spans="1:67" ht="19.5" customHeight="1">
      <c r="A177" s="70" t="b">
        <v>0</v>
      </c>
      <c r="B177" s="71" t="b">
        <v>1</v>
      </c>
      <c r="C177" s="72" t="b">
        <v>0</v>
      </c>
      <c r="D177" s="72" t="b">
        <v>0</v>
      </c>
      <c r="E177" s="57"/>
      <c r="F177" s="59"/>
      <c r="G177" s="57"/>
      <c r="H177" s="88"/>
      <c r="I177" s="88"/>
      <c r="J177" s="88"/>
      <c r="K177" s="89" t="b">
        <v>1</v>
      </c>
      <c r="L177" s="60"/>
      <c r="M177" s="57"/>
      <c r="N177" s="57"/>
      <c r="O177" s="61"/>
      <c r="P177" s="60"/>
      <c r="Q177" s="57"/>
      <c r="R177" s="57"/>
      <c r="S177" s="95"/>
      <c r="T177" s="88"/>
      <c r="U177" s="88"/>
      <c r="V177" s="88"/>
      <c r="W177" s="96"/>
      <c r="X177" s="97"/>
      <c r="Y177" s="97"/>
      <c r="Z177" s="98"/>
      <c r="AA177" s="99"/>
      <c r="AB177" s="98"/>
      <c r="AC177" s="88"/>
      <c r="AD177" s="98"/>
      <c r="AE177" s="64"/>
      <c r="AF177" s="67" t="str">
        <f t="shared" si="6"/>
        <v/>
      </c>
      <c r="AG177" s="58"/>
      <c r="AH177" s="68" t="str">
        <f t="shared" si="7"/>
        <v/>
      </c>
      <c r="AI177" s="53"/>
      <c r="AJ177" s="53"/>
      <c r="AK177" s="53"/>
      <c r="AL177" s="53"/>
      <c r="AM177" s="53"/>
      <c r="AN177" s="53"/>
      <c r="AO177" s="53"/>
      <c r="AP177" s="53"/>
      <c r="AQ177" s="53"/>
      <c r="AR177" s="53"/>
      <c r="AS177" s="53"/>
      <c r="AT177" s="53"/>
      <c r="AU177" s="53"/>
      <c r="AV177" s="58"/>
      <c r="AW177" s="58"/>
      <c r="AX177" s="58"/>
      <c r="AY177" s="53"/>
      <c r="AZ177" s="53"/>
      <c r="BA177" s="53"/>
      <c r="BB177" s="53"/>
      <c r="BC177" s="53"/>
      <c r="BD177" s="53"/>
      <c r="BE177" s="53"/>
      <c r="BF177" s="53"/>
      <c r="BG177" s="53"/>
      <c r="BH177" s="53"/>
      <c r="BI177" s="53"/>
      <c r="BJ177" s="53"/>
      <c r="BK177" s="53"/>
      <c r="BL177" s="53"/>
      <c r="BM177" s="53"/>
      <c r="BN177" s="53"/>
      <c r="BO177" s="65" t="str">
        <f t="shared" si="8"/>
        <v/>
      </c>
    </row>
    <row r="178" spans="1:67" ht="19.5" customHeight="1">
      <c r="A178" s="70" t="b">
        <v>0</v>
      </c>
      <c r="B178" s="71" t="b">
        <v>1</v>
      </c>
      <c r="C178" s="72" t="b">
        <v>0</v>
      </c>
      <c r="D178" s="72" t="b">
        <v>0</v>
      </c>
      <c r="E178" s="57"/>
      <c r="F178" s="59"/>
      <c r="G178" s="57"/>
      <c r="H178" s="88"/>
      <c r="I178" s="88"/>
      <c r="J178" s="88"/>
      <c r="K178" s="89" t="b">
        <v>1</v>
      </c>
      <c r="L178" s="60"/>
      <c r="M178" s="57"/>
      <c r="N178" s="57"/>
      <c r="O178" s="61"/>
      <c r="P178" s="60"/>
      <c r="Q178" s="57"/>
      <c r="R178" s="57"/>
      <c r="S178" s="95"/>
      <c r="T178" s="88"/>
      <c r="U178" s="88"/>
      <c r="V178" s="88"/>
      <c r="W178" s="96"/>
      <c r="X178" s="97"/>
      <c r="Y178" s="97"/>
      <c r="Z178" s="98"/>
      <c r="AA178" s="99"/>
      <c r="AB178" s="98"/>
      <c r="AC178" s="88"/>
      <c r="AD178" s="98"/>
      <c r="AE178" s="64"/>
      <c r="AF178" s="67" t="str">
        <f t="shared" si="6"/>
        <v/>
      </c>
      <c r="AG178" s="58"/>
      <c r="AH178" s="68" t="str">
        <f t="shared" si="7"/>
        <v/>
      </c>
      <c r="AI178" s="53"/>
      <c r="AJ178" s="53"/>
      <c r="AK178" s="53"/>
      <c r="AL178" s="53"/>
      <c r="AM178" s="53"/>
      <c r="AN178" s="53"/>
      <c r="AO178" s="53"/>
      <c r="AP178" s="53"/>
      <c r="AQ178" s="53"/>
      <c r="AR178" s="53"/>
      <c r="AS178" s="53"/>
      <c r="AT178" s="53"/>
      <c r="AU178" s="53"/>
      <c r="AV178" s="58"/>
      <c r="AW178" s="58"/>
      <c r="AX178" s="58"/>
      <c r="AY178" s="53"/>
      <c r="AZ178" s="53"/>
      <c r="BA178" s="53"/>
      <c r="BB178" s="53"/>
      <c r="BC178" s="53"/>
      <c r="BD178" s="53"/>
      <c r="BE178" s="53"/>
      <c r="BF178" s="53"/>
      <c r="BG178" s="53"/>
      <c r="BH178" s="53"/>
      <c r="BI178" s="53"/>
      <c r="BJ178" s="53"/>
      <c r="BK178" s="53"/>
      <c r="BL178" s="53"/>
      <c r="BM178" s="53"/>
      <c r="BN178" s="53"/>
      <c r="BO178" s="65" t="str">
        <f t="shared" si="8"/>
        <v/>
      </c>
    </row>
    <row r="179" spans="1:67" ht="19.5" customHeight="1">
      <c r="A179" s="70" t="b">
        <v>0</v>
      </c>
      <c r="B179" s="71" t="b">
        <v>1</v>
      </c>
      <c r="C179" s="72" t="b">
        <v>0</v>
      </c>
      <c r="D179" s="72" t="b">
        <v>0</v>
      </c>
      <c r="E179" s="57"/>
      <c r="F179" s="59"/>
      <c r="G179" s="57"/>
      <c r="H179" s="88"/>
      <c r="I179" s="88"/>
      <c r="J179" s="88"/>
      <c r="K179" s="89" t="b">
        <v>1</v>
      </c>
      <c r="L179" s="60"/>
      <c r="M179" s="57"/>
      <c r="N179" s="57"/>
      <c r="O179" s="61"/>
      <c r="P179" s="60"/>
      <c r="Q179" s="57"/>
      <c r="R179" s="57"/>
      <c r="S179" s="95"/>
      <c r="T179" s="88"/>
      <c r="U179" s="88"/>
      <c r="V179" s="88"/>
      <c r="W179" s="96"/>
      <c r="X179" s="97"/>
      <c r="Y179" s="97"/>
      <c r="Z179" s="98"/>
      <c r="AA179" s="99"/>
      <c r="AB179" s="98"/>
      <c r="AC179" s="88"/>
      <c r="AD179" s="98"/>
      <c r="AE179" s="64"/>
      <c r="AF179" s="67" t="str">
        <f t="shared" si="6"/>
        <v/>
      </c>
      <c r="AG179" s="58"/>
      <c r="AH179" s="68" t="str">
        <f t="shared" si="7"/>
        <v/>
      </c>
      <c r="AI179" s="53"/>
      <c r="AJ179" s="53"/>
      <c r="AK179" s="53"/>
      <c r="AL179" s="53"/>
      <c r="AM179" s="53"/>
      <c r="AN179" s="53"/>
      <c r="AO179" s="53"/>
      <c r="AP179" s="53"/>
      <c r="AQ179" s="53"/>
      <c r="AR179" s="53"/>
      <c r="AS179" s="53"/>
      <c r="AT179" s="53"/>
      <c r="AU179" s="53"/>
      <c r="AV179" s="58"/>
      <c r="AW179" s="58"/>
      <c r="AX179" s="58"/>
      <c r="AY179" s="53"/>
      <c r="AZ179" s="53"/>
      <c r="BA179" s="53"/>
      <c r="BB179" s="53"/>
      <c r="BC179" s="53"/>
      <c r="BD179" s="53"/>
      <c r="BE179" s="53"/>
      <c r="BF179" s="53"/>
      <c r="BG179" s="53"/>
      <c r="BH179" s="53"/>
      <c r="BI179" s="53"/>
      <c r="BJ179" s="53"/>
      <c r="BK179" s="53"/>
      <c r="BL179" s="53"/>
      <c r="BM179" s="53"/>
      <c r="BN179" s="53"/>
      <c r="BO179" s="65" t="str">
        <f t="shared" si="8"/>
        <v/>
      </c>
    </row>
    <row r="180" spans="1:67" ht="19.5" customHeight="1">
      <c r="A180" s="70" t="b">
        <v>0</v>
      </c>
      <c r="B180" s="71" t="b">
        <v>1</v>
      </c>
      <c r="C180" s="72" t="b">
        <v>0</v>
      </c>
      <c r="D180" s="72" t="b">
        <v>0</v>
      </c>
      <c r="E180" s="57"/>
      <c r="F180" s="59"/>
      <c r="G180" s="57"/>
      <c r="H180" s="88"/>
      <c r="I180" s="88"/>
      <c r="J180" s="88"/>
      <c r="K180" s="89" t="b">
        <v>1</v>
      </c>
      <c r="L180" s="60"/>
      <c r="M180" s="57"/>
      <c r="N180" s="57"/>
      <c r="O180" s="61"/>
      <c r="P180" s="60"/>
      <c r="Q180" s="57"/>
      <c r="R180" s="57"/>
      <c r="S180" s="95"/>
      <c r="T180" s="88"/>
      <c r="U180" s="88"/>
      <c r="V180" s="88"/>
      <c r="W180" s="96"/>
      <c r="X180" s="97"/>
      <c r="Y180" s="97"/>
      <c r="Z180" s="98"/>
      <c r="AA180" s="99"/>
      <c r="AB180" s="98"/>
      <c r="AC180" s="88"/>
      <c r="AD180" s="98"/>
      <c r="AE180" s="64"/>
      <c r="AF180" s="67" t="str">
        <f t="shared" si="6"/>
        <v/>
      </c>
      <c r="AG180" s="58"/>
      <c r="AH180" s="68" t="str">
        <f t="shared" si="7"/>
        <v/>
      </c>
      <c r="AI180" s="53"/>
      <c r="AJ180" s="53"/>
      <c r="AK180" s="53"/>
      <c r="AL180" s="53"/>
      <c r="AM180" s="53"/>
      <c r="AN180" s="53"/>
      <c r="AO180" s="53"/>
      <c r="AP180" s="53"/>
      <c r="AQ180" s="53"/>
      <c r="AR180" s="53"/>
      <c r="AS180" s="53"/>
      <c r="AT180" s="53"/>
      <c r="AU180" s="53"/>
      <c r="AV180" s="58"/>
      <c r="AW180" s="58"/>
      <c r="AX180" s="58"/>
      <c r="AY180" s="53"/>
      <c r="AZ180" s="53"/>
      <c r="BA180" s="53"/>
      <c r="BB180" s="53"/>
      <c r="BC180" s="53"/>
      <c r="BD180" s="53"/>
      <c r="BE180" s="53"/>
      <c r="BF180" s="53"/>
      <c r="BG180" s="53"/>
      <c r="BH180" s="53"/>
      <c r="BI180" s="53"/>
      <c r="BJ180" s="53"/>
      <c r="BK180" s="53"/>
      <c r="BL180" s="53"/>
      <c r="BM180" s="53"/>
      <c r="BN180" s="53"/>
      <c r="BO180" s="65" t="str">
        <f t="shared" si="8"/>
        <v/>
      </c>
    </row>
    <row r="181" spans="1:67" ht="19.5" customHeight="1">
      <c r="A181" s="70" t="b">
        <v>0</v>
      </c>
      <c r="B181" s="71" t="b">
        <v>1</v>
      </c>
      <c r="C181" s="72" t="b">
        <v>0</v>
      </c>
      <c r="D181" s="72" t="b">
        <v>0</v>
      </c>
      <c r="E181" s="57"/>
      <c r="F181" s="59"/>
      <c r="G181" s="57"/>
      <c r="H181" s="88"/>
      <c r="I181" s="88"/>
      <c r="J181" s="88"/>
      <c r="K181" s="89" t="b">
        <v>1</v>
      </c>
      <c r="L181" s="60"/>
      <c r="M181" s="57"/>
      <c r="N181" s="57"/>
      <c r="O181" s="61"/>
      <c r="P181" s="60"/>
      <c r="Q181" s="57"/>
      <c r="R181" s="57"/>
      <c r="S181" s="95"/>
      <c r="T181" s="88"/>
      <c r="U181" s="88"/>
      <c r="V181" s="88"/>
      <c r="W181" s="96"/>
      <c r="X181" s="97"/>
      <c r="Y181" s="97"/>
      <c r="Z181" s="98"/>
      <c r="AA181" s="99"/>
      <c r="AB181" s="98"/>
      <c r="AC181" s="88"/>
      <c r="AD181" s="98"/>
      <c r="AE181" s="64"/>
      <c r="AF181" s="67" t="str">
        <f t="shared" si="6"/>
        <v/>
      </c>
      <c r="AG181" s="58"/>
      <c r="AH181" s="68" t="str">
        <f t="shared" si="7"/>
        <v/>
      </c>
      <c r="AI181" s="53"/>
      <c r="AJ181" s="53"/>
      <c r="AK181" s="53"/>
      <c r="AL181" s="53"/>
      <c r="AM181" s="53"/>
      <c r="AN181" s="53"/>
      <c r="AO181" s="53"/>
      <c r="AP181" s="53"/>
      <c r="AQ181" s="53"/>
      <c r="AR181" s="53"/>
      <c r="AS181" s="53"/>
      <c r="AT181" s="53"/>
      <c r="AU181" s="53"/>
      <c r="AV181" s="58"/>
      <c r="AW181" s="58"/>
      <c r="AX181" s="58"/>
      <c r="AY181" s="53"/>
      <c r="AZ181" s="53"/>
      <c r="BA181" s="53"/>
      <c r="BB181" s="53"/>
      <c r="BC181" s="53"/>
      <c r="BD181" s="53"/>
      <c r="BE181" s="53"/>
      <c r="BF181" s="53"/>
      <c r="BG181" s="53"/>
      <c r="BH181" s="53"/>
      <c r="BI181" s="53"/>
      <c r="BJ181" s="53"/>
      <c r="BK181" s="53"/>
      <c r="BL181" s="53"/>
      <c r="BM181" s="53"/>
      <c r="BN181" s="53"/>
      <c r="BO181" s="65" t="str">
        <f t="shared" si="8"/>
        <v/>
      </c>
    </row>
    <row r="182" spans="1:67" ht="19.5" customHeight="1">
      <c r="A182" s="70" t="b">
        <v>0</v>
      </c>
      <c r="B182" s="71" t="b">
        <v>1</v>
      </c>
      <c r="C182" s="72" t="b">
        <v>0</v>
      </c>
      <c r="D182" s="72" t="b">
        <v>0</v>
      </c>
      <c r="E182" s="57"/>
      <c r="F182" s="59"/>
      <c r="G182" s="57"/>
      <c r="H182" s="88"/>
      <c r="I182" s="88"/>
      <c r="J182" s="88"/>
      <c r="K182" s="89" t="b">
        <v>1</v>
      </c>
      <c r="L182" s="60"/>
      <c r="M182" s="57"/>
      <c r="N182" s="57"/>
      <c r="O182" s="61"/>
      <c r="P182" s="60"/>
      <c r="Q182" s="57"/>
      <c r="R182" s="57"/>
      <c r="S182" s="95"/>
      <c r="T182" s="88"/>
      <c r="U182" s="88"/>
      <c r="V182" s="88"/>
      <c r="W182" s="96"/>
      <c r="X182" s="97"/>
      <c r="Y182" s="97"/>
      <c r="Z182" s="98"/>
      <c r="AA182" s="99"/>
      <c r="AB182" s="98"/>
      <c r="AC182" s="88"/>
      <c r="AD182" s="98"/>
      <c r="AE182" s="64"/>
      <c r="AF182" s="67" t="str">
        <f t="shared" si="6"/>
        <v/>
      </c>
      <c r="AG182" s="58"/>
      <c r="AH182" s="68" t="str">
        <f t="shared" si="7"/>
        <v/>
      </c>
      <c r="AI182" s="53"/>
      <c r="AJ182" s="53"/>
      <c r="AK182" s="53"/>
      <c r="AL182" s="53"/>
      <c r="AM182" s="53"/>
      <c r="AN182" s="53"/>
      <c r="AO182" s="53"/>
      <c r="AP182" s="53"/>
      <c r="AQ182" s="53"/>
      <c r="AR182" s="53"/>
      <c r="AS182" s="53"/>
      <c r="AT182" s="53"/>
      <c r="AU182" s="53"/>
      <c r="AV182" s="58"/>
      <c r="AW182" s="58"/>
      <c r="AX182" s="58"/>
      <c r="AY182" s="53"/>
      <c r="AZ182" s="53"/>
      <c r="BA182" s="53"/>
      <c r="BB182" s="53"/>
      <c r="BC182" s="53"/>
      <c r="BD182" s="53"/>
      <c r="BE182" s="53"/>
      <c r="BF182" s="53"/>
      <c r="BG182" s="53"/>
      <c r="BH182" s="53"/>
      <c r="BI182" s="53"/>
      <c r="BJ182" s="53"/>
      <c r="BK182" s="53"/>
      <c r="BL182" s="53"/>
      <c r="BM182" s="53"/>
      <c r="BN182" s="53"/>
      <c r="BO182" s="65" t="str">
        <f t="shared" si="8"/>
        <v/>
      </c>
    </row>
    <row r="183" spans="1:67" ht="19.5" customHeight="1">
      <c r="A183" s="70" t="b">
        <v>0</v>
      </c>
      <c r="B183" s="71" t="b">
        <v>1</v>
      </c>
      <c r="C183" s="72" t="b">
        <v>0</v>
      </c>
      <c r="D183" s="72" t="b">
        <v>0</v>
      </c>
      <c r="E183" s="57"/>
      <c r="F183" s="59"/>
      <c r="G183" s="57"/>
      <c r="H183" s="88"/>
      <c r="I183" s="88"/>
      <c r="J183" s="88"/>
      <c r="K183" s="89" t="b">
        <v>1</v>
      </c>
      <c r="L183" s="60"/>
      <c r="M183" s="57"/>
      <c r="N183" s="57"/>
      <c r="O183" s="61"/>
      <c r="P183" s="60"/>
      <c r="Q183" s="57"/>
      <c r="R183" s="57"/>
      <c r="S183" s="95"/>
      <c r="T183" s="88"/>
      <c r="U183" s="88"/>
      <c r="V183" s="88"/>
      <c r="W183" s="96"/>
      <c r="X183" s="97"/>
      <c r="Y183" s="97"/>
      <c r="Z183" s="98"/>
      <c r="AA183" s="99"/>
      <c r="AB183" s="98"/>
      <c r="AC183" s="88"/>
      <c r="AD183" s="98"/>
      <c r="AE183" s="64"/>
      <c r="AF183" s="67" t="str">
        <f t="shared" si="6"/>
        <v/>
      </c>
      <c r="AG183" s="58"/>
      <c r="AH183" s="68" t="str">
        <f t="shared" si="7"/>
        <v/>
      </c>
      <c r="AI183" s="53"/>
      <c r="AJ183" s="53"/>
      <c r="AK183" s="53"/>
      <c r="AL183" s="53"/>
      <c r="AM183" s="53"/>
      <c r="AN183" s="53"/>
      <c r="AO183" s="53"/>
      <c r="AP183" s="53"/>
      <c r="AQ183" s="53"/>
      <c r="AR183" s="53"/>
      <c r="AS183" s="53"/>
      <c r="AT183" s="53"/>
      <c r="AU183" s="53"/>
      <c r="AV183" s="58"/>
      <c r="AW183" s="58"/>
      <c r="AX183" s="58"/>
      <c r="AY183" s="53"/>
      <c r="AZ183" s="53"/>
      <c r="BA183" s="53"/>
      <c r="BB183" s="53"/>
      <c r="BC183" s="53"/>
      <c r="BD183" s="53"/>
      <c r="BE183" s="53"/>
      <c r="BF183" s="53"/>
      <c r="BG183" s="53"/>
      <c r="BH183" s="53"/>
      <c r="BI183" s="53"/>
      <c r="BJ183" s="53"/>
      <c r="BK183" s="53"/>
      <c r="BL183" s="53"/>
      <c r="BM183" s="53"/>
      <c r="BN183" s="53"/>
      <c r="BO183" s="65" t="str">
        <f t="shared" si="8"/>
        <v/>
      </c>
    </row>
    <row r="184" spans="1:67" ht="19.5" customHeight="1">
      <c r="A184" s="70" t="b">
        <v>0</v>
      </c>
      <c r="B184" s="71" t="b">
        <v>1</v>
      </c>
      <c r="C184" s="72" t="b">
        <v>0</v>
      </c>
      <c r="D184" s="72" t="b">
        <v>0</v>
      </c>
      <c r="E184" s="57"/>
      <c r="F184" s="59"/>
      <c r="G184" s="57"/>
      <c r="H184" s="88"/>
      <c r="I184" s="88"/>
      <c r="J184" s="88"/>
      <c r="K184" s="89" t="b">
        <v>1</v>
      </c>
      <c r="L184" s="60"/>
      <c r="M184" s="57"/>
      <c r="N184" s="57"/>
      <c r="O184" s="61"/>
      <c r="P184" s="60"/>
      <c r="Q184" s="57"/>
      <c r="R184" s="57"/>
      <c r="S184" s="95"/>
      <c r="T184" s="88"/>
      <c r="U184" s="88"/>
      <c r="V184" s="88"/>
      <c r="W184" s="96"/>
      <c r="X184" s="97"/>
      <c r="Y184" s="97"/>
      <c r="Z184" s="98"/>
      <c r="AA184" s="99"/>
      <c r="AB184" s="98"/>
      <c r="AC184" s="88"/>
      <c r="AD184" s="98"/>
      <c r="AE184" s="64"/>
      <c r="AF184" s="67" t="str">
        <f t="shared" si="6"/>
        <v/>
      </c>
      <c r="AG184" s="58"/>
      <c r="AH184" s="68" t="str">
        <f t="shared" si="7"/>
        <v/>
      </c>
      <c r="AI184" s="53"/>
      <c r="AJ184" s="53"/>
      <c r="AK184" s="53"/>
      <c r="AL184" s="53"/>
      <c r="AM184" s="53"/>
      <c r="AN184" s="53"/>
      <c r="AO184" s="53"/>
      <c r="AP184" s="53"/>
      <c r="AQ184" s="53"/>
      <c r="AR184" s="53"/>
      <c r="AS184" s="53"/>
      <c r="AT184" s="53"/>
      <c r="AU184" s="53"/>
      <c r="AV184" s="58"/>
      <c r="AW184" s="58"/>
      <c r="AX184" s="58"/>
      <c r="AY184" s="53"/>
      <c r="AZ184" s="53"/>
      <c r="BA184" s="53"/>
      <c r="BB184" s="53"/>
      <c r="BC184" s="53"/>
      <c r="BD184" s="53"/>
      <c r="BE184" s="53"/>
      <c r="BF184" s="53"/>
      <c r="BG184" s="53"/>
      <c r="BH184" s="53"/>
      <c r="BI184" s="53"/>
      <c r="BJ184" s="53"/>
      <c r="BK184" s="53"/>
      <c r="BL184" s="53"/>
      <c r="BM184" s="53"/>
      <c r="BN184" s="53"/>
      <c r="BO184" s="65" t="str">
        <f t="shared" si="8"/>
        <v/>
      </c>
    </row>
    <row r="185" spans="1:67" ht="19.5" customHeight="1">
      <c r="A185" s="70" t="b">
        <v>0</v>
      </c>
      <c r="B185" s="71" t="b">
        <v>1</v>
      </c>
      <c r="C185" s="72" t="b">
        <v>0</v>
      </c>
      <c r="D185" s="72" t="b">
        <v>0</v>
      </c>
      <c r="E185" s="57"/>
      <c r="F185" s="59"/>
      <c r="G185" s="57"/>
      <c r="H185" s="88"/>
      <c r="I185" s="88"/>
      <c r="J185" s="88"/>
      <c r="K185" s="89" t="b">
        <v>1</v>
      </c>
      <c r="L185" s="60"/>
      <c r="M185" s="57"/>
      <c r="N185" s="57"/>
      <c r="O185" s="61"/>
      <c r="P185" s="60"/>
      <c r="Q185" s="57"/>
      <c r="R185" s="57"/>
      <c r="S185" s="95"/>
      <c r="T185" s="88"/>
      <c r="U185" s="88"/>
      <c r="V185" s="88"/>
      <c r="W185" s="96"/>
      <c r="X185" s="97"/>
      <c r="Y185" s="97"/>
      <c r="Z185" s="98"/>
      <c r="AA185" s="99"/>
      <c r="AB185" s="98"/>
      <c r="AC185" s="88"/>
      <c r="AD185" s="98"/>
      <c r="AE185" s="64"/>
      <c r="AF185" s="67" t="str">
        <f t="shared" si="6"/>
        <v/>
      </c>
      <c r="AG185" s="58"/>
      <c r="AH185" s="68" t="str">
        <f t="shared" si="7"/>
        <v/>
      </c>
      <c r="AI185" s="53"/>
      <c r="AJ185" s="53"/>
      <c r="AK185" s="53"/>
      <c r="AL185" s="53"/>
      <c r="AM185" s="53"/>
      <c r="AN185" s="53"/>
      <c r="AO185" s="53"/>
      <c r="AP185" s="53"/>
      <c r="AQ185" s="53"/>
      <c r="AR185" s="53"/>
      <c r="AS185" s="53"/>
      <c r="AT185" s="53"/>
      <c r="AU185" s="53"/>
      <c r="AV185" s="58"/>
      <c r="AW185" s="58"/>
      <c r="AX185" s="58"/>
      <c r="AY185" s="53"/>
      <c r="AZ185" s="53"/>
      <c r="BA185" s="53"/>
      <c r="BB185" s="53"/>
      <c r="BC185" s="53"/>
      <c r="BD185" s="53"/>
      <c r="BE185" s="53"/>
      <c r="BF185" s="53"/>
      <c r="BG185" s="53"/>
      <c r="BH185" s="53"/>
      <c r="BI185" s="53"/>
      <c r="BJ185" s="53"/>
      <c r="BK185" s="53"/>
      <c r="BL185" s="53"/>
      <c r="BM185" s="53"/>
      <c r="BN185" s="53"/>
      <c r="BO185" s="65" t="str">
        <f t="shared" si="8"/>
        <v/>
      </c>
    </row>
    <row r="186" spans="1:67" ht="19.5" customHeight="1">
      <c r="A186" s="70" t="b">
        <v>0</v>
      </c>
      <c r="B186" s="71" t="b">
        <v>1</v>
      </c>
      <c r="C186" s="72" t="b">
        <v>0</v>
      </c>
      <c r="D186" s="72" t="b">
        <v>0</v>
      </c>
      <c r="E186" s="57"/>
      <c r="F186" s="59"/>
      <c r="G186" s="57"/>
      <c r="H186" s="88"/>
      <c r="I186" s="88"/>
      <c r="J186" s="88"/>
      <c r="K186" s="89" t="b">
        <v>1</v>
      </c>
      <c r="L186" s="60"/>
      <c r="M186" s="57"/>
      <c r="N186" s="57"/>
      <c r="O186" s="61"/>
      <c r="P186" s="60"/>
      <c r="Q186" s="57"/>
      <c r="R186" s="57"/>
      <c r="S186" s="95"/>
      <c r="T186" s="88"/>
      <c r="U186" s="88"/>
      <c r="V186" s="88"/>
      <c r="W186" s="96"/>
      <c r="X186" s="97"/>
      <c r="Y186" s="97"/>
      <c r="Z186" s="98"/>
      <c r="AA186" s="99"/>
      <c r="AB186" s="98"/>
      <c r="AC186" s="88"/>
      <c r="AD186" s="98"/>
      <c r="AE186" s="64"/>
      <c r="AF186" s="67" t="str">
        <f t="shared" si="6"/>
        <v/>
      </c>
      <c r="AG186" s="58"/>
      <c r="AH186" s="68" t="str">
        <f t="shared" si="7"/>
        <v/>
      </c>
      <c r="AI186" s="53"/>
      <c r="AJ186" s="53"/>
      <c r="AK186" s="53"/>
      <c r="AL186" s="53"/>
      <c r="AM186" s="53"/>
      <c r="AN186" s="53"/>
      <c r="AO186" s="53"/>
      <c r="AP186" s="53"/>
      <c r="AQ186" s="53"/>
      <c r="AR186" s="53"/>
      <c r="AS186" s="53"/>
      <c r="AT186" s="53"/>
      <c r="AU186" s="53"/>
      <c r="AV186" s="58"/>
      <c r="AW186" s="58"/>
      <c r="AX186" s="58"/>
      <c r="AY186" s="53"/>
      <c r="AZ186" s="53"/>
      <c r="BA186" s="53"/>
      <c r="BB186" s="53"/>
      <c r="BC186" s="53"/>
      <c r="BD186" s="53"/>
      <c r="BE186" s="53"/>
      <c r="BF186" s="53"/>
      <c r="BG186" s="53"/>
      <c r="BH186" s="53"/>
      <c r="BI186" s="53"/>
      <c r="BJ186" s="53"/>
      <c r="BK186" s="53"/>
      <c r="BL186" s="53"/>
      <c r="BM186" s="53"/>
      <c r="BN186" s="53"/>
      <c r="BO186" s="65" t="str">
        <f t="shared" si="8"/>
        <v/>
      </c>
    </row>
    <row r="187" spans="1:67" ht="19.5" customHeight="1">
      <c r="A187" s="70" t="b">
        <v>0</v>
      </c>
      <c r="B187" s="71" t="b">
        <v>1</v>
      </c>
      <c r="C187" s="72" t="b">
        <v>0</v>
      </c>
      <c r="D187" s="72" t="b">
        <v>0</v>
      </c>
      <c r="E187" s="57"/>
      <c r="F187" s="59"/>
      <c r="G187" s="57"/>
      <c r="H187" s="88"/>
      <c r="I187" s="88"/>
      <c r="J187" s="88"/>
      <c r="K187" s="89" t="b">
        <v>1</v>
      </c>
      <c r="L187" s="60"/>
      <c r="M187" s="57"/>
      <c r="N187" s="57"/>
      <c r="O187" s="61"/>
      <c r="P187" s="60"/>
      <c r="Q187" s="57"/>
      <c r="R187" s="57"/>
      <c r="S187" s="95"/>
      <c r="T187" s="88"/>
      <c r="U187" s="88"/>
      <c r="V187" s="88"/>
      <c r="W187" s="96"/>
      <c r="X187" s="97"/>
      <c r="Y187" s="97"/>
      <c r="Z187" s="98"/>
      <c r="AA187" s="99"/>
      <c r="AB187" s="98"/>
      <c r="AC187" s="88"/>
      <c r="AD187" s="98"/>
      <c r="AE187" s="64"/>
      <c r="AF187" s="67" t="str">
        <f t="shared" si="6"/>
        <v/>
      </c>
      <c r="AG187" s="58"/>
      <c r="AH187" s="68" t="str">
        <f t="shared" si="7"/>
        <v/>
      </c>
      <c r="AI187" s="53"/>
      <c r="AJ187" s="53"/>
      <c r="AK187" s="53"/>
      <c r="AL187" s="53"/>
      <c r="AM187" s="53"/>
      <c r="AN187" s="53"/>
      <c r="AO187" s="53"/>
      <c r="AP187" s="53"/>
      <c r="AQ187" s="53"/>
      <c r="AR187" s="53"/>
      <c r="AS187" s="53"/>
      <c r="AT187" s="53"/>
      <c r="AU187" s="53"/>
      <c r="AV187" s="58"/>
      <c r="AW187" s="58"/>
      <c r="AX187" s="58"/>
      <c r="AY187" s="53"/>
      <c r="AZ187" s="53"/>
      <c r="BA187" s="53"/>
      <c r="BB187" s="53"/>
      <c r="BC187" s="53"/>
      <c r="BD187" s="53"/>
      <c r="BE187" s="53"/>
      <c r="BF187" s="53"/>
      <c r="BG187" s="53"/>
      <c r="BH187" s="53"/>
      <c r="BI187" s="53"/>
      <c r="BJ187" s="53"/>
      <c r="BK187" s="53"/>
      <c r="BL187" s="53"/>
      <c r="BM187" s="53"/>
      <c r="BN187" s="53"/>
      <c r="BO187" s="65" t="str">
        <f t="shared" si="8"/>
        <v/>
      </c>
    </row>
    <row r="188" spans="1:67" ht="19.5" customHeight="1">
      <c r="A188" s="70" t="b">
        <v>0</v>
      </c>
      <c r="B188" s="71" t="b">
        <v>1</v>
      </c>
      <c r="C188" s="72" t="b">
        <v>0</v>
      </c>
      <c r="D188" s="72" t="b">
        <v>0</v>
      </c>
      <c r="E188" s="57"/>
      <c r="F188" s="59"/>
      <c r="G188" s="57"/>
      <c r="H188" s="88"/>
      <c r="I188" s="88"/>
      <c r="J188" s="88"/>
      <c r="K188" s="89" t="b">
        <v>1</v>
      </c>
      <c r="L188" s="60"/>
      <c r="M188" s="57"/>
      <c r="N188" s="57"/>
      <c r="O188" s="61"/>
      <c r="P188" s="60"/>
      <c r="Q188" s="57"/>
      <c r="R188" s="57"/>
      <c r="S188" s="95"/>
      <c r="T188" s="88"/>
      <c r="U188" s="88"/>
      <c r="V188" s="88"/>
      <c r="W188" s="96"/>
      <c r="X188" s="97"/>
      <c r="Y188" s="97"/>
      <c r="Z188" s="98"/>
      <c r="AA188" s="99"/>
      <c r="AB188" s="98"/>
      <c r="AC188" s="88"/>
      <c r="AD188" s="98"/>
      <c r="AE188" s="64"/>
      <c r="AF188" s="67" t="str">
        <f t="shared" si="6"/>
        <v/>
      </c>
      <c r="AG188" s="58"/>
      <c r="AH188" s="68" t="str">
        <f t="shared" si="7"/>
        <v/>
      </c>
      <c r="AI188" s="53"/>
      <c r="AJ188" s="53"/>
      <c r="AK188" s="53"/>
      <c r="AL188" s="53"/>
      <c r="AM188" s="53"/>
      <c r="AN188" s="53"/>
      <c r="AO188" s="53"/>
      <c r="AP188" s="53"/>
      <c r="AQ188" s="53"/>
      <c r="AR188" s="53"/>
      <c r="AS188" s="53"/>
      <c r="AT188" s="53"/>
      <c r="AU188" s="53"/>
      <c r="AV188" s="58"/>
      <c r="AW188" s="58"/>
      <c r="AX188" s="58"/>
      <c r="AY188" s="53"/>
      <c r="AZ188" s="53"/>
      <c r="BA188" s="53"/>
      <c r="BB188" s="53"/>
      <c r="BC188" s="53"/>
      <c r="BD188" s="53"/>
      <c r="BE188" s="53"/>
      <c r="BF188" s="53"/>
      <c r="BG188" s="53"/>
      <c r="BH188" s="53"/>
      <c r="BI188" s="53"/>
      <c r="BJ188" s="53"/>
      <c r="BK188" s="53"/>
      <c r="BL188" s="53"/>
      <c r="BM188" s="53"/>
      <c r="BN188" s="53"/>
      <c r="BO188" s="65" t="str">
        <f t="shared" si="8"/>
        <v/>
      </c>
    </row>
    <row r="189" spans="1:67" ht="19.5" customHeight="1">
      <c r="A189" s="70" t="b">
        <v>0</v>
      </c>
      <c r="B189" s="71" t="b">
        <v>1</v>
      </c>
      <c r="C189" s="72" t="b">
        <v>0</v>
      </c>
      <c r="D189" s="72" t="b">
        <v>0</v>
      </c>
      <c r="E189" s="57"/>
      <c r="F189" s="59"/>
      <c r="G189" s="57"/>
      <c r="H189" s="88"/>
      <c r="I189" s="88"/>
      <c r="J189" s="88"/>
      <c r="K189" s="89" t="b">
        <v>1</v>
      </c>
      <c r="L189" s="60"/>
      <c r="M189" s="57"/>
      <c r="N189" s="57"/>
      <c r="O189" s="61"/>
      <c r="P189" s="60"/>
      <c r="Q189" s="57"/>
      <c r="R189" s="57"/>
      <c r="S189" s="95"/>
      <c r="T189" s="88"/>
      <c r="U189" s="88"/>
      <c r="V189" s="88"/>
      <c r="W189" s="96"/>
      <c r="X189" s="97"/>
      <c r="Y189" s="97"/>
      <c r="Z189" s="98"/>
      <c r="AA189" s="99"/>
      <c r="AB189" s="98"/>
      <c r="AC189" s="88"/>
      <c r="AD189" s="98"/>
      <c r="AE189" s="64"/>
      <c r="AF189" s="67" t="str">
        <f t="shared" si="6"/>
        <v/>
      </c>
      <c r="AG189" s="58"/>
      <c r="AH189" s="68" t="str">
        <f t="shared" si="7"/>
        <v/>
      </c>
      <c r="AI189" s="53"/>
      <c r="AJ189" s="53"/>
      <c r="AK189" s="53"/>
      <c r="AL189" s="53"/>
      <c r="AM189" s="53"/>
      <c r="AN189" s="53"/>
      <c r="AO189" s="53"/>
      <c r="AP189" s="53"/>
      <c r="AQ189" s="53"/>
      <c r="AR189" s="53"/>
      <c r="AS189" s="53"/>
      <c r="AT189" s="53"/>
      <c r="AU189" s="53"/>
      <c r="AV189" s="58"/>
      <c r="AW189" s="58"/>
      <c r="AX189" s="58"/>
      <c r="AY189" s="53"/>
      <c r="AZ189" s="53"/>
      <c r="BA189" s="53"/>
      <c r="BB189" s="53"/>
      <c r="BC189" s="53"/>
      <c r="BD189" s="53"/>
      <c r="BE189" s="53"/>
      <c r="BF189" s="53"/>
      <c r="BG189" s="53"/>
      <c r="BH189" s="53"/>
      <c r="BI189" s="53"/>
      <c r="BJ189" s="53"/>
      <c r="BK189" s="53"/>
      <c r="BL189" s="53"/>
      <c r="BM189" s="53"/>
      <c r="BN189" s="53"/>
      <c r="BO189" s="65" t="str">
        <f t="shared" si="8"/>
        <v/>
      </c>
    </row>
    <row r="190" spans="1:67" ht="19.5" customHeight="1">
      <c r="A190" s="70" t="b">
        <v>0</v>
      </c>
      <c r="B190" s="71" t="b">
        <v>1</v>
      </c>
      <c r="C190" s="72" t="b">
        <v>0</v>
      </c>
      <c r="D190" s="72" t="b">
        <v>0</v>
      </c>
      <c r="E190" s="57"/>
      <c r="F190" s="59"/>
      <c r="G190" s="57"/>
      <c r="H190" s="88"/>
      <c r="I190" s="88"/>
      <c r="J190" s="88"/>
      <c r="K190" s="89" t="b">
        <v>1</v>
      </c>
      <c r="L190" s="60"/>
      <c r="M190" s="57"/>
      <c r="N190" s="57"/>
      <c r="O190" s="61"/>
      <c r="P190" s="60"/>
      <c r="Q190" s="57"/>
      <c r="R190" s="57"/>
      <c r="S190" s="95"/>
      <c r="T190" s="88"/>
      <c r="U190" s="88"/>
      <c r="V190" s="88"/>
      <c r="W190" s="96"/>
      <c r="X190" s="97"/>
      <c r="Y190" s="97"/>
      <c r="Z190" s="98"/>
      <c r="AA190" s="99"/>
      <c r="AB190" s="98"/>
      <c r="AC190" s="88"/>
      <c r="AD190" s="98"/>
      <c r="AE190" s="64"/>
      <c r="AF190" s="67" t="str">
        <f t="shared" si="6"/>
        <v/>
      </c>
      <c r="AG190" s="58"/>
      <c r="AH190" s="68" t="str">
        <f t="shared" si="7"/>
        <v/>
      </c>
      <c r="AI190" s="53"/>
      <c r="AJ190" s="53"/>
      <c r="AK190" s="53"/>
      <c r="AL190" s="53"/>
      <c r="AM190" s="53"/>
      <c r="AN190" s="53"/>
      <c r="AO190" s="53"/>
      <c r="AP190" s="53"/>
      <c r="AQ190" s="53"/>
      <c r="AR190" s="53"/>
      <c r="AS190" s="53"/>
      <c r="AT190" s="53"/>
      <c r="AU190" s="53"/>
      <c r="AV190" s="58"/>
      <c r="AW190" s="58"/>
      <c r="AX190" s="58"/>
      <c r="AY190" s="53"/>
      <c r="AZ190" s="53"/>
      <c r="BA190" s="53"/>
      <c r="BB190" s="53"/>
      <c r="BC190" s="53"/>
      <c r="BD190" s="53"/>
      <c r="BE190" s="53"/>
      <c r="BF190" s="53"/>
      <c r="BG190" s="53"/>
      <c r="BH190" s="53"/>
      <c r="BI190" s="53"/>
      <c r="BJ190" s="53"/>
      <c r="BK190" s="53"/>
      <c r="BL190" s="53"/>
      <c r="BM190" s="53"/>
      <c r="BN190" s="53"/>
      <c r="BO190" s="65" t="str">
        <f t="shared" si="8"/>
        <v/>
      </c>
    </row>
    <row r="191" spans="1:67" ht="19.5" customHeight="1">
      <c r="A191" s="70" t="b">
        <v>0</v>
      </c>
      <c r="B191" s="71" t="b">
        <v>1</v>
      </c>
      <c r="C191" s="72" t="b">
        <v>0</v>
      </c>
      <c r="D191" s="72" t="b">
        <v>0</v>
      </c>
      <c r="E191" s="57"/>
      <c r="F191" s="59"/>
      <c r="G191" s="57"/>
      <c r="H191" s="88"/>
      <c r="I191" s="88"/>
      <c r="J191" s="88"/>
      <c r="K191" s="89" t="b">
        <v>1</v>
      </c>
      <c r="L191" s="60"/>
      <c r="M191" s="57"/>
      <c r="N191" s="57"/>
      <c r="O191" s="61"/>
      <c r="P191" s="60"/>
      <c r="Q191" s="57"/>
      <c r="R191" s="57"/>
      <c r="S191" s="95"/>
      <c r="T191" s="88"/>
      <c r="U191" s="88"/>
      <c r="V191" s="88"/>
      <c r="W191" s="96"/>
      <c r="X191" s="97"/>
      <c r="Y191" s="97"/>
      <c r="Z191" s="98"/>
      <c r="AA191" s="99"/>
      <c r="AB191" s="98"/>
      <c r="AC191" s="88"/>
      <c r="AD191" s="98"/>
      <c r="AE191" s="64"/>
      <c r="AF191" s="67" t="str">
        <f t="shared" si="6"/>
        <v/>
      </c>
      <c r="AG191" s="58"/>
      <c r="AH191" s="68" t="str">
        <f t="shared" si="7"/>
        <v/>
      </c>
      <c r="AI191" s="53"/>
      <c r="AJ191" s="53"/>
      <c r="AK191" s="53"/>
      <c r="AL191" s="53"/>
      <c r="AM191" s="53"/>
      <c r="AN191" s="53"/>
      <c r="AO191" s="53"/>
      <c r="AP191" s="53"/>
      <c r="AQ191" s="53"/>
      <c r="AR191" s="53"/>
      <c r="AS191" s="53"/>
      <c r="AT191" s="53"/>
      <c r="AU191" s="53"/>
      <c r="AV191" s="58"/>
      <c r="AW191" s="58"/>
      <c r="AX191" s="58"/>
      <c r="AY191" s="53"/>
      <c r="AZ191" s="53"/>
      <c r="BA191" s="53"/>
      <c r="BB191" s="53"/>
      <c r="BC191" s="53"/>
      <c r="BD191" s="53"/>
      <c r="BE191" s="53"/>
      <c r="BF191" s="53"/>
      <c r="BG191" s="53"/>
      <c r="BH191" s="53"/>
      <c r="BI191" s="53"/>
      <c r="BJ191" s="53"/>
      <c r="BK191" s="53"/>
      <c r="BL191" s="53"/>
      <c r="BM191" s="53"/>
      <c r="BN191" s="53"/>
      <c r="BO191" s="65" t="str">
        <f t="shared" si="8"/>
        <v/>
      </c>
    </row>
    <row r="192" spans="1:67" ht="19.5" customHeight="1">
      <c r="A192" s="70" t="b">
        <v>0</v>
      </c>
      <c r="B192" s="71" t="b">
        <v>1</v>
      </c>
      <c r="C192" s="72" t="b">
        <v>0</v>
      </c>
      <c r="D192" s="72" t="b">
        <v>0</v>
      </c>
      <c r="E192" s="57"/>
      <c r="F192" s="59"/>
      <c r="G192" s="57"/>
      <c r="H192" s="88"/>
      <c r="I192" s="88"/>
      <c r="J192" s="88"/>
      <c r="K192" s="89" t="b">
        <v>1</v>
      </c>
      <c r="L192" s="60"/>
      <c r="M192" s="57"/>
      <c r="N192" s="57"/>
      <c r="O192" s="61"/>
      <c r="P192" s="60"/>
      <c r="Q192" s="57"/>
      <c r="R192" s="57"/>
      <c r="S192" s="95"/>
      <c r="T192" s="88"/>
      <c r="U192" s="88"/>
      <c r="V192" s="88"/>
      <c r="W192" s="96"/>
      <c r="X192" s="97"/>
      <c r="Y192" s="97"/>
      <c r="Z192" s="98"/>
      <c r="AA192" s="99"/>
      <c r="AB192" s="98"/>
      <c r="AC192" s="88"/>
      <c r="AD192" s="98"/>
      <c r="AE192" s="64"/>
      <c r="AF192" s="67" t="str">
        <f t="shared" si="6"/>
        <v/>
      </c>
      <c r="AG192" s="58"/>
      <c r="AH192" s="68" t="str">
        <f t="shared" si="7"/>
        <v/>
      </c>
      <c r="AI192" s="53"/>
      <c r="AJ192" s="53"/>
      <c r="AK192" s="53"/>
      <c r="AL192" s="53"/>
      <c r="AM192" s="53"/>
      <c r="AN192" s="53"/>
      <c r="AO192" s="53"/>
      <c r="AP192" s="53"/>
      <c r="AQ192" s="53"/>
      <c r="AR192" s="53"/>
      <c r="AS192" s="53"/>
      <c r="AT192" s="53"/>
      <c r="AU192" s="53"/>
      <c r="AV192" s="58"/>
      <c r="AW192" s="58"/>
      <c r="AX192" s="58"/>
      <c r="AY192" s="53"/>
      <c r="AZ192" s="53"/>
      <c r="BA192" s="53"/>
      <c r="BB192" s="53"/>
      <c r="BC192" s="53"/>
      <c r="BD192" s="53"/>
      <c r="BE192" s="53"/>
      <c r="BF192" s="53"/>
      <c r="BG192" s="53"/>
      <c r="BH192" s="53"/>
      <c r="BI192" s="53"/>
      <c r="BJ192" s="53"/>
      <c r="BK192" s="53"/>
      <c r="BL192" s="53"/>
      <c r="BM192" s="53"/>
      <c r="BN192" s="53"/>
      <c r="BO192" s="65" t="str">
        <f t="shared" si="8"/>
        <v/>
      </c>
    </row>
    <row r="193" spans="1:67" ht="19.5" customHeight="1">
      <c r="A193" s="70" t="b">
        <v>0</v>
      </c>
      <c r="B193" s="71" t="b">
        <v>1</v>
      </c>
      <c r="C193" s="72" t="b">
        <v>0</v>
      </c>
      <c r="D193" s="72" t="b">
        <v>0</v>
      </c>
      <c r="E193" s="57"/>
      <c r="F193" s="59"/>
      <c r="G193" s="57"/>
      <c r="H193" s="88"/>
      <c r="I193" s="88"/>
      <c r="J193" s="88"/>
      <c r="K193" s="89" t="b">
        <v>1</v>
      </c>
      <c r="L193" s="60"/>
      <c r="M193" s="57"/>
      <c r="N193" s="57"/>
      <c r="O193" s="61"/>
      <c r="P193" s="60"/>
      <c r="Q193" s="57"/>
      <c r="R193" s="57"/>
      <c r="S193" s="95"/>
      <c r="T193" s="88"/>
      <c r="U193" s="88"/>
      <c r="V193" s="88"/>
      <c r="W193" s="96"/>
      <c r="X193" s="97"/>
      <c r="Y193" s="97"/>
      <c r="Z193" s="98"/>
      <c r="AA193" s="99"/>
      <c r="AB193" s="98"/>
      <c r="AC193" s="88"/>
      <c r="AD193" s="98"/>
      <c r="AE193" s="64"/>
      <c r="AF193" s="67" t="str">
        <f t="shared" si="6"/>
        <v/>
      </c>
      <c r="AG193" s="58"/>
      <c r="AH193" s="68" t="str">
        <f t="shared" si="7"/>
        <v/>
      </c>
      <c r="AI193" s="53"/>
      <c r="AJ193" s="53"/>
      <c r="AK193" s="53"/>
      <c r="AL193" s="53"/>
      <c r="AM193" s="53"/>
      <c r="AN193" s="53"/>
      <c r="AO193" s="53"/>
      <c r="AP193" s="53"/>
      <c r="AQ193" s="53"/>
      <c r="AR193" s="53"/>
      <c r="AS193" s="53"/>
      <c r="AT193" s="53"/>
      <c r="AU193" s="53"/>
      <c r="AV193" s="58"/>
      <c r="AW193" s="58"/>
      <c r="AX193" s="58"/>
      <c r="AY193" s="53"/>
      <c r="AZ193" s="53"/>
      <c r="BA193" s="53"/>
      <c r="BB193" s="53"/>
      <c r="BC193" s="53"/>
      <c r="BD193" s="53"/>
      <c r="BE193" s="53"/>
      <c r="BF193" s="53"/>
      <c r="BG193" s="53"/>
      <c r="BH193" s="53"/>
      <c r="BI193" s="53"/>
      <c r="BJ193" s="53"/>
      <c r="BK193" s="53"/>
      <c r="BL193" s="53"/>
      <c r="BM193" s="53"/>
      <c r="BN193" s="53"/>
      <c r="BO193" s="65" t="str">
        <f t="shared" si="8"/>
        <v/>
      </c>
    </row>
    <row r="194" spans="1:67" ht="19.5" customHeight="1">
      <c r="A194" s="70" t="b">
        <v>0</v>
      </c>
      <c r="B194" s="71" t="b">
        <v>1</v>
      </c>
      <c r="C194" s="72" t="b">
        <v>0</v>
      </c>
      <c r="D194" s="72" t="b">
        <v>0</v>
      </c>
      <c r="E194" s="57"/>
      <c r="F194" s="59"/>
      <c r="G194" s="57"/>
      <c r="H194" s="88"/>
      <c r="I194" s="88"/>
      <c r="J194" s="88"/>
      <c r="K194" s="89" t="b">
        <v>1</v>
      </c>
      <c r="L194" s="60"/>
      <c r="M194" s="57"/>
      <c r="N194" s="57"/>
      <c r="O194" s="61"/>
      <c r="P194" s="60"/>
      <c r="Q194" s="57"/>
      <c r="R194" s="57"/>
      <c r="S194" s="95"/>
      <c r="T194" s="88"/>
      <c r="U194" s="88"/>
      <c r="V194" s="88"/>
      <c r="W194" s="96"/>
      <c r="X194" s="97"/>
      <c r="Y194" s="97"/>
      <c r="Z194" s="98"/>
      <c r="AA194" s="99"/>
      <c r="AB194" s="98"/>
      <c r="AC194" s="88"/>
      <c r="AD194" s="98"/>
      <c r="AE194" s="64"/>
      <c r="AF194" s="67" t="str">
        <f t="shared" si="6"/>
        <v/>
      </c>
      <c r="AG194" s="58"/>
      <c r="AH194" s="68" t="str">
        <f t="shared" si="7"/>
        <v/>
      </c>
      <c r="AI194" s="53"/>
      <c r="AJ194" s="53"/>
      <c r="AK194" s="53"/>
      <c r="AL194" s="53"/>
      <c r="AM194" s="53"/>
      <c r="AN194" s="53"/>
      <c r="AO194" s="53"/>
      <c r="AP194" s="53"/>
      <c r="AQ194" s="53"/>
      <c r="AR194" s="53"/>
      <c r="AS194" s="53"/>
      <c r="AT194" s="53"/>
      <c r="AU194" s="53"/>
      <c r="AV194" s="58"/>
      <c r="AW194" s="58"/>
      <c r="AX194" s="58"/>
      <c r="AY194" s="53"/>
      <c r="AZ194" s="53"/>
      <c r="BA194" s="53"/>
      <c r="BB194" s="53"/>
      <c r="BC194" s="53"/>
      <c r="BD194" s="53"/>
      <c r="BE194" s="53"/>
      <c r="BF194" s="53"/>
      <c r="BG194" s="53"/>
      <c r="BH194" s="53"/>
      <c r="BI194" s="53"/>
      <c r="BJ194" s="53"/>
      <c r="BK194" s="53"/>
      <c r="BL194" s="53"/>
      <c r="BM194" s="53"/>
      <c r="BN194" s="53"/>
      <c r="BO194" s="65" t="str">
        <f t="shared" si="8"/>
        <v/>
      </c>
    </row>
    <row r="195" spans="1:67" ht="19.5" customHeight="1">
      <c r="A195" s="70" t="b">
        <v>0</v>
      </c>
      <c r="B195" s="71" t="b">
        <v>1</v>
      </c>
      <c r="C195" s="72" t="b">
        <v>0</v>
      </c>
      <c r="D195" s="72" t="b">
        <v>0</v>
      </c>
      <c r="E195" s="57"/>
      <c r="F195" s="59"/>
      <c r="G195" s="57"/>
      <c r="H195" s="88"/>
      <c r="I195" s="88"/>
      <c r="J195" s="88"/>
      <c r="K195" s="89" t="b">
        <v>1</v>
      </c>
      <c r="L195" s="60"/>
      <c r="M195" s="57"/>
      <c r="N195" s="57"/>
      <c r="O195" s="61"/>
      <c r="P195" s="60"/>
      <c r="Q195" s="57"/>
      <c r="R195" s="57"/>
      <c r="S195" s="95"/>
      <c r="T195" s="88"/>
      <c r="U195" s="88"/>
      <c r="V195" s="88"/>
      <c r="W195" s="96"/>
      <c r="X195" s="97"/>
      <c r="Y195" s="97"/>
      <c r="Z195" s="98"/>
      <c r="AA195" s="99"/>
      <c r="AB195" s="98"/>
      <c r="AC195" s="88"/>
      <c r="AD195" s="98"/>
      <c r="AE195" s="64"/>
      <c r="AF195" s="67" t="str">
        <f t="shared" si="6"/>
        <v/>
      </c>
      <c r="AG195" s="58"/>
      <c r="AH195" s="68" t="str">
        <f t="shared" si="7"/>
        <v/>
      </c>
      <c r="AI195" s="53"/>
      <c r="AJ195" s="53"/>
      <c r="AK195" s="53"/>
      <c r="AL195" s="53"/>
      <c r="AM195" s="53"/>
      <c r="AN195" s="53"/>
      <c r="AO195" s="53"/>
      <c r="AP195" s="53"/>
      <c r="AQ195" s="53"/>
      <c r="AR195" s="53"/>
      <c r="AS195" s="53"/>
      <c r="AT195" s="53"/>
      <c r="AU195" s="53"/>
      <c r="AV195" s="58"/>
      <c r="AW195" s="58"/>
      <c r="AX195" s="58"/>
      <c r="AY195" s="53"/>
      <c r="AZ195" s="53"/>
      <c r="BA195" s="53"/>
      <c r="BB195" s="53"/>
      <c r="BC195" s="53"/>
      <c r="BD195" s="53"/>
      <c r="BE195" s="53"/>
      <c r="BF195" s="53"/>
      <c r="BG195" s="53"/>
      <c r="BH195" s="53"/>
      <c r="BI195" s="53"/>
      <c r="BJ195" s="53"/>
      <c r="BK195" s="53"/>
      <c r="BL195" s="53"/>
      <c r="BM195" s="53"/>
      <c r="BN195" s="53"/>
      <c r="BO195" s="65" t="str">
        <f t="shared" si="8"/>
        <v/>
      </c>
    </row>
    <row r="196" spans="1:67" ht="19.5" customHeight="1">
      <c r="A196" s="70" t="b">
        <v>0</v>
      </c>
      <c r="B196" s="71" t="b">
        <v>1</v>
      </c>
      <c r="C196" s="72" t="b">
        <v>0</v>
      </c>
      <c r="D196" s="72" t="b">
        <v>0</v>
      </c>
      <c r="E196" s="57"/>
      <c r="F196" s="59"/>
      <c r="G196" s="57"/>
      <c r="H196" s="88"/>
      <c r="I196" s="88"/>
      <c r="J196" s="88"/>
      <c r="K196" s="89" t="b">
        <v>1</v>
      </c>
      <c r="L196" s="60"/>
      <c r="M196" s="57"/>
      <c r="N196" s="57"/>
      <c r="O196" s="61"/>
      <c r="P196" s="60"/>
      <c r="Q196" s="57"/>
      <c r="R196" s="57"/>
      <c r="S196" s="95"/>
      <c r="T196" s="88"/>
      <c r="U196" s="88"/>
      <c r="V196" s="88"/>
      <c r="W196" s="96"/>
      <c r="X196" s="97"/>
      <c r="Y196" s="97"/>
      <c r="Z196" s="98"/>
      <c r="AA196" s="99"/>
      <c r="AB196" s="98"/>
      <c r="AC196" s="88"/>
      <c r="AD196" s="98"/>
      <c r="AE196" s="64"/>
      <c r="AF196" s="67" t="str">
        <f t="shared" si="6"/>
        <v/>
      </c>
      <c r="AG196" s="58"/>
      <c r="AH196" s="68" t="str">
        <f t="shared" si="7"/>
        <v/>
      </c>
      <c r="AI196" s="53"/>
      <c r="AJ196" s="53"/>
      <c r="AK196" s="53"/>
      <c r="AL196" s="53"/>
      <c r="AM196" s="53"/>
      <c r="AN196" s="53"/>
      <c r="AO196" s="53"/>
      <c r="AP196" s="53"/>
      <c r="AQ196" s="53"/>
      <c r="AR196" s="53"/>
      <c r="AS196" s="53"/>
      <c r="AT196" s="53"/>
      <c r="AU196" s="53"/>
      <c r="AV196" s="58"/>
      <c r="AW196" s="58"/>
      <c r="AX196" s="58"/>
      <c r="AY196" s="53"/>
      <c r="AZ196" s="53"/>
      <c r="BA196" s="53"/>
      <c r="BB196" s="53"/>
      <c r="BC196" s="53"/>
      <c r="BD196" s="53"/>
      <c r="BE196" s="53"/>
      <c r="BF196" s="53"/>
      <c r="BG196" s="53"/>
      <c r="BH196" s="53"/>
      <c r="BI196" s="53"/>
      <c r="BJ196" s="53"/>
      <c r="BK196" s="53"/>
      <c r="BL196" s="53"/>
      <c r="BM196" s="53"/>
      <c r="BN196" s="53"/>
      <c r="BO196" s="65" t="str">
        <f t="shared" si="8"/>
        <v/>
      </c>
    </row>
    <row r="197" spans="1:67" ht="19.5" customHeight="1">
      <c r="A197" s="70" t="b">
        <v>0</v>
      </c>
      <c r="B197" s="71" t="b">
        <v>1</v>
      </c>
      <c r="C197" s="72" t="b">
        <v>0</v>
      </c>
      <c r="D197" s="72" t="b">
        <v>0</v>
      </c>
      <c r="E197" s="57"/>
      <c r="F197" s="59"/>
      <c r="G197" s="57"/>
      <c r="H197" s="88"/>
      <c r="I197" s="88"/>
      <c r="J197" s="88"/>
      <c r="K197" s="89" t="b">
        <v>1</v>
      </c>
      <c r="L197" s="60"/>
      <c r="M197" s="57"/>
      <c r="N197" s="57"/>
      <c r="O197" s="61"/>
      <c r="P197" s="60"/>
      <c r="Q197" s="57"/>
      <c r="R197" s="57"/>
      <c r="S197" s="95"/>
      <c r="T197" s="88"/>
      <c r="U197" s="88"/>
      <c r="V197" s="88"/>
      <c r="W197" s="96"/>
      <c r="X197" s="97"/>
      <c r="Y197" s="97"/>
      <c r="Z197" s="98"/>
      <c r="AA197" s="99"/>
      <c r="AB197" s="98"/>
      <c r="AC197" s="88"/>
      <c r="AD197" s="98"/>
      <c r="AE197" s="64"/>
      <c r="AF197" s="67" t="str">
        <f t="shared" si="6"/>
        <v/>
      </c>
      <c r="AG197" s="58"/>
      <c r="AH197" s="68" t="str">
        <f t="shared" si="7"/>
        <v/>
      </c>
      <c r="AI197" s="53"/>
      <c r="AJ197" s="53"/>
      <c r="AK197" s="53"/>
      <c r="AL197" s="53"/>
      <c r="AM197" s="53"/>
      <c r="AN197" s="53"/>
      <c r="AO197" s="53"/>
      <c r="AP197" s="53"/>
      <c r="AQ197" s="53"/>
      <c r="AR197" s="53"/>
      <c r="AS197" s="53"/>
      <c r="AT197" s="53"/>
      <c r="AU197" s="53"/>
      <c r="AV197" s="58"/>
      <c r="AW197" s="58"/>
      <c r="AX197" s="58"/>
      <c r="AY197" s="53"/>
      <c r="AZ197" s="53"/>
      <c r="BA197" s="53"/>
      <c r="BB197" s="53"/>
      <c r="BC197" s="53"/>
      <c r="BD197" s="53"/>
      <c r="BE197" s="53"/>
      <c r="BF197" s="53"/>
      <c r="BG197" s="53"/>
      <c r="BH197" s="53"/>
      <c r="BI197" s="53"/>
      <c r="BJ197" s="53"/>
      <c r="BK197" s="53"/>
      <c r="BL197" s="53"/>
      <c r="BM197" s="53"/>
      <c r="BN197" s="53"/>
      <c r="BO197" s="65" t="str">
        <f t="shared" si="8"/>
        <v/>
      </c>
    </row>
    <row r="198" spans="1:67" ht="19.5" customHeight="1">
      <c r="A198" s="70" t="b">
        <v>0</v>
      </c>
      <c r="B198" s="71" t="b">
        <v>1</v>
      </c>
      <c r="C198" s="72" t="b">
        <v>0</v>
      </c>
      <c r="D198" s="72" t="b">
        <v>0</v>
      </c>
      <c r="E198" s="57"/>
      <c r="F198" s="59"/>
      <c r="G198" s="57"/>
      <c r="H198" s="88"/>
      <c r="I198" s="88"/>
      <c r="J198" s="88"/>
      <c r="K198" s="89" t="b">
        <v>1</v>
      </c>
      <c r="L198" s="60"/>
      <c r="M198" s="57"/>
      <c r="N198" s="57"/>
      <c r="O198" s="61"/>
      <c r="P198" s="60"/>
      <c r="Q198" s="57"/>
      <c r="R198" s="57"/>
      <c r="S198" s="95"/>
      <c r="T198" s="88"/>
      <c r="U198" s="88"/>
      <c r="V198" s="88"/>
      <c r="W198" s="96"/>
      <c r="X198" s="97"/>
      <c r="Y198" s="97"/>
      <c r="Z198" s="98"/>
      <c r="AA198" s="99"/>
      <c r="AB198" s="98"/>
      <c r="AC198" s="88"/>
      <c r="AD198" s="98"/>
      <c r="AE198" s="64"/>
      <c r="AF198" s="67" t="str">
        <f t="shared" si="6"/>
        <v/>
      </c>
      <c r="AG198" s="58"/>
      <c r="AH198" s="68" t="str">
        <f t="shared" si="7"/>
        <v/>
      </c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8"/>
      <c r="AW198" s="58"/>
      <c r="AX198" s="58"/>
      <c r="AY198" s="53"/>
      <c r="AZ198" s="53"/>
      <c r="BA198" s="53"/>
      <c r="BB198" s="53"/>
      <c r="BC198" s="53"/>
      <c r="BD198" s="53"/>
      <c r="BE198" s="53"/>
      <c r="BF198" s="53"/>
      <c r="BG198" s="53"/>
      <c r="BH198" s="53"/>
      <c r="BI198" s="53"/>
      <c r="BJ198" s="53"/>
      <c r="BK198" s="53"/>
      <c r="BL198" s="53"/>
      <c r="BM198" s="53"/>
      <c r="BN198" s="53"/>
      <c r="BO198" s="65" t="str">
        <f t="shared" si="8"/>
        <v/>
      </c>
    </row>
    <row r="199" spans="1:67" ht="19.5" customHeight="1">
      <c r="A199" s="70" t="b">
        <v>0</v>
      </c>
      <c r="B199" s="71" t="b">
        <v>1</v>
      </c>
      <c r="C199" s="72" t="b">
        <v>0</v>
      </c>
      <c r="D199" s="72" t="b">
        <v>0</v>
      </c>
      <c r="E199" s="57"/>
      <c r="F199" s="59"/>
      <c r="G199" s="57"/>
      <c r="H199" s="88"/>
      <c r="I199" s="88"/>
      <c r="J199" s="88"/>
      <c r="K199" s="89" t="b">
        <v>1</v>
      </c>
      <c r="L199" s="60"/>
      <c r="M199" s="57"/>
      <c r="N199" s="57"/>
      <c r="O199" s="61"/>
      <c r="P199" s="60"/>
      <c r="Q199" s="57"/>
      <c r="R199" s="57"/>
      <c r="S199" s="95"/>
      <c r="T199" s="88"/>
      <c r="U199" s="88"/>
      <c r="V199" s="88"/>
      <c r="W199" s="96"/>
      <c r="X199" s="97"/>
      <c r="Y199" s="97"/>
      <c r="Z199" s="98"/>
      <c r="AA199" s="99"/>
      <c r="AB199" s="98"/>
      <c r="AC199" s="88"/>
      <c r="AD199" s="98"/>
      <c r="AE199" s="64"/>
      <c r="AF199" s="67" t="str">
        <f t="shared" si="6"/>
        <v/>
      </c>
      <c r="AG199" s="58"/>
      <c r="AH199" s="68" t="str">
        <f t="shared" si="7"/>
        <v/>
      </c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8"/>
      <c r="AW199" s="58"/>
      <c r="AX199" s="58"/>
      <c r="AY199" s="53"/>
      <c r="AZ199" s="53"/>
      <c r="BA199" s="53"/>
      <c r="BB199" s="53"/>
      <c r="BC199" s="53"/>
      <c r="BD199" s="53"/>
      <c r="BE199" s="53"/>
      <c r="BF199" s="53"/>
      <c r="BG199" s="53"/>
      <c r="BH199" s="53"/>
      <c r="BI199" s="53"/>
      <c r="BJ199" s="53"/>
      <c r="BK199" s="53"/>
      <c r="BL199" s="53"/>
      <c r="BM199" s="53"/>
      <c r="BN199" s="53"/>
      <c r="BO199" s="65" t="str">
        <f t="shared" si="8"/>
        <v/>
      </c>
    </row>
    <row r="200" spans="1:67" ht="19.5" customHeight="1">
      <c r="A200" s="70" t="b">
        <v>0</v>
      </c>
      <c r="B200" s="71" t="b">
        <v>1</v>
      </c>
      <c r="C200" s="72" t="b">
        <v>0</v>
      </c>
      <c r="D200" s="72" t="b">
        <v>0</v>
      </c>
      <c r="E200" s="57"/>
      <c r="F200" s="59"/>
      <c r="G200" s="57"/>
      <c r="H200" s="88"/>
      <c r="I200" s="88"/>
      <c r="J200" s="88"/>
      <c r="K200" s="89" t="b">
        <v>1</v>
      </c>
      <c r="L200" s="60"/>
      <c r="M200" s="57"/>
      <c r="N200" s="57"/>
      <c r="O200" s="61"/>
      <c r="P200" s="60"/>
      <c r="Q200" s="57"/>
      <c r="R200" s="57"/>
      <c r="S200" s="95"/>
      <c r="T200" s="88"/>
      <c r="U200" s="88"/>
      <c r="V200" s="88"/>
      <c r="W200" s="96"/>
      <c r="X200" s="97"/>
      <c r="Y200" s="97"/>
      <c r="Z200" s="98"/>
      <c r="AA200" s="99"/>
      <c r="AB200" s="98"/>
      <c r="AC200" s="88"/>
      <c r="AD200" s="98"/>
      <c r="AE200" s="64"/>
      <c r="AF200" s="67" t="str">
        <f t="shared" si="6"/>
        <v/>
      </c>
      <c r="AG200" s="58"/>
      <c r="AH200" s="68" t="str">
        <f t="shared" si="7"/>
        <v/>
      </c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8"/>
      <c r="AW200" s="58"/>
      <c r="AX200" s="58"/>
      <c r="AY200" s="53"/>
      <c r="AZ200" s="53"/>
      <c r="BA200" s="53"/>
      <c r="BB200" s="53"/>
      <c r="BC200" s="53"/>
      <c r="BD200" s="53"/>
      <c r="BE200" s="53"/>
      <c r="BF200" s="53"/>
      <c r="BG200" s="53"/>
      <c r="BH200" s="53"/>
      <c r="BI200" s="53"/>
      <c r="BJ200" s="53"/>
      <c r="BK200" s="53"/>
      <c r="BL200" s="53"/>
      <c r="BM200" s="53"/>
      <c r="BN200" s="53"/>
      <c r="BO200" s="65" t="str">
        <f t="shared" si="8"/>
        <v/>
      </c>
    </row>
    <row r="201" spans="1:67" ht="19.5" customHeight="1">
      <c r="A201" s="70" t="b">
        <v>0</v>
      </c>
      <c r="B201" s="71" t="b">
        <v>1</v>
      </c>
      <c r="C201" s="72" t="b">
        <v>0</v>
      </c>
      <c r="D201" s="72" t="b">
        <v>0</v>
      </c>
      <c r="E201" s="57"/>
      <c r="F201" s="59"/>
      <c r="G201" s="57"/>
      <c r="H201" s="88"/>
      <c r="I201" s="88"/>
      <c r="J201" s="88"/>
      <c r="K201" s="89" t="b">
        <v>1</v>
      </c>
      <c r="L201" s="60"/>
      <c r="M201" s="57"/>
      <c r="N201" s="57"/>
      <c r="O201" s="61"/>
      <c r="P201" s="60"/>
      <c r="Q201" s="57"/>
      <c r="R201" s="57"/>
      <c r="S201" s="95"/>
      <c r="T201" s="88"/>
      <c r="U201" s="88"/>
      <c r="V201" s="88"/>
      <c r="W201" s="96"/>
      <c r="X201" s="97"/>
      <c r="Y201" s="97"/>
      <c r="Z201" s="98"/>
      <c r="AA201" s="99"/>
      <c r="AB201" s="98"/>
      <c r="AC201" s="88"/>
      <c r="AD201" s="98"/>
      <c r="AE201" s="64"/>
      <c r="AF201" s="67" t="str">
        <f t="shared" si="6"/>
        <v/>
      </c>
      <c r="AG201" s="58"/>
      <c r="AH201" s="68" t="str">
        <f t="shared" si="7"/>
        <v/>
      </c>
      <c r="AI201" s="53"/>
      <c r="AJ201" s="53"/>
      <c r="AK201" s="53"/>
      <c r="AL201" s="53"/>
      <c r="AM201" s="53"/>
      <c r="AN201" s="53"/>
      <c r="AO201" s="53"/>
      <c r="AP201" s="53"/>
      <c r="AQ201" s="53"/>
      <c r="AR201" s="53"/>
      <c r="AS201" s="53"/>
      <c r="AT201" s="53"/>
      <c r="AU201" s="53"/>
      <c r="AV201" s="58"/>
      <c r="AW201" s="58"/>
      <c r="AX201" s="58"/>
      <c r="AY201" s="53"/>
      <c r="AZ201" s="53"/>
      <c r="BA201" s="53"/>
      <c r="BB201" s="53"/>
      <c r="BC201" s="53"/>
      <c r="BD201" s="53"/>
      <c r="BE201" s="53"/>
      <c r="BF201" s="53"/>
      <c r="BG201" s="53"/>
      <c r="BH201" s="53"/>
      <c r="BI201" s="53"/>
      <c r="BJ201" s="53"/>
      <c r="BK201" s="53"/>
      <c r="BL201" s="53"/>
      <c r="BM201" s="53"/>
      <c r="BN201" s="53"/>
      <c r="BO201" s="65" t="str">
        <f t="shared" si="8"/>
        <v/>
      </c>
    </row>
    <row r="202" spans="1:67" ht="19.5" customHeight="1">
      <c r="A202" s="70" t="b">
        <v>0</v>
      </c>
      <c r="B202" s="71" t="b">
        <v>1</v>
      </c>
      <c r="C202" s="72" t="b">
        <v>0</v>
      </c>
      <c r="D202" s="72" t="b">
        <v>0</v>
      </c>
      <c r="E202" s="57"/>
      <c r="F202" s="59"/>
      <c r="G202" s="57"/>
      <c r="H202" s="88"/>
      <c r="I202" s="88"/>
      <c r="J202" s="88"/>
      <c r="K202" s="89" t="b">
        <v>1</v>
      </c>
      <c r="L202" s="60"/>
      <c r="M202" s="57"/>
      <c r="N202" s="57"/>
      <c r="O202" s="61"/>
      <c r="P202" s="60"/>
      <c r="Q202" s="57"/>
      <c r="R202" s="57"/>
      <c r="S202" s="95"/>
      <c r="T202" s="88"/>
      <c r="U202" s="88"/>
      <c r="V202" s="88"/>
      <c r="W202" s="96"/>
      <c r="X202" s="97"/>
      <c r="Y202" s="97"/>
      <c r="Z202" s="98"/>
      <c r="AA202" s="99"/>
      <c r="AB202" s="98"/>
      <c r="AC202" s="88"/>
      <c r="AD202" s="98"/>
      <c r="AE202" s="64"/>
      <c r="AF202" s="67" t="str">
        <f t="shared" si="6"/>
        <v/>
      </c>
      <c r="AG202" s="58"/>
      <c r="AH202" s="68" t="str">
        <f t="shared" si="7"/>
        <v/>
      </c>
      <c r="AI202" s="53"/>
      <c r="AJ202" s="53"/>
      <c r="AK202" s="53"/>
      <c r="AL202" s="53"/>
      <c r="AM202" s="53"/>
      <c r="AN202" s="53"/>
      <c r="AO202" s="53"/>
      <c r="AP202" s="53"/>
      <c r="AQ202" s="53"/>
      <c r="AR202" s="53"/>
      <c r="AS202" s="53"/>
      <c r="AT202" s="53"/>
      <c r="AU202" s="53"/>
      <c r="AV202" s="58"/>
      <c r="AW202" s="58"/>
      <c r="AX202" s="58"/>
      <c r="AY202" s="53"/>
      <c r="AZ202" s="53"/>
      <c r="BA202" s="53"/>
      <c r="BB202" s="53"/>
      <c r="BC202" s="53"/>
      <c r="BD202" s="53"/>
      <c r="BE202" s="53"/>
      <c r="BF202" s="53"/>
      <c r="BG202" s="53"/>
      <c r="BH202" s="53"/>
      <c r="BI202" s="53"/>
      <c r="BJ202" s="53"/>
      <c r="BK202" s="53"/>
      <c r="BL202" s="53"/>
      <c r="BM202" s="53"/>
      <c r="BN202" s="53"/>
      <c r="BO202" s="65" t="str">
        <f t="shared" si="8"/>
        <v/>
      </c>
    </row>
    <row r="203" spans="1:67" ht="19.5" customHeight="1">
      <c r="A203" s="70" t="b">
        <v>0</v>
      </c>
      <c r="B203" s="71" t="b">
        <v>1</v>
      </c>
      <c r="C203" s="72" t="b">
        <v>0</v>
      </c>
      <c r="D203" s="72" t="b">
        <v>0</v>
      </c>
      <c r="E203" s="57"/>
      <c r="F203" s="59"/>
      <c r="G203" s="57"/>
      <c r="H203" s="88"/>
      <c r="I203" s="88"/>
      <c r="J203" s="88"/>
      <c r="K203" s="89" t="b">
        <v>1</v>
      </c>
      <c r="L203" s="60"/>
      <c r="M203" s="57"/>
      <c r="N203" s="57"/>
      <c r="O203" s="61"/>
      <c r="P203" s="60"/>
      <c r="Q203" s="57"/>
      <c r="R203" s="57"/>
      <c r="S203" s="95"/>
      <c r="T203" s="88"/>
      <c r="U203" s="88"/>
      <c r="V203" s="88"/>
      <c r="W203" s="96"/>
      <c r="X203" s="97"/>
      <c r="Y203" s="97"/>
      <c r="Z203" s="98"/>
      <c r="AA203" s="99"/>
      <c r="AB203" s="98"/>
      <c r="AC203" s="88"/>
      <c r="AD203" s="98"/>
      <c r="AE203" s="64"/>
      <c r="AF203" s="67" t="str">
        <f t="shared" si="6"/>
        <v/>
      </c>
      <c r="AG203" s="58"/>
      <c r="AH203" s="68" t="str">
        <f t="shared" si="7"/>
        <v/>
      </c>
      <c r="AI203" s="53"/>
      <c r="AJ203" s="53"/>
      <c r="AK203" s="53"/>
      <c r="AL203" s="53"/>
      <c r="AM203" s="53"/>
      <c r="AN203" s="53"/>
      <c r="AO203" s="53"/>
      <c r="AP203" s="53"/>
      <c r="AQ203" s="53"/>
      <c r="AR203" s="53"/>
      <c r="AS203" s="53"/>
      <c r="AT203" s="53"/>
      <c r="AU203" s="53"/>
      <c r="AV203" s="58"/>
      <c r="AW203" s="58"/>
      <c r="AX203" s="58"/>
      <c r="AY203" s="53"/>
      <c r="AZ203" s="53"/>
      <c r="BA203" s="53"/>
      <c r="BB203" s="53"/>
      <c r="BC203" s="53"/>
      <c r="BD203" s="53"/>
      <c r="BE203" s="53"/>
      <c r="BF203" s="53"/>
      <c r="BG203" s="53"/>
      <c r="BH203" s="53"/>
      <c r="BI203" s="53"/>
      <c r="BJ203" s="53"/>
      <c r="BK203" s="53"/>
      <c r="BL203" s="53"/>
      <c r="BM203" s="53"/>
      <c r="BN203" s="53"/>
      <c r="BO203" s="65" t="str">
        <f t="shared" si="8"/>
        <v/>
      </c>
    </row>
    <row r="204" spans="1:67" ht="19.5" customHeight="1">
      <c r="A204" s="70" t="b">
        <v>0</v>
      </c>
      <c r="B204" s="71" t="b">
        <v>1</v>
      </c>
      <c r="C204" s="72" t="b">
        <v>0</v>
      </c>
      <c r="D204" s="72" t="b">
        <v>0</v>
      </c>
      <c r="E204" s="57"/>
      <c r="F204" s="59"/>
      <c r="G204" s="57"/>
      <c r="H204" s="88"/>
      <c r="I204" s="88"/>
      <c r="J204" s="88"/>
      <c r="K204" s="89" t="b">
        <v>1</v>
      </c>
      <c r="L204" s="60"/>
      <c r="M204" s="57"/>
      <c r="N204" s="57"/>
      <c r="O204" s="61"/>
      <c r="P204" s="60"/>
      <c r="Q204" s="57"/>
      <c r="R204" s="57"/>
      <c r="S204" s="95"/>
      <c r="T204" s="88"/>
      <c r="U204" s="88"/>
      <c r="V204" s="88"/>
      <c r="W204" s="96"/>
      <c r="X204" s="97"/>
      <c r="Y204" s="97"/>
      <c r="Z204" s="98"/>
      <c r="AA204" s="99"/>
      <c r="AB204" s="98"/>
      <c r="AC204" s="88"/>
      <c r="AD204" s="98"/>
      <c r="AE204" s="64"/>
      <c r="AF204" s="67" t="str">
        <f t="shared" si="6"/>
        <v/>
      </c>
      <c r="AG204" s="58"/>
      <c r="AH204" s="68" t="str">
        <f t="shared" si="7"/>
        <v/>
      </c>
      <c r="AI204" s="53"/>
      <c r="AJ204" s="53"/>
      <c r="AK204" s="53"/>
      <c r="AL204" s="53"/>
      <c r="AM204" s="53"/>
      <c r="AN204" s="53"/>
      <c r="AO204" s="53"/>
      <c r="AP204" s="53"/>
      <c r="AQ204" s="53"/>
      <c r="AR204" s="53"/>
      <c r="AS204" s="53"/>
      <c r="AT204" s="53"/>
      <c r="AU204" s="53"/>
      <c r="AV204" s="58"/>
      <c r="AW204" s="58"/>
      <c r="AX204" s="58"/>
      <c r="AY204" s="53"/>
      <c r="AZ204" s="53"/>
      <c r="BA204" s="53"/>
      <c r="BB204" s="53"/>
      <c r="BC204" s="53"/>
      <c r="BD204" s="53"/>
      <c r="BE204" s="53"/>
      <c r="BF204" s="53"/>
      <c r="BG204" s="53"/>
      <c r="BH204" s="53"/>
      <c r="BI204" s="53"/>
      <c r="BJ204" s="53"/>
      <c r="BK204" s="53"/>
      <c r="BL204" s="53"/>
      <c r="BM204" s="53"/>
      <c r="BN204" s="53"/>
      <c r="BO204" s="65" t="str">
        <f t="shared" si="8"/>
        <v/>
      </c>
    </row>
    <row r="205" spans="1:67" ht="19.5" customHeight="1">
      <c r="A205" s="70" t="b">
        <v>0</v>
      </c>
      <c r="B205" s="71" t="b">
        <v>1</v>
      </c>
      <c r="C205" s="72" t="b">
        <v>0</v>
      </c>
      <c r="D205" s="72" t="b">
        <v>0</v>
      </c>
      <c r="E205" s="57"/>
      <c r="F205" s="59"/>
      <c r="G205" s="57"/>
      <c r="H205" s="88"/>
      <c r="I205" s="88"/>
      <c r="J205" s="88"/>
      <c r="K205" s="89" t="b">
        <v>1</v>
      </c>
      <c r="L205" s="60"/>
      <c r="M205" s="57"/>
      <c r="N205" s="57"/>
      <c r="O205" s="61"/>
      <c r="P205" s="60"/>
      <c r="Q205" s="57"/>
      <c r="R205" s="57"/>
      <c r="S205" s="95"/>
      <c r="T205" s="88"/>
      <c r="U205" s="88"/>
      <c r="V205" s="88"/>
      <c r="W205" s="96"/>
      <c r="X205" s="97"/>
      <c r="Y205" s="97"/>
      <c r="Z205" s="98"/>
      <c r="AA205" s="99"/>
      <c r="AB205" s="98"/>
      <c r="AC205" s="88"/>
      <c r="AD205" s="98"/>
      <c r="AE205" s="64"/>
      <c r="AF205" s="67" t="str">
        <f t="shared" si="6"/>
        <v/>
      </c>
      <c r="AG205" s="58"/>
      <c r="AH205" s="68" t="str">
        <f t="shared" si="7"/>
        <v/>
      </c>
      <c r="AI205" s="53"/>
      <c r="AJ205" s="53"/>
      <c r="AK205" s="53"/>
      <c r="AL205" s="53"/>
      <c r="AM205" s="53"/>
      <c r="AN205" s="53"/>
      <c r="AO205" s="53"/>
      <c r="AP205" s="53"/>
      <c r="AQ205" s="53"/>
      <c r="AR205" s="53"/>
      <c r="AS205" s="53"/>
      <c r="AT205" s="53"/>
      <c r="AU205" s="53"/>
      <c r="AV205" s="58"/>
      <c r="AW205" s="58"/>
      <c r="AX205" s="58"/>
      <c r="AY205" s="53"/>
      <c r="AZ205" s="53"/>
      <c r="BA205" s="53"/>
      <c r="BB205" s="53"/>
      <c r="BC205" s="53"/>
      <c r="BD205" s="53"/>
      <c r="BE205" s="53"/>
      <c r="BF205" s="53"/>
      <c r="BG205" s="53"/>
      <c r="BH205" s="53"/>
      <c r="BI205" s="53"/>
      <c r="BJ205" s="53"/>
      <c r="BK205" s="53"/>
      <c r="BL205" s="53"/>
      <c r="BM205" s="53"/>
      <c r="BN205" s="53"/>
      <c r="BO205" s="65" t="str">
        <f t="shared" si="8"/>
        <v/>
      </c>
    </row>
    <row r="206" spans="1:67" ht="19.5" customHeight="1">
      <c r="A206" s="70" t="b">
        <v>0</v>
      </c>
      <c r="B206" s="71" t="b">
        <v>1</v>
      </c>
      <c r="C206" s="72" t="b">
        <v>0</v>
      </c>
      <c r="D206" s="72" t="b">
        <v>0</v>
      </c>
      <c r="E206" s="57"/>
      <c r="F206" s="59"/>
      <c r="G206" s="57"/>
      <c r="H206" s="88"/>
      <c r="I206" s="88"/>
      <c r="J206" s="88"/>
      <c r="K206" s="89" t="b">
        <v>1</v>
      </c>
      <c r="L206" s="60"/>
      <c r="M206" s="57"/>
      <c r="N206" s="57"/>
      <c r="O206" s="61"/>
      <c r="P206" s="60"/>
      <c r="Q206" s="57"/>
      <c r="R206" s="57"/>
      <c r="S206" s="95"/>
      <c r="T206" s="88"/>
      <c r="U206" s="88"/>
      <c r="V206" s="88"/>
      <c r="W206" s="96"/>
      <c r="X206" s="97"/>
      <c r="Y206" s="97"/>
      <c r="Z206" s="98"/>
      <c r="AA206" s="99"/>
      <c r="AB206" s="98"/>
      <c r="AC206" s="88"/>
      <c r="AD206" s="98"/>
      <c r="AE206" s="64"/>
      <c r="AF206" s="67" t="str">
        <f t="shared" si="6"/>
        <v/>
      </c>
      <c r="AG206" s="58"/>
      <c r="AH206" s="68" t="str">
        <f t="shared" si="7"/>
        <v/>
      </c>
      <c r="AI206" s="53"/>
      <c r="AJ206" s="53"/>
      <c r="AK206" s="53"/>
      <c r="AL206" s="53"/>
      <c r="AM206" s="53"/>
      <c r="AN206" s="53"/>
      <c r="AO206" s="53"/>
      <c r="AP206" s="53"/>
      <c r="AQ206" s="53"/>
      <c r="AR206" s="53"/>
      <c r="AS206" s="53"/>
      <c r="AT206" s="53"/>
      <c r="AU206" s="53"/>
      <c r="AV206" s="58"/>
      <c r="AW206" s="58"/>
      <c r="AX206" s="58"/>
      <c r="AY206" s="53"/>
      <c r="AZ206" s="53"/>
      <c r="BA206" s="53"/>
      <c r="BB206" s="53"/>
      <c r="BC206" s="53"/>
      <c r="BD206" s="53"/>
      <c r="BE206" s="53"/>
      <c r="BF206" s="53"/>
      <c r="BG206" s="53"/>
      <c r="BH206" s="53"/>
      <c r="BI206" s="53"/>
      <c r="BJ206" s="53"/>
      <c r="BK206" s="53"/>
      <c r="BL206" s="53"/>
      <c r="BM206" s="53"/>
      <c r="BN206" s="53"/>
      <c r="BO206" s="65" t="str">
        <f t="shared" si="8"/>
        <v/>
      </c>
    </row>
    <row r="207" spans="1:67" ht="19.5" customHeight="1">
      <c r="A207" s="70" t="b">
        <v>0</v>
      </c>
      <c r="B207" s="71" t="b">
        <v>1</v>
      </c>
      <c r="C207" s="72" t="b">
        <v>0</v>
      </c>
      <c r="D207" s="72" t="b">
        <v>0</v>
      </c>
      <c r="E207" s="57"/>
      <c r="F207" s="59"/>
      <c r="G207" s="57"/>
      <c r="H207" s="88"/>
      <c r="I207" s="88"/>
      <c r="J207" s="88"/>
      <c r="K207" s="89" t="b">
        <v>1</v>
      </c>
      <c r="L207" s="60"/>
      <c r="M207" s="57"/>
      <c r="N207" s="57"/>
      <c r="O207" s="61"/>
      <c r="P207" s="60"/>
      <c r="Q207" s="57"/>
      <c r="R207" s="57"/>
      <c r="S207" s="95"/>
      <c r="T207" s="88"/>
      <c r="U207" s="88"/>
      <c r="V207" s="88"/>
      <c r="W207" s="96"/>
      <c r="X207" s="97"/>
      <c r="Y207" s="97"/>
      <c r="Z207" s="98"/>
      <c r="AA207" s="99"/>
      <c r="AB207" s="98"/>
      <c r="AC207" s="88"/>
      <c r="AD207" s="98"/>
      <c r="AE207" s="64"/>
      <c r="AF207" s="67" t="str">
        <f t="shared" si="6"/>
        <v/>
      </c>
      <c r="AG207" s="58"/>
      <c r="AH207" s="68" t="str">
        <f t="shared" si="7"/>
        <v/>
      </c>
      <c r="AI207" s="53"/>
      <c r="AJ207" s="53"/>
      <c r="AK207" s="53"/>
      <c r="AL207" s="53"/>
      <c r="AM207" s="53"/>
      <c r="AN207" s="53"/>
      <c r="AO207" s="53"/>
      <c r="AP207" s="53"/>
      <c r="AQ207" s="53"/>
      <c r="AR207" s="53"/>
      <c r="AS207" s="53"/>
      <c r="AT207" s="53"/>
      <c r="AU207" s="53"/>
      <c r="AV207" s="58"/>
      <c r="AW207" s="58"/>
      <c r="AX207" s="58"/>
      <c r="AY207" s="53"/>
      <c r="AZ207" s="53"/>
      <c r="BA207" s="53"/>
      <c r="BB207" s="53"/>
      <c r="BC207" s="53"/>
      <c r="BD207" s="53"/>
      <c r="BE207" s="53"/>
      <c r="BF207" s="53"/>
      <c r="BG207" s="53"/>
      <c r="BH207" s="53"/>
      <c r="BI207" s="53"/>
      <c r="BJ207" s="53"/>
      <c r="BK207" s="53"/>
      <c r="BL207" s="53"/>
      <c r="BM207" s="53"/>
      <c r="BN207" s="53"/>
      <c r="BO207" s="65" t="str">
        <f t="shared" si="8"/>
        <v/>
      </c>
    </row>
    <row r="208" spans="1:67" ht="19.5" customHeight="1">
      <c r="A208" s="70" t="b">
        <v>0</v>
      </c>
      <c r="B208" s="71" t="b">
        <v>1</v>
      </c>
      <c r="C208" s="72" t="b">
        <v>0</v>
      </c>
      <c r="D208" s="72" t="b">
        <v>0</v>
      </c>
      <c r="E208" s="57"/>
      <c r="F208" s="59"/>
      <c r="G208" s="57"/>
      <c r="H208" s="88"/>
      <c r="I208" s="88"/>
      <c r="J208" s="88"/>
      <c r="K208" s="89" t="b">
        <v>1</v>
      </c>
      <c r="L208" s="60"/>
      <c r="M208" s="57"/>
      <c r="N208" s="57"/>
      <c r="O208" s="61"/>
      <c r="P208" s="60"/>
      <c r="Q208" s="57"/>
      <c r="R208" s="57"/>
      <c r="S208" s="95"/>
      <c r="T208" s="88"/>
      <c r="U208" s="88"/>
      <c r="V208" s="88"/>
      <c r="W208" s="96"/>
      <c r="X208" s="97"/>
      <c r="Y208" s="97"/>
      <c r="Z208" s="98"/>
      <c r="AA208" s="99"/>
      <c r="AB208" s="98"/>
      <c r="AC208" s="88"/>
      <c r="AD208" s="98"/>
      <c r="AE208" s="64"/>
      <c r="AF208" s="67" t="str">
        <f t="shared" si="6"/>
        <v/>
      </c>
      <c r="AG208" s="58"/>
      <c r="AH208" s="68" t="str">
        <f t="shared" si="7"/>
        <v/>
      </c>
      <c r="AI208" s="53"/>
      <c r="AJ208" s="53"/>
      <c r="AK208" s="53"/>
      <c r="AL208" s="53"/>
      <c r="AM208" s="53"/>
      <c r="AN208" s="53"/>
      <c r="AO208" s="53"/>
      <c r="AP208" s="53"/>
      <c r="AQ208" s="53"/>
      <c r="AR208" s="53"/>
      <c r="AS208" s="53"/>
      <c r="AT208" s="53"/>
      <c r="AU208" s="53"/>
      <c r="AV208" s="58"/>
      <c r="AW208" s="58"/>
      <c r="AX208" s="58"/>
      <c r="AY208" s="53"/>
      <c r="AZ208" s="53"/>
      <c r="BA208" s="53"/>
      <c r="BB208" s="53"/>
      <c r="BC208" s="53"/>
      <c r="BD208" s="53"/>
      <c r="BE208" s="53"/>
      <c r="BF208" s="53"/>
      <c r="BG208" s="53"/>
      <c r="BH208" s="53"/>
      <c r="BI208" s="53"/>
      <c r="BJ208" s="53"/>
      <c r="BK208" s="53"/>
      <c r="BL208" s="53"/>
      <c r="BM208" s="53"/>
      <c r="BN208" s="53"/>
      <c r="BO208" s="65" t="str">
        <f t="shared" si="8"/>
        <v/>
      </c>
    </row>
    <row r="209" spans="1:67" ht="19.5" customHeight="1">
      <c r="A209" s="70" t="b">
        <v>0</v>
      </c>
      <c r="B209" s="71" t="b">
        <v>1</v>
      </c>
      <c r="C209" s="72" t="b">
        <v>0</v>
      </c>
      <c r="D209" s="72" t="b">
        <v>0</v>
      </c>
      <c r="E209" s="57"/>
      <c r="F209" s="59"/>
      <c r="G209" s="57"/>
      <c r="H209" s="88"/>
      <c r="I209" s="88"/>
      <c r="J209" s="88"/>
      <c r="K209" s="89" t="b">
        <v>1</v>
      </c>
      <c r="L209" s="60"/>
      <c r="M209" s="57"/>
      <c r="N209" s="57"/>
      <c r="O209" s="61"/>
      <c r="P209" s="60"/>
      <c r="Q209" s="57"/>
      <c r="R209" s="57"/>
      <c r="S209" s="95"/>
      <c r="T209" s="88"/>
      <c r="U209" s="88"/>
      <c r="V209" s="88"/>
      <c r="W209" s="96"/>
      <c r="X209" s="97"/>
      <c r="Y209" s="97"/>
      <c r="Z209" s="98"/>
      <c r="AA209" s="99"/>
      <c r="AB209" s="98"/>
      <c r="AC209" s="88"/>
      <c r="AD209" s="98"/>
      <c r="AE209" s="64"/>
      <c r="AF209" s="67" t="str">
        <f t="shared" si="6"/>
        <v/>
      </c>
      <c r="AG209" s="58"/>
      <c r="AH209" s="68" t="str">
        <f t="shared" si="7"/>
        <v/>
      </c>
      <c r="AI209" s="53"/>
      <c r="AJ209" s="53"/>
      <c r="AK209" s="53"/>
      <c r="AL209" s="53"/>
      <c r="AM209" s="53"/>
      <c r="AN209" s="53"/>
      <c r="AO209" s="53"/>
      <c r="AP209" s="53"/>
      <c r="AQ209" s="53"/>
      <c r="AR209" s="53"/>
      <c r="AS209" s="53"/>
      <c r="AT209" s="53"/>
      <c r="AU209" s="53"/>
      <c r="AV209" s="58"/>
      <c r="AW209" s="58"/>
      <c r="AX209" s="58"/>
      <c r="AY209" s="53"/>
      <c r="AZ209" s="53"/>
      <c r="BA209" s="53"/>
      <c r="BB209" s="53"/>
      <c r="BC209" s="53"/>
      <c r="BD209" s="53"/>
      <c r="BE209" s="53"/>
      <c r="BF209" s="53"/>
      <c r="BG209" s="53"/>
      <c r="BH209" s="53"/>
      <c r="BI209" s="53"/>
      <c r="BJ209" s="53"/>
      <c r="BK209" s="53"/>
      <c r="BL209" s="53"/>
      <c r="BM209" s="53"/>
      <c r="BN209" s="53"/>
      <c r="BO209" s="65" t="str">
        <f t="shared" si="8"/>
        <v/>
      </c>
    </row>
    <row r="210" spans="1:67" ht="19.5" customHeight="1">
      <c r="A210" s="70" t="b">
        <v>0</v>
      </c>
      <c r="B210" s="71" t="b">
        <v>1</v>
      </c>
      <c r="C210" s="72" t="b">
        <v>0</v>
      </c>
      <c r="D210" s="72" t="b">
        <v>0</v>
      </c>
      <c r="E210" s="57"/>
      <c r="F210" s="59"/>
      <c r="G210" s="57"/>
      <c r="H210" s="88"/>
      <c r="I210" s="88"/>
      <c r="J210" s="88"/>
      <c r="K210" s="89" t="b">
        <v>1</v>
      </c>
      <c r="L210" s="60"/>
      <c r="M210" s="57"/>
      <c r="N210" s="57"/>
      <c r="O210" s="61"/>
      <c r="P210" s="60"/>
      <c r="Q210" s="57"/>
      <c r="R210" s="57"/>
      <c r="S210" s="95"/>
      <c r="T210" s="88"/>
      <c r="U210" s="88"/>
      <c r="V210" s="88"/>
      <c r="W210" s="96"/>
      <c r="X210" s="97"/>
      <c r="Y210" s="97"/>
      <c r="Z210" s="98"/>
      <c r="AA210" s="99"/>
      <c r="AB210" s="98"/>
      <c r="AC210" s="88"/>
      <c r="AD210" s="98"/>
      <c r="AE210" s="64"/>
      <c r="AF210" s="67" t="str">
        <f t="shared" si="6"/>
        <v/>
      </c>
      <c r="AG210" s="58"/>
      <c r="AH210" s="68" t="str">
        <f t="shared" si="7"/>
        <v/>
      </c>
      <c r="AI210" s="53"/>
      <c r="AJ210" s="53"/>
      <c r="AK210" s="53"/>
      <c r="AL210" s="53"/>
      <c r="AM210" s="53"/>
      <c r="AN210" s="53"/>
      <c r="AO210" s="53"/>
      <c r="AP210" s="53"/>
      <c r="AQ210" s="53"/>
      <c r="AR210" s="53"/>
      <c r="AS210" s="53"/>
      <c r="AT210" s="53"/>
      <c r="AU210" s="53"/>
      <c r="AV210" s="58"/>
      <c r="AW210" s="58"/>
      <c r="AX210" s="58"/>
      <c r="AY210" s="53"/>
      <c r="AZ210" s="53"/>
      <c r="BA210" s="53"/>
      <c r="BB210" s="53"/>
      <c r="BC210" s="53"/>
      <c r="BD210" s="53"/>
      <c r="BE210" s="53"/>
      <c r="BF210" s="53"/>
      <c r="BG210" s="53"/>
      <c r="BH210" s="53"/>
      <c r="BI210" s="53"/>
      <c r="BJ210" s="53"/>
      <c r="BK210" s="53"/>
      <c r="BL210" s="53"/>
      <c r="BM210" s="53"/>
      <c r="BN210" s="53"/>
      <c r="BO210" s="65" t="str">
        <f t="shared" si="8"/>
        <v/>
      </c>
    </row>
    <row r="211" spans="1:67" ht="19.5" customHeight="1">
      <c r="A211" s="70" t="b">
        <v>0</v>
      </c>
      <c r="B211" s="71" t="b">
        <v>1</v>
      </c>
      <c r="C211" s="72" t="b">
        <v>0</v>
      </c>
      <c r="D211" s="72" t="b">
        <v>0</v>
      </c>
      <c r="E211" s="57"/>
      <c r="F211" s="59"/>
      <c r="G211" s="57"/>
      <c r="H211" s="88"/>
      <c r="I211" s="88"/>
      <c r="J211" s="88"/>
      <c r="K211" s="89" t="b">
        <v>1</v>
      </c>
      <c r="L211" s="60"/>
      <c r="M211" s="57"/>
      <c r="N211" s="57"/>
      <c r="O211" s="61"/>
      <c r="P211" s="60"/>
      <c r="Q211" s="57"/>
      <c r="R211" s="57"/>
      <c r="S211" s="95"/>
      <c r="T211" s="88"/>
      <c r="U211" s="88"/>
      <c r="V211" s="88"/>
      <c r="W211" s="96"/>
      <c r="X211" s="97"/>
      <c r="Y211" s="97"/>
      <c r="Z211" s="98"/>
      <c r="AA211" s="99"/>
      <c r="AB211" s="98"/>
      <c r="AC211" s="88"/>
      <c r="AD211" s="98"/>
      <c r="AE211" s="64"/>
      <c r="AF211" s="67" t="str">
        <f t="shared" ref="AF211:AF274" si="9">IFERROR((VALUE(TRIM(LEFT(MID(AE211,FIND("|",AE211)+1,99),FIND("-",MID(AE211,FIND("|",AE211)+1,99))-1)))+VALUE(TRIM(SUBSTITUTE(SUBSTITUTE(SUBSTITUTE(MID(MID(AE211,FIND("|",AE211)+1,99),FIND("-",MID(AE211,FIND("|",AE211)+1,99))+1,20),"µm",""),"μm","")," ",""))))/2,"")</f>
        <v/>
      </c>
      <c r="AG211" s="58"/>
      <c r="AH211" s="68" t="str">
        <f t="shared" ref="AH211:AH274" si="10">IFERROR((VALUE(TRIM(LEFT(MID(AG211,FIND("|",AG211)+1,99),FIND("-",MID(AG211,FIND("|",AG211)+1,99))-1)))+VALUE(TRIM(SUBSTITUTE(SUBSTITUTE(SUBSTITUTE(MID(MID(AG211,FIND("|",AG211)+1,99),FIND("-",MID(AG211,FIND("|",AG211)+1,99))+1,20),"µm",""),"μm","")," ",""))))/2,"")</f>
        <v/>
      </c>
      <c r="AI211" s="53"/>
      <c r="AJ211" s="53"/>
      <c r="AK211" s="53"/>
      <c r="AL211" s="53"/>
      <c r="AM211" s="53"/>
      <c r="AN211" s="53"/>
      <c r="AO211" s="53"/>
      <c r="AP211" s="53"/>
      <c r="AQ211" s="53"/>
      <c r="AR211" s="53"/>
      <c r="AS211" s="53"/>
      <c r="AT211" s="53"/>
      <c r="AU211" s="53"/>
      <c r="AV211" s="58"/>
      <c r="AW211" s="58"/>
      <c r="AX211" s="58"/>
      <c r="AY211" s="53"/>
      <c r="AZ211" s="53"/>
      <c r="BA211" s="53"/>
      <c r="BB211" s="53"/>
      <c r="BC211" s="53"/>
      <c r="BD211" s="53"/>
      <c r="BE211" s="53"/>
      <c r="BF211" s="53"/>
      <c r="BG211" s="53"/>
      <c r="BH211" s="53"/>
      <c r="BI211" s="53"/>
      <c r="BJ211" s="53"/>
      <c r="BK211" s="53"/>
      <c r="BL211" s="53"/>
      <c r="BM211" s="53"/>
      <c r="BN211" s="53"/>
      <c r="BO211" s="65" t="str">
        <f t="shared" ref="BO211:BO274" si="11">IF(E211="","",H211*I211)</f>
        <v/>
      </c>
    </row>
    <row r="212" spans="1:67" ht="19.5" customHeight="1">
      <c r="A212" s="70" t="b">
        <v>0</v>
      </c>
      <c r="B212" s="71" t="b">
        <v>1</v>
      </c>
      <c r="C212" s="72" t="b">
        <v>0</v>
      </c>
      <c r="D212" s="72" t="b">
        <v>0</v>
      </c>
      <c r="E212" s="57"/>
      <c r="F212" s="59"/>
      <c r="G212" s="57"/>
      <c r="H212" s="88"/>
      <c r="I212" s="88"/>
      <c r="J212" s="88"/>
      <c r="K212" s="89" t="b">
        <v>1</v>
      </c>
      <c r="L212" s="60"/>
      <c r="M212" s="57"/>
      <c r="N212" s="57"/>
      <c r="O212" s="61"/>
      <c r="P212" s="60"/>
      <c r="Q212" s="57"/>
      <c r="R212" s="57"/>
      <c r="S212" s="95"/>
      <c r="T212" s="88"/>
      <c r="U212" s="88"/>
      <c r="V212" s="88"/>
      <c r="W212" s="96"/>
      <c r="X212" s="97"/>
      <c r="Y212" s="97"/>
      <c r="Z212" s="98"/>
      <c r="AA212" s="99"/>
      <c r="AB212" s="98"/>
      <c r="AC212" s="88"/>
      <c r="AD212" s="98"/>
      <c r="AE212" s="64"/>
      <c r="AF212" s="67" t="str">
        <f t="shared" si="9"/>
        <v/>
      </c>
      <c r="AG212" s="58"/>
      <c r="AH212" s="68" t="str">
        <f t="shared" si="10"/>
        <v/>
      </c>
      <c r="AI212" s="53"/>
      <c r="AJ212" s="53"/>
      <c r="AK212" s="53"/>
      <c r="AL212" s="53"/>
      <c r="AM212" s="53"/>
      <c r="AN212" s="53"/>
      <c r="AO212" s="53"/>
      <c r="AP212" s="53"/>
      <c r="AQ212" s="53"/>
      <c r="AR212" s="53"/>
      <c r="AS212" s="53"/>
      <c r="AT212" s="53"/>
      <c r="AU212" s="53"/>
      <c r="AV212" s="58"/>
      <c r="AW212" s="58"/>
      <c r="AX212" s="58"/>
      <c r="AY212" s="53"/>
      <c r="AZ212" s="53"/>
      <c r="BA212" s="53"/>
      <c r="BB212" s="53"/>
      <c r="BC212" s="53"/>
      <c r="BD212" s="53"/>
      <c r="BE212" s="53"/>
      <c r="BF212" s="53"/>
      <c r="BG212" s="53"/>
      <c r="BH212" s="53"/>
      <c r="BI212" s="53"/>
      <c r="BJ212" s="53"/>
      <c r="BK212" s="53"/>
      <c r="BL212" s="53"/>
      <c r="BM212" s="53"/>
      <c r="BN212" s="53"/>
      <c r="BO212" s="65" t="str">
        <f t="shared" si="11"/>
        <v/>
      </c>
    </row>
    <row r="213" spans="1:67" ht="19.5" customHeight="1">
      <c r="A213" s="70" t="b">
        <v>0</v>
      </c>
      <c r="B213" s="71" t="b">
        <v>1</v>
      </c>
      <c r="C213" s="72" t="b">
        <v>0</v>
      </c>
      <c r="D213" s="72" t="b">
        <v>0</v>
      </c>
      <c r="E213" s="57"/>
      <c r="F213" s="59"/>
      <c r="G213" s="57"/>
      <c r="H213" s="88"/>
      <c r="I213" s="88"/>
      <c r="J213" s="88"/>
      <c r="K213" s="89" t="b">
        <v>1</v>
      </c>
      <c r="L213" s="60"/>
      <c r="M213" s="57"/>
      <c r="N213" s="57"/>
      <c r="O213" s="61"/>
      <c r="P213" s="60"/>
      <c r="Q213" s="57"/>
      <c r="R213" s="57"/>
      <c r="S213" s="95"/>
      <c r="T213" s="88"/>
      <c r="U213" s="88"/>
      <c r="V213" s="88"/>
      <c r="W213" s="96"/>
      <c r="X213" s="97"/>
      <c r="Y213" s="97"/>
      <c r="Z213" s="98"/>
      <c r="AA213" s="99"/>
      <c r="AB213" s="98"/>
      <c r="AC213" s="88"/>
      <c r="AD213" s="98"/>
      <c r="AE213" s="64"/>
      <c r="AF213" s="67" t="str">
        <f t="shared" si="9"/>
        <v/>
      </c>
      <c r="AG213" s="58"/>
      <c r="AH213" s="68" t="str">
        <f t="shared" si="10"/>
        <v/>
      </c>
      <c r="AI213" s="53"/>
      <c r="AJ213" s="53"/>
      <c r="AK213" s="53"/>
      <c r="AL213" s="53"/>
      <c r="AM213" s="53"/>
      <c r="AN213" s="53"/>
      <c r="AO213" s="53"/>
      <c r="AP213" s="53"/>
      <c r="AQ213" s="53"/>
      <c r="AR213" s="53"/>
      <c r="AS213" s="53"/>
      <c r="AT213" s="53"/>
      <c r="AU213" s="53"/>
      <c r="AV213" s="58"/>
      <c r="AW213" s="58"/>
      <c r="AX213" s="58"/>
      <c r="AY213" s="53"/>
      <c r="AZ213" s="53"/>
      <c r="BA213" s="53"/>
      <c r="BB213" s="53"/>
      <c r="BC213" s="53"/>
      <c r="BD213" s="53"/>
      <c r="BE213" s="53"/>
      <c r="BF213" s="53"/>
      <c r="BG213" s="53"/>
      <c r="BH213" s="53"/>
      <c r="BI213" s="53"/>
      <c r="BJ213" s="53"/>
      <c r="BK213" s="53"/>
      <c r="BL213" s="53"/>
      <c r="BM213" s="53"/>
      <c r="BN213" s="53"/>
      <c r="BO213" s="65" t="str">
        <f t="shared" si="11"/>
        <v/>
      </c>
    </row>
    <row r="214" spans="1:67" ht="19.5" customHeight="1">
      <c r="A214" s="70" t="b">
        <v>0</v>
      </c>
      <c r="B214" s="71" t="b">
        <v>1</v>
      </c>
      <c r="C214" s="72" t="b">
        <v>0</v>
      </c>
      <c r="D214" s="72" t="b">
        <v>0</v>
      </c>
      <c r="E214" s="57"/>
      <c r="F214" s="59"/>
      <c r="G214" s="57"/>
      <c r="H214" s="88"/>
      <c r="I214" s="88"/>
      <c r="J214" s="88"/>
      <c r="K214" s="89" t="b">
        <v>1</v>
      </c>
      <c r="L214" s="60"/>
      <c r="M214" s="57"/>
      <c r="N214" s="57"/>
      <c r="O214" s="61"/>
      <c r="P214" s="60"/>
      <c r="Q214" s="57"/>
      <c r="R214" s="57"/>
      <c r="S214" s="95"/>
      <c r="T214" s="88"/>
      <c r="U214" s="88"/>
      <c r="V214" s="88"/>
      <c r="W214" s="96"/>
      <c r="X214" s="97"/>
      <c r="Y214" s="97"/>
      <c r="Z214" s="98"/>
      <c r="AA214" s="99"/>
      <c r="AB214" s="98"/>
      <c r="AC214" s="88"/>
      <c r="AD214" s="98"/>
      <c r="AE214" s="64"/>
      <c r="AF214" s="67" t="str">
        <f t="shared" si="9"/>
        <v/>
      </c>
      <c r="AG214" s="58"/>
      <c r="AH214" s="68" t="str">
        <f t="shared" si="10"/>
        <v/>
      </c>
      <c r="AI214" s="53"/>
      <c r="AJ214" s="53"/>
      <c r="AK214" s="53"/>
      <c r="AL214" s="53"/>
      <c r="AM214" s="53"/>
      <c r="AN214" s="53"/>
      <c r="AO214" s="53"/>
      <c r="AP214" s="53"/>
      <c r="AQ214" s="53"/>
      <c r="AR214" s="53"/>
      <c r="AS214" s="53"/>
      <c r="AT214" s="53"/>
      <c r="AU214" s="53"/>
      <c r="AV214" s="58"/>
      <c r="AW214" s="58"/>
      <c r="AX214" s="58"/>
      <c r="AY214" s="53"/>
      <c r="AZ214" s="53"/>
      <c r="BA214" s="53"/>
      <c r="BB214" s="53"/>
      <c r="BC214" s="53"/>
      <c r="BD214" s="53"/>
      <c r="BE214" s="53"/>
      <c r="BF214" s="53"/>
      <c r="BG214" s="53"/>
      <c r="BH214" s="53"/>
      <c r="BI214" s="53"/>
      <c r="BJ214" s="53"/>
      <c r="BK214" s="53"/>
      <c r="BL214" s="53"/>
      <c r="BM214" s="53"/>
      <c r="BN214" s="53"/>
      <c r="BO214" s="65" t="str">
        <f t="shared" si="11"/>
        <v/>
      </c>
    </row>
    <row r="215" spans="1:67" ht="19.5" customHeight="1">
      <c r="A215" s="70" t="b">
        <v>0</v>
      </c>
      <c r="B215" s="71" t="b">
        <v>1</v>
      </c>
      <c r="C215" s="72" t="b">
        <v>0</v>
      </c>
      <c r="D215" s="72" t="b">
        <v>0</v>
      </c>
      <c r="E215" s="57"/>
      <c r="F215" s="59"/>
      <c r="G215" s="57"/>
      <c r="H215" s="88"/>
      <c r="I215" s="88"/>
      <c r="J215" s="88"/>
      <c r="K215" s="89" t="b">
        <v>1</v>
      </c>
      <c r="L215" s="60"/>
      <c r="M215" s="57"/>
      <c r="N215" s="57"/>
      <c r="O215" s="61"/>
      <c r="P215" s="60"/>
      <c r="Q215" s="57"/>
      <c r="R215" s="57"/>
      <c r="S215" s="95"/>
      <c r="T215" s="88"/>
      <c r="U215" s="88"/>
      <c r="V215" s="88"/>
      <c r="W215" s="96"/>
      <c r="X215" s="97"/>
      <c r="Y215" s="97"/>
      <c r="Z215" s="98"/>
      <c r="AA215" s="99"/>
      <c r="AB215" s="98"/>
      <c r="AC215" s="88"/>
      <c r="AD215" s="98"/>
      <c r="AE215" s="64"/>
      <c r="AF215" s="67" t="str">
        <f t="shared" si="9"/>
        <v/>
      </c>
      <c r="AG215" s="58"/>
      <c r="AH215" s="68" t="str">
        <f t="shared" si="10"/>
        <v/>
      </c>
      <c r="AI215" s="53"/>
      <c r="AJ215" s="53"/>
      <c r="AK215" s="53"/>
      <c r="AL215" s="53"/>
      <c r="AM215" s="53"/>
      <c r="AN215" s="53"/>
      <c r="AO215" s="53"/>
      <c r="AP215" s="53"/>
      <c r="AQ215" s="53"/>
      <c r="AR215" s="53"/>
      <c r="AS215" s="53"/>
      <c r="AT215" s="53"/>
      <c r="AU215" s="53"/>
      <c r="AV215" s="58"/>
      <c r="AW215" s="58"/>
      <c r="AX215" s="58"/>
      <c r="AY215" s="53"/>
      <c r="AZ215" s="53"/>
      <c r="BA215" s="53"/>
      <c r="BB215" s="53"/>
      <c r="BC215" s="53"/>
      <c r="BD215" s="53"/>
      <c r="BE215" s="53"/>
      <c r="BF215" s="53"/>
      <c r="BG215" s="53"/>
      <c r="BH215" s="53"/>
      <c r="BI215" s="53"/>
      <c r="BJ215" s="53"/>
      <c r="BK215" s="53"/>
      <c r="BL215" s="53"/>
      <c r="BM215" s="53"/>
      <c r="BN215" s="53"/>
      <c r="BO215" s="65" t="str">
        <f t="shared" si="11"/>
        <v/>
      </c>
    </row>
    <row r="216" spans="1:67" ht="19.5" customHeight="1">
      <c r="A216" s="70" t="b">
        <v>0</v>
      </c>
      <c r="B216" s="71" t="b">
        <v>1</v>
      </c>
      <c r="C216" s="72" t="b">
        <v>0</v>
      </c>
      <c r="D216" s="72" t="b">
        <v>0</v>
      </c>
      <c r="E216" s="57"/>
      <c r="F216" s="59"/>
      <c r="G216" s="57"/>
      <c r="H216" s="88"/>
      <c r="I216" s="88"/>
      <c r="J216" s="88"/>
      <c r="K216" s="89" t="b">
        <v>1</v>
      </c>
      <c r="L216" s="60"/>
      <c r="M216" s="57"/>
      <c r="N216" s="57"/>
      <c r="O216" s="61"/>
      <c r="P216" s="60"/>
      <c r="Q216" s="57"/>
      <c r="R216" s="57"/>
      <c r="S216" s="95"/>
      <c r="T216" s="88"/>
      <c r="U216" s="88"/>
      <c r="V216" s="88"/>
      <c r="W216" s="96"/>
      <c r="X216" s="97"/>
      <c r="Y216" s="97"/>
      <c r="Z216" s="98"/>
      <c r="AA216" s="99"/>
      <c r="AB216" s="98"/>
      <c r="AC216" s="88"/>
      <c r="AD216" s="98"/>
      <c r="AE216" s="64"/>
      <c r="AF216" s="67" t="str">
        <f t="shared" si="9"/>
        <v/>
      </c>
      <c r="AG216" s="58"/>
      <c r="AH216" s="68" t="str">
        <f t="shared" si="10"/>
        <v/>
      </c>
      <c r="AI216" s="53"/>
      <c r="AJ216" s="53"/>
      <c r="AK216" s="53"/>
      <c r="AL216" s="53"/>
      <c r="AM216" s="53"/>
      <c r="AN216" s="53"/>
      <c r="AO216" s="53"/>
      <c r="AP216" s="53"/>
      <c r="AQ216" s="53"/>
      <c r="AR216" s="53"/>
      <c r="AS216" s="53"/>
      <c r="AT216" s="53"/>
      <c r="AU216" s="53"/>
      <c r="AV216" s="58"/>
      <c r="AW216" s="58"/>
      <c r="AX216" s="58"/>
      <c r="AY216" s="53"/>
      <c r="AZ216" s="53"/>
      <c r="BA216" s="53"/>
      <c r="BB216" s="53"/>
      <c r="BC216" s="53"/>
      <c r="BD216" s="53"/>
      <c r="BE216" s="53"/>
      <c r="BF216" s="53"/>
      <c r="BG216" s="53"/>
      <c r="BH216" s="53"/>
      <c r="BI216" s="53"/>
      <c r="BJ216" s="53"/>
      <c r="BK216" s="53"/>
      <c r="BL216" s="53"/>
      <c r="BM216" s="53"/>
      <c r="BN216" s="53"/>
      <c r="BO216" s="65" t="str">
        <f t="shared" si="11"/>
        <v/>
      </c>
    </row>
    <row r="217" spans="1:67" ht="19.5" customHeight="1">
      <c r="A217" s="70" t="b">
        <v>0</v>
      </c>
      <c r="B217" s="71" t="b">
        <v>1</v>
      </c>
      <c r="C217" s="72" t="b">
        <v>0</v>
      </c>
      <c r="D217" s="72" t="b">
        <v>0</v>
      </c>
      <c r="E217" s="57"/>
      <c r="F217" s="59"/>
      <c r="G217" s="57"/>
      <c r="H217" s="88"/>
      <c r="I217" s="88"/>
      <c r="J217" s="88"/>
      <c r="K217" s="89" t="b">
        <v>1</v>
      </c>
      <c r="L217" s="60"/>
      <c r="M217" s="57"/>
      <c r="N217" s="57"/>
      <c r="O217" s="61"/>
      <c r="P217" s="60"/>
      <c r="Q217" s="57"/>
      <c r="R217" s="57"/>
      <c r="S217" s="95"/>
      <c r="T217" s="88"/>
      <c r="U217" s="88"/>
      <c r="V217" s="88"/>
      <c r="W217" s="96"/>
      <c r="X217" s="97"/>
      <c r="Y217" s="97"/>
      <c r="Z217" s="98"/>
      <c r="AA217" s="99"/>
      <c r="AB217" s="98"/>
      <c r="AC217" s="88"/>
      <c r="AD217" s="98"/>
      <c r="AE217" s="64"/>
      <c r="AF217" s="67" t="str">
        <f t="shared" si="9"/>
        <v/>
      </c>
      <c r="AG217" s="58"/>
      <c r="AH217" s="68" t="str">
        <f t="shared" si="10"/>
        <v/>
      </c>
      <c r="AI217" s="53"/>
      <c r="AJ217" s="53"/>
      <c r="AK217" s="53"/>
      <c r="AL217" s="53"/>
      <c r="AM217" s="53"/>
      <c r="AN217" s="53"/>
      <c r="AO217" s="53"/>
      <c r="AP217" s="53"/>
      <c r="AQ217" s="53"/>
      <c r="AR217" s="53"/>
      <c r="AS217" s="53"/>
      <c r="AT217" s="53"/>
      <c r="AU217" s="53"/>
      <c r="AV217" s="58"/>
      <c r="AW217" s="58"/>
      <c r="AX217" s="58"/>
      <c r="AY217" s="53"/>
      <c r="AZ217" s="53"/>
      <c r="BA217" s="53"/>
      <c r="BB217" s="53"/>
      <c r="BC217" s="53"/>
      <c r="BD217" s="53"/>
      <c r="BE217" s="53"/>
      <c r="BF217" s="53"/>
      <c r="BG217" s="53"/>
      <c r="BH217" s="53"/>
      <c r="BI217" s="53"/>
      <c r="BJ217" s="53"/>
      <c r="BK217" s="53"/>
      <c r="BL217" s="53"/>
      <c r="BM217" s="53"/>
      <c r="BN217" s="53"/>
      <c r="BO217" s="65" t="str">
        <f t="shared" si="11"/>
        <v/>
      </c>
    </row>
    <row r="218" spans="1:67" ht="19.5" customHeight="1">
      <c r="A218" s="70" t="b">
        <v>0</v>
      </c>
      <c r="B218" s="71" t="b">
        <v>1</v>
      </c>
      <c r="C218" s="72" t="b">
        <v>0</v>
      </c>
      <c r="D218" s="72" t="b">
        <v>0</v>
      </c>
      <c r="E218" s="57"/>
      <c r="F218" s="59"/>
      <c r="G218" s="57"/>
      <c r="H218" s="88"/>
      <c r="I218" s="88"/>
      <c r="J218" s="88"/>
      <c r="K218" s="89" t="b">
        <v>1</v>
      </c>
      <c r="L218" s="60"/>
      <c r="M218" s="57"/>
      <c r="N218" s="57"/>
      <c r="O218" s="61"/>
      <c r="P218" s="60"/>
      <c r="Q218" s="57"/>
      <c r="R218" s="57"/>
      <c r="S218" s="95"/>
      <c r="T218" s="88"/>
      <c r="U218" s="88"/>
      <c r="V218" s="88"/>
      <c r="W218" s="96"/>
      <c r="X218" s="97"/>
      <c r="Y218" s="97"/>
      <c r="Z218" s="98"/>
      <c r="AA218" s="99"/>
      <c r="AB218" s="98"/>
      <c r="AC218" s="88"/>
      <c r="AD218" s="98"/>
      <c r="AE218" s="64"/>
      <c r="AF218" s="67" t="str">
        <f t="shared" si="9"/>
        <v/>
      </c>
      <c r="AG218" s="58"/>
      <c r="AH218" s="68" t="str">
        <f t="shared" si="10"/>
        <v/>
      </c>
      <c r="AI218" s="53"/>
      <c r="AJ218" s="53"/>
      <c r="AK218" s="53"/>
      <c r="AL218" s="53"/>
      <c r="AM218" s="53"/>
      <c r="AN218" s="53"/>
      <c r="AO218" s="53"/>
      <c r="AP218" s="53"/>
      <c r="AQ218" s="53"/>
      <c r="AR218" s="53"/>
      <c r="AS218" s="53"/>
      <c r="AT218" s="53"/>
      <c r="AU218" s="53"/>
      <c r="AV218" s="58"/>
      <c r="AW218" s="58"/>
      <c r="AX218" s="58"/>
      <c r="AY218" s="53"/>
      <c r="AZ218" s="53"/>
      <c r="BA218" s="53"/>
      <c r="BB218" s="53"/>
      <c r="BC218" s="53"/>
      <c r="BD218" s="53"/>
      <c r="BE218" s="53"/>
      <c r="BF218" s="53"/>
      <c r="BG218" s="53"/>
      <c r="BH218" s="53"/>
      <c r="BI218" s="53"/>
      <c r="BJ218" s="53"/>
      <c r="BK218" s="53"/>
      <c r="BL218" s="53"/>
      <c r="BM218" s="53"/>
      <c r="BN218" s="53"/>
      <c r="BO218" s="65" t="str">
        <f t="shared" si="11"/>
        <v/>
      </c>
    </row>
    <row r="219" spans="1:67" ht="19.5" customHeight="1">
      <c r="A219" s="70" t="b">
        <v>0</v>
      </c>
      <c r="B219" s="71" t="b">
        <v>1</v>
      </c>
      <c r="C219" s="72" t="b">
        <v>0</v>
      </c>
      <c r="D219" s="72" t="b">
        <v>0</v>
      </c>
      <c r="E219" s="57"/>
      <c r="F219" s="59"/>
      <c r="G219" s="57"/>
      <c r="H219" s="88"/>
      <c r="I219" s="88"/>
      <c r="J219" s="88"/>
      <c r="K219" s="89" t="b">
        <v>1</v>
      </c>
      <c r="L219" s="60"/>
      <c r="M219" s="57"/>
      <c r="N219" s="57"/>
      <c r="O219" s="61"/>
      <c r="P219" s="60"/>
      <c r="Q219" s="57"/>
      <c r="R219" s="57"/>
      <c r="S219" s="95"/>
      <c r="T219" s="88"/>
      <c r="U219" s="88"/>
      <c r="V219" s="88"/>
      <c r="W219" s="96"/>
      <c r="X219" s="97"/>
      <c r="Y219" s="97"/>
      <c r="Z219" s="98"/>
      <c r="AA219" s="99"/>
      <c r="AB219" s="98"/>
      <c r="AC219" s="88"/>
      <c r="AD219" s="98"/>
      <c r="AE219" s="64"/>
      <c r="AF219" s="67" t="str">
        <f t="shared" si="9"/>
        <v/>
      </c>
      <c r="AG219" s="58"/>
      <c r="AH219" s="68" t="str">
        <f t="shared" si="10"/>
        <v/>
      </c>
      <c r="AI219" s="53"/>
      <c r="AJ219" s="53"/>
      <c r="AK219" s="53"/>
      <c r="AL219" s="53"/>
      <c r="AM219" s="53"/>
      <c r="AN219" s="53"/>
      <c r="AO219" s="53"/>
      <c r="AP219" s="53"/>
      <c r="AQ219" s="53"/>
      <c r="AR219" s="53"/>
      <c r="AS219" s="53"/>
      <c r="AT219" s="53"/>
      <c r="AU219" s="53"/>
      <c r="AV219" s="58"/>
      <c r="AW219" s="58"/>
      <c r="AX219" s="58"/>
      <c r="AY219" s="53"/>
      <c r="AZ219" s="53"/>
      <c r="BA219" s="53"/>
      <c r="BB219" s="53"/>
      <c r="BC219" s="53"/>
      <c r="BD219" s="53"/>
      <c r="BE219" s="53"/>
      <c r="BF219" s="53"/>
      <c r="BG219" s="53"/>
      <c r="BH219" s="53"/>
      <c r="BI219" s="53"/>
      <c r="BJ219" s="53"/>
      <c r="BK219" s="53"/>
      <c r="BL219" s="53"/>
      <c r="BM219" s="53"/>
      <c r="BN219" s="53"/>
      <c r="BO219" s="65" t="str">
        <f t="shared" si="11"/>
        <v/>
      </c>
    </row>
    <row r="220" spans="1:67" ht="19.5" customHeight="1">
      <c r="A220" s="70" t="b">
        <v>0</v>
      </c>
      <c r="B220" s="71" t="b">
        <v>1</v>
      </c>
      <c r="C220" s="72" t="b">
        <v>0</v>
      </c>
      <c r="D220" s="72" t="b">
        <v>0</v>
      </c>
      <c r="E220" s="57"/>
      <c r="F220" s="59"/>
      <c r="G220" s="57"/>
      <c r="H220" s="88"/>
      <c r="I220" s="88"/>
      <c r="J220" s="88"/>
      <c r="K220" s="89" t="b">
        <v>1</v>
      </c>
      <c r="L220" s="60"/>
      <c r="M220" s="57"/>
      <c r="N220" s="57"/>
      <c r="O220" s="61"/>
      <c r="P220" s="60"/>
      <c r="Q220" s="57"/>
      <c r="R220" s="57"/>
      <c r="S220" s="95"/>
      <c r="T220" s="88"/>
      <c r="U220" s="88"/>
      <c r="V220" s="88"/>
      <c r="W220" s="96"/>
      <c r="X220" s="97"/>
      <c r="Y220" s="97"/>
      <c r="Z220" s="98"/>
      <c r="AA220" s="99"/>
      <c r="AB220" s="98"/>
      <c r="AC220" s="88"/>
      <c r="AD220" s="98"/>
      <c r="AE220" s="64"/>
      <c r="AF220" s="67" t="str">
        <f t="shared" si="9"/>
        <v/>
      </c>
      <c r="AG220" s="58"/>
      <c r="AH220" s="68" t="str">
        <f t="shared" si="10"/>
        <v/>
      </c>
      <c r="AI220" s="53"/>
      <c r="AJ220" s="53"/>
      <c r="AK220" s="53"/>
      <c r="AL220" s="53"/>
      <c r="AM220" s="53"/>
      <c r="AN220" s="53"/>
      <c r="AO220" s="53"/>
      <c r="AP220" s="53"/>
      <c r="AQ220" s="53"/>
      <c r="AR220" s="53"/>
      <c r="AS220" s="53"/>
      <c r="AT220" s="53"/>
      <c r="AU220" s="53"/>
      <c r="AV220" s="58"/>
      <c r="AW220" s="58"/>
      <c r="AX220" s="58"/>
      <c r="AY220" s="53"/>
      <c r="AZ220" s="53"/>
      <c r="BA220" s="53"/>
      <c r="BB220" s="53"/>
      <c r="BC220" s="53"/>
      <c r="BD220" s="53"/>
      <c r="BE220" s="53"/>
      <c r="BF220" s="53"/>
      <c r="BG220" s="53"/>
      <c r="BH220" s="53"/>
      <c r="BI220" s="53"/>
      <c r="BJ220" s="53"/>
      <c r="BK220" s="53"/>
      <c r="BL220" s="53"/>
      <c r="BM220" s="53"/>
      <c r="BN220" s="53"/>
      <c r="BO220" s="65" t="str">
        <f t="shared" si="11"/>
        <v/>
      </c>
    </row>
    <row r="221" spans="1:67" ht="19.5" customHeight="1">
      <c r="A221" s="70" t="b">
        <v>0</v>
      </c>
      <c r="B221" s="71" t="b">
        <v>1</v>
      </c>
      <c r="C221" s="72" t="b">
        <v>0</v>
      </c>
      <c r="D221" s="72" t="b">
        <v>0</v>
      </c>
      <c r="E221" s="57"/>
      <c r="F221" s="59"/>
      <c r="G221" s="57"/>
      <c r="H221" s="88"/>
      <c r="I221" s="88"/>
      <c r="J221" s="88"/>
      <c r="K221" s="89" t="b">
        <v>1</v>
      </c>
      <c r="L221" s="60"/>
      <c r="M221" s="57"/>
      <c r="N221" s="57"/>
      <c r="O221" s="61"/>
      <c r="P221" s="60"/>
      <c r="Q221" s="57"/>
      <c r="R221" s="57"/>
      <c r="S221" s="95"/>
      <c r="T221" s="88"/>
      <c r="U221" s="88"/>
      <c r="V221" s="88"/>
      <c r="W221" s="96"/>
      <c r="X221" s="97"/>
      <c r="Y221" s="97"/>
      <c r="Z221" s="98"/>
      <c r="AA221" s="99"/>
      <c r="AB221" s="98"/>
      <c r="AC221" s="88"/>
      <c r="AD221" s="98"/>
      <c r="AE221" s="64"/>
      <c r="AF221" s="67" t="str">
        <f t="shared" si="9"/>
        <v/>
      </c>
      <c r="AG221" s="58"/>
      <c r="AH221" s="68" t="str">
        <f t="shared" si="10"/>
        <v/>
      </c>
      <c r="AI221" s="53"/>
      <c r="AJ221" s="53"/>
      <c r="AK221" s="53"/>
      <c r="AL221" s="53"/>
      <c r="AM221" s="53"/>
      <c r="AN221" s="53"/>
      <c r="AO221" s="53"/>
      <c r="AP221" s="53"/>
      <c r="AQ221" s="53"/>
      <c r="AR221" s="53"/>
      <c r="AS221" s="53"/>
      <c r="AT221" s="53"/>
      <c r="AU221" s="53"/>
      <c r="AV221" s="58"/>
      <c r="AW221" s="58"/>
      <c r="AX221" s="58"/>
      <c r="AY221" s="53"/>
      <c r="AZ221" s="53"/>
      <c r="BA221" s="53"/>
      <c r="BB221" s="53"/>
      <c r="BC221" s="53"/>
      <c r="BD221" s="53"/>
      <c r="BE221" s="53"/>
      <c r="BF221" s="53"/>
      <c r="BG221" s="53"/>
      <c r="BH221" s="53"/>
      <c r="BI221" s="53"/>
      <c r="BJ221" s="53"/>
      <c r="BK221" s="53"/>
      <c r="BL221" s="53"/>
      <c r="BM221" s="53"/>
      <c r="BN221" s="53"/>
      <c r="BO221" s="65" t="str">
        <f t="shared" si="11"/>
        <v/>
      </c>
    </row>
    <row r="222" spans="1:67" ht="19.5" customHeight="1">
      <c r="A222" s="70" t="b">
        <v>0</v>
      </c>
      <c r="B222" s="71" t="b">
        <v>1</v>
      </c>
      <c r="C222" s="72" t="b">
        <v>0</v>
      </c>
      <c r="D222" s="72" t="b">
        <v>0</v>
      </c>
      <c r="E222" s="57"/>
      <c r="F222" s="59"/>
      <c r="G222" s="57"/>
      <c r="H222" s="88"/>
      <c r="I222" s="88"/>
      <c r="J222" s="88"/>
      <c r="K222" s="89" t="b">
        <v>1</v>
      </c>
      <c r="L222" s="60"/>
      <c r="M222" s="57"/>
      <c r="N222" s="57"/>
      <c r="O222" s="61"/>
      <c r="P222" s="60"/>
      <c r="Q222" s="57"/>
      <c r="R222" s="57"/>
      <c r="S222" s="95"/>
      <c r="T222" s="88"/>
      <c r="U222" s="88"/>
      <c r="V222" s="88"/>
      <c r="W222" s="96"/>
      <c r="X222" s="97"/>
      <c r="Y222" s="97"/>
      <c r="Z222" s="98"/>
      <c r="AA222" s="99"/>
      <c r="AB222" s="98"/>
      <c r="AC222" s="88"/>
      <c r="AD222" s="98"/>
      <c r="AE222" s="64"/>
      <c r="AF222" s="67" t="str">
        <f t="shared" si="9"/>
        <v/>
      </c>
      <c r="AG222" s="58"/>
      <c r="AH222" s="68" t="str">
        <f t="shared" si="10"/>
        <v/>
      </c>
      <c r="AI222" s="53"/>
      <c r="AJ222" s="53"/>
      <c r="AK222" s="53"/>
      <c r="AL222" s="53"/>
      <c r="AM222" s="53"/>
      <c r="AN222" s="53"/>
      <c r="AO222" s="53"/>
      <c r="AP222" s="53"/>
      <c r="AQ222" s="53"/>
      <c r="AR222" s="53"/>
      <c r="AS222" s="53"/>
      <c r="AT222" s="53"/>
      <c r="AU222" s="53"/>
      <c r="AV222" s="58"/>
      <c r="AW222" s="58"/>
      <c r="AX222" s="58"/>
      <c r="AY222" s="53"/>
      <c r="AZ222" s="53"/>
      <c r="BA222" s="53"/>
      <c r="BB222" s="53"/>
      <c r="BC222" s="53"/>
      <c r="BD222" s="53"/>
      <c r="BE222" s="53"/>
      <c r="BF222" s="53"/>
      <c r="BG222" s="53"/>
      <c r="BH222" s="53"/>
      <c r="BI222" s="53"/>
      <c r="BJ222" s="53"/>
      <c r="BK222" s="53"/>
      <c r="BL222" s="53"/>
      <c r="BM222" s="53"/>
      <c r="BN222" s="53"/>
      <c r="BO222" s="65" t="str">
        <f t="shared" si="11"/>
        <v/>
      </c>
    </row>
    <row r="223" spans="1:67" ht="19.5" customHeight="1">
      <c r="A223" s="70" t="b">
        <v>0</v>
      </c>
      <c r="B223" s="71" t="b">
        <v>1</v>
      </c>
      <c r="C223" s="72" t="b">
        <v>0</v>
      </c>
      <c r="D223" s="72" t="b">
        <v>0</v>
      </c>
      <c r="E223" s="57"/>
      <c r="F223" s="59"/>
      <c r="G223" s="57"/>
      <c r="H223" s="88"/>
      <c r="I223" s="88"/>
      <c r="J223" s="88"/>
      <c r="K223" s="89" t="b">
        <v>1</v>
      </c>
      <c r="L223" s="60"/>
      <c r="M223" s="57"/>
      <c r="N223" s="57"/>
      <c r="O223" s="61"/>
      <c r="P223" s="60"/>
      <c r="Q223" s="57"/>
      <c r="R223" s="57"/>
      <c r="S223" s="95"/>
      <c r="T223" s="88"/>
      <c r="U223" s="88"/>
      <c r="V223" s="88"/>
      <c r="W223" s="96"/>
      <c r="X223" s="97"/>
      <c r="Y223" s="97"/>
      <c r="Z223" s="98"/>
      <c r="AA223" s="99"/>
      <c r="AB223" s="98"/>
      <c r="AC223" s="88"/>
      <c r="AD223" s="98"/>
      <c r="AE223" s="64"/>
      <c r="AF223" s="67" t="str">
        <f t="shared" si="9"/>
        <v/>
      </c>
      <c r="AG223" s="58"/>
      <c r="AH223" s="68" t="str">
        <f t="shared" si="10"/>
        <v/>
      </c>
      <c r="AI223" s="53"/>
      <c r="AJ223" s="53"/>
      <c r="AK223" s="53"/>
      <c r="AL223" s="53"/>
      <c r="AM223" s="53"/>
      <c r="AN223" s="53"/>
      <c r="AO223" s="53"/>
      <c r="AP223" s="53"/>
      <c r="AQ223" s="53"/>
      <c r="AR223" s="53"/>
      <c r="AS223" s="53"/>
      <c r="AT223" s="53"/>
      <c r="AU223" s="53"/>
      <c r="AV223" s="58"/>
      <c r="AW223" s="58"/>
      <c r="AX223" s="58"/>
      <c r="AY223" s="53"/>
      <c r="AZ223" s="53"/>
      <c r="BA223" s="53"/>
      <c r="BB223" s="53"/>
      <c r="BC223" s="53"/>
      <c r="BD223" s="53"/>
      <c r="BE223" s="53"/>
      <c r="BF223" s="53"/>
      <c r="BG223" s="53"/>
      <c r="BH223" s="53"/>
      <c r="BI223" s="53"/>
      <c r="BJ223" s="53"/>
      <c r="BK223" s="53"/>
      <c r="BL223" s="53"/>
      <c r="BM223" s="53"/>
      <c r="BN223" s="53"/>
      <c r="BO223" s="65" t="str">
        <f t="shared" si="11"/>
        <v/>
      </c>
    </row>
    <row r="224" spans="1:67" ht="19.5" customHeight="1">
      <c r="A224" s="70" t="b">
        <v>0</v>
      </c>
      <c r="B224" s="71" t="b">
        <v>1</v>
      </c>
      <c r="C224" s="72" t="b">
        <v>0</v>
      </c>
      <c r="D224" s="72" t="b">
        <v>0</v>
      </c>
      <c r="E224" s="57"/>
      <c r="F224" s="59"/>
      <c r="G224" s="57"/>
      <c r="H224" s="88"/>
      <c r="I224" s="88"/>
      <c r="J224" s="88"/>
      <c r="K224" s="89" t="b">
        <v>1</v>
      </c>
      <c r="L224" s="60"/>
      <c r="M224" s="57"/>
      <c r="N224" s="57"/>
      <c r="O224" s="61"/>
      <c r="P224" s="60"/>
      <c r="Q224" s="57"/>
      <c r="R224" s="57"/>
      <c r="S224" s="95"/>
      <c r="T224" s="88"/>
      <c r="U224" s="88"/>
      <c r="V224" s="88"/>
      <c r="W224" s="96"/>
      <c r="X224" s="97"/>
      <c r="Y224" s="97"/>
      <c r="Z224" s="98"/>
      <c r="AA224" s="99"/>
      <c r="AB224" s="98"/>
      <c r="AC224" s="88"/>
      <c r="AD224" s="98"/>
      <c r="AE224" s="64"/>
      <c r="AF224" s="67" t="str">
        <f t="shared" si="9"/>
        <v/>
      </c>
      <c r="AG224" s="58"/>
      <c r="AH224" s="68" t="str">
        <f t="shared" si="10"/>
        <v/>
      </c>
      <c r="AI224" s="53"/>
      <c r="AJ224" s="53"/>
      <c r="AK224" s="53"/>
      <c r="AL224" s="53"/>
      <c r="AM224" s="53"/>
      <c r="AN224" s="53"/>
      <c r="AO224" s="53"/>
      <c r="AP224" s="53"/>
      <c r="AQ224" s="53"/>
      <c r="AR224" s="53"/>
      <c r="AS224" s="53"/>
      <c r="AT224" s="53"/>
      <c r="AU224" s="53"/>
      <c r="AV224" s="58"/>
      <c r="AW224" s="58"/>
      <c r="AX224" s="58"/>
      <c r="AY224" s="53"/>
      <c r="AZ224" s="53"/>
      <c r="BA224" s="53"/>
      <c r="BB224" s="53"/>
      <c r="BC224" s="53"/>
      <c r="BD224" s="53"/>
      <c r="BE224" s="53"/>
      <c r="BF224" s="53"/>
      <c r="BG224" s="53"/>
      <c r="BH224" s="53"/>
      <c r="BI224" s="53"/>
      <c r="BJ224" s="53"/>
      <c r="BK224" s="53"/>
      <c r="BL224" s="53"/>
      <c r="BM224" s="53"/>
      <c r="BN224" s="53"/>
      <c r="BO224" s="65" t="str">
        <f t="shared" si="11"/>
        <v/>
      </c>
    </row>
    <row r="225" spans="1:67" ht="19.5" customHeight="1">
      <c r="A225" s="70" t="b">
        <v>0</v>
      </c>
      <c r="B225" s="71" t="b">
        <v>1</v>
      </c>
      <c r="C225" s="72" t="b">
        <v>0</v>
      </c>
      <c r="D225" s="72" t="b">
        <v>0</v>
      </c>
      <c r="E225" s="57"/>
      <c r="F225" s="59"/>
      <c r="G225" s="57"/>
      <c r="H225" s="88"/>
      <c r="I225" s="88"/>
      <c r="J225" s="88"/>
      <c r="K225" s="89" t="b">
        <v>1</v>
      </c>
      <c r="L225" s="60"/>
      <c r="M225" s="57"/>
      <c r="N225" s="57"/>
      <c r="O225" s="61"/>
      <c r="P225" s="60"/>
      <c r="Q225" s="57"/>
      <c r="R225" s="57"/>
      <c r="S225" s="95"/>
      <c r="T225" s="88"/>
      <c r="U225" s="88"/>
      <c r="V225" s="88"/>
      <c r="W225" s="96"/>
      <c r="X225" s="97"/>
      <c r="Y225" s="97"/>
      <c r="Z225" s="98"/>
      <c r="AA225" s="99"/>
      <c r="AB225" s="98"/>
      <c r="AC225" s="88"/>
      <c r="AD225" s="98"/>
      <c r="AE225" s="64"/>
      <c r="AF225" s="67" t="str">
        <f t="shared" si="9"/>
        <v/>
      </c>
      <c r="AG225" s="58"/>
      <c r="AH225" s="68" t="str">
        <f t="shared" si="10"/>
        <v/>
      </c>
      <c r="AI225" s="53"/>
      <c r="AJ225" s="53"/>
      <c r="AK225" s="53"/>
      <c r="AL225" s="53"/>
      <c r="AM225" s="53"/>
      <c r="AN225" s="53"/>
      <c r="AO225" s="53"/>
      <c r="AP225" s="53"/>
      <c r="AQ225" s="53"/>
      <c r="AR225" s="53"/>
      <c r="AS225" s="53"/>
      <c r="AT225" s="53"/>
      <c r="AU225" s="53"/>
      <c r="AV225" s="58"/>
      <c r="AW225" s="58"/>
      <c r="AX225" s="58"/>
      <c r="AY225" s="53"/>
      <c r="AZ225" s="53"/>
      <c r="BA225" s="53"/>
      <c r="BB225" s="53"/>
      <c r="BC225" s="53"/>
      <c r="BD225" s="53"/>
      <c r="BE225" s="53"/>
      <c r="BF225" s="53"/>
      <c r="BG225" s="53"/>
      <c r="BH225" s="53"/>
      <c r="BI225" s="53"/>
      <c r="BJ225" s="53"/>
      <c r="BK225" s="53"/>
      <c r="BL225" s="53"/>
      <c r="BM225" s="53"/>
      <c r="BN225" s="53"/>
      <c r="BO225" s="65" t="str">
        <f t="shared" si="11"/>
        <v/>
      </c>
    </row>
    <row r="226" spans="1:67" ht="19.5" customHeight="1">
      <c r="A226" s="70" t="b">
        <v>0</v>
      </c>
      <c r="B226" s="71" t="b">
        <v>1</v>
      </c>
      <c r="C226" s="72" t="b">
        <v>0</v>
      </c>
      <c r="D226" s="72" t="b">
        <v>0</v>
      </c>
      <c r="E226" s="57"/>
      <c r="F226" s="59"/>
      <c r="G226" s="57"/>
      <c r="H226" s="88"/>
      <c r="I226" s="88"/>
      <c r="J226" s="88"/>
      <c r="K226" s="89" t="b">
        <v>1</v>
      </c>
      <c r="L226" s="60"/>
      <c r="M226" s="57"/>
      <c r="N226" s="57"/>
      <c r="O226" s="61"/>
      <c r="P226" s="60"/>
      <c r="Q226" s="57"/>
      <c r="R226" s="57"/>
      <c r="S226" s="95"/>
      <c r="T226" s="88"/>
      <c r="U226" s="88"/>
      <c r="V226" s="88"/>
      <c r="W226" s="96"/>
      <c r="X226" s="97"/>
      <c r="Y226" s="97"/>
      <c r="Z226" s="98"/>
      <c r="AA226" s="99"/>
      <c r="AB226" s="98"/>
      <c r="AC226" s="88"/>
      <c r="AD226" s="98"/>
      <c r="AE226" s="64"/>
      <c r="AF226" s="67" t="str">
        <f t="shared" si="9"/>
        <v/>
      </c>
      <c r="AG226" s="58"/>
      <c r="AH226" s="68" t="str">
        <f t="shared" si="10"/>
        <v/>
      </c>
      <c r="AI226" s="53"/>
      <c r="AJ226" s="53"/>
      <c r="AK226" s="53"/>
      <c r="AL226" s="53"/>
      <c r="AM226" s="53"/>
      <c r="AN226" s="53"/>
      <c r="AO226" s="53"/>
      <c r="AP226" s="53"/>
      <c r="AQ226" s="53"/>
      <c r="AR226" s="53"/>
      <c r="AS226" s="53"/>
      <c r="AT226" s="53"/>
      <c r="AU226" s="53"/>
      <c r="AV226" s="58"/>
      <c r="AW226" s="58"/>
      <c r="AX226" s="58"/>
      <c r="AY226" s="53"/>
      <c r="AZ226" s="53"/>
      <c r="BA226" s="53"/>
      <c r="BB226" s="53"/>
      <c r="BC226" s="53"/>
      <c r="BD226" s="53"/>
      <c r="BE226" s="53"/>
      <c r="BF226" s="53"/>
      <c r="BG226" s="53"/>
      <c r="BH226" s="53"/>
      <c r="BI226" s="53"/>
      <c r="BJ226" s="53"/>
      <c r="BK226" s="53"/>
      <c r="BL226" s="53"/>
      <c r="BM226" s="53"/>
      <c r="BN226" s="53"/>
      <c r="BO226" s="65" t="str">
        <f t="shared" si="11"/>
        <v/>
      </c>
    </row>
    <row r="227" spans="1:67" ht="19.5" customHeight="1">
      <c r="A227" s="70" t="b">
        <v>0</v>
      </c>
      <c r="B227" s="71" t="b">
        <v>1</v>
      </c>
      <c r="C227" s="72" t="b">
        <v>0</v>
      </c>
      <c r="D227" s="72" t="b">
        <v>0</v>
      </c>
      <c r="E227" s="57"/>
      <c r="F227" s="59"/>
      <c r="G227" s="57"/>
      <c r="H227" s="88"/>
      <c r="I227" s="88"/>
      <c r="J227" s="88"/>
      <c r="K227" s="89" t="b">
        <v>1</v>
      </c>
      <c r="L227" s="60"/>
      <c r="M227" s="57"/>
      <c r="N227" s="57"/>
      <c r="O227" s="61"/>
      <c r="P227" s="60"/>
      <c r="Q227" s="57"/>
      <c r="R227" s="57"/>
      <c r="S227" s="95"/>
      <c r="T227" s="88"/>
      <c r="U227" s="88"/>
      <c r="V227" s="88"/>
      <c r="W227" s="96"/>
      <c r="X227" s="97"/>
      <c r="Y227" s="97"/>
      <c r="Z227" s="98"/>
      <c r="AA227" s="99"/>
      <c r="AB227" s="98"/>
      <c r="AC227" s="88"/>
      <c r="AD227" s="98"/>
      <c r="AE227" s="64"/>
      <c r="AF227" s="67" t="str">
        <f t="shared" si="9"/>
        <v/>
      </c>
      <c r="AG227" s="58"/>
      <c r="AH227" s="68" t="str">
        <f t="shared" si="10"/>
        <v/>
      </c>
      <c r="AI227" s="53"/>
      <c r="AJ227" s="53"/>
      <c r="AK227" s="53"/>
      <c r="AL227" s="53"/>
      <c r="AM227" s="53"/>
      <c r="AN227" s="53"/>
      <c r="AO227" s="53"/>
      <c r="AP227" s="53"/>
      <c r="AQ227" s="53"/>
      <c r="AR227" s="53"/>
      <c r="AS227" s="53"/>
      <c r="AT227" s="53"/>
      <c r="AU227" s="53"/>
      <c r="AV227" s="58"/>
      <c r="AW227" s="58"/>
      <c r="AX227" s="58"/>
      <c r="AY227" s="53"/>
      <c r="AZ227" s="53"/>
      <c r="BA227" s="53"/>
      <c r="BB227" s="53"/>
      <c r="BC227" s="53"/>
      <c r="BD227" s="53"/>
      <c r="BE227" s="53"/>
      <c r="BF227" s="53"/>
      <c r="BG227" s="53"/>
      <c r="BH227" s="53"/>
      <c r="BI227" s="53"/>
      <c r="BJ227" s="53"/>
      <c r="BK227" s="53"/>
      <c r="BL227" s="53"/>
      <c r="BM227" s="53"/>
      <c r="BN227" s="53"/>
      <c r="BO227" s="65" t="str">
        <f t="shared" si="11"/>
        <v/>
      </c>
    </row>
    <row r="228" spans="1:67" ht="19.5" customHeight="1">
      <c r="A228" s="70" t="b">
        <v>0</v>
      </c>
      <c r="B228" s="71" t="b">
        <v>1</v>
      </c>
      <c r="C228" s="72" t="b">
        <v>0</v>
      </c>
      <c r="D228" s="72" t="b">
        <v>0</v>
      </c>
      <c r="E228" s="57"/>
      <c r="F228" s="59"/>
      <c r="G228" s="57"/>
      <c r="H228" s="88"/>
      <c r="I228" s="88"/>
      <c r="J228" s="88"/>
      <c r="K228" s="89" t="b">
        <v>1</v>
      </c>
      <c r="L228" s="60"/>
      <c r="M228" s="57"/>
      <c r="N228" s="57"/>
      <c r="O228" s="61"/>
      <c r="P228" s="60"/>
      <c r="Q228" s="57"/>
      <c r="R228" s="57"/>
      <c r="S228" s="95"/>
      <c r="T228" s="88"/>
      <c r="U228" s="88"/>
      <c r="V228" s="88"/>
      <c r="W228" s="96"/>
      <c r="X228" s="97"/>
      <c r="Y228" s="97"/>
      <c r="Z228" s="98"/>
      <c r="AA228" s="99"/>
      <c r="AB228" s="98"/>
      <c r="AC228" s="88"/>
      <c r="AD228" s="98"/>
      <c r="AE228" s="64"/>
      <c r="AF228" s="67" t="str">
        <f t="shared" si="9"/>
        <v/>
      </c>
      <c r="AG228" s="58"/>
      <c r="AH228" s="68" t="str">
        <f t="shared" si="10"/>
        <v/>
      </c>
      <c r="AI228" s="53"/>
      <c r="AJ228" s="53"/>
      <c r="AK228" s="53"/>
      <c r="AL228" s="53"/>
      <c r="AM228" s="53"/>
      <c r="AN228" s="53"/>
      <c r="AO228" s="53"/>
      <c r="AP228" s="53"/>
      <c r="AQ228" s="53"/>
      <c r="AR228" s="53"/>
      <c r="AS228" s="53"/>
      <c r="AT228" s="53"/>
      <c r="AU228" s="53"/>
      <c r="AV228" s="58"/>
      <c r="AW228" s="58"/>
      <c r="AX228" s="58"/>
      <c r="AY228" s="53"/>
      <c r="AZ228" s="53"/>
      <c r="BA228" s="53"/>
      <c r="BB228" s="53"/>
      <c r="BC228" s="53"/>
      <c r="BD228" s="53"/>
      <c r="BE228" s="53"/>
      <c r="BF228" s="53"/>
      <c r="BG228" s="53"/>
      <c r="BH228" s="53"/>
      <c r="BI228" s="53"/>
      <c r="BJ228" s="53"/>
      <c r="BK228" s="53"/>
      <c r="BL228" s="53"/>
      <c r="BM228" s="53"/>
      <c r="BN228" s="53"/>
      <c r="BO228" s="65" t="str">
        <f t="shared" si="11"/>
        <v/>
      </c>
    </row>
    <row r="229" spans="1:67" ht="19.5" customHeight="1">
      <c r="A229" s="70" t="b">
        <v>0</v>
      </c>
      <c r="B229" s="71" t="b">
        <v>1</v>
      </c>
      <c r="C229" s="72" t="b">
        <v>0</v>
      </c>
      <c r="D229" s="72" t="b">
        <v>0</v>
      </c>
      <c r="E229" s="57"/>
      <c r="F229" s="59"/>
      <c r="G229" s="57"/>
      <c r="H229" s="88"/>
      <c r="I229" s="88"/>
      <c r="J229" s="88"/>
      <c r="K229" s="89" t="b">
        <v>1</v>
      </c>
      <c r="L229" s="60"/>
      <c r="M229" s="57"/>
      <c r="N229" s="57"/>
      <c r="O229" s="61"/>
      <c r="P229" s="60"/>
      <c r="Q229" s="57"/>
      <c r="R229" s="57"/>
      <c r="S229" s="95"/>
      <c r="T229" s="88"/>
      <c r="U229" s="88"/>
      <c r="V229" s="88"/>
      <c r="W229" s="96"/>
      <c r="X229" s="97"/>
      <c r="Y229" s="97"/>
      <c r="Z229" s="98"/>
      <c r="AA229" s="99"/>
      <c r="AB229" s="98"/>
      <c r="AC229" s="88"/>
      <c r="AD229" s="98"/>
      <c r="AE229" s="64"/>
      <c r="AF229" s="67" t="str">
        <f t="shared" si="9"/>
        <v/>
      </c>
      <c r="AG229" s="58"/>
      <c r="AH229" s="68" t="str">
        <f t="shared" si="10"/>
        <v/>
      </c>
      <c r="AI229" s="53"/>
      <c r="AJ229" s="53"/>
      <c r="AK229" s="53"/>
      <c r="AL229" s="53"/>
      <c r="AM229" s="53"/>
      <c r="AN229" s="53"/>
      <c r="AO229" s="53"/>
      <c r="AP229" s="53"/>
      <c r="AQ229" s="53"/>
      <c r="AR229" s="53"/>
      <c r="AS229" s="53"/>
      <c r="AT229" s="53"/>
      <c r="AU229" s="53"/>
      <c r="AV229" s="58"/>
      <c r="AW229" s="58"/>
      <c r="AX229" s="58"/>
      <c r="AY229" s="53"/>
      <c r="AZ229" s="53"/>
      <c r="BA229" s="53"/>
      <c r="BB229" s="53"/>
      <c r="BC229" s="53"/>
      <c r="BD229" s="53"/>
      <c r="BE229" s="53"/>
      <c r="BF229" s="53"/>
      <c r="BG229" s="53"/>
      <c r="BH229" s="53"/>
      <c r="BI229" s="53"/>
      <c r="BJ229" s="53"/>
      <c r="BK229" s="53"/>
      <c r="BL229" s="53"/>
      <c r="BM229" s="53"/>
      <c r="BN229" s="53"/>
      <c r="BO229" s="65" t="str">
        <f t="shared" si="11"/>
        <v/>
      </c>
    </row>
    <row r="230" spans="1:67" ht="19.5" customHeight="1">
      <c r="A230" s="70" t="b">
        <v>0</v>
      </c>
      <c r="B230" s="71" t="b">
        <v>1</v>
      </c>
      <c r="C230" s="72" t="b">
        <v>0</v>
      </c>
      <c r="D230" s="72" t="b">
        <v>0</v>
      </c>
      <c r="E230" s="57"/>
      <c r="F230" s="59"/>
      <c r="G230" s="57"/>
      <c r="H230" s="88"/>
      <c r="I230" s="88"/>
      <c r="J230" s="88"/>
      <c r="K230" s="89" t="b">
        <v>1</v>
      </c>
      <c r="L230" s="60"/>
      <c r="M230" s="57"/>
      <c r="N230" s="57"/>
      <c r="O230" s="61"/>
      <c r="P230" s="60"/>
      <c r="Q230" s="57"/>
      <c r="R230" s="57"/>
      <c r="S230" s="95"/>
      <c r="T230" s="88"/>
      <c r="U230" s="88"/>
      <c r="V230" s="88"/>
      <c r="W230" s="96"/>
      <c r="X230" s="97"/>
      <c r="Y230" s="97"/>
      <c r="Z230" s="98"/>
      <c r="AA230" s="99"/>
      <c r="AB230" s="98"/>
      <c r="AC230" s="88"/>
      <c r="AD230" s="98"/>
      <c r="AE230" s="64"/>
      <c r="AF230" s="67" t="str">
        <f t="shared" si="9"/>
        <v/>
      </c>
      <c r="AG230" s="58"/>
      <c r="AH230" s="68" t="str">
        <f t="shared" si="10"/>
        <v/>
      </c>
      <c r="AI230" s="53"/>
      <c r="AJ230" s="53"/>
      <c r="AK230" s="53"/>
      <c r="AL230" s="53"/>
      <c r="AM230" s="53"/>
      <c r="AN230" s="53"/>
      <c r="AO230" s="53"/>
      <c r="AP230" s="53"/>
      <c r="AQ230" s="53"/>
      <c r="AR230" s="53"/>
      <c r="AS230" s="53"/>
      <c r="AT230" s="53"/>
      <c r="AU230" s="53"/>
      <c r="AV230" s="58"/>
      <c r="AW230" s="58"/>
      <c r="AX230" s="58"/>
      <c r="AY230" s="53"/>
      <c r="AZ230" s="53"/>
      <c r="BA230" s="53"/>
      <c r="BB230" s="53"/>
      <c r="BC230" s="53"/>
      <c r="BD230" s="53"/>
      <c r="BE230" s="53"/>
      <c r="BF230" s="53"/>
      <c r="BG230" s="53"/>
      <c r="BH230" s="53"/>
      <c r="BI230" s="53"/>
      <c r="BJ230" s="53"/>
      <c r="BK230" s="53"/>
      <c r="BL230" s="53"/>
      <c r="BM230" s="53"/>
      <c r="BN230" s="53"/>
      <c r="BO230" s="65" t="str">
        <f t="shared" si="11"/>
        <v/>
      </c>
    </row>
    <row r="231" spans="1:67" ht="19.5" customHeight="1">
      <c r="A231" s="70" t="b">
        <v>0</v>
      </c>
      <c r="B231" s="71" t="b">
        <v>1</v>
      </c>
      <c r="C231" s="72" t="b">
        <v>0</v>
      </c>
      <c r="D231" s="72" t="b">
        <v>0</v>
      </c>
      <c r="E231" s="57"/>
      <c r="F231" s="59"/>
      <c r="G231" s="57"/>
      <c r="H231" s="88"/>
      <c r="I231" s="88"/>
      <c r="J231" s="88"/>
      <c r="K231" s="89" t="b">
        <v>1</v>
      </c>
      <c r="L231" s="60"/>
      <c r="M231" s="57"/>
      <c r="N231" s="57"/>
      <c r="O231" s="61"/>
      <c r="P231" s="60"/>
      <c r="Q231" s="57"/>
      <c r="R231" s="57"/>
      <c r="S231" s="95"/>
      <c r="T231" s="88"/>
      <c r="U231" s="88"/>
      <c r="V231" s="88"/>
      <c r="W231" s="96"/>
      <c r="X231" s="97"/>
      <c r="Y231" s="97"/>
      <c r="Z231" s="98"/>
      <c r="AA231" s="99"/>
      <c r="AB231" s="98"/>
      <c r="AC231" s="88"/>
      <c r="AD231" s="98"/>
      <c r="AE231" s="64"/>
      <c r="AF231" s="67" t="str">
        <f t="shared" si="9"/>
        <v/>
      </c>
      <c r="AG231" s="58"/>
      <c r="AH231" s="68" t="str">
        <f t="shared" si="10"/>
        <v/>
      </c>
      <c r="AI231" s="53"/>
      <c r="AJ231" s="53"/>
      <c r="AK231" s="53"/>
      <c r="AL231" s="53"/>
      <c r="AM231" s="53"/>
      <c r="AN231" s="53"/>
      <c r="AO231" s="53"/>
      <c r="AP231" s="53"/>
      <c r="AQ231" s="53"/>
      <c r="AR231" s="53"/>
      <c r="AS231" s="53"/>
      <c r="AT231" s="53"/>
      <c r="AU231" s="53"/>
      <c r="AV231" s="58"/>
      <c r="AW231" s="58"/>
      <c r="AX231" s="58"/>
      <c r="AY231" s="53"/>
      <c r="AZ231" s="53"/>
      <c r="BA231" s="53"/>
      <c r="BB231" s="53"/>
      <c r="BC231" s="53"/>
      <c r="BD231" s="53"/>
      <c r="BE231" s="53"/>
      <c r="BF231" s="53"/>
      <c r="BG231" s="53"/>
      <c r="BH231" s="53"/>
      <c r="BI231" s="53"/>
      <c r="BJ231" s="53"/>
      <c r="BK231" s="53"/>
      <c r="BL231" s="53"/>
      <c r="BM231" s="53"/>
      <c r="BN231" s="53"/>
      <c r="BO231" s="65" t="str">
        <f t="shared" si="11"/>
        <v/>
      </c>
    </row>
    <row r="232" spans="1:67" ht="19.5" customHeight="1">
      <c r="A232" s="70" t="b">
        <v>0</v>
      </c>
      <c r="B232" s="71" t="b">
        <v>1</v>
      </c>
      <c r="C232" s="72" t="b">
        <v>0</v>
      </c>
      <c r="D232" s="72" t="b">
        <v>0</v>
      </c>
      <c r="E232" s="57"/>
      <c r="F232" s="59"/>
      <c r="G232" s="57"/>
      <c r="H232" s="88"/>
      <c r="I232" s="88"/>
      <c r="J232" s="88"/>
      <c r="K232" s="89" t="b">
        <v>1</v>
      </c>
      <c r="L232" s="60"/>
      <c r="M232" s="57"/>
      <c r="N232" s="57"/>
      <c r="O232" s="61"/>
      <c r="P232" s="60"/>
      <c r="Q232" s="57"/>
      <c r="R232" s="57"/>
      <c r="S232" s="95"/>
      <c r="T232" s="88"/>
      <c r="U232" s="88"/>
      <c r="V232" s="88"/>
      <c r="W232" s="96"/>
      <c r="X232" s="97"/>
      <c r="Y232" s="97"/>
      <c r="Z232" s="98"/>
      <c r="AA232" s="99"/>
      <c r="AB232" s="98"/>
      <c r="AC232" s="88"/>
      <c r="AD232" s="98"/>
      <c r="AE232" s="64"/>
      <c r="AF232" s="67" t="str">
        <f t="shared" si="9"/>
        <v/>
      </c>
      <c r="AG232" s="58"/>
      <c r="AH232" s="68" t="str">
        <f t="shared" si="10"/>
        <v/>
      </c>
      <c r="AI232" s="53"/>
      <c r="AJ232" s="53"/>
      <c r="AK232" s="53"/>
      <c r="AL232" s="53"/>
      <c r="AM232" s="53"/>
      <c r="AN232" s="53"/>
      <c r="AO232" s="53"/>
      <c r="AP232" s="53"/>
      <c r="AQ232" s="53"/>
      <c r="AR232" s="53"/>
      <c r="AS232" s="53"/>
      <c r="AT232" s="53"/>
      <c r="AU232" s="53"/>
      <c r="AV232" s="58"/>
      <c r="AW232" s="58"/>
      <c r="AX232" s="58"/>
      <c r="AY232" s="53"/>
      <c r="AZ232" s="53"/>
      <c r="BA232" s="53"/>
      <c r="BB232" s="53"/>
      <c r="BC232" s="53"/>
      <c r="BD232" s="53"/>
      <c r="BE232" s="53"/>
      <c r="BF232" s="53"/>
      <c r="BG232" s="53"/>
      <c r="BH232" s="53"/>
      <c r="BI232" s="53"/>
      <c r="BJ232" s="53"/>
      <c r="BK232" s="53"/>
      <c r="BL232" s="53"/>
      <c r="BM232" s="53"/>
      <c r="BN232" s="53"/>
      <c r="BO232" s="65" t="str">
        <f t="shared" si="11"/>
        <v/>
      </c>
    </row>
    <row r="233" spans="1:67" ht="19.5" customHeight="1">
      <c r="A233" s="70" t="b">
        <v>0</v>
      </c>
      <c r="B233" s="71" t="b">
        <v>1</v>
      </c>
      <c r="C233" s="72" t="b">
        <v>0</v>
      </c>
      <c r="D233" s="72" t="b">
        <v>0</v>
      </c>
      <c r="E233" s="57"/>
      <c r="F233" s="59"/>
      <c r="G233" s="57"/>
      <c r="H233" s="88"/>
      <c r="I233" s="88"/>
      <c r="J233" s="88"/>
      <c r="K233" s="89" t="b">
        <v>1</v>
      </c>
      <c r="L233" s="60"/>
      <c r="M233" s="57"/>
      <c r="N233" s="57"/>
      <c r="O233" s="61"/>
      <c r="P233" s="60"/>
      <c r="Q233" s="57"/>
      <c r="R233" s="57"/>
      <c r="S233" s="95"/>
      <c r="T233" s="88"/>
      <c r="U233" s="88"/>
      <c r="V233" s="88"/>
      <c r="W233" s="96"/>
      <c r="X233" s="97"/>
      <c r="Y233" s="97"/>
      <c r="Z233" s="98"/>
      <c r="AA233" s="99"/>
      <c r="AB233" s="98"/>
      <c r="AC233" s="88"/>
      <c r="AD233" s="98"/>
      <c r="AE233" s="64"/>
      <c r="AF233" s="67" t="str">
        <f t="shared" si="9"/>
        <v/>
      </c>
      <c r="AG233" s="58"/>
      <c r="AH233" s="68" t="str">
        <f t="shared" si="10"/>
        <v/>
      </c>
      <c r="AI233" s="53"/>
      <c r="AJ233" s="53"/>
      <c r="AK233" s="53"/>
      <c r="AL233" s="53"/>
      <c r="AM233" s="53"/>
      <c r="AN233" s="53"/>
      <c r="AO233" s="53"/>
      <c r="AP233" s="53"/>
      <c r="AQ233" s="53"/>
      <c r="AR233" s="53"/>
      <c r="AS233" s="53"/>
      <c r="AT233" s="53"/>
      <c r="AU233" s="53"/>
      <c r="AV233" s="58"/>
      <c r="AW233" s="58"/>
      <c r="AX233" s="58"/>
      <c r="AY233" s="53"/>
      <c r="AZ233" s="53"/>
      <c r="BA233" s="53"/>
      <c r="BB233" s="53"/>
      <c r="BC233" s="53"/>
      <c r="BD233" s="53"/>
      <c r="BE233" s="53"/>
      <c r="BF233" s="53"/>
      <c r="BG233" s="53"/>
      <c r="BH233" s="53"/>
      <c r="BI233" s="53"/>
      <c r="BJ233" s="53"/>
      <c r="BK233" s="53"/>
      <c r="BL233" s="53"/>
      <c r="BM233" s="53"/>
      <c r="BN233" s="53"/>
      <c r="BO233" s="65" t="str">
        <f t="shared" si="11"/>
        <v/>
      </c>
    </row>
    <row r="234" spans="1:67" ht="19.5" customHeight="1">
      <c r="A234" s="70" t="b">
        <v>0</v>
      </c>
      <c r="B234" s="71" t="b">
        <v>1</v>
      </c>
      <c r="C234" s="72" t="b">
        <v>0</v>
      </c>
      <c r="D234" s="72" t="b">
        <v>0</v>
      </c>
      <c r="E234" s="57"/>
      <c r="F234" s="59"/>
      <c r="G234" s="57"/>
      <c r="H234" s="88"/>
      <c r="I234" s="88"/>
      <c r="J234" s="88"/>
      <c r="K234" s="89" t="b">
        <v>1</v>
      </c>
      <c r="L234" s="60"/>
      <c r="M234" s="57"/>
      <c r="N234" s="57"/>
      <c r="O234" s="61"/>
      <c r="P234" s="60"/>
      <c r="Q234" s="57"/>
      <c r="R234" s="57"/>
      <c r="S234" s="95"/>
      <c r="T234" s="88"/>
      <c r="U234" s="88"/>
      <c r="V234" s="88"/>
      <c r="W234" s="96"/>
      <c r="X234" s="97"/>
      <c r="Y234" s="97"/>
      <c r="Z234" s="98"/>
      <c r="AA234" s="99"/>
      <c r="AB234" s="98"/>
      <c r="AC234" s="88"/>
      <c r="AD234" s="98"/>
      <c r="AE234" s="64"/>
      <c r="AF234" s="67" t="str">
        <f t="shared" si="9"/>
        <v/>
      </c>
      <c r="AG234" s="58"/>
      <c r="AH234" s="68" t="str">
        <f t="shared" si="10"/>
        <v/>
      </c>
      <c r="AI234" s="53"/>
      <c r="AJ234" s="53"/>
      <c r="AK234" s="53"/>
      <c r="AL234" s="53"/>
      <c r="AM234" s="53"/>
      <c r="AN234" s="53"/>
      <c r="AO234" s="53"/>
      <c r="AP234" s="53"/>
      <c r="AQ234" s="53"/>
      <c r="AR234" s="53"/>
      <c r="AS234" s="53"/>
      <c r="AT234" s="53"/>
      <c r="AU234" s="53"/>
      <c r="AV234" s="58"/>
      <c r="AW234" s="58"/>
      <c r="AX234" s="58"/>
      <c r="AY234" s="53"/>
      <c r="AZ234" s="53"/>
      <c r="BA234" s="53"/>
      <c r="BB234" s="53"/>
      <c r="BC234" s="53"/>
      <c r="BD234" s="53"/>
      <c r="BE234" s="53"/>
      <c r="BF234" s="53"/>
      <c r="BG234" s="53"/>
      <c r="BH234" s="53"/>
      <c r="BI234" s="53"/>
      <c r="BJ234" s="53"/>
      <c r="BK234" s="53"/>
      <c r="BL234" s="53"/>
      <c r="BM234" s="53"/>
      <c r="BN234" s="53"/>
      <c r="BO234" s="65" t="str">
        <f t="shared" si="11"/>
        <v/>
      </c>
    </row>
    <row r="235" spans="1:67" ht="19.5" customHeight="1">
      <c r="A235" s="70" t="b">
        <v>0</v>
      </c>
      <c r="B235" s="71" t="b">
        <v>1</v>
      </c>
      <c r="C235" s="72" t="b">
        <v>0</v>
      </c>
      <c r="D235" s="72" t="b">
        <v>0</v>
      </c>
      <c r="E235" s="57"/>
      <c r="F235" s="59"/>
      <c r="G235" s="57"/>
      <c r="H235" s="88"/>
      <c r="I235" s="88"/>
      <c r="J235" s="88"/>
      <c r="K235" s="89" t="b">
        <v>1</v>
      </c>
      <c r="L235" s="60"/>
      <c r="M235" s="57"/>
      <c r="N235" s="57"/>
      <c r="O235" s="61"/>
      <c r="P235" s="60"/>
      <c r="Q235" s="57"/>
      <c r="R235" s="57"/>
      <c r="S235" s="95"/>
      <c r="T235" s="88"/>
      <c r="U235" s="88"/>
      <c r="V235" s="88"/>
      <c r="W235" s="96"/>
      <c r="X235" s="97"/>
      <c r="Y235" s="97"/>
      <c r="Z235" s="98"/>
      <c r="AA235" s="99"/>
      <c r="AB235" s="98"/>
      <c r="AC235" s="88"/>
      <c r="AD235" s="98"/>
      <c r="AE235" s="64"/>
      <c r="AF235" s="67" t="str">
        <f t="shared" si="9"/>
        <v/>
      </c>
      <c r="AG235" s="58"/>
      <c r="AH235" s="68" t="str">
        <f t="shared" si="10"/>
        <v/>
      </c>
      <c r="AI235" s="53"/>
      <c r="AJ235" s="53"/>
      <c r="AK235" s="53"/>
      <c r="AL235" s="53"/>
      <c r="AM235" s="53"/>
      <c r="AN235" s="53"/>
      <c r="AO235" s="53"/>
      <c r="AP235" s="53"/>
      <c r="AQ235" s="53"/>
      <c r="AR235" s="53"/>
      <c r="AS235" s="53"/>
      <c r="AT235" s="53"/>
      <c r="AU235" s="53"/>
      <c r="AV235" s="58"/>
      <c r="AW235" s="58"/>
      <c r="AX235" s="58"/>
      <c r="AY235" s="53"/>
      <c r="AZ235" s="53"/>
      <c r="BA235" s="53"/>
      <c r="BB235" s="53"/>
      <c r="BC235" s="53"/>
      <c r="BD235" s="53"/>
      <c r="BE235" s="53"/>
      <c r="BF235" s="53"/>
      <c r="BG235" s="53"/>
      <c r="BH235" s="53"/>
      <c r="BI235" s="53"/>
      <c r="BJ235" s="53"/>
      <c r="BK235" s="53"/>
      <c r="BL235" s="53"/>
      <c r="BM235" s="53"/>
      <c r="BN235" s="53"/>
      <c r="BO235" s="65" t="str">
        <f t="shared" si="11"/>
        <v/>
      </c>
    </row>
    <row r="236" spans="1:67" ht="19.5" customHeight="1">
      <c r="A236" s="70" t="b">
        <v>0</v>
      </c>
      <c r="B236" s="71" t="b">
        <v>1</v>
      </c>
      <c r="C236" s="72" t="b">
        <v>0</v>
      </c>
      <c r="D236" s="72" t="b">
        <v>0</v>
      </c>
      <c r="E236" s="57"/>
      <c r="F236" s="59"/>
      <c r="G236" s="57"/>
      <c r="H236" s="88"/>
      <c r="I236" s="88"/>
      <c r="J236" s="88"/>
      <c r="K236" s="89" t="b">
        <v>1</v>
      </c>
      <c r="L236" s="60"/>
      <c r="M236" s="57"/>
      <c r="N236" s="57"/>
      <c r="O236" s="61"/>
      <c r="P236" s="60"/>
      <c r="Q236" s="57"/>
      <c r="R236" s="57"/>
      <c r="S236" s="95"/>
      <c r="T236" s="88"/>
      <c r="U236" s="88"/>
      <c r="V236" s="88"/>
      <c r="W236" s="96"/>
      <c r="X236" s="97"/>
      <c r="Y236" s="97"/>
      <c r="Z236" s="98"/>
      <c r="AA236" s="99"/>
      <c r="AB236" s="98"/>
      <c r="AC236" s="88"/>
      <c r="AD236" s="98"/>
      <c r="AE236" s="64"/>
      <c r="AF236" s="67" t="str">
        <f t="shared" si="9"/>
        <v/>
      </c>
      <c r="AG236" s="58"/>
      <c r="AH236" s="68" t="str">
        <f t="shared" si="10"/>
        <v/>
      </c>
      <c r="AI236" s="53"/>
      <c r="AJ236" s="53"/>
      <c r="AK236" s="53"/>
      <c r="AL236" s="53"/>
      <c r="AM236" s="53"/>
      <c r="AN236" s="53"/>
      <c r="AO236" s="53"/>
      <c r="AP236" s="53"/>
      <c r="AQ236" s="53"/>
      <c r="AR236" s="53"/>
      <c r="AS236" s="53"/>
      <c r="AT236" s="53"/>
      <c r="AU236" s="53"/>
      <c r="AV236" s="58"/>
      <c r="AW236" s="58"/>
      <c r="AX236" s="58"/>
      <c r="AY236" s="53"/>
      <c r="AZ236" s="53"/>
      <c r="BA236" s="53"/>
      <c r="BB236" s="53"/>
      <c r="BC236" s="53"/>
      <c r="BD236" s="53"/>
      <c r="BE236" s="53"/>
      <c r="BF236" s="53"/>
      <c r="BG236" s="53"/>
      <c r="BH236" s="53"/>
      <c r="BI236" s="53"/>
      <c r="BJ236" s="53"/>
      <c r="BK236" s="53"/>
      <c r="BL236" s="53"/>
      <c r="BM236" s="53"/>
      <c r="BN236" s="53"/>
      <c r="BO236" s="65" t="str">
        <f t="shared" si="11"/>
        <v/>
      </c>
    </row>
    <row r="237" spans="1:67" ht="19.5" customHeight="1">
      <c r="A237" s="70" t="b">
        <v>0</v>
      </c>
      <c r="B237" s="71" t="b">
        <v>1</v>
      </c>
      <c r="C237" s="72" t="b">
        <v>0</v>
      </c>
      <c r="D237" s="72" t="b">
        <v>0</v>
      </c>
      <c r="E237" s="57"/>
      <c r="F237" s="59"/>
      <c r="G237" s="57"/>
      <c r="H237" s="88"/>
      <c r="I237" s="88"/>
      <c r="J237" s="88"/>
      <c r="K237" s="89" t="b">
        <v>1</v>
      </c>
      <c r="L237" s="60"/>
      <c r="M237" s="57"/>
      <c r="N237" s="57"/>
      <c r="O237" s="61"/>
      <c r="P237" s="60"/>
      <c r="Q237" s="57"/>
      <c r="R237" s="57"/>
      <c r="S237" s="95"/>
      <c r="T237" s="88"/>
      <c r="U237" s="88"/>
      <c r="V237" s="88"/>
      <c r="W237" s="96"/>
      <c r="X237" s="97"/>
      <c r="Y237" s="97"/>
      <c r="Z237" s="98"/>
      <c r="AA237" s="99"/>
      <c r="AB237" s="98"/>
      <c r="AC237" s="88"/>
      <c r="AD237" s="98"/>
      <c r="AE237" s="64"/>
      <c r="AF237" s="67" t="str">
        <f t="shared" si="9"/>
        <v/>
      </c>
      <c r="AG237" s="58"/>
      <c r="AH237" s="68" t="str">
        <f t="shared" si="10"/>
        <v/>
      </c>
      <c r="AI237" s="53"/>
      <c r="AJ237" s="53"/>
      <c r="AK237" s="53"/>
      <c r="AL237" s="53"/>
      <c r="AM237" s="53"/>
      <c r="AN237" s="53"/>
      <c r="AO237" s="53"/>
      <c r="AP237" s="53"/>
      <c r="AQ237" s="53"/>
      <c r="AR237" s="53"/>
      <c r="AS237" s="53"/>
      <c r="AT237" s="53"/>
      <c r="AU237" s="53"/>
      <c r="AV237" s="58"/>
      <c r="AW237" s="58"/>
      <c r="AX237" s="58"/>
      <c r="AY237" s="53"/>
      <c r="AZ237" s="53"/>
      <c r="BA237" s="53"/>
      <c r="BB237" s="53"/>
      <c r="BC237" s="53"/>
      <c r="BD237" s="53"/>
      <c r="BE237" s="53"/>
      <c r="BF237" s="53"/>
      <c r="BG237" s="53"/>
      <c r="BH237" s="53"/>
      <c r="BI237" s="53"/>
      <c r="BJ237" s="53"/>
      <c r="BK237" s="53"/>
      <c r="BL237" s="53"/>
      <c r="BM237" s="53"/>
      <c r="BN237" s="53"/>
      <c r="BO237" s="65" t="str">
        <f t="shared" si="11"/>
        <v/>
      </c>
    </row>
    <row r="238" spans="1:67" ht="19.5" customHeight="1">
      <c r="A238" s="70" t="b">
        <v>0</v>
      </c>
      <c r="B238" s="71" t="b">
        <v>1</v>
      </c>
      <c r="C238" s="72" t="b">
        <v>0</v>
      </c>
      <c r="D238" s="72" t="b">
        <v>0</v>
      </c>
      <c r="E238" s="57"/>
      <c r="F238" s="59"/>
      <c r="G238" s="57"/>
      <c r="H238" s="88"/>
      <c r="I238" s="88"/>
      <c r="J238" s="88"/>
      <c r="K238" s="89" t="b">
        <v>1</v>
      </c>
      <c r="L238" s="60"/>
      <c r="M238" s="57"/>
      <c r="N238" s="57"/>
      <c r="O238" s="61"/>
      <c r="P238" s="60"/>
      <c r="Q238" s="57"/>
      <c r="R238" s="57"/>
      <c r="S238" s="95"/>
      <c r="T238" s="88"/>
      <c r="U238" s="88"/>
      <c r="V238" s="88"/>
      <c r="W238" s="96"/>
      <c r="X238" s="97"/>
      <c r="Y238" s="97"/>
      <c r="Z238" s="98"/>
      <c r="AA238" s="99"/>
      <c r="AB238" s="98"/>
      <c r="AC238" s="88"/>
      <c r="AD238" s="98"/>
      <c r="AE238" s="64"/>
      <c r="AF238" s="67" t="str">
        <f t="shared" si="9"/>
        <v/>
      </c>
      <c r="AG238" s="58"/>
      <c r="AH238" s="68" t="str">
        <f t="shared" si="10"/>
        <v/>
      </c>
      <c r="AI238" s="53"/>
      <c r="AJ238" s="53"/>
      <c r="AK238" s="53"/>
      <c r="AL238" s="53"/>
      <c r="AM238" s="53"/>
      <c r="AN238" s="53"/>
      <c r="AO238" s="53"/>
      <c r="AP238" s="53"/>
      <c r="AQ238" s="53"/>
      <c r="AR238" s="53"/>
      <c r="AS238" s="53"/>
      <c r="AT238" s="53"/>
      <c r="AU238" s="53"/>
      <c r="AV238" s="58"/>
      <c r="AW238" s="58"/>
      <c r="AX238" s="58"/>
      <c r="AY238" s="53"/>
      <c r="AZ238" s="53"/>
      <c r="BA238" s="53"/>
      <c r="BB238" s="53"/>
      <c r="BC238" s="53"/>
      <c r="BD238" s="53"/>
      <c r="BE238" s="53"/>
      <c r="BF238" s="53"/>
      <c r="BG238" s="53"/>
      <c r="BH238" s="53"/>
      <c r="BI238" s="53"/>
      <c r="BJ238" s="53"/>
      <c r="BK238" s="53"/>
      <c r="BL238" s="53"/>
      <c r="BM238" s="53"/>
      <c r="BN238" s="53"/>
      <c r="BO238" s="65" t="str">
        <f t="shared" si="11"/>
        <v/>
      </c>
    </row>
    <row r="239" spans="1:67" ht="19.5" customHeight="1">
      <c r="A239" s="70" t="b">
        <v>0</v>
      </c>
      <c r="B239" s="71" t="b">
        <v>1</v>
      </c>
      <c r="C239" s="72" t="b">
        <v>0</v>
      </c>
      <c r="D239" s="72" t="b">
        <v>0</v>
      </c>
      <c r="E239" s="57"/>
      <c r="F239" s="59"/>
      <c r="G239" s="57"/>
      <c r="H239" s="88"/>
      <c r="I239" s="88"/>
      <c r="J239" s="88"/>
      <c r="K239" s="89" t="b">
        <v>1</v>
      </c>
      <c r="L239" s="60"/>
      <c r="M239" s="57"/>
      <c r="N239" s="57"/>
      <c r="O239" s="61"/>
      <c r="P239" s="60"/>
      <c r="Q239" s="57"/>
      <c r="R239" s="57"/>
      <c r="S239" s="95"/>
      <c r="T239" s="88"/>
      <c r="U239" s="88"/>
      <c r="V239" s="88"/>
      <c r="W239" s="96"/>
      <c r="X239" s="97"/>
      <c r="Y239" s="97"/>
      <c r="Z239" s="98"/>
      <c r="AA239" s="99"/>
      <c r="AB239" s="98"/>
      <c r="AC239" s="88"/>
      <c r="AD239" s="98"/>
      <c r="AE239" s="64"/>
      <c r="AF239" s="67" t="str">
        <f t="shared" si="9"/>
        <v/>
      </c>
      <c r="AG239" s="58"/>
      <c r="AH239" s="68" t="str">
        <f t="shared" si="10"/>
        <v/>
      </c>
      <c r="AI239" s="53"/>
      <c r="AJ239" s="53"/>
      <c r="AK239" s="53"/>
      <c r="AL239" s="53"/>
      <c r="AM239" s="53"/>
      <c r="AN239" s="53"/>
      <c r="AO239" s="53"/>
      <c r="AP239" s="53"/>
      <c r="AQ239" s="53"/>
      <c r="AR239" s="53"/>
      <c r="AS239" s="53"/>
      <c r="AT239" s="53"/>
      <c r="AU239" s="53"/>
      <c r="AV239" s="58"/>
      <c r="AW239" s="58"/>
      <c r="AX239" s="58"/>
      <c r="AY239" s="53"/>
      <c r="AZ239" s="53"/>
      <c r="BA239" s="53"/>
      <c r="BB239" s="53"/>
      <c r="BC239" s="53"/>
      <c r="BD239" s="53"/>
      <c r="BE239" s="53"/>
      <c r="BF239" s="53"/>
      <c r="BG239" s="53"/>
      <c r="BH239" s="53"/>
      <c r="BI239" s="53"/>
      <c r="BJ239" s="53"/>
      <c r="BK239" s="53"/>
      <c r="BL239" s="53"/>
      <c r="BM239" s="53"/>
      <c r="BN239" s="53"/>
      <c r="BO239" s="65" t="str">
        <f t="shared" si="11"/>
        <v/>
      </c>
    </row>
    <row r="240" spans="1:67" ht="19.5" customHeight="1">
      <c r="A240" s="70" t="b">
        <v>0</v>
      </c>
      <c r="B240" s="71" t="b">
        <v>1</v>
      </c>
      <c r="C240" s="72" t="b">
        <v>0</v>
      </c>
      <c r="D240" s="72" t="b">
        <v>0</v>
      </c>
      <c r="E240" s="57"/>
      <c r="F240" s="59"/>
      <c r="G240" s="57"/>
      <c r="H240" s="88"/>
      <c r="I240" s="88"/>
      <c r="J240" s="88"/>
      <c r="K240" s="89" t="b">
        <v>1</v>
      </c>
      <c r="L240" s="60"/>
      <c r="M240" s="57"/>
      <c r="N240" s="57"/>
      <c r="O240" s="61"/>
      <c r="P240" s="60"/>
      <c r="Q240" s="57"/>
      <c r="R240" s="57"/>
      <c r="S240" s="95"/>
      <c r="T240" s="88"/>
      <c r="U240" s="88"/>
      <c r="V240" s="88"/>
      <c r="W240" s="96"/>
      <c r="X240" s="97"/>
      <c r="Y240" s="97"/>
      <c r="Z240" s="98"/>
      <c r="AA240" s="99"/>
      <c r="AB240" s="98"/>
      <c r="AC240" s="88"/>
      <c r="AD240" s="98"/>
      <c r="AE240" s="64"/>
      <c r="AF240" s="67" t="str">
        <f t="shared" si="9"/>
        <v/>
      </c>
      <c r="AG240" s="58"/>
      <c r="AH240" s="68" t="str">
        <f t="shared" si="10"/>
        <v/>
      </c>
      <c r="AI240" s="53"/>
      <c r="AJ240" s="53"/>
      <c r="AK240" s="53"/>
      <c r="AL240" s="53"/>
      <c r="AM240" s="53"/>
      <c r="AN240" s="53"/>
      <c r="AO240" s="53"/>
      <c r="AP240" s="53"/>
      <c r="AQ240" s="53"/>
      <c r="AR240" s="53"/>
      <c r="AS240" s="53"/>
      <c r="AT240" s="53"/>
      <c r="AU240" s="53"/>
      <c r="AV240" s="58"/>
      <c r="AW240" s="58"/>
      <c r="AX240" s="58"/>
      <c r="AY240" s="53"/>
      <c r="AZ240" s="53"/>
      <c r="BA240" s="53"/>
      <c r="BB240" s="53"/>
      <c r="BC240" s="53"/>
      <c r="BD240" s="53"/>
      <c r="BE240" s="53"/>
      <c r="BF240" s="53"/>
      <c r="BG240" s="53"/>
      <c r="BH240" s="53"/>
      <c r="BI240" s="53"/>
      <c r="BJ240" s="53"/>
      <c r="BK240" s="53"/>
      <c r="BL240" s="53"/>
      <c r="BM240" s="53"/>
      <c r="BN240" s="53"/>
      <c r="BO240" s="65" t="str">
        <f t="shared" si="11"/>
        <v/>
      </c>
    </row>
    <row r="241" spans="1:67" ht="19.5" customHeight="1">
      <c r="A241" s="70" t="b">
        <v>0</v>
      </c>
      <c r="B241" s="71" t="b">
        <v>1</v>
      </c>
      <c r="C241" s="72" t="b">
        <v>0</v>
      </c>
      <c r="D241" s="72" t="b">
        <v>0</v>
      </c>
      <c r="E241" s="57"/>
      <c r="F241" s="59"/>
      <c r="G241" s="57"/>
      <c r="H241" s="88"/>
      <c r="I241" s="88"/>
      <c r="J241" s="88"/>
      <c r="K241" s="89" t="b">
        <v>1</v>
      </c>
      <c r="L241" s="60"/>
      <c r="M241" s="57"/>
      <c r="N241" s="57"/>
      <c r="O241" s="61"/>
      <c r="P241" s="60"/>
      <c r="Q241" s="57"/>
      <c r="R241" s="57"/>
      <c r="S241" s="95"/>
      <c r="T241" s="88"/>
      <c r="U241" s="88"/>
      <c r="V241" s="88"/>
      <c r="W241" s="96"/>
      <c r="X241" s="97"/>
      <c r="Y241" s="97"/>
      <c r="Z241" s="98"/>
      <c r="AA241" s="99"/>
      <c r="AB241" s="98"/>
      <c r="AC241" s="88"/>
      <c r="AD241" s="98"/>
      <c r="AE241" s="64"/>
      <c r="AF241" s="67" t="str">
        <f t="shared" si="9"/>
        <v/>
      </c>
      <c r="AG241" s="58"/>
      <c r="AH241" s="68" t="str">
        <f t="shared" si="10"/>
        <v/>
      </c>
      <c r="AI241" s="53"/>
      <c r="AJ241" s="53"/>
      <c r="AK241" s="53"/>
      <c r="AL241" s="53"/>
      <c r="AM241" s="53"/>
      <c r="AN241" s="53"/>
      <c r="AO241" s="53"/>
      <c r="AP241" s="53"/>
      <c r="AQ241" s="53"/>
      <c r="AR241" s="53"/>
      <c r="AS241" s="53"/>
      <c r="AT241" s="53"/>
      <c r="AU241" s="53"/>
      <c r="AV241" s="58"/>
      <c r="AW241" s="58"/>
      <c r="AX241" s="58"/>
      <c r="AY241" s="53"/>
      <c r="AZ241" s="53"/>
      <c r="BA241" s="53"/>
      <c r="BB241" s="53"/>
      <c r="BC241" s="53"/>
      <c r="BD241" s="53"/>
      <c r="BE241" s="53"/>
      <c r="BF241" s="53"/>
      <c r="BG241" s="53"/>
      <c r="BH241" s="53"/>
      <c r="BI241" s="53"/>
      <c r="BJ241" s="53"/>
      <c r="BK241" s="53"/>
      <c r="BL241" s="53"/>
      <c r="BM241" s="53"/>
      <c r="BN241" s="53"/>
      <c r="BO241" s="65" t="str">
        <f t="shared" si="11"/>
        <v/>
      </c>
    </row>
    <row r="242" spans="1:67" ht="19.5" customHeight="1">
      <c r="A242" s="70" t="b">
        <v>0</v>
      </c>
      <c r="B242" s="71" t="b">
        <v>1</v>
      </c>
      <c r="C242" s="72" t="b">
        <v>0</v>
      </c>
      <c r="D242" s="72" t="b">
        <v>0</v>
      </c>
      <c r="E242" s="57"/>
      <c r="F242" s="59"/>
      <c r="G242" s="57"/>
      <c r="H242" s="88"/>
      <c r="I242" s="88"/>
      <c r="J242" s="88"/>
      <c r="K242" s="89" t="b">
        <v>1</v>
      </c>
      <c r="L242" s="60"/>
      <c r="M242" s="57"/>
      <c r="N242" s="57"/>
      <c r="O242" s="61"/>
      <c r="P242" s="60"/>
      <c r="Q242" s="57"/>
      <c r="R242" s="57"/>
      <c r="S242" s="95"/>
      <c r="T242" s="88"/>
      <c r="U242" s="88"/>
      <c r="V242" s="88"/>
      <c r="W242" s="96"/>
      <c r="X242" s="97"/>
      <c r="Y242" s="97"/>
      <c r="Z242" s="98"/>
      <c r="AA242" s="99"/>
      <c r="AB242" s="98"/>
      <c r="AC242" s="88"/>
      <c r="AD242" s="98"/>
      <c r="AE242" s="64"/>
      <c r="AF242" s="67" t="str">
        <f t="shared" si="9"/>
        <v/>
      </c>
      <c r="AG242" s="58"/>
      <c r="AH242" s="68" t="str">
        <f t="shared" si="10"/>
        <v/>
      </c>
      <c r="AI242" s="53"/>
      <c r="AJ242" s="53"/>
      <c r="AK242" s="53"/>
      <c r="AL242" s="53"/>
      <c r="AM242" s="53"/>
      <c r="AN242" s="53"/>
      <c r="AO242" s="53"/>
      <c r="AP242" s="53"/>
      <c r="AQ242" s="53"/>
      <c r="AR242" s="53"/>
      <c r="AS242" s="53"/>
      <c r="AT242" s="53"/>
      <c r="AU242" s="53"/>
      <c r="AV242" s="58"/>
      <c r="AW242" s="58"/>
      <c r="AX242" s="58"/>
      <c r="AY242" s="53"/>
      <c r="AZ242" s="53"/>
      <c r="BA242" s="53"/>
      <c r="BB242" s="53"/>
      <c r="BC242" s="53"/>
      <c r="BD242" s="53"/>
      <c r="BE242" s="53"/>
      <c r="BF242" s="53"/>
      <c r="BG242" s="53"/>
      <c r="BH242" s="53"/>
      <c r="BI242" s="53"/>
      <c r="BJ242" s="53"/>
      <c r="BK242" s="53"/>
      <c r="BL242" s="53"/>
      <c r="BM242" s="53"/>
      <c r="BN242" s="53"/>
      <c r="BO242" s="65" t="str">
        <f t="shared" si="11"/>
        <v/>
      </c>
    </row>
    <row r="243" spans="1:67" ht="19.5" customHeight="1">
      <c r="A243" s="70" t="b">
        <v>0</v>
      </c>
      <c r="B243" s="71" t="b">
        <v>1</v>
      </c>
      <c r="C243" s="72" t="b">
        <v>0</v>
      </c>
      <c r="D243" s="72" t="b">
        <v>0</v>
      </c>
      <c r="E243" s="57"/>
      <c r="F243" s="59"/>
      <c r="G243" s="57"/>
      <c r="H243" s="88"/>
      <c r="I243" s="88"/>
      <c r="J243" s="88"/>
      <c r="K243" s="89" t="b">
        <v>1</v>
      </c>
      <c r="L243" s="60"/>
      <c r="M243" s="57"/>
      <c r="N243" s="57"/>
      <c r="O243" s="61"/>
      <c r="P243" s="60"/>
      <c r="Q243" s="57"/>
      <c r="R243" s="57"/>
      <c r="S243" s="95"/>
      <c r="T243" s="88"/>
      <c r="U243" s="88"/>
      <c r="V243" s="88"/>
      <c r="W243" s="96"/>
      <c r="X243" s="97"/>
      <c r="Y243" s="97"/>
      <c r="Z243" s="98"/>
      <c r="AA243" s="99"/>
      <c r="AB243" s="98"/>
      <c r="AC243" s="88"/>
      <c r="AD243" s="98"/>
      <c r="AE243" s="64"/>
      <c r="AF243" s="67" t="str">
        <f t="shared" si="9"/>
        <v/>
      </c>
      <c r="AG243" s="58"/>
      <c r="AH243" s="68" t="str">
        <f t="shared" si="10"/>
        <v/>
      </c>
      <c r="AI243" s="53"/>
      <c r="AJ243" s="53"/>
      <c r="AK243" s="53"/>
      <c r="AL243" s="53"/>
      <c r="AM243" s="53"/>
      <c r="AN243" s="53"/>
      <c r="AO243" s="53"/>
      <c r="AP243" s="53"/>
      <c r="AQ243" s="53"/>
      <c r="AR243" s="53"/>
      <c r="AS243" s="53"/>
      <c r="AT243" s="53"/>
      <c r="AU243" s="53"/>
      <c r="AV243" s="58"/>
      <c r="AW243" s="58"/>
      <c r="AX243" s="58"/>
      <c r="AY243" s="53"/>
      <c r="AZ243" s="53"/>
      <c r="BA243" s="53"/>
      <c r="BB243" s="53"/>
      <c r="BC243" s="53"/>
      <c r="BD243" s="53"/>
      <c r="BE243" s="53"/>
      <c r="BF243" s="53"/>
      <c r="BG243" s="53"/>
      <c r="BH243" s="53"/>
      <c r="BI243" s="53"/>
      <c r="BJ243" s="53"/>
      <c r="BK243" s="53"/>
      <c r="BL243" s="53"/>
      <c r="BM243" s="53"/>
      <c r="BN243" s="53"/>
      <c r="BO243" s="65" t="str">
        <f t="shared" si="11"/>
        <v/>
      </c>
    </row>
    <row r="244" spans="1:67" ht="19.5" customHeight="1">
      <c r="A244" s="70" t="b">
        <v>0</v>
      </c>
      <c r="B244" s="71" t="b">
        <v>1</v>
      </c>
      <c r="C244" s="72" t="b">
        <v>0</v>
      </c>
      <c r="D244" s="72" t="b">
        <v>0</v>
      </c>
      <c r="E244" s="57"/>
      <c r="F244" s="59"/>
      <c r="G244" s="57"/>
      <c r="H244" s="88"/>
      <c r="I244" s="88"/>
      <c r="J244" s="88"/>
      <c r="K244" s="89" t="b">
        <v>1</v>
      </c>
      <c r="L244" s="60"/>
      <c r="M244" s="57"/>
      <c r="N244" s="57"/>
      <c r="O244" s="61"/>
      <c r="P244" s="60"/>
      <c r="Q244" s="57"/>
      <c r="R244" s="57"/>
      <c r="S244" s="95"/>
      <c r="T244" s="88"/>
      <c r="U244" s="88"/>
      <c r="V244" s="88"/>
      <c r="W244" s="96"/>
      <c r="X244" s="97"/>
      <c r="Y244" s="97"/>
      <c r="Z244" s="98"/>
      <c r="AA244" s="99"/>
      <c r="AB244" s="98"/>
      <c r="AC244" s="88"/>
      <c r="AD244" s="98"/>
      <c r="AE244" s="64"/>
      <c r="AF244" s="67" t="str">
        <f t="shared" si="9"/>
        <v/>
      </c>
      <c r="AG244" s="58"/>
      <c r="AH244" s="68" t="str">
        <f t="shared" si="10"/>
        <v/>
      </c>
      <c r="AI244" s="53"/>
      <c r="AJ244" s="53"/>
      <c r="AK244" s="53"/>
      <c r="AL244" s="53"/>
      <c r="AM244" s="53"/>
      <c r="AN244" s="53"/>
      <c r="AO244" s="53"/>
      <c r="AP244" s="53"/>
      <c r="AQ244" s="53"/>
      <c r="AR244" s="53"/>
      <c r="AS244" s="53"/>
      <c r="AT244" s="53"/>
      <c r="AU244" s="53"/>
      <c r="AV244" s="58"/>
      <c r="AW244" s="58"/>
      <c r="AX244" s="58"/>
      <c r="AY244" s="53"/>
      <c r="AZ244" s="53"/>
      <c r="BA244" s="53"/>
      <c r="BB244" s="53"/>
      <c r="BC244" s="53"/>
      <c r="BD244" s="53"/>
      <c r="BE244" s="53"/>
      <c r="BF244" s="53"/>
      <c r="BG244" s="53"/>
      <c r="BH244" s="53"/>
      <c r="BI244" s="53"/>
      <c r="BJ244" s="53"/>
      <c r="BK244" s="53"/>
      <c r="BL244" s="53"/>
      <c r="BM244" s="53"/>
      <c r="BN244" s="53"/>
      <c r="BO244" s="65" t="str">
        <f t="shared" si="11"/>
        <v/>
      </c>
    </row>
    <row r="245" spans="1:67" ht="19.5" customHeight="1">
      <c r="A245" s="70" t="b">
        <v>0</v>
      </c>
      <c r="B245" s="71" t="b">
        <v>1</v>
      </c>
      <c r="C245" s="72" t="b">
        <v>0</v>
      </c>
      <c r="D245" s="72" t="b">
        <v>0</v>
      </c>
      <c r="E245" s="57"/>
      <c r="F245" s="59"/>
      <c r="G245" s="57"/>
      <c r="H245" s="88"/>
      <c r="I245" s="88"/>
      <c r="J245" s="88"/>
      <c r="K245" s="89" t="b">
        <v>1</v>
      </c>
      <c r="L245" s="60"/>
      <c r="M245" s="57"/>
      <c r="N245" s="57"/>
      <c r="O245" s="61"/>
      <c r="P245" s="60"/>
      <c r="Q245" s="57"/>
      <c r="R245" s="57"/>
      <c r="S245" s="95"/>
      <c r="T245" s="88"/>
      <c r="U245" s="88"/>
      <c r="V245" s="88"/>
      <c r="W245" s="96"/>
      <c r="X245" s="97"/>
      <c r="Y245" s="97"/>
      <c r="Z245" s="98"/>
      <c r="AA245" s="99"/>
      <c r="AB245" s="98"/>
      <c r="AC245" s="88"/>
      <c r="AD245" s="98"/>
      <c r="AE245" s="64"/>
      <c r="AF245" s="67" t="str">
        <f t="shared" si="9"/>
        <v/>
      </c>
      <c r="AG245" s="58"/>
      <c r="AH245" s="68" t="str">
        <f t="shared" si="10"/>
        <v/>
      </c>
      <c r="AI245" s="53"/>
      <c r="AJ245" s="53"/>
      <c r="AK245" s="53"/>
      <c r="AL245" s="53"/>
      <c r="AM245" s="53"/>
      <c r="AN245" s="53"/>
      <c r="AO245" s="53"/>
      <c r="AP245" s="53"/>
      <c r="AQ245" s="53"/>
      <c r="AR245" s="53"/>
      <c r="AS245" s="53"/>
      <c r="AT245" s="53"/>
      <c r="AU245" s="53"/>
      <c r="AV245" s="58"/>
      <c r="AW245" s="58"/>
      <c r="AX245" s="58"/>
      <c r="AY245" s="53"/>
      <c r="AZ245" s="53"/>
      <c r="BA245" s="53"/>
      <c r="BB245" s="53"/>
      <c r="BC245" s="53"/>
      <c r="BD245" s="53"/>
      <c r="BE245" s="53"/>
      <c r="BF245" s="53"/>
      <c r="BG245" s="53"/>
      <c r="BH245" s="53"/>
      <c r="BI245" s="53"/>
      <c r="BJ245" s="53"/>
      <c r="BK245" s="53"/>
      <c r="BL245" s="53"/>
      <c r="BM245" s="53"/>
      <c r="BN245" s="53"/>
      <c r="BO245" s="65" t="str">
        <f t="shared" si="11"/>
        <v/>
      </c>
    </row>
    <row r="246" spans="1:67" ht="19.5" customHeight="1">
      <c r="A246" s="70" t="b">
        <v>0</v>
      </c>
      <c r="B246" s="71" t="b">
        <v>1</v>
      </c>
      <c r="C246" s="72" t="b">
        <v>0</v>
      </c>
      <c r="D246" s="72" t="b">
        <v>0</v>
      </c>
      <c r="E246" s="57"/>
      <c r="F246" s="59"/>
      <c r="G246" s="57"/>
      <c r="H246" s="88"/>
      <c r="I246" s="88"/>
      <c r="J246" s="88"/>
      <c r="K246" s="89" t="b">
        <v>1</v>
      </c>
      <c r="L246" s="60"/>
      <c r="M246" s="57"/>
      <c r="N246" s="57"/>
      <c r="O246" s="61"/>
      <c r="P246" s="60"/>
      <c r="Q246" s="57"/>
      <c r="R246" s="57"/>
      <c r="S246" s="95"/>
      <c r="T246" s="88"/>
      <c r="U246" s="88"/>
      <c r="V246" s="88"/>
      <c r="W246" s="96"/>
      <c r="X246" s="97"/>
      <c r="Y246" s="97"/>
      <c r="Z246" s="98"/>
      <c r="AA246" s="99"/>
      <c r="AB246" s="98"/>
      <c r="AC246" s="88"/>
      <c r="AD246" s="98"/>
      <c r="AE246" s="64"/>
      <c r="AF246" s="67" t="str">
        <f t="shared" si="9"/>
        <v/>
      </c>
      <c r="AG246" s="58"/>
      <c r="AH246" s="68" t="str">
        <f t="shared" si="10"/>
        <v/>
      </c>
      <c r="AI246" s="53"/>
      <c r="AJ246" s="53"/>
      <c r="AK246" s="53"/>
      <c r="AL246" s="53"/>
      <c r="AM246" s="53"/>
      <c r="AN246" s="53"/>
      <c r="AO246" s="53"/>
      <c r="AP246" s="53"/>
      <c r="AQ246" s="53"/>
      <c r="AR246" s="53"/>
      <c r="AS246" s="53"/>
      <c r="AT246" s="53"/>
      <c r="AU246" s="53"/>
      <c r="AV246" s="58"/>
      <c r="AW246" s="58"/>
      <c r="AX246" s="58"/>
      <c r="AY246" s="53"/>
      <c r="AZ246" s="53"/>
      <c r="BA246" s="53"/>
      <c r="BB246" s="53"/>
      <c r="BC246" s="53"/>
      <c r="BD246" s="53"/>
      <c r="BE246" s="53"/>
      <c r="BF246" s="53"/>
      <c r="BG246" s="53"/>
      <c r="BH246" s="53"/>
      <c r="BI246" s="53"/>
      <c r="BJ246" s="53"/>
      <c r="BK246" s="53"/>
      <c r="BL246" s="53"/>
      <c r="BM246" s="53"/>
      <c r="BN246" s="53"/>
      <c r="BO246" s="65" t="str">
        <f t="shared" si="11"/>
        <v/>
      </c>
    </row>
    <row r="247" spans="1:67" ht="19.5" customHeight="1">
      <c r="A247" s="70" t="b">
        <v>0</v>
      </c>
      <c r="B247" s="71" t="b">
        <v>1</v>
      </c>
      <c r="C247" s="72" t="b">
        <v>0</v>
      </c>
      <c r="D247" s="72" t="b">
        <v>0</v>
      </c>
      <c r="E247" s="57"/>
      <c r="F247" s="59"/>
      <c r="G247" s="57"/>
      <c r="H247" s="88"/>
      <c r="I247" s="88"/>
      <c r="J247" s="88"/>
      <c r="K247" s="89" t="b">
        <v>1</v>
      </c>
      <c r="L247" s="60"/>
      <c r="M247" s="57"/>
      <c r="N247" s="57"/>
      <c r="O247" s="61"/>
      <c r="P247" s="60"/>
      <c r="Q247" s="57"/>
      <c r="R247" s="57"/>
      <c r="S247" s="95"/>
      <c r="T247" s="88"/>
      <c r="U247" s="88"/>
      <c r="V247" s="88"/>
      <c r="W247" s="96"/>
      <c r="X247" s="97"/>
      <c r="Y247" s="97"/>
      <c r="Z247" s="98"/>
      <c r="AA247" s="99"/>
      <c r="AB247" s="98"/>
      <c r="AC247" s="88"/>
      <c r="AD247" s="98"/>
      <c r="AE247" s="64"/>
      <c r="AF247" s="67" t="str">
        <f t="shared" si="9"/>
        <v/>
      </c>
      <c r="AG247" s="58"/>
      <c r="AH247" s="68" t="str">
        <f t="shared" si="10"/>
        <v/>
      </c>
      <c r="AI247" s="53"/>
      <c r="AJ247" s="53"/>
      <c r="AK247" s="53"/>
      <c r="AL247" s="53"/>
      <c r="AM247" s="53"/>
      <c r="AN247" s="53"/>
      <c r="AO247" s="53"/>
      <c r="AP247" s="53"/>
      <c r="AQ247" s="53"/>
      <c r="AR247" s="53"/>
      <c r="AS247" s="53"/>
      <c r="AT247" s="53"/>
      <c r="AU247" s="53"/>
      <c r="AV247" s="58"/>
      <c r="AW247" s="58"/>
      <c r="AX247" s="58"/>
      <c r="AY247" s="53"/>
      <c r="AZ247" s="53"/>
      <c r="BA247" s="53"/>
      <c r="BB247" s="53"/>
      <c r="BC247" s="53"/>
      <c r="BD247" s="53"/>
      <c r="BE247" s="53"/>
      <c r="BF247" s="53"/>
      <c r="BG247" s="53"/>
      <c r="BH247" s="53"/>
      <c r="BI247" s="53"/>
      <c r="BJ247" s="53"/>
      <c r="BK247" s="53"/>
      <c r="BL247" s="53"/>
      <c r="BM247" s="53"/>
      <c r="BN247" s="53"/>
      <c r="BO247" s="65" t="str">
        <f t="shared" si="11"/>
        <v/>
      </c>
    </row>
    <row r="248" spans="1:67" ht="19.5" customHeight="1">
      <c r="A248" s="70" t="b">
        <v>0</v>
      </c>
      <c r="B248" s="71" t="b">
        <v>1</v>
      </c>
      <c r="C248" s="72" t="b">
        <v>0</v>
      </c>
      <c r="D248" s="72" t="b">
        <v>0</v>
      </c>
      <c r="E248" s="57"/>
      <c r="F248" s="59"/>
      <c r="G248" s="57"/>
      <c r="H248" s="88"/>
      <c r="I248" s="88"/>
      <c r="J248" s="88"/>
      <c r="K248" s="89" t="b">
        <v>1</v>
      </c>
      <c r="L248" s="60"/>
      <c r="M248" s="57"/>
      <c r="N248" s="57"/>
      <c r="O248" s="61"/>
      <c r="P248" s="60"/>
      <c r="Q248" s="57"/>
      <c r="R248" s="57"/>
      <c r="S248" s="95"/>
      <c r="T248" s="88"/>
      <c r="U248" s="88"/>
      <c r="V248" s="88"/>
      <c r="W248" s="96"/>
      <c r="X248" s="97"/>
      <c r="Y248" s="97"/>
      <c r="Z248" s="98"/>
      <c r="AA248" s="99"/>
      <c r="AB248" s="98"/>
      <c r="AC248" s="88"/>
      <c r="AD248" s="98"/>
      <c r="AE248" s="64"/>
      <c r="AF248" s="67" t="str">
        <f t="shared" si="9"/>
        <v/>
      </c>
      <c r="AG248" s="58"/>
      <c r="AH248" s="68" t="str">
        <f t="shared" si="10"/>
        <v/>
      </c>
      <c r="AI248" s="53"/>
      <c r="AJ248" s="53"/>
      <c r="AK248" s="53"/>
      <c r="AL248" s="53"/>
      <c r="AM248" s="53"/>
      <c r="AN248" s="53"/>
      <c r="AO248" s="53"/>
      <c r="AP248" s="53"/>
      <c r="AQ248" s="53"/>
      <c r="AR248" s="53"/>
      <c r="AS248" s="53"/>
      <c r="AT248" s="53"/>
      <c r="AU248" s="53"/>
      <c r="AV248" s="58"/>
      <c r="AW248" s="58"/>
      <c r="AX248" s="58"/>
      <c r="AY248" s="53"/>
      <c r="AZ248" s="53"/>
      <c r="BA248" s="53"/>
      <c r="BB248" s="53"/>
      <c r="BC248" s="53"/>
      <c r="BD248" s="53"/>
      <c r="BE248" s="53"/>
      <c r="BF248" s="53"/>
      <c r="BG248" s="53"/>
      <c r="BH248" s="53"/>
      <c r="BI248" s="53"/>
      <c r="BJ248" s="53"/>
      <c r="BK248" s="53"/>
      <c r="BL248" s="53"/>
      <c r="BM248" s="53"/>
      <c r="BN248" s="53"/>
      <c r="BO248" s="65" t="str">
        <f t="shared" si="11"/>
        <v/>
      </c>
    </row>
    <row r="249" spans="1:67" ht="19.5" customHeight="1">
      <c r="A249" s="70" t="b">
        <v>0</v>
      </c>
      <c r="B249" s="71" t="b">
        <v>1</v>
      </c>
      <c r="C249" s="72" t="b">
        <v>0</v>
      </c>
      <c r="D249" s="72" t="b">
        <v>0</v>
      </c>
      <c r="E249" s="57"/>
      <c r="F249" s="59"/>
      <c r="G249" s="57"/>
      <c r="H249" s="88"/>
      <c r="I249" s="88"/>
      <c r="J249" s="88"/>
      <c r="K249" s="89" t="b">
        <v>1</v>
      </c>
      <c r="L249" s="60"/>
      <c r="M249" s="57"/>
      <c r="N249" s="57"/>
      <c r="O249" s="61"/>
      <c r="P249" s="60"/>
      <c r="Q249" s="57"/>
      <c r="R249" s="57"/>
      <c r="S249" s="95"/>
      <c r="T249" s="88"/>
      <c r="U249" s="88"/>
      <c r="V249" s="88"/>
      <c r="W249" s="96"/>
      <c r="X249" s="97"/>
      <c r="Y249" s="97"/>
      <c r="Z249" s="98"/>
      <c r="AA249" s="99"/>
      <c r="AB249" s="98"/>
      <c r="AC249" s="88"/>
      <c r="AD249" s="98"/>
      <c r="AE249" s="64"/>
      <c r="AF249" s="67" t="str">
        <f t="shared" si="9"/>
        <v/>
      </c>
      <c r="AG249" s="58"/>
      <c r="AH249" s="68" t="str">
        <f t="shared" si="10"/>
        <v/>
      </c>
      <c r="AI249" s="53"/>
      <c r="AJ249" s="53"/>
      <c r="AK249" s="53"/>
      <c r="AL249" s="53"/>
      <c r="AM249" s="53"/>
      <c r="AN249" s="53"/>
      <c r="AO249" s="53"/>
      <c r="AP249" s="53"/>
      <c r="AQ249" s="53"/>
      <c r="AR249" s="53"/>
      <c r="AS249" s="53"/>
      <c r="AT249" s="53"/>
      <c r="AU249" s="53"/>
      <c r="AV249" s="58"/>
      <c r="AW249" s="58"/>
      <c r="AX249" s="58"/>
      <c r="AY249" s="53"/>
      <c r="AZ249" s="53"/>
      <c r="BA249" s="53"/>
      <c r="BB249" s="53"/>
      <c r="BC249" s="53"/>
      <c r="BD249" s="53"/>
      <c r="BE249" s="53"/>
      <c r="BF249" s="53"/>
      <c r="BG249" s="53"/>
      <c r="BH249" s="53"/>
      <c r="BI249" s="53"/>
      <c r="BJ249" s="53"/>
      <c r="BK249" s="53"/>
      <c r="BL249" s="53"/>
      <c r="BM249" s="53"/>
      <c r="BN249" s="53"/>
      <c r="BO249" s="65" t="str">
        <f t="shared" si="11"/>
        <v/>
      </c>
    </row>
    <row r="250" spans="1:67" ht="19.5" customHeight="1">
      <c r="A250" s="70" t="b">
        <v>0</v>
      </c>
      <c r="B250" s="71" t="b">
        <v>1</v>
      </c>
      <c r="C250" s="72" t="b">
        <v>0</v>
      </c>
      <c r="D250" s="72" t="b">
        <v>0</v>
      </c>
      <c r="E250" s="57"/>
      <c r="F250" s="59"/>
      <c r="G250" s="57"/>
      <c r="H250" s="88"/>
      <c r="I250" s="88"/>
      <c r="J250" s="88"/>
      <c r="K250" s="89" t="b">
        <v>1</v>
      </c>
      <c r="L250" s="60"/>
      <c r="M250" s="57"/>
      <c r="N250" s="57"/>
      <c r="O250" s="61"/>
      <c r="P250" s="60"/>
      <c r="Q250" s="57"/>
      <c r="R250" s="57"/>
      <c r="S250" s="95"/>
      <c r="T250" s="88"/>
      <c r="U250" s="88"/>
      <c r="V250" s="88"/>
      <c r="W250" s="96"/>
      <c r="X250" s="97"/>
      <c r="Y250" s="97"/>
      <c r="Z250" s="98"/>
      <c r="AA250" s="99"/>
      <c r="AB250" s="98"/>
      <c r="AC250" s="88"/>
      <c r="AD250" s="98"/>
      <c r="AE250" s="64"/>
      <c r="AF250" s="67" t="str">
        <f t="shared" si="9"/>
        <v/>
      </c>
      <c r="AG250" s="58"/>
      <c r="AH250" s="68" t="str">
        <f t="shared" si="10"/>
        <v/>
      </c>
      <c r="AI250" s="53"/>
      <c r="AJ250" s="53"/>
      <c r="AK250" s="53"/>
      <c r="AL250" s="53"/>
      <c r="AM250" s="53"/>
      <c r="AN250" s="53"/>
      <c r="AO250" s="53"/>
      <c r="AP250" s="53"/>
      <c r="AQ250" s="53"/>
      <c r="AR250" s="53"/>
      <c r="AS250" s="53"/>
      <c r="AT250" s="53"/>
      <c r="AU250" s="53"/>
      <c r="AV250" s="58"/>
      <c r="AW250" s="58"/>
      <c r="AX250" s="58"/>
      <c r="AY250" s="53"/>
      <c r="AZ250" s="53"/>
      <c r="BA250" s="53"/>
      <c r="BB250" s="53"/>
      <c r="BC250" s="53"/>
      <c r="BD250" s="53"/>
      <c r="BE250" s="53"/>
      <c r="BF250" s="53"/>
      <c r="BG250" s="53"/>
      <c r="BH250" s="53"/>
      <c r="BI250" s="53"/>
      <c r="BJ250" s="53"/>
      <c r="BK250" s="53"/>
      <c r="BL250" s="53"/>
      <c r="BM250" s="53"/>
      <c r="BN250" s="53"/>
      <c r="BO250" s="65" t="str">
        <f t="shared" si="11"/>
        <v/>
      </c>
    </row>
    <row r="251" spans="1:67" ht="19.5" customHeight="1">
      <c r="A251" s="70" t="b">
        <v>0</v>
      </c>
      <c r="B251" s="71" t="b">
        <v>1</v>
      </c>
      <c r="C251" s="72" t="b">
        <v>0</v>
      </c>
      <c r="D251" s="72" t="b">
        <v>0</v>
      </c>
      <c r="E251" s="57"/>
      <c r="F251" s="59"/>
      <c r="G251" s="57"/>
      <c r="H251" s="88"/>
      <c r="I251" s="88"/>
      <c r="J251" s="88"/>
      <c r="K251" s="89" t="b">
        <v>1</v>
      </c>
      <c r="L251" s="60"/>
      <c r="M251" s="57"/>
      <c r="N251" s="57"/>
      <c r="O251" s="61"/>
      <c r="P251" s="60"/>
      <c r="Q251" s="57"/>
      <c r="R251" s="57"/>
      <c r="S251" s="95"/>
      <c r="T251" s="88"/>
      <c r="U251" s="88"/>
      <c r="V251" s="88"/>
      <c r="W251" s="96"/>
      <c r="X251" s="97"/>
      <c r="Y251" s="97"/>
      <c r="Z251" s="98"/>
      <c r="AA251" s="99"/>
      <c r="AB251" s="98"/>
      <c r="AC251" s="88"/>
      <c r="AD251" s="98"/>
      <c r="AE251" s="64"/>
      <c r="AF251" s="67" t="str">
        <f t="shared" si="9"/>
        <v/>
      </c>
      <c r="AG251" s="58"/>
      <c r="AH251" s="68" t="str">
        <f t="shared" si="10"/>
        <v/>
      </c>
      <c r="AI251" s="53"/>
      <c r="AJ251" s="53"/>
      <c r="AK251" s="53"/>
      <c r="AL251" s="53"/>
      <c r="AM251" s="53"/>
      <c r="AN251" s="53"/>
      <c r="AO251" s="53"/>
      <c r="AP251" s="53"/>
      <c r="AQ251" s="53"/>
      <c r="AR251" s="53"/>
      <c r="AS251" s="53"/>
      <c r="AT251" s="53"/>
      <c r="AU251" s="53"/>
      <c r="AV251" s="58"/>
      <c r="AW251" s="58"/>
      <c r="AX251" s="58"/>
      <c r="AY251" s="53"/>
      <c r="AZ251" s="53"/>
      <c r="BA251" s="53"/>
      <c r="BB251" s="53"/>
      <c r="BC251" s="53"/>
      <c r="BD251" s="53"/>
      <c r="BE251" s="53"/>
      <c r="BF251" s="53"/>
      <c r="BG251" s="53"/>
      <c r="BH251" s="53"/>
      <c r="BI251" s="53"/>
      <c r="BJ251" s="53"/>
      <c r="BK251" s="53"/>
      <c r="BL251" s="53"/>
      <c r="BM251" s="53"/>
      <c r="BN251" s="53"/>
      <c r="BO251" s="65" t="str">
        <f t="shared" si="11"/>
        <v/>
      </c>
    </row>
    <row r="252" spans="1:67" ht="19.5" customHeight="1">
      <c r="A252" s="70" t="b">
        <v>0</v>
      </c>
      <c r="B252" s="71" t="b">
        <v>1</v>
      </c>
      <c r="C252" s="72" t="b">
        <v>0</v>
      </c>
      <c r="D252" s="72" t="b">
        <v>0</v>
      </c>
      <c r="E252" s="57"/>
      <c r="F252" s="59"/>
      <c r="G252" s="57"/>
      <c r="H252" s="88"/>
      <c r="I252" s="88"/>
      <c r="J252" s="88"/>
      <c r="K252" s="89" t="b">
        <v>1</v>
      </c>
      <c r="L252" s="60"/>
      <c r="M252" s="57"/>
      <c r="N252" s="57"/>
      <c r="O252" s="61"/>
      <c r="P252" s="60"/>
      <c r="Q252" s="57"/>
      <c r="R252" s="57"/>
      <c r="S252" s="95"/>
      <c r="T252" s="88"/>
      <c r="U252" s="88"/>
      <c r="V252" s="88"/>
      <c r="W252" s="96"/>
      <c r="X252" s="97"/>
      <c r="Y252" s="97"/>
      <c r="Z252" s="98"/>
      <c r="AA252" s="99"/>
      <c r="AB252" s="98"/>
      <c r="AC252" s="88"/>
      <c r="AD252" s="98"/>
      <c r="AE252" s="64"/>
      <c r="AF252" s="67" t="str">
        <f t="shared" si="9"/>
        <v/>
      </c>
      <c r="AG252" s="58"/>
      <c r="AH252" s="68" t="str">
        <f t="shared" si="10"/>
        <v/>
      </c>
      <c r="AI252" s="53"/>
      <c r="AJ252" s="53"/>
      <c r="AK252" s="53"/>
      <c r="AL252" s="53"/>
      <c r="AM252" s="53"/>
      <c r="AN252" s="53"/>
      <c r="AO252" s="53"/>
      <c r="AP252" s="53"/>
      <c r="AQ252" s="53"/>
      <c r="AR252" s="53"/>
      <c r="AS252" s="53"/>
      <c r="AT252" s="53"/>
      <c r="AU252" s="53"/>
      <c r="AV252" s="58"/>
      <c r="AW252" s="58"/>
      <c r="AX252" s="58"/>
      <c r="AY252" s="53"/>
      <c r="AZ252" s="53"/>
      <c r="BA252" s="53"/>
      <c r="BB252" s="53"/>
      <c r="BC252" s="53"/>
      <c r="BD252" s="53"/>
      <c r="BE252" s="53"/>
      <c r="BF252" s="53"/>
      <c r="BG252" s="53"/>
      <c r="BH252" s="53"/>
      <c r="BI252" s="53"/>
      <c r="BJ252" s="53"/>
      <c r="BK252" s="53"/>
      <c r="BL252" s="53"/>
      <c r="BM252" s="53"/>
      <c r="BN252" s="53"/>
      <c r="BO252" s="65" t="str">
        <f t="shared" si="11"/>
        <v/>
      </c>
    </row>
    <row r="253" spans="1:67" ht="19.5" customHeight="1">
      <c r="A253" s="70" t="b">
        <v>0</v>
      </c>
      <c r="B253" s="71" t="b">
        <v>1</v>
      </c>
      <c r="C253" s="72" t="b">
        <v>0</v>
      </c>
      <c r="D253" s="72" t="b">
        <v>0</v>
      </c>
      <c r="E253" s="57"/>
      <c r="F253" s="59"/>
      <c r="G253" s="57"/>
      <c r="H253" s="88"/>
      <c r="I253" s="88"/>
      <c r="J253" s="88"/>
      <c r="K253" s="89" t="b">
        <v>1</v>
      </c>
      <c r="L253" s="60"/>
      <c r="M253" s="57"/>
      <c r="N253" s="57"/>
      <c r="O253" s="61"/>
      <c r="P253" s="60"/>
      <c r="Q253" s="57"/>
      <c r="R253" s="57"/>
      <c r="S253" s="95"/>
      <c r="T253" s="88"/>
      <c r="U253" s="88"/>
      <c r="V253" s="88"/>
      <c r="W253" s="96"/>
      <c r="X253" s="97"/>
      <c r="Y253" s="97"/>
      <c r="Z253" s="98"/>
      <c r="AA253" s="99"/>
      <c r="AB253" s="98"/>
      <c r="AC253" s="88"/>
      <c r="AD253" s="98"/>
      <c r="AE253" s="64"/>
      <c r="AF253" s="67" t="str">
        <f t="shared" si="9"/>
        <v/>
      </c>
      <c r="AG253" s="58"/>
      <c r="AH253" s="68" t="str">
        <f t="shared" si="10"/>
        <v/>
      </c>
      <c r="AI253" s="53"/>
      <c r="AJ253" s="53"/>
      <c r="AK253" s="53"/>
      <c r="AL253" s="53"/>
      <c r="AM253" s="53"/>
      <c r="AN253" s="53"/>
      <c r="AO253" s="53"/>
      <c r="AP253" s="53"/>
      <c r="AQ253" s="53"/>
      <c r="AR253" s="53"/>
      <c r="AS253" s="53"/>
      <c r="AT253" s="53"/>
      <c r="AU253" s="53"/>
      <c r="AV253" s="58"/>
      <c r="AW253" s="58"/>
      <c r="AX253" s="58"/>
      <c r="AY253" s="53"/>
      <c r="AZ253" s="53"/>
      <c r="BA253" s="53"/>
      <c r="BB253" s="53"/>
      <c r="BC253" s="53"/>
      <c r="BD253" s="53"/>
      <c r="BE253" s="53"/>
      <c r="BF253" s="53"/>
      <c r="BG253" s="53"/>
      <c r="BH253" s="53"/>
      <c r="BI253" s="53"/>
      <c r="BJ253" s="53"/>
      <c r="BK253" s="53"/>
      <c r="BL253" s="53"/>
      <c r="BM253" s="53"/>
      <c r="BN253" s="53"/>
      <c r="BO253" s="65" t="str">
        <f t="shared" si="11"/>
        <v/>
      </c>
    </row>
    <row r="254" spans="1:67" ht="19.5" customHeight="1">
      <c r="A254" s="70" t="b">
        <v>0</v>
      </c>
      <c r="B254" s="71" t="b">
        <v>1</v>
      </c>
      <c r="C254" s="72" t="b">
        <v>0</v>
      </c>
      <c r="D254" s="72" t="b">
        <v>0</v>
      </c>
      <c r="E254" s="57"/>
      <c r="F254" s="59"/>
      <c r="G254" s="57"/>
      <c r="H254" s="88"/>
      <c r="I254" s="88"/>
      <c r="J254" s="88"/>
      <c r="K254" s="89" t="b">
        <v>1</v>
      </c>
      <c r="L254" s="60"/>
      <c r="M254" s="57"/>
      <c r="N254" s="57"/>
      <c r="O254" s="61"/>
      <c r="P254" s="60"/>
      <c r="Q254" s="57"/>
      <c r="R254" s="57"/>
      <c r="S254" s="95"/>
      <c r="T254" s="88"/>
      <c r="U254" s="88"/>
      <c r="V254" s="88"/>
      <c r="W254" s="96"/>
      <c r="X254" s="97"/>
      <c r="Y254" s="97"/>
      <c r="Z254" s="98"/>
      <c r="AA254" s="99"/>
      <c r="AB254" s="98"/>
      <c r="AC254" s="88"/>
      <c r="AD254" s="98"/>
      <c r="AE254" s="64"/>
      <c r="AF254" s="67" t="str">
        <f t="shared" si="9"/>
        <v/>
      </c>
      <c r="AG254" s="58"/>
      <c r="AH254" s="68" t="str">
        <f t="shared" si="10"/>
        <v/>
      </c>
      <c r="AI254" s="53"/>
      <c r="AJ254" s="53"/>
      <c r="AK254" s="53"/>
      <c r="AL254" s="53"/>
      <c r="AM254" s="53"/>
      <c r="AN254" s="53"/>
      <c r="AO254" s="53"/>
      <c r="AP254" s="53"/>
      <c r="AQ254" s="53"/>
      <c r="AR254" s="53"/>
      <c r="AS254" s="53"/>
      <c r="AT254" s="53"/>
      <c r="AU254" s="53"/>
      <c r="AV254" s="58"/>
      <c r="AW254" s="58"/>
      <c r="AX254" s="58"/>
      <c r="AY254" s="53"/>
      <c r="AZ254" s="53"/>
      <c r="BA254" s="53"/>
      <c r="BB254" s="53"/>
      <c r="BC254" s="53"/>
      <c r="BD254" s="53"/>
      <c r="BE254" s="53"/>
      <c r="BF254" s="53"/>
      <c r="BG254" s="53"/>
      <c r="BH254" s="53"/>
      <c r="BI254" s="53"/>
      <c r="BJ254" s="53"/>
      <c r="BK254" s="53"/>
      <c r="BL254" s="53"/>
      <c r="BM254" s="53"/>
      <c r="BN254" s="53"/>
      <c r="BO254" s="65" t="str">
        <f t="shared" si="11"/>
        <v/>
      </c>
    </row>
    <row r="255" spans="1:67" ht="19.5" customHeight="1">
      <c r="A255" s="70" t="b">
        <v>0</v>
      </c>
      <c r="B255" s="71" t="b">
        <v>1</v>
      </c>
      <c r="C255" s="72" t="b">
        <v>0</v>
      </c>
      <c r="D255" s="72" t="b">
        <v>0</v>
      </c>
      <c r="E255" s="57"/>
      <c r="F255" s="59"/>
      <c r="G255" s="57"/>
      <c r="H255" s="88"/>
      <c r="I255" s="88"/>
      <c r="J255" s="88"/>
      <c r="K255" s="89" t="b">
        <v>1</v>
      </c>
      <c r="L255" s="60"/>
      <c r="M255" s="57"/>
      <c r="N255" s="57"/>
      <c r="O255" s="61"/>
      <c r="P255" s="60"/>
      <c r="Q255" s="57"/>
      <c r="R255" s="57"/>
      <c r="S255" s="95"/>
      <c r="T255" s="88"/>
      <c r="U255" s="88"/>
      <c r="V255" s="88"/>
      <c r="W255" s="96"/>
      <c r="X255" s="97"/>
      <c r="Y255" s="97"/>
      <c r="Z255" s="98"/>
      <c r="AA255" s="99"/>
      <c r="AB255" s="98"/>
      <c r="AC255" s="88"/>
      <c r="AD255" s="98"/>
      <c r="AE255" s="64"/>
      <c r="AF255" s="67" t="str">
        <f t="shared" si="9"/>
        <v/>
      </c>
      <c r="AG255" s="58"/>
      <c r="AH255" s="68" t="str">
        <f t="shared" si="10"/>
        <v/>
      </c>
      <c r="AI255" s="53"/>
      <c r="AJ255" s="53"/>
      <c r="AK255" s="53"/>
      <c r="AL255" s="53"/>
      <c r="AM255" s="53"/>
      <c r="AN255" s="53"/>
      <c r="AO255" s="53"/>
      <c r="AP255" s="53"/>
      <c r="AQ255" s="53"/>
      <c r="AR255" s="53"/>
      <c r="AS255" s="53"/>
      <c r="AT255" s="53"/>
      <c r="AU255" s="53"/>
      <c r="AV255" s="58"/>
      <c r="AW255" s="58"/>
      <c r="AX255" s="58"/>
      <c r="AY255" s="53"/>
      <c r="AZ255" s="53"/>
      <c r="BA255" s="53"/>
      <c r="BB255" s="53"/>
      <c r="BC255" s="53"/>
      <c r="BD255" s="53"/>
      <c r="BE255" s="53"/>
      <c r="BF255" s="53"/>
      <c r="BG255" s="53"/>
      <c r="BH255" s="53"/>
      <c r="BI255" s="53"/>
      <c r="BJ255" s="53"/>
      <c r="BK255" s="53"/>
      <c r="BL255" s="53"/>
      <c r="BM255" s="53"/>
      <c r="BN255" s="53"/>
      <c r="BO255" s="65" t="str">
        <f t="shared" si="11"/>
        <v/>
      </c>
    </row>
    <row r="256" spans="1:67" ht="19.5" customHeight="1">
      <c r="A256" s="70" t="b">
        <v>0</v>
      </c>
      <c r="B256" s="71" t="b">
        <v>1</v>
      </c>
      <c r="C256" s="72" t="b">
        <v>0</v>
      </c>
      <c r="D256" s="72" t="b">
        <v>0</v>
      </c>
      <c r="E256" s="57"/>
      <c r="F256" s="59"/>
      <c r="G256" s="57"/>
      <c r="H256" s="88"/>
      <c r="I256" s="88"/>
      <c r="J256" s="88"/>
      <c r="K256" s="89" t="b">
        <v>1</v>
      </c>
      <c r="L256" s="60"/>
      <c r="M256" s="57"/>
      <c r="N256" s="57"/>
      <c r="O256" s="61"/>
      <c r="P256" s="60"/>
      <c r="Q256" s="57"/>
      <c r="R256" s="57"/>
      <c r="S256" s="95"/>
      <c r="T256" s="88"/>
      <c r="U256" s="88"/>
      <c r="V256" s="88"/>
      <c r="W256" s="96"/>
      <c r="X256" s="97"/>
      <c r="Y256" s="97"/>
      <c r="Z256" s="98"/>
      <c r="AA256" s="99"/>
      <c r="AB256" s="98"/>
      <c r="AC256" s="88"/>
      <c r="AD256" s="98"/>
      <c r="AE256" s="64"/>
      <c r="AF256" s="67" t="str">
        <f t="shared" si="9"/>
        <v/>
      </c>
      <c r="AG256" s="58"/>
      <c r="AH256" s="68" t="str">
        <f t="shared" si="10"/>
        <v/>
      </c>
      <c r="AI256" s="53"/>
      <c r="AJ256" s="53"/>
      <c r="AK256" s="53"/>
      <c r="AL256" s="53"/>
      <c r="AM256" s="53"/>
      <c r="AN256" s="53"/>
      <c r="AO256" s="53"/>
      <c r="AP256" s="53"/>
      <c r="AQ256" s="53"/>
      <c r="AR256" s="53"/>
      <c r="AS256" s="53"/>
      <c r="AT256" s="53"/>
      <c r="AU256" s="53"/>
      <c r="AV256" s="58"/>
      <c r="AW256" s="58"/>
      <c r="AX256" s="58"/>
      <c r="AY256" s="53"/>
      <c r="AZ256" s="53"/>
      <c r="BA256" s="53"/>
      <c r="BB256" s="53"/>
      <c r="BC256" s="53"/>
      <c r="BD256" s="53"/>
      <c r="BE256" s="53"/>
      <c r="BF256" s="53"/>
      <c r="BG256" s="53"/>
      <c r="BH256" s="53"/>
      <c r="BI256" s="53"/>
      <c r="BJ256" s="53"/>
      <c r="BK256" s="53"/>
      <c r="BL256" s="53"/>
      <c r="BM256" s="53"/>
      <c r="BN256" s="53"/>
      <c r="BO256" s="65" t="str">
        <f t="shared" si="11"/>
        <v/>
      </c>
    </row>
    <row r="257" spans="1:67" ht="19.5" customHeight="1">
      <c r="A257" s="70" t="b">
        <v>0</v>
      </c>
      <c r="B257" s="71" t="b">
        <v>1</v>
      </c>
      <c r="C257" s="72" t="b">
        <v>0</v>
      </c>
      <c r="D257" s="72" t="b">
        <v>0</v>
      </c>
      <c r="E257" s="57"/>
      <c r="F257" s="59"/>
      <c r="G257" s="57"/>
      <c r="H257" s="88"/>
      <c r="I257" s="88"/>
      <c r="J257" s="88"/>
      <c r="K257" s="89" t="b">
        <v>1</v>
      </c>
      <c r="L257" s="60"/>
      <c r="M257" s="57"/>
      <c r="N257" s="57"/>
      <c r="O257" s="61"/>
      <c r="P257" s="60"/>
      <c r="Q257" s="57"/>
      <c r="R257" s="57"/>
      <c r="S257" s="95"/>
      <c r="T257" s="88"/>
      <c r="U257" s="88"/>
      <c r="V257" s="88"/>
      <c r="W257" s="96"/>
      <c r="X257" s="97"/>
      <c r="Y257" s="97"/>
      <c r="Z257" s="98"/>
      <c r="AA257" s="99"/>
      <c r="AB257" s="98"/>
      <c r="AC257" s="88"/>
      <c r="AD257" s="98"/>
      <c r="AE257" s="64"/>
      <c r="AF257" s="67" t="str">
        <f t="shared" si="9"/>
        <v/>
      </c>
      <c r="AG257" s="58"/>
      <c r="AH257" s="68" t="str">
        <f t="shared" si="10"/>
        <v/>
      </c>
      <c r="AI257" s="53"/>
      <c r="AJ257" s="53"/>
      <c r="AK257" s="53"/>
      <c r="AL257" s="53"/>
      <c r="AM257" s="53"/>
      <c r="AN257" s="53"/>
      <c r="AO257" s="53"/>
      <c r="AP257" s="53"/>
      <c r="AQ257" s="53"/>
      <c r="AR257" s="53"/>
      <c r="AS257" s="53"/>
      <c r="AT257" s="53"/>
      <c r="AU257" s="53"/>
      <c r="AV257" s="58"/>
      <c r="AW257" s="58"/>
      <c r="AX257" s="58"/>
      <c r="AY257" s="53"/>
      <c r="AZ257" s="53"/>
      <c r="BA257" s="53"/>
      <c r="BB257" s="53"/>
      <c r="BC257" s="53"/>
      <c r="BD257" s="53"/>
      <c r="BE257" s="53"/>
      <c r="BF257" s="53"/>
      <c r="BG257" s="53"/>
      <c r="BH257" s="53"/>
      <c r="BI257" s="53"/>
      <c r="BJ257" s="53"/>
      <c r="BK257" s="53"/>
      <c r="BL257" s="53"/>
      <c r="BM257" s="53"/>
      <c r="BN257" s="53"/>
      <c r="BO257" s="65" t="str">
        <f t="shared" si="11"/>
        <v/>
      </c>
    </row>
    <row r="258" spans="1:67" ht="19.5" customHeight="1">
      <c r="A258" s="70" t="b">
        <v>0</v>
      </c>
      <c r="B258" s="71" t="b">
        <v>1</v>
      </c>
      <c r="C258" s="72" t="b">
        <v>0</v>
      </c>
      <c r="D258" s="72" t="b">
        <v>0</v>
      </c>
      <c r="E258" s="57"/>
      <c r="F258" s="59"/>
      <c r="G258" s="57"/>
      <c r="H258" s="88"/>
      <c r="I258" s="88"/>
      <c r="J258" s="88"/>
      <c r="K258" s="89" t="b">
        <v>1</v>
      </c>
      <c r="L258" s="60"/>
      <c r="M258" s="57"/>
      <c r="N258" s="57"/>
      <c r="O258" s="61"/>
      <c r="P258" s="60"/>
      <c r="Q258" s="57"/>
      <c r="R258" s="57"/>
      <c r="S258" s="95"/>
      <c r="T258" s="88"/>
      <c r="U258" s="88"/>
      <c r="V258" s="88"/>
      <c r="W258" s="96"/>
      <c r="X258" s="97"/>
      <c r="Y258" s="97"/>
      <c r="Z258" s="98"/>
      <c r="AA258" s="99"/>
      <c r="AB258" s="98"/>
      <c r="AC258" s="88"/>
      <c r="AD258" s="98"/>
      <c r="AE258" s="64"/>
      <c r="AF258" s="67" t="str">
        <f t="shared" si="9"/>
        <v/>
      </c>
      <c r="AG258" s="58"/>
      <c r="AH258" s="68" t="str">
        <f t="shared" si="10"/>
        <v/>
      </c>
      <c r="AI258" s="53"/>
      <c r="AJ258" s="53"/>
      <c r="AK258" s="53"/>
      <c r="AL258" s="53"/>
      <c r="AM258" s="53"/>
      <c r="AN258" s="53"/>
      <c r="AO258" s="53"/>
      <c r="AP258" s="53"/>
      <c r="AQ258" s="53"/>
      <c r="AR258" s="53"/>
      <c r="AS258" s="53"/>
      <c r="AT258" s="53"/>
      <c r="AU258" s="53"/>
      <c r="AV258" s="58"/>
      <c r="AW258" s="58"/>
      <c r="AX258" s="58"/>
      <c r="AY258" s="53"/>
      <c r="AZ258" s="53"/>
      <c r="BA258" s="53"/>
      <c r="BB258" s="53"/>
      <c r="BC258" s="53"/>
      <c r="BD258" s="53"/>
      <c r="BE258" s="53"/>
      <c r="BF258" s="53"/>
      <c r="BG258" s="53"/>
      <c r="BH258" s="53"/>
      <c r="BI258" s="53"/>
      <c r="BJ258" s="53"/>
      <c r="BK258" s="53"/>
      <c r="BL258" s="53"/>
      <c r="BM258" s="53"/>
      <c r="BN258" s="53"/>
      <c r="BO258" s="65" t="str">
        <f t="shared" si="11"/>
        <v/>
      </c>
    </row>
    <row r="259" spans="1:67" ht="19.5" customHeight="1">
      <c r="A259" s="70" t="b">
        <v>0</v>
      </c>
      <c r="B259" s="71" t="b">
        <v>1</v>
      </c>
      <c r="C259" s="72" t="b">
        <v>0</v>
      </c>
      <c r="D259" s="72" t="b">
        <v>0</v>
      </c>
      <c r="E259" s="57"/>
      <c r="F259" s="59"/>
      <c r="G259" s="57"/>
      <c r="H259" s="88"/>
      <c r="I259" s="88"/>
      <c r="J259" s="88"/>
      <c r="K259" s="89" t="b">
        <v>1</v>
      </c>
      <c r="L259" s="60"/>
      <c r="M259" s="57"/>
      <c r="N259" s="57"/>
      <c r="O259" s="61"/>
      <c r="P259" s="60"/>
      <c r="Q259" s="57"/>
      <c r="R259" s="57"/>
      <c r="S259" s="95"/>
      <c r="T259" s="88"/>
      <c r="U259" s="88"/>
      <c r="V259" s="88"/>
      <c r="W259" s="96"/>
      <c r="X259" s="97"/>
      <c r="Y259" s="97"/>
      <c r="Z259" s="98"/>
      <c r="AA259" s="99"/>
      <c r="AB259" s="98"/>
      <c r="AC259" s="88"/>
      <c r="AD259" s="98"/>
      <c r="AE259" s="64"/>
      <c r="AF259" s="67" t="str">
        <f t="shared" si="9"/>
        <v/>
      </c>
      <c r="AG259" s="58"/>
      <c r="AH259" s="68" t="str">
        <f t="shared" si="10"/>
        <v/>
      </c>
      <c r="AI259" s="53"/>
      <c r="AJ259" s="53"/>
      <c r="AK259" s="53"/>
      <c r="AL259" s="53"/>
      <c r="AM259" s="53"/>
      <c r="AN259" s="53"/>
      <c r="AO259" s="53"/>
      <c r="AP259" s="53"/>
      <c r="AQ259" s="53"/>
      <c r="AR259" s="53"/>
      <c r="AS259" s="53"/>
      <c r="AT259" s="53"/>
      <c r="AU259" s="53"/>
      <c r="AV259" s="58"/>
      <c r="AW259" s="58"/>
      <c r="AX259" s="58"/>
      <c r="AY259" s="53"/>
      <c r="AZ259" s="53"/>
      <c r="BA259" s="53"/>
      <c r="BB259" s="53"/>
      <c r="BC259" s="53"/>
      <c r="BD259" s="53"/>
      <c r="BE259" s="53"/>
      <c r="BF259" s="53"/>
      <c r="BG259" s="53"/>
      <c r="BH259" s="53"/>
      <c r="BI259" s="53"/>
      <c r="BJ259" s="53"/>
      <c r="BK259" s="53"/>
      <c r="BL259" s="53"/>
      <c r="BM259" s="53"/>
      <c r="BN259" s="53"/>
      <c r="BO259" s="65" t="str">
        <f t="shared" si="11"/>
        <v/>
      </c>
    </row>
    <row r="260" spans="1:67" ht="19.5" customHeight="1">
      <c r="A260" s="70" t="b">
        <v>0</v>
      </c>
      <c r="B260" s="71" t="b">
        <v>1</v>
      </c>
      <c r="C260" s="72" t="b">
        <v>0</v>
      </c>
      <c r="D260" s="72" t="b">
        <v>0</v>
      </c>
      <c r="E260" s="57"/>
      <c r="F260" s="59"/>
      <c r="G260" s="57"/>
      <c r="H260" s="88"/>
      <c r="I260" s="88"/>
      <c r="J260" s="88"/>
      <c r="K260" s="89" t="b">
        <v>1</v>
      </c>
      <c r="L260" s="60"/>
      <c r="M260" s="57"/>
      <c r="N260" s="57"/>
      <c r="O260" s="61"/>
      <c r="P260" s="60"/>
      <c r="Q260" s="57"/>
      <c r="R260" s="57"/>
      <c r="S260" s="95"/>
      <c r="T260" s="88"/>
      <c r="U260" s="88"/>
      <c r="V260" s="88"/>
      <c r="W260" s="96"/>
      <c r="X260" s="97"/>
      <c r="Y260" s="97"/>
      <c r="Z260" s="98"/>
      <c r="AA260" s="99"/>
      <c r="AB260" s="98"/>
      <c r="AC260" s="88"/>
      <c r="AD260" s="98"/>
      <c r="AE260" s="64"/>
      <c r="AF260" s="67" t="str">
        <f t="shared" si="9"/>
        <v/>
      </c>
      <c r="AG260" s="58"/>
      <c r="AH260" s="68" t="str">
        <f t="shared" si="10"/>
        <v/>
      </c>
      <c r="AI260" s="53"/>
      <c r="AJ260" s="53"/>
      <c r="AK260" s="53"/>
      <c r="AL260" s="53"/>
      <c r="AM260" s="53"/>
      <c r="AN260" s="53"/>
      <c r="AO260" s="53"/>
      <c r="AP260" s="53"/>
      <c r="AQ260" s="53"/>
      <c r="AR260" s="53"/>
      <c r="AS260" s="53"/>
      <c r="AT260" s="53"/>
      <c r="AU260" s="53"/>
      <c r="AV260" s="58"/>
      <c r="AW260" s="58"/>
      <c r="AX260" s="58"/>
      <c r="AY260" s="53"/>
      <c r="AZ260" s="53"/>
      <c r="BA260" s="53"/>
      <c r="BB260" s="53"/>
      <c r="BC260" s="53"/>
      <c r="BD260" s="53"/>
      <c r="BE260" s="53"/>
      <c r="BF260" s="53"/>
      <c r="BG260" s="53"/>
      <c r="BH260" s="53"/>
      <c r="BI260" s="53"/>
      <c r="BJ260" s="53"/>
      <c r="BK260" s="53"/>
      <c r="BL260" s="53"/>
      <c r="BM260" s="53"/>
      <c r="BN260" s="53"/>
      <c r="BO260" s="65" t="str">
        <f t="shared" si="11"/>
        <v/>
      </c>
    </row>
    <row r="261" spans="1:67" ht="19.5" customHeight="1">
      <c r="A261" s="70" t="b">
        <v>0</v>
      </c>
      <c r="B261" s="71" t="b">
        <v>1</v>
      </c>
      <c r="C261" s="72" t="b">
        <v>0</v>
      </c>
      <c r="D261" s="72" t="b">
        <v>0</v>
      </c>
      <c r="E261" s="57"/>
      <c r="F261" s="59"/>
      <c r="G261" s="57"/>
      <c r="H261" s="88"/>
      <c r="I261" s="88"/>
      <c r="J261" s="88"/>
      <c r="K261" s="89" t="b">
        <v>1</v>
      </c>
      <c r="L261" s="60"/>
      <c r="M261" s="57"/>
      <c r="N261" s="57"/>
      <c r="O261" s="61"/>
      <c r="P261" s="60"/>
      <c r="Q261" s="57"/>
      <c r="R261" s="57"/>
      <c r="S261" s="95"/>
      <c r="T261" s="88"/>
      <c r="U261" s="88"/>
      <c r="V261" s="88"/>
      <c r="W261" s="96"/>
      <c r="X261" s="97"/>
      <c r="Y261" s="97"/>
      <c r="Z261" s="98"/>
      <c r="AA261" s="99"/>
      <c r="AB261" s="98"/>
      <c r="AC261" s="88"/>
      <c r="AD261" s="98"/>
      <c r="AE261" s="64"/>
      <c r="AF261" s="67" t="str">
        <f t="shared" si="9"/>
        <v/>
      </c>
      <c r="AG261" s="58"/>
      <c r="AH261" s="68" t="str">
        <f t="shared" si="10"/>
        <v/>
      </c>
      <c r="AI261" s="53"/>
      <c r="AJ261" s="53"/>
      <c r="AK261" s="53"/>
      <c r="AL261" s="53"/>
      <c r="AM261" s="53"/>
      <c r="AN261" s="53"/>
      <c r="AO261" s="53"/>
      <c r="AP261" s="53"/>
      <c r="AQ261" s="53"/>
      <c r="AR261" s="53"/>
      <c r="AS261" s="53"/>
      <c r="AT261" s="53"/>
      <c r="AU261" s="53"/>
      <c r="AV261" s="58"/>
      <c r="AW261" s="58"/>
      <c r="AX261" s="58"/>
      <c r="AY261" s="53"/>
      <c r="AZ261" s="53"/>
      <c r="BA261" s="53"/>
      <c r="BB261" s="53"/>
      <c r="BC261" s="53"/>
      <c r="BD261" s="53"/>
      <c r="BE261" s="53"/>
      <c r="BF261" s="53"/>
      <c r="BG261" s="53"/>
      <c r="BH261" s="53"/>
      <c r="BI261" s="53"/>
      <c r="BJ261" s="53"/>
      <c r="BK261" s="53"/>
      <c r="BL261" s="53"/>
      <c r="BM261" s="53"/>
      <c r="BN261" s="53"/>
      <c r="BO261" s="65" t="str">
        <f t="shared" si="11"/>
        <v/>
      </c>
    </row>
    <row r="262" spans="1:67" ht="19.5" customHeight="1">
      <c r="A262" s="70" t="b">
        <v>0</v>
      </c>
      <c r="B262" s="71" t="b">
        <v>1</v>
      </c>
      <c r="C262" s="72" t="b">
        <v>0</v>
      </c>
      <c r="D262" s="72" t="b">
        <v>0</v>
      </c>
      <c r="E262" s="57"/>
      <c r="F262" s="59"/>
      <c r="G262" s="57"/>
      <c r="H262" s="88"/>
      <c r="I262" s="88"/>
      <c r="J262" s="88"/>
      <c r="K262" s="89" t="b">
        <v>1</v>
      </c>
      <c r="L262" s="60"/>
      <c r="M262" s="57"/>
      <c r="N262" s="57"/>
      <c r="O262" s="61"/>
      <c r="P262" s="60"/>
      <c r="Q262" s="57"/>
      <c r="R262" s="57"/>
      <c r="S262" s="95"/>
      <c r="T262" s="88"/>
      <c r="U262" s="88"/>
      <c r="V262" s="88"/>
      <c r="W262" s="96"/>
      <c r="X262" s="97"/>
      <c r="Y262" s="97"/>
      <c r="Z262" s="98"/>
      <c r="AA262" s="99"/>
      <c r="AB262" s="98"/>
      <c r="AC262" s="88"/>
      <c r="AD262" s="98"/>
      <c r="AE262" s="64"/>
      <c r="AF262" s="67" t="str">
        <f t="shared" si="9"/>
        <v/>
      </c>
      <c r="AG262" s="58"/>
      <c r="AH262" s="68" t="str">
        <f t="shared" si="10"/>
        <v/>
      </c>
      <c r="AI262" s="53"/>
      <c r="AJ262" s="53"/>
      <c r="AK262" s="53"/>
      <c r="AL262" s="53"/>
      <c r="AM262" s="53"/>
      <c r="AN262" s="53"/>
      <c r="AO262" s="53"/>
      <c r="AP262" s="53"/>
      <c r="AQ262" s="53"/>
      <c r="AR262" s="53"/>
      <c r="AS262" s="53"/>
      <c r="AT262" s="53"/>
      <c r="AU262" s="53"/>
      <c r="AV262" s="58"/>
      <c r="AW262" s="58"/>
      <c r="AX262" s="58"/>
      <c r="AY262" s="53"/>
      <c r="AZ262" s="53"/>
      <c r="BA262" s="53"/>
      <c r="BB262" s="53"/>
      <c r="BC262" s="53"/>
      <c r="BD262" s="53"/>
      <c r="BE262" s="53"/>
      <c r="BF262" s="53"/>
      <c r="BG262" s="53"/>
      <c r="BH262" s="53"/>
      <c r="BI262" s="53"/>
      <c r="BJ262" s="53"/>
      <c r="BK262" s="53"/>
      <c r="BL262" s="53"/>
      <c r="BM262" s="53"/>
      <c r="BN262" s="53"/>
      <c r="BO262" s="65" t="str">
        <f t="shared" si="11"/>
        <v/>
      </c>
    </row>
    <row r="263" spans="1:67" ht="19.5" customHeight="1">
      <c r="A263" s="70" t="b">
        <v>0</v>
      </c>
      <c r="B263" s="71" t="b">
        <v>1</v>
      </c>
      <c r="C263" s="72" t="b">
        <v>0</v>
      </c>
      <c r="D263" s="72" t="b">
        <v>0</v>
      </c>
      <c r="E263" s="57"/>
      <c r="F263" s="59"/>
      <c r="G263" s="57"/>
      <c r="H263" s="88"/>
      <c r="I263" s="88"/>
      <c r="J263" s="88"/>
      <c r="K263" s="89" t="b">
        <v>1</v>
      </c>
      <c r="L263" s="60"/>
      <c r="M263" s="57"/>
      <c r="N263" s="57"/>
      <c r="O263" s="61"/>
      <c r="P263" s="60"/>
      <c r="Q263" s="57"/>
      <c r="R263" s="57"/>
      <c r="S263" s="95"/>
      <c r="T263" s="88"/>
      <c r="U263" s="88"/>
      <c r="V263" s="88"/>
      <c r="W263" s="96"/>
      <c r="X263" s="97"/>
      <c r="Y263" s="97"/>
      <c r="Z263" s="98"/>
      <c r="AA263" s="99"/>
      <c r="AB263" s="98"/>
      <c r="AC263" s="88"/>
      <c r="AD263" s="98"/>
      <c r="AE263" s="64"/>
      <c r="AF263" s="67" t="str">
        <f t="shared" si="9"/>
        <v/>
      </c>
      <c r="AG263" s="58"/>
      <c r="AH263" s="68" t="str">
        <f t="shared" si="10"/>
        <v/>
      </c>
      <c r="AI263" s="53"/>
      <c r="AJ263" s="53"/>
      <c r="AK263" s="53"/>
      <c r="AL263" s="53"/>
      <c r="AM263" s="53"/>
      <c r="AN263" s="53"/>
      <c r="AO263" s="53"/>
      <c r="AP263" s="53"/>
      <c r="AQ263" s="53"/>
      <c r="AR263" s="53"/>
      <c r="AS263" s="53"/>
      <c r="AT263" s="53"/>
      <c r="AU263" s="53"/>
      <c r="AV263" s="58"/>
      <c r="AW263" s="58"/>
      <c r="AX263" s="58"/>
      <c r="AY263" s="53"/>
      <c r="AZ263" s="53"/>
      <c r="BA263" s="53"/>
      <c r="BB263" s="53"/>
      <c r="BC263" s="53"/>
      <c r="BD263" s="53"/>
      <c r="BE263" s="53"/>
      <c r="BF263" s="53"/>
      <c r="BG263" s="53"/>
      <c r="BH263" s="53"/>
      <c r="BI263" s="53"/>
      <c r="BJ263" s="53"/>
      <c r="BK263" s="53"/>
      <c r="BL263" s="53"/>
      <c r="BM263" s="53"/>
      <c r="BN263" s="53"/>
      <c r="BO263" s="65" t="str">
        <f t="shared" si="11"/>
        <v/>
      </c>
    </row>
    <row r="264" spans="1:67" ht="19.5" customHeight="1">
      <c r="A264" s="70" t="b">
        <v>0</v>
      </c>
      <c r="B264" s="71" t="b">
        <v>1</v>
      </c>
      <c r="C264" s="72" t="b">
        <v>0</v>
      </c>
      <c r="D264" s="72" t="b">
        <v>0</v>
      </c>
      <c r="E264" s="57"/>
      <c r="F264" s="59"/>
      <c r="G264" s="57"/>
      <c r="H264" s="88"/>
      <c r="I264" s="88"/>
      <c r="J264" s="88"/>
      <c r="K264" s="89" t="b">
        <v>1</v>
      </c>
      <c r="L264" s="60"/>
      <c r="M264" s="57"/>
      <c r="N264" s="57"/>
      <c r="O264" s="61"/>
      <c r="P264" s="60"/>
      <c r="Q264" s="57"/>
      <c r="R264" s="57"/>
      <c r="S264" s="95"/>
      <c r="T264" s="88"/>
      <c r="U264" s="88"/>
      <c r="V264" s="88"/>
      <c r="W264" s="96"/>
      <c r="X264" s="97"/>
      <c r="Y264" s="97"/>
      <c r="Z264" s="98"/>
      <c r="AA264" s="99"/>
      <c r="AB264" s="98"/>
      <c r="AC264" s="88"/>
      <c r="AD264" s="98"/>
      <c r="AE264" s="64"/>
      <c r="AF264" s="67" t="str">
        <f t="shared" si="9"/>
        <v/>
      </c>
      <c r="AG264" s="58"/>
      <c r="AH264" s="68" t="str">
        <f t="shared" si="10"/>
        <v/>
      </c>
      <c r="AI264" s="53"/>
      <c r="AJ264" s="53"/>
      <c r="AK264" s="53"/>
      <c r="AL264" s="53"/>
      <c r="AM264" s="53"/>
      <c r="AN264" s="53"/>
      <c r="AO264" s="53"/>
      <c r="AP264" s="53"/>
      <c r="AQ264" s="53"/>
      <c r="AR264" s="53"/>
      <c r="AS264" s="53"/>
      <c r="AT264" s="53"/>
      <c r="AU264" s="53"/>
      <c r="AV264" s="58"/>
      <c r="AW264" s="58"/>
      <c r="AX264" s="58"/>
      <c r="AY264" s="53"/>
      <c r="AZ264" s="53"/>
      <c r="BA264" s="53"/>
      <c r="BB264" s="53"/>
      <c r="BC264" s="53"/>
      <c r="BD264" s="53"/>
      <c r="BE264" s="53"/>
      <c r="BF264" s="53"/>
      <c r="BG264" s="53"/>
      <c r="BH264" s="53"/>
      <c r="BI264" s="53"/>
      <c r="BJ264" s="53"/>
      <c r="BK264" s="53"/>
      <c r="BL264" s="53"/>
      <c r="BM264" s="53"/>
      <c r="BN264" s="53"/>
      <c r="BO264" s="65" t="str">
        <f t="shared" si="11"/>
        <v/>
      </c>
    </row>
    <row r="265" spans="1:67" ht="19.5" customHeight="1">
      <c r="A265" s="70" t="b">
        <v>0</v>
      </c>
      <c r="B265" s="71" t="b">
        <v>1</v>
      </c>
      <c r="C265" s="72" t="b">
        <v>0</v>
      </c>
      <c r="D265" s="72" t="b">
        <v>0</v>
      </c>
      <c r="E265" s="57"/>
      <c r="F265" s="59"/>
      <c r="G265" s="57"/>
      <c r="H265" s="88"/>
      <c r="I265" s="88"/>
      <c r="J265" s="88"/>
      <c r="K265" s="89" t="b">
        <v>1</v>
      </c>
      <c r="L265" s="60"/>
      <c r="M265" s="57"/>
      <c r="N265" s="57"/>
      <c r="O265" s="61"/>
      <c r="P265" s="60"/>
      <c r="Q265" s="57"/>
      <c r="R265" s="57"/>
      <c r="S265" s="95"/>
      <c r="T265" s="88"/>
      <c r="U265" s="88"/>
      <c r="V265" s="88"/>
      <c r="W265" s="96"/>
      <c r="X265" s="97"/>
      <c r="Y265" s="97"/>
      <c r="Z265" s="98"/>
      <c r="AA265" s="99"/>
      <c r="AB265" s="98"/>
      <c r="AC265" s="88"/>
      <c r="AD265" s="98"/>
      <c r="AE265" s="64"/>
      <c r="AF265" s="67" t="str">
        <f t="shared" si="9"/>
        <v/>
      </c>
      <c r="AG265" s="58"/>
      <c r="AH265" s="68" t="str">
        <f t="shared" si="10"/>
        <v/>
      </c>
      <c r="AI265" s="53"/>
      <c r="AJ265" s="53"/>
      <c r="AK265" s="53"/>
      <c r="AL265" s="53"/>
      <c r="AM265" s="53"/>
      <c r="AN265" s="53"/>
      <c r="AO265" s="53"/>
      <c r="AP265" s="53"/>
      <c r="AQ265" s="53"/>
      <c r="AR265" s="53"/>
      <c r="AS265" s="53"/>
      <c r="AT265" s="53"/>
      <c r="AU265" s="53"/>
      <c r="AV265" s="58"/>
      <c r="AW265" s="58"/>
      <c r="AX265" s="58"/>
      <c r="AY265" s="53"/>
      <c r="AZ265" s="53"/>
      <c r="BA265" s="53"/>
      <c r="BB265" s="53"/>
      <c r="BC265" s="53"/>
      <c r="BD265" s="53"/>
      <c r="BE265" s="53"/>
      <c r="BF265" s="53"/>
      <c r="BG265" s="53"/>
      <c r="BH265" s="53"/>
      <c r="BI265" s="53"/>
      <c r="BJ265" s="53"/>
      <c r="BK265" s="53"/>
      <c r="BL265" s="53"/>
      <c r="BM265" s="53"/>
      <c r="BN265" s="53"/>
      <c r="BO265" s="65" t="str">
        <f t="shared" si="11"/>
        <v/>
      </c>
    </row>
    <row r="266" spans="1:67" ht="19.5" customHeight="1">
      <c r="A266" s="70" t="b">
        <v>0</v>
      </c>
      <c r="B266" s="71" t="b">
        <v>1</v>
      </c>
      <c r="C266" s="72" t="b">
        <v>0</v>
      </c>
      <c r="D266" s="72" t="b">
        <v>0</v>
      </c>
      <c r="E266" s="57"/>
      <c r="F266" s="59"/>
      <c r="G266" s="57"/>
      <c r="H266" s="88"/>
      <c r="I266" s="88"/>
      <c r="J266" s="88"/>
      <c r="K266" s="89" t="b">
        <v>1</v>
      </c>
      <c r="L266" s="60"/>
      <c r="M266" s="57"/>
      <c r="N266" s="57"/>
      <c r="O266" s="61"/>
      <c r="P266" s="60"/>
      <c r="Q266" s="57"/>
      <c r="R266" s="57"/>
      <c r="S266" s="95"/>
      <c r="T266" s="88"/>
      <c r="U266" s="88"/>
      <c r="V266" s="88"/>
      <c r="W266" s="96"/>
      <c r="X266" s="97"/>
      <c r="Y266" s="97"/>
      <c r="Z266" s="98"/>
      <c r="AA266" s="99"/>
      <c r="AB266" s="98"/>
      <c r="AC266" s="88"/>
      <c r="AD266" s="98"/>
      <c r="AE266" s="64"/>
      <c r="AF266" s="67" t="str">
        <f t="shared" si="9"/>
        <v/>
      </c>
      <c r="AG266" s="58"/>
      <c r="AH266" s="68" t="str">
        <f t="shared" si="10"/>
        <v/>
      </c>
      <c r="AI266" s="53"/>
      <c r="AJ266" s="53"/>
      <c r="AK266" s="53"/>
      <c r="AL266" s="53"/>
      <c r="AM266" s="53"/>
      <c r="AN266" s="53"/>
      <c r="AO266" s="53"/>
      <c r="AP266" s="53"/>
      <c r="AQ266" s="53"/>
      <c r="AR266" s="53"/>
      <c r="AS266" s="53"/>
      <c r="AT266" s="53"/>
      <c r="AU266" s="53"/>
      <c r="AV266" s="58"/>
      <c r="AW266" s="58"/>
      <c r="AX266" s="58"/>
      <c r="AY266" s="53"/>
      <c r="AZ266" s="53"/>
      <c r="BA266" s="53"/>
      <c r="BB266" s="53"/>
      <c r="BC266" s="53"/>
      <c r="BD266" s="53"/>
      <c r="BE266" s="53"/>
      <c r="BF266" s="53"/>
      <c r="BG266" s="53"/>
      <c r="BH266" s="53"/>
      <c r="BI266" s="53"/>
      <c r="BJ266" s="53"/>
      <c r="BK266" s="53"/>
      <c r="BL266" s="53"/>
      <c r="BM266" s="53"/>
      <c r="BN266" s="53"/>
      <c r="BO266" s="65" t="str">
        <f t="shared" si="11"/>
        <v/>
      </c>
    </row>
    <row r="267" spans="1:67" ht="19.5" customHeight="1">
      <c r="A267" s="70" t="b">
        <v>0</v>
      </c>
      <c r="B267" s="71" t="b">
        <v>1</v>
      </c>
      <c r="C267" s="72" t="b">
        <v>0</v>
      </c>
      <c r="D267" s="72" t="b">
        <v>0</v>
      </c>
      <c r="E267" s="57"/>
      <c r="F267" s="59"/>
      <c r="G267" s="57"/>
      <c r="H267" s="88"/>
      <c r="I267" s="88"/>
      <c r="J267" s="88"/>
      <c r="K267" s="89" t="b">
        <v>1</v>
      </c>
      <c r="L267" s="60"/>
      <c r="M267" s="57"/>
      <c r="N267" s="57"/>
      <c r="O267" s="61"/>
      <c r="P267" s="60"/>
      <c r="Q267" s="57"/>
      <c r="R267" s="57"/>
      <c r="S267" s="95"/>
      <c r="T267" s="88"/>
      <c r="U267" s="88"/>
      <c r="V267" s="88"/>
      <c r="W267" s="96"/>
      <c r="X267" s="97"/>
      <c r="Y267" s="97"/>
      <c r="Z267" s="98"/>
      <c r="AA267" s="99"/>
      <c r="AB267" s="98"/>
      <c r="AC267" s="88"/>
      <c r="AD267" s="98"/>
      <c r="AE267" s="64"/>
      <c r="AF267" s="67" t="str">
        <f t="shared" si="9"/>
        <v/>
      </c>
      <c r="AG267" s="58"/>
      <c r="AH267" s="68" t="str">
        <f t="shared" si="10"/>
        <v/>
      </c>
      <c r="AI267" s="53"/>
      <c r="AJ267" s="53"/>
      <c r="AK267" s="53"/>
      <c r="AL267" s="53"/>
      <c r="AM267" s="53"/>
      <c r="AN267" s="53"/>
      <c r="AO267" s="53"/>
      <c r="AP267" s="53"/>
      <c r="AQ267" s="53"/>
      <c r="AR267" s="53"/>
      <c r="AS267" s="53"/>
      <c r="AT267" s="53"/>
      <c r="AU267" s="53"/>
      <c r="AV267" s="58"/>
      <c r="AW267" s="58"/>
      <c r="AX267" s="58"/>
      <c r="AY267" s="53"/>
      <c r="AZ267" s="53"/>
      <c r="BA267" s="53"/>
      <c r="BB267" s="53"/>
      <c r="BC267" s="53"/>
      <c r="BD267" s="53"/>
      <c r="BE267" s="53"/>
      <c r="BF267" s="53"/>
      <c r="BG267" s="53"/>
      <c r="BH267" s="53"/>
      <c r="BI267" s="53"/>
      <c r="BJ267" s="53"/>
      <c r="BK267" s="53"/>
      <c r="BL267" s="53"/>
      <c r="BM267" s="53"/>
      <c r="BN267" s="53"/>
      <c r="BO267" s="65" t="str">
        <f t="shared" si="11"/>
        <v/>
      </c>
    </row>
    <row r="268" spans="1:67" ht="19.5" customHeight="1">
      <c r="A268" s="70" t="b">
        <v>0</v>
      </c>
      <c r="B268" s="71" t="b">
        <v>1</v>
      </c>
      <c r="C268" s="72" t="b">
        <v>0</v>
      </c>
      <c r="D268" s="72" t="b">
        <v>0</v>
      </c>
      <c r="E268" s="57"/>
      <c r="F268" s="59"/>
      <c r="G268" s="57"/>
      <c r="H268" s="88"/>
      <c r="I268" s="88"/>
      <c r="J268" s="88"/>
      <c r="K268" s="89" t="b">
        <v>1</v>
      </c>
      <c r="L268" s="60"/>
      <c r="M268" s="57"/>
      <c r="N268" s="57"/>
      <c r="O268" s="61"/>
      <c r="P268" s="60"/>
      <c r="Q268" s="57"/>
      <c r="R268" s="57"/>
      <c r="S268" s="95"/>
      <c r="T268" s="88"/>
      <c r="U268" s="88"/>
      <c r="V268" s="88"/>
      <c r="W268" s="96"/>
      <c r="X268" s="97"/>
      <c r="Y268" s="97"/>
      <c r="Z268" s="98"/>
      <c r="AA268" s="99"/>
      <c r="AB268" s="98"/>
      <c r="AC268" s="88"/>
      <c r="AD268" s="98"/>
      <c r="AE268" s="64"/>
      <c r="AF268" s="67" t="str">
        <f t="shared" si="9"/>
        <v/>
      </c>
      <c r="AG268" s="58"/>
      <c r="AH268" s="68" t="str">
        <f t="shared" si="10"/>
        <v/>
      </c>
      <c r="AI268" s="53"/>
      <c r="AJ268" s="53"/>
      <c r="AK268" s="53"/>
      <c r="AL268" s="53"/>
      <c r="AM268" s="53"/>
      <c r="AN268" s="53"/>
      <c r="AO268" s="53"/>
      <c r="AP268" s="53"/>
      <c r="AQ268" s="53"/>
      <c r="AR268" s="53"/>
      <c r="AS268" s="53"/>
      <c r="AT268" s="53"/>
      <c r="AU268" s="53"/>
      <c r="AV268" s="58"/>
      <c r="AW268" s="58"/>
      <c r="AX268" s="58"/>
      <c r="AY268" s="53"/>
      <c r="AZ268" s="53"/>
      <c r="BA268" s="53"/>
      <c r="BB268" s="53"/>
      <c r="BC268" s="53"/>
      <c r="BD268" s="53"/>
      <c r="BE268" s="53"/>
      <c r="BF268" s="53"/>
      <c r="BG268" s="53"/>
      <c r="BH268" s="53"/>
      <c r="BI268" s="53"/>
      <c r="BJ268" s="53"/>
      <c r="BK268" s="53"/>
      <c r="BL268" s="53"/>
      <c r="BM268" s="53"/>
      <c r="BN268" s="53"/>
      <c r="BO268" s="65" t="str">
        <f t="shared" si="11"/>
        <v/>
      </c>
    </row>
    <row r="269" spans="1:67" ht="19.5" customHeight="1">
      <c r="A269" s="70" t="b">
        <v>0</v>
      </c>
      <c r="B269" s="71" t="b">
        <v>1</v>
      </c>
      <c r="C269" s="72" t="b">
        <v>0</v>
      </c>
      <c r="D269" s="72" t="b">
        <v>0</v>
      </c>
      <c r="E269" s="57"/>
      <c r="F269" s="59"/>
      <c r="G269" s="57"/>
      <c r="H269" s="88"/>
      <c r="I269" s="88"/>
      <c r="J269" s="88"/>
      <c r="K269" s="89" t="b">
        <v>1</v>
      </c>
      <c r="L269" s="60"/>
      <c r="M269" s="57"/>
      <c r="N269" s="57"/>
      <c r="O269" s="61"/>
      <c r="P269" s="60"/>
      <c r="Q269" s="57"/>
      <c r="R269" s="57"/>
      <c r="S269" s="95"/>
      <c r="T269" s="88"/>
      <c r="U269" s="88"/>
      <c r="V269" s="88"/>
      <c r="W269" s="96"/>
      <c r="X269" s="97"/>
      <c r="Y269" s="97"/>
      <c r="Z269" s="98"/>
      <c r="AA269" s="99"/>
      <c r="AB269" s="98"/>
      <c r="AC269" s="88"/>
      <c r="AD269" s="98"/>
      <c r="AE269" s="64"/>
      <c r="AF269" s="67" t="str">
        <f t="shared" si="9"/>
        <v/>
      </c>
      <c r="AG269" s="58"/>
      <c r="AH269" s="68" t="str">
        <f t="shared" si="10"/>
        <v/>
      </c>
      <c r="AI269" s="53"/>
      <c r="AJ269" s="53"/>
      <c r="AK269" s="53"/>
      <c r="AL269" s="53"/>
      <c r="AM269" s="53"/>
      <c r="AN269" s="53"/>
      <c r="AO269" s="53"/>
      <c r="AP269" s="53"/>
      <c r="AQ269" s="53"/>
      <c r="AR269" s="53"/>
      <c r="AS269" s="53"/>
      <c r="AT269" s="53"/>
      <c r="AU269" s="53"/>
      <c r="AV269" s="58"/>
      <c r="AW269" s="58"/>
      <c r="AX269" s="58"/>
      <c r="AY269" s="53"/>
      <c r="AZ269" s="53"/>
      <c r="BA269" s="53"/>
      <c r="BB269" s="53"/>
      <c r="BC269" s="53"/>
      <c r="BD269" s="53"/>
      <c r="BE269" s="53"/>
      <c r="BF269" s="53"/>
      <c r="BG269" s="53"/>
      <c r="BH269" s="53"/>
      <c r="BI269" s="53"/>
      <c r="BJ269" s="53"/>
      <c r="BK269" s="53"/>
      <c r="BL269" s="53"/>
      <c r="BM269" s="53"/>
      <c r="BN269" s="53"/>
      <c r="BO269" s="65" t="str">
        <f t="shared" si="11"/>
        <v/>
      </c>
    </row>
    <row r="270" spans="1:67" ht="19.5" customHeight="1">
      <c r="A270" s="70" t="b">
        <v>0</v>
      </c>
      <c r="B270" s="71" t="b">
        <v>1</v>
      </c>
      <c r="C270" s="72" t="b">
        <v>0</v>
      </c>
      <c r="D270" s="72" t="b">
        <v>0</v>
      </c>
      <c r="E270" s="57"/>
      <c r="F270" s="59"/>
      <c r="G270" s="57"/>
      <c r="H270" s="88"/>
      <c r="I270" s="88"/>
      <c r="J270" s="88"/>
      <c r="K270" s="89" t="b">
        <v>1</v>
      </c>
      <c r="L270" s="60"/>
      <c r="M270" s="57"/>
      <c r="N270" s="57"/>
      <c r="O270" s="61"/>
      <c r="P270" s="60"/>
      <c r="Q270" s="57"/>
      <c r="R270" s="57"/>
      <c r="S270" s="95"/>
      <c r="T270" s="88"/>
      <c r="U270" s="88"/>
      <c r="V270" s="88"/>
      <c r="W270" s="96"/>
      <c r="X270" s="97"/>
      <c r="Y270" s="97"/>
      <c r="Z270" s="98"/>
      <c r="AA270" s="99"/>
      <c r="AB270" s="98"/>
      <c r="AC270" s="88"/>
      <c r="AD270" s="98"/>
      <c r="AE270" s="64"/>
      <c r="AF270" s="67" t="str">
        <f t="shared" si="9"/>
        <v/>
      </c>
      <c r="AG270" s="58"/>
      <c r="AH270" s="68" t="str">
        <f t="shared" si="10"/>
        <v/>
      </c>
      <c r="AI270" s="53"/>
      <c r="AJ270" s="53"/>
      <c r="AK270" s="53"/>
      <c r="AL270" s="53"/>
      <c r="AM270" s="53"/>
      <c r="AN270" s="53"/>
      <c r="AO270" s="53"/>
      <c r="AP270" s="53"/>
      <c r="AQ270" s="53"/>
      <c r="AR270" s="53"/>
      <c r="AS270" s="53"/>
      <c r="AT270" s="53"/>
      <c r="AU270" s="53"/>
      <c r="AV270" s="58"/>
      <c r="AW270" s="58"/>
      <c r="AX270" s="58"/>
      <c r="AY270" s="53"/>
      <c r="AZ270" s="53"/>
      <c r="BA270" s="53"/>
      <c r="BB270" s="53"/>
      <c r="BC270" s="53"/>
      <c r="BD270" s="53"/>
      <c r="BE270" s="53"/>
      <c r="BF270" s="53"/>
      <c r="BG270" s="53"/>
      <c r="BH270" s="53"/>
      <c r="BI270" s="53"/>
      <c r="BJ270" s="53"/>
      <c r="BK270" s="53"/>
      <c r="BL270" s="53"/>
      <c r="BM270" s="53"/>
      <c r="BN270" s="53"/>
      <c r="BO270" s="65" t="str">
        <f t="shared" si="11"/>
        <v/>
      </c>
    </row>
    <row r="271" spans="1:67" ht="19.5" customHeight="1">
      <c r="A271" s="70" t="b">
        <v>0</v>
      </c>
      <c r="B271" s="71" t="b">
        <v>1</v>
      </c>
      <c r="C271" s="72" t="b">
        <v>0</v>
      </c>
      <c r="D271" s="72" t="b">
        <v>0</v>
      </c>
      <c r="E271" s="57"/>
      <c r="F271" s="59"/>
      <c r="G271" s="57"/>
      <c r="H271" s="88"/>
      <c r="I271" s="88"/>
      <c r="J271" s="88"/>
      <c r="K271" s="89" t="b">
        <v>1</v>
      </c>
      <c r="L271" s="60"/>
      <c r="M271" s="57"/>
      <c r="N271" s="57"/>
      <c r="O271" s="61"/>
      <c r="P271" s="60"/>
      <c r="Q271" s="57"/>
      <c r="R271" s="57"/>
      <c r="S271" s="95"/>
      <c r="T271" s="88"/>
      <c r="U271" s="88"/>
      <c r="V271" s="88"/>
      <c r="W271" s="96"/>
      <c r="X271" s="97"/>
      <c r="Y271" s="97"/>
      <c r="Z271" s="98"/>
      <c r="AA271" s="99"/>
      <c r="AB271" s="98"/>
      <c r="AC271" s="88"/>
      <c r="AD271" s="98"/>
      <c r="AE271" s="64"/>
      <c r="AF271" s="67" t="str">
        <f t="shared" si="9"/>
        <v/>
      </c>
      <c r="AG271" s="58"/>
      <c r="AH271" s="68" t="str">
        <f t="shared" si="10"/>
        <v/>
      </c>
      <c r="AI271" s="53"/>
      <c r="AJ271" s="53"/>
      <c r="AK271" s="53"/>
      <c r="AL271" s="53"/>
      <c r="AM271" s="53"/>
      <c r="AN271" s="53"/>
      <c r="AO271" s="53"/>
      <c r="AP271" s="53"/>
      <c r="AQ271" s="53"/>
      <c r="AR271" s="53"/>
      <c r="AS271" s="53"/>
      <c r="AT271" s="53"/>
      <c r="AU271" s="53"/>
      <c r="AV271" s="58"/>
      <c r="AW271" s="58"/>
      <c r="AX271" s="58"/>
      <c r="AY271" s="53"/>
      <c r="AZ271" s="53"/>
      <c r="BA271" s="53"/>
      <c r="BB271" s="53"/>
      <c r="BC271" s="53"/>
      <c r="BD271" s="53"/>
      <c r="BE271" s="53"/>
      <c r="BF271" s="53"/>
      <c r="BG271" s="53"/>
      <c r="BH271" s="53"/>
      <c r="BI271" s="53"/>
      <c r="BJ271" s="53"/>
      <c r="BK271" s="53"/>
      <c r="BL271" s="53"/>
      <c r="BM271" s="53"/>
      <c r="BN271" s="53"/>
      <c r="BO271" s="65" t="str">
        <f t="shared" si="11"/>
        <v/>
      </c>
    </row>
    <row r="272" spans="1:67" ht="19.5" customHeight="1">
      <c r="A272" s="70" t="b">
        <v>0</v>
      </c>
      <c r="B272" s="71" t="b">
        <v>1</v>
      </c>
      <c r="C272" s="72" t="b">
        <v>0</v>
      </c>
      <c r="D272" s="72" t="b">
        <v>0</v>
      </c>
      <c r="E272" s="57"/>
      <c r="F272" s="59"/>
      <c r="G272" s="57"/>
      <c r="H272" s="88"/>
      <c r="I272" s="88"/>
      <c r="J272" s="88"/>
      <c r="K272" s="89" t="b">
        <v>1</v>
      </c>
      <c r="L272" s="60"/>
      <c r="M272" s="57"/>
      <c r="N272" s="57"/>
      <c r="O272" s="61"/>
      <c r="P272" s="60"/>
      <c r="Q272" s="57"/>
      <c r="R272" s="57"/>
      <c r="S272" s="95"/>
      <c r="T272" s="88"/>
      <c r="U272" s="88"/>
      <c r="V272" s="88"/>
      <c r="W272" s="96"/>
      <c r="X272" s="97"/>
      <c r="Y272" s="97"/>
      <c r="Z272" s="98"/>
      <c r="AA272" s="99"/>
      <c r="AB272" s="98"/>
      <c r="AC272" s="88"/>
      <c r="AD272" s="98"/>
      <c r="AE272" s="64"/>
      <c r="AF272" s="67" t="str">
        <f t="shared" si="9"/>
        <v/>
      </c>
      <c r="AG272" s="58"/>
      <c r="AH272" s="68" t="str">
        <f t="shared" si="10"/>
        <v/>
      </c>
      <c r="AI272" s="53"/>
      <c r="AJ272" s="53"/>
      <c r="AK272" s="53"/>
      <c r="AL272" s="53"/>
      <c r="AM272" s="53"/>
      <c r="AN272" s="53"/>
      <c r="AO272" s="53"/>
      <c r="AP272" s="53"/>
      <c r="AQ272" s="53"/>
      <c r="AR272" s="53"/>
      <c r="AS272" s="53"/>
      <c r="AT272" s="53"/>
      <c r="AU272" s="53"/>
      <c r="AV272" s="58"/>
      <c r="AW272" s="58"/>
      <c r="AX272" s="58"/>
      <c r="AY272" s="53"/>
      <c r="AZ272" s="53"/>
      <c r="BA272" s="53"/>
      <c r="BB272" s="53"/>
      <c r="BC272" s="53"/>
      <c r="BD272" s="53"/>
      <c r="BE272" s="53"/>
      <c r="BF272" s="53"/>
      <c r="BG272" s="53"/>
      <c r="BH272" s="53"/>
      <c r="BI272" s="53"/>
      <c r="BJ272" s="53"/>
      <c r="BK272" s="53"/>
      <c r="BL272" s="53"/>
      <c r="BM272" s="53"/>
      <c r="BN272" s="53"/>
      <c r="BO272" s="65" t="str">
        <f t="shared" si="11"/>
        <v/>
      </c>
    </row>
    <row r="273" spans="1:67" ht="19.5" customHeight="1">
      <c r="A273" s="70" t="b">
        <v>0</v>
      </c>
      <c r="B273" s="71" t="b">
        <v>1</v>
      </c>
      <c r="C273" s="72" t="b">
        <v>0</v>
      </c>
      <c r="D273" s="72" t="b">
        <v>0</v>
      </c>
      <c r="E273" s="57"/>
      <c r="F273" s="59"/>
      <c r="G273" s="57"/>
      <c r="H273" s="88"/>
      <c r="I273" s="88"/>
      <c r="J273" s="88"/>
      <c r="K273" s="89" t="b">
        <v>1</v>
      </c>
      <c r="L273" s="60"/>
      <c r="M273" s="57"/>
      <c r="N273" s="57"/>
      <c r="O273" s="61"/>
      <c r="P273" s="60"/>
      <c r="Q273" s="57"/>
      <c r="R273" s="57"/>
      <c r="S273" s="95"/>
      <c r="T273" s="88"/>
      <c r="U273" s="88"/>
      <c r="V273" s="88"/>
      <c r="W273" s="96"/>
      <c r="X273" s="97"/>
      <c r="Y273" s="97"/>
      <c r="Z273" s="98"/>
      <c r="AA273" s="99"/>
      <c r="AB273" s="98"/>
      <c r="AC273" s="88"/>
      <c r="AD273" s="98"/>
      <c r="AE273" s="64"/>
      <c r="AF273" s="67" t="str">
        <f t="shared" si="9"/>
        <v/>
      </c>
      <c r="AG273" s="58"/>
      <c r="AH273" s="68" t="str">
        <f t="shared" si="10"/>
        <v/>
      </c>
      <c r="AI273" s="53"/>
      <c r="AJ273" s="53"/>
      <c r="AK273" s="53"/>
      <c r="AL273" s="53"/>
      <c r="AM273" s="53"/>
      <c r="AN273" s="53"/>
      <c r="AO273" s="53"/>
      <c r="AP273" s="53"/>
      <c r="AQ273" s="53"/>
      <c r="AR273" s="53"/>
      <c r="AS273" s="53"/>
      <c r="AT273" s="53"/>
      <c r="AU273" s="53"/>
      <c r="AV273" s="58"/>
      <c r="AW273" s="58"/>
      <c r="AX273" s="58"/>
      <c r="AY273" s="53"/>
      <c r="AZ273" s="53"/>
      <c r="BA273" s="53"/>
      <c r="BB273" s="53"/>
      <c r="BC273" s="53"/>
      <c r="BD273" s="53"/>
      <c r="BE273" s="53"/>
      <c r="BF273" s="53"/>
      <c r="BG273" s="53"/>
      <c r="BH273" s="53"/>
      <c r="BI273" s="53"/>
      <c r="BJ273" s="53"/>
      <c r="BK273" s="53"/>
      <c r="BL273" s="53"/>
      <c r="BM273" s="53"/>
      <c r="BN273" s="53"/>
      <c r="BO273" s="65" t="str">
        <f t="shared" si="11"/>
        <v/>
      </c>
    </row>
    <row r="274" spans="1:67" ht="19.5" customHeight="1">
      <c r="A274" s="70" t="b">
        <v>0</v>
      </c>
      <c r="B274" s="71" t="b">
        <v>1</v>
      </c>
      <c r="C274" s="72" t="b">
        <v>0</v>
      </c>
      <c r="D274" s="72" t="b">
        <v>0</v>
      </c>
      <c r="E274" s="57"/>
      <c r="F274" s="59"/>
      <c r="G274" s="57"/>
      <c r="H274" s="88"/>
      <c r="I274" s="88"/>
      <c r="J274" s="88"/>
      <c r="K274" s="89" t="b">
        <v>1</v>
      </c>
      <c r="L274" s="60"/>
      <c r="M274" s="57"/>
      <c r="N274" s="57"/>
      <c r="O274" s="61"/>
      <c r="P274" s="60"/>
      <c r="Q274" s="57"/>
      <c r="R274" s="57"/>
      <c r="S274" s="95"/>
      <c r="T274" s="88"/>
      <c r="U274" s="88"/>
      <c r="V274" s="88"/>
      <c r="W274" s="96"/>
      <c r="X274" s="97"/>
      <c r="Y274" s="97"/>
      <c r="Z274" s="98"/>
      <c r="AA274" s="99"/>
      <c r="AB274" s="98"/>
      <c r="AC274" s="88"/>
      <c r="AD274" s="98"/>
      <c r="AE274" s="64"/>
      <c r="AF274" s="67" t="str">
        <f t="shared" si="9"/>
        <v/>
      </c>
      <c r="AG274" s="58"/>
      <c r="AH274" s="68" t="str">
        <f t="shared" si="10"/>
        <v/>
      </c>
      <c r="AI274" s="53"/>
      <c r="AJ274" s="53"/>
      <c r="AK274" s="53"/>
      <c r="AL274" s="53"/>
      <c r="AM274" s="53"/>
      <c r="AN274" s="53"/>
      <c r="AO274" s="53"/>
      <c r="AP274" s="53"/>
      <c r="AQ274" s="53"/>
      <c r="AR274" s="53"/>
      <c r="AS274" s="53"/>
      <c r="AT274" s="53"/>
      <c r="AU274" s="53"/>
      <c r="AV274" s="58"/>
      <c r="AW274" s="58"/>
      <c r="AX274" s="58"/>
      <c r="AY274" s="53"/>
      <c r="AZ274" s="53"/>
      <c r="BA274" s="53"/>
      <c r="BB274" s="53"/>
      <c r="BC274" s="53"/>
      <c r="BD274" s="53"/>
      <c r="BE274" s="53"/>
      <c r="BF274" s="53"/>
      <c r="BG274" s="53"/>
      <c r="BH274" s="53"/>
      <c r="BI274" s="53"/>
      <c r="BJ274" s="53"/>
      <c r="BK274" s="53"/>
      <c r="BL274" s="53"/>
      <c r="BM274" s="53"/>
      <c r="BN274" s="53"/>
      <c r="BO274" s="65" t="str">
        <f t="shared" si="11"/>
        <v/>
      </c>
    </row>
    <row r="275" spans="1:67" ht="19.5" customHeight="1">
      <c r="A275" s="70" t="b">
        <v>0</v>
      </c>
      <c r="B275" s="71" t="b">
        <v>1</v>
      </c>
      <c r="C275" s="72" t="b">
        <v>0</v>
      </c>
      <c r="D275" s="72" t="b">
        <v>0</v>
      </c>
      <c r="E275" s="57"/>
      <c r="F275" s="59"/>
      <c r="G275" s="57"/>
      <c r="H275" s="88"/>
      <c r="I275" s="88"/>
      <c r="J275" s="88"/>
      <c r="K275" s="89" t="b">
        <v>1</v>
      </c>
      <c r="L275" s="60"/>
      <c r="M275" s="57"/>
      <c r="N275" s="57"/>
      <c r="O275" s="61"/>
      <c r="P275" s="60"/>
      <c r="Q275" s="57"/>
      <c r="R275" s="57"/>
      <c r="S275" s="95"/>
      <c r="T275" s="88"/>
      <c r="U275" s="88"/>
      <c r="V275" s="88"/>
      <c r="W275" s="96"/>
      <c r="X275" s="97"/>
      <c r="Y275" s="97"/>
      <c r="Z275" s="98"/>
      <c r="AA275" s="99"/>
      <c r="AB275" s="98"/>
      <c r="AC275" s="88"/>
      <c r="AD275" s="98"/>
      <c r="AE275" s="64"/>
      <c r="AF275" s="67" t="str">
        <f t="shared" ref="AF275:AF338" si="12">IFERROR((VALUE(TRIM(LEFT(MID(AE275,FIND("|",AE275)+1,99),FIND("-",MID(AE275,FIND("|",AE275)+1,99))-1)))+VALUE(TRIM(SUBSTITUTE(SUBSTITUTE(SUBSTITUTE(MID(MID(AE275,FIND("|",AE275)+1,99),FIND("-",MID(AE275,FIND("|",AE275)+1,99))+1,20),"µm",""),"μm","")," ",""))))/2,"")</f>
        <v/>
      </c>
      <c r="AG275" s="58"/>
      <c r="AH275" s="68" t="str">
        <f t="shared" ref="AH275:AH338" si="13">IFERROR((VALUE(TRIM(LEFT(MID(AG275,FIND("|",AG275)+1,99),FIND("-",MID(AG275,FIND("|",AG275)+1,99))-1)))+VALUE(TRIM(SUBSTITUTE(SUBSTITUTE(SUBSTITUTE(MID(MID(AG275,FIND("|",AG275)+1,99),FIND("-",MID(AG275,FIND("|",AG275)+1,99))+1,20),"µm",""),"μm","")," ",""))))/2,"")</f>
        <v/>
      </c>
      <c r="AI275" s="53"/>
      <c r="AJ275" s="53"/>
      <c r="AK275" s="53"/>
      <c r="AL275" s="53"/>
      <c r="AM275" s="53"/>
      <c r="AN275" s="53"/>
      <c r="AO275" s="53"/>
      <c r="AP275" s="53"/>
      <c r="AQ275" s="53"/>
      <c r="AR275" s="53"/>
      <c r="AS275" s="53"/>
      <c r="AT275" s="53"/>
      <c r="AU275" s="53"/>
      <c r="AV275" s="58"/>
      <c r="AW275" s="58"/>
      <c r="AX275" s="58"/>
      <c r="AY275" s="53"/>
      <c r="AZ275" s="53"/>
      <c r="BA275" s="53"/>
      <c r="BB275" s="53"/>
      <c r="BC275" s="53"/>
      <c r="BD275" s="53"/>
      <c r="BE275" s="53"/>
      <c r="BF275" s="53"/>
      <c r="BG275" s="53"/>
      <c r="BH275" s="53"/>
      <c r="BI275" s="53"/>
      <c r="BJ275" s="53"/>
      <c r="BK275" s="53"/>
      <c r="BL275" s="53"/>
      <c r="BM275" s="53"/>
      <c r="BN275" s="53"/>
      <c r="BO275" s="65" t="str">
        <f t="shared" ref="BO275:BO338" si="14">IF(E275="","",H275*I275)</f>
        <v/>
      </c>
    </row>
    <row r="276" spans="1:67" ht="19.5" customHeight="1">
      <c r="A276" s="70" t="b">
        <v>0</v>
      </c>
      <c r="B276" s="71" t="b">
        <v>1</v>
      </c>
      <c r="C276" s="72" t="b">
        <v>0</v>
      </c>
      <c r="D276" s="72" t="b">
        <v>0</v>
      </c>
      <c r="E276" s="57"/>
      <c r="F276" s="59"/>
      <c r="G276" s="57"/>
      <c r="H276" s="88"/>
      <c r="I276" s="88"/>
      <c r="J276" s="88"/>
      <c r="K276" s="89" t="b">
        <v>1</v>
      </c>
      <c r="L276" s="60"/>
      <c r="M276" s="57"/>
      <c r="N276" s="57"/>
      <c r="O276" s="61"/>
      <c r="P276" s="60"/>
      <c r="Q276" s="57"/>
      <c r="R276" s="57"/>
      <c r="S276" s="95"/>
      <c r="T276" s="88"/>
      <c r="U276" s="88"/>
      <c r="V276" s="88"/>
      <c r="W276" s="96"/>
      <c r="X276" s="97"/>
      <c r="Y276" s="97"/>
      <c r="Z276" s="98"/>
      <c r="AA276" s="99"/>
      <c r="AB276" s="98"/>
      <c r="AC276" s="88"/>
      <c r="AD276" s="98"/>
      <c r="AE276" s="64"/>
      <c r="AF276" s="67" t="str">
        <f t="shared" si="12"/>
        <v/>
      </c>
      <c r="AG276" s="58"/>
      <c r="AH276" s="68" t="str">
        <f t="shared" si="13"/>
        <v/>
      </c>
      <c r="AI276" s="53"/>
      <c r="AJ276" s="53"/>
      <c r="AK276" s="53"/>
      <c r="AL276" s="53"/>
      <c r="AM276" s="53"/>
      <c r="AN276" s="53"/>
      <c r="AO276" s="53"/>
      <c r="AP276" s="53"/>
      <c r="AQ276" s="53"/>
      <c r="AR276" s="53"/>
      <c r="AS276" s="53"/>
      <c r="AT276" s="53"/>
      <c r="AU276" s="53"/>
      <c r="AV276" s="58"/>
      <c r="AW276" s="58"/>
      <c r="AX276" s="58"/>
      <c r="AY276" s="53"/>
      <c r="AZ276" s="53"/>
      <c r="BA276" s="53"/>
      <c r="BB276" s="53"/>
      <c r="BC276" s="53"/>
      <c r="BD276" s="53"/>
      <c r="BE276" s="53"/>
      <c r="BF276" s="53"/>
      <c r="BG276" s="53"/>
      <c r="BH276" s="53"/>
      <c r="BI276" s="53"/>
      <c r="BJ276" s="53"/>
      <c r="BK276" s="53"/>
      <c r="BL276" s="53"/>
      <c r="BM276" s="53"/>
      <c r="BN276" s="53"/>
      <c r="BO276" s="65" t="str">
        <f t="shared" si="14"/>
        <v/>
      </c>
    </row>
    <row r="277" spans="1:67" ht="19.5" customHeight="1">
      <c r="A277" s="70" t="b">
        <v>0</v>
      </c>
      <c r="B277" s="71" t="b">
        <v>1</v>
      </c>
      <c r="C277" s="72" t="b">
        <v>0</v>
      </c>
      <c r="D277" s="72" t="b">
        <v>0</v>
      </c>
      <c r="E277" s="57"/>
      <c r="F277" s="59"/>
      <c r="G277" s="57"/>
      <c r="H277" s="88"/>
      <c r="I277" s="88"/>
      <c r="J277" s="88"/>
      <c r="K277" s="89" t="b">
        <v>1</v>
      </c>
      <c r="L277" s="60"/>
      <c r="M277" s="57"/>
      <c r="N277" s="57"/>
      <c r="O277" s="61"/>
      <c r="P277" s="60"/>
      <c r="Q277" s="57"/>
      <c r="R277" s="57"/>
      <c r="S277" s="95"/>
      <c r="T277" s="88"/>
      <c r="U277" s="88"/>
      <c r="V277" s="88"/>
      <c r="W277" s="96"/>
      <c r="X277" s="97"/>
      <c r="Y277" s="97"/>
      <c r="Z277" s="98"/>
      <c r="AA277" s="99"/>
      <c r="AB277" s="98"/>
      <c r="AC277" s="88"/>
      <c r="AD277" s="98"/>
      <c r="AE277" s="64"/>
      <c r="AF277" s="67" t="str">
        <f t="shared" si="12"/>
        <v/>
      </c>
      <c r="AG277" s="58"/>
      <c r="AH277" s="68" t="str">
        <f t="shared" si="13"/>
        <v/>
      </c>
      <c r="AI277" s="53"/>
      <c r="AJ277" s="53"/>
      <c r="AK277" s="53"/>
      <c r="AL277" s="53"/>
      <c r="AM277" s="53"/>
      <c r="AN277" s="53"/>
      <c r="AO277" s="53"/>
      <c r="AP277" s="53"/>
      <c r="AQ277" s="53"/>
      <c r="AR277" s="53"/>
      <c r="AS277" s="53"/>
      <c r="AT277" s="53"/>
      <c r="AU277" s="53"/>
      <c r="AV277" s="58"/>
      <c r="AW277" s="58"/>
      <c r="AX277" s="58"/>
      <c r="AY277" s="53"/>
      <c r="AZ277" s="53"/>
      <c r="BA277" s="53"/>
      <c r="BB277" s="53"/>
      <c r="BC277" s="53"/>
      <c r="BD277" s="53"/>
      <c r="BE277" s="53"/>
      <c r="BF277" s="53"/>
      <c r="BG277" s="53"/>
      <c r="BH277" s="53"/>
      <c r="BI277" s="53"/>
      <c r="BJ277" s="53"/>
      <c r="BK277" s="53"/>
      <c r="BL277" s="53"/>
      <c r="BM277" s="53"/>
      <c r="BN277" s="53"/>
      <c r="BO277" s="65" t="str">
        <f t="shared" si="14"/>
        <v/>
      </c>
    </row>
    <row r="278" spans="1:67" ht="19.5" customHeight="1">
      <c r="A278" s="70" t="b">
        <v>0</v>
      </c>
      <c r="B278" s="71" t="b">
        <v>1</v>
      </c>
      <c r="C278" s="72" t="b">
        <v>0</v>
      </c>
      <c r="D278" s="72" t="b">
        <v>0</v>
      </c>
      <c r="E278" s="57"/>
      <c r="F278" s="59"/>
      <c r="G278" s="57"/>
      <c r="H278" s="88"/>
      <c r="I278" s="88"/>
      <c r="J278" s="88"/>
      <c r="K278" s="89" t="b">
        <v>1</v>
      </c>
      <c r="L278" s="60"/>
      <c r="M278" s="57"/>
      <c r="N278" s="57"/>
      <c r="O278" s="61"/>
      <c r="P278" s="60"/>
      <c r="Q278" s="57"/>
      <c r="R278" s="57"/>
      <c r="S278" s="95"/>
      <c r="T278" s="88"/>
      <c r="U278" s="88"/>
      <c r="V278" s="88"/>
      <c r="W278" s="96"/>
      <c r="X278" s="97"/>
      <c r="Y278" s="97"/>
      <c r="Z278" s="98"/>
      <c r="AA278" s="99"/>
      <c r="AB278" s="98"/>
      <c r="AC278" s="88"/>
      <c r="AD278" s="98"/>
      <c r="AE278" s="64"/>
      <c r="AF278" s="67" t="str">
        <f t="shared" si="12"/>
        <v/>
      </c>
      <c r="AG278" s="58"/>
      <c r="AH278" s="68" t="str">
        <f t="shared" si="13"/>
        <v/>
      </c>
      <c r="AI278" s="53"/>
      <c r="AJ278" s="53"/>
      <c r="AK278" s="53"/>
      <c r="AL278" s="53"/>
      <c r="AM278" s="53"/>
      <c r="AN278" s="53"/>
      <c r="AO278" s="53"/>
      <c r="AP278" s="53"/>
      <c r="AQ278" s="53"/>
      <c r="AR278" s="53"/>
      <c r="AS278" s="53"/>
      <c r="AT278" s="53"/>
      <c r="AU278" s="53"/>
      <c r="AV278" s="58"/>
      <c r="AW278" s="58"/>
      <c r="AX278" s="58"/>
      <c r="AY278" s="53"/>
      <c r="AZ278" s="53"/>
      <c r="BA278" s="53"/>
      <c r="BB278" s="53"/>
      <c r="BC278" s="53"/>
      <c r="BD278" s="53"/>
      <c r="BE278" s="53"/>
      <c r="BF278" s="53"/>
      <c r="BG278" s="53"/>
      <c r="BH278" s="53"/>
      <c r="BI278" s="53"/>
      <c r="BJ278" s="53"/>
      <c r="BK278" s="53"/>
      <c r="BL278" s="53"/>
      <c r="BM278" s="53"/>
      <c r="BN278" s="53"/>
      <c r="BO278" s="65" t="str">
        <f t="shared" si="14"/>
        <v/>
      </c>
    </row>
    <row r="279" spans="1:67" ht="19.5" customHeight="1">
      <c r="A279" s="70" t="b">
        <v>0</v>
      </c>
      <c r="B279" s="71" t="b">
        <v>1</v>
      </c>
      <c r="C279" s="72" t="b">
        <v>0</v>
      </c>
      <c r="D279" s="72" t="b">
        <v>0</v>
      </c>
      <c r="E279" s="57"/>
      <c r="F279" s="59"/>
      <c r="G279" s="57"/>
      <c r="H279" s="88"/>
      <c r="I279" s="88"/>
      <c r="J279" s="88"/>
      <c r="K279" s="89" t="b">
        <v>1</v>
      </c>
      <c r="L279" s="60"/>
      <c r="M279" s="57"/>
      <c r="N279" s="57"/>
      <c r="O279" s="61"/>
      <c r="P279" s="60"/>
      <c r="Q279" s="57"/>
      <c r="R279" s="57"/>
      <c r="S279" s="95"/>
      <c r="T279" s="88"/>
      <c r="U279" s="88"/>
      <c r="V279" s="88"/>
      <c r="W279" s="96"/>
      <c r="X279" s="97"/>
      <c r="Y279" s="97"/>
      <c r="Z279" s="98"/>
      <c r="AA279" s="99"/>
      <c r="AB279" s="98"/>
      <c r="AC279" s="88"/>
      <c r="AD279" s="98"/>
      <c r="AE279" s="64"/>
      <c r="AF279" s="67" t="str">
        <f t="shared" si="12"/>
        <v/>
      </c>
      <c r="AG279" s="58"/>
      <c r="AH279" s="68" t="str">
        <f t="shared" si="13"/>
        <v/>
      </c>
      <c r="AI279" s="53"/>
      <c r="AJ279" s="53"/>
      <c r="AK279" s="53"/>
      <c r="AL279" s="53"/>
      <c r="AM279" s="53"/>
      <c r="AN279" s="53"/>
      <c r="AO279" s="53"/>
      <c r="AP279" s="53"/>
      <c r="AQ279" s="53"/>
      <c r="AR279" s="53"/>
      <c r="AS279" s="53"/>
      <c r="AT279" s="53"/>
      <c r="AU279" s="53"/>
      <c r="AV279" s="58"/>
      <c r="AW279" s="58"/>
      <c r="AX279" s="58"/>
      <c r="AY279" s="53"/>
      <c r="AZ279" s="53"/>
      <c r="BA279" s="53"/>
      <c r="BB279" s="53"/>
      <c r="BC279" s="53"/>
      <c r="BD279" s="53"/>
      <c r="BE279" s="53"/>
      <c r="BF279" s="53"/>
      <c r="BG279" s="53"/>
      <c r="BH279" s="53"/>
      <c r="BI279" s="53"/>
      <c r="BJ279" s="53"/>
      <c r="BK279" s="53"/>
      <c r="BL279" s="53"/>
      <c r="BM279" s="53"/>
      <c r="BN279" s="53"/>
      <c r="BO279" s="65" t="str">
        <f t="shared" si="14"/>
        <v/>
      </c>
    </row>
    <row r="280" spans="1:67" ht="19.5" customHeight="1">
      <c r="A280" s="70" t="b">
        <v>0</v>
      </c>
      <c r="B280" s="71" t="b">
        <v>1</v>
      </c>
      <c r="C280" s="72" t="b">
        <v>0</v>
      </c>
      <c r="D280" s="72" t="b">
        <v>0</v>
      </c>
      <c r="E280" s="57"/>
      <c r="F280" s="59"/>
      <c r="G280" s="57"/>
      <c r="H280" s="88"/>
      <c r="I280" s="88"/>
      <c r="J280" s="88"/>
      <c r="K280" s="89" t="b">
        <v>1</v>
      </c>
      <c r="L280" s="60"/>
      <c r="M280" s="57"/>
      <c r="N280" s="57"/>
      <c r="O280" s="61"/>
      <c r="P280" s="60"/>
      <c r="Q280" s="57"/>
      <c r="R280" s="57"/>
      <c r="S280" s="95"/>
      <c r="T280" s="88"/>
      <c r="U280" s="88"/>
      <c r="V280" s="88"/>
      <c r="W280" s="96"/>
      <c r="X280" s="97"/>
      <c r="Y280" s="97"/>
      <c r="Z280" s="98"/>
      <c r="AA280" s="99"/>
      <c r="AB280" s="98"/>
      <c r="AC280" s="88"/>
      <c r="AD280" s="98"/>
      <c r="AE280" s="64"/>
      <c r="AF280" s="67" t="str">
        <f t="shared" si="12"/>
        <v/>
      </c>
      <c r="AG280" s="58"/>
      <c r="AH280" s="68" t="str">
        <f t="shared" si="13"/>
        <v/>
      </c>
      <c r="AI280" s="53"/>
      <c r="AJ280" s="53"/>
      <c r="AK280" s="53"/>
      <c r="AL280" s="53"/>
      <c r="AM280" s="53"/>
      <c r="AN280" s="53"/>
      <c r="AO280" s="53"/>
      <c r="AP280" s="53"/>
      <c r="AQ280" s="53"/>
      <c r="AR280" s="53"/>
      <c r="AS280" s="53"/>
      <c r="AT280" s="53"/>
      <c r="AU280" s="53"/>
      <c r="AV280" s="58"/>
      <c r="AW280" s="58"/>
      <c r="AX280" s="58"/>
      <c r="AY280" s="53"/>
      <c r="AZ280" s="53"/>
      <c r="BA280" s="53"/>
      <c r="BB280" s="53"/>
      <c r="BC280" s="53"/>
      <c r="BD280" s="53"/>
      <c r="BE280" s="53"/>
      <c r="BF280" s="53"/>
      <c r="BG280" s="53"/>
      <c r="BH280" s="53"/>
      <c r="BI280" s="53"/>
      <c r="BJ280" s="53"/>
      <c r="BK280" s="53"/>
      <c r="BL280" s="53"/>
      <c r="BM280" s="53"/>
      <c r="BN280" s="53"/>
      <c r="BO280" s="65" t="str">
        <f t="shared" si="14"/>
        <v/>
      </c>
    </row>
    <row r="281" spans="1:67" ht="19.5" customHeight="1">
      <c r="A281" s="70" t="b">
        <v>0</v>
      </c>
      <c r="B281" s="71" t="b">
        <v>1</v>
      </c>
      <c r="C281" s="72" t="b">
        <v>0</v>
      </c>
      <c r="D281" s="72" t="b">
        <v>0</v>
      </c>
      <c r="E281" s="57"/>
      <c r="F281" s="59"/>
      <c r="G281" s="57"/>
      <c r="H281" s="88"/>
      <c r="I281" s="88"/>
      <c r="J281" s="88"/>
      <c r="K281" s="89" t="b">
        <v>1</v>
      </c>
      <c r="L281" s="60"/>
      <c r="M281" s="57"/>
      <c r="N281" s="57"/>
      <c r="O281" s="61"/>
      <c r="P281" s="60"/>
      <c r="Q281" s="57"/>
      <c r="R281" s="57"/>
      <c r="S281" s="95"/>
      <c r="T281" s="88"/>
      <c r="U281" s="88"/>
      <c r="V281" s="88"/>
      <c r="W281" s="96"/>
      <c r="X281" s="97"/>
      <c r="Y281" s="97"/>
      <c r="Z281" s="98"/>
      <c r="AA281" s="99"/>
      <c r="AB281" s="98"/>
      <c r="AC281" s="88"/>
      <c r="AD281" s="98"/>
      <c r="AE281" s="64"/>
      <c r="AF281" s="67" t="str">
        <f t="shared" si="12"/>
        <v/>
      </c>
      <c r="AG281" s="58"/>
      <c r="AH281" s="68" t="str">
        <f t="shared" si="13"/>
        <v/>
      </c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8"/>
      <c r="AW281" s="58"/>
      <c r="AX281" s="58"/>
      <c r="AY281" s="53"/>
      <c r="AZ281" s="53"/>
      <c r="BA281" s="53"/>
      <c r="BB281" s="53"/>
      <c r="BC281" s="53"/>
      <c r="BD281" s="53"/>
      <c r="BE281" s="53"/>
      <c r="BF281" s="53"/>
      <c r="BG281" s="53"/>
      <c r="BH281" s="53"/>
      <c r="BI281" s="53"/>
      <c r="BJ281" s="53"/>
      <c r="BK281" s="53"/>
      <c r="BL281" s="53"/>
      <c r="BM281" s="53"/>
      <c r="BN281" s="53"/>
      <c r="BO281" s="65" t="str">
        <f t="shared" si="14"/>
        <v/>
      </c>
    </row>
    <row r="282" spans="1:67" ht="19.5" customHeight="1">
      <c r="A282" s="70" t="b">
        <v>0</v>
      </c>
      <c r="B282" s="71" t="b">
        <v>1</v>
      </c>
      <c r="C282" s="72" t="b">
        <v>0</v>
      </c>
      <c r="D282" s="72" t="b">
        <v>0</v>
      </c>
      <c r="E282" s="57"/>
      <c r="F282" s="59"/>
      <c r="G282" s="57"/>
      <c r="H282" s="88"/>
      <c r="I282" s="88"/>
      <c r="J282" s="88"/>
      <c r="K282" s="89" t="b">
        <v>1</v>
      </c>
      <c r="L282" s="60"/>
      <c r="M282" s="57"/>
      <c r="N282" s="57"/>
      <c r="O282" s="61"/>
      <c r="P282" s="60"/>
      <c r="Q282" s="57"/>
      <c r="R282" s="57"/>
      <c r="S282" s="95"/>
      <c r="T282" s="88"/>
      <c r="U282" s="88"/>
      <c r="V282" s="88"/>
      <c r="W282" s="96"/>
      <c r="X282" s="97"/>
      <c r="Y282" s="97"/>
      <c r="Z282" s="98"/>
      <c r="AA282" s="99"/>
      <c r="AB282" s="98"/>
      <c r="AC282" s="88"/>
      <c r="AD282" s="98"/>
      <c r="AE282" s="64"/>
      <c r="AF282" s="67" t="str">
        <f t="shared" si="12"/>
        <v/>
      </c>
      <c r="AG282" s="58"/>
      <c r="AH282" s="68" t="str">
        <f t="shared" si="13"/>
        <v/>
      </c>
      <c r="AI282" s="53"/>
      <c r="AJ282" s="53"/>
      <c r="AK282" s="53"/>
      <c r="AL282" s="53"/>
      <c r="AM282" s="53"/>
      <c r="AN282" s="53"/>
      <c r="AO282" s="53"/>
      <c r="AP282" s="53"/>
      <c r="AQ282" s="53"/>
      <c r="AR282" s="53"/>
      <c r="AS282" s="53"/>
      <c r="AT282" s="53"/>
      <c r="AU282" s="53"/>
      <c r="AV282" s="58"/>
      <c r="AW282" s="58"/>
      <c r="AX282" s="58"/>
      <c r="AY282" s="53"/>
      <c r="AZ282" s="53"/>
      <c r="BA282" s="53"/>
      <c r="BB282" s="53"/>
      <c r="BC282" s="53"/>
      <c r="BD282" s="53"/>
      <c r="BE282" s="53"/>
      <c r="BF282" s="53"/>
      <c r="BG282" s="53"/>
      <c r="BH282" s="53"/>
      <c r="BI282" s="53"/>
      <c r="BJ282" s="53"/>
      <c r="BK282" s="53"/>
      <c r="BL282" s="53"/>
      <c r="BM282" s="53"/>
      <c r="BN282" s="53"/>
      <c r="BO282" s="65" t="str">
        <f t="shared" si="14"/>
        <v/>
      </c>
    </row>
    <row r="283" spans="1:67" ht="19.5" customHeight="1">
      <c r="A283" s="70" t="b">
        <v>0</v>
      </c>
      <c r="B283" s="71" t="b">
        <v>1</v>
      </c>
      <c r="C283" s="72" t="b">
        <v>0</v>
      </c>
      <c r="D283" s="72" t="b">
        <v>0</v>
      </c>
      <c r="E283" s="57"/>
      <c r="F283" s="59"/>
      <c r="G283" s="57"/>
      <c r="H283" s="88"/>
      <c r="I283" s="88"/>
      <c r="J283" s="88"/>
      <c r="K283" s="89" t="b">
        <v>1</v>
      </c>
      <c r="L283" s="60"/>
      <c r="M283" s="57"/>
      <c r="N283" s="57"/>
      <c r="O283" s="61"/>
      <c r="P283" s="60"/>
      <c r="Q283" s="57"/>
      <c r="R283" s="57"/>
      <c r="S283" s="95"/>
      <c r="T283" s="88"/>
      <c r="U283" s="88"/>
      <c r="V283" s="88"/>
      <c r="W283" s="96"/>
      <c r="X283" s="97"/>
      <c r="Y283" s="97"/>
      <c r="Z283" s="98"/>
      <c r="AA283" s="99"/>
      <c r="AB283" s="98"/>
      <c r="AC283" s="88"/>
      <c r="AD283" s="98"/>
      <c r="AE283" s="64"/>
      <c r="AF283" s="67" t="str">
        <f t="shared" si="12"/>
        <v/>
      </c>
      <c r="AG283" s="58"/>
      <c r="AH283" s="68" t="str">
        <f t="shared" si="13"/>
        <v/>
      </c>
      <c r="AI283" s="53"/>
      <c r="AJ283" s="53"/>
      <c r="AK283" s="53"/>
      <c r="AL283" s="53"/>
      <c r="AM283" s="53"/>
      <c r="AN283" s="53"/>
      <c r="AO283" s="53"/>
      <c r="AP283" s="53"/>
      <c r="AQ283" s="53"/>
      <c r="AR283" s="53"/>
      <c r="AS283" s="53"/>
      <c r="AT283" s="53"/>
      <c r="AU283" s="53"/>
      <c r="AV283" s="58"/>
      <c r="AW283" s="58"/>
      <c r="AX283" s="58"/>
      <c r="AY283" s="53"/>
      <c r="AZ283" s="53"/>
      <c r="BA283" s="53"/>
      <c r="BB283" s="53"/>
      <c r="BC283" s="53"/>
      <c r="BD283" s="53"/>
      <c r="BE283" s="53"/>
      <c r="BF283" s="53"/>
      <c r="BG283" s="53"/>
      <c r="BH283" s="53"/>
      <c r="BI283" s="53"/>
      <c r="BJ283" s="53"/>
      <c r="BK283" s="53"/>
      <c r="BL283" s="53"/>
      <c r="BM283" s="53"/>
      <c r="BN283" s="53"/>
      <c r="BO283" s="65" t="str">
        <f t="shared" si="14"/>
        <v/>
      </c>
    </row>
    <row r="284" spans="1:67" ht="19.5" customHeight="1">
      <c r="A284" s="70" t="b">
        <v>0</v>
      </c>
      <c r="B284" s="71" t="b">
        <v>1</v>
      </c>
      <c r="C284" s="72" t="b">
        <v>0</v>
      </c>
      <c r="D284" s="72" t="b">
        <v>0</v>
      </c>
      <c r="E284" s="57"/>
      <c r="F284" s="59"/>
      <c r="G284" s="57"/>
      <c r="H284" s="88"/>
      <c r="I284" s="88"/>
      <c r="J284" s="88"/>
      <c r="K284" s="89" t="b">
        <v>1</v>
      </c>
      <c r="L284" s="60"/>
      <c r="M284" s="57"/>
      <c r="N284" s="57"/>
      <c r="O284" s="61"/>
      <c r="P284" s="60"/>
      <c r="Q284" s="57"/>
      <c r="R284" s="57"/>
      <c r="S284" s="95"/>
      <c r="T284" s="88"/>
      <c r="U284" s="88"/>
      <c r="V284" s="88"/>
      <c r="W284" s="96"/>
      <c r="X284" s="97"/>
      <c r="Y284" s="97"/>
      <c r="Z284" s="98"/>
      <c r="AA284" s="99"/>
      <c r="AB284" s="98"/>
      <c r="AC284" s="88"/>
      <c r="AD284" s="98"/>
      <c r="AE284" s="64"/>
      <c r="AF284" s="67" t="str">
        <f t="shared" si="12"/>
        <v/>
      </c>
      <c r="AG284" s="58"/>
      <c r="AH284" s="68" t="str">
        <f t="shared" si="13"/>
        <v/>
      </c>
      <c r="AI284" s="53"/>
      <c r="AJ284" s="53"/>
      <c r="AK284" s="53"/>
      <c r="AL284" s="53"/>
      <c r="AM284" s="53"/>
      <c r="AN284" s="53"/>
      <c r="AO284" s="53"/>
      <c r="AP284" s="53"/>
      <c r="AQ284" s="53"/>
      <c r="AR284" s="53"/>
      <c r="AS284" s="53"/>
      <c r="AT284" s="53"/>
      <c r="AU284" s="53"/>
      <c r="AV284" s="58"/>
      <c r="AW284" s="58"/>
      <c r="AX284" s="58"/>
      <c r="AY284" s="53"/>
      <c r="AZ284" s="53"/>
      <c r="BA284" s="53"/>
      <c r="BB284" s="53"/>
      <c r="BC284" s="53"/>
      <c r="BD284" s="53"/>
      <c r="BE284" s="53"/>
      <c r="BF284" s="53"/>
      <c r="BG284" s="53"/>
      <c r="BH284" s="53"/>
      <c r="BI284" s="53"/>
      <c r="BJ284" s="53"/>
      <c r="BK284" s="53"/>
      <c r="BL284" s="53"/>
      <c r="BM284" s="53"/>
      <c r="BN284" s="53"/>
      <c r="BO284" s="65" t="str">
        <f t="shared" si="14"/>
        <v/>
      </c>
    </row>
    <row r="285" spans="1:67" ht="19.5" customHeight="1">
      <c r="A285" s="70" t="b">
        <v>0</v>
      </c>
      <c r="B285" s="71" t="b">
        <v>1</v>
      </c>
      <c r="C285" s="72" t="b">
        <v>0</v>
      </c>
      <c r="D285" s="72" t="b">
        <v>0</v>
      </c>
      <c r="E285" s="57"/>
      <c r="F285" s="59"/>
      <c r="G285" s="57"/>
      <c r="H285" s="88"/>
      <c r="I285" s="88"/>
      <c r="J285" s="88"/>
      <c r="K285" s="89" t="b">
        <v>1</v>
      </c>
      <c r="L285" s="60"/>
      <c r="M285" s="57"/>
      <c r="N285" s="57"/>
      <c r="O285" s="61"/>
      <c r="P285" s="60"/>
      <c r="Q285" s="57"/>
      <c r="R285" s="57"/>
      <c r="S285" s="95"/>
      <c r="T285" s="88"/>
      <c r="U285" s="88"/>
      <c r="V285" s="88"/>
      <c r="W285" s="96"/>
      <c r="X285" s="97"/>
      <c r="Y285" s="97"/>
      <c r="Z285" s="98"/>
      <c r="AA285" s="99"/>
      <c r="AB285" s="98"/>
      <c r="AC285" s="88"/>
      <c r="AD285" s="98"/>
      <c r="AE285" s="64"/>
      <c r="AF285" s="67" t="str">
        <f t="shared" si="12"/>
        <v/>
      </c>
      <c r="AG285" s="58"/>
      <c r="AH285" s="68" t="str">
        <f t="shared" si="13"/>
        <v/>
      </c>
      <c r="AI285" s="53"/>
      <c r="AJ285" s="53"/>
      <c r="AK285" s="53"/>
      <c r="AL285" s="53"/>
      <c r="AM285" s="53"/>
      <c r="AN285" s="53"/>
      <c r="AO285" s="53"/>
      <c r="AP285" s="53"/>
      <c r="AQ285" s="53"/>
      <c r="AR285" s="53"/>
      <c r="AS285" s="53"/>
      <c r="AT285" s="53"/>
      <c r="AU285" s="53"/>
      <c r="AV285" s="58"/>
      <c r="AW285" s="58"/>
      <c r="AX285" s="58"/>
      <c r="AY285" s="53"/>
      <c r="AZ285" s="53"/>
      <c r="BA285" s="53"/>
      <c r="BB285" s="53"/>
      <c r="BC285" s="53"/>
      <c r="BD285" s="53"/>
      <c r="BE285" s="53"/>
      <c r="BF285" s="53"/>
      <c r="BG285" s="53"/>
      <c r="BH285" s="53"/>
      <c r="BI285" s="53"/>
      <c r="BJ285" s="53"/>
      <c r="BK285" s="53"/>
      <c r="BL285" s="53"/>
      <c r="BM285" s="53"/>
      <c r="BN285" s="53"/>
      <c r="BO285" s="65" t="str">
        <f t="shared" si="14"/>
        <v/>
      </c>
    </row>
    <row r="286" spans="1:67" ht="19.5" customHeight="1">
      <c r="A286" s="70" t="b">
        <v>0</v>
      </c>
      <c r="B286" s="71" t="b">
        <v>1</v>
      </c>
      <c r="C286" s="72" t="b">
        <v>0</v>
      </c>
      <c r="D286" s="72" t="b">
        <v>0</v>
      </c>
      <c r="E286" s="57"/>
      <c r="F286" s="59"/>
      <c r="G286" s="57"/>
      <c r="H286" s="88"/>
      <c r="I286" s="88"/>
      <c r="J286" s="88"/>
      <c r="K286" s="89" t="b">
        <v>1</v>
      </c>
      <c r="L286" s="60"/>
      <c r="M286" s="57"/>
      <c r="N286" s="57"/>
      <c r="O286" s="61"/>
      <c r="P286" s="60"/>
      <c r="Q286" s="57"/>
      <c r="R286" s="57"/>
      <c r="S286" s="95"/>
      <c r="T286" s="88"/>
      <c r="U286" s="88"/>
      <c r="V286" s="88"/>
      <c r="W286" s="96"/>
      <c r="X286" s="97"/>
      <c r="Y286" s="97"/>
      <c r="Z286" s="98"/>
      <c r="AA286" s="99"/>
      <c r="AB286" s="98"/>
      <c r="AC286" s="88"/>
      <c r="AD286" s="98"/>
      <c r="AE286" s="64"/>
      <c r="AF286" s="67" t="str">
        <f t="shared" si="12"/>
        <v/>
      </c>
      <c r="AG286" s="58"/>
      <c r="AH286" s="68" t="str">
        <f t="shared" si="13"/>
        <v/>
      </c>
      <c r="AI286" s="53"/>
      <c r="AJ286" s="53"/>
      <c r="AK286" s="53"/>
      <c r="AL286" s="53"/>
      <c r="AM286" s="53"/>
      <c r="AN286" s="53"/>
      <c r="AO286" s="53"/>
      <c r="AP286" s="53"/>
      <c r="AQ286" s="53"/>
      <c r="AR286" s="53"/>
      <c r="AS286" s="53"/>
      <c r="AT286" s="53"/>
      <c r="AU286" s="53"/>
      <c r="AV286" s="58"/>
      <c r="AW286" s="58"/>
      <c r="AX286" s="58"/>
      <c r="AY286" s="53"/>
      <c r="AZ286" s="53"/>
      <c r="BA286" s="53"/>
      <c r="BB286" s="53"/>
      <c r="BC286" s="53"/>
      <c r="BD286" s="53"/>
      <c r="BE286" s="53"/>
      <c r="BF286" s="53"/>
      <c r="BG286" s="53"/>
      <c r="BH286" s="53"/>
      <c r="BI286" s="53"/>
      <c r="BJ286" s="53"/>
      <c r="BK286" s="53"/>
      <c r="BL286" s="53"/>
      <c r="BM286" s="53"/>
      <c r="BN286" s="53"/>
      <c r="BO286" s="65" t="str">
        <f t="shared" si="14"/>
        <v/>
      </c>
    </row>
    <row r="287" spans="1:67" ht="19.5" customHeight="1">
      <c r="A287" s="70" t="b">
        <v>0</v>
      </c>
      <c r="B287" s="71" t="b">
        <v>1</v>
      </c>
      <c r="C287" s="72" t="b">
        <v>0</v>
      </c>
      <c r="D287" s="72" t="b">
        <v>0</v>
      </c>
      <c r="E287" s="57"/>
      <c r="F287" s="59"/>
      <c r="G287" s="57"/>
      <c r="H287" s="88"/>
      <c r="I287" s="88"/>
      <c r="J287" s="88"/>
      <c r="K287" s="89" t="b">
        <v>1</v>
      </c>
      <c r="L287" s="60"/>
      <c r="M287" s="57"/>
      <c r="N287" s="57"/>
      <c r="O287" s="61"/>
      <c r="P287" s="60"/>
      <c r="Q287" s="57"/>
      <c r="R287" s="57"/>
      <c r="S287" s="95"/>
      <c r="T287" s="88"/>
      <c r="U287" s="88"/>
      <c r="V287" s="88"/>
      <c r="W287" s="96"/>
      <c r="X287" s="97"/>
      <c r="Y287" s="97"/>
      <c r="Z287" s="98"/>
      <c r="AA287" s="99"/>
      <c r="AB287" s="98"/>
      <c r="AC287" s="88"/>
      <c r="AD287" s="98"/>
      <c r="AE287" s="64"/>
      <c r="AF287" s="67" t="str">
        <f t="shared" si="12"/>
        <v/>
      </c>
      <c r="AG287" s="58"/>
      <c r="AH287" s="68" t="str">
        <f t="shared" si="13"/>
        <v/>
      </c>
      <c r="AI287" s="53"/>
      <c r="AJ287" s="53"/>
      <c r="AK287" s="53"/>
      <c r="AL287" s="53"/>
      <c r="AM287" s="53"/>
      <c r="AN287" s="53"/>
      <c r="AO287" s="53"/>
      <c r="AP287" s="53"/>
      <c r="AQ287" s="53"/>
      <c r="AR287" s="53"/>
      <c r="AS287" s="53"/>
      <c r="AT287" s="53"/>
      <c r="AU287" s="53"/>
      <c r="AV287" s="58"/>
      <c r="AW287" s="58"/>
      <c r="AX287" s="58"/>
      <c r="AY287" s="53"/>
      <c r="AZ287" s="53"/>
      <c r="BA287" s="53"/>
      <c r="BB287" s="53"/>
      <c r="BC287" s="53"/>
      <c r="BD287" s="53"/>
      <c r="BE287" s="53"/>
      <c r="BF287" s="53"/>
      <c r="BG287" s="53"/>
      <c r="BH287" s="53"/>
      <c r="BI287" s="53"/>
      <c r="BJ287" s="53"/>
      <c r="BK287" s="53"/>
      <c r="BL287" s="53"/>
      <c r="BM287" s="53"/>
      <c r="BN287" s="53"/>
      <c r="BO287" s="65" t="str">
        <f t="shared" si="14"/>
        <v/>
      </c>
    </row>
    <row r="288" spans="1:67" ht="19.5" customHeight="1">
      <c r="A288" s="70" t="b">
        <v>0</v>
      </c>
      <c r="B288" s="71" t="b">
        <v>1</v>
      </c>
      <c r="C288" s="72" t="b">
        <v>0</v>
      </c>
      <c r="D288" s="72" t="b">
        <v>0</v>
      </c>
      <c r="E288" s="57"/>
      <c r="F288" s="59"/>
      <c r="G288" s="57"/>
      <c r="H288" s="88"/>
      <c r="I288" s="88"/>
      <c r="J288" s="88"/>
      <c r="K288" s="89" t="b">
        <v>1</v>
      </c>
      <c r="L288" s="60"/>
      <c r="M288" s="57"/>
      <c r="N288" s="57"/>
      <c r="O288" s="61"/>
      <c r="P288" s="60"/>
      <c r="Q288" s="57"/>
      <c r="R288" s="57"/>
      <c r="S288" s="95"/>
      <c r="T288" s="88"/>
      <c r="U288" s="88"/>
      <c r="V288" s="88"/>
      <c r="W288" s="96"/>
      <c r="X288" s="97"/>
      <c r="Y288" s="97"/>
      <c r="Z288" s="98"/>
      <c r="AA288" s="99"/>
      <c r="AB288" s="98"/>
      <c r="AC288" s="88"/>
      <c r="AD288" s="98"/>
      <c r="AE288" s="64"/>
      <c r="AF288" s="67" t="str">
        <f t="shared" si="12"/>
        <v/>
      </c>
      <c r="AG288" s="58"/>
      <c r="AH288" s="68" t="str">
        <f t="shared" si="13"/>
        <v/>
      </c>
      <c r="AI288" s="53"/>
      <c r="AJ288" s="53"/>
      <c r="AK288" s="53"/>
      <c r="AL288" s="53"/>
      <c r="AM288" s="53"/>
      <c r="AN288" s="53"/>
      <c r="AO288" s="53"/>
      <c r="AP288" s="53"/>
      <c r="AQ288" s="53"/>
      <c r="AR288" s="53"/>
      <c r="AS288" s="53"/>
      <c r="AT288" s="53"/>
      <c r="AU288" s="53"/>
      <c r="AV288" s="58"/>
      <c r="AW288" s="58"/>
      <c r="AX288" s="58"/>
      <c r="AY288" s="53"/>
      <c r="AZ288" s="53"/>
      <c r="BA288" s="53"/>
      <c r="BB288" s="53"/>
      <c r="BC288" s="53"/>
      <c r="BD288" s="53"/>
      <c r="BE288" s="53"/>
      <c r="BF288" s="53"/>
      <c r="BG288" s="53"/>
      <c r="BH288" s="53"/>
      <c r="BI288" s="53"/>
      <c r="BJ288" s="53"/>
      <c r="BK288" s="53"/>
      <c r="BL288" s="53"/>
      <c r="BM288" s="53"/>
      <c r="BN288" s="53"/>
      <c r="BO288" s="65" t="str">
        <f t="shared" si="14"/>
        <v/>
      </c>
    </row>
    <row r="289" spans="1:67" ht="19.5" customHeight="1">
      <c r="A289" s="70" t="b">
        <v>0</v>
      </c>
      <c r="B289" s="71" t="b">
        <v>1</v>
      </c>
      <c r="C289" s="72" t="b">
        <v>0</v>
      </c>
      <c r="D289" s="72" t="b">
        <v>0</v>
      </c>
      <c r="E289" s="57"/>
      <c r="F289" s="59"/>
      <c r="G289" s="57"/>
      <c r="H289" s="88"/>
      <c r="I289" s="88"/>
      <c r="J289" s="88"/>
      <c r="K289" s="89" t="b">
        <v>1</v>
      </c>
      <c r="L289" s="60"/>
      <c r="M289" s="57"/>
      <c r="N289" s="57"/>
      <c r="O289" s="61"/>
      <c r="P289" s="60"/>
      <c r="Q289" s="57"/>
      <c r="R289" s="57"/>
      <c r="S289" s="95"/>
      <c r="T289" s="88"/>
      <c r="U289" s="88"/>
      <c r="V289" s="88"/>
      <c r="W289" s="96"/>
      <c r="X289" s="97"/>
      <c r="Y289" s="97"/>
      <c r="Z289" s="98"/>
      <c r="AA289" s="99"/>
      <c r="AB289" s="98"/>
      <c r="AC289" s="88"/>
      <c r="AD289" s="98"/>
      <c r="AE289" s="64"/>
      <c r="AF289" s="67" t="str">
        <f t="shared" si="12"/>
        <v/>
      </c>
      <c r="AG289" s="58"/>
      <c r="AH289" s="68" t="str">
        <f t="shared" si="13"/>
        <v/>
      </c>
      <c r="AI289" s="53"/>
      <c r="AJ289" s="53"/>
      <c r="AK289" s="53"/>
      <c r="AL289" s="53"/>
      <c r="AM289" s="53"/>
      <c r="AN289" s="53"/>
      <c r="AO289" s="53"/>
      <c r="AP289" s="53"/>
      <c r="AQ289" s="53"/>
      <c r="AR289" s="53"/>
      <c r="AS289" s="53"/>
      <c r="AT289" s="53"/>
      <c r="AU289" s="53"/>
      <c r="AV289" s="58"/>
      <c r="AW289" s="58"/>
      <c r="AX289" s="58"/>
      <c r="AY289" s="53"/>
      <c r="AZ289" s="53"/>
      <c r="BA289" s="53"/>
      <c r="BB289" s="53"/>
      <c r="BC289" s="53"/>
      <c r="BD289" s="53"/>
      <c r="BE289" s="53"/>
      <c r="BF289" s="53"/>
      <c r="BG289" s="53"/>
      <c r="BH289" s="53"/>
      <c r="BI289" s="53"/>
      <c r="BJ289" s="53"/>
      <c r="BK289" s="53"/>
      <c r="BL289" s="53"/>
      <c r="BM289" s="53"/>
      <c r="BN289" s="53"/>
      <c r="BO289" s="65" t="str">
        <f t="shared" si="14"/>
        <v/>
      </c>
    </row>
    <row r="290" spans="1:67" ht="19.5" customHeight="1">
      <c r="A290" s="70" t="b">
        <v>0</v>
      </c>
      <c r="B290" s="71" t="b">
        <v>1</v>
      </c>
      <c r="C290" s="72" t="b">
        <v>0</v>
      </c>
      <c r="D290" s="72" t="b">
        <v>0</v>
      </c>
      <c r="E290" s="57"/>
      <c r="F290" s="59"/>
      <c r="G290" s="57"/>
      <c r="H290" s="88"/>
      <c r="I290" s="88"/>
      <c r="J290" s="88"/>
      <c r="K290" s="89" t="b">
        <v>1</v>
      </c>
      <c r="L290" s="60"/>
      <c r="M290" s="57"/>
      <c r="N290" s="57"/>
      <c r="O290" s="61"/>
      <c r="P290" s="60"/>
      <c r="Q290" s="57"/>
      <c r="R290" s="57"/>
      <c r="S290" s="95"/>
      <c r="T290" s="88"/>
      <c r="U290" s="88"/>
      <c r="V290" s="88"/>
      <c r="W290" s="96"/>
      <c r="X290" s="97"/>
      <c r="Y290" s="97"/>
      <c r="Z290" s="98"/>
      <c r="AA290" s="99"/>
      <c r="AB290" s="98"/>
      <c r="AC290" s="88"/>
      <c r="AD290" s="98"/>
      <c r="AE290" s="64"/>
      <c r="AF290" s="67" t="str">
        <f t="shared" si="12"/>
        <v/>
      </c>
      <c r="AG290" s="58"/>
      <c r="AH290" s="68" t="str">
        <f t="shared" si="13"/>
        <v/>
      </c>
      <c r="AI290" s="53"/>
      <c r="AJ290" s="53"/>
      <c r="AK290" s="53"/>
      <c r="AL290" s="53"/>
      <c r="AM290" s="53"/>
      <c r="AN290" s="53"/>
      <c r="AO290" s="53"/>
      <c r="AP290" s="53"/>
      <c r="AQ290" s="53"/>
      <c r="AR290" s="53"/>
      <c r="AS290" s="53"/>
      <c r="AT290" s="53"/>
      <c r="AU290" s="53"/>
      <c r="AV290" s="58"/>
      <c r="AW290" s="58"/>
      <c r="AX290" s="58"/>
      <c r="AY290" s="53"/>
      <c r="AZ290" s="53"/>
      <c r="BA290" s="53"/>
      <c r="BB290" s="53"/>
      <c r="BC290" s="53"/>
      <c r="BD290" s="53"/>
      <c r="BE290" s="53"/>
      <c r="BF290" s="53"/>
      <c r="BG290" s="53"/>
      <c r="BH290" s="53"/>
      <c r="BI290" s="53"/>
      <c r="BJ290" s="53"/>
      <c r="BK290" s="53"/>
      <c r="BL290" s="53"/>
      <c r="BM290" s="53"/>
      <c r="BN290" s="53"/>
      <c r="BO290" s="65" t="str">
        <f t="shared" si="14"/>
        <v/>
      </c>
    </row>
    <row r="291" spans="1:67" ht="19.5" customHeight="1">
      <c r="A291" s="70" t="b">
        <v>0</v>
      </c>
      <c r="B291" s="71" t="b">
        <v>1</v>
      </c>
      <c r="C291" s="72" t="b">
        <v>0</v>
      </c>
      <c r="D291" s="72" t="b">
        <v>0</v>
      </c>
      <c r="E291" s="57"/>
      <c r="F291" s="59"/>
      <c r="G291" s="57"/>
      <c r="H291" s="88"/>
      <c r="I291" s="88"/>
      <c r="J291" s="88"/>
      <c r="K291" s="89" t="b">
        <v>1</v>
      </c>
      <c r="L291" s="60"/>
      <c r="M291" s="57"/>
      <c r="N291" s="57"/>
      <c r="O291" s="61"/>
      <c r="P291" s="60"/>
      <c r="Q291" s="57"/>
      <c r="R291" s="57"/>
      <c r="S291" s="95"/>
      <c r="T291" s="88"/>
      <c r="U291" s="88"/>
      <c r="V291" s="88"/>
      <c r="W291" s="96"/>
      <c r="X291" s="97"/>
      <c r="Y291" s="97"/>
      <c r="Z291" s="98"/>
      <c r="AA291" s="99"/>
      <c r="AB291" s="98"/>
      <c r="AC291" s="88"/>
      <c r="AD291" s="98"/>
      <c r="AE291" s="64"/>
      <c r="AF291" s="67" t="str">
        <f t="shared" si="12"/>
        <v/>
      </c>
      <c r="AG291" s="58"/>
      <c r="AH291" s="68" t="str">
        <f t="shared" si="13"/>
        <v/>
      </c>
      <c r="AI291" s="53"/>
      <c r="AJ291" s="53"/>
      <c r="AK291" s="53"/>
      <c r="AL291" s="53"/>
      <c r="AM291" s="53"/>
      <c r="AN291" s="53"/>
      <c r="AO291" s="53"/>
      <c r="AP291" s="53"/>
      <c r="AQ291" s="53"/>
      <c r="AR291" s="53"/>
      <c r="AS291" s="53"/>
      <c r="AT291" s="53"/>
      <c r="AU291" s="53"/>
      <c r="AV291" s="58"/>
      <c r="AW291" s="58"/>
      <c r="AX291" s="58"/>
      <c r="AY291" s="53"/>
      <c r="AZ291" s="53"/>
      <c r="BA291" s="53"/>
      <c r="BB291" s="53"/>
      <c r="BC291" s="53"/>
      <c r="BD291" s="53"/>
      <c r="BE291" s="53"/>
      <c r="BF291" s="53"/>
      <c r="BG291" s="53"/>
      <c r="BH291" s="53"/>
      <c r="BI291" s="53"/>
      <c r="BJ291" s="53"/>
      <c r="BK291" s="53"/>
      <c r="BL291" s="53"/>
      <c r="BM291" s="53"/>
      <c r="BN291" s="53"/>
      <c r="BO291" s="65" t="str">
        <f t="shared" si="14"/>
        <v/>
      </c>
    </row>
    <row r="292" spans="1:67" ht="19.5" customHeight="1">
      <c r="A292" s="70" t="b">
        <v>0</v>
      </c>
      <c r="B292" s="71" t="b">
        <v>1</v>
      </c>
      <c r="C292" s="72" t="b">
        <v>0</v>
      </c>
      <c r="D292" s="72" t="b">
        <v>0</v>
      </c>
      <c r="E292" s="57"/>
      <c r="F292" s="59"/>
      <c r="G292" s="57"/>
      <c r="H292" s="88"/>
      <c r="I292" s="88"/>
      <c r="J292" s="88"/>
      <c r="K292" s="89" t="b">
        <v>1</v>
      </c>
      <c r="L292" s="60"/>
      <c r="M292" s="57"/>
      <c r="N292" s="57"/>
      <c r="O292" s="61"/>
      <c r="P292" s="60"/>
      <c r="Q292" s="57"/>
      <c r="R292" s="57"/>
      <c r="S292" s="95"/>
      <c r="T292" s="88"/>
      <c r="U292" s="88"/>
      <c r="V292" s="88"/>
      <c r="W292" s="96"/>
      <c r="X292" s="97"/>
      <c r="Y292" s="97"/>
      <c r="Z292" s="98"/>
      <c r="AA292" s="99"/>
      <c r="AB292" s="98"/>
      <c r="AC292" s="88"/>
      <c r="AD292" s="98"/>
      <c r="AE292" s="64"/>
      <c r="AF292" s="67" t="str">
        <f t="shared" si="12"/>
        <v/>
      </c>
      <c r="AG292" s="58"/>
      <c r="AH292" s="68" t="str">
        <f t="shared" si="13"/>
        <v/>
      </c>
      <c r="AI292" s="53"/>
      <c r="AJ292" s="53"/>
      <c r="AK292" s="53"/>
      <c r="AL292" s="53"/>
      <c r="AM292" s="53"/>
      <c r="AN292" s="53"/>
      <c r="AO292" s="53"/>
      <c r="AP292" s="53"/>
      <c r="AQ292" s="53"/>
      <c r="AR292" s="53"/>
      <c r="AS292" s="53"/>
      <c r="AT292" s="53"/>
      <c r="AU292" s="53"/>
      <c r="AV292" s="58"/>
      <c r="AW292" s="58"/>
      <c r="AX292" s="58"/>
      <c r="AY292" s="53"/>
      <c r="AZ292" s="53"/>
      <c r="BA292" s="53"/>
      <c r="BB292" s="53"/>
      <c r="BC292" s="53"/>
      <c r="BD292" s="53"/>
      <c r="BE292" s="53"/>
      <c r="BF292" s="53"/>
      <c r="BG292" s="53"/>
      <c r="BH292" s="53"/>
      <c r="BI292" s="53"/>
      <c r="BJ292" s="53"/>
      <c r="BK292" s="53"/>
      <c r="BL292" s="53"/>
      <c r="BM292" s="53"/>
      <c r="BN292" s="53"/>
      <c r="BO292" s="65" t="str">
        <f t="shared" si="14"/>
        <v/>
      </c>
    </row>
    <row r="293" spans="1:67" ht="19.5" customHeight="1">
      <c r="A293" s="70" t="b">
        <v>0</v>
      </c>
      <c r="B293" s="71" t="b">
        <v>1</v>
      </c>
      <c r="C293" s="72" t="b">
        <v>0</v>
      </c>
      <c r="D293" s="72" t="b">
        <v>0</v>
      </c>
      <c r="E293" s="57"/>
      <c r="F293" s="59"/>
      <c r="G293" s="57"/>
      <c r="H293" s="88"/>
      <c r="I293" s="88"/>
      <c r="J293" s="88"/>
      <c r="K293" s="89" t="b">
        <v>1</v>
      </c>
      <c r="L293" s="60"/>
      <c r="M293" s="57"/>
      <c r="N293" s="57"/>
      <c r="O293" s="61"/>
      <c r="P293" s="60"/>
      <c r="Q293" s="57"/>
      <c r="R293" s="57"/>
      <c r="S293" s="95"/>
      <c r="T293" s="88"/>
      <c r="U293" s="88"/>
      <c r="V293" s="88"/>
      <c r="W293" s="96"/>
      <c r="X293" s="97"/>
      <c r="Y293" s="97"/>
      <c r="Z293" s="98"/>
      <c r="AA293" s="99"/>
      <c r="AB293" s="98"/>
      <c r="AC293" s="88"/>
      <c r="AD293" s="98"/>
      <c r="AE293" s="64"/>
      <c r="AF293" s="67" t="str">
        <f t="shared" si="12"/>
        <v/>
      </c>
      <c r="AG293" s="58"/>
      <c r="AH293" s="68" t="str">
        <f t="shared" si="13"/>
        <v/>
      </c>
      <c r="AI293" s="53"/>
      <c r="AJ293" s="53"/>
      <c r="AK293" s="53"/>
      <c r="AL293" s="53"/>
      <c r="AM293" s="53"/>
      <c r="AN293" s="53"/>
      <c r="AO293" s="53"/>
      <c r="AP293" s="53"/>
      <c r="AQ293" s="53"/>
      <c r="AR293" s="53"/>
      <c r="AS293" s="53"/>
      <c r="AT293" s="53"/>
      <c r="AU293" s="53"/>
      <c r="AV293" s="58"/>
      <c r="AW293" s="58"/>
      <c r="AX293" s="58"/>
      <c r="AY293" s="53"/>
      <c r="AZ293" s="53"/>
      <c r="BA293" s="53"/>
      <c r="BB293" s="53"/>
      <c r="BC293" s="53"/>
      <c r="BD293" s="53"/>
      <c r="BE293" s="53"/>
      <c r="BF293" s="53"/>
      <c r="BG293" s="53"/>
      <c r="BH293" s="53"/>
      <c r="BI293" s="53"/>
      <c r="BJ293" s="53"/>
      <c r="BK293" s="53"/>
      <c r="BL293" s="53"/>
      <c r="BM293" s="53"/>
      <c r="BN293" s="53"/>
      <c r="BO293" s="65" t="str">
        <f t="shared" si="14"/>
        <v/>
      </c>
    </row>
    <row r="294" spans="1:67" ht="19.5" customHeight="1">
      <c r="A294" s="70" t="b">
        <v>0</v>
      </c>
      <c r="B294" s="71" t="b">
        <v>1</v>
      </c>
      <c r="C294" s="72" t="b">
        <v>0</v>
      </c>
      <c r="D294" s="72" t="b">
        <v>0</v>
      </c>
      <c r="E294" s="57"/>
      <c r="F294" s="59"/>
      <c r="G294" s="57"/>
      <c r="H294" s="88"/>
      <c r="I294" s="88"/>
      <c r="J294" s="88"/>
      <c r="K294" s="89" t="b">
        <v>1</v>
      </c>
      <c r="L294" s="60"/>
      <c r="M294" s="57"/>
      <c r="N294" s="57"/>
      <c r="O294" s="61"/>
      <c r="P294" s="60"/>
      <c r="Q294" s="57"/>
      <c r="R294" s="57"/>
      <c r="S294" s="95"/>
      <c r="T294" s="88"/>
      <c r="U294" s="88"/>
      <c r="V294" s="88"/>
      <c r="W294" s="96"/>
      <c r="X294" s="97"/>
      <c r="Y294" s="97"/>
      <c r="Z294" s="98"/>
      <c r="AA294" s="99"/>
      <c r="AB294" s="98"/>
      <c r="AC294" s="88"/>
      <c r="AD294" s="98"/>
      <c r="AE294" s="64"/>
      <c r="AF294" s="67" t="str">
        <f t="shared" si="12"/>
        <v/>
      </c>
      <c r="AG294" s="58"/>
      <c r="AH294" s="68" t="str">
        <f t="shared" si="13"/>
        <v/>
      </c>
      <c r="AI294" s="53"/>
      <c r="AJ294" s="53"/>
      <c r="AK294" s="53"/>
      <c r="AL294" s="53"/>
      <c r="AM294" s="53"/>
      <c r="AN294" s="53"/>
      <c r="AO294" s="53"/>
      <c r="AP294" s="53"/>
      <c r="AQ294" s="53"/>
      <c r="AR294" s="53"/>
      <c r="AS294" s="53"/>
      <c r="AT294" s="53"/>
      <c r="AU294" s="53"/>
      <c r="AV294" s="58"/>
      <c r="AW294" s="58"/>
      <c r="AX294" s="58"/>
      <c r="AY294" s="53"/>
      <c r="AZ294" s="53"/>
      <c r="BA294" s="53"/>
      <c r="BB294" s="53"/>
      <c r="BC294" s="53"/>
      <c r="BD294" s="53"/>
      <c r="BE294" s="53"/>
      <c r="BF294" s="53"/>
      <c r="BG294" s="53"/>
      <c r="BH294" s="53"/>
      <c r="BI294" s="53"/>
      <c r="BJ294" s="53"/>
      <c r="BK294" s="53"/>
      <c r="BL294" s="53"/>
      <c r="BM294" s="53"/>
      <c r="BN294" s="53"/>
      <c r="BO294" s="65" t="str">
        <f t="shared" si="14"/>
        <v/>
      </c>
    </row>
    <row r="295" spans="1:67" ht="19.5" customHeight="1">
      <c r="A295" s="70" t="b">
        <v>0</v>
      </c>
      <c r="B295" s="71" t="b">
        <v>1</v>
      </c>
      <c r="C295" s="72" t="b">
        <v>0</v>
      </c>
      <c r="D295" s="72" t="b">
        <v>0</v>
      </c>
      <c r="E295" s="57"/>
      <c r="F295" s="59"/>
      <c r="G295" s="57"/>
      <c r="H295" s="88"/>
      <c r="I295" s="88"/>
      <c r="J295" s="88"/>
      <c r="K295" s="89" t="b">
        <v>1</v>
      </c>
      <c r="L295" s="60"/>
      <c r="M295" s="57"/>
      <c r="N295" s="57"/>
      <c r="O295" s="61"/>
      <c r="P295" s="60"/>
      <c r="Q295" s="57"/>
      <c r="R295" s="57"/>
      <c r="S295" s="95"/>
      <c r="T295" s="88"/>
      <c r="U295" s="88"/>
      <c r="V295" s="88"/>
      <c r="W295" s="96"/>
      <c r="X295" s="97"/>
      <c r="Y295" s="97"/>
      <c r="Z295" s="98"/>
      <c r="AA295" s="99"/>
      <c r="AB295" s="98"/>
      <c r="AC295" s="88"/>
      <c r="AD295" s="98"/>
      <c r="AE295" s="64"/>
      <c r="AF295" s="67" t="str">
        <f t="shared" si="12"/>
        <v/>
      </c>
      <c r="AG295" s="58"/>
      <c r="AH295" s="68" t="str">
        <f t="shared" si="13"/>
        <v/>
      </c>
      <c r="AI295" s="53"/>
      <c r="AJ295" s="53"/>
      <c r="AK295" s="53"/>
      <c r="AL295" s="53"/>
      <c r="AM295" s="53"/>
      <c r="AN295" s="53"/>
      <c r="AO295" s="53"/>
      <c r="AP295" s="53"/>
      <c r="AQ295" s="53"/>
      <c r="AR295" s="53"/>
      <c r="AS295" s="53"/>
      <c r="AT295" s="53"/>
      <c r="AU295" s="53"/>
      <c r="AV295" s="58"/>
      <c r="AW295" s="58"/>
      <c r="AX295" s="58"/>
      <c r="AY295" s="53"/>
      <c r="AZ295" s="53"/>
      <c r="BA295" s="53"/>
      <c r="BB295" s="53"/>
      <c r="BC295" s="53"/>
      <c r="BD295" s="53"/>
      <c r="BE295" s="53"/>
      <c r="BF295" s="53"/>
      <c r="BG295" s="53"/>
      <c r="BH295" s="53"/>
      <c r="BI295" s="53"/>
      <c r="BJ295" s="53"/>
      <c r="BK295" s="53"/>
      <c r="BL295" s="53"/>
      <c r="BM295" s="53"/>
      <c r="BN295" s="53"/>
      <c r="BO295" s="65" t="str">
        <f t="shared" si="14"/>
        <v/>
      </c>
    </row>
    <row r="296" spans="1:67" ht="19.5" customHeight="1">
      <c r="A296" s="70" t="b">
        <v>0</v>
      </c>
      <c r="B296" s="71" t="b">
        <v>1</v>
      </c>
      <c r="C296" s="72" t="b">
        <v>0</v>
      </c>
      <c r="D296" s="72" t="b">
        <v>0</v>
      </c>
      <c r="E296" s="57"/>
      <c r="F296" s="59"/>
      <c r="G296" s="57"/>
      <c r="H296" s="88"/>
      <c r="I296" s="88"/>
      <c r="J296" s="88"/>
      <c r="K296" s="89" t="b">
        <v>1</v>
      </c>
      <c r="L296" s="60"/>
      <c r="M296" s="57"/>
      <c r="N296" s="57"/>
      <c r="O296" s="61"/>
      <c r="P296" s="60"/>
      <c r="Q296" s="57"/>
      <c r="R296" s="57"/>
      <c r="S296" s="95"/>
      <c r="T296" s="88"/>
      <c r="U296" s="88"/>
      <c r="V296" s="88"/>
      <c r="W296" s="96"/>
      <c r="X296" s="97"/>
      <c r="Y296" s="97"/>
      <c r="Z296" s="98"/>
      <c r="AA296" s="99"/>
      <c r="AB296" s="98"/>
      <c r="AC296" s="88"/>
      <c r="AD296" s="98"/>
      <c r="AE296" s="64"/>
      <c r="AF296" s="67" t="str">
        <f t="shared" si="12"/>
        <v/>
      </c>
      <c r="AG296" s="58"/>
      <c r="AH296" s="68" t="str">
        <f t="shared" si="13"/>
        <v/>
      </c>
      <c r="AI296" s="53"/>
      <c r="AJ296" s="53"/>
      <c r="AK296" s="53"/>
      <c r="AL296" s="53"/>
      <c r="AM296" s="53"/>
      <c r="AN296" s="53"/>
      <c r="AO296" s="53"/>
      <c r="AP296" s="53"/>
      <c r="AQ296" s="53"/>
      <c r="AR296" s="53"/>
      <c r="AS296" s="53"/>
      <c r="AT296" s="53"/>
      <c r="AU296" s="53"/>
      <c r="AV296" s="58"/>
      <c r="AW296" s="58"/>
      <c r="AX296" s="58"/>
      <c r="AY296" s="53"/>
      <c r="AZ296" s="53"/>
      <c r="BA296" s="53"/>
      <c r="BB296" s="53"/>
      <c r="BC296" s="53"/>
      <c r="BD296" s="53"/>
      <c r="BE296" s="53"/>
      <c r="BF296" s="53"/>
      <c r="BG296" s="53"/>
      <c r="BH296" s="53"/>
      <c r="BI296" s="53"/>
      <c r="BJ296" s="53"/>
      <c r="BK296" s="53"/>
      <c r="BL296" s="53"/>
      <c r="BM296" s="53"/>
      <c r="BN296" s="53"/>
      <c r="BO296" s="65" t="str">
        <f t="shared" si="14"/>
        <v/>
      </c>
    </row>
    <row r="297" spans="1:67" ht="19.5" customHeight="1">
      <c r="A297" s="70" t="b">
        <v>0</v>
      </c>
      <c r="B297" s="71" t="b">
        <v>1</v>
      </c>
      <c r="C297" s="72" t="b">
        <v>0</v>
      </c>
      <c r="D297" s="72" t="b">
        <v>0</v>
      </c>
      <c r="E297" s="57"/>
      <c r="F297" s="59"/>
      <c r="G297" s="57"/>
      <c r="H297" s="88"/>
      <c r="I297" s="88"/>
      <c r="J297" s="88"/>
      <c r="K297" s="89" t="b">
        <v>1</v>
      </c>
      <c r="L297" s="60"/>
      <c r="M297" s="57"/>
      <c r="N297" s="57"/>
      <c r="O297" s="61"/>
      <c r="P297" s="60"/>
      <c r="Q297" s="57"/>
      <c r="R297" s="57"/>
      <c r="S297" s="95"/>
      <c r="T297" s="88"/>
      <c r="U297" s="88"/>
      <c r="V297" s="88"/>
      <c r="W297" s="96"/>
      <c r="X297" s="97"/>
      <c r="Y297" s="97"/>
      <c r="Z297" s="98"/>
      <c r="AA297" s="99"/>
      <c r="AB297" s="98"/>
      <c r="AC297" s="88"/>
      <c r="AD297" s="98"/>
      <c r="AE297" s="64"/>
      <c r="AF297" s="67" t="str">
        <f t="shared" si="12"/>
        <v/>
      </c>
      <c r="AG297" s="58"/>
      <c r="AH297" s="68" t="str">
        <f t="shared" si="13"/>
        <v/>
      </c>
      <c r="AI297" s="53"/>
      <c r="AJ297" s="53"/>
      <c r="AK297" s="53"/>
      <c r="AL297" s="53"/>
      <c r="AM297" s="53"/>
      <c r="AN297" s="53"/>
      <c r="AO297" s="53"/>
      <c r="AP297" s="53"/>
      <c r="AQ297" s="53"/>
      <c r="AR297" s="53"/>
      <c r="AS297" s="53"/>
      <c r="AT297" s="53"/>
      <c r="AU297" s="53"/>
      <c r="AV297" s="58"/>
      <c r="AW297" s="58"/>
      <c r="AX297" s="58"/>
      <c r="AY297" s="53"/>
      <c r="AZ297" s="53"/>
      <c r="BA297" s="53"/>
      <c r="BB297" s="53"/>
      <c r="BC297" s="53"/>
      <c r="BD297" s="53"/>
      <c r="BE297" s="53"/>
      <c r="BF297" s="53"/>
      <c r="BG297" s="53"/>
      <c r="BH297" s="53"/>
      <c r="BI297" s="53"/>
      <c r="BJ297" s="53"/>
      <c r="BK297" s="53"/>
      <c r="BL297" s="53"/>
      <c r="BM297" s="53"/>
      <c r="BN297" s="53"/>
      <c r="BO297" s="65" t="str">
        <f t="shared" si="14"/>
        <v/>
      </c>
    </row>
    <row r="298" spans="1:67" ht="19.5" customHeight="1">
      <c r="A298" s="70" t="b">
        <v>0</v>
      </c>
      <c r="B298" s="71" t="b">
        <v>1</v>
      </c>
      <c r="C298" s="72" t="b">
        <v>0</v>
      </c>
      <c r="D298" s="72" t="b">
        <v>0</v>
      </c>
      <c r="E298" s="57"/>
      <c r="F298" s="59"/>
      <c r="G298" s="57"/>
      <c r="H298" s="88"/>
      <c r="I298" s="88"/>
      <c r="J298" s="88"/>
      <c r="K298" s="89" t="b">
        <v>1</v>
      </c>
      <c r="L298" s="60"/>
      <c r="M298" s="57"/>
      <c r="N298" s="57"/>
      <c r="O298" s="61"/>
      <c r="P298" s="60"/>
      <c r="Q298" s="57"/>
      <c r="R298" s="57"/>
      <c r="S298" s="95"/>
      <c r="T298" s="88"/>
      <c r="U298" s="88"/>
      <c r="V298" s="88"/>
      <c r="W298" s="96"/>
      <c r="X298" s="97"/>
      <c r="Y298" s="97"/>
      <c r="Z298" s="98"/>
      <c r="AA298" s="99"/>
      <c r="AB298" s="98"/>
      <c r="AC298" s="88"/>
      <c r="AD298" s="98"/>
      <c r="AE298" s="64"/>
      <c r="AF298" s="67" t="str">
        <f t="shared" si="12"/>
        <v/>
      </c>
      <c r="AG298" s="58"/>
      <c r="AH298" s="68" t="str">
        <f t="shared" si="13"/>
        <v/>
      </c>
      <c r="AI298" s="53"/>
      <c r="AJ298" s="53"/>
      <c r="AK298" s="53"/>
      <c r="AL298" s="53"/>
      <c r="AM298" s="53"/>
      <c r="AN298" s="53"/>
      <c r="AO298" s="53"/>
      <c r="AP298" s="53"/>
      <c r="AQ298" s="53"/>
      <c r="AR298" s="53"/>
      <c r="AS298" s="53"/>
      <c r="AT298" s="53"/>
      <c r="AU298" s="53"/>
      <c r="AV298" s="58"/>
      <c r="AW298" s="58"/>
      <c r="AX298" s="58"/>
      <c r="AY298" s="53"/>
      <c r="AZ298" s="53"/>
      <c r="BA298" s="53"/>
      <c r="BB298" s="53"/>
      <c r="BC298" s="53"/>
      <c r="BD298" s="53"/>
      <c r="BE298" s="53"/>
      <c r="BF298" s="53"/>
      <c r="BG298" s="53"/>
      <c r="BH298" s="53"/>
      <c r="BI298" s="53"/>
      <c r="BJ298" s="53"/>
      <c r="BK298" s="53"/>
      <c r="BL298" s="53"/>
      <c r="BM298" s="53"/>
      <c r="BN298" s="53"/>
      <c r="BO298" s="65" t="str">
        <f t="shared" si="14"/>
        <v/>
      </c>
    </row>
    <row r="299" spans="1:67" ht="19.5" customHeight="1">
      <c r="A299" s="70" t="b">
        <v>0</v>
      </c>
      <c r="B299" s="71" t="b">
        <v>1</v>
      </c>
      <c r="C299" s="72" t="b">
        <v>0</v>
      </c>
      <c r="D299" s="72" t="b">
        <v>0</v>
      </c>
      <c r="E299" s="57"/>
      <c r="F299" s="59"/>
      <c r="G299" s="57"/>
      <c r="H299" s="88"/>
      <c r="I299" s="88"/>
      <c r="J299" s="88"/>
      <c r="K299" s="89" t="b">
        <v>1</v>
      </c>
      <c r="L299" s="60"/>
      <c r="M299" s="57"/>
      <c r="N299" s="57"/>
      <c r="O299" s="61"/>
      <c r="P299" s="60"/>
      <c r="Q299" s="57"/>
      <c r="R299" s="57"/>
      <c r="S299" s="95"/>
      <c r="T299" s="88"/>
      <c r="U299" s="88"/>
      <c r="V299" s="88"/>
      <c r="W299" s="96"/>
      <c r="X299" s="97"/>
      <c r="Y299" s="97"/>
      <c r="Z299" s="98"/>
      <c r="AA299" s="99"/>
      <c r="AB299" s="98"/>
      <c r="AC299" s="88"/>
      <c r="AD299" s="98"/>
      <c r="AE299" s="64"/>
      <c r="AF299" s="67" t="str">
        <f t="shared" si="12"/>
        <v/>
      </c>
      <c r="AG299" s="58"/>
      <c r="AH299" s="68" t="str">
        <f t="shared" si="13"/>
        <v/>
      </c>
      <c r="AI299" s="53"/>
      <c r="AJ299" s="53"/>
      <c r="AK299" s="53"/>
      <c r="AL299" s="53"/>
      <c r="AM299" s="53"/>
      <c r="AN299" s="53"/>
      <c r="AO299" s="53"/>
      <c r="AP299" s="53"/>
      <c r="AQ299" s="53"/>
      <c r="AR299" s="53"/>
      <c r="AS299" s="53"/>
      <c r="AT299" s="53"/>
      <c r="AU299" s="53"/>
      <c r="AV299" s="58"/>
      <c r="AW299" s="58"/>
      <c r="AX299" s="58"/>
      <c r="AY299" s="53"/>
      <c r="AZ299" s="53"/>
      <c r="BA299" s="53"/>
      <c r="BB299" s="53"/>
      <c r="BC299" s="53"/>
      <c r="BD299" s="53"/>
      <c r="BE299" s="53"/>
      <c r="BF299" s="53"/>
      <c r="BG299" s="53"/>
      <c r="BH299" s="53"/>
      <c r="BI299" s="53"/>
      <c r="BJ299" s="53"/>
      <c r="BK299" s="53"/>
      <c r="BL299" s="53"/>
      <c r="BM299" s="53"/>
      <c r="BN299" s="53"/>
      <c r="BO299" s="65" t="str">
        <f t="shared" si="14"/>
        <v/>
      </c>
    </row>
    <row r="300" spans="1:67" ht="19.5" customHeight="1">
      <c r="A300" s="70" t="b">
        <v>0</v>
      </c>
      <c r="B300" s="71" t="b">
        <v>1</v>
      </c>
      <c r="C300" s="72" t="b">
        <v>0</v>
      </c>
      <c r="D300" s="72" t="b">
        <v>0</v>
      </c>
      <c r="E300" s="57"/>
      <c r="F300" s="59"/>
      <c r="G300" s="57"/>
      <c r="H300" s="88"/>
      <c r="I300" s="88"/>
      <c r="J300" s="88"/>
      <c r="K300" s="89" t="b">
        <v>1</v>
      </c>
      <c r="L300" s="60"/>
      <c r="M300" s="57"/>
      <c r="N300" s="57"/>
      <c r="O300" s="61"/>
      <c r="P300" s="60"/>
      <c r="Q300" s="57"/>
      <c r="R300" s="57"/>
      <c r="S300" s="95"/>
      <c r="T300" s="88"/>
      <c r="U300" s="88"/>
      <c r="V300" s="88"/>
      <c r="W300" s="96"/>
      <c r="X300" s="97"/>
      <c r="Y300" s="97"/>
      <c r="Z300" s="98"/>
      <c r="AA300" s="99"/>
      <c r="AB300" s="98"/>
      <c r="AC300" s="88"/>
      <c r="AD300" s="98"/>
      <c r="AE300" s="64"/>
      <c r="AF300" s="67" t="str">
        <f t="shared" si="12"/>
        <v/>
      </c>
      <c r="AG300" s="58"/>
      <c r="AH300" s="68" t="str">
        <f t="shared" si="13"/>
        <v/>
      </c>
      <c r="AI300" s="53"/>
      <c r="AJ300" s="53"/>
      <c r="AK300" s="53"/>
      <c r="AL300" s="53"/>
      <c r="AM300" s="53"/>
      <c r="AN300" s="53"/>
      <c r="AO300" s="53"/>
      <c r="AP300" s="53"/>
      <c r="AQ300" s="53"/>
      <c r="AR300" s="53"/>
      <c r="AS300" s="53"/>
      <c r="AT300" s="53"/>
      <c r="AU300" s="53"/>
      <c r="AV300" s="58"/>
      <c r="AW300" s="58"/>
      <c r="AX300" s="58"/>
      <c r="AY300" s="53"/>
      <c r="AZ300" s="53"/>
      <c r="BA300" s="53"/>
      <c r="BB300" s="53"/>
      <c r="BC300" s="53"/>
      <c r="BD300" s="53"/>
      <c r="BE300" s="53"/>
      <c r="BF300" s="53"/>
      <c r="BG300" s="53"/>
      <c r="BH300" s="53"/>
      <c r="BI300" s="53"/>
      <c r="BJ300" s="53"/>
      <c r="BK300" s="53"/>
      <c r="BL300" s="53"/>
      <c r="BM300" s="53"/>
      <c r="BN300" s="53"/>
      <c r="BO300" s="65" t="str">
        <f t="shared" si="14"/>
        <v/>
      </c>
    </row>
    <row r="301" spans="1:67" ht="19.5" customHeight="1">
      <c r="A301" s="70" t="b">
        <v>0</v>
      </c>
      <c r="B301" s="71" t="b">
        <v>1</v>
      </c>
      <c r="C301" s="72" t="b">
        <v>0</v>
      </c>
      <c r="D301" s="72" t="b">
        <v>0</v>
      </c>
      <c r="E301" s="57"/>
      <c r="F301" s="59"/>
      <c r="G301" s="57"/>
      <c r="H301" s="88"/>
      <c r="I301" s="88"/>
      <c r="J301" s="88"/>
      <c r="K301" s="89" t="b">
        <v>1</v>
      </c>
      <c r="L301" s="60"/>
      <c r="M301" s="57"/>
      <c r="N301" s="57"/>
      <c r="O301" s="61"/>
      <c r="P301" s="60"/>
      <c r="Q301" s="57"/>
      <c r="R301" s="57"/>
      <c r="S301" s="95"/>
      <c r="T301" s="88"/>
      <c r="U301" s="88"/>
      <c r="V301" s="88"/>
      <c r="W301" s="96"/>
      <c r="X301" s="97"/>
      <c r="Y301" s="97"/>
      <c r="Z301" s="98"/>
      <c r="AA301" s="99"/>
      <c r="AB301" s="98"/>
      <c r="AC301" s="88"/>
      <c r="AD301" s="98"/>
      <c r="AE301" s="64"/>
      <c r="AF301" s="67" t="str">
        <f t="shared" si="12"/>
        <v/>
      </c>
      <c r="AG301" s="58"/>
      <c r="AH301" s="68" t="str">
        <f t="shared" si="13"/>
        <v/>
      </c>
      <c r="AI301" s="53"/>
      <c r="AJ301" s="53"/>
      <c r="AK301" s="53"/>
      <c r="AL301" s="53"/>
      <c r="AM301" s="53"/>
      <c r="AN301" s="53"/>
      <c r="AO301" s="53"/>
      <c r="AP301" s="53"/>
      <c r="AQ301" s="53"/>
      <c r="AR301" s="53"/>
      <c r="AS301" s="53"/>
      <c r="AT301" s="53"/>
      <c r="AU301" s="53"/>
      <c r="AV301" s="58"/>
      <c r="AW301" s="58"/>
      <c r="AX301" s="58"/>
      <c r="AY301" s="53"/>
      <c r="AZ301" s="53"/>
      <c r="BA301" s="53"/>
      <c r="BB301" s="53"/>
      <c r="BC301" s="53"/>
      <c r="BD301" s="53"/>
      <c r="BE301" s="53"/>
      <c r="BF301" s="53"/>
      <c r="BG301" s="53"/>
      <c r="BH301" s="53"/>
      <c r="BI301" s="53"/>
      <c r="BJ301" s="53"/>
      <c r="BK301" s="53"/>
      <c r="BL301" s="53"/>
      <c r="BM301" s="53"/>
      <c r="BN301" s="53"/>
      <c r="BO301" s="65" t="str">
        <f t="shared" si="14"/>
        <v/>
      </c>
    </row>
    <row r="302" spans="1:67" ht="19.5" customHeight="1">
      <c r="A302" s="70" t="b">
        <v>0</v>
      </c>
      <c r="B302" s="71" t="b">
        <v>1</v>
      </c>
      <c r="C302" s="72" t="b">
        <v>0</v>
      </c>
      <c r="D302" s="72" t="b">
        <v>0</v>
      </c>
      <c r="E302" s="57"/>
      <c r="F302" s="59"/>
      <c r="G302" s="57"/>
      <c r="H302" s="88"/>
      <c r="I302" s="88"/>
      <c r="J302" s="88"/>
      <c r="K302" s="89" t="b">
        <v>1</v>
      </c>
      <c r="L302" s="60"/>
      <c r="M302" s="57"/>
      <c r="N302" s="57"/>
      <c r="O302" s="61"/>
      <c r="P302" s="60"/>
      <c r="Q302" s="57"/>
      <c r="R302" s="57"/>
      <c r="S302" s="95"/>
      <c r="T302" s="88"/>
      <c r="U302" s="88"/>
      <c r="V302" s="88"/>
      <c r="W302" s="96"/>
      <c r="X302" s="97"/>
      <c r="Y302" s="97"/>
      <c r="Z302" s="98"/>
      <c r="AA302" s="99"/>
      <c r="AB302" s="98"/>
      <c r="AC302" s="88"/>
      <c r="AD302" s="98"/>
      <c r="AE302" s="64"/>
      <c r="AF302" s="67" t="str">
        <f t="shared" si="12"/>
        <v/>
      </c>
      <c r="AG302" s="58"/>
      <c r="AH302" s="68" t="str">
        <f t="shared" si="13"/>
        <v/>
      </c>
      <c r="AI302" s="53"/>
      <c r="AJ302" s="53"/>
      <c r="AK302" s="53"/>
      <c r="AL302" s="53"/>
      <c r="AM302" s="53"/>
      <c r="AN302" s="53"/>
      <c r="AO302" s="53"/>
      <c r="AP302" s="53"/>
      <c r="AQ302" s="53"/>
      <c r="AR302" s="53"/>
      <c r="AS302" s="53"/>
      <c r="AT302" s="53"/>
      <c r="AU302" s="53"/>
      <c r="AV302" s="58"/>
      <c r="AW302" s="58"/>
      <c r="AX302" s="58"/>
      <c r="AY302" s="53"/>
      <c r="AZ302" s="53"/>
      <c r="BA302" s="53"/>
      <c r="BB302" s="53"/>
      <c r="BC302" s="53"/>
      <c r="BD302" s="53"/>
      <c r="BE302" s="53"/>
      <c r="BF302" s="53"/>
      <c r="BG302" s="53"/>
      <c r="BH302" s="53"/>
      <c r="BI302" s="53"/>
      <c r="BJ302" s="53"/>
      <c r="BK302" s="53"/>
      <c r="BL302" s="53"/>
      <c r="BM302" s="53"/>
      <c r="BN302" s="53"/>
      <c r="BO302" s="65" t="str">
        <f t="shared" si="14"/>
        <v/>
      </c>
    </row>
    <row r="303" spans="1:67" ht="19.5" customHeight="1">
      <c r="A303" s="70" t="b">
        <v>0</v>
      </c>
      <c r="B303" s="71" t="b">
        <v>1</v>
      </c>
      <c r="C303" s="72" t="b">
        <v>0</v>
      </c>
      <c r="D303" s="72" t="b">
        <v>0</v>
      </c>
      <c r="E303" s="57"/>
      <c r="F303" s="59"/>
      <c r="G303" s="57"/>
      <c r="H303" s="88"/>
      <c r="I303" s="88"/>
      <c r="J303" s="88"/>
      <c r="K303" s="89" t="b">
        <v>1</v>
      </c>
      <c r="L303" s="60"/>
      <c r="M303" s="57"/>
      <c r="N303" s="57"/>
      <c r="O303" s="61"/>
      <c r="P303" s="60"/>
      <c r="Q303" s="57"/>
      <c r="R303" s="57"/>
      <c r="S303" s="95"/>
      <c r="T303" s="88"/>
      <c r="U303" s="88"/>
      <c r="V303" s="88"/>
      <c r="W303" s="96"/>
      <c r="X303" s="97"/>
      <c r="Y303" s="97"/>
      <c r="Z303" s="98"/>
      <c r="AA303" s="99"/>
      <c r="AB303" s="98"/>
      <c r="AC303" s="88"/>
      <c r="AD303" s="98"/>
      <c r="AE303" s="64"/>
      <c r="AF303" s="67" t="str">
        <f t="shared" si="12"/>
        <v/>
      </c>
      <c r="AG303" s="58"/>
      <c r="AH303" s="68" t="str">
        <f t="shared" si="13"/>
        <v/>
      </c>
      <c r="AI303" s="53"/>
      <c r="AJ303" s="53"/>
      <c r="AK303" s="53"/>
      <c r="AL303" s="53"/>
      <c r="AM303" s="53"/>
      <c r="AN303" s="53"/>
      <c r="AO303" s="53"/>
      <c r="AP303" s="53"/>
      <c r="AQ303" s="53"/>
      <c r="AR303" s="53"/>
      <c r="AS303" s="53"/>
      <c r="AT303" s="53"/>
      <c r="AU303" s="53"/>
      <c r="AV303" s="58"/>
      <c r="AW303" s="58"/>
      <c r="AX303" s="58"/>
      <c r="AY303" s="53"/>
      <c r="AZ303" s="53"/>
      <c r="BA303" s="53"/>
      <c r="BB303" s="53"/>
      <c r="BC303" s="53"/>
      <c r="BD303" s="53"/>
      <c r="BE303" s="53"/>
      <c r="BF303" s="53"/>
      <c r="BG303" s="53"/>
      <c r="BH303" s="53"/>
      <c r="BI303" s="53"/>
      <c r="BJ303" s="53"/>
      <c r="BK303" s="53"/>
      <c r="BL303" s="53"/>
      <c r="BM303" s="53"/>
      <c r="BN303" s="53"/>
      <c r="BO303" s="65" t="str">
        <f t="shared" si="14"/>
        <v/>
      </c>
    </row>
    <row r="304" spans="1:67" ht="19.5" customHeight="1">
      <c r="A304" s="70" t="b">
        <v>0</v>
      </c>
      <c r="B304" s="71" t="b">
        <v>1</v>
      </c>
      <c r="C304" s="72" t="b">
        <v>0</v>
      </c>
      <c r="D304" s="72" t="b">
        <v>0</v>
      </c>
      <c r="E304" s="57"/>
      <c r="F304" s="59"/>
      <c r="G304" s="57"/>
      <c r="H304" s="88"/>
      <c r="I304" s="88"/>
      <c r="J304" s="88"/>
      <c r="K304" s="89" t="b">
        <v>1</v>
      </c>
      <c r="L304" s="60"/>
      <c r="M304" s="57"/>
      <c r="N304" s="57"/>
      <c r="O304" s="61"/>
      <c r="P304" s="60"/>
      <c r="Q304" s="57"/>
      <c r="R304" s="57"/>
      <c r="S304" s="95"/>
      <c r="T304" s="88"/>
      <c r="U304" s="88"/>
      <c r="V304" s="88"/>
      <c r="W304" s="96"/>
      <c r="X304" s="97"/>
      <c r="Y304" s="97"/>
      <c r="Z304" s="98"/>
      <c r="AA304" s="99"/>
      <c r="AB304" s="98"/>
      <c r="AC304" s="88"/>
      <c r="AD304" s="98"/>
      <c r="AE304" s="64"/>
      <c r="AF304" s="67" t="str">
        <f t="shared" si="12"/>
        <v/>
      </c>
      <c r="AG304" s="58"/>
      <c r="AH304" s="68" t="str">
        <f t="shared" si="13"/>
        <v/>
      </c>
      <c r="AI304" s="53"/>
      <c r="AJ304" s="53"/>
      <c r="AK304" s="53"/>
      <c r="AL304" s="53"/>
      <c r="AM304" s="53"/>
      <c r="AN304" s="53"/>
      <c r="AO304" s="53"/>
      <c r="AP304" s="53"/>
      <c r="AQ304" s="53"/>
      <c r="AR304" s="53"/>
      <c r="AS304" s="53"/>
      <c r="AT304" s="53"/>
      <c r="AU304" s="53"/>
      <c r="AV304" s="58"/>
      <c r="AW304" s="58"/>
      <c r="AX304" s="58"/>
      <c r="AY304" s="53"/>
      <c r="AZ304" s="53"/>
      <c r="BA304" s="53"/>
      <c r="BB304" s="53"/>
      <c r="BC304" s="53"/>
      <c r="BD304" s="53"/>
      <c r="BE304" s="53"/>
      <c r="BF304" s="53"/>
      <c r="BG304" s="53"/>
      <c r="BH304" s="53"/>
      <c r="BI304" s="53"/>
      <c r="BJ304" s="53"/>
      <c r="BK304" s="53"/>
      <c r="BL304" s="53"/>
      <c r="BM304" s="53"/>
      <c r="BN304" s="53"/>
      <c r="BO304" s="65" t="str">
        <f t="shared" si="14"/>
        <v/>
      </c>
    </row>
    <row r="305" spans="1:67" ht="19.5" customHeight="1">
      <c r="A305" s="70" t="b">
        <v>0</v>
      </c>
      <c r="B305" s="71" t="b">
        <v>1</v>
      </c>
      <c r="C305" s="72" t="b">
        <v>0</v>
      </c>
      <c r="D305" s="72" t="b">
        <v>0</v>
      </c>
      <c r="E305" s="57"/>
      <c r="F305" s="59"/>
      <c r="G305" s="57"/>
      <c r="H305" s="88"/>
      <c r="I305" s="88"/>
      <c r="J305" s="88"/>
      <c r="K305" s="89" t="b">
        <v>1</v>
      </c>
      <c r="L305" s="60"/>
      <c r="M305" s="57"/>
      <c r="N305" s="57"/>
      <c r="O305" s="61"/>
      <c r="P305" s="60"/>
      <c r="Q305" s="57"/>
      <c r="R305" s="57"/>
      <c r="S305" s="95"/>
      <c r="T305" s="88"/>
      <c r="U305" s="88"/>
      <c r="V305" s="88"/>
      <c r="W305" s="96"/>
      <c r="X305" s="97"/>
      <c r="Y305" s="97"/>
      <c r="Z305" s="98"/>
      <c r="AA305" s="99"/>
      <c r="AB305" s="98"/>
      <c r="AC305" s="88"/>
      <c r="AD305" s="98"/>
      <c r="AE305" s="64"/>
      <c r="AF305" s="67" t="str">
        <f t="shared" si="12"/>
        <v/>
      </c>
      <c r="AG305" s="58"/>
      <c r="AH305" s="68" t="str">
        <f t="shared" si="13"/>
        <v/>
      </c>
      <c r="AI305" s="53"/>
      <c r="AJ305" s="53"/>
      <c r="AK305" s="53"/>
      <c r="AL305" s="53"/>
      <c r="AM305" s="53"/>
      <c r="AN305" s="53"/>
      <c r="AO305" s="53"/>
      <c r="AP305" s="53"/>
      <c r="AQ305" s="53"/>
      <c r="AR305" s="53"/>
      <c r="AS305" s="53"/>
      <c r="AT305" s="53"/>
      <c r="AU305" s="53"/>
      <c r="AV305" s="58"/>
      <c r="AW305" s="58"/>
      <c r="AX305" s="58"/>
      <c r="AY305" s="53"/>
      <c r="AZ305" s="53"/>
      <c r="BA305" s="53"/>
      <c r="BB305" s="53"/>
      <c r="BC305" s="53"/>
      <c r="BD305" s="53"/>
      <c r="BE305" s="53"/>
      <c r="BF305" s="53"/>
      <c r="BG305" s="53"/>
      <c r="BH305" s="53"/>
      <c r="BI305" s="53"/>
      <c r="BJ305" s="53"/>
      <c r="BK305" s="53"/>
      <c r="BL305" s="53"/>
      <c r="BM305" s="53"/>
      <c r="BN305" s="53"/>
      <c r="BO305" s="65" t="str">
        <f t="shared" si="14"/>
        <v/>
      </c>
    </row>
    <row r="306" spans="1:67" ht="19.5" customHeight="1">
      <c r="A306" s="70" t="b">
        <v>0</v>
      </c>
      <c r="B306" s="71" t="b">
        <v>1</v>
      </c>
      <c r="C306" s="72" t="b">
        <v>0</v>
      </c>
      <c r="D306" s="72" t="b">
        <v>0</v>
      </c>
      <c r="E306" s="57"/>
      <c r="F306" s="59"/>
      <c r="G306" s="57"/>
      <c r="H306" s="88"/>
      <c r="I306" s="88"/>
      <c r="J306" s="88"/>
      <c r="K306" s="89" t="b">
        <v>1</v>
      </c>
      <c r="L306" s="60"/>
      <c r="M306" s="57"/>
      <c r="N306" s="57"/>
      <c r="O306" s="61"/>
      <c r="P306" s="60"/>
      <c r="Q306" s="57"/>
      <c r="R306" s="57"/>
      <c r="S306" s="95"/>
      <c r="T306" s="88"/>
      <c r="U306" s="88"/>
      <c r="V306" s="88"/>
      <c r="W306" s="96"/>
      <c r="X306" s="97"/>
      <c r="Y306" s="97"/>
      <c r="Z306" s="98"/>
      <c r="AA306" s="99"/>
      <c r="AB306" s="98"/>
      <c r="AC306" s="88"/>
      <c r="AD306" s="98"/>
      <c r="AE306" s="64"/>
      <c r="AF306" s="67" t="str">
        <f t="shared" si="12"/>
        <v/>
      </c>
      <c r="AG306" s="58"/>
      <c r="AH306" s="68" t="str">
        <f t="shared" si="13"/>
        <v/>
      </c>
      <c r="AI306" s="53"/>
      <c r="AJ306" s="53"/>
      <c r="AK306" s="53"/>
      <c r="AL306" s="53"/>
      <c r="AM306" s="53"/>
      <c r="AN306" s="53"/>
      <c r="AO306" s="53"/>
      <c r="AP306" s="53"/>
      <c r="AQ306" s="53"/>
      <c r="AR306" s="53"/>
      <c r="AS306" s="53"/>
      <c r="AT306" s="53"/>
      <c r="AU306" s="53"/>
      <c r="AV306" s="58"/>
      <c r="AW306" s="58"/>
      <c r="AX306" s="58"/>
      <c r="AY306" s="53"/>
      <c r="AZ306" s="53"/>
      <c r="BA306" s="53"/>
      <c r="BB306" s="53"/>
      <c r="BC306" s="53"/>
      <c r="BD306" s="53"/>
      <c r="BE306" s="53"/>
      <c r="BF306" s="53"/>
      <c r="BG306" s="53"/>
      <c r="BH306" s="53"/>
      <c r="BI306" s="53"/>
      <c r="BJ306" s="53"/>
      <c r="BK306" s="53"/>
      <c r="BL306" s="53"/>
      <c r="BM306" s="53"/>
      <c r="BN306" s="53"/>
      <c r="BO306" s="65" t="str">
        <f t="shared" si="14"/>
        <v/>
      </c>
    </row>
    <row r="307" spans="1:67" ht="19.5" customHeight="1">
      <c r="A307" s="70" t="b">
        <v>0</v>
      </c>
      <c r="B307" s="71" t="b">
        <v>1</v>
      </c>
      <c r="C307" s="72" t="b">
        <v>0</v>
      </c>
      <c r="D307" s="72" t="b">
        <v>0</v>
      </c>
      <c r="E307" s="57"/>
      <c r="F307" s="59"/>
      <c r="G307" s="57"/>
      <c r="H307" s="88"/>
      <c r="I307" s="88"/>
      <c r="J307" s="88"/>
      <c r="K307" s="89" t="b">
        <v>1</v>
      </c>
      <c r="L307" s="60"/>
      <c r="M307" s="57"/>
      <c r="N307" s="57"/>
      <c r="O307" s="61"/>
      <c r="P307" s="60"/>
      <c r="Q307" s="57"/>
      <c r="R307" s="57"/>
      <c r="S307" s="95"/>
      <c r="T307" s="88"/>
      <c r="U307" s="88"/>
      <c r="V307" s="88"/>
      <c r="W307" s="96"/>
      <c r="X307" s="97"/>
      <c r="Y307" s="97"/>
      <c r="Z307" s="98"/>
      <c r="AA307" s="99"/>
      <c r="AB307" s="98"/>
      <c r="AC307" s="88"/>
      <c r="AD307" s="98"/>
      <c r="AE307" s="64"/>
      <c r="AF307" s="67" t="str">
        <f t="shared" si="12"/>
        <v/>
      </c>
      <c r="AG307" s="58"/>
      <c r="AH307" s="68" t="str">
        <f t="shared" si="13"/>
        <v/>
      </c>
      <c r="AI307" s="53"/>
      <c r="AJ307" s="53"/>
      <c r="AK307" s="53"/>
      <c r="AL307" s="53"/>
      <c r="AM307" s="53"/>
      <c r="AN307" s="53"/>
      <c r="AO307" s="53"/>
      <c r="AP307" s="53"/>
      <c r="AQ307" s="53"/>
      <c r="AR307" s="53"/>
      <c r="AS307" s="53"/>
      <c r="AT307" s="53"/>
      <c r="AU307" s="53"/>
      <c r="AV307" s="58"/>
      <c r="AW307" s="58"/>
      <c r="AX307" s="58"/>
      <c r="AY307" s="53"/>
      <c r="AZ307" s="53"/>
      <c r="BA307" s="53"/>
      <c r="BB307" s="53"/>
      <c r="BC307" s="53"/>
      <c r="BD307" s="53"/>
      <c r="BE307" s="53"/>
      <c r="BF307" s="53"/>
      <c r="BG307" s="53"/>
      <c r="BH307" s="53"/>
      <c r="BI307" s="53"/>
      <c r="BJ307" s="53"/>
      <c r="BK307" s="53"/>
      <c r="BL307" s="53"/>
      <c r="BM307" s="53"/>
      <c r="BN307" s="53"/>
      <c r="BO307" s="65" t="str">
        <f t="shared" si="14"/>
        <v/>
      </c>
    </row>
    <row r="308" spans="1:67" ht="19.5" customHeight="1">
      <c r="A308" s="70" t="b">
        <v>0</v>
      </c>
      <c r="B308" s="71" t="b">
        <v>1</v>
      </c>
      <c r="C308" s="72" t="b">
        <v>0</v>
      </c>
      <c r="D308" s="72" t="b">
        <v>0</v>
      </c>
      <c r="E308" s="57"/>
      <c r="F308" s="59"/>
      <c r="G308" s="57"/>
      <c r="H308" s="88"/>
      <c r="I308" s="88"/>
      <c r="J308" s="88"/>
      <c r="K308" s="89" t="b">
        <v>1</v>
      </c>
      <c r="L308" s="60"/>
      <c r="M308" s="57"/>
      <c r="N308" s="57"/>
      <c r="O308" s="61"/>
      <c r="P308" s="60"/>
      <c r="Q308" s="57"/>
      <c r="R308" s="57"/>
      <c r="S308" s="95"/>
      <c r="T308" s="88"/>
      <c r="U308" s="88"/>
      <c r="V308" s="88"/>
      <c r="W308" s="96"/>
      <c r="X308" s="97"/>
      <c r="Y308" s="97"/>
      <c r="Z308" s="98"/>
      <c r="AA308" s="99"/>
      <c r="AB308" s="98"/>
      <c r="AC308" s="88"/>
      <c r="AD308" s="98"/>
      <c r="AE308" s="64"/>
      <c r="AF308" s="67" t="str">
        <f t="shared" si="12"/>
        <v/>
      </c>
      <c r="AG308" s="58"/>
      <c r="AH308" s="68" t="str">
        <f t="shared" si="13"/>
        <v/>
      </c>
      <c r="AI308" s="53"/>
      <c r="AJ308" s="53"/>
      <c r="AK308" s="53"/>
      <c r="AL308" s="53"/>
      <c r="AM308" s="53"/>
      <c r="AN308" s="53"/>
      <c r="AO308" s="53"/>
      <c r="AP308" s="53"/>
      <c r="AQ308" s="53"/>
      <c r="AR308" s="53"/>
      <c r="AS308" s="53"/>
      <c r="AT308" s="53"/>
      <c r="AU308" s="53"/>
      <c r="AV308" s="58"/>
      <c r="AW308" s="58"/>
      <c r="AX308" s="58"/>
      <c r="AY308" s="53"/>
      <c r="AZ308" s="53"/>
      <c r="BA308" s="53"/>
      <c r="BB308" s="53"/>
      <c r="BC308" s="53"/>
      <c r="BD308" s="53"/>
      <c r="BE308" s="53"/>
      <c r="BF308" s="53"/>
      <c r="BG308" s="53"/>
      <c r="BH308" s="53"/>
      <c r="BI308" s="53"/>
      <c r="BJ308" s="53"/>
      <c r="BK308" s="53"/>
      <c r="BL308" s="53"/>
      <c r="BM308" s="53"/>
      <c r="BN308" s="53"/>
      <c r="BO308" s="65" t="str">
        <f t="shared" si="14"/>
        <v/>
      </c>
    </row>
    <row r="309" spans="1:67" ht="19.5" customHeight="1">
      <c r="A309" s="70" t="b">
        <v>0</v>
      </c>
      <c r="B309" s="71" t="b">
        <v>1</v>
      </c>
      <c r="C309" s="72" t="b">
        <v>0</v>
      </c>
      <c r="D309" s="72" t="b">
        <v>0</v>
      </c>
      <c r="E309" s="57"/>
      <c r="F309" s="59"/>
      <c r="G309" s="57"/>
      <c r="H309" s="88"/>
      <c r="I309" s="88"/>
      <c r="J309" s="88"/>
      <c r="K309" s="89" t="b">
        <v>1</v>
      </c>
      <c r="L309" s="60"/>
      <c r="M309" s="57"/>
      <c r="N309" s="57"/>
      <c r="O309" s="61"/>
      <c r="P309" s="60"/>
      <c r="Q309" s="57"/>
      <c r="R309" s="57"/>
      <c r="S309" s="95"/>
      <c r="T309" s="88"/>
      <c r="U309" s="88"/>
      <c r="V309" s="88"/>
      <c r="W309" s="96"/>
      <c r="X309" s="97"/>
      <c r="Y309" s="97"/>
      <c r="Z309" s="98"/>
      <c r="AA309" s="99"/>
      <c r="AB309" s="98"/>
      <c r="AC309" s="88"/>
      <c r="AD309" s="98"/>
      <c r="AE309" s="64"/>
      <c r="AF309" s="67" t="str">
        <f t="shared" si="12"/>
        <v/>
      </c>
      <c r="AG309" s="58"/>
      <c r="AH309" s="68" t="str">
        <f t="shared" si="13"/>
        <v/>
      </c>
      <c r="AI309" s="53"/>
      <c r="AJ309" s="53"/>
      <c r="AK309" s="53"/>
      <c r="AL309" s="53"/>
      <c r="AM309" s="53"/>
      <c r="AN309" s="53"/>
      <c r="AO309" s="53"/>
      <c r="AP309" s="53"/>
      <c r="AQ309" s="53"/>
      <c r="AR309" s="53"/>
      <c r="AS309" s="53"/>
      <c r="AT309" s="53"/>
      <c r="AU309" s="53"/>
      <c r="AV309" s="58"/>
      <c r="AW309" s="58"/>
      <c r="AX309" s="58"/>
      <c r="AY309" s="53"/>
      <c r="AZ309" s="53"/>
      <c r="BA309" s="53"/>
      <c r="BB309" s="53"/>
      <c r="BC309" s="53"/>
      <c r="BD309" s="53"/>
      <c r="BE309" s="53"/>
      <c r="BF309" s="53"/>
      <c r="BG309" s="53"/>
      <c r="BH309" s="53"/>
      <c r="BI309" s="53"/>
      <c r="BJ309" s="53"/>
      <c r="BK309" s="53"/>
      <c r="BL309" s="53"/>
      <c r="BM309" s="53"/>
      <c r="BN309" s="53"/>
      <c r="BO309" s="65" t="str">
        <f t="shared" si="14"/>
        <v/>
      </c>
    </row>
    <row r="310" spans="1:67" ht="19.5" customHeight="1">
      <c r="A310" s="70" t="b">
        <v>0</v>
      </c>
      <c r="B310" s="71" t="b">
        <v>1</v>
      </c>
      <c r="C310" s="72" t="b">
        <v>0</v>
      </c>
      <c r="D310" s="72" t="b">
        <v>0</v>
      </c>
      <c r="E310" s="57"/>
      <c r="F310" s="59"/>
      <c r="G310" s="57"/>
      <c r="H310" s="88"/>
      <c r="I310" s="88"/>
      <c r="J310" s="88"/>
      <c r="K310" s="89" t="b">
        <v>1</v>
      </c>
      <c r="L310" s="60"/>
      <c r="M310" s="57"/>
      <c r="N310" s="57"/>
      <c r="O310" s="61"/>
      <c r="P310" s="60"/>
      <c r="Q310" s="57"/>
      <c r="R310" s="57"/>
      <c r="S310" s="95"/>
      <c r="T310" s="88"/>
      <c r="U310" s="88"/>
      <c r="V310" s="88"/>
      <c r="W310" s="96"/>
      <c r="X310" s="97"/>
      <c r="Y310" s="97"/>
      <c r="Z310" s="98"/>
      <c r="AA310" s="99"/>
      <c r="AB310" s="98"/>
      <c r="AC310" s="88"/>
      <c r="AD310" s="98"/>
      <c r="AE310" s="64"/>
      <c r="AF310" s="67" t="str">
        <f t="shared" si="12"/>
        <v/>
      </c>
      <c r="AG310" s="58"/>
      <c r="AH310" s="68" t="str">
        <f t="shared" si="13"/>
        <v/>
      </c>
      <c r="AI310" s="53"/>
      <c r="AJ310" s="53"/>
      <c r="AK310" s="53"/>
      <c r="AL310" s="53"/>
      <c r="AM310" s="53"/>
      <c r="AN310" s="53"/>
      <c r="AO310" s="53"/>
      <c r="AP310" s="53"/>
      <c r="AQ310" s="53"/>
      <c r="AR310" s="53"/>
      <c r="AS310" s="53"/>
      <c r="AT310" s="53"/>
      <c r="AU310" s="53"/>
      <c r="AV310" s="58"/>
      <c r="AW310" s="58"/>
      <c r="AX310" s="58"/>
      <c r="AY310" s="53"/>
      <c r="AZ310" s="53"/>
      <c r="BA310" s="53"/>
      <c r="BB310" s="53"/>
      <c r="BC310" s="53"/>
      <c r="BD310" s="53"/>
      <c r="BE310" s="53"/>
      <c r="BF310" s="53"/>
      <c r="BG310" s="53"/>
      <c r="BH310" s="53"/>
      <c r="BI310" s="53"/>
      <c r="BJ310" s="53"/>
      <c r="BK310" s="53"/>
      <c r="BL310" s="53"/>
      <c r="BM310" s="53"/>
      <c r="BN310" s="53"/>
      <c r="BO310" s="65" t="str">
        <f t="shared" si="14"/>
        <v/>
      </c>
    </row>
    <row r="311" spans="1:67" ht="19.5" customHeight="1">
      <c r="A311" s="70" t="b">
        <v>0</v>
      </c>
      <c r="B311" s="71" t="b">
        <v>1</v>
      </c>
      <c r="C311" s="72" t="b">
        <v>0</v>
      </c>
      <c r="D311" s="72" t="b">
        <v>0</v>
      </c>
      <c r="E311" s="57"/>
      <c r="F311" s="59"/>
      <c r="G311" s="57"/>
      <c r="H311" s="88"/>
      <c r="I311" s="88"/>
      <c r="J311" s="88"/>
      <c r="K311" s="89" t="b">
        <v>1</v>
      </c>
      <c r="L311" s="60"/>
      <c r="M311" s="57"/>
      <c r="N311" s="57"/>
      <c r="O311" s="61"/>
      <c r="P311" s="60"/>
      <c r="Q311" s="57"/>
      <c r="R311" s="57"/>
      <c r="S311" s="95"/>
      <c r="T311" s="88"/>
      <c r="U311" s="88"/>
      <c r="V311" s="88"/>
      <c r="W311" s="96"/>
      <c r="X311" s="97"/>
      <c r="Y311" s="97"/>
      <c r="Z311" s="98"/>
      <c r="AA311" s="99"/>
      <c r="AB311" s="98"/>
      <c r="AC311" s="88"/>
      <c r="AD311" s="98"/>
      <c r="AE311" s="64"/>
      <c r="AF311" s="67" t="str">
        <f t="shared" si="12"/>
        <v/>
      </c>
      <c r="AG311" s="58"/>
      <c r="AH311" s="68" t="str">
        <f t="shared" si="13"/>
        <v/>
      </c>
      <c r="AI311" s="53"/>
      <c r="AJ311" s="53"/>
      <c r="AK311" s="53"/>
      <c r="AL311" s="53"/>
      <c r="AM311" s="53"/>
      <c r="AN311" s="53"/>
      <c r="AO311" s="53"/>
      <c r="AP311" s="53"/>
      <c r="AQ311" s="53"/>
      <c r="AR311" s="53"/>
      <c r="AS311" s="53"/>
      <c r="AT311" s="53"/>
      <c r="AU311" s="53"/>
      <c r="AV311" s="58"/>
      <c r="AW311" s="58"/>
      <c r="AX311" s="58"/>
      <c r="AY311" s="53"/>
      <c r="AZ311" s="53"/>
      <c r="BA311" s="53"/>
      <c r="BB311" s="53"/>
      <c r="BC311" s="53"/>
      <c r="BD311" s="53"/>
      <c r="BE311" s="53"/>
      <c r="BF311" s="53"/>
      <c r="BG311" s="53"/>
      <c r="BH311" s="53"/>
      <c r="BI311" s="53"/>
      <c r="BJ311" s="53"/>
      <c r="BK311" s="53"/>
      <c r="BL311" s="53"/>
      <c r="BM311" s="53"/>
      <c r="BN311" s="53"/>
      <c r="BO311" s="65" t="str">
        <f t="shared" si="14"/>
        <v/>
      </c>
    </row>
    <row r="312" spans="1:67" ht="19.5" customHeight="1">
      <c r="A312" s="70" t="b">
        <v>0</v>
      </c>
      <c r="B312" s="71" t="b">
        <v>1</v>
      </c>
      <c r="C312" s="72" t="b">
        <v>0</v>
      </c>
      <c r="D312" s="72" t="b">
        <v>0</v>
      </c>
      <c r="E312" s="57"/>
      <c r="F312" s="59"/>
      <c r="G312" s="57"/>
      <c r="H312" s="88"/>
      <c r="I312" s="88"/>
      <c r="J312" s="88"/>
      <c r="K312" s="89" t="b">
        <v>1</v>
      </c>
      <c r="L312" s="60"/>
      <c r="M312" s="57"/>
      <c r="N312" s="57"/>
      <c r="O312" s="61"/>
      <c r="P312" s="60"/>
      <c r="Q312" s="57"/>
      <c r="R312" s="57"/>
      <c r="S312" s="95"/>
      <c r="T312" s="88"/>
      <c r="U312" s="88"/>
      <c r="V312" s="88"/>
      <c r="W312" s="96"/>
      <c r="X312" s="97"/>
      <c r="Y312" s="97"/>
      <c r="Z312" s="98"/>
      <c r="AA312" s="99"/>
      <c r="AB312" s="98"/>
      <c r="AC312" s="88"/>
      <c r="AD312" s="98"/>
      <c r="AE312" s="64"/>
      <c r="AF312" s="67" t="str">
        <f t="shared" si="12"/>
        <v/>
      </c>
      <c r="AG312" s="58"/>
      <c r="AH312" s="68" t="str">
        <f t="shared" si="13"/>
        <v/>
      </c>
      <c r="AI312" s="53"/>
      <c r="AJ312" s="53"/>
      <c r="AK312" s="53"/>
      <c r="AL312" s="53"/>
      <c r="AM312" s="53"/>
      <c r="AN312" s="53"/>
      <c r="AO312" s="53"/>
      <c r="AP312" s="53"/>
      <c r="AQ312" s="53"/>
      <c r="AR312" s="53"/>
      <c r="AS312" s="53"/>
      <c r="AT312" s="53"/>
      <c r="AU312" s="53"/>
      <c r="AV312" s="58"/>
      <c r="AW312" s="58"/>
      <c r="AX312" s="58"/>
      <c r="AY312" s="53"/>
      <c r="AZ312" s="53"/>
      <c r="BA312" s="53"/>
      <c r="BB312" s="53"/>
      <c r="BC312" s="53"/>
      <c r="BD312" s="53"/>
      <c r="BE312" s="53"/>
      <c r="BF312" s="53"/>
      <c r="BG312" s="53"/>
      <c r="BH312" s="53"/>
      <c r="BI312" s="53"/>
      <c r="BJ312" s="53"/>
      <c r="BK312" s="53"/>
      <c r="BL312" s="53"/>
      <c r="BM312" s="53"/>
      <c r="BN312" s="53"/>
      <c r="BO312" s="65" t="str">
        <f t="shared" si="14"/>
        <v/>
      </c>
    </row>
    <row r="313" spans="1:67" ht="19.5" customHeight="1">
      <c r="A313" s="70" t="b">
        <v>0</v>
      </c>
      <c r="B313" s="71" t="b">
        <v>1</v>
      </c>
      <c r="C313" s="72" t="b">
        <v>0</v>
      </c>
      <c r="D313" s="72" t="b">
        <v>0</v>
      </c>
      <c r="E313" s="57"/>
      <c r="F313" s="59"/>
      <c r="G313" s="57"/>
      <c r="H313" s="88"/>
      <c r="I313" s="88"/>
      <c r="J313" s="88"/>
      <c r="K313" s="89" t="b">
        <v>1</v>
      </c>
      <c r="L313" s="60"/>
      <c r="M313" s="57"/>
      <c r="N313" s="57"/>
      <c r="O313" s="61"/>
      <c r="P313" s="60"/>
      <c r="Q313" s="57"/>
      <c r="R313" s="57"/>
      <c r="S313" s="95"/>
      <c r="T313" s="88"/>
      <c r="U313" s="88"/>
      <c r="V313" s="88"/>
      <c r="W313" s="96"/>
      <c r="X313" s="97"/>
      <c r="Y313" s="97"/>
      <c r="Z313" s="98"/>
      <c r="AA313" s="99"/>
      <c r="AB313" s="98"/>
      <c r="AC313" s="88"/>
      <c r="AD313" s="98"/>
      <c r="AE313" s="64"/>
      <c r="AF313" s="67" t="str">
        <f t="shared" si="12"/>
        <v/>
      </c>
      <c r="AG313" s="58"/>
      <c r="AH313" s="68" t="str">
        <f t="shared" si="13"/>
        <v/>
      </c>
      <c r="AI313" s="53"/>
      <c r="AJ313" s="53"/>
      <c r="AK313" s="53"/>
      <c r="AL313" s="53"/>
      <c r="AM313" s="53"/>
      <c r="AN313" s="53"/>
      <c r="AO313" s="53"/>
      <c r="AP313" s="53"/>
      <c r="AQ313" s="53"/>
      <c r="AR313" s="53"/>
      <c r="AS313" s="53"/>
      <c r="AT313" s="53"/>
      <c r="AU313" s="53"/>
      <c r="AV313" s="58"/>
      <c r="AW313" s="58"/>
      <c r="AX313" s="58"/>
      <c r="AY313" s="53"/>
      <c r="AZ313" s="53"/>
      <c r="BA313" s="53"/>
      <c r="BB313" s="53"/>
      <c r="BC313" s="53"/>
      <c r="BD313" s="53"/>
      <c r="BE313" s="53"/>
      <c r="BF313" s="53"/>
      <c r="BG313" s="53"/>
      <c r="BH313" s="53"/>
      <c r="BI313" s="53"/>
      <c r="BJ313" s="53"/>
      <c r="BK313" s="53"/>
      <c r="BL313" s="53"/>
      <c r="BM313" s="53"/>
      <c r="BN313" s="53"/>
      <c r="BO313" s="65" t="str">
        <f t="shared" si="14"/>
        <v/>
      </c>
    </row>
    <row r="314" spans="1:67" ht="19.5" customHeight="1">
      <c r="A314" s="70" t="b">
        <v>0</v>
      </c>
      <c r="B314" s="71" t="b">
        <v>1</v>
      </c>
      <c r="C314" s="72" t="b">
        <v>0</v>
      </c>
      <c r="D314" s="72" t="b">
        <v>0</v>
      </c>
      <c r="E314" s="57"/>
      <c r="F314" s="59"/>
      <c r="G314" s="57"/>
      <c r="H314" s="88"/>
      <c r="I314" s="88"/>
      <c r="J314" s="88"/>
      <c r="K314" s="89" t="b">
        <v>1</v>
      </c>
      <c r="L314" s="60"/>
      <c r="M314" s="57"/>
      <c r="N314" s="57"/>
      <c r="O314" s="61"/>
      <c r="P314" s="60"/>
      <c r="Q314" s="57"/>
      <c r="R314" s="57"/>
      <c r="S314" s="95"/>
      <c r="T314" s="88"/>
      <c r="U314" s="88"/>
      <c r="V314" s="88"/>
      <c r="W314" s="96"/>
      <c r="X314" s="97"/>
      <c r="Y314" s="97"/>
      <c r="Z314" s="98"/>
      <c r="AA314" s="99"/>
      <c r="AB314" s="98"/>
      <c r="AC314" s="88"/>
      <c r="AD314" s="98"/>
      <c r="AE314" s="64"/>
      <c r="AF314" s="67" t="str">
        <f t="shared" si="12"/>
        <v/>
      </c>
      <c r="AG314" s="58"/>
      <c r="AH314" s="68" t="str">
        <f t="shared" si="13"/>
        <v/>
      </c>
      <c r="AI314" s="53"/>
      <c r="AJ314" s="53"/>
      <c r="AK314" s="53"/>
      <c r="AL314" s="53"/>
      <c r="AM314" s="53"/>
      <c r="AN314" s="53"/>
      <c r="AO314" s="53"/>
      <c r="AP314" s="53"/>
      <c r="AQ314" s="53"/>
      <c r="AR314" s="53"/>
      <c r="AS314" s="53"/>
      <c r="AT314" s="53"/>
      <c r="AU314" s="53"/>
      <c r="AV314" s="58"/>
      <c r="AW314" s="58"/>
      <c r="AX314" s="58"/>
      <c r="AY314" s="53"/>
      <c r="AZ314" s="53"/>
      <c r="BA314" s="53"/>
      <c r="BB314" s="53"/>
      <c r="BC314" s="53"/>
      <c r="BD314" s="53"/>
      <c r="BE314" s="53"/>
      <c r="BF314" s="53"/>
      <c r="BG314" s="53"/>
      <c r="BH314" s="53"/>
      <c r="BI314" s="53"/>
      <c r="BJ314" s="53"/>
      <c r="BK314" s="53"/>
      <c r="BL314" s="53"/>
      <c r="BM314" s="53"/>
      <c r="BN314" s="53"/>
      <c r="BO314" s="65" t="str">
        <f t="shared" si="14"/>
        <v/>
      </c>
    </row>
    <row r="315" spans="1:67" ht="19.5" customHeight="1">
      <c r="A315" s="70" t="b">
        <v>0</v>
      </c>
      <c r="B315" s="71" t="b">
        <v>1</v>
      </c>
      <c r="C315" s="72" t="b">
        <v>0</v>
      </c>
      <c r="D315" s="72" t="b">
        <v>0</v>
      </c>
      <c r="E315" s="57"/>
      <c r="F315" s="59"/>
      <c r="G315" s="57"/>
      <c r="H315" s="88"/>
      <c r="I315" s="88"/>
      <c r="J315" s="88"/>
      <c r="K315" s="89" t="b">
        <v>1</v>
      </c>
      <c r="L315" s="60"/>
      <c r="M315" s="57"/>
      <c r="N315" s="57"/>
      <c r="O315" s="61"/>
      <c r="P315" s="60"/>
      <c r="Q315" s="57"/>
      <c r="R315" s="57"/>
      <c r="S315" s="95"/>
      <c r="T315" s="88"/>
      <c r="U315" s="88"/>
      <c r="V315" s="88"/>
      <c r="W315" s="96"/>
      <c r="X315" s="97"/>
      <c r="Y315" s="97"/>
      <c r="Z315" s="98"/>
      <c r="AA315" s="99"/>
      <c r="AB315" s="98"/>
      <c r="AC315" s="88"/>
      <c r="AD315" s="98"/>
      <c r="AE315" s="64"/>
      <c r="AF315" s="67" t="str">
        <f t="shared" si="12"/>
        <v/>
      </c>
      <c r="AG315" s="58"/>
      <c r="AH315" s="68" t="str">
        <f t="shared" si="13"/>
        <v/>
      </c>
      <c r="AI315" s="53"/>
      <c r="AJ315" s="53"/>
      <c r="AK315" s="53"/>
      <c r="AL315" s="53"/>
      <c r="AM315" s="53"/>
      <c r="AN315" s="53"/>
      <c r="AO315" s="53"/>
      <c r="AP315" s="53"/>
      <c r="AQ315" s="53"/>
      <c r="AR315" s="53"/>
      <c r="AS315" s="53"/>
      <c r="AT315" s="53"/>
      <c r="AU315" s="53"/>
      <c r="AV315" s="58"/>
      <c r="AW315" s="58"/>
      <c r="AX315" s="58"/>
      <c r="AY315" s="53"/>
      <c r="AZ315" s="53"/>
      <c r="BA315" s="53"/>
      <c r="BB315" s="53"/>
      <c r="BC315" s="53"/>
      <c r="BD315" s="53"/>
      <c r="BE315" s="53"/>
      <c r="BF315" s="53"/>
      <c r="BG315" s="53"/>
      <c r="BH315" s="53"/>
      <c r="BI315" s="53"/>
      <c r="BJ315" s="53"/>
      <c r="BK315" s="53"/>
      <c r="BL315" s="53"/>
      <c r="BM315" s="53"/>
      <c r="BN315" s="53"/>
      <c r="BO315" s="65" t="str">
        <f t="shared" si="14"/>
        <v/>
      </c>
    </row>
    <row r="316" spans="1:67" ht="19.5" customHeight="1">
      <c r="A316" s="70" t="b">
        <v>0</v>
      </c>
      <c r="B316" s="71" t="b">
        <v>1</v>
      </c>
      <c r="C316" s="72" t="b">
        <v>0</v>
      </c>
      <c r="D316" s="72" t="b">
        <v>0</v>
      </c>
      <c r="E316" s="57"/>
      <c r="F316" s="59"/>
      <c r="G316" s="57"/>
      <c r="H316" s="88"/>
      <c r="I316" s="88"/>
      <c r="J316" s="88"/>
      <c r="K316" s="89" t="b">
        <v>1</v>
      </c>
      <c r="L316" s="60"/>
      <c r="M316" s="57"/>
      <c r="N316" s="57"/>
      <c r="O316" s="61"/>
      <c r="P316" s="60"/>
      <c r="Q316" s="57"/>
      <c r="R316" s="57"/>
      <c r="S316" s="95"/>
      <c r="T316" s="88"/>
      <c r="U316" s="88"/>
      <c r="V316" s="88"/>
      <c r="W316" s="96"/>
      <c r="X316" s="97"/>
      <c r="Y316" s="97"/>
      <c r="Z316" s="98"/>
      <c r="AA316" s="99"/>
      <c r="AB316" s="98"/>
      <c r="AC316" s="88"/>
      <c r="AD316" s="98"/>
      <c r="AE316" s="64"/>
      <c r="AF316" s="67" t="str">
        <f t="shared" si="12"/>
        <v/>
      </c>
      <c r="AG316" s="58"/>
      <c r="AH316" s="68" t="str">
        <f t="shared" si="13"/>
        <v/>
      </c>
      <c r="AI316" s="53"/>
      <c r="AJ316" s="53"/>
      <c r="AK316" s="53"/>
      <c r="AL316" s="53"/>
      <c r="AM316" s="53"/>
      <c r="AN316" s="53"/>
      <c r="AO316" s="53"/>
      <c r="AP316" s="53"/>
      <c r="AQ316" s="53"/>
      <c r="AR316" s="53"/>
      <c r="AS316" s="53"/>
      <c r="AT316" s="53"/>
      <c r="AU316" s="53"/>
      <c r="AV316" s="58"/>
      <c r="AW316" s="58"/>
      <c r="AX316" s="58"/>
      <c r="AY316" s="53"/>
      <c r="AZ316" s="53"/>
      <c r="BA316" s="53"/>
      <c r="BB316" s="53"/>
      <c r="BC316" s="53"/>
      <c r="BD316" s="53"/>
      <c r="BE316" s="53"/>
      <c r="BF316" s="53"/>
      <c r="BG316" s="53"/>
      <c r="BH316" s="53"/>
      <c r="BI316" s="53"/>
      <c r="BJ316" s="53"/>
      <c r="BK316" s="53"/>
      <c r="BL316" s="53"/>
      <c r="BM316" s="53"/>
      <c r="BN316" s="53"/>
      <c r="BO316" s="65" t="str">
        <f t="shared" si="14"/>
        <v/>
      </c>
    </row>
    <row r="317" spans="1:67" ht="19.5" customHeight="1">
      <c r="A317" s="70" t="b">
        <v>0</v>
      </c>
      <c r="B317" s="71" t="b">
        <v>1</v>
      </c>
      <c r="C317" s="72" t="b">
        <v>0</v>
      </c>
      <c r="D317" s="72" t="b">
        <v>0</v>
      </c>
      <c r="E317" s="57"/>
      <c r="F317" s="59"/>
      <c r="G317" s="57"/>
      <c r="H317" s="88"/>
      <c r="I317" s="88"/>
      <c r="J317" s="88"/>
      <c r="K317" s="89" t="b">
        <v>1</v>
      </c>
      <c r="L317" s="60"/>
      <c r="M317" s="57"/>
      <c r="N317" s="57"/>
      <c r="O317" s="61"/>
      <c r="P317" s="60"/>
      <c r="Q317" s="57"/>
      <c r="R317" s="57"/>
      <c r="S317" s="95"/>
      <c r="T317" s="88"/>
      <c r="U317" s="88"/>
      <c r="V317" s="88"/>
      <c r="W317" s="96"/>
      <c r="X317" s="97"/>
      <c r="Y317" s="97"/>
      <c r="Z317" s="98"/>
      <c r="AA317" s="99"/>
      <c r="AB317" s="98"/>
      <c r="AC317" s="88"/>
      <c r="AD317" s="98"/>
      <c r="AE317" s="64"/>
      <c r="AF317" s="67" t="str">
        <f t="shared" si="12"/>
        <v/>
      </c>
      <c r="AG317" s="58"/>
      <c r="AH317" s="68" t="str">
        <f t="shared" si="13"/>
        <v/>
      </c>
      <c r="AI317" s="53"/>
      <c r="AJ317" s="53"/>
      <c r="AK317" s="53"/>
      <c r="AL317" s="53"/>
      <c r="AM317" s="53"/>
      <c r="AN317" s="53"/>
      <c r="AO317" s="53"/>
      <c r="AP317" s="53"/>
      <c r="AQ317" s="53"/>
      <c r="AR317" s="53"/>
      <c r="AS317" s="53"/>
      <c r="AT317" s="53"/>
      <c r="AU317" s="53"/>
      <c r="AV317" s="58"/>
      <c r="AW317" s="58"/>
      <c r="AX317" s="58"/>
      <c r="AY317" s="53"/>
      <c r="AZ317" s="53"/>
      <c r="BA317" s="53"/>
      <c r="BB317" s="53"/>
      <c r="BC317" s="53"/>
      <c r="BD317" s="53"/>
      <c r="BE317" s="53"/>
      <c r="BF317" s="53"/>
      <c r="BG317" s="53"/>
      <c r="BH317" s="53"/>
      <c r="BI317" s="53"/>
      <c r="BJ317" s="53"/>
      <c r="BK317" s="53"/>
      <c r="BL317" s="53"/>
      <c r="BM317" s="53"/>
      <c r="BN317" s="53"/>
      <c r="BO317" s="65" t="str">
        <f t="shared" si="14"/>
        <v/>
      </c>
    </row>
    <row r="318" spans="1:67" ht="19.5" customHeight="1">
      <c r="A318" s="70" t="b">
        <v>0</v>
      </c>
      <c r="B318" s="71" t="b">
        <v>1</v>
      </c>
      <c r="C318" s="72" t="b">
        <v>0</v>
      </c>
      <c r="D318" s="72" t="b">
        <v>0</v>
      </c>
      <c r="E318" s="57"/>
      <c r="F318" s="59"/>
      <c r="G318" s="57"/>
      <c r="H318" s="88"/>
      <c r="I318" s="88"/>
      <c r="J318" s="88"/>
      <c r="K318" s="89" t="b">
        <v>1</v>
      </c>
      <c r="L318" s="60"/>
      <c r="M318" s="57"/>
      <c r="N318" s="57"/>
      <c r="O318" s="61"/>
      <c r="P318" s="60"/>
      <c r="Q318" s="57"/>
      <c r="R318" s="57"/>
      <c r="S318" s="95"/>
      <c r="T318" s="88"/>
      <c r="U318" s="88"/>
      <c r="V318" s="88"/>
      <c r="W318" s="96"/>
      <c r="X318" s="97"/>
      <c r="Y318" s="97"/>
      <c r="Z318" s="98"/>
      <c r="AA318" s="99"/>
      <c r="AB318" s="98"/>
      <c r="AC318" s="88"/>
      <c r="AD318" s="98"/>
      <c r="AE318" s="64"/>
      <c r="AF318" s="67" t="str">
        <f t="shared" si="12"/>
        <v/>
      </c>
      <c r="AG318" s="58"/>
      <c r="AH318" s="68" t="str">
        <f t="shared" si="13"/>
        <v/>
      </c>
      <c r="AI318" s="53"/>
      <c r="AJ318" s="53"/>
      <c r="AK318" s="53"/>
      <c r="AL318" s="53"/>
      <c r="AM318" s="53"/>
      <c r="AN318" s="53"/>
      <c r="AO318" s="53"/>
      <c r="AP318" s="53"/>
      <c r="AQ318" s="53"/>
      <c r="AR318" s="53"/>
      <c r="AS318" s="53"/>
      <c r="AT318" s="53"/>
      <c r="AU318" s="53"/>
      <c r="AV318" s="58"/>
      <c r="AW318" s="58"/>
      <c r="AX318" s="58"/>
      <c r="AY318" s="53"/>
      <c r="AZ318" s="53"/>
      <c r="BA318" s="53"/>
      <c r="BB318" s="53"/>
      <c r="BC318" s="53"/>
      <c r="BD318" s="53"/>
      <c r="BE318" s="53"/>
      <c r="BF318" s="53"/>
      <c r="BG318" s="53"/>
      <c r="BH318" s="53"/>
      <c r="BI318" s="53"/>
      <c r="BJ318" s="53"/>
      <c r="BK318" s="53"/>
      <c r="BL318" s="53"/>
      <c r="BM318" s="53"/>
      <c r="BN318" s="53"/>
      <c r="BO318" s="65" t="str">
        <f t="shared" si="14"/>
        <v/>
      </c>
    </row>
    <row r="319" spans="1:67" ht="19.5" customHeight="1">
      <c r="A319" s="70" t="b">
        <v>0</v>
      </c>
      <c r="B319" s="71" t="b">
        <v>1</v>
      </c>
      <c r="C319" s="72" t="b">
        <v>0</v>
      </c>
      <c r="D319" s="72" t="b">
        <v>0</v>
      </c>
      <c r="E319" s="57"/>
      <c r="F319" s="59"/>
      <c r="G319" s="57"/>
      <c r="H319" s="88"/>
      <c r="I319" s="88"/>
      <c r="J319" s="88"/>
      <c r="K319" s="89" t="b">
        <v>1</v>
      </c>
      <c r="L319" s="60"/>
      <c r="M319" s="57"/>
      <c r="N319" s="57"/>
      <c r="O319" s="61"/>
      <c r="P319" s="60"/>
      <c r="Q319" s="57"/>
      <c r="R319" s="57"/>
      <c r="S319" s="95"/>
      <c r="T319" s="88"/>
      <c r="U319" s="88"/>
      <c r="V319" s="88"/>
      <c r="W319" s="96"/>
      <c r="X319" s="97"/>
      <c r="Y319" s="97"/>
      <c r="Z319" s="98"/>
      <c r="AA319" s="99"/>
      <c r="AB319" s="98"/>
      <c r="AC319" s="88"/>
      <c r="AD319" s="98"/>
      <c r="AE319" s="64"/>
      <c r="AF319" s="67" t="str">
        <f t="shared" si="12"/>
        <v/>
      </c>
      <c r="AG319" s="58"/>
      <c r="AH319" s="68" t="str">
        <f t="shared" si="13"/>
        <v/>
      </c>
      <c r="AI319" s="53"/>
      <c r="AJ319" s="53"/>
      <c r="AK319" s="53"/>
      <c r="AL319" s="53"/>
      <c r="AM319" s="53"/>
      <c r="AN319" s="53"/>
      <c r="AO319" s="53"/>
      <c r="AP319" s="53"/>
      <c r="AQ319" s="53"/>
      <c r="AR319" s="53"/>
      <c r="AS319" s="53"/>
      <c r="AT319" s="53"/>
      <c r="AU319" s="53"/>
      <c r="AV319" s="58"/>
      <c r="AW319" s="58"/>
      <c r="AX319" s="58"/>
      <c r="AY319" s="53"/>
      <c r="AZ319" s="53"/>
      <c r="BA319" s="53"/>
      <c r="BB319" s="53"/>
      <c r="BC319" s="53"/>
      <c r="BD319" s="53"/>
      <c r="BE319" s="53"/>
      <c r="BF319" s="53"/>
      <c r="BG319" s="53"/>
      <c r="BH319" s="53"/>
      <c r="BI319" s="53"/>
      <c r="BJ319" s="53"/>
      <c r="BK319" s="53"/>
      <c r="BL319" s="53"/>
      <c r="BM319" s="53"/>
      <c r="BN319" s="53"/>
      <c r="BO319" s="65" t="str">
        <f t="shared" si="14"/>
        <v/>
      </c>
    </row>
    <row r="320" spans="1:67" ht="19.5" customHeight="1">
      <c r="A320" s="70" t="b">
        <v>0</v>
      </c>
      <c r="B320" s="71" t="b">
        <v>1</v>
      </c>
      <c r="C320" s="72" t="b">
        <v>0</v>
      </c>
      <c r="D320" s="72" t="b">
        <v>0</v>
      </c>
      <c r="E320" s="57"/>
      <c r="F320" s="59"/>
      <c r="G320" s="57"/>
      <c r="H320" s="88"/>
      <c r="I320" s="88"/>
      <c r="J320" s="88"/>
      <c r="K320" s="89" t="b">
        <v>1</v>
      </c>
      <c r="L320" s="60"/>
      <c r="M320" s="57"/>
      <c r="N320" s="57"/>
      <c r="O320" s="61"/>
      <c r="P320" s="60"/>
      <c r="Q320" s="57"/>
      <c r="R320" s="57"/>
      <c r="S320" s="95"/>
      <c r="T320" s="88"/>
      <c r="U320" s="88"/>
      <c r="V320" s="88"/>
      <c r="W320" s="96"/>
      <c r="X320" s="97"/>
      <c r="Y320" s="97"/>
      <c r="Z320" s="98"/>
      <c r="AA320" s="99"/>
      <c r="AB320" s="98"/>
      <c r="AC320" s="88"/>
      <c r="AD320" s="98"/>
      <c r="AE320" s="64"/>
      <c r="AF320" s="67" t="str">
        <f t="shared" si="12"/>
        <v/>
      </c>
      <c r="AG320" s="58"/>
      <c r="AH320" s="68" t="str">
        <f t="shared" si="13"/>
        <v/>
      </c>
      <c r="AI320" s="53"/>
      <c r="AJ320" s="53"/>
      <c r="AK320" s="53"/>
      <c r="AL320" s="53"/>
      <c r="AM320" s="53"/>
      <c r="AN320" s="53"/>
      <c r="AO320" s="53"/>
      <c r="AP320" s="53"/>
      <c r="AQ320" s="53"/>
      <c r="AR320" s="53"/>
      <c r="AS320" s="53"/>
      <c r="AT320" s="53"/>
      <c r="AU320" s="53"/>
      <c r="AV320" s="58"/>
      <c r="AW320" s="58"/>
      <c r="AX320" s="58"/>
      <c r="AY320" s="53"/>
      <c r="AZ320" s="53"/>
      <c r="BA320" s="53"/>
      <c r="BB320" s="53"/>
      <c r="BC320" s="53"/>
      <c r="BD320" s="53"/>
      <c r="BE320" s="53"/>
      <c r="BF320" s="53"/>
      <c r="BG320" s="53"/>
      <c r="BH320" s="53"/>
      <c r="BI320" s="53"/>
      <c r="BJ320" s="53"/>
      <c r="BK320" s="53"/>
      <c r="BL320" s="53"/>
      <c r="BM320" s="53"/>
      <c r="BN320" s="53"/>
      <c r="BO320" s="65" t="str">
        <f t="shared" si="14"/>
        <v/>
      </c>
    </row>
    <row r="321" spans="1:67" ht="19.5" customHeight="1">
      <c r="A321" s="70" t="b">
        <v>0</v>
      </c>
      <c r="B321" s="71" t="b">
        <v>1</v>
      </c>
      <c r="C321" s="72" t="b">
        <v>0</v>
      </c>
      <c r="D321" s="72" t="b">
        <v>0</v>
      </c>
      <c r="E321" s="57"/>
      <c r="F321" s="59"/>
      <c r="G321" s="57"/>
      <c r="H321" s="88"/>
      <c r="I321" s="88"/>
      <c r="J321" s="88"/>
      <c r="K321" s="89" t="b">
        <v>1</v>
      </c>
      <c r="L321" s="60"/>
      <c r="M321" s="57"/>
      <c r="N321" s="57"/>
      <c r="O321" s="61"/>
      <c r="P321" s="60"/>
      <c r="Q321" s="57"/>
      <c r="R321" s="57"/>
      <c r="S321" s="95"/>
      <c r="T321" s="88"/>
      <c r="U321" s="88"/>
      <c r="V321" s="88"/>
      <c r="W321" s="96"/>
      <c r="X321" s="97"/>
      <c r="Y321" s="97"/>
      <c r="Z321" s="98"/>
      <c r="AA321" s="99"/>
      <c r="AB321" s="98"/>
      <c r="AC321" s="88"/>
      <c r="AD321" s="98"/>
      <c r="AE321" s="64"/>
      <c r="AF321" s="67" t="str">
        <f t="shared" si="12"/>
        <v/>
      </c>
      <c r="AG321" s="58"/>
      <c r="AH321" s="68" t="str">
        <f t="shared" si="13"/>
        <v/>
      </c>
      <c r="AI321" s="53"/>
      <c r="AJ321" s="53"/>
      <c r="AK321" s="53"/>
      <c r="AL321" s="53"/>
      <c r="AM321" s="53"/>
      <c r="AN321" s="53"/>
      <c r="AO321" s="53"/>
      <c r="AP321" s="53"/>
      <c r="AQ321" s="53"/>
      <c r="AR321" s="53"/>
      <c r="AS321" s="53"/>
      <c r="AT321" s="53"/>
      <c r="AU321" s="53"/>
      <c r="AV321" s="58"/>
      <c r="AW321" s="58"/>
      <c r="AX321" s="58"/>
      <c r="AY321" s="53"/>
      <c r="AZ321" s="53"/>
      <c r="BA321" s="53"/>
      <c r="BB321" s="53"/>
      <c r="BC321" s="53"/>
      <c r="BD321" s="53"/>
      <c r="BE321" s="53"/>
      <c r="BF321" s="53"/>
      <c r="BG321" s="53"/>
      <c r="BH321" s="53"/>
      <c r="BI321" s="53"/>
      <c r="BJ321" s="53"/>
      <c r="BK321" s="53"/>
      <c r="BL321" s="53"/>
      <c r="BM321" s="53"/>
      <c r="BN321" s="53"/>
      <c r="BO321" s="65" t="str">
        <f t="shared" si="14"/>
        <v/>
      </c>
    </row>
    <row r="322" spans="1:67" ht="19.5" customHeight="1">
      <c r="A322" s="70" t="b">
        <v>0</v>
      </c>
      <c r="B322" s="71" t="b">
        <v>1</v>
      </c>
      <c r="C322" s="72" t="b">
        <v>0</v>
      </c>
      <c r="D322" s="72" t="b">
        <v>0</v>
      </c>
      <c r="E322" s="57"/>
      <c r="F322" s="59"/>
      <c r="G322" s="57"/>
      <c r="H322" s="88"/>
      <c r="I322" s="88"/>
      <c r="J322" s="88"/>
      <c r="K322" s="89" t="b">
        <v>1</v>
      </c>
      <c r="L322" s="60"/>
      <c r="M322" s="57"/>
      <c r="N322" s="57"/>
      <c r="O322" s="61"/>
      <c r="P322" s="60"/>
      <c r="Q322" s="57"/>
      <c r="R322" s="57"/>
      <c r="S322" s="95"/>
      <c r="T322" s="88"/>
      <c r="U322" s="88"/>
      <c r="V322" s="88"/>
      <c r="W322" s="96"/>
      <c r="X322" s="97"/>
      <c r="Y322" s="97"/>
      <c r="Z322" s="98"/>
      <c r="AA322" s="99"/>
      <c r="AB322" s="98"/>
      <c r="AC322" s="88"/>
      <c r="AD322" s="98"/>
      <c r="AE322" s="64"/>
      <c r="AF322" s="67" t="str">
        <f t="shared" si="12"/>
        <v/>
      </c>
      <c r="AG322" s="58"/>
      <c r="AH322" s="68" t="str">
        <f t="shared" si="13"/>
        <v/>
      </c>
      <c r="AI322" s="53"/>
      <c r="AJ322" s="53"/>
      <c r="AK322" s="53"/>
      <c r="AL322" s="53"/>
      <c r="AM322" s="53"/>
      <c r="AN322" s="53"/>
      <c r="AO322" s="53"/>
      <c r="AP322" s="53"/>
      <c r="AQ322" s="53"/>
      <c r="AR322" s="53"/>
      <c r="AS322" s="53"/>
      <c r="AT322" s="53"/>
      <c r="AU322" s="53"/>
      <c r="AV322" s="58"/>
      <c r="AW322" s="58"/>
      <c r="AX322" s="58"/>
      <c r="AY322" s="53"/>
      <c r="AZ322" s="53"/>
      <c r="BA322" s="53"/>
      <c r="BB322" s="53"/>
      <c r="BC322" s="53"/>
      <c r="BD322" s="53"/>
      <c r="BE322" s="53"/>
      <c r="BF322" s="53"/>
      <c r="BG322" s="53"/>
      <c r="BH322" s="53"/>
      <c r="BI322" s="53"/>
      <c r="BJ322" s="53"/>
      <c r="BK322" s="53"/>
      <c r="BL322" s="53"/>
      <c r="BM322" s="53"/>
      <c r="BN322" s="53"/>
      <c r="BO322" s="65" t="str">
        <f t="shared" si="14"/>
        <v/>
      </c>
    </row>
    <row r="323" spans="1:67" ht="19.5" customHeight="1">
      <c r="A323" s="70" t="b">
        <v>0</v>
      </c>
      <c r="B323" s="71" t="b">
        <v>1</v>
      </c>
      <c r="C323" s="72" t="b">
        <v>0</v>
      </c>
      <c r="D323" s="72" t="b">
        <v>0</v>
      </c>
      <c r="E323" s="57"/>
      <c r="F323" s="59"/>
      <c r="G323" s="57"/>
      <c r="H323" s="88"/>
      <c r="I323" s="88"/>
      <c r="J323" s="88"/>
      <c r="K323" s="89" t="b">
        <v>1</v>
      </c>
      <c r="L323" s="60"/>
      <c r="M323" s="57"/>
      <c r="N323" s="57"/>
      <c r="O323" s="61"/>
      <c r="P323" s="60"/>
      <c r="Q323" s="57"/>
      <c r="R323" s="57"/>
      <c r="S323" s="95"/>
      <c r="T323" s="88"/>
      <c r="U323" s="88"/>
      <c r="V323" s="88"/>
      <c r="W323" s="96"/>
      <c r="X323" s="97"/>
      <c r="Y323" s="97"/>
      <c r="Z323" s="98"/>
      <c r="AA323" s="99"/>
      <c r="AB323" s="98"/>
      <c r="AC323" s="88"/>
      <c r="AD323" s="98"/>
      <c r="AE323" s="64"/>
      <c r="AF323" s="67" t="str">
        <f t="shared" si="12"/>
        <v/>
      </c>
      <c r="AG323" s="58"/>
      <c r="AH323" s="68" t="str">
        <f t="shared" si="13"/>
        <v/>
      </c>
      <c r="AI323" s="53"/>
      <c r="AJ323" s="53"/>
      <c r="AK323" s="53"/>
      <c r="AL323" s="53"/>
      <c r="AM323" s="53"/>
      <c r="AN323" s="53"/>
      <c r="AO323" s="53"/>
      <c r="AP323" s="53"/>
      <c r="AQ323" s="53"/>
      <c r="AR323" s="53"/>
      <c r="AS323" s="53"/>
      <c r="AT323" s="53"/>
      <c r="AU323" s="53"/>
      <c r="AV323" s="58"/>
      <c r="AW323" s="58"/>
      <c r="AX323" s="58"/>
      <c r="AY323" s="53"/>
      <c r="AZ323" s="53"/>
      <c r="BA323" s="53"/>
      <c r="BB323" s="53"/>
      <c r="BC323" s="53"/>
      <c r="BD323" s="53"/>
      <c r="BE323" s="53"/>
      <c r="BF323" s="53"/>
      <c r="BG323" s="53"/>
      <c r="BH323" s="53"/>
      <c r="BI323" s="53"/>
      <c r="BJ323" s="53"/>
      <c r="BK323" s="53"/>
      <c r="BL323" s="53"/>
      <c r="BM323" s="53"/>
      <c r="BN323" s="53"/>
      <c r="BO323" s="65" t="str">
        <f t="shared" si="14"/>
        <v/>
      </c>
    </row>
    <row r="324" spans="1:67" ht="19.5" customHeight="1">
      <c r="A324" s="70" t="b">
        <v>0</v>
      </c>
      <c r="B324" s="71" t="b">
        <v>1</v>
      </c>
      <c r="C324" s="72" t="b">
        <v>0</v>
      </c>
      <c r="D324" s="72" t="b">
        <v>0</v>
      </c>
      <c r="E324" s="57"/>
      <c r="F324" s="59"/>
      <c r="G324" s="57"/>
      <c r="H324" s="88"/>
      <c r="I324" s="88"/>
      <c r="J324" s="88"/>
      <c r="K324" s="89" t="b">
        <v>1</v>
      </c>
      <c r="L324" s="60"/>
      <c r="M324" s="57"/>
      <c r="N324" s="57"/>
      <c r="O324" s="61"/>
      <c r="P324" s="60"/>
      <c r="Q324" s="57"/>
      <c r="R324" s="57"/>
      <c r="S324" s="95"/>
      <c r="T324" s="88"/>
      <c r="U324" s="88"/>
      <c r="V324" s="88"/>
      <c r="W324" s="96"/>
      <c r="X324" s="97"/>
      <c r="Y324" s="97"/>
      <c r="Z324" s="98"/>
      <c r="AA324" s="99"/>
      <c r="AB324" s="98"/>
      <c r="AC324" s="88"/>
      <c r="AD324" s="98"/>
      <c r="AE324" s="64"/>
      <c r="AF324" s="67" t="str">
        <f t="shared" si="12"/>
        <v/>
      </c>
      <c r="AG324" s="58"/>
      <c r="AH324" s="68" t="str">
        <f t="shared" si="13"/>
        <v/>
      </c>
      <c r="AI324" s="53"/>
      <c r="AJ324" s="53"/>
      <c r="AK324" s="53"/>
      <c r="AL324" s="53"/>
      <c r="AM324" s="53"/>
      <c r="AN324" s="53"/>
      <c r="AO324" s="53"/>
      <c r="AP324" s="53"/>
      <c r="AQ324" s="53"/>
      <c r="AR324" s="53"/>
      <c r="AS324" s="53"/>
      <c r="AT324" s="53"/>
      <c r="AU324" s="53"/>
      <c r="AV324" s="58"/>
      <c r="AW324" s="58"/>
      <c r="AX324" s="58"/>
      <c r="AY324" s="53"/>
      <c r="AZ324" s="53"/>
      <c r="BA324" s="53"/>
      <c r="BB324" s="53"/>
      <c r="BC324" s="53"/>
      <c r="BD324" s="53"/>
      <c r="BE324" s="53"/>
      <c r="BF324" s="53"/>
      <c r="BG324" s="53"/>
      <c r="BH324" s="53"/>
      <c r="BI324" s="53"/>
      <c r="BJ324" s="53"/>
      <c r="BK324" s="53"/>
      <c r="BL324" s="53"/>
      <c r="BM324" s="53"/>
      <c r="BN324" s="53"/>
      <c r="BO324" s="65" t="str">
        <f t="shared" si="14"/>
        <v/>
      </c>
    </row>
    <row r="325" spans="1:67" ht="19.5" customHeight="1">
      <c r="A325" s="70" t="b">
        <v>0</v>
      </c>
      <c r="B325" s="71" t="b">
        <v>1</v>
      </c>
      <c r="C325" s="72" t="b">
        <v>0</v>
      </c>
      <c r="D325" s="72" t="b">
        <v>0</v>
      </c>
      <c r="E325" s="57"/>
      <c r="F325" s="59"/>
      <c r="G325" s="57"/>
      <c r="H325" s="88"/>
      <c r="I325" s="88"/>
      <c r="J325" s="88"/>
      <c r="K325" s="89" t="b">
        <v>1</v>
      </c>
      <c r="L325" s="60"/>
      <c r="M325" s="57"/>
      <c r="N325" s="57"/>
      <c r="O325" s="61"/>
      <c r="P325" s="60"/>
      <c r="Q325" s="57"/>
      <c r="R325" s="57"/>
      <c r="S325" s="95"/>
      <c r="T325" s="88"/>
      <c r="U325" s="88"/>
      <c r="V325" s="88"/>
      <c r="W325" s="96"/>
      <c r="X325" s="97"/>
      <c r="Y325" s="97"/>
      <c r="Z325" s="98"/>
      <c r="AA325" s="99"/>
      <c r="AB325" s="98"/>
      <c r="AC325" s="88"/>
      <c r="AD325" s="98"/>
      <c r="AE325" s="64"/>
      <c r="AF325" s="67" t="str">
        <f t="shared" si="12"/>
        <v/>
      </c>
      <c r="AG325" s="58"/>
      <c r="AH325" s="68" t="str">
        <f t="shared" si="13"/>
        <v/>
      </c>
      <c r="AI325" s="53"/>
      <c r="AJ325" s="53"/>
      <c r="AK325" s="53"/>
      <c r="AL325" s="53"/>
      <c r="AM325" s="53"/>
      <c r="AN325" s="53"/>
      <c r="AO325" s="53"/>
      <c r="AP325" s="53"/>
      <c r="AQ325" s="53"/>
      <c r="AR325" s="53"/>
      <c r="AS325" s="53"/>
      <c r="AT325" s="53"/>
      <c r="AU325" s="53"/>
      <c r="AV325" s="58"/>
      <c r="AW325" s="58"/>
      <c r="AX325" s="58"/>
      <c r="AY325" s="53"/>
      <c r="AZ325" s="53"/>
      <c r="BA325" s="53"/>
      <c r="BB325" s="53"/>
      <c r="BC325" s="53"/>
      <c r="BD325" s="53"/>
      <c r="BE325" s="53"/>
      <c r="BF325" s="53"/>
      <c r="BG325" s="53"/>
      <c r="BH325" s="53"/>
      <c r="BI325" s="53"/>
      <c r="BJ325" s="53"/>
      <c r="BK325" s="53"/>
      <c r="BL325" s="53"/>
      <c r="BM325" s="53"/>
      <c r="BN325" s="53"/>
      <c r="BO325" s="65" t="str">
        <f t="shared" si="14"/>
        <v/>
      </c>
    </row>
    <row r="326" spans="1:67" ht="19.5" customHeight="1">
      <c r="A326" s="70" t="b">
        <v>0</v>
      </c>
      <c r="B326" s="71" t="b">
        <v>1</v>
      </c>
      <c r="C326" s="72" t="b">
        <v>0</v>
      </c>
      <c r="D326" s="72" t="b">
        <v>0</v>
      </c>
      <c r="E326" s="57"/>
      <c r="F326" s="59"/>
      <c r="G326" s="57"/>
      <c r="H326" s="88"/>
      <c r="I326" s="88"/>
      <c r="J326" s="88"/>
      <c r="K326" s="89" t="b">
        <v>1</v>
      </c>
      <c r="L326" s="60"/>
      <c r="M326" s="57"/>
      <c r="N326" s="57"/>
      <c r="O326" s="61"/>
      <c r="P326" s="60"/>
      <c r="Q326" s="57"/>
      <c r="R326" s="57"/>
      <c r="S326" s="95"/>
      <c r="T326" s="88"/>
      <c r="U326" s="88"/>
      <c r="V326" s="88"/>
      <c r="W326" s="96"/>
      <c r="X326" s="97"/>
      <c r="Y326" s="97"/>
      <c r="Z326" s="98"/>
      <c r="AA326" s="99"/>
      <c r="AB326" s="98"/>
      <c r="AC326" s="88"/>
      <c r="AD326" s="98"/>
      <c r="AE326" s="64"/>
      <c r="AF326" s="67" t="str">
        <f t="shared" si="12"/>
        <v/>
      </c>
      <c r="AG326" s="58"/>
      <c r="AH326" s="68" t="str">
        <f t="shared" si="13"/>
        <v/>
      </c>
      <c r="AI326" s="53"/>
      <c r="AJ326" s="53"/>
      <c r="AK326" s="53"/>
      <c r="AL326" s="53"/>
      <c r="AM326" s="53"/>
      <c r="AN326" s="53"/>
      <c r="AO326" s="53"/>
      <c r="AP326" s="53"/>
      <c r="AQ326" s="53"/>
      <c r="AR326" s="53"/>
      <c r="AS326" s="53"/>
      <c r="AT326" s="53"/>
      <c r="AU326" s="53"/>
      <c r="AV326" s="58"/>
      <c r="AW326" s="58"/>
      <c r="AX326" s="58"/>
      <c r="AY326" s="53"/>
      <c r="AZ326" s="53"/>
      <c r="BA326" s="53"/>
      <c r="BB326" s="53"/>
      <c r="BC326" s="53"/>
      <c r="BD326" s="53"/>
      <c r="BE326" s="53"/>
      <c r="BF326" s="53"/>
      <c r="BG326" s="53"/>
      <c r="BH326" s="53"/>
      <c r="BI326" s="53"/>
      <c r="BJ326" s="53"/>
      <c r="BK326" s="53"/>
      <c r="BL326" s="53"/>
      <c r="BM326" s="53"/>
      <c r="BN326" s="53"/>
      <c r="BO326" s="65" t="str">
        <f t="shared" si="14"/>
        <v/>
      </c>
    </row>
    <row r="327" spans="1:67" ht="19.5" customHeight="1">
      <c r="A327" s="70" t="b">
        <v>0</v>
      </c>
      <c r="B327" s="71" t="b">
        <v>1</v>
      </c>
      <c r="C327" s="72" t="b">
        <v>0</v>
      </c>
      <c r="D327" s="72" t="b">
        <v>0</v>
      </c>
      <c r="E327" s="57"/>
      <c r="F327" s="59"/>
      <c r="G327" s="57"/>
      <c r="H327" s="88"/>
      <c r="I327" s="88"/>
      <c r="J327" s="88"/>
      <c r="K327" s="89" t="b">
        <v>1</v>
      </c>
      <c r="L327" s="60"/>
      <c r="M327" s="57"/>
      <c r="N327" s="57"/>
      <c r="O327" s="61"/>
      <c r="P327" s="60"/>
      <c r="Q327" s="57"/>
      <c r="R327" s="57"/>
      <c r="S327" s="95"/>
      <c r="T327" s="88"/>
      <c r="U327" s="88"/>
      <c r="V327" s="88"/>
      <c r="W327" s="96"/>
      <c r="X327" s="97"/>
      <c r="Y327" s="97"/>
      <c r="Z327" s="98"/>
      <c r="AA327" s="99"/>
      <c r="AB327" s="98"/>
      <c r="AC327" s="88"/>
      <c r="AD327" s="98"/>
      <c r="AE327" s="64"/>
      <c r="AF327" s="67" t="str">
        <f t="shared" si="12"/>
        <v/>
      </c>
      <c r="AG327" s="58"/>
      <c r="AH327" s="68" t="str">
        <f t="shared" si="13"/>
        <v/>
      </c>
      <c r="AI327" s="53"/>
      <c r="AJ327" s="53"/>
      <c r="AK327" s="53"/>
      <c r="AL327" s="53"/>
      <c r="AM327" s="53"/>
      <c r="AN327" s="53"/>
      <c r="AO327" s="53"/>
      <c r="AP327" s="53"/>
      <c r="AQ327" s="53"/>
      <c r="AR327" s="53"/>
      <c r="AS327" s="53"/>
      <c r="AT327" s="53"/>
      <c r="AU327" s="53"/>
      <c r="AV327" s="58"/>
      <c r="AW327" s="58"/>
      <c r="AX327" s="58"/>
      <c r="AY327" s="53"/>
      <c r="AZ327" s="53"/>
      <c r="BA327" s="53"/>
      <c r="BB327" s="53"/>
      <c r="BC327" s="53"/>
      <c r="BD327" s="53"/>
      <c r="BE327" s="53"/>
      <c r="BF327" s="53"/>
      <c r="BG327" s="53"/>
      <c r="BH327" s="53"/>
      <c r="BI327" s="53"/>
      <c r="BJ327" s="53"/>
      <c r="BK327" s="53"/>
      <c r="BL327" s="53"/>
      <c r="BM327" s="53"/>
      <c r="BN327" s="53"/>
      <c r="BO327" s="65" t="str">
        <f t="shared" si="14"/>
        <v/>
      </c>
    </row>
    <row r="328" spans="1:67" ht="19.5" customHeight="1">
      <c r="A328" s="70" t="b">
        <v>0</v>
      </c>
      <c r="B328" s="71" t="b">
        <v>1</v>
      </c>
      <c r="C328" s="72" t="b">
        <v>0</v>
      </c>
      <c r="D328" s="72" t="b">
        <v>0</v>
      </c>
      <c r="E328" s="57"/>
      <c r="F328" s="59"/>
      <c r="G328" s="57"/>
      <c r="H328" s="88"/>
      <c r="I328" s="88"/>
      <c r="J328" s="88"/>
      <c r="K328" s="89" t="b">
        <v>1</v>
      </c>
      <c r="L328" s="60"/>
      <c r="M328" s="57"/>
      <c r="N328" s="57"/>
      <c r="O328" s="61"/>
      <c r="P328" s="60"/>
      <c r="Q328" s="57"/>
      <c r="R328" s="57"/>
      <c r="S328" s="95"/>
      <c r="T328" s="88"/>
      <c r="U328" s="88"/>
      <c r="V328" s="88"/>
      <c r="W328" s="96"/>
      <c r="X328" s="97"/>
      <c r="Y328" s="97"/>
      <c r="Z328" s="98"/>
      <c r="AA328" s="99"/>
      <c r="AB328" s="98"/>
      <c r="AC328" s="88"/>
      <c r="AD328" s="98"/>
      <c r="AE328" s="64"/>
      <c r="AF328" s="67" t="str">
        <f t="shared" si="12"/>
        <v/>
      </c>
      <c r="AG328" s="58"/>
      <c r="AH328" s="68" t="str">
        <f t="shared" si="13"/>
        <v/>
      </c>
      <c r="AI328" s="53"/>
      <c r="AJ328" s="53"/>
      <c r="AK328" s="53"/>
      <c r="AL328" s="53"/>
      <c r="AM328" s="53"/>
      <c r="AN328" s="53"/>
      <c r="AO328" s="53"/>
      <c r="AP328" s="53"/>
      <c r="AQ328" s="53"/>
      <c r="AR328" s="53"/>
      <c r="AS328" s="53"/>
      <c r="AT328" s="53"/>
      <c r="AU328" s="53"/>
      <c r="AV328" s="58"/>
      <c r="AW328" s="58"/>
      <c r="AX328" s="58"/>
      <c r="AY328" s="53"/>
      <c r="AZ328" s="53"/>
      <c r="BA328" s="53"/>
      <c r="BB328" s="53"/>
      <c r="BC328" s="53"/>
      <c r="BD328" s="53"/>
      <c r="BE328" s="53"/>
      <c r="BF328" s="53"/>
      <c r="BG328" s="53"/>
      <c r="BH328" s="53"/>
      <c r="BI328" s="53"/>
      <c r="BJ328" s="53"/>
      <c r="BK328" s="53"/>
      <c r="BL328" s="53"/>
      <c r="BM328" s="53"/>
      <c r="BN328" s="53"/>
      <c r="BO328" s="65" t="str">
        <f t="shared" si="14"/>
        <v/>
      </c>
    </row>
    <row r="329" spans="1:67" ht="19.5" customHeight="1">
      <c r="A329" s="70" t="b">
        <v>0</v>
      </c>
      <c r="B329" s="71" t="b">
        <v>1</v>
      </c>
      <c r="C329" s="72" t="b">
        <v>0</v>
      </c>
      <c r="D329" s="72" t="b">
        <v>0</v>
      </c>
      <c r="E329" s="57"/>
      <c r="F329" s="59"/>
      <c r="G329" s="57"/>
      <c r="H329" s="88"/>
      <c r="I329" s="88"/>
      <c r="J329" s="88"/>
      <c r="K329" s="89" t="b">
        <v>1</v>
      </c>
      <c r="L329" s="60"/>
      <c r="M329" s="57"/>
      <c r="N329" s="57"/>
      <c r="O329" s="61"/>
      <c r="P329" s="60"/>
      <c r="Q329" s="57"/>
      <c r="R329" s="57"/>
      <c r="S329" s="95"/>
      <c r="T329" s="88"/>
      <c r="U329" s="88"/>
      <c r="V329" s="88"/>
      <c r="W329" s="96"/>
      <c r="X329" s="97"/>
      <c r="Y329" s="97"/>
      <c r="Z329" s="98"/>
      <c r="AA329" s="99"/>
      <c r="AB329" s="98"/>
      <c r="AC329" s="88"/>
      <c r="AD329" s="98"/>
      <c r="AE329" s="64"/>
      <c r="AF329" s="67" t="str">
        <f t="shared" si="12"/>
        <v/>
      </c>
      <c r="AG329" s="58"/>
      <c r="AH329" s="68" t="str">
        <f t="shared" si="13"/>
        <v/>
      </c>
      <c r="AI329" s="53"/>
      <c r="AJ329" s="53"/>
      <c r="AK329" s="53"/>
      <c r="AL329" s="53"/>
      <c r="AM329" s="53"/>
      <c r="AN329" s="53"/>
      <c r="AO329" s="53"/>
      <c r="AP329" s="53"/>
      <c r="AQ329" s="53"/>
      <c r="AR329" s="53"/>
      <c r="AS329" s="53"/>
      <c r="AT329" s="53"/>
      <c r="AU329" s="53"/>
      <c r="AV329" s="58"/>
      <c r="AW329" s="58"/>
      <c r="AX329" s="58"/>
      <c r="AY329" s="53"/>
      <c r="AZ329" s="53"/>
      <c r="BA329" s="53"/>
      <c r="BB329" s="53"/>
      <c r="BC329" s="53"/>
      <c r="BD329" s="53"/>
      <c r="BE329" s="53"/>
      <c r="BF329" s="53"/>
      <c r="BG329" s="53"/>
      <c r="BH329" s="53"/>
      <c r="BI329" s="53"/>
      <c r="BJ329" s="53"/>
      <c r="BK329" s="53"/>
      <c r="BL329" s="53"/>
      <c r="BM329" s="53"/>
      <c r="BN329" s="53"/>
      <c r="BO329" s="65" t="str">
        <f t="shared" si="14"/>
        <v/>
      </c>
    </row>
    <row r="330" spans="1:67" ht="19.5" customHeight="1">
      <c r="A330" s="70" t="b">
        <v>0</v>
      </c>
      <c r="B330" s="71" t="b">
        <v>1</v>
      </c>
      <c r="C330" s="72" t="b">
        <v>0</v>
      </c>
      <c r="D330" s="72" t="b">
        <v>0</v>
      </c>
      <c r="E330" s="57"/>
      <c r="F330" s="59"/>
      <c r="G330" s="57"/>
      <c r="H330" s="88"/>
      <c r="I330" s="88"/>
      <c r="J330" s="88"/>
      <c r="K330" s="89" t="b">
        <v>1</v>
      </c>
      <c r="L330" s="60"/>
      <c r="M330" s="57"/>
      <c r="N330" s="57"/>
      <c r="O330" s="61"/>
      <c r="P330" s="60"/>
      <c r="Q330" s="57"/>
      <c r="R330" s="57"/>
      <c r="S330" s="95"/>
      <c r="T330" s="88"/>
      <c r="U330" s="88"/>
      <c r="V330" s="88"/>
      <c r="W330" s="96"/>
      <c r="X330" s="97"/>
      <c r="Y330" s="97"/>
      <c r="Z330" s="98"/>
      <c r="AA330" s="99"/>
      <c r="AB330" s="98"/>
      <c r="AC330" s="88"/>
      <c r="AD330" s="98"/>
      <c r="AE330" s="64"/>
      <c r="AF330" s="67" t="str">
        <f t="shared" si="12"/>
        <v/>
      </c>
      <c r="AG330" s="58"/>
      <c r="AH330" s="68" t="str">
        <f t="shared" si="13"/>
        <v/>
      </c>
      <c r="AI330" s="53"/>
      <c r="AJ330" s="53"/>
      <c r="AK330" s="53"/>
      <c r="AL330" s="53"/>
      <c r="AM330" s="53"/>
      <c r="AN330" s="53"/>
      <c r="AO330" s="53"/>
      <c r="AP330" s="53"/>
      <c r="AQ330" s="53"/>
      <c r="AR330" s="53"/>
      <c r="AS330" s="53"/>
      <c r="AT330" s="53"/>
      <c r="AU330" s="53"/>
      <c r="AV330" s="58"/>
      <c r="AW330" s="58"/>
      <c r="AX330" s="58"/>
      <c r="AY330" s="53"/>
      <c r="AZ330" s="53"/>
      <c r="BA330" s="53"/>
      <c r="BB330" s="53"/>
      <c r="BC330" s="53"/>
      <c r="BD330" s="53"/>
      <c r="BE330" s="53"/>
      <c r="BF330" s="53"/>
      <c r="BG330" s="53"/>
      <c r="BH330" s="53"/>
      <c r="BI330" s="53"/>
      <c r="BJ330" s="53"/>
      <c r="BK330" s="53"/>
      <c r="BL330" s="53"/>
      <c r="BM330" s="53"/>
      <c r="BN330" s="53"/>
      <c r="BO330" s="65" t="str">
        <f t="shared" si="14"/>
        <v/>
      </c>
    </row>
    <row r="331" spans="1:67" ht="19.5" customHeight="1">
      <c r="A331" s="70" t="b">
        <v>0</v>
      </c>
      <c r="B331" s="71" t="b">
        <v>1</v>
      </c>
      <c r="C331" s="72" t="b">
        <v>0</v>
      </c>
      <c r="D331" s="72" t="b">
        <v>0</v>
      </c>
      <c r="E331" s="57"/>
      <c r="F331" s="59"/>
      <c r="G331" s="57"/>
      <c r="H331" s="88"/>
      <c r="I331" s="88"/>
      <c r="J331" s="88"/>
      <c r="K331" s="89" t="b">
        <v>1</v>
      </c>
      <c r="L331" s="60"/>
      <c r="M331" s="57"/>
      <c r="N331" s="57"/>
      <c r="O331" s="61"/>
      <c r="P331" s="60"/>
      <c r="Q331" s="57"/>
      <c r="R331" s="57"/>
      <c r="S331" s="95"/>
      <c r="T331" s="88"/>
      <c r="U331" s="88"/>
      <c r="V331" s="88"/>
      <c r="W331" s="96"/>
      <c r="X331" s="97"/>
      <c r="Y331" s="97"/>
      <c r="Z331" s="98"/>
      <c r="AA331" s="99"/>
      <c r="AB331" s="98"/>
      <c r="AC331" s="88"/>
      <c r="AD331" s="98"/>
      <c r="AE331" s="64"/>
      <c r="AF331" s="67" t="str">
        <f t="shared" si="12"/>
        <v/>
      </c>
      <c r="AG331" s="58"/>
      <c r="AH331" s="68" t="str">
        <f t="shared" si="13"/>
        <v/>
      </c>
      <c r="AI331" s="53"/>
      <c r="AJ331" s="53"/>
      <c r="AK331" s="53"/>
      <c r="AL331" s="53"/>
      <c r="AM331" s="53"/>
      <c r="AN331" s="53"/>
      <c r="AO331" s="53"/>
      <c r="AP331" s="53"/>
      <c r="AQ331" s="53"/>
      <c r="AR331" s="53"/>
      <c r="AS331" s="53"/>
      <c r="AT331" s="53"/>
      <c r="AU331" s="53"/>
      <c r="AV331" s="58"/>
      <c r="AW331" s="58"/>
      <c r="AX331" s="58"/>
      <c r="AY331" s="53"/>
      <c r="AZ331" s="53"/>
      <c r="BA331" s="53"/>
      <c r="BB331" s="53"/>
      <c r="BC331" s="53"/>
      <c r="BD331" s="53"/>
      <c r="BE331" s="53"/>
      <c r="BF331" s="53"/>
      <c r="BG331" s="53"/>
      <c r="BH331" s="53"/>
      <c r="BI331" s="53"/>
      <c r="BJ331" s="53"/>
      <c r="BK331" s="53"/>
      <c r="BL331" s="53"/>
      <c r="BM331" s="53"/>
      <c r="BN331" s="53"/>
      <c r="BO331" s="65" t="str">
        <f t="shared" si="14"/>
        <v/>
      </c>
    </row>
    <row r="332" spans="1:67" ht="19.5" customHeight="1">
      <c r="A332" s="70" t="b">
        <v>0</v>
      </c>
      <c r="B332" s="71" t="b">
        <v>1</v>
      </c>
      <c r="C332" s="72" t="b">
        <v>0</v>
      </c>
      <c r="D332" s="72" t="b">
        <v>0</v>
      </c>
      <c r="E332" s="57"/>
      <c r="F332" s="59"/>
      <c r="G332" s="57"/>
      <c r="H332" s="88"/>
      <c r="I332" s="88"/>
      <c r="J332" s="88"/>
      <c r="K332" s="89" t="b">
        <v>1</v>
      </c>
      <c r="L332" s="60"/>
      <c r="M332" s="57"/>
      <c r="N332" s="57"/>
      <c r="O332" s="61"/>
      <c r="P332" s="60"/>
      <c r="Q332" s="57"/>
      <c r="R332" s="57"/>
      <c r="S332" s="95"/>
      <c r="T332" s="88"/>
      <c r="U332" s="88"/>
      <c r="V332" s="88"/>
      <c r="W332" s="96"/>
      <c r="X332" s="97"/>
      <c r="Y332" s="97"/>
      <c r="Z332" s="98"/>
      <c r="AA332" s="99"/>
      <c r="AB332" s="98"/>
      <c r="AC332" s="88"/>
      <c r="AD332" s="98"/>
      <c r="AE332" s="64"/>
      <c r="AF332" s="67" t="str">
        <f t="shared" si="12"/>
        <v/>
      </c>
      <c r="AG332" s="58"/>
      <c r="AH332" s="68" t="str">
        <f t="shared" si="13"/>
        <v/>
      </c>
      <c r="AI332" s="53"/>
      <c r="AJ332" s="53"/>
      <c r="AK332" s="53"/>
      <c r="AL332" s="53"/>
      <c r="AM332" s="53"/>
      <c r="AN332" s="53"/>
      <c r="AO332" s="53"/>
      <c r="AP332" s="53"/>
      <c r="AQ332" s="53"/>
      <c r="AR332" s="53"/>
      <c r="AS332" s="53"/>
      <c r="AT332" s="53"/>
      <c r="AU332" s="53"/>
      <c r="AV332" s="58"/>
      <c r="AW332" s="58"/>
      <c r="AX332" s="58"/>
      <c r="AY332" s="53"/>
      <c r="AZ332" s="53"/>
      <c r="BA332" s="53"/>
      <c r="BB332" s="53"/>
      <c r="BC332" s="53"/>
      <c r="BD332" s="53"/>
      <c r="BE332" s="53"/>
      <c r="BF332" s="53"/>
      <c r="BG332" s="53"/>
      <c r="BH332" s="53"/>
      <c r="BI332" s="53"/>
      <c r="BJ332" s="53"/>
      <c r="BK332" s="53"/>
      <c r="BL332" s="53"/>
      <c r="BM332" s="53"/>
      <c r="BN332" s="53"/>
      <c r="BO332" s="65" t="str">
        <f t="shared" si="14"/>
        <v/>
      </c>
    </row>
    <row r="333" spans="1:67" ht="19.5" customHeight="1">
      <c r="A333" s="70" t="b">
        <v>0</v>
      </c>
      <c r="B333" s="71" t="b">
        <v>1</v>
      </c>
      <c r="C333" s="72" t="b">
        <v>0</v>
      </c>
      <c r="D333" s="72" t="b">
        <v>0</v>
      </c>
      <c r="E333" s="57"/>
      <c r="F333" s="59"/>
      <c r="G333" s="57"/>
      <c r="H333" s="88"/>
      <c r="I333" s="88"/>
      <c r="J333" s="88"/>
      <c r="K333" s="89" t="b">
        <v>1</v>
      </c>
      <c r="L333" s="60"/>
      <c r="M333" s="57"/>
      <c r="N333" s="57"/>
      <c r="O333" s="61"/>
      <c r="P333" s="60"/>
      <c r="Q333" s="57"/>
      <c r="R333" s="57"/>
      <c r="S333" s="95"/>
      <c r="T333" s="88"/>
      <c r="U333" s="88"/>
      <c r="V333" s="88"/>
      <c r="W333" s="96"/>
      <c r="X333" s="97"/>
      <c r="Y333" s="97"/>
      <c r="Z333" s="98"/>
      <c r="AA333" s="99"/>
      <c r="AB333" s="98"/>
      <c r="AC333" s="88"/>
      <c r="AD333" s="98"/>
      <c r="AE333" s="64"/>
      <c r="AF333" s="67" t="str">
        <f t="shared" si="12"/>
        <v/>
      </c>
      <c r="AG333" s="58"/>
      <c r="AH333" s="68" t="str">
        <f t="shared" si="13"/>
        <v/>
      </c>
      <c r="AI333" s="53"/>
      <c r="AJ333" s="53"/>
      <c r="AK333" s="53"/>
      <c r="AL333" s="53"/>
      <c r="AM333" s="53"/>
      <c r="AN333" s="53"/>
      <c r="AO333" s="53"/>
      <c r="AP333" s="53"/>
      <c r="AQ333" s="53"/>
      <c r="AR333" s="53"/>
      <c r="AS333" s="53"/>
      <c r="AT333" s="53"/>
      <c r="AU333" s="53"/>
      <c r="AV333" s="58"/>
      <c r="AW333" s="58"/>
      <c r="AX333" s="58"/>
      <c r="AY333" s="53"/>
      <c r="AZ333" s="53"/>
      <c r="BA333" s="53"/>
      <c r="BB333" s="53"/>
      <c r="BC333" s="53"/>
      <c r="BD333" s="53"/>
      <c r="BE333" s="53"/>
      <c r="BF333" s="53"/>
      <c r="BG333" s="53"/>
      <c r="BH333" s="53"/>
      <c r="BI333" s="53"/>
      <c r="BJ333" s="53"/>
      <c r="BK333" s="53"/>
      <c r="BL333" s="53"/>
      <c r="BM333" s="53"/>
      <c r="BN333" s="53"/>
      <c r="BO333" s="65" t="str">
        <f t="shared" si="14"/>
        <v/>
      </c>
    </row>
    <row r="334" spans="1:67" ht="19.5" customHeight="1">
      <c r="A334" s="70" t="b">
        <v>0</v>
      </c>
      <c r="B334" s="71" t="b">
        <v>1</v>
      </c>
      <c r="C334" s="72" t="b">
        <v>0</v>
      </c>
      <c r="D334" s="72" t="b">
        <v>0</v>
      </c>
      <c r="E334" s="57"/>
      <c r="F334" s="59"/>
      <c r="G334" s="57"/>
      <c r="H334" s="88"/>
      <c r="I334" s="88"/>
      <c r="J334" s="88"/>
      <c r="K334" s="89" t="b">
        <v>1</v>
      </c>
      <c r="L334" s="60"/>
      <c r="M334" s="57"/>
      <c r="N334" s="57"/>
      <c r="O334" s="61"/>
      <c r="P334" s="60"/>
      <c r="Q334" s="57"/>
      <c r="R334" s="57"/>
      <c r="S334" s="95"/>
      <c r="T334" s="88"/>
      <c r="U334" s="88"/>
      <c r="V334" s="88"/>
      <c r="W334" s="96"/>
      <c r="X334" s="97"/>
      <c r="Y334" s="97"/>
      <c r="Z334" s="98"/>
      <c r="AA334" s="99"/>
      <c r="AB334" s="98"/>
      <c r="AC334" s="88"/>
      <c r="AD334" s="98"/>
      <c r="AE334" s="64"/>
      <c r="AF334" s="67" t="str">
        <f t="shared" si="12"/>
        <v/>
      </c>
      <c r="AG334" s="58"/>
      <c r="AH334" s="68" t="str">
        <f t="shared" si="13"/>
        <v/>
      </c>
      <c r="AI334" s="53"/>
      <c r="AJ334" s="53"/>
      <c r="AK334" s="53"/>
      <c r="AL334" s="53"/>
      <c r="AM334" s="53"/>
      <c r="AN334" s="53"/>
      <c r="AO334" s="53"/>
      <c r="AP334" s="53"/>
      <c r="AQ334" s="53"/>
      <c r="AR334" s="53"/>
      <c r="AS334" s="53"/>
      <c r="AT334" s="53"/>
      <c r="AU334" s="53"/>
      <c r="AV334" s="58"/>
      <c r="AW334" s="58"/>
      <c r="AX334" s="58"/>
      <c r="AY334" s="53"/>
      <c r="AZ334" s="53"/>
      <c r="BA334" s="53"/>
      <c r="BB334" s="53"/>
      <c r="BC334" s="53"/>
      <c r="BD334" s="53"/>
      <c r="BE334" s="53"/>
      <c r="BF334" s="53"/>
      <c r="BG334" s="53"/>
      <c r="BH334" s="53"/>
      <c r="BI334" s="53"/>
      <c r="BJ334" s="53"/>
      <c r="BK334" s="53"/>
      <c r="BL334" s="53"/>
      <c r="BM334" s="53"/>
      <c r="BN334" s="53"/>
      <c r="BO334" s="65" t="str">
        <f t="shared" si="14"/>
        <v/>
      </c>
    </row>
    <row r="335" spans="1:67" ht="19.5" customHeight="1">
      <c r="A335" s="70" t="b">
        <v>0</v>
      </c>
      <c r="B335" s="71" t="b">
        <v>1</v>
      </c>
      <c r="C335" s="72" t="b">
        <v>0</v>
      </c>
      <c r="D335" s="72" t="b">
        <v>0</v>
      </c>
      <c r="E335" s="57"/>
      <c r="F335" s="59"/>
      <c r="G335" s="57"/>
      <c r="H335" s="88"/>
      <c r="I335" s="88"/>
      <c r="J335" s="88"/>
      <c r="K335" s="89" t="b">
        <v>1</v>
      </c>
      <c r="L335" s="60"/>
      <c r="M335" s="57"/>
      <c r="N335" s="57"/>
      <c r="O335" s="61"/>
      <c r="P335" s="60"/>
      <c r="Q335" s="57"/>
      <c r="R335" s="57"/>
      <c r="S335" s="95"/>
      <c r="T335" s="88"/>
      <c r="U335" s="88"/>
      <c r="V335" s="88"/>
      <c r="W335" s="96"/>
      <c r="X335" s="97"/>
      <c r="Y335" s="97"/>
      <c r="Z335" s="98"/>
      <c r="AA335" s="99"/>
      <c r="AB335" s="98"/>
      <c r="AC335" s="88"/>
      <c r="AD335" s="98"/>
      <c r="AE335" s="64"/>
      <c r="AF335" s="67" t="str">
        <f t="shared" si="12"/>
        <v/>
      </c>
      <c r="AG335" s="58"/>
      <c r="AH335" s="68" t="str">
        <f t="shared" si="13"/>
        <v/>
      </c>
      <c r="AI335" s="53"/>
      <c r="AJ335" s="53"/>
      <c r="AK335" s="53"/>
      <c r="AL335" s="53"/>
      <c r="AM335" s="53"/>
      <c r="AN335" s="53"/>
      <c r="AO335" s="53"/>
      <c r="AP335" s="53"/>
      <c r="AQ335" s="53"/>
      <c r="AR335" s="53"/>
      <c r="AS335" s="53"/>
      <c r="AT335" s="53"/>
      <c r="AU335" s="53"/>
      <c r="AV335" s="58"/>
      <c r="AW335" s="58"/>
      <c r="AX335" s="58"/>
      <c r="AY335" s="53"/>
      <c r="AZ335" s="53"/>
      <c r="BA335" s="53"/>
      <c r="BB335" s="53"/>
      <c r="BC335" s="53"/>
      <c r="BD335" s="53"/>
      <c r="BE335" s="53"/>
      <c r="BF335" s="53"/>
      <c r="BG335" s="53"/>
      <c r="BH335" s="53"/>
      <c r="BI335" s="53"/>
      <c r="BJ335" s="53"/>
      <c r="BK335" s="53"/>
      <c r="BL335" s="53"/>
      <c r="BM335" s="53"/>
      <c r="BN335" s="53"/>
      <c r="BO335" s="65" t="str">
        <f t="shared" si="14"/>
        <v/>
      </c>
    </row>
    <row r="336" spans="1:67" ht="19.5" customHeight="1">
      <c r="A336" s="70" t="b">
        <v>0</v>
      </c>
      <c r="B336" s="71" t="b">
        <v>1</v>
      </c>
      <c r="C336" s="72" t="b">
        <v>0</v>
      </c>
      <c r="D336" s="72" t="b">
        <v>0</v>
      </c>
      <c r="E336" s="57"/>
      <c r="F336" s="59"/>
      <c r="G336" s="57"/>
      <c r="H336" s="88"/>
      <c r="I336" s="88"/>
      <c r="J336" s="88"/>
      <c r="K336" s="89" t="b">
        <v>1</v>
      </c>
      <c r="L336" s="60"/>
      <c r="M336" s="57"/>
      <c r="N336" s="57"/>
      <c r="O336" s="61"/>
      <c r="P336" s="60"/>
      <c r="Q336" s="57"/>
      <c r="R336" s="57"/>
      <c r="S336" s="95"/>
      <c r="T336" s="88"/>
      <c r="U336" s="88"/>
      <c r="V336" s="88"/>
      <c r="W336" s="96"/>
      <c r="X336" s="97"/>
      <c r="Y336" s="97"/>
      <c r="Z336" s="98"/>
      <c r="AA336" s="99"/>
      <c r="AB336" s="98"/>
      <c r="AC336" s="88"/>
      <c r="AD336" s="98"/>
      <c r="AE336" s="64"/>
      <c r="AF336" s="67" t="str">
        <f t="shared" si="12"/>
        <v/>
      </c>
      <c r="AG336" s="58"/>
      <c r="AH336" s="68" t="str">
        <f t="shared" si="13"/>
        <v/>
      </c>
      <c r="AI336" s="53"/>
      <c r="AJ336" s="53"/>
      <c r="AK336" s="53"/>
      <c r="AL336" s="53"/>
      <c r="AM336" s="53"/>
      <c r="AN336" s="53"/>
      <c r="AO336" s="53"/>
      <c r="AP336" s="53"/>
      <c r="AQ336" s="53"/>
      <c r="AR336" s="53"/>
      <c r="AS336" s="53"/>
      <c r="AT336" s="53"/>
      <c r="AU336" s="53"/>
      <c r="AV336" s="58"/>
      <c r="AW336" s="58"/>
      <c r="AX336" s="58"/>
      <c r="AY336" s="53"/>
      <c r="AZ336" s="53"/>
      <c r="BA336" s="53"/>
      <c r="BB336" s="53"/>
      <c r="BC336" s="53"/>
      <c r="BD336" s="53"/>
      <c r="BE336" s="53"/>
      <c r="BF336" s="53"/>
      <c r="BG336" s="53"/>
      <c r="BH336" s="53"/>
      <c r="BI336" s="53"/>
      <c r="BJ336" s="53"/>
      <c r="BK336" s="53"/>
      <c r="BL336" s="53"/>
      <c r="BM336" s="53"/>
      <c r="BN336" s="53"/>
      <c r="BO336" s="65" t="str">
        <f t="shared" si="14"/>
        <v/>
      </c>
    </row>
    <row r="337" spans="1:67" ht="19.5" customHeight="1">
      <c r="A337" s="70" t="b">
        <v>0</v>
      </c>
      <c r="B337" s="71" t="b">
        <v>1</v>
      </c>
      <c r="C337" s="72" t="b">
        <v>0</v>
      </c>
      <c r="D337" s="72" t="b">
        <v>0</v>
      </c>
      <c r="E337" s="57"/>
      <c r="F337" s="59"/>
      <c r="G337" s="57"/>
      <c r="H337" s="88"/>
      <c r="I337" s="88"/>
      <c r="J337" s="88"/>
      <c r="K337" s="89" t="b">
        <v>1</v>
      </c>
      <c r="L337" s="60"/>
      <c r="M337" s="57"/>
      <c r="N337" s="57"/>
      <c r="O337" s="61"/>
      <c r="P337" s="60"/>
      <c r="Q337" s="57"/>
      <c r="R337" s="57"/>
      <c r="S337" s="95"/>
      <c r="T337" s="88"/>
      <c r="U337" s="88"/>
      <c r="V337" s="88"/>
      <c r="W337" s="96"/>
      <c r="X337" s="97"/>
      <c r="Y337" s="97"/>
      <c r="Z337" s="98"/>
      <c r="AA337" s="99"/>
      <c r="AB337" s="98"/>
      <c r="AC337" s="88"/>
      <c r="AD337" s="98"/>
      <c r="AE337" s="64"/>
      <c r="AF337" s="67" t="str">
        <f t="shared" si="12"/>
        <v/>
      </c>
      <c r="AG337" s="58"/>
      <c r="AH337" s="68" t="str">
        <f t="shared" si="13"/>
        <v/>
      </c>
      <c r="AI337" s="53"/>
      <c r="AJ337" s="53"/>
      <c r="AK337" s="53"/>
      <c r="AL337" s="53"/>
      <c r="AM337" s="53"/>
      <c r="AN337" s="53"/>
      <c r="AO337" s="53"/>
      <c r="AP337" s="53"/>
      <c r="AQ337" s="53"/>
      <c r="AR337" s="53"/>
      <c r="AS337" s="53"/>
      <c r="AT337" s="53"/>
      <c r="AU337" s="53"/>
      <c r="AV337" s="58"/>
      <c r="AW337" s="58"/>
      <c r="AX337" s="58"/>
      <c r="AY337" s="53"/>
      <c r="AZ337" s="53"/>
      <c r="BA337" s="53"/>
      <c r="BB337" s="53"/>
      <c r="BC337" s="53"/>
      <c r="BD337" s="53"/>
      <c r="BE337" s="53"/>
      <c r="BF337" s="53"/>
      <c r="BG337" s="53"/>
      <c r="BH337" s="53"/>
      <c r="BI337" s="53"/>
      <c r="BJ337" s="53"/>
      <c r="BK337" s="53"/>
      <c r="BL337" s="53"/>
      <c r="BM337" s="53"/>
      <c r="BN337" s="53"/>
      <c r="BO337" s="65" t="str">
        <f t="shared" si="14"/>
        <v/>
      </c>
    </row>
    <row r="338" spans="1:67" ht="19.5" customHeight="1">
      <c r="A338" s="70" t="b">
        <v>0</v>
      </c>
      <c r="B338" s="71" t="b">
        <v>1</v>
      </c>
      <c r="C338" s="72" t="b">
        <v>0</v>
      </c>
      <c r="D338" s="72" t="b">
        <v>0</v>
      </c>
      <c r="E338" s="57"/>
      <c r="F338" s="59"/>
      <c r="G338" s="57"/>
      <c r="H338" s="88"/>
      <c r="I338" s="88"/>
      <c r="J338" s="88"/>
      <c r="K338" s="89" t="b">
        <v>1</v>
      </c>
      <c r="L338" s="60"/>
      <c r="M338" s="57"/>
      <c r="N338" s="57"/>
      <c r="O338" s="61"/>
      <c r="P338" s="60"/>
      <c r="Q338" s="57"/>
      <c r="R338" s="57"/>
      <c r="S338" s="95"/>
      <c r="T338" s="88"/>
      <c r="U338" s="88"/>
      <c r="V338" s="88"/>
      <c r="W338" s="96"/>
      <c r="X338" s="97"/>
      <c r="Y338" s="97"/>
      <c r="Z338" s="98"/>
      <c r="AA338" s="99"/>
      <c r="AB338" s="98"/>
      <c r="AC338" s="88"/>
      <c r="AD338" s="98"/>
      <c r="AE338" s="64"/>
      <c r="AF338" s="67" t="str">
        <f t="shared" si="12"/>
        <v/>
      </c>
      <c r="AG338" s="58"/>
      <c r="AH338" s="68" t="str">
        <f t="shared" si="13"/>
        <v/>
      </c>
      <c r="AI338" s="53"/>
      <c r="AJ338" s="53"/>
      <c r="AK338" s="53"/>
      <c r="AL338" s="53"/>
      <c r="AM338" s="53"/>
      <c r="AN338" s="53"/>
      <c r="AO338" s="53"/>
      <c r="AP338" s="53"/>
      <c r="AQ338" s="53"/>
      <c r="AR338" s="53"/>
      <c r="AS338" s="53"/>
      <c r="AT338" s="53"/>
      <c r="AU338" s="53"/>
      <c r="AV338" s="58"/>
      <c r="AW338" s="58"/>
      <c r="AX338" s="58"/>
      <c r="AY338" s="53"/>
      <c r="AZ338" s="53"/>
      <c r="BA338" s="53"/>
      <c r="BB338" s="53"/>
      <c r="BC338" s="53"/>
      <c r="BD338" s="53"/>
      <c r="BE338" s="53"/>
      <c r="BF338" s="53"/>
      <c r="BG338" s="53"/>
      <c r="BH338" s="53"/>
      <c r="BI338" s="53"/>
      <c r="BJ338" s="53"/>
      <c r="BK338" s="53"/>
      <c r="BL338" s="53"/>
      <c r="BM338" s="53"/>
      <c r="BN338" s="53"/>
      <c r="BO338" s="65" t="str">
        <f t="shared" si="14"/>
        <v/>
      </c>
    </row>
    <row r="339" spans="1:67" ht="19.5" customHeight="1">
      <c r="A339" s="70" t="b">
        <v>0</v>
      </c>
      <c r="B339" s="71" t="b">
        <v>1</v>
      </c>
      <c r="C339" s="72" t="b">
        <v>0</v>
      </c>
      <c r="D339" s="72" t="b">
        <v>0</v>
      </c>
      <c r="E339" s="57"/>
      <c r="F339" s="59"/>
      <c r="G339" s="57"/>
      <c r="H339" s="88"/>
      <c r="I339" s="88"/>
      <c r="J339" s="88"/>
      <c r="K339" s="89" t="b">
        <v>1</v>
      </c>
      <c r="L339" s="60"/>
      <c r="M339" s="57"/>
      <c r="N339" s="57"/>
      <c r="O339" s="61"/>
      <c r="P339" s="60"/>
      <c r="Q339" s="57"/>
      <c r="R339" s="57"/>
      <c r="S339" s="95"/>
      <c r="T339" s="88"/>
      <c r="U339" s="88"/>
      <c r="V339" s="88"/>
      <c r="W339" s="96"/>
      <c r="X339" s="97"/>
      <c r="Y339" s="97"/>
      <c r="Z339" s="98"/>
      <c r="AA339" s="99"/>
      <c r="AB339" s="98"/>
      <c r="AC339" s="88"/>
      <c r="AD339" s="98"/>
      <c r="AE339" s="64"/>
      <c r="AF339" s="67" t="str">
        <f t="shared" ref="AF339:AF402" si="15">IFERROR((VALUE(TRIM(LEFT(MID(AE339,FIND("|",AE339)+1,99),FIND("-",MID(AE339,FIND("|",AE339)+1,99))-1)))+VALUE(TRIM(SUBSTITUTE(SUBSTITUTE(SUBSTITUTE(MID(MID(AE339,FIND("|",AE339)+1,99),FIND("-",MID(AE339,FIND("|",AE339)+1,99))+1,20),"µm",""),"μm","")," ",""))))/2,"")</f>
        <v/>
      </c>
      <c r="AG339" s="58"/>
      <c r="AH339" s="68" t="str">
        <f t="shared" ref="AH339:AH402" si="16">IFERROR((VALUE(TRIM(LEFT(MID(AG339,FIND("|",AG339)+1,99),FIND("-",MID(AG339,FIND("|",AG339)+1,99))-1)))+VALUE(TRIM(SUBSTITUTE(SUBSTITUTE(SUBSTITUTE(MID(MID(AG339,FIND("|",AG339)+1,99),FIND("-",MID(AG339,FIND("|",AG339)+1,99))+1,20),"µm",""),"μm","")," ",""))))/2,"")</f>
        <v/>
      </c>
      <c r="AI339" s="53"/>
      <c r="AJ339" s="53"/>
      <c r="AK339" s="53"/>
      <c r="AL339" s="53"/>
      <c r="AM339" s="53"/>
      <c r="AN339" s="53"/>
      <c r="AO339" s="53"/>
      <c r="AP339" s="53"/>
      <c r="AQ339" s="53"/>
      <c r="AR339" s="53"/>
      <c r="AS339" s="53"/>
      <c r="AT339" s="53"/>
      <c r="AU339" s="53"/>
      <c r="AV339" s="58"/>
      <c r="AW339" s="58"/>
      <c r="AX339" s="58"/>
      <c r="AY339" s="53"/>
      <c r="AZ339" s="53"/>
      <c r="BA339" s="53"/>
      <c r="BB339" s="53"/>
      <c r="BC339" s="53"/>
      <c r="BD339" s="53"/>
      <c r="BE339" s="53"/>
      <c r="BF339" s="53"/>
      <c r="BG339" s="53"/>
      <c r="BH339" s="53"/>
      <c r="BI339" s="53"/>
      <c r="BJ339" s="53"/>
      <c r="BK339" s="53"/>
      <c r="BL339" s="53"/>
      <c r="BM339" s="53"/>
      <c r="BN339" s="53"/>
      <c r="BO339" s="65" t="str">
        <f t="shared" ref="BO339:BO402" si="17">IF(E339="","",H339*I339)</f>
        <v/>
      </c>
    </row>
    <row r="340" spans="1:67" ht="19.5" customHeight="1">
      <c r="A340" s="70" t="b">
        <v>0</v>
      </c>
      <c r="B340" s="71" t="b">
        <v>1</v>
      </c>
      <c r="C340" s="72" t="b">
        <v>0</v>
      </c>
      <c r="D340" s="72" t="b">
        <v>0</v>
      </c>
      <c r="E340" s="57"/>
      <c r="F340" s="59"/>
      <c r="G340" s="57"/>
      <c r="H340" s="88"/>
      <c r="I340" s="88"/>
      <c r="J340" s="88"/>
      <c r="K340" s="89" t="b">
        <v>1</v>
      </c>
      <c r="L340" s="60"/>
      <c r="M340" s="57"/>
      <c r="N340" s="57"/>
      <c r="O340" s="61"/>
      <c r="P340" s="60"/>
      <c r="Q340" s="57"/>
      <c r="R340" s="57"/>
      <c r="S340" s="95"/>
      <c r="T340" s="88"/>
      <c r="U340" s="88"/>
      <c r="V340" s="88"/>
      <c r="W340" s="96"/>
      <c r="X340" s="97"/>
      <c r="Y340" s="97"/>
      <c r="Z340" s="98"/>
      <c r="AA340" s="99"/>
      <c r="AB340" s="98"/>
      <c r="AC340" s="88"/>
      <c r="AD340" s="98"/>
      <c r="AE340" s="64"/>
      <c r="AF340" s="67" t="str">
        <f t="shared" si="15"/>
        <v/>
      </c>
      <c r="AG340" s="58"/>
      <c r="AH340" s="68" t="str">
        <f t="shared" si="16"/>
        <v/>
      </c>
      <c r="AI340" s="53"/>
      <c r="AJ340" s="53"/>
      <c r="AK340" s="53"/>
      <c r="AL340" s="53"/>
      <c r="AM340" s="53"/>
      <c r="AN340" s="53"/>
      <c r="AO340" s="53"/>
      <c r="AP340" s="53"/>
      <c r="AQ340" s="53"/>
      <c r="AR340" s="53"/>
      <c r="AS340" s="53"/>
      <c r="AT340" s="53"/>
      <c r="AU340" s="53"/>
      <c r="AV340" s="58"/>
      <c r="AW340" s="58"/>
      <c r="AX340" s="58"/>
      <c r="AY340" s="53"/>
      <c r="AZ340" s="53"/>
      <c r="BA340" s="53"/>
      <c r="BB340" s="53"/>
      <c r="BC340" s="53"/>
      <c r="BD340" s="53"/>
      <c r="BE340" s="53"/>
      <c r="BF340" s="53"/>
      <c r="BG340" s="53"/>
      <c r="BH340" s="53"/>
      <c r="BI340" s="53"/>
      <c r="BJ340" s="53"/>
      <c r="BK340" s="53"/>
      <c r="BL340" s="53"/>
      <c r="BM340" s="53"/>
      <c r="BN340" s="53"/>
      <c r="BO340" s="65" t="str">
        <f t="shared" si="17"/>
        <v/>
      </c>
    </row>
    <row r="341" spans="1:67" ht="19.5" customHeight="1">
      <c r="A341" s="70" t="b">
        <v>0</v>
      </c>
      <c r="B341" s="71" t="b">
        <v>1</v>
      </c>
      <c r="C341" s="72" t="b">
        <v>0</v>
      </c>
      <c r="D341" s="72" t="b">
        <v>0</v>
      </c>
      <c r="E341" s="57"/>
      <c r="F341" s="59"/>
      <c r="G341" s="57"/>
      <c r="H341" s="88"/>
      <c r="I341" s="88"/>
      <c r="J341" s="88"/>
      <c r="K341" s="89" t="b">
        <v>1</v>
      </c>
      <c r="L341" s="60"/>
      <c r="M341" s="57"/>
      <c r="N341" s="57"/>
      <c r="O341" s="61"/>
      <c r="P341" s="60"/>
      <c r="Q341" s="57"/>
      <c r="R341" s="57"/>
      <c r="S341" s="95"/>
      <c r="T341" s="88"/>
      <c r="U341" s="88"/>
      <c r="V341" s="88"/>
      <c r="W341" s="96"/>
      <c r="X341" s="97"/>
      <c r="Y341" s="97"/>
      <c r="Z341" s="98"/>
      <c r="AA341" s="99"/>
      <c r="AB341" s="98"/>
      <c r="AC341" s="88"/>
      <c r="AD341" s="98"/>
      <c r="AE341" s="64"/>
      <c r="AF341" s="67" t="str">
        <f t="shared" si="15"/>
        <v/>
      </c>
      <c r="AG341" s="58"/>
      <c r="AH341" s="68" t="str">
        <f t="shared" si="16"/>
        <v/>
      </c>
      <c r="AI341" s="53"/>
      <c r="AJ341" s="53"/>
      <c r="AK341" s="53"/>
      <c r="AL341" s="53"/>
      <c r="AM341" s="53"/>
      <c r="AN341" s="53"/>
      <c r="AO341" s="53"/>
      <c r="AP341" s="53"/>
      <c r="AQ341" s="53"/>
      <c r="AR341" s="53"/>
      <c r="AS341" s="53"/>
      <c r="AT341" s="53"/>
      <c r="AU341" s="53"/>
      <c r="AV341" s="58"/>
      <c r="AW341" s="58"/>
      <c r="AX341" s="58"/>
      <c r="AY341" s="53"/>
      <c r="AZ341" s="53"/>
      <c r="BA341" s="53"/>
      <c r="BB341" s="53"/>
      <c r="BC341" s="53"/>
      <c r="BD341" s="53"/>
      <c r="BE341" s="53"/>
      <c r="BF341" s="53"/>
      <c r="BG341" s="53"/>
      <c r="BH341" s="53"/>
      <c r="BI341" s="53"/>
      <c r="BJ341" s="53"/>
      <c r="BK341" s="53"/>
      <c r="BL341" s="53"/>
      <c r="BM341" s="53"/>
      <c r="BN341" s="53"/>
      <c r="BO341" s="65" t="str">
        <f t="shared" si="17"/>
        <v/>
      </c>
    </row>
    <row r="342" spans="1:67" ht="19.5" customHeight="1">
      <c r="A342" s="70" t="b">
        <v>0</v>
      </c>
      <c r="B342" s="71" t="b">
        <v>1</v>
      </c>
      <c r="C342" s="72" t="b">
        <v>0</v>
      </c>
      <c r="D342" s="72" t="b">
        <v>0</v>
      </c>
      <c r="E342" s="57"/>
      <c r="F342" s="59"/>
      <c r="G342" s="57"/>
      <c r="H342" s="88"/>
      <c r="I342" s="88"/>
      <c r="J342" s="88"/>
      <c r="K342" s="89" t="b">
        <v>1</v>
      </c>
      <c r="L342" s="60"/>
      <c r="M342" s="57"/>
      <c r="N342" s="57"/>
      <c r="O342" s="61"/>
      <c r="P342" s="60"/>
      <c r="Q342" s="57"/>
      <c r="R342" s="57"/>
      <c r="S342" s="95"/>
      <c r="T342" s="88"/>
      <c r="U342" s="88"/>
      <c r="V342" s="88"/>
      <c r="W342" s="96"/>
      <c r="X342" s="97"/>
      <c r="Y342" s="97"/>
      <c r="Z342" s="98"/>
      <c r="AA342" s="99"/>
      <c r="AB342" s="98"/>
      <c r="AC342" s="88"/>
      <c r="AD342" s="98"/>
      <c r="AE342" s="64"/>
      <c r="AF342" s="67" t="str">
        <f t="shared" si="15"/>
        <v/>
      </c>
      <c r="AG342" s="58"/>
      <c r="AH342" s="68" t="str">
        <f t="shared" si="16"/>
        <v/>
      </c>
      <c r="AI342" s="53"/>
      <c r="AJ342" s="53"/>
      <c r="AK342" s="53"/>
      <c r="AL342" s="53"/>
      <c r="AM342" s="53"/>
      <c r="AN342" s="53"/>
      <c r="AO342" s="53"/>
      <c r="AP342" s="53"/>
      <c r="AQ342" s="53"/>
      <c r="AR342" s="53"/>
      <c r="AS342" s="53"/>
      <c r="AT342" s="53"/>
      <c r="AU342" s="53"/>
      <c r="AV342" s="58"/>
      <c r="AW342" s="58"/>
      <c r="AX342" s="58"/>
      <c r="AY342" s="53"/>
      <c r="AZ342" s="53"/>
      <c r="BA342" s="53"/>
      <c r="BB342" s="53"/>
      <c r="BC342" s="53"/>
      <c r="BD342" s="53"/>
      <c r="BE342" s="53"/>
      <c r="BF342" s="53"/>
      <c r="BG342" s="53"/>
      <c r="BH342" s="53"/>
      <c r="BI342" s="53"/>
      <c r="BJ342" s="53"/>
      <c r="BK342" s="53"/>
      <c r="BL342" s="53"/>
      <c r="BM342" s="53"/>
      <c r="BN342" s="53"/>
      <c r="BO342" s="65" t="str">
        <f t="shared" si="17"/>
        <v/>
      </c>
    </row>
    <row r="343" spans="1:67" ht="19.5" customHeight="1">
      <c r="A343" s="70" t="b">
        <v>0</v>
      </c>
      <c r="B343" s="71" t="b">
        <v>1</v>
      </c>
      <c r="C343" s="72" t="b">
        <v>0</v>
      </c>
      <c r="D343" s="72" t="b">
        <v>0</v>
      </c>
      <c r="E343" s="57"/>
      <c r="F343" s="59"/>
      <c r="G343" s="57"/>
      <c r="H343" s="88"/>
      <c r="I343" s="88"/>
      <c r="J343" s="88"/>
      <c r="K343" s="89" t="b">
        <v>1</v>
      </c>
      <c r="L343" s="60"/>
      <c r="M343" s="57"/>
      <c r="N343" s="57"/>
      <c r="O343" s="61"/>
      <c r="P343" s="60"/>
      <c r="Q343" s="57"/>
      <c r="R343" s="57"/>
      <c r="S343" s="95"/>
      <c r="T343" s="88"/>
      <c r="U343" s="88"/>
      <c r="V343" s="88"/>
      <c r="W343" s="96"/>
      <c r="X343" s="97"/>
      <c r="Y343" s="97"/>
      <c r="Z343" s="98"/>
      <c r="AA343" s="99"/>
      <c r="AB343" s="98"/>
      <c r="AC343" s="88"/>
      <c r="AD343" s="98"/>
      <c r="AE343" s="64"/>
      <c r="AF343" s="67" t="str">
        <f t="shared" si="15"/>
        <v/>
      </c>
      <c r="AG343" s="58"/>
      <c r="AH343" s="68" t="str">
        <f t="shared" si="16"/>
        <v/>
      </c>
      <c r="AI343" s="53"/>
      <c r="AJ343" s="53"/>
      <c r="AK343" s="53"/>
      <c r="AL343" s="53"/>
      <c r="AM343" s="53"/>
      <c r="AN343" s="53"/>
      <c r="AO343" s="53"/>
      <c r="AP343" s="53"/>
      <c r="AQ343" s="53"/>
      <c r="AR343" s="53"/>
      <c r="AS343" s="53"/>
      <c r="AT343" s="53"/>
      <c r="AU343" s="53"/>
      <c r="AV343" s="58"/>
      <c r="AW343" s="58"/>
      <c r="AX343" s="58"/>
      <c r="AY343" s="53"/>
      <c r="AZ343" s="53"/>
      <c r="BA343" s="53"/>
      <c r="BB343" s="53"/>
      <c r="BC343" s="53"/>
      <c r="BD343" s="53"/>
      <c r="BE343" s="53"/>
      <c r="BF343" s="53"/>
      <c r="BG343" s="53"/>
      <c r="BH343" s="53"/>
      <c r="BI343" s="53"/>
      <c r="BJ343" s="53"/>
      <c r="BK343" s="53"/>
      <c r="BL343" s="53"/>
      <c r="BM343" s="53"/>
      <c r="BN343" s="53"/>
      <c r="BO343" s="65" t="str">
        <f t="shared" si="17"/>
        <v/>
      </c>
    </row>
    <row r="344" spans="1:67" ht="19.5" customHeight="1">
      <c r="A344" s="70" t="b">
        <v>0</v>
      </c>
      <c r="B344" s="71" t="b">
        <v>1</v>
      </c>
      <c r="C344" s="72" t="b">
        <v>0</v>
      </c>
      <c r="D344" s="72" t="b">
        <v>0</v>
      </c>
      <c r="E344" s="57"/>
      <c r="F344" s="59"/>
      <c r="G344" s="57"/>
      <c r="H344" s="88"/>
      <c r="I344" s="88"/>
      <c r="J344" s="88"/>
      <c r="K344" s="89" t="b">
        <v>1</v>
      </c>
      <c r="L344" s="60"/>
      <c r="M344" s="57"/>
      <c r="N344" s="57"/>
      <c r="O344" s="61"/>
      <c r="P344" s="60"/>
      <c r="Q344" s="57"/>
      <c r="R344" s="57"/>
      <c r="S344" s="95"/>
      <c r="T344" s="88"/>
      <c r="U344" s="88"/>
      <c r="V344" s="88"/>
      <c r="W344" s="96"/>
      <c r="X344" s="97"/>
      <c r="Y344" s="97"/>
      <c r="Z344" s="98"/>
      <c r="AA344" s="99"/>
      <c r="AB344" s="98"/>
      <c r="AC344" s="88"/>
      <c r="AD344" s="98"/>
      <c r="AE344" s="64"/>
      <c r="AF344" s="67" t="str">
        <f t="shared" si="15"/>
        <v/>
      </c>
      <c r="AG344" s="58"/>
      <c r="AH344" s="68" t="str">
        <f t="shared" si="16"/>
        <v/>
      </c>
      <c r="AI344" s="53"/>
      <c r="AJ344" s="53"/>
      <c r="AK344" s="53"/>
      <c r="AL344" s="53"/>
      <c r="AM344" s="53"/>
      <c r="AN344" s="53"/>
      <c r="AO344" s="53"/>
      <c r="AP344" s="53"/>
      <c r="AQ344" s="53"/>
      <c r="AR344" s="53"/>
      <c r="AS344" s="53"/>
      <c r="AT344" s="53"/>
      <c r="AU344" s="53"/>
      <c r="AV344" s="58"/>
      <c r="AW344" s="58"/>
      <c r="AX344" s="58"/>
      <c r="AY344" s="53"/>
      <c r="AZ344" s="53"/>
      <c r="BA344" s="53"/>
      <c r="BB344" s="53"/>
      <c r="BC344" s="53"/>
      <c r="BD344" s="53"/>
      <c r="BE344" s="53"/>
      <c r="BF344" s="53"/>
      <c r="BG344" s="53"/>
      <c r="BH344" s="53"/>
      <c r="BI344" s="53"/>
      <c r="BJ344" s="53"/>
      <c r="BK344" s="53"/>
      <c r="BL344" s="53"/>
      <c r="BM344" s="53"/>
      <c r="BN344" s="53"/>
      <c r="BO344" s="65" t="str">
        <f t="shared" si="17"/>
        <v/>
      </c>
    </row>
    <row r="345" spans="1:67" ht="19.5" customHeight="1">
      <c r="A345" s="70" t="b">
        <v>0</v>
      </c>
      <c r="B345" s="71" t="b">
        <v>1</v>
      </c>
      <c r="C345" s="72" t="b">
        <v>0</v>
      </c>
      <c r="D345" s="72" t="b">
        <v>0</v>
      </c>
      <c r="E345" s="57"/>
      <c r="F345" s="59"/>
      <c r="G345" s="57"/>
      <c r="H345" s="88"/>
      <c r="I345" s="88"/>
      <c r="J345" s="88"/>
      <c r="K345" s="89" t="b">
        <v>1</v>
      </c>
      <c r="L345" s="60"/>
      <c r="M345" s="57"/>
      <c r="N345" s="57"/>
      <c r="O345" s="61"/>
      <c r="P345" s="60"/>
      <c r="Q345" s="57"/>
      <c r="R345" s="57"/>
      <c r="S345" s="95"/>
      <c r="T345" s="88"/>
      <c r="U345" s="88"/>
      <c r="V345" s="88"/>
      <c r="W345" s="96"/>
      <c r="X345" s="97"/>
      <c r="Y345" s="97"/>
      <c r="Z345" s="98"/>
      <c r="AA345" s="99"/>
      <c r="AB345" s="98"/>
      <c r="AC345" s="88"/>
      <c r="AD345" s="98"/>
      <c r="AE345" s="64"/>
      <c r="AF345" s="67" t="str">
        <f t="shared" si="15"/>
        <v/>
      </c>
      <c r="AG345" s="58"/>
      <c r="AH345" s="68" t="str">
        <f t="shared" si="16"/>
        <v/>
      </c>
      <c r="AI345" s="53"/>
      <c r="AJ345" s="53"/>
      <c r="AK345" s="53"/>
      <c r="AL345" s="53"/>
      <c r="AM345" s="53"/>
      <c r="AN345" s="53"/>
      <c r="AO345" s="53"/>
      <c r="AP345" s="53"/>
      <c r="AQ345" s="53"/>
      <c r="AR345" s="53"/>
      <c r="AS345" s="53"/>
      <c r="AT345" s="53"/>
      <c r="AU345" s="53"/>
      <c r="AV345" s="58"/>
      <c r="AW345" s="58"/>
      <c r="AX345" s="58"/>
      <c r="AY345" s="53"/>
      <c r="AZ345" s="53"/>
      <c r="BA345" s="53"/>
      <c r="BB345" s="53"/>
      <c r="BC345" s="53"/>
      <c r="BD345" s="53"/>
      <c r="BE345" s="53"/>
      <c r="BF345" s="53"/>
      <c r="BG345" s="53"/>
      <c r="BH345" s="53"/>
      <c r="BI345" s="53"/>
      <c r="BJ345" s="53"/>
      <c r="BK345" s="53"/>
      <c r="BL345" s="53"/>
      <c r="BM345" s="53"/>
      <c r="BN345" s="53"/>
      <c r="BO345" s="65" t="str">
        <f t="shared" si="17"/>
        <v/>
      </c>
    </row>
    <row r="346" spans="1:67" ht="19.5" customHeight="1">
      <c r="A346" s="70" t="b">
        <v>0</v>
      </c>
      <c r="B346" s="71" t="b">
        <v>1</v>
      </c>
      <c r="C346" s="72" t="b">
        <v>0</v>
      </c>
      <c r="D346" s="72" t="b">
        <v>0</v>
      </c>
      <c r="E346" s="57"/>
      <c r="F346" s="59"/>
      <c r="G346" s="57"/>
      <c r="H346" s="88"/>
      <c r="I346" s="88"/>
      <c r="J346" s="88"/>
      <c r="K346" s="89" t="b">
        <v>1</v>
      </c>
      <c r="L346" s="60"/>
      <c r="M346" s="57"/>
      <c r="N346" s="57"/>
      <c r="O346" s="61"/>
      <c r="P346" s="60"/>
      <c r="Q346" s="57"/>
      <c r="R346" s="57"/>
      <c r="S346" s="95"/>
      <c r="T346" s="88"/>
      <c r="U346" s="88"/>
      <c r="V346" s="88"/>
      <c r="W346" s="96"/>
      <c r="X346" s="97"/>
      <c r="Y346" s="97"/>
      <c r="Z346" s="98"/>
      <c r="AA346" s="99"/>
      <c r="AB346" s="98"/>
      <c r="AC346" s="88"/>
      <c r="AD346" s="98"/>
      <c r="AE346" s="64"/>
      <c r="AF346" s="67" t="str">
        <f t="shared" si="15"/>
        <v/>
      </c>
      <c r="AG346" s="58"/>
      <c r="AH346" s="68" t="str">
        <f t="shared" si="16"/>
        <v/>
      </c>
      <c r="AI346" s="53"/>
      <c r="AJ346" s="53"/>
      <c r="AK346" s="53"/>
      <c r="AL346" s="53"/>
      <c r="AM346" s="53"/>
      <c r="AN346" s="53"/>
      <c r="AO346" s="53"/>
      <c r="AP346" s="53"/>
      <c r="AQ346" s="53"/>
      <c r="AR346" s="53"/>
      <c r="AS346" s="53"/>
      <c r="AT346" s="53"/>
      <c r="AU346" s="53"/>
      <c r="AV346" s="58"/>
      <c r="AW346" s="58"/>
      <c r="AX346" s="58"/>
      <c r="AY346" s="53"/>
      <c r="AZ346" s="53"/>
      <c r="BA346" s="53"/>
      <c r="BB346" s="53"/>
      <c r="BC346" s="53"/>
      <c r="BD346" s="53"/>
      <c r="BE346" s="53"/>
      <c r="BF346" s="53"/>
      <c r="BG346" s="53"/>
      <c r="BH346" s="53"/>
      <c r="BI346" s="53"/>
      <c r="BJ346" s="53"/>
      <c r="BK346" s="53"/>
      <c r="BL346" s="53"/>
      <c r="BM346" s="53"/>
      <c r="BN346" s="53"/>
      <c r="BO346" s="65" t="str">
        <f t="shared" si="17"/>
        <v/>
      </c>
    </row>
    <row r="347" spans="1:67" ht="19.5" customHeight="1">
      <c r="A347" s="70" t="b">
        <v>0</v>
      </c>
      <c r="B347" s="71" t="b">
        <v>1</v>
      </c>
      <c r="C347" s="72" t="b">
        <v>0</v>
      </c>
      <c r="D347" s="72" t="b">
        <v>0</v>
      </c>
      <c r="E347" s="57"/>
      <c r="F347" s="59"/>
      <c r="G347" s="57"/>
      <c r="H347" s="88"/>
      <c r="I347" s="88"/>
      <c r="J347" s="88"/>
      <c r="K347" s="89" t="b">
        <v>1</v>
      </c>
      <c r="L347" s="60"/>
      <c r="M347" s="57"/>
      <c r="N347" s="57"/>
      <c r="O347" s="61"/>
      <c r="P347" s="60"/>
      <c r="Q347" s="57"/>
      <c r="R347" s="57"/>
      <c r="S347" s="95"/>
      <c r="T347" s="88"/>
      <c r="U347" s="88"/>
      <c r="V347" s="88"/>
      <c r="W347" s="96"/>
      <c r="X347" s="97"/>
      <c r="Y347" s="97"/>
      <c r="Z347" s="98"/>
      <c r="AA347" s="99"/>
      <c r="AB347" s="98"/>
      <c r="AC347" s="88"/>
      <c r="AD347" s="98"/>
      <c r="AE347" s="64"/>
      <c r="AF347" s="67" t="str">
        <f t="shared" si="15"/>
        <v/>
      </c>
      <c r="AG347" s="58"/>
      <c r="AH347" s="68" t="str">
        <f t="shared" si="16"/>
        <v/>
      </c>
      <c r="AI347" s="53"/>
      <c r="AJ347" s="53"/>
      <c r="AK347" s="53"/>
      <c r="AL347" s="53"/>
      <c r="AM347" s="53"/>
      <c r="AN347" s="53"/>
      <c r="AO347" s="53"/>
      <c r="AP347" s="53"/>
      <c r="AQ347" s="53"/>
      <c r="AR347" s="53"/>
      <c r="AS347" s="53"/>
      <c r="AT347" s="53"/>
      <c r="AU347" s="53"/>
      <c r="AV347" s="58"/>
      <c r="AW347" s="58"/>
      <c r="AX347" s="58"/>
      <c r="AY347" s="53"/>
      <c r="AZ347" s="53"/>
      <c r="BA347" s="53"/>
      <c r="BB347" s="53"/>
      <c r="BC347" s="53"/>
      <c r="BD347" s="53"/>
      <c r="BE347" s="53"/>
      <c r="BF347" s="53"/>
      <c r="BG347" s="53"/>
      <c r="BH347" s="53"/>
      <c r="BI347" s="53"/>
      <c r="BJ347" s="53"/>
      <c r="BK347" s="53"/>
      <c r="BL347" s="53"/>
      <c r="BM347" s="53"/>
      <c r="BN347" s="53"/>
      <c r="BO347" s="65" t="str">
        <f t="shared" si="17"/>
        <v/>
      </c>
    </row>
    <row r="348" spans="1:67" ht="19.5" customHeight="1">
      <c r="A348" s="70" t="b">
        <v>0</v>
      </c>
      <c r="B348" s="71" t="b">
        <v>1</v>
      </c>
      <c r="C348" s="72" t="b">
        <v>0</v>
      </c>
      <c r="D348" s="72" t="b">
        <v>0</v>
      </c>
      <c r="E348" s="57"/>
      <c r="F348" s="59"/>
      <c r="G348" s="57"/>
      <c r="H348" s="88"/>
      <c r="I348" s="88"/>
      <c r="J348" s="88"/>
      <c r="K348" s="89" t="b">
        <v>1</v>
      </c>
      <c r="L348" s="60"/>
      <c r="M348" s="57"/>
      <c r="N348" s="57"/>
      <c r="O348" s="61"/>
      <c r="P348" s="60"/>
      <c r="Q348" s="57"/>
      <c r="R348" s="57"/>
      <c r="S348" s="95"/>
      <c r="T348" s="88"/>
      <c r="U348" s="88"/>
      <c r="V348" s="88"/>
      <c r="W348" s="96"/>
      <c r="X348" s="97"/>
      <c r="Y348" s="97"/>
      <c r="Z348" s="98"/>
      <c r="AA348" s="99"/>
      <c r="AB348" s="98"/>
      <c r="AC348" s="88"/>
      <c r="AD348" s="98"/>
      <c r="AE348" s="64"/>
      <c r="AF348" s="67" t="str">
        <f t="shared" si="15"/>
        <v/>
      </c>
      <c r="AG348" s="58"/>
      <c r="AH348" s="68" t="str">
        <f t="shared" si="16"/>
        <v/>
      </c>
      <c r="AI348" s="53"/>
      <c r="AJ348" s="53"/>
      <c r="AK348" s="53"/>
      <c r="AL348" s="53"/>
      <c r="AM348" s="53"/>
      <c r="AN348" s="53"/>
      <c r="AO348" s="53"/>
      <c r="AP348" s="53"/>
      <c r="AQ348" s="53"/>
      <c r="AR348" s="53"/>
      <c r="AS348" s="53"/>
      <c r="AT348" s="53"/>
      <c r="AU348" s="53"/>
      <c r="AV348" s="58"/>
      <c r="AW348" s="58"/>
      <c r="AX348" s="58"/>
      <c r="AY348" s="53"/>
      <c r="AZ348" s="53"/>
      <c r="BA348" s="53"/>
      <c r="BB348" s="53"/>
      <c r="BC348" s="53"/>
      <c r="BD348" s="53"/>
      <c r="BE348" s="53"/>
      <c r="BF348" s="53"/>
      <c r="BG348" s="53"/>
      <c r="BH348" s="53"/>
      <c r="BI348" s="53"/>
      <c r="BJ348" s="53"/>
      <c r="BK348" s="53"/>
      <c r="BL348" s="53"/>
      <c r="BM348" s="53"/>
      <c r="BN348" s="53"/>
      <c r="BO348" s="65" t="str">
        <f t="shared" si="17"/>
        <v/>
      </c>
    </row>
    <row r="349" spans="1:67" ht="19.5" customHeight="1">
      <c r="A349" s="70" t="b">
        <v>0</v>
      </c>
      <c r="B349" s="71" t="b">
        <v>1</v>
      </c>
      <c r="C349" s="72" t="b">
        <v>0</v>
      </c>
      <c r="D349" s="72" t="b">
        <v>0</v>
      </c>
      <c r="E349" s="57"/>
      <c r="F349" s="59"/>
      <c r="G349" s="57"/>
      <c r="H349" s="88"/>
      <c r="I349" s="88"/>
      <c r="J349" s="88"/>
      <c r="K349" s="89" t="b">
        <v>1</v>
      </c>
      <c r="L349" s="60"/>
      <c r="M349" s="57"/>
      <c r="N349" s="57"/>
      <c r="O349" s="61"/>
      <c r="P349" s="60"/>
      <c r="Q349" s="57"/>
      <c r="R349" s="57"/>
      <c r="S349" s="95"/>
      <c r="T349" s="88"/>
      <c r="U349" s="88"/>
      <c r="V349" s="88"/>
      <c r="W349" s="96"/>
      <c r="X349" s="97"/>
      <c r="Y349" s="97"/>
      <c r="Z349" s="98"/>
      <c r="AA349" s="99"/>
      <c r="AB349" s="98"/>
      <c r="AC349" s="88"/>
      <c r="AD349" s="98"/>
      <c r="AE349" s="64"/>
      <c r="AF349" s="67" t="str">
        <f t="shared" si="15"/>
        <v/>
      </c>
      <c r="AG349" s="58"/>
      <c r="AH349" s="68" t="str">
        <f t="shared" si="16"/>
        <v/>
      </c>
      <c r="AI349" s="53"/>
      <c r="AJ349" s="53"/>
      <c r="AK349" s="53"/>
      <c r="AL349" s="53"/>
      <c r="AM349" s="53"/>
      <c r="AN349" s="53"/>
      <c r="AO349" s="53"/>
      <c r="AP349" s="53"/>
      <c r="AQ349" s="53"/>
      <c r="AR349" s="53"/>
      <c r="AS349" s="53"/>
      <c r="AT349" s="53"/>
      <c r="AU349" s="53"/>
      <c r="AV349" s="58"/>
      <c r="AW349" s="58"/>
      <c r="AX349" s="58"/>
      <c r="AY349" s="53"/>
      <c r="AZ349" s="53"/>
      <c r="BA349" s="53"/>
      <c r="BB349" s="53"/>
      <c r="BC349" s="53"/>
      <c r="BD349" s="53"/>
      <c r="BE349" s="53"/>
      <c r="BF349" s="53"/>
      <c r="BG349" s="53"/>
      <c r="BH349" s="53"/>
      <c r="BI349" s="53"/>
      <c r="BJ349" s="53"/>
      <c r="BK349" s="53"/>
      <c r="BL349" s="53"/>
      <c r="BM349" s="53"/>
      <c r="BN349" s="53"/>
      <c r="BO349" s="65" t="str">
        <f t="shared" si="17"/>
        <v/>
      </c>
    </row>
    <row r="350" spans="1:67" ht="19.5" customHeight="1">
      <c r="A350" s="70" t="b">
        <v>0</v>
      </c>
      <c r="B350" s="71" t="b">
        <v>1</v>
      </c>
      <c r="C350" s="72" t="b">
        <v>0</v>
      </c>
      <c r="D350" s="72" t="b">
        <v>0</v>
      </c>
      <c r="E350" s="57"/>
      <c r="F350" s="59"/>
      <c r="G350" s="57"/>
      <c r="H350" s="88"/>
      <c r="I350" s="88"/>
      <c r="J350" s="88"/>
      <c r="K350" s="89" t="b">
        <v>1</v>
      </c>
      <c r="L350" s="60"/>
      <c r="M350" s="57"/>
      <c r="N350" s="57"/>
      <c r="O350" s="61"/>
      <c r="P350" s="60"/>
      <c r="Q350" s="57"/>
      <c r="R350" s="57"/>
      <c r="S350" s="95"/>
      <c r="T350" s="88"/>
      <c r="U350" s="88"/>
      <c r="V350" s="88"/>
      <c r="W350" s="96"/>
      <c r="X350" s="97"/>
      <c r="Y350" s="97"/>
      <c r="Z350" s="98"/>
      <c r="AA350" s="99"/>
      <c r="AB350" s="98"/>
      <c r="AC350" s="88"/>
      <c r="AD350" s="98"/>
      <c r="AE350" s="64"/>
      <c r="AF350" s="67" t="str">
        <f t="shared" si="15"/>
        <v/>
      </c>
      <c r="AG350" s="58"/>
      <c r="AH350" s="68" t="str">
        <f t="shared" si="16"/>
        <v/>
      </c>
      <c r="AI350" s="53"/>
      <c r="AJ350" s="53"/>
      <c r="AK350" s="53"/>
      <c r="AL350" s="53"/>
      <c r="AM350" s="53"/>
      <c r="AN350" s="53"/>
      <c r="AO350" s="53"/>
      <c r="AP350" s="53"/>
      <c r="AQ350" s="53"/>
      <c r="AR350" s="53"/>
      <c r="AS350" s="53"/>
      <c r="AT350" s="53"/>
      <c r="AU350" s="53"/>
      <c r="AV350" s="58"/>
      <c r="AW350" s="58"/>
      <c r="AX350" s="58"/>
      <c r="AY350" s="53"/>
      <c r="AZ350" s="53"/>
      <c r="BA350" s="53"/>
      <c r="BB350" s="53"/>
      <c r="BC350" s="53"/>
      <c r="BD350" s="53"/>
      <c r="BE350" s="53"/>
      <c r="BF350" s="53"/>
      <c r="BG350" s="53"/>
      <c r="BH350" s="53"/>
      <c r="BI350" s="53"/>
      <c r="BJ350" s="53"/>
      <c r="BK350" s="53"/>
      <c r="BL350" s="53"/>
      <c r="BM350" s="53"/>
      <c r="BN350" s="53"/>
      <c r="BO350" s="65" t="str">
        <f t="shared" si="17"/>
        <v/>
      </c>
    </row>
    <row r="351" spans="1:67" ht="19.5" customHeight="1">
      <c r="A351" s="70" t="b">
        <v>0</v>
      </c>
      <c r="B351" s="71" t="b">
        <v>1</v>
      </c>
      <c r="C351" s="72" t="b">
        <v>0</v>
      </c>
      <c r="D351" s="72" t="b">
        <v>0</v>
      </c>
      <c r="E351" s="57"/>
      <c r="F351" s="59"/>
      <c r="G351" s="57"/>
      <c r="H351" s="88"/>
      <c r="I351" s="88"/>
      <c r="J351" s="88"/>
      <c r="K351" s="89" t="b">
        <v>1</v>
      </c>
      <c r="L351" s="60"/>
      <c r="M351" s="57"/>
      <c r="N351" s="57"/>
      <c r="O351" s="61"/>
      <c r="P351" s="60"/>
      <c r="Q351" s="57"/>
      <c r="R351" s="57"/>
      <c r="S351" s="95"/>
      <c r="T351" s="88"/>
      <c r="U351" s="88"/>
      <c r="V351" s="88"/>
      <c r="W351" s="96"/>
      <c r="X351" s="97"/>
      <c r="Y351" s="97"/>
      <c r="Z351" s="98"/>
      <c r="AA351" s="99"/>
      <c r="AB351" s="98"/>
      <c r="AC351" s="88"/>
      <c r="AD351" s="98"/>
      <c r="AE351" s="64"/>
      <c r="AF351" s="67" t="str">
        <f t="shared" si="15"/>
        <v/>
      </c>
      <c r="AG351" s="58"/>
      <c r="AH351" s="68" t="str">
        <f t="shared" si="16"/>
        <v/>
      </c>
      <c r="AI351" s="53"/>
      <c r="AJ351" s="53"/>
      <c r="AK351" s="53"/>
      <c r="AL351" s="53"/>
      <c r="AM351" s="53"/>
      <c r="AN351" s="53"/>
      <c r="AO351" s="53"/>
      <c r="AP351" s="53"/>
      <c r="AQ351" s="53"/>
      <c r="AR351" s="53"/>
      <c r="AS351" s="53"/>
      <c r="AT351" s="53"/>
      <c r="AU351" s="53"/>
      <c r="AV351" s="58"/>
      <c r="AW351" s="58"/>
      <c r="AX351" s="58"/>
      <c r="AY351" s="53"/>
      <c r="AZ351" s="53"/>
      <c r="BA351" s="53"/>
      <c r="BB351" s="53"/>
      <c r="BC351" s="53"/>
      <c r="BD351" s="53"/>
      <c r="BE351" s="53"/>
      <c r="BF351" s="53"/>
      <c r="BG351" s="53"/>
      <c r="BH351" s="53"/>
      <c r="BI351" s="53"/>
      <c r="BJ351" s="53"/>
      <c r="BK351" s="53"/>
      <c r="BL351" s="53"/>
      <c r="BM351" s="53"/>
      <c r="BN351" s="53"/>
      <c r="BO351" s="65" t="str">
        <f t="shared" si="17"/>
        <v/>
      </c>
    </row>
    <row r="352" spans="1:67" ht="19.5" customHeight="1">
      <c r="A352" s="70" t="b">
        <v>0</v>
      </c>
      <c r="B352" s="71" t="b">
        <v>1</v>
      </c>
      <c r="C352" s="72" t="b">
        <v>0</v>
      </c>
      <c r="D352" s="72" t="b">
        <v>0</v>
      </c>
      <c r="E352" s="57"/>
      <c r="F352" s="59"/>
      <c r="G352" s="57"/>
      <c r="H352" s="88"/>
      <c r="I352" s="88"/>
      <c r="J352" s="88"/>
      <c r="K352" s="89" t="b">
        <v>1</v>
      </c>
      <c r="L352" s="60"/>
      <c r="M352" s="57"/>
      <c r="N352" s="57"/>
      <c r="O352" s="61"/>
      <c r="P352" s="60"/>
      <c r="Q352" s="57"/>
      <c r="R352" s="57"/>
      <c r="S352" s="95"/>
      <c r="T352" s="88"/>
      <c r="U352" s="88"/>
      <c r="V352" s="88"/>
      <c r="W352" s="96"/>
      <c r="X352" s="97"/>
      <c r="Y352" s="97"/>
      <c r="Z352" s="98"/>
      <c r="AA352" s="99"/>
      <c r="AB352" s="98"/>
      <c r="AC352" s="88"/>
      <c r="AD352" s="98"/>
      <c r="AE352" s="64"/>
      <c r="AF352" s="67" t="str">
        <f t="shared" si="15"/>
        <v/>
      </c>
      <c r="AG352" s="58"/>
      <c r="AH352" s="68" t="str">
        <f t="shared" si="16"/>
        <v/>
      </c>
      <c r="AI352" s="53"/>
      <c r="AJ352" s="53"/>
      <c r="AK352" s="53"/>
      <c r="AL352" s="53"/>
      <c r="AM352" s="53"/>
      <c r="AN352" s="53"/>
      <c r="AO352" s="53"/>
      <c r="AP352" s="53"/>
      <c r="AQ352" s="53"/>
      <c r="AR352" s="53"/>
      <c r="AS352" s="53"/>
      <c r="AT352" s="53"/>
      <c r="AU352" s="53"/>
      <c r="AV352" s="58"/>
      <c r="AW352" s="58"/>
      <c r="AX352" s="58"/>
      <c r="AY352" s="53"/>
      <c r="AZ352" s="53"/>
      <c r="BA352" s="53"/>
      <c r="BB352" s="53"/>
      <c r="BC352" s="53"/>
      <c r="BD352" s="53"/>
      <c r="BE352" s="53"/>
      <c r="BF352" s="53"/>
      <c r="BG352" s="53"/>
      <c r="BH352" s="53"/>
      <c r="BI352" s="53"/>
      <c r="BJ352" s="53"/>
      <c r="BK352" s="53"/>
      <c r="BL352" s="53"/>
      <c r="BM352" s="53"/>
      <c r="BN352" s="53"/>
      <c r="BO352" s="65" t="str">
        <f t="shared" si="17"/>
        <v/>
      </c>
    </row>
    <row r="353" spans="1:67" ht="19.5" customHeight="1">
      <c r="A353" s="70" t="b">
        <v>0</v>
      </c>
      <c r="B353" s="71" t="b">
        <v>1</v>
      </c>
      <c r="C353" s="72" t="b">
        <v>0</v>
      </c>
      <c r="D353" s="72" t="b">
        <v>0</v>
      </c>
      <c r="E353" s="57"/>
      <c r="F353" s="59"/>
      <c r="G353" s="57"/>
      <c r="H353" s="88"/>
      <c r="I353" s="88"/>
      <c r="J353" s="88"/>
      <c r="K353" s="89" t="b">
        <v>1</v>
      </c>
      <c r="L353" s="60"/>
      <c r="M353" s="57"/>
      <c r="N353" s="57"/>
      <c r="O353" s="61"/>
      <c r="P353" s="60"/>
      <c r="Q353" s="57"/>
      <c r="R353" s="57"/>
      <c r="S353" s="95"/>
      <c r="T353" s="88"/>
      <c r="U353" s="88"/>
      <c r="V353" s="88"/>
      <c r="W353" s="96"/>
      <c r="X353" s="97"/>
      <c r="Y353" s="97"/>
      <c r="Z353" s="98"/>
      <c r="AA353" s="99"/>
      <c r="AB353" s="98"/>
      <c r="AC353" s="88"/>
      <c r="AD353" s="98"/>
      <c r="AE353" s="64"/>
      <c r="AF353" s="67" t="str">
        <f t="shared" si="15"/>
        <v/>
      </c>
      <c r="AG353" s="58"/>
      <c r="AH353" s="68" t="str">
        <f t="shared" si="16"/>
        <v/>
      </c>
      <c r="AI353" s="53"/>
      <c r="AJ353" s="53"/>
      <c r="AK353" s="53"/>
      <c r="AL353" s="53"/>
      <c r="AM353" s="53"/>
      <c r="AN353" s="53"/>
      <c r="AO353" s="53"/>
      <c r="AP353" s="53"/>
      <c r="AQ353" s="53"/>
      <c r="AR353" s="53"/>
      <c r="AS353" s="53"/>
      <c r="AT353" s="53"/>
      <c r="AU353" s="53"/>
      <c r="AV353" s="58"/>
      <c r="AW353" s="58"/>
      <c r="AX353" s="58"/>
      <c r="AY353" s="53"/>
      <c r="AZ353" s="53"/>
      <c r="BA353" s="53"/>
      <c r="BB353" s="53"/>
      <c r="BC353" s="53"/>
      <c r="BD353" s="53"/>
      <c r="BE353" s="53"/>
      <c r="BF353" s="53"/>
      <c r="BG353" s="53"/>
      <c r="BH353" s="53"/>
      <c r="BI353" s="53"/>
      <c r="BJ353" s="53"/>
      <c r="BK353" s="53"/>
      <c r="BL353" s="53"/>
      <c r="BM353" s="53"/>
      <c r="BN353" s="53"/>
      <c r="BO353" s="65" t="str">
        <f t="shared" si="17"/>
        <v/>
      </c>
    </row>
    <row r="354" spans="1:67" ht="19.5" customHeight="1">
      <c r="A354" s="70" t="b">
        <v>0</v>
      </c>
      <c r="B354" s="71" t="b">
        <v>1</v>
      </c>
      <c r="C354" s="72" t="b">
        <v>0</v>
      </c>
      <c r="D354" s="72" t="b">
        <v>0</v>
      </c>
      <c r="E354" s="57"/>
      <c r="F354" s="59"/>
      <c r="G354" s="57"/>
      <c r="H354" s="88"/>
      <c r="I354" s="88"/>
      <c r="J354" s="88"/>
      <c r="K354" s="89" t="b">
        <v>1</v>
      </c>
      <c r="L354" s="60"/>
      <c r="M354" s="57"/>
      <c r="N354" s="57"/>
      <c r="O354" s="61"/>
      <c r="P354" s="60"/>
      <c r="Q354" s="57"/>
      <c r="R354" s="57"/>
      <c r="S354" s="95"/>
      <c r="T354" s="88"/>
      <c r="U354" s="88"/>
      <c r="V354" s="88"/>
      <c r="W354" s="96"/>
      <c r="X354" s="97"/>
      <c r="Y354" s="97"/>
      <c r="Z354" s="98"/>
      <c r="AA354" s="99"/>
      <c r="AB354" s="98"/>
      <c r="AC354" s="88"/>
      <c r="AD354" s="98"/>
      <c r="AE354" s="64"/>
      <c r="AF354" s="67" t="str">
        <f t="shared" si="15"/>
        <v/>
      </c>
      <c r="AG354" s="58"/>
      <c r="AH354" s="68" t="str">
        <f t="shared" si="16"/>
        <v/>
      </c>
      <c r="AI354" s="53"/>
      <c r="AJ354" s="53"/>
      <c r="AK354" s="53"/>
      <c r="AL354" s="53"/>
      <c r="AM354" s="53"/>
      <c r="AN354" s="53"/>
      <c r="AO354" s="53"/>
      <c r="AP354" s="53"/>
      <c r="AQ354" s="53"/>
      <c r="AR354" s="53"/>
      <c r="AS354" s="53"/>
      <c r="AT354" s="53"/>
      <c r="AU354" s="53"/>
      <c r="AV354" s="58"/>
      <c r="AW354" s="58"/>
      <c r="AX354" s="58"/>
      <c r="AY354" s="53"/>
      <c r="AZ354" s="53"/>
      <c r="BA354" s="53"/>
      <c r="BB354" s="53"/>
      <c r="BC354" s="53"/>
      <c r="BD354" s="53"/>
      <c r="BE354" s="53"/>
      <c r="BF354" s="53"/>
      <c r="BG354" s="53"/>
      <c r="BH354" s="53"/>
      <c r="BI354" s="53"/>
      <c r="BJ354" s="53"/>
      <c r="BK354" s="53"/>
      <c r="BL354" s="53"/>
      <c r="BM354" s="53"/>
      <c r="BN354" s="53"/>
      <c r="BO354" s="65" t="str">
        <f t="shared" si="17"/>
        <v/>
      </c>
    </row>
    <row r="355" spans="1:67" ht="19.5" customHeight="1">
      <c r="A355" s="70" t="b">
        <v>0</v>
      </c>
      <c r="B355" s="71" t="b">
        <v>1</v>
      </c>
      <c r="C355" s="72" t="b">
        <v>0</v>
      </c>
      <c r="D355" s="72" t="b">
        <v>0</v>
      </c>
      <c r="E355" s="57"/>
      <c r="F355" s="59"/>
      <c r="G355" s="57"/>
      <c r="H355" s="88"/>
      <c r="I355" s="88"/>
      <c r="J355" s="88"/>
      <c r="K355" s="89" t="b">
        <v>1</v>
      </c>
      <c r="L355" s="60"/>
      <c r="M355" s="57"/>
      <c r="N355" s="57"/>
      <c r="O355" s="61"/>
      <c r="P355" s="60"/>
      <c r="Q355" s="57"/>
      <c r="R355" s="57"/>
      <c r="S355" s="95"/>
      <c r="T355" s="88"/>
      <c r="U355" s="88"/>
      <c r="V355" s="88"/>
      <c r="W355" s="96"/>
      <c r="X355" s="97"/>
      <c r="Y355" s="97"/>
      <c r="Z355" s="98"/>
      <c r="AA355" s="99"/>
      <c r="AB355" s="98"/>
      <c r="AC355" s="88"/>
      <c r="AD355" s="98"/>
      <c r="AE355" s="64"/>
      <c r="AF355" s="67" t="str">
        <f t="shared" si="15"/>
        <v/>
      </c>
      <c r="AG355" s="58"/>
      <c r="AH355" s="68" t="str">
        <f t="shared" si="16"/>
        <v/>
      </c>
      <c r="AI355" s="53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8"/>
      <c r="AW355" s="58"/>
      <c r="AX355" s="58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65" t="str">
        <f t="shared" si="17"/>
        <v/>
      </c>
    </row>
    <row r="356" spans="1:67" ht="19.5" customHeight="1">
      <c r="A356" s="70" t="b">
        <v>0</v>
      </c>
      <c r="B356" s="71" t="b">
        <v>1</v>
      </c>
      <c r="C356" s="72" t="b">
        <v>0</v>
      </c>
      <c r="D356" s="72" t="b">
        <v>0</v>
      </c>
      <c r="E356" s="57"/>
      <c r="F356" s="59"/>
      <c r="G356" s="57"/>
      <c r="H356" s="88"/>
      <c r="I356" s="88"/>
      <c r="J356" s="88"/>
      <c r="K356" s="89" t="b">
        <v>1</v>
      </c>
      <c r="L356" s="60"/>
      <c r="M356" s="57"/>
      <c r="N356" s="57"/>
      <c r="O356" s="61"/>
      <c r="P356" s="60"/>
      <c r="Q356" s="57"/>
      <c r="R356" s="57"/>
      <c r="S356" s="95"/>
      <c r="T356" s="88"/>
      <c r="U356" s="88"/>
      <c r="V356" s="88"/>
      <c r="W356" s="96"/>
      <c r="X356" s="97"/>
      <c r="Y356" s="97"/>
      <c r="Z356" s="98"/>
      <c r="AA356" s="99"/>
      <c r="AB356" s="98"/>
      <c r="AC356" s="88"/>
      <c r="AD356" s="98"/>
      <c r="AE356" s="64"/>
      <c r="AF356" s="67" t="str">
        <f t="shared" si="15"/>
        <v/>
      </c>
      <c r="AG356" s="58"/>
      <c r="AH356" s="68" t="str">
        <f t="shared" si="16"/>
        <v/>
      </c>
      <c r="AI356" s="53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8"/>
      <c r="AW356" s="58"/>
      <c r="AX356" s="58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65" t="str">
        <f t="shared" si="17"/>
        <v/>
      </c>
    </row>
    <row r="357" spans="1:67" ht="19.5" customHeight="1">
      <c r="A357" s="70" t="b">
        <v>0</v>
      </c>
      <c r="B357" s="71" t="b">
        <v>1</v>
      </c>
      <c r="C357" s="72" t="b">
        <v>0</v>
      </c>
      <c r="D357" s="72" t="b">
        <v>0</v>
      </c>
      <c r="E357" s="57"/>
      <c r="F357" s="59"/>
      <c r="G357" s="57"/>
      <c r="H357" s="88"/>
      <c r="I357" s="88"/>
      <c r="J357" s="88"/>
      <c r="K357" s="89" t="b">
        <v>1</v>
      </c>
      <c r="L357" s="60"/>
      <c r="M357" s="57"/>
      <c r="N357" s="57"/>
      <c r="O357" s="61"/>
      <c r="P357" s="60"/>
      <c r="Q357" s="57"/>
      <c r="R357" s="57"/>
      <c r="S357" s="95"/>
      <c r="T357" s="88"/>
      <c r="U357" s="88"/>
      <c r="V357" s="88"/>
      <c r="W357" s="96"/>
      <c r="X357" s="97"/>
      <c r="Y357" s="97"/>
      <c r="Z357" s="98"/>
      <c r="AA357" s="99"/>
      <c r="AB357" s="98"/>
      <c r="AC357" s="88"/>
      <c r="AD357" s="98"/>
      <c r="AE357" s="64"/>
      <c r="AF357" s="67" t="str">
        <f t="shared" si="15"/>
        <v/>
      </c>
      <c r="AG357" s="58"/>
      <c r="AH357" s="68" t="str">
        <f t="shared" si="16"/>
        <v/>
      </c>
      <c r="AI357" s="53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8"/>
      <c r="AW357" s="58"/>
      <c r="AX357" s="58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65" t="str">
        <f t="shared" si="17"/>
        <v/>
      </c>
    </row>
    <row r="358" spans="1:67" ht="19.5" customHeight="1">
      <c r="A358" s="70" t="b">
        <v>0</v>
      </c>
      <c r="B358" s="71" t="b">
        <v>1</v>
      </c>
      <c r="C358" s="72" t="b">
        <v>0</v>
      </c>
      <c r="D358" s="72" t="b">
        <v>0</v>
      </c>
      <c r="E358" s="57"/>
      <c r="F358" s="59"/>
      <c r="G358" s="57"/>
      <c r="H358" s="88"/>
      <c r="I358" s="88"/>
      <c r="J358" s="88"/>
      <c r="K358" s="89" t="b">
        <v>1</v>
      </c>
      <c r="L358" s="60"/>
      <c r="M358" s="57"/>
      <c r="N358" s="57"/>
      <c r="O358" s="61"/>
      <c r="P358" s="60"/>
      <c r="Q358" s="57"/>
      <c r="R358" s="57"/>
      <c r="S358" s="95"/>
      <c r="T358" s="88"/>
      <c r="U358" s="88"/>
      <c r="V358" s="88"/>
      <c r="W358" s="96"/>
      <c r="X358" s="97"/>
      <c r="Y358" s="97"/>
      <c r="Z358" s="98"/>
      <c r="AA358" s="99"/>
      <c r="AB358" s="98"/>
      <c r="AC358" s="88"/>
      <c r="AD358" s="98"/>
      <c r="AE358" s="64"/>
      <c r="AF358" s="67" t="str">
        <f t="shared" si="15"/>
        <v/>
      </c>
      <c r="AG358" s="58"/>
      <c r="AH358" s="68" t="str">
        <f t="shared" si="16"/>
        <v/>
      </c>
      <c r="AI358" s="53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8"/>
      <c r="AW358" s="58"/>
      <c r="AX358" s="58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65" t="str">
        <f t="shared" si="17"/>
        <v/>
      </c>
    </row>
    <row r="359" spans="1:67" ht="19.5" customHeight="1">
      <c r="A359" s="70" t="b">
        <v>0</v>
      </c>
      <c r="B359" s="71" t="b">
        <v>1</v>
      </c>
      <c r="C359" s="72" t="b">
        <v>0</v>
      </c>
      <c r="D359" s="72" t="b">
        <v>0</v>
      </c>
      <c r="E359" s="57"/>
      <c r="F359" s="59"/>
      <c r="G359" s="57"/>
      <c r="H359" s="88"/>
      <c r="I359" s="88"/>
      <c r="J359" s="88"/>
      <c r="K359" s="89" t="b">
        <v>1</v>
      </c>
      <c r="L359" s="60"/>
      <c r="M359" s="57"/>
      <c r="N359" s="57"/>
      <c r="O359" s="61"/>
      <c r="P359" s="60"/>
      <c r="Q359" s="57"/>
      <c r="R359" s="57"/>
      <c r="S359" s="95"/>
      <c r="T359" s="88"/>
      <c r="U359" s="88"/>
      <c r="V359" s="88"/>
      <c r="W359" s="96"/>
      <c r="X359" s="97"/>
      <c r="Y359" s="97"/>
      <c r="Z359" s="98"/>
      <c r="AA359" s="99"/>
      <c r="AB359" s="98"/>
      <c r="AC359" s="88"/>
      <c r="AD359" s="98"/>
      <c r="AE359" s="64"/>
      <c r="AF359" s="67" t="str">
        <f t="shared" si="15"/>
        <v/>
      </c>
      <c r="AG359" s="58"/>
      <c r="AH359" s="68" t="str">
        <f t="shared" si="16"/>
        <v/>
      </c>
      <c r="AI359" s="53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8"/>
      <c r="AW359" s="58"/>
      <c r="AX359" s="58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65" t="str">
        <f t="shared" si="17"/>
        <v/>
      </c>
    </row>
    <row r="360" spans="1:67" ht="19.5" customHeight="1">
      <c r="A360" s="70" t="b">
        <v>0</v>
      </c>
      <c r="B360" s="71" t="b">
        <v>1</v>
      </c>
      <c r="C360" s="72" t="b">
        <v>0</v>
      </c>
      <c r="D360" s="72" t="b">
        <v>0</v>
      </c>
      <c r="E360" s="57"/>
      <c r="F360" s="59"/>
      <c r="G360" s="57"/>
      <c r="H360" s="88"/>
      <c r="I360" s="88"/>
      <c r="J360" s="88"/>
      <c r="K360" s="89" t="b">
        <v>1</v>
      </c>
      <c r="L360" s="60"/>
      <c r="M360" s="57"/>
      <c r="N360" s="57"/>
      <c r="O360" s="61"/>
      <c r="P360" s="60"/>
      <c r="Q360" s="57"/>
      <c r="R360" s="57"/>
      <c r="S360" s="95"/>
      <c r="T360" s="88"/>
      <c r="U360" s="88"/>
      <c r="V360" s="88"/>
      <c r="W360" s="96"/>
      <c r="X360" s="97"/>
      <c r="Y360" s="97"/>
      <c r="Z360" s="98"/>
      <c r="AA360" s="99"/>
      <c r="AB360" s="98"/>
      <c r="AC360" s="88"/>
      <c r="AD360" s="98"/>
      <c r="AE360" s="64"/>
      <c r="AF360" s="67" t="str">
        <f t="shared" si="15"/>
        <v/>
      </c>
      <c r="AG360" s="58"/>
      <c r="AH360" s="68" t="str">
        <f t="shared" si="16"/>
        <v/>
      </c>
      <c r="AI360" s="53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8"/>
      <c r="AW360" s="58"/>
      <c r="AX360" s="58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65" t="str">
        <f t="shared" si="17"/>
        <v/>
      </c>
    </row>
    <row r="361" spans="1:67" ht="19.5" customHeight="1">
      <c r="A361" s="70" t="b">
        <v>0</v>
      </c>
      <c r="B361" s="71" t="b">
        <v>1</v>
      </c>
      <c r="C361" s="72" t="b">
        <v>0</v>
      </c>
      <c r="D361" s="72" t="b">
        <v>0</v>
      </c>
      <c r="E361" s="57"/>
      <c r="F361" s="59"/>
      <c r="G361" s="57"/>
      <c r="H361" s="88"/>
      <c r="I361" s="88"/>
      <c r="J361" s="88"/>
      <c r="K361" s="89" t="b">
        <v>1</v>
      </c>
      <c r="L361" s="60"/>
      <c r="M361" s="57"/>
      <c r="N361" s="57"/>
      <c r="O361" s="61"/>
      <c r="P361" s="60"/>
      <c r="Q361" s="57"/>
      <c r="R361" s="57"/>
      <c r="S361" s="95"/>
      <c r="T361" s="88"/>
      <c r="U361" s="88"/>
      <c r="V361" s="88"/>
      <c r="W361" s="96"/>
      <c r="X361" s="97"/>
      <c r="Y361" s="97"/>
      <c r="Z361" s="98"/>
      <c r="AA361" s="99"/>
      <c r="AB361" s="98"/>
      <c r="AC361" s="88"/>
      <c r="AD361" s="98"/>
      <c r="AE361" s="64"/>
      <c r="AF361" s="67" t="str">
        <f t="shared" si="15"/>
        <v/>
      </c>
      <c r="AG361" s="58"/>
      <c r="AH361" s="68" t="str">
        <f t="shared" si="16"/>
        <v/>
      </c>
      <c r="AI361" s="53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8"/>
      <c r="AW361" s="58"/>
      <c r="AX361" s="58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65" t="str">
        <f t="shared" si="17"/>
        <v/>
      </c>
    </row>
    <row r="362" spans="1:67" ht="19.5" customHeight="1">
      <c r="A362" s="70" t="b">
        <v>0</v>
      </c>
      <c r="B362" s="71" t="b">
        <v>1</v>
      </c>
      <c r="C362" s="72" t="b">
        <v>0</v>
      </c>
      <c r="D362" s="72" t="b">
        <v>0</v>
      </c>
      <c r="E362" s="57"/>
      <c r="F362" s="59"/>
      <c r="G362" s="57"/>
      <c r="H362" s="88"/>
      <c r="I362" s="88"/>
      <c r="J362" s="88"/>
      <c r="K362" s="89" t="b">
        <v>1</v>
      </c>
      <c r="L362" s="60"/>
      <c r="M362" s="57"/>
      <c r="N362" s="57"/>
      <c r="O362" s="61"/>
      <c r="P362" s="60"/>
      <c r="Q362" s="57"/>
      <c r="R362" s="57"/>
      <c r="S362" s="95"/>
      <c r="T362" s="88"/>
      <c r="U362" s="88"/>
      <c r="V362" s="88"/>
      <c r="W362" s="96"/>
      <c r="X362" s="97"/>
      <c r="Y362" s="97"/>
      <c r="Z362" s="98"/>
      <c r="AA362" s="99"/>
      <c r="AB362" s="98"/>
      <c r="AC362" s="88"/>
      <c r="AD362" s="98"/>
      <c r="AE362" s="64"/>
      <c r="AF362" s="67" t="str">
        <f t="shared" si="15"/>
        <v/>
      </c>
      <c r="AG362" s="58"/>
      <c r="AH362" s="68" t="str">
        <f t="shared" si="16"/>
        <v/>
      </c>
      <c r="AI362" s="53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8"/>
      <c r="AW362" s="58"/>
      <c r="AX362" s="58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65" t="str">
        <f t="shared" si="17"/>
        <v/>
      </c>
    </row>
    <row r="363" spans="1:67" ht="19.5" customHeight="1">
      <c r="A363" s="70" t="b">
        <v>0</v>
      </c>
      <c r="B363" s="71" t="b">
        <v>1</v>
      </c>
      <c r="C363" s="72" t="b">
        <v>0</v>
      </c>
      <c r="D363" s="72" t="b">
        <v>0</v>
      </c>
      <c r="E363" s="57"/>
      <c r="F363" s="59"/>
      <c r="G363" s="57"/>
      <c r="H363" s="88"/>
      <c r="I363" s="88"/>
      <c r="J363" s="88"/>
      <c r="K363" s="89" t="b">
        <v>1</v>
      </c>
      <c r="L363" s="60"/>
      <c r="M363" s="57"/>
      <c r="N363" s="57"/>
      <c r="O363" s="61"/>
      <c r="P363" s="60"/>
      <c r="Q363" s="57"/>
      <c r="R363" s="57"/>
      <c r="S363" s="95"/>
      <c r="T363" s="88"/>
      <c r="U363" s="88"/>
      <c r="V363" s="88"/>
      <c r="W363" s="96"/>
      <c r="X363" s="97"/>
      <c r="Y363" s="97"/>
      <c r="Z363" s="98"/>
      <c r="AA363" s="99"/>
      <c r="AB363" s="98"/>
      <c r="AC363" s="88"/>
      <c r="AD363" s="98"/>
      <c r="AE363" s="64"/>
      <c r="AF363" s="67" t="str">
        <f t="shared" si="15"/>
        <v/>
      </c>
      <c r="AG363" s="58"/>
      <c r="AH363" s="68" t="str">
        <f t="shared" si="16"/>
        <v/>
      </c>
      <c r="AI363" s="53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8"/>
      <c r="AW363" s="58"/>
      <c r="AX363" s="58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65" t="str">
        <f t="shared" si="17"/>
        <v/>
      </c>
    </row>
    <row r="364" spans="1:67" ht="19.5" customHeight="1">
      <c r="A364" s="70" t="b">
        <v>0</v>
      </c>
      <c r="B364" s="71" t="b">
        <v>1</v>
      </c>
      <c r="C364" s="72" t="b">
        <v>0</v>
      </c>
      <c r="D364" s="72" t="b">
        <v>0</v>
      </c>
      <c r="E364" s="57"/>
      <c r="F364" s="59"/>
      <c r="G364" s="57"/>
      <c r="H364" s="88"/>
      <c r="I364" s="88"/>
      <c r="J364" s="88"/>
      <c r="K364" s="89" t="b">
        <v>1</v>
      </c>
      <c r="L364" s="60"/>
      <c r="M364" s="57"/>
      <c r="N364" s="57"/>
      <c r="O364" s="61"/>
      <c r="P364" s="60"/>
      <c r="Q364" s="57"/>
      <c r="R364" s="57"/>
      <c r="S364" s="95"/>
      <c r="T364" s="88"/>
      <c r="U364" s="88"/>
      <c r="V364" s="88"/>
      <c r="W364" s="96"/>
      <c r="X364" s="97"/>
      <c r="Y364" s="97"/>
      <c r="Z364" s="98"/>
      <c r="AA364" s="99"/>
      <c r="AB364" s="98"/>
      <c r="AC364" s="88"/>
      <c r="AD364" s="98"/>
      <c r="AE364" s="64"/>
      <c r="AF364" s="67" t="str">
        <f t="shared" si="15"/>
        <v/>
      </c>
      <c r="AG364" s="58"/>
      <c r="AH364" s="68" t="str">
        <f t="shared" si="16"/>
        <v/>
      </c>
      <c r="AI364" s="53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8"/>
      <c r="AW364" s="58"/>
      <c r="AX364" s="58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65" t="str">
        <f t="shared" si="17"/>
        <v/>
      </c>
    </row>
    <row r="365" spans="1:67" ht="19.5" customHeight="1">
      <c r="A365" s="70" t="b">
        <v>0</v>
      </c>
      <c r="B365" s="71" t="b">
        <v>1</v>
      </c>
      <c r="C365" s="72" t="b">
        <v>0</v>
      </c>
      <c r="D365" s="72" t="b">
        <v>0</v>
      </c>
      <c r="E365" s="57"/>
      <c r="F365" s="59"/>
      <c r="G365" s="57"/>
      <c r="H365" s="88"/>
      <c r="I365" s="88"/>
      <c r="J365" s="88"/>
      <c r="K365" s="89" t="b">
        <v>1</v>
      </c>
      <c r="L365" s="60"/>
      <c r="M365" s="57"/>
      <c r="N365" s="57"/>
      <c r="O365" s="61"/>
      <c r="P365" s="60"/>
      <c r="Q365" s="57"/>
      <c r="R365" s="57"/>
      <c r="S365" s="95"/>
      <c r="T365" s="88"/>
      <c r="U365" s="88"/>
      <c r="V365" s="88"/>
      <c r="W365" s="96"/>
      <c r="X365" s="97"/>
      <c r="Y365" s="97"/>
      <c r="Z365" s="98"/>
      <c r="AA365" s="99"/>
      <c r="AB365" s="98"/>
      <c r="AC365" s="88"/>
      <c r="AD365" s="98"/>
      <c r="AE365" s="64"/>
      <c r="AF365" s="67" t="str">
        <f t="shared" si="15"/>
        <v/>
      </c>
      <c r="AG365" s="58"/>
      <c r="AH365" s="68" t="str">
        <f t="shared" si="16"/>
        <v/>
      </c>
      <c r="AI365" s="53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8"/>
      <c r="AW365" s="58"/>
      <c r="AX365" s="58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65" t="str">
        <f t="shared" si="17"/>
        <v/>
      </c>
    </row>
    <row r="366" spans="1:67" ht="19.5" customHeight="1">
      <c r="A366" s="70" t="b">
        <v>0</v>
      </c>
      <c r="B366" s="71" t="b">
        <v>1</v>
      </c>
      <c r="C366" s="72" t="b">
        <v>0</v>
      </c>
      <c r="D366" s="72" t="b">
        <v>0</v>
      </c>
      <c r="E366" s="57"/>
      <c r="F366" s="59"/>
      <c r="G366" s="57"/>
      <c r="H366" s="88"/>
      <c r="I366" s="88"/>
      <c r="J366" s="88"/>
      <c r="K366" s="89" t="b">
        <v>1</v>
      </c>
      <c r="L366" s="60"/>
      <c r="M366" s="57"/>
      <c r="N366" s="57"/>
      <c r="O366" s="61"/>
      <c r="P366" s="60"/>
      <c r="Q366" s="57"/>
      <c r="R366" s="57"/>
      <c r="S366" s="95"/>
      <c r="T366" s="88"/>
      <c r="U366" s="88"/>
      <c r="V366" s="88"/>
      <c r="W366" s="96"/>
      <c r="X366" s="97"/>
      <c r="Y366" s="97"/>
      <c r="Z366" s="98"/>
      <c r="AA366" s="99"/>
      <c r="AB366" s="98"/>
      <c r="AC366" s="88"/>
      <c r="AD366" s="98"/>
      <c r="AE366" s="64"/>
      <c r="AF366" s="67" t="str">
        <f t="shared" si="15"/>
        <v/>
      </c>
      <c r="AG366" s="58"/>
      <c r="AH366" s="68" t="str">
        <f t="shared" si="16"/>
        <v/>
      </c>
      <c r="AI366" s="53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8"/>
      <c r="AW366" s="58"/>
      <c r="AX366" s="58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65" t="str">
        <f t="shared" si="17"/>
        <v/>
      </c>
    </row>
    <row r="367" spans="1:67" ht="19.5" customHeight="1">
      <c r="A367" s="70" t="b">
        <v>0</v>
      </c>
      <c r="B367" s="71" t="b">
        <v>1</v>
      </c>
      <c r="C367" s="72" t="b">
        <v>0</v>
      </c>
      <c r="D367" s="72" t="b">
        <v>0</v>
      </c>
      <c r="E367" s="57"/>
      <c r="F367" s="59"/>
      <c r="G367" s="57"/>
      <c r="H367" s="88"/>
      <c r="I367" s="88"/>
      <c r="J367" s="88"/>
      <c r="K367" s="89" t="b">
        <v>1</v>
      </c>
      <c r="L367" s="60"/>
      <c r="M367" s="57"/>
      <c r="N367" s="57"/>
      <c r="O367" s="61"/>
      <c r="P367" s="60"/>
      <c r="Q367" s="57"/>
      <c r="R367" s="57"/>
      <c r="S367" s="95"/>
      <c r="T367" s="88"/>
      <c r="U367" s="88"/>
      <c r="V367" s="88"/>
      <c r="W367" s="96"/>
      <c r="X367" s="97"/>
      <c r="Y367" s="97"/>
      <c r="Z367" s="98"/>
      <c r="AA367" s="99"/>
      <c r="AB367" s="98"/>
      <c r="AC367" s="88"/>
      <c r="AD367" s="98"/>
      <c r="AE367" s="64"/>
      <c r="AF367" s="67" t="str">
        <f t="shared" si="15"/>
        <v/>
      </c>
      <c r="AG367" s="58"/>
      <c r="AH367" s="68" t="str">
        <f t="shared" si="16"/>
        <v/>
      </c>
      <c r="AI367" s="53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8"/>
      <c r="AW367" s="58"/>
      <c r="AX367" s="58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65" t="str">
        <f t="shared" si="17"/>
        <v/>
      </c>
    </row>
    <row r="368" spans="1:67" ht="19.5" customHeight="1">
      <c r="A368" s="70" t="b">
        <v>0</v>
      </c>
      <c r="B368" s="71" t="b">
        <v>1</v>
      </c>
      <c r="C368" s="72" t="b">
        <v>0</v>
      </c>
      <c r="D368" s="72" t="b">
        <v>0</v>
      </c>
      <c r="E368" s="57"/>
      <c r="F368" s="59"/>
      <c r="G368" s="57"/>
      <c r="H368" s="88"/>
      <c r="I368" s="88"/>
      <c r="J368" s="88"/>
      <c r="K368" s="89" t="b">
        <v>1</v>
      </c>
      <c r="L368" s="60"/>
      <c r="M368" s="57"/>
      <c r="N368" s="57"/>
      <c r="O368" s="61"/>
      <c r="P368" s="60"/>
      <c r="Q368" s="57"/>
      <c r="R368" s="57"/>
      <c r="S368" s="95"/>
      <c r="T368" s="88"/>
      <c r="U368" s="88"/>
      <c r="V368" s="88"/>
      <c r="W368" s="96"/>
      <c r="X368" s="97"/>
      <c r="Y368" s="97"/>
      <c r="Z368" s="98"/>
      <c r="AA368" s="99"/>
      <c r="AB368" s="98"/>
      <c r="AC368" s="88"/>
      <c r="AD368" s="98"/>
      <c r="AE368" s="64"/>
      <c r="AF368" s="67" t="str">
        <f t="shared" si="15"/>
        <v/>
      </c>
      <c r="AG368" s="58"/>
      <c r="AH368" s="68" t="str">
        <f t="shared" si="16"/>
        <v/>
      </c>
      <c r="AI368" s="53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8"/>
      <c r="AW368" s="58"/>
      <c r="AX368" s="58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65" t="str">
        <f t="shared" si="17"/>
        <v/>
      </c>
    </row>
    <row r="369" spans="1:67" ht="19.5" customHeight="1">
      <c r="A369" s="70" t="b">
        <v>0</v>
      </c>
      <c r="B369" s="71" t="b">
        <v>1</v>
      </c>
      <c r="C369" s="72" t="b">
        <v>0</v>
      </c>
      <c r="D369" s="72" t="b">
        <v>0</v>
      </c>
      <c r="E369" s="57"/>
      <c r="F369" s="59"/>
      <c r="G369" s="57"/>
      <c r="H369" s="88"/>
      <c r="I369" s="88"/>
      <c r="J369" s="88"/>
      <c r="K369" s="89" t="b">
        <v>1</v>
      </c>
      <c r="L369" s="60"/>
      <c r="M369" s="57"/>
      <c r="N369" s="57"/>
      <c r="O369" s="61"/>
      <c r="P369" s="60"/>
      <c r="Q369" s="57"/>
      <c r="R369" s="57"/>
      <c r="S369" s="95"/>
      <c r="T369" s="88"/>
      <c r="U369" s="88"/>
      <c r="V369" s="88"/>
      <c r="W369" s="96"/>
      <c r="X369" s="97"/>
      <c r="Y369" s="97"/>
      <c r="Z369" s="98"/>
      <c r="AA369" s="99"/>
      <c r="AB369" s="98"/>
      <c r="AC369" s="88"/>
      <c r="AD369" s="98"/>
      <c r="AE369" s="64"/>
      <c r="AF369" s="67" t="str">
        <f t="shared" si="15"/>
        <v/>
      </c>
      <c r="AG369" s="58"/>
      <c r="AH369" s="68" t="str">
        <f t="shared" si="16"/>
        <v/>
      </c>
      <c r="AI369" s="53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8"/>
      <c r="AW369" s="58"/>
      <c r="AX369" s="58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65" t="str">
        <f t="shared" si="17"/>
        <v/>
      </c>
    </row>
    <row r="370" spans="1:67" ht="19.5" customHeight="1">
      <c r="A370" s="70" t="b">
        <v>0</v>
      </c>
      <c r="B370" s="71" t="b">
        <v>1</v>
      </c>
      <c r="C370" s="72" t="b">
        <v>0</v>
      </c>
      <c r="D370" s="72" t="b">
        <v>0</v>
      </c>
      <c r="E370" s="57"/>
      <c r="F370" s="59"/>
      <c r="G370" s="57"/>
      <c r="H370" s="88"/>
      <c r="I370" s="88"/>
      <c r="J370" s="88"/>
      <c r="K370" s="89" t="b">
        <v>1</v>
      </c>
      <c r="L370" s="60"/>
      <c r="M370" s="57"/>
      <c r="N370" s="57"/>
      <c r="O370" s="61"/>
      <c r="P370" s="60"/>
      <c r="Q370" s="57"/>
      <c r="R370" s="57"/>
      <c r="S370" s="95"/>
      <c r="T370" s="88"/>
      <c r="U370" s="88"/>
      <c r="V370" s="88"/>
      <c r="W370" s="96"/>
      <c r="X370" s="97"/>
      <c r="Y370" s="97"/>
      <c r="Z370" s="98"/>
      <c r="AA370" s="99"/>
      <c r="AB370" s="98"/>
      <c r="AC370" s="88"/>
      <c r="AD370" s="98"/>
      <c r="AE370" s="64"/>
      <c r="AF370" s="67" t="str">
        <f t="shared" si="15"/>
        <v/>
      </c>
      <c r="AG370" s="58"/>
      <c r="AH370" s="68" t="str">
        <f t="shared" si="16"/>
        <v/>
      </c>
      <c r="AI370" s="53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8"/>
      <c r="AW370" s="58"/>
      <c r="AX370" s="58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65" t="str">
        <f t="shared" si="17"/>
        <v/>
      </c>
    </row>
    <row r="371" spans="1:67" ht="19.5" customHeight="1">
      <c r="A371" s="70" t="b">
        <v>0</v>
      </c>
      <c r="B371" s="71" t="b">
        <v>1</v>
      </c>
      <c r="C371" s="72" t="b">
        <v>0</v>
      </c>
      <c r="D371" s="72" t="b">
        <v>0</v>
      </c>
      <c r="E371" s="57"/>
      <c r="F371" s="59"/>
      <c r="G371" s="57"/>
      <c r="H371" s="88"/>
      <c r="I371" s="88"/>
      <c r="J371" s="88"/>
      <c r="K371" s="89" t="b">
        <v>1</v>
      </c>
      <c r="L371" s="60"/>
      <c r="M371" s="57"/>
      <c r="N371" s="57"/>
      <c r="O371" s="61"/>
      <c r="P371" s="60"/>
      <c r="Q371" s="57"/>
      <c r="R371" s="57"/>
      <c r="S371" s="95"/>
      <c r="T371" s="88"/>
      <c r="U371" s="88"/>
      <c r="V371" s="88"/>
      <c r="W371" s="96"/>
      <c r="X371" s="97"/>
      <c r="Y371" s="97"/>
      <c r="Z371" s="98"/>
      <c r="AA371" s="99"/>
      <c r="AB371" s="98"/>
      <c r="AC371" s="88"/>
      <c r="AD371" s="98"/>
      <c r="AE371" s="64"/>
      <c r="AF371" s="67" t="str">
        <f t="shared" si="15"/>
        <v/>
      </c>
      <c r="AG371" s="58"/>
      <c r="AH371" s="68" t="str">
        <f t="shared" si="16"/>
        <v/>
      </c>
      <c r="AI371" s="53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8"/>
      <c r="AW371" s="58"/>
      <c r="AX371" s="58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65" t="str">
        <f t="shared" si="17"/>
        <v/>
      </c>
    </row>
    <row r="372" spans="1:67" ht="19.5" customHeight="1">
      <c r="A372" s="70" t="b">
        <v>0</v>
      </c>
      <c r="B372" s="71" t="b">
        <v>1</v>
      </c>
      <c r="C372" s="72" t="b">
        <v>0</v>
      </c>
      <c r="D372" s="72" t="b">
        <v>0</v>
      </c>
      <c r="E372" s="57"/>
      <c r="F372" s="59"/>
      <c r="G372" s="57"/>
      <c r="H372" s="88"/>
      <c r="I372" s="88"/>
      <c r="J372" s="88"/>
      <c r="K372" s="89" t="b">
        <v>1</v>
      </c>
      <c r="L372" s="60"/>
      <c r="M372" s="57"/>
      <c r="N372" s="57"/>
      <c r="O372" s="61"/>
      <c r="P372" s="60"/>
      <c r="Q372" s="57"/>
      <c r="R372" s="57"/>
      <c r="S372" s="95"/>
      <c r="T372" s="88"/>
      <c r="U372" s="88"/>
      <c r="V372" s="88"/>
      <c r="W372" s="96"/>
      <c r="X372" s="97"/>
      <c r="Y372" s="97"/>
      <c r="Z372" s="98"/>
      <c r="AA372" s="99"/>
      <c r="AB372" s="98"/>
      <c r="AC372" s="88"/>
      <c r="AD372" s="98"/>
      <c r="AE372" s="64"/>
      <c r="AF372" s="67" t="str">
        <f t="shared" si="15"/>
        <v/>
      </c>
      <c r="AG372" s="58"/>
      <c r="AH372" s="68" t="str">
        <f t="shared" si="16"/>
        <v/>
      </c>
      <c r="AI372" s="53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8"/>
      <c r="AW372" s="58"/>
      <c r="AX372" s="58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65" t="str">
        <f t="shared" si="17"/>
        <v/>
      </c>
    </row>
    <row r="373" spans="1:67" ht="19.5" customHeight="1">
      <c r="A373" s="70" t="b">
        <v>0</v>
      </c>
      <c r="B373" s="71" t="b">
        <v>1</v>
      </c>
      <c r="C373" s="72" t="b">
        <v>0</v>
      </c>
      <c r="D373" s="72" t="b">
        <v>0</v>
      </c>
      <c r="E373" s="57"/>
      <c r="F373" s="59"/>
      <c r="G373" s="57"/>
      <c r="H373" s="88"/>
      <c r="I373" s="88"/>
      <c r="J373" s="88"/>
      <c r="K373" s="89" t="b">
        <v>1</v>
      </c>
      <c r="L373" s="60"/>
      <c r="M373" s="57"/>
      <c r="N373" s="57"/>
      <c r="O373" s="61"/>
      <c r="P373" s="60"/>
      <c r="Q373" s="57"/>
      <c r="R373" s="57"/>
      <c r="S373" s="95"/>
      <c r="T373" s="88"/>
      <c r="U373" s="88"/>
      <c r="V373" s="88"/>
      <c r="W373" s="96"/>
      <c r="X373" s="97"/>
      <c r="Y373" s="97"/>
      <c r="Z373" s="98"/>
      <c r="AA373" s="99"/>
      <c r="AB373" s="98"/>
      <c r="AC373" s="88"/>
      <c r="AD373" s="98"/>
      <c r="AE373" s="64"/>
      <c r="AF373" s="67" t="str">
        <f t="shared" si="15"/>
        <v/>
      </c>
      <c r="AG373" s="58"/>
      <c r="AH373" s="68" t="str">
        <f t="shared" si="16"/>
        <v/>
      </c>
      <c r="AI373" s="53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8"/>
      <c r="AW373" s="58"/>
      <c r="AX373" s="58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65" t="str">
        <f t="shared" si="17"/>
        <v/>
      </c>
    </row>
    <row r="374" spans="1:67" ht="19.5" customHeight="1">
      <c r="A374" s="70" t="b">
        <v>0</v>
      </c>
      <c r="B374" s="71" t="b">
        <v>1</v>
      </c>
      <c r="C374" s="72" t="b">
        <v>0</v>
      </c>
      <c r="D374" s="72" t="b">
        <v>0</v>
      </c>
      <c r="E374" s="57"/>
      <c r="F374" s="59"/>
      <c r="G374" s="57"/>
      <c r="H374" s="88"/>
      <c r="I374" s="88"/>
      <c r="J374" s="88"/>
      <c r="K374" s="89" t="b">
        <v>1</v>
      </c>
      <c r="L374" s="60"/>
      <c r="M374" s="57"/>
      <c r="N374" s="57"/>
      <c r="O374" s="61"/>
      <c r="P374" s="60"/>
      <c r="Q374" s="57"/>
      <c r="R374" s="57"/>
      <c r="S374" s="95"/>
      <c r="T374" s="88"/>
      <c r="U374" s="88"/>
      <c r="V374" s="88"/>
      <c r="W374" s="96"/>
      <c r="X374" s="97"/>
      <c r="Y374" s="97"/>
      <c r="Z374" s="98"/>
      <c r="AA374" s="99"/>
      <c r="AB374" s="98"/>
      <c r="AC374" s="88"/>
      <c r="AD374" s="98"/>
      <c r="AE374" s="64"/>
      <c r="AF374" s="67" t="str">
        <f t="shared" si="15"/>
        <v/>
      </c>
      <c r="AG374" s="58"/>
      <c r="AH374" s="68" t="str">
        <f t="shared" si="16"/>
        <v/>
      </c>
      <c r="AI374" s="53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8"/>
      <c r="AW374" s="58"/>
      <c r="AX374" s="58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65" t="str">
        <f t="shared" si="17"/>
        <v/>
      </c>
    </row>
    <row r="375" spans="1:67" ht="19.5" customHeight="1">
      <c r="A375" s="70" t="b">
        <v>0</v>
      </c>
      <c r="B375" s="71" t="b">
        <v>1</v>
      </c>
      <c r="C375" s="72" t="b">
        <v>0</v>
      </c>
      <c r="D375" s="72" t="b">
        <v>0</v>
      </c>
      <c r="E375" s="57"/>
      <c r="F375" s="59"/>
      <c r="G375" s="57"/>
      <c r="H375" s="88"/>
      <c r="I375" s="88"/>
      <c r="J375" s="88"/>
      <c r="K375" s="89" t="b">
        <v>1</v>
      </c>
      <c r="L375" s="60"/>
      <c r="M375" s="57"/>
      <c r="N375" s="57"/>
      <c r="O375" s="61"/>
      <c r="P375" s="60"/>
      <c r="Q375" s="57"/>
      <c r="R375" s="57"/>
      <c r="S375" s="95"/>
      <c r="T375" s="88"/>
      <c r="U375" s="88"/>
      <c r="V375" s="88"/>
      <c r="W375" s="96"/>
      <c r="X375" s="97"/>
      <c r="Y375" s="97"/>
      <c r="Z375" s="98"/>
      <c r="AA375" s="99"/>
      <c r="AB375" s="98"/>
      <c r="AC375" s="88"/>
      <c r="AD375" s="98"/>
      <c r="AE375" s="64"/>
      <c r="AF375" s="67" t="str">
        <f t="shared" si="15"/>
        <v/>
      </c>
      <c r="AG375" s="58"/>
      <c r="AH375" s="68" t="str">
        <f t="shared" si="16"/>
        <v/>
      </c>
      <c r="AI375" s="53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8"/>
      <c r="AW375" s="58"/>
      <c r="AX375" s="58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65" t="str">
        <f t="shared" si="17"/>
        <v/>
      </c>
    </row>
    <row r="376" spans="1:67" ht="19.5" customHeight="1">
      <c r="A376" s="70" t="b">
        <v>0</v>
      </c>
      <c r="B376" s="71" t="b">
        <v>1</v>
      </c>
      <c r="C376" s="72" t="b">
        <v>0</v>
      </c>
      <c r="D376" s="72" t="b">
        <v>0</v>
      </c>
      <c r="E376" s="57"/>
      <c r="F376" s="59"/>
      <c r="G376" s="57"/>
      <c r="H376" s="88"/>
      <c r="I376" s="88"/>
      <c r="J376" s="88"/>
      <c r="K376" s="89" t="b">
        <v>1</v>
      </c>
      <c r="L376" s="60"/>
      <c r="M376" s="57"/>
      <c r="N376" s="57"/>
      <c r="O376" s="61"/>
      <c r="P376" s="60"/>
      <c r="Q376" s="57"/>
      <c r="R376" s="57"/>
      <c r="S376" s="95"/>
      <c r="T376" s="88"/>
      <c r="U376" s="88"/>
      <c r="V376" s="88"/>
      <c r="W376" s="96"/>
      <c r="X376" s="97"/>
      <c r="Y376" s="97"/>
      <c r="Z376" s="98"/>
      <c r="AA376" s="99"/>
      <c r="AB376" s="98"/>
      <c r="AC376" s="88"/>
      <c r="AD376" s="98"/>
      <c r="AE376" s="64"/>
      <c r="AF376" s="67" t="str">
        <f t="shared" si="15"/>
        <v/>
      </c>
      <c r="AG376" s="58"/>
      <c r="AH376" s="68" t="str">
        <f t="shared" si="16"/>
        <v/>
      </c>
      <c r="AI376" s="53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8"/>
      <c r="AW376" s="58"/>
      <c r="AX376" s="58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65" t="str">
        <f t="shared" si="17"/>
        <v/>
      </c>
    </row>
    <row r="377" spans="1:67" ht="19.5" customHeight="1">
      <c r="A377" s="70" t="b">
        <v>0</v>
      </c>
      <c r="B377" s="71" t="b">
        <v>1</v>
      </c>
      <c r="C377" s="72" t="b">
        <v>0</v>
      </c>
      <c r="D377" s="72" t="b">
        <v>0</v>
      </c>
      <c r="E377" s="57"/>
      <c r="F377" s="59"/>
      <c r="G377" s="57"/>
      <c r="H377" s="88"/>
      <c r="I377" s="88"/>
      <c r="J377" s="88"/>
      <c r="K377" s="89" t="b">
        <v>1</v>
      </c>
      <c r="L377" s="60"/>
      <c r="M377" s="57"/>
      <c r="N377" s="57"/>
      <c r="O377" s="61"/>
      <c r="P377" s="60"/>
      <c r="Q377" s="57"/>
      <c r="R377" s="57"/>
      <c r="S377" s="95"/>
      <c r="T377" s="88"/>
      <c r="U377" s="88"/>
      <c r="V377" s="88"/>
      <c r="W377" s="96"/>
      <c r="X377" s="97"/>
      <c r="Y377" s="97"/>
      <c r="Z377" s="98"/>
      <c r="AA377" s="99"/>
      <c r="AB377" s="98"/>
      <c r="AC377" s="88"/>
      <c r="AD377" s="98"/>
      <c r="AE377" s="64"/>
      <c r="AF377" s="67" t="str">
        <f t="shared" si="15"/>
        <v/>
      </c>
      <c r="AG377" s="58"/>
      <c r="AH377" s="68" t="str">
        <f t="shared" si="16"/>
        <v/>
      </c>
      <c r="AI377" s="53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8"/>
      <c r="AW377" s="58"/>
      <c r="AX377" s="58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65" t="str">
        <f t="shared" si="17"/>
        <v/>
      </c>
    </row>
    <row r="378" spans="1:67" ht="19.5" customHeight="1">
      <c r="A378" s="70" t="b">
        <v>0</v>
      </c>
      <c r="B378" s="71" t="b">
        <v>1</v>
      </c>
      <c r="C378" s="72" t="b">
        <v>0</v>
      </c>
      <c r="D378" s="72" t="b">
        <v>0</v>
      </c>
      <c r="E378" s="57"/>
      <c r="F378" s="59"/>
      <c r="G378" s="57"/>
      <c r="H378" s="88"/>
      <c r="I378" s="88"/>
      <c r="J378" s="88"/>
      <c r="K378" s="89" t="b">
        <v>1</v>
      </c>
      <c r="L378" s="60"/>
      <c r="M378" s="57"/>
      <c r="N378" s="57"/>
      <c r="O378" s="61"/>
      <c r="P378" s="60"/>
      <c r="Q378" s="57"/>
      <c r="R378" s="57"/>
      <c r="S378" s="95"/>
      <c r="T378" s="88"/>
      <c r="U378" s="88"/>
      <c r="V378" s="88"/>
      <c r="W378" s="96"/>
      <c r="X378" s="97"/>
      <c r="Y378" s="97"/>
      <c r="Z378" s="98"/>
      <c r="AA378" s="99"/>
      <c r="AB378" s="98"/>
      <c r="AC378" s="88"/>
      <c r="AD378" s="98"/>
      <c r="AE378" s="64"/>
      <c r="AF378" s="67" t="str">
        <f t="shared" si="15"/>
        <v/>
      </c>
      <c r="AG378" s="58"/>
      <c r="AH378" s="68" t="str">
        <f t="shared" si="16"/>
        <v/>
      </c>
      <c r="AI378" s="53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8"/>
      <c r="AW378" s="58"/>
      <c r="AX378" s="58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65" t="str">
        <f t="shared" si="17"/>
        <v/>
      </c>
    </row>
    <row r="379" spans="1:67" ht="19.5" customHeight="1">
      <c r="A379" s="70" t="b">
        <v>0</v>
      </c>
      <c r="B379" s="71" t="b">
        <v>1</v>
      </c>
      <c r="C379" s="72" t="b">
        <v>0</v>
      </c>
      <c r="D379" s="72" t="b">
        <v>0</v>
      </c>
      <c r="E379" s="57"/>
      <c r="F379" s="59"/>
      <c r="G379" s="57"/>
      <c r="H379" s="88"/>
      <c r="I379" s="88"/>
      <c r="J379" s="88"/>
      <c r="K379" s="89" t="b">
        <v>1</v>
      </c>
      <c r="L379" s="60"/>
      <c r="M379" s="57"/>
      <c r="N379" s="57"/>
      <c r="O379" s="61"/>
      <c r="P379" s="60"/>
      <c r="Q379" s="57"/>
      <c r="R379" s="57"/>
      <c r="S379" s="95"/>
      <c r="T379" s="88"/>
      <c r="U379" s="88"/>
      <c r="V379" s="88"/>
      <c r="W379" s="96"/>
      <c r="X379" s="97"/>
      <c r="Y379" s="97"/>
      <c r="Z379" s="98"/>
      <c r="AA379" s="99"/>
      <c r="AB379" s="98"/>
      <c r="AC379" s="88"/>
      <c r="AD379" s="98"/>
      <c r="AE379" s="64"/>
      <c r="AF379" s="67" t="str">
        <f t="shared" si="15"/>
        <v/>
      </c>
      <c r="AG379" s="58"/>
      <c r="AH379" s="68" t="str">
        <f t="shared" si="16"/>
        <v/>
      </c>
      <c r="AI379" s="53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8"/>
      <c r="AW379" s="58"/>
      <c r="AX379" s="58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65" t="str">
        <f t="shared" si="17"/>
        <v/>
      </c>
    </row>
    <row r="380" spans="1:67" ht="19.5" customHeight="1">
      <c r="A380" s="70" t="b">
        <v>0</v>
      </c>
      <c r="B380" s="71" t="b">
        <v>1</v>
      </c>
      <c r="C380" s="72" t="b">
        <v>0</v>
      </c>
      <c r="D380" s="72" t="b">
        <v>0</v>
      </c>
      <c r="E380" s="57"/>
      <c r="F380" s="59"/>
      <c r="G380" s="57"/>
      <c r="H380" s="88"/>
      <c r="I380" s="88"/>
      <c r="J380" s="88"/>
      <c r="K380" s="89" t="b">
        <v>1</v>
      </c>
      <c r="L380" s="60"/>
      <c r="M380" s="57"/>
      <c r="N380" s="57"/>
      <c r="O380" s="61"/>
      <c r="P380" s="60"/>
      <c r="Q380" s="57"/>
      <c r="R380" s="57"/>
      <c r="S380" s="95"/>
      <c r="T380" s="88"/>
      <c r="U380" s="88"/>
      <c r="V380" s="88"/>
      <c r="W380" s="96"/>
      <c r="X380" s="97"/>
      <c r="Y380" s="97"/>
      <c r="Z380" s="98"/>
      <c r="AA380" s="99"/>
      <c r="AB380" s="98"/>
      <c r="AC380" s="88"/>
      <c r="AD380" s="98"/>
      <c r="AE380" s="64"/>
      <c r="AF380" s="67" t="str">
        <f t="shared" si="15"/>
        <v/>
      </c>
      <c r="AG380" s="58"/>
      <c r="AH380" s="68" t="str">
        <f t="shared" si="16"/>
        <v/>
      </c>
      <c r="AI380" s="53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8"/>
      <c r="AW380" s="58"/>
      <c r="AX380" s="58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65" t="str">
        <f t="shared" si="17"/>
        <v/>
      </c>
    </row>
    <row r="381" spans="1:67" ht="19.5" customHeight="1">
      <c r="A381" s="70" t="b">
        <v>0</v>
      </c>
      <c r="B381" s="71" t="b">
        <v>1</v>
      </c>
      <c r="C381" s="72" t="b">
        <v>0</v>
      </c>
      <c r="D381" s="72" t="b">
        <v>0</v>
      </c>
      <c r="E381" s="57"/>
      <c r="F381" s="59"/>
      <c r="G381" s="57"/>
      <c r="H381" s="88"/>
      <c r="I381" s="88"/>
      <c r="J381" s="88"/>
      <c r="K381" s="89" t="b">
        <v>1</v>
      </c>
      <c r="L381" s="60"/>
      <c r="M381" s="57"/>
      <c r="N381" s="57"/>
      <c r="O381" s="61"/>
      <c r="P381" s="60"/>
      <c r="Q381" s="57"/>
      <c r="R381" s="57"/>
      <c r="S381" s="95"/>
      <c r="T381" s="88"/>
      <c r="U381" s="88"/>
      <c r="V381" s="88"/>
      <c r="W381" s="96"/>
      <c r="X381" s="97"/>
      <c r="Y381" s="97"/>
      <c r="Z381" s="98"/>
      <c r="AA381" s="99"/>
      <c r="AB381" s="98"/>
      <c r="AC381" s="88"/>
      <c r="AD381" s="98"/>
      <c r="AE381" s="64"/>
      <c r="AF381" s="67" t="str">
        <f t="shared" si="15"/>
        <v/>
      </c>
      <c r="AG381" s="58"/>
      <c r="AH381" s="68" t="str">
        <f t="shared" si="16"/>
        <v/>
      </c>
      <c r="AI381" s="53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8"/>
      <c r="AW381" s="58"/>
      <c r="AX381" s="58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65" t="str">
        <f t="shared" si="17"/>
        <v/>
      </c>
    </row>
    <row r="382" spans="1:67" ht="19.5" customHeight="1">
      <c r="A382" s="70" t="b">
        <v>0</v>
      </c>
      <c r="B382" s="71" t="b">
        <v>1</v>
      </c>
      <c r="C382" s="72" t="b">
        <v>0</v>
      </c>
      <c r="D382" s="72" t="b">
        <v>0</v>
      </c>
      <c r="E382" s="57"/>
      <c r="F382" s="59"/>
      <c r="G382" s="57"/>
      <c r="H382" s="88"/>
      <c r="I382" s="88"/>
      <c r="J382" s="88"/>
      <c r="K382" s="89" t="b">
        <v>1</v>
      </c>
      <c r="L382" s="60"/>
      <c r="M382" s="57"/>
      <c r="N382" s="57"/>
      <c r="O382" s="61"/>
      <c r="P382" s="60"/>
      <c r="Q382" s="57"/>
      <c r="R382" s="57"/>
      <c r="S382" s="95"/>
      <c r="T382" s="88"/>
      <c r="U382" s="88"/>
      <c r="V382" s="88"/>
      <c r="W382" s="96"/>
      <c r="X382" s="97"/>
      <c r="Y382" s="97"/>
      <c r="Z382" s="98"/>
      <c r="AA382" s="99"/>
      <c r="AB382" s="98"/>
      <c r="AC382" s="88"/>
      <c r="AD382" s="98"/>
      <c r="AE382" s="64"/>
      <c r="AF382" s="67" t="str">
        <f t="shared" si="15"/>
        <v/>
      </c>
      <c r="AG382" s="58"/>
      <c r="AH382" s="68" t="str">
        <f t="shared" si="16"/>
        <v/>
      </c>
      <c r="AI382" s="53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8"/>
      <c r="AW382" s="58"/>
      <c r="AX382" s="58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65" t="str">
        <f t="shared" si="17"/>
        <v/>
      </c>
    </row>
    <row r="383" spans="1:67" ht="19.5" customHeight="1">
      <c r="A383" s="70" t="b">
        <v>0</v>
      </c>
      <c r="B383" s="71" t="b">
        <v>1</v>
      </c>
      <c r="C383" s="72" t="b">
        <v>0</v>
      </c>
      <c r="D383" s="72" t="b">
        <v>0</v>
      </c>
      <c r="E383" s="57"/>
      <c r="F383" s="59"/>
      <c r="G383" s="57"/>
      <c r="H383" s="88"/>
      <c r="I383" s="88"/>
      <c r="J383" s="88"/>
      <c r="K383" s="89" t="b">
        <v>1</v>
      </c>
      <c r="L383" s="60"/>
      <c r="M383" s="57"/>
      <c r="N383" s="57"/>
      <c r="O383" s="61"/>
      <c r="P383" s="60"/>
      <c r="Q383" s="57"/>
      <c r="R383" s="57"/>
      <c r="S383" s="95"/>
      <c r="T383" s="88"/>
      <c r="U383" s="88"/>
      <c r="V383" s="88"/>
      <c r="W383" s="96"/>
      <c r="X383" s="97"/>
      <c r="Y383" s="97"/>
      <c r="Z383" s="98"/>
      <c r="AA383" s="99"/>
      <c r="AB383" s="98"/>
      <c r="AC383" s="88"/>
      <c r="AD383" s="98"/>
      <c r="AE383" s="64"/>
      <c r="AF383" s="67" t="str">
        <f t="shared" si="15"/>
        <v/>
      </c>
      <c r="AG383" s="58"/>
      <c r="AH383" s="68" t="str">
        <f t="shared" si="16"/>
        <v/>
      </c>
      <c r="AI383" s="53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8"/>
      <c r="AW383" s="58"/>
      <c r="AX383" s="58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65" t="str">
        <f t="shared" si="17"/>
        <v/>
      </c>
    </row>
    <row r="384" spans="1:67" ht="19.5" customHeight="1">
      <c r="A384" s="70" t="b">
        <v>0</v>
      </c>
      <c r="B384" s="71" t="b">
        <v>1</v>
      </c>
      <c r="C384" s="72" t="b">
        <v>0</v>
      </c>
      <c r="D384" s="72" t="b">
        <v>0</v>
      </c>
      <c r="E384" s="57"/>
      <c r="F384" s="59"/>
      <c r="G384" s="57"/>
      <c r="H384" s="88"/>
      <c r="I384" s="88"/>
      <c r="J384" s="88"/>
      <c r="K384" s="89" t="b">
        <v>1</v>
      </c>
      <c r="L384" s="60"/>
      <c r="M384" s="57"/>
      <c r="N384" s="57"/>
      <c r="O384" s="61"/>
      <c r="P384" s="60"/>
      <c r="Q384" s="57"/>
      <c r="R384" s="57"/>
      <c r="S384" s="95"/>
      <c r="T384" s="88"/>
      <c r="U384" s="88"/>
      <c r="V384" s="88"/>
      <c r="W384" s="96"/>
      <c r="X384" s="97"/>
      <c r="Y384" s="97"/>
      <c r="Z384" s="98"/>
      <c r="AA384" s="99"/>
      <c r="AB384" s="98"/>
      <c r="AC384" s="88"/>
      <c r="AD384" s="98"/>
      <c r="AE384" s="64"/>
      <c r="AF384" s="67" t="str">
        <f t="shared" si="15"/>
        <v/>
      </c>
      <c r="AG384" s="58"/>
      <c r="AH384" s="68" t="str">
        <f t="shared" si="16"/>
        <v/>
      </c>
      <c r="AI384" s="53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8"/>
      <c r="AW384" s="58"/>
      <c r="AX384" s="58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65" t="str">
        <f t="shared" si="17"/>
        <v/>
      </c>
    </row>
    <row r="385" spans="1:67" ht="19.5" customHeight="1">
      <c r="A385" s="70" t="b">
        <v>0</v>
      </c>
      <c r="B385" s="71" t="b">
        <v>1</v>
      </c>
      <c r="C385" s="72" t="b">
        <v>0</v>
      </c>
      <c r="D385" s="72" t="b">
        <v>0</v>
      </c>
      <c r="E385" s="57"/>
      <c r="F385" s="59"/>
      <c r="G385" s="57"/>
      <c r="H385" s="88"/>
      <c r="I385" s="88"/>
      <c r="J385" s="88"/>
      <c r="K385" s="89" t="b">
        <v>1</v>
      </c>
      <c r="L385" s="60"/>
      <c r="M385" s="57"/>
      <c r="N385" s="57"/>
      <c r="O385" s="61"/>
      <c r="P385" s="60"/>
      <c r="Q385" s="57"/>
      <c r="R385" s="57"/>
      <c r="S385" s="95"/>
      <c r="T385" s="88"/>
      <c r="U385" s="88"/>
      <c r="V385" s="88"/>
      <c r="W385" s="96"/>
      <c r="X385" s="97"/>
      <c r="Y385" s="97"/>
      <c r="Z385" s="98"/>
      <c r="AA385" s="99"/>
      <c r="AB385" s="98"/>
      <c r="AC385" s="88"/>
      <c r="AD385" s="98"/>
      <c r="AE385" s="64"/>
      <c r="AF385" s="67" t="str">
        <f t="shared" si="15"/>
        <v/>
      </c>
      <c r="AG385" s="58"/>
      <c r="AH385" s="68" t="str">
        <f t="shared" si="16"/>
        <v/>
      </c>
      <c r="AI385" s="53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8"/>
      <c r="AW385" s="58"/>
      <c r="AX385" s="58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65" t="str">
        <f t="shared" si="17"/>
        <v/>
      </c>
    </row>
    <row r="386" spans="1:67" ht="19.5" customHeight="1">
      <c r="A386" s="70" t="b">
        <v>0</v>
      </c>
      <c r="B386" s="71" t="b">
        <v>1</v>
      </c>
      <c r="C386" s="72" t="b">
        <v>0</v>
      </c>
      <c r="D386" s="72" t="b">
        <v>0</v>
      </c>
      <c r="E386" s="57"/>
      <c r="F386" s="59"/>
      <c r="G386" s="57"/>
      <c r="H386" s="88"/>
      <c r="I386" s="88"/>
      <c r="J386" s="88"/>
      <c r="K386" s="89" t="b">
        <v>1</v>
      </c>
      <c r="L386" s="60"/>
      <c r="M386" s="57"/>
      <c r="N386" s="57"/>
      <c r="O386" s="61"/>
      <c r="P386" s="60"/>
      <c r="Q386" s="57"/>
      <c r="R386" s="57"/>
      <c r="S386" s="95"/>
      <c r="T386" s="88"/>
      <c r="U386" s="88"/>
      <c r="V386" s="88"/>
      <c r="W386" s="96"/>
      <c r="X386" s="97"/>
      <c r="Y386" s="97"/>
      <c r="Z386" s="98"/>
      <c r="AA386" s="99"/>
      <c r="AB386" s="98"/>
      <c r="AC386" s="88"/>
      <c r="AD386" s="98"/>
      <c r="AE386" s="64"/>
      <c r="AF386" s="67" t="str">
        <f t="shared" si="15"/>
        <v/>
      </c>
      <c r="AG386" s="58"/>
      <c r="AH386" s="68" t="str">
        <f t="shared" si="16"/>
        <v/>
      </c>
      <c r="AI386" s="53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8"/>
      <c r="AW386" s="58"/>
      <c r="AX386" s="58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65" t="str">
        <f t="shared" si="17"/>
        <v/>
      </c>
    </row>
    <row r="387" spans="1:67" ht="19.5" customHeight="1">
      <c r="A387" s="70" t="b">
        <v>0</v>
      </c>
      <c r="B387" s="71" t="b">
        <v>1</v>
      </c>
      <c r="C387" s="72" t="b">
        <v>0</v>
      </c>
      <c r="D387" s="72" t="b">
        <v>0</v>
      </c>
      <c r="E387" s="57"/>
      <c r="F387" s="59"/>
      <c r="G387" s="57"/>
      <c r="H387" s="88"/>
      <c r="I387" s="88"/>
      <c r="J387" s="88"/>
      <c r="K387" s="89" t="b">
        <v>1</v>
      </c>
      <c r="L387" s="60"/>
      <c r="M387" s="57"/>
      <c r="N387" s="57"/>
      <c r="O387" s="61"/>
      <c r="P387" s="60"/>
      <c r="Q387" s="57"/>
      <c r="R387" s="57"/>
      <c r="S387" s="95"/>
      <c r="T387" s="88"/>
      <c r="U387" s="88"/>
      <c r="V387" s="88"/>
      <c r="W387" s="96"/>
      <c r="X387" s="97"/>
      <c r="Y387" s="97"/>
      <c r="Z387" s="98"/>
      <c r="AA387" s="99"/>
      <c r="AB387" s="98"/>
      <c r="AC387" s="88"/>
      <c r="AD387" s="98"/>
      <c r="AE387" s="64"/>
      <c r="AF387" s="67" t="str">
        <f t="shared" si="15"/>
        <v/>
      </c>
      <c r="AG387" s="58"/>
      <c r="AH387" s="68" t="str">
        <f t="shared" si="16"/>
        <v/>
      </c>
      <c r="AI387" s="53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8"/>
      <c r="AW387" s="58"/>
      <c r="AX387" s="58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65" t="str">
        <f t="shared" si="17"/>
        <v/>
      </c>
    </row>
    <row r="388" spans="1:67" ht="19.5" customHeight="1">
      <c r="A388" s="70" t="b">
        <v>0</v>
      </c>
      <c r="B388" s="71" t="b">
        <v>1</v>
      </c>
      <c r="C388" s="72" t="b">
        <v>0</v>
      </c>
      <c r="D388" s="72" t="b">
        <v>0</v>
      </c>
      <c r="E388" s="57"/>
      <c r="F388" s="59"/>
      <c r="G388" s="57"/>
      <c r="H388" s="88"/>
      <c r="I388" s="88"/>
      <c r="J388" s="88"/>
      <c r="K388" s="89" t="b">
        <v>1</v>
      </c>
      <c r="L388" s="60"/>
      <c r="M388" s="57"/>
      <c r="N388" s="57"/>
      <c r="O388" s="61"/>
      <c r="P388" s="60"/>
      <c r="Q388" s="57"/>
      <c r="R388" s="57"/>
      <c r="S388" s="95"/>
      <c r="T388" s="88"/>
      <c r="U388" s="88"/>
      <c r="V388" s="88"/>
      <c r="W388" s="96"/>
      <c r="X388" s="97"/>
      <c r="Y388" s="97"/>
      <c r="Z388" s="98"/>
      <c r="AA388" s="99"/>
      <c r="AB388" s="98"/>
      <c r="AC388" s="88"/>
      <c r="AD388" s="98"/>
      <c r="AE388" s="64"/>
      <c r="AF388" s="67" t="str">
        <f t="shared" si="15"/>
        <v/>
      </c>
      <c r="AG388" s="58"/>
      <c r="AH388" s="68" t="str">
        <f t="shared" si="16"/>
        <v/>
      </c>
      <c r="AI388" s="53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8"/>
      <c r="AW388" s="58"/>
      <c r="AX388" s="58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65" t="str">
        <f t="shared" si="17"/>
        <v/>
      </c>
    </row>
    <row r="389" spans="1:67" ht="19.5" customHeight="1">
      <c r="A389" s="70" t="b">
        <v>0</v>
      </c>
      <c r="B389" s="71" t="b">
        <v>1</v>
      </c>
      <c r="C389" s="72" t="b">
        <v>0</v>
      </c>
      <c r="D389" s="72" t="b">
        <v>0</v>
      </c>
      <c r="E389" s="57"/>
      <c r="F389" s="59"/>
      <c r="G389" s="57"/>
      <c r="H389" s="88"/>
      <c r="I389" s="88"/>
      <c r="J389" s="88"/>
      <c r="K389" s="89" t="b">
        <v>1</v>
      </c>
      <c r="L389" s="60"/>
      <c r="M389" s="57"/>
      <c r="N389" s="57"/>
      <c r="O389" s="61"/>
      <c r="P389" s="60"/>
      <c r="Q389" s="57"/>
      <c r="R389" s="57"/>
      <c r="S389" s="95"/>
      <c r="T389" s="88"/>
      <c r="U389" s="88"/>
      <c r="V389" s="88"/>
      <c r="W389" s="96"/>
      <c r="X389" s="97"/>
      <c r="Y389" s="97"/>
      <c r="Z389" s="98"/>
      <c r="AA389" s="99"/>
      <c r="AB389" s="98"/>
      <c r="AC389" s="88"/>
      <c r="AD389" s="98"/>
      <c r="AE389" s="64"/>
      <c r="AF389" s="67" t="str">
        <f t="shared" si="15"/>
        <v/>
      </c>
      <c r="AG389" s="58"/>
      <c r="AH389" s="68" t="str">
        <f t="shared" si="16"/>
        <v/>
      </c>
      <c r="AI389" s="53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8"/>
      <c r="AW389" s="58"/>
      <c r="AX389" s="58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65" t="str">
        <f t="shared" si="17"/>
        <v/>
      </c>
    </row>
    <row r="390" spans="1:67" ht="19.5" customHeight="1">
      <c r="A390" s="70" t="b">
        <v>0</v>
      </c>
      <c r="B390" s="71" t="b">
        <v>1</v>
      </c>
      <c r="C390" s="72" t="b">
        <v>0</v>
      </c>
      <c r="D390" s="72" t="b">
        <v>0</v>
      </c>
      <c r="E390" s="57"/>
      <c r="F390" s="59"/>
      <c r="G390" s="57"/>
      <c r="H390" s="88"/>
      <c r="I390" s="88"/>
      <c r="J390" s="88"/>
      <c r="K390" s="89" t="b">
        <v>1</v>
      </c>
      <c r="L390" s="60"/>
      <c r="M390" s="57"/>
      <c r="N390" s="57"/>
      <c r="O390" s="61"/>
      <c r="P390" s="60"/>
      <c r="Q390" s="57"/>
      <c r="R390" s="57"/>
      <c r="S390" s="95"/>
      <c r="T390" s="88"/>
      <c r="U390" s="88"/>
      <c r="V390" s="88"/>
      <c r="W390" s="96"/>
      <c r="X390" s="97"/>
      <c r="Y390" s="97"/>
      <c r="Z390" s="98"/>
      <c r="AA390" s="99"/>
      <c r="AB390" s="98"/>
      <c r="AC390" s="88"/>
      <c r="AD390" s="98"/>
      <c r="AE390" s="64"/>
      <c r="AF390" s="67" t="str">
        <f t="shared" si="15"/>
        <v/>
      </c>
      <c r="AG390" s="58"/>
      <c r="AH390" s="68" t="str">
        <f t="shared" si="16"/>
        <v/>
      </c>
      <c r="AI390" s="53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8"/>
      <c r="AW390" s="58"/>
      <c r="AX390" s="58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65" t="str">
        <f t="shared" si="17"/>
        <v/>
      </c>
    </row>
    <row r="391" spans="1:67" ht="19.5" customHeight="1">
      <c r="A391" s="70" t="b">
        <v>0</v>
      </c>
      <c r="B391" s="71" t="b">
        <v>1</v>
      </c>
      <c r="C391" s="72" t="b">
        <v>0</v>
      </c>
      <c r="D391" s="72" t="b">
        <v>0</v>
      </c>
      <c r="E391" s="57"/>
      <c r="F391" s="59"/>
      <c r="G391" s="57"/>
      <c r="H391" s="88"/>
      <c r="I391" s="88"/>
      <c r="J391" s="88"/>
      <c r="K391" s="89" t="b">
        <v>1</v>
      </c>
      <c r="L391" s="60"/>
      <c r="M391" s="57"/>
      <c r="N391" s="57"/>
      <c r="O391" s="61"/>
      <c r="P391" s="60"/>
      <c r="Q391" s="57"/>
      <c r="R391" s="57"/>
      <c r="S391" s="95"/>
      <c r="T391" s="88"/>
      <c r="U391" s="88"/>
      <c r="V391" s="88"/>
      <c r="W391" s="96"/>
      <c r="X391" s="97"/>
      <c r="Y391" s="97"/>
      <c r="Z391" s="98"/>
      <c r="AA391" s="99"/>
      <c r="AB391" s="98"/>
      <c r="AC391" s="88"/>
      <c r="AD391" s="98"/>
      <c r="AE391" s="64"/>
      <c r="AF391" s="67" t="str">
        <f t="shared" si="15"/>
        <v/>
      </c>
      <c r="AG391" s="58"/>
      <c r="AH391" s="68" t="str">
        <f t="shared" si="16"/>
        <v/>
      </c>
      <c r="AI391" s="53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8"/>
      <c r="AW391" s="58"/>
      <c r="AX391" s="58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65" t="str">
        <f t="shared" si="17"/>
        <v/>
      </c>
    </row>
    <row r="392" spans="1:67" ht="19.5" customHeight="1">
      <c r="A392" s="70" t="b">
        <v>0</v>
      </c>
      <c r="B392" s="71" t="b">
        <v>1</v>
      </c>
      <c r="C392" s="72" t="b">
        <v>0</v>
      </c>
      <c r="D392" s="72" t="b">
        <v>0</v>
      </c>
      <c r="E392" s="57"/>
      <c r="F392" s="59"/>
      <c r="G392" s="57"/>
      <c r="H392" s="88"/>
      <c r="I392" s="88"/>
      <c r="J392" s="88"/>
      <c r="K392" s="89" t="b">
        <v>1</v>
      </c>
      <c r="L392" s="60"/>
      <c r="M392" s="57"/>
      <c r="N392" s="57"/>
      <c r="O392" s="61"/>
      <c r="P392" s="60"/>
      <c r="Q392" s="57"/>
      <c r="R392" s="57"/>
      <c r="S392" s="95"/>
      <c r="T392" s="88"/>
      <c r="U392" s="88"/>
      <c r="V392" s="88"/>
      <c r="W392" s="96"/>
      <c r="X392" s="97"/>
      <c r="Y392" s="97"/>
      <c r="Z392" s="98"/>
      <c r="AA392" s="99"/>
      <c r="AB392" s="98"/>
      <c r="AC392" s="88"/>
      <c r="AD392" s="98"/>
      <c r="AE392" s="64"/>
      <c r="AF392" s="67" t="str">
        <f t="shared" si="15"/>
        <v/>
      </c>
      <c r="AG392" s="58"/>
      <c r="AH392" s="68" t="str">
        <f t="shared" si="16"/>
        <v/>
      </c>
      <c r="AI392" s="53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8"/>
      <c r="AW392" s="58"/>
      <c r="AX392" s="58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65" t="str">
        <f t="shared" si="17"/>
        <v/>
      </c>
    </row>
    <row r="393" spans="1:67" ht="19.5" customHeight="1">
      <c r="A393" s="70" t="b">
        <v>0</v>
      </c>
      <c r="B393" s="71" t="b">
        <v>1</v>
      </c>
      <c r="C393" s="72" t="b">
        <v>0</v>
      </c>
      <c r="D393" s="72" t="b">
        <v>0</v>
      </c>
      <c r="E393" s="57"/>
      <c r="F393" s="59"/>
      <c r="G393" s="57"/>
      <c r="H393" s="88"/>
      <c r="I393" s="88"/>
      <c r="J393" s="88"/>
      <c r="K393" s="89" t="b">
        <v>1</v>
      </c>
      <c r="L393" s="60"/>
      <c r="M393" s="57"/>
      <c r="N393" s="57"/>
      <c r="O393" s="61"/>
      <c r="P393" s="60"/>
      <c r="Q393" s="57"/>
      <c r="R393" s="57"/>
      <c r="S393" s="95"/>
      <c r="T393" s="88"/>
      <c r="U393" s="88"/>
      <c r="V393" s="88"/>
      <c r="W393" s="96"/>
      <c r="X393" s="97"/>
      <c r="Y393" s="97"/>
      <c r="Z393" s="98"/>
      <c r="AA393" s="99"/>
      <c r="AB393" s="98"/>
      <c r="AC393" s="88"/>
      <c r="AD393" s="98"/>
      <c r="AE393" s="64"/>
      <c r="AF393" s="67" t="str">
        <f t="shared" si="15"/>
        <v/>
      </c>
      <c r="AG393" s="58"/>
      <c r="AH393" s="68" t="str">
        <f t="shared" si="16"/>
        <v/>
      </c>
      <c r="AI393" s="53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8"/>
      <c r="AW393" s="58"/>
      <c r="AX393" s="58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65" t="str">
        <f t="shared" si="17"/>
        <v/>
      </c>
    </row>
    <row r="394" spans="1:67" ht="19.5" customHeight="1">
      <c r="A394" s="70" t="b">
        <v>0</v>
      </c>
      <c r="B394" s="71" t="b">
        <v>1</v>
      </c>
      <c r="C394" s="72" t="b">
        <v>0</v>
      </c>
      <c r="D394" s="72" t="b">
        <v>0</v>
      </c>
      <c r="E394" s="57"/>
      <c r="F394" s="59"/>
      <c r="G394" s="57"/>
      <c r="H394" s="88"/>
      <c r="I394" s="88"/>
      <c r="J394" s="88"/>
      <c r="K394" s="89" t="b">
        <v>1</v>
      </c>
      <c r="L394" s="60"/>
      <c r="M394" s="57"/>
      <c r="N394" s="57"/>
      <c r="O394" s="61"/>
      <c r="P394" s="60"/>
      <c r="Q394" s="57"/>
      <c r="R394" s="57"/>
      <c r="S394" s="95"/>
      <c r="T394" s="88"/>
      <c r="U394" s="88"/>
      <c r="V394" s="88"/>
      <c r="W394" s="96"/>
      <c r="X394" s="97"/>
      <c r="Y394" s="97"/>
      <c r="Z394" s="98"/>
      <c r="AA394" s="99"/>
      <c r="AB394" s="98"/>
      <c r="AC394" s="88"/>
      <c r="AD394" s="98"/>
      <c r="AE394" s="64"/>
      <c r="AF394" s="67" t="str">
        <f t="shared" si="15"/>
        <v/>
      </c>
      <c r="AG394" s="58"/>
      <c r="AH394" s="68" t="str">
        <f t="shared" si="16"/>
        <v/>
      </c>
      <c r="AI394" s="53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8"/>
      <c r="AW394" s="58"/>
      <c r="AX394" s="58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65" t="str">
        <f t="shared" si="17"/>
        <v/>
      </c>
    </row>
    <row r="395" spans="1:67" ht="19.5" customHeight="1">
      <c r="A395" s="70" t="b">
        <v>0</v>
      </c>
      <c r="B395" s="71" t="b">
        <v>1</v>
      </c>
      <c r="C395" s="72" t="b">
        <v>0</v>
      </c>
      <c r="D395" s="72" t="b">
        <v>0</v>
      </c>
      <c r="E395" s="57"/>
      <c r="F395" s="59"/>
      <c r="G395" s="57"/>
      <c r="H395" s="88"/>
      <c r="I395" s="88"/>
      <c r="J395" s="88"/>
      <c r="K395" s="89" t="b">
        <v>1</v>
      </c>
      <c r="L395" s="60"/>
      <c r="M395" s="57"/>
      <c r="N395" s="57"/>
      <c r="O395" s="61"/>
      <c r="P395" s="60"/>
      <c r="Q395" s="57"/>
      <c r="R395" s="57"/>
      <c r="S395" s="95"/>
      <c r="T395" s="88"/>
      <c r="U395" s="88"/>
      <c r="V395" s="88"/>
      <c r="W395" s="96"/>
      <c r="X395" s="97"/>
      <c r="Y395" s="97"/>
      <c r="Z395" s="98"/>
      <c r="AA395" s="99"/>
      <c r="AB395" s="98"/>
      <c r="AC395" s="88"/>
      <c r="AD395" s="98"/>
      <c r="AE395" s="64"/>
      <c r="AF395" s="67" t="str">
        <f t="shared" si="15"/>
        <v/>
      </c>
      <c r="AG395" s="58"/>
      <c r="AH395" s="68" t="str">
        <f t="shared" si="16"/>
        <v/>
      </c>
      <c r="AI395" s="53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8"/>
      <c r="AW395" s="58"/>
      <c r="AX395" s="58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65" t="str">
        <f t="shared" si="17"/>
        <v/>
      </c>
    </row>
    <row r="396" spans="1:67" ht="19.5" customHeight="1">
      <c r="A396" s="70" t="b">
        <v>0</v>
      </c>
      <c r="B396" s="71" t="b">
        <v>1</v>
      </c>
      <c r="C396" s="72" t="b">
        <v>0</v>
      </c>
      <c r="D396" s="72" t="b">
        <v>0</v>
      </c>
      <c r="E396" s="57"/>
      <c r="F396" s="59"/>
      <c r="G396" s="57"/>
      <c r="H396" s="88"/>
      <c r="I396" s="88"/>
      <c r="J396" s="88"/>
      <c r="K396" s="89" t="b">
        <v>1</v>
      </c>
      <c r="L396" s="60"/>
      <c r="M396" s="57"/>
      <c r="N396" s="57"/>
      <c r="O396" s="61"/>
      <c r="P396" s="60"/>
      <c r="Q396" s="57"/>
      <c r="R396" s="57"/>
      <c r="S396" s="95"/>
      <c r="T396" s="88"/>
      <c r="U396" s="88"/>
      <c r="V396" s="88"/>
      <c r="W396" s="96"/>
      <c r="X396" s="97"/>
      <c r="Y396" s="97"/>
      <c r="Z396" s="98"/>
      <c r="AA396" s="99"/>
      <c r="AB396" s="98"/>
      <c r="AC396" s="88"/>
      <c r="AD396" s="98"/>
      <c r="AE396" s="64"/>
      <c r="AF396" s="67" t="str">
        <f t="shared" si="15"/>
        <v/>
      </c>
      <c r="AG396" s="58"/>
      <c r="AH396" s="68" t="str">
        <f t="shared" si="16"/>
        <v/>
      </c>
      <c r="AI396" s="53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8"/>
      <c r="AW396" s="58"/>
      <c r="AX396" s="58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65" t="str">
        <f t="shared" si="17"/>
        <v/>
      </c>
    </row>
    <row r="397" spans="1:67" ht="19.5" customHeight="1">
      <c r="A397" s="70" t="b">
        <v>0</v>
      </c>
      <c r="B397" s="71" t="b">
        <v>1</v>
      </c>
      <c r="C397" s="72" t="b">
        <v>0</v>
      </c>
      <c r="D397" s="72" t="b">
        <v>0</v>
      </c>
      <c r="E397" s="57"/>
      <c r="F397" s="59"/>
      <c r="G397" s="57"/>
      <c r="H397" s="88"/>
      <c r="I397" s="88"/>
      <c r="J397" s="88"/>
      <c r="K397" s="89" t="b">
        <v>1</v>
      </c>
      <c r="L397" s="60"/>
      <c r="M397" s="57"/>
      <c r="N397" s="57"/>
      <c r="O397" s="61"/>
      <c r="P397" s="60"/>
      <c r="Q397" s="57"/>
      <c r="R397" s="57"/>
      <c r="S397" s="95"/>
      <c r="T397" s="88"/>
      <c r="U397" s="88"/>
      <c r="V397" s="88"/>
      <c r="W397" s="96"/>
      <c r="X397" s="97"/>
      <c r="Y397" s="97"/>
      <c r="Z397" s="98"/>
      <c r="AA397" s="99"/>
      <c r="AB397" s="98"/>
      <c r="AC397" s="88"/>
      <c r="AD397" s="98"/>
      <c r="AE397" s="64"/>
      <c r="AF397" s="67" t="str">
        <f t="shared" si="15"/>
        <v/>
      </c>
      <c r="AG397" s="58"/>
      <c r="AH397" s="68" t="str">
        <f t="shared" si="16"/>
        <v/>
      </c>
      <c r="AI397" s="53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8"/>
      <c r="AW397" s="58"/>
      <c r="AX397" s="58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65" t="str">
        <f t="shared" si="17"/>
        <v/>
      </c>
    </row>
    <row r="398" spans="1:67" ht="19.5" customHeight="1">
      <c r="A398" s="70" t="b">
        <v>0</v>
      </c>
      <c r="B398" s="71" t="b">
        <v>1</v>
      </c>
      <c r="C398" s="72" t="b">
        <v>0</v>
      </c>
      <c r="D398" s="72" t="b">
        <v>0</v>
      </c>
      <c r="E398" s="57"/>
      <c r="F398" s="59"/>
      <c r="G398" s="57"/>
      <c r="H398" s="88"/>
      <c r="I398" s="88"/>
      <c r="J398" s="88"/>
      <c r="K398" s="89" t="b">
        <v>1</v>
      </c>
      <c r="L398" s="60"/>
      <c r="M398" s="57"/>
      <c r="N398" s="57"/>
      <c r="O398" s="61"/>
      <c r="P398" s="60"/>
      <c r="Q398" s="57"/>
      <c r="R398" s="57"/>
      <c r="S398" s="95"/>
      <c r="T398" s="88"/>
      <c r="U398" s="88"/>
      <c r="V398" s="88"/>
      <c r="W398" s="96"/>
      <c r="X398" s="97"/>
      <c r="Y398" s="97"/>
      <c r="Z398" s="98"/>
      <c r="AA398" s="99"/>
      <c r="AB398" s="98"/>
      <c r="AC398" s="88"/>
      <c r="AD398" s="98"/>
      <c r="AE398" s="64"/>
      <c r="AF398" s="67" t="str">
        <f t="shared" si="15"/>
        <v/>
      </c>
      <c r="AG398" s="58"/>
      <c r="AH398" s="68" t="str">
        <f t="shared" si="16"/>
        <v/>
      </c>
      <c r="AI398" s="53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8"/>
      <c r="AW398" s="58"/>
      <c r="AX398" s="58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65" t="str">
        <f t="shared" si="17"/>
        <v/>
      </c>
    </row>
    <row r="399" spans="1:67" ht="19.5" customHeight="1">
      <c r="A399" s="70" t="b">
        <v>0</v>
      </c>
      <c r="B399" s="71" t="b">
        <v>1</v>
      </c>
      <c r="C399" s="72" t="b">
        <v>0</v>
      </c>
      <c r="D399" s="72" t="b">
        <v>0</v>
      </c>
      <c r="E399" s="57"/>
      <c r="F399" s="59"/>
      <c r="G399" s="57"/>
      <c r="H399" s="88"/>
      <c r="I399" s="88"/>
      <c r="J399" s="88"/>
      <c r="K399" s="89" t="b">
        <v>1</v>
      </c>
      <c r="L399" s="60"/>
      <c r="M399" s="57"/>
      <c r="N399" s="57"/>
      <c r="O399" s="61"/>
      <c r="P399" s="60"/>
      <c r="Q399" s="57"/>
      <c r="R399" s="57"/>
      <c r="S399" s="95"/>
      <c r="T399" s="88"/>
      <c r="U399" s="88"/>
      <c r="V399" s="88"/>
      <c r="W399" s="96"/>
      <c r="X399" s="97"/>
      <c r="Y399" s="97"/>
      <c r="Z399" s="98"/>
      <c r="AA399" s="99"/>
      <c r="AB399" s="98"/>
      <c r="AC399" s="88"/>
      <c r="AD399" s="98"/>
      <c r="AE399" s="64"/>
      <c r="AF399" s="67" t="str">
        <f t="shared" si="15"/>
        <v/>
      </c>
      <c r="AG399" s="58"/>
      <c r="AH399" s="68" t="str">
        <f t="shared" si="16"/>
        <v/>
      </c>
      <c r="AI399" s="53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8"/>
      <c r="AW399" s="58"/>
      <c r="AX399" s="58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65" t="str">
        <f t="shared" si="17"/>
        <v/>
      </c>
    </row>
    <row r="400" spans="1:67" ht="19.5" customHeight="1">
      <c r="A400" s="70" t="b">
        <v>0</v>
      </c>
      <c r="B400" s="71" t="b">
        <v>1</v>
      </c>
      <c r="C400" s="72" t="b">
        <v>0</v>
      </c>
      <c r="D400" s="72" t="b">
        <v>0</v>
      </c>
      <c r="E400" s="57"/>
      <c r="F400" s="59"/>
      <c r="G400" s="57"/>
      <c r="H400" s="88"/>
      <c r="I400" s="88"/>
      <c r="J400" s="88"/>
      <c r="K400" s="89" t="b">
        <v>1</v>
      </c>
      <c r="L400" s="60"/>
      <c r="M400" s="57"/>
      <c r="N400" s="57"/>
      <c r="O400" s="61"/>
      <c r="P400" s="60"/>
      <c r="Q400" s="57"/>
      <c r="R400" s="57"/>
      <c r="S400" s="95"/>
      <c r="T400" s="88"/>
      <c r="U400" s="88"/>
      <c r="V400" s="88"/>
      <c r="W400" s="96"/>
      <c r="X400" s="97"/>
      <c r="Y400" s="97"/>
      <c r="Z400" s="98"/>
      <c r="AA400" s="99"/>
      <c r="AB400" s="98"/>
      <c r="AC400" s="88"/>
      <c r="AD400" s="98"/>
      <c r="AE400" s="64"/>
      <c r="AF400" s="67" t="str">
        <f t="shared" si="15"/>
        <v/>
      </c>
      <c r="AG400" s="58"/>
      <c r="AH400" s="68" t="str">
        <f t="shared" si="16"/>
        <v/>
      </c>
      <c r="AI400" s="53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8"/>
      <c r="AW400" s="58"/>
      <c r="AX400" s="58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65" t="str">
        <f t="shared" si="17"/>
        <v/>
      </c>
    </row>
    <row r="401" spans="1:67" ht="19.5" customHeight="1">
      <c r="A401" s="70" t="b">
        <v>0</v>
      </c>
      <c r="B401" s="71" t="b">
        <v>1</v>
      </c>
      <c r="C401" s="72" t="b">
        <v>0</v>
      </c>
      <c r="D401" s="72" t="b">
        <v>0</v>
      </c>
      <c r="E401" s="57"/>
      <c r="F401" s="59"/>
      <c r="G401" s="57"/>
      <c r="H401" s="88"/>
      <c r="I401" s="88"/>
      <c r="J401" s="88"/>
      <c r="K401" s="89" t="b">
        <v>1</v>
      </c>
      <c r="L401" s="60"/>
      <c r="M401" s="57"/>
      <c r="N401" s="57"/>
      <c r="O401" s="61"/>
      <c r="P401" s="60"/>
      <c r="Q401" s="57"/>
      <c r="R401" s="57"/>
      <c r="S401" s="95"/>
      <c r="T401" s="88"/>
      <c r="U401" s="88"/>
      <c r="V401" s="88"/>
      <c r="W401" s="96"/>
      <c r="X401" s="97"/>
      <c r="Y401" s="97"/>
      <c r="Z401" s="98"/>
      <c r="AA401" s="99"/>
      <c r="AB401" s="98"/>
      <c r="AC401" s="88"/>
      <c r="AD401" s="98"/>
      <c r="AE401" s="64"/>
      <c r="AF401" s="67" t="str">
        <f t="shared" si="15"/>
        <v/>
      </c>
      <c r="AG401" s="58"/>
      <c r="AH401" s="68" t="str">
        <f t="shared" si="16"/>
        <v/>
      </c>
      <c r="AI401" s="53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8"/>
      <c r="AW401" s="58"/>
      <c r="AX401" s="58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65" t="str">
        <f t="shared" si="17"/>
        <v/>
      </c>
    </row>
    <row r="402" spans="1:67" ht="19.5" customHeight="1">
      <c r="A402" s="70" t="b">
        <v>0</v>
      </c>
      <c r="B402" s="71" t="b">
        <v>1</v>
      </c>
      <c r="C402" s="72" t="b">
        <v>0</v>
      </c>
      <c r="D402" s="72" t="b">
        <v>0</v>
      </c>
      <c r="E402" s="57"/>
      <c r="F402" s="59"/>
      <c r="G402" s="57"/>
      <c r="H402" s="88"/>
      <c r="I402" s="88"/>
      <c r="J402" s="88"/>
      <c r="K402" s="89" t="b">
        <v>1</v>
      </c>
      <c r="L402" s="60"/>
      <c r="M402" s="57"/>
      <c r="N402" s="57"/>
      <c r="O402" s="61"/>
      <c r="P402" s="60"/>
      <c r="Q402" s="57"/>
      <c r="R402" s="57"/>
      <c r="S402" s="95"/>
      <c r="T402" s="88"/>
      <c r="U402" s="88"/>
      <c r="V402" s="88"/>
      <c r="W402" s="96"/>
      <c r="X402" s="97"/>
      <c r="Y402" s="97"/>
      <c r="Z402" s="98"/>
      <c r="AA402" s="99"/>
      <c r="AB402" s="98"/>
      <c r="AC402" s="88"/>
      <c r="AD402" s="98"/>
      <c r="AE402" s="64"/>
      <c r="AF402" s="67" t="str">
        <f t="shared" si="15"/>
        <v/>
      </c>
      <c r="AG402" s="58"/>
      <c r="AH402" s="68" t="str">
        <f t="shared" si="16"/>
        <v/>
      </c>
      <c r="AI402" s="53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8"/>
      <c r="AW402" s="58"/>
      <c r="AX402" s="58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65" t="str">
        <f t="shared" si="17"/>
        <v/>
      </c>
    </row>
    <row r="403" spans="1:67" ht="19.5" customHeight="1">
      <c r="A403" s="70" t="b">
        <v>0</v>
      </c>
      <c r="B403" s="71" t="b">
        <v>1</v>
      </c>
      <c r="C403" s="72" t="b">
        <v>0</v>
      </c>
      <c r="D403" s="72" t="b">
        <v>0</v>
      </c>
      <c r="E403" s="57"/>
      <c r="F403" s="59"/>
      <c r="G403" s="57"/>
      <c r="H403" s="88"/>
      <c r="I403" s="88"/>
      <c r="J403" s="88"/>
      <c r="K403" s="89" t="b">
        <v>1</v>
      </c>
      <c r="L403" s="60"/>
      <c r="M403" s="57"/>
      <c r="N403" s="57"/>
      <c r="O403" s="61"/>
      <c r="P403" s="60"/>
      <c r="Q403" s="57"/>
      <c r="R403" s="57"/>
      <c r="S403" s="95"/>
      <c r="T403" s="88"/>
      <c r="U403" s="88"/>
      <c r="V403" s="88"/>
      <c r="W403" s="96"/>
      <c r="X403" s="97"/>
      <c r="Y403" s="97"/>
      <c r="Z403" s="98"/>
      <c r="AA403" s="99"/>
      <c r="AB403" s="98"/>
      <c r="AC403" s="88"/>
      <c r="AD403" s="98"/>
      <c r="AE403" s="64"/>
      <c r="AF403" s="67" t="str">
        <f t="shared" ref="AF403:AF466" si="18">IFERROR((VALUE(TRIM(LEFT(MID(AE403,FIND("|",AE403)+1,99),FIND("-",MID(AE403,FIND("|",AE403)+1,99))-1)))+VALUE(TRIM(SUBSTITUTE(SUBSTITUTE(SUBSTITUTE(MID(MID(AE403,FIND("|",AE403)+1,99),FIND("-",MID(AE403,FIND("|",AE403)+1,99))+1,20),"µm",""),"μm","")," ",""))))/2,"")</f>
        <v/>
      </c>
      <c r="AG403" s="58"/>
      <c r="AH403" s="68" t="str">
        <f t="shared" ref="AH403:AH466" si="19">IFERROR((VALUE(TRIM(LEFT(MID(AG403,FIND("|",AG403)+1,99),FIND("-",MID(AG403,FIND("|",AG403)+1,99))-1)))+VALUE(TRIM(SUBSTITUTE(SUBSTITUTE(SUBSTITUTE(MID(MID(AG403,FIND("|",AG403)+1,99),FIND("-",MID(AG403,FIND("|",AG403)+1,99))+1,20),"µm",""),"μm","")," ",""))))/2,"")</f>
        <v/>
      </c>
      <c r="AI403" s="53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8"/>
      <c r="AW403" s="58"/>
      <c r="AX403" s="58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65" t="str">
        <f t="shared" ref="BO403:BO466" si="20">IF(E403="","",H403*I403)</f>
        <v/>
      </c>
    </row>
    <row r="404" spans="1:67" ht="19.5" customHeight="1">
      <c r="A404" s="70" t="b">
        <v>0</v>
      </c>
      <c r="B404" s="71" t="b">
        <v>1</v>
      </c>
      <c r="C404" s="72" t="b">
        <v>0</v>
      </c>
      <c r="D404" s="72" t="b">
        <v>0</v>
      </c>
      <c r="E404" s="57"/>
      <c r="F404" s="59"/>
      <c r="G404" s="57"/>
      <c r="H404" s="88"/>
      <c r="I404" s="88"/>
      <c r="J404" s="88"/>
      <c r="K404" s="89" t="b">
        <v>1</v>
      </c>
      <c r="L404" s="60"/>
      <c r="M404" s="57"/>
      <c r="N404" s="57"/>
      <c r="O404" s="61"/>
      <c r="P404" s="60"/>
      <c r="Q404" s="57"/>
      <c r="R404" s="57"/>
      <c r="S404" s="95"/>
      <c r="T404" s="88"/>
      <c r="U404" s="88"/>
      <c r="V404" s="88"/>
      <c r="W404" s="96"/>
      <c r="X404" s="97"/>
      <c r="Y404" s="97"/>
      <c r="Z404" s="98"/>
      <c r="AA404" s="99"/>
      <c r="AB404" s="98"/>
      <c r="AC404" s="88"/>
      <c r="AD404" s="98"/>
      <c r="AE404" s="64"/>
      <c r="AF404" s="67" t="str">
        <f t="shared" si="18"/>
        <v/>
      </c>
      <c r="AG404" s="58"/>
      <c r="AH404" s="68" t="str">
        <f t="shared" si="19"/>
        <v/>
      </c>
      <c r="AI404" s="53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8"/>
      <c r="AW404" s="58"/>
      <c r="AX404" s="58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65" t="str">
        <f t="shared" si="20"/>
        <v/>
      </c>
    </row>
    <row r="405" spans="1:67" ht="19.5" customHeight="1">
      <c r="A405" s="70" t="b">
        <v>0</v>
      </c>
      <c r="B405" s="71" t="b">
        <v>1</v>
      </c>
      <c r="C405" s="72" t="b">
        <v>0</v>
      </c>
      <c r="D405" s="72" t="b">
        <v>0</v>
      </c>
      <c r="E405" s="57"/>
      <c r="F405" s="59"/>
      <c r="G405" s="57"/>
      <c r="H405" s="88"/>
      <c r="I405" s="88"/>
      <c r="J405" s="88"/>
      <c r="K405" s="89" t="b">
        <v>1</v>
      </c>
      <c r="L405" s="60"/>
      <c r="M405" s="57"/>
      <c r="N405" s="57"/>
      <c r="O405" s="61"/>
      <c r="P405" s="60"/>
      <c r="Q405" s="57"/>
      <c r="R405" s="57"/>
      <c r="S405" s="95"/>
      <c r="T405" s="88"/>
      <c r="U405" s="88"/>
      <c r="V405" s="88"/>
      <c r="W405" s="96"/>
      <c r="X405" s="97"/>
      <c r="Y405" s="97"/>
      <c r="Z405" s="98"/>
      <c r="AA405" s="99"/>
      <c r="AB405" s="98"/>
      <c r="AC405" s="88"/>
      <c r="AD405" s="98"/>
      <c r="AE405" s="64"/>
      <c r="AF405" s="67" t="str">
        <f t="shared" si="18"/>
        <v/>
      </c>
      <c r="AG405" s="58"/>
      <c r="AH405" s="68" t="str">
        <f t="shared" si="19"/>
        <v/>
      </c>
      <c r="AI405" s="53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8"/>
      <c r="AW405" s="58"/>
      <c r="AX405" s="58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65" t="str">
        <f t="shared" si="20"/>
        <v/>
      </c>
    </row>
    <row r="406" spans="1:67" ht="19.5" customHeight="1">
      <c r="A406" s="70" t="b">
        <v>0</v>
      </c>
      <c r="B406" s="71" t="b">
        <v>1</v>
      </c>
      <c r="C406" s="72" t="b">
        <v>0</v>
      </c>
      <c r="D406" s="72" t="b">
        <v>0</v>
      </c>
      <c r="E406" s="57"/>
      <c r="F406" s="59"/>
      <c r="G406" s="57"/>
      <c r="H406" s="88"/>
      <c r="I406" s="88"/>
      <c r="J406" s="88"/>
      <c r="K406" s="89" t="b">
        <v>1</v>
      </c>
      <c r="L406" s="60"/>
      <c r="M406" s="57"/>
      <c r="N406" s="57"/>
      <c r="O406" s="61"/>
      <c r="P406" s="60"/>
      <c r="Q406" s="57"/>
      <c r="R406" s="57"/>
      <c r="S406" s="95"/>
      <c r="T406" s="88"/>
      <c r="U406" s="88"/>
      <c r="V406" s="88"/>
      <c r="W406" s="96"/>
      <c r="X406" s="97"/>
      <c r="Y406" s="97"/>
      <c r="Z406" s="98"/>
      <c r="AA406" s="99"/>
      <c r="AB406" s="98"/>
      <c r="AC406" s="88"/>
      <c r="AD406" s="98"/>
      <c r="AE406" s="64"/>
      <c r="AF406" s="67" t="str">
        <f t="shared" si="18"/>
        <v/>
      </c>
      <c r="AG406" s="58"/>
      <c r="AH406" s="68" t="str">
        <f t="shared" si="19"/>
        <v/>
      </c>
      <c r="AI406" s="53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8"/>
      <c r="AW406" s="58"/>
      <c r="AX406" s="58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65" t="str">
        <f t="shared" si="20"/>
        <v/>
      </c>
    </row>
    <row r="407" spans="1:67" ht="19.5" customHeight="1">
      <c r="A407" s="70" t="b">
        <v>0</v>
      </c>
      <c r="B407" s="71" t="b">
        <v>1</v>
      </c>
      <c r="C407" s="72" t="b">
        <v>0</v>
      </c>
      <c r="D407" s="72" t="b">
        <v>0</v>
      </c>
      <c r="E407" s="57"/>
      <c r="F407" s="59"/>
      <c r="G407" s="57"/>
      <c r="H407" s="88"/>
      <c r="I407" s="88"/>
      <c r="J407" s="88"/>
      <c r="K407" s="89" t="b">
        <v>1</v>
      </c>
      <c r="L407" s="60"/>
      <c r="M407" s="57"/>
      <c r="N407" s="57"/>
      <c r="O407" s="61"/>
      <c r="P407" s="60"/>
      <c r="Q407" s="57"/>
      <c r="R407" s="57"/>
      <c r="S407" s="95"/>
      <c r="T407" s="88"/>
      <c r="U407" s="88"/>
      <c r="V407" s="88"/>
      <c r="W407" s="96"/>
      <c r="X407" s="97"/>
      <c r="Y407" s="97"/>
      <c r="Z407" s="98"/>
      <c r="AA407" s="99"/>
      <c r="AB407" s="98"/>
      <c r="AC407" s="88"/>
      <c r="AD407" s="98"/>
      <c r="AE407" s="64"/>
      <c r="AF407" s="67" t="str">
        <f t="shared" si="18"/>
        <v/>
      </c>
      <c r="AG407" s="58"/>
      <c r="AH407" s="68" t="str">
        <f t="shared" si="19"/>
        <v/>
      </c>
      <c r="AI407" s="53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8"/>
      <c r="AW407" s="58"/>
      <c r="AX407" s="58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65" t="str">
        <f t="shared" si="20"/>
        <v/>
      </c>
    </row>
    <row r="408" spans="1:67" ht="19.5" customHeight="1">
      <c r="A408" s="70" t="b">
        <v>0</v>
      </c>
      <c r="B408" s="71" t="b">
        <v>1</v>
      </c>
      <c r="C408" s="72" t="b">
        <v>0</v>
      </c>
      <c r="D408" s="72" t="b">
        <v>0</v>
      </c>
      <c r="E408" s="57"/>
      <c r="F408" s="59"/>
      <c r="G408" s="57"/>
      <c r="H408" s="88"/>
      <c r="I408" s="88"/>
      <c r="J408" s="88"/>
      <c r="K408" s="89" t="b">
        <v>1</v>
      </c>
      <c r="L408" s="60"/>
      <c r="M408" s="57"/>
      <c r="N408" s="57"/>
      <c r="O408" s="61"/>
      <c r="P408" s="60"/>
      <c r="Q408" s="57"/>
      <c r="R408" s="57"/>
      <c r="S408" s="95"/>
      <c r="T408" s="88"/>
      <c r="U408" s="88"/>
      <c r="V408" s="88"/>
      <c r="W408" s="96"/>
      <c r="X408" s="97"/>
      <c r="Y408" s="97"/>
      <c r="Z408" s="98"/>
      <c r="AA408" s="99"/>
      <c r="AB408" s="98"/>
      <c r="AC408" s="88"/>
      <c r="AD408" s="98"/>
      <c r="AE408" s="64"/>
      <c r="AF408" s="67" t="str">
        <f t="shared" si="18"/>
        <v/>
      </c>
      <c r="AG408" s="58"/>
      <c r="AH408" s="68" t="str">
        <f t="shared" si="19"/>
        <v/>
      </c>
      <c r="AI408" s="53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8"/>
      <c r="AW408" s="58"/>
      <c r="AX408" s="58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65" t="str">
        <f t="shared" si="20"/>
        <v/>
      </c>
    </row>
    <row r="409" spans="1:67" ht="19.5" customHeight="1">
      <c r="A409" s="70" t="b">
        <v>0</v>
      </c>
      <c r="B409" s="71" t="b">
        <v>1</v>
      </c>
      <c r="C409" s="72" t="b">
        <v>0</v>
      </c>
      <c r="D409" s="72" t="b">
        <v>0</v>
      </c>
      <c r="E409" s="57"/>
      <c r="F409" s="59"/>
      <c r="G409" s="57"/>
      <c r="H409" s="88"/>
      <c r="I409" s="88"/>
      <c r="J409" s="88"/>
      <c r="K409" s="89" t="b">
        <v>1</v>
      </c>
      <c r="L409" s="60"/>
      <c r="M409" s="57"/>
      <c r="N409" s="57"/>
      <c r="O409" s="61"/>
      <c r="P409" s="60"/>
      <c r="Q409" s="57"/>
      <c r="R409" s="57"/>
      <c r="S409" s="95"/>
      <c r="T409" s="88"/>
      <c r="U409" s="88"/>
      <c r="V409" s="88"/>
      <c r="W409" s="96"/>
      <c r="X409" s="97"/>
      <c r="Y409" s="97"/>
      <c r="Z409" s="98"/>
      <c r="AA409" s="99"/>
      <c r="AB409" s="98"/>
      <c r="AC409" s="88"/>
      <c r="AD409" s="98"/>
      <c r="AE409" s="64"/>
      <c r="AF409" s="67" t="str">
        <f t="shared" si="18"/>
        <v/>
      </c>
      <c r="AG409" s="58"/>
      <c r="AH409" s="68" t="str">
        <f t="shared" si="19"/>
        <v/>
      </c>
      <c r="AI409" s="53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8"/>
      <c r="AW409" s="58"/>
      <c r="AX409" s="58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65" t="str">
        <f t="shared" si="20"/>
        <v/>
      </c>
    </row>
    <row r="410" spans="1:67" ht="19.5" customHeight="1">
      <c r="A410" s="70" t="b">
        <v>0</v>
      </c>
      <c r="B410" s="71" t="b">
        <v>1</v>
      </c>
      <c r="C410" s="72" t="b">
        <v>0</v>
      </c>
      <c r="D410" s="72" t="b">
        <v>0</v>
      </c>
      <c r="E410" s="57"/>
      <c r="F410" s="59"/>
      <c r="G410" s="57"/>
      <c r="H410" s="88"/>
      <c r="I410" s="88"/>
      <c r="J410" s="88"/>
      <c r="K410" s="89" t="b">
        <v>1</v>
      </c>
      <c r="L410" s="60"/>
      <c r="M410" s="57"/>
      <c r="N410" s="57"/>
      <c r="O410" s="61"/>
      <c r="P410" s="60"/>
      <c r="Q410" s="57"/>
      <c r="R410" s="57"/>
      <c r="S410" s="95"/>
      <c r="T410" s="88"/>
      <c r="U410" s="88"/>
      <c r="V410" s="88"/>
      <c r="W410" s="96"/>
      <c r="X410" s="97"/>
      <c r="Y410" s="97"/>
      <c r="Z410" s="98"/>
      <c r="AA410" s="99"/>
      <c r="AB410" s="98"/>
      <c r="AC410" s="88"/>
      <c r="AD410" s="98"/>
      <c r="AE410" s="64"/>
      <c r="AF410" s="67" t="str">
        <f t="shared" si="18"/>
        <v/>
      </c>
      <c r="AG410" s="58"/>
      <c r="AH410" s="68" t="str">
        <f t="shared" si="19"/>
        <v/>
      </c>
      <c r="AI410" s="53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8"/>
      <c r="AW410" s="58"/>
      <c r="AX410" s="58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65" t="str">
        <f t="shared" si="20"/>
        <v/>
      </c>
    </row>
    <row r="411" spans="1:67" ht="19.5" customHeight="1">
      <c r="A411" s="70" t="b">
        <v>0</v>
      </c>
      <c r="B411" s="71" t="b">
        <v>1</v>
      </c>
      <c r="C411" s="72" t="b">
        <v>0</v>
      </c>
      <c r="D411" s="72" t="b">
        <v>0</v>
      </c>
      <c r="E411" s="57"/>
      <c r="F411" s="59"/>
      <c r="G411" s="57"/>
      <c r="H411" s="88"/>
      <c r="I411" s="88"/>
      <c r="J411" s="88"/>
      <c r="K411" s="89" t="b">
        <v>1</v>
      </c>
      <c r="L411" s="60"/>
      <c r="M411" s="57"/>
      <c r="N411" s="57"/>
      <c r="O411" s="61"/>
      <c r="P411" s="60"/>
      <c r="Q411" s="57"/>
      <c r="R411" s="57"/>
      <c r="S411" s="95"/>
      <c r="T411" s="88"/>
      <c r="U411" s="88"/>
      <c r="V411" s="88"/>
      <c r="W411" s="96"/>
      <c r="X411" s="97"/>
      <c r="Y411" s="97"/>
      <c r="Z411" s="98"/>
      <c r="AA411" s="99"/>
      <c r="AB411" s="98"/>
      <c r="AC411" s="88"/>
      <c r="AD411" s="98"/>
      <c r="AE411" s="64"/>
      <c r="AF411" s="67" t="str">
        <f t="shared" si="18"/>
        <v/>
      </c>
      <c r="AG411" s="58"/>
      <c r="AH411" s="68" t="str">
        <f t="shared" si="19"/>
        <v/>
      </c>
      <c r="AI411" s="53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8"/>
      <c r="AW411" s="58"/>
      <c r="AX411" s="58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65" t="str">
        <f t="shared" si="20"/>
        <v/>
      </c>
    </row>
    <row r="412" spans="1:67" ht="19.5" customHeight="1">
      <c r="A412" s="70" t="b">
        <v>0</v>
      </c>
      <c r="B412" s="71" t="b">
        <v>1</v>
      </c>
      <c r="C412" s="72" t="b">
        <v>0</v>
      </c>
      <c r="D412" s="72" t="b">
        <v>0</v>
      </c>
      <c r="E412" s="57"/>
      <c r="F412" s="59"/>
      <c r="G412" s="57"/>
      <c r="H412" s="88"/>
      <c r="I412" s="88"/>
      <c r="J412" s="88"/>
      <c r="K412" s="89" t="b">
        <v>1</v>
      </c>
      <c r="L412" s="60"/>
      <c r="M412" s="57"/>
      <c r="N412" s="57"/>
      <c r="O412" s="61"/>
      <c r="P412" s="60"/>
      <c r="Q412" s="57"/>
      <c r="R412" s="57"/>
      <c r="S412" s="95"/>
      <c r="T412" s="88"/>
      <c r="U412" s="88"/>
      <c r="V412" s="88"/>
      <c r="W412" s="96"/>
      <c r="X412" s="97"/>
      <c r="Y412" s="97"/>
      <c r="Z412" s="98"/>
      <c r="AA412" s="99"/>
      <c r="AB412" s="98"/>
      <c r="AC412" s="88"/>
      <c r="AD412" s="98"/>
      <c r="AE412" s="64"/>
      <c r="AF412" s="67" t="str">
        <f t="shared" si="18"/>
        <v/>
      </c>
      <c r="AG412" s="58"/>
      <c r="AH412" s="68" t="str">
        <f t="shared" si="19"/>
        <v/>
      </c>
      <c r="AI412" s="53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8"/>
      <c r="AW412" s="58"/>
      <c r="AX412" s="58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65" t="str">
        <f t="shared" si="20"/>
        <v/>
      </c>
    </row>
    <row r="413" spans="1:67" ht="19.5" customHeight="1">
      <c r="A413" s="70" t="b">
        <v>0</v>
      </c>
      <c r="B413" s="71" t="b">
        <v>1</v>
      </c>
      <c r="C413" s="72" t="b">
        <v>0</v>
      </c>
      <c r="D413" s="72" t="b">
        <v>0</v>
      </c>
      <c r="E413" s="57"/>
      <c r="F413" s="59"/>
      <c r="G413" s="57"/>
      <c r="H413" s="88"/>
      <c r="I413" s="88"/>
      <c r="J413" s="88"/>
      <c r="K413" s="89" t="b">
        <v>1</v>
      </c>
      <c r="L413" s="60"/>
      <c r="M413" s="57"/>
      <c r="N413" s="57"/>
      <c r="O413" s="61"/>
      <c r="P413" s="60"/>
      <c r="Q413" s="57"/>
      <c r="R413" s="57"/>
      <c r="S413" s="95"/>
      <c r="T413" s="88"/>
      <c r="U413" s="88"/>
      <c r="V413" s="88"/>
      <c r="W413" s="96"/>
      <c r="X413" s="97"/>
      <c r="Y413" s="97"/>
      <c r="Z413" s="98"/>
      <c r="AA413" s="99"/>
      <c r="AB413" s="98"/>
      <c r="AC413" s="88"/>
      <c r="AD413" s="98"/>
      <c r="AE413" s="64"/>
      <c r="AF413" s="67" t="str">
        <f t="shared" si="18"/>
        <v/>
      </c>
      <c r="AG413" s="58"/>
      <c r="AH413" s="68" t="str">
        <f t="shared" si="19"/>
        <v/>
      </c>
      <c r="AI413" s="53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8"/>
      <c r="AW413" s="58"/>
      <c r="AX413" s="58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65" t="str">
        <f t="shared" si="20"/>
        <v/>
      </c>
    </row>
    <row r="414" spans="1:67" ht="19.5" customHeight="1">
      <c r="A414" s="70" t="b">
        <v>0</v>
      </c>
      <c r="B414" s="71" t="b">
        <v>1</v>
      </c>
      <c r="C414" s="72" t="b">
        <v>0</v>
      </c>
      <c r="D414" s="72" t="b">
        <v>0</v>
      </c>
      <c r="E414" s="57"/>
      <c r="F414" s="59"/>
      <c r="G414" s="57"/>
      <c r="H414" s="88"/>
      <c r="I414" s="88"/>
      <c r="J414" s="88"/>
      <c r="K414" s="89" t="b">
        <v>1</v>
      </c>
      <c r="L414" s="60"/>
      <c r="M414" s="57"/>
      <c r="N414" s="57"/>
      <c r="O414" s="61"/>
      <c r="P414" s="60"/>
      <c r="Q414" s="57"/>
      <c r="R414" s="57"/>
      <c r="S414" s="95"/>
      <c r="T414" s="88"/>
      <c r="U414" s="88"/>
      <c r="V414" s="88"/>
      <c r="W414" s="96"/>
      <c r="X414" s="97"/>
      <c r="Y414" s="97"/>
      <c r="Z414" s="98"/>
      <c r="AA414" s="99"/>
      <c r="AB414" s="98"/>
      <c r="AC414" s="88"/>
      <c r="AD414" s="98"/>
      <c r="AE414" s="64"/>
      <c r="AF414" s="67" t="str">
        <f t="shared" si="18"/>
        <v/>
      </c>
      <c r="AG414" s="58"/>
      <c r="AH414" s="68" t="str">
        <f t="shared" si="19"/>
        <v/>
      </c>
      <c r="AI414" s="53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8"/>
      <c r="AW414" s="58"/>
      <c r="AX414" s="58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65" t="str">
        <f t="shared" si="20"/>
        <v/>
      </c>
    </row>
    <row r="415" spans="1:67" ht="19.5" customHeight="1">
      <c r="A415" s="70" t="b">
        <v>0</v>
      </c>
      <c r="B415" s="71" t="b">
        <v>1</v>
      </c>
      <c r="C415" s="72" t="b">
        <v>0</v>
      </c>
      <c r="D415" s="72" t="b">
        <v>0</v>
      </c>
      <c r="E415" s="57"/>
      <c r="F415" s="59"/>
      <c r="G415" s="57"/>
      <c r="H415" s="88"/>
      <c r="I415" s="88"/>
      <c r="J415" s="88"/>
      <c r="K415" s="89" t="b">
        <v>1</v>
      </c>
      <c r="L415" s="60"/>
      <c r="M415" s="57"/>
      <c r="N415" s="57"/>
      <c r="O415" s="61"/>
      <c r="P415" s="60"/>
      <c r="Q415" s="57"/>
      <c r="R415" s="57"/>
      <c r="S415" s="95"/>
      <c r="T415" s="88"/>
      <c r="U415" s="88"/>
      <c r="V415" s="88"/>
      <c r="W415" s="96"/>
      <c r="X415" s="97"/>
      <c r="Y415" s="97"/>
      <c r="Z415" s="98"/>
      <c r="AA415" s="99"/>
      <c r="AB415" s="98"/>
      <c r="AC415" s="88"/>
      <c r="AD415" s="98"/>
      <c r="AE415" s="64"/>
      <c r="AF415" s="67" t="str">
        <f t="shared" si="18"/>
        <v/>
      </c>
      <c r="AG415" s="58"/>
      <c r="AH415" s="68" t="str">
        <f t="shared" si="19"/>
        <v/>
      </c>
      <c r="AI415" s="53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8"/>
      <c r="AW415" s="58"/>
      <c r="AX415" s="58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65" t="str">
        <f t="shared" si="20"/>
        <v/>
      </c>
    </row>
    <row r="416" spans="1:67" ht="19.5" customHeight="1">
      <c r="A416" s="70" t="b">
        <v>0</v>
      </c>
      <c r="B416" s="71" t="b">
        <v>1</v>
      </c>
      <c r="C416" s="72" t="b">
        <v>0</v>
      </c>
      <c r="D416" s="72" t="b">
        <v>0</v>
      </c>
      <c r="E416" s="57"/>
      <c r="F416" s="59"/>
      <c r="G416" s="57"/>
      <c r="H416" s="88"/>
      <c r="I416" s="88"/>
      <c r="J416" s="88"/>
      <c r="K416" s="89" t="b">
        <v>1</v>
      </c>
      <c r="L416" s="60"/>
      <c r="M416" s="57"/>
      <c r="N416" s="57"/>
      <c r="O416" s="61"/>
      <c r="P416" s="60"/>
      <c r="Q416" s="57"/>
      <c r="R416" s="57"/>
      <c r="S416" s="95"/>
      <c r="T416" s="88"/>
      <c r="U416" s="88"/>
      <c r="V416" s="88"/>
      <c r="W416" s="96"/>
      <c r="X416" s="97"/>
      <c r="Y416" s="97"/>
      <c r="Z416" s="98"/>
      <c r="AA416" s="99"/>
      <c r="AB416" s="98"/>
      <c r="AC416" s="88"/>
      <c r="AD416" s="98"/>
      <c r="AE416" s="64"/>
      <c r="AF416" s="67" t="str">
        <f t="shared" si="18"/>
        <v/>
      </c>
      <c r="AG416" s="58"/>
      <c r="AH416" s="68" t="str">
        <f t="shared" si="19"/>
        <v/>
      </c>
      <c r="AI416" s="53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8"/>
      <c r="AW416" s="58"/>
      <c r="AX416" s="58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65" t="str">
        <f t="shared" si="20"/>
        <v/>
      </c>
    </row>
    <row r="417" spans="1:67" ht="19.5" customHeight="1">
      <c r="A417" s="70" t="b">
        <v>0</v>
      </c>
      <c r="B417" s="71" t="b">
        <v>1</v>
      </c>
      <c r="C417" s="72" t="b">
        <v>0</v>
      </c>
      <c r="D417" s="72" t="b">
        <v>0</v>
      </c>
      <c r="E417" s="57"/>
      <c r="F417" s="59"/>
      <c r="G417" s="57"/>
      <c r="H417" s="88"/>
      <c r="I417" s="88"/>
      <c r="J417" s="88"/>
      <c r="K417" s="89" t="b">
        <v>1</v>
      </c>
      <c r="L417" s="60"/>
      <c r="M417" s="57"/>
      <c r="N417" s="57"/>
      <c r="O417" s="61"/>
      <c r="P417" s="60"/>
      <c r="Q417" s="57"/>
      <c r="R417" s="57"/>
      <c r="S417" s="95"/>
      <c r="T417" s="88"/>
      <c r="U417" s="88"/>
      <c r="V417" s="88"/>
      <c r="W417" s="96"/>
      <c r="X417" s="97"/>
      <c r="Y417" s="97"/>
      <c r="Z417" s="98"/>
      <c r="AA417" s="99"/>
      <c r="AB417" s="98"/>
      <c r="AC417" s="88"/>
      <c r="AD417" s="98"/>
      <c r="AE417" s="64"/>
      <c r="AF417" s="67" t="str">
        <f t="shared" si="18"/>
        <v/>
      </c>
      <c r="AG417" s="58"/>
      <c r="AH417" s="68" t="str">
        <f t="shared" si="19"/>
        <v/>
      </c>
      <c r="AI417" s="53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8"/>
      <c r="AW417" s="58"/>
      <c r="AX417" s="58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65" t="str">
        <f t="shared" si="20"/>
        <v/>
      </c>
    </row>
    <row r="418" spans="1:67" ht="19.5" customHeight="1">
      <c r="A418" s="70" t="b">
        <v>0</v>
      </c>
      <c r="B418" s="71" t="b">
        <v>1</v>
      </c>
      <c r="C418" s="72" t="b">
        <v>0</v>
      </c>
      <c r="D418" s="72" t="b">
        <v>0</v>
      </c>
      <c r="E418" s="57"/>
      <c r="F418" s="59"/>
      <c r="G418" s="57"/>
      <c r="H418" s="88"/>
      <c r="I418" s="88"/>
      <c r="J418" s="88"/>
      <c r="K418" s="89" t="b">
        <v>1</v>
      </c>
      <c r="L418" s="60"/>
      <c r="M418" s="57"/>
      <c r="N418" s="57"/>
      <c r="O418" s="61"/>
      <c r="P418" s="60"/>
      <c r="Q418" s="57"/>
      <c r="R418" s="57"/>
      <c r="S418" s="95"/>
      <c r="T418" s="88"/>
      <c r="U418" s="88"/>
      <c r="V418" s="88"/>
      <c r="W418" s="96"/>
      <c r="X418" s="97"/>
      <c r="Y418" s="97"/>
      <c r="Z418" s="98"/>
      <c r="AA418" s="99"/>
      <c r="AB418" s="98"/>
      <c r="AC418" s="88"/>
      <c r="AD418" s="98"/>
      <c r="AE418" s="64"/>
      <c r="AF418" s="67" t="str">
        <f t="shared" si="18"/>
        <v/>
      </c>
      <c r="AG418" s="58"/>
      <c r="AH418" s="68" t="str">
        <f t="shared" si="19"/>
        <v/>
      </c>
      <c r="AI418" s="53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8"/>
      <c r="AW418" s="58"/>
      <c r="AX418" s="58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65" t="str">
        <f t="shared" si="20"/>
        <v/>
      </c>
    </row>
    <row r="419" spans="1:67" ht="19.5" customHeight="1">
      <c r="A419" s="70" t="b">
        <v>0</v>
      </c>
      <c r="B419" s="71" t="b">
        <v>1</v>
      </c>
      <c r="C419" s="72" t="b">
        <v>0</v>
      </c>
      <c r="D419" s="72" t="b">
        <v>0</v>
      </c>
      <c r="E419" s="57"/>
      <c r="F419" s="59"/>
      <c r="G419" s="57"/>
      <c r="H419" s="88"/>
      <c r="I419" s="88"/>
      <c r="J419" s="88"/>
      <c r="K419" s="89" t="b">
        <v>1</v>
      </c>
      <c r="L419" s="60"/>
      <c r="M419" s="57"/>
      <c r="N419" s="57"/>
      <c r="O419" s="61"/>
      <c r="P419" s="60"/>
      <c r="Q419" s="57"/>
      <c r="R419" s="57"/>
      <c r="S419" s="95"/>
      <c r="T419" s="88"/>
      <c r="U419" s="88"/>
      <c r="V419" s="88"/>
      <c r="W419" s="96"/>
      <c r="X419" s="97"/>
      <c r="Y419" s="97"/>
      <c r="Z419" s="98"/>
      <c r="AA419" s="99"/>
      <c r="AB419" s="98"/>
      <c r="AC419" s="88"/>
      <c r="AD419" s="98"/>
      <c r="AE419" s="64"/>
      <c r="AF419" s="67" t="str">
        <f t="shared" si="18"/>
        <v/>
      </c>
      <c r="AG419" s="58"/>
      <c r="AH419" s="68" t="str">
        <f t="shared" si="19"/>
        <v/>
      </c>
      <c r="AI419" s="53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8"/>
      <c r="AW419" s="58"/>
      <c r="AX419" s="58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65" t="str">
        <f t="shared" si="20"/>
        <v/>
      </c>
    </row>
    <row r="420" spans="1:67" ht="19.5" customHeight="1">
      <c r="A420" s="70" t="b">
        <v>0</v>
      </c>
      <c r="B420" s="71" t="b">
        <v>1</v>
      </c>
      <c r="C420" s="72" t="b">
        <v>0</v>
      </c>
      <c r="D420" s="72" t="b">
        <v>0</v>
      </c>
      <c r="E420" s="57"/>
      <c r="F420" s="59"/>
      <c r="G420" s="57"/>
      <c r="H420" s="88"/>
      <c r="I420" s="88"/>
      <c r="J420" s="88"/>
      <c r="K420" s="89" t="b">
        <v>1</v>
      </c>
      <c r="L420" s="60"/>
      <c r="M420" s="57"/>
      <c r="N420" s="57"/>
      <c r="O420" s="61"/>
      <c r="P420" s="60"/>
      <c r="Q420" s="57"/>
      <c r="R420" s="57"/>
      <c r="S420" s="95"/>
      <c r="T420" s="88"/>
      <c r="U420" s="88"/>
      <c r="V420" s="88"/>
      <c r="W420" s="96"/>
      <c r="X420" s="97"/>
      <c r="Y420" s="97"/>
      <c r="Z420" s="98"/>
      <c r="AA420" s="99"/>
      <c r="AB420" s="98"/>
      <c r="AC420" s="88"/>
      <c r="AD420" s="98"/>
      <c r="AE420" s="64"/>
      <c r="AF420" s="67" t="str">
        <f t="shared" si="18"/>
        <v/>
      </c>
      <c r="AG420" s="58"/>
      <c r="AH420" s="68" t="str">
        <f t="shared" si="19"/>
        <v/>
      </c>
      <c r="AI420" s="53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8"/>
      <c r="AW420" s="58"/>
      <c r="AX420" s="58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65" t="str">
        <f t="shared" si="20"/>
        <v/>
      </c>
    </row>
    <row r="421" spans="1:67" ht="19.5" customHeight="1">
      <c r="A421" s="70" t="b">
        <v>0</v>
      </c>
      <c r="B421" s="71" t="b">
        <v>1</v>
      </c>
      <c r="C421" s="72" t="b">
        <v>0</v>
      </c>
      <c r="D421" s="72" t="b">
        <v>0</v>
      </c>
      <c r="E421" s="57"/>
      <c r="F421" s="59"/>
      <c r="G421" s="57"/>
      <c r="H421" s="88"/>
      <c r="I421" s="88"/>
      <c r="J421" s="88"/>
      <c r="K421" s="89" t="b">
        <v>1</v>
      </c>
      <c r="L421" s="60"/>
      <c r="M421" s="57"/>
      <c r="N421" s="57"/>
      <c r="O421" s="61"/>
      <c r="P421" s="60"/>
      <c r="Q421" s="57"/>
      <c r="R421" s="57"/>
      <c r="S421" s="95"/>
      <c r="T421" s="88"/>
      <c r="U421" s="88"/>
      <c r="V421" s="88"/>
      <c r="W421" s="96"/>
      <c r="X421" s="97"/>
      <c r="Y421" s="97"/>
      <c r="Z421" s="98"/>
      <c r="AA421" s="99"/>
      <c r="AB421" s="98"/>
      <c r="AC421" s="88"/>
      <c r="AD421" s="98"/>
      <c r="AE421" s="64"/>
      <c r="AF421" s="67" t="str">
        <f t="shared" si="18"/>
        <v/>
      </c>
      <c r="AG421" s="58"/>
      <c r="AH421" s="68" t="str">
        <f t="shared" si="19"/>
        <v/>
      </c>
      <c r="AI421" s="53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8"/>
      <c r="AW421" s="58"/>
      <c r="AX421" s="58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65" t="str">
        <f t="shared" si="20"/>
        <v/>
      </c>
    </row>
    <row r="422" spans="1:67" ht="19.5" customHeight="1">
      <c r="A422" s="70" t="b">
        <v>0</v>
      </c>
      <c r="B422" s="71" t="b">
        <v>1</v>
      </c>
      <c r="C422" s="72" t="b">
        <v>0</v>
      </c>
      <c r="D422" s="72" t="b">
        <v>0</v>
      </c>
      <c r="E422" s="57"/>
      <c r="F422" s="59"/>
      <c r="G422" s="57"/>
      <c r="H422" s="88"/>
      <c r="I422" s="88"/>
      <c r="J422" s="88"/>
      <c r="K422" s="89" t="b">
        <v>1</v>
      </c>
      <c r="L422" s="60"/>
      <c r="M422" s="57"/>
      <c r="N422" s="57"/>
      <c r="O422" s="61"/>
      <c r="P422" s="60"/>
      <c r="Q422" s="57"/>
      <c r="R422" s="57"/>
      <c r="S422" s="95"/>
      <c r="T422" s="88"/>
      <c r="U422" s="88"/>
      <c r="V422" s="88"/>
      <c r="W422" s="96"/>
      <c r="X422" s="97"/>
      <c r="Y422" s="97"/>
      <c r="Z422" s="98"/>
      <c r="AA422" s="99"/>
      <c r="AB422" s="98"/>
      <c r="AC422" s="88"/>
      <c r="AD422" s="98"/>
      <c r="AE422" s="64"/>
      <c r="AF422" s="67" t="str">
        <f t="shared" si="18"/>
        <v/>
      </c>
      <c r="AG422" s="58"/>
      <c r="AH422" s="68" t="str">
        <f t="shared" si="19"/>
        <v/>
      </c>
      <c r="AI422" s="53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8"/>
      <c r="AW422" s="58"/>
      <c r="AX422" s="58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65" t="str">
        <f t="shared" si="20"/>
        <v/>
      </c>
    </row>
    <row r="423" spans="1:67" ht="19.5" customHeight="1">
      <c r="A423" s="70" t="b">
        <v>0</v>
      </c>
      <c r="B423" s="71" t="b">
        <v>1</v>
      </c>
      <c r="C423" s="72" t="b">
        <v>0</v>
      </c>
      <c r="D423" s="72" t="b">
        <v>0</v>
      </c>
      <c r="E423" s="57"/>
      <c r="F423" s="59"/>
      <c r="G423" s="57"/>
      <c r="H423" s="88"/>
      <c r="I423" s="88"/>
      <c r="J423" s="88"/>
      <c r="K423" s="89" t="b">
        <v>1</v>
      </c>
      <c r="L423" s="60"/>
      <c r="M423" s="57"/>
      <c r="N423" s="57"/>
      <c r="O423" s="61"/>
      <c r="P423" s="60"/>
      <c r="Q423" s="57"/>
      <c r="R423" s="57"/>
      <c r="S423" s="95"/>
      <c r="T423" s="88"/>
      <c r="U423" s="88"/>
      <c r="V423" s="88"/>
      <c r="W423" s="96"/>
      <c r="X423" s="97"/>
      <c r="Y423" s="97"/>
      <c r="Z423" s="98"/>
      <c r="AA423" s="99"/>
      <c r="AB423" s="98"/>
      <c r="AC423" s="88"/>
      <c r="AD423" s="98"/>
      <c r="AE423" s="64"/>
      <c r="AF423" s="67" t="str">
        <f t="shared" si="18"/>
        <v/>
      </c>
      <c r="AG423" s="58"/>
      <c r="AH423" s="68" t="str">
        <f t="shared" si="19"/>
        <v/>
      </c>
      <c r="AI423" s="53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8"/>
      <c r="AW423" s="58"/>
      <c r="AX423" s="58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65" t="str">
        <f t="shared" si="20"/>
        <v/>
      </c>
    </row>
    <row r="424" spans="1:67" ht="19.5" customHeight="1">
      <c r="A424" s="70" t="b">
        <v>0</v>
      </c>
      <c r="B424" s="71" t="b">
        <v>1</v>
      </c>
      <c r="C424" s="72" t="b">
        <v>0</v>
      </c>
      <c r="D424" s="72" t="b">
        <v>0</v>
      </c>
      <c r="E424" s="57"/>
      <c r="F424" s="59"/>
      <c r="G424" s="57"/>
      <c r="H424" s="88"/>
      <c r="I424" s="88"/>
      <c r="J424" s="88"/>
      <c r="K424" s="89" t="b">
        <v>1</v>
      </c>
      <c r="L424" s="60"/>
      <c r="M424" s="57"/>
      <c r="N424" s="57"/>
      <c r="O424" s="61"/>
      <c r="P424" s="60"/>
      <c r="Q424" s="57"/>
      <c r="R424" s="57"/>
      <c r="S424" s="95"/>
      <c r="T424" s="88"/>
      <c r="U424" s="88"/>
      <c r="V424" s="88"/>
      <c r="W424" s="96"/>
      <c r="X424" s="97"/>
      <c r="Y424" s="97"/>
      <c r="Z424" s="98"/>
      <c r="AA424" s="99"/>
      <c r="AB424" s="98"/>
      <c r="AC424" s="88"/>
      <c r="AD424" s="98"/>
      <c r="AE424" s="64"/>
      <c r="AF424" s="67" t="str">
        <f t="shared" si="18"/>
        <v/>
      </c>
      <c r="AG424" s="58"/>
      <c r="AH424" s="68" t="str">
        <f t="shared" si="19"/>
        <v/>
      </c>
      <c r="AI424" s="53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8"/>
      <c r="AW424" s="58"/>
      <c r="AX424" s="58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65" t="str">
        <f t="shared" si="20"/>
        <v/>
      </c>
    </row>
    <row r="425" spans="1:67" ht="19.5" customHeight="1">
      <c r="A425" s="70" t="b">
        <v>0</v>
      </c>
      <c r="B425" s="71" t="b">
        <v>1</v>
      </c>
      <c r="C425" s="72" t="b">
        <v>0</v>
      </c>
      <c r="D425" s="72" t="b">
        <v>0</v>
      </c>
      <c r="E425" s="57"/>
      <c r="F425" s="59"/>
      <c r="G425" s="57"/>
      <c r="H425" s="88"/>
      <c r="I425" s="88"/>
      <c r="J425" s="88"/>
      <c r="K425" s="89" t="b">
        <v>1</v>
      </c>
      <c r="L425" s="60"/>
      <c r="M425" s="57"/>
      <c r="N425" s="57"/>
      <c r="O425" s="61"/>
      <c r="P425" s="60"/>
      <c r="Q425" s="57"/>
      <c r="R425" s="57"/>
      <c r="S425" s="95"/>
      <c r="T425" s="88"/>
      <c r="U425" s="88"/>
      <c r="V425" s="88"/>
      <c r="W425" s="96"/>
      <c r="X425" s="97"/>
      <c r="Y425" s="97"/>
      <c r="Z425" s="98"/>
      <c r="AA425" s="99"/>
      <c r="AB425" s="98"/>
      <c r="AC425" s="88"/>
      <c r="AD425" s="98"/>
      <c r="AE425" s="64"/>
      <c r="AF425" s="67" t="str">
        <f t="shared" si="18"/>
        <v/>
      </c>
      <c r="AG425" s="58"/>
      <c r="AH425" s="68" t="str">
        <f t="shared" si="19"/>
        <v/>
      </c>
      <c r="AI425" s="53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8"/>
      <c r="AW425" s="58"/>
      <c r="AX425" s="58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65" t="str">
        <f t="shared" si="20"/>
        <v/>
      </c>
    </row>
    <row r="426" spans="1:67" ht="19.5" customHeight="1">
      <c r="A426" s="70" t="b">
        <v>0</v>
      </c>
      <c r="B426" s="71" t="b">
        <v>1</v>
      </c>
      <c r="C426" s="72" t="b">
        <v>0</v>
      </c>
      <c r="D426" s="72" t="b">
        <v>0</v>
      </c>
      <c r="E426" s="57"/>
      <c r="F426" s="59"/>
      <c r="G426" s="57"/>
      <c r="H426" s="88"/>
      <c r="I426" s="88"/>
      <c r="J426" s="88"/>
      <c r="K426" s="89" t="b">
        <v>1</v>
      </c>
      <c r="L426" s="60"/>
      <c r="M426" s="57"/>
      <c r="N426" s="57"/>
      <c r="O426" s="61"/>
      <c r="P426" s="60"/>
      <c r="Q426" s="57"/>
      <c r="R426" s="57"/>
      <c r="S426" s="95"/>
      <c r="T426" s="88"/>
      <c r="U426" s="88"/>
      <c r="V426" s="88"/>
      <c r="W426" s="96"/>
      <c r="X426" s="97"/>
      <c r="Y426" s="97"/>
      <c r="Z426" s="98"/>
      <c r="AA426" s="99"/>
      <c r="AB426" s="98"/>
      <c r="AC426" s="88"/>
      <c r="AD426" s="98"/>
      <c r="AE426" s="64"/>
      <c r="AF426" s="67" t="str">
        <f t="shared" si="18"/>
        <v/>
      </c>
      <c r="AG426" s="58"/>
      <c r="AH426" s="68" t="str">
        <f t="shared" si="19"/>
        <v/>
      </c>
      <c r="AI426" s="53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8"/>
      <c r="AW426" s="58"/>
      <c r="AX426" s="58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65" t="str">
        <f t="shared" si="20"/>
        <v/>
      </c>
    </row>
    <row r="427" spans="1:67" ht="19.5" customHeight="1">
      <c r="A427" s="70" t="b">
        <v>0</v>
      </c>
      <c r="B427" s="71" t="b">
        <v>1</v>
      </c>
      <c r="C427" s="72" t="b">
        <v>0</v>
      </c>
      <c r="D427" s="72" t="b">
        <v>0</v>
      </c>
      <c r="E427" s="57"/>
      <c r="F427" s="59"/>
      <c r="G427" s="57"/>
      <c r="H427" s="88"/>
      <c r="I427" s="88"/>
      <c r="J427" s="88"/>
      <c r="K427" s="89" t="b">
        <v>1</v>
      </c>
      <c r="L427" s="60"/>
      <c r="M427" s="57"/>
      <c r="N427" s="57"/>
      <c r="O427" s="61"/>
      <c r="P427" s="60"/>
      <c r="Q427" s="57"/>
      <c r="R427" s="57"/>
      <c r="S427" s="95"/>
      <c r="T427" s="88"/>
      <c r="U427" s="88"/>
      <c r="V427" s="88"/>
      <c r="W427" s="96"/>
      <c r="X427" s="97"/>
      <c r="Y427" s="97"/>
      <c r="Z427" s="98"/>
      <c r="AA427" s="99"/>
      <c r="AB427" s="98"/>
      <c r="AC427" s="88"/>
      <c r="AD427" s="98"/>
      <c r="AE427" s="64"/>
      <c r="AF427" s="67" t="str">
        <f t="shared" si="18"/>
        <v/>
      </c>
      <c r="AG427" s="58"/>
      <c r="AH427" s="68" t="str">
        <f t="shared" si="19"/>
        <v/>
      </c>
      <c r="AI427" s="53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8"/>
      <c r="AW427" s="58"/>
      <c r="AX427" s="58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65" t="str">
        <f t="shared" si="20"/>
        <v/>
      </c>
    </row>
    <row r="428" spans="1:67" ht="19.5" customHeight="1">
      <c r="A428" s="70" t="b">
        <v>0</v>
      </c>
      <c r="B428" s="71" t="b">
        <v>1</v>
      </c>
      <c r="C428" s="72" t="b">
        <v>0</v>
      </c>
      <c r="D428" s="72" t="b">
        <v>0</v>
      </c>
      <c r="E428" s="57"/>
      <c r="F428" s="59"/>
      <c r="G428" s="57"/>
      <c r="H428" s="88"/>
      <c r="I428" s="88"/>
      <c r="J428" s="88"/>
      <c r="K428" s="89" t="b">
        <v>1</v>
      </c>
      <c r="L428" s="60"/>
      <c r="M428" s="57"/>
      <c r="N428" s="57"/>
      <c r="O428" s="61"/>
      <c r="P428" s="60"/>
      <c r="Q428" s="57"/>
      <c r="R428" s="57"/>
      <c r="S428" s="95"/>
      <c r="T428" s="88"/>
      <c r="U428" s="88"/>
      <c r="V428" s="88"/>
      <c r="W428" s="96"/>
      <c r="X428" s="97"/>
      <c r="Y428" s="97"/>
      <c r="Z428" s="98"/>
      <c r="AA428" s="99"/>
      <c r="AB428" s="98"/>
      <c r="AC428" s="88"/>
      <c r="AD428" s="98"/>
      <c r="AE428" s="64"/>
      <c r="AF428" s="67" t="str">
        <f t="shared" si="18"/>
        <v/>
      </c>
      <c r="AG428" s="58"/>
      <c r="AH428" s="68" t="str">
        <f t="shared" si="19"/>
        <v/>
      </c>
      <c r="AI428" s="53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8"/>
      <c r="AW428" s="58"/>
      <c r="AX428" s="58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65" t="str">
        <f t="shared" si="20"/>
        <v/>
      </c>
    </row>
    <row r="429" spans="1:67" ht="19.5" customHeight="1">
      <c r="A429" s="70" t="b">
        <v>0</v>
      </c>
      <c r="B429" s="71" t="b">
        <v>1</v>
      </c>
      <c r="C429" s="72" t="b">
        <v>0</v>
      </c>
      <c r="D429" s="72" t="b">
        <v>0</v>
      </c>
      <c r="E429" s="57"/>
      <c r="F429" s="59"/>
      <c r="G429" s="57"/>
      <c r="H429" s="88"/>
      <c r="I429" s="88"/>
      <c r="J429" s="88"/>
      <c r="K429" s="89" t="b">
        <v>1</v>
      </c>
      <c r="L429" s="60"/>
      <c r="M429" s="57"/>
      <c r="N429" s="57"/>
      <c r="O429" s="61"/>
      <c r="P429" s="60"/>
      <c r="Q429" s="57"/>
      <c r="R429" s="57"/>
      <c r="S429" s="95"/>
      <c r="T429" s="88"/>
      <c r="U429" s="88"/>
      <c r="V429" s="88"/>
      <c r="W429" s="96"/>
      <c r="X429" s="97"/>
      <c r="Y429" s="97"/>
      <c r="Z429" s="98"/>
      <c r="AA429" s="99"/>
      <c r="AB429" s="98"/>
      <c r="AC429" s="88"/>
      <c r="AD429" s="98"/>
      <c r="AE429" s="64"/>
      <c r="AF429" s="67" t="str">
        <f t="shared" si="18"/>
        <v/>
      </c>
      <c r="AG429" s="58"/>
      <c r="AH429" s="68" t="str">
        <f t="shared" si="19"/>
        <v/>
      </c>
      <c r="AI429" s="53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8"/>
      <c r="AW429" s="58"/>
      <c r="AX429" s="58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65" t="str">
        <f t="shared" si="20"/>
        <v/>
      </c>
    </row>
    <row r="430" spans="1:67" ht="19.5" customHeight="1">
      <c r="A430" s="70" t="b">
        <v>0</v>
      </c>
      <c r="B430" s="71" t="b">
        <v>1</v>
      </c>
      <c r="C430" s="72" t="b">
        <v>0</v>
      </c>
      <c r="D430" s="72" t="b">
        <v>0</v>
      </c>
      <c r="E430" s="57"/>
      <c r="F430" s="59"/>
      <c r="G430" s="57"/>
      <c r="H430" s="88"/>
      <c r="I430" s="88"/>
      <c r="J430" s="88"/>
      <c r="K430" s="89" t="b">
        <v>1</v>
      </c>
      <c r="L430" s="60"/>
      <c r="M430" s="57"/>
      <c r="N430" s="57"/>
      <c r="O430" s="61"/>
      <c r="P430" s="60"/>
      <c r="Q430" s="57"/>
      <c r="R430" s="57"/>
      <c r="S430" s="95"/>
      <c r="T430" s="88"/>
      <c r="U430" s="88"/>
      <c r="V430" s="88"/>
      <c r="W430" s="96"/>
      <c r="X430" s="97"/>
      <c r="Y430" s="97"/>
      <c r="Z430" s="98"/>
      <c r="AA430" s="99"/>
      <c r="AB430" s="98"/>
      <c r="AC430" s="88"/>
      <c r="AD430" s="98"/>
      <c r="AE430" s="64"/>
      <c r="AF430" s="67" t="str">
        <f t="shared" si="18"/>
        <v/>
      </c>
      <c r="AG430" s="58"/>
      <c r="AH430" s="68" t="str">
        <f t="shared" si="19"/>
        <v/>
      </c>
      <c r="AI430" s="53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8"/>
      <c r="AW430" s="58"/>
      <c r="AX430" s="58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65" t="str">
        <f t="shared" si="20"/>
        <v/>
      </c>
    </row>
    <row r="431" spans="1:67" ht="19.5" customHeight="1">
      <c r="A431" s="70" t="b">
        <v>0</v>
      </c>
      <c r="B431" s="71" t="b">
        <v>1</v>
      </c>
      <c r="C431" s="72" t="b">
        <v>0</v>
      </c>
      <c r="D431" s="72" t="b">
        <v>0</v>
      </c>
      <c r="E431" s="57"/>
      <c r="F431" s="59"/>
      <c r="G431" s="57"/>
      <c r="H431" s="88"/>
      <c r="I431" s="88"/>
      <c r="J431" s="88"/>
      <c r="K431" s="89" t="b">
        <v>1</v>
      </c>
      <c r="L431" s="60"/>
      <c r="M431" s="57"/>
      <c r="N431" s="57"/>
      <c r="O431" s="61"/>
      <c r="P431" s="60"/>
      <c r="Q431" s="57"/>
      <c r="R431" s="57"/>
      <c r="S431" s="95"/>
      <c r="T431" s="88"/>
      <c r="U431" s="88"/>
      <c r="V431" s="88"/>
      <c r="W431" s="96"/>
      <c r="X431" s="97"/>
      <c r="Y431" s="97"/>
      <c r="Z431" s="98"/>
      <c r="AA431" s="99"/>
      <c r="AB431" s="98"/>
      <c r="AC431" s="88"/>
      <c r="AD431" s="98"/>
      <c r="AE431" s="64"/>
      <c r="AF431" s="67" t="str">
        <f t="shared" si="18"/>
        <v/>
      </c>
      <c r="AG431" s="58"/>
      <c r="AH431" s="68" t="str">
        <f t="shared" si="19"/>
        <v/>
      </c>
      <c r="AI431" s="53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8"/>
      <c r="AW431" s="58"/>
      <c r="AX431" s="58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65" t="str">
        <f t="shared" si="20"/>
        <v/>
      </c>
    </row>
    <row r="432" spans="1:67" ht="19.5" customHeight="1">
      <c r="A432" s="70" t="b">
        <v>0</v>
      </c>
      <c r="B432" s="71" t="b">
        <v>1</v>
      </c>
      <c r="C432" s="72" t="b">
        <v>0</v>
      </c>
      <c r="D432" s="72" t="b">
        <v>0</v>
      </c>
      <c r="E432" s="57"/>
      <c r="F432" s="59"/>
      <c r="G432" s="57"/>
      <c r="H432" s="88"/>
      <c r="I432" s="88"/>
      <c r="J432" s="88"/>
      <c r="K432" s="89" t="b">
        <v>1</v>
      </c>
      <c r="L432" s="60"/>
      <c r="M432" s="57"/>
      <c r="N432" s="57"/>
      <c r="O432" s="61"/>
      <c r="P432" s="60"/>
      <c r="Q432" s="57"/>
      <c r="R432" s="57"/>
      <c r="S432" s="95"/>
      <c r="T432" s="88"/>
      <c r="U432" s="88"/>
      <c r="V432" s="88"/>
      <c r="W432" s="96"/>
      <c r="X432" s="97"/>
      <c r="Y432" s="97"/>
      <c r="Z432" s="98"/>
      <c r="AA432" s="99"/>
      <c r="AB432" s="98"/>
      <c r="AC432" s="88"/>
      <c r="AD432" s="98"/>
      <c r="AE432" s="64"/>
      <c r="AF432" s="67" t="str">
        <f t="shared" si="18"/>
        <v/>
      </c>
      <c r="AG432" s="58"/>
      <c r="AH432" s="68" t="str">
        <f t="shared" si="19"/>
        <v/>
      </c>
      <c r="AI432" s="53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8"/>
      <c r="AW432" s="58"/>
      <c r="AX432" s="58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65" t="str">
        <f t="shared" si="20"/>
        <v/>
      </c>
    </row>
    <row r="433" spans="1:67" ht="19.5" customHeight="1">
      <c r="A433" s="70" t="b">
        <v>0</v>
      </c>
      <c r="B433" s="71" t="b">
        <v>1</v>
      </c>
      <c r="C433" s="72" t="b">
        <v>0</v>
      </c>
      <c r="D433" s="72" t="b">
        <v>0</v>
      </c>
      <c r="E433" s="57"/>
      <c r="F433" s="59"/>
      <c r="G433" s="57"/>
      <c r="H433" s="88"/>
      <c r="I433" s="88"/>
      <c r="J433" s="88"/>
      <c r="K433" s="89" t="b">
        <v>1</v>
      </c>
      <c r="L433" s="60"/>
      <c r="M433" s="57"/>
      <c r="N433" s="57"/>
      <c r="O433" s="61"/>
      <c r="P433" s="60"/>
      <c r="Q433" s="57"/>
      <c r="R433" s="57"/>
      <c r="S433" s="95"/>
      <c r="T433" s="88"/>
      <c r="U433" s="88"/>
      <c r="V433" s="88"/>
      <c r="W433" s="96"/>
      <c r="X433" s="97"/>
      <c r="Y433" s="97"/>
      <c r="Z433" s="98"/>
      <c r="AA433" s="99"/>
      <c r="AB433" s="98"/>
      <c r="AC433" s="88"/>
      <c r="AD433" s="98"/>
      <c r="AE433" s="64"/>
      <c r="AF433" s="67" t="str">
        <f t="shared" si="18"/>
        <v/>
      </c>
      <c r="AG433" s="58"/>
      <c r="AH433" s="68" t="str">
        <f t="shared" si="19"/>
        <v/>
      </c>
      <c r="AI433" s="53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8"/>
      <c r="AW433" s="58"/>
      <c r="AX433" s="58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65" t="str">
        <f t="shared" si="20"/>
        <v/>
      </c>
    </row>
    <row r="434" spans="1:67" ht="19.5" customHeight="1">
      <c r="A434" s="70" t="b">
        <v>0</v>
      </c>
      <c r="B434" s="71" t="b">
        <v>1</v>
      </c>
      <c r="C434" s="72" t="b">
        <v>0</v>
      </c>
      <c r="D434" s="72" t="b">
        <v>0</v>
      </c>
      <c r="E434" s="57"/>
      <c r="F434" s="59"/>
      <c r="G434" s="57"/>
      <c r="H434" s="88"/>
      <c r="I434" s="88"/>
      <c r="J434" s="88"/>
      <c r="K434" s="89" t="b">
        <v>1</v>
      </c>
      <c r="L434" s="60"/>
      <c r="M434" s="57"/>
      <c r="N434" s="57"/>
      <c r="O434" s="61"/>
      <c r="P434" s="60"/>
      <c r="Q434" s="57"/>
      <c r="R434" s="57"/>
      <c r="S434" s="95"/>
      <c r="T434" s="88"/>
      <c r="U434" s="88"/>
      <c r="V434" s="88"/>
      <c r="W434" s="96"/>
      <c r="X434" s="97"/>
      <c r="Y434" s="97"/>
      <c r="Z434" s="98"/>
      <c r="AA434" s="99"/>
      <c r="AB434" s="98"/>
      <c r="AC434" s="88"/>
      <c r="AD434" s="98"/>
      <c r="AE434" s="64"/>
      <c r="AF434" s="67" t="str">
        <f t="shared" si="18"/>
        <v/>
      </c>
      <c r="AG434" s="58"/>
      <c r="AH434" s="68" t="str">
        <f t="shared" si="19"/>
        <v/>
      </c>
      <c r="AI434" s="53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8"/>
      <c r="AW434" s="58"/>
      <c r="AX434" s="58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65" t="str">
        <f t="shared" si="20"/>
        <v/>
      </c>
    </row>
    <row r="435" spans="1:67" ht="19.5" customHeight="1">
      <c r="A435" s="70" t="b">
        <v>0</v>
      </c>
      <c r="B435" s="71" t="b">
        <v>1</v>
      </c>
      <c r="C435" s="72" t="b">
        <v>0</v>
      </c>
      <c r="D435" s="72" t="b">
        <v>0</v>
      </c>
      <c r="E435" s="57"/>
      <c r="F435" s="59"/>
      <c r="G435" s="57"/>
      <c r="H435" s="88"/>
      <c r="I435" s="88"/>
      <c r="J435" s="88"/>
      <c r="K435" s="89" t="b">
        <v>1</v>
      </c>
      <c r="L435" s="60"/>
      <c r="M435" s="57"/>
      <c r="N435" s="57"/>
      <c r="O435" s="61"/>
      <c r="P435" s="60"/>
      <c r="Q435" s="57"/>
      <c r="R435" s="57"/>
      <c r="S435" s="95"/>
      <c r="T435" s="88"/>
      <c r="U435" s="88"/>
      <c r="V435" s="88"/>
      <c r="W435" s="96"/>
      <c r="X435" s="97"/>
      <c r="Y435" s="97"/>
      <c r="Z435" s="98"/>
      <c r="AA435" s="99"/>
      <c r="AB435" s="98"/>
      <c r="AC435" s="88"/>
      <c r="AD435" s="98"/>
      <c r="AE435" s="64"/>
      <c r="AF435" s="67" t="str">
        <f t="shared" si="18"/>
        <v/>
      </c>
      <c r="AG435" s="58"/>
      <c r="AH435" s="68" t="str">
        <f t="shared" si="19"/>
        <v/>
      </c>
      <c r="AI435" s="53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8"/>
      <c r="AW435" s="58"/>
      <c r="AX435" s="58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65" t="str">
        <f t="shared" si="20"/>
        <v/>
      </c>
    </row>
    <row r="436" spans="1:67" ht="19.5" customHeight="1">
      <c r="A436" s="70" t="b">
        <v>0</v>
      </c>
      <c r="B436" s="71" t="b">
        <v>1</v>
      </c>
      <c r="C436" s="72" t="b">
        <v>0</v>
      </c>
      <c r="D436" s="72" t="b">
        <v>0</v>
      </c>
      <c r="E436" s="57"/>
      <c r="F436" s="59"/>
      <c r="G436" s="57"/>
      <c r="H436" s="88"/>
      <c r="I436" s="88"/>
      <c r="J436" s="88"/>
      <c r="K436" s="89" t="b">
        <v>1</v>
      </c>
      <c r="L436" s="60"/>
      <c r="M436" s="57"/>
      <c r="N436" s="57"/>
      <c r="O436" s="61"/>
      <c r="P436" s="60"/>
      <c r="Q436" s="57"/>
      <c r="R436" s="57"/>
      <c r="S436" s="95"/>
      <c r="T436" s="88"/>
      <c r="U436" s="88"/>
      <c r="V436" s="88"/>
      <c r="W436" s="96"/>
      <c r="X436" s="97"/>
      <c r="Y436" s="97"/>
      <c r="Z436" s="98"/>
      <c r="AA436" s="99"/>
      <c r="AB436" s="98"/>
      <c r="AC436" s="88"/>
      <c r="AD436" s="98"/>
      <c r="AE436" s="64"/>
      <c r="AF436" s="67" t="str">
        <f t="shared" si="18"/>
        <v/>
      </c>
      <c r="AG436" s="58"/>
      <c r="AH436" s="68" t="str">
        <f t="shared" si="19"/>
        <v/>
      </c>
      <c r="AI436" s="53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8"/>
      <c r="AW436" s="58"/>
      <c r="AX436" s="58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65" t="str">
        <f t="shared" si="20"/>
        <v/>
      </c>
    </row>
    <row r="437" spans="1:67" ht="19.5" customHeight="1">
      <c r="A437" s="70" t="b">
        <v>0</v>
      </c>
      <c r="B437" s="71" t="b">
        <v>1</v>
      </c>
      <c r="C437" s="72" t="b">
        <v>0</v>
      </c>
      <c r="D437" s="72" t="b">
        <v>0</v>
      </c>
      <c r="E437" s="57"/>
      <c r="F437" s="59"/>
      <c r="G437" s="57"/>
      <c r="H437" s="88"/>
      <c r="I437" s="88"/>
      <c r="J437" s="88"/>
      <c r="K437" s="89" t="b">
        <v>1</v>
      </c>
      <c r="L437" s="60"/>
      <c r="M437" s="57"/>
      <c r="N437" s="57"/>
      <c r="O437" s="61"/>
      <c r="P437" s="60"/>
      <c r="Q437" s="57"/>
      <c r="R437" s="57"/>
      <c r="S437" s="95"/>
      <c r="T437" s="88"/>
      <c r="U437" s="88"/>
      <c r="V437" s="88"/>
      <c r="W437" s="96"/>
      <c r="X437" s="97"/>
      <c r="Y437" s="97"/>
      <c r="Z437" s="98"/>
      <c r="AA437" s="99"/>
      <c r="AB437" s="98"/>
      <c r="AC437" s="88"/>
      <c r="AD437" s="98"/>
      <c r="AE437" s="64"/>
      <c r="AF437" s="67" t="str">
        <f t="shared" si="18"/>
        <v/>
      </c>
      <c r="AG437" s="58"/>
      <c r="AH437" s="68" t="str">
        <f t="shared" si="19"/>
        <v/>
      </c>
      <c r="AI437" s="53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8"/>
      <c r="AW437" s="58"/>
      <c r="AX437" s="58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65" t="str">
        <f t="shared" si="20"/>
        <v/>
      </c>
    </row>
    <row r="438" spans="1:67" ht="19.5" customHeight="1">
      <c r="A438" s="70" t="b">
        <v>0</v>
      </c>
      <c r="B438" s="71" t="b">
        <v>1</v>
      </c>
      <c r="C438" s="72" t="b">
        <v>0</v>
      </c>
      <c r="D438" s="72" t="b">
        <v>0</v>
      </c>
      <c r="E438" s="57"/>
      <c r="F438" s="59"/>
      <c r="G438" s="57"/>
      <c r="H438" s="88"/>
      <c r="I438" s="88"/>
      <c r="J438" s="88"/>
      <c r="K438" s="89" t="b">
        <v>1</v>
      </c>
      <c r="L438" s="60"/>
      <c r="M438" s="57"/>
      <c r="N438" s="57"/>
      <c r="O438" s="61"/>
      <c r="P438" s="60"/>
      <c r="Q438" s="57"/>
      <c r="R438" s="57"/>
      <c r="S438" s="95"/>
      <c r="T438" s="88"/>
      <c r="U438" s="88"/>
      <c r="V438" s="88"/>
      <c r="W438" s="96"/>
      <c r="X438" s="97"/>
      <c r="Y438" s="97"/>
      <c r="Z438" s="98"/>
      <c r="AA438" s="99"/>
      <c r="AB438" s="98"/>
      <c r="AC438" s="88"/>
      <c r="AD438" s="98"/>
      <c r="AE438" s="64"/>
      <c r="AF438" s="67" t="str">
        <f t="shared" si="18"/>
        <v/>
      </c>
      <c r="AG438" s="58"/>
      <c r="AH438" s="68" t="str">
        <f t="shared" si="19"/>
        <v/>
      </c>
      <c r="AI438" s="53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8"/>
      <c r="AW438" s="58"/>
      <c r="AX438" s="58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65" t="str">
        <f t="shared" si="20"/>
        <v/>
      </c>
    </row>
    <row r="439" spans="1:67" ht="19.5" customHeight="1">
      <c r="A439" s="70" t="b">
        <v>0</v>
      </c>
      <c r="B439" s="71" t="b">
        <v>1</v>
      </c>
      <c r="C439" s="72" t="b">
        <v>0</v>
      </c>
      <c r="D439" s="72" t="b">
        <v>0</v>
      </c>
      <c r="E439" s="57"/>
      <c r="F439" s="59"/>
      <c r="G439" s="57"/>
      <c r="H439" s="88"/>
      <c r="I439" s="88"/>
      <c r="J439" s="88"/>
      <c r="K439" s="89" t="b">
        <v>1</v>
      </c>
      <c r="L439" s="60"/>
      <c r="M439" s="57"/>
      <c r="N439" s="57"/>
      <c r="O439" s="61"/>
      <c r="P439" s="60"/>
      <c r="Q439" s="57"/>
      <c r="R439" s="57"/>
      <c r="S439" s="95"/>
      <c r="T439" s="88"/>
      <c r="U439" s="88"/>
      <c r="V439" s="88"/>
      <c r="W439" s="96"/>
      <c r="X439" s="97"/>
      <c r="Y439" s="97"/>
      <c r="Z439" s="98"/>
      <c r="AA439" s="99"/>
      <c r="AB439" s="98"/>
      <c r="AC439" s="88"/>
      <c r="AD439" s="98"/>
      <c r="AE439" s="64"/>
      <c r="AF439" s="67" t="str">
        <f t="shared" si="18"/>
        <v/>
      </c>
      <c r="AG439" s="58"/>
      <c r="AH439" s="68" t="str">
        <f t="shared" si="19"/>
        <v/>
      </c>
      <c r="AI439" s="53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8"/>
      <c r="AW439" s="58"/>
      <c r="AX439" s="58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65" t="str">
        <f t="shared" si="20"/>
        <v/>
      </c>
    </row>
    <row r="440" spans="1:67" ht="19.5" customHeight="1">
      <c r="A440" s="70" t="b">
        <v>0</v>
      </c>
      <c r="B440" s="71" t="b">
        <v>1</v>
      </c>
      <c r="C440" s="72" t="b">
        <v>0</v>
      </c>
      <c r="D440" s="72" t="b">
        <v>0</v>
      </c>
      <c r="E440" s="57"/>
      <c r="F440" s="59"/>
      <c r="G440" s="57"/>
      <c r="H440" s="88"/>
      <c r="I440" s="88"/>
      <c r="J440" s="88"/>
      <c r="K440" s="89" t="b">
        <v>1</v>
      </c>
      <c r="L440" s="60"/>
      <c r="M440" s="57"/>
      <c r="N440" s="57"/>
      <c r="O440" s="61"/>
      <c r="P440" s="60"/>
      <c r="Q440" s="57"/>
      <c r="R440" s="57"/>
      <c r="S440" s="95"/>
      <c r="T440" s="88"/>
      <c r="U440" s="88"/>
      <c r="V440" s="88"/>
      <c r="W440" s="96"/>
      <c r="X440" s="97"/>
      <c r="Y440" s="97"/>
      <c r="Z440" s="98"/>
      <c r="AA440" s="99"/>
      <c r="AB440" s="98"/>
      <c r="AC440" s="88"/>
      <c r="AD440" s="98"/>
      <c r="AE440" s="64"/>
      <c r="AF440" s="67" t="str">
        <f t="shared" si="18"/>
        <v/>
      </c>
      <c r="AG440" s="58"/>
      <c r="AH440" s="68" t="str">
        <f t="shared" si="19"/>
        <v/>
      </c>
      <c r="AI440" s="53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8"/>
      <c r="AW440" s="58"/>
      <c r="AX440" s="58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65" t="str">
        <f t="shared" si="20"/>
        <v/>
      </c>
    </row>
    <row r="441" spans="1:67" ht="19.5" customHeight="1">
      <c r="A441" s="70" t="b">
        <v>0</v>
      </c>
      <c r="B441" s="71" t="b">
        <v>1</v>
      </c>
      <c r="C441" s="72" t="b">
        <v>0</v>
      </c>
      <c r="D441" s="72" t="b">
        <v>0</v>
      </c>
      <c r="E441" s="57"/>
      <c r="F441" s="59"/>
      <c r="G441" s="57"/>
      <c r="H441" s="88"/>
      <c r="I441" s="88"/>
      <c r="J441" s="88"/>
      <c r="K441" s="89" t="b">
        <v>1</v>
      </c>
      <c r="L441" s="60"/>
      <c r="M441" s="57"/>
      <c r="N441" s="57"/>
      <c r="O441" s="61"/>
      <c r="P441" s="60"/>
      <c r="Q441" s="57"/>
      <c r="R441" s="57"/>
      <c r="S441" s="95"/>
      <c r="T441" s="88"/>
      <c r="U441" s="88"/>
      <c r="V441" s="88"/>
      <c r="W441" s="96"/>
      <c r="X441" s="97"/>
      <c r="Y441" s="97"/>
      <c r="Z441" s="98"/>
      <c r="AA441" s="99"/>
      <c r="AB441" s="98"/>
      <c r="AC441" s="88"/>
      <c r="AD441" s="98"/>
      <c r="AE441" s="64"/>
      <c r="AF441" s="67" t="str">
        <f t="shared" si="18"/>
        <v/>
      </c>
      <c r="AG441" s="58"/>
      <c r="AH441" s="68" t="str">
        <f t="shared" si="19"/>
        <v/>
      </c>
      <c r="AI441" s="53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8"/>
      <c r="AW441" s="58"/>
      <c r="AX441" s="58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65" t="str">
        <f t="shared" si="20"/>
        <v/>
      </c>
    </row>
    <row r="442" spans="1:67" ht="19.5" customHeight="1">
      <c r="A442" s="70" t="b">
        <v>0</v>
      </c>
      <c r="B442" s="71" t="b">
        <v>1</v>
      </c>
      <c r="C442" s="72" t="b">
        <v>0</v>
      </c>
      <c r="D442" s="72" t="b">
        <v>0</v>
      </c>
      <c r="E442" s="57"/>
      <c r="F442" s="59"/>
      <c r="G442" s="57"/>
      <c r="H442" s="88"/>
      <c r="I442" s="88"/>
      <c r="J442" s="88"/>
      <c r="K442" s="89" t="b">
        <v>1</v>
      </c>
      <c r="L442" s="60"/>
      <c r="M442" s="57"/>
      <c r="N442" s="57"/>
      <c r="O442" s="61"/>
      <c r="P442" s="60"/>
      <c r="Q442" s="57"/>
      <c r="R442" s="57"/>
      <c r="S442" s="95"/>
      <c r="T442" s="88"/>
      <c r="U442" s="88"/>
      <c r="V442" s="88"/>
      <c r="W442" s="96"/>
      <c r="X442" s="97"/>
      <c r="Y442" s="97"/>
      <c r="Z442" s="98"/>
      <c r="AA442" s="99"/>
      <c r="AB442" s="98"/>
      <c r="AC442" s="88"/>
      <c r="AD442" s="98"/>
      <c r="AE442" s="64"/>
      <c r="AF442" s="67" t="str">
        <f t="shared" si="18"/>
        <v/>
      </c>
      <c r="AG442" s="58"/>
      <c r="AH442" s="68" t="str">
        <f t="shared" si="19"/>
        <v/>
      </c>
      <c r="AI442" s="53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8"/>
      <c r="AW442" s="58"/>
      <c r="AX442" s="58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65" t="str">
        <f t="shared" si="20"/>
        <v/>
      </c>
    </row>
    <row r="443" spans="1:67" ht="19.5" customHeight="1">
      <c r="A443" s="70" t="b">
        <v>0</v>
      </c>
      <c r="B443" s="71" t="b">
        <v>1</v>
      </c>
      <c r="C443" s="72" t="b">
        <v>0</v>
      </c>
      <c r="D443" s="72" t="b">
        <v>0</v>
      </c>
      <c r="E443" s="57"/>
      <c r="F443" s="59"/>
      <c r="G443" s="57"/>
      <c r="H443" s="88"/>
      <c r="I443" s="88"/>
      <c r="J443" s="88"/>
      <c r="K443" s="89" t="b">
        <v>1</v>
      </c>
      <c r="L443" s="60"/>
      <c r="M443" s="57"/>
      <c r="N443" s="57"/>
      <c r="O443" s="61"/>
      <c r="P443" s="60"/>
      <c r="Q443" s="57"/>
      <c r="R443" s="57"/>
      <c r="S443" s="95"/>
      <c r="T443" s="88"/>
      <c r="U443" s="88"/>
      <c r="V443" s="88"/>
      <c r="W443" s="96"/>
      <c r="X443" s="97"/>
      <c r="Y443" s="97"/>
      <c r="Z443" s="98"/>
      <c r="AA443" s="99"/>
      <c r="AB443" s="98"/>
      <c r="AC443" s="88"/>
      <c r="AD443" s="98"/>
      <c r="AE443" s="64"/>
      <c r="AF443" s="67" t="str">
        <f t="shared" si="18"/>
        <v/>
      </c>
      <c r="AG443" s="58"/>
      <c r="AH443" s="68" t="str">
        <f t="shared" si="19"/>
        <v/>
      </c>
      <c r="AI443" s="53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8"/>
      <c r="AW443" s="58"/>
      <c r="AX443" s="58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65" t="str">
        <f t="shared" si="20"/>
        <v/>
      </c>
    </row>
    <row r="444" spans="1:67" ht="19.5" customHeight="1">
      <c r="A444" s="70" t="b">
        <v>0</v>
      </c>
      <c r="B444" s="71" t="b">
        <v>1</v>
      </c>
      <c r="C444" s="72" t="b">
        <v>0</v>
      </c>
      <c r="D444" s="72" t="b">
        <v>0</v>
      </c>
      <c r="E444" s="57"/>
      <c r="F444" s="59"/>
      <c r="G444" s="57"/>
      <c r="H444" s="88"/>
      <c r="I444" s="88"/>
      <c r="J444" s="88"/>
      <c r="K444" s="89" t="b">
        <v>1</v>
      </c>
      <c r="L444" s="60"/>
      <c r="M444" s="57"/>
      <c r="N444" s="57"/>
      <c r="O444" s="61"/>
      <c r="P444" s="60"/>
      <c r="Q444" s="57"/>
      <c r="R444" s="57"/>
      <c r="S444" s="95"/>
      <c r="T444" s="88"/>
      <c r="U444" s="88"/>
      <c r="V444" s="88"/>
      <c r="W444" s="96"/>
      <c r="X444" s="97"/>
      <c r="Y444" s="97"/>
      <c r="Z444" s="98"/>
      <c r="AA444" s="99"/>
      <c r="AB444" s="98"/>
      <c r="AC444" s="88"/>
      <c r="AD444" s="98"/>
      <c r="AE444" s="64"/>
      <c r="AF444" s="67" t="str">
        <f t="shared" si="18"/>
        <v/>
      </c>
      <c r="AG444" s="58"/>
      <c r="AH444" s="68" t="str">
        <f t="shared" si="19"/>
        <v/>
      </c>
      <c r="AI444" s="53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8"/>
      <c r="AW444" s="58"/>
      <c r="AX444" s="58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65" t="str">
        <f t="shared" si="20"/>
        <v/>
      </c>
    </row>
    <row r="445" spans="1:67" ht="19.5" customHeight="1">
      <c r="A445" s="70" t="b">
        <v>0</v>
      </c>
      <c r="B445" s="71" t="b">
        <v>1</v>
      </c>
      <c r="C445" s="72" t="b">
        <v>0</v>
      </c>
      <c r="D445" s="72" t="b">
        <v>0</v>
      </c>
      <c r="E445" s="57"/>
      <c r="F445" s="59"/>
      <c r="G445" s="57"/>
      <c r="H445" s="88"/>
      <c r="I445" s="88"/>
      <c r="J445" s="88"/>
      <c r="K445" s="89" t="b">
        <v>1</v>
      </c>
      <c r="L445" s="60"/>
      <c r="M445" s="57"/>
      <c r="N445" s="57"/>
      <c r="O445" s="61"/>
      <c r="P445" s="60"/>
      <c r="Q445" s="57"/>
      <c r="R445" s="57"/>
      <c r="S445" s="95"/>
      <c r="T445" s="88"/>
      <c r="U445" s="88"/>
      <c r="V445" s="88"/>
      <c r="W445" s="96"/>
      <c r="X445" s="97"/>
      <c r="Y445" s="97"/>
      <c r="Z445" s="98"/>
      <c r="AA445" s="99"/>
      <c r="AB445" s="98"/>
      <c r="AC445" s="88"/>
      <c r="AD445" s="98"/>
      <c r="AE445" s="64"/>
      <c r="AF445" s="67" t="str">
        <f t="shared" si="18"/>
        <v/>
      </c>
      <c r="AG445" s="58"/>
      <c r="AH445" s="68" t="str">
        <f t="shared" si="19"/>
        <v/>
      </c>
      <c r="AI445" s="53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8"/>
      <c r="AW445" s="58"/>
      <c r="AX445" s="58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65" t="str">
        <f t="shared" si="20"/>
        <v/>
      </c>
    </row>
    <row r="446" spans="1:67" ht="19.5" customHeight="1">
      <c r="A446" s="70" t="b">
        <v>0</v>
      </c>
      <c r="B446" s="71" t="b">
        <v>1</v>
      </c>
      <c r="C446" s="72" t="b">
        <v>0</v>
      </c>
      <c r="D446" s="72" t="b">
        <v>0</v>
      </c>
      <c r="E446" s="57"/>
      <c r="F446" s="59"/>
      <c r="G446" s="57"/>
      <c r="H446" s="88"/>
      <c r="I446" s="88"/>
      <c r="J446" s="88"/>
      <c r="K446" s="89" t="b">
        <v>1</v>
      </c>
      <c r="L446" s="60"/>
      <c r="M446" s="57"/>
      <c r="N446" s="57"/>
      <c r="O446" s="61"/>
      <c r="P446" s="60"/>
      <c r="Q446" s="57"/>
      <c r="R446" s="57"/>
      <c r="S446" s="95"/>
      <c r="T446" s="88"/>
      <c r="U446" s="88"/>
      <c r="V446" s="88"/>
      <c r="W446" s="96"/>
      <c r="X446" s="97"/>
      <c r="Y446" s="97"/>
      <c r="Z446" s="98"/>
      <c r="AA446" s="99"/>
      <c r="AB446" s="98"/>
      <c r="AC446" s="88"/>
      <c r="AD446" s="98"/>
      <c r="AE446" s="64"/>
      <c r="AF446" s="67" t="str">
        <f t="shared" si="18"/>
        <v/>
      </c>
      <c r="AG446" s="58"/>
      <c r="AH446" s="68" t="str">
        <f t="shared" si="19"/>
        <v/>
      </c>
      <c r="AI446" s="53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8"/>
      <c r="AW446" s="58"/>
      <c r="AX446" s="58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65" t="str">
        <f t="shared" si="20"/>
        <v/>
      </c>
    </row>
    <row r="447" spans="1:67" ht="19.5" customHeight="1">
      <c r="A447" s="70" t="b">
        <v>0</v>
      </c>
      <c r="B447" s="71" t="b">
        <v>1</v>
      </c>
      <c r="C447" s="72" t="b">
        <v>0</v>
      </c>
      <c r="D447" s="72" t="b">
        <v>0</v>
      </c>
      <c r="E447" s="57"/>
      <c r="F447" s="59"/>
      <c r="G447" s="57"/>
      <c r="H447" s="88"/>
      <c r="I447" s="88"/>
      <c r="J447" s="88"/>
      <c r="K447" s="89" t="b">
        <v>1</v>
      </c>
      <c r="L447" s="60"/>
      <c r="M447" s="57"/>
      <c r="N447" s="57"/>
      <c r="O447" s="61"/>
      <c r="P447" s="60"/>
      <c r="Q447" s="57"/>
      <c r="R447" s="57"/>
      <c r="S447" s="95"/>
      <c r="T447" s="88"/>
      <c r="U447" s="88"/>
      <c r="V447" s="88"/>
      <c r="W447" s="96"/>
      <c r="X447" s="97"/>
      <c r="Y447" s="97"/>
      <c r="Z447" s="98"/>
      <c r="AA447" s="99"/>
      <c r="AB447" s="98"/>
      <c r="AC447" s="88"/>
      <c r="AD447" s="98"/>
      <c r="AE447" s="64"/>
      <c r="AF447" s="67" t="str">
        <f t="shared" si="18"/>
        <v/>
      </c>
      <c r="AG447" s="58"/>
      <c r="AH447" s="68" t="str">
        <f t="shared" si="19"/>
        <v/>
      </c>
      <c r="AI447" s="53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8"/>
      <c r="AW447" s="58"/>
      <c r="AX447" s="58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65" t="str">
        <f t="shared" si="20"/>
        <v/>
      </c>
    </row>
    <row r="448" spans="1:67" ht="19.5" customHeight="1">
      <c r="A448" s="70" t="b">
        <v>0</v>
      </c>
      <c r="B448" s="71" t="b">
        <v>1</v>
      </c>
      <c r="C448" s="72" t="b">
        <v>0</v>
      </c>
      <c r="D448" s="72" t="b">
        <v>0</v>
      </c>
      <c r="E448" s="57"/>
      <c r="F448" s="59"/>
      <c r="G448" s="57"/>
      <c r="H448" s="88"/>
      <c r="I448" s="88"/>
      <c r="J448" s="88"/>
      <c r="K448" s="89" t="b">
        <v>1</v>
      </c>
      <c r="L448" s="60"/>
      <c r="M448" s="57"/>
      <c r="N448" s="57"/>
      <c r="O448" s="61"/>
      <c r="P448" s="60"/>
      <c r="Q448" s="57"/>
      <c r="R448" s="57"/>
      <c r="S448" s="95"/>
      <c r="T448" s="88"/>
      <c r="U448" s="88"/>
      <c r="V448" s="88"/>
      <c r="W448" s="96"/>
      <c r="X448" s="97"/>
      <c r="Y448" s="97"/>
      <c r="Z448" s="98"/>
      <c r="AA448" s="99"/>
      <c r="AB448" s="98"/>
      <c r="AC448" s="88"/>
      <c r="AD448" s="98"/>
      <c r="AE448" s="64"/>
      <c r="AF448" s="67" t="str">
        <f t="shared" si="18"/>
        <v/>
      </c>
      <c r="AG448" s="58"/>
      <c r="AH448" s="68" t="str">
        <f t="shared" si="19"/>
        <v/>
      </c>
      <c r="AI448" s="53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8"/>
      <c r="AW448" s="58"/>
      <c r="AX448" s="58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65" t="str">
        <f t="shared" si="20"/>
        <v/>
      </c>
    </row>
    <row r="449" spans="1:67" ht="19.5" customHeight="1">
      <c r="A449" s="70" t="b">
        <v>0</v>
      </c>
      <c r="B449" s="71" t="b">
        <v>1</v>
      </c>
      <c r="C449" s="72" t="b">
        <v>0</v>
      </c>
      <c r="D449" s="72" t="b">
        <v>0</v>
      </c>
      <c r="E449" s="57"/>
      <c r="F449" s="59"/>
      <c r="G449" s="57"/>
      <c r="H449" s="88"/>
      <c r="I449" s="88"/>
      <c r="J449" s="88"/>
      <c r="K449" s="89" t="b">
        <v>1</v>
      </c>
      <c r="L449" s="60"/>
      <c r="M449" s="57"/>
      <c r="N449" s="57"/>
      <c r="O449" s="61"/>
      <c r="P449" s="60"/>
      <c r="Q449" s="57"/>
      <c r="R449" s="57"/>
      <c r="S449" s="95"/>
      <c r="T449" s="88"/>
      <c r="U449" s="88"/>
      <c r="V449" s="88"/>
      <c r="W449" s="96"/>
      <c r="X449" s="97"/>
      <c r="Y449" s="97"/>
      <c r="Z449" s="98"/>
      <c r="AA449" s="99"/>
      <c r="AB449" s="98"/>
      <c r="AC449" s="88"/>
      <c r="AD449" s="98"/>
      <c r="AE449" s="64"/>
      <c r="AF449" s="67" t="str">
        <f t="shared" si="18"/>
        <v/>
      </c>
      <c r="AG449" s="58"/>
      <c r="AH449" s="68" t="str">
        <f t="shared" si="19"/>
        <v/>
      </c>
      <c r="AI449" s="53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8"/>
      <c r="AW449" s="58"/>
      <c r="AX449" s="58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65" t="str">
        <f t="shared" si="20"/>
        <v/>
      </c>
    </row>
    <row r="450" spans="1:67" ht="19.5" customHeight="1">
      <c r="A450" s="70" t="b">
        <v>0</v>
      </c>
      <c r="B450" s="71" t="b">
        <v>1</v>
      </c>
      <c r="C450" s="72" t="b">
        <v>0</v>
      </c>
      <c r="D450" s="72" t="b">
        <v>0</v>
      </c>
      <c r="E450" s="57"/>
      <c r="F450" s="59"/>
      <c r="G450" s="57"/>
      <c r="H450" s="88"/>
      <c r="I450" s="88"/>
      <c r="J450" s="88"/>
      <c r="K450" s="89" t="b">
        <v>1</v>
      </c>
      <c r="L450" s="60"/>
      <c r="M450" s="57"/>
      <c r="N450" s="57"/>
      <c r="O450" s="61"/>
      <c r="P450" s="60"/>
      <c r="Q450" s="57"/>
      <c r="R450" s="57"/>
      <c r="S450" s="95"/>
      <c r="T450" s="88"/>
      <c r="U450" s="88"/>
      <c r="V450" s="88"/>
      <c r="W450" s="96"/>
      <c r="X450" s="97"/>
      <c r="Y450" s="97"/>
      <c r="Z450" s="98"/>
      <c r="AA450" s="99"/>
      <c r="AB450" s="98"/>
      <c r="AC450" s="88"/>
      <c r="AD450" s="98"/>
      <c r="AE450" s="64"/>
      <c r="AF450" s="67" t="str">
        <f t="shared" si="18"/>
        <v/>
      </c>
      <c r="AG450" s="58"/>
      <c r="AH450" s="68" t="str">
        <f t="shared" si="19"/>
        <v/>
      </c>
      <c r="AI450" s="53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8"/>
      <c r="AW450" s="58"/>
      <c r="AX450" s="58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65" t="str">
        <f t="shared" si="20"/>
        <v/>
      </c>
    </row>
    <row r="451" spans="1:67" ht="19.5" customHeight="1">
      <c r="A451" s="70" t="b">
        <v>0</v>
      </c>
      <c r="B451" s="71" t="b">
        <v>1</v>
      </c>
      <c r="C451" s="72" t="b">
        <v>0</v>
      </c>
      <c r="D451" s="72" t="b">
        <v>0</v>
      </c>
      <c r="E451" s="57"/>
      <c r="F451" s="59"/>
      <c r="G451" s="57"/>
      <c r="H451" s="88"/>
      <c r="I451" s="88"/>
      <c r="J451" s="88"/>
      <c r="K451" s="89" t="b">
        <v>1</v>
      </c>
      <c r="L451" s="60"/>
      <c r="M451" s="57"/>
      <c r="N451" s="57"/>
      <c r="O451" s="61"/>
      <c r="P451" s="60"/>
      <c r="Q451" s="57"/>
      <c r="R451" s="57"/>
      <c r="S451" s="95"/>
      <c r="T451" s="88"/>
      <c r="U451" s="88"/>
      <c r="V451" s="88"/>
      <c r="W451" s="96"/>
      <c r="X451" s="97"/>
      <c r="Y451" s="97"/>
      <c r="Z451" s="98"/>
      <c r="AA451" s="99"/>
      <c r="AB451" s="98"/>
      <c r="AC451" s="88"/>
      <c r="AD451" s="98"/>
      <c r="AE451" s="64"/>
      <c r="AF451" s="67" t="str">
        <f t="shared" si="18"/>
        <v/>
      </c>
      <c r="AG451" s="58"/>
      <c r="AH451" s="68" t="str">
        <f t="shared" si="19"/>
        <v/>
      </c>
      <c r="AI451" s="53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8"/>
      <c r="AW451" s="58"/>
      <c r="AX451" s="58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65" t="str">
        <f t="shared" si="20"/>
        <v/>
      </c>
    </row>
    <row r="452" spans="1:67" ht="19.5" customHeight="1">
      <c r="A452" s="70" t="b">
        <v>0</v>
      </c>
      <c r="B452" s="71" t="b">
        <v>1</v>
      </c>
      <c r="C452" s="72" t="b">
        <v>0</v>
      </c>
      <c r="D452" s="72" t="b">
        <v>0</v>
      </c>
      <c r="E452" s="57"/>
      <c r="F452" s="59"/>
      <c r="G452" s="57"/>
      <c r="H452" s="88"/>
      <c r="I452" s="88"/>
      <c r="J452" s="88"/>
      <c r="K452" s="89" t="b">
        <v>1</v>
      </c>
      <c r="L452" s="60"/>
      <c r="M452" s="57"/>
      <c r="N452" s="57"/>
      <c r="O452" s="61"/>
      <c r="P452" s="60"/>
      <c r="Q452" s="57"/>
      <c r="R452" s="57"/>
      <c r="S452" s="95"/>
      <c r="T452" s="88"/>
      <c r="U452" s="88"/>
      <c r="V452" s="88"/>
      <c r="W452" s="96"/>
      <c r="X452" s="97"/>
      <c r="Y452" s="97"/>
      <c r="Z452" s="98"/>
      <c r="AA452" s="99"/>
      <c r="AB452" s="98"/>
      <c r="AC452" s="88"/>
      <c r="AD452" s="98"/>
      <c r="AE452" s="64"/>
      <c r="AF452" s="67" t="str">
        <f t="shared" si="18"/>
        <v/>
      </c>
      <c r="AG452" s="58"/>
      <c r="AH452" s="68" t="str">
        <f t="shared" si="19"/>
        <v/>
      </c>
      <c r="AI452" s="53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8"/>
      <c r="AW452" s="58"/>
      <c r="AX452" s="58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65" t="str">
        <f t="shared" si="20"/>
        <v/>
      </c>
    </row>
    <row r="453" spans="1:67" ht="19.5" customHeight="1">
      <c r="A453" s="70" t="b">
        <v>0</v>
      </c>
      <c r="B453" s="71" t="b">
        <v>1</v>
      </c>
      <c r="C453" s="72" t="b">
        <v>0</v>
      </c>
      <c r="D453" s="72" t="b">
        <v>0</v>
      </c>
      <c r="E453" s="57"/>
      <c r="F453" s="59"/>
      <c r="G453" s="57"/>
      <c r="H453" s="88"/>
      <c r="I453" s="88"/>
      <c r="J453" s="88"/>
      <c r="K453" s="89" t="b">
        <v>1</v>
      </c>
      <c r="L453" s="60"/>
      <c r="M453" s="57"/>
      <c r="N453" s="57"/>
      <c r="O453" s="61"/>
      <c r="P453" s="60"/>
      <c r="Q453" s="57"/>
      <c r="R453" s="57"/>
      <c r="S453" s="95"/>
      <c r="T453" s="88"/>
      <c r="U453" s="88"/>
      <c r="V453" s="88"/>
      <c r="W453" s="96"/>
      <c r="X453" s="97"/>
      <c r="Y453" s="97"/>
      <c r="Z453" s="98"/>
      <c r="AA453" s="99"/>
      <c r="AB453" s="98"/>
      <c r="AC453" s="88"/>
      <c r="AD453" s="98"/>
      <c r="AE453" s="64"/>
      <c r="AF453" s="67" t="str">
        <f t="shared" si="18"/>
        <v/>
      </c>
      <c r="AG453" s="58"/>
      <c r="AH453" s="68" t="str">
        <f t="shared" si="19"/>
        <v/>
      </c>
      <c r="AI453" s="53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8"/>
      <c r="AW453" s="58"/>
      <c r="AX453" s="58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65" t="str">
        <f t="shared" si="20"/>
        <v/>
      </c>
    </row>
    <row r="454" spans="1:67" ht="19.5" customHeight="1">
      <c r="A454" s="70" t="b">
        <v>0</v>
      </c>
      <c r="B454" s="71" t="b">
        <v>1</v>
      </c>
      <c r="C454" s="72" t="b">
        <v>0</v>
      </c>
      <c r="D454" s="72" t="b">
        <v>0</v>
      </c>
      <c r="E454" s="57"/>
      <c r="F454" s="59"/>
      <c r="G454" s="57"/>
      <c r="H454" s="88"/>
      <c r="I454" s="88"/>
      <c r="J454" s="88"/>
      <c r="K454" s="89" t="b">
        <v>1</v>
      </c>
      <c r="L454" s="60"/>
      <c r="M454" s="57"/>
      <c r="N454" s="57"/>
      <c r="O454" s="61"/>
      <c r="P454" s="60"/>
      <c r="Q454" s="57"/>
      <c r="R454" s="57"/>
      <c r="S454" s="95"/>
      <c r="T454" s="88"/>
      <c r="U454" s="88"/>
      <c r="V454" s="88"/>
      <c r="W454" s="96"/>
      <c r="X454" s="97"/>
      <c r="Y454" s="97"/>
      <c r="Z454" s="98"/>
      <c r="AA454" s="99"/>
      <c r="AB454" s="98"/>
      <c r="AC454" s="88"/>
      <c r="AD454" s="98"/>
      <c r="AE454" s="64"/>
      <c r="AF454" s="67" t="str">
        <f t="shared" si="18"/>
        <v/>
      </c>
      <c r="AG454" s="58"/>
      <c r="AH454" s="68" t="str">
        <f t="shared" si="19"/>
        <v/>
      </c>
      <c r="AI454" s="53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8"/>
      <c r="AW454" s="58"/>
      <c r="AX454" s="58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65" t="str">
        <f t="shared" si="20"/>
        <v/>
      </c>
    </row>
    <row r="455" spans="1:67" ht="19.5" customHeight="1">
      <c r="A455" s="70" t="b">
        <v>0</v>
      </c>
      <c r="B455" s="71" t="b">
        <v>1</v>
      </c>
      <c r="C455" s="72" t="b">
        <v>0</v>
      </c>
      <c r="D455" s="72" t="b">
        <v>0</v>
      </c>
      <c r="E455" s="57"/>
      <c r="F455" s="59"/>
      <c r="G455" s="57"/>
      <c r="H455" s="88"/>
      <c r="I455" s="88"/>
      <c r="J455" s="88"/>
      <c r="K455" s="89" t="b">
        <v>1</v>
      </c>
      <c r="L455" s="60"/>
      <c r="M455" s="57"/>
      <c r="N455" s="57"/>
      <c r="O455" s="61"/>
      <c r="P455" s="60"/>
      <c r="Q455" s="57"/>
      <c r="R455" s="57"/>
      <c r="S455" s="95"/>
      <c r="T455" s="88"/>
      <c r="U455" s="88"/>
      <c r="V455" s="88"/>
      <c r="W455" s="96"/>
      <c r="X455" s="97"/>
      <c r="Y455" s="97"/>
      <c r="Z455" s="98"/>
      <c r="AA455" s="99"/>
      <c r="AB455" s="98"/>
      <c r="AC455" s="88"/>
      <c r="AD455" s="98"/>
      <c r="AE455" s="64"/>
      <c r="AF455" s="67" t="str">
        <f t="shared" si="18"/>
        <v/>
      </c>
      <c r="AG455" s="58"/>
      <c r="AH455" s="68" t="str">
        <f t="shared" si="19"/>
        <v/>
      </c>
      <c r="AI455" s="53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8"/>
      <c r="AW455" s="58"/>
      <c r="AX455" s="58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65" t="str">
        <f t="shared" si="20"/>
        <v/>
      </c>
    </row>
    <row r="456" spans="1:67" ht="19.5" customHeight="1">
      <c r="A456" s="70" t="b">
        <v>0</v>
      </c>
      <c r="B456" s="71" t="b">
        <v>1</v>
      </c>
      <c r="C456" s="72" t="b">
        <v>0</v>
      </c>
      <c r="D456" s="72" t="b">
        <v>0</v>
      </c>
      <c r="E456" s="57"/>
      <c r="F456" s="59"/>
      <c r="G456" s="57"/>
      <c r="H456" s="88"/>
      <c r="I456" s="88"/>
      <c r="J456" s="88"/>
      <c r="K456" s="89" t="b">
        <v>1</v>
      </c>
      <c r="L456" s="60"/>
      <c r="M456" s="57"/>
      <c r="N456" s="57"/>
      <c r="O456" s="61"/>
      <c r="P456" s="60"/>
      <c r="Q456" s="57"/>
      <c r="R456" s="57"/>
      <c r="S456" s="95"/>
      <c r="T456" s="88"/>
      <c r="U456" s="88"/>
      <c r="V456" s="88"/>
      <c r="W456" s="96"/>
      <c r="X456" s="97"/>
      <c r="Y456" s="97"/>
      <c r="Z456" s="98"/>
      <c r="AA456" s="99"/>
      <c r="AB456" s="98"/>
      <c r="AC456" s="88"/>
      <c r="AD456" s="98"/>
      <c r="AE456" s="64"/>
      <c r="AF456" s="67" t="str">
        <f t="shared" si="18"/>
        <v/>
      </c>
      <c r="AG456" s="58"/>
      <c r="AH456" s="68" t="str">
        <f t="shared" si="19"/>
        <v/>
      </c>
      <c r="AI456" s="53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8"/>
      <c r="AW456" s="58"/>
      <c r="AX456" s="58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65" t="str">
        <f t="shared" si="20"/>
        <v/>
      </c>
    </row>
    <row r="457" spans="1:67" ht="19.5" customHeight="1">
      <c r="A457" s="70" t="b">
        <v>0</v>
      </c>
      <c r="B457" s="71" t="b">
        <v>1</v>
      </c>
      <c r="C457" s="72" t="b">
        <v>0</v>
      </c>
      <c r="D457" s="72" t="b">
        <v>0</v>
      </c>
      <c r="E457" s="57"/>
      <c r="F457" s="59"/>
      <c r="G457" s="57"/>
      <c r="H457" s="88"/>
      <c r="I457" s="88"/>
      <c r="J457" s="88"/>
      <c r="K457" s="89" t="b">
        <v>1</v>
      </c>
      <c r="L457" s="60"/>
      <c r="M457" s="57"/>
      <c r="N457" s="57"/>
      <c r="O457" s="61"/>
      <c r="P457" s="60"/>
      <c r="Q457" s="57"/>
      <c r="R457" s="57"/>
      <c r="S457" s="95"/>
      <c r="T457" s="88"/>
      <c r="U457" s="88"/>
      <c r="V457" s="88"/>
      <c r="W457" s="96"/>
      <c r="X457" s="97"/>
      <c r="Y457" s="97"/>
      <c r="Z457" s="98"/>
      <c r="AA457" s="99"/>
      <c r="AB457" s="98"/>
      <c r="AC457" s="88"/>
      <c r="AD457" s="98"/>
      <c r="AE457" s="64"/>
      <c r="AF457" s="67" t="str">
        <f t="shared" si="18"/>
        <v/>
      </c>
      <c r="AG457" s="58"/>
      <c r="AH457" s="68" t="str">
        <f t="shared" si="19"/>
        <v/>
      </c>
      <c r="AI457" s="53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8"/>
      <c r="AW457" s="58"/>
      <c r="AX457" s="58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65" t="str">
        <f t="shared" si="20"/>
        <v/>
      </c>
    </row>
    <row r="458" spans="1:67" ht="19.5" customHeight="1">
      <c r="A458" s="70" t="b">
        <v>0</v>
      </c>
      <c r="B458" s="71" t="b">
        <v>1</v>
      </c>
      <c r="C458" s="72" t="b">
        <v>0</v>
      </c>
      <c r="D458" s="72" t="b">
        <v>0</v>
      </c>
      <c r="E458" s="57"/>
      <c r="F458" s="59"/>
      <c r="G458" s="57"/>
      <c r="H458" s="88"/>
      <c r="I458" s="88"/>
      <c r="J458" s="88"/>
      <c r="K458" s="89" t="b">
        <v>1</v>
      </c>
      <c r="L458" s="60"/>
      <c r="M458" s="57"/>
      <c r="N458" s="57"/>
      <c r="O458" s="61"/>
      <c r="P458" s="60"/>
      <c r="Q458" s="57"/>
      <c r="R458" s="57"/>
      <c r="S458" s="95"/>
      <c r="T458" s="88"/>
      <c r="U458" s="88"/>
      <c r="V458" s="88"/>
      <c r="W458" s="96"/>
      <c r="X458" s="97"/>
      <c r="Y458" s="97"/>
      <c r="Z458" s="98"/>
      <c r="AA458" s="99"/>
      <c r="AB458" s="98"/>
      <c r="AC458" s="88"/>
      <c r="AD458" s="98"/>
      <c r="AE458" s="64"/>
      <c r="AF458" s="67" t="str">
        <f t="shared" si="18"/>
        <v/>
      </c>
      <c r="AG458" s="58"/>
      <c r="AH458" s="68" t="str">
        <f t="shared" si="19"/>
        <v/>
      </c>
      <c r="AI458" s="53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8"/>
      <c r="AW458" s="58"/>
      <c r="AX458" s="58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65" t="str">
        <f t="shared" si="20"/>
        <v/>
      </c>
    </row>
    <row r="459" spans="1:67" ht="19.5" customHeight="1">
      <c r="A459" s="70" t="b">
        <v>0</v>
      </c>
      <c r="B459" s="71" t="b">
        <v>1</v>
      </c>
      <c r="C459" s="72" t="b">
        <v>0</v>
      </c>
      <c r="D459" s="72" t="b">
        <v>0</v>
      </c>
      <c r="E459" s="57"/>
      <c r="F459" s="59"/>
      <c r="G459" s="57"/>
      <c r="H459" s="88"/>
      <c r="I459" s="88"/>
      <c r="J459" s="88"/>
      <c r="K459" s="89" t="b">
        <v>1</v>
      </c>
      <c r="L459" s="60"/>
      <c r="M459" s="57"/>
      <c r="N459" s="57"/>
      <c r="O459" s="61"/>
      <c r="P459" s="60"/>
      <c r="Q459" s="57"/>
      <c r="R459" s="57"/>
      <c r="S459" s="95"/>
      <c r="T459" s="88"/>
      <c r="U459" s="88"/>
      <c r="V459" s="88"/>
      <c r="W459" s="96"/>
      <c r="X459" s="97"/>
      <c r="Y459" s="97"/>
      <c r="Z459" s="98"/>
      <c r="AA459" s="99"/>
      <c r="AB459" s="98"/>
      <c r="AC459" s="88"/>
      <c r="AD459" s="98"/>
      <c r="AE459" s="64"/>
      <c r="AF459" s="67" t="str">
        <f t="shared" si="18"/>
        <v/>
      </c>
      <c r="AG459" s="58"/>
      <c r="AH459" s="68" t="str">
        <f t="shared" si="19"/>
        <v/>
      </c>
      <c r="AI459" s="53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8"/>
      <c r="AW459" s="58"/>
      <c r="AX459" s="58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65" t="str">
        <f t="shared" si="20"/>
        <v/>
      </c>
    </row>
    <row r="460" spans="1:67" ht="19.5" customHeight="1">
      <c r="A460" s="70" t="b">
        <v>0</v>
      </c>
      <c r="B460" s="71" t="b">
        <v>1</v>
      </c>
      <c r="C460" s="72" t="b">
        <v>0</v>
      </c>
      <c r="D460" s="72" t="b">
        <v>0</v>
      </c>
      <c r="E460" s="57"/>
      <c r="F460" s="59"/>
      <c r="G460" s="57"/>
      <c r="H460" s="88"/>
      <c r="I460" s="88"/>
      <c r="J460" s="88"/>
      <c r="K460" s="89" t="b">
        <v>1</v>
      </c>
      <c r="L460" s="60"/>
      <c r="M460" s="57"/>
      <c r="N460" s="57"/>
      <c r="O460" s="61"/>
      <c r="P460" s="60"/>
      <c r="Q460" s="57"/>
      <c r="R460" s="57"/>
      <c r="S460" s="95"/>
      <c r="T460" s="88"/>
      <c r="U460" s="88"/>
      <c r="V460" s="88"/>
      <c r="W460" s="96"/>
      <c r="X460" s="97"/>
      <c r="Y460" s="97"/>
      <c r="Z460" s="98"/>
      <c r="AA460" s="99"/>
      <c r="AB460" s="98"/>
      <c r="AC460" s="88"/>
      <c r="AD460" s="98"/>
      <c r="AE460" s="64"/>
      <c r="AF460" s="67" t="str">
        <f t="shared" si="18"/>
        <v/>
      </c>
      <c r="AG460" s="58"/>
      <c r="AH460" s="68" t="str">
        <f t="shared" si="19"/>
        <v/>
      </c>
      <c r="AI460" s="53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8"/>
      <c r="AW460" s="58"/>
      <c r="AX460" s="58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65" t="str">
        <f t="shared" si="20"/>
        <v/>
      </c>
    </row>
    <row r="461" spans="1:67" ht="19.5" customHeight="1">
      <c r="A461" s="70" t="b">
        <v>0</v>
      </c>
      <c r="B461" s="71" t="b">
        <v>1</v>
      </c>
      <c r="C461" s="72" t="b">
        <v>0</v>
      </c>
      <c r="D461" s="72" t="b">
        <v>0</v>
      </c>
      <c r="E461" s="57"/>
      <c r="F461" s="59"/>
      <c r="G461" s="57"/>
      <c r="H461" s="88"/>
      <c r="I461" s="88"/>
      <c r="J461" s="88"/>
      <c r="K461" s="89" t="b">
        <v>1</v>
      </c>
      <c r="L461" s="60"/>
      <c r="M461" s="57"/>
      <c r="N461" s="57"/>
      <c r="O461" s="61"/>
      <c r="P461" s="60"/>
      <c r="Q461" s="57"/>
      <c r="R461" s="57"/>
      <c r="S461" s="95"/>
      <c r="T461" s="88"/>
      <c r="U461" s="88"/>
      <c r="V461" s="88"/>
      <c r="W461" s="96"/>
      <c r="X461" s="97"/>
      <c r="Y461" s="97"/>
      <c r="Z461" s="98"/>
      <c r="AA461" s="99"/>
      <c r="AB461" s="98"/>
      <c r="AC461" s="88"/>
      <c r="AD461" s="98"/>
      <c r="AE461" s="64"/>
      <c r="AF461" s="67" t="str">
        <f t="shared" si="18"/>
        <v/>
      </c>
      <c r="AG461" s="58"/>
      <c r="AH461" s="68" t="str">
        <f t="shared" si="19"/>
        <v/>
      </c>
      <c r="AI461" s="53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8"/>
      <c r="AW461" s="58"/>
      <c r="AX461" s="58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65" t="str">
        <f t="shared" si="20"/>
        <v/>
      </c>
    </row>
    <row r="462" spans="1:67" ht="19.5" customHeight="1">
      <c r="A462" s="70" t="b">
        <v>0</v>
      </c>
      <c r="B462" s="71" t="b">
        <v>1</v>
      </c>
      <c r="C462" s="72" t="b">
        <v>0</v>
      </c>
      <c r="D462" s="72" t="b">
        <v>0</v>
      </c>
      <c r="E462" s="57"/>
      <c r="F462" s="59"/>
      <c r="G462" s="57"/>
      <c r="H462" s="88"/>
      <c r="I462" s="88"/>
      <c r="J462" s="88"/>
      <c r="K462" s="89" t="b">
        <v>1</v>
      </c>
      <c r="L462" s="60"/>
      <c r="M462" s="57"/>
      <c r="N462" s="57"/>
      <c r="O462" s="61"/>
      <c r="P462" s="60"/>
      <c r="Q462" s="57"/>
      <c r="R462" s="57"/>
      <c r="S462" s="95"/>
      <c r="T462" s="88"/>
      <c r="U462" s="88"/>
      <c r="V462" s="88"/>
      <c r="W462" s="96"/>
      <c r="X462" s="97"/>
      <c r="Y462" s="97"/>
      <c r="Z462" s="98"/>
      <c r="AA462" s="99"/>
      <c r="AB462" s="98"/>
      <c r="AC462" s="88"/>
      <c r="AD462" s="98"/>
      <c r="AE462" s="64"/>
      <c r="AF462" s="67" t="str">
        <f t="shared" si="18"/>
        <v/>
      </c>
      <c r="AG462" s="58"/>
      <c r="AH462" s="68" t="str">
        <f t="shared" si="19"/>
        <v/>
      </c>
      <c r="AI462" s="53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8"/>
      <c r="AW462" s="58"/>
      <c r="AX462" s="58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65" t="str">
        <f t="shared" si="20"/>
        <v/>
      </c>
    </row>
    <row r="463" spans="1:67" ht="19.5" customHeight="1">
      <c r="A463" s="70" t="b">
        <v>0</v>
      </c>
      <c r="B463" s="71" t="b">
        <v>1</v>
      </c>
      <c r="C463" s="72" t="b">
        <v>0</v>
      </c>
      <c r="D463" s="72" t="b">
        <v>0</v>
      </c>
      <c r="E463" s="57"/>
      <c r="F463" s="59"/>
      <c r="G463" s="57"/>
      <c r="H463" s="88"/>
      <c r="I463" s="88"/>
      <c r="J463" s="88"/>
      <c r="K463" s="89" t="b">
        <v>1</v>
      </c>
      <c r="L463" s="60"/>
      <c r="M463" s="57"/>
      <c r="N463" s="57"/>
      <c r="O463" s="61"/>
      <c r="P463" s="60"/>
      <c r="Q463" s="57"/>
      <c r="R463" s="57"/>
      <c r="S463" s="95"/>
      <c r="T463" s="88"/>
      <c r="U463" s="88"/>
      <c r="V463" s="88"/>
      <c r="W463" s="96"/>
      <c r="X463" s="97"/>
      <c r="Y463" s="97"/>
      <c r="Z463" s="98"/>
      <c r="AA463" s="99"/>
      <c r="AB463" s="98"/>
      <c r="AC463" s="88"/>
      <c r="AD463" s="98"/>
      <c r="AE463" s="64"/>
      <c r="AF463" s="67" t="str">
        <f t="shared" si="18"/>
        <v/>
      </c>
      <c r="AG463" s="58"/>
      <c r="AH463" s="68" t="str">
        <f t="shared" si="19"/>
        <v/>
      </c>
      <c r="AI463" s="53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8"/>
      <c r="AW463" s="58"/>
      <c r="AX463" s="58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65" t="str">
        <f t="shared" si="20"/>
        <v/>
      </c>
    </row>
    <row r="464" spans="1:67" ht="19.5" customHeight="1">
      <c r="A464" s="70" t="b">
        <v>0</v>
      </c>
      <c r="B464" s="71" t="b">
        <v>1</v>
      </c>
      <c r="C464" s="72" t="b">
        <v>0</v>
      </c>
      <c r="D464" s="72" t="b">
        <v>0</v>
      </c>
      <c r="E464" s="57"/>
      <c r="F464" s="59"/>
      <c r="G464" s="57"/>
      <c r="H464" s="88"/>
      <c r="I464" s="88"/>
      <c r="J464" s="88"/>
      <c r="K464" s="89" t="b">
        <v>1</v>
      </c>
      <c r="L464" s="60"/>
      <c r="M464" s="57"/>
      <c r="N464" s="57"/>
      <c r="O464" s="61"/>
      <c r="P464" s="60"/>
      <c r="Q464" s="57"/>
      <c r="R464" s="57"/>
      <c r="S464" s="95"/>
      <c r="T464" s="88"/>
      <c r="U464" s="88"/>
      <c r="V464" s="88"/>
      <c r="W464" s="96"/>
      <c r="X464" s="97"/>
      <c r="Y464" s="97"/>
      <c r="Z464" s="98"/>
      <c r="AA464" s="99"/>
      <c r="AB464" s="98"/>
      <c r="AC464" s="88"/>
      <c r="AD464" s="98"/>
      <c r="AE464" s="64"/>
      <c r="AF464" s="67" t="str">
        <f t="shared" si="18"/>
        <v/>
      </c>
      <c r="AG464" s="58"/>
      <c r="AH464" s="68" t="str">
        <f t="shared" si="19"/>
        <v/>
      </c>
      <c r="AI464" s="53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8"/>
      <c r="AW464" s="58"/>
      <c r="AX464" s="58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65" t="str">
        <f t="shared" si="20"/>
        <v/>
      </c>
    </row>
    <row r="465" spans="1:67" ht="19.5" customHeight="1">
      <c r="A465" s="70" t="b">
        <v>0</v>
      </c>
      <c r="B465" s="71" t="b">
        <v>1</v>
      </c>
      <c r="C465" s="72" t="b">
        <v>0</v>
      </c>
      <c r="D465" s="72" t="b">
        <v>0</v>
      </c>
      <c r="E465" s="57"/>
      <c r="F465" s="59"/>
      <c r="G465" s="57"/>
      <c r="H465" s="88"/>
      <c r="I465" s="88"/>
      <c r="J465" s="88"/>
      <c r="K465" s="89" t="b">
        <v>1</v>
      </c>
      <c r="L465" s="60"/>
      <c r="M465" s="57"/>
      <c r="N465" s="57"/>
      <c r="O465" s="61"/>
      <c r="P465" s="60"/>
      <c r="Q465" s="57"/>
      <c r="R465" s="57"/>
      <c r="S465" s="95"/>
      <c r="T465" s="88"/>
      <c r="U465" s="88"/>
      <c r="V465" s="88"/>
      <c r="W465" s="96"/>
      <c r="X465" s="97"/>
      <c r="Y465" s="97"/>
      <c r="Z465" s="98"/>
      <c r="AA465" s="99"/>
      <c r="AB465" s="98"/>
      <c r="AC465" s="88"/>
      <c r="AD465" s="98"/>
      <c r="AE465" s="64"/>
      <c r="AF465" s="67" t="str">
        <f t="shared" si="18"/>
        <v/>
      </c>
      <c r="AG465" s="58"/>
      <c r="AH465" s="68" t="str">
        <f t="shared" si="19"/>
        <v/>
      </c>
      <c r="AI465" s="53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8"/>
      <c r="AW465" s="58"/>
      <c r="AX465" s="58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65" t="str">
        <f t="shared" si="20"/>
        <v/>
      </c>
    </row>
    <row r="466" spans="1:67" ht="19.5" customHeight="1">
      <c r="A466" s="70" t="b">
        <v>0</v>
      </c>
      <c r="B466" s="71" t="b">
        <v>1</v>
      </c>
      <c r="C466" s="72" t="b">
        <v>0</v>
      </c>
      <c r="D466" s="72" t="b">
        <v>0</v>
      </c>
      <c r="E466" s="57"/>
      <c r="F466" s="59"/>
      <c r="G466" s="57"/>
      <c r="H466" s="88"/>
      <c r="I466" s="88"/>
      <c r="J466" s="88"/>
      <c r="K466" s="89" t="b">
        <v>1</v>
      </c>
      <c r="L466" s="60"/>
      <c r="M466" s="57"/>
      <c r="N466" s="57"/>
      <c r="O466" s="61"/>
      <c r="P466" s="60"/>
      <c r="Q466" s="57"/>
      <c r="R466" s="57"/>
      <c r="S466" s="95"/>
      <c r="T466" s="88"/>
      <c r="U466" s="88"/>
      <c r="V466" s="88"/>
      <c r="W466" s="96"/>
      <c r="X466" s="97"/>
      <c r="Y466" s="97"/>
      <c r="Z466" s="98"/>
      <c r="AA466" s="99"/>
      <c r="AB466" s="98"/>
      <c r="AC466" s="88"/>
      <c r="AD466" s="98"/>
      <c r="AE466" s="64"/>
      <c r="AF466" s="67" t="str">
        <f t="shared" si="18"/>
        <v/>
      </c>
      <c r="AG466" s="58"/>
      <c r="AH466" s="68" t="str">
        <f t="shared" si="19"/>
        <v/>
      </c>
      <c r="AI466" s="53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8"/>
      <c r="AW466" s="58"/>
      <c r="AX466" s="58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65" t="str">
        <f t="shared" si="20"/>
        <v/>
      </c>
    </row>
    <row r="467" spans="1:67" ht="19.5" customHeight="1">
      <c r="A467" s="70" t="b">
        <v>0</v>
      </c>
      <c r="B467" s="71" t="b">
        <v>1</v>
      </c>
      <c r="C467" s="72" t="b">
        <v>0</v>
      </c>
      <c r="D467" s="72" t="b">
        <v>0</v>
      </c>
      <c r="E467" s="57"/>
      <c r="F467" s="59"/>
      <c r="G467" s="57"/>
      <c r="H467" s="88"/>
      <c r="I467" s="88"/>
      <c r="J467" s="88"/>
      <c r="K467" s="89" t="b">
        <v>1</v>
      </c>
      <c r="L467" s="60"/>
      <c r="M467" s="57"/>
      <c r="N467" s="57"/>
      <c r="O467" s="61"/>
      <c r="P467" s="60"/>
      <c r="Q467" s="57"/>
      <c r="R467" s="57"/>
      <c r="S467" s="95"/>
      <c r="T467" s="88"/>
      <c r="U467" s="88"/>
      <c r="V467" s="88"/>
      <c r="W467" s="96"/>
      <c r="X467" s="97"/>
      <c r="Y467" s="97"/>
      <c r="Z467" s="98"/>
      <c r="AA467" s="99"/>
      <c r="AB467" s="98"/>
      <c r="AC467" s="88"/>
      <c r="AD467" s="98"/>
      <c r="AE467" s="64"/>
      <c r="AF467" s="67" t="str">
        <f t="shared" ref="AF467:AF518" si="21">IFERROR((VALUE(TRIM(LEFT(MID(AE467,FIND("|",AE467)+1,99),FIND("-",MID(AE467,FIND("|",AE467)+1,99))-1)))+VALUE(TRIM(SUBSTITUTE(SUBSTITUTE(SUBSTITUTE(MID(MID(AE467,FIND("|",AE467)+1,99),FIND("-",MID(AE467,FIND("|",AE467)+1,99))+1,20),"µm",""),"μm","")," ",""))))/2,"")</f>
        <v/>
      </c>
      <c r="AG467" s="58"/>
      <c r="AH467" s="68" t="str">
        <f t="shared" ref="AH467:AH518" si="22">IFERROR((VALUE(TRIM(LEFT(MID(AG467,FIND("|",AG467)+1,99),FIND("-",MID(AG467,FIND("|",AG467)+1,99))-1)))+VALUE(TRIM(SUBSTITUTE(SUBSTITUTE(SUBSTITUTE(MID(MID(AG467,FIND("|",AG467)+1,99),FIND("-",MID(AG467,FIND("|",AG467)+1,99))+1,20),"µm",""),"μm","")," ",""))))/2,"")</f>
        <v/>
      </c>
      <c r="AI467" s="53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8"/>
      <c r="AW467" s="58"/>
      <c r="AX467" s="58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65" t="str">
        <f t="shared" ref="BO467:BO518" si="23">IF(E467="","",H467*I467)</f>
        <v/>
      </c>
    </row>
    <row r="468" spans="1:67" ht="19.5" customHeight="1">
      <c r="A468" s="70" t="b">
        <v>0</v>
      </c>
      <c r="B468" s="71" t="b">
        <v>1</v>
      </c>
      <c r="C468" s="72" t="b">
        <v>0</v>
      </c>
      <c r="D468" s="72" t="b">
        <v>0</v>
      </c>
      <c r="E468" s="57"/>
      <c r="F468" s="59"/>
      <c r="G468" s="57"/>
      <c r="H468" s="88"/>
      <c r="I468" s="88"/>
      <c r="J468" s="88"/>
      <c r="K468" s="89" t="b">
        <v>1</v>
      </c>
      <c r="L468" s="60"/>
      <c r="M468" s="57"/>
      <c r="N468" s="57"/>
      <c r="O468" s="61"/>
      <c r="P468" s="60"/>
      <c r="Q468" s="57"/>
      <c r="R468" s="57"/>
      <c r="S468" s="95"/>
      <c r="T468" s="88"/>
      <c r="U468" s="88"/>
      <c r="V468" s="88"/>
      <c r="W468" s="96"/>
      <c r="X468" s="97"/>
      <c r="Y468" s="97"/>
      <c r="Z468" s="98"/>
      <c r="AA468" s="99"/>
      <c r="AB468" s="98"/>
      <c r="AC468" s="88"/>
      <c r="AD468" s="98"/>
      <c r="AE468" s="64"/>
      <c r="AF468" s="67" t="str">
        <f t="shared" si="21"/>
        <v/>
      </c>
      <c r="AG468" s="58"/>
      <c r="AH468" s="68" t="str">
        <f t="shared" si="22"/>
        <v/>
      </c>
      <c r="AI468" s="53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8"/>
      <c r="AW468" s="58"/>
      <c r="AX468" s="58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65" t="str">
        <f t="shared" si="23"/>
        <v/>
      </c>
    </row>
    <row r="469" spans="1:67" ht="19.5" customHeight="1">
      <c r="A469" s="70" t="b">
        <v>0</v>
      </c>
      <c r="B469" s="71" t="b">
        <v>1</v>
      </c>
      <c r="C469" s="72" t="b">
        <v>0</v>
      </c>
      <c r="D469" s="72" t="b">
        <v>0</v>
      </c>
      <c r="E469" s="57"/>
      <c r="F469" s="59"/>
      <c r="G469" s="57"/>
      <c r="H469" s="88"/>
      <c r="I469" s="88"/>
      <c r="J469" s="88"/>
      <c r="K469" s="89" t="b">
        <v>1</v>
      </c>
      <c r="L469" s="60"/>
      <c r="M469" s="57"/>
      <c r="N469" s="57"/>
      <c r="O469" s="61"/>
      <c r="P469" s="60"/>
      <c r="Q469" s="57"/>
      <c r="R469" s="57"/>
      <c r="S469" s="95"/>
      <c r="T469" s="88"/>
      <c r="U469" s="88"/>
      <c r="V469" s="88"/>
      <c r="W469" s="96"/>
      <c r="X469" s="97"/>
      <c r="Y469" s="97"/>
      <c r="Z469" s="98"/>
      <c r="AA469" s="99"/>
      <c r="AB469" s="98"/>
      <c r="AC469" s="88"/>
      <c r="AD469" s="98"/>
      <c r="AE469" s="64"/>
      <c r="AF469" s="67" t="str">
        <f t="shared" si="21"/>
        <v/>
      </c>
      <c r="AG469" s="58"/>
      <c r="AH469" s="68" t="str">
        <f t="shared" si="22"/>
        <v/>
      </c>
      <c r="AI469" s="53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8"/>
      <c r="AW469" s="58"/>
      <c r="AX469" s="58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65" t="str">
        <f t="shared" si="23"/>
        <v/>
      </c>
    </row>
    <row r="470" spans="1:67" ht="19.5" customHeight="1">
      <c r="A470" s="70" t="b">
        <v>0</v>
      </c>
      <c r="B470" s="71" t="b">
        <v>1</v>
      </c>
      <c r="C470" s="72" t="b">
        <v>0</v>
      </c>
      <c r="D470" s="72" t="b">
        <v>0</v>
      </c>
      <c r="E470" s="57"/>
      <c r="F470" s="59"/>
      <c r="G470" s="57"/>
      <c r="H470" s="88"/>
      <c r="I470" s="88"/>
      <c r="J470" s="88"/>
      <c r="K470" s="89" t="b">
        <v>1</v>
      </c>
      <c r="L470" s="60"/>
      <c r="M470" s="57"/>
      <c r="N470" s="57"/>
      <c r="O470" s="61"/>
      <c r="P470" s="60"/>
      <c r="Q470" s="57"/>
      <c r="R470" s="57"/>
      <c r="S470" s="95"/>
      <c r="T470" s="88"/>
      <c r="U470" s="88"/>
      <c r="V470" s="88"/>
      <c r="W470" s="96"/>
      <c r="X470" s="97"/>
      <c r="Y470" s="97"/>
      <c r="Z470" s="98"/>
      <c r="AA470" s="99"/>
      <c r="AB470" s="98"/>
      <c r="AC470" s="88"/>
      <c r="AD470" s="98"/>
      <c r="AE470" s="64"/>
      <c r="AF470" s="67" t="str">
        <f t="shared" si="21"/>
        <v/>
      </c>
      <c r="AG470" s="58"/>
      <c r="AH470" s="68" t="str">
        <f t="shared" si="22"/>
        <v/>
      </c>
      <c r="AI470" s="53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8"/>
      <c r="AW470" s="58"/>
      <c r="AX470" s="58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65" t="str">
        <f t="shared" si="23"/>
        <v/>
      </c>
    </row>
    <row r="471" spans="1:67" ht="19.5" customHeight="1">
      <c r="A471" s="70" t="b">
        <v>0</v>
      </c>
      <c r="B471" s="71" t="b">
        <v>1</v>
      </c>
      <c r="C471" s="72" t="b">
        <v>0</v>
      </c>
      <c r="D471" s="72" t="b">
        <v>0</v>
      </c>
      <c r="E471" s="57"/>
      <c r="F471" s="59"/>
      <c r="G471" s="57"/>
      <c r="H471" s="88"/>
      <c r="I471" s="88"/>
      <c r="J471" s="88"/>
      <c r="K471" s="89" t="b">
        <v>1</v>
      </c>
      <c r="L471" s="60"/>
      <c r="M471" s="57"/>
      <c r="N471" s="57"/>
      <c r="O471" s="61"/>
      <c r="P471" s="60"/>
      <c r="Q471" s="57"/>
      <c r="R471" s="57"/>
      <c r="S471" s="95"/>
      <c r="T471" s="88"/>
      <c r="U471" s="88"/>
      <c r="V471" s="88"/>
      <c r="W471" s="96"/>
      <c r="X471" s="97"/>
      <c r="Y471" s="97"/>
      <c r="Z471" s="98"/>
      <c r="AA471" s="99"/>
      <c r="AB471" s="98"/>
      <c r="AC471" s="88"/>
      <c r="AD471" s="98"/>
      <c r="AE471" s="64"/>
      <c r="AF471" s="67" t="str">
        <f t="shared" si="21"/>
        <v/>
      </c>
      <c r="AG471" s="58"/>
      <c r="AH471" s="68" t="str">
        <f t="shared" si="22"/>
        <v/>
      </c>
      <c r="AI471" s="53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8"/>
      <c r="AW471" s="58"/>
      <c r="AX471" s="58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65" t="str">
        <f t="shared" si="23"/>
        <v/>
      </c>
    </row>
    <row r="472" spans="1:67" ht="19.5" customHeight="1">
      <c r="A472" s="70" t="b">
        <v>0</v>
      </c>
      <c r="B472" s="71" t="b">
        <v>1</v>
      </c>
      <c r="C472" s="72" t="b">
        <v>0</v>
      </c>
      <c r="D472" s="72" t="b">
        <v>0</v>
      </c>
      <c r="E472" s="57"/>
      <c r="F472" s="59"/>
      <c r="G472" s="57"/>
      <c r="H472" s="88"/>
      <c r="I472" s="88"/>
      <c r="J472" s="88"/>
      <c r="K472" s="89" t="b">
        <v>1</v>
      </c>
      <c r="L472" s="60"/>
      <c r="M472" s="57"/>
      <c r="N472" s="57"/>
      <c r="O472" s="61"/>
      <c r="P472" s="60"/>
      <c r="Q472" s="57"/>
      <c r="R472" s="57"/>
      <c r="S472" s="95"/>
      <c r="T472" s="88"/>
      <c r="U472" s="88"/>
      <c r="V472" s="88"/>
      <c r="W472" s="96"/>
      <c r="X472" s="97"/>
      <c r="Y472" s="97"/>
      <c r="Z472" s="98"/>
      <c r="AA472" s="99"/>
      <c r="AB472" s="98"/>
      <c r="AC472" s="88"/>
      <c r="AD472" s="98"/>
      <c r="AE472" s="64"/>
      <c r="AF472" s="67" t="str">
        <f t="shared" si="21"/>
        <v/>
      </c>
      <c r="AG472" s="58"/>
      <c r="AH472" s="68" t="str">
        <f t="shared" si="22"/>
        <v/>
      </c>
      <c r="AI472" s="53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8"/>
      <c r="AW472" s="58"/>
      <c r="AX472" s="58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65" t="str">
        <f t="shared" si="23"/>
        <v/>
      </c>
    </row>
    <row r="473" spans="1:67" ht="19.5" customHeight="1">
      <c r="A473" s="70" t="b">
        <v>0</v>
      </c>
      <c r="B473" s="71" t="b">
        <v>1</v>
      </c>
      <c r="C473" s="72" t="b">
        <v>0</v>
      </c>
      <c r="D473" s="72" t="b">
        <v>0</v>
      </c>
      <c r="E473" s="57"/>
      <c r="F473" s="59"/>
      <c r="G473" s="57"/>
      <c r="H473" s="88"/>
      <c r="I473" s="88"/>
      <c r="J473" s="88"/>
      <c r="K473" s="89" t="b">
        <v>1</v>
      </c>
      <c r="L473" s="60"/>
      <c r="M473" s="57"/>
      <c r="N473" s="57"/>
      <c r="O473" s="61"/>
      <c r="P473" s="60"/>
      <c r="Q473" s="57"/>
      <c r="R473" s="57"/>
      <c r="S473" s="95"/>
      <c r="T473" s="88"/>
      <c r="U473" s="88"/>
      <c r="V473" s="88"/>
      <c r="W473" s="96"/>
      <c r="X473" s="97"/>
      <c r="Y473" s="97"/>
      <c r="Z473" s="98"/>
      <c r="AA473" s="99"/>
      <c r="AB473" s="98"/>
      <c r="AC473" s="88"/>
      <c r="AD473" s="98"/>
      <c r="AE473" s="64"/>
      <c r="AF473" s="67" t="str">
        <f t="shared" si="21"/>
        <v/>
      </c>
      <c r="AG473" s="58"/>
      <c r="AH473" s="68" t="str">
        <f t="shared" si="22"/>
        <v/>
      </c>
      <c r="AI473" s="53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8"/>
      <c r="AW473" s="58"/>
      <c r="AX473" s="58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65" t="str">
        <f t="shared" si="23"/>
        <v/>
      </c>
    </row>
    <row r="474" spans="1:67" ht="19.5" customHeight="1">
      <c r="A474" s="70" t="b">
        <v>0</v>
      </c>
      <c r="B474" s="71" t="b">
        <v>1</v>
      </c>
      <c r="C474" s="72" t="b">
        <v>0</v>
      </c>
      <c r="D474" s="72" t="b">
        <v>0</v>
      </c>
      <c r="E474" s="57"/>
      <c r="F474" s="59"/>
      <c r="G474" s="57"/>
      <c r="H474" s="88"/>
      <c r="I474" s="88"/>
      <c r="J474" s="88"/>
      <c r="K474" s="89" t="b">
        <v>1</v>
      </c>
      <c r="L474" s="60"/>
      <c r="M474" s="57"/>
      <c r="N474" s="57"/>
      <c r="O474" s="61"/>
      <c r="P474" s="60"/>
      <c r="Q474" s="57"/>
      <c r="R474" s="57"/>
      <c r="S474" s="95"/>
      <c r="T474" s="88"/>
      <c r="U474" s="88"/>
      <c r="V474" s="88"/>
      <c r="W474" s="96"/>
      <c r="X474" s="97"/>
      <c r="Y474" s="97"/>
      <c r="Z474" s="98"/>
      <c r="AA474" s="99"/>
      <c r="AB474" s="98"/>
      <c r="AC474" s="88"/>
      <c r="AD474" s="98"/>
      <c r="AE474" s="64"/>
      <c r="AF474" s="67" t="str">
        <f t="shared" si="21"/>
        <v/>
      </c>
      <c r="AG474" s="58"/>
      <c r="AH474" s="68" t="str">
        <f t="shared" si="22"/>
        <v/>
      </c>
      <c r="AI474" s="53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8"/>
      <c r="AW474" s="58"/>
      <c r="AX474" s="58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65" t="str">
        <f t="shared" si="23"/>
        <v/>
      </c>
    </row>
    <row r="475" spans="1:67" ht="19.5" customHeight="1">
      <c r="A475" s="70" t="b">
        <v>0</v>
      </c>
      <c r="B475" s="71" t="b">
        <v>1</v>
      </c>
      <c r="C475" s="72" t="b">
        <v>0</v>
      </c>
      <c r="D475" s="72" t="b">
        <v>0</v>
      </c>
      <c r="E475" s="57"/>
      <c r="F475" s="59"/>
      <c r="G475" s="57"/>
      <c r="H475" s="88"/>
      <c r="I475" s="88"/>
      <c r="J475" s="88"/>
      <c r="K475" s="89" t="b">
        <v>1</v>
      </c>
      <c r="L475" s="60"/>
      <c r="M475" s="57"/>
      <c r="N475" s="57"/>
      <c r="O475" s="61"/>
      <c r="P475" s="60"/>
      <c r="Q475" s="57"/>
      <c r="R475" s="57"/>
      <c r="S475" s="95"/>
      <c r="T475" s="88"/>
      <c r="U475" s="88"/>
      <c r="V475" s="88"/>
      <c r="W475" s="96"/>
      <c r="X475" s="97"/>
      <c r="Y475" s="97"/>
      <c r="Z475" s="98"/>
      <c r="AA475" s="99"/>
      <c r="AB475" s="98"/>
      <c r="AC475" s="88"/>
      <c r="AD475" s="98"/>
      <c r="AE475" s="64"/>
      <c r="AF475" s="67" t="str">
        <f t="shared" si="21"/>
        <v/>
      </c>
      <c r="AG475" s="58"/>
      <c r="AH475" s="68" t="str">
        <f t="shared" si="22"/>
        <v/>
      </c>
      <c r="AI475" s="53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8"/>
      <c r="AW475" s="58"/>
      <c r="AX475" s="58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65" t="str">
        <f t="shared" si="23"/>
        <v/>
      </c>
    </row>
    <row r="476" spans="1:67" ht="19.5" customHeight="1">
      <c r="A476" s="70" t="b">
        <v>0</v>
      </c>
      <c r="B476" s="71" t="b">
        <v>1</v>
      </c>
      <c r="C476" s="72" t="b">
        <v>0</v>
      </c>
      <c r="D476" s="72" t="b">
        <v>0</v>
      </c>
      <c r="E476" s="57"/>
      <c r="F476" s="59"/>
      <c r="G476" s="57"/>
      <c r="H476" s="88"/>
      <c r="I476" s="88"/>
      <c r="J476" s="88"/>
      <c r="K476" s="89" t="b">
        <v>1</v>
      </c>
      <c r="L476" s="60"/>
      <c r="M476" s="57"/>
      <c r="N476" s="57"/>
      <c r="O476" s="61"/>
      <c r="P476" s="60"/>
      <c r="Q476" s="57"/>
      <c r="R476" s="57"/>
      <c r="S476" s="95"/>
      <c r="T476" s="88"/>
      <c r="U476" s="88"/>
      <c r="V476" s="88"/>
      <c r="W476" s="96"/>
      <c r="X476" s="97"/>
      <c r="Y476" s="97"/>
      <c r="Z476" s="98"/>
      <c r="AA476" s="99"/>
      <c r="AB476" s="98"/>
      <c r="AC476" s="88"/>
      <c r="AD476" s="98"/>
      <c r="AE476" s="64"/>
      <c r="AF476" s="67" t="str">
        <f t="shared" si="21"/>
        <v/>
      </c>
      <c r="AG476" s="58"/>
      <c r="AH476" s="68" t="str">
        <f t="shared" si="22"/>
        <v/>
      </c>
      <c r="AI476" s="53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8"/>
      <c r="AW476" s="58"/>
      <c r="AX476" s="58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65" t="str">
        <f t="shared" si="23"/>
        <v/>
      </c>
    </row>
    <row r="477" spans="1:67" ht="19.5" customHeight="1">
      <c r="A477" s="70" t="b">
        <v>0</v>
      </c>
      <c r="B477" s="71" t="b">
        <v>1</v>
      </c>
      <c r="C477" s="72" t="b">
        <v>0</v>
      </c>
      <c r="D477" s="72" t="b">
        <v>0</v>
      </c>
      <c r="E477" s="57"/>
      <c r="F477" s="59"/>
      <c r="G477" s="57"/>
      <c r="H477" s="88"/>
      <c r="I477" s="88"/>
      <c r="J477" s="88"/>
      <c r="K477" s="89" t="b">
        <v>1</v>
      </c>
      <c r="L477" s="60"/>
      <c r="M477" s="57"/>
      <c r="N477" s="57"/>
      <c r="O477" s="61"/>
      <c r="P477" s="60"/>
      <c r="Q477" s="57"/>
      <c r="R477" s="57"/>
      <c r="S477" s="95"/>
      <c r="T477" s="88"/>
      <c r="U477" s="88"/>
      <c r="V477" s="88"/>
      <c r="W477" s="96"/>
      <c r="X477" s="97"/>
      <c r="Y477" s="97"/>
      <c r="Z477" s="98"/>
      <c r="AA477" s="99"/>
      <c r="AB477" s="98"/>
      <c r="AC477" s="88"/>
      <c r="AD477" s="98"/>
      <c r="AE477" s="64"/>
      <c r="AF477" s="67" t="str">
        <f t="shared" si="21"/>
        <v/>
      </c>
      <c r="AG477" s="58"/>
      <c r="AH477" s="68" t="str">
        <f t="shared" si="22"/>
        <v/>
      </c>
      <c r="AI477" s="53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8"/>
      <c r="AW477" s="58"/>
      <c r="AX477" s="58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65" t="str">
        <f t="shared" si="23"/>
        <v/>
      </c>
    </row>
    <row r="478" spans="1:67" ht="19.5" customHeight="1">
      <c r="A478" s="70" t="b">
        <v>0</v>
      </c>
      <c r="B478" s="71" t="b">
        <v>1</v>
      </c>
      <c r="C478" s="72" t="b">
        <v>0</v>
      </c>
      <c r="D478" s="72" t="b">
        <v>0</v>
      </c>
      <c r="E478" s="57"/>
      <c r="F478" s="59"/>
      <c r="G478" s="57"/>
      <c r="H478" s="88"/>
      <c r="I478" s="88"/>
      <c r="J478" s="88"/>
      <c r="K478" s="89" t="b">
        <v>1</v>
      </c>
      <c r="L478" s="60"/>
      <c r="M478" s="57"/>
      <c r="N478" s="57"/>
      <c r="O478" s="61"/>
      <c r="P478" s="60"/>
      <c r="Q478" s="57"/>
      <c r="R478" s="57"/>
      <c r="S478" s="95"/>
      <c r="T478" s="88"/>
      <c r="U478" s="88"/>
      <c r="V478" s="88"/>
      <c r="W478" s="96"/>
      <c r="X478" s="97"/>
      <c r="Y478" s="97"/>
      <c r="Z478" s="98"/>
      <c r="AA478" s="99"/>
      <c r="AB478" s="98"/>
      <c r="AC478" s="88"/>
      <c r="AD478" s="98"/>
      <c r="AE478" s="64"/>
      <c r="AF478" s="67" t="str">
        <f t="shared" si="21"/>
        <v/>
      </c>
      <c r="AG478" s="58"/>
      <c r="AH478" s="68" t="str">
        <f t="shared" si="22"/>
        <v/>
      </c>
      <c r="AI478" s="53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8"/>
      <c r="AW478" s="58"/>
      <c r="AX478" s="58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65" t="str">
        <f t="shared" si="23"/>
        <v/>
      </c>
    </row>
    <row r="479" spans="1:67" ht="19.5" customHeight="1">
      <c r="A479" s="70" t="b">
        <v>0</v>
      </c>
      <c r="B479" s="71" t="b">
        <v>1</v>
      </c>
      <c r="C479" s="72" t="b">
        <v>0</v>
      </c>
      <c r="D479" s="72" t="b">
        <v>0</v>
      </c>
      <c r="E479" s="57"/>
      <c r="F479" s="59"/>
      <c r="G479" s="57"/>
      <c r="H479" s="88"/>
      <c r="I479" s="88"/>
      <c r="J479" s="88"/>
      <c r="K479" s="89" t="b">
        <v>1</v>
      </c>
      <c r="L479" s="60"/>
      <c r="M479" s="57"/>
      <c r="N479" s="57"/>
      <c r="O479" s="61"/>
      <c r="P479" s="60"/>
      <c r="Q479" s="57"/>
      <c r="R479" s="57"/>
      <c r="S479" s="95"/>
      <c r="T479" s="88"/>
      <c r="U479" s="88"/>
      <c r="V479" s="88"/>
      <c r="W479" s="96"/>
      <c r="X479" s="97"/>
      <c r="Y479" s="97"/>
      <c r="Z479" s="98"/>
      <c r="AA479" s="99"/>
      <c r="AB479" s="98"/>
      <c r="AC479" s="88"/>
      <c r="AD479" s="98"/>
      <c r="AE479" s="64"/>
      <c r="AF479" s="67" t="str">
        <f t="shared" si="21"/>
        <v/>
      </c>
      <c r="AG479" s="58"/>
      <c r="AH479" s="68" t="str">
        <f t="shared" si="22"/>
        <v/>
      </c>
      <c r="AI479" s="53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8"/>
      <c r="AW479" s="58"/>
      <c r="AX479" s="58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65" t="str">
        <f t="shared" si="23"/>
        <v/>
      </c>
    </row>
    <row r="480" spans="1:67" ht="19.5" customHeight="1">
      <c r="A480" s="70" t="b">
        <v>0</v>
      </c>
      <c r="B480" s="71" t="b">
        <v>1</v>
      </c>
      <c r="C480" s="72" t="b">
        <v>0</v>
      </c>
      <c r="D480" s="72" t="b">
        <v>0</v>
      </c>
      <c r="E480" s="57"/>
      <c r="F480" s="59"/>
      <c r="G480" s="57"/>
      <c r="H480" s="88"/>
      <c r="I480" s="88"/>
      <c r="J480" s="88"/>
      <c r="K480" s="89" t="b">
        <v>1</v>
      </c>
      <c r="L480" s="60"/>
      <c r="M480" s="57"/>
      <c r="N480" s="57"/>
      <c r="O480" s="61"/>
      <c r="P480" s="60"/>
      <c r="Q480" s="57"/>
      <c r="R480" s="57"/>
      <c r="S480" s="95"/>
      <c r="T480" s="88"/>
      <c r="U480" s="88"/>
      <c r="V480" s="88"/>
      <c r="W480" s="96"/>
      <c r="X480" s="97"/>
      <c r="Y480" s="97"/>
      <c r="Z480" s="98"/>
      <c r="AA480" s="99"/>
      <c r="AB480" s="98"/>
      <c r="AC480" s="88"/>
      <c r="AD480" s="98"/>
      <c r="AE480" s="64"/>
      <c r="AF480" s="67" t="str">
        <f t="shared" si="21"/>
        <v/>
      </c>
      <c r="AG480" s="58"/>
      <c r="AH480" s="68" t="str">
        <f t="shared" si="22"/>
        <v/>
      </c>
      <c r="AI480" s="53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8"/>
      <c r="AW480" s="58"/>
      <c r="AX480" s="58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65" t="str">
        <f t="shared" si="23"/>
        <v/>
      </c>
    </row>
    <row r="481" spans="1:67" ht="19.5" customHeight="1">
      <c r="A481" s="70" t="b">
        <v>0</v>
      </c>
      <c r="B481" s="71" t="b">
        <v>1</v>
      </c>
      <c r="C481" s="72" t="b">
        <v>0</v>
      </c>
      <c r="D481" s="72" t="b">
        <v>0</v>
      </c>
      <c r="E481" s="57"/>
      <c r="F481" s="59"/>
      <c r="G481" s="57"/>
      <c r="H481" s="88"/>
      <c r="I481" s="88"/>
      <c r="J481" s="88"/>
      <c r="K481" s="89" t="b">
        <v>1</v>
      </c>
      <c r="L481" s="60"/>
      <c r="M481" s="57"/>
      <c r="N481" s="57"/>
      <c r="O481" s="61"/>
      <c r="P481" s="60"/>
      <c r="Q481" s="57"/>
      <c r="R481" s="57"/>
      <c r="S481" s="95"/>
      <c r="T481" s="88"/>
      <c r="U481" s="88"/>
      <c r="V481" s="88"/>
      <c r="W481" s="96"/>
      <c r="X481" s="97"/>
      <c r="Y481" s="97"/>
      <c r="Z481" s="98"/>
      <c r="AA481" s="99"/>
      <c r="AB481" s="98"/>
      <c r="AC481" s="88"/>
      <c r="AD481" s="98"/>
      <c r="AE481" s="64"/>
      <c r="AF481" s="67" t="str">
        <f t="shared" si="21"/>
        <v/>
      </c>
      <c r="AG481" s="58"/>
      <c r="AH481" s="68" t="str">
        <f t="shared" si="22"/>
        <v/>
      </c>
      <c r="AI481" s="53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8"/>
      <c r="AW481" s="58"/>
      <c r="AX481" s="58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65" t="str">
        <f t="shared" si="23"/>
        <v/>
      </c>
    </row>
    <row r="482" spans="1:67" ht="19.5" customHeight="1">
      <c r="A482" s="70" t="b">
        <v>0</v>
      </c>
      <c r="B482" s="71" t="b">
        <v>1</v>
      </c>
      <c r="C482" s="72" t="b">
        <v>0</v>
      </c>
      <c r="D482" s="72" t="b">
        <v>0</v>
      </c>
      <c r="E482" s="57"/>
      <c r="F482" s="59"/>
      <c r="G482" s="57"/>
      <c r="H482" s="88"/>
      <c r="I482" s="88"/>
      <c r="J482" s="88"/>
      <c r="K482" s="89" t="b">
        <v>1</v>
      </c>
      <c r="L482" s="60"/>
      <c r="M482" s="57"/>
      <c r="N482" s="57"/>
      <c r="O482" s="61"/>
      <c r="P482" s="60"/>
      <c r="Q482" s="57"/>
      <c r="R482" s="57"/>
      <c r="S482" s="95"/>
      <c r="T482" s="88"/>
      <c r="U482" s="88"/>
      <c r="V482" s="88"/>
      <c r="W482" s="96"/>
      <c r="X482" s="97"/>
      <c r="Y482" s="97"/>
      <c r="Z482" s="98"/>
      <c r="AA482" s="99"/>
      <c r="AB482" s="98"/>
      <c r="AC482" s="88"/>
      <c r="AD482" s="98"/>
      <c r="AE482" s="64"/>
      <c r="AF482" s="67" t="str">
        <f t="shared" si="21"/>
        <v/>
      </c>
      <c r="AG482" s="58"/>
      <c r="AH482" s="68" t="str">
        <f t="shared" si="22"/>
        <v/>
      </c>
      <c r="AI482" s="53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8"/>
      <c r="AW482" s="58"/>
      <c r="AX482" s="58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65" t="str">
        <f t="shared" si="23"/>
        <v/>
      </c>
    </row>
    <row r="483" spans="1:67" ht="19.5" customHeight="1">
      <c r="A483" s="70" t="b">
        <v>0</v>
      </c>
      <c r="B483" s="71" t="b">
        <v>1</v>
      </c>
      <c r="C483" s="72" t="b">
        <v>0</v>
      </c>
      <c r="D483" s="72" t="b">
        <v>0</v>
      </c>
      <c r="E483" s="57"/>
      <c r="F483" s="59"/>
      <c r="G483" s="57"/>
      <c r="H483" s="88"/>
      <c r="I483" s="88"/>
      <c r="J483" s="88"/>
      <c r="K483" s="89" t="b">
        <v>1</v>
      </c>
      <c r="L483" s="60"/>
      <c r="M483" s="57"/>
      <c r="N483" s="57"/>
      <c r="O483" s="61"/>
      <c r="P483" s="60"/>
      <c r="Q483" s="57"/>
      <c r="R483" s="57"/>
      <c r="S483" s="95"/>
      <c r="T483" s="88"/>
      <c r="U483" s="88"/>
      <c r="V483" s="88"/>
      <c r="W483" s="96"/>
      <c r="X483" s="97"/>
      <c r="Y483" s="97"/>
      <c r="Z483" s="98"/>
      <c r="AA483" s="99"/>
      <c r="AB483" s="98"/>
      <c r="AC483" s="88"/>
      <c r="AD483" s="98"/>
      <c r="AE483" s="64"/>
      <c r="AF483" s="67" t="str">
        <f t="shared" si="21"/>
        <v/>
      </c>
      <c r="AG483" s="58"/>
      <c r="AH483" s="68" t="str">
        <f t="shared" si="22"/>
        <v/>
      </c>
      <c r="AI483" s="53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8"/>
      <c r="AW483" s="58"/>
      <c r="AX483" s="58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65" t="str">
        <f t="shared" si="23"/>
        <v/>
      </c>
    </row>
    <row r="484" spans="1:67" ht="19.5" customHeight="1">
      <c r="A484" s="70" t="b">
        <v>0</v>
      </c>
      <c r="B484" s="71" t="b">
        <v>1</v>
      </c>
      <c r="C484" s="72" t="b">
        <v>0</v>
      </c>
      <c r="D484" s="72" t="b">
        <v>0</v>
      </c>
      <c r="E484" s="57"/>
      <c r="F484" s="59"/>
      <c r="G484" s="57"/>
      <c r="H484" s="88"/>
      <c r="I484" s="88"/>
      <c r="J484" s="88"/>
      <c r="K484" s="89" t="b">
        <v>1</v>
      </c>
      <c r="L484" s="60"/>
      <c r="M484" s="57"/>
      <c r="N484" s="57"/>
      <c r="O484" s="61"/>
      <c r="P484" s="60"/>
      <c r="Q484" s="57"/>
      <c r="R484" s="57"/>
      <c r="S484" s="95"/>
      <c r="T484" s="88"/>
      <c r="U484" s="88"/>
      <c r="V484" s="88"/>
      <c r="W484" s="96"/>
      <c r="X484" s="97"/>
      <c r="Y484" s="97"/>
      <c r="Z484" s="98"/>
      <c r="AA484" s="99"/>
      <c r="AB484" s="98"/>
      <c r="AC484" s="88"/>
      <c r="AD484" s="98"/>
      <c r="AE484" s="64"/>
      <c r="AF484" s="67" t="str">
        <f t="shared" si="21"/>
        <v/>
      </c>
      <c r="AG484" s="58"/>
      <c r="AH484" s="68" t="str">
        <f t="shared" si="22"/>
        <v/>
      </c>
      <c r="AI484" s="53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8"/>
      <c r="AW484" s="58"/>
      <c r="AX484" s="58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65" t="str">
        <f t="shared" si="23"/>
        <v/>
      </c>
    </row>
    <row r="485" spans="1:67" ht="19.5" customHeight="1">
      <c r="A485" s="70" t="b">
        <v>0</v>
      </c>
      <c r="B485" s="71" t="b">
        <v>1</v>
      </c>
      <c r="C485" s="72" t="b">
        <v>0</v>
      </c>
      <c r="D485" s="72" t="b">
        <v>0</v>
      </c>
      <c r="E485" s="57"/>
      <c r="F485" s="59"/>
      <c r="G485" s="57"/>
      <c r="H485" s="88"/>
      <c r="I485" s="88"/>
      <c r="J485" s="88"/>
      <c r="K485" s="89" t="b">
        <v>1</v>
      </c>
      <c r="L485" s="60"/>
      <c r="M485" s="57"/>
      <c r="N485" s="57"/>
      <c r="O485" s="61"/>
      <c r="P485" s="60"/>
      <c r="Q485" s="57"/>
      <c r="R485" s="57"/>
      <c r="S485" s="95"/>
      <c r="T485" s="88"/>
      <c r="U485" s="88"/>
      <c r="V485" s="88"/>
      <c r="W485" s="96"/>
      <c r="X485" s="97"/>
      <c r="Y485" s="97"/>
      <c r="Z485" s="98"/>
      <c r="AA485" s="99"/>
      <c r="AB485" s="98"/>
      <c r="AC485" s="88"/>
      <c r="AD485" s="98"/>
      <c r="AE485" s="64"/>
      <c r="AF485" s="67" t="str">
        <f t="shared" si="21"/>
        <v/>
      </c>
      <c r="AG485" s="58"/>
      <c r="AH485" s="68" t="str">
        <f t="shared" si="22"/>
        <v/>
      </c>
      <c r="AI485" s="53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8"/>
      <c r="AW485" s="58"/>
      <c r="AX485" s="58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65" t="str">
        <f t="shared" si="23"/>
        <v/>
      </c>
    </row>
    <row r="486" spans="1:67" ht="19.5" customHeight="1">
      <c r="A486" s="70" t="b">
        <v>0</v>
      </c>
      <c r="B486" s="71" t="b">
        <v>1</v>
      </c>
      <c r="C486" s="72" t="b">
        <v>0</v>
      </c>
      <c r="D486" s="72" t="b">
        <v>0</v>
      </c>
      <c r="E486" s="57"/>
      <c r="F486" s="59"/>
      <c r="G486" s="57"/>
      <c r="H486" s="88"/>
      <c r="I486" s="88"/>
      <c r="J486" s="88"/>
      <c r="K486" s="89" t="b">
        <v>1</v>
      </c>
      <c r="L486" s="60"/>
      <c r="M486" s="57"/>
      <c r="N486" s="57"/>
      <c r="O486" s="61"/>
      <c r="P486" s="60"/>
      <c r="Q486" s="57"/>
      <c r="R486" s="57"/>
      <c r="S486" s="95"/>
      <c r="T486" s="88"/>
      <c r="U486" s="88"/>
      <c r="V486" s="88"/>
      <c r="W486" s="96"/>
      <c r="X486" s="97"/>
      <c r="Y486" s="97"/>
      <c r="Z486" s="98"/>
      <c r="AA486" s="99"/>
      <c r="AB486" s="98"/>
      <c r="AC486" s="88"/>
      <c r="AD486" s="98"/>
      <c r="AE486" s="64"/>
      <c r="AF486" s="67" t="str">
        <f t="shared" si="21"/>
        <v/>
      </c>
      <c r="AG486" s="58"/>
      <c r="AH486" s="68" t="str">
        <f t="shared" si="22"/>
        <v/>
      </c>
      <c r="AI486" s="53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8"/>
      <c r="AW486" s="58"/>
      <c r="AX486" s="58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65" t="str">
        <f t="shared" si="23"/>
        <v/>
      </c>
    </row>
    <row r="487" spans="1:67" ht="19.5" customHeight="1">
      <c r="A487" s="70" t="b">
        <v>0</v>
      </c>
      <c r="B487" s="71" t="b">
        <v>1</v>
      </c>
      <c r="C487" s="72" t="b">
        <v>0</v>
      </c>
      <c r="D487" s="72" t="b">
        <v>0</v>
      </c>
      <c r="E487" s="57"/>
      <c r="F487" s="59"/>
      <c r="G487" s="57"/>
      <c r="H487" s="88"/>
      <c r="I487" s="88"/>
      <c r="J487" s="88"/>
      <c r="K487" s="89" t="b">
        <v>1</v>
      </c>
      <c r="L487" s="60"/>
      <c r="M487" s="57"/>
      <c r="N487" s="57"/>
      <c r="O487" s="61"/>
      <c r="P487" s="60"/>
      <c r="Q487" s="57"/>
      <c r="R487" s="57"/>
      <c r="S487" s="95"/>
      <c r="T487" s="88"/>
      <c r="U487" s="88"/>
      <c r="V487" s="88"/>
      <c r="W487" s="96"/>
      <c r="X487" s="97"/>
      <c r="Y487" s="97"/>
      <c r="Z487" s="98"/>
      <c r="AA487" s="99"/>
      <c r="AB487" s="98"/>
      <c r="AC487" s="88"/>
      <c r="AD487" s="98"/>
      <c r="AE487" s="64"/>
      <c r="AF487" s="67" t="str">
        <f t="shared" si="21"/>
        <v/>
      </c>
      <c r="AG487" s="58"/>
      <c r="AH487" s="68" t="str">
        <f t="shared" si="22"/>
        <v/>
      </c>
      <c r="AI487" s="53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8"/>
      <c r="AW487" s="58"/>
      <c r="AX487" s="58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65" t="str">
        <f t="shared" si="23"/>
        <v/>
      </c>
    </row>
    <row r="488" spans="1:67" ht="19.5" customHeight="1">
      <c r="A488" s="70" t="b">
        <v>0</v>
      </c>
      <c r="B488" s="71" t="b">
        <v>1</v>
      </c>
      <c r="C488" s="72" t="b">
        <v>0</v>
      </c>
      <c r="D488" s="72" t="b">
        <v>0</v>
      </c>
      <c r="E488" s="57"/>
      <c r="F488" s="59"/>
      <c r="G488" s="57"/>
      <c r="H488" s="88"/>
      <c r="I488" s="88"/>
      <c r="J488" s="88"/>
      <c r="K488" s="89" t="b">
        <v>1</v>
      </c>
      <c r="L488" s="60"/>
      <c r="M488" s="57"/>
      <c r="N488" s="57"/>
      <c r="O488" s="61"/>
      <c r="P488" s="60"/>
      <c r="Q488" s="57"/>
      <c r="R488" s="57"/>
      <c r="S488" s="95"/>
      <c r="T488" s="88"/>
      <c r="U488" s="88"/>
      <c r="V488" s="88"/>
      <c r="W488" s="96"/>
      <c r="X488" s="97"/>
      <c r="Y488" s="97"/>
      <c r="Z488" s="98"/>
      <c r="AA488" s="99"/>
      <c r="AB488" s="98"/>
      <c r="AC488" s="88"/>
      <c r="AD488" s="98"/>
      <c r="AE488" s="64"/>
      <c r="AF488" s="67" t="str">
        <f t="shared" si="21"/>
        <v/>
      </c>
      <c r="AG488" s="58"/>
      <c r="AH488" s="68" t="str">
        <f t="shared" si="22"/>
        <v/>
      </c>
      <c r="AI488" s="53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8"/>
      <c r="AW488" s="58"/>
      <c r="AX488" s="58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65" t="str">
        <f t="shared" si="23"/>
        <v/>
      </c>
    </row>
    <row r="489" spans="1:67" ht="19.5" customHeight="1">
      <c r="A489" s="70" t="b">
        <v>0</v>
      </c>
      <c r="B489" s="71" t="b">
        <v>1</v>
      </c>
      <c r="C489" s="72" t="b">
        <v>0</v>
      </c>
      <c r="D489" s="72" t="b">
        <v>0</v>
      </c>
      <c r="E489" s="57"/>
      <c r="F489" s="59"/>
      <c r="G489" s="57"/>
      <c r="H489" s="88"/>
      <c r="I489" s="88"/>
      <c r="J489" s="88"/>
      <c r="K489" s="89" t="b">
        <v>1</v>
      </c>
      <c r="L489" s="60"/>
      <c r="M489" s="57"/>
      <c r="N489" s="57"/>
      <c r="O489" s="61"/>
      <c r="P489" s="60"/>
      <c r="Q489" s="57"/>
      <c r="R489" s="57"/>
      <c r="S489" s="95"/>
      <c r="T489" s="88"/>
      <c r="U489" s="88"/>
      <c r="V489" s="88"/>
      <c r="W489" s="96"/>
      <c r="X489" s="97"/>
      <c r="Y489" s="97"/>
      <c r="Z489" s="98"/>
      <c r="AA489" s="99"/>
      <c r="AB489" s="98"/>
      <c r="AC489" s="88"/>
      <c r="AD489" s="98"/>
      <c r="AE489" s="64"/>
      <c r="AF489" s="67" t="str">
        <f t="shared" si="21"/>
        <v/>
      </c>
      <c r="AG489" s="58"/>
      <c r="AH489" s="68" t="str">
        <f t="shared" si="22"/>
        <v/>
      </c>
      <c r="AI489" s="53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8"/>
      <c r="AW489" s="58"/>
      <c r="AX489" s="58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65" t="str">
        <f t="shared" si="23"/>
        <v/>
      </c>
    </row>
    <row r="490" spans="1:67" ht="19.5" customHeight="1">
      <c r="A490" s="70" t="b">
        <v>0</v>
      </c>
      <c r="B490" s="71" t="b">
        <v>1</v>
      </c>
      <c r="C490" s="72" t="b">
        <v>0</v>
      </c>
      <c r="D490" s="72" t="b">
        <v>0</v>
      </c>
      <c r="E490" s="57"/>
      <c r="F490" s="59"/>
      <c r="G490" s="57"/>
      <c r="H490" s="88"/>
      <c r="I490" s="88"/>
      <c r="J490" s="88"/>
      <c r="K490" s="89" t="b">
        <v>1</v>
      </c>
      <c r="L490" s="60"/>
      <c r="M490" s="57"/>
      <c r="N490" s="57"/>
      <c r="O490" s="61"/>
      <c r="P490" s="60"/>
      <c r="Q490" s="57"/>
      <c r="R490" s="57"/>
      <c r="S490" s="95"/>
      <c r="T490" s="88"/>
      <c r="U490" s="88"/>
      <c r="V490" s="88"/>
      <c r="W490" s="96"/>
      <c r="X490" s="97"/>
      <c r="Y490" s="97"/>
      <c r="Z490" s="98"/>
      <c r="AA490" s="99"/>
      <c r="AB490" s="98"/>
      <c r="AC490" s="88"/>
      <c r="AD490" s="98"/>
      <c r="AE490" s="64"/>
      <c r="AF490" s="67" t="str">
        <f t="shared" si="21"/>
        <v/>
      </c>
      <c r="AG490" s="58"/>
      <c r="AH490" s="68" t="str">
        <f t="shared" si="22"/>
        <v/>
      </c>
      <c r="AI490" s="53"/>
      <c r="AJ490" s="53"/>
      <c r="AK490" s="53"/>
      <c r="AL490" s="53"/>
      <c r="AM490" s="53"/>
      <c r="AN490" s="53"/>
      <c r="AO490" s="53"/>
      <c r="AP490" s="53"/>
      <c r="AQ490" s="53"/>
      <c r="AR490" s="53"/>
      <c r="AS490" s="53"/>
      <c r="AT490" s="53"/>
      <c r="AU490" s="53"/>
      <c r="AV490" s="58"/>
      <c r="AW490" s="58"/>
      <c r="AX490" s="58"/>
      <c r="AY490" s="53"/>
      <c r="AZ490" s="53"/>
      <c r="BA490" s="53"/>
      <c r="BB490" s="53"/>
      <c r="BC490" s="53"/>
      <c r="BD490" s="53"/>
      <c r="BE490" s="53"/>
      <c r="BF490" s="53"/>
      <c r="BG490" s="53"/>
      <c r="BH490" s="53"/>
      <c r="BI490" s="53"/>
      <c r="BJ490" s="53"/>
      <c r="BK490" s="53"/>
      <c r="BL490" s="53"/>
      <c r="BM490" s="53"/>
      <c r="BN490" s="53"/>
      <c r="BO490" s="65" t="str">
        <f t="shared" si="23"/>
        <v/>
      </c>
    </row>
    <row r="491" spans="1:67" ht="19.5" customHeight="1">
      <c r="A491" s="70" t="b">
        <v>0</v>
      </c>
      <c r="B491" s="71" t="b">
        <v>1</v>
      </c>
      <c r="C491" s="72" t="b">
        <v>0</v>
      </c>
      <c r="D491" s="72" t="b">
        <v>0</v>
      </c>
      <c r="E491" s="57"/>
      <c r="F491" s="59"/>
      <c r="G491" s="57"/>
      <c r="H491" s="88"/>
      <c r="I491" s="88"/>
      <c r="J491" s="88"/>
      <c r="K491" s="89" t="b">
        <v>1</v>
      </c>
      <c r="L491" s="60"/>
      <c r="M491" s="57"/>
      <c r="N491" s="57"/>
      <c r="O491" s="61"/>
      <c r="P491" s="60"/>
      <c r="Q491" s="57"/>
      <c r="R491" s="57"/>
      <c r="S491" s="95"/>
      <c r="T491" s="88"/>
      <c r="U491" s="88"/>
      <c r="V491" s="88"/>
      <c r="W491" s="96"/>
      <c r="X491" s="97"/>
      <c r="Y491" s="97"/>
      <c r="Z491" s="98"/>
      <c r="AA491" s="99"/>
      <c r="AB491" s="98"/>
      <c r="AC491" s="88"/>
      <c r="AD491" s="98"/>
      <c r="AE491" s="64"/>
      <c r="AF491" s="67" t="str">
        <f t="shared" si="21"/>
        <v/>
      </c>
      <c r="AG491" s="58"/>
      <c r="AH491" s="68" t="str">
        <f t="shared" si="22"/>
        <v/>
      </c>
      <c r="AI491" s="53"/>
      <c r="AJ491" s="53"/>
      <c r="AK491" s="53"/>
      <c r="AL491" s="53"/>
      <c r="AM491" s="53"/>
      <c r="AN491" s="53"/>
      <c r="AO491" s="53"/>
      <c r="AP491" s="53"/>
      <c r="AQ491" s="53"/>
      <c r="AR491" s="53"/>
      <c r="AS491" s="53"/>
      <c r="AT491" s="53"/>
      <c r="AU491" s="53"/>
      <c r="AV491" s="58"/>
      <c r="AW491" s="58"/>
      <c r="AX491" s="58"/>
      <c r="AY491" s="53"/>
      <c r="AZ491" s="53"/>
      <c r="BA491" s="53"/>
      <c r="BB491" s="53"/>
      <c r="BC491" s="53"/>
      <c r="BD491" s="53"/>
      <c r="BE491" s="53"/>
      <c r="BF491" s="53"/>
      <c r="BG491" s="53"/>
      <c r="BH491" s="53"/>
      <c r="BI491" s="53"/>
      <c r="BJ491" s="53"/>
      <c r="BK491" s="53"/>
      <c r="BL491" s="53"/>
      <c r="BM491" s="53"/>
      <c r="BN491" s="53"/>
      <c r="BO491" s="65" t="str">
        <f t="shared" si="23"/>
        <v/>
      </c>
    </row>
    <row r="492" spans="1:67" ht="19.5" customHeight="1">
      <c r="A492" s="70" t="b">
        <v>0</v>
      </c>
      <c r="B492" s="71" t="b">
        <v>1</v>
      </c>
      <c r="C492" s="72" t="b">
        <v>0</v>
      </c>
      <c r="D492" s="72" t="b">
        <v>0</v>
      </c>
      <c r="E492" s="57"/>
      <c r="F492" s="59"/>
      <c r="G492" s="57"/>
      <c r="H492" s="88"/>
      <c r="I492" s="88"/>
      <c r="J492" s="88"/>
      <c r="K492" s="89" t="b">
        <v>1</v>
      </c>
      <c r="L492" s="60"/>
      <c r="M492" s="57"/>
      <c r="N492" s="57"/>
      <c r="O492" s="61"/>
      <c r="P492" s="60"/>
      <c r="Q492" s="57"/>
      <c r="R492" s="57"/>
      <c r="S492" s="95"/>
      <c r="T492" s="88"/>
      <c r="U492" s="88"/>
      <c r="V492" s="88"/>
      <c r="W492" s="96"/>
      <c r="X492" s="97"/>
      <c r="Y492" s="97"/>
      <c r="Z492" s="98"/>
      <c r="AA492" s="99"/>
      <c r="AB492" s="98"/>
      <c r="AC492" s="88"/>
      <c r="AD492" s="98"/>
      <c r="AE492" s="64"/>
      <c r="AF492" s="67" t="str">
        <f t="shared" si="21"/>
        <v/>
      </c>
      <c r="AG492" s="58"/>
      <c r="AH492" s="68" t="str">
        <f t="shared" si="22"/>
        <v/>
      </c>
      <c r="AI492" s="53"/>
      <c r="AJ492" s="53"/>
      <c r="AK492" s="53"/>
      <c r="AL492" s="53"/>
      <c r="AM492" s="53"/>
      <c r="AN492" s="53"/>
      <c r="AO492" s="53"/>
      <c r="AP492" s="53"/>
      <c r="AQ492" s="53"/>
      <c r="AR492" s="53"/>
      <c r="AS492" s="53"/>
      <c r="AT492" s="53"/>
      <c r="AU492" s="53"/>
      <c r="AV492" s="58"/>
      <c r="AW492" s="58"/>
      <c r="AX492" s="58"/>
      <c r="AY492" s="53"/>
      <c r="AZ492" s="53"/>
      <c r="BA492" s="53"/>
      <c r="BB492" s="53"/>
      <c r="BC492" s="53"/>
      <c r="BD492" s="53"/>
      <c r="BE492" s="53"/>
      <c r="BF492" s="53"/>
      <c r="BG492" s="53"/>
      <c r="BH492" s="53"/>
      <c r="BI492" s="53"/>
      <c r="BJ492" s="53"/>
      <c r="BK492" s="53"/>
      <c r="BL492" s="53"/>
      <c r="BM492" s="53"/>
      <c r="BN492" s="53"/>
      <c r="BO492" s="65" t="str">
        <f t="shared" si="23"/>
        <v/>
      </c>
    </row>
    <row r="493" spans="1:67" ht="19.5" customHeight="1">
      <c r="A493" s="70" t="b">
        <v>0</v>
      </c>
      <c r="B493" s="71" t="b">
        <v>1</v>
      </c>
      <c r="C493" s="72" t="b">
        <v>0</v>
      </c>
      <c r="D493" s="72" t="b">
        <v>0</v>
      </c>
      <c r="E493" s="57"/>
      <c r="F493" s="59"/>
      <c r="G493" s="57"/>
      <c r="H493" s="88"/>
      <c r="I493" s="88"/>
      <c r="J493" s="88"/>
      <c r="K493" s="89" t="b">
        <v>1</v>
      </c>
      <c r="L493" s="60"/>
      <c r="M493" s="57"/>
      <c r="N493" s="57"/>
      <c r="O493" s="61"/>
      <c r="P493" s="60"/>
      <c r="Q493" s="57"/>
      <c r="R493" s="57"/>
      <c r="S493" s="95"/>
      <c r="T493" s="88"/>
      <c r="U493" s="88"/>
      <c r="V493" s="88"/>
      <c r="W493" s="96"/>
      <c r="X493" s="97"/>
      <c r="Y493" s="97"/>
      <c r="Z493" s="98"/>
      <c r="AA493" s="99"/>
      <c r="AB493" s="98"/>
      <c r="AC493" s="88"/>
      <c r="AD493" s="98"/>
      <c r="AE493" s="64"/>
      <c r="AF493" s="67" t="str">
        <f t="shared" si="21"/>
        <v/>
      </c>
      <c r="AG493" s="58"/>
      <c r="AH493" s="68" t="str">
        <f t="shared" si="22"/>
        <v/>
      </c>
      <c r="AI493" s="53"/>
      <c r="AJ493" s="53"/>
      <c r="AK493" s="53"/>
      <c r="AL493" s="53"/>
      <c r="AM493" s="53"/>
      <c r="AN493" s="53"/>
      <c r="AO493" s="53"/>
      <c r="AP493" s="53"/>
      <c r="AQ493" s="53"/>
      <c r="AR493" s="53"/>
      <c r="AS493" s="53"/>
      <c r="AT493" s="53"/>
      <c r="AU493" s="53"/>
      <c r="AV493" s="58"/>
      <c r="AW493" s="58"/>
      <c r="AX493" s="58"/>
      <c r="AY493" s="53"/>
      <c r="AZ493" s="53"/>
      <c r="BA493" s="53"/>
      <c r="BB493" s="53"/>
      <c r="BC493" s="53"/>
      <c r="BD493" s="53"/>
      <c r="BE493" s="53"/>
      <c r="BF493" s="53"/>
      <c r="BG493" s="53"/>
      <c r="BH493" s="53"/>
      <c r="BI493" s="53"/>
      <c r="BJ493" s="53"/>
      <c r="BK493" s="53"/>
      <c r="BL493" s="53"/>
      <c r="BM493" s="53"/>
      <c r="BN493" s="53"/>
      <c r="BO493" s="65" t="str">
        <f t="shared" si="23"/>
        <v/>
      </c>
    </row>
    <row r="494" spans="1:67" ht="19.5" customHeight="1">
      <c r="A494" s="70" t="b">
        <v>0</v>
      </c>
      <c r="B494" s="71" t="b">
        <v>1</v>
      </c>
      <c r="C494" s="72" t="b">
        <v>0</v>
      </c>
      <c r="D494" s="72" t="b">
        <v>0</v>
      </c>
      <c r="E494" s="57"/>
      <c r="F494" s="59"/>
      <c r="G494" s="57"/>
      <c r="H494" s="88"/>
      <c r="I494" s="88"/>
      <c r="J494" s="88"/>
      <c r="K494" s="89" t="b">
        <v>1</v>
      </c>
      <c r="L494" s="60"/>
      <c r="M494" s="57"/>
      <c r="N494" s="57"/>
      <c r="O494" s="61"/>
      <c r="P494" s="60"/>
      <c r="Q494" s="57"/>
      <c r="R494" s="57"/>
      <c r="S494" s="95"/>
      <c r="T494" s="88"/>
      <c r="U494" s="88"/>
      <c r="V494" s="88"/>
      <c r="W494" s="96"/>
      <c r="X494" s="97"/>
      <c r="Y494" s="97"/>
      <c r="Z494" s="98"/>
      <c r="AA494" s="99"/>
      <c r="AB494" s="98"/>
      <c r="AC494" s="88"/>
      <c r="AD494" s="98"/>
      <c r="AE494" s="64"/>
      <c r="AF494" s="67" t="str">
        <f t="shared" si="21"/>
        <v/>
      </c>
      <c r="AG494" s="58"/>
      <c r="AH494" s="68" t="str">
        <f t="shared" si="22"/>
        <v/>
      </c>
      <c r="AI494" s="53"/>
      <c r="AJ494" s="53"/>
      <c r="AK494" s="53"/>
      <c r="AL494" s="53"/>
      <c r="AM494" s="53"/>
      <c r="AN494" s="53"/>
      <c r="AO494" s="53"/>
      <c r="AP494" s="53"/>
      <c r="AQ494" s="53"/>
      <c r="AR494" s="53"/>
      <c r="AS494" s="53"/>
      <c r="AT494" s="53"/>
      <c r="AU494" s="53"/>
      <c r="AV494" s="58"/>
      <c r="AW494" s="58"/>
      <c r="AX494" s="58"/>
      <c r="AY494" s="53"/>
      <c r="AZ494" s="53"/>
      <c r="BA494" s="53"/>
      <c r="BB494" s="53"/>
      <c r="BC494" s="53"/>
      <c r="BD494" s="53"/>
      <c r="BE494" s="53"/>
      <c r="BF494" s="53"/>
      <c r="BG494" s="53"/>
      <c r="BH494" s="53"/>
      <c r="BI494" s="53"/>
      <c r="BJ494" s="53"/>
      <c r="BK494" s="53"/>
      <c r="BL494" s="53"/>
      <c r="BM494" s="53"/>
      <c r="BN494" s="53"/>
      <c r="BO494" s="65" t="str">
        <f t="shared" si="23"/>
        <v/>
      </c>
    </row>
    <row r="495" spans="1:67" ht="19.5" customHeight="1">
      <c r="A495" s="70" t="b">
        <v>0</v>
      </c>
      <c r="B495" s="71" t="b">
        <v>1</v>
      </c>
      <c r="C495" s="72" t="b">
        <v>0</v>
      </c>
      <c r="D495" s="72" t="b">
        <v>0</v>
      </c>
      <c r="E495" s="57"/>
      <c r="F495" s="59"/>
      <c r="G495" s="57"/>
      <c r="H495" s="88"/>
      <c r="I495" s="88"/>
      <c r="J495" s="88"/>
      <c r="K495" s="89" t="b">
        <v>1</v>
      </c>
      <c r="L495" s="60"/>
      <c r="M495" s="57"/>
      <c r="N495" s="57"/>
      <c r="O495" s="61"/>
      <c r="P495" s="60"/>
      <c r="Q495" s="57"/>
      <c r="R495" s="57"/>
      <c r="S495" s="95"/>
      <c r="T495" s="88"/>
      <c r="U495" s="88"/>
      <c r="V495" s="88"/>
      <c r="W495" s="96"/>
      <c r="X495" s="97"/>
      <c r="Y495" s="97"/>
      <c r="Z495" s="98"/>
      <c r="AA495" s="99"/>
      <c r="AB495" s="98"/>
      <c r="AC495" s="88"/>
      <c r="AD495" s="98"/>
      <c r="AE495" s="64"/>
      <c r="AF495" s="67" t="str">
        <f t="shared" si="21"/>
        <v/>
      </c>
      <c r="AG495" s="58"/>
      <c r="AH495" s="68" t="str">
        <f t="shared" si="22"/>
        <v/>
      </c>
      <c r="AI495" s="53"/>
      <c r="AJ495" s="53"/>
      <c r="AK495" s="53"/>
      <c r="AL495" s="53"/>
      <c r="AM495" s="53"/>
      <c r="AN495" s="53"/>
      <c r="AO495" s="53"/>
      <c r="AP495" s="53"/>
      <c r="AQ495" s="53"/>
      <c r="AR495" s="53"/>
      <c r="AS495" s="53"/>
      <c r="AT495" s="53"/>
      <c r="AU495" s="53"/>
      <c r="AV495" s="58"/>
      <c r="AW495" s="58"/>
      <c r="AX495" s="58"/>
      <c r="AY495" s="53"/>
      <c r="AZ495" s="53"/>
      <c r="BA495" s="53"/>
      <c r="BB495" s="53"/>
      <c r="BC495" s="53"/>
      <c r="BD495" s="53"/>
      <c r="BE495" s="53"/>
      <c r="BF495" s="53"/>
      <c r="BG495" s="53"/>
      <c r="BH495" s="53"/>
      <c r="BI495" s="53"/>
      <c r="BJ495" s="53"/>
      <c r="BK495" s="53"/>
      <c r="BL495" s="53"/>
      <c r="BM495" s="53"/>
      <c r="BN495" s="53"/>
      <c r="BO495" s="65" t="str">
        <f t="shared" si="23"/>
        <v/>
      </c>
    </row>
    <row r="496" spans="1:67" ht="19.5" customHeight="1">
      <c r="A496" s="70" t="b">
        <v>0</v>
      </c>
      <c r="B496" s="71" t="b">
        <v>1</v>
      </c>
      <c r="C496" s="72" t="b">
        <v>0</v>
      </c>
      <c r="D496" s="72" t="b">
        <v>0</v>
      </c>
      <c r="E496" s="57"/>
      <c r="F496" s="59"/>
      <c r="G496" s="57"/>
      <c r="H496" s="88"/>
      <c r="I496" s="88"/>
      <c r="J496" s="88"/>
      <c r="K496" s="89" t="b">
        <v>1</v>
      </c>
      <c r="L496" s="60"/>
      <c r="M496" s="57"/>
      <c r="N496" s="57"/>
      <c r="O496" s="61"/>
      <c r="P496" s="60"/>
      <c r="Q496" s="57"/>
      <c r="R496" s="57"/>
      <c r="S496" s="95"/>
      <c r="T496" s="88"/>
      <c r="U496" s="88"/>
      <c r="V496" s="88"/>
      <c r="W496" s="96"/>
      <c r="X496" s="97"/>
      <c r="Y496" s="97"/>
      <c r="Z496" s="98"/>
      <c r="AA496" s="99"/>
      <c r="AB496" s="98"/>
      <c r="AC496" s="88"/>
      <c r="AD496" s="98"/>
      <c r="AE496" s="64"/>
      <c r="AF496" s="67" t="str">
        <f t="shared" si="21"/>
        <v/>
      </c>
      <c r="AG496" s="58"/>
      <c r="AH496" s="68" t="str">
        <f t="shared" si="22"/>
        <v/>
      </c>
      <c r="AI496" s="53"/>
      <c r="AJ496" s="53"/>
      <c r="AK496" s="53"/>
      <c r="AL496" s="53"/>
      <c r="AM496" s="53"/>
      <c r="AN496" s="53"/>
      <c r="AO496" s="53"/>
      <c r="AP496" s="53"/>
      <c r="AQ496" s="53"/>
      <c r="AR496" s="53"/>
      <c r="AS496" s="53"/>
      <c r="AT496" s="53"/>
      <c r="AU496" s="53"/>
      <c r="AV496" s="58"/>
      <c r="AW496" s="58"/>
      <c r="AX496" s="58"/>
      <c r="AY496" s="53"/>
      <c r="AZ496" s="53"/>
      <c r="BA496" s="53"/>
      <c r="BB496" s="53"/>
      <c r="BC496" s="53"/>
      <c r="BD496" s="53"/>
      <c r="BE496" s="53"/>
      <c r="BF496" s="53"/>
      <c r="BG496" s="53"/>
      <c r="BH496" s="53"/>
      <c r="BI496" s="53"/>
      <c r="BJ496" s="53"/>
      <c r="BK496" s="53"/>
      <c r="BL496" s="53"/>
      <c r="BM496" s="53"/>
      <c r="BN496" s="53"/>
      <c r="BO496" s="65" t="str">
        <f t="shared" si="23"/>
        <v/>
      </c>
    </row>
    <row r="497" spans="1:67" ht="19.5" customHeight="1">
      <c r="A497" s="70" t="b">
        <v>0</v>
      </c>
      <c r="B497" s="71" t="b">
        <v>1</v>
      </c>
      <c r="C497" s="72" t="b">
        <v>0</v>
      </c>
      <c r="D497" s="72" t="b">
        <v>0</v>
      </c>
      <c r="E497" s="57"/>
      <c r="F497" s="59"/>
      <c r="G497" s="57"/>
      <c r="H497" s="88"/>
      <c r="I497" s="88"/>
      <c r="J497" s="88"/>
      <c r="K497" s="89" t="b">
        <v>1</v>
      </c>
      <c r="L497" s="60"/>
      <c r="M497" s="57"/>
      <c r="N497" s="57"/>
      <c r="O497" s="61"/>
      <c r="P497" s="60"/>
      <c r="Q497" s="57"/>
      <c r="R497" s="57"/>
      <c r="S497" s="95"/>
      <c r="T497" s="88"/>
      <c r="U497" s="88"/>
      <c r="V497" s="88"/>
      <c r="W497" s="96"/>
      <c r="X497" s="97"/>
      <c r="Y497" s="97"/>
      <c r="Z497" s="98"/>
      <c r="AA497" s="99"/>
      <c r="AB497" s="98"/>
      <c r="AC497" s="88"/>
      <c r="AD497" s="98"/>
      <c r="AE497" s="64"/>
      <c r="AF497" s="67" t="str">
        <f t="shared" si="21"/>
        <v/>
      </c>
      <c r="AG497" s="58"/>
      <c r="AH497" s="68" t="str">
        <f t="shared" si="22"/>
        <v/>
      </c>
      <c r="AI497" s="53"/>
      <c r="AJ497" s="53"/>
      <c r="AK497" s="53"/>
      <c r="AL497" s="53"/>
      <c r="AM497" s="53"/>
      <c r="AN497" s="53"/>
      <c r="AO497" s="53"/>
      <c r="AP497" s="53"/>
      <c r="AQ497" s="53"/>
      <c r="AR497" s="53"/>
      <c r="AS497" s="53"/>
      <c r="AT497" s="53"/>
      <c r="AU497" s="53"/>
      <c r="AV497" s="58"/>
      <c r="AW497" s="58"/>
      <c r="AX497" s="58"/>
      <c r="AY497" s="53"/>
      <c r="AZ497" s="53"/>
      <c r="BA497" s="53"/>
      <c r="BB497" s="53"/>
      <c r="BC497" s="53"/>
      <c r="BD497" s="53"/>
      <c r="BE497" s="53"/>
      <c r="BF497" s="53"/>
      <c r="BG497" s="53"/>
      <c r="BH497" s="53"/>
      <c r="BI497" s="53"/>
      <c r="BJ497" s="53"/>
      <c r="BK497" s="53"/>
      <c r="BL497" s="53"/>
      <c r="BM497" s="53"/>
      <c r="BN497" s="53"/>
      <c r="BO497" s="65" t="str">
        <f t="shared" si="23"/>
        <v/>
      </c>
    </row>
    <row r="498" spans="1:67" ht="19.5" customHeight="1">
      <c r="A498" s="70" t="b">
        <v>0</v>
      </c>
      <c r="B498" s="71" t="b">
        <v>1</v>
      </c>
      <c r="C498" s="72" t="b">
        <v>0</v>
      </c>
      <c r="D498" s="72" t="b">
        <v>0</v>
      </c>
      <c r="E498" s="57"/>
      <c r="F498" s="59"/>
      <c r="G498" s="57"/>
      <c r="H498" s="88"/>
      <c r="I498" s="88"/>
      <c r="J498" s="88"/>
      <c r="K498" s="89" t="b">
        <v>1</v>
      </c>
      <c r="L498" s="60"/>
      <c r="M498" s="57"/>
      <c r="N498" s="57"/>
      <c r="O498" s="61"/>
      <c r="P498" s="60"/>
      <c r="Q498" s="57"/>
      <c r="R498" s="57"/>
      <c r="S498" s="95"/>
      <c r="T498" s="88"/>
      <c r="U498" s="88"/>
      <c r="V498" s="88"/>
      <c r="W498" s="96"/>
      <c r="X498" s="97"/>
      <c r="Y498" s="97"/>
      <c r="Z498" s="98"/>
      <c r="AA498" s="99"/>
      <c r="AB498" s="98"/>
      <c r="AC498" s="88"/>
      <c r="AD498" s="98"/>
      <c r="AE498" s="64"/>
      <c r="AF498" s="67" t="str">
        <f t="shared" si="21"/>
        <v/>
      </c>
      <c r="AG498" s="58"/>
      <c r="AH498" s="68" t="str">
        <f t="shared" si="22"/>
        <v/>
      </c>
      <c r="AI498" s="53"/>
      <c r="AJ498" s="53"/>
      <c r="AK498" s="53"/>
      <c r="AL498" s="53"/>
      <c r="AM498" s="53"/>
      <c r="AN498" s="53"/>
      <c r="AO498" s="53"/>
      <c r="AP498" s="53"/>
      <c r="AQ498" s="53"/>
      <c r="AR498" s="53"/>
      <c r="AS498" s="53"/>
      <c r="AT498" s="53"/>
      <c r="AU498" s="53"/>
      <c r="AV498" s="58"/>
      <c r="AW498" s="58"/>
      <c r="AX498" s="58"/>
      <c r="AY498" s="53"/>
      <c r="AZ498" s="53"/>
      <c r="BA498" s="53"/>
      <c r="BB498" s="53"/>
      <c r="BC498" s="53"/>
      <c r="BD498" s="53"/>
      <c r="BE498" s="53"/>
      <c r="BF498" s="53"/>
      <c r="BG498" s="53"/>
      <c r="BH498" s="53"/>
      <c r="BI498" s="53"/>
      <c r="BJ498" s="53"/>
      <c r="BK498" s="53"/>
      <c r="BL498" s="53"/>
      <c r="BM498" s="53"/>
      <c r="BN498" s="53"/>
      <c r="BO498" s="65" t="str">
        <f t="shared" si="23"/>
        <v/>
      </c>
    </row>
    <row r="499" spans="1:67" ht="19.5" customHeight="1">
      <c r="A499" s="70" t="b">
        <v>0</v>
      </c>
      <c r="B499" s="71" t="b">
        <v>1</v>
      </c>
      <c r="C499" s="72" t="b">
        <v>0</v>
      </c>
      <c r="D499" s="72" t="b">
        <v>0</v>
      </c>
      <c r="E499" s="57"/>
      <c r="F499" s="59"/>
      <c r="G499" s="57"/>
      <c r="H499" s="88"/>
      <c r="I499" s="88"/>
      <c r="J499" s="88"/>
      <c r="K499" s="89" t="b">
        <v>1</v>
      </c>
      <c r="L499" s="60"/>
      <c r="M499" s="57"/>
      <c r="N499" s="57"/>
      <c r="O499" s="61"/>
      <c r="P499" s="60"/>
      <c r="Q499" s="57"/>
      <c r="R499" s="57"/>
      <c r="S499" s="95"/>
      <c r="T499" s="88"/>
      <c r="U499" s="88"/>
      <c r="V499" s="88"/>
      <c r="W499" s="96"/>
      <c r="X499" s="97"/>
      <c r="Y499" s="97"/>
      <c r="Z499" s="98"/>
      <c r="AA499" s="99"/>
      <c r="AB499" s="98"/>
      <c r="AC499" s="88"/>
      <c r="AD499" s="98"/>
      <c r="AE499" s="64"/>
      <c r="AF499" s="67" t="str">
        <f t="shared" si="21"/>
        <v/>
      </c>
      <c r="AG499" s="58"/>
      <c r="AH499" s="68" t="str">
        <f t="shared" si="22"/>
        <v/>
      </c>
      <c r="AI499" s="53"/>
      <c r="AJ499" s="53"/>
      <c r="AK499" s="53"/>
      <c r="AL499" s="53"/>
      <c r="AM499" s="53"/>
      <c r="AN499" s="53"/>
      <c r="AO499" s="53"/>
      <c r="AP499" s="53"/>
      <c r="AQ499" s="53"/>
      <c r="AR499" s="53"/>
      <c r="AS499" s="53"/>
      <c r="AT499" s="53"/>
      <c r="AU499" s="53"/>
      <c r="AV499" s="58"/>
      <c r="AW499" s="58"/>
      <c r="AX499" s="58"/>
      <c r="AY499" s="53"/>
      <c r="AZ499" s="53"/>
      <c r="BA499" s="53"/>
      <c r="BB499" s="53"/>
      <c r="BC499" s="53"/>
      <c r="BD499" s="53"/>
      <c r="BE499" s="53"/>
      <c r="BF499" s="53"/>
      <c r="BG499" s="53"/>
      <c r="BH499" s="53"/>
      <c r="BI499" s="53"/>
      <c r="BJ499" s="53"/>
      <c r="BK499" s="53"/>
      <c r="BL499" s="53"/>
      <c r="BM499" s="53"/>
      <c r="BN499" s="53"/>
      <c r="BO499" s="65" t="str">
        <f t="shared" si="23"/>
        <v/>
      </c>
    </row>
    <row r="500" spans="1:67" ht="19.5" customHeight="1">
      <c r="A500" s="70" t="b">
        <v>0</v>
      </c>
      <c r="B500" s="71" t="b">
        <v>1</v>
      </c>
      <c r="C500" s="72" t="b">
        <v>0</v>
      </c>
      <c r="D500" s="72" t="b">
        <v>0</v>
      </c>
      <c r="E500" s="57"/>
      <c r="F500" s="59"/>
      <c r="G500" s="57"/>
      <c r="H500" s="88"/>
      <c r="I500" s="88"/>
      <c r="J500" s="88"/>
      <c r="K500" s="89" t="b">
        <v>1</v>
      </c>
      <c r="L500" s="60"/>
      <c r="M500" s="57"/>
      <c r="N500" s="57"/>
      <c r="O500" s="61"/>
      <c r="P500" s="60"/>
      <c r="Q500" s="57"/>
      <c r="R500" s="57"/>
      <c r="S500" s="95"/>
      <c r="T500" s="88"/>
      <c r="U500" s="88"/>
      <c r="V500" s="88"/>
      <c r="W500" s="96"/>
      <c r="X500" s="97"/>
      <c r="Y500" s="97"/>
      <c r="Z500" s="98"/>
      <c r="AA500" s="99"/>
      <c r="AB500" s="98"/>
      <c r="AC500" s="88"/>
      <c r="AD500" s="98"/>
      <c r="AE500" s="64"/>
      <c r="AF500" s="67" t="str">
        <f t="shared" si="21"/>
        <v/>
      </c>
      <c r="AG500" s="58"/>
      <c r="AH500" s="68" t="str">
        <f t="shared" si="22"/>
        <v/>
      </c>
      <c r="AI500" s="53"/>
      <c r="AJ500" s="53"/>
      <c r="AK500" s="53"/>
      <c r="AL500" s="53"/>
      <c r="AM500" s="53"/>
      <c r="AN500" s="53"/>
      <c r="AO500" s="53"/>
      <c r="AP500" s="53"/>
      <c r="AQ500" s="53"/>
      <c r="AR500" s="53"/>
      <c r="AS500" s="53"/>
      <c r="AT500" s="53"/>
      <c r="AU500" s="53"/>
      <c r="AV500" s="58"/>
      <c r="AW500" s="58"/>
      <c r="AX500" s="58"/>
      <c r="AY500" s="53"/>
      <c r="AZ500" s="53"/>
      <c r="BA500" s="53"/>
      <c r="BB500" s="53"/>
      <c r="BC500" s="53"/>
      <c r="BD500" s="53"/>
      <c r="BE500" s="53"/>
      <c r="BF500" s="53"/>
      <c r="BG500" s="53"/>
      <c r="BH500" s="53"/>
      <c r="BI500" s="53"/>
      <c r="BJ500" s="53"/>
      <c r="BK500" s="53"/>
      <c r="BL500" s="53"/>
      <c r="BM500" s="53"/>
      <c r="BN500" s="53"/>
      <c r="BO500" s="65" t="str">
        <f t="shared" si="23"/>
        <v/>
      </c>
    </row>
    <row r="501" spans="1:67" ht="19.5" customHeight="1">
      <c r="A501" s="70" t="b">
        <v>0</v>
      </c>
      <c r="B501" s="71" t="b">
        <v>1</v>
      </c>
      <c r="C501" s="72" t="b">
        <v>0</v>
      </c>
      <c r="D501" s="72" t="b">
        <v>0</v>
      </c>
      <c r="E501" s="57"/>
      <c r="F501" s="59"/>
      <c r="G501" s="57"/>
      <c r="H501" s="88"/>
      <c r="I501" s="88"/>
      <c r="J501" s="88"/>
      <c r="K501" s="89" t="b">
        <v>1</v>
      </c>
      <c r="L501" s="60"/>
      <c r="M501" s="57"/>
      <c r="N501" s="57"/>
      <c r="O501" s="61"/>
      <c r="P501" s="60"/>
      <c r="Q501" s="57"/>
      <c r="R501" s="57"/>
      <c r="S501" s="95"/>
      <c r="T501" s="88"/>
      <c r="U501" s="88"/>
      <c r="V501" s="88"/>
      <c r="W501" s="96"/>
      <c r="X501" s="97"/>
      <c r="Y501" s="97"/>
      <c r="Z501" s="98"/>
      <c r="AA501" s="99"/>
      <c r="AB501" s="98"/>
      <c r="AC501" s="88"/>
      <c r="AD501" s="98"/>
      <c r="AE501" s="64"/>
      <c r="AF501" s="67" t="str">
        <f t="shared" si="21"/>
        <v/>
      </c>
      <c r="AG501" s="58"/>
      <c r="AH501" s="68" t="str">
        <f t="shared" si="22"/>
        <v/>
      </c>
      <c r="AI501" s="53"/>
      <c r="AJ501" s="53"/>
      <c r="AK501" s="53"/>
      <c r="AL501" s="53"/>
      <c r="AM501" s="53"/>
      <c r="AN501" s="53"/>
      <c r="AO501" s="53"/>
      <c r="AP501" s="53"/>
      <c r="AQ501" s="53"/>
      <c r="AR501" s="53"/>
      <c r="AS501" s="53"/>
      <c r="AT501" s="53"/>
      <c r="AU501" s="53"/>
      <c r="AV501" s="58"/>
      <c r="AW501" s="58"/>
      <c r="AX501" s="58"/>
      <c r="AY501" s="53"/>
      <c r="AZ501" s="53"/>
      <c r="BA501" s="53"/>
      <c r="BB501" s="53"/>
      <c r="BC501" s="53"/>
      <c r="BD501" s="53"/>
      <c r="BE501" s="53"/>
      <c r="BF501" s="53"/>
      <c r="BG501" s="53"/>
      <c r="BH501" s="53"/>
      <c r="BI501" s="53"/>
      <c r="BJ501" s="53"/>
      <c r="BK501" s="53"/>
      <c r="BL501" s="53"/>
      <c r="BM501" s="53"/>
      <c r="BN501" s="53"/>
      <c r="BO501" s="65" t="str">
        <f t="shared" si="23"/>
        <v/>
      </c>
    </row>
    <row r="502" spans="1:67" ht="19.5" customHeight="1">
      <c r="A502" s="70" t="b">
        <v>0</v>
      </c>
      <c r="B502" s="71" t="b">
        <v>1</v>
      </c>
      <c r="C502" s="72" t="b">
        <v>0</v>
      </c>
      <c r="D502" s="72" t="b">
        <v>0</v>
      </c>
      <c r="E502" s="57"/>
      <c r="F502" s="59"/>
      <c r="G502" s="57"/>
      <c r="H502" s="88"/>
      <c r="I502" s="88"/>
      <c r="J502" s="88"/>
      <c r="K502" s="89" t="b">
        <v>1</v>
      </c>
      <c r="L502" s="60"/>
      <c r="M502" s="57"/>
      <c r="N502" s="57"/>
      <c r="O502" s="61"/>
      <c r="P502" s="60"/>
      <c r="Q502" s="57"/>
      <c r="R502" s="57"/>
      <c r="S502" s="95"/>
      <c r="T502" s="88"/>
      <c r="U502" s="88"/>
      <c r="V502" s="88"/>
      <c r="W502" s="96"/>
      <c r="X502" s="97"/>
      <c r="Y502" s="97"/>
      <c r="Z502" s="98"/>
      <c r="AA502" s="99"/>
      <c r="AB502" s="98"/>
      <c r="AC502" s="88"/>
      <c r="AD502" s="98"/>
      <c r="AE502" s="64"/>
      <c r="AF502" s="67" t="str">
        <f t="shared" si="21"/>
        <v/>
      </c>
      <c r="AG502" s="58"/>
      <c r="AH502" s="68" t="str">
        <f t="shared" si="22"/>
        <v/>
      </c>
      <c r="AI502" s="53"/>
      <c r="AJ502" s="53"/>
      <c r="AK502" s="53"/>
      <c r="AL502" s="53"/>
      <c r="AM502" s="53"/>
      <c r="AN502" s="53"/>
      <c r="AO502" s="53"/>
      <c r="AP502" s="53"/>
      <c r="AQ502" s="53"/>
      <c r="AR502" s="53"/>
      <c r="AS502" s="53"/>
      <c r="AT502" s="53"/>
      <c r="AU502" s="53"/>
      <c r="AV502" s="58"/>
      <c r="AW502" s="58"/>
      <c r="AX502" s="58"/>
      <c r="AY502" s="53"/>
      <c r="AZ502" s="53"/>
      <c r="BA502" s="53"/>
      <c r="BB502" s="53"/>
      <c r="BC502" s="53"/>
      <c r="BD502" s="53"/>
      <c r="BE502" s="53"/>
      <c r="BF502" s="53"/>
      <c r="BG502" s="53"/>
      <c r="BH502" s="53"/>
      <c r="BI502" s="53"/>
      <c r="BJ502" s="53"/>
      <c r="BK502" s="53"/>
      <c r="BL502" s="53"/>
      <c r="BM502" s="53"/>
      <c r="BN502" s="53"/>
      <c r="BO502" s="65" t="str">
        <f t="shared" si="23"/>
        <v/>
      </c>
    </row>
    <row r="503" spans="1:67" ht="19.5" customHeight="1">
      <c r="A503" s="70" t="b">
        <v>0</v>
      </c>
      <c r="B503" s="71" t="b">
        <v>1</v>
      </c>
      <c r="C503" s="72" t="b">
        <v>0</v>
      </c>
      <c r="D503" s="72" t="b">
        <v>0</v>
      </c>
      <c r="E503" s="57"/>
      <c r="F503" s="59"/>
      <c r="G503" s="57"/>
      <c r="H503" s="88"/>
      <c r="I503" s="88"/>
      <c r="J503" s="88"/>
      <c r="K503" s="89" t="b">
        <v>1</v>
      </c>
      <c r="L503" s="60"/>
      <c r="M503" s="57"/>
      <c r="N503" s="57"/>
      <c r="O503" s="61"/>
      <c r="P503" s="60"/>
      <c r="Q503" s="57"/>
      <c r="R503" s="57"/>
      <c r="S503" s="95"/>
      <c r="T503" s="88"/>
      <c r="U503" s="88"/>
      <c r="V503" s="88"/>
      <c r="W503" s="96"/>
      <c r="X503" s="97"/>
      <c r="Y503" s="97"/>
      <c r="Z503" s="98"/>
      <c r="AA503" s="99"/>
      <c r="AB503" s="98"/>
      <c r="AC503" s="88"/>
      <c r="AD503" s="98"/>
      <c r="AE503" s="64"/>
      <c r="AF503" s="67" t="str">
        <f t="shared" si="21"/>
        <v/>
      </c>
      <c r="AG503" s="58"/>
      <c r="AH503" s="68" t="str">
        <f t="shared" si="22"/>
        <v/>
      </c>
      <c r="AI503" s="53"/>
      <c r="AJ503" s="53"/>
      <c r="AK503" s="53"/>
      <c r="AL503" s="53"/>
      <c r="AM503" s="53"/>
      <c r="AN503" s="53"/>
      <c r="AO503" s="53"/>
      <c r="AP503" s="53"/>
      <c r="AQ503" s="53"/>
      <c r="AR503" s="53"/>
      <c r="AS503" s="53"/>
      <c r="AT503" s="53"/>
      <c r="AU503" s="53"/>
      <c r="AV503" s="58"/>
      <c r="AW503" s="58"/>
      <c r="AX503" s="58"/>
      <c r="AY503" s="53"/>
      <c r="AZ503" s="53"/>
      <c r="BA503" s="53"/>
      <c r="BB503" s="53"/>
      <c r="BC503" s="53"/>
      <c r="BD503" s="53"/>
      <c r="BE503" s="53"/>
      <c r="BF503" s="53"/>
      <c r="BG503" s="53"/>
      <c r="BH503" s="53"/>
      <c r="BI503" s="53"/>
      <c r="BJ503" s="53"/>
      <c r="BK503" s="53"/>
      <c r="BL503" s="53"/>
      <c r="BM503" s="53"/>
      <c r="BN503" s="53"/>
      <c r="BO503" s="65" t="str">
        <f t="shared" si="23"/>
        <v/>
      </c>
    </row>
    <row r="504" spans="1:67" ht="19.5" customHeight="1">
      <c r="A504" s="70" t="b">
        <v>0</v>
      </c>
      <c r="B504" s="71" t="b">
        <v>1</v>
      </c>
      <c r="C504" s="72" t="b">
        <v>0</v>
      </c>
      <c r="D504" s="72" t="b">
        <v>0</v>
      </c>
      <c r="E504" s="57"/>
      <c r="F504" s="59"/>
      <c r="G504" s="57"/>
      <c r="H504" s="88"/>
      <c r="I504" s="88"/>
      <c r="J504" s="88"/>
      <c r="K504" s="89" t="b">
        <v>1</v>
      </c>
      <c r="L504" s="60"/>
      <c r="M504" s="57"/>
      <c r="N504" s="57"/>
      <c r="O504" s="61"/>
      <c r="P504" s="60"/>
      <c r="Q504" s="57"/>
      <c r="R504" s="57"/>
      <c r="S504" s="95"/>
      <c r="T504" s="88"/>
      <c r="U504" s="88"/>
      <c r="V504" s="88"/>
      <c r="W504" s="96"/>
      <c r="X504" s="97"/>
      <c r="Y504" s="97"/>
      <c r="Z504" s="98"/>
      <c r="AA504" s="99"/>
      <c r="AB504" s="98"/>
      <c r="AC504" s="88"/>
      <c r="AD504" s="98"/>
      <c r="AE504" s="64"/>
      <c r="AF504" s="67" t="str">
        <f t="shared" si="21"/>
        <v/>
      </c>
      <c r="AG504" s="58"/>
      <c r="AH504" s="68" t="str">
        <f t="shared" si="22"/>
        <v/>
      </c>
      <c r="AI504" s="53"/>
      <c r="AJ504" s="53"/>
      <c r="AK504" s="53"/>
      <c r="AL504" s="53"/>
      <c r="AM504" s="53"/>
      <c r="AN504" s="53"/>
      <c r="AO504" s="53"/>
      <c r="AP504" s="53"/>
      <c r="AQ504" s="53"/>
      <c r="AR504" s="53"/>
      <c r="AS504" s="53"/>
      <c r="AT504" s="53"/>
      <c r="AU504" s="53"/>
      <c r="AV504" s="58"/>
      <c r="AW504" s="58"/>
      <c r="AX504" s="58"/>
      <c r="AY504" s="53"/>
      <c r="AZ504" s="53"/>
      <c r="BA504" s="53"/>
      <c r="BB504" s="53"/>
      <c r="BC504" s="53"/>
      <c r="BD504" s="53"/>
      <c r="BE504" s="53"/>
      <c r="BF504" s="53"/>
      <c r="BG504" s="53"/>
      <c r="BH504" s="53"/>
      <c r="BI504" s="53"/>
      <c r="BJ504" s="53"/>
      <c r="BK504" s="53"/>
      <c r="BL504" s="53"/>
      <c r="BM504" s="53"/>
      <c r="BN504" s="53"/>
      <c r="BO504" s="65" t="str">
        <f t="shared" si="23"/>
        <v/>
      </c>
    </row>
    <row r="505" spans="1:67" ht="19.5" customHeight="1">
      <c r="A505" s="70" t="b">
        <v>0</v>
      </c>
      <c r="B505" s="71" t="b">
        <v>1</v>
      </c>
      <c r="C505" s="72" t="b">
        <v>0</v>
      </c>
      <c r="D505" s="72" t="b">
        <v>0</v>
      </c>
      <c r="E505" s="57"/>
      <c r="F505" s="59"/>
      <c r="G505" s="57"/>
      <c r="H505" s="88"/>
      <c r="I505" s="88"/>
      <c r="J505" s="88"/>
      <c r="K505" s="89" t="b">
        <v>1</v>
      </c>
      <c r="L505" s="60"/>
      <c r="M505" s="57"/>
      <c r="N505" s="57"/>
      <c r="O505" s="61"/>
      <c r="P505" s="60"/>
      <c r="Q505" s="57"/>
      <c r="R505" s="57"/>
      <c r="S505" s="95"/>
      <c r="T505" s="88"/>
      <c r="U505" s="88"/>
      <c r="V505" s="88"/>
      <c r="W505" s="96"/>
      <c r="X505" s="97"/>
      <c r="Y505" s="97"/>
      <c r="Z505" s="98"/>
      <c r="AA505" s="99"/>
      <c r="AB505" s="98"/>
      <c r="AC505" s="88"/>
      <c r="AD505" s="98"/>
      <c r="AE505" s="64"/>
      <c r="AF505" s="67" t="str">
        <f t="shared" si="21"/>
        <v/>
      </c>
      <c r="AG505" s="58"/>
      <c r="AH505" s="68" t="str">
        <f t="shared" si="22"/>
        <v/>
      </c>
      <c r="AI505" s="53"/>
      <c r="AJ505" s="53"/>
      <c r="AK505" s="53"/>
      <c r="AL505" s="53"/>
      <c r="AM505" s="53"/>
      <c r="AN505" s="53"/>
      <c r="AO505" s="53"/>
      <c r="AP505" s="53"/>
      <c r="AQ505" s="53"/>
      <c r="AR505" s="53"/>
      <c r="AS505" s="53"/>
      <c r="AT505" s="53"/>
      <c r="AU505" s="53"/>
      <c r="AV505" s="58"/>
      <c r="AW505" s="58"/>
      <c r="AX505" s="58"/>
      <c r="AY505" s="53"/>
      <c r="AZ505" s="53"/>
      <c r="BA505" s="53"/>
      <c r="BB505" s="53"/>
      <c r="BC505" s="53"/>
      <c r="BD505" s="53"/>
      <c r="BE505" s="53"/>
      <c r="BF505" s="53"/>
      <c r="BG505" s="53"/>
      <c r="BH505" s="53"/>
      <c r="BI505" s="53"/>
      <c r="BJ505" s="53"/>
      <c r="BK505" s="53"/>
      <c r="BL505" s="53"/>
      <c r="BM505" s="53"/>
      <c r="BN505" s="53"/>
      <c r="BO505" s="65" t="str">
        <f t="shared" si="23"/>
        <v/>
      </c>
    </row>
    <row r="506" spans="1:67" ht="19.5" customHeight="1">
      <c r="A506" s="70" t="b">
        <v>0</v>
      </c>
      <c r="B506" s="71" t="b">
        <v>1</v>
      </c>
      <c r="C506" s="72" t="b">
        <v>0</v>
      </c>
      <c r="D506" s="72" t="b">
        <v>0</v>
      </c>
      <c r="E506" s="57"/>
      <c r="F506" s="59"/>
      <c r="G506" s="57"/>
      <c r="H506" s="88"/>
      <c r="I506" s="88"/>
      <c r="J506" s="88"/>
      <c r="K506" s="89" t="b">
        <v>1</v>
      </c>
      <c r="L506" s="60"/>
      <c r="M506" s="57"/>
      <c r="N506" s="57"/>
      <c r="O506" s="61"/>
      <c r="P506" s="60"/>
      <c r="Q506" s="57"/>
      <c r="R506" s="57"/>
      <c r="S506" s="95"/>
      <c r="T506" s="88"/>
      <c r="U506" s="88"/>
      <c r="V506" s="88"/>
      <c r="W506" s="96"/>
      <c r="X506" s="97"/>
      <c r="Y506" s="97"/>
      <c r="Z506" s="98"/>
      <c r="AA506" s="99"/>
      <c r="AB506" s="98"/>
      <c r="AC506" s="88"/>
      <c r="AD506" s="98"/>
      <c r="AE506" s="64"/>
      <c r="AF506" s="67" t="str">
        <f t="shared" si="21"/>
        <v/>
      </c>
      <c r="AG506" s="58"/>
      <c r="AH506" s="68" t="str">
        <f t="shared" si="22"/>
        <v/>
      </c>
      <c r="AI506" s="53"/>
      <c r="AJ506" s="53"/>
      <c r="AK506" s="53"/>
      <c r="AL506" s="53"/>
      <c r="AM506" s="53"/>
      <c r="AN506" s="53"/>
      <c r="AO506" s="53"/>
      <c r="AP506" s="53"/>
      <c r="AQ506" s="53"/>
      <c r="AR506" s="53"/>
      <c r="AS506" s="53"/>
      <c r="AT506" s="53"/>
      <c r="AU506" s="53"/>
      <c r="AV506" s="58"/>
      <c r="AW506" s="58"/>
      <c r="AX506" s="58"/>
      <c r="AY506" s="53"/>
      <c r="AZ506" s="53"/>
      <c r="BA506" s="53"/>
      <c r="BB506" s="53"/>
      <c r="BC506" s="53"/>
      <c r="BD506" s="53"/>
      <c r="BE506" s="53"/>
      <c r="BF506" s="53"/>
      <c r="BG506" s="53"/>
      <c r="BH506" s="53"/>
      <c r="BI506" s="53"/>
      <c r="BJ506" s="53"/>
      <c r="BK506" s="53"/>
      <c r="BL506" s="53"/>
      <c r="BM506" s="53"/>
      <c r="BN506" s="53"/>
      <c r="BO506" s="65" t="str">
        <f t="shared" si="23"/>
        <v/>
      </c>
    </row>
    <row r="507" spans="1:67" ht="19.5" customHeight="1">
      <c r="A507" s="70" t="b">
        <v>0</v>
      </c>
      <c r="B507" s="71" t="b">
        <v>1</v>
      </c>
      <c r="C507" s="72" t="b">
        <v>0</v>
      </c>
      <c r="D507" s="72" t="b">
        <v>0</v>
      </c>
      <c r="E507" s="57"/>
      <c r="F507" s="59"/>
      <c r="G507" s="57"/>
      <c r="H507" s="88"/>
      <c r="I507" s="88"/>
      <c r="J507" s="88"/>
      <c r="K507" s="89" t="b">
        <v>1</v>
      </c>
      <c r="L507" s="60"/>
      <c r="M507" s="57"/>
      <c r="N507" s="57"/>
      <c r="O507" s="61"/>
      <c r="P507" s="60"/>
      <c r="Q507" s="57"/>
      <c r="R507" s="57"/>
      <c r="S507" s="95"/>
      <c r="T507" s="88"/>
      <c r="U507" s="88"/>
      <c r="V507" s="88"/>
      <c r="W507" s="96"/>
      <c r="X507" s="97"/>
      <c r="Y507" s="97"/>
      <c r="Z507" s="98"/>
      <c r="AA507" s="99"/>
      <c r="AB507" s="98"/>
      <c r="AC507" s="88"/>
      <c r="AD507" s="98"/>
      <c r="AE507" s="64"/>
      <c r="AF507" s="67" t="str">
        <f t="shared" si="21"/>
        <v/>
      </c>
      <c r="AG507" s="58"/>
      <c r="AH507" s="68" t="str">
        <f t="shared" si="22"/>
        <v/>
      </c>
      <c r="AI507" s="53"/>
      <c r="AJ507" s="53"/>
      <c r="AK507" s="53"/>
      <c r="AL507" s="53"/>
      <c r="AM507" s="53"/>
      <c r="AN507" s="53"/>
      <c r="AO507" s="53"/>
      <c r="AP507" s="53"/>
      <c r="AQ507" s="53"/>
      <c r="AR507" s="53"/>
      <c r="AS507" s="53"/>
      <c r="AT507" s="53"/>
      <c r="AU507" s="53"/>
      <c r="AV507" s="58"/>
      <c r="AW507" s="58"/>
      <c r="AX507" s="58"/>
      <c r="AY507" s="53"/>
      <c r="AZ507" s="53"/>
      <c r="BA507" s="53"/>
      <c r="BB507" s="53"/>
      <c r="BC507" s="53"/>
      <c r="BD507" s="53"/>
      <c r="BE507" s="53"/>
      <c r="BF507" s="53"/>
      <c r="BG507" s="53"/>
      <c r="BH507" s="53"/>
      <c r="BI507" s="53"/>
      <c r="BJ507" s="53"/>
      <c r="BK507" s="53"/>
      <c r="BL507" s="53"/>
      <c r="BM507" s="53"/>
      <c r="BN507" s="53"/>
      <c r="BO507" s="65" t="str">
        <f t="shared" si="23"/>
        <v/>
      </c>
    </row>
    <row r="508" spans="1:67" ht="19.5" customHeight="1">
      <c r="A508" s="70" t="b">
        <v>0</v>
      </c>
      <c r="B508" s="71" t="b">
        <v>1</v>
      </c>
      <c r="C508" s="72" t="b">
        <v>0</v>
      </c>
      <c r="D508" s="72" t="b">
        <v>0</v>
      </c>
      <c r="E508" s="57"/>
      <c r="F508" s="59"/>
      <c r="G508" s="57"/>
      <c r="H508" s="88"/>
      <c r="I508" s="88"/>
      <c r="J508" s="88"/>
      <c r="K508" s="89" t="b">
        <v>1</v>
      </c>
      <c r="L508" s="60"/>
      <c r="M508" s="57"/>
      <c r="N508" s="57"/>
      <c r="O508" s="61"/>
      <c r="P508" s="60"/>
      <c r="Q508" s="57"/>
      <c r="R508" s="57"/>
      <c r="S508" s="95"/>
      <c r="T508" s="88"/>
      <c r="U508" s="88"/>
      <c r="V508" s="88"/>
      <c r="W508" s="96"/>
      <c r="X508" s="97"/>
      <c r="Y508" s="97"/>
      <c r="Z508" s="98"/>
      <c r="AA508" s="99"/>
      <c r="AB508" s="98"/>
      <c r="AC508" s="88"/>
      <c r="AD508" s="98"/>
      <c r="AE508" s="64"/>
      <c r="AF508" s="67" t="str">
        <f t="shared" si="21"/>
        <v/>
      </c>
      <c r="AG508" s="58"/>
      <c r="AH508" s="68" t="str">
        <f t="shared" si="22"/>
        <v/>
      </c>
      <c r="AI508" s="53"/>
      <c r="AJ508" s="53"/>
      <c r="AK508" s="53"/>
      <c r="AL508" s="53"/>
      <c r="AM508" s="53"/>
      <c r="AN508" s="53"/>
      <c r="AO508" s="53"/>
      <c r="AP508" s="53"/>
      <c r="AQ508" s="53"/>
      <c r="AR508" s="53"/>
      <c r="AS508" s="53"/>
      <c r="AT508" s="53"/>
      <c r="AU508" s="53"/>
      <c r="AV508" s="58"/>
      <c r="AW508" s="58"/>
      <c r="AX508" s="58"/>
      <c r="AY508" s="53"/>
      <c r="AZ508" s="53"/>
      <c r="BA508" s="53"/>
      <c r="BB508" s="53"/>
      <c r="BC508" s="53"/>
      <c r="BD508" s="53"/>
      <c r="BE508" s="53"/>
      <c r="BF508" s="53"/>
      <c r="BG508" s="53"/>
      <c r="BH508" s="53"/>
      <c r="BI508" s="53"/>
      <c r="BJ508" s="53"/>
      <c r="BK508" s="53"/>
      <c r="BL508" s="53"/>
      <c r="BM508" s="53"/>
      <c r="BN508" s="53"/>
      <c r="BO508" s="65" t="str">
        <f t="shared" si="23"/>
        <v/>
      </c>
    </row>
    <row r="509" spans="1:67" ht="19.5" customHeight="1">
      <c r="A509" s="70" t="b">
        <v>0</v>
      </c>
      <c r="B509" s="71" t="b">
        <v>1</v>
      </c>
      <c r="C509" s="72" t="b">
        <v>0</v>
      </c>
      <c r="D509" s="72" t="b">
        <v>0</v>
      </c>
      <c r="E509" s="57"/>
      <c r="F509" s="59"/>
      <c r="G509" s="57"/>
      <c r="H509" s="88"/>
      <c r="I509" s="88"/>
      <c r="J509" s="88"/>
      <c r="K509" s="89" t="b">
        <v>1</v>
      </c>
      <c r="L509" s="60"/>
      <c r="M509" s="57"/>
      <c r="N509" s="57"/>
      <c r="O509" s="61"/>
      <c r="P509" s="60"/>
      <c r="Q509" s="57"/>
      <c r="R509" s="57"/>
      <c r="S509" s="95"/>
      <c r="T509" s="88"/>
      <c r="U509" s="88"/>
      <c r="V509" s="88"/>
      <c r="W509" s="96"/>
      <c r="X509" s="97"/>
      <c r="Y509" s="97"/>
      <c r="Z509" s="98"/>
      <c r="AA509" s="99"/>
      <c r="AB509" s="98"/>
      <c r="AC509" s="88"/>
      <c r="AD509" s="98"/>
      <c r="AE509" s="64"/>
      <c r="AF509" s="67" t="str">
        <f t="shared" si="21"/>
        <v/>
      </c>
      <c r="AG509" s="58"/>
      <c r="AH509" s="68" t="str">
        <f t="shared" si="22"/>
        <v/>
      </c>
      <c r="AI509" s="53"/>
      <c r="AJ509" s="53"/>
      <c r="AK509" s="53"/>
      <c r="AL509" s="53"/>
      <c r="AM509" s="53"/>
      <c r="AN509" s="53"/>
      <c r="AO509" s="53"/>
      <c r="AP509" s="53"/>
      <c r="AQ509" s="53"/>
      <c r="AR509" s="53"/>
      <c r="AS509" s="53"/>
      <c r="AT509" s="53"/>
      <c r="AU509" s="53"/>
      <c r="AV509" s="58"/>
      <c r="AW509" s="58"/>
      <c r="AX509" s="58"/>
      <c r="AY509" s="53"/>
      <c r="AZ509" s="53"/>
      <c r="BA509" s="53"/>
      <c r="BB509" s="53"/>
      <c r="BC509" s="53"/>
      <c r="BD509" s="53"/>
      <c r="BE509" s="53"/>
      <c r="BF509" s="53"/>
      <c r="BG509" s="53"/>
      <c r="BH509" s="53"/>
      <c r="BI509" s="53"/>
      <c r="BJ509" s="53"/>
      <c r="BK509" s="53"/>
      <c r="BL509" s="53"/>
      <c r="BM509" s="53"/>
      <c r="BN509" s="53"/>
      <c r="BO509" s="65" t="str">
        <f t="shared" si="23"/>
        <v/>
      </c>
    </row>
    <row r="510" spans="1:67">
      <c r="A510" s="70" t="b">
        <v>0</v>
      </c>
      <c r="B510" s="71" t="b">
        <v>1</v>
      </c>
      <c r="C510" s="72" t="b">
        <v>0</v>
      </c>
      <c r="D510" s="72" t="b">
        <v>0</v>
      </c>
      <c r="E510" s="58"/>
      <c r="F510" s="58"/>
      <c r="G510" s="58"/>
      <c r="H510" s="90"/>
      <c r="I510" s="90"/>
      <c r="J510" s="90"/>
      <c r="K510" s="89" t="b">
        <v>1</v>
      </c>
      <c r="L510" s="58"/>
      <c r="M510" s="58"/>
      <c r="N510" s="58"/>
      <c r="O510" s="58"/>
      <c r="P510" s="58"/>
      <c r="Q510" s="58"/>
      <c r="R510" s="58"/>
      <c r="S510" s="100"/>
      <c r="T510" s="90"/>
      <c r="U510" s="90"/>
      <c r="V510" s="90"/>
      <c r="W510" s="100"/>
      <c r="X510" s="90"/>
      <c r="Y510" s="90"/>
      <c r="Z510" s="90"/>
      <c r="AA510" s="100"/>
      <c r="AB510" s="90"/>
      <c r="AC510" s="90"/>
      <c r="AD510" s="90"/>
      <c r="AE510" s="58"/>
      <c r="AF510" s="67" t="str">
        <f t="shared" si="21"/>
        <v/>
      </c>
      <c r="AG510" s="58"/>
      <c r="AH510" s="68" t="str">
        <f t="shared" si="22"/>
        <v/>
      </c>
      <c r="AI510" s="53"/>
      <c r="AJ510" s="53"/>
      <c r="AK510" s="53"/>
      <c r="AL510" s="53"/>
      <c r="AM510" s="53"/>
      <c r="AN510" s="53"/>
      <c r="AO510" s="53"/>
      <c r="AP510" s="53"/>
      <c r="AQ510" s="53"/>
      <c r="AR510" s="53"/>
      <c r="AS510" s="53"/>
      <c r="AT510" s="53"/>
      <c r="AU510" s="53"/>
      <c r="AV510" s="58"/>
      <c r="AW510" s="58"/>
      <c r="AX510" s="58"/>
      <c r="AY510" s="53"/>
      <c r="AZ510" s="53"/>
      <c r="BA510" s="53"/>
      <c r="BB510" s="53"/>
      <c r="BC510" s="53"/>
      <c r="BD510" s="53"/>
      <c r="BE510" s="53"/>
      <c r="BF510" s="53"/>
      <c r="BG510" s="53"/>
      <c r="BH510" s="53"/>
      <c r="BI510" s="53"/>
      <c r="BJ510" s="53"/>
      <c r="BK510" s="53"/>
      <c r="BL510" s="53"/>
      <c r="BM510" s="53"/>
      <c r="BN510" s="53"/>
      <c r="BO510" s="65" t="str">
        <f t="shared" si="23"/>
        <v/>
      </c>
    </row>
    <row r="511" spans="1:67">
      <c r="A511" s="70" t="b">
        <v>0</v>
      </c>
      <c r="B511" s="71" t="b">
        <v>1</v>
      </c>
      <c r="C511" s="72" t="b">
        <v>0</v>
      </c>
      <c r="D511" s="72" t="b">
        <v>0</v>
      </c>
      <c r="E511" s="58"/>
      <c r="F511" s="58"/>
      <c r="G511" s="58"/>
      <c r="H511" s="90"/>
      <c r="I511" s="90"/>
      <c r="J511" s="90"/>
      <c r="K511" s="89" t="b">
        <v>1</v>
      </c>
      <c r="L511" s="58"/>
      <c r="M511" s="58"/>
      <c r="N511" s="58"/>
      <c r="O511" s="58"/>
      <c r="P511" s="58"/>
      <c r="Q511" s="58"/>
      <c r="R511" s="58"/>
      <c r="S511" s="100"/>
      <c r="T511" s="90"/>
      <c r="U511" s="90"/>
      <c r="V511" s="90"/>
      <c r="W511" s="100"/>
      <c r="X511" s="90"/>
      <c r="Y511" s="90"/>
      <c r="Z511" s="90"/>
      <c r="AA511" s="100"/>
      <c r="AB511" s="90"/>
      <c r="AC511" s="90"/>
      <c r="AD511" s="90"/>
      <c r="AE511" s="58"/>
      <c r="AF511" s="67" t="str">
        <f t="shared" si="21"/>
        <v/>
      </c>
      <c r="AG511" s="58"/>
      <c r="AH511" s="68" t="str">
        <f t="shared" si="22"/>
        <v/>
      </c>
      <c r="AI511" s="53"/>
      <c r="AJ511" s="53"/>
      <c r="AK511" s="53"/>
      <c r="AL511" s="53"/>
      <c r="AM511" s="53"/>
      <c r="AN511" s="53"/>
      <c r="AO511" s="53"/>
      <c r="AP511" s="53"/>
      <c r="AQ511" s="53"/>
      <c r="AR511" s="53"/>
      <c r="AS511" s="53"/>
      <c r="AT511" s="53"/>
      <c r="AU511" s="53"/>
      <c r="AV511" s="58"/>
      <c r="AW511" s="58"/>
      <c r="AX511" s="58"/>
      <c r="AY511" s="53"/>
      <c r="AZ511" s="53"/>
      <c r="BA511" s="53"/>
      <c r="BB511" s="53"/>
      <c r="BC511" s="53"/>
      <c r="BD511" s="53"/>
      <c r="BE511" s="53"/>
      <c r="BF511" s="53"/>
      <c r="BG511" s="53"/>
      <c r="BH511" s="53"/>
      <c r="BI511" s="53"/>
      <c r="BJ511" s="53"/>
      <c r="BK511" s="53"/>
      <c r="BL511" s="53"/>
      <c r="BM511" s="53"/>
      <c r="BN511" s="53"/>
      <c r="BO511" s="65" t="str">
        <f t="shared" si="23"/>
        <v/>
      </c>
    </row>
    <row r="512" spans="1:67">
      <c r="A512" s="70" t="b">
        <v>0</v>
      </c>
      <c r="B512" s="71" t="b">
        <v>1</v>
      </c>
      <c r="C512" s="72" t="b">
        <v>0</v>
      </c>
      <c r="D512" s="72" t="b">
        <v>0</v>
      </c>
      <c r="E512" s="58"/>
      <c r="F512" s="58"/>
      <c r="G512" s="58"/>
      <c r="H512" s="90"/>
      <c r="I512" s="90"/>
      <c r="J512" s="90"/>
      <c r="K512" s="89" t="b">
        <v>1</v>
      </c>
      <c r="L512" s="58"/>
      <c r="M512" s="58"/>
      <c r="N512" s="58"/>
      <c r="O512" s="58"/>
      <c r="P512" s="58"/>
      <c r="Q512" s="58"/>
      <c r="R512" s="58"/>
      <c r="S512" s="100"/>
      <c r="T512" s="90"/>
      <c r="U512" s="90"/>
      <c r="V512" s="90"/>
      <c r="W512" s="100"/>
      <c r="X512" s="90"/>
      <c r="Y512" s="90"/>
      <c r="Z512" s="90"/>
      <c r="AA512" s="100"/>
      <c r="AB512" s="90"/>
      <c r="AC512" s="90"/>
      <c r="AD512" s="90"/>
      <c r="AE512" s="58"/>
      <c r="AF512" s="67" t="str">
        <f t="shared" si="21"/>
        <v/>
      </c>
      <c r="AG512" s="58"/>
      <c r="AH512" s="68" t="str">
        <f t="shared" si="22"/>
        <v/>
      </c>
      <c r="AI512" s="53"/>
      <c r="AJ512" s="53"/>
      <c r="AK512" s="53"/>
      <c r="AL512" s="53"/>
      <c r="AM512" s="53"/>
      <c r="AN512" s="53"/>
      <c r="AO512" s="53"/>
      <c r="AP512" s="53"/>
      <c r="AQ512" s="53"/>
      <c r="AR512" s="53"/>
      <c r="AS512" s="53"/>
      <c r="AT512" s="53"/>
      <c r="AU512" s="53"/>
      <c r="AV512" s="58"/>
      <c r="AW512" s="58"/>
      <c r="AX512" s="58"/>
      <c r="AY512" s="53"/>
      <c r="AZ512" s="53"/>
      <c r="BA512" s="53"/>
      <c r="BB512" s="53"/>
      <c r="BC512" s="53"/>
      <c r="BD512" s="53"/>
      <c r="BE512" s="53"/>
      <c r="BF512" s="53"/>
      <c r="BG512" s="53"/>
      <c r="BH512" s="53"/>
      <c r="BI512" s="53"/>
      <c r="BJ512" s="53"/>
      <c r="BK512" s="53"/>
      <c r="BL512" s="53"/>
      <c r="BM512" s="53"/>
      <c r="BN512" s="53"/>
      <c r="BO512" s="65" t="str">
        <f t="shared" si="23"/>
        <v/>
      </c>
    </row>
    <row r="513" spans="1:67">
      <c r="A513" s="70" t="b">
        <v>0</v>
      </c>
      <c r="B513" s="71" t="b">
        <v>1</v>
      </c>
      <c r="C513" s="72" t="b">
        <v>0</v>
      </c>
      <c r="D513" s="72" t="b">
        <v>0</v>
      </c>
      <c r="E513" s="58"/>
      <c r="F513" s="58"/>
      <c r="G513" s="58"/>
      <c r="H513" s="90"/>
      <c r="I513" s="90"/>
      <c r="J513" s="90"/>
      <c r="K513" s="89" t="b">
        <v>1</v>
      </c>
      <c r="L513" s="58"/>
      <c r="M513" s="58"/>
      <c r="N513" s="58"/>
      <c r="O513" s="58"/>
      <c r="P513" s="58"/>
      <c r="Q513" s="58"/>
      <c r="R513" s="58"/>
      <c r="S513" s="100"/>
      <c r="T513" s="90"/>
      <c r="U513" s="90"/>
      <c r="V513" s="90"/>
      <c r="W513" s="100"/>
      <c r="X513" s="90"/>
      <c r="Y513" s="90"/>
      <c r="Z513" s="90"/>
      <c r="AA513" s="100"/>
      <c r="AB513" s="90"/>
      <c r="AC513" s="90"/>
      <c r="AD513" s="90"/>
      <c r="AE513" s="58"/>
      <c r="AF513" s="67" t="str">
        <f t="shared" si="21"/>
        <v/>
      </c>
      <c r="AG513" s="58"/>
      <c r="AH513" s="68" t="str">
        <f t="shared" si="22"/>
        <v/>
      </c>
      <c r="AI513" s="53"/>
      <c r="AJ513" s="53"/>
      <c r="AK513" s="53"/>
      <c r="AL513" s="53"/>
      <c r="AM513" s="53"/>
      <c r="AN513" s="53"/>
      <c r="AO513" s="53"/>
      <c r="AP513" s="53"/>
      <c r="AQ513" s="53"/>
      <c r="AR513" s="53"/>
      <c r="AS513" s="53"/>
      <c r="AT513" s="53"/>
      <c r="AU513" s="53"/>
      <c r="AV513" s="58"/>
      <c r="AW513" s="58"/>
      <c r="AX513" s="58"/>
      <c r="AY513" s="53"/>
      <c r="AZ513" s="53"/>
      <c r="BA513" s="53"/>
      <c r="BB513" s="53"/>
      <c r="BC513" s="53"/>
      <c r="BD513" s="53"/>
      <c r="BE513" s="53"/>
      <c r="BF513" s="53"/>
      <c r="BG513" s="53"/>
      <c r="BH513" s="53"/>
      <c r="BI513" s="53"/>
      <c r="BJ513" s="53"/>
      <c r="BK513" s="53"/>
      <c r="BL513" s="53"/>
      <c r="BM513" s="53"/>
      <c r="BN513" s="53"/>
      <c r="BO513" s="65" t="str">
        <f t="shared" si="23"/>
        <v/>
      </c>
    </row>
    <row r="514" spans="1:67">
      <c r="A514" s="70" t="b">
        <v>0</v>
      </c>
      <c r="B514" s="71" t="b">
        <v>1</v>
      </c>
      <c r="C514" s="72" t="b">
        <v>0</v>
      </c>
      <c r="D514" s="72" t="b">
        <v>0</v>
      </c>
      <c r="E514" s="58"/>
      <c r="F514" s="58"/>
      <c r="G514" s="58"/>
      <c r="H514" s="90"/>
      <c r="I514" s="90"/>
      <c r="J514" s="90"/>
      <c r="K514" s="89" t="b">
        <v>1</v>
      </c>
      <c r="L514" s="58"/>
      <c r="M514" s="58"/>
      <c r="N514" s="58"/>
      <c r="O514" s="58"/>
      <c r="P514" s="58"/>
      <c r="Q514" s="58"/>
      <c r="R514" s="58"/>
      <c r="S514" s="100"/>
      <c r="T514" s="90"/>
      <c r="U514" s="90"/>
      <c r="V514" s="90"/>
      <c r="W514" s="100"/>
      <c r="X514" s="90"/>
      <c r="Y514" s="90"/>
      <c r="Z514" s="90"/>
      <c r="AA514" s="100"/>
      <c r="AB514" s="90"/>
      <c r="AC514" s="90"/>
      <c r="AD514" s="90"/>
      <c r="AE514" s="58"/>
      <c r="AF514" s="67" t="str">
        <f t="shared" si="21"/>
        <v/>
      </c>
      <c r="AG514" s="58"/>
      <c r="AH514" s="68" t="str">
        <f t="shared" si="22"/>
        <v/>
      </c>
      <c r="AI514" s="53"/>
      <c r="AJ514" s="53"/>
      <c r="AK514" s="53"/>
      <c r="AL514" s="53"/>
      <c r="AM514" s="53"/>
      <c r="AN514" s="53"/>
      <c r="AO514" s="53"/>
      <c r="AP514" s="53"/>
      <c r="AQ514" s="53"/>
      <c r="AR514" s="53"/>
      <c r="AS514" s="53"/>
      <c r="AT514" s="53"/>
      <c r="AU514" s="53"/>
      <c r="AV514" s="58"/>
      <c r="AW514" s="58"/>
      <c r="AX514" s="58"/>
      <c r="AY514" s="53"/>
      <c r="AZ514" s="53"/>
      <c r="BA514" s="53"/>
      <c r="BB514" s="53"/>
      <c r="BC514" s="53"/>
      <c r="BD514" s="53"/>
      <c r="BE514" s="53"/>
      <c r="BF514" s="53"/>
      <c r="BG514" s="53"/>
      <c r="BH514" s="53"/>
      <c r="BI514" s="53"/>
      <c r="BJ514" s="53"/>
      <c r="BK514" s="53"/>
      <c r="BL514" s="53"/>
      <c r="BM514" s="53"/>
      <c r="BN514" s="53"/>
      <c r="BO514" s="65" t="str">
        <f t="shared" si="23"/>
        <v/>
      </c>
    </row>
    <row r="515" spans="1:67">
      <c r="A515" s="70" t="b">
        <v>0</v>
      </c>
      <c r="B515" s="71" t="b">
        <v>1</v>
      </c>
      <c r="C515" s="72" t="b">
        <v>0</v>
      </c>
      <c r="D515" s="72" t="b">
        <v>0</v>
      </c>
      <c r="E515" s="58"/>
      <c r="F515" s="58"/>
      <c r="G515" s="58"/>
      <c r="H515" s="90"/>
      <c r="I515" s="90"/>
      <c r="J515" s="90"/>
      <c r="K515" s="89" t="b">
        <v>1</v>
      </c>
      <c r="L515" s="58"/>
      <c r="M515" s="58"/>
      <c r="N515" s="58"/>
      <c r="O515" s="58"/>
      <c r="P515" s="58"/>
      <c r="Q515" s="58"/>
      <c r="R515" s="58"/>
      <c r="S515" s="100"/>
      <c r="T515" s="90"/>
      <c r="U515" s="90"/>
      <c r="V515" s="90"/>
      <c r="W515" s="100"/>
      <c r="X515" s="90"/>
      <c r="Y515" s="90"/>
      <c r="Z515" s="90"/>
      <c r="AA515" s="100"/>
      <c r="AB515" s="90"/>
      <c r="AC515" s="90"/>
      <c r="AD515" s="90"/>
      <c r="AE515" s="58"/>
      <c r="AF515" s="67" t="str">
        <f t="shared" si="21"/>
        <v/>
      </c>
      <c r="AG515" s="58"/>
      <c r="AH515" s="68" t="str">
        <f t="shared" si="22"/>
        <v/>
      </c>
      <c r="AI515" s="53"/>
      <c r="AJ515" s="53"/>
      <c r="AK515" s="53"/>
      <c r="AL515" s="53"/>
      <c r="AM515" s="53"/>
      <c r="AN515" s="53"/>
      <c r="AO515" s="53"/>
      <c r="AP515" s="53"/>
      <c r="AQ515" s="53"/>
      <c r="AR515" s="53"/>
      <c r="AS515" s="53"/>
      <c r="AT515" s="53"/>
      <c r="AU515" s="53"/>
      <c r="AV515" s="58"/>
      <c r="AW515" s="58"/>
      <c r="AX515" s="58"/>
      <c r="AY515" s="53"/>
      <c r="AZ515" s="53"/>
      <c r="BA515" s="53"/>
      <c r="BB515" s="53"/>
      <c r="BC515" s="53"/>
      <c r="BD515" s="53"/>
      <c r="BE515" s="53"/>
      <c r="BF515" s="53"/>
      <c r="BG515" s="53"/>
      <c r="BH515" s="53"/>
      <c r="BI515" s="53"/>
      <c r="BJ515" s="53"/>
      <c r="BK515" s="53"/>
      <c r="BL515" s="53"/>
      <c r="BM515" s="53"/>
      <c r="BN515" s="53"/>
      <c r="BO515" s="65" t="str">
        <f t="shared" si="23"/>
        <v/>
      </c>
    </row>
    <row r="516" spans="1:67">
      <c r="A516" s="70" t="b">
        <v>0</v>
      </c>
      <c r="B516" s="71" t="b">
        <v>1</v>
      </c>
      <c r="C516" s="72" t="b">
        <v>0</v>
      </c>
      <c r="D516" s="72" t="b">
        <v>0</v>
      </c>
      <c r="E516" s="58"/>
      <c r="F516" s="58"/>
      <c r="G516" s="58"/>
      <c r="H516" s="90"/>
      <c r="I516" s="90"/>
      <c r="J516" s="90"/>
      <c r="K516" s="89" t="b">
        <v>1</v>
      </c>
      <c r="L516" s="58"/>
      <c r="M516" s="58"/>
      <c r="N516" s="58"/>
      <c r="O516" s="58"/>
      <c r="P516" s="58"/>
      <c r="Q516" s="58"/>
      <c r="R516" s="58"/>
      <c r="S516" s="100"/>
      <c r="T516" s="90"/>
      <c r="U516" s="90"/>
      <c r="V516" s="90"/>
      <c r="W516" s="100"/>
      <c r="X516" s="90"/>
      <c r="Y516" s="90"/>
      <c r="Z516" s="90"/>
      <c r="AA516" s="100"/>
      <c r="AB516" s="90"/>
      <c r="AC516" s="90"/>
      <c r="AD516" s="90"/>
      <c r="AE516" s="58"/>
      <c r="AF516" s="67" t="str">
        <f t="shared" si="21"/>
        <v/>
      </c>
      <c r="AG516" s="58"/>
      <c r="AH516" s="68" t="str">
        <f t="shared" si="22"/>
        <v/>
      </c>
      <c r="AI516" s="53"/>
      <c r="AJ516" s="53"/>
      <c r="AK516" s="53"/>
      <c r="AL516" s="53"/>
      <c r="AM516" s="53"/>
      <c r="AN516" s="53"/>
      <c r="AO516" s="53"/>
      <c r="AP516" s="53"/>
      <c r="AQ516" s="53"/>
      <c r="AR516" s="53"/>
      <c r="AS516" s="53"/>
      <c r="AT516" s="53"/>
      <c r="AU516" s="53"/>
      <c r="AV516" s="58"/>
      <c r="AW516" s="58"/>
      <c r="AX516" s="58"/>
      <c r="AY516" s="53"/>
      <c r="AZ516" s="53"/>
      <c r="BA516" s="53"/>
      <c r="BB516" s="53"/>
      <c r="BC516" s="53"/>
      <c r="BD516" s="53"/>
      <c r="BE516" s="53"/>
      <c r="BF516" s="53"/>
      <c r="BG516" s="53"/>
      <c r="BH516" s="53"/>
      <c r="BI516" s="53"/>
      <c r="BJ516" s="53"/>
      <c r="BK516" s="53"/>
      <c r="BL516" s="53"/>
      <c r="BM516" s="53"/>
      <c r="BN516" s="53"/>
      <c r="BO516" s="65" t="str">
        <f t="shared" si="23"/>
        <v/>
      </c>
    </row>
    <row r="517" spans="1:67">
      <c r="A517" s="70" t="b">
        <v>0</v>
      </c>
      <c r="B517" s="71" t="b">
        <v>1</v>
      </c>
      <c r="C517" s="72" t="b">
        <v>0</v>
      </c>
      <c r="D517" s="72" t="b">
        <v>0</v>
      </c>
      <c r="E517" s="58"/>
      <c r="F517" s="58"/>
      <c r="G517" s="58"/>
      <c r="H517" s="90"/>
      <c r="I517" s="90"/>
      <c r="J517" s="90"/>
      <c r="K517" s="89" t="b">
        <v>1</v>
      </c>
      <c r="L517" s="58"/>
      <c r="M517" s="58"/>
      <c r="N517" s="58"/>
      <c r="O517" s="58"/>
      <c r="P517" s="58"/>
      <c r="Q517" s="58"/>
      <c r="R517" s="58"/>
      <c r="S517" s="100"/>
      <c r="T517" s="90"/>
      <c r="U517" s="90"/>
      <c r="V517" s="90"/>
      <c r="W517" s="100"/>
      <c r="X517" s="90"/>
      <c r="Y517" s="90"/>
      <c r="Z517" s="90"/>
      <c r="AA517" s="100"/>
      <c r="AB517" s="90"/>
      <c r="AC517" s="90"/>
      <c r="AD517" s="90"/>
      <c r="AE517" s="58"/>
      <c r="AF517" s="67" t="str">
        <f t="shared" si="21"/>
        <v/>
      </c>
      <c r="AG517" s="58"/>
      <c r="AH517" s="68" t="str">
        <f t="shared" si="22"/>
        <v/>
      </c>
      <c r="AI517" s="53"/>
      <c r="AJ517" s="53"/>
      <c r="AK517" s="53"/>
      <c r="AL517" s="53"/>
      <c r="AM517" s="53"/>
      <c r="AN517" s="53"/>
      <c r="AO517" s="53"/>
      <c r="AP517" s="53"/>
      <c r="AQ517" s="53"/>
      <c r="AR517" s="53"/>
      <c r="AS517" s="53"/>
      <c r="AT517" s="53"/>
      <c r="AU517" s="53"/>
      <c r="AV517" s="58"/>
      <c r="AW517" s="58"/>
      <c r="AX517" s="58"/>
      <c r="AY517" s="53"/>
      <c r="AZ517" s="53"/>
      <c r="BA517" s="53"/>
      <c r="BB517" s="53"/>
      <c r="BC517" s="53"/>
      <c r="BD517" s="53"/>
      <c r="BE517" s="53"/>
      <c r="BF517" s="53"/>
      <c r="BG517" s="53"/>
      <c r="BH517" s="53"/>
      <c r="BI517" s="53"/>
      <c r="BJ517" s="53"/>
      <c r="BK517" s="53"/>
      <c r="BL517" s="53"/>
      <c r="BM517" s="53"/>
      <c r="BN517" s="53"/>
      <c r="BO517" s="65" t="str">
        <f t="shared" si="23"/>
        <v/>
      </c>
    </row>
    <row r="518" spans="1:67">
      <c r="A518" s="70" t="b">
        <v>0</v>
      </c>
      <c r="B518" s="71" t="b">
        <v>1</v>
      </c>
      <c r="C518" s="72" t="b">
        <v>0</v>
      </c>
      <c r="D518" s="72" t="b">
        <v>0</v>
      </c>
      <c r="E518" s="58"/>
      <c r="F518" s="58"/>
      <c r="G518" s="58"/>
      <c r="H518" s="90"/>
      <c r="I518" s="90"/>
      <c r="J518" s="90"/>
      <c r="K518" s="89" t="b">
        <v>1</v>
      </c>
      <c r="L518" s="58"/>
      <c r="M518" s="58"/>
      <c r="N518" s="58"/>
      <c r="O518" s="58"/>
      <c r="P518" s="58"/>
      <c r="Q518" s="58"/>
      <c r="R518" s="58"/>
      <c r="S518" s="100"/>
      <c r="T518" s="90"/>
      <c r="U518" s="90"/>
      <c r="V518" s="90"/>
      <c r="W518" s="100"/>
      <c r="X518" s="90"/>
      <c r="Y518" s="90"/>
      <c r="Z518" s="90"/>
      <c r="AA518" s="100"/>
      <c r="AB518" s="90"/>
      <c r="AC518" s="90"/>
      <c r="AD518" s="90"/>
      <c r="AE518" s="58"/>
      <c r="AF518" s="67" t="str">
        <f t="shared" si="21"/>
        <v/>
      </c>
      <c r="AG518" s="58"/>
      <c r="AH518" s="68" t="str">
        <f t="shared" si="22"/>
        <v/>
      </c>
      <c r="AI518" s="53"/>
      <c r="AJ518" s="53"/>
      <c r="AK518" s="53"/>
      <c r="AL518" s="53"/>
      <c r="AM518" s="53"/>
      <c r="AN518" s="53"/>
      <c r="AO518" s="53"/>
      <c r="AP518" s="53"/>
      <c r="AQ518" s="53"/>
      <c r="AR518" s="53"/>
      <c r="AS518" s="53"/>
      <c r="AT518" s="53"/>
      <c r="AU518" s="53"/>
      <c r="AV518" s="58"/>
      <c r="AW518" s="58"/>
      <c r="AX518" s="58"/>
      <c r="AY518" s="53"/>
      <c r="AZ518" s="53"/>
      <c r="BA518" s="53"/>
      <c r="BB518" s="53"/>
      <c r="BC518" s="53"/>
      <c r="BD518" s="53"/>
      <c r="BE518" s="53"/>
      <c r="BF518" s="53"/>
      <c r="BG518" s="53"/>
      <c r="BH518" s="53"/>
      <c r="BI518" s="53"/>
      <c r="BJ518" s="53"/>
      <c r="BK518" s="53"/>
      <c r="BL518" s="53"/>
      <c r="BM518" s="53"/>
      <c r="BN518" s="53"/>
      <c r="BO518" s="65" t="str">
        <f t="shared" si="23"/>
        <v/>
      </c>
    </row>
    <row r="519" spans="1:67">
      <c r="A519" t="s">
        <v>722</v>
      </c>
    </row>
  </sheetData>
  <mergeCells count="23">
    <mergeCell ref="BH15:BN15"/>
    <mergeCell ref="AY15:BG15"/>
    <mergeCell ref="A1:F1"/>
    <mergeCell ref="AV15:AX15"/>
    <mergeCell ref="C9:D9"/>
    <mergeCell ref="M15:Q15"/>
    <mergeCell ref="C3:D3"/>
    <mergeCell ref="AQ15:AU15"/>
    <mergeCell ref="C8:D8"/>
    <mergeCell ref="S15:AD15"/>
    <mergeCell ref="C6:D6"/>
    <mergeCell ref="AI15:AL15"/>
    <mergeCell ref="A15:D15"/>
    <mergeCell ref="C4:D4"/>
    <mergeCell ref="AE15:AH15"/>
    <mergeCell ref="AM15:AP15"/>
    <mergeCell ref="C7:D7"/>
    <mergeCell ref="C12:D12"/>
    <mergeCell ref="E15:L15"/>
    <mergeCell ref="A13:G13"/>
    <mergeCell ref="C11:D11"/>
    <mergeCell ref="C5:D5"/>
    <mergeCell ref="C10:D10"/>
  </mergeCells>
  <conditionalFormatting sqref="E18:E22">
    <cfRule type="containsText" dxfId="8" priority="1" operator="containsText" text="PARO">
      <formula>NOT(ISERROR(SEARCH("PARO",E18)))</formula>
    </cfRule>
    <cfRule type="containsText" dxfId="7" priority="2" operator="containsText" text="REVISA">
      <formula>NOT(ISERROR(SEARCH("REVISA",E18)))</formula>
    </cfRule>
    <cfRule type="containsText" dxfId="6" priority="3" operator="containsText" text="DUP">
      <formula>NOT(ISERROR(SEARCH("DUP",E18)))</formula>
    </cfRule>
    <cfRule type="containsText" dxfId="5" priority="4" operator="containsText" text="DECA">
      <formula>NOT(ISERROR(SEARCH("DECA",E18)))</formula>
    </cfRule>
    <cfRule type="containsText" dxfId="4" priority="5" operator="containsText" text="RG-">
      <formula>NOT(ISERROR(SEARCH("RG-",E18)))</formula>
    </cfRule>
    <cfRule type="containsText" dxfId="3" priority="6" operator="containsText" text="RETRABAJ">
      <formula>NOT(ISERROR(SEARCH("RETRABAJ",E18)))</formula>
    </cfRule>
    <cfRule type="containsText" dxfId="2" priority="7" operator="containsText" text="NO USAR">
      <formula>NOT(ISERROR(SEARCH("NO USAR",E18)))</formula>
    </cfRule>
    <cfRule type="containsText" dxfId="1" priority="8" operator="containsText" text="OCUP">
      <formula>NOT(ISERROR(SEARCH("OCUP",E18)))</formula>
    </cfRule>
  </conditionalFormatting>
  <conditionalFormatting sqref="E23:E518">
    <cfRule type="expression" dxfId="0" priority="10">
      <formula>_xludf.AND(E23&lt;&gt;"",BO23&lt;&gt;"",BO23&lt;&gt;H23*I23)</formula>
    </cfRule>
  </conditionalFormatting>
  <dataValidations count="4">
    <dataValidation type="list" allowBlank="1" sqref="C3" xr:uid="{9EE23F9E-B063-A340-A4A7-D00B76BD7F23}">
      <formula1>"COTIZACIÓN+NP,SOLO_PN"</formula1>
    </dataValidation>
    <dataValidation type="list" allowBlank="1" sqref="C7:D7" xr:uid="{FCCA3F95-FE1A-4445-8178-0F421255269E}">
      <formula1>"USD,MXN"</formula1>
    </dataValidation>
    <dataValidation type="list" allowBlank="1" sqref="C8" xr:uid="{3B22B2F4-9756-FD49-A86B-B6DCC9E2363C}">
      <formula1>"ECO,PRO"</formula1>
    </dataValidation>
    <dataValidation type="list" allowBlank="1" sqref="AD18:AD518 V18:V518 Z18:Z518 J18:J518" xr:uid="{BE082996-2490-0B4E-97DC-72A1383BD2C9}">
      <formula1>"PZA,KGM,CMK,FTK,LM,LBR,LO"</formula1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3" r:id="rId3" name="Button 49">
              <controlPr defaultSize="0" print="0" autoFill="0" autoPict="0" macro="[0]!RefrescarListas">
                <anchor moveWithCells="1" sizeWithCells="1">
                  <from>
                    <xdr:col>6</xdr:col>
                    <xdr:colOff>12700</xdr:colOff>
                    <xdr:row>3</xdr:row>
                    <xdr:rowOff>63500</xdr:rowOff>
                  </from>
                  <to>
                    <xdr:col>7</xdr:col>
                    <xdr:colOff>317500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" name="Button 50">
              <controlPr defaultSize="0" print="0" autoFill="0" autoPict="0" macro="[0]!ExportarCSV">
                <anchor moveWithCells="1" sizeWithCells="1">
                  <from>
                    <xdr:col>8</xdr:col>
                    <xdr:colOff>25400</xdr:colOff>
                    <xdr:row>3</xdr:row>
                    <xdr:rowOff>0</xdr:rowOff>
                  </from>
                  <to>
                    <xdr:col>10</xdr:col>
                    <xdr:colOff>254000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5" name="Button 172">
              <controlPr defaultSize="0" print="0" autoFill="0" autoPict="0" macro="[0]!LimpiarDatos">
                <anchor moveWithCells="1" sizeWithCells="1">
                  <from>
                    <xdr:col>6</xdr:col>
                    <xdr:colOff>88900</xdr:colOff>
                    <xdr:row>5</xdr:row>
                    <xdr:rowOff>203200</xdr:rowOff>
                  </from>
                  <to>
                    <xdr:col>7</xdr:col>
                    <xdr:colOff>393700</xdr:colOff>
                    <xdr:row>7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xr:uid="{ED1BD1AF-C3C4-B549-BD1B-EA10A557D20B}">
          <x14:formula1>
            <xm:f>Listas!$B$2:$B$500</xm:f>
          </x14:formula1>
          <xm:sqref>R18:R518</xm:sqref>
        </x14:dataValidation>
        <x14:dataValidation type="list" allowBlank="1" xr:uid="{586ACBB6-0EA1-D748-869E-EB0FD1ED8F4B}">
          <x14:formula1>
            <xm:f>Listas!$K$2:$K$20</xm:f>
          </x14:formula1>
          <xm:sqref>M18:M518</xm:sqref>
        </x14:dataValidation>
        <x14:dataValidation type="list" allowBlank="1" xr:uid="{B2515D18-A756-1341-B26F-8290AF2FB31A}">
          <x14:formula1>
            <xm:f>Listas!$D$2:$D$200</xm:f>
          </x14:formula1>
          <xm:sqref>N18:Q518</xm:sqref>
        </x14:dataValidation>
        <x14:dataValidation type="list" allowBlank="1" xr:uid="{CBA7A5D1-2DE0-E04C-90C8-C5C732D015C3}">
          <x14:formula1>
            <xm:f>Listas!$C$2:$C$200</xm:f>
          </x14:formula1>
          <xm:sqref>W18:W518 AA18:AA518 S18:S518</xm:sqref>
        </x14:dataValidation>
        <x14:dataValidation type="list" allowBlank="1" xr:uid="{62DAF82B-CBA4-CE43-8E1C-21D78860A621}">
          <x14:formula1>
            <xm:f>Listas!$E$2:$E$5000</xm:f>
          </x14:formula1>
          <xm:sqref>AG18:AG518 AE18:AE518</xm:sqref>
        </x14:dataValidation>
        <x14:dataValidation type="list" allowBlank="1" xr:uid="{12941916-19BB-EC4D-8B3B-DC41E56DAE24}">
          <x14:formula1>
            <xm:f>Listas!$F$2:$F$200</xm:f>
          </x14:formula1>
          <xm:sqref>AM18:AM518</xm:sqref>
        </x14:dataValidation>
        <x14:dataValidation type="list" allowBlank="1" xr:uid="{F564F124-2897-A249-9B22-9FD99302733E}">
          <x14:formula1>
            <xm:f>Listas!$G$2:$G$200</xm:f>
          </x14:formula1>
          <xm:sqref>AO18:AO518</xm:sqref>
        </x14:dataValidation>
        <x14:dataValidation type="list" allowBlank="1" xr:uid="{7C9F8F56-6A7D-CD47-9D87-CD4C18A1E3E1}">
          <x14:formula1>
            <xm:f>Listas!$J$2:$J$50</xm:f>
          </x14:formula1>
          <xm:sqref>AX18:AX21</xm:sqref>
        </x14:dataValidation>
        <x14:dataValidation type="list" allowBlank="1" showInputMessage="1" showErrorMessage="1" xr:uid="{14E94F07-34D1-EB4C-8322-9A29162F9D30}">
          <x14:formula1>
            <xm:f>Listas!$A$2:$A$500</xm:f>
          </x14:formula1>
          <xm:sqref>C5:D5</xm:sqref>
        </x14:dataValidation>
        <x14:dataValidation type="list" allowBlank="1" showInputMessage="1" showErrorMessage="1" xr:uid="{E8C3979F-42EA-9E4A-BAB0-C661DF62FEC3}">
          <x14:formula1>
            <xm:f>Listas!$B$2:$B$500</xm:f>
          </x14:formula1>
          <xm:sqref>C6:D6</xm:sqref>
        </x14:dataValidation>
        <x14:dataValidation type="list" allowBlank="1" showInputMessage="1" xr:uid="{47C43F86-C5F8-2848-9EA5-ADFA9DC2C9FE}">
          <x14:formula1>
            <xm:f>Listas!$M$2:$M$22</xm:f>
          </x14:formula1>
          <xm:sqref>AW18:AW518</xm:sqref>
        </x14:dataValidation>
        <x14:dataValidation type="list" allowBlank="1" showInputMessage="1" xr:uid="{1E042958-503F-4341-B0FB-B7CEA7CE288B}">
          <x14:formula1>
            <xm:f>Listas!$L$2:$L$27</xm:f>
          </x14:formula1>
          <xm:sqref>AW519:AW522</xm:sqref>
        </x14:dataValidation>
        <x14:dataValidation type="list" allowBlank="1" showInputMessage="1" xr:uid="{63FA3F55-FEE0-6840-9631-67BBD6B5E030}">
          <x14:formula1>
            <xm:f>Listas!$M$2:$M$22</xm:f>
          </x14:formula1>
          <xm:sqref>AX22:AX522</xm:sqref>
        </x14:dataValidation>
        <x14:dataValidation type="list" allowBlank="1" showInputMessage="1" showErrorMessage="1" xr:uid="{63EDEE28-CCB3-3B42-8140-27281E6324A2}">
          <x14:formula1>
            <xm:f>Listas!$L$2:$L$27</xm:f>
          </x14:formula1>
          <xm:sqref>AV18:AV518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rgb="FF90CAF9"/>
  </sheetPr>
  <dimension ref="A1:A37"/>
  <sheetViews>
    <sheetView zoomScaleNormal="100" workbookViewId="0"/>
  </sheetViews>
  <sheetFormatPr baseColWidth="10" defaultColWidth="8.6640625" defaultRowHeight="15"/>
  <cols>
    <col min="1" max="1" width="100" customWidth="1"/>
  </cols>
  <sheetData>
    <row r="1" spans="1:1" ht="19" customHeight="1">
      <c r="A1" s="1" t="s">
        <v>494</v>
      </c>
    </row>
    <row r="2" spans="1:1">
      <c r="A2" s="2"/>
    </row>
    <row r="3" spans="1:1" ht="17" customHeight="1">
      <c r="A3" s="3" t="s">
        <v>495</v>
      </c>
    </row>
    <row r="4" spans="1:1">
      <c r="A4" s="4" t="s">
        <v>496</v>
      </c>
    </row>
    <row r="5" spans="1:1">
      <c r="A5" s="4"/>
    </row>
    <row r="6" spans="1:1">
      <c r="A6" s="5" t="s">
        <v>497</v>
      </c>
    </row>
    <row r="7" spans="1:1">
      <c r="A7" s="5" t="s">
        <v>498</v>
      </c>
    </row>
    <row r="8" spans="1:1">
      <c r="A8" s="5" t="s">
        <v>499</v>
      </c>
    </row>
    <row r="9" spans="1:1">
      <c r="A9" s="4" t="s">
        <v>500</v>
      </c>
    </row>
    <row r="10" spans="1:1">
      <c r="A10" s="2"/>
    </row>
    <row r="11" spans="1:1" ht="17" customHeight="1">
      <c r="A11" s="3" t="s">
        <v>501</v>
      </c>
    </row>
    <row r="12" spans="1:1">
      <c r="A12" s="4" t="s">
        <v>502</v>
      </c>
    </row>
    <row r="13" spans="1:1">
      <c r="A13" s="4" t="s">
        <v>503</v>
      </c>
    </row>
    <row r="14" spans="1:1">
      <c r="A14" s="4" t="s">
        <v>504</v>
      </c>
    </row>
    <row r="15" spans="1:1">
      <c r="A15" s="4" t="s">
        <v>505</v>
      </c>
    </row>
    <row r="16" spans="1:1">
      <c r="A16" s="4"/>
    </row>
    <row r="17" spans="1:1">
      <c r="A17" s="2"/>
    </row>
    <row r="18" spans="1:1" ht="17" customHeight="1">
      <c r="A18" s="3"/>
    </row>
    <row r="19" spans="1:1">
      <c r="A19" s="4"/>
    </row>
    <row r="20" spans="1:1">
      <c r="A20" s="4"/>
    </row>
    <row r="21" spans="1:1">
      <c r="A21" s="4"/>
    </row>
    <row r="22" spans="1:1">
      <c r="A22" s="4"/>
    </row>
    <row r="23" spans="1:1">
      <c r="A23" s="4"/>
    </row>
    <row r="24" spans="1:1">
      <c r="A24" s="4"/>
    </row>
    <row r="25" spans="1:1">
      <c r="A25" s="4"/>
    </row>
    <row r="26" spans="1:1">
      <c r="A26" s="2"/>
    </row>
    <row r="27" spans="1:1" ht="17" customHeight="1">
      <c r="A27" s="3"/>
    </row>
    <row r="28" spans="1:1">
      <c r="A28" s="4"/>
    </row>
    <row r="29" spans="1:1">
      <c r="A29" s="4"/>
    </row>
    <row r="30" spans="1:1">
      <c r="A30" s="4"/>
    </row>
    <row r="31" spans="1:1">
      <c r="A31" s="4"/>
    </row>
    <row r="32" spans="1:1">
      <c r="A32" s="4"/>
    </row>
    <row r="33" spans="1:1">
      <c r="A33" s="2"/>
    </row>
    <row r="34" spans="1:1" ht="17" customHeight="1">
      <c r="A34" s="3"/>
    </row>
    <row r="35" spans="1:1">
      <c r="A35" s="4"/>
    </row>
    <row r="36" spans="1:1">
      <c r="A36" s="4"/>
    </row>
    <row r="37" spans="1:1">
      <c r="A37" s="4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rgb="FFBDBDBD"/>
  </sheetPr>
  <dimension ref="A1:O289"/>
  <sheetViews>
    <sheetView topLeftCell="D1" workbookViewId="0">
      <pane ySplit="1" topLeftCell="A2" activePane="bottomLeft" state="frozen"/>
      <selection pane="bottomLeft" activeCell="A60" sqref="A60"/>
    </sheetView>
  </sheetViews>
  <sheetFormatPr baseColWidth="10" defaultColWidth="8.83203125" defaultRowHeight="15"/>
  <cols>
    <col min="1" max="7" width="50" customWidth="1"/>
    <col min="14" max="14" width="39" bestFit="1" customWidth="1"/>
  </cols>
  <sheetData>
    <row r="1" spans="1:15">
      <c r="A1" s="6" t="s">
        <v>506</v>
      </c>
      <c r="B1" s="6" t="s">
        <v>507</v>
      </c>
      <c r="C1" s="6" t="s">
        <v>508</v>
      </c>
      <c r="D1" s="6" t="s">
        <v>130</v>
      </c>
      <c r="E1" s="6" t="s">
        <v>509</v>
      </c>
      <c r="F1" s="6" t="s">
        <v>510</v>
      </c>
      <c r="G1" s="6" t="s">
        <v>511</v>
      </c>
      <c r="J1" t="s">
        <v>512</v>
      </c>
      <c r="K1" t="s">
        <v>513</v>
      </c>
      <c r="L1" t="s">
        <v>675</v>
      </c>
      <c r="M1" t="s">
        <v>676</v>
      </c>
      <c r="N1" t="s">
        <v>1127</v>
      </c>
      <c r="O1" t="s">
        <v>1128</v>
      </c>
    </row>
    <row r="2" spans="1:15">
      <c r="A2" t="s">
        <v>1129</v>
      </c>
      <c r="B2" t="s">
        <v>147</v>
      </c>
      <c r="C2" t="s">
        <v>297</v>
      </c>
      <c r="D2" t="s">
        <v>284</v>
      </c>
      <c r="E2" t="s">
        <v>514</v>
      </c>
      <c r="F2" t="s">
        <v>420</v>
      </c>
      <c r="G2" t="s">
        <v>419</v>
      </c>
      <c r="H2">
        <v>76</v>
      </c>
      <c r="I2" t="s">
        <v>133</v>
      </c>
      <c r="J2" t="s">
        <v>121</v>
      </c>
      <c r="K2" t="s">
        <v>116</v>
      </c>
      <c r="L2" t="s">
        <v>677</v>
      </c>
      <c r="M2" t="s">
        <v>680</v>
      </c>
      <c r="N2" t="s">
        <v>827</v>
      </c>
      <c r="O2" t="s">
        <v>1114</v>
      </c>
    </row>
    <row r="3" spans="1:15">
      <c r="A3" t="s">
        <v>515</v>
      </c>
      <c r="B3" t="s">
        <v>148</v>
      </c>
      <c r="C3" t="s">
        <v>298</v>
      </c>
      <c r="D3" t="s">
        <v>285</v>
      </c>
      <c r="E3" t="s">
        <v>414</v>
      </c>
      <c r="F3" t="s">
        <v>421</v>
      </c>
      <c r="G3" t="s">
        <v>420</v>
      </c>
      <c r="H3">
        <v>6</v>
      </c>
      <c r="I3" t="s">
        <v>136</v>
      </c>
      <c r="J3" t="s">
        <v>516</v>
      </c>
      <c r="K3" t="s">
        <v>517</v>
      </c>
      <c r="L3" t="s">
        <v>447</v>
      </c>
      <c r="M3" t="s">
        <v>681</v>
      </c>
      <c r="N3" t="s">
        <v>828</v>
      </c>
      <c r="O3" t="s">
        <v>1115</v>
      </c>
    </row>
    <row r="4" spans="1:15">
      <c r="A4" t="s">
        <v>1130</v>
      </c>
      <c r="B4" t="s">
        <v>149</v>
      </c>
      <c r="C4" t="s">
        <v>299</v>
      </c>
      <c r="D4" t="s">
        <v>400</v>
      </c>
      <c r="E4" t="s">
        <v>413</v>
      </c>
      <c r="F4" t="s">
        <v>422</v>
      </c>
      <c r="G4" t="s">
        <v>421</v>
      </c>
      <c r="H4">
        <v>9</v>
      </c>
      <c r="I4" t="s">
        <v>136</v>
      </c>
      <c r="J4" t="s">
        <v>518</v>
      </c>
      <c r="K4" t="s">
        <v>126</v>
      </c>
      <c r="L4" t="s">
        <v>678</v>
      </c>
      <c r="M4" t="s">
        <v>682</v>
      </c>
      <c r="N4" t="s">
        <v>829</v>
      </c>
      <c r="O4" t="s">
        <v>1116</v>
      </c>
    </row>
    <row r="5" spans="1:15">
      <c r="A5" t="s">
        <v>519</v>
      </c>
      <c r="B5" t="s">
        <v>150</v>
      </c>
      <c r="C5" t="s">
        <v>300</v>
      </c>
      <c r="D5" t="s">
        <v>395</v>
      </c>
      <c r="E5" t="s">
        <v>750</v>
      </c>
      <c r="F5" t="s">
        <v>442</v>
      </c>
      <c r="G5" t="s">
        <v>422</v>
      </c>
      <c r="H5">
        <v>10</v>
      </c>
      <c r="I5" t="s">
        <v>136</v>
      </c>
      <c r="J5" t="s">
        <v>520</v>
      </c>
      <c r="K5" t="s">
        <v>521</v>
      </c>
      <c r="L5" t="s">
        <v>679</v>
      </c>
      <c r="M5" t="s">
        <v>683</v>
      </c>
      <c r="N5" t="s">
        <v>830</v>
      </c>
      <c r="O5" t="s">
        <v>1117</v>
      </c>
    </row>
    <row r="6" spans="1:15">
      <c r="A6" t="s">
        <v>522</v>
      </c>
      <c r="B6" t="s">
        <v>151</v>
      </c>
      <c r="C6" t="s">
        <v>301</v>
      </c>
      <c r="D6" t="s">
        <v>128</v>
      </c>
      <c r="E6" t="s">
        <v>751</v>
      </c>
      <c r="F6" t="s">
        <v>445</v>
      </c>
      <c r="G6" t="s">
        <v>423</v>
      </c>
      <c r="H6">
        <v>45</v>
      </c>
      <c r="I6" t="s">
        <v>136</v>
      </c>
      <c r="J6" t="s">
        <v>523</v>
      </c>
      <c r="K6" t="s">
        <v>524</v>
      </c>
      <c r="L6" t="s">
        <v>201</v>
      </c>
      <c r="M6" t="s">
        <v>684</v>
      </c>
      <c r="N6" t="s">
        <v>831</v>
      </c>
      <c r="O6" t="s">
        <v>1118</v>
      </c>
    </row>
    <row r="7" spans="1:15">
      <c r="A7" t="s">
        <v>525</v>
      </c>
      <c r="B7" t="s">
        <v>152</v>
      </c>
      <c r="C7" t="s">
        <v>302</v>
      </c>
      <c r="D7" t="s">
        <v>405</v>
      </c>
      <c r="E7" t="s">
        <v>752</v>
      </c>
      <c r="F7" t="s">
        <v>446</v>
      </c>
      <c r="G7" t="s">
        <v>424</v>
      </c>
      <c r="H7">
        <v>19</v>
      </c>
      <c r="I7" t="s">
        <v>140</v>
      </c>
      <c r="J7" t="s">
        <v>526</v>
      </c>
      <c r="K7" t="s">
        <v>527</v>
      </c>
      <c r="L7" t="s">
        <v>693</v>
      </c>
      <c r="M7" t="s">
        <v>685</v>
      </c>
      <c r="N7" t="s">
        <v>832</v>
      </c>
      <c r="O7" t="s">
        <v>1119</v>
      </c>
    </row>
    <row r="8" spans="1:15">
      <c r="A8" t="s">
        <v>528</v>
      </c>
      <c r="B8" t="s">
        <v>153</v>
      </c>
      <c r="C8" t="s">
        <v>303</v>
      </c>
      <c r="D8" t="s">
        <v>316</v>
      </c>
      <c r="E8" t="s">
        <v>529</v>
      </c>
      <c r="F8" t="s">
        <v>448</v>
      </c>
      <c r="G8" t="s">
        <v>425</v>
      </c>
      <c r="H8">
        <v>24</v>
      </c>
      <c r="I8" t="s">
        <v>136</v>
      </c>
      <c r="J8" t="s">
        <v>530</v>
      </c>
      <c r="K8" t="s">
        <v>531</v>
      </c>
      <c r="L8" t="s">
        <v>694</v>
      </c>
      <c r="M8" t="s">
        <v>686</v>
      </c>
      <c r="N8" t="s">
        <v>833</v>
      </c>
      <c r="O8" t="s">
        <v>114</v>
      </c>
    </row>
    <row r="9" spans="1:15">
      <c r="A9" t="s">
        <v>532</v>
      </c>
      <c r="B9" t="s">
        <v>154</v>
      </c>
      <c r="C9" t="s">
        <v>304</v>
      </c>
      <c r="D9" t="s">
        <v>408</v>
      </c>
      <c r="E9" t="s">
        <v>533</v>
      </c>
      <c r="F9" t="s">
        <v>769</v>
      </c>
      <c r="G9" t="s">
        <v>426</v>
      </c>
      <c r="H9">
        <v>46</v>
      </c>
      <c r="I9" t="s">
        <v>144</v>
      </c>
      <c r="J9" t="s">
        <v>534</v>
      </c>
      <c r="K9" t="s">
        <v>535</v>
      </c>
      <c r="L9" t="s">
        <v>695</v>
      </c>
      <c r="M9" t="s">
        <v>687</v>
      </c>
      <c r="N9" t="s">
        <v>834</v>
      </c>
      <c r="O9" t="s">
        <v>1120</v>
      </c>
    </row>
    <row r="10" spans="1:15">
      <c r="A10" t="s">
        <v>536</v>
      </c>
      <c r="B10" t="s">
        <v>155</v>
      </c>
      <c r="C10" t="s">
        <v>305</v>
      </c>
      <c r="D10" t="s">
        <v>386</v>
      </c>
      <c r="E10" t="s">
        <v>537</v>
      </c>
      <c r="F10" t="s">
        <v>453</v>
      </c>
      <c r="G10" t="s">
        <v>427</v>
      </c>
      <c r="H10">
        <v>60</v>
      </c>
      <c r="J10" t="s">
        <v>538</v>
      </c>
      <c r="L10" t="s">
        <v>696</v>
      </c>
      <c r="M10" t="s">
        <v>688</v>
      </c>
      <c r="N10" t="s">
        <v>835</v>
      </c>
      <c r="O10" t="s">
        <v>1121</v>
      </c>
    </row>
    <row r="11" spans="1:15">
      <c r="A11" t="s">
        <v>539</v>
      </c>
      <c r="B11" t="s">
        <v>728</v>
      </c>
      <c r="C11" t="s">
        <v>306</v>
      </c>
      <c r="D11" t="s">
        <v>402</v>
      </c>
      <c r="E11" t="s">
        <v>540</v>
      </c>
      <c r="F11" t="s">
        <v>454</v>
      </c>
      <c r="G11" t="s">
        <v>428</v>
      </c>
      <c r="H11">
        <v>54</v>
      </c>
      <c r="I11" t="s">
        <v>132</v>
      </c>
      <c r="J11" t="s">
        <v>541</v>
      </c>
      <c r="L11" t="s">
        <v>697</v>
      </c>
      <c r="M11" t="s">
        <v>714</v>
      </c>
      <c r="N11" t="s">
        <v>836</v>
      </c>
      <c r="O11" t="s">
        <v>1122</v>
      </c>
    </row>
    <row r="12" spans="1:15">
      <c r="A12" t="s">
        <v>542</v>
      </c>
      <c r="B12" t="s">
        <v>156</v>
      </c>
      <c r="C12" t="s">
        <v>307</v>
      </c>
      <c r="D12" t="s">
        <v>404</v>
      </c>
      <c r="E12" t="s">
        <v>543</v>
      </c>
      <c r="F12" t="s">
        <v>455</v>
      </c>
      <c r="G12" t="s">
        <v>429</v>
      </c>
      <c r="H12">
        <v>14</v>
      </c>
      <c r="I12" t="s">
        <v>136</v>
      </c>
      <c r="L12" t="s">
        <v>698</v>
      </c>
      <c r="M12" t="s">
        <v>689</v>
      </c>
      <c r="N12" t="s">
        <v>837</v>
      </c>
      <c r="O12" t="s">
        <v>1123</v>
      </c>
    </row>
    <row r="13" spans="1:15">
      <c r="A13" t="s">
        <v>544</v>
      </c>
      <c r="B13" t="s">
        <v>157</v>
      </c>
      <c r="C13" t="s">
        <v>308</v>
      </c>
      <c r="D13" t="s">
        <v>116</v>
      </c>
      <c r="E13" t="s">
        <v>545</v>
      </c>
      <c r="F13" t="s">
        <v>458</v>
      </c>
      <c r="G13" t="s">
        <v>430</v>
      </c>
      <c r="H13">
        <v>29</v>
      </c>
      <c r="I13" t="s">
        <v>135</v>
      </c>
      <c r="L13" t="s">
        <v>699</v>
      </c>
      <c r="M13" t="s">
        <v>715</v>
      </c>
      <c r="N13" t="s">
        <v>838</v>
      </c>
      <c r="O13" t="s">
        <v>1124</v>
      </c>
    </row>
    <row r="14" spans="1:15">
      <c r="A14" t="s">
        <v>546</v>
      </c>
      <c r="B14" t="s">
        <v>805</v>
      </c>
      <c r="C14" t="s">
        <v>309</v>
      </c>
      <c r="D14" t="s">
        <v>397</v>
      </c>
      <c r="E14" t="s">
        <v>753</v>
      </c>
      <c r="F14" t="s">
        <v>459</v>
      </c>
      <c r="G14" t="s">
        <v>431</v>
      </c>
      <c r="H14">
        <v>27</v>
      </c>
      <c r="I14" t="s">
        <v>135</v>
      </c>
      <c r="L14" t="s">
        <v>700</v>
      </c>
      <c r="M14" t="s">
        <v>716</v>
      </c>
      <c r="N14" t="s">
        <v>839</v>
      </c>
      <c r="O14" t="s">
        <v>1125</v>
      </c>
    </row>
    <row r="15" spans="1:15">
      <c r="A15" t="s">
        <v>547</v>
      </c>
      <c r="B15" t="s">
        <v>158</v>
      </c>
      <c r="C15" t="s">
        <v>310</v>
      </c>
      <c r="D15" t="s">
        <v>816</v>
      </c>
      <c r="E15" t="s">
        <v>548</v>
      </c>
      <c r="F15" t="s">
        <v>460</v>
      </c>
      <c r="G15" t="s">
        <v>432</v>
      </c>
      <c r="H15">
        <v>7</v>
      </c>
      <c r="I15" t="s">
        <v>136</v>
      </c>
      <c r="L15" t="s">
        <v>701</v>
      </c>
      <c r="M15" t="s">
        <v>410</v>
      </c>
      <c r="N15" t="s">
        <v>840</v>
      </c>
      <c r="O15" t="s">
        <v>1126</v>
      </c>
    </row>
    <row r="16" spans="1:15">
      <c r="A16" t="s">
        <v>549</v>
      </c>
      <c r="B16" t="s">
        <v>159</v>
      </c>
      <c r="C16" t="s">
        <v>311</v>
      </c>
      <c r="D16" t="s">
        <v>817</v>
      </c>
      <c r="E16" t="s">
        <v>754</v>
      </c>
      <c r="F16" t="s">
        <v>461</v>
      </c>
      <c r="G16" t="s">
        <v>433</v>
      </c>
      <c r="H16">
        <v>4</v>
      </c>
      <c r="I16" t="s">
        <v>135</v>
      </c>
      <c r="L16" t="s">
        <v>702</v>
      </c>
      <c r="M16" t="s">
        <v>690</v>
      </c>
      <c r="N16" t="s">
        <v>841</v>
      </c>
    </row>
    <row r="17" spans="1:14">
      <c r="A17" t="s">
        <v>550</v>
      </c>
      <c r="B17" t="s">
        <v>160</v>
      </c>
      <c r="C17" t="s">
        <v>312</v>
      </c>
      <c r="D17" t="s">
        <v>818</v>
      </c>
      <c r="E17" t="s">
        <v>415</v>
      </c>
      <c r="F17" t="s">
        <v>462</v>
      </c>
      <c r="G17" t="s">
        <v>434</v>
      </c>
      <c r="H17">
        <v>32</v>
      </c>
      <c r="I17" t="s">
        <v>137</v>
      </c>
      <c r="L17" t="s">
        <v>703</v>
      </c>
      <c r="M17" t="s">
        <v>717</v>
      </c>
      <c r="N17" t="s">
        <v>842</v>
      </c>
    </row>
    <row r="18" spans="1:14">
      <c r="A18" t="s">
        <v>551</v>
      </c>
      <c r="B18" t="s">
        <v>161</v>
      </c>
      <c r="C18" t="s">
        <v>313</v>
      </c>
      <c r="D18" t="s">
        <v>819</v>
      </c>
      <c r="E18" t="s">
        <v>755</v>
      </c>
      <c r="F18" t="s">
        <v>471</v>
      </c>
      <c r="G18" t="s">
        <v>435</v>
      </c>
      <c r="H18">
        <v>16</v>
      </c>
      <c r="I18" t="s">
        <v>129</v>
      </c>
      <c r="L18" t="s">
        <v>704</v>
      </c>
      <c r="M18" t="s">
        <v>691</v>
      </c>
      <c r="N18" t="s">
        <v>843</v>
      </c>
    </row>
    <row r="19" spans="1:14">
      <c r="A19" t="s">
        <v>552</v>
      </c>
      <c r="B19" t="s">
        <v>162</v>
      </c>
      <c r="C19" t="s">
        <v>128</v>
      </c>
      <c r="D19" t="s">
        <v>287</v>
      </c>
      <c r="E19" t="s">
        <v>553</v>
      </c>
      <c r="F19" t="s">
        <v>472</v>
      </c>
      <c r="G19" t="s">
        <v>436</v>
      </c>
      <c r="H19">
        <v>63</v>
      </c>
      <c r="L19" t="s">
        <v>705</v>
      </c>
      <c r="M19" t="s">
        <v>718</v>
      </c>
      <c r="N19" t="s">
        <v>844</v>
      </c>
    </row>
    <row r="20" spans="1:14">
      <c r="A20" t="s">
        <v>554</v>
      </c>
      <c r="B20" t="s">
        <v>163</v>
      </c>
      <c r="C20" t="s">
        <v>314</v>
      </c>
      <c r="D20" t="s">
        <v>407</v>
      </c>
      <c r="E20" t="s">
        <v>756</v>
      </c>
      <c r="F20" t="s">
        <v>474</v>
      </c>
      <c r="G20" t="s">
        <v>437</v>
      </c>
      <c r="H20">
        <v>63</v>
      </c>
      <c r="L20" t="s">
        <v>706</v>
      </c>
      <c r="M20" t="s">
        <v>719</v>
      </c>
      <c r="N20" t="s">
        <v>845</v>
      </c>
    </row>
    <row r="21" spans="1:14">
      <c r="A21" t="s">
        <v>555</v>
      </c>
      <c r="B21" t="s">
        <v>164</v>
      </c>
      <c r="C21" t="s">
        <v>315</v>
      </c>
      <c r="D21" t="s">
        <v>288</v>
      </c>
      <c r="E21" t="s">
        <v>417</v>
      </c>
      <c r="F21" t="s">
        <v>475</v>
      </c>
      <c r="G21" t="s">
        <v>438</v>
      </c>
      <c r="H21">
        <v>20</v>
      </c>
      <c r="I21" t="s">
        <v>136</v>
      </c>
      <c r="L21" t="s">
        <v>707</v>
      </c>
      <c r="M21" t="s">
        <v>720</v>
      </c>
      <c r="N21" t="s">
        <v>846</v>
      </c>
    </row>
    <row r="22" spans="1:14">
      <c r="A22" t="s">
        <v>556</v>
      </c>
      <c r="B22" t="s">
        <v>729</v>
      </c>
      <c r="C22" t="s">
        <v>316</v>
      </c>
      <c r="D22" t="s">
        <v>377</v>
      </c>
      <c r="E22" t="s">
        <v>557</v>
      </c>
      <c r="F22" t="s">
        <v>770</v>
      </c>
      <c r="G22" t="s">
        <v>439</v>
      </c>
      <c r="H22">
        <v>42</v>
      </c>
      <c r="I22" t="s">
        <v>136</v>
      </c>
      <c r="L22" t="s">
        <v>708</v>
      </c>
      <c r="M22" t="s">
        <v>721</v>
      </c>
      <c r="N22" t="s">
        <v>847</v>
      </c>
    </row>
    <row r="23" spans="1:14">
      <c r="A23" t="s">
        <v>558</v>
      </c>
      <c r="B23" t="s">
        <v>730</v>
      </c>
      <c r="C23" t="s">
        <v>749</v>
      </c>
      <c r="D23" t="s">
        <v>141</v>
      </c>
      <c r="E23" t="s">
        <v>559</v>
      </c>
      <c r="F23" t="s">
        <v>476</v>
      </c>
      <c r="G23" t="s">
        <v>440</v>
      </c>
      <c r="H23">
        <v>64</v>
      </c>
      <c r="I23" t="s">
        <v>132</v>
      </c>
      <c r="L23" t="s">
        <v>709</v>
      </c>
      <c r="N23" t="s">
        <v>848</v>
      </c>
    </row>
    <row r="24" spans="1:14">
      <c r="A24" t="s">
        <v>560</v>
      </c>
      <c r="B24" t="s">
        <v>165</v>
      </c>
      <c r="C24" t="s">
        <v>317</v>
      </c>
      <c r="D24" t="s">
        <v>329</v>
      </c>
      <c r="E24" t="s">
        <v>418</v>
      </c>
      <c r="F24" t="s">
        <v>477</v>
      </c>
      <c r="G24" t="s">
        <v>441</v>
      </c>
      <c r="H24">
        <v>64</v>
      </c>
      <c r="I24" t="s">
        <v>132</v>
      </c>
      <c r="L24" t="s">
        <v>710</v>
      </c>
      <c r="N24" t="s">
        <v>849</v>
      </c>
    </row>
    <row r="25" spans="1:14">
      <c r="A25" t="s">
        <v>561</v>
      </c>
      <c r="B25" t="s">
        <v>166</v>
      </c>
      <c r="C25" t="s">
        <v>318</v>
      </c>
      <c r="D25" t="s">
        <v>123</v>
      </c>
      <c r="E25" t="s">
        <v>757</v>
      </c>
      <c r="F25" t="s">
        <v>478</v>
      </c>
      <c r="G25" t="s">
        <v>442</v>
      </c>
      <c r="H25">
        <v>74</v>
      </c>
      <c r="I25" t="s">
        <v>133</v>
      </c>
      <c r="L25" t="s">
        <v>711</v>
      </c>
      <c r="N25" t="s">
        <v>850</v>
      </c>
    </row>
    <row r="26" spans="1:14">
      <c r="A26" t="s">
        <v>562</v>
      </c>
      <c r="B26" t="s">
        <v>167</v>
      </c>
      <c r="C26" t="s">
        <v>286</v>
      </c>
      <c r="D26" t="s">
        <v>366</v>
      </c>
      <c r="E26" t="s">
        <v>758</v>
      </c>
      <c r="F26" t="s">
        <v>479</v>
      </c>
      <c r="G26" t="s">
        <v>443</v>
      </c>
      <c r="H26">
        <v>65</v>
      </c>
      <c r="I26" t="s">
        <v>132</v>
      </c>
      <c r="L26" t="s">
        <v>712</v>
      </c>
      <c r="N26" t="s">
        <v>851</v>
      </c>
    </row>
    <row r="27" spans="1:14">
      <c r="A27" t="s">
        <v>563</v>
      </c>
      <c r="B27" t="s">
        <v>168</v>
      </c>
      <c r="C27" t="s">
        <v>319</v>
      </c>
      <c r="D27" t="s">
        <v>374</v>
      </c>
      <c r="E27" t="s">
        <v>416</v>
      </c>
      <c r="F27" t="s">
        <v>480</v>
      </c>
      <c r="G27" t="s">
        <v>444</v>
      </c>
      <c r="H27">
        <v>65</v>
      </c>
      <c r="I27" t="s">
        <v>132</v>
      </c>
      <c r="L27" t="s">
        <v>713</v>
      </c>
      <c r="N27" t="s">
        <v>852</v>
      </c>
    </row>
    <row r="28" spans="1:14">
      <c r="A28" t="s">
        <v>564</v>
      </c>
      <c r="B28" t="s">
        <v>169</v>
      </c>
      <c r="C28" t="s">
        <v>320</v>
      </c>
      <c r="D28" t="s">
        <v>382</v>
      </c>
      <c r="E28" t="s">
        <v>565</v>
      </c>
      <c r="F28" t="s">
        <v>120</v>
      </c>
      <c r="G28" t="s">
        <v>445</v>
      </c>
      <c r="H28">
        <v>66</v>
      </c>
      <c r="I28" t="s">
        <v>132</v>
      </c>
      <c r="N28" t="s">
        <v>853</v>
      </c>
    </row>
    <row r="29" spans="1:14">
      <c r="A29" t="s">
        <v>566</v>
      </c>
      <c r="B29" t="s">
        <v>170</v>
      </c>
      <c r="C29" t="s">
        <v>321</v>
      </c>
      <c r="D29" t="s">
        <v>390</v>
      </c>
      <c r="E29" t="s">
        <v>567</v>
      </c>
      <c r="F29" t="s">
        <v>491</v>
      </c>
      <c r="G29" t="s">
        <v>446</v>
      </c>
      <c r="H29">
        <v>66</v>
      </c>
      <c r="I29" t="s">
        <v>132</v>
      </c>
      <c r="N29" t="s">
        <v>854</v>
      </c>
    </row>
    <row r="30" spans="1:14">
      <c r="A30" t="s">
        <v>568</v>
      </c>
      <c r="B30" t="s">
        <v>171</v>
      </c>
      <c r="C30" t="s">
        <v>322</v>
      </c>
      <c r="D30" t="s">
        <v>281</v>
      </c>
      <c r="E30" t="s">
        <v>569</v>
      </c>
      <c r="F30" t="s">
        <v>771</v>
      </c>
      <c r="G30" t="s">
        <v>448</v>
      </c>
      <c r="H30">
        <v>18</v>
      </c>
      <c r="I30" t="s">
        <v>136</v>
      </c>
      <c r="N30" t="s">
        <v>855</v>
      </c>
    </row>
    <row r="31" spans="1:14">
      <c r="A31" t="s">
        <v>570</v>
      </c>
      <c r="B31" t="s">
        <v>172</v>
      </c>
      <c r="C31" t="s">
        <v>288</v>
      </c>
      <c r="D31" t="s">
        <v>381</v>
      </c>
      <c r="E31" t="s">
        <v>571</v>
      </c>
      <c r="F31" t="s">
        <v>492</v>
      </c>
      <c r="G31" t="s">
        <v>449</v>
      </c>
      <c r="H31">
        <v>75</v>
      </c>
      <c r="I31" t="s">
        <v>132</v>
      </c>
      <c r="N31" t="s">
        <v>856</v>
      </c>
    </row>
    <row r="32" spans="1:14">
      <c r="A32" t="s">
        <v>572</v>
      </c>
      <c r="B32" t="s">
        <v>173</v>
      </c>
      <c r="C32" t="s">
        <v>323</v>
      </c>
      <c r="D32" t="s">
        <v>130</v>
      </c>
      <c r="E32" t="s">
        <v>119</v>
      </c>
      <c r="F32" t="s">
        <v>493</v>
      </c>
      <c r="G32" t="s">
        <v>450</v>
      </c>
      <c r="H32">
        <v>40</v>
      </c>
      <c r="I32" t="s">
        <v>143</v>
      </c>
      <c r="N32" t="s">
        <v>857</v>
      </c>
    </row>
    <row r="33" spans="1:14">
      <c r="A33" t="s">
        <v>573</v>
      </c>
      <c r="B33" t="s">
        <v>174</v>
      </c>
      <c r="C33" t="s">
        <v>325</v>
      </c>
      <c r="D33" t="s">
        <v>389</v>
      </c>
      <c r="E33" t="s">
        <v>125</v>
      </c>
      <c r="G33" t="s">
        <v>451</v>
      </c>
      <c r="H33">
        <v>48</v>
      </c>
      <c r="I33" t="s">
        <v>144</v>
      </c>
      <c r="N33" t="s">
        <v>858</v>
      </c>
    </row>
    <row r="34" spans="1:14">
      <c r="A34" t="s">
        <v>574</v>
      </c>
      <c r="B34" t="s">
        <v>175</v>
      </c>
      <c r="C34" t="s">
        <v>324</v>
      </c>
      <c r="D34" t="s">
        <v>291</v>
      </c>
      <c r="E34" t="s">
        <v>759</v>
      </c>
      <c r="G34" t="s">
        <v>772</v>
      </c>
      <c r="H34">
        <v>67</v>
      </c>
      <c r="I34" t="s">
        <v>145</v>
      </c>
      <c r="N34" t="s">
        <v>859</v>
      </c>
    </row>
    <row r="35" spans="1:14">
      <c r="A35" t="s">
        <v>575</v>
      </c>
      <c r="B35" t="s">
        <v>176</v>
      </c>
      <c r="C35" t="s">
        <v>326</v>
      </c>
      <c r="D35" t="s">
        <v>384</v>
      </c>
      <c r="E35" t="s">
        <v>576</v>
      </c>
      <c r="G35" t="s">
        <v>773</v>
      </c>
      <c r="H35">
        <v>38</v>
      </c>
      <c r="I35" t="s">
        <v>135</v>
      </c>
      <c r="N35" t="s">
        <v>860</v>
      </c>
    </row>
    <row r="36" spans="1:14">
      <c r="A36" t="s">
        <v>577</v>
      </c>
      <c r="B36" t="s">
        <v>177</v>
      </c>
      <c r="C36" t="s">
        <v>327</v>
      </c>
      <c r="D36" t="s">
        <v>292</v>
      </c>
      <c r="E36" t="s">
        <v>760</v>
      </c>
      <c r="G36" t="s">
        <v>774</v>
      </c>
      <c r="H36">
        <v>33</v>
      </c>
      <c r="I36" t="s">
        <v>129</v>
      </c>
      <c r="N36" t="s">
        <v>861</v>
      </c>
    </row>
    <row r="37" spans="1:14">
      <c r="A37" t="s">
        <v>578</v>
      </c>
      <c r="B37" t="s">
        <v>178</v>
      </c>
      <c r="C37" t="s">
        <v>289</v>
      </c>
      <c r="D37" t="s">
        <v>375</v>
      </c>
      <c r="E37" t="s">
        <v>579</v>
      </c>
      <c r="G37" t="s">
        <v>775</v>
      </c>
      <c r="H37">
        <v>44</v>
      </c>
      <c r="I37" t="s">
        <v>139</v>
      </c>
      <c r="N37" t="s">
        <v>862</v>
      </c>
    </row>
    <row r="38" spans="1:14">
      <c r="A38" t="s">
        <v>580</v>
      </c>
      <c r="B38" t="s">
        <v>179</v>
      </c>
      <c r="C38" t="s">
        <v>328</v>
      </c>
      <c r="D38" t="s">
        <v>293</v>
      </c>
      <c r="E38" t="s">
        <v>581</v>
      </c>
      <c r="G38" t="s">
        <v>452</v>
      </c>
      <c r="H38">
        <v>62</v>
      </c>
      <c r="I38" t="s">
        <v>133</v>
      </c>
      <c r="N38" t="s">
        <v>863</v>
      </c>
    </row>
    <row r="39" spans="1:14">
      <c r="A39" t="s">
        <v>582</v>
      </c>
      <c r="B39" t="s">
        <v>180</v>
      </c>
      <c r="C39" t="s">
        <v>329</v>
      </c>
      <c r="D39" t="s">
        <v>340</v>
      </c>
      <c r="E39" t="s">
        <v>583</v>
      </c>
      <c r="G39" t="s">
        <v>776</v>
      </c>
      <c r="H39">
        <v>68</v>
      </c>
      <c r="I39" t="s">
        <v>132</v>
      </c>
      <c r="N39" t="s">
        <v>864</v>
      </c>
    </row>
    <row r="40" spans="1:14">
      <c r="A40" t="s">
        <v>584</v>
      </c>
      <c r="B40" t="s">
        <v>181</v>
      </c>
      <c r="C40" t="s">
        <v>124</v>
      </c>
      <c r="D40" t="s">
        <v>342</v>
      </c>
      <c r="E40" t="s">
        <v>761</v>
      </c>
      <c r="G40" t="s">
        <v>777</v>
      </c>
      <c r="H40">
        <v>68</v>
      </c>
      <c r="I40" t="s">
        <v>132</v>
      </c>
      <c r="N40" t="s">
        <v>865</v>
      </c>
    </row>
    <row r="41" spans="1:14">
      <c r="A41" t="s">
        <v>585</v>
      </c>
      <c r="B41" t="s">
        <v>182</v>
      </c>
      <c r="C41" t="s">
        <v>290</v>
      </c>
      <c r="D41" t="s">
        <v>373</v>
      </c>
      <c r="E41" t="s">
        <v>762</v>
      </c>
      <c r="G41" t="s">
        <v>778</v>
      </c>
      <c r="H41">
        <v>49</v>
      </c>
      <c r="I41" t="s">
        <v>144</v>
      </c>
      <c r="N41" t="s">
        <v>866</v>
      </c>
    </row>
    <row r="42" spans="1:14">
      <c r="A42" t="s">
        <v>586</v>
      </c>
      <c r="B42" t="s">
        <v>183</v>
      </c>
      <c r="C42" t="s">
        <v>330</v>
      </c>
      <c r="D42" t="s">
        <v>388</v>
      </c>
      <c r="E42" t="s">
        <v>763</v>
      </c>
      <c r="G42" t="s">
        <v>769</v>
      </c>
      <c r="H42">
        <v>11</v>
      </c>
      <c r="I42" t="s">
        <v>137</v>
      </c>
      <c r="N42" t="s">
        <v>867</v>
      </c>
    </row>
    <row r="43" spans="1:14">
      <c r="A43" t="s">
        <v>587</v>
      </c>
      <c r="B43" t="s">
        <v>184</v>
      </c>
      <c r="C43" t="s">
        <v>331</v>
      </c>
      <c r="D43" t="s">
        <v>380</v>
      </c>
      <c r="E43" t="s">
        <v>764</v>
      </c>
      <c r="G43" t="s">
        <v>453</v>
      </c>
      <c r="H43">
        <v>58</v>
      </c>
      <c r="I43" t="s">
        <v>132</v>
      </c>
      <c r="N43" t="s">
        <v>868</v>
      </c>
    </row>
    <row r="44" spans="1:14">
      <c r="A44" t="s">
        <v>588</v>
      </c>
      <c r="B44" t="s">
        <v>731</v>
      </c>
      <c r="C44" t="s">
        <v>332</v>
      </c>
      <c r="D44" t="s">
        <v>409</v>
      </c>
      <c r="E44" t="s">
        <v>765</v>
      </c>
      <c r="G44" t="s">
        <v>454</v>
      </c>
      <c r="H44">
        <v>21</v>
      </c>
      <c r="I44" t="s">
        <v>137</v>
      </c>
      <c r="N44" t="s">
        <v>869</v>
      </c>
    </row>
    <row r="45" spans="1:14">
      <c r="A45" t="s">
        <v>589</v>
      </c>
      <c r="B45" t="s">
        <v>732</v>
      </c>
      <c r="C45" t="s">
        <v>333</v>
      </c>
      <c r="D45" t="s">
        <v>385</v>
      </c>
      <c r="E45" t="s">
        <v>766</v>
      </c>
      <c r="G45" t="s">
        <v>455</v>
      </c>
      <c r="H45">
        <v>69</v>
      </c>
      <c r="N45" t="s">
        <v>870</v>
      </c>
    </row>
    <row r="46" spans="1:14">
      <c r="A46" t="s">
        <v>590</v>
      </c>
      <c r="B46" t="s">
        <v>733</v>
      </c>
      <c r="C46" t="s">
        <v>334</v>
      </c>
      <c r="D46" t="s">
        <v>820</v>
      </c>
      <c r="E46" t="s">
        <v>767</v>
      </c>
      <c r="G46" t="s">
        <v>456</v>
      </c>
      <c r="H46">
        <v>15</v>
      </c>
      <c r="I46" t="s">
        <v>138</v>
      </c>
      <c r="N46" t="s">
        <v>871</v>
      </c>
    </row>
    <row r="47" spans="1:14">
      <c r="A47" t="s">
        <v>592</v>
      </c>
      <c r="B47" t="s">
        <v>734</v>
      </c>
      <c r="C47" t="s">
        <v>335</v>
      </c>
      <c r="D47" t="s">
        <v>387</v>
      </c>
      <c r="E47" t="s">
        <v>591</v>
      </c>
      <c r="G47" t="s">
        <v>457</v>
      </c>
      <c r="H47">
        <v>57</v>
      </c>
      <c r="I47" t="s">
        <v>129</v>
      </c>
      <c r="N47" t="s">
        <v>872</v>
      </c>
    </row>
    <row r="48" spans="1:14">
      <c r="A48" t="s">
        <v>594</v>
      </c>
      <c r="B48" t="s">
        <v>735</v>
      </c>
      <c r="C48" t="s">
        <v>336</v>
      </c>
      <c r="D48" t="s">
        <v>371</v>
      </c>
      <c r="E48" t="s">
        <v>593</v>
      </c>
      <c r="G48" t="s">
        <v>458</v>
      </c>
      <c r="H48">
        <v>70</v>
      </c>
      <c r="I48" t="s">
        <v>132</v>
      </c>
      <c r="N48" t="s">
        <v>873</v>
      </c>
    </row>
    <row r="49" spans="1:14">
      <c r="A49" t="s">
        <v>596</v>
      </c>
      <c r="B49" t="s">
        <v>736</v>
      </c>
      <c r="C49" t="s">
        <v>337</v>
      </c>
      <c r="D49" t="s">
        <v>368</v>
      </c>
      <c r="E49" t="s">
        <v>595</v>
      </c>
      <c r="G49" t="s">
        <v>459</v>
      </c>
      <c r="H49">
        <v>70</v>
      </c>
      <c r="I49" t="s">
        <v>132</v>
      </c>
      <c r="N49" t="s">
        <v>874</v>
      </c>
    </row>
    <row r="50" spans="1:14">
      <c r="A50" t="s">
        <v>598</v>
      </c>
      <c r="B50" t="s">
        <v>737</v>
      </c>
      <c r="C50" t="s">
        <v>338</v>
      </c>
      <c r="D50" t="s">
        <v>376</v>
      </c>
      <c r="E50" t="s">
        <v>597</v>
      </c>
      <c r="G50" t="s">
        <v>460</v>
      </c>
      <c r="H50">
        <v>39</v>
      </c>
      <c r="I50" t="s">
        <v>139</v>
      </c>
      <c r="N50" t="s">
        <v>875</v>
      </c>
    </row>
    <row r="51" spans="1:14">
      <c r="A51" t="s">
        <v>600</v>
      </c>
      <c r="B51" t="s">
        <v>185</v>
      </c>
      <c r="C51" t="s">
        <v>339</v>
      </c>
      <c r="D51" t="s">
        <v>399</v>
      </c>
      <c r="E51" t="s">
        <v>599</v>
      </c>
      <c r="G51" t="s">
        <v>461</v>
      </c>
      <c r="H51">
        <v>71</v>
      </c>
      <c r="I51" t="s">
        <v>132</v>
      </c>
      <c r="N51" t="s">
        <v>876</v>
      </c>
    </row>
    <row r="52" spans="1:14">
      <c r="A52" t="s">
        <v>602</v>
      </c>
      <c r="B52" t="s">
        <v>186</v>
      </c>
      <c r="C52" t="s">
        <v>340</v>
      </c>
      <c r="D52" t="s">
        <v>383</v>
      </c>
      <c r="E52" t="s">
        <v>601</v>
      </c>
      <c r="G52" t="s">
        <v>462</v>
      </c>
      <c r="H52">
        <v>71</v>
      </c>
      <c r="I52" t="s">
        <v>132</v>
      </c>
      <c r="N52" t="s">
        <v>877</v>
      </c>
    </row>
    <row r="53" spans="1:14">
      <c r="A53" t="s">
        <v>603</v>
      </c>
      <c r="B53" t="s">
        <v>187</v>
      </c>
      <c r="C53" t="s">
        <v>341</v>
      </c>
      <c r="D53" t="s">
        <v>134</v>
      </c>
      <c r="E53" t="s">
        <v>768</v>
      </c>
      <c r="G53" t="s">
        <v>463</v>
      </c>
      <c r="H53">
        <v>26</v>
      </c>
      <c r="I53" t="s">
        <v>142</v>
      </c>
      <c r="N53" t="s">
        <v>878</v>
      </c>
    </row>
    <row r="54" spans="1:14">
      <c r="A54" t="s">
        <v>604</v>
      </c>
      <c r="B54" t="s">
        <v>188</v>
      </c>
      <c r="C54" t="s">
        <v>342</v>
      </c>
      <c r="D54" t="s">
        <v>295</v>
      </c>
      <c r="G54" t="s">
        <v>464</v>
      </c>
      <c r="H54">
        <v>41</v>
      </c>
      <c r="I54" t="s">
        <v>135</v>
      </c>
      <c r="N54" t="s">
        <v>879</v>
      </c>
    </row>
    <row r="55" spans="1:14">
      <c r="A55" t="s">
        <v>605</v>
      </c>
      <c r="B55" t="s">
        <v>189</v>
      </c>
      <c r="C55" t="s">
        <v>343</v>
      </c>
      <c r="D55" t="s">
        <v>352</v>
      </c>
      <c r="G55" t="s">
        <v>465</v>
      </c>
      <c r="H55">
        <v>41</v>
      </c>
      <c r="I55" t="s">
        <v>135</v>
      </c>
      <c r="N55" t="s">
        <v>880</v>
      </c>
    </row>
    <row r="56" spans="1:14">
      <c r="A56" t="s">
        <v>606</v>
      </c>
      <c r="B56" t="s">
        <v>738</v>
      </c>
      <c r="C56" t="s">
        <v>344</v>
      </c>
      <c r="D56" t="s">
        <v>127</v>
      </c>
      <c r="G56" t="s">
        <v>466</v>
      </c>
      <c r="H56">
        <v>31</v>
      </c>
      <c r="I56" t="s">
        <v>142</v>
      </c>
      <c r="N56" t="s">
        <v>881</v>
      </c>
    </row>
    <row r="57" spans="1:14">
      <c r="A57" t="s">
        <v>607</v>
      </c>
      <c r="B57" t="s">
        <v>190</v>
      </c>
      <c r="C57" t="s">
        <v>345</v>
      </c>
      <c r="D57" t="s">
        <v>117</v>
      </c>
      <c r="G57" t="s">
        <v>467</v>
      </c>
      <c r="H57">
        <v>13</v>
      </c>
      <c r="I57" t="s">
        <v>129</v>
      </c>
      <c r="N57" t="s">
        <v>882</v>
      </c>
    </row>
    <row r="58" spans="1:14">
      <c r="A58" t="s">
        <v>608</v>
      </c>
      <c r="B58" t="s">
        <v>191</v>
      </c>
      <c r="C58" t="s">
        <v>294</v>
      </c>
      <c r="D58" t="s">
        <v>367</v>
      </c>
      <c r="G58" t="s">
        <v>468</v>
      </c>
      <c r="H58">
        <v>37</v>
      </c>
      <c r="I58" t="s">
        <v>135</v>
      </c>
      <c r="N58" t="s">
        <v>883</v>
      </c>
    </row>
    <row r="59" spans="1:14">
      <c r="A59" t="s">
        <v>1131</v>
      </c>
      <c r="B59" t="s">
        <v>192</v>
      </c>
      <c r="C59" t="s">
        <v>346</v>
      </c>
      <c r="D59" t="s">
        <v>370</v>
      </c>
      <c r="G59" t="s">
        <v>469</v>
      </c>
      <c r="H59">
        <v>72</v>
      </c>
      <c r="N59" t="s">
        <v>884</v>
      </c>
    </row>
    <row r="60" spans="1:14">
      <c r="A60" t="s">
        <v>609</v>
      </c>
      <c r="B60" t="s">
        <v>193</v>
      </c>
      <c r="C60" t="s">
        <v>347</v>
      </c>
      <c r="D60" t="s">
        <v>282</v>
      </c>
      <c r="G60" t="s">
        <v>470</v>
      </c>
      <c r="H60">
        <v>22</v>
      </c>
      <c r="I60" t="s">
        <v>137</v>
      </c>
      <c r="N60" t="s">
        <v>885</v>
      </c>
    </row>
    <row r="61" spans="1:14">
      <c r="A61" t="s">
        <v>610</v>
      </c>
      <c r="B61" t="s">
        <v>194</v>
      </c>
      <c r="C61" t="s">
        <v>348</v>
      </c>
      <c r="D61" t="s">
        <v>378</v>
      </c>
      <c r="G61" t="s">
        <v>471</v>
      </c>
      <c r="H61">
        <v>17</v>
      </c>
      <c r="I61" t="s">
        <v>139</v>
      </c>
      <c r="N61" t="s">
        <v>886</v>
      </c>
    </row>
    <row r="62" spans="1:14">
      <c r="A62" t="s">
        <v>611</v>
      </c>
      <c r="B62" t="s">
        <v>195</v>
      </c>
      <c r="C62" t="s">
        <v>349</v>
      </c>
      <c r="D62" t="s">
        <v>396</v>
      </c>
      <c r="G62" t="s">
        <v>472</v>
      </c>
      <c r="H62">
        <v>23</v>
      </c>
      <c r="I62" t="s">
        <v>136</v>
      </c>
      <c r="N62" t="s">
        <v>887</v>
      </c>
    </row>
    <row r="63" spans="1:14">
      <c r="A63" t="s">
        <v>612</v>
      </c>
      <c r="B63" t="s">
        <v>196</v>
      </c>
      <c r="C63" t="s">
        <v>350</v>
      </c>
      <c r="D63" t="s">
        <v>369</v>
      </c>
      <c r="G63" t="s">
        <v>473</v>
      </c>
      <c r="H63">
        <v>36</v>
      </c>
      <c r="I63" t="s">
        <v>136</v>
      </c>
      <c r="N63" t="s">
        <v>888</v>
      </c>
    </row>
    <row r="64" spans="1:14">
      <c r="A64" t="s">
        <v>613</v>
      </c>
      <c r="B64" t="s">
        <v>197</v>
      </c>
      <c r="C64" t="s">
        <v>351</v>
      </c>
      <c r="D64" t="s">
        <v>821</v>
      </c>
      <c r="G64" t="s">
        <v>474</v>
      </c>
      <c r="H64">
        <v>34</v>
      </c>
      <c r="I64" t="s">
        <v>136</v>
      </c>
      <c r="N64" t="s">
        <v>889</v>
      </c>
    </row>
    <row r="65" spans="1:14">
      <c r="A65" t="s">
        <v>614</v>
      </c>
      <c r="B65" t="s">
        <v>198</v>
      </c>
      <c r="C65" t="s">
        <v>295</v>
      </c>
      <c r="D65" t="s">
        <v>398</v>
      </c>
      <c r="G65" t="s">
        <v>475</v>
      </c>
      <c r="H65">
        <v>35</v>
      </c>
      <c r="I65" t="s">
        <v>136</v>
      </c>
      <c r="N65" t="s">
        <v>890</v>
      </c>
    </row>
    <row r="66" spans="1:14">
      <c r="A66" t="s">
        <v>615</v>
      </c>
      <c r="B66" t="s">
        <v>199</v>
      </c>
      <c r="C66" t="s">
        <v>352</v>
      </c>
      <c r="D66" t="s">
        <v>283</v>
      </c>
      <c r="G66" t="s">
        <v>770</v>
      </c>
      <c r="H66">
        <v>73</v>
      </c>
      <c r="I66" t="s">
        <v>132</v>
      </c>
      <c r="N66" t="s">
        <v>891</v>
      </c>
    </row>
    <row r="67" spans="1:14">
      <c r="A67" t="s">
        <v>616</v>
      </c>
      <c r="B67" t="s">
        <v>200</v>
      </c>
      <c r="C67" t="s">
        <v>353</v>
      </c>
      <c r="D67" t="s">
        <v>394</v>
      </c>
      <c r="G67" t="s">
        <v>476</v>
      </c>
      <c r="H67">
        <v>73</v>
      </c>
      <c r="I67" t="s">
        <v>132</v>
      </c>
      <c r="N67" t="s">
        <v>892</v>
      </c>
    </row>
    <row r="68" spans="1:14">
      <c r="A68" t="s">
        <v>617</v>
      </c>
      <c r="B68" t="s">
        <v>202</v>
      </c>
      <c r="C68" t="s">
        <v>354</v>
      </c>
      <c r="D68" t="s">
        <v>372</v>
      </c>
      <c r="G68" t="s">
        <v>477</v>
      </c>
      <c r="H68">
        <v>1</v>
      </c>
      <c r="I68" t="s">
        <v>131</v>
      </c>
      <c r="N68" t="s">
        <v>893</v>
      </c>
    </row>
    <row r="69" spans="1:14">
      <c r="A69" t="s">
        <v>618</v>
      </c>
      <c r="B69" t="s">
        <v>203</v>
      </c>
      <c r="C69" t="s">
        <v>296</v>
      </c>
      <c r="D69" t="s">
        <v>393</v>
      </c>
      <c r="G69" t="s">
        <v>779</v>
      </c>
      <c r="H69">
        <v>5</v>
      </c>
      <c r="I69" t="s">
        <v>1132</v>
      </c>
      <c r="N69" t="s">
        <v>894</v>
      </c>
    </row>
    <row r="70" spans="1:14">
      <c r="A70" t="s">
        <v>619</v>
      </c>
      <c r="B70" t="s">
        <v>204</v>
      </c>
      <c r="C70" t="s">
        <v>118</v>
      </c>
      <c r="D70" t="s">
        <v>392</v>
      </c>
      <c r="G70" t="s">
        <v>780</v>
      </c>
      <c r="H70">
        <v>5</v>
      </c>
      <c r="I70" t="s">
        <v>1132</v>
      </c>
      <c r="N70" t="s">
        <v>895</v>
      </c>
    </row>
    <row r="71" spans="1:14">
      <c r="A71" t="s">
        <v>620</v>
      </c>
      <c r="B71" t="s">
        <v>205</v>
      </c>
      <c r="C71" t="s">
        <v>355</v>
      </c>
      <c r="D71" t="s">
        <v>391</v>
      </c>
      <c r="G71" t="s">
        <v>478</v>
      </c>
      <c r="H71">
        <v>2</v>
      </c>
      <c r="I71" t="s">
        <v>1133</v>
      </c>
      <c r="N71" t="s">
        <v>896</v>
      </c>
    </row>
    <row r="72" spans="1:14">
      <c r="A72" t="s">
        <v>621</v>
      </c>
      <c r="B72" t="s">
        <v>206</v>
      </c>
      <c r="C72" t="s">
        <v>356</v>
      </c>
      <c r="D72" t="s">
        <v>403</v>
      </c>
      <c r="G72" t="s">
        <v>479</v>
      </c>
      <c r="H72">
        <v>2</v>
      </c>
      <c r="I72" t="s">
        <v>1133</v>
      </c>
      <c r="N72" t="s">
        <v>897</v>
      </c>
    </row>
    <row r="73" spans="1:14">
      <c r="A73" t="s">
        <v>622</v>
      </c>
      <c r="B73" t="s">
        <v>207</v>
      </c>
      <c r="C73" t="s">
        <v>357</v>
      </c>
      <c r="D73" t="s">
        <v>822</v>
      </c>
      <c r="G73" t="s">
        <v>480</v>
      </c>
      <c r="H73">
        <v>51</v>
      </c>
      <c r="I73" t="s">
        <v>144</v>
      </c>
      <c r="N73" t="s">
        <v>898</v>
      </c>
    </row>
    <row r="74" spans="1:14">
      <c r="A74" t="s">
        <v>623</v>
      </c>
      <c r="B74" t="s">
        <v>208</v>
      </c>
      <c r="C74" t="s">
        <v>358</v>
      </c>
      <c r="D74" t="s">
        <v>823</v>
      </c>
      <c r="G74" t="s">
        <v>781</v>
      </c>
      <c r="H74">
        <v>43</v>
      </c>
      <c r="I74" t="s">
        <v>136</v>
      </c>
      <c r="N74" t="s">
        <v>899</v>
      </c>
    </row>
    <row r="75" spans="1:14">
      <c r="A75" t="s">
        <v>624</v>
      </c>
      <c r="B75" t="s">
        <v>209</v>
      </c>
      <c r="C75" t="s">
        <v>359</v>
      </c>
      <c r="D75" t="s">
        <v>824</v>
      </c>
      <c r="G75" t="s">
        <v>782</v>
      </c>
      <c r="H75">
        <v>52</v>
      </c>
      <c r="I75" t="s">
        <v>132</v>
      </c>
      <c r="N75" t="s">
        <v>900</v>
      </c>
    </row>
    <row r="76" spans="1:14">
      <c r="A76" t="s">
        <v>625</v>
      </c>
      <c r="B76" t="s">
        <v>210</v>
      </c>
      <c r="C76" t="s">
        <v>360</v>
      </c>
      <c r="D76" t="s">
        <v>825</v>
      </c>
      <c r="G76" t="s">
        <v>783</v>
      </c>
      <c r="H76">
        <v>25</v>
      </c>
      <c r="I76" t="s">
        <v>136</v>
      </c>
      <c r="N76" t="s">
        <v>901</v>
      </c>
    </row>
    <row r="77" spans="1:14">
      <c r="A77" t="s">
        <v>626</v>
      </c>
      <c r="B77" t="s">
        <v>806</v>
      </c>
      <c r="C77" t="s">
        <v>361</v>
      </c>
      <c r="D77" t="s">
        <v>406</v>
      </c>
      <c r="G77" t="s">
        <v>784</v>
      </c>
      <c r="H77">
        <v>12</v>
      </c>
      <c r="I77" t="s">
        <v>137</v>
      </c>
      <c r="N77" t="s">
        <v>902</v>
      </c>
    </row>
    <row r="78" spans="1:14">
      <c r="A78" t="s">
        <v>6</v>
      </c>
      <c r="B78" t="s">
        <v>211</v>
      </c>
      <c r="C78" t="s">
        <v>362</v>
      </c>
      <c r="D78" t="s">
        <v>146</v>
      </c>
      <c r="G78" t="s">
        <v>785</v>
      </c>
      <c r="H78">
        <v>8</v>
      </c>
      <c r="I78" t="s">
        <v>136</v>
      </c>
      <c r="N78" t="s">
        <v>903</v>
      </c>
    </row>
    <row r="79" spans="1:14">
      <c r="A79" t="s">
        <v>627</v>
      </c>
      <c r="B79" t="s">
        <v>212</v>
      </c>
      <c r="C79" t="s">
        <v>363</v>
      </c>
      <c r="D79" t="s">
        <v>379</v>
      </c>
      <c r="G79" t="s">
        <v>120</v>
      </c>
      <c r="H79">
        <v>28</v>
      </c>
      <c r="I79" t="s">
        <v>136</v>
      </c>
      <c r="N79" t="s">
        <v>904</v>
      </c>
    </row>
    <row r="80" spans="1:14">
      <c r="B80" t="s">
        <v>213</v>
      </c>
      <c r="C80" t="s">
        <v>364</v>
      </c>
      <c r="D80" t="s">
        <v>826</v>
      </c>
      <c r="G80" t="s">
        <v>481</v>
      </c>
      <c r="N80" t="s">
        <v>905</v>
      </c>
    </row>
    <row r="81" spans="2:14">
      <c r="B81" t="s">
        <v>214</v>
      </c>
      <c r="C81" t="s">
        <v>365</v>
      </c>
      <c r="D81" t="s">
        <v>364</v>
      </c>
      <c r="G81" t="s">
        <v>482</v>
      </c>
      <c r="N81" t="s">
        <v>906</v>
      </c>
    </row>
    <row r="82" spans="2:14">
      <c r="B82" t="s">
        <v>215</v>
      </c>
      <c r="G82" t="s">
        <v>483</v>
      </c>
      <c r="N82" t="s">
        <v>907</v>
      </c>
    </row>
    <row r="83" spans="2:14">
      <c r="B83" t="s">
        <v>216</v>
      </c>
      <c r="G83" t="s">
        <v>484</v>
      </c>
      <c r="N83" t="s">
        <v>908</v>
      </c>
    </row>
    <row r="84" spans="2:14">
      <c r="B84" t="s">
        <v>217</v>
      </c>
      <c r="G84" t="s">
        <v>485</v>
      </c>
      <c r="N84" t="s">
        <v>909</v>
      </c>
    </row>
    <row r="85" spans="2:14">
      <c r="B85" t="s">
        <v>739</v>
      </c>
      <c r="G85" t="s">
        <v>486</v>
      </c>
      <c r="N85" t="s">
        <v>910</v>
      </c>
    </row>
    <row r="86" spans="2:14">
      <c r="B86" t="s">
        <v>740</v>
      </c>
      <c r="G86" t="s">
        <v>487</v>
      </c>
      <c r="N86" t="s">
        <v>911</v>
      </c>
    </row>
    <row r="87" spans="2:14">
      <c r="B87" t="s">
        <v>218</v>
      </c>
      <c r="G87" t="s">
        <v>488</v>
      </c>
      <c r="N87" t="s">
        <v>912</v>
      </c>
    </row>
    <row r="88" spans="2:14">
      <c r="B88" t="s">
        <v>219</v>
      </c>
      <c r="G88" t="s">
        <v>489</v>
      </c>
      <c r="N88" t="s">
        <v>913</v>
      </c>
    </row>
    <row r="89" spans="2:14">
      <c r="B89" t="s">
        <v>741</v>
      </c>
      <c r="G89" t="s">
        <v>490</v>
      </c>
      <c r="N89" t="s">
        <v>914</v>
      </c>
    </row>
    <row r="90" spans="2:14">
      <c r="B90" t="s">
        <v>742</v>
      </c>
      <c r="G90" t="s">
        <v>786</v>
      </c>
      <c r="N90" t="s">
        <v>915</v>
      </c>
    </row>
    <row r="91" spans="2:14">
      <c r="B91" t="s">
        <v>220</v>
      </c>
      <c r="G91" t="s">
        <v>787</v>
      </c>
      <c r="N91" t="s">
        <v>916</v>
      </c>
    </row>
    <row r="92" spans="2:14">
      <c r="B92" t="s">
        <v>221</v>
      </c>
      <c r="G92" t="s">
        <v>491</v>
      </c>
      <c r="N92" t="s">
        <v>917</v>
      </c>
    </row>
    <row r="93" spans="2:14">
      <c r="B93" t="s">
        <v>222</v>
      </c>
      <c r="G93" t="s">
        <v>771</v>
      </c>
      <c r="N93" t="s">
        <v>918</v>
      </c>
    </row>
    <row r="94" spans="2:14">
      <c r="B94" t="s">
        <v>223</v>
      </c>
      <c r="G94" t="s">
        <v>492</v>
      </c>
      <c r="N94" t="s">
        <v>919</v>
      </c>
    </row>
    <row r="95" spans="2:14">
      <c r="B95" t="s">
        <v>224</v>
      </c>
      <c r="G95" t="s">
        <v>493</v>
      </c>
      <c r="N95" t="s">
        <v>920</v>
      </c>
    </row>
    <row r="96" spans="2:14">
      <c r="B96" t="s">
        <v>225</v>
      </c>
      <c r="N96" t="s">
        <v>921</v>
      </c>
    </row>
    <row r="97" spans="2:14">
      <c r="B97" t="s">
        <v>226</v>
      </c>
      <c r="N97" t="s">
        <v>922</v>
      </c>
    </row>
    <row r="98" spans="2:14">
      <c r="B98" t="s">
        <v>227</v>
      </c>
      <c r="N98" t="s">
        <v>923</v>
      </c>
    </row>
    <row r="99" spans="2:14">
      <c r="B99" t="s">
        <v>228</v>
      </c>
      <c r="N99" t="s">
        <v>924</v>
      </c>
    </row>
    <row r="100" spans="2:14">
      <c r="B100" t="s">
        <v>229</v>
      </c>
      <c r="N100" t="s">
        <v>925</v>
      </c>
    </row>
    <row r="101" spans="2:14">
      <c r="B101" t="s">
        <v>230</v>
      </c>
      <c r="N101" t="s">
        <v>926</v>
      </c>
    </row>
    <row r="102" spans="2:14">
      <c r="B102" t="s">
        <v>231</v>
      </c>
      <c r="N102" t="s">
        <v>927</v>
      </c>
    </row>
    <row r="103" spans="2:14">
      <c r="B103" t="s">
        <v>232</v>
      </c>
      <c r="N103" t="s">
        <v>928</v>
      </c>
    </row>
    <row r="104" spans="2:14">
      <c r="B104" t="s">
        <v>233</v>
      </c>
      <c r="N104" t="s">
        <v>929</v>
      </c>
    </row>
    <row r="105" spans="2:14">
      <c r="B105" t="s">
        <v>235</v>
      </c>
      <c r="N105" t="s">
        <v>930</v>
      </c>
    </row>
    <row r="106" spans="2:14">
      <c r="B106" t="s">
        <v>234</v>
      </c>
      <c r="N106" t="s">
        <v>931</v>
      </c>
    </row>
    <row r="107" spans="2:14">
      <c r="B107" t="s">
        <v>807</v>
      </c>
      <c r="N107" t="s">
        <v>932</v>
      </c>
    </row>
    <row r="108" spans="2:14">
      <c r="B108" t="s">
        <v>808</v>
      </c>
      <c r="N108" t="s">
        <v>933</v>
      </c>
    </row>
    <row r="109" spans="2:14">
      <c r="B109" t="s">
        <v>236</v>
      </c>
      <c r="N109" t="s">
        <v>934</v>
      </c>
    </row>
    <row r="110" spans="2:14">
      <c r="B110" t="s">
        <v>809</v>
      </c>
      <c r="N110" t="s">
        <v>935</v>
      </c>
    </row>
    <row r="111" spans="2:14">
      <c r="B111" t="s">
        <v>810</v>
      </c>
      <c r="N111" t="s">
        <v>936</v>
      </c>
    </row>
    <row r="112" spans="2:14">
      <c r="B112" t="s">
        <v>237</v>
      </c>
      <c r="N112" t="s">
        <v>937</v>
      </c>
    </row>
    <row r="113" spans="2:14">
      <c r="B113" t="s">
        <v>743</v>
      </c>
      <c r="N113" t="s">
        <v>938</v>
      </c>
    </row>
    <row r="114" spans="2:14">
      <c r="B114" t="s">
        <v>744</v>
      </c>
      <c r="N114" t="s">
        <v>939</v>
      </c>
    </row>
    <row r="115" spans="2:14">
      <c r="B115" t="s">
        <v>745</v>
      </c>
      <c r="N115" t="s">
        <v>940</v>
      </c>
    </row>
    <row r="116" spans="2:14">
      <c r="B116" t="s">
        <v>746</v>
      </c>
      <c r="N116" t="s">
        <v>941</v>
      </c>
    </row>
    <row r="117" spans="2:14">
      <c r="B117" t="s">
        <v>238</v>
      </c>
      <c r="N117" t="s">
        <v>942</v>
      </c>
    </row>
    <row r="118" spans="2:14">
      <c r="B118" t="s">
        <v>747</v>
      </c>
      <c r="N118" t="s">
        <v>943</v>
      </c>
    </row>
    <row r="119" spans="2:14">
      <c r="B119" t="s">
        <v>239</v>
      </c>
      <c r="N119" t="s">
        <v>944</v>
      </c>
    </row>
    <row r="120" spans="2:14">
      <c r="B120" t="s">
        <v>240</v>
      </c>
      <c r="N120" t="s">
        <v>945</v>
      </c>
    </row>
    <row r="121" spans="2:14">
      <c r="B121" t="s">
        <v>241</v>
      </c>
      <c r="N121" t="s">
        <v>946</v>
      </c>
    </row>
    <row r="122" spans="2:14">
      <c r="B122" t="s">
        <v>242</v>
      </c>
      <c r="N122" t="s">
        <v>947</v>
      </c>
    </row>
    <row r="123" spans="2:14">
      <c r="B123" t="s">
        <v>243</v>
      </c>
      <c r="N123" t="s">
        <v>948</v>
      </c>
    </row>
    <row r="124" spans="2:14">
      <c r="B124" t="s">
        <v>244</v>
      </c>
      <c r="N124" t="s">
        <v>949</v>
      </c>
    </row>
    <row r="125" spans="2:14">
      <c r="B125" t="s">
        <v>245</v>
      </c>
      <c r="N125" t="s">
        <v>950</v>
      </c>
    </row>
    <row r="126" spans="2:14">
      <c r="B126" t="s">
        <v>246</v>
      </c>
      <c r="N126" t="s">
        <v>951</v>
      </c>
    </row>
    <row r="127" spans="2:14">
      <c r="B127" t="s">
        <v>247</v>
      </c>
      <c r="N127" t="s">
        <v>952</v>
      </c>
    </row>
    <row r="128" spans="2:14">
      <c r="B128" t="s">
        <v>248</v>
      </c>
      <c r="N128" t="s">
        <v>953</v>
      </c>
    </row>
    <row r="129" spans="2:14">
      <c r="B129" t="s">
        <v>249</v>
      </c>
      <c r="N129" t="s">
        <v>954</v>
      </c>
    </row>
    <row r="130" spans="2:14">
      <c r="B130" t="s">
        <v>250</v>
      </c>
      <c r="N130" t="s">
        <v>955</v>
      </c>
    </row>
    <row r="131" spans="2:14">
      <c r="B131" t="s">
        <v>251</v>
      </c>
      <c r="N131" t="s">
        <v>956</v>
      </c>
    </row>
    <row r="132" spans="2:14">
      <c r="B132" t="s">
        <v>252</v>
      </c>
      <c r="N132" t="s">
        <v>957</v>
      </c>
    </row>
    <row r="133" spans="2:14">
      <c r="B133" t="s">
        <v>253</v>
      </c>
      <c r="N133" t="s">
        <v>958</v>
      </c>
    </row>
    <row r="134" spans="2:14">
      <c r="B134" t="s">
        <v>254</v>
      </c>
      <c r="N134" t="s">
        <v>959</v>
      </c>
    </row>
    <row r="135" spans="2:14">
      <c r="B135" t="s">
        <v>255</v>
      </c>
      <c r="N135" t="s">
        <v>960</v>
      </c>
    </row>
    <row r="136" spans="2:14">
      <c r="B136" t="s">
        <v>811</v>
      </c>
      <c r="N136" t="s">
        <v>961</v>
      </c>
    </row>
    <row r="137" spans="2:14">
      <c r="B137" t="s">
        <v>812</v>
      </c>
      <c r="N137" t="s">
        <v>962</v>
      </c>
    </row>
    <row r="138" spans="2:14">
      <c r="B138" t="s">
        <v>256</v>
      </c>
      <c r="N138" t="s">
        <v>963</v>
      </c>
    </row>
    <row r="139" spans="2:14">
      <c r="B139" t="s">
        <v>257</v>
      </c>
      <c r="N139" t="s">
        <v>964</v>
      </c>
    </row>
    <row r="140" spans="2:14">
      <c r="B140" t="s">
        <v>258</v>
      </c>
      <c r="N140" t="s">
        <v>965</v>
      </c>
    </row>
    <row r="141" spans="2:14">
      <c r="B141" t="s">
        <v>9</v>
      </c>
      <c r="N141" t="s">
        <v>966</v>
      </c>
    </row>
    <row r="142" spans="2:14">
      <c r="B142" t="s">
        <v>259</v>
      </c>
      <c r="N142" t="s">
        <v>967</v>
      </c>
    </row>
    <row r="143" spans="2:14">
      <c r="B143" t="s">
        <v>260</v>
      </c>
      <c r="N143" t="s">
        <v>968</v>
      </c>
    </row>
    <row r="144" spans="2:14">
      <c r="B144" t="s">
        <v>261</v>
      </c>
      <c r="N144" t="s">
        <v>969</v>
      </c>
    </row>
    <row r="145" spans="2:14">
      <c r="B145" t="s">
        <v>262</v>
      </c>
      <c r="N145" t="s">
        <v>970</v>
      </c>
    </row>
    <row r="146" spans="2:14">
      <c r="B146" t="s">
        <v>263</v>
      </c>
      <c r="N146" t="s">
        <v>971</v>
      </c>
    </row>
    <row r="147" spans="2:14">
      <c r="B147" t="s">
        <v>264</v>
      </c>
      <c r="N147" t="s">
        <v>972</v>
      </c>
    </row>
    <row r="148" spans="2:14">
      <c r="B148" t="s">
        <v>265</v>
      </c>
      <c r="N148" t="s">
        <v>973</v>
      </c>
    </row>
    <row r="149" spans="2:14">
      <c r="B149" t="s">
        <v>266</v>
      </c>
      <c r="N149" t="s">
        <v>974</v>
      </c>
    </row>
    <row r="150" spans="2:14">
      <c r="B150" t="s">
        <v>267</v>
      </c>
      <c r="N150" t="s">
        <v>975</v>
      </c>
    </row>
    <row r="151" spans="2:14">
      <c r="B151" t="s">
        <v>268</v>
      </c>
      <c r="N151" t="s">
        <v>976</v>
      </c>
    </row>
    <row r="152" spans="2:14">
      <c r="B152" t="s">
        <v>813</v>
      </c>
      <c r="N152" t="s">
        <v>977</v>
      </c>
    </row>
    <row r="153" spans="2:14">
      <c r="B153" t="s">
        <v>269</v>
      </c>
      <c r="N153" t="s">
        <v>978</v>
      </c>
    </row>
    <row r="154" spans="2:14">
      <c r="B154" t="s">
        <v>270</v>
      </c>
      <c r="N154" t="s">
        <v>979</v>
      </c>
    </row>
    <row r="155" spans="2:14">
      <c r="B155" t="s">
        <v>271</v>
      </c>
      <c r="N155" t="s">
        <v>980</v>
      </c>
    </row>
    <row r="156" spans="2:14">
      <c r="B156" t="s">
        <v>814</v>
      </c>
      <c r="N156" t="s">
        <v>981</v>
      </c>
    </row>
    <row r="157" spans="2:14">
      <c r="B157" t="s">
        <v>815</v>
      </c>
      <c r="N157" t="s">
        <v>982</v>
      </c>
    </row>
    <row r="158" spans="2:14">
      <c r="B158" t="s">
        <v>272</v>
      </c>
      <c r="N158" t="s">
        <v>983</v>
      </c>
    </row>
    <row r="159" spans="2:14">
      <c r="B159" t="s">
        <v>748</v>
      </c>
      <c r="N159" t="s">
        <v>984</v>
      </c>
    </row>
    <row r="160" spans="2:14">
      <c r="B160" t="s">
        <v>273</v>
      </c>
      <c r="N160" t="s">
        <v>985</v>
      </c>
    </row>
    <row r="161" spans="2:14">
      <c r="B161" t="s">
        <v>274</v>
      </c>
      <c r="N161" t="s">
        <v>986</v>
      </c>
    </row>
    <row r="162" spans="2:14">
      <c r="B162" t="s">
        <v>275</v>
      </c>
      <c r="N162" t="s">
        <v>987</v>
      </c>
    </row>
    <row r="163" spans="2:14">
      <c r="B163" t="s">
        <v>276</v>
      </c>
      <c r="N163" t="s">
        <v>988</v>
      </c>
    </row>
    <row r="164" spans="2:14">
      <c r="B164" t="s">
        <v>277</v>
      </c>
      <c r="N164" t="s">
        <v>989</v>
      </c>
    </row>
    <row r="165" spans="2:14">
      <c r="B165" t="s">
        <v>278</v>
      </c>
      <c r="N165" t="s">
        <v>990</v>
      </c>
    </row>
    <row r="166" spans="2:14">
      <c r="B166" t="s">
        <v>279</v>
      </c>
      <c r="N166" t="s">
        <v>991</v>
      </c>
    </row>
    <row r="167" spans="2:14">
      <c r="B167" t="s">
        <v>280</v>
      </c>
      <c r="N167" t="s">
        <v>992</v>
      </c>
    </row>
    <row r="168" spans="2:14">
      <c r="N168" t="s">
        <v>993</v>
      </c>
    </row>
    <row r="169" spans="2:14">
      <c r="N169" t="s">
        <v>994</v>
      </c>
    </row>
    <row r="170" spans="2:14">
      <c r="N170" t="s">
        <v>995</v>
      </c>
    </row>
    <row r="171" spans="2:14">
      <c r="N171" t="s">
        <v>996</v>
      </c>
    </row>
    <row r="172" spans="2:14">
      <c r="N172" t="s">
        <v>997</v>
      </c>
    </row>
    <row r="173" spans="2:14">
      <c r="N173" t="s">
        <v>998</v>
      </c>
    </row>
    <row r="174" spans="2:14">
      <c r="N174" t="s">
        <v>999</v>
      </c>
    </row>
    <row r="175" spans="2:14">
      <c r="N175" t="s">
        <v>1000</v>
      </c>
    </row>
    <row r="176" spans="2:14">
      <c r="N176" t="s">
        <v>1001</v>
      </c>
    </row>
    <row r="177" spans="14:14">
      <c r="N177" t="s">
        <v>1002</v>
      </c>
    </row>
    <row r="178" spans="14:14">
      <c r="N178" t="s">
        <v>1003</v>
      </c>
    </row>
    <row r="179" spans="14:14">
      <c r="N179" t="s">
        <v>1004</v>
      </c>
    </row>
    <row r="180" spans="14:14">
      <c r="N180" t="s">
        <v>1005</v>
      </c>
    </row>
    <row r="181" spans="14:14">
      <c r="N181" t="s">
        <v>1006</v>
      </c>
    </row>
    <row r="182" spans="14:14">
      <c r="N182" t="s">
        <v>1007</v>
      </c>
    </row>
    <row r="183" spans="14:14">
      <c r="N183" t="s">
        <v>1008</v>
      </c>
    </row>
    <row r="184" spans="14:14">
      <c r="N184" t="s">
        <v>1009</v>
      </c>
    </row>
    <row r="185" spans="14:14">
      <c r="N185" t="s">
        <v>1010</v>
      </c>
    </row>
    <row r="186" spans="14:14">
      <c r="N186" t="s">
        <v>1011</v>
      </c>
    </row>
    <row r="187" spans="14:14">
      <c r="N187" t="s">
        <v>1012</v>
      </c>
    </row>
    <row r="188" spans="14:14">
      <c r="N188" t="s">
        <v>1013</v>
      </c>
    </row>
    <row r="189" spans="14:14">
      <c r="N189" t="s">
        <v>1014</v>
      </c>
    </row>
    <row r="190" spans="14:14">
      <c r="N190" t="s">
        <v>1015</v>
      </c>
    </row>
    <row r="191" spans="14:14">
      <c r="N191" t="s">
        <v>1016</v>
      </c>
    </row>
    <row r="192" spans="14:14">
      <c r="N192" t="s">
        <v>1017</v>
      </c>
    </row>
    <row r="193" spans="14:14">
      <c r="N193" t="s">
        <v>1018</v>
      </c>
    </row>
    <row r="194" spans="14:14">
      <c r="N194" t="s">
        <v>1019</v>
      </c>
    </row>
    <row r="195" spans="14:14">
      <c r="N195" t="s">
        <v>1020</v>
      </c>
    </row>
    <row r="196" spans="14:14">
      <c r="N196" t="s">
        <v>1021</v>
      </c>
    </row>
    <row r="197" spans="14:14">
      <c r="N197" t="s">
        <v>1022</v>
      </c>
    </row>
    <row r="198" spans="14:14">
      <c r="N198" t="s">
        <v>1023</v>
      </c>
    </row>
    <row r="199" spans="14:14">
      <c r="N199" t="s">
        <v>1024</v>
      </c>
    </row>
    <row r="200" spans="14:14">
      <c r="N200" t="s">
        <v>1025</v>
      </c>
    </row>
    <row r="201" spans="14:14">
      <c r="N201" t="s">
        <v>1026</v>
      </c>
    </row>
    <row r="202" spans="14:14">
      <c r="N202" t="s">
        <v>1027</v>
      </c>
    </row>
    <row r="203" spans="14:14">
      <c r="N203" t="s">
        <v>1028</v>
      </c>
    </row>
    <row r="204" spans="14:14">
      <c r="N204" t="s">
        <v>1029</v>
      </c>
    </row>
    <row r="205" spans="14:14">
      <c r="N205" t="s">
        <v>1030</v>
      </c>
    </row>
    <row r="206" spans="14:14">
      <c r="N206" t="s">
        <v>1031</v>
      </c>
    </row>
    <row r="207" spans="14:14">
      <c r="N207" t="s">
        <v>1032</v>
      </c>
    </row>
    <row r="208" spans="14:14">
      <c r="N208" t="s">
        <v>1033</v>
      </c>
    </row>
    <row r="209" spans="14:14">
      <c r="N209" t="s">
        <v>1034</v>
      </c>
    </row>
    <row r="210" spans="14:14">
      <c r="N210" t="s">
        <v>1035</v>
      </c>
    </row>
    <row r="211" spans="14:14">
      <c r="N211" t="s">
        <v>1036</v>
      </c>
    </row>
    <row r="212" spans="14:14">
      <c r="N212" t="s">
        <v>1037</v>
      </c>
    </row>
    <row r="213" spans="14:14">
      <c r="N213" t="s">
        <v>1038</v>
      </c>
    </row>
    <row r="214" spans="14:14">
      <c r="N214" t="s">
        <v>1039</v>
      </c>
    </row>
    <row r="215" spans="14:14">
      <c r="N215" t="s">
        <v>1040</v>
      </c>
    </row>
    <row r="216" spans="14:14">
      <c r="N216" t="s">
        <v>1041</v>
      </c>
    </row>
    <row r="217" spans="14:14">
      <c r="N217" t="s">
        <v>1042</v>
      </c>
    </row>
    <row r="218" spans="14:14">
      <c r="N218" t="s">
        <v>1043</v>
      </c>
    </row>
    <row r="219" spans="14:14">
      <c r="N219" t="s">
        <v>1044</v>
      </c>
    </row>
    <row r="220" spans="14:14">
      <c r="N220" t="s">
        <v>1045</v>
      </c>
    </row>
    <row r="221" spans="14:14">
      <c r="N221" t="s">
        <v>1046</v>
      </c>
    </row>
    <row r="222" spans="14:14">
      <c r="N222" t="s">
        <v>1047</v>
      </c>
    </row>
    <row r="223" spans="14:14">
      <c r="N223" t="s">
        <v>1048</v>
      </c>
    </row>
    <row r="224" spans="14:14">
      <c r="N224" t="s">
        <v>1049</v>
      </c>
    </row>
    <row r="225" spans="14:14">
      <c r="N225" t="s">
        <v>1050</v>
      </c>
    </row>
    <row r="226" spans="14:14">
      <c r="N226" t="s">
        <v>1051</v>
      </c>
    </row>
    <row r="227" spans="14:14">
      <c r="N227" t="s">
        <v>1052</v>
      </c>
    </row>
    <row r="228" spans="14:14">
      <c r="N228" t="s">
        <v>1053</v>
      </c>
    </row>
    <row r="229" spans="14:14">
      <c r="N229" t="s">
        <v>1054</v>
      </c>
    </row>
    <row r="230" spans="14:14">
      <c r="N230" t="s">
        <v>1055</v>
      </c>
    </row>
    <row r="231" spans="14:14">
      <c r="N231" t="s">
        <v>1056</v>
      </c>
    </row>
    <row r="232" spans="14:14">
      <c r="N232" t="s">
        <v>1057</v>
      </c>
    </row>
    <row r="233" spans="14:14">
      <c r="N233" t="s">
        <v>1058</v>
      </c>
    </row>
    <row r="234" spans="14:14">
      <c r="N234" t="s">
        <v>1059</v>
      </c>
    </row>
    <row r="235" spans="14:14">
      <c r="N235" t="s">
        <v>1060</v>
      </c>
    </row>
    <row r="236" spans="14:14">
      <c r="N236" t="s">
        <v>1061</v>
      </c>
    </row>
    <row r="237" spans="14:14">
      <c r="N237" t="s">
        <v>1062</v>
      </c>
    </row>
    <row r="238" spans="14:14">
      <c r="N238" t="s">
        <v>1063</v>
      </c>
    </row>
    <row r="239" spans="14:14">
      <c r="N239" t="s">
        <v>1064</v>
      </c>
    </row>
    <row r="240" spans="14:14">
      <c r="N240" t="s">
        <v>1065</v>
      </c>
    </row>
    <row r="241" spans="14:14">
      <c r="N241" t="s">
        <v>23</v>
      </c>
    </row>
    <row r="242" spans="14:14">
      <c r="N242" t="s">
        <v>1066</v>
      </c>
    </row>
    <row r="243" spans="14:14">
      <c r="N243" t="s">
        <v>1067</v>
      </c>
    </row>
    <row r="244" spans="14:14">
      <c r="N244" t="s">
        <v>1068</v>
      </c>
    </row>
    <row r="245" spans="14:14">
      <c r="N245" t="s">
        <v>1069</v>
      </c>
    </row>
    <row r="246" spans="14:14">
      <c r="N246" t="s">
        <v>1070</v>
      </c>
    </row>
    <row r="247" spans="14:14">
      <c r="N247" t="s">
        <v>1071</v>
      </c>
    </row>
    <row r="248" spans="14:14">
      <c r="N248" t="s">
        <v>1072</v>
      </c>
    </row>
    <row r="249" spans="14:14">
      <c r="N249" t="s">
        <v>1073</v>
      </c>
    </row>
    <row r="250" spans="14:14">
      <c r="N250" t="s">
        <v>1074</v>
      </c>
    </row>
    <row r="251" spans="14:14">
      <c r="N251" t="s">
        <v>1075</v>
      </c>
    </row>
    <row r="252" spans="14:14">
      <c r="N252" t="s">
        <v>1076</v>
      </c>
    </row>
    <row r="253" spans="14:14">
      <c r="N253" t="s">
        <v>1077</v>
      </c>
    </row>
    <row r="254" spans="14:14">
      <c r="N254" t="s">
        <v>1078</v>
      </c>
    </row>
    <row r="255" spans="14:14">
      <c r="N255" t="s">
        <v>1079</v>
      </c>
    </row>
    <row r="256" spans="14:14">
      <c r="N256" t="s">
        <v>1080</v>
      </c>
    </row>
    <row r="257" spans="14:14">
      <c r="N257" t="s">
        <v>1081</v>
      </c>
    </row>
    <row r="258" spans="14:14">
      <c r="N258" t="s">
        <v>1082</v>
      </c>
    </row>
    <row r="259" spans="14:14">
      <c r="N259" t="s">
        <v>1083</v>
      </c>
    </row>
    <row r="260" spans="14:14">
      <c r="N260" t="s">
        <v>1084</v>
      </c>
    </row>
    <row r="261" spans="14:14">
      <c r="N261" t="s">
        <v>1085</v>
      </c>
    </row>
    <row r="262" spans="14:14">
      <c r="N262" t="s">
        <v>1086</v>
      </c>
    </row>
    <row r="263" spans="14:14">
      <c r="N263" t="s">
        <v>1087</v>
      </c>
    </row>
    <row r="264" spans="14:14">
      <c r="N264" t="s">
        <v>1088</v>
      </c>
    </row>
    <row r="265" spans="14:14">
      <c r="N265" t="s">
        <v>1089</v>
      </c>
    </row>
    <row r="266" spans="14:14">
      <c r="N266" t="s">
        <v>1090</v>
      </c>
    </row>
    <row r="267" spans="14:14">
      <c r="N267" t="s">
        <v>1091</v>
      </c>
    </row>
    <row r="268" spans="14:14">
      <c r="N268" t="s">
        <v>1092</v>
      </c>
    </row>
    <row r="269" spans="14:14">
      <c r="N269" t="s">
        <v>1093</v>
      </c>
    </row>
    <row r="270" spans="14:14">
      <c r="N270" t="s">
        <v>1094</v>
      </c>
    </row>
    <row r="271" spans="14:14">
      <c r="N271" t="s">
        <v>1095</v>
      </c>
    </row>
    <row r="272" spans="14:14">
      <c r="N272" t="s">
        <v>1096</v>
      </c>
    </row>
    <row r="273" spans="14:14">
      <c r="N273" t="s">
        <v>1097</v>
      </c>
    </row>
    <row r="274" spans="14:14">
      <c r="N274" t="s">
        <v>1098</v>
      </c>
    </row>
    <row r="275" spans="14:14">
      <c r="N275" t="s">
        <v>1099</v>
      </c>
    </row>
    <row r="276" spans="14:14">
      <c r="N276" t="s">
        <v>1100</v>
      </c>
    </row>
    <row r="277" spans="14:14">
      <c r="N277" t="s">
        <v>1101</v>
      </c>
    </row>
    <row r="278" spans="14:14">
      <c r="N278" t="s">
        <v>1102</v>
      </c>
    </row>
    <row r="279" spans="14:14">
      <c r="N279" t="s">
        <v>1103</v>
      </c>
    </row>
    <row r="280" spans="14:14">
      <c r="N280" t="s">
        <v>1104</v>
      </c>
    </row>
    <row r="281" spans="14:14">
      <c r="N281" t="s">
        <v>1105</v>
      </c>
    </row>
    <row r="282" spans="14:14">
      <c r="N282" t="s">
        <v>1106</v>
      </c>
    </row>
    <row r="283" spans="14:14">
      <c r="N283" t="s">
        <v>1107</v>
      </c>
    </row>
    <row r="284" spans="14:14">
      <c r="N284" t="s">
        <v>1108</v>
      </c>
    </row>
    <row r="285" spans="14:14">
      <c r="N285" t="s">
        <v>1109</v>
      </c>
    </row>
    <row r="286" spans="14:14">
      <c r="N286" t="s">
        <v>1110</v>
      </c>
    </row>
    <row r="287" spans="14:14">
      <c r="N287" t="s">
        <v>1111</v>
      </c>
    </row>
    <row r="288" spans="14:14">
      <c r="N288" t="s">
        <v>1112</v>
      </c>
    </row>
    <row r="289" spans="14:14">
      <c r="N289" t="s">
        <v>1113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rgb="FF9A3412"/>
  </sheetPr>
  <dimension ref="A1:R69"/>
  <sheetViews>
    <sheetView workbookViewId="0">
      <pane xSplit="2" ySplit="18" topLeftCell="E19" activePane="bottomRight" state="frozen"/>
      <selection pane="topRight"/>
      <selection pane="bottomLeft"/>
      <selection pane="bottomRight" activeCell="P20" sqref="P20"/>
    </sheetView>
  </sheetViews>
  <sheetFormatPr baseColWidth="10" defaultColWidth="8.83203125" defaultRowHeight="15"/>
  <cols>
    <col min="1" max="1" width="5" customWidth="1"/>
    <col min="2" max="2" width="22" customWidth="1"/>
    <col min="3" max="6" width="10" customWidth="1"/>
    <col min="7" max="8" width="40" customWidth="1"/>
    <col min="9" max="9" width="3" customWidth="1"/>
    <col min="10" max="18" width="12" customWidth="1"/>
  </cols>
  <sheetData>
    <row r="1" spans="1:14" ht="18" customHeight="1">
      <c r="A1" s="52" t="s">
        <v>628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</row>
    <row r="2" spans="1:14">
      <c r="A2" s="8" t="s">
        <v>629</v>
      </c>
    </row>
    <row r="3" spans="1:14">
      <c r="A3" s="8" t="s">
        <v>630</v>
      </c>
    </row>
    <row r="5" spans="1:14" ht="28" customHeight="1">
      <c r="A5" s="11" t="s">
        <v>631</v>
      </c>
      <c r="B5" s="11" t="s">
        <v>632</v>
      </c>
      <c r="C5" s="11" t="s">
        <v>633</v>
      </c>
      <c r="D5" s="11" t="s">
        <v>634</v>
      </c>
      <c r="E5" s="11" t="s">
        <v>635</v>
      </c>
      <c r="F5" s="11" t="s">
        <v>636</v>
      </c>
      <c r="G5" s="11" t="s">
        <v>411</v>
      </c>
      <c r="H5" s="11" t="s">
        <v>637</v>
      </c>
    </row>
    <row r="6" spans="1:14">
      <c r="A6" s="12">
        <v>1</v>
      </c>
      <c r="B6" s="12" t="s">
        <v>127</v>
      </c>
      <c r="C6" s="12" t="s">
        <v>638</v>
      </c>
      <c r="D6" s="13">
        <v>10.5</v>
      </c>
      <c r="E6" s="12">
        <v>364506</v>
      </c>
      <c r="F6" s="12" t="s">
        <v>639</v>
      </c>
      <c r="G6" s="12" t="s">
        <v>115</v>
      </c>
      <c r="H6" s="12" t="s">
        <v>127</v>
      </c>
    </row>
    <row r="7" spans="1:14">
      <c r="A7" s="12">
        <v>2</v>
      </c>
      <c r="B7" s="12" t="s">
        <v>281</v>
      </c>
      <c r="C7" s="12" t="s">
        <v>640</v>
      </c>
      <c r="D7" s="13">
        <v>7.3</v>
      </c>
      <c r="E7" s="12">
        <v>397490</v>
      </c>
      <c r="F7" s="12" t="s">
        <v>641</v>
      </c>
      <c r="G7" s="12" t="s">
        <v>115</v>
      </c>
      <c r="H7" s="12" t="s">
        <v>281</v>
      </c>
    </row>
    <row r="8" spans="1:14">
      <c r="A8" s="12">
        <v>3</v>
      </c>
      <c r="B8" s="12" t="s">
        <v>401</v>
      </c>
      <c r="C8" s="12" t="s">
        <v>642</v>
      </c>
      <c r="D8" s="13">
        <v>8.9</v>
      </c>
      <c r="E8" s="12">
        <v>412305</v>
      </c>
      <c r="F8" s="12" t="s">
        <v>643</v>
      </c>
      <c r="G8" s="12" t="s">
        <v>115</v>
      </c>
      <c r="H8" s="12" t="s">
        <v>401</v>
      </c>
    </row>
    <row r="9" spans="1:14">
      <c r="A9" s="12">
        <v>4</v>
      </c>
      <c r="B9" s="12" t="s">
        <v>379</v>
      </c>
      <c r="C9" s="12" t="s">
        <v>644</v>
      </c>
      <c r="D9" s="13">
        <v>7.13</v>
      </c>
      <c r="E9" s="12">
        <v>412805</v>
      </c>
      <c r="F9" s="12" t="s">
        <v>645</v>
      </c>
      <c r="G9" s="12" t="s">
        <v>115</v>
      </c>
      <c r="H9" s="12" t="s">
        <v>379</v>
      </c>
    </row>
    <row r="10" spans="1:14">
      <c r="A10" s="12">
        <v>5</v>
      </c>
      <c r="B10" s="12" t="s">
        <v>116</v>
      </c>
      <c r="C10" s="12" t="s">
        <v>646</v>
      </c>
      <c r="D10" s="13">
        <v>8.9600000000000009</v>
      </c>
      <c r="E10" s="12">
        <v>412479</v>
      </c>
      <c r="F10" s="12" t="s">
        <v>647</v>
      </c>
      <c r="G10" s="12" t="s">
        <v>115</v>
      </c>
      <c r="H10" s="12" t="s">
        <v>116</v>
      </c>
    </row>
    <row r="11" spans="1:14">
      <c r="A11" s="12">
        <v>6</v>
      </c>
      <c r="B11" s="12" t="s">
        <v>128</v>
      </c>
      <c r="C11" s="12" t="s">
        <v>412</v>
      </c>
      <c r="D11" s="13"/>
      <c r="E11" s="12">
        <v>412723</v>
      </c>
      <c r="F11" s="12" t="s">
        <v>648</v>
      </c>
      <c r="G11" s="12" t="s">
        <v>649</v>
      </c>
      <c r="H11" s="12" t="s">
        <v>128</v>
      </c>
    </row>
    <row r="12" spans="1:14">
      <c r="A12" s="12">
        <v>7</v>
      </c>
      <c r="B12" s="12" t="s">
        <v>650</v>
      </c>
      <c r="C12" s="12" t="s">
        <v>412</v>
      </c>
      <c r="D12" s="13"/>
      <c r="E12" s="12">
        <v>702767</v>
      </c>
      <c r="F12" s="12" t="s">
        <v>651</v>
      </c>
      <c r="G12" s="12" t="s">
        <v>652</v>
      </c>
      <c r="H12" s="12" t="s">
        <v>653</v>
      </c>
    </row>
    <row r="13" spans="1:14">
      <c r="A13" s="12">
        <v>8</v>
      </c>
      <c r="B13" s="12" t="s">
        <v>654</v>
      </c>
      <c r="C13" s="12" t="s">
        <v>412</v>
      </c>
      <c r="D13" s="13"/>
      <c r="E13" s="12">
        <v>702769</v>
      </c>
      <c r="F13" s="12" t="s">
        <v>655</v>
      </c>
      <c r="G13" s="12" t="s">
        <v>652</v>
      </c>
      <c r="H13" s="12" t="s">
        <v>653</v>
      </c>
    </row>
    <row r="14" spans="1:14">
      <c r="A14" s="12">
        <v>9</v>
      </c>
      <c r="B14" s="12" t="s">
        <v>656</v>
      </c>
      <c r="C14" s="12" t="s">
        <v>412</v>
      </c>
      <c r="D14" s="13"/>
      <c r="E14" s="12">
        <v>702768</v>
      </c>
      <c r="F14" s="12" t="s">
        <v>657</v>
      </c>
      <c r="G14" s="12" t="s">
        <v>652</v>
      </c>
      <c r="H14" s="12" t="s">
        <v>653</v>
      </c>
    </row>
    <row r="16" spans="1:14">
      <c r="A16" s="14" t="s">
        <v>658</v>
      </c>
    </row>
    <row r="17" spans="1:18" ht="28" customHeight="1">
      <c r="A17" s="11" t="s">
        <v>631</v>
      </c>
      <c r="B17" s="11" t="s">
        <v>659</v>
      </c>
      <c r="C17" s="11" t="s">
        <v>660</v>
      </c>
      <c r="D17" s="11" t="s">
        <v>77</v>
      </c>
      <c r="E17" s="11" t="s">
        <v>661</v>
      </c>
      <c r="F17" s="11" t="s">
        <v>662</v>
      </c>
      <c r="G17" s="11" t="s">
        <v>663</v>
      </c>
      <c r="H17" s="11" t="s">
        <v>664</v>
      </c>
      <c r="I17" s="9"/>
      <c r="J17" s="9" t="s">
        <v>665</v>
      </c>
      <c r="K17" s="9" t="s">
        <v>666</v>
      </c>
      <c r="L17" s="9" t="s">
        <v>667</v>
      </c>
      <c r="M17" s="9" t="s">
        <v>668</v>
      </c>
      <c r="N17" s="9" t="s">
        <v>669</v>
      </c>
      <c r="O17" s="9" t="s">
        <v>670</v>
      </c>
      <c r="P17" s="9" t="s">
        <v>671</v>
      </c>
      <c r="Q17" s="9" t="s">
        <v>672</v>
      </c>
      <c r="R17" s="9" t="s">
        <v>673</v>
      </c>
    </row>
    <row r="18" spans="1:18">
      <c r="A18" s="15" t="s">
        <v>105</v>
      </c>
      <c r="B18" s="15" t="e">
        <f>Upload!E</f>
        <v>#NAME?</v>
      </c>
      <c r="C18" s="15" t="e">
        <f>Upload!AK</f>
        <v>#NAME?</v>
      </c>
      <c r="D18" s="15" t="e">
        <f>Upload!AL</f>
        <v>#NAME?</v>
      </c>
      <c r="E18" s="15" t="e">
        <f>Upload!AG</f>
        <v>#NAME?</v>
      </c>
      <c r="F18" s="15" t="e">
        <f>Upload!AI</f>
        <v>#NAME?</v>
      </c>
      <c r="G18" s="15" t="s">
        <v>105</v>
      </c>
      <c r="H18" s="15" t="s">
        <v>105</v>
      </c>
      <c r="I18" s="15"/>
      <c r="J18" s="15" t="s">
        <v>674</v>
      </c>
      <c r="K18" s="15" t="s">
        <v>674</v>
      </c>
      <c r="L18" s="15" t="s">
        <v>674</v>
      </c>
      <c r="M18" s="15" t="s">
        <v>674</v>
      </c>
      <c r="N18" s="15" t="s">
        <v>674</v>
      </c>
      <c r="O18" s="15" t="s">
        <v>674</v>
      </c>
      <c r="P18" s="15" t="s">
        <v>674</v>
      </c>
      <c r="Q18" s="15" t="s">
        <v>674</v>
      </c>
      <c r="R18" s="15" t="s">
        <v>674</v>
      </c>
    </row>
    <row r="19" spans="1:18">
      <c r="A19" s="10">
        <f t="shared" ref="A19:A50" si="0">_xludf.ROW()-18</f>
        <v>1</v>
      </c>
      <c r="B19" s="10" t="str">
        <f>Upload!E18</f>
        <v>211394C</v>
      </c>
      <c r="C19" s="10">
        <f>Upload!AJ18</f>
        <v>8</v>
      </c>
      <c r="D19" s="10">
        <f>Upload!AK18</f>
        <v>0</v>
      </c>
      <c r="E19" s="10">
        <f>Upload!AF18</f>
        <v>3.75</v>
      </c>
      <c r="F19" s="10" t="str">
        <f>Upload!AH18</f>
        <v/>
      </c>
      <c r="G19" s="10" t="str">
        <f>Upload!AE18</f>
        <v>48057-002-01 (Níquel) | 2.5 - 5.0 μm</v>
      </c>
      <c r="H19" s="10">
        <f>Upload!AG18</f>
        <v>0</v>
      </c>
      <c r="J19" s="16" t="str">
        <f>IFERROR(IF(OR(C19="",IF(ISNUMBER(SEARCH("Plata",G19)),E19,IF(ISNUMBER(SEARCH("Plata",H19)),F19,""))=""),"",$D$6*C19*(IF(ISNUMBER(SEARCH("Plata",G19)),E19,IF(ISNUMBER(SEARCH("Plata",H19)),F19,"")))/10000000),"")</f>
        <v/>
      </c>
      <c r="K19" s="16" t="str">
        <f>IFERROR(IF(OR(C19="",IF(OR(ISNUMBER(SEARCH("Estaño",G19)),ISNUMBER(SEARCH("Estañ",G19)),ISNUMBER(SEARCH("Tin",G19))),E19,IF(OR(ISNUMBER(SEARCH("Estaño",H19)),ISNUMBER(SEARCH("Estañ",H19)),ISNUMBER(SEARCH("Tin",H19))),F19,""))=""),"",$D$7*C19*(IF(OR(ISNUMBER(SEARCH("Estaño",G19)),ISNUMBER(SEARCH("Estañ",G19)),ISNUMBER(SEARCH("Tin",G19))),E19,IF(OR(ISNUMBER(SEARCH("Estaño",H19)),ISNUMBER(SEARCH("Estañ",H19)),ISNUMBER(SEARCH("Tin",H19))),F19,"")))/10000000),"")</f>
        <v/>
      </c>
      <c r="L19" s="16">
        <f>IFERROR(IF(OR(C19="",IF(OR(ISNUMBER(SEARCH("Níquel",G19)),ISNUMBER(SEARCH("Niquel",G19))),E19,IF(OR(ISNUMBER(SEARCH("Níquel",H19)),ISNUMBER(SEARCH("Niquel",H19))),F19,""))=""),"",$D$8*C19*(IF(OR(ISNUMBER(SEARCH("Níquel",G19)),ISNUMBER(SEARCH("Niquel",G19))),E19,IF(OR(ISNUMBER(SEARCH("Níquel",H19)),ISNUMBER(SEARCH("Niquel",H19))),F19,"")))/10000000),"")</f>
        <v>2.6699999999999998E-5</v>
      </c>
      <c r="M19" s="16" t="str">
        <f>IFERROR(IF(OR(C19="",IF(ISNUMBER(SEARCH("Zinc",G19)),E19,IF(ISNUMBER(SEARCH("Zinc",H19)),F19,""))=""),"",$D$9*C19*(IF(ISNUMBER(SEARCH("Zinc",G19)),E19,IF(ISNUMBER(SEARCH("Zinc",H19)),F19,"")))/10000000),"")</f>
        <v/>
      </c>
      <c r="N19" s="16" t="str">
        <f>IFERROR(IF(OR(C19="",IF(OR(ISNUMBER(SEARCH("Cobre",G19)),ISNUMBER(SEARCH("Bondal",G19))),E19,IF(OR(ISNUMBER(SEARCH("Cobre",H19)),ISNUMBER(SEARCH("Bondal",H19))),F19,""))=""),"",$D$10*C19*(IF(OR(ISNUMBER(SEARCH("Cobre",G19)),ISNUMBER(SEARCH("Bondal",G19))),E19,IF(OR(ISNUMBER(SEARCH("Cobre",H19)),ISNUMBER(SEARCH("Bondal",H19))),F19,"")))/10000000),"")</f>
        <v/>
      </c>
      <c r="O19" s="16" t="str">
        <f>IF(OR(N19="",NOT(OR(ISNUMBER(SEARCH("Antitarnish",Upload!N18&amp;Upload!O18&amp;Upload!P18&amp;Upload!Q18)),ISNUMBER(SEARCH("Anti Tarnish",Upload!N18&amp;Upload!O18&amp;Upload!P18&amp;Upload!Q18))))),"",0.0012*N19)</f>
        <v/>
      </c>
      <c r="P19" s="16" t="str">
        <f>IF(OR(D19="",NOT(OR(ISNUMBER(SEARCH("Epóx",Upload!N18&amp;Upload!O18&amp;Upload!P18&amp;Upload!Q18)),ISNUMBER(SEARCH("Epox",Upload!N18&amp;Upload!O18&amp;Upload!P18&amp;Upload!Q18)),ISNUMBER(SEARCH("Barniz",Upload!N18&amp;Upload!O18&amp;Upload!P18&amp;Upload!Q18))))),"",D19*0.000035)</f>
        <v/>
      </c>
      <c r="Q19" s="16" t="str">
        <f>IF(OR(D19="",NOT(OR(ISNUMBER(SEARCH("Epóx",Upload!N18&amp;Upload!O18&amp;Upload!P18&amp;Upload!Q18)),ISNUMBER(SEARCH("Epox",Upload!N18&amp;Upload!O18&amp;Upload!P18&amp;Upload!Q18)),ISNUMBER(SEARCH("Barniz",Upload!N18&amp;Upload!O18&amp;Upload!P18&amp;Upload!Q18))))),"",D19*0.000035)</f>
        <v/>
      </c>
      <c r="R19" s="16" t="str">
        <f>IF(P19="","",P19*1.07)</f>
        <v/>
      </c>
    </row>
    <row r="20" spans="1:18">
      <c r="A20" s="10">
        <f t="shared" si="0"/>
        <v>2</v>
      </c>
      <c r="B20" s="10" t="str">
        <f>Upload!E19</f>
        <v>211394D</v>
      </c>
      <c r="C20" s="10">
        <f>Upload!AJ19</f>
        <v>8</v>
      </c>
      <c r="D20" s="10">
        <f>Upload!AK19</f>
        <v>0</v>
      </c>
      <c r="E20" s="10">
        <f>Upload!AF19</f>
        <v>6.5</v>
      </c>
      <c r="F20" s="10" t="str">
        <f>Upload!AH19</f>
        <v/>
      </c>
      <c r="G20" s="10" t="str">
        <f>Upload!AE19</f>
        <v>ASTM B 545 (Niquel) | 5.0 - 8.0 μm</v>
      </c>
      <c r="H20" s="10">
        <f>Upload!AG19</f>
        <v>0</v>
      </c>
      <c r="J20" s="16" t="str">
        <f t="shared" ref="J20:J69" si="1">IFERROR(IF(OR(C20="",IF(ISNUMBER(SEARCH("Plata",G20)),E20,IF(ISNUMBER(SEARCH("Plata",H20)),F20,""))=""),"",$D$6*C20*(IF(ISNUMBER(SEARCH("Plata",G20)),E20,IF(ISNUMBER(SEARCH("Plata",H20)),F20,"")))/10000000),"")</f>
        <v/>
      </c>
      <c r="K20" s="16" t="str">
        <f t="shared" ref="K20:K69" si="2">IFERROR(IF(OR(C20="",IF(OR(ISNUMBER(SEARCH("Estaño",G20)),ISNUMBER(SEARCH("Estañ",G20)),ISNUMBER(SEARCH("Tin",G20))),E20,IF(OR(ISNUMBER(SEARCH("Estaño",H20)),ISNUMBER(SEARCH("Estañ",H20)),ISNUMBER(SEARCH("Tin",H20))),F20,""))=""),"",$D$7*C20*(IF(OR(ISNUMBER(SEARCH("Estaño",G20)),ISNUMBER(SEARCH("Estañ",G20)),ISNUMBER(SEARCH("Tin",G20))),E20,IF(OR(ISNUMBER(SEARCH("Estaño",H20)),ISNUMBER(SEARCH("Estañ",H20)),ISNUMBER(SEARCH("Tin",H20))),F20,"")))/10000000),"")</f>
        <v/>
      </c>
      <c r="L20" s="16">
        <f t="shared" ref="L20:L69" si="3">IFERROR(IF(OR(C20="",IF(OR(ISNUMBER(SEARCH("Níquel",G20)),ISNUMBER(SEARCH("Niquel",G20))),E20,IF(OR(ISNUMBER(SEARCH("Níquel",H20)),ISNUMBER(SEARCH("Niquel",H20))),F20,""))=""),"",$D$8*C20*(IF(OR(ISNUMBER(SEARCH("Níquel",G20)),ISNUMBER(SEARCH("Niquel",G20))),E20,IF(OR(ISNUMBER(SEARCH("Níquel",H20)),ISNUMBER(SEARCH("Niquel",H20))),F20,"")))/10000000),"")</f>
        <v>4.6280000000000004E-5</v>
      </c>
      <c r="M20" s="16" t="str">
        <f t="shared" ref="M20:M69" si="4">IFERROR(IF(OR(C20="",IF(ISNUMBER(SEARCH("Zinc",G20)),E20,IF(ISNUMBER(SEARCH("Zinc",H20)),F20,""))=""),"",$D$9*C20*(IF(ISNUMBER(SEARCH("Zinc",G20)),E20,IF(ISNUMBER(SEARCH("Zinc",H20)),F20,"")))/10000000),"")</f>
        <v/>
      </c>
      <c r="N20" s="16" t="str">
        <f t="shared" ref="N20:N69" si="5">IFERROR(IF(OR(C20="",IF(OR(ISNUMBER(SEARCH("Cobre",G20)),ISNUMBER(SEARCH("Bondal",G20))),E20,IF(OR(ISNUMBER(SEARCH("Cobre",H20)),ISNUMBER(SEARCH("Bondal",H20))),F20,""))=""),"",$D$10*C20*(IF(OR(ISNUMBER(SEARCH("Cobre",G20)),ISNUMBER(SEARCH("Bondal",G20))),E20,IF(OR(ISNUMBER(SEARCH("Cobre",H20)),ISNUMBER(SEARCH("Bondal",H20))),F20,"")))/10000000),"")</f>
        <v/>
      </c>
      <c r="O20" s="16" t="str">
        <f>IF(OR(N20="",NOT(OR(ISNUMBER(SEARCH("Antitarnish",Upload!N19&amp;Upload!O19&amp;Upload!P19&amp;Upload!Q19)),ISNUMBER(SEARCH("Anti Tarnish",Upload!N19&amp;Upload!O19&amp;Upload!P19&amp;Upload!Q19))))),"",0.0012*N20)</f>
        <v/>
      </c>
      <c r="P20" s="16" t="str">
        <f>IF(OR(D20="",NOT(OR(ISNUMBER(SEARCH("Epóx",Upload!N19&amp;Upload!O19&amp;Upload!P19&amp;Upload!Q19)),ISNUMBER(SEARCH("Epox",Upload!N19&amp;Upload!O19&amp;Upload!P19&amp;Upload!Q19)),ISNUMBER(SEARCH("Barniz",Upload!N19&amp;Upload!O19&amp;Upload!P19&amp;Upload!Q19))))),"",D20*0.000035)</f>
        <v/>
      </c>
      <c r="Q20" s="16" t="str">
        <f>IF(OR(D20="",NOT(OR(ISNUMBER(SEARCH("Epóx",Upload!N19&amp;Upload!O19&amp;Upload!P19&amp;Upload!Q19)),ISNUMBER(SEARCH("Epox",Upload!N19&amp;Upload!O19&amp;Upload!P19&amp;Upload!Q19)),ISNUMBER(SEARCH("Barniz",Upload!N19&amp;Upload!O19&amp;Upload!P19&amp;Upload!Q19))))),"",D20*0.000035)</f>
        <v/>
      </c>
      <c r="R20" s="16" t="str">
        <f t="shared" ref="R20:R69" si="6">IF(P20="","",P20*1.07)</f>
        <v/>
      </c>
    </row>
    <row r="21" spans="1:18">
      <c r="A21" s="10">
        <f t="shared" si="0"/>
        <v>3</v>
      </c>
      <c r="B21" s="10" t="str">
        <f>Upload!E20</f>
        <v xml:space="preserve">204871A                       </v>
      </c>
      <c r="C21" s="10">
        <f>Upload!AJ20</f>
        <v>16.48</v>
      </c>
      <c r="D21" s="10">
        <f>Upload!AK20</f>
        <v>0</v>
      </c>
      <c r="E21" s="10">
        <f>Upload!AF20</f>
        <v>3.75</v>
      </c>
      <c r="F21" s="10" t="str">
        <f>Upload!AH20</f>
        <v/>
      </c>
      <c r="G21" s="10" t="str">
        <f>Upload!AE20</f>
        <v>48057-002-01 (Níquel) | 2.5 - 5.0 μm</v>
      </c>
      <c r="H21" s="10">
        <f>Upload!AG20</f>
        <v>0</v>
      </c>
      <c r="J21" s="16" t="str">
        <f t="shared" si="1"/>
        <v/>
      </c>
      <c r="K21" s="16" t="str">
        <f t="shared" si="2"/>
        <v/>
      </c>
      <c r="L21" s="16">
        <f t="shared" si="3"/>
        <v>5.5002E-5</v>
      </c>
      <c r="M21" s="16" t="str">
        <f t="shared" si="4"/>
        <v/>
      </c>
      <c r="N21" s="16" t="str">
        <f t="shared" si="5"/>
        <v/>
      </c>
      <c r="O21" s="16" t="str">
        <f>IF(OR(N21="",NOT(OR(ISNUMBER(SEARCH("Antitarnish",Upload!N20&amp;Upload!O20&amp;Upload!P20&amp;Upload!Q20)),ISNUMBER(SEARCH("Anti Tarnish",Upload!N20&amp;Upload!O20&amp;Upload!P20&amp;Upload!Q20))))),"",0.0012*N21)</f>
        <v/>
      </c>
      <c r="P21" s="16" t="str">
        <f>IF(OR(D21="",NOT(OR(ISNUMBER(SEARCH("Epóx",Upload!N20&amp;Upload!O20&amp;Upload!P20&amp;Upload!Q20)),ISNUMBER(SEARCH("Epox",Upload!N20&amp;Upload!O20&amp;Upload!P20&amp;Upload!Q20)),ISNUMBER(SEARCH("Barniz",Upload!N20&amp;Upload!O20&amp;Upload!P20&amp;Upload!Q20))))),"",D21*0.000035)</f>
        <v/>
      </c>
      <c r="Q21" s="16" t="str">
        <f>IF(OR(D21="",NOT(OR(ISNUMBER(SEARCH("Epóx",Upload!N20&amp;Upload!O20&amp;Upload!P20&amp;Upload!Q20)),ISNUMBER(SEARCH("Epox",Upload!N20&amp;Upload!O20&amp;Upload!P20&amp;Upload!Q20)),ISNUMBER(SEARCH("Barniz",Upload!N20&amp;Upload!O20&amp;Upload!P20&amp;Upload!Q20))))),"",D21*0.000035)</f>
        <v/>
      </c>
      <c r="R21" s="16" t="str">
        <f t="shared" si="6"/>
        <v/>
      </c>
    </row>
    <row r="22" spans="1:18">
      <c r="A22" s="10">
        <f t="shared" si="0"/>
        <v>4</v>
      </c>
      <c r="B22" s="10" t="str">
        <f>Upload!E21</f>
        <v xml:space="preserve">204871C                       </v>
      </c>
      <c r="C22" s="10">
        <f>Upload!AJ21</f>
        <v>16.48</v>
      </c>
      <c r="D22" s="10">
        <f>Upload!AK21</f>
        <v>0</v>
      </c>
      <c r="E22" s="10">
        <f>Upload!AF21</f>
        <v>3.75</v>
      </c>
      <c r="F22" s="10" t="str">
        <f>Upload!AH21</f>
        <v/>
      </c>
      <c r="G22" s="10" t="str">
        <f>Upload!AE21</f>
        <v>48057-002-01 (Níquel) | 2.5 - 5.0 μm</v>
      </c>
      <c r="H22" s="10">
        <f>Upload!AG21</f>
        <v>0</v>
      </c>
      <c r="J22" s="16" t="str">
        <f t="shared" si="1"/>
        <v/>
      </c>
      <c r="K22" s="16" t="str">
        <f t="shared" si="2"/>
        <v/>
      </c>
      <c r="L22" s="16">
        <f t="shared" si="3"/>
        <v>5.5002E-5</v>
      </c>
      <c r="M22" s="16" t="str">
        <f t="shared" si="4"/>
        <v/>
      </c>
      <c r="N22" s="16" t="str">
        <f t="shared" si="5"/>
        <v/>
      </c>
      <c r="O22" s="16" t="str">
        <f>IF(OR(N22="",NOT(OR(ISNUMBER(SEARCH("Antitarnish",Upload!N21&amp;Upload!O21&amp;Upload!P21&amp;Upload!Q21)),ISNUMBER(SEARCH("Anti Tarnish",Upload!N21&amp;Upload!O21&amp;Upload!P21&amp;Upload!Q21))))),"",0.0012*N22)</f>
        <v/>
      </c>
      <c r="P22" s="16" t="str">
        <f>IF(OR(D22="",NOT(OR(ISNUMBER(SEARCH("Epóx",Upload!N21&amp;Upload!O21&amp;Upload!P21&amp;Upload!Q21)),ISNUMBER(SEARCH("Epox",Upload!N21&amp;Upload!O21&amp;Upload!P21&amp;Upload!Q21)),ISNUMBER(SEARCH("Barniz",Upload!N21&amp;Upload!O21&amp;Upload!P21&amp;Upload!Q21))))),"",D22*0.000035)</f>
        <v/>
      </c>
      <c r="Q22" s="16" t="str">
        <f>IF(OR(D22="",NOT(OR(ISNUMBER(SEARCH("Epóx",Upload!N21&amp;Upload!O21&amp;Upload!P21&amp;Upload!Q21)),ISNUMBER(SEARCH("Epox",Upload!N21&amp;Upload!O21&amp;Upload!P21&amp;Upload!Q21)),ISNUMBER(SEARCH("Barniz",Upload!N21&amp;Upload!O21&amp;Upload!P21&amp;Upload!Q21))))),"",D22*0.000035)</f>
        <v/>
      </c>
      <c r="R22" s="16" t="str">
        <f t="shared" si="6"/>
        <v/>
      </c>
    </row>
    <row r="23" spans="1:18">
      <c r="A23" s="10">
        <f t="shared" si="0"/>
        <v>5</v>
      </c>
      <c r="B23" s="10" t="str">
        <f>Upload!E22</f>
        <v xml:space="preserve">218793                        </v>
      </c>
      <c r="C23" s="10">
        <f>Upload!AJ22</f>
        <v>10.6</v>
      </c>
      <c r="D23" s="10">
        <f>Upload!AK22</f>
        <v>0</v>
      </c>
      <c r="E23" s="10">
        <f>Upload!AF22</f>
        <v>6.5</v>
      </c>
      <c r="F23" s="10" t="str">
        <f>Upload!AH22</f>
        <v/>
      </c>
      <c r="G23" s="10" t="str">
        <f>Upload!AE22</f>
        <v>ASTM B 545 (Niquel) | 5.0 - 8.0 μm</v>
      </c>
      <c r="H23" s="10">
        <f>Upload!AG22</f>
        <v>0</v>
      </c>
      <c r="J23" s="16" t="str">
        <f t="shared" si="1"/>
        <v/>
      </c>
      <c r="K23" s="16" t="str">
        <f t="shared" si="2"/>
        <v/>
      </c>
      <c r="L23" s="16">
        <f t="shared" si="3"/>
        <v>6.1321000000000005E-5</v>
      </c>
      <c r="M23" s="16" t="str">
        <f t="shared" si="4"/>
        <v/>
      </c>
      <c r="N23" s="16" t="str">
        <f t="shared" si="5"/>
        <v/>
      </c>
      <c r="O23" s="16" t="str">
        <f>IF(OR(N23="",NOT(OR(ISNUMBER(SEARCH("Antitarnish",Upload!N22&amp;Upload!O22&amp;Upload!P22&amp;Upload!Q22)),ISNUMBER(SEARCH("Anti Tarnish",Upload!N22&amp;Upload!O22&amp;Upload!P22&amp;Upload!Q22))))),"",0.0012*N23)</f>
        <v/>
      </c>
      <c r="P23" s="16" t="str">
        <f>IF(OR(D23="",NOT(OR(ISNUMBER(SEARCH("Epóx",Upload!N22&amp;Upload!O22&amp;Upload!P22&amp;Upload!Q22)),ISNUMBER(SEARCH("Epox",Upload!N22&amp;Upload!O22&amp;Upload!P22&amp;Upload!Q22)),ISNUMBER(SEARCH("Barniz",Upload!N22&amp;Upload!O22&amp;Upload!P22&amp;Upload!Q22))))),"",D23*0.000035)</f>
        <v/>
      </c>
      <c r="Q23" s="16" t="str">
        <f>IF(OR(D23="",NOT(OR(ISNUMBER(SEARCH("Epóx",Upload!N22&amp;Upload!O22&amp;Upload!P22&amp;Upload!Q22)),ISNUMBER(SEARCH("Epox",Upload!N22&amp;Upload!O22&amp;Upload!P22&amp;Upload!Q22)),ISNUMBER(SEARCH("Barniz",Upload!N22&amp;Upload!O22&amp;Upload!P22&amp;Upload!Q22))))),"",D23*0.000035)</f>
        <v/>
      </c>
      <c r="R23" s="16" t="str">
        <f t="shared" si="6"/>
        <v/>
      </c>
    </row>
    <row r="24" spans="1:18">
      <c r="A24" s="10">
        <f t="shared" si="0"/>
        <v>6</v>
      </c>
      <c r="B24" s="10">
        <f>Upload!E23</f>
        <v>0</v>
      </c>
      <c r="C24" s="10">
        <f>Upload!AJ23</f>
        <v>0</v>
      </c>
      <c r="D24" s="10">
        <f>Upload!AK23</f>
        <v>0</v>
      </c>
      <c r="E24" s="10" t="str">
        <f>Upload!AF23</f>
        <v/>
      </c>
      <c r="F24" s="10" t="str">
        <f>Upload!AH23</f>
        <v/>
      </c>
      <c r="G24" s="10">
        <f>Upload!AE23</f>
        <v>0</v>
      </c>
      <c r="H24" s="10">
        <f>Upload!AG23</f>
        <v>0</v>
      </c>
      <c r="J24" s="16" t="str">
        <f t="shared" si="1"/>
        <v/>
      </c>
      <c r="K24" s="16" t="str">
        <f t="shared" si="2"/>
        <v/>
      </c>
      <c r="L24" s="16" t="str">
        <f t="shared" si="3"/>
        <v/>
      </c>
      <c r="M24" s="16" t="str">
        <f t="shared" si="4"/>
        <v/>
      </c>
      <c r="N24" s="16" t="str">
        <f t="shared" si="5"/>
        <v/>
      </c>
      <c r="O24" s="16" t="str">
        <f>IF(OR(N24="",NOT(OR(ISNUMBER(SEARCH("Antitarnish",Upload!N23&amp;Upload!O23&amp;Upload!P23&amp;Upload!Q23)),ISNUMBER(SEARCH("Anti Tarnish",Upload!N23&amp;Upload!O23&amp;Upload!P23&amp;Upload!Q23))))),"",0.0012*N24)</f>
        <v/>
      </c>
      <c r="P24" s="16" t="str">
        <f>IF(OR(D24="",NOT(OR(ISNUMBER(SEARCH("Epóx",Upload!N23&amp;Upload!O23&amp;Upload!P23&amp;Upload!Q23)),ISNUMBER(SEARCH("Epox",Upload!N23&amp;Upload!O23&amp;Upload!P23&amp;Upload!Q23)),ISNUMBER(SEARCH("Barniz",Upload!N23&amp;Upload!O23&amp;Upload!P23&amp;Upload!Q23))))),"",D24*0.000035)</f>
        <v/>
      </c>
      <c r="Q24" s="16" t="str">
        <f>IF(OR(D24="",NOT(OR(ISNUMBER(SEARCH("Epóx",Upload!N23&amp;Upload!O23&amp;Upload!P23&amp;Upload!Q23)),ISNUMBER(SEARCH("Epox",Upload!N23&amp;Upload!O23&amp;Upload!P23&amp;Upload!Q23)),ISNUMBER(SEARCH("Barniz",Upload!N23&amp;Upload!O23&amp;Upload!P23&amp;Upload!Q23))))),"",D24*0.000035)</f>
        <v/>
      </c>
      <c r="R24" s="16" t="str">
        <f t="shared" si="6"/>
        <v/>
      </c>
    </row>
    <row r="25" spans="1:18">
      <c r="A25" s="10">
        <f t="shared" si="0"/>
        <v>7</v>
      </c>
      <c r="B25" s="10">
        <f>Upload!E24</f>
        <v>0</v>
      </c>
      <c r="C25" s="10">
        <f>Upload!AJ24</f>
        <v>0</v>
      </c>
      <c r="D25" s="10">
        <f>Upload!AK24</f>
        <v>0</v>
      </c>
      <c r="E25" s="10" t="str">
        <f>Upload!AF24</f>
        <v/>
      </c>
      <c r="F25" s="10" t="str">
        <f>Upload!AH24</f>
        <v/>
      </c>
      <c r="G25" s="10">
        <f>Upload!AE24</f>
        <v>0</v>
      </c>
      <c r="H25" s="10">
        <f>Upload!AG24</f>
        <v>0</v>
      </c>
      <c r="J25" s="16" t="str">
        <f t="shared" si="1"/>
        <v/>
      </c>
      <c r="K25" s="16" t="str">
        <f t="shared" si="2"/>
        <v/>
      </c>
      <c r="L25" s="16" t="str">
        <f t="shared" si="3"/>
        <v/>
      </c>
      <c r="M25" s="16" t="str">
        <f t="shared" si="4"/>
        <v/>
      </c>
      <c r="N25" s="16" t="str">
        <f t="shared" si="5"/>
        <v/>
      </c>
      <c r="O25" s="16" t="str">
        <f>IF(OR(N25="",NOT(OR(ISNUMBER(SEARCH("Antitarnish",Upload!N24&amp;Upload!O24&amp;Upload!P24&amp;Upload!Q24)),ISNUMBER(SEARCH("Anti Tarnish",Upload!N24&amp;Upload!O24&amp;Upload!P24&amp;Upload!Q24))))),"",0.0012*N25)</f>
        <v/>
      </c>
      <c r="P25" s="16" t="str">
        <f>IF(OR(D25="",NOT(OR(ISNUMBER(SEARCH("Epóx",Upload!N24&amp;Upload!O24&amp;Upload!P24&amp;Upload!Q24)),ISNUMBER(SEARCH("Epox",Upload!N24&amp;Upload!O24&amp;Upload!P24&amp;Upload!Q24)),ISNUMBER(SEARCH("Barniz",Upload!N24&amp;Upload!O24&amp;Upload!P24&amp;Upload!Q24))))),"",D25*0.000035)</f>
        <v/>
      </c>
      <c r="Q25" s="16" t="str">
        <f>IF(OR(D25="",NOT(OR(ISNUMBER(SEARCH("Epóx",Upload!N24&amp;Upload!O24&amp;Upload!P24&amp;Upload!Q24)),ISNUMBER(SEARCH("Epox",Upload!N24&amp;Upload!O24&amp;Upload!P24&amp;Upload!Q24)),ISNUMBER(SEARCH("Barniz",Upload!N24&amp;Upload!O24&amp;Upload!P24&amp;Upload!Q24))))),"",D25*0.000035)</f>
        <v/>
      </c>
      <c r="R25" s="16" t="str">
        <f t="shared" si="6"/>
        <v/>
      </c>
    </row>
    <row r="26" spans="1:18">
      <c r="A26" s="10">
        <f t="shared" si="0"/>
        <v>8</v>
      </c>
      <c r="B26" s="10">
        <f>Upload!E25</f>
        <v>0</v>
      </c>
      <c r="C26" s="10">
        <f>Upload!AJ25</f>
        <v>0</v>
      </c>
      <c r="D26" s="10">
        <f>Upload!AK25</f>
        <v>0</v>
      </c>
      <c r="E26" s="10" t="str">
        <f>Upload!AF25</f>
        <v/>
      </c>
      <c r="F26" s="10" t="str">
        <f>Upload!AH25</f>
        <v/>
      </c>
      <c r="G26" s="10">
        <f>Upload!AE25</f>
        <v>0</v>
      </c>
      <c r="H26" s="10">
        <f>Upload!AG25</f>
        <v>0</v>
      </c>
      <c r="J26" s="16" t="str">
        <f t="shared" si="1"/>
        <v/>
      </c>
      <c r="K26" s="16" t="str">
        <f t="shared" si="2"/>
        <v/>
      </c>
      <c r="L26" s="16" t="str">
        <f t="shared" si="3"/>
        <v/>
      </c>
      <c r="M26" s="16" t="str">
        <f t="shared" si="4"/>
        <v/>
      </c>
      <c r="N26" s="16" t="str">
        <f t="shared" si="5"/>
        <v/>
      </c>
      <c r="O26" s="16" t="str">
        <f>IF(OR(N26="",NOT(OR(ISNUMBER(SEARCH("Antitarnish",Upload!N25&amp;Upload!O25&amp;Upload!P25&amp;Upload!Q25)),ISNUMBER(SEARCH("Anti Tarnish",Upload!N25&amp;Upload!O25&amp;Upload!P25&amp;Upload!Q25))))),"",0.0012*N26)</f>
        <v/>
      </c>
      <c r="P26" s="16" t="str">
        <f>IF(OR(D26="",NOT(OR(ISNUMBER(SEARCH("Epóx",Upload!N25&amp;Upload!O25&amp;Upload!P25&amp;Upload!Q25)),ISNUMBER(SEARCH("Epox",Upload!N25&amp;Upload!O25&amp;Upload!P25&amp;Upload!Q25)),ISNUMBER(SEARCH("Barniz",Upload!N25&amp;Upload!O25&amp;Upload!P25&amp;Upload!Q25))))),"",D26*0.000035)</f>
        <v/>
      </c>
      <c r="Q26" s="16" t="str">
        <f>IF(OR(D26="",NOT(OR(ISNUMBER(SEARCH("Epóx",Upload!N25&amp;Upload!O25&amp;Upload!P25&amp;Upload!Q25)),ISNUMBER(SEARCH("Epox",Upload!N25&amp;Upload!O25&amp;Upload!P25&amp;Upload!Q25)),ISNUMBER(SEARCH("Barniz",Upload!N25&amp;Upload!O25&amp;Upload!P25&amp;Upload!Q25))))),"",D26*0.000035)</f>
        <v/>
      </c>
      <c r="R26" s="16" t="str">
        <f t="shared" si="6"/>
        <v/>
      </c>
    </row>
    <row r="27" spans="1:18">
      <c r="A27" s="10">
        <f t="shared" si="0"/>
        <v>9</v>
      </c>
      <c r="B27" s="10">
        <f>Upload!E26</f>
        <v>0</v>
      </c>
      <c r="C27" s="10">
        <f>Upload!AJ26</f>
        <v>0</v>
      </c>
      <c r="D27" s="10">
        <f>Upload!AK26</f>
        <v>0</v>
      </c>
      <c r="E27" s="10" t="str">
        <f>Upload!AF26</f>
        <v/>
      </c>
      <c r="F27" s="10" t="str">
        <f>Upload!AH26</f>
        <v/>
      </c>
      <c r="G27" s="10">
        <f>Upload!AE26</f>
        <v>0</v>
      </c>
      <c r="H27" s="10">
        <f>Upload!AG26</f>
        <v>0</v>
      </c>
      <c r="J27" s="16" t="str">
        <f t="shared" si="1"/>
        <v/>
      </c>
      <c r="K27" s="16" t="str">
        <f t="shared" si="2"/>
        <v/>
      </c>
      <c r="L27" s="16" t="str">
        <f t="shared" si="3"/>
        <v/>
      </c>
      <c r="M27" s="16" t="str">
        <f t="shared" si="4"/>
        <v/>
      </c>
      <c r="N27" s="16" t="str">
        <f t="shared" si="5"/>
        <v/>
      </c>
      <c r="O27" s="16" t="str">
        <f>IF(OR(N27="",NOT(OR(ISNUMBER(SEARCH("Antitarnish",Upload!N26&amp;Upload!O26&amp;Upload!P26&amp;Upload!Q26)),ISNUMBER(SEARCH("Anti Tarnish",Upload!N26&amp;Upload!O26&amp;Upload!P26&amp;Upload!Q26))))),"",0.0012*N27)</f>
        <v/>
      </c>
      <c r="P27" s="16" t="str">
        <f>IF(OR(D27="",NOT(OR(ISNUMBER(SEARCH("Epóx",Upload!N26&amp;Upload!O26&amp;Upload!P26&amp;Upload!Q26)),ISNUMBER(SEARCH("Epox",Upload!N26&amp;Upload!O26&amp;Upload!P26&amp;Upload!Q26)),ISNUMBER(SEARCH("Barniz",Upload!N26&amp;Upload!O26&amp;Upload!P26&amp;Upload!Q26))))),"",D27*0.000035)</f>
        <v/>
      </c>
      <c r="Q27" s="16" t="str">
        <f>IF(OR(D27="",NOT(OR(ISNUMBER(SEARCH("Epóx",Upload!N26&amp;Upload!O26&amp;Upload!P26&amp;Upload!Q26)),ISNUMBER(SEARCH("Epox",Upload!N26&amp;Upload!O26&amp;Upload!P26&amp;Upload!Q26)),ISNUMBER(SEARCH("Barniz",Upload!N26&amp;Upload!O26&amp;Upload!P26&amp;Upload!Q26))))),"",D27*0.000035)</f>
        <v/>
      </c>
      <c r="R27" s="16" t="str">
        <f t="shared" si="6"/>
        <v/>
      </c>
    </row>
    <row r="28" spans="1:18">
      <c r="A28" s="10">
        <f t="shared" si="0"/>
        <v>10</v>
      </c>
      <c r="B28" s="10">
        <f>Upload!E27</f>
        <v>0</v>
      </c>
      <c r="C28" s="10">
        <f>Upload!AJ27</f>
        <v>0</v>
      </c>
      <c r="D28" s="10">
        <f>Upload!AK27</f>
        <v>0</v>
      </c>
      <c r="E28" s="10" t="str">
        <f>Upload!AF27</f>
        <v/>
      </c>
      <c r="F28" s="10" t="str">
        <f>Upload!AH27</f>
        <v/>
      </c>
      <c r="G28" s="10">
        <f>Upload!AE27</f>
        <v>0</v>
      </c>
      <c r="H28" s="10">
        <f>Upload!AG27</f>
        <v>0</v>
      </c>
      <c r="J28" s="16" t="str">
        <f t="shared" si="1"/>
        <v/>
      </c>
      <c r="K28" s="16" t="str">
        <f t="shared" si="2"/>
        <v/>
      </c>
      <c r="L28" s="16" t="str">
        <f t="shared" si="3"/>
        <v/>
      </c>
      <c r="M28" s="16" t="str">
        <f t="shared" si="4"/>
        <v/>
      </c>
      <c r="N28" s="16" t="str">
        <f t="shared" si="5"/>
        <v/>
      </c>
      <c r="O28" s="16" t="str">
        <f>IF(OR(N28="",NOT(OR(ISNUMBER(SEARCH("Antitarnish",Upload!N27&amp;Upload!O27&amp;Upload!P27&amp;Upload!Q27)),ISNUMBER(SEARCH("Anti Tarnish",Upload!N27&amp;Upload!O27&amp;Upload!P27&amp;Upload!Q27))))),"",0.0012*N28)</f>
        <v/>
      </c>
      <c r="P28" s="16" t="str">
        <f>IF(OR(D28="",NOT(OR(ISNUMBER(SEARCH("Epóx",Upload!N27&amp;Upload!O27&amp;Upload!P27&amp;Upload!Q27)),ISNUMBER(SEARCH("Epox",Upload!N27&amp;Upload!O27&amp;Upload!P27&amp;Upload!Q27)),ISNUMBER(SEARCH("Barniz",Upload!N27&amp;Upload!O27&amp;Upload!P27&amp;Upload!Q27))))),"",D28*0.000035)</f>
        <v/>
      </c>
      <c r="Q28" s="16" t="str">
        <f>IF(OR(D28="",NOT(OR(ISNUMBER(SEARCH("Epóx",Upload!N27&amp;Upload!O27&amp;Upload!P27&amp;Upload!Q27)),ISNUMBER(SEARCH("Epox",Upload!N27&amp;Upload!O27&amp;Upload!P27&amp;Upload!Q27)),ISNUMBER(SEARCH("Barniz",Upload!N27&amp;Upload!O27&amp;Upload!P27&amp;Upload!Q27))))),"",D28*0.000035)</f>
        <v/>
      </c>
      <c r="R28" s="16" t="str">
        <f t="shared" si="6"/>
        <v/>
      </c>
    </row>
    <row r="29" spans="1:18">
      <c r="A29" s="10">
        <f t="shared" si="0"/>
        <v>11</v>
      </c>
      <c r="B29" s="10">
        <f>Upload!E28</f>
        <v>0</v>
      </c>
      <c r="C29" s="10">
        <f>Upload!AJ28</f>
        <v>0</v>
      </c>
      <c r="D29" s="10">
        <f>Upload!AK28</f>
        <v>0</v>
      </c>
      <c r="E29" s="10" t="str">
        <f>Upload!AF28</f>
        <v/>
      </c>
      <c r="F29" s="10" t="str">
        <f>Upload!AH28</f>
        <v/>
      </c>
      <c r="G29" s="10">
        <f>Upload!AE28</f>
        <v>0</v>
      </c>
      <c r="H29" s="10">
        <f>Upload!AG28</f>
        <v>0</v>
      </c>
      <c r="J29" s="16" t="str">
        <f t="shared" si="1"/>
        <v/>
      </c>
      <c r="K29" s="16" t="str">
        <f t="shared" si="2"/>
        <v/>
      </c>
      <c r="L29" s="16" t="str">
        <f t="shared" si="3"/>
        <v/>
      </c>
      <c r="M29" s="16" t="str">
        <f t="shared" si="4"/>
        <v/>
      </c>
      <c r="N29" s="16" t="str">
        <f t="shared" si="5"/>
        <v/>
      </c>
      <c r="O29" s="16" t="str">
        <f>IF(OR(N29="",NOT(OR(ISNUMBER(SEARCH("Antitarnish",Upload!N28&amp;Upload!O28&amp;Upload!P28&amp;Upload!Q28)),ISNUMBER(SEARCH("Anti Tarnish",Upload!N28&amp;Upload!O28&amp;Upload!P28&amp;Upload!Q28))))),"",0.0012*N29)</f>
        <v/>
      </c>
      <c r="P29" s="16" t="str">
        <f>IF(OR(D29="",NOT(OR(ISNUMBER(SEARCH("Epóx",Upload!N28&amp;Upload!O28&amp;Upload!P28&amp;Upload!Q28)),ISNUMBER(SEARCH("Epox",Upload!N28&amp;Upload!O28&amp;Upload!P28&amp;Upload!Q28)),ISNUMBER(SEARCH("Barniz",Upload!N28&amp;Upload!O28&amp;Upload!P28&amp;Upload!Q28))))),"",D29*0.000035)</f>
        <v/>
      </c>
      <c r="Q29" s="16" t="str">
        <f>IF(OR(D29="",NOT(OR(ISNUMBER(SEARCH("Epóx",Upload!N28&amp;Upload!O28&amp;Upload!P28&amp;Upload!Q28)),ISNUMBER(SEARCH("Epox",Upload!N28&amp;Upload!O28&amp;Upload!P28&amp;Upload!Q28)),ISNUMBER(SEARCH("Barniz",Upload!N28&amp;Upload!O28&amp;Upload!P28&amp;Upload!Q28))))),"",D29*0.000035)</f>
        <v/>
      </c>
      <c r="R29" s="16" t="str">
        <f t="shared" si="6"/>
        <v/>
      </c>
    </row>
    <row r="30" spans="1:18">
      <c r="A30" s="10">
        <f t="shared" si="0"/>
        <v>12</v>
      </c>
      <c r="B30" s="10">
        <f>Upload!E29</f>
        <v>0</v>
      </c>
      <c r="C30" s="10">
        <f>Upload!AJ29</f>
        <v>0</v>
      </c>
      <c r="D30" s="10">
        <f>Upload!AK29</f>
        <v>0</v>
      </c>
      <c r="E30" s="10" t="str">
        <f>Upload!AF29</f>
        <v/>
      </c>
      <c r="F30" s="10" t="str">
        <f>Upload!AH29</f>
        <v/>
      </c>
      <c r="G30" s="10">
        <f>Upload!AE29</f>
        <v>0</v>
      </c>
      <c r="H30" s="10">
        <f>Upload!AG29</f>
        <v>0</v>
      </c>
      <c r="J30" s="16" t="str">
        <f t="shared" si="1"/>
        <v/>
      </c>
      <c r="K30" s="16" t="str">
        <f t="shared" si="2"/>
        <v/>
      </c>
      <c r="L30" s="16" t="str">
        <f t="shared" si="3"/>
        <v/>
      </c>
      <c r="M30" s="16" t="str">
        <f t="shared" si="4"/>
        <v/>
      </c>
      <c r="N30" s="16" t="str">
        <f t="shared" si="5"/>
        <v/>
      </c>
      <c r="O30" s="16" t="str">
        <f>IF(OR(N30="",NOT(OR(ISNUMBER(SEARCH("Antitarnish",Upload!N29&amp;Upload!O29&amp;Upload!P29&amp;Upload!Q29)),ISNUMBER(SEARCH("Anti Tarnish",Upload!N29&amp;Upload!O29&amp;Upload!P29&amp;Upload!Q29))))),"",0.0012*N30)</f>
        <v/>
      </c>
      <c r="P30" s="16" t="str">
        <f>IF(OR(D30="",NOT(OR(ISNUMBER(SEARCH("Epóx",Upload!N29&amp;Upload!O29&amp;Upload!P29&amp;Upload!Q29)),ISNUMBER(SEARCH("Epox",Upload!N29&amp;Upload!O29&amp;Upload!P29&amp;Upload!Q29)),ISNUMBER(SEARCH("Barniz",Upload!N29&amp;Upload!O29&amp;Upload!P29&amp;Upload!Q29))))),"",D30*0.000035)</f>
        <v/>
      </c>
      <c r="Q30" s="16" t="str">
        <f>IF(OR(D30="",NOT(OR(ISNUMBER(SEARCH("Epóx",Upload!N29&amp;Upload!O29&amp;Upload!P29&amp;Upload!Q29)),ISNUMBER(SEARCH("Epox",Upload!N29&amp;Upload!O29&amp;Upload!P29&amp;Upload!Q29)),ISNUMBER(SEARCH("Barniz",Upload!N29&amp;Upload!O29&amp;Upload!P29&amp;Upload!Q29))))),"",D30*0.000035)</f>
        <v/>
      </c>
      <c r="R30" s="16" t="str">
        <f t="shared" si="6"/>
        <v/>
      </c>
    </row>
    <row r="31" spans="1:18">
      <c r="A31" s="10">
        <f t="shared" si="0"/>
        <v>13</v>
      </c>
      <c r="B31" s="10">
        <f>Upload!E30</f>
        <v>0</v>
      </c>
      <c r="C31" s="10">
        <f>Upload!AJ30</f>
        <v>0</v>
      </c>
      <c r="D31" s="10">
        <f>Upload!AK30</f>
        <v>0</v>
      </c>
      <c r="E31" s="10" t="str">
        <f>Upload!AF30</f>
        <v/>
      </c>
      <c r="F31" s="10" t="str">
        <f>Upload!AH30</f>
        <v/>
      </c>
      <c r="G31" s="10">
        <f>Upload!AE30</f>
        <v>0</v>
      </c>
      <c r="H31" s="10">
        <f>Upload!AG30</f>
        <v>0</v>
      </c>
      <c r="J31" s="16" t="str">
        <f t="shared" si="1"/>
        <v/>
      </c>
      <c r="K31" s="16" t="str">
        <f t="shared" si="2"/>
        <v/>
      </c>
      <c r="L31" s="16" t="str">
        <f t="shared" si="3"/>
        <v/>
      </c>
      <c r="M31" s="16" t="str">
        <f t="shared" si="4"/>
        <v/>
      </c>
      <c r="N31" s="16" t="str">
        <f t="shared" si="5"/>
        <v/>
      </c>
      <c r="O31" s="16" t="str">
        <f>IF(OR(N31="",NOT(OR(ISNUMBER(SEARCH("Antitarnish",Upload!N30&amp;Upload!O30&amp;Upload!P30&amp;Upload!Q30)),ISNUMBER(SEARCH("Anti Tarnish",Upload!N30&amp;Upload!O30&amp;Upload!P30&amp;Upload!Q30))))),"",0.0012*N31)</f>
        <v/>
      </c>
      <c r="P31" s="16" t="str">
        <f>IF(OR(D31="",NOT(OR(ISNUMBER(SEARCH("Epóx",Upload!N30&amp;Upload!O30&amp;Upload!P30&amp;Upload!Q30)),ISNUMBER(SEARCH("Epox",Upload!N30&amp;Upload!O30&amp;Upload!P30&amp;Upload!Q30)),ISNUMBER(SEARCH("Barniz",Upload!N30&amp;Upload!O30&amp;Upload!P30&amp;Upload!Q30))))),"",D31*0.000035)</f>
        <v/>
      </c>
      <c r="Q31" s="16" t="str">
        <f>IF(OR(D31="",NOT(OR(ISNUMBER(SEARCH("Epóx",Upload!N30&amp;Upload!O30&amp;Upload!P30&amp;Upload!Q30)),ISNUMBER(SEARCH("Epox",Upload!N30&amp;Upload!O30&amp;Upload!P30&amp;Upload!Q30)),ISNUMBER(SEARCH("Barniz",Upload!N30&amp;Upload!O30&amp;Upload!P30&amp;Upload!Q30))))),"",D31*0.000035)</f>
        <v/>
      </c>
      <c r="R31" s="16" t="str">
        <f t="shared" si="6"/>
        <v/>
      </c>
    </row>
    <row r="32" spans="1:18">
      <c r="A32" s="10">
        <f t="shared" si="0"/>
        <v>14</v>
      </c>
      <c r="B32" s="10">
        <f>Upload!E31</f>
        <v>0</v>
      </c>
      <c r="C32" s="10">
        <f>Upload!AJ31</f>
        <v>0</v>
      </c>
      <c r="D32" s="10">
        <f>Upload!AK31</f>
        <v>0</v>
      </c>
      <c r="E32" s="10" t="str">
        <f>Upload!AF31</f>
        <v/>
      </c>
      <c r="F32" s="10" t="str">
        <f>Upload!AH31</f>
        <v/>
      </c>
      <c r="G32" s="10">
        <f>Upload!AE31</f>
        <v>0</v>
      </c>
      <c r="H32" s="10">
        <f>Upload!AG31</f>
        <v>0</v>
      </c>
      <c r="J32" s="16" t="str">
        <f t="shared" si="1"/>
        <v/>
      </c>
      <c r="K32" s="16" t="str">
        <f t="shared" si="2"/>
        <v/>
      </c>
      <c r="L32" s="16" t="str">
        <f t="shared" si="3"/>
        <v/>
      </c>
      <c r="M32" s="16" t="str">
        <f t="shared" si="4"/>
        <v/>
      </c>
      <c r="N32" s="16" t="str">
        <f t="shared" si="5"/>
        <v/>
      </c>
      <c r="O32" s="16" t="str">
        <f>IF(OR(N32="",NOT(OR(ISNUMBER(SEARCH("Antitarnish",Upload!N31&amp;Upload!O31&amp;Upload!P31&amp;Upload!Q31)),ISNUMBER(SEARCH("Anti Tarnish",Upload!N31&amp;Upload!O31&amp;Upload!P31&amp;Upload!Q31))))),"",0.0012*N32)</f>
        <v/>
      </c>
      <c r="P32" s="16" t="str">
        <f>IF(OR(D32="",NOT(OR(ISNUMBER(SEARCH("Epóx",Upload!N31&amp;Upload!O31&amp;Upload!P31&amp;Upload!Q31)),ISNUMBER(SEARCH("Epox",Upload!N31&amp;Upload!O31&amp;Upload!P31&amp;Upload!Q31)),ISNUMBER(SEARCH("Barniz",Upload!N31&amp;Upload!O31&amp;Upload!P31&amp;Upload!Q31))))),"",D32*0.000035)</f>
        <v/>
      </c>
      <c r="Q32" s="16" t="str">
        <f>IF(OR(D32="",NOT(OR(ISNUMBER(SEARCH("Epóx",Upload!N31&amp;Upload!O31&amp;Upload!P31&amp;Upload!Q31)),ISNUMBER(SEARCH("Epox",Upload!N31&amp;Upload!O31&amp;Upload!P31&amp;Upload!Q31)),ISNUMBER(SEARCH("Barniz",Upload!N31&amp;Upload!O31&amp;Upload!P31&amp;Upload!Q31))))),"",D32*0.000035)</f>
        <v/>
      </c>
      <c r="R32" s="16" t="str">
        <f t="shared" si="6"/>
        <v/>
      </c>
    </row>
    <row r="33" spans="1:18">
      <c r="A33" s="10">
        <f t="shared" si="0"/>
        <v>15</v>
      </c>
      <c r="B33" s="10">
        <f>Upload!E32</f>
        <v>0</v>
      </c>
      <c r="C33" s="10">
        <f>Upload!AJ32</f>
        <v>0</v>
      </c>
      <c r="D33" s="10">
        <f>Upload!AK32</f>
        <v>0</v>
      </c>
      <c r="E33" s="10" t="str">
        <f>Upload!AF32</f>
        <v/>
      </c>
      <c r="F33" s="10" t="str">
        <f>Upload!AH32</f>
        <v/>
      </c>
      <c r="G33" s="10">
        <f>Upload!AE32</f>
        <v>0</v>
      </c>
      <c r="H33" s="10">
        <f>Upload!AG32</f>
        <v>0</v>
      </c>
      <c r="J33" s="16" t="str">
        <f t="shared" si="1"/>
        <v/>
      </c>
      <c r="K33" s="16" t="str">
        <f t="shared" si="2"/>
        <v/>
      </c>
      <c r="L33" s="16" t="str">
        <f t="shared" si="3"/>
        <v/>
      </c>
      <c r="M33" s="16" t="str">
        <f t="shared" si="4"/>
        <v/>
      </c>
      <c r="N33" s="16" t="str">
        <f t="shared" si="5"/>
        <v/>
      </c>
      <c r="O33" s="16" t="str">
        <f>IF(OR(N33="",NOT(OR(ISNUMBER(SEARCH("Antitarnish",Upload!N32&amp;Upload!O32&amp;Upload!P32&amp;Upload!Q32)),ISNUMBER(SEARCH("Anti Tarnish",Upload!N32&amp;Upload!O32&amp;Upload!P32&amp;Upload!Q32))))),"",0.0012*N33)</f>
        <v/>
      </c>
      <c r="P33" s="16" t="str">
        <f>IF(OR(D33="",NOT(OR(ISNUMBER(SEARCH("Epóx",Upload!N32&amp;Upload!O32&amp;Upload!P32&amp;Upload!Q32)),ISNUMBER(SEARCH("Epox",Upload!N32&amp;Upload!O32&amp;Upload!P32&amp;Upload!Q32)),ISNUMBER(SEARCH("Barniz",Upload!N32&amp;Upload!O32&amp;Upload!P32&amp;Upload!Q32))))),"",D33*0.000035)</f>
        <v/>
      </c>
      <c r="Q33" s="16" t="str">
        <f>IF(OR(D33="",NOT(OR(ISNUMBER(SEARCH("Epóx",Upload!N32&amp;Upload!O32&amp;Upload!P32&amp;Upload!Q32)),ISNUMBER(SEARCH("Epox",Upload!N32&amp;Upload!O32&amp;Upload!P32&amp;Upload!Q32)),ISNUMBER(SEARCH("Barniz",Upload!N32&amp;Upload!O32&amp;Upload!P32&amp;Upload!Q32))))),"",D33*0.000035)</f>
        <v/>
      </c>
      <c r="R33" s="16" t="str">
        <f t="shared" si="6"/>
        <v/>
      </c>
    </row>
    <row r="34" spans="1:18">
      <c r="A34" s="10">
        <f t="shared" si="0"/>
        <v>16</v>
      </c>
      <c r="B34" s="10">
        <f>Upload!E33</f>
        <v>0</v>
      </c>
      <c r="C34" s="10">
        <f>Upload!AJ33</f>
        <v>0</v>
      </c>
      <c r="D34" s="10">
        <f>Upload!AK33</f>
        <v>0</v>
      </c>
      <c r="E34" s="10" t="str">
        <f>Upload!AF33</f>
        <v/>
      </c>
      <c r="F34" s="10" t="str">
        <f>Upload!AH33</f>
        <v/>
      </c>
      <c r="G34" s="10">
        <f>Upload!AE33</f>
        <v>0</v>
      </c>
      <c r="H34" s="10">
        <f>Upload!AG33</f>
        <v>0</v>
      </c>
      <c r="J34" s="16" t="str">
        <f t="shared" si="1"/>
        <v/>
      </c>
      <c r="K34" s="16" t="str">
        <f t="shared" si="2"/>
        <v/>
      </c>
      <c r="L34" s="16" t="str">
        <f t="shared" si="3"/>
        <v/>
      </c>
      <c r="M34" s="16" t="str">
        <f t="shared" si="4"/>
        <v/>
      </c>
      <c r="N34" s="16" t="str">
        <f t="shared" si="5"/>
        <v/>
      </c>
      <c r="O34" s="16" t="str">
        <f>IF(OR(N34="",NOT(OR(ISNUMBER(SEARCH("Antitarnish",Upload!N33&amp;Upload!O33&amp;Upload!P33&amp;Upload!Q33)),ISNUMBER(SEARCH("Anti Tarnish",Upload!N33&amp;Upload!O33&amp;Upload!P33&amp;Upload!Q33))))),"",0.0012*N34)</f>
        <v/>
      </c>
      <c r="P34" s="16" t="str">
        <f>IF(OR(D34="",NOT(OR(ISNUMBER(SEARCH("Epóx",Upload!N33&amp;Upload!O33&amp;Upload!P33&amp;Upload!Q33)),ISNUMBER(SEARCH("Epox",Upload!N33&amp;Upload!O33&amp;Upload!P33&amp;Upload!Q33)),ISNUMBER(SEARCH("Barniz",Upload!N33&amp;Upload!O33&amp;Upload!P33&amp;Upload!Q33))))),"",D34*0.000035)</f>
        <v/>
      </c>
      <c r="Q34" s="16" t="str">
        <f>IF(OR(D34="",NOT(OR(ISNUMBER(SEARCH("Epóx",Upload!N33&amp;Upload!O33&amp;Upload!P33&amp;Upload!Q33)),ISNUMBER(SEARCH("Epox",Upload!N33&amp;Upload!O33&amp;Upload!P33&amp;Upload!Q33)),ISNUMBER(SEARCH("Barniz",Upload!N33&amp;Upload!O33&amp;Upload!P33&amp;Upload!Q33))))),"",D34*0.000035)</f>
        <v/>
      </c>
      <c r="R34" s="16" t="str">
        <f t="shared" si="6"/>
        <v/>
      </c>
    </row>
    <row r="35" spans="1:18">
      <c r="A35" s="10">
        <f t="shared" si="0"/>
        <v>17</v>
      </c>
      <c r="B35" s="10">
        <f>Upload!E34</f>
        <v>0</v>
      </c>
      <c r="C35" s="10">
        <f>Upload!AJ34</f>
        <v>0</v>
      </c>
      <c r="D35" s="10">
        <f>Upload!AK34</f>
        <v>0</v>
      </c>
      <c r="E35" s="10" t="str">
        <f>Upload!AF34</f>
        <v/>
      </c>
      <c r="F35" s="10" t="str">
        <f>Upload!AH34</f>
        <v/>
      </c>
      <c r="G35" s="10">
        <f>Upload!AE34</f>
        <v>0</v>
      </c>
      <c r="H35" s="10">
        <f>Upload!AG34</f>
        <v>0</v>
      </c>
      <c r="J35" s="16" t="str">
        <f t="shared" si="1"/>
        <v/>
      </c>
      <c r="K35" s="16" t="str">
        <f t="shared" si="2"/>
        <v/>
      </c>
      <c r="L35" s="16" t="str">
        <f t="shared" si="3"/>
        <v/>
      </c>
      <c r="M35" s="16" t="str">
        <f t="shared" si="4"/>
        <v/>
      </c>
      <c r="N35" s="16" t="str">
        <f t="shared" si="5"/>
        <v/>
      </c>
      <c r="O35" s="16" t="str">
        <f>IF(OR(N35="",NOT(OR(ISNUMBER(SEARCH("Antitarnish",Upload!N34&amp;Upload!O34&amp;Upload!P34&amp;Upload!Q34)),ISNUMBER(SEARCH("Anti Tarnish",Upload!N34&amp;Upload!O34&amp;Upload!P34&amp;Upload!Q34))))),"",0.0012*N35)</f>
        <v/>
      </c>
      <c r="P35" s="16" t="str">
        <f>IF(OR(D35="",NOT(OR(ISNUMBER(SEARCH("Epóx",Upload!N34&amp;Upload!O34&amp;Upload!P34&amp;Upload!Q34)),ISNUMBER(SEARCH("Epox",Upload!N34&amp;Upload!O34&amp;Upload!P34&amp;Upload!Q34)),ISNUMBER(SEARCH("Barniz",Upload!N34&amp;Upload!O34&amp;Upload!P34&amp;Upload!Q34))))),"",D35*0.000035)</f>
        <v/>
      </c>
      <c r="Q35" s="16" t="str">
        <f>IF(OR(D35="",NOT(OR(ISNUMBER(SEARCH("Epóx",Upload!N34&amp;Upload!O34&amp;Upload!P34&amp;Upload!Q34)),ISNUMBER(SEARCH("Epox",Upload!N34&amp;Upload!O34&amp;Upload!P34&amp;Upload!Q34)),ISNUMBER(SEARCH("Barniz",Upload!N34&amp;Upload!O34&amp;Upload!P34&amp;Upload!Q34))))),"",D35*0.000035)</f>
        <v/>
      </c>
      <c r="R35" s="16" t="str">
        <f t="shared" si="6"/>
        <v/>
      </c>
    </row>
    <row r="36" spans="1:18">
      <c r="A36" s="10">
        <f t="shared" si="0"/>
        <v>18</v>
      </c>
      <c r="B36" s="10">
        <f>Upload!E35</f>
        <v>0</v>
      </c>
      <c r="C36" s="10">
        <f>Upload!AJ35</f>
        <v>0</v>
      </c>
      <c r="D36" s="10">
        <f>Upload!AK35</f>
        <v>0</v>
      </c>
      <c r="E36" s="10" t="str">
        <f>Upload!AF35</f>
        <v/>
      </c>
      <c r="F36" s="10" t="str">
        <f>Upload!AH35</f>
        <v/>
      </c>
      <c r="G36" s="10">
        <f>Upload!AE35</f>
        <v>0</v>
      </c>
      <c r="H36" s="10">
        <f>Upload!AG35</f>
        <v>0</v>
      </c>
      <c r="J36" s="16" t="str">
        <f t="shared" si="1"/>
        <v/>
      </c>
      <c r="K36" s="16" t="str">
        <f t="shared" si="2"/>
        <v/>
      </c>
      <c r="L36" s="16" t="str">
        <f t="shared" si="3"/>
        <v/>
      </c>
      <c r="M36" s="16" t="str">
        <f t="shared" si="4"/>
        <v/>
      </c>
      <c r="N36" s="16" t="str">
        <f t="shared" si="5"/>
        <v/>
      </c>
      <c r="O36" s="16" t="str">
        <f>IF(OR(N36="",NOT(OR(ISNUMBER(SEARCH("Antitarnish",Upload!N35&amp;Upload!O35&amp;Upload!P35&amp;Upload!Q35)),ISNUMBER(SEARCH("Anti Tarnish",Upload!N35&amp;Upload!O35&amp;Upload!P35&amp;Upload!Q35))))),"",0.0012*N36)</f>
        <v/>
      </c>
      <c r="P36" s="16" t="str">
        <f>IF(OR(D36="",NOT(OR(ISNUMBER(SEARCH("Epóx",Upload!N35&amp;Upload!O35&amp;Upload!P35&amp;Upload!Q35)),ISNUMBER(SEARCH("Epox",Upload!N35&amp;Upload!O35&amp;Upload!P35&amp;Upload!Q35)),ISNUMBER(SEARCH("Barniz",Upload!N35&amp;Upload!O35&amp;Upload!P35&amp;Upload!Q35))))),"",D36*0.000035)</f>
        <v/>
      </c>
      <c r="Q36" s="16" t="str">
        <f>IF(OR(D36="",NOT(OR(ISNUMBER(SEARCH("Epóx",Upload!N35&amp;Upload!O35&amp;Upload!P35&amp;Upload!Q35)),ISNUMBER(SEARCH("Epox",Upload!N35&amp;Upload!O35&amp;Upload!P35&amp;Upload!Q35)),ISNUMBER(SEARCH("Barniz",Upload!N35&amp;Upload!O35&amp;Upload!P35&amp;Upload!Q35))))),"",D36*0.000035)</f>
        <v/>
      </c>
      <c r="R36" s="16" t="str">
        <f t="shared" si="6"/>
        <v/>
      </c>
    </row>
    <row r="37" spans="1:18">
      <c r="A37" s="10">
        <f t="shared" si="0"/>
        <v>19</v>
      </c>
      <c r="B37" s="10">
        <f>Upload!E36</f>
        <v>0</v>
      </c>
      <c r="C37" s="10">
        <f>Upload!AJ36</f>
        <v>0</v>
      </c>
      <c r="D37" s="10">
        <f>Upload!AK36</f>
        <v>0</v>
      </c>
      <c r="E37" s="10" t="str">
        <f>Upload!AF36</f>
        <v/>
      </c>
      <c r="F37" s="10" t="str">
        <f>Upload!AH36</f>
        <v/>
      </c>
      <c r="G37" s="10">
        <f>Upload!AE36</f>
        <v>0</v>
      </c>
      <c r="H37" s="10">
        <f>Upload!AG36</f>
        <v>0</v>
      </c>
      <c r="J37" s="16" t="str">
        <f t="shared" si="1"/>
        <v/>
      </c>
      <c r="K37" s="16" t="str">
        <f t="shared" si="2"/>
        <v/>
      </c>
      <c r="L37" s="16" t="str">
        <f t="shared" si="3"/>
        <v/>
      </c>
      <c r="M37" s="16" t="str">
        <f t="shared" si="4"/>
        <v/>
      </c>
      <c r="N37" s="16" t="str">
        <f t="shared" si="5"/>
        <v/>
      </c>
      <c r="O37" s="16" t="str">
        <f>IF(OR(N37="",NOT(OR(ISNUMBER(SEARCH("Antitarnish",Upload!N36&amp;Upload!O36&amp;Upload!P36&amp;Upload!Q36)),ISNUMBER(SEARCH("Anti Tarnish",Upload!N36&amp;Upload!O36&amp;Upload!P36&amp;Upload!Q36))))),"",0.0012*N37)</f>
        <v/>
      </c>
      <c r="P37" s="16" t="str">
        <f>IF(OR(D37="",NOT(OR(ISNUMBER(SEARCH("Epóx",Upload!N36&amp;Upload!O36&amp;Upload!P36&amp;Upload!Q36)),ISNUMBER(SEARCH("Epox",Upload!N36&amp;Upload!O36&amp;Upload!P36&amp;Upload!Q36)),ISNUMBER(SEARCH("Barniz",Upload!N36&amp;Upload!O36&amp;Upload!P36&amp;Upload!Q36))))),"",D37*0.000035)</f>
        <v/>
      </c>
      <c r="Q37" s="16" t="str">
        <f>IF(OR(D37="",NOT(OR(ISNUMBER(SEARCH("Epóx",Upload!N36&amp;Upload!O36&amp;Upload!P36&amp;Upload!Q36)),ISNUMBER(SEARCH("Epox",Upload!N36&amp;Upload!O36&amp;Upload!P36&amp;Upload!Q36)),ISNUMBER(SEARCH("Barniz",Upload!N36&amp;Upload!O36&amp;Upload!P36&amp;Upload!Q36))))),"",D37*0.000035)</f>
        <v/>
      </c>
      <c r="R37" s="16" t="str">
        <f t="shared" si="6"/>
        <v/>
      </c>
    </row>
    <row r="38" spans="1:18">
      <c r="A38" s="10">
        <f t="shared" si="0"/>
        <v>20</v>
      </c>
      <c r="B38" s="10">
        <f>Upload!E37</f>
        <v>0</v>
      </c>
      <c r="C38" s="10">
        <f>Upload!AJ37</f>
        <v>0</v>
      </c>
      <c r="D38" s="10">
        <f>Upload!AK37</f>
        <v>0</v>
      </c>
      <c r="E38" s="10" t="str">
        <f>Upload!AF37</f>
        <v/>
      </c>
      <c r="F38" s="10" t="str">
        <f>Upload!AH37</f>
        <v/>
      </c>
      <c r="G38" s="10">
        <f>Upload!AE37</f>
        <v>0</v>
      </c>
      <c r="H38" s="10">
        <f>Upload!AG37</f>
        <v>0</v>
      </c>
      <c r="J38" s="16" t="str">
        <f t="shared" si="1"/>
        <v/>
      </c>
      <c r="K38" s="16" t="str">
        <f t="shared" si="2"/>
        <v/>
      </c>
      <c r="L38" s="16" t="str">
        <f t="shared" si="3"/>
        <v/>
      </c>
      <c r="M38" s="16" t="str">
        <f t="shared" si="4"/>
        <v/>
      </c>
      <c r="N38" s="16" t="str">
        <f t="shared" si="5"/>
        <v/>
      </c>
      <c r="O38" s="16" t="str">
        <f>IF(OR(N38="",NOT(OR(ISNUMBER(SEARCH("Antitarnish",Upload!N37&amp;Upload!O37&amp;Upload!P37&amp;Upload!Q37)),ISNUMBER(SEARCH("Anti Tarnish",Upload!N37&amp;Upload!O37&amp;Upload!P37&amp;Upload!Q37))))),"",0.0012*N38)</f>
        <v/>
      </c>
      <c r="P38" s="16" t="str">
        <f>IF(OR(D38="",NOT(OR(ISNUMBER(SEARCH("Epóx",Upload!N37&amp;Upload!O37&amp;Upload!P37&amp;Upload!Q37)),ISNUMBER(SEARCH("Epox",Upload!N37&amp;Upload!O37&amp;Upload!P37&amp;Upload!Q37)),ISNUMBER(SEARCH("Barniz",Upload!N37&amp;Upload!O37&amp;Upload!P37&amp;Upload!Q37))))),"",D38*0.000035)</f>
        <v/>
      </c>
      <c r="Q38" s="16" t="str">
        <f>IF(OR(D38="",NOT(OR(ISNUMBER(SEARCH("Epóx",Upload!N37&amp;Upload!O37&amp;Upload!P37&amp;Upload!Q37)),ISNUMBER(SEARCH("Epox",Upload!N37&amp;Upload!O37&amp;Upload!P37&amp;Upload!Q37)),ISNUMBER(SEARCH("Barniz",Upload!N37&amp;Upload!O37&amp;Upload!P37&amp;Upload!Q37))))),"",D38*0.000035)</f>
        <v/>
      </c>
      <c r="R38" s="16" t="str">
        <f t="shared" si="6"/>
        <v/>
      </c>
    </row>
    <row r="39" spans="1:18">
      <c r="A39" s="10">
        <f t="shared" si="0"/>
        <v>21</v>
      </c>
      <c r="B39" s="10">
        <f>Upload!E38</f>
        <v>0</v>
      </c>
      <c r="C39" s="10">
        <f>Upload!AJ38</f>
        <v>0</v>
      </c>
      <c r="D39" s="10">
        <f>Upload!AK38</f>
        <v>0</v>
      </c>
      <c r="E39" s="10" t="str">
        <f>Upload!AF38</f>
        <v/>
      </c>
      <c r="F39" s="10" t="str">
        <f>Upload!AH38</f>
        <v/>
      </c>
      <c r="G39" s="10">
        <f>Upload!AE38</f>
        <v>0</v>
      </c>
      <c r="H39" s="10">
        <f>Upload!AG38</f>
        <v>0</v>
      </c>
      <c r="J39" s="16" t="str">
        <f t="shared" si="1"/>
        <v/>
      </c>
      <c r="K39" s="16" t="str">
        <f t="shared" si="2"/>
        <v/>
      </c>
      <c r="L39" s="16" t="str">
        <f t="shared" si="3"/>
        <v/>
      </c>
      <c r="M39" s="16" t="str">
        <f t="shared" si="4"/>
        <v/>
      </c>
      <c r="N39" s="16" t="str">
        <f t="shared" si="5"/>
        <v/>
      </c>
      <c r="O39" s="16" t="str">
        <f>IF(OR(N39="",NOT(OR(ISNUMBER(SEARCH("Antitarnish",Upload!N38&amp;Upload!O38&amp;Upload!P38&amp;Upload!Q38)),ISNUMBER(SEARCH("Anti Tarnish",Upload!N38&amp;Upload!O38&amp;Upload!P38&amp;Upload!Q38))))),"",0.0012*N39)</f>
        <v/>
      </c>
      <c r="P39" s="16" t="str">
        <f>IF(OR(D39="",NOT(OR(ISNUMBER(SEARCH("Epóx",Upload!N38&amp;Upload!O38&amp;Upload!P38&amp;Upload!Q38)),ISNUMBER(SEARCH("Epox",Upload!N38&amp;Upload!O38&amp;Upload!P38&amp;Upload!Q38)),ISNUMBER(SEARCH("Barniz",Upload!N38&amp;Upload!O38&amp;Upload!P38&amp;Upload!Q38))))),"",D39*0.000035)</f>
        <v/>
      </c>
      <c r="Q39" s="16" t="str">
        <f>IF(OR(D39="",NOT(OR(ISNUMBER(SEARCH("Epóx",Upload!N38&amp;Upload!O38&amp;Upload!P38&amp;Upload!Q38)),ISNUMBER(SEARCH("Epox",Upload!N38&amp;Upload!O38&amp;Upload!P38&amp;Upload!Q38)),ISNUMBER(SEARCH("Barniz",Upload!N38&amp;Upload!O38&amp;Upload!P38&amp;Upload!Q38))))),"",D39*0.000035)</f>
        <v/>
      </c>
      <c r="R39" s="16" t="str">
        <f t="shared" si="6"/>
        <v/>
      </c>
    </row>
    <row r="40" spans="1:18">
      <c r="A40" s="10">
        <f t="shared" si="0"/>
        <v>22</v>
      </c>
      <c r="B40" s="10">
        <f>Upload!E39</f>
        <v>0</v>
      </c>
      <c r="C40" s="10">
        <f>Upload!AJ39</f>
        <v>0</v>
      </c>
      <c r="D40" s="10">
        <f>Upload!AK39</f>
        <v>0</v>
      </c>
      <c r="E40" s="10" t="str">
        <f>Upload!AF39</f>
        <v/>
      </c>
      <c r="F40" s="10" t="str">
        <f>Upload!AH39</f>
        <v/>
      </c>
      <c r="G40" s="10">
        <f>Upload!AE39</f>
        <v>0</v>
      </c>
      <c r="H40" s="10">
        <f>Upload!AG39</f>
        <v>0</v>
      </c>
      <c r="J40" s="16" t="str">
        <f t="shared" si="1"/>
        <v/>
      </c>
      <c r="K40" s="16" t="str">
        <f t="shared" si="2"/>
        <v/>
      </c>
      <c r="L40" s="16" t="str">
        <f t="shared" si="3"/>
        <v/>
      </c>
      <c r="M40" s="16" t="str">
        <f t="shared" si="4"/>
        <v/>
      </c>
      <c r="N40" s="16" t="str">
        <f t="shared" si="5"/>
        <v/>
      </c>
      <c r="O40" s="16" t="str">
        <f>IF(OR(N40="",NOT(OR(ISNUMBER(SEARCH("Antitarnish",Upload!N39&amp;Upload!O39&amp;Upload!P39&amp;Upload!Q39)),ISNUMBER(SEARCH("Anti Tarnish",Upload!N39&amp;Upload!O39&amp;Upload!P39&amp;Upload!Q39))))),"",0.0012*N40)</f>
        <v/>
      </c>
      <c r="P40" s="16" t="str">
        <f>IF(OR(D40="",NOT(OR(ISNUMBER(SEARCH("Epóx",Upload!N39&amp;Upload!O39&amp;Upload!P39&amp;Upload!Q39)),ISNUMBER(SEARCH("Epox",Upload!N39&amp;Upload!O39&amp;Upload!P39&amp;Upload!Q39)),ISNUMBER(SEARCH("Barniz",Upload!N39&amp;Upload!O39&amp;Upload!P39&amp;Upload!Q39))))),"",D40*0.000035)</f>
        <v/>
      </c>
      <c r="Q40" s="16" t="str">
        <f>IF(OR(D40="",NOT(OR(ISNUMBER(SEARCH("Epóx",Upload!N39&amp;Upload!O39&amp;Upload!P39&amp;Upload!Q39)),ISNUMBER(SEARCH("Epox",Upload!N39&amp;Upload!O39&amp;Upload!P39&amp;Upload!Q39)),ISNUMBER(SEARCH("Barniz",Upload!N39&amp;Upload!O39&amp;Upload!P39&amp;Upload!Q39))))),"",D40*0.000035)</f>
        <v/>
      </c>
      <c r="R40" s="16" t="str">
        <f t="shared" si="6"/>
        <v/>
      </c>
    </row>
    <row r="41" spans="1:18">
      <c r="A41" s="10">
        <f t="shared" si="0"/>
        <v>23</v>
      </c>
      <c r="B41" s="10">
        <f>Upload!E40</f>
        <v>0</v>
      </c>
      <c r="C41" s="10">
        <f>Upload!AJ40</f>
        <v>0</v>
      </c>
      <c r="D41" s="10">
        <f>Upload!AK40</f>
        <v>0</v>
      </c>
      <c r="E41" s="10" t="str">
        <f>Upload!AF40</f>
        <v/>
      </c>
      <c r="F41" s="10" t="str">
        <f>Upload!AH40</f>
        <v/>
      </c>
      <c r="G41" s="10">
        <f>Upload!AE40</f>
        <v>0</v>
      </c>
      <c r="H41" s="10">
        <f>Upload!AG40</f>
        <v>0</v>
      </c>
      <c r="J41" s="16" t="str">
        <f t="shared" si="1"/>
        <v/>
      </c>
      <c r="K41" s="16" t="str">
        <f t="shared" si="2"/>
        <v/>
      </c>
      <c r="L41" s="16" t="str">
        <f t="shared" si="3"/>
        <v/>
      </c>
      <c r="M41" s="16" t="str">
        <f t="shared" si="4"/>
        <v/>
      </c>
      <c r="N41" s="16" t="str">
        <f t="shared" si="5"/>
        <v/>
      </c>
      <c r="O41" s="16" t="str">
        <f>IF(OR(N41="",NOT(OR(ISNUMBER(SEARCH("Antitarnish",Upload!N40&amp;Upload!O40&amp;Upload!P40&amp;Upload!Q40)),ISNUMBER(SEARCH("Anti Tarnish",Upload!N40&amp;Upload!O40&amp;Upload!P40&amp;Upload!Q40))))),"",0.0012*N41)</f>
        <v/>
      </c>
      <c r="P41" s="16" t="str">
        <f>IF(OR(D41="",NOT(OR(ISNUMBER(SEARCH("Epóx",Upload!N40&amp;Upload!O40&amp;Upload!P40&amp;Upload!Q40)),ISNUMBER(SEARCH("Epox",Upload!N40&amp;Upload!O40&amp;Upload!P40&amp;Upload!Q40)),ISNUMBER(SEARCH("Barniz",Upload!N40&amp;Upload!O40&amp;Upload!P40&amp;Upload!Q40))))),"",D41*0.000035)</f>
        <v/>
      </c>
      <c r="Q41" s="16" t="str">
        <f>IF(OR(D41="",NOT(OR(ISNUMBER(SEARCH("Epóx",Upload!N40&amp;Upload!O40&amp;Upload!P40&amp;Upload!Q40)),ISNUMBER(SEARCH("Epox",Upload!N40&amp;Upload!O40&amp;Upload!P40&amp;Upload!Q40)),ISNUMBER(SEARCH("Barniz",Upload!N40&amp;Upload!O40&amp;Upload!P40&amp;Upload!Q40))))),"",D41*0.000035)</f>
        <v/>
      </c>
      <c r="R41" s="16" t="str">
        <f t="shared" si="6"/>
        <v/>
      </c>
    </row>
    <row r="42" spans="1:18">
      <c r="A42" s="10">
        <f t="shared" si="0"/>
        <v>24</v>
      </c>
      <c r="B42" s="10">
        <f>Upload!E41</f>
        <v>0</v>
      </c>
      <c r="C42" s="10">
        <f>Upload!AJ41</f>
        <v>0</v>
      </c>
      <c r="D42" s="10">
        <f>Upload!AK41</f>
        <v>0</v>
      </c>
      <c r="E42" s="10" t="str">
        <f>Upload!AF41</f>
        <v/>
      </c>
      <c r="F42" s="10" t="str">
        <f>Upload!AH41</f>
        <v/>
      </c>
      <c r="G42" s="10">
        <f>Upload!AE41</f>
        <v>0</v>
      </c>
      <c r="H42" s="10">
        <f>Upload!AG41</f>
        <v>0</v>
      </c>
      <c r="J42" s="16" t="str">
        <f t="shared" si="1"/>
        <v/>
      </c>
      <c r="K42" s="16" t="str">
        <f t="shared" si="2"/>
        <v/>
      </c>
      <c r="L42" s="16" t="str">
        <f t="shared" si="3"/>
        <v/>
      </c>
      <c r="M42" s="16" t="str">
        <f t="shared" si="4"/>
        <v/>
      </c>
      <c r="N42" s="16" t="str">
        <f t="shared" si="5"/>
        <v/>
      </c>
      <c r="O42" s="16" t="str">
        <f>IF(OR(N42="",NOT(OR(ISNUMBER(SEARCH("Antitarnish",Upload!N41&amp;Upload!O41&amp;Upload!P41&amp;Upload!Q41)),ISNUMBER(SEARCH("Anti Tarnish",Upload!N41&amp;Upload!O41&amp;Upload!P41&amp;Upload!Q41))))),"",0.0012*N42)</f>
        <v/>
      </c>
      <c r="P42" s="16" t="str">
        <f>IF(OR(D42="",NOT(OR(ISNUMBER(SEARCH("Epóx",Upload!N41&amp;Upload!O41&amp;Upload!P41&amp;Upload!Q41)),ISNUMBER(SEARCH("Epox",Upload!N41&amp;Upload!O41&amp;Upload!P41&amp;Upload!Q41)),ISNUMBER(SEARCH("Barniz",Upload!N41&amp;Upload!O41&amp;Upload!P41&amp;Upload!Q41))))),"",D42*0.000035)</f>
        <v/>
      </c>
      <c r="Q42" s="16" t="str">
        <f>IF(OR(D42="",NOT(OR(ISNUMBER(SEARCH("Epóx",Upload!N41&amp;Upload!O41&amp;Upload!P41&amp;Upload!Q41)),ISNUMBER(SEARCH("Epox",Upload!N41&amp;Upload!O41&amp;Upload!P41&amp;Upload!Q41)),ISNUMBER(SEARCH("Barniz",Upload!N41&amp;Upload!O41&amp;Upload!P41&amp;Upload!Q41))))),"",D42*0.000035)</f>
        <v/>
      </c>
      <c r="R42" s="16" t="str">
        <f t="shared" si="6"/>
        <v/>
      </c>
    </row>
    <row r="43" spans="1:18">
      <c r="A43" s="10">
        <f t="shared" si="0"/>
        <v>25</v>
      </c>
      <c r="B43" s="10">
        <f>Upload!E42</f>
        <v>0</v>
      </c>
      <c r="C43" s="10">
        <f>Upload!AJ42</f>
        <v>0</v>
      </c>
      <c r="D43" s="10">
        <f>Upload!AK42</f>
        <v>0</v>
      </c>
      <c r="E43" s="10" t="str">
        <f>Upload!AF42</f>
        <v/>
      </c>
      <c r="F43" s="10" t="str">
        <f>Upload!AH42</f>
        <v/>
      </c>
      <c r="G43" s="10">
        <f>Upload!AE42</f>
        <v>0</v>
      </c>
      <c r="H43" s="10">
        <f>Upload!AG42</f>
        <v>0</v>
      </c>
      <c r="J43" s="16" t="str">
        <f t="shared" si="1"/>
        <v/>
      </c>
      <c r="K43" s="16" t="str">
        <f t="shared" si="2"/>
        <v/>
      </c>
      <c r="L43" s="16" t="str">
        <f t="shared" si="3"/>
        <v/>
      </c>
      <c r="M43" s="16" t="str">
        <f t="shared" si="4"/>
        <v/>
      </c>
      <c r="N43" s="16" t="str">
        <f t="shared" si="5"/>
        <v/>
      </c>
      <c r="O43" s="16" t="str">
        <f>IF(OR(N43="",NOT(OR(ISNUMBER(SEARCH("Antitarnish",Upload!N42&amp;Upload!O42&amp;Upload!P42&amp;Upload!Q42)),ISNUMBER(SEARCH("Anti Tarnish",Upload!N42&amp;Upload!O42&amp;Upload!P42&amp;Upload!Q42))))),"",0.0012*N43)</f>
        <v/>
      </c>
      <c r="P43" s="16" t="str">
        <f>IF(OR(D43="",NOT(OR(ISNUMBER(SEARCH("Epóx",Upload!N42&amp;Upload!O42&amp;Upload!P42&amp;Upload!Q42)),ISNUMBER(SEARCH("Epox",Upload!N42&amp;Upload!O42&amp;Upload!P42&amp;Upload!Q42)),ISNUMBER(SEARCH("Barniz",Upload!N42&amp;Upload!O42&amp;Upload!P42&amp;Upload!Q42))))),"",D43*0.000035)</f>
        <v/>
      </c>
      <c r="Q43" s="16" t="str">
        <f>IF(OR(D43="",NOT(OR(ISNUMBER(SEARCH("Epóx",Upload!N42&amp;Upload!O42&amp;Upload!P42&amp;Upload!Q42)),ISNUMBER(SEARCH("Epox",Upload!N42&amp;Upload!O42&amp;Upload!P42&amp;Upload!Q42)),ISNUMBER(SEARCH("Barniz",Upload!N42&amp;Upload!O42&amp;Upload!P42&amp;Upload!Q42))))),"",D43*0.000035)</f>
        <v/>
      </c>
      <c r="R43" s="16" t="str">
        <f t="shared" si="6"/>
        <v/>
      </c>
    </row>
    <row r="44" spans="1:18">
      <c r="A44" s="10">
        <f t="shared" si="0"/>
        <v>26</v>
      </c>
      <c r="B44" s="10">
        <f>Upload!E43</f>
        <v>0</v>
      </c>
      <c r="C44" s="10">
        <f>Upload!AJ43</f>
        <v>0</v>
      </c>
      <c r="D44" s="10">
        <f>Upload!AK43</f>
        <v>0</v>
      </c>
      <c r="E44" s="10" t="str">
        <f>Upload!AF43</f>
        <v/>
      </c>
      <c r="F44" s="10" t="str">
        <f>Upload!AH43</f>
        <v/>
      </c>
      <c r="G44" s="10">
        <f>Upload!AE43</f>
        <v>0</v>
      </c>
      <c r="H44" s="10">
        <f>Upload!AG43</f>
        <v>0</v>
      </c>
      <c r="J44" s="16" t="str">
        <f t="shared" si="1"/>
        <v/>
      </c>
      <c r="K44" s="16" t="str">
        <f t="shared" si="2"/>
        <v/>
      </c>
      <c r="L44" s="16" t="str">
        <f t="shared" si="3"/>
        <v/>
      </c>
      <c r="M44" s="16" t="str">
        <f t="shared" si="4"/>
        <v/>
      </c>
      <c r="N44" s="16" t="str">
        <f t="shared" si="5"/>
        <v/>
      </c>
      <c r="O44" s="16" t="str">
        <f>IF(OR(N44="",NOT(OR(ISNUMBER(SEARCH("Antitarnish",Upload!N43&amp;Upload!O43&amp;Upload!P43&amp;Upload!Q43)),ISNUMBER(SEARCH("Anti Tarnish",Upload!N43&amp;Upload!O43&amp;Upload!P43&amp;Upload!Q43))))),"",0.0012*N44)</f>
        <v/>
      </c>
      <c r="P44" s="16" t="str">
        <f>IF(OR(D44="",NOT(OR(ISNUMBER(SEARCH("Epóx",Upload!N43&amp;Upload!O43&amp;Upload!P43&amp;Upload!Q43)),ISNUMBER(SEARCH("Epox",Upload!N43&amp;Upload!O43&amp;Upload!P43&amp;Upload!Q43)),ISNUMBER(SEARCH("Barniz",Upload!N43&amp;Upload!O43&amp;Upload!P43&amp;Upload!Q43))))),"",D44*0.000035)</f>
        <v/>
      </c>
      <c r="Q44" s="16" t="str">
        <f>IF(OR(D44="",NOT(OR(ISNUMBER(SEARCH("Epóx",Upload!N43&amp;Upload!O43&amp;Upload!P43&amp;Upload!Q43)),ISNUMBER(SEARCH("Epox",Upload!N43&amp;Upload!O43&amp;Upload!P43&amp;Upload!Q43)),ISNUMBER(SEARCH("Barniz",Upload!N43&amp;Upload!O43&amp;Upload!P43&amp;Upload!Q43))))),"",D44*0.000035)</f>
        <v/>
      </c>
      <c r="R44" s="16" t="str">
        <f t="shared" si="6"/>
        <v/>
      </c>
    </row>
    <row r="45" spans="1:18">
      <c r="A45" s="10">
        <f t="shared" si="0"/>
        <v>27</v>
      </c>
      <c r="B45" s="10">
        <f>Upload!E44</f>
        <v>0</v>
      </c>
      <c r="C45" s="10">
        <f>Upload!AJ44</f>
        <v>0</v>
      </c>
      <c r="D45" s="10">
        <f>Upload!AK44</f>
        <v>0</v>
      </c>
      <c r="E45" s="10" t="str">
        <f>Upload!AF44</f>
        <v/>
      </c>
      <c r="F45" s="10" t="str">
        <f>Upload!AH44</f>
        <v/>
      </c>
      <c r="G45" s="10">
        <f>Upload!AE44</f>
        <v>0</v>
      </c>
      <c r="H45" s="10">
        <f>Upload!AG44</f>
        <v>0</v>
      </c>
      <c r="J45" s="16" t="str">
        <f t="shared" si="1"/>
        <v/>
      </c>
      <c r="K45" s="16" t="str">
        <f t="shared" si="2"/>
        <v/>
      </c>
      <c r="L45" s="16" t="str">
        <f t="shared" si="3"/>
        <v/>
      </c>
      <c r="M45" s="16" t="str">
        <f t="shared" si="4"/>
        <v/>
      </c>
      <c r="N45" s="16" t="str">
        <f t="shared" si="5"/>
        <v/>
      </c>
      <c r="O45" s="16" t="str">
        <f>IF(OR(N45="",NOT(OR(ISNUMBER(SEARCH("Antitarnish",Upload!N44&amp;Upload!O44&amp;Upload!P44&amp;Upload!Q44)),ISNUMBER(SEARCH("Anti Tarnish",Upload!N44&amp;Upload!O44&amp;Upload!P44&amp;Upload!Q44))))),"",0.0012*N45)</f>
        <v/>
      </c>
      <c r="P45" s="16" t="str">
        <f>IF(OR(D45="",NOT(OR(ISNUMBER(SEARCH("Epóx",Upload!N44&amp;Upload!O44&amp;Upload!P44&amp;Upload!Q44)),ISNUMBER(SEARCH("Epox",Upload!N44&amp;Upload!O44&amp;Upload!P44&amp;Upload!Q44)),ISNUMBER(SEARCH("Barniz",Upload!N44&amp;Upload!O44&amp;Upload!P44&amp;Upload!Q44))))),"",D45*0.000035)</f>
        <v/>
      </c>
      <c r="Q45" s="16" t="str">
        <f>IF(OR(D45="",NOT(OR(ISNUMBER(SEARCH("Epóx",Upload!N44&amp;Upload!O44&amp;Upload!P44&amp;Upload!Q44)),ISNUMBER(SEARCH("Epox",Upload!N44&amp;Upload!O44&amp;Upload!P44&amp;Upload!Q44)),ISNUMBER(SEARCH("Barniz",Upload!N44&amp;Upload!O44&amp;Upload!P44&amp;Upload!Q44))))),"",D45*0.000035)</f>
        <v/>
      </c>
      <c r="R45" s="16" t="str">
        <f t="shared" si="6"/>
        <v/>
      </c>
    </row>
    <row r="46" spans="1:18">
      <c r="A46" s="10">
        <f t="shared" si="0"/>
        <v>28</v>
      </c>
      <c r="B46" s="10">
        <f>Upload!E45</f>
        <v>0</v>
      </c>
      <c r="C46" s="10">
        <f>Upload!AJ45</f>
        <v>0</v>
      </c>
      <c r="D46" s="10">
        <f>Upload!AK45</f>
        <v>0</v>
      </c>
      <c r="E46" s="10" t="str">
        <f>Upload!AF45</f>
        <v/>
      </c>
      <c r="F46" s="10" t="str">
        <f>Upload!AH45</f>
        <v/>
      </c>
      <c r="G46" s="10">
        <f>Upload!AE45</f>
        <v>0</v>
      </c>
      <c r="H46" s="10">
        <f>Upload!AG45</f>
        <v>0</v>
      </c>
      <c r="J46" s="16" t="str">
        <f t="shared" si="1"/>
        <v/>
      </c>
      <c r="K46" s="16" t="str">
        <f t="shared" si="2"/>
        <v/>
      </c>
      <c r="L46" s="16" t="str">
        <f t="shared" si="3"/>
        <v/>
      </c>
      <c r="M46" s="16" t="str">
        <f t="shared" si="4"/>
        <v/>
      </c>
      <c r="N46" s="16" t="str">
        <f t="shared" si="5"/>
        <v/>
      </c>
      <c r="O46" s="16" t="str">
        <f>IF(OR(N46="",NOT(OR(ISNUMBER(SEARCH("Antitarnish",Upload!N45&amp;Upload!O45&amp;Upload!P45&amp;Upload!Q45)),ISNUMBER(SEARCH("Anti Tarnish",Upload!N45&amp;Upload!O45&amp;Upload!P45&amp;Upload!Q45))))),"",0.0012*N46)</f>
        <v/>
      </c>
      <c r="P46" s="16" t="str">
        <f>IF(OR(D46="",NOT(OR(ISNUMBER(SEARCH("Epóx",Upload!N45&amp;Upload!O45&amp;Upload!P45&amp;Upload!Q45)),ISNUMBER(SEARCH("Epox",Upload!N45&amp;Upload!O45&amp;Upload!P45&amp;Upload!Q45)),ISNUMBER(SEARCH("Barniz",Upload!N45&amp;Upload!O45&amp;Upload!P45&amp;Upload!Q45))))),"",D46*0.000035)</f>
        <v/>
      </c>
      <c r="Q46" s="16" t="str">
        <f>IF(OR(D46="",NOT(OR(ISNUMBER(SEARCH("Epóx",Upload!N45&amp;Upload!O45&amp;Upload!P45&amp;Upload!Q45)),ISNUMBER(SEARCH("Epox",Upload!N45&amp;Upload!O45&amp;Upload!P45&amp;Upload!Q45)),ISNUMBER(SEARCH("Barniz",Upload!N45&amp;Upload!O45&amp;Upload!P45&amp;Upload!Q45))))),"",D46*0.000035)</f>
        <v/>
      </c>
      <c r="R46" s="16" t="str">
        <f t="shared" si="6"/>
        <v/>
      </c>
    </row>
    <row r="47" spans="1:18">
      <c r="A47" s="10">
        <f t="shared" si="0"/>
        <v>29</v>
      </c>
      <c r="B47" s="10">
        <f>Upload!E46</f>
        <v>0</v>
      </c>
      <c r="C47" s="10">
        <f>Upload!AJ46</f>
        <v>0</v>
      </c>
      <c r="D47" s="10">
        <f>Upload!AK46</f>
        <v>0</v>
      </c>
      <c r="E47" s="10" t="str">
        <f>Upload!AF46</f>
        <v/>
      </c>
      <c r="F47" s="10" t="str">
        <f>Upload!AH46</f>
        <v/>
      </c>
      <c r="G47" s="10">
        <f>Upload!AE46</f>
        <v>0</v>
      </c>
      <c r="H47" s="10">
        <f>Upload!AG46</f>
        <v>0</v>
      </c>
      <c r="J47" s="16" t="str">
        <f t="shared" si="1"/>
        <v/>
      </c>
      <c r="K47" s="16" t="str">
        <f t="shared" si="2"/>
        <v/>
      </c>
      <c r="L47" s="16" t="str">
        <f t="shared" si="3"/>
        <v/>
      </c>
      <c r="M47" s="16" t="str">
        <f t="shared" si="4"/>
        <v/>
      </c>
      <c r="N47" s="16" t="str">
        <f t="shared" si="5"/>
        <v/>
      </c>
      <c r="O47" s="16" t="str">
        <f>IF(OR(N47="",NOT(OR(ISNUMBER(SEARCH("Antitarnish",Upload!N46&amp;Upload!O46&amp;Upload!P46&amp;Upload!Q46)),ISNUMBER(SEARCH("Anti Tarnish",Upload!N46&amp;Upload!O46&amp;Upload!P46&amp;Upload!Q46))))),"",0.0012*N47)</f>
        <v/>
      </c>
      <c r="P47" s="16" t="str">
        <f>IF(OR(D47="",NOT(OR(ISNUMBER(SEARCH("Epóx",Upload!N46&amp;Upload!O46&amp;Upload!P46&amp;Upload!Q46)),ISNUMBER(SEARCH("Epox",Upload!N46&amp;Upload!O46&amp;Upload!P46&amp;Upload!Q46)),ISNUMBER(SEARCH("Barniz",Upload!N46&amp;Upload!O46&amp;Upload!P46&amp;Upload!Q46))))),"",D47*0.000035)</f>
        <v/>
      </c>
      <c r="Q47" s="16" t="str">
        <f>IF(OR(D47="",NOT(OR(ISNUMBER(SEARCH("Epóx",Upload!N46&amp;Upload!O46&amp;Upload!P46&amp;Upload!Q46)),ISNUMBER(SEARCH("Epox",Upload!N46&amp;Upload!O46&amp;Upload!P46&amp;Upload!Q46)),ISNUMBER(SEARCH("Barniz",Upload!N46&amp;Upload!O46&amp;Upload!P46&amp;Upload!Q46))))),"",D47*0.000035)</f>
        <v/>
      </c>
      <c r="R47" s="16" t="str">
        <f t="shared" si="6"/>
        <v/>
      </c>
    </row>
    <row r="48" spans="1:18">
      <c r="A48" s="10">
        <f t="shared" si="0"/>
        <v>30</v>
      </c>
      <c r="B48" s="10">
        <f>Upload!E47</f>
        <v>0</v>
      </c>
      <c r="C48" s="10">
        <f>Upload!AJ47</f>
        <v>0</v>
      </c>
      <c r="D48" s="10">
        <f>Upload!AK47</f>
        <v>0</v>
      </c>
      <c r="E48" s="10" t="str">
        <f>Upload!AF47</f>
        <v/>
      </c>
      <c r="F48" s="10" t="str">
        <f>Upload!AH47</f>
        <v/>
      </c>
      <c r="G48" s="10">
        <f>Upload!AE47</f>
        <v>0</v>
      </c>
      <c r="H48" s="10">
        <f>Upload!AG47</f>
        <v>0</v>
      </c>
      <c r="J48" s="16" t="str">
        <f t="shared" si="1"/>
        <v/>
      </c>
      <c r="K48" s="16" t="str">
        <f t="shared" si="2"/>
        <v/>
      </c>
      <c r="L48" s="16" t="str">
        <f t="shared" si="3"/>
        <v/>
      </c>
      <c r="M48" s="16" t="str">
        <f t="shared" si="4"/>
        <v/>
      </c>
      <c r="N48" s="16" t="str">
        <f t="shared" si="5"/>
        <v/>
      </c>
      <c r="O48" s="16" t="str">
        <f>IF(OR(N48="",NOT(OR(ISNUMBER(SEARCH("Antitarnish",Upload!N47&amp;Upload!O47&amp;Upload!P47&amp;Upload!Q47)),ISNUMBER(SEARCH("Anti Tarnish",Upload!N47&amp;Upload!O47&amp;Upload!P47&amp;Upload!Q47))))),"",0.0012*N48)</f>
        <v/>
      </c>
      <c r="P48" s="16" t="str">
        <f>IF(OR(D48="",NOT(OR(ISNUMBER(SEARCH("Epóx",Upload!N47&amp;Upload!O47&amp;Upload!P47&amp;Upload!Q47)),ISNUMBER(SEARCH("Epox",Upload!N47&amp;Upload!O47&amp;Upload!P47&amp;Upload!Q47)),ISNUMBER(SEARCH("Barniz",Upload!N47&amp;Upload!O47&amp;Upload!P47&amp;Upload!Q47))))),"",D48*0.000035)</f>
        <v/>
      </c>
      <c r="Q48" s="16" t="str">
        <f>IF(OR(D48="",NOT(OR(ISNUMBER(SEARCH("Epóx",Upload!N47&amp;Upload!O47&amp;Upload!P47&amp;Upload!Q47)),ISNUMBER(SEARCH("Epox",Upload!N47&amp;Upload!O47&amp;Upload!P47&amp;Upload!Q47)),ISNUMBER(SEARCH("Barniz",Upload!N47&amp;Upload!O47&amp;Upload!P47&amp;Upload!Q47))))),"",D48*0.000035)</f>
        <v/>
      </c>
      <c r="R48" s="16" t="str">
        <f t="shared" si="6"/>
        <v/>
      </c>
    </row>
    <row r="49" spans="1:18">
      <c r="A49" s="10">
        <f t="shared" si="0"/>
        <v>31</v>
      </c>
      <c r="B49" s="10">
        <f>Upload!E48</f>
        <v>0</v>
      </c>
      <c r="C49" s="10">
        <f>Upload!AJ48</f>
        <v>0</v>
      </c>
      <c r="D49" s="10">
        <f>Upload!AK48</f>
        <v>0</v>
      </c>
      <c r="E49" s="10" t="str">
        <f>Upload!AF48</f>
        <v/>
      </c>
      <c r="F49" s="10" t="str">
        <f>Upload!AH48</f>
        <v/>
      </c>
      <c r="G49" s="10">
        <f>Upload!AE48</f>
        <v>0</v>
      </c>
      <c r="H49" s="10">
        <f>Upload!AG48</f>
        <v>0</v>
      </c>
      <c r="J49" s="16" t="str">
        <f t="shared" si="1"/>
        <v/>
      </c>
      <c r="K49" s="16" t="str">
        <f t="shared" si="2"/>
        <v/>
      </c>
      <c r="L49" s="16" t="str">
        <f t="shared" si="3"/>
        <v/>
      </c>
      <c r="M49" s="16" t="str">
        <f t="shared" si="4"/>
        <v/>
      </c>
      <c r="N49" s="16" t="str">
        <f t="shared" si="5"/>
        <v/>
      </c>
      <c r="O49" s="16" t="str">
        <f>IF(OR(N49="",NOT(OR(ISNUMBER(SEARCH("Antitarnish",Upload!N48&amp;Upload!O48&amp;Upload!P48&amp;Upload!Q48)),ISNUMBER(SEARCH("Anti Tarnish",Upload!N48&amp;Upload!O48&amp;Upload!P48&amp;Upload!Q48))))),"",0.0012*N49)</f>
        <v/>
      </c>
      <c r="P49" s="16" t="str">
        <f>IF(OR(D49="",NOT(OR(ISNUMBER(SEARCH("Epóx",Upload!N48&amp;Upload!O48&amp;Upload!P48&amp;Upload!Q48)),ISNUMBER(SEARCH("Epox",Upload!N48&amp;Upload!O48&amp;Upload!P48&amp;Upload!Q48)),ISNUMBER(SEARCH("Barniz",Upload!N48&amp;Upload!O48&amp;Upload!P48&amp;Upload!Q48))))),"",D49*0.000035)</f>
        <v/>
      </c>
      <c r="Q49" s="16" t="str">
        <f>IF(OR(D49="",NOT(OR(ISNUMBER(SEARCH("Epóx",Upload!N48&amp;Upload!O48&amp;Upload!P48&amp;Upload!Q48)),ISNUMBER(SEARCH("Epox",Upload!N48&amp;Upload!O48&amp;Upload!P48&amp;Upload!Q48)),ISNUMBER(SEARCH("Barniz",Upload!N48&amp;Upload!O48&amp;Upload!P48&amp;Upload!Q48))))),"",D49*0.000035)</f>
        <v/>
      </c>
      <c r="R49" s="16" t="str">
        <f t="shared" si="6"/>
        <v/>
      </c>
    </row>
    <row r="50" spans="1:18">
      <c r="A50" s="10">
        <f t="shared" si="0"/>
        <v>32</v>
      </c>
      <c r="B50" s="10">
        <f>Upload!E49</f>
        <v>0</v>
      </c>
      <c r="C50" s="10">
        <f>Upload!AJ49</f>
        <v>0</v>
      </c>
      <c r="D50" s="10">
        <f>Upload!AK49</f>
        <v>0</v>
      </c>
      <c r="E50" s="10" t="str">
        <f>Upload!AF49</f>
        <v/>
      </c>
      <c r="F50" s="10" t="str">
        <f>Upload!AH49</f>
        <v/>
      </c>
      <c r="G50" s="10">
        <f>Upload!AE49</f>
        <v>0</v>
      </c>
      <c r="H50" s="10">
        <f>Upload!AG49</f>
        <v>0</v>
      </c>
      <c r="J50" s="16" t="str">
        <f t="shared" si="1"/>
        <v/>
      </c>
      <c r="K50" s="16" t="str">
        <f t="shared" si="2"/>
        <v/>
      </c>
      <c r="L50" s="16" t="str">
        <f t="shared" si="3"/>
        <v/>
      </c>
      <c r="M50" s="16" t="str">
        <f t="shared" si="4"/>
        <v/>
      </c>
      <c r="N50" s="16" t="str">
        <f t="shared" si="5"/>
        <v/>
      </c>
      <c r="O50" s="16" t="str">
        <f>IF(OR(N50="",NOT(OR(ISNUMBER(SEARCH("Antitarnish",Upload!N49&amp;Upload!O49&amp;Upload!P49&amp;Upload!Q49)),ISNUMBER(SEARCH("Anti Tarnish",Upload!N49&amp;Upload!O49&amp;Upload!P49&amp;Upload!Q49))))),"",0.0012*N50)</f>
        <v/>
      </c>
      <c r="P50" s="16" t="str">
        <f>IF(OR(D50="",NOT(OR(ISNUMBER(SEARCH("Epóx",Upload!N49&amp;Upload!O49&amp;Upload!P49&amp;Upload!Q49)),ISNUMBER(SEARCH("Epox",Upload!N49&amp;Upload!O49&amp;Upload!P49&amp;Upload!Q49)),ISNUMBER(SEARCH("Barniz",Upload!N49&amp;Upload!O49&amp;Upload!P49&amp;Upload!Q49))))),"",D50*0.000035)</f>
        <v/>
      </c>
      <c r="Q50" s="16" t="str">
        <f>IF(OR(D50="",NOT(OR(ISNUMBER(SEARCH("Epóx",Upload!N49&amp;Upload!O49&amp;Upload!P49&amp;Upload!Q49)),ISNUMBER(SEARCH("Epox",Upload!N49&amp;Upload!O49&amp;Upload!P49&amp;Upload!Q49)),ISNUMBER(SEARCH("Barniz",Upload!N49&amp;Upload!O49&amp;Upload!P49&amp;Upload!Q49))))),"",D50*0.000035)</f>
        <v/>
      </c>
      <c r="R50" s="16" t="str">
        <f t="shared" si="6"/>
        <v/>
      </c>
    </row>
    <row r="51" spans="1:18">
      <c r="A51" s="10">
        <f t="shared" ref="A51:A69" si="7">_xludf.ROW()-18</f>
        <v>33</v>
      </c>
      <c r="B51" s="10">
        <f>Upload!E50</f>
        <v>0</v>
      </c>
      <c r="C51" s="10">
        <f>Upload!AJ50</f>
        <v>0</v>
      </c>
      <c r="D51" s="10">
        <f>Upload!AK50</f>
        <v>0</v>
      </c>
      <c r="E51" s="10" t="str">
        <f>Upload!AF50</f>
        <v/>
      </c>
      <c r="F51" s="10" t="str">
        <f>Upload!AH50</f>
        <v/>
      </c>
      <c r="G51" s="10">
        <f>Upload!AE50</f>
        <v>0</v>
      </c>
      <c r="H51" s="10">
        <f>Upload!AG50</f>
        <v>0</v>
      </c>
      <c r="J51" s="16" t="str">
        <f t="shared" si="1"/>
        <v/>
      </c>
      <c r="K51" s="16" t="str">
        <f t="shared" si="2"/>
        <v/>
      </c>
      <c r="L51" s="16" t="str">
        <f t="shared" si="3"/>
        <v/>
      </c>
      <c r="M51" s="16" t="str">
        <f t="shared" si="4"/>
        <v/>
      </c>
      <c r="N51" s="16" t="str">
        <f t="shared" si="5"/>
        <v/>
      </c>
      <c r="O51" s="16" t="str">
        <f>IF(OR(N51="",NOT(OR(ISNUMBER(SEARCH("Antitarnish",Upload!N50&amp;Upload!O50&amp;Upload!P50&amp;Upload!Q50)),ISNUMBER(SEARCH("Anti Tarnish",Upload!N50&amp;Upload!O50&amp;Upload!P50&amp;Upload!Q50))))),"",0.0012*N51)</f>
        <v/>
      </c>
      <c r="P51" s="16" t="str">
        <f>IF(OR(D51="",NOT(OR(ISNUMBER(SEARCH("Epóx",Upload!N50&amp;Upload!O50&amp;Upload!P50&amp;Upload!Q50)),ISNUMBER(SEARCH("Epox",Upload!N50&amp;Upload!O50&amp;Upload!P50&amp;Upload!Q50)),ISNUMBER(SEARCH("Barniz",Upload!N50&amp;Upload!O50&amp;Upload!P50&amp;Upload!Q50))))),"",D51*0.000035)</f>
        <v/>
      </c>
      <c r="Q51" s="16" t="str">
        <f>IF(OR(D51="",NOT(OR(ISNUMBER(SEARCH("Epóx",Upload!N50&amp;Upload!O50&amp;Upload!P50&amp;Upload!Q50)),ISNUMBER(SEARCH("Epox",Upload!N50&amp;Upload!O50&amp;Upload!P50&amp;Upload!Q50)),ISNUMBER(SEARCH("Barniz",Upload!N50&amp;Upload!O50&amp;Upload!P50&amp;Upload!Q50))))),"",D51*0.000035)</f>
        <v/>
      </c>
      <c r="R51" s="16" t="str">
        <f t="shared" si="6"/>
        <v/>
      </c>
    </row>
    <row r="52" spans="1:18">
      <c r="A52" s="10">
        <f t="shared" si="7"/>
        <v>34</v>
      </c>
      <c r="B52" s="10">
        <f>Upload!E51</f>
        <v>0</v>
      </c>
      <c r="C52" s="10">
        <f>Upload!AJ51</f>
        <v>0</v>
      </c>
      <c r="D52" s="10">
        <f>Upload!AK51</f>
        <v>0</v>
      </c>
      <c r="E52" s="10" t="str">
        <f>Upload!AF51</f>
        <v/>
      </c>
      <c r="F52" s="10" t="str">
        <f>Upload!AH51</f>
        <v/>
      </c>
      <c r="G52" s="10">
        <f>Upload!AE51</f>
        <v>0</v>
      </c>
      <c r="H52" s="10">
        <f>Upload!AG51</f>
        <v>0</v>
      </c>
      <c r="J52" s="16" t="str">
        <f t="shared" si="1"/>
        <v/>
      </c>
      <c r="K52" s="16" t="str">
        <f t="shared" si="2"/>
        <v/>
      </c>
      <c r="L52" s="16" t="str">
        <f t="shared" si="3"/>
        <v/>
      </c>
      <c r="M52" s="16" t="str">
        <f t="shared" si="4"/>
        <v/>
      </c>
      <c r="N52" s="16" t="str">
        <f t="shared" si="5"/>
        <v/>
      </c>
      <c r="O52" s="16" t="str">
        <f>IF(OR(N52="",NOT(OR(ISNUMBER(SEARCH("Antitarnish",Upload!N51&amp;Upload!O51&amp;Upload!P51&amp;Upload!Q51)),ISNUMBER(SEARCH("Anti Tarnish",Upload!N51&amp;Upload!O51&amp;Upload!P51&amp;Upload!Q51))))),"",0.0012*N52)</f>
        <v/>
      </c>
      <c r="P52" s="16" t="str">
        <f>IF(OR(D52="",NOT(OR(ISNUMBER(SEARCH("Epóx",Upload!N51&amp;Upload!O51&amp;Upload!P51&amp;Upload!Q51)),ISNUMBER(SEARCH("Epox",Upload!N51&amp;Upload!O51&amp;Upload!P51&amp;Upload!Q51)),ISNUMBER(SEARCH("Barniz",Upload!N51&amp;Upload!O51&amp;Upload!P51&amp;Upload!Q51))))),"",D52*0.000035)</f>
        <v/>
      </c>
      <c r="Q52" s="16" t="str">
        <f>IF(OR(D52="",NOT(OR(ISNUMBER(SEARCH("Epóx",Upload!N51&amp;Upload!O51&amp;Upload!P51&amp;Upload!Q51)),ISNUMBER(SEARCH("Epox",Upload!N51&amp;Upload!O51&amp;Upload!P51&amp;Upload!Q51)),ISNUMBER(SEARCH("Barniz",Upload!N51&amp;Upload!O51&amp;Upload!P51&amp;Upload!Q51))))),"",D52*0.000035)</f>
        <v/>
      </c>
      <c r="R52" s="16" t="str">
        <f t="shared" si="6"/>
        <v/>
      </c>
    </row>
    <row r="53" spans="1:18">
      <c r="A53" s="10">
        <f t="shared" si="7"/>
        <v>35</v>
      </c>
      <c r="B53" s="10">
        <f>Upload!E52</f>
        <v>0</v>
      </c>
      <c r="C53" s="10">
        <f>Upload!AJ52</f>
        <v>0</v>
      </c>
      <c r="D53" s="10">
        <f>Upload!AK52</f>
        <v>0</v>
      </c>
      <c r="E53" s="10" t="str">
        <f>Upload!AF52</f>
        <v/>
      </c>
      <c r="F53" s="10" t="str">
        <f>Upload!AH52</f>
        <v/>
      </c>
      <c r="G53" s="10">
        <f>Upload!AE52</f>
        <v>0</v>
      </c>
      <c r="H53" s="10">
        <f>Upload!AG52</f>
        <v>0</v>
      </c>
      <c r="J53" s="16" t="str">
        <f t="shared" si="1"/>
        <v/>
      </c>
      <c r="K53" s="16" t="str">
        <f t="shared" si="2"/>
        <v/>
      </c>
      <c r="L53" s="16" t="str">
        <f t="shared" si="3"/>
        <v/>
      </c>
      <c r="M53" s="16" t="str">
        <f t="shared" si="4"/>
        <v/>
      </c>
      <c r="N53" s="16" t="str">
        <f t="shared" si="5"/>
        <v/>
      </c>
      <c r="O53" s="16" t="str">
        <f>IF(OR(N53="",NOT(OR(ISNUMBER(SEARCH("Antitarnish",Upload!N52&amp;Upload!O52&amp;Upload!P52&amp;Upload!Q52)),ISNUMBER(SEARCH("Anti Tarnish",Upload!N52&amp;Upload!O52&amp;Upload!P52&amp;Upload!Q52))))),"",0.0012*N53)</f>
        <v/>
      </c>
      <c r="P53" s="16" t="str">
        <f>IF(OR(D53="",NOT(OR(ISNUMBER(SEARCH("Epóx",Upload!N52&amp;Upload!O52&amp;Upload!P52&amp;Upload!Q52)),ISNUMBER(SEARCH("Epox",Upload!N52&amp;Upload!O52&amp;Upload!P52&amp;Upload!Q52)),ISNUMBER(SEARCH("Barniz",Upload!N52&amp;Upload!O52&amp;Upload!P52&amp;Upload!Q52))))),"",D53*0.000035)</f>
        <v/>
      </c>
      <c r="Q53" s="16" t="str">
        <f>IF(OR(D53="",NOT(OR(ISNUMBER(SEARCH("Epóx",Upload!N52&amp;Upload!O52&amp;Upload!P52&amp;Upload!Q52)),ISNUMBER(SEARCH("Epox",Upload!N52&amp;Upload!O52&amp;Upload!P52&amp;Upload!Q52)),ISNUMBER(SEARCH("Barniz",Upload!N52&amp;Upload!O52&amp;Upload!P52&amp;Upload!Q52))))),"",D53*0.000035)</f>
        <v/>
      </c>
      <c r="R53" s="16" t="str">
        <f t="shared" si="6"/>
        <v/>
      </c>
    </row>
    <row r="54" spans="1:18">
      <c r="A54" s="10">
        <f t="shared" si="7"/>
        <v>36</v>
      </c>
      <c r="B54" s="10">
        <f>Upload!E53</f>
        <v>0</v>
      </c>
      <c r="C54" s="10">
        <f>Upload!AJ53</f>
        <v>0</v>
      </c>
      <c r="D54" s="10">
        <f>Upload!AK53</f>
        <v>0</v>
      </c>
      <c r="E54" s="10" t="str">
        <f>Upload!AF53</f>
        <v/>
      </c>
      <c r="F54" s="10" t="str">
        <f>Upload!AH53</f>
        <v/>
      </c>
      <c r="G54" s="10">
        <f>Upload!AE53</f>
        <v>0</v>
      </c>
      <c r="H54" s="10">
        <f>Upload!AG53</f>
        <v>0</v>
      </c>
      <c r="J54" s="16" t="str">
        <f t="shared" si="1"/>
        <v/>
      </c>
      <c r="K54" s="16" t="str">
        <f t="shared" si="2"/>
        <v/>
      </c>
      <c r="L54" s="16" t="str">
        <f t="shared" si="3"/>
        <v/>
      </c>
      <c r="M54" s="16" t="str">
        <f t="shared" si="4"/>
        <v/>
      </c>
      <c r="N54" s="16" t="str">
        <f t="shared" si="5"/>
        <v/>
      </c>
      <c r="O54" s="16" t="str">
        <f>IF(OR(N54="",NOT(OR(ISNUMBER(SEARCH("Antitarnish",Upload!N53&amp;Upload!O53&amp;Upload!P53&amp;Upload!Q53)),ISNUMBER(SEARCH("Anti Tarnish",Upload!N53&amp;Upload!O53&amp;Upload!P53&amp;Upload!Q53))))),"",0.0012*N54)</f>
        <v/>
      </c>
      <c r="P54" s="16" t="str">
        <f>IF(OR(D54="",NOT(OR(ISNUMBER(SEARCH("Epóx",Upload!N53&amp;Upload!O53&amp;Upload!P53&amp;Upload!Q53)),ISNUMBER(SEARCH("Epox",Upload!N53&amp;Upload!O53&amp;Upload!P53&amp;Upload!Q53)),ISNUMBER(SEARCH("Barniz",Upload!N53&amp;Upload!O53&amp;Upload!P53&amp;Upload!Q53))))),"",D54*0.000035)</f>
        <v/>
      </c>
      <c r="Q54" s="16" t="str">
        <f>IF(OR(D54="",NOT(OR(ISNUMBER(SEARCH("Epóx",Upload!N53&amp;Upload!O53&amp;Upload!P53&amp;Upload!Q53)),ISNUMBER(SEARCH("Epox",Upload!N53&amp;Upload!O53&amp;Upload!P53&amp;Upload!Q53)),ISNUMBER(SEARCH("Barniz",Upload!N53&amp;Upload!O53&amp;Upload!P53&amp;Upload!Q53))))),"",D54*0.000035)</f>
        <v/>
      </c>
      <c r="R54" s="16" t="str">
        <f t="shared" si="6"/>
        <v/>
      </c>
    </row>
    <row r="55" spans="1:18">
      <c r="A55" s="10">
        <f t="shared" si="7"/>
        <v>37</v>
      </c>
      <c r="B55" s="10">
        <f>Upload!E54</f>
        <v>0</v>
      </c>
      <c r="C55" s="10">
        <f>Upload!AJ54</f>
        <v>0</v>
      </c>
      <c r="D55" s="10">
        <f>Upload!AK54</f>
        <v>0</v>
      </c>
      <c r="E55" s="10" t="str">
        <f>Upload!AF54</f>
        <v/>
      </c>
      <c r="F55" s="10" t="str">
        <f>Upload!AH54</f>
        <v/>
      </c>
      <c r="G55" s="10">
        <f>Upload!AE54</f>
        <v>0</v>
      </c>
      <c r="H55" s="10">
        <f>Upload!AG54</f>
        <v>0</v>
      </c>
      <c r="J55" s="16" t="str">
        <f t="shared" si="1"/>
        <v/>
      </c>
      <c r="K55" s="16" t="str">
        <f t="shared" si="2"/>
        <v/>
      </c>
      <c r="L55" s="16" t="str">
        <f t="shared" si="3"/>
        <v/>
      </c>
      <c r="M55" s="16" t="str">
        <f t="shared" si="4"/>
        <v/>
      </c>
      <c r="N55" s="16" t="str">
        <f t="shared" si="5"/>
        <v/>
      </c>
      <c r="O55" s="16" t="str">
        <f>IF(OR(N55="",NOT(OR(ISNUMBER(SEARCH("Antitarnish",Upload!N54&amp;Upload!O54&amp;Upload!P54&amp;Upload!Q54)),ISNUMBER(SEARCH("Anti Tarnish",Upload!N54&amp;Upload!O54&amp;Upload!P54&amp;Upload!Q54))))),"",0.0012*N55)</f>
        <v/>
      </c>
      <c r="P55" s="16" t="str">
        <f>IF(OR(D55="",NOT(OR(ISNUMBER(SEARCH("Epóx",Upload!N54&amp;Upload!O54&amp;Upload!P54&amp;Upload!Q54)),ISNUMBER(SEARCH("Epox",Upload!N54&amp;Upload!O54&amp;Upload!P54&amp;Upload!Q54)),ISNUMBER(SEARCH("Barniz",Upload!N54&amp;Upload!O54&amp;Upload!P54&amp;Upload!Q54))))),"",D55*0.000035)</f>
        <v/>
      </c>
      <c r="Q55" s="16" t="str">
        <f>IF(OR(D55="",NOT(OR(ISNUMBER(SEARCH("Epóx",Upload!N54&amp;Upload!O54&amp;Upload!P54&amp;Upload!Q54)),ISNUMBER(SEARCH("Epox",Upload!N54&amp;Upload!O54&amp;Upload!P54&amp;Upload!Q54)),ISNUMBER(SEARCH("Barniz",Upload!N54&amp;Upload!O54&amp;Upload!P54&amp;Upload!Q54))))),"",D55*0.000035)</f>
        <v/>
      </c>
      <c r="R55" s="16" t="str">
        <f t="shared" si="6"/>
        <v/>
      </c>
    </row>
    <row r="56" spans="1:18">
      <c r="A56" s="10">
        <f t="shared" si="7"/>
        <v>38</v>
      </c>
      <c r="B56" s="10">
        <f>Upload!E55</f>
        <v>0</v>
      </c>
      <c r="C56" s="10">
        <f>Upload!AJ55</f>
        <v>0</v>
      </c>
      <c r="D56" s="10">
        <f>Upload!AK55</f>
        <v>0</v>
      </c>
      <c r="E56" s="10" t="str">
        <f>Upload!AF55</f>
        <v/>
      </c>
      <c r="F56" s="10" t="str">
        <f>Upload!AH55</f>
        <v/>
      </c>
      <c r="G56" s="10">
        <f>Upload!AE55</f>
        <v>0</v>
      </c>
      <c r="H56" s="10">
        <f>Upload!AG55</f>
        <v>0</v>
      </c>
      <c r="J56" s="16" t="str">
        <f t="shared" si="1"/>
        <v/>
      </c>
      <c r="K56" s="16" t="str">
        <f t="shared" si="2"/>
        <v/>
      </c>
      <c r="L56" s="16" t="str">
        <f t="shared" si="3"/>
        <v/>
      </c>
      <c r="M56" s="16" t="str">
        <f t="shared" si="4"/>
        <v/>
      </c>
      <c r="N56" s="16" t="str">
        <f t="shared" si="5"/>
        <v/>
      </c>
      <c r="O56" s="16" t="str">
        <f>IF(OR(N56="",NOT(OR(ISNUMBER(SEARCH("Antitarnish",Upload!N55&amp;Upload!O55&amp;Upload!P55&amp;Upload!Q55)),ISNUMBER(SEARCH("Anti Tarnish",Upload!N55&amp;Upload!O55&amp;Upload!P55&amp;Upload!Q55))))),"",0.0012*N56)</f>
        <v/>
      </c>
      <c r="P56" s="16" t="str">
        <f>IF(OR(D56="",NOT(OR(ISNUMBER(SEARCH("Epóx",Upload!N55&amp;Upload!O55&amp;Upload!P55&amp;Upload!Q55)),ISNUMBER(SEARCH("Epox",Upload!N55&amp;Upload!O55&amp;Upload!P55&amp;Upload!Q55)),ISNUMBER(SEARCH("Barniz",Upload!N55&amp;Upload!O55&amp;Upload!P55&amp;Upload!Q55))))),"",D56*0.000035)</f>
        <v/>
      </c>
      <c r="Q56" s="16" t="str">
        <f>IF(OR(D56="",NOT(OR(ISNUMBER(SEARCH("Epóx",Upload!N55&amp;Upload!O55&amp;Upload!P55&amp;Upload!Q55)),ISNUMBER(SEARCH("Epox",Upload!N55&amp;Upload!O55&amp;Upload!P55&amp;Upload!Q55)),ISNUMBER(SEARCH("Barniz",Upload!N55&amp;Upload!O55&amp;Upload!P55&amp;Upload!Q55))))),"",D56*0.000035)</f>
        <v/>
      </c>
      <c r="R56" s="16" t="str">
        <f t="shared" si="6"/>
        <v/>
      </c>
    </row>
    <row r="57" spans="1:18">
      <c r="A57" s="10">
        <f t="shared" si="7"/>
        <v>39</v>
      </c>
      <c r="B57" s="10">
        <f>Upload!E56</f>
        <v>0</v>
      </c>
      <c r="C57" s="10">
        <f>Upload!AJ56</f>
        <v>0</v>
      </c>
      <c r="D57" s="10">
        <f>Upload!AK56</f>
        <v>0</v>
      </c>
      <c r="E57" s="10" t="str">
        <f>Upload!AF56</f>
        <v/>
      </c>
      <c r="F57" s="10" t="str">
        <f>Upload!AH56</f>
        <v/>
      </c>
      <c r="G57" s="10">
        <f>Upload!AE56</f>
        <v>0</v>
      </c>
      <c r="H57" s="10">
        <f>Upload!AG56</f>
        <v>0</v>
      </c>
      <c r="J57" s="16" t="str">
        <f t="shared" si="1"/>
        <v/>
      </c>
      <c r="K57" s="16" t="str">
        <f t="shared" si="2"/>
        <v/>
      </c>
      <c r="L57" s="16" t="str">
        <f t="shared" si="3"/>
        <v/>
      </c>
      <c r="M57" s="16" t="str">
        <f t="shared" si="4"/>
        <v/>
      </c>
      <c r="N57" s="16" t="str">
        <f t="shared" si="5"/>
        <v/>
      </c>
      <c r="O57" s="16" t="str">
        <f>IF(OR(N57="",NOT(OR(ISNUMBER(SEARCH("Antitarnish",Upload!N56&amp;Upload!O56&amp;Upload!P56&amp;Upload!Q56)),ISNUMBER(SEARCH("Anti Tarnish",Upload!N56&amp;Upload!O56&amp;Upload!P56&amp;Upload!Q56))))),"",0.0012*N57)</f>
        <v/>
      </c>
      <c r="P57" s="16" t="str">
        <f>IF(OR(D57="",NOT(OR(ISNUMBER(SEARCH("Epóx",Upload!N56&amp;Upload!O56&amp;Upload!P56&amp;Upload!Q56)),ISNUMBER(SEARCH("Epox",Upload!N56&amp;Upload!O56&amp;Upload!P56&amp;Upload!Q56)),ISNUMBER(SEARCH("Barniz",Upload!N56&amp;Upload!O56&amp;Upload!P56&amp;Upload!Q56))))),"",D57*0.000035)</f>
        <v/>
      </c>
      <c r="Q57" s="16" t="str">
        <f>IF(OR(D57="",NOT(OR(ISNUMBER(SEARCH("Epóx",Upload!N56&amp;Upload!O56&amp;Upload!P56&amp;Upload!Q56)),ISNUMBER(SEARCH("Epox",Upload!N56&amp;Upload!O56&amp;Upload!P56&amp;Upload!Q56)),ISNUMBER(SEARCH("Barniz",Upload!N56&amp;Upload!O56&amp;Upload!P56&amp;Upload!Q56))))),"",D57*0.000035)</f>
        <v/>
      </c>
      <c r="R57" s="16" t="str">
        <f t="shared" si="6"/>
        <v/>
      </c>
    </row>
    <row r="58" spans="1:18">
      <c r="A58" s="10">
        <f t="shared" si="7"/>
        <v>40</v>
      </c>
      <c r="B58" s="10">
        <f>Upload!E57</f>
        <v>0</v>
      </c>
      <c r="C58" s="10">
        <f>Upload!AJ57</f>
        <v>0</v>
      </c>
      <c r="D58" s="10">
        <f>Upload!AK57</f>
        <v>0</v>
      </c>
      <c r="E58" s="10" t="str">
        <f>Upload!AF57</f>
        <v/>
      </c>
      <c r="F58" s="10" t="str">
        <f>Upload!AH57</f>
        <v/>
      </c>
      <c r="G58" s="10">
        <f>Upload!AE57</f>
        <v>0</v>
      </c>
      <c r="H58" s="10">
        <f>Upload!AG57</f>
        <v>0</v>
      </c>
      <c r="J58" s="16" t="str">
        <f t="shared" si="1"/>
        <v/>
      </c>
      <c r="K58" s="16" t="str">
        <f t="shared" si="2"/>
        <v/>
      </c>
      <c r="L58" s="16" t="str">
        <f t="shared" si="3"/>
        <v/>
      </c>
      <c r="M58" s="16" t="str">
        <f t="shared" si="4"/>
        <v/>
      </c>
      <c r="N58" s="16" t="str">
        <f t="shared" si="5"/>
        <v/>
      </c>
      <c r="O58" s="16" t="str">
        <f>IF(OR(N58="",NOT(OR(ISNUMBER(SEARCH("Antitarnish",Upload!N57&amp;Upload!O57&amp;Upload!P57&amp;Upload!Q57)),ISNUMBER(SEARCH("Anti Tarnish",Upload!N57&amp;Upload!O57&amp;Upload!P57&amp;Upload!Q57))))),"",0.0012*N58)</f>
        <v/>
      </c>
      <c r="P58" s="16" t="str">
        <f>IF(OR(D58="",NOT(OR(ISNUMBER(SEARCH("Epóx",Upload!N57&amp;Upload!O57&amp;Upload!P57&amp;Upload!Q57)),ISNUMBER(SEARCH("Epox",Upload!N57&amp;Upload!O57&amp;Upload!P57&amp;Upload!Q57)),ISNUMBER(SEARCH("Barniz",Upload!N57&amp;Upload!O57&amp;Upload!P57&amp;Upload!Q57))))),"",D58*0.000035)</f>
        <v/>
      </c>
      <c r="Q58" s="16" t="str">
        <f>IF(OR(D58="",NOT(OR(ISNUMBER(SEARCH("Epóx",Upload!N57&amp;Upload!O57&amp;Upload!P57&amp;Upload!Q57)),ISNUMBER(SEARCH("Epox",Upload!N57&amp;Upload!O57&amp;Upload!P57&amp;Upload!Q57)),ISNUMBER(SEARCH("Barniz",Upload!N57&amp;Upload!O57&amp;Upload!P57&amp;Upload!Q57))))),"",D58*0.000035)</f>
        <v/>
      </c>
      <c r="R58" s="16" t="str">
        <f t="shared" si="6"/>
        <v/>
      </c>
    </row>
    <row r="59" spans="1:18">
      <c r="A59" s="10">
        <f t="shared" si="7"/>
        <v>41</v>
      </c>
      <c r="B59" s="10">
        <f>Upload!E58</f>
        <v>0</v>
      </c>
      <c r="C59" s="10">
        <f>Upload!AJ58</f>
        <v>0</v>
      </c>
      <c r="D59" s="10">
        <f>Upload!AK58</f>
        <v>0</v>
      </c>
      <c r="E59" s="10" t="str">
        <f>Upload!AF58</f>
        <v/>
      </c>
      <c r="F59" s="10" t="str">
        <f>Upload!AH58</f>
        <v/>
      </c>
      <c r="G59" s="10">
        <f>Upload!AE58</f>
        <v>0</v>
      </c>
      <c r="H59" s="10">
        <f>Upload!AG58</f>
        <v>0</v>
      </c>
      <c r="J59" s="16" t="str">
        <f t="shared" si="1"/>
        <v/>
      </c>
      <c r="K59" s="16" t="str">
        <f t="shared" si="2"/>
        <v/>
      </c>
      <c r="L59" s="16" t="str">
        <f t="shared" si="3"/>
        <v/>
      </c>
      <c r="M59" s="16" t="str">
        <f t="shared" si="4"/>
        <v/>
      </c>
      <c r="N59" s="16" t="str">
        <f t="shared" si="5"/>
        <v/>
      </c>
      <c r="O59" s="16" t="str">
        <f>IF(OR(N59="",NOT(OR(ISNUMBER(SEARCH("Antitarnish",Upload!N58&amp;Upload!O58&amp;Upload!P58&amp;Upload!Q58)),ISNUMBER(SEARCH("Anti Tarnish",Upload!N58&amp;Upload!O58&amp;Upload!P58&amp;Upload!Q58))))),"",0.0012*N59)</f>
        <v/>
      </c>
      <c r="P59" s="16" t="str">
        <f>IF(OR(D59="",NOT(OR(ISNUMBER(SEARCH("Epóx",Upload!N58&amp;Upload!O58&amp;Upload!P58&amp;Upload!Q58)),ISNUMBER(SEARCH("Epox",Upload!N58&amp;Upload!O58&amp;Upload!P58&amp;Upload!Q58)),ISNUMBER(SEARCH("Barniz",Upload!N58&amp;Upload!O58&amp;Upload!P58&amp;Upload!Q58))))),"",D59*0.000035)</f>
        <v/>
      </c>
      <c r="Q59" s="16" t="str">
        <f>IF(OR(D59="",NOT(OR(ISNUMBER(SEARCH("Epóx",Upload!N58&amp;Upload!O58&amp;Upload!P58&amp;Upload!Q58)),ISNUMBER(SEARCH("Epox",Upload!N58&amp;Upload!O58&amp;Upload!P58&amp;Upload!Q58)),ISNUMBER(SEARCH("Barniz",Upload!N58&amp;Upload!O58&amp;Upload!P58&amp;Upload!Q58))))),"",D59*0.000035)</f>
        <v/>
      </c>
      <c r="R59" s="16" t="str">
        <f t="shared" si="6"/>
        <v/>
      </c>
    </row>
    <row r="60" spans="1:18">
      <c r="A60" s="10">
        <f t="shared" si="7"/>
        <v>42</v>
      </c>
      <c r="B60" s="10">
        <f>Upload!E59</f>
        <v>0</v>
      </c>
      <c r="C60" s="10">
        <f>Upload!AJ59</f>
        <v>0</v>
      </c>
      <c r="D60" s="10">
        <f>Upload!AK59</f>
        <v>0</v>
      </c>
      <c r="E60" s="10" t="str">
        <f>Upload!AF59</f>
        <v/>
      </c>
      <c r="F60" s="10" t="str">
        <f>Upload!AH59</f>
        <v/>
      </c>
      <c r="G60" s="10">
        <f>Upload!AE59</f>
        <v>0</v>
      </c>
      <c r="H60" s="10">
        <f>Upload!AG59</f>
        <v>0</v>
      </c>
      <c r="J60" s="16" t="str">
        <f t="shared" si="1"/>
        <v/>
      </c>
      <c r="K60" s="16" t="str">
        <f t="shared" si="2"/>
        <v/>
      </c>
      <c r="L60" s="16" t="str">
        <f t="shared" si="3"/>
        <v/>
      </c>
      <c r="M60" s="16" t="str">
        <f t="shared" si="4"/>
        <v/>
      </c>
      <c r="N60" s="16" t="str">
        <f t="shared" si="5"/>
        <v/>
      </c>
      <c r="O60" s="16" t="str">
        <f>IF(OR(N60="",NOT(OR(ISNUMBER(SEARCH("Antitarnish",Upload!N59&amp;Upload!O59&amp;Upload!P59&amp;Upload!Q59)),ISNUMBER(SEARCH("Anti Tarnish",Upload!N59&amp;Upload!O59&amp;Upload!P59&amp;Upload!Q59))))),"",0.0012*N60)</f>
        <v/>
      </c>
      <c r="P60" s="16" t="str">
        <f>IF(OR(D60="",NOT(OR(ISNUMBER(SEARCH("Epóx",Upload!N59&amp;Upload!O59&amp;Upload!P59&amp;Upload!Q59)),ISNUMBER(SEARCH("Epox",Upload!N59&amp;Upload!O59&amp;Upload!P59&amp;Upload!Q59)),ISNUMBER(SEARCH("Barniz",Upload!N59&amp;Upload!O59&amp;Upload!P59&amp;Upload!Q59))))),"",D60*0.000035)</f>
        <v/>
      </c>
      <c r="Q60" s="16" t="str">
        <f>IF(OR(D60="",NOT(OR(ISNUMBER(SEARCH("Epóx",Upload!N59&amp;Upload!O59&amp;Upload!P59&amp;Upload!Q59)),ISNUMBER(SEARCH("Epox",Upload!N59&amp;Upload!O59&amp;Upload!P59&amp;Upload!Q59)),ISNUMBER(SEARCH("Barniz",Upload!N59&amp;Upload!O59&amp;Upload!P59&amp;Upload!Q59))))),"",D60*0.000035)</f>
        <v/>
      </c>
      <c r="R60" s="16" t="str">
        <f t="shared" si="6"/>
        <v/>
      </c>
    </row>
    <row r="61" spans="1:18">
      <c r="A61" s="10">
        <f t="shared" si="7"/>
        <v>43</v>
      </c>
      <c r="B61" s="10">
        <f>Upload!E60</f>
        <v>0</v>
      </c>
      <c r="C61" s="10">
        <f>Upload!AJ60</f>
        <v>0</v>
      </c>
      <c r="D61" s="10">
        <f>Upload!AK60</f>
        <v>0</v>
      </c>
      <c r="E61" s="10" t="str">
        <f>Upload!AF60</f>
        <v/>
      </c>
      <c r="F61" s="10" t="str">
        <f>Upload!AH60</f>
        <v/>
      </c>
      <c r="G61" s="10">
        <f>Upload!AE60</f>
        <v>0</v>
      </c>
      <c r="H61" s="10">
        <f>Upload!AG60</f>
        <v>0</v>
      </c>
      <c r="J61" s="16" t="str">
        <f t="shared" si="1"/>
        <v/>
      </c>
      <c r="K61" s="16" t="str">
        <f t="shared" si="2"/>
        <v/>
      </c>
      <c r="L61" s="16" t="str">
        <f t="shared" si="3"/>
        <v/>
      </c>
      <c r="M61" s="16" t="str">
        <f t="shared" si="4"/>
        <v/>
      </c>
      <c r="N61" s="16" t="str">
        <f t="shared" si="5"/>
        <v/>
      </c>
      <c r="O61" s="16" t="str">
        <f>IF(OR(N61="",NOT(OR(ISNUMBER(SEARCH("Antitarnish",Upload!N60&amp;Upload!O60&amp;Upload!P60&amp;Upload!Q60)),ISNUMBER(SEARCH("Anti Tarnish",Upload!N60&amp;Upload!O60&amp;Upload!P60&amp;Upload!Q60))))),"",0.0012*N61)</f>
        <v/>
      </c>
      <c r="P61" s="16" t="str">
        <f>IF(OR(D61="",NOT(OR(ISNUMBER(SEARCH("Epóx",Upload!N60&amp;Upload!O60&amp;Upload!P60&amp;Upload!Q60)),ISNUMBER(SEARCH("Epox",Upload!N60&amp;Upload!O60&amp;Upload!P60&amp;Upload!Q60)),ISNUMBER(SEARCH("Barniz",Upload!N60&amp;Upload!O60&amp;Upload!P60&amp;Upload!Q60))))),"",D61*0.000035)</f>
        <v/>
      </c>
      <c r="Q61" s="16" t="str">
        <f>IF(OR(D61="",NOT(OR(ISNUMBER(SEARCH("Epóx",Upload!N60&amp;Upload!O60&amp;Upload!P60&amp;Upload!Q60)),ISNUMBER(SEARCH("Epox",Upload!N60&amp;Upload!O60&amp;Upload!P60&amp;Upload!Q60)),ISNUMBER(SEARCH("Barniz",Upload!N60&amp;Upload!O60&amp;Upload!P60&amp;Upload!Q60))))),"",D61*0.000035)</f>
        <v/>
      </c>
      <c r="R61" s="16" t="str">
        <f t="shared" si="6"/>
        <v/>
      </c>
    </row>
    <row r="62" spans="1:18">
      <c r="A62" s="10">
        <f t="shared" si="7"/>
        <v>44</v>
      </c>
      <c r="B62" s="10">
        <f>Upload!E61</f>
        <v>0</v>
      </c>
      <c r="C62" s="10">
        <f>Upload!AJ61</f>
        <v>0</v>
      </c>
      <c r="D62" s="10">
        <f>Upload!AK61</f>
        <v>0</v>
      </c>
      <c r="E62" s="10" t="str">
        <f>Upload!AF61</f>
        <v/>
      </c>
      <c r="F62" s="10" t="str">
        <f>Upload!AH61</f>
        <v/>
      </c>
      <c r="G62" s="10">
        <f>Upload!AE61</f>
        <v>0</v>
      </c>
      <c r="H62" s="10">
        <f>Upload!AG61</f>
        <v>0</v>
      </c>
      <c r="J62" s="16" t="str">
        <f t="shared" si="1"/>
        <v/>
      </c>
      <c r="K62" s="16" t="str">
        <f t="shared" si="2"/>
        <v/>
      </c>
      <c r="L62" s="16" t="str">
        <f t="shared" si="3"/>
        <v/>
      </c>
      <c r="M62" s="16" t="str">
        <f t="shared" si="4"/>
        <v/>
      </c>
      <c r="N62" s="16" t="str">
        <f t="shared" si="5"/>
        <v/>
      </c>
      <c r="O62" s="16" t="str">
        <f>IF(OR(N62="",NOT(OR(ISNUMBER(SEARCH("Antitarnish",Upload!N61&amp;Upload!O61&amp;Upload!P61&amp;Upload!Q61)),ISNUMBER(SEARCH("Anti Tarnish",Upload!N61&amp;Upload!O61&amp;Upload!P61&amp;Upload!Q61))))),"",0.0012*N62)</f>
        <v/>
      </c>
      <c r="P62" s="16" t="str">
        <f>IF(OR(D62="",NOT(OR(ISNUMBER(SEARCH("Epóx",Upload!N61&amp;Upload!O61&amp;Upload!P61&amp;Upload!Q61)),ISNUMBER(SEARCH("Epox",Upload!N61&amp;Upload!O61&amp;Upload!P61&amp;Upload!Q61)),ISNUMBER(SEARCH("Barniz",Upload!N61&amp;Upload!O61&amp;Upload!P61&amp;Upload!Q61))))),"",D62*0.000035)</f>
        <v/>
      </c>
      <c r="Q62" s="16" t="str">
        <f>IF(OR(D62="",NOT(OR(ISNUMBER(SEARCH("Epóx",Upload!N61&amp;Upload!O61&amp;Upload!P61&amp;Upload!Q61)),ISNUMBER(SEARCH("Epox",Upload!N61&amp;Upload!O61&amp;Upload!P61&amp;Upload!Q61)),ISNUMBER(SEARCH("Barniz",Upload!N61&amp;Upload!O61&amp;Upload!P61&amp;Upload!Q61))))),"",D62*0.000035)</f>
        <v/>
      </c>
      <c r="R62" s="16" t="str">
        <f t="shared" si="6"/>
        <v/>
      </c>
    </row>
    <row r="63" spans="1:18">
      <c r="A63" s="10">
        <f t="shared" si="7"/>
        <v>45</v>
      </c>
      <c r="B63" s="10">
        <f>Upload!E62</f>
        <v>0</v>
      </c>
      <c r="C63" s="10">
        <f>Upload!AJ62</f>
        <v>0</v>
      </c>
      <c r="D63" s="10">
        <f>Upload!AK62</f>
        <v>0</v>
      </c>
      <c r="E63" s="10" t="str">
        <f>Upload!AF62</f>
        <v/>
      </c>
      <c r="F63" s="10" t="str">
        <f>Upload!AH62</f>
        <v/>
      </c>
      <c r="G63" s="10">
        <f>Upload!AE62</f>
        <v>0</v>
      </c>
      <c r="H63" s="10">
        <f>Upload!AG62</f>
        <v>0</v>
      </c>
      <c r="J63" s="16" t="str">
        <f t="shared" si="1"/>
        <v/>
      </c>
      <c r="K63" s="16" t="str">
        <f t="shared" si="2"/>
        <v/>
      </c>
      <c r="L63" s="16" t="str">
        <f t="shared" si="3"/>
        <v/>
      </c>
      <c r="M63" s="16" t="str">
        <f t="shared" si="4"/>
        <v/>
      </c>
      <c r="N63" s="16" t="str">
        <f t="shared" si="5"/>
        <v/>
      </c>
      <c r="O63" s="16" t="str">
        <f>IF(OR(N63="",NOT(OR(ISNUMBER(SEARCH("Antitarnish",Upload!N62&amp;Upload!O62&amp;Upload!P62&amp;Upload!Q62)),ISNUMBER(SEARCH("Anti Tarnish",Upload!N62&amp;Upload!O62&amp;Upload!P62&amp;Upload!Q62))))),"",0.0012*N63)</f>
        <v/>
      </c>
      <c r="P63" s="16" t="str">
        <f>IF(OR(D63="",NOT(OR(ISNUMBER(SEARCH("Epóx",Upload!N62&amp;Upload!O62&amp;Upload!P62&amp;Upload!Q62)),ISNUMBER(SEARCH("Epox",Upload!N62&amp;Upload!O62&amp;Upload!P62&amp;Upload!Q62)),ISNUMBER(SEARCH("Barniz",Upload!N62&amp;Upload!O62&amp;Upload!P62&amp;Upload!Q62))))),"",D63*0.000035)</f>
        <v/>
      </c>
      <c r="Q63" s="16" t="str">
        <f>IF(OR(D63="",NOT(OR(ISNUMBER(SEARCH("Epóx",Upload!N62&amp;Upload!O62&amp;Upload!P62&amp;Upload!Q62)),ISNUMBER(SEARCH("Epox",Upload!N62&amp;Upload!O62&amp;Upload!P62&amp;Upload!Q62)),ISNUMBER(SEARCH("Barniz",Upload!N62&amp;Upload!O62&amp;Upload!P62&amp;Upload!Q62))))),"",D63*0.000035)</f>
        <v/>
      </c>
      <c r="R63" s="16" t="str">
        <f t="shared" si="6"/>
        <v/>
      </c>
    </row>
    <row r="64" spans="1:18">
      <c r="A64" s="10">
        <f t="shared" si="7"/>
        <v>46</v>
      </c>
      <c r="B64" s="10">
        <f>Upload!E63</f>
        <v>0</v>
      </c>
      <c r="C64" s="10">
        <f>Upload!AJ63</f>
        <v>0</v>
      </c>
      <c r="D64" s="10">
        <f>Upload!AK63</f>
        <v>0</v>
      </c>
      <c r="E64" s="10" t="str">
        <f>Upload!AF63</f>
        <v/>
      </c>
      <c r="F64" s="10" t="str">
        <f>Upload!AH63</f>
        <v/>
      </c>
      <c r="G64" s="10">
        <f>Upload!AE63</f>
        <v>0</v>
      </c>
      <c r="H64" s="10">
        <f>Upload!AG63</f>
        <v>0</v>
      </c>
      <c r="J64" s="16" t="str">
        <f t="shared" si="1"/>
        <v/>
      </c>
      <c r="K64" s="16" t="str">
        <f t="shared" si="2"/>
        <v/>
      </c>
      <c r="L64" s="16" t="str">
        <f t="shared" si="3"/>
        <v/>
      </c>
      <c r="M64" s="16" t="str">
        <f t="shared" si="4"/>
        <v/>
      </c>
      <c r="N64" s="16" t="str">
        <f t="shared" si="5"/>
        <v/>
      </c>
      <c r="O64" s="16" t="str">
        <f>IF(OR(N64="",NOT(OR(ISNUMBER(SEARCH("Antitarnish",Upload!N63&amp;Upload!O63&amp;Upload!P63&amp;Upload!Q63)),ISNUMBER(SEARCH("Anti Tarnish",Upload!N63&amp;Upload!O63&amp;Upload!P63&amp;Upload!Q63))))),"",0.0012*N64)</f>
        <v/>
      </c>
      <c r="P64" s="16" t="str">
        <f>IF(OR(D64="",NOT(OR(ISNUMBER(SEARCH("Epóx",Upload!N63&amp;Upload!O63&amp;Upload!P63&amp;Upload!Q63)),ISNUMBER(SEARCH("Epox",Upload!N63&amp;Upload!O63&amp;Upload!P63&amp;Upload!Q63)),ISNUMBER(SEARCH("Barniz",Upload!N63&amp;Upload!O63&amp;Upload!P63&amp;Upload!Q63))))),"",D64*0.000035)</f>
        <v/>
      </c>
      <c r="Q64" s="16" t="str">
        <f>IF(OR(D64="",NOT(OR(ISNUMBER(SEARCH("Epóx",Upload!N63&amp;Upload!O63&amp;Upload!P63&amp;Upload!Q63)),ISNUMBER(SEARCH("Epox",Upload!N63&amp;Upload!O63&amp;Upload!P63&amp;Upload!Q63)),ISNUMBER(SEARCH("Barniz",Upload!N63&amp;Upload!O63&amp;Upload!P63&amp;Upload!Q63))))),"",D64*0.000035)</f>
        <v/>
      </c>
      <c r="R64" s="16" t="str">
        <f t="shared" si="6"/>
        <v/>
      </c>
    </row>
    <row r="65" spans="1:18">
      <c r="A65" s="10">
        <f t="shared" si="7"/>
        <v>47</v>
      </c>
      <c r="B65" s="10">
        <f>Upload!E64</f>
        <v>0</v>
      </c>
      <c r="C65" s="10">
        <f>Upload!AJ64</f>
        <v>0</v>
      </c>
      <c r="D65" s="10">
        <f>Upload!AK64</f>
        <v>0</v>
      </c>
      <c r="E65" s="10" t="str">
        <f>Upload!AF64</f>
        <v/>
      </c>
      <c r="F65" s="10" t="str">
        <f>Upload!AH64</f>
        <v/>
      </c>
      <c r="G65" s="10">
        <f>Upload!AE64</f>
        <v>0</v>
      </c>
      <c r="H65" s="10">
        <f>Upload!AG64</f>
        <v>0</v>
      </c>
      <c r="J65" s="16" t="str">
        <f t="shared" si="1"/>
        <v/>
      </c>
      <c r="K65" s="16" t="str">
        <f t="shared" si="2"/>
        <v/>
      </c>
      <c r="L65" s="16" t="str">
        <f t="shared" si="3"/>
        <v/>
      </c>
      <c r="M65" s="16" t="str">
        <f t="shared" si="4"/>
        <v/>
      </c>
      <c r="N65" s="16" t="str">
        <f t="shared" si="5"/>
        <v/>
      </c>
      <c r="O65" s="16" t="str">
        <f>IF(OR(N65="",NOT(OR(ISNUMBER(SEARCH("Antitarnish",Upload!N64&amp;Upload!O64&amp;Upload!P64&amp;Upload!Q64)),ISNUMBER(SEARCH("Anti Tarnish",Upload!N64&amp;Upload!O64&amp;Upload!P64&amp;Upload!Q64))))),"",0.0012*N65)</f>
        <v/>
      </c>
      <c r="P65" s="16" t="str">
        <f>IF(OR(D65="",NOT(OR(ISNUMBER(SEARCH("Epóx",Upload!N64&amp;Upload!O64&amp;Upload!P64&amp;Upload!Q64)),ISNUMBER(SEARCH("Epox",Upload!N64&amp;Upload!O64&amp;Upload!P64&amp;Upload!Q64)),ISNUMBER(SEARCH("Barniz",Upload!N64&amp;Upload!O64&amp;Upload!P64&amp;Upload!Q64))))),"",D65*0.000035)</f>
        <v/>
      </c>
      <c r="Q65" s="16" t="str">
        <f>IF(OR(D65="",NOT(OR(ISNUMBER(SEARCH("Epóx",Upload!N64&amp;Upload!O64&amp;Upload!P64&amp;Upload!Q64)),ISNUMBER(SEARCH("Epox",Upload!N64&amp;Upload!O64&amp;Upload!P64&amp;Upload!Q64)),ISNUMBER(SEARCH("Barniz",Upload!N64&amp;Upload!O64&amp;Upload!P64&amp;Upload!Q64))))),"",D65*0.000035)</f>
        <v/>
      </c>
      <c r="R65" s="16" t="str">
        <f t="shared" si="6"/>
        <v/>
      </c>
    </row>
    <row r="66" spans="1:18">
      <c r="A66" s="10">
        <f t="shared" si="7"/>
        <v>48</v>
      </c>
      <c r="B66" s="10">
        <f>Upload!E65</f>
        <v>0</v>
      </c>
      <c r="C66" s="10">
        <f>Upload!AJ65</f>
        <v>0</v>
      </c>
      <c r="D66" s="10">
        <f>Upload!AK65</f>
        <v>0</v>
      </c>
      <c r="E66" s="10" t="str">
        <f>Upload!AF65</f>
        <v/>
      </c>
      <c r="F66" s="10" t="str">
        <f>Upload!AH65</f>
        <v/>
      </c>
      <c r="G66" s="10">
        <f>Upload!AE65</f>
        <v>0</v>
      </c>
      <c r="H66" s="10">
        <f>Upload!AG65</f>
        <v>0</v>
      </c>
      <c r="J66" s="16" t="str">
        <f t="shared" si="1"/>
        <v/>
      </c>
      <c r="K66" s="16" t="str">
        <f t="shared" si="2"/>
        <v/>
      </c>
      <c r="L66" s="16" t="str">
        <f t="shared" si="3"/>
        <v/>
      </c>
      <c r="M66" s="16" t="str">
        <f t="shared" si="4"/>
        <v/>
      </c>
      <c r="N66" s="16" t="str">
        <f t="shared" si="5"/>
        <v/>
      </c>
      <c r="O66" s="16" t="str">
        <f>IF(OR(N66="",NOT(OR(ISNUMBER(SEARCH("Antitarnish",Upload!N65&amp;Upload!O65&amp;Upload!P65&amp;Upload!Q65)),ISNUMBER(SEARCH("Anti Tarnish",Upload!N65&amp;Upload!O65&amp;Upload!P65&amp;Upload!Q65))))),"",0.0012*N66)</f>
        <v/>
      </c>
      <c r="P66" s="16" t="str">
        <f>IF(OR(D66="",NOT(OR(ISNUMBER(SEARCH("Epóx",Upload!N65&amp;Upload!O65&amp;Upload!P65&amp;Upload!Q65)),ISNUMBER(SEARCH("Epox",Upload!N65&amp;Upload!O65&amp;Upload!P65&amp;Upload!Q65)),ISNUMBER(SEARCH("Barniz",Upload!N65&amp;Upload!O65&amp;Upload!P65&amp;Upload!Q65))))),"",D66*0.000035)</f>
        <v/>
      </c>
      <c r="Q66" s="16" t="str">
        <f>IF(OR(D66="",NOT(OR(ISNUMBER(SEARCH("Epóx",Upload!N65&amp;Upload!O65&amp;Upload!P65&amp;Upload!Q65)),ISNUMBER(SEARCH("Epox",Upload!N65&amp;Upload!O65&amp;Upload!P65&amp;Upload!Q65)),ISNUMBER(SEARCH("Barniz",Upload!N65&amp;Upload!O65&amp;Upload!P65&amp;Upload!Q65))))),"",D66*0.000035)</f>
        <v/>
      </c>
      <c r="R66" s="16" t="str">
        <f t="shared" si="6"/>
        <v/>
      </c>
    </row>
    <row r="67" spans="1:18">
      <c r="A67" s="10">
        <f t="shared" si="7"/>
        <v>49</v>
      </c>
      <c r="B67" s="10">
        <f>Upload!E66</f>
        <v>0</v>
      </c>
      <c r="C67" s="10">
        <f>Upload!AJ66</f>
        <v>0</v>
      </c>
      <c r="D67" s="10">
        <f>Upload!AK66</f>
        <v>0</v>
      </c>
      <c r="E67" s="10" t="str">
        <f>Upload!AF66</f>
        <v/>
      </c>
      <c r="F67" s="10" t="str">
        <f>Upload!AH66</f>
        <v/>
      </c>
      <c r="G67" s="10">
        <f>Upload!AE66</f>
        <v>0</v>
      </c>
      <c r="H67" s="10">
        <f>Upload!AG66</f>
        <v>0</v>
      </c>
      <c r="J67" s="16" t="str">
        <f t="shared" si="1"/>
        <v/>
      </c>
      <c r="K67" s="16" t="str">
        <f t="shared" si="2"/>
        <v/>
      </c>
      <c r="L67" s="16" t="str">
        <f t="shared" si="3"/>
        <v/>
      </c>
      <c r="M67" s="16" t="str">
        <f t="shared" si="4"/>
        <v/>
      </c>
      <c r="N67" s="16" t="str">
        <f t="shared" si="5"/>
        <v/>
      </c>
      <c r="O67" s="16" t="str">
        <f>IF(OR(N67="",NOT(OR(ISNUMBER(SEARCH("Antitarnish",Upload!N66&amp;Upload!O66&amp;Upload!P66&amp;Upload!Q66)),ISNUMBER(SEARCH("Anti Tarnish",Upload!N66&amp;Upload!O66&amp;Upload!P66&amp;Upload!Q66))))),"",0.0012*N67)</f>
        <v/>
      </c>
      <c r="P67" s="16" t="str">
        <f>IF(OR(D67="",NOT(OR(ISNUMBER(SEARCH("Epóx",Upload!N66&amp;Upload!O66&amp;Upload!P66&amp;Upload!Q66)),ISNUMBER(SEARCH("Epox",Upload!N66&amp;Upload!O66&amp;Upload!P66&amp;Upload!Q66)),ISNUMBER(SEARCH("Barniz",Upload!N66&amp;Upload!O66&amp;Upload!P66&amp;Upload!Q66))))),"",D67*0.000035)</f>
        <v/>
      </c>
      <c r="Q67" s="16" t="str">
        <f>IF(OR(D67="",NOT(OR(ISNUMBER(SEARCH("Epóx",Upload!N66&amp;Upload!O66&amp;Upload!P66&amp;Upload!Q66)),ISNUMBER(SEARCH("Epox",Upload!N66&amp;Upload!O66&amp;Upload!P66&amp;Upload!Q66)),ISNUMBER(SEARCH("Barniz",Upload!N66&amp;Upload!O66&amp;Upload!P66&amp;Upload!Q66))))),"",D67*0.000035)</f>
        <v/>
      </c>
      <c r="R67" s="16" t="str">
        <f t="shared" si="6"/>
        <v/>
      </c>
    </row>
    <row r="68" spans="1:18">
      <c r="A68" s="10">
        <f t="shared" si="7"/>
        <v>50</v>
      </c>
      <c r="B68" s="10">
        <f>Upload!E67</f>
        <v>0</v>
      </c>
      <c r="C68" s="10">
        <f>Upload!AJ67</f>
        <v>0</v>
      </c>
      <c r="D68" s="10">
        <f>Upload!AK67</f>
        <v>0</v>
      </c>
      <c r="E68" s="10" t="str">
        <f>Upload!AF67</f>
        <v/>
      </c>
      <c r="F68" s="10" t="str">
        <f>Upload!AH67</f>
        <v/>
      </c>
      <c r="G68" s="10">
        <f>Upload!AE67</f>
        <v>0</v>
      </c>
      <c r="H68" s="10">
        <f>Upload!AG67</f>
        <v>0</v>
      </c>
      <c r="J68" s="16" t="str">
        <f t="shared" si="1"/>
        <v/>
      </c>
      <c r="K68" s="16" t="str">
        <f t="shared" si="2"/>
        <v/>
      </c>
      <c r="L68" s="16" t="str">
        <f t="shared" si="3"/>
        <v/>
      </c>
      <c r="M68" s="16" t="str">
        <f t="shared" si="4"/>
        <v/>
      </c>
      <c r="N68" s="16" t="str">
        <f t="shared" si="5"/>
        <v/>
      </c>
      <c r="O68" s="16" t="str">
        <f>IF(OR(N68="",NOT(OR(ISNUMBER(SEARCH("Antitarnish",Upload!N67&amp;Upload!O67&amp;Upload!P67&amp;Upload!Q67)),ISNUMBER(SEARCH("Anti Tarnish",Upload!N67&amp;Upload!O67&amp;Upload!P67&amp;Upload!Q67))))),"",0.0012*N68)</f>
        <v/>
      </c>
      <c r="P68" s="16" t="str">
        <f>IF(OR(D68="",NOT(OR(ISNUMBER(SEARCH("Epóx",Upload!N67&amp;Upload!O67&amp;Upload!P67&amp;Upload!Q67)),ISNUMBER(SEARCH("Epox",Upload!N67&amp;Upload!O67&amp;Upload!P67&amp;Upload!Q67)),ISNUMBER(SEARCH("Barniz",Upload!N67&amp;Upload!O67&amp;Upload!P67&amp;Upload!Q67))))),"",D68*0.000035)</f>
        <v/>
      </c>
      <c r="Q68" s="16" t="str">
        <f>IF(OR(D68="",NOT(OR(ISNUMBER(SEARCH("Epóx",Upload!N67&amp;Upload!O67&amp;Upload!P67&amp;Upload!Q67)),ISNUMBER(SEARCH("Epox",Upload!N67&amp;Upload!O67&amp;Upload!P67&amp;Upload!Q67)),ISNUMBER(SEARCH("Barniz",Upload!N67&amp;Upload!O67&amp;Upload!P67&amp;Upload!Q67))))),"",D68*0.000035)</f>
        <v/>
      </c>
      <c r="R68" s="16" t="str">
        <f t="shared" si="6"/>
        <v/>
      </c>
    </row>
    <row r="69" spans="1:18">
      <c r="A69" s="10">
        <f t="shared" si="7"/>
        <v>51</v>
      </c>
      <c r="B69" s="10">
        <f>Upload!E68</f>
        <v>0</v>
      </c>
      <c r="C69" s="10">
        <f>Upload!AJ68</f>
        <v>0</v>
      </c>
      <c r="D69" s="10">
        <f>Upload!AK68</f>
        <v>0</v>
      </c>
      <c r="E69" s="10" t="str">
        <f>Upload!AF68</f>
        <v/>
      </c>
      <c r="F69" s="10" t="str">
        <f>Upload!AH68</f>
        <v/>
      </c>
      <c r="G69" s="10">
        <f>Upload!AE68</f>
        <v>0</v>
      </c>
      <c r="H69" s="10">
        <f>Upload!AG68</f>
        <v>0</v>
      </c>
      <c r="J69" s="16" t="str">
        <f t="shared" si="1"/>
        <v/>
      </c>
      <c r="K69" s="16" t="str">
        <f t="shared" si="2"/>
        <v/>
      </c>
      <c r="L69" s="16" t="str">
        <f t="shared" si="3"/>
        <v/>
      </c>
      <c r="M69" s="16" t="str">
        <f t="shared" si="4"/>
        <v/>
      </c>
      <c r="N69" s="16" t="str">
        <f t="shared" si="5"/>
        <v/>
      </c>
      <c r="O69" s="16" t="str">
        <f>IF(OR(N69="",NOT(OR(ISNUMBER(SEARCH("Antitarnish",Upload!N68&amp;Upload!O68&amp;Upload!P68&amp;Upload!Q68)),ISNUMBER(SEARCH("Anti Tarnish",Upload!N68&amp;Upload!O68&amp;Upload!P68&amp;Upload!Q68))))),"",0.0012*N69)</f>
        <v/>
      </c>
      <c r="P69" s="16" t="str">
        <f>IF(OR(D69="",NOT(OR(ISNUMBER(SEARCH("Epóx",Upload!N68&amp;Upload!O68&amp;Upload!P68&amp;Upload!Q68)),ISNUMBER(SEARCH("Epox",Upload!N68&amp;Upload!O68&amp;Upload!P68&amp;Upload!Q68)),ISNUMBER(SEARCH("Barniz",Upload!N68&amp;Upload!O68&amp;Upload!P68&amp;Upload!Q68))))),"",D69*0.000035)</f>
        <v/>
      </c>
      <c r="Q69" s="16" t="str">
        <f>IF(OR(D69="",NOT(OR(ISNUMBER(SEARCH("Epóx",Upload!N68&amp;Upload!O68&amp;Upload!P68&amp;Upload!Q68)),ISNUMBER(SEARCH("Epox",Upload!N68&amp;Upload!O68&amp;Upload!P68&amp;Upload!Q68)),ISNUMBER(SEARCH("Barniz",Upload!N68&amp;Upload!O68&amp;Upload!P68&amp;Upload!Q68))))),"",D69*0.000035)</f>
        <v/>
      </c>
      <c r="R69" s="16" t="str">
        <f t="shared" si="6"/>
        <v/>
      </c>
    </row>
  </sheetData>
  <mergeCells count="1">
    <mergeCell ref="A1:N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Upload</vt:lpstr>
      <vt:lpstr>Ayuda</vt:lpstr>
      <vt:lpstr>Listas</vt:lpstr>
      <vt:lpstr>Cálculo 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Omar Fidel Viazcán Gómez</cp:lastModifiedBy>
  <cp:revision>0</cp:revision>
  <dcterms:created xsi:type="dcterms:W3CDTF">2026-03-25T00:28:21Z</dcterms:created>
  <dcterms:modified xsi:type="dcterms:W3CDTF">2026-04-01T07:33:46Z</dcterms:modified>
  <dc:language>en-US</dc:language>
</cp:coreProperties>
</file>