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2" codeName="{F3310B89-0DAA-6C43-5919-0D5897632BE8}"/>
  <workbookPr codeName="ThisWorkbook"/>
  <mc:AlternateContent xmlns:mc="http://schemas.openxmlformats.org/markup-compatibility/2006">
    <mc:Choice Requires="x15">
      <x15ac:absPath xmlns:x15ac="http://schemas.microsoft.com/office/spreadsheetml/2010/11/ac" url="/Users/oviazcan/Downloads/"/>
    </mc:Choice>
  </mc:AlternateContent>
  <xr:revisionPtr revIDLastSave="0" documentId="13_ncr:1_{69FD05E9-0828-704E-A4B7-718C4E1F06CC}" xr6:coauthVersionLast="47" xr6:coauthVersionMax="47" xr10:uidLastSave="{00000000-0000-0000-0000-000000000000}"/>
  <bookViews>
    <workbookView xWindow="-20" yWindow="680" windowWidth="34200" windowHeight="19800" tabRatio="500" xr2:uid="{00000000-000D-0000-FFFF-FFFF00000000}"/>
  </bookViews>
  <sheets>
    <sheet name="Upload" sheetId="1" r:id="rId1"/>
    <sheet name="Listas" sheetId="2" r:id="rId2"/>
    <sheet name="Cálculo MP" sheetId="3" r:id="rId3"/>
    <sheet name="Ayuda" sheetId="4" r:id="rId4"/>
    <sheet name="CAT_Procesos" sheetId="5" r:id="rId5"/>
    <sheet name="CAT_Specs" sheetId="6" r:id="rId6"/>
    <sheet name="CAT_Líneas" sheetId="7" r:id="rId7"/>
    <sheet name="CAT_Productos" sheetId="8" r:id="rId8"/>
  </sheets>
  <definedNames>
    <definedName name="_xlnm._FilterDatabase" localSheetId="4" hidden="1">CAT_Procesos!$A$1:$G$1415</definedName>
    <definedName name="_xlnm._FilterDatabase" localSheetId="1" hidden="1">Listas!$A$1:$N$466</definedName>
    <definedName name="_xleta.AND" hidden="1" xlm="1">#NAME?</definedName>
    <definedName name="_xleta.EXP" hidden="1" xlm="1">#NAME?</definedName>
    <definedName name="_xlpm._hasCu" hidden="1" xlm="1">#NAME?</definedName>
    <definedName name="_xlpm._hasSn" hidden="1" xlm="1">#NAME?</definedName>
    <definedName name="_xlpm._hasSnM" hidden="1" xlm="1">#NAME?</definedName>
    <definedName name="_xlpm.a" hidden="1" xlm="1">#NAME?</definedName>
    <definedName name="_xlpm.acabs" hidden="1" xlm="1">#NAME?</definedName>
    <definedName name="_xlpm.after" hidden="1" xlm="1">#NAME?</definedName>
    <definedName name="_xlpm.afterDash" hidden="1" xlm="1">#NAME?</definedName>
    <definedName name="_xlpm.afterE" hidden="1" xlm="1">#NAME?</definedName>
    <definedName name="_xlpm.albl" hidden="1" xlm="1">#NAME?</definedName>
    <definedName name="_xlpm.b" hidden="1" xlm="1">#NAME?</definedName>
    <definedName name="_xlpm.ba" hidden="1" xlm="1">#NAME?</definedName>
    <definedName name="_xlpm.base" hidden="1" xlm="1">#NAME?</definedName>
    <definedName name="_xlpm.bb" hidden="1" xlm="1">#NAME?</definedName>
    <definedName name="_xlpm.bc" hidden="1" xlm="1">#NAME?</definedName>
    <definedName name="_xlpm.before" hidden="1" xlm="1">#NAME?</definedName>
    <definedName name="_xlpm.bl" hidden="1" xlm="1">#NAME?</definedName>
    <definedName name="_xlpm.bv" hidden="1" xlm="1">#NAME?</definedName>
    <definedName name="_xlpm.c" hidden="1" xlm="1">#NAME?</definedName>
    <definedName name="_xlpm.cantidad" hidden="1" xlm="1">#NAME?</definedName>
    <definedName name="_xlpm.catMax" hidden="1" xlm="1">#NAME?</definedName>
    <definedName name="_xlpm.catMin" hidden="1" xlm="1">#NAME?</definedName>
    <definedName name="_xlpm.chars" hidden="1" xlm="1">#NAME?</definedName>
    <definedName name="_xlpm.clean" hidden="1" xlm="1">#NAME?</definedName>
    <definedName name="_xlpm.cnt" hidden="1" xlm="1">#NAME?</definedName>
    <definedName name="_xlpm.code" hidden="1" xlm="1">#NAME?</definedName>
    <definedName name="_xlpm.codes" hidden="1" xlm="1">#NAME?</definedName>
    <definedName name="_xlpm.cust" hidden="1" xlm="1">#NAME?</definedName>
    <definedName name="_xlpm.d" hidden="1" xlm="1">#NAME?</definedName>
    <definedName name="_xlpm.dashPos" hidden="1" xlm="1">#NAME?</definedName>
    <definedName name="_xlpm.dept" hidden="1" xlm="1">#NAME?</definedName>
    <definedName name="_xlpm.deptRaw" hidden="1" xlm="1">#NAME?</definedName>
    <definedName name="_xlpm.dist" hidden="1" xlm="1">#NAME?</definedName>
    <definedName name="_xlpm.e" hidden="1" xlm="1">#NAME?</definedName>
    <definedName name="_xlpm.effOrder" hidden="1" xlm="1">#NAME?</definedName>
    <definedName name="_xlpm.eMax" hidden="1" xlm="1">#NAME?</definedName>
    <definedName name="_xlpm.eMid" hidden="1" xlm="1">#NAME?</definedName>
    <definedName name="_xlpm.eMin" hidden="1" xlm="1">#NAME?</definedName>
    <definedName name="_xlpm.endPos" hidden="1" xlm="1">#NAME?</definedName>
    <definedName name="_xlpm.endTxt" hidden="1" xlm="1">#NAME?</definedName>
    <definedName name="_xlpm.expand" hidden="1" xlm="1">#NAME?</definedName>
    <definedName name="_xlpm.filas" hidden="1" xlm="1">#NAME?</definedName>
    <definedName name="_xlpm.filasV" hidden="1" xlm="1">#NAME?</definedName>
    <definedName name="_xlpm.filtered" hidden="1" xlm="1">#NAME?</definedName>
    <definedName name="_xlpm.firstNon" hidden="1" xlm="1">#NAME?</definedName>
    <definedName name="_xlpm.fl" hidden="1" xlm="1">#NAME?</definedName>
    <definedName name="_xlpm.g" hidden="1" xlm="1">#NAME?</definedName>
    <definedName name="_xlpm.h" hidden="1" xlm="1">#NAME?</definedName>
    <definedName name="_xlpm.hasBT" hidden="1" xlm="1">#NAME?</definedName>
    <definedName name="_xlpm.hasDash" hidden="1" xlm="1">#NAME?</definedName>
    <definedName name="_xlpm.hasDigit" hidden="1" xlm="1">#NAME?</definedName>
    <definedName name="_xlpm.hasMetal" hidden="1" xlm="1">#NAME?</definedName>
    <definedName name="_xlpm.hasMT" hidden="1" xlm="1">#NAME?</definedName>
    <definedName name="_xlpm.hasRojo" hidden="1" xlm="1">#NAME?</definedName>
    <definedName name="_xlpm.hasSpace" hidden="1" xlm="1">#NAME?</definedName>
    <definedName name="_xlpm.hayRegex" hidden="1" xlm="1">#NAME?</definedName>
    <definedName name="_xlpm.hits" hidden="1" xlm="1">#NAME?</definedName>
    <definedName name="_xlpm.i" hidden="1" xlm="1">#NAME?</definedName>
    <definedName name="_xlpm.idx" hidden="1" xlm="1">#NAME?</definedName>
    <definedName name="_xlpm.ip" hidden="1" xlm="1">#NAME?</definedName>
    <definedName name="_xlpm.ipExp" hidden="1" xlm="1">#NAME?</definedName>
    <definedName name="_xlpm.isDig" hidden="1" xlm="1">#NAME?</definedName>
    <definedName name="_xlpm.isSch" hidden="1" xlm="1">#NAME?</definedName>
    <definedName name="_xlpm.j" hidden="1" xlm="1">#NAME?</definedName>
    <definedName name="_xlpm.k" hidden="1" xlm="1">#NAME?</definedName>
    <definedName name="_xlpm.key" hidden="1" xlm="1">#NAME?</definedName>
    <definedName name="_xlpm.kws" hidden="1" xlm="1">#NAME?</definedName>
    <definedName name="_xlpm.l" hidden="1" xlm="1">#NAME?</definedName>
    <definedName name="_xlpm.labelCol" hidden="1" xlm="1">#NAME?</definedName>
    <definedName name="_xlpm.labelMatch" hidden="1" xlm="1">#NAME?</definedName>
    <definedName name="_xlpm.labels" hidden="1" xlm="1">#NAME?</definedName>
    <definedName name="_xlpm.labelUniq" hidden="1" xlm="1">#NAME?</definedName>
    <definedName name="_xlpm.lbl" hidden="1" xlm="1">#NAME?</definedName>
    <definedName name="_xlpm.lbls" hidden="1" xlm="1">#NAME?</definedName>
    <definedName name="_xlpm.limpio" hidden="1" xlm="1">#NAME?</definedName>
    <definedName name="_xlpm.linea" hidden="1" xlm="1">#NAME?</definedName>
    <definedName name="_xlpm.lu" hidden="1" xlm="1">#NAME?</definedName>
    <definedName name="_xlpm.m" hidden="1" xlm="1">#NAME?</definedName>
    <definedName name="_xlpm.mask" hidden="1" xlm="1">#NAME?</definedName>
    <definedName name="_xlpm.maskIP" hidden="1" xlm="1">#NAME?</definedName>
    <definedName name="_xlpm.maxs" hidden="1" xlm="1">#NAME?</definedName>
    <definedName name="_xlpm.maxVal" hidden="1" xlm="1">#NAME?</definedName>
    <definedName name="_xlpm.metal" hidden="1" xlm="1">#NAME?</definedName>
    <definedName name="_xlpm.mid" hidden="1" xlm="1">#NAME?</definedName>
    <definedName name="_xlpm.midCS" hidden="1" xlm="1">#NAME?</definedName>
    <definedName name="_xlpm.midRC" hidden="1" xlm="1">#NAME?</definedName>
    <definedName name="_xlpm.minByLabel" hidden="1" xlm="1">#NAME?</definedName>
    <definedName name="_xlpm.minOrder" hidden="1" xlm="1">#NAME?</definedName>
    <definedName name="_xlpm.mins" hidden="1" xlm="1">#NAME?</definedName>
    <definedName name="_xlpm.minVal" hidden="1" xlm="1">#NAME?</definedName>
    <definedName name="_xlpm.mn" hidden="1" xlm="1">#NAME?</definedName>
    <definedName name="_xlpm.mp" hidden="1" xlm="1">#NAME?</definedName>
    <definedName name="_xlpm.n" hidden="1" xlm="1">#NAME?</definedName>
    <definedName name="_xlpm.notas" hidden="1" xlm="1">#NAME?</definedName>
    <definedName name="_xlpm.num" hidden="1" xlm="1">#NAME?</definedName>
    <definedName name="_xlpm.num2Start" hidden="1" xlm="1">#NAME?</definedName>
    <definedName name="_xlpm.nums" hidden="1" xlm="1">#NAME?</definedName>
    <definedName name="_xlpm.numStart" hidden="1" xlm="1">#NAME?</definedName>
    <definedName name="_xlpm.numStr" hidden="1" xlm="1">#NAME?</definedName>
    <definedName name="_xlpm.numTxt" hidden="1" xlm="1">#NAME?</definedName>
    <definedName name="_xlpm.o" hidden="1" xlm="1">#NAME?</definedName>
    <definedName name="_xlpm.okA" hidden="1" xlm="1">#NAME?</definedName>
    <definedName name="_xlpm.okB" hidden="1" xlm="1">#NAME?</definedName>
    <definedName name="_xlpm.okC" hidden="1" xlm="1">#NAME?</definedName>
    <definedName name="_xlpm.ord" hidden="1" xlm="1">#NAME?</definedName>
    <definedName name="_xlpm.orderCol" hidden="1" xlm="1">#NAME?</definedName>
    <definedName name="_xlpm.ords" hidden="1" xlm="1">#NAME?</definedName>
    <definedName name="_xlpm.overallMin" hidden="1" xlm="1">#NAME?</definedName>
    <definedName name="_xlpm.p" hidden="1" xlm="1">#NAME?</definedName>
    <definedName name="_xlpm.pl" hidden="1" xlm="1">#NAME?</definedName>
    <definedName name="_xlpm.pla" hidden="1" xlm="1">#NAME?</definedName>
    <definedName name="_xlpm.plan" hidden="1" xlm="1">#NAME?</definedName>
    <definedName name="_xlpm.plant" hidden="1" xlm="1">#NAME?</definedName>
    <definedName name="_xlpm.planta" hidden="1" xlm="1">#NAME?</definedName>
    <definedName name="_xlpm.pn" hidden="1" xlm="1">#NAME?</definedName>
    <definedName name="_xlpm.pos" hidden="1" xlm="1">#NAME?</definedName>
    <definedName name="_xlpm.post" hidden="1" xlm="1">#NAME?</definedName>
    <definedName name="_xlpm.prev" hidden="1" xlm="1">#NAME?</definedName>
    <definedName name="_xlpm.q" hidden="1" xlm="1">#NAME?</definedName>
    <definedName name="_xlpm.r" hidden="1" xlm="1">#NAME?</definedName>
    <definedName name="_xlpm.raw" hidden="1" xlm="1">#NAME?</definedName>
    <definedName name="_xlpm.res" hidden="1" xlm="1">#NAME?</definedName>
    <definedName name="_xlpm.result" hidden="1" xlm="1">#NAME?</definedName>
    <definedName name="_xlpm.resultados" hidden="1" xlm="1">#NAME?</definedName>
    <definedName name="_xlpm.root" hidden="1" xlm="1">#NAME?</definedName>
    <definedName name="_xlpm.s" hidden="1" xlm="1">#NAME?</definedName>
    <definedName name="_xlpm.seq" hidden="1" xlm="1">#NAME?</definedName>
    <definedName name="_xlpm.sN" hidden="1" xlm="1">#NAME?</definedName>
    <definedName name="_xlpm.sp" hidden="1" xlm="1">#NAME?</definedName>
    <definedName name="_xlpm.specs" hidden="1" xlm="1">#NAME?</definedName>
    <definedName name="_xlpm.suffix" hidden="1" xlm="1">#NAME?</definedName>
    <definedName name="_xlpm.t" hidden="1" xlm="1">#NAME?</definedName>
    <definedName name="_xlpm.target" hidden="1" xlm="1">#NAME?</definedName>
    <definedName name="_xlpm.tbl" hidden="1" xlm="1">#NAME?</definedName>
    <definedName name="_xlpm.tipo" hidden="1" xlm="1">#NAME?</definedName>
    <definedName name="_xlpm.tipos" hidden="1" xlm="1">#NAME?</definedName>
    <definedName name="_xlpm.tramo" hidden="1" xlm="1">#NAME?</definedName>
    <definedName name="_xlpm.txt" hidden="1" xlm="1">#NAME?</definedName>
    <definedName name="_xlpm.v" hidden="1" xlm="1">#NAME?</definedName>
    <definedName name="_xlpm.validLabel" hidden="1" xlm="1">#NAME?</definedName>
    <definedName name="_xlpm.x" hidden="1" xlm="1">#NAME?</definedName>
    <definedName name="_xlpm.y" hidden="1" xlm="1">#NAME?</definedName>
    <definedName name="_xlpm.z" hidden="1" xlm="1">#NAME?</definedName>
    <definedName name="LimpiarCeldas" localSheetId="7">#REF!,#REF!,#REF!,#REF!</definedName>
    <definedName name="LimpiarCeldas" localSheetId="5">#REF!,#REF!,#REF!,#REF!</definedName>
    <definedName name="LimpiarCeldas">#REF!,#REF!,#REF!,#REF!</definedName>
    <definedName name="ListaClientesSH" localSheetId="7">#REF!</definedName>
    <definedName name="ListaClientesSH" localSheetId="5">#REF!</definedName>
    <definedName name="ListaClientesSH">#REF!</definedName>
    <definedName name="Specs_Anodizado_Natural">CAT_Specs!#REF!</definedName>
    <definedName name="Specs_Antitarnish">CAT_Specs!#REF!</definedName>
    <definedName name="Specs_Bright_Dip">CAT_Specs!#REF!</definedName>
    <definedName name="Specs_Cobre">CAT_Specs!#REF!</definedName>
    <definedName name="Specs_Cromo_Duro">CAT_Specs!#REF!</definedName>
    <definedName name="Specs_Decapado">CAT_Specs!#REF!</definedName>
    <definedName name="Specs_Desconocido">CAT_Specs!#REF!</definedName>
    <definedName name="Specs_Deshidrogenado">CAT_Specs!#REF!</definedName>
    <definedName name="Specs_Electropulido">CAT_Specs!#REF!</definedName>
    <definedName name="Specs_Empaque">CAT_Specs!#REF!</definedName>
    <definedName name="Specs_Epoxico_BT">CAT_Specs!#REF!</definedName>
    <definedName name="Specs_Epoxico_MT">CAT_Specs!#REF!</definedName>
    <definedName name="Specs_Epoxico_Rojo">CAT_Specs!#REF!</definedName>
    <definedName name="Specs_Estano">CAT_Specs!#REF!</definedName>
    <definedName name="Specs_Estano_Bimetales">CAT_Specs!#REF!</definedName>
    <definedName name="Specs_Estano_Mate">CAT_Specs!#REF!</definedName>
    <definedName name="Specs_Fosfato_de_Manganeso">CAT_Specs!#REF!</definedName>
    <definedName name="Specs_Fosfato_de_Zinc">CAT_Specs!#REF!</definedName>
    <definedName name="Specs_Fosfato_de_Zinc_c_Aceite">CAT_Specs!#REF!</definedName>
    <definedName name="Specs_Iridizado">CAT_Specs!#REF!</definedName>
    <definedName name="Specs_Lavado">CAT_Specs!#REF!</definedName>
    <definedName name="Specs_Lavado_Bimetales">CAT_Specs!#REF!</definedName>
    <definedName name="Specs_Niquel">CAT_Specs!#REF!</definedName>
    <definedName name="Specs_Niquel_Brillante">CAT_Specs!#REF!</definedName>
    <definedName name="Specs_Niquel_Electroless">CAT_Specs!#REF!</definedName>
    <definedName name="Specs_Niquel_Woods">CAT_Specs!#REF!</definedName>
    <definedName name="Specs_No_Oxide">CAT_Specs!#REF!</definedName>
    <definedName name="Specs_Pasivado">CAT_Specs!#REF!</definedName>
    <definedName name="Specs_Pavonado">CAT_Specs!#REF!</definedName>
    <definedName name="Specs_Plata">CAT_Specs!#REF!</definedName>
    <definedName name="Specs_Plata_Flash">CAT_Specs!#REF!</definedName>
    <definedName name="Specs_Plata_Mate">CAT_Specs!#REF!</definedName>
    <definedName name="Specs_Plata_Semibrillante">CAT_Specs!#REF!</definedName>
    <definedName name="Specs_Pulido">CAT_Specs!#REF!</definedName>
    <definedName name="Specs_Rebabeo">CAT_Specs!#REF!</definedName>
    <definedName name="Specs_Tratamiento_Termico">CAT_Specs!#REF!</definedName>
    <definedName name="Specs_Zinc">CAT_Specs!#REF!</definedName>
    <definedName name="Specs_Zinc_Cromato_Tropicalizado_Amarillo">CAT_Specs!#REF!</definedName>
    <definedName name="Specs_Zinc_Cromato_Verde_Olivo">CAT_Specs!#REF!</definedName>
    <definedName name="Specs_Zinc_Negro_Azul">CAT_Specs!#REF!</definedName>
    <definedName name="Specs_Zinc_Niquel">CAT_Specs!#REF!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D507" i="1" l="1"/>
  <c r="AD506" i="1"/>
  <c r="AD505" i="1"/>
  <c r="AD504" i="1"/>
  <c r="AD503" i="1"/>
  <c r="AD502" i="1"/>
  <c r="AD501" i="1"/>
  <c r="AD500" i="1"/>
  <c r="AD499" i="1"/>
  <c r="AD498" i="1"/>
  <c r="AD497" i="1"/>
  <c r="AD496" i="1"/>
  <c r="AD495" i="1"/>
  <c r="AD494" i="1"/>
  <c r="AD493" i="1"/>
  <c r="AD492" i="1"/>
  <c r="AD491" i="1"/>
  <c r="AD490" i="1"/>
  <c r="AD489" i="1"/>
  <c r="AD488" i="1"/>
  <c r="AD487" i="1"/>
  <c r="AD486" i="1"/>
  <c r="AD485" i="1"/>
  <c r="AD484" i="1"/>
  <c r="AD483" i="1"/>
  <c r="AD482" i="1"/>
  <c r="AD481" i="1"/>
  <c r="AD480" i="1"/>
  <c r="AD479" i="1"/>
  <c r="AD478" i="1"/>
  <c r="AD477" i="1"/>
  <c r="AD476" i="1"/>
  <c r="AD475" i="1"/>
  <c r="AD474" i="1"/>
  <c r="AD473" i="1"/>
  <c r="AD472" i="1"/>
  <c r="AD471" i="1"/>
  <c r="AD470" i="1"/>
  <c r="AD469" i="1"/>
  <c r="AD468" i="1"/>
  <c r="AD467" i="1"/>
  <c r="AD466" i="1"/>
  <c r="AD465" i="1"/>
  <c r="AD464" i="1"/>
  <c r="AD463" i="1"/>
  <c r="AD462" i="1"/>
  <c r="AD461" i="1"/>
  <c r="AD460" i="1"/>
  <c r="AD459" i="1"/>
  <c r="AD458" i="1"/>
  <c r="AD457" i="1"/>
  <c r="AD456" i="1"/>
  <c r="AD455" i="1"/>
  <c r="AD454" i="1"/>
  <c r="AD453" i="1"/>
  <c r="AD452" i="1"/>
  <c r="AD451" i="1"/>
  <c r="AD450" i="1"/>
  <c r="AD449" i="1"/>
  <c r="AD448" i="1"/>
  <c r="AD447" i="1"/>
  <c r="AD446" i="1"/>
  <c r="AD445" i="1"/>
  <c r="AD444" i="1"/>
  <c r="AD443" i="1"/>
  <c r="AD442" i="1"/>
  <c r="AD441" i="1"/>
  <c r="AD440" i="1"/>
  <c r="AD439" i="1"/>
  <c r="AD438" i="1"/>
  <c r="AD437" i="1"/>
  <c r="AD436" i="1"/>
  <c r="AD435" i="1"/>
  <c r="AD434" i="1"/>
  <c r="AD433" i="1"/>
  <c r="AD432" i="1"/>
  <c r="AD431" i="1"/>
  <c r="AD430" i="1"/>
  <c r="AD429" i="1"/>
  <c r="AD428" i="1"/>
  <c r="AD427" i="1"/>
  <c r="AD426" i="1"/>
  <c r="AD425" i="1"/>
  <c r="AD424" i="1"/>
  <c r="AD423" i="1"/>
  <c r="AD422" i="1"/>
  <c r="AD421" i="1"/>
  <c r="AD420" i="1"/>
  <c r="AD419" i="1"/>
  <c r="AD418" i="1"/>
  <c r="AD417" i="1"/>
  <c r="AD416" i="1"/>
  <c r="AD415" i="1"/>
  <c r="AD414" i="1"/>
  <c r="AD413" i="1"/>
  <c r="AD412" i="1"/>
  <c r="AD411" i="1"/>
  <c r="AD410" i="1"/>
  <c r="AD409" i="1"/>
  <c r="AD408" i="1"/>
  <c r="AD407" i="1"/>
  <c r="AD406" i="1"/>
  <c r="AD405" i="1"/>
  <c r="AD404" i="1"/>
  <c r="AD403" i="1"/>
  <c r="AD402" i="1"/>
  <c r="AD401" i="1"/>
  <c r="AD400" i="1"/>
  <c r="AD399" i="1"/>
  <c r="AD398" i="1"/>
  <c r="AD397" i="1"/>
  <c r="AD396" i="1"/>
  <c r="AD395" i="1"/>
  <c r="AD394" i="1"/>
  <c r="AD393" i="1"/>
  <c r="AD392" i="1"/>
  <c r="AD391" i="1"/>
  <c r="AD390" i="1"/>
  <c r="AD389" i="1"/>
  <c r="AD388" i="1"/>
  <c r="AD387" i="1"/>
  <c r="AD386" i="1"/>
  <c r="AD385" i="1"/>
  <c r="AD384" i="1"/>
  <c r="AD383" i="1"/>
  <c r="AD382" i="1"/>
  <c r="AD381" i="1"/>
  <c r="AD380" i="1"/>
  <c r="AD379" i="1"/>
  <c r="AD378" i="1"/>
  <c r="AD377" i="1"/>
  <c r="AD376" i="1"/>
  <c r="AD375" i="1"/>
  <c r="AD374" i="1"/>
  <c r="AD373" i="1"/>
  <c r="AD372" i="1"/>
  <c r="AD371" i="1"/>
  <c r="AD370" i="1"/>
  <c r="AD369" i="1"/>
  <c r="AD368" i="1"/>
  <c r="AD367" i="1"/>
  <c r="AD366" i="1"/>
  <c r="AD365" i="1"/>
  <c r="AD364" i="1"/>
  <c r="AD363" i="1"/>
  <c r="AD362" i="1"/>
  <c r="AD361" i="1"/>
  <c r="AD360" i="1"/>
  <c r="AD359" i="1"/>
  <c r="AD358" i="1"/>
  <c r="AD357" i="1"/>
  <c r="AD356" i="1"/>
  <c r="AD355" i="1"/>
  <c r="AD354" i="1"/>
  <c r="AD353" i="1"/>
  <c r="AD352" i="1"/>
  <c r="AD351" i="1"/>
  <c r="AD350" i="1"/>
  <c r="AD349" i="1"/>
  <c r="AD348" i="1"/>
  <c r="AD347" i="1"/>
  <c r="AD346" i="1"/>
  <c r="AD345" i="1"/>
  <c r="AD344" i="1"/>
  <c r="AD343" i="1"/>
  <c r="AD342" i="1"/>
  <c r="AD341" i="1"/>
  <c r="AD340" i="1"/>
  <c r="AD339" i="1"/>
  <c r="AD338" i="1"/>
  <c r="AD337" i="1"/>
  <c r="AD336" i="1"/>
  <c r="AD335" i="1"/>
  <c r="AD334" i="1"/>
  <c r="AD333" i="1"/>
  <c r="AD332" i="1"/>
  <c r="AD331" i="1"/>
  <c r="AD330" i="1"/>
  <c r="AD329" i="1"/>
  <c r="AD328" i="1"/>
  <c r="AD327" i="1"/>
  <c r="AD326" i="1"/>
  <c r="AD325" i="1"/>
  <c r="AD324" i="1"/>
  <c r="AD323" i="1"/>
  <c r="AD322" i="1"/>
  <c r="AD321" i="1"/>
  <c r="AD320" i="1"/>
  <c r="AD319" i="1"/>
  <c r="AD318" i="1"/>
  <c r="AD317" i="1"/>
  <c r="AD316" i="1"/>
  <c r="AD315" i="1"/>
  <c r="AD314" i="1"/>
  <c r="AD313" i="1"/>
  <c r="AD312" i="1"/>
  <c r="AD311" i="1"/>
  <c r="AD310" i="1"/>
  <c r="AD309" i="1"/>
  <c r="AD308" i="1"/>
  <c r="AD307" i="1"/>
  <c r="AD306" i="1"/>
  <c r="AD305" i="1"/>
  <c r="AD304" i="1"/>
  <c r="AD303" i="1"/>
  <c r="AD302" i="1"/>
  <c r="AD301" i="1"/>
  <c r="AD300" i="1"/>
  <c r="AD299" i="1"/>
  <c r="AD298" i="1"/>
  <c r="AD297" i="1"/>
  <c r="AD296" i="1"/>
  <c r="AD295" i="1"/>
  <c r="AD294" i="1"/>
  <c r="AD293" i="1"/>
  <c r="AD292" i="1"/>
  <c r="AD291" i="1"/>
  <c r="AD290" i="1"/>
  <c r="AD289" i="1"/>
  <c r="AD288" i="1"/>
  <c r="AD287" i="1"/>
  <c r="AD286" i="1"/>
  <c r="AD285" i="1"/>
  <c r="AD284" i="1"/>
  <c r="AD283" i="1"/>
  <c r="AD282" i="1"/>
  <c r="AD281" i="1"/>
  <c r="AD280" i="1"/>
  <c r="AD279" i="1"/>
  <c r="AD278" i="1"/>
  <c r="AD277" i="1"/>
  <c r="AD276" i="1"/>
  <c r="AD275" i="1"/>
  <c r="AD274" i="1"/>
  <c r="AD273" i="1"/>
  <c r="AD272" i="1"/>
  <c r="AD271" i="1"/>
  <c r="AD270" i="1"/>
  <c r="AD269" i="1"/>
  <c r="AD268" i="1"/>
  <c r="AD267" i="1"/>
  <c r="AD266" i="1"/>
  <c r="AD265" i="1"/>
  <c r="AD264" i="1"/>
  <c r="AD263" i="1"/>
  <c r="AD262" i="1"/>
  <c r="AD261" i="1"/>
  <c r="AD260" i="1"/>
  <c r="AD259" i="1"/>
  <c r="AD258" i="1"/>
  <c r="AD257" i="1"/>
  <c r="AD256" i="1"/>
  <c r="AD255" i="1"/>
  <c r="AD254" i="1"/>
  <c r="AD253" i="1"/>
  <c r="AD252" i="1"/>
  <c r="AD251" i="1"/>
  <c r="AD250" i="1"/>
  <c r="AD249" i="1"/>
  <c r="AD248" i="1"/>
  <c r="AD247" i="1"/>
  <c r="AD246" i="1"/>
  <c r="AD245" i="1"/>
  <c r="AD244" i="1"/>
  <c r="AD243" i="1"/>
  <c r="AD242" i="1"/>
  <c r="AD241" i="1"/>
  <c r="AD240" i="1"/>
  <c r="AD239" i="1"/>
  <c r="AD238" i="1"/>
  <c r="AD237" i="1"/>
  <c r="AD236" i="1"/>
  <c r="AD235" i="1"/>
  <c r="AD234" i="1"/>
  <c r="AD233" i="1"/>
  <c r="AD232" i="1"/>
  <c r="AD231" i="1"/>
  <c r="AD230" i="1"/>
  <c r="AD229" i="1"/>
  <c r="AD228" i="1"/>
  <c r="AD227" i="1"/>
  <c r="AD226" i="1"/>
  <c r="AD225" i="1"/>
  <c r="AD224" i="1"/>
  <c r="AD223" i="1"/>
  <c r="AD222" i="1"/>
  <c r="AD221" i="1"/>
  <c r="AD220" i="1"/>
  <c r="AD219" i="1"/>
  <c r="AD218" i="1"/>
  <c r="AD217" i="1"/>
  <c r="AD216" i="1"/>
  <c r="AD215" i="1"/>
  <c r="AD214" i="1"/>
  <c r="AD213" i="1"/>
  <c r="AD212" i="1"/>
  <c r="AD211" i="1"/>
  <c r="AD210" i="1"/>
  <c r="AD209" i="1"/>
  <c r="AD208" i="1"/>
  <c r="AD207" i="1"/>
  <c r="AD206" i="1"/>
  <c r="AD205" i="1"/>
  <c r="AD204" i="1"/>
  <c r="AD203" i="1"/>
  <c r="AD202" i="1"/>
  <c r="AD201" i="1"/>
  <c r="AD200" i="1"/>
  <c r="AD199" i="1"/>
  <c r="AD198" i="1"/>
  <c r="AD197" i="1"/>
  <c r="AD196" i="1"/>
  <c r="AD195" i="1"/>
  <c r="AD194" i="1"/>
  <c r="AD193" i="1"/>
  <c r="AD192" i="1"/>
  <c r="AD191" i="1"/>
  <c r="AD190" i="1"/>
  <c r="AD189" i="1"/>
  <c r="AD188" i="1"/>
  <c r="AD187" i="1"/>
  <c r="AD186" i="1"/>
  <c r="AD185" i="1"/>
  <c r="AD184" i="1"/>
  <c r="AD183" i="1"/>
  <c r="AD182" i="1"/>
  <c r="AD181" i="1"/>
  <c r="AD180" i="1"/>
  <c r="AD179" i="1"/>
  <c r="AD178" i="1"/>
  <c r="AD177" i="1"/>
  <c r="AD176" i="1"/>
  <c r="AD175" i="1"/>
  <c r="AD174" i="1"/>
  <c r="AD173" i="1"/>
  <c r="AD172" i="1"/>
  <c r="AD171" i="1"/>
  <c r="AD170" i="1"/>
  <c r="AD169" i="1"/>
  <c r="AD168" i="1"/>
  <c r="AD167" i="1"/>
  <c r="AD166" i="1"/>
  <c r="AD165" i="1"/>
  <c r="AD164" i="1"/>
  <c r="AD163" i="1"/>
  <c r="AD162" i="1"/>
  <c r="AD161" i="1"/>
  <c r="AD160" i="1"/>
  <c r="AD159" i="1"/>
  <c r="AD158" i="1"/>
  <c r="AD157" i="1"/>
  <c r="AD156" i="1"/>
  <c r="AD155" i="1"/>
  <c r="AD154" i="1"/>
  <c r="AD153" i="1"/>
  <c r="AD152" i="1"/>
  <c r="AD151" i="1"/>
  <c r="AD150" i="1"/>
  <c r="AD149" i="1"/>
  <c r="AD148" i="1"/>
  <c r="AD147" i="1"/>
  <c r="AD146" i="1"/>
  <c r="AD145" i="1"/>
  <c r="AD144" i="1"/>
  <c r="AD143" i="1"/>
  <c r="AD142" i="1"/>
  <c r="AD141" i="1"/>
  <c r="AD140" i="1"/>
  <c r="AD139" i="1"/>
  <c r="AD138" i="1"/>
  <c r="AD137" i="1"/>
  <c r="AD136" i="1"/>
  <c r="AD135" i="1"/>
  <c r="AD134" i="1"/>
  <c r="AD133" i="1"/>
  <c r="AD132" i="1"/>
  <c r="AD131" i="1"/>
  <c r="AD130" i="1"/>
  <c r="AD129" i="1"/>
  <c r="AD128" i="1"/>
  <c r="AD127" i="1"/>
  <c r="AD126" i="1"/>
  <c r="AD125" i="1"/>
  <c r="AD124" i="1"/>
  <c r="AD123" i="1"/>
  <c r="AD122" i="1"/>
  <c r="AD121" i="1"/>
  <c r="AD120" i="1"/>
  <c r="AD119" i="1"/>
  <c r="AD118" i="1"/>
  <c r="AD117" i="1"/>
  <c r="AD116" i="1"/>
  <c r="AD115" i="1"/>
  <c r="AD114" i="1"/>
  <c r="AD113" i="1"/>
  <c r="AD112" i="1"/>
  <c r="AD111" i="1"/>
  <c r="AD110" i="1"/>
  <c r="AD109" i="1"/>
  <c r="AD108" i="1"/>
  <c r="AD107" i="1"/>
  <c r="AD106" i="1"/>
  <c r="AD105" i="1"/>
  <c r="AD104" i="1"/>
  <c r="AD103" i="1"/>
  <c r="AD102" i="1"/>
  <c r="AD101" i="1"/>
  <c r="AD100" i="1"/>
  <c r="AD99" i="1"/>
  <c r="AD98" i="1"/>
  <c r="AD97" i="1"/>
  <c r="AD96" i="1"/>
  <c r="AD95" i="1"/>
  <c r="AD94" i="1"/>
  <c r="AD93" i="1"/>
  <c r="AD92" i="1"/>
  <c r="AD91" i="1"/>
  <c r="AD90" i="1"/>
  <c r="AD89" i="1"/>
  <c r="AD88" i="1"/>
  <c r="AD87" i="1"/>
  <c r="AD86" i="1"/>
  <c r="AD85" i="1"/>
  <c r="AD84" i="1"/>
  <c r="AD83" i="1"/>
  <c r="AD82" i="1"/>
  <c r="AD81" i="1"/>
  <c r="AD80" i="1"/>
  <c r="AD79" i="1"/>
  <c r="AD78" i="1"/>
  <c r="AD77" i="1"/>
  <c r="AD76" i="1"/>
  <c r="AD75" i="1"/>
  <c r="AD74" i="1"/>
  <c r="AD73" i="1"/>
  <c r="AD72" i="1"/>
  <c r="AD71" i="1"/>
  <c r="AD70" i="1"/>
  <c r="AD69" i="1"/>
  <c r="AD68" i="1"/>
  <c r="AD67" i="1"/>
  <c r="AD66" i="1"/>
  <c r="AD65" i="1"/>
  <c r="AD64" i="1"/>
  <c r="AD63" i="1"/>
  <c r="AD62" i="1"/>
  <c r="AD61" i="1"/>
  <c r="AD60" i="1"/>
  <c r="AD59" i="1"/>
  <c r="AD58" i="1"/>
  <c r="AD57" i="1"/>
  <c r="AD56" i="1"/>
  <c r="AD55" i="1"/>
  <c r="AD54" i="1"/>
  <c r="AD53" i="1"/>
  <c r="AD52" i="1"/>
  <c r="AD51" i="1"/>
  <c r="AD50" i="1"/>
  <c r="AD49" i="1"/>
  <c r="AD48" i="1"/>
  <c r="AD47" i="1"/>
  <c r="AD46" i="1"/>
  <c r="AD45" i="1"/>
  <c r="AD44" i="1"/>
  <c r="AD43" i="1"/>
  <c r="AD42" i="1"/>
  <c r="AD41" i="1"/>
  <c r="AD40" i="1"/>
  <c r="AD39" i="1"/>
  <c r="AD38" i="1"/>
  <c r="AD37" i="1"/>
  <c r="AD36" i="1"/>
  <c r="AD35" i="1"/>
  <c r="AD34" i="1"/>
  <c r="AD33" i="1"/>
  <c r="AD32" i="1"/>
  <c r="AD31" i="1"/>
  <c r="AD30" i="1"/>
  <c r="AD29" i="1"/>
  <c r="AD28" i="1"/>
  <c r="AD27" i="1"/>
  <c r="AD26" i="1"/>
  <c r="AD25" i="1"/>
  <c r="AD24" i="1"/>
  <c r="AD23" i="1"/>
  <c r="AD22" i="1"/>
  <c r="AD21" i="1"/>
  <c r="AD20" i="1"/>
  <c r="AD19" i="1"/>
  <c r="AD18" i="1"/>
  <c r="AD17" i="1"/>
  <c r="AD16" i="1"/>
  <c r="AD15" i="1"/>
  <c r="AD14" i="1"/>
  <c r="AD13" i="1"/>
  <c r="AD12" i="1"/>
  <c r="AD11" i="1"/>
  <c r="AD10" i="1"/>
  <c r="AD9" i="1"/>
  <c r="AB507" i="1"/>
  <c r="AB506" i="1"/>
  <c r="AB505" i="1"/>
  <c r="AB504" i="1"/>
  <c r="AB503" i="1"/>
  <c r="AB502" i="1"/>
  <c r="AB501" i="1"/>
  <c r="AB500" i="1"/>
  <c r="AB499" i="1"/>
  <c r="AB498" i="1"/>
  <c r="AB497" i="1"/>
  <c r="AB496" i="1"/>
  <c r="AB495" i="1"/>
  <c r="AB494" i="1"/>
  <c r="AB493" i="1"/>
  <c r="AB492" i="1"/>
  <c r="AB491" i="1"/>
  <c r="AB490" i="1"/>
  <c r="AB489" i="1"/>
  <c r="AB488" i="1"/>
  <c r="AB487" i="1"/>
  <c r="AB486" i="1"/>
  <c r="AB485" i="1"/>
  <c r="AB484" i="1"/>
  <c r="AB483" i="1"/>
  <c r="AB482" i="1"/>
  <c r="AB481" i="1"/>
  <c r="AB480" i="1"/>
  <c r="AB479" i="1"/>
  <c r="AB478" i="1"/>
  <c r="AB477" i="1"/>
  <c r="AB476" i="1"/>
  <c r="AB475" i="1"/>
  <c r="AB474" i="1"/>
  <c r="AB473" i="1"/>
  <c r="AB472" i="1"/>
  <c r="AB471" i="1"/>
  <c r="AB470" i="1"/>
  <c r="AB469" i="1"/>
  <c r="AB468" i="1"/>
  <c r="AB467" i="1"/>
  <c r="AB466" i="1"/>
  <c r="AB465" i="1"/>
  <c r="AB464" i="1"/>
  <c r="AB463" i="1"/>
  <c r="AB462" i="1"/>
  <c r="AB461" i="1"/>
  <c r="AB460" i="1"/>
  <c r="AB459" i="1"/>
  <c r="AB458" i="1"/>
  <c r="AB457" i="1"/>
  <c r="AB456" i="1"/>
  <c r="AB455" i="1"/>
  <c r="AB454" i="1"/>
  <c r="AB453" i="1"/>
  <c r="AB452" i="1"/>
  <c r="AB451" i="1"/>
  <c r="AB450" i="1"/>
  <c r="AB449" i="1"/>
  <c r="AB448" i="1"/>
  <c r="AB447" i="1"/>
  <c r="AB446" i="1"/>
  <c r="AB445" i="1"/>
  <c r="AB444" i="1"/>
  <c r="AB443" i="1"/>
  <c r="AB442" i="1"/>
  <c r="AB441" i="1"/>
  <c r="AB440" i="1"/>
  <c r="AB439" i="1"/>
  <c r="AB438" i="1"/>
  <c r="AB437" i="1"/>
  <c r="AB436" i="1"/>
  <c r="AB435" i="1"/>
  <c r="AB434" i="1"/>
  <c r="AB433" i="1"/>
  <c r="AB432" i="1"/>
  <c r="AB431" i="1"/>
  <c r="AB430" i="1"/>
  <c r="AB429" i="1"/>
  <c r="AB428" i="1"/>
  <c r="AB427" i="1"/>
  <c r="AB426" i="1"/>
  <c r="AB425" i="1"/>
  <c r="AB424" i="1"/>
  <c r="AB423" i="1"/>
  <c r="AB422" i="1"/>
  <c r="AB421" i="1"/>
  <c r="AB420" i="1"/>
  <c r="AB419" i="1"/>
  <c r="AB418" i="1"/>
  <c r="AB417" i="1"/>
  <c r="AB416" i="1"/>
  <c r="AB415" i="1"/>
  <c r="AB414" i="1"/>
  <c r="AB413" i="1"/>
  <c r="AB412" i="1"/>
  <c r="AB411" i="1"/>
  <c r="AB410" i="1"/>
  <c r="AB409" i="1"/>
  <c r="AB408" i="1"/>
  <c r="AB407" i="1"/>
  <c r="AB406" i="1"/>
  <c r="AB405" i="1"/>
  <c r="AB404" i="1"/>
  <c r="AB403" i="1"/>
  <c r="AB402" i="1"/>
  <c r="AB401" i="1"/>
  <c r="AB400" i="1"/>
  <c r="AB399" i="1"/>
  <c r="AB398" i="1"/>
  <c r="AB397" i="1"/>
  <c r="AB396" i="1"/>
  <c r="AB395" i="1"/>
  <c r="AB394" i="1"/>
  <c r="AB393" i="1"/>
  <c r="AB392" i="1"/>
  <c r="AB391" i="1"/>
  <c r="AB390" i="1"/>
  <c r="AB389" i="1"/>
  <c r="AB388" i="1"/>
  <c r="AB387" i="1"/>
  <c r="AB386" i="1"/>
  <c r="AB385" i="1"/>
  <c r="AB384" i="1"/>
  <c r="AB383" i="1"/>
  <c r="AB382" i="1"/>
  <c r="AB381" i="1"/>
  <c r="AB380" i="1"/>
  <c r="AB379" i="1"/>
  <c r="AB378" i="1"/>
  <c r="AB377" i="1"/>
  <c r="AB376" i="1"/>
  <c r="AB375" i="1"/>
  <c r="AB374" i="1"/>
  <c r="AB373" i="1"/>
  <c r="AB372" i="1"/>
  <c r="AB371" i="1"/>
  <c r="AB370" i="1"/>
  <c r="AB369" i="1"/>
  <c r="AB368" i="1"/>
  <c r="AB367" i="1"/>
  <c r="AB366" i="1"/>
  <c r="AB365" i="1"/>
  <c r="AB364" i="1"/>
  <c r="AB363" i="1"/>
  <c r="AB362" i="1"/>
  <c r="AB361" i="1"/>
  <c r="AB360" i="1"/>
  <c r="AB359" i="1"/>
  <c r="AB358" i="1"/>
  <c r="AB357" i="1"/>
  <c r="AB356" i="1"/>
  <c r="AB355" i="1"/>
  <c r="AB354" i="1"/>
  <c r="AB353" i="1"/>
  <c r="AB352" i="1"/>
  <c r="AB351" i="1"/>
  <c r="AB350" i="1"/>
  <c r="AB349" i="1"/>
  <c r="AB348" i="1"/>
  <c r="AB347" i="1"/>
  <c r="AB346" i="1"/>
  <c r="AB345" i="1"/>
  <c r="AB344" i="1"/>
  <c r="AB343" i="1"/>
  <c r="AB342" i="1"/>
  <c r="AB341" i="1"/>
  <c r="AB340" i="1"/>
  <c r="AB339" i="1"/>
  <c r="AB338" i="1"/>
  <c r="AB337" i="1"/>
  <c r="AB336" i="1"/>
  <c r="AB335" i="1"/>
  <c r="AB334" i="1"/>
  <c r="AB333" i="1"/>
  <c r="AB332" i="1"/>
  <c r="AB331" i="1"/>
  <c r="AB330" i="1"/>
  <c r="AB329" i="1"/>
  <c r="AB328" i="1"/>
  <c r="AB327" i="1"/>
  <c r="AB326" i="1"/>
  <c r="AB325" i="1"/>
  <c r="AB324" i="1"/>
  <c r="AB323" i="1"/>
  <c r="AB322" i="1"/>
  <c r="AB321" i="1"/>
  <c r="AB320" i="1"/>
  <c r="AB319" i="1"/>
  <c r="AB318" i="1"/>
  <c r="AB317" i="1"/>
  <c r="AB316" i="1"/>
  <c r="AB315" i="1"/>
  <c r="AB314" i="1"/>
  <c r="AB313" i="1"/>
  <c r="AB312" i="1"/>
  <c r="AB311" i="1"/>
  <c r="AB310" i="1"/>
  <c r="AB309" i="1"/>
  <c r="AB308" i="1"/>
  <c r="AB307" i="1"/>
  <c r="AB306" i="1"/>
  <c r="AB305" i="1"/>
  <c r="AB304" i="1"/>
  <c r="AB303" i="1"/>
  <c r="AB302" i="1"/>
  <c r="AB301" i="1"/>
  <c r="AB300" i="1"/>
  <c r="AB299" i="1"/>
  <c r="AB298" i="1"/>
  <c r="AB297" i="1"/>
  <c r="AB296" i="1"/>
  <c r="AB295" i="1"/>
  <c r="AB294" i="1"/>
  <c r="AB293" i="1"/>
  <c r="AB292" i="1"/>
  <c r="AB291" i="1"/>
  <c r="AB290" i="1"/>
  <c r="AB289" i="1"/>
  <c r="AB288" i="1"/>
  <c r="AB287" i="1"/>
  <c r="AB286" i="1"/>
  <c r="AB285" i="1"/>
  <c r="AB284" i="1"/>
  <c r="AB283" i="1"/>
  <c r="AB282" i="1"/>
  <c r="AB281" i="1"/>
  <c r="AB280" i="1"/>
  <c r="AB279" i="1"/>
  <c r="AB278" i="1"/>
  <c r="AB277" i="1"/>
  <c r="AB276" i="1"/>
  <c r="AB275" i="1"/>
  <c r="AB274" i="1"/>
  <c r="AB273" i="1"/>
  <c r="AB272" i="1"/>
  <c r="AB271" i="1"/>
  <c r="AB270" i="1"/>
  <c r="AB269" i="1"/>
  <c r="AB268" i="1"/>
  <c r="AB267" i="1"/>
  <c r="AB266" i="1"/>
  <c r="AB265" i="1"/>
  <c r="AB264" i="1"/>
  <c r="AB263" i="1"/>
  <c r="AB262" i="1"/>
  <c r="AB261" i="1"/>
  <c r="AB260" i="1"/>
  <c r="AB259" i="1"/>
  <c r="AB258" i="1"/>
  <c r="AB257" i="1"/>
  <c r="AB256" i="1"/>
  <c r="AB255" i="1"/>
  <c r="AB254" i="1"/>
  <c r="AB253" i="1"/>
  <c r="AB252" i="1"/>
  <c r="AB251" i="1"/>
  <c r="AB250" i="1"/>
  <c r="AB249" i="1"/>
  <c r="AB248" i="1"/>
  <c r="AB247" i="1"/>
  <c r="AB246" i="1"/>
  <c r="AB245" i="1"/>
  <c r="AB244" i="1"/>
  <c r="AB243" i="1"/>
  <c r="AB242" i="1"/>
  <c r="AB241" i="1"/>
  <c r="AB240" i="1"/>
  <c r="AB239" i="1"/>
  <c r="AB238" i="1"/>
  <c r="AB237" i="1"/>
  <c r="AB236" i="1"/>
  <c r="AB235" i="1"/>
  <c r="AB234" i="1"/>
  <c r="AB233" i="1"/>
  <c r="AB232" i="1"/>
  <c r="AB231" i="1"/>
  <c r="AB230" i="1"/>
  <c r="AB229" i="1"/>
  <c r="AB228" i="1"/>
  <c r="AB227" i="1"/>
  <c r="AB226" i="1"/>
  <c r="AB225" i="1"/>
  <c r="AB224" i="1"/>
  <c r="AB223" i="1"/>
  <c r="AB222" i="1"/>
  <c r="AB221" i="1"/>
  <c r="AB220" i="1"/>
  <c r="AB219" i="1"/>
  <c r="AB218" i="1"/>
  <c r="AB217" i="1"/>
  <c r="AB216" i="1"/>
  <c r="AB215" i="1"/>
  <c r="AB214" i="1"/>
  <c r="AB213" i="1"/>
  <c r="AB212" i="1"/>
  <c r="AB211" i="1"/>
  <c r="AB210" i="1"/>
  <c r="AB209" i="1"/>
  <c r="AB208" i="1"/>
  <c r="AB207" i="1"/>
  <c r="AB206" i="1"/>
  <c r="AB205" i="1"/>
  <c r="AB204" i="1"/>
  <c r="AB203" i="1"/>
  <c r="AB202" i="1"/>
  <c r="AB201" i="1"/>
  <c r="AB200" i="1"/>
  <c r="AB199" i="1"/>
  <c r="AB198" i="1"/>
  <c r="AB197" i="1"/>
  <c r="AB196" i="1"/>
  <c r="AB195" i="1"/>
  <c r="AB194" i="1"/>
  <c r="AB193" i="1"/>
  <c r="AB192" i="1"/>
  <c r="AB191" i="1"/>
  <c r="AB190" i="1"/>
  <c r="AB189" i="1"/>
  <c r="AB188" i="1"/>
  <c r="AB187" i="1"/>
  <c r="AB186" i="1"/>
  <c r="AB185" i="1"/>
  <c r="AB184" i="1"/>
  <c r="AB183" i="1"/>
  <c r="AB182" i="1"/>
  <c r="AB181" i="1"/>
  <c r="AB180" i="1"/>
  <c r="AB179" i="1"/>
  <c r="AB178" i="1"/>
  <c r="AB177" i="1"/>
  <c r="AB176" i="1"/>
  <c r="AB175" i="1"/>
  <c r="AB174" i="1"/>
  <c r="AB173" i="1"/>
  <c r="AB172" i="1"/>
  <c r="AB171" i="1"/>
  <c r="AB170" i="1"/>
  <c r="AB169" i="1"/>
  <c r="AB168" i="1"/>
  <c r="AB167" i="1"/>
  <c r="AB166" i="1"/>
  <c r="AB165" i="1"/>
  <c r="AB164" i="1"/>
  <c r="AB163" i="1"/>
  <c r="AB162" i="1"/>
  <c r="AB161" i="1"/>
  <c r="AB160" i="1"/>
  <c r="AB159" i="1"/>
  <c r="AB158" i="1"/>
  <c r="AB157" i="1"/>
  <c r="AB156" i="1"/>
  <c r="AB155" i="1"/>
  <c r="AB154" i="1"/>
  <c r="AB153" i="1"/>
  <c r="AB152" i="1"/>
  <c r="AB151" i="1"/>
  <c r="AB150" i="1"/>
  <c r="AB149" i="1"/>
  <c r="AB148" i="1"/>
  <c r="AB147" i="1"/>
  <c r="AB146" i="1"/>
  <c r="AB145" i="1"/>
  <c r="AB144" i="1"/>
  <c r="AB143" i="1"/>
  <c r="AB142" i="1"/>
  <c r="AB141" i="1"/>
  <c r="AB140" i="1"/>
  <c r="AB139" i="1"/>
  <c r="AB138" i="1"/>
  <c r="AB137" i="1"/>
  <c r="AB136" i="1"/>
  <c r="AB135" i="1"/>
  <c r="AB134" i="1"/>
  <c r="AB133" i="1"/>
  <c r="AB132" i="1"/>
  <c r="AB131" i="1"/>
  <c r="AB130" i="1"/>
  <c r="AB129" i="1"/>
  <c r="AB128" i="1"/>
  <c r="AB127" i="1"/>
  <c r="AB126" i="1"/>
  <c r="AB125" i="1"/>
  <c r="AB124" i="1"/>
  <c r="AB123" i="1"/>
  <c r="AB122" i="1"/>
  <c r="AB121" i="1"/>
  <c r="AB120" i="1"/>
  <c r="AB119" i="1"/>
  <c r="AB118" i="1"/>
  <c r="AB117" i="1"/>
  <c r="AB116" i="1"/>
  <c r="AB115" i="1"/>
  <c r="AB114" i="1"/>
  <c r="AB113" i="1"/>
  <c r="AB112" i="1"/>
  <c r="AB111" i="1"/>
  <c r="AB110" i="1"/>
  <c r="AB109" i="1"/>
  <c r="AB108" i="1"/>
  <c r="AB107" i="1"/>
  <c r="AB106" i="1"/>
  <c r="AB105" i="1"/>
  <c r="AB104" i="1"/>
  <c r="AB103" i="1"/>
  <c r="AB102" i="1"/>
  <c r="AB101" i="1"/>
  <c r="AB100" i="1"/>
  <c r="AB99" i="1"/>
  <c r="AB98" i="1"/>
  <c r="AB97" i="1"/>
  <c r="AB96" i="1"/>
  <c r="AB95" i="1"/>
  <c r="AB94" i="1"/>
  <c r="AB93" i="1"/>
  <c r="AB92" i="1"/>
  <c r="AB91" i="1"/>
  <c r="AB90" i="1"/>
  <c r="AB89" i="1"/>
  <c r="AB88" i="1"/>
  <c r="AB87" i="1"/>
  <c r="AB86" i="1"/>
  <c r="AB85" i="1"/>
  <c r="AB84" i="1"/>
  <c r="AB83" i="1"/>
  <c r="AB82" i="1"/>
  <c r="AB81" i="1"/>
  <c r="AB80" i="1"/>
  <c r="AB79" i="1"/>
  <c r="AB78" i="1"/>
  <c r="AB77" i="1"/>
  <c r="AB76" i="1"/>
  <c r="AB75" i="1"/>
  <c r="AB74" i="1"/>
  <c r="AB73" i="1"/>
  <c r="AB72" i="1"/>
  <c r="AB71" i="1"/>
  <c r="AB70" i="1"/>
  <c r="AB69" i="1"/>
  <c r="AB68" i="1"/>
  <c r="AB67" i="1"/>
  <c r="AB66" i="1"/>
  <c r="AB65" i="1"/>
  <c r="AB64" i="1"/>
  <c r="AB63" i="1"/>
  <c r="AB62" i="1"/>
  <c r="AB61" i="1"/>
  <c r="AB60" i="1"/>
  <c r="AB59" i="1"/>
  <c r="AB58" i="1"/>
  <c r="AB57" i="1"/>
  <c r="AB56" i="1"/>
  <c r="AB55" i="1"/>
  <c r="AB54" i="1"/>
  <c r="AB53" i="1"/>
  <c r="AB52" i="1"/>
  <c r="AB51" i="1"/>
  <c r="AB50" i="1"/>
  <c r="AB49" i="1"/>
  <c r="AB48" i="1"/>
  <c r="AB47" i="1"/>
  <c r="AB46" i="1"/>
  <c r="AB45" i="1"/>
  <c r="AB44" i="1"/>
  <c r="AB43" i="1"/>
  <c r="AB42" i="1"/>
  <c r="AB41" i="1"/>
  <c r="AB40" i="1"/>
  <c r="AB39" i="1"/>
  <c r="AB38" i="1"/>
  <c r="AB37" i="1"/>
  <c r="AB36" i="1"/>
  <c r="AB35" i="1"/>
  <c r="AB34" i="1"/>
  <c r="AB33" i="1"/>
  <c r="AB32" i="1"/>
  <c r="AB31" i="1"/>
  <c r="AB30" i="1"/>
  <c r="AB29" i="1"/>
  <c r="AB28" i="1"/>
  <c r="AB27" i="1"/>
  <c r="AB26" i="1"/>
  <c r="AB25" i="1"/>
  <c r="AB24" i="1"/>
  <c r="AB23" i="1"/>
  <c r="AB22" i="1"/>
  <c r="AB21" i="1"/>
  <c r="AB20" i="1"/>
  <c r="AB19" i="1"/>
  <c r="AB18" i="1"/>
  <c r="AB17" i="1"/>
  <c r="AB16" i="1"/>
  <c r="AB15" i="1"/>
  <c r="AB14" i="1"/>
  <c r="AB13" i="1"/>
  <c r="AB12" i="1"/>
  <c r="AB11" i="1"/>
  <c r="AB10" i="1"/>
  <c r="AB9" i="1"/>
  <c r="Z507" i="1"/>
  <c r="Z506" i="1"/>
  <c r="Z505" i="1"/>
  <c r="Z504" i="1"/>
  <c r="Z503" i="1"/>
  <c r="Z502" i="1"/>
  <c r="Z501" i="1"/>
  <c r="Z500" i="1"/>
  <c r="Z499" i="1"/>
  <c r="Z498" i="1"/>
  <c r="Z497" i="1"/>
  <c r="Z496" i="1"/>
  <c r="Z495" i="1"/>
  <c r="Z494" i="1"/>
  <c r="Z493" i="1"/>
  <c r="Z492" i="1"/>
  <c r="Z491" i="1"/>
  <c r="Z490" i="1"/>
  <c r="Z489" i="1"/>
  <c r="Z488" i="1"/>
  <c r="Z487" i="1"/>
  <c r="Z486" i="1"/>
  <c r="Z485" i="1"/>
  <c r="Z484" i="1"/>
  <c r="Z483" i="1"/>
  <c r="Z482" i="1"/>
  <c r="Z481" i="1"/>
  <c r="Z480" i="1"/>
  <c r="Z479" i="1"/>
  <c r="Z478" i="1"/>
  <c r="Z477" i="1"/>
  <c r="Z476" i="1"/>
  <c r="Z475" i="1"/>
  <c r="Z474" i="1"/>
  <c r="Z473" i="1"/>
  <c r="Z472" i="1"/>
  <c r="Z471" i="1"/>
  <c r="Z470" i="1"/>
  <c r="Z469" i="1"/>
  <c r="Z468" i="1"/>
  <c r="Z467" i="1"/>
  <c r="Z466" i="1"/>
  <c r="Z465" i="1"/>
  <c r="Z464" i="1"/>
  <c r="Z463" i="1"/>
  <c r="Z462" i="1"/>
  <c r="Z461" i="1"/>
  <c r="Z460" i="1"/>
  <c r="Z459" i="1"/>
  <c r="Z458" i="1"/>
  <c r="Z457" i="1"/>
  <c r="Z456" i="1"/>
  <c r="Z455" i="1"/>
  <c r="Z454" i="1"/>
  <c r="Z453" i="1"/>
  <c r="Z452" i="1"/>
  <c r="Z451" i="1"/>
  <c r="Z450" i="1"/>
  <c r="Z449" i="1"/>
  <c r="Z448" i="1"/>
  <c r="Z447" i="1"/>
  <c r="Z446" i="1"/>
  <c r="Z445" i="1"/>
  <c r="Z444" i="1"/>
  <c r="Z443" i="1"/>
  <c r="Z442" i="1"/>
  <c r="Z441" i="1"/>
  <c r="Z440" i="1"/>
  <c r="Z439" i="1"/>
  <c r="Z438" i="1"/>
  <c r="Z437" i="1"/>
  <c r="Z436" i="1"/>
  <c r="Z435" i="1"/>
  <c r="Z434" i="1"/>
  <c r="Z433" i="1"/>
  <c r="Z432" i="1"/>
  <c r="Z431" i="1"/>
  <c r="Z430" i="1"/>
  <c r="Z429" i="1"/>
  <c r="Z428" i="1"/>
  <c r="Z427" i="1"/>
  <c r="Z426" i="1"/>
  <c r="Z425" i="1"/>
  <c r="Z424" i="1"/>
  <c r="Z423" i="1"/>
  <c r="Z422" i="1"/>
  <c r="Z421" i="1"/>
  <c r="Z420" i="1"/>
  <c r="Z419" i="1"/>
  <c r="Z418" i="1"/>
  <c r="Z417" i="1"/>
  <c r="Z416" i="1"/>
  <c r="Z415" i="1"/>
  <c r="Z414" i="1"/>
  <c r="Z413" i="1"/>
  <c r="Z412" i="1"/>
  <c r="Z411" i="1"/>
  <c r="Z410" i="1"/>
  <c r="Z409" i="1"/>
  <c r="Z408" i="1"/>
  <c r="Z407" i="1"/>
  <c r="Z406" i="1"/>
  <c r="Z405" i="1"/>
  <c r="Z404" i="1"/>
  <c r="Z403" i="1"/>
  <c r="Z402" i="1"/>
  <c r="Z401" i="1"/>
  <c r="Z400" i="1"/>
  <c r="Z399" i="1"/>
  <c r="Z398" i="1"/>
  <c r="Z397" i="1"/>
  <c r="Z396" i="1"/>
  <c r="Z395" i="1"/>
  <c r="Z394" i="1"/>
  <c r="Z393" i="1"/>
  <c r="Z392" i="1"/>
  <c r="Z391" i="1"/>
  <c r="Z390" i="1"/>
  <c r="Z389" i="1"/>
  <c r="Z388" i="1"/>
  <c r="Z387" i="1"/>
  <c r="Z386" i="1"/>
  <c r="Z385" i="1"/>
  <c r="Z384" i="1"/>
  <c r="Z383" i="1"/>
  <c r="Z382" i="1"/>
  <c r="Z381" i="1"/>
  <c r="Z380" i="1"/>
  <c r="Z379" i="1"/>
  <c r="Z378" i="1"/>
  <c r="Z377" i="1"/>
  <c r="Z376" i="1"/>
  <c r="Z375" i="1"/>
  <c r="Z374" i="1"/>
  <c r="Z373" i="1"/>
  <c r="Z372" i="1"/>
  <c r="Z371" i="1"/>
  <c r="Z370" i="1"/>
  <c r="Z369" i="1"/>
  <c r="Z368" i="1"/>
  <c r="Z367" i="1"/>
  <c r="Z366" i="1"/>
  <c r="Z365" i="1"/>
  <c r="Z364" i="1"/>
  <c r="Z363" i="1"/>
  <c r="Z362" i="1"/>
  <c r="Z361" i="1"/>
  <c r="Z360" i="1"/>
  <c r="Z359" i="1"/>
  <c r="Z358" i="1"/>
  <c r="Z357" i="1"/>
  <c r="Z356" i="1"/>
  <c r="Z355" i="1"/>
  <c r="Z354" i="1"/>
  <c r="Z353" i="1"/>
  <c r="Z352" i="1"/>
  <c r="Z351" i="1"/>
  <c r="Z350" i="1"/>
  <c r="Z349" i="1"/>
  <c r="Z348" i="1"/>
  <c r="Z347" i="1"/>
  <c r="Z346" i="1"/>
  <c r="Z345" i="1"/>
  <c r="Z344" i="1"/>
  <c r="Z343" i="1"/>
  <c r="Z342" i="1"/>
  <c r="Z341" i="1"/>
  <c r="Z340" i="1"/>
  <c r="Z339" i="1"/>
  <c r="Z338" i="1"/>
  <c r="Z337" i="1"/>
  <c r="Z336" i="1"/>
  <c r="Z335" i="1"/>
  <c r="Z334" i="1"/>
  <c r="Z333" i="1"/>
  <c r="Z332" i="1"/>
  <c r="Z331" i="1"/>
  <c r="Z330" i="1"/>
  <c r="Z329" i="1"/>
  <c r="Z328" i="1"/>
  <c r="Z327" i="1"/>
  <c r="Z326" i="1"/>
  <c r="Z325" i="1"/>
  <c r="Z324" i="1"/>
  <c r="Z323" i="1"/>
  <c r="Z322" i="1"/>
  <c r="Z321" i="1"/>
  <c r="Z320" i="1"/>
  <c r="Z319" i="1"/>
  <c r="Z318" i="1"/>
  <c r="Z317" i="1"/>
  <c r="Z316" i="1"/>
  <c r="Z315" i="1"/>
  <c r="Z314" i="1"/>
  <c r="Z313" i="1"/>
  <c r="Z312" i="1"/>
  <c r="Z311" i="1"/>
  <c r="Z310" i="1"/>
  <c r="Z309" i="1"/>
  <c r="Z308" i="1"/>
  <c r="Z307" i="1"/>
  <c r="Z306" i="1"/>
  <c r="Z305" i="1"/>
  <c r="Z304" i="1"/>
  <c r="Z303" i="1"/>
  <c r="Z302" i="1"/>
  <c r="Z301" i="1"/>
  <c r="Z300" i="1"/>
  <c r="Z299" i="1"/>
  <c r="Z298" i="1"/>
  <c r="Z297" i="1"/>
  <c r="Z296" i="1"/>
  <c r="Z295" i="1"/>
  <c r="Z294" i="1"/>
  <c r="Z293" i="1"/>
  <c r="Z292" i="1"/>
  <c r="Z291" i="1"/>
  <c r="Z290" i="1"/>
  <c r="Z289" i="1"/>
  <c r="Z288" i="1"/>
  <c r="Z287" i="1"/>
  <c r="Z286" i="1"/>
  <c r="Z285" i="1"/>
  <c r="Z284" i="1"/>
  <c r="Z283" i="1"/>
  <c r="Z282" i="1"/>
  <c r="Z281" i="1"/>
  <c r="Z280" i="1"/>
  <c r="Z279" i="1"/>
  <c r="Z278" i="1"/>
  <c r="Z277" i="1"/>
  <c r="Z276" i="1"/>
  <c r="Z275" i="1"/>
  <c r="Z274" i="1"/>
  <c r="Z273" i="1"/>
  <c r="Z272" i="1"/>
  <c r="Z271" i="1"/>
  <c r="Z270" i="1"/>
  <c r="Z269" i="1"/>
  <c r="Z268" i="1"/>
  <c r="Z267" i="1"/>
  <c r="Z266" i="1"/>
  <c r="Z265" i="1"/>
  <c r="Z264" i="1"/>
  <c r="Z263" i="1"/>
  <c r="Z262" i="1"/>
  <c r="Z261" i="1"/>
  <c r="Z260" i="1"/>
  <c r="Z259" i="1"/>
  <c r="Z258" i="1"/>
  <c r="Z257" i="1"/>
  <c r="Z256" i="1"/>
  <c r="Z255" i="1"/>
  <c r="Z254" i="1"/>
  <c r="Z253" i="1"/>
  <c r="Z252" i="1"/>
  <c r="Z251" i="1"/>
  <c r="Z250" i="1"/>
  <c r="Z249" i="1"/>
  <c r="Z248" i="1"/>
  <c r="Z247" i="1"/>
  <c r="Z246" i="1"/>
  <c r="Z245" i="1"/>
  <c r="Z244" i="1"/>
  <c r="Z243" i="1"/>
  <c r="Z242" i="1"/>
  <c r="Z241" i="1"/>
  <c r="Z240" i="1"/>
  <c r="Z239" i="1"/>
  <c r="Z238" i="1"/>
  <c r="Z237" i="1"/>
  <c r="Z236" i="1"/>
  <c r="Z235" i="1"/>
  <c r="Z234" i="1"/>
  <c r="Z233" i="1"/>
  <c r="Z232" i="1"/>
  <c r="Z231" i="1"/>
  <c r="Z230" i="1"/>
  <c r="Z229" i="1"/>
  <c r="Z228" i="1"/>
  <c r="Z227" i="1"/>
  <c r="Z226" i="1"/>
  <c r="Z225" i="1"/>
  <c r="Z224" i="1"/>
  <c r="Z223" i="1"/>
  <c r="Z222" i="1"/>
  <c r="Z221" i="1"/>
  <c r="Z220" i="1"/>
  <c r="Z219" i="1"/>
  <c r="Z218" i="1"/>
  <c r="Z217" i="1"/>
  <c r="Z216" i="1"/>
  <c r="Z215" i="1"/>
  <c r="Z214" i="1"/>
  <c r="Z213" i="1"/>
  <c r="Z212" i="1"/>
  <c r="Z211" i="1"/>
  <c r="Z210" i="1"/>
  <c r="Z209" i="1"/>
  <c r="Z208" i="1"/>
  <c r="Z207" i="1"/>
  <c r="Z206" i="1"/>
  <c r="Z205" i="1"/>
  <c r="Z204" i="1"/>
  <c r="Z203" i="1"/>
  <c r="Z202" i="1"/>
  <c r="Z201" i="1"/>
  <c r="Z200" i="1"/>
  <c r="Z199" i="1"/>
  <c r="Z198" i="1"/>
  <c r="Z197" i="1"/>
  <c r="Z196" i="1"/>
  <c r="Z195" i="1"/>
  <c r="Z194" i="1"/>
  <c r="Z193" i="1"/>
  <c r="Z192" i="1"/>
  <c r="Z191" i="1"/>
  <c r="Z190" i="1"/>
  <c r="Z189" i="1"/>
  <c r="Z188" i="1"/>
  <c r="Z187" i="1"/>
  <c r="Z186" i="1"/>
  <c r="Z185" i="1"/>
  <c r="Z184" i="1"/>
  <c r="Z183" i="1"/>
  <c r="Z182" i="1"/>
  <c r="Z181" i="1"/>
  <c r="Z180" i="1"/>
  <c r="Z179" i="1"/>
  <c r="Z178" i="1"/>
  <c r="Z177" i="1"/>
  <c r="Z176" i="1"/>
  <c r="Z175" i="1"/>
  <c r="Z174" i="1"/>
  <c r="Z173" i="1"/>
  <c r="Z172" i="1"/>
  <c r="Z171" i="1"/>
  <c r="Z170" i="1"/>
  <c r="Z169" i="1"/>
  <c r="Z168" i="1"/>
  <c r="Z167" i="1"/>
  <c r="Z166" i="1"/>
  <c r="Z165" i="1"/>
  <c r="Z164" i="1"/>
  <c r="Z163" i="1"/>
  <c r="Z162" i="1"/>
  <c r="Z161" i="1"/>
  <c r="Z160" i="1"/>
  <c r="Z159" i="1"/>
  <c r="Z158" i="1"/>
  <c r="Z157" i="1"/>
  <c r="Z156" i="1"/>
  <c r="Z155" i="1"/>
  <c r="Z154" i="1"/>
  <c r="Z153" i="1"/>
  <c r="Z152" i="1"/>
  <c r="Z151" i="1"/>
  <c r="Z150" i="1"/>
  <c r="Z149" i="1"/>
  <c r="Z148" i="1"/>
  <c r="Z147" i="1"/>
  <c r="Z146" i="1"/>
  <c r="Z145" i="1"/>
  <c r="Z144" i="1"/>
  <c r="Z143" i="1"/>
  <c r="Z142" i="1"/>
  <c r="Z141" i="1"/>
  <c r="Z140" i="1"/>
  <c r="Z139" i="1"/>
  <c r="Z138" i="1"/>
  <c r="Z137" i="1"/>
  <c r="Z136" i="1"/>
  <c r="Z135" i="1"/>
  <c r="Z134" i="1"/>
  <c r="Z133" i="1"/>
  <c r="Z132" i="1"/>
  <c r="Z131" i="1"/>
  <c r="Z130" i="1"/>
  <c r="Z129" i="1"/>
  <c r="Z128" i="1"/>
  <c r="Z127" i="1"/>
  <c r="Z126" i="1"/>
  <c r="Z125" i="1"/>
  <c r="Z124" i="1"/>
  <c r="Z123" i="1"/>
  <c r="Z122" i="1"/>
  <c r="Z121" i="1"/>
  <c r="Z120" i="1"/>
  <c r="Z119" i="1"/>
  <c r="Z118" i="1"/>
  <c r="Z117" i="1"/>
  <c r="Z116" i="1"/>
  <c r="Z115" i="1"/>
  <c r="Z114" i="1"/>
  <c r="Z113" i="1"/>
  <c r="Z112" i="1"/>
  <c r="Z111" i="1"/>
  <c r="Z110" i="1"/>
  <c r="Z109" i="1"/>
  <c r="Z108" i="1"/>
  <c r="Z107" i="1"/>
  <c r="Z106" i="1"/>
  <c r="Z105" i="1"/>
  <c r="Z104" i="1"/>
  <c r="Z103" i="1"/>
  <c r="Z102" i="1"/>
  <c r="Z101" i="1"/>
  <c r="Z100" i="1"/>
  <c r="Z99" i="1"/>
  <c r="Z98" i="1"/>
  <c r="Z97" i="1"/>
  <c r="Z96" i="1"/>
  <c r="Z95" i="1"/>
  <c r="Z94" i="1"/>
  <c r="Z93" i="1"/>
  <c r="Z92" i="1"/>
  <c r="Z91" i="1"/>
  <c r="Z90" i="1"/>
  <c r="Z89" i="1"/>
  <c r="Z88" i="1"/>
  <c r="Z87" i="1"/>
  <c r="Z86" i="1"/>
  <c r="Z85" i="1"/>
  <c r="Z84" i="1"/>
  <c r="Z83" i="1"/>
  <c r="Z82" i="1"/>
  <c r="Z81" i="1"/>
  <c r="Z80" i="1"/>
  <c r="Z79" i="1"/>
  <c r="Z78" i="1"/>
  <c r="Z77" i="1"/>
  <c r="Z76" i="1"/>
  <c r="Z75" i="1"/>
  <c r="Z74" i="1"/>
  <c r="Z73" i="1"/>
  <c r="Z72" i="1"/>
  <c r="Z71" i="1"/>
  <c r="Z70" i="1"/>
  <c r="Z69" i="1"/>
  <c r="Z68" i="1"/>
  <c r="Z67" i="1"/>
  <c r="Z66" i="1"/>
  <c r="Z65" i="1"/>
  <c r="Z64" i="1"/>
  <c r="Z63" i="1"/>
  <c r="Z62" i="1"/>
  <c r="Z61" i="1"/>
  <c r="Z60" i="1"/>
  <c r="Z59" i="1"/>
  <c r="Z58" i="1"/>
  <c r="Z57" i="1"/>
  <c r="Z56" i="1"/>
  <c r="Z55" i="1"/>
  <c r="Z54" i="1"/>
  <c r="Z53" i="1"/>
  <c r="Z52" i="1"/>
  <c r="Z51" i="1"/>
  <c r="Z50" i="1"/>
  <c r="Z49" i="1"/>
  <c r="Z48" i="1"/>
  <c r="Z47" i="1"/>
  <c r="Z46" i="1"/>
  <c r="Z45" i="1"/>
  <c r="Z44" i="1"/>
  <c r="Z43" i="1"/>
  <c r="Z42" i="1"/>
  <c r="Z41" i="1"/>
  <c r="Z40" i="1"/>
  <c r="Z39" i="1"/>
  <c r="Z38" i="1"/>
  <c r="Z37" i="1"/>
  <c r="Z36" i="1"/>
  <c r="Z35" i="1"/>
  <c r="Z34" i="1"/>
  <c r="Z33" i="1"/>
  <c r="Z32" i="1"/>
  <c r="Z31" i="1"/>
  <c r="Z30" i="1"/>
  <c r="Z29" i="1"/>
  <c r="Z28" i="1"/>
  <c r="Z27" i="1"/>
  <c r="Z26" i="1"/>
  <c r="Z25" i="1"/>
  <c r="Z24" i="1"/>
  <c r="Z23" i="1"/>
  <c r="Z22" i="1"/>
  <c r="Z21" i="1"/>
  <c r="Z20" i="1"/>
  <c r="Z19" i="1"/>
  <c r="Z18" i="1"/>
  <c r="Z17" i="1"/>
  <c r="Z16" i="1"/>
  <c r="Z15" i="1"/>
  <c r="Z14" i="1"/>
  <c r="Z13" i="1"/>
  <c r="Z12" i="1"/>
  <c r="Z11" i="1"/>
  <c r="Z10" i="1"/>
  <c r="Z9" i="1"/>
  <c r="X507" i="1"/>
  <c r="X506" i="1"/>
  <c r="X505" i="1"/>
  <c r="X504" i="1"/>
  <c r="X503" i="1"/>
  <c r="X502" i="1"/>
  <c r="X501" i="1"/>
  <c r="X500" i="1"/>
  <c r="X499" i="1"/>
  <c r="X498" i="1"/>
  <c r="X497" i="1"/>
  <c r="X496" i="1"/>
  <c r="X495" i="1"/>
  <c r="X494" i="1"/>
  <c r="X493" i="1"/>
  <c r="X492" i="1"/>
  <c r="X491" i="1"/>
  <c r="X490" i="1"/>
  <c r="X489" i="1"/>
  <c r="X488" i="1"/>
  <c r="X487" i="1"/>
  <c r="X486" i="1"/>
  <c r="X485" i="1"/>
  <c r="X484" i="1"/>
  <c r="X483" i="1"/>
  <c r="X482" i="1"/>
  <c r="X481" i="1"/>
  <c r="X480" i="1"/>
  <c r="X479" i="1"/>
  <c r="X478" i="1"/>
  <c r="X477" i="1"/>
  <c r="X476" i="1"/>
  <c r="X475" i="1"/>
  <c r="X474" i="1"/>
  <c r="X473" i="1"/>
  <c r="X472" i="1"/>
  <c r="X471" i="1"/>
  <c r="X470" i="1"/>
  <c r="X469" i="1"/>
  <c r="X468" i="1"/>
  <c r="X467" i="1"/>
  <c r="X466" i="1"/>
  <c r="X465" i="1"/>
  <c r="X464" i="1"/>
  <c r="X463" i="1"/>
  <c r="X462" i="1"/>
  <c r="X461" i="1"/>
  <c r="X460" i="1"/>
  <c r="X459" i="1"/>
  <c r="X458" i="1"/>
  <c r="X457" i="1"/>
  <c r="X456" i="1"/>
  <c r="X455" i="1"/>
  <c r="X454" i="1"/>
  <c r="X453" i="1"/>
  <c r="X452" i="1"/>
  <c r="X451" i="1"/>
  <c r="X450" i="1"/>
  <c r="X449" i="1"/>
  <c r="X448" i="1"/>
  <c r="X447" i="1"/>
  <c r="X446" i="1"/>
  <c r="X445" i="1"/>
  <c r="X444" i="1"/>
  <c r="X443" i="1"/>
  <c r="X442" i="1"/>
  <c r="X441" i="1"/>
  <c r="X440" i="1"/>
  <c r="X439" i="1"/>
  <c r="X438" i="1"/>
  <c r="X437" i="1"/>
  <c r="X436" i="1"/>
  <c r="X435" i="1"/>
  <c r="X434" i="1"/>
  <c r="X433" i="1"/>
  <c r="X432" i="1"/>
  <c r="X431" i="1"/>
  <c r="X430" i="1"/>
  <c r="X429" i="1"/>
  <c r="X428" i="1"/>
  <c r="X427" i="1"/>
  <c r="X426" i="1"/>
  <c r="X425" i="1"/>
  <c r="X424" i="1"/>
  <c r="X423" i="1"/>
  <c r="X422" i="1"/>
  <c r="X421" i="1"/>
  <c r="X420" i="1"/>
  <c r="X419" i="1"/>
  <c r="X418" i="1"/>
  <c r="X417" i="1"/>
  <c r="X416" i="1"/>
  <c r="X415" i="1"/>
  <c r="X414" i="1"/>
  <c r="X413" i="1"/>
  <c r="X412" i="1"/>
  <c r="X411" i="1"/>
  <c r="X410" i="1"/>
  <c r="X409" i="1"/>
  <c r="X408" i="1"/>
  <c r="X407" i="1"/>
  <c r="X406" i="1"/>
  <c r="X405" i="1"/>
  <c r="X404" i="1"/>
  <c r="X403" i="1"/>
  <c r="X402" i="1"/>
  <c r="X401" i="1"/>
  <c r="X400" i="1"/>
  <c r="X399" i="1"/>
  <c r="X398" i="1"/>
  <c r="X397" i="1"/>
  <c r="X396" i="1"/>
  <c r="X395" i="1"/>
  <c r="X394" i="1"/>
  <c r="X393" i="1"/>
  <c r="X392" i="1"/>
  <c r="X391" i="1"/>
  <c r="X390" i="1"/>
  <c r="X389" i="1"/>
  <c r="X388" i="1"/>
  <c r="X387" i="1"/>
  <c r="X386" i="1"/>
  <c r="X385" i="1"/>
  <c r="X384" i="1"/>
  <c r="X383" i="1"/>
  <c r="X382" i="1"/>
  <c r="X381" i="1"/>
  <c r="X380" i="1"/>
  <c r="X379" i="1"/>
  <c r="X378" i="1"/>
  <c r="X377" i="1"/>
  <c r="X376" i="1"/>
  <c r="X375" i="1"/>
  <c r="X374" i="1"/>
  <c r="X373" i="1"/>
  <c r="X372" i="1"/>
  <c r="X371" i="1"/>
  <c r="X370" i="1"/>
  <c r="X369" i="1"/>
  <c r="X368" i="1"/>
  <c r="X367" i="1"/>
  <c r="X366" i="1"/>
  <c r="X365" i="1"/>
  <c r="X364" i="1"/>
  <c r="X363" i="1"/>
  <c r="X362" i="1"/>
  <c r="X361" i="1"/>
  <c r="X360" i="1"/>
  <c r="X359" i="1"/>
  <c r="X358" i="1"/>
  <c r="X357" i="1"/>
  <c r="X356" i="1"/>
  <c r="X355" i="1"/>
  <c r="X354" i="1"/>
  <c r="X353" i="1"/>
  <c r="X352" i="1"/>
  <c r="X351" i="1"/>
  <c r="X350" i="1"/>
  <c r="X349" i="1"/>
  <c r="X348" i="1"/>
  <c r="X347" i="1"/>
  <c r="X346" i="1"/>
  <c r="X345" i="1"/>
  <c r="X344" i="1"/>
  <c r="X343" i="1"/>
  <c r="X342" i="1"/>
  <c r="X341" i="1"/>
  <c r="X340" i="1"/>
  <c r="X339" i="1"/>
  <c r="X338" i="1"/>
  <c r="X337" i="1"/>
  <c r="X336" i="1"/>
  <c r="X335" i="1"/>
  <c r="X334" i="1"/>
  <c r="X333" i="1"/>
  <c r="X332" i="1"/>
  <c r="X331" i="1"/>
  <c r="X330" i="1"/>
  <c r="X329" i="1"/>
  <c r="X328" i="1"/>
  <c r="X327" i="1"/>
  <c r="X326" i="1"/>
  <c r="X325" i="1"/>
  <c r="X324" i="1"/>
  <c r="X323" i="1"/>
  <c r="X322" i="1"/>
  <c r="X321" i="1"/>
  <c r="X320" i="1"/>
  <c r="X319" i="1"/>
  <c r="X318" i="1"/>
  <c r="X317" i="1"/>
  <c r="X316" i="1"/>
  <c r="X315" i="1"/>
  <c r="X314" i="1"/>
  <c r="X313" i="1"/>
  <c r="X312" i="1"/>
  <c r="X311" i="1"/>
  <c r="X310" i="1"/>
  <c r="X309" i="1"/>
  <c r="X308" i="1"/>
  <c r="X307" i="1"/>
  <c r="X306" i="1"/>
  <c r="X305" i="1"/>
  <c r="X304" i="1"/>
  <c r="X303" i="1"/>
  <c r="X302" i="1"/>
  <c r="X301" i="1"/>
  <c r="X300" i="1"/>
  <c r="X299" i="1"/>
  <c r="X298" i="1"/>
  <c r="X297" i="1"/>
  <c r="X296" i="1"/>
  <c r="X295" i="1"/>
  <c r="X294" i="1"/>
  <c r="X293" i="1"/>
  <c r="X292" i="1"/>
  <c r="X291" i="1"/>
  <c r="X290" i="1"/>
  <c r="X289" i="1"/>
  <c r="X288" i="1"/>
  <c r="X287" i="1"/>
  <c r="X286" i="1"/>
  <c r="X285" i="1"/>
  <c r="X284" i="1"/>
  <c r="X283" i="1"/>
  <c r="X282" i="1"/>
  <c r="X281" i="1"/>
  <c r="X280" i="1"/>
  <c r="X279" i="1"/>
  <c r="X278" i="1"/>
  <c r="X277" i="1"/>
  <c r="X276" i="1"/>
  <c r="X275" i="1"/>
  <c r="X274" i="1"/>
  <c r="X273" i="1"/>
  <c r="X272" i="1"/>
  <c r="X271" i="1"/>
  <c r="X270" i="1"/>
  <c r="X269" i="1"/>
  <c r="X268" i="1"/>
  <c r="X267" i="1"/>
  <c r="X266" i="1"/>
  <c r="X265" i="1"/>
  <c r="X264" i="1"/>
  <c r="X263" i="1"/>
  <c r="X262" i="1"/>
  <c r="X261" i="1"/>
  <c r="X260" i="1"/>
  <c r="X259" i="1"/>
  <c r="X258" i="1"/>
  <c r="X257" i="1"/>
  <c r="X256" i="1"/>
  <c r="X255" i="1"/>
  <c r="X254" i="1"/>
  <c r="X253" i="1"/>
  <c r="X252" i="1"/>
  <c r="X251" i="1"/>
  <c r="X250" i="1"/>
  <c r="X249" i="1"/>
  <c r="X248" i="1"/>
  <c r="X247" i="1"/>
  <c r="X246" i="1"/>
  <c r="X245" i="1"/>
  <c r="X244" i="1"/>
  <c r="X243" i="1"/>
  <c r="X242" i="1"/>
  <c r="X241" i="1"/>
  <c r="X240" i="1"/>
  <c r="X239" i="1"/>
  <c r="X238" i="1"/>
  <c r="X237" i="1"/>
  <c r="X236" i="1"/>
  <c r="X235" i="1"/>
  <c r="X234" i="1"/>
  <c r="X233" i="1"/>
  <c r="X232" i="1"/>
  <c r="X231" i="1"/>
  <c r="X230" i="1"/>
  <c r="X229" i="1"/>
  <c r="X228" i="1"/>
  <c r="X227" i="1"/>
  <c r="X226" i="1"/>
  <c r="X225" i="1"/>
  <c r="X224" i="1"/>
  <c r="X223" i="1"/>
  <c r="X222" i="1"/>
  <c r="X221" i="1"/>
  <c r="X220" i="1"/>
  <c r="X219" i="1"/>
  <c r="X218" i="1"/>
  <c r="X217" i="1"/>
  <c r="X216" i="1"/>
  <c r="X215" i="1"/>
  <c r="X214" i="1"/>
  <c r="X213" i="1"/>
  <c r="X212" i="1"/>
  <c r="X211" i="1"/>
  <c r="X210" i="1"/>
  <c r="X209" i="1"/>
  <c r="X208" i="1"/>
  <c r="X207" i="1"/>
  <c r="X206" i="1"/>
  <c r="X205" i="1"/>
  <c r="X204" i="1"/>
  <c r="X203" i="1"/>
  <c r="X202" i="1"/>
  <c r="X201" i="1"/>
  <c r="X200" i="1"/>
  <c r="X199" i="1"/>
  <c r="X198" i="1"/>
  <c r="X197" i="1"/>
  <c r="X196" i="1"/>
  <c r="X195" i="1"/>
  <c r="X194" i="1"/>
  <c r="X193" i="1"/>
  <c r="X192" i="1"/>
  <c r="X191" i="1"/>
  <c r="X190" i="1"/>
  <c r="X189" i="1"/>
  <c r="X188" i="1"/>
  <c r="X187" i="1"/>
  <c r="X186" i="1"/>
  <c r="X185" i="1"/>
  <c r="X184" i="1"/>
  <c r="X183" i="1"/>
  <c r="X182" i="1"/>
  <c r="X181" i="1"/>
  <c r="X180" i="1"/>
  <c r="X179" i="1"/>
  <c r="X178" i="1"/>
  <c r="X177" i="1"/>
  <c r="X176" i="1"/>
  <c r="X175" i="1"/>
  <c r="X174" i="1"/>
  <c r="X173" i="1"/>
  <c r="X172" i="1"/>
  <c r="X171" i="1"/>
  <c r="X170" i="1"/>
  <c r="X169" i="1"/>
  <c r="X168" i="1"/>
  <c r="X167" i="1"/>
  <c r="X166" i="1"/>
  <c r="X165" i="1"/>
  <c r="X164" i="1"/>
  <c r="X163" i="1"/>
  <c r="X162" i="1"/>
  <c r="X161" i="1"/>
  <c r="X160" i="1"/>
  <c r="X159" i="1"/>
  <c r="X158" i="1"/>
  <c r="X157" i="1"/>
  <c r="X156" i="1"/>
  <c r="X155" i="1"/>
  <c r="X154" i="1"/>
  <c r="X153" i="1"/>
  <c r="X152" i="1"/>
  <c r="X151" i="1"/>
  <c r="X150" i="1"/>
  <c r="X149" i="1"/>
  <c r="X148" i="1"/>
  <c r="X147" i="1"/>
  <c r="X146" i="1"/>
  <c r="X145" i="1"/>
  <c r="X144" i="1"/>
  <c r="X143" i="1"/>
  <c r="X142" i="1"/>
  <c r="X141" i="1"/>
  <c r="X140" i="1"/>
  <c r="X139" i="1"/>
  <c r="X138" i="1"/>
  <c r="X137" i="1"/>
  <c r="X136" i="1"/>
  <c r="X135" i="1"/>
  <c r="X134" i="1"/>
  <c r="X133" i="1"/>
  <c r="X132" i="1"/>
  <c r="X131" i="1"/>
  <c r="X130" i="1"/>
  <c r="X129" i="1"/>
  <c r="X128" i="1"/>
  <c r="X127" i="1"/>
  <c r="X126" i="1"/>
  <c r="X125" i="1"/>
  <c r="X124" i="1"/>
  <c r="X123" i="1"/>
  <c r="X122" i="1"/>
  <c r="X121" i="1"/>
  <c r="X120" i="1"/>
  <c r="X119" i="1"/>
  <c r="X118" i="1"/>
  <c r="X117" i="1"/>
  <c r="X116" i="1"/>
  <c r="X115" i="1"/>
  <c r="X114" i="1"/>
  <c r="X113" i="1"/>
  <c r="X112" i="1"/>
  <c r="X111" i="1"/>
  <c r="X110" i="1"/>
  <c r="X109" i="1"/>
  <c r="X108" i="1"/>
  <c r="X107" i="1"/>
  <c r="X106" i="1"/>
  <c r="X105" i="1"/>
  <c r="X104" i="1"/>
  <c r="X103" i="1"/>
  <c r="X102" i="1"/>
  <c r="X101" i="1"/>
  <c r="X100" i="1"/>
  <c r="X99" i="1"/>
  <c r="X98" i="1"/>
  <c r="X97" i="1"/>
  <c r="X96" i="1"/>
  <c r="X95" i="1"/>
  <c r="X94" i="1"/>
  <c r="X93" i="1"/>
  <c r="X92" i="1"/>
  <c r="X91" i="1"/>
  <c r="X90" i="1"/>
  <c r="X89" i="1"/>
  <c r="X88" i="1"/>
  <c r="X87" i="1"/>
  <c r="X86" i="1"/>
  <c r="X85" i="1"/>
  <c r="X84" i="1"/>
  <c r="X83" i="1"/>
  <c r="X82" i="1"/>
  <c r="X81" i="1"/>
  <c r="X80" i="1"/>
  <c r="X79" i="1"/>
  <c r="X78" i="1"/>
  <c r="X77" i="1"/>
  <c r="X76" i="1"/>
  <c r="X75" i="1"/>
  <c r="X74" i="1"/>
  <c r="X73" i="1"/>
  <c r="X72" i="1"/>
  <c r="X71" i="1"/>
  <c r="X70" i="1"/>
  <c r="X69" i="1"/>
  <c r="X68" i="1"/>
  <c r="X67" i="1"/>
  <c r="X66" i="1"/>
  <c r="X65" i="1"/>
  <c r="X64" i="1"/>
  <c r="X63" i="1"/>
  <c r="X62" i="1"/>
  <c r="X61" i="1"/>
  <c r="X60" i="1"/>
  <c r="X59" i="1"/>
  <c r="X58" i="1"/>
  <c r="X57" i="1"/>
  <c r="X56" i="1"/>
  <c r="X55" i="1"/>
  <c r="X54" i="1"/>
  <c r="X53" i="1"/>
  <c r="X52" i="1"/>
  <c r="X51" i="1"/>
  <c r="X50" i="1"/>
  <c r="X49" i="1"/>
  <c r="X48" i="1"/>
  <c r="X47" i="1"/>
  <c r="X46" i="1"/>
  <c r="X45" i="1"/>
  <c r="X44" i="1"/>
  <c r="X43" i="1"/>
  <c r="X42" i="1"/>
  <c r="X41" i="1"/>
  <c r="X40" i="1"/>
  <c r="X39" i="1"/>
  <c r="X38" i="1"/>
  <c r="X37" i="1"/>
  <c r="X36" i="1"/>
  <c r="X35" i="1"/>
  <c r="X34" i="1"/>
  <c r="X33" i="1"/>
  <c r="X32" i="1"/>
  <c r="X31" i="1"/>
  <c r="X30" i="1"/>
  <c r="X29" i="1"/>
  <c r="X28" i="1"/>
  <c r="X27" i="1"/>
  <c r="X26" i="1"/>
  <c r="X25" i="1"/>
  <c r="X24" i="1"/>
  <c r="X23" i="1"/>
  <c r="X22" i="1"/>
  <c r="X21" i="1"/>
  <c r="X20" i="1"/>
  <c r="X19" i="1"/>
  <c r="X18" i="1"/>
  <c r="X17" i="1"/>
  <c r="X16" i="1"/>
  <c r="X15" i="1"/>
  <c r="X14" i="1"/>
  <c r="X13" i="1"/>
  <c r="X12" i="1"/>
  <c r="X11" i="1"/>
  <c r="X10" i="1"/>
  <c r="X9" i="1"/>
  <c r="U507" i="1" a="1"/>
  <c r="U506" i="1" a="1"/>
  <c r="U505" i="1" a="1"/>
  <c r="U504" i="1" a="1"/>
  <c r="U503" i="1" a="1"/>
  <c r="U502" i="1" a="1"/>
  <c r="U501" i="1" a="1"/>
  <c r="U500" i="1" a="1"/>
  <c r="U499" i="1" a="1"/>
  <c r="U498" i="1" a="1"/>
  <c r="U497" i="1" a="1"/>
  <c r="U496" i="1" a="1"/>
  <c r="U495" i="1" a="1"/>
  <c r="U494" i="1" a="1"/>
  <c r="U493" i="1" a="1"/>
  <c r="U492" i="1" a="1"/>
  <c r="U491" i="1" a="1"/>
  <c r="U490" i="1" a="1"/>
  <c r="U489" i="1" a="1"/>
  <c r="U488" i="1" a="1"/>
  <c r="U487" i="1" a="1"/>
  <c r="U486" i="1" a="1"/>
  <c r="U485" i="1" a="1"/>
  <c r="U484" i="1" a="1"/>
  <c r="U483" i="1" a="1"/>
  <c r="U482" i="1" a="1"/>
  <c r="U481" i="1" a="1"/>
  <c r="U480" i="1" a="1"/>
  <c r="U479" i="1" a="1"/>
  <c r="U478" i="1" a="1"/>
  <c r="U477" i="1" a="1"/>
  <c r="U476" i="1" a="1"/>
  <c r="U475" i="1" a="1"/>
  <c r="U474" i="1" a="1"/>
  <c r="U473" i="1" a="1"/>
  <c r="U472" i="1" a="1"/>
  <c r="U471" i="1" a="1"/>
  <c r="U470" i="1" a="1"/>
  <c r="U469" i="1" a="1"/>
  <c r="U468" i="1" a="1"/>
  <c r="U467" i="1" a="1"/>
  <c r="U466" i="1" a="1"/>
  <c r="U465" i="1" a="1"/>
  <c r="U464" i="1" a="1"/>
  <c r="U463" i="1" a="1"/>
  <c r="U462" i="1" a="1"/>
  <c r="U461" i="1" a="1"/>
  <c r="U460" i="1" a="1"/>
  <c r="U459" i="1" a="1"/>
  <c r="U458" i="1" a="1"/>
  <c r="U457" i="1" a="1"/>
  <c r="U456" i="1" a="1"/>
  <c r="U455" i="1" a="1"/>
  <c r="U454" i="1" a="1"/>
  <c r="U453" i="1" a="1"/>
  <c r="U452" i="1" a="1"/>
  <c r="U451" i="1" a="1"/>
  <c r="U450" i="1" a="1"/>
  <c r="U449" i="1" a="1"/>
  <c r="U448" i="1" a="1"/>
  <c r="U447" i="1" a="1"/>
  <c r="U446" i="1" a="1"/>
  <c r="U445" i="1" a="1"/>
  <c r="U444" i="1" a="1"/>
  <c r="U443" i="1" a="1"/>
  <c r="U442" i="1" a="1"/>
  <c r="U441" i="1" a="1"/>
  <c r="U440" i="1" a="1"/>
  <c r="U439" i="1" a="1"/>
  <c r="U438" i="1" a="1"/>
  <c r="U437" i="1" a="1"/>
  <c r="U436" i="1" a="1"/>
  <c r="U435" i="1" a="1"/>
  <c r="U434" i="1" a="1"/>
  <c r="U433" i="1" a="1"/>
  <c r="U432" i="1" a="1"/>
  <c r="U431" i="1" a="1"/>
  <c r="U430" i="1" a="1"/>
  <c r="U429" i="1" a="1"/>
  <c r="U428" i="1" a="1"/>
  <c r="U427" i="1" a="1"/>
  <c r="U426" i="1" a="1"/>
  <c r="U425" i="1" a="1"/>
  <c r="U424" i="1" a="1"/>
  <c r="U423" i="1" a="1"/>
  <c r="U422" i="1" a="1"/>
  <c r="U421" i="1" a="1"/>
  <c r="U420" i="1" a="1"/>
  <c r="U419" i="1" a="1"/>
  <c r="U418" i="1" a="1"/>
  <c r="U417" i="1" a="1"/>
  <c r="U416" i="1" a="1"/>
  <c r="U415" i="1" a="1"/>
  <c r="U414" i="1" a="1"/>
  <c r="U413" i="1" a="1"/>
  <c r="U412" i="1" a="1"/>
  <c r="U411" i="1" a="1"/>
  <c r="U410" i="1" a="1"/>
  <c r="U409" i="1" a="1"/>
  <c r="U408" i="1" a="1"/>
  <c r="U407" i="1" a="1"/>
  <c r="U406" i="1" a="1"/>
  <c r="U405" i="1" a="1"/>
  <c r="U404" i="1" a="1"/>
  <c r="U403" i="1" a="1"/>
  <c r="U402" i="1" a="1"/>
  <c r="U401" i="1" a="1"/>
  <c r="U400" i="1" a="1"/>
  <c r="U399" i="1" a="1"/>
  <c r="U398" i="1" a="1"/>
  <c r="U397" i="1" a="1"/>
  <c r="U396" i="1" a="1"/>
  <c r="U395" i="1" a="1"/>
  <c r="U394" i="1" a="1"/>
  <c r="U393" i="1" a="1"/>
  <c r="U392" i="1" a="1"/>
  <c r="U391" i="1" a="1"/>
  <c r="U390" i="1" a="1"/>
  <c r="U389" i="1" a="1"/>
  <c r="U388" i="1" a="1"/>
  <c r="U387" i="1" a="1"/>
  <c r="U386" i="1" a="1"/>
  <c r="U385" i="1" a="1"/>
  <c r="U384" i="1" a="1"/>
  <c r="U383" i="1" a="1"/>
  <c r="U382" i="1" a="1"/>
  <c r="U381" i="1" a="1"/>
  <c r="U380" i="1" a="1"/>
  <c r="U379" i="1" a="1"/>
  <c r="U378" i="1" a="1"/>
  <c r="U377" i="1" a="1"/>
  <c r="U376" i="1" a="1"/>
  <c r="U375" i="1" a="1"/>
  <c r="U374" i="1" a="1"/>
  <c r="U373" i="1" a="1"/>
  <c r="U372" i="1" a="1"/>
  <c r="U371" i="1" a="1"/>
  <c r="U370" i="1" a="1"/>
  <c r="U369" i="1" a="1"/>
  <c r="U368" i="1" a="1"/>
  <c r="U367" i="1" a="1"/>
  <c r="U366" i="1" a="1"/>
  <c r="U365" i="1" a="1"/>
  <c r="U364" i="1" a="1"/>
  <c r="U363" i="1" a="1"/>
  <c r="U362" i="1" a="1"/>
  <c r="U361" i="1" a="1"/>
  <c r="U360" i="1" a="1"/>
  <c r="U359" i="1" a="1"/>
  <c r="U358" i="1" a="1"/>
  <c r="U357" i="1" a="1"/>
  <c r="U356" i="1" a="1"/>
  <c r="U355" i="1" a="1"/>
  <c r="U354" i="1" a="1"/>
  <c r="U353" i="1" a="1"/>
  <c r="U352" i="1" a="1"/>
  <c r="U351" i="1" a="1"/>
  <c r="U350" i="1" a="1"/>
  <c r="U349" i="1" a="1"/>
  <c r="U348" i="1" a="1"/>
  <c r="U347" i="1" a="1"/>
  <c r="U346" i="1" a="1"/>
  <c r="U345" i="1" a="1"/>
  <c r="U344" i="1" a="1"/>
  <c r="U343" i="1" a="1"/>
  <c r="U342" i="1" a="1"/>
  <c r="U341" i="1" a="1"/>
  <c r="U340" i="1" a="1"/>
  <c r="U339" i="1" a="1"/>
  <c r="U338" i="1" a="1"/>
  <c r="U337" i="1" a="1"/>
  <c r="U336" i="1" a="1"/>
  <c r="U335" i="1" a="1"/>
  <c r="U334" i="1" a="1"/>
  <c r="U333" i="1" a="1"/>
  <c r="U332" i="1" a="1"/>
  <c r="U331" i="1" a="1"/>
  <c r="U330" i="1" a="1"/>
  <c r="U329" i="1" a="1"/>
  <c r="U328" i="1" a="1"/>
  <c r="U327" i="1" a="1"/>
  <c r="U326" i="1" a="1"/>
  <c r="U325" i="1" a="1"/>
  <c r="U324" i="1" a="1"/>
  <c r="U323" i="1" a="1"/>
  <c r="U322" i="1" a="1"/>
  <c r="U321" i="1" a="1"/>
  <c r="U320" i="1" a="1"/>
  <c r="U319" i="1" a="1"/>
  <c r="U318" i="1" a="1"/>
  <c r="U317" i="1" a="1"/>
  <c r="U316" i="1" a="1"/>
  <c r="U315" i="1" a="1"/>
  <c r="U314" i="1" a="1"/>
  <c r="U313" i="1" a="1"/>
  <c r="U312" i="1" a="1"/>
  <c r="U311" i="1" a="1"/>
  <c r="U310" i="1" a="1"/>
  <c r="U309" i="1" a="1"/>
  <c r="U308" i="1" a="1"/>
  <c r="U307" i="1" a="1"/>
  <c r="U306" i="1" a="1"/>
  <c r="U305" i="1" a="1"/>
  <c r="U304" i="1" a="1"/>
  <c r="U303" i="1" a="1"/>
  <c r="U302" i="1" a="1"/>
  <c r="U301" i="1" a="1"/>
  <c r="U300" i="1" a="1"/>
  <c r="U299" i="1" a="1"/>
  <c r="U298" i="1" a="1"/>
  <c r="U297" i="1" a="1"/>
  <c r="U296" i="1" a="1"/>
  <c r="U295" i="1" a="1"/>
  <c r="U294" i="1" a="1"/>
  <c r="U293" i="1" a="1"/>
  <c r="U292" i="1" a="1"/>
  <c r="U291" i="1" a="1"/>
  <c r="U290" i="1" a="1"/>
  <c r="U289" i="1" a="1"/>
  <c r="U288" i="1" a="1"/>
  <c r="U287" i="1" a="1"/>
  <c r="U286" i="1" a="1"/>
  <c r="U285" i="1" a="1"/>
  <c r="U284" i="1" a="1"/>
  <c r="U283" i="1" a="1"/>
  <c r="U282" i="1" a="1"/>
  <c r="U281" i="1" a="1"/>
  <c r="U280" i="1" a="1"/>
  <c r="U279" i="1" a="1"/>
  <c r="U278" i="1" a="1"/>
  <c r="U277" i="1" a="1"/>
  <c r="U276" i="1" a="1"/>
  <c r="U275" i="1" a="1"/>
  <c r="U274" i="1" a="1"/>
  <c r="U273" i="1" a="1"/>
  <c r="U272" i="1" a="1"/>
  <c r="U271" i="1" a="1"/>
  <c r="U270" i="1" a="1"/>
  <c r="U269" i="1" a="1"/>
  <c r="U268" i="1" a="1"/>
  <c r="U267" i="1" a="1"/>
  <c r="U266" i="1" a="1"/>
  <c r="U265" i="1" a="1"/>
  <c r="U264" i="1" a="1"/>
  <c r="U263" i="1" a="1"/>
  <c r="U262" i="1" a="1"/>
  <c r="U261" i="1" a="1"/>
  <c r="U260" i="1" a="1"/>
  <c r="U259" i="1" a="1"/>
  <c r="U258" i="1" a="1"/>
  <c r="U257" i="1" a="1"/>
  <c r="U256" i="1" a="1"/>
  <c r="U255" i="1" a="1"/>
  <c r="U254" i="1" a="1"/>
  <c r="U253" i="1" a="1"/>
  <c r="U252" i="1" a="1"/>
  <c r="U251" i="1" a="1"/>
  <c r="U250" i="1" a="1"/>
  <c r="U249" i="1" a="1"/>
  <c r="U248" i="1" a="1"/>
  <c r="U247" i="1" a="1"/>
  <c r="U246" i="1" a="1"/>
  <c r="U245" i="1" a="1"/>
  <c r="U244" i="1" a="1"/>
  <c r="U243" i="1" a="1"/>
  <c r="U242" i="1" a="1"/>
  <c r="U241" i="1" a="1"/>
  <c r="U240" i="1" a="1"/>
  <c r="U239" i="1" a="1"/>
  <c r="U238" i="1" a="1"/>
  <c r="U237" i="1" a="1"/>
  <c r="U236" i="1" a="1"/>
  <c r="U235" i="1" a="1"/>
  <c r="U234" i="1" a="1"/>
  <c r="U233" i="1" a="1"/>
  <c r="U232" i="1" a="1"/>
  <c r="U231" i="1" a="1"/>
  <c r="U230" i="1" a="1"/>
  <c r="U229" i="1" a="1"/>
  <c r="U228" i="1" a="1"/>
  <c r="U227" i="1" a="1"/>
  <c r="U226" i="1" a="1"/>
  <c r="U225" i="1" a="1"/>
  <c r="U224" i="1" a="1"/>
  <c r="U223" i="1" a="1"/>
  <c r="U222" i="1" a="1"/>
  <c r="U221" i="1" a="1"/>
  <c r="U220" i="1" a="1"/>
  <c r="U219" i="1" a="1"/>
  <c r="U218" i="1" a="1"/>
  <c r="U217" i="1" a="1"/>
  <c r="U216" i="1" a="1"/>
  <c r="U215" i="1" a="1"/>
  <c r="U214" i="1" a="1"/>
  <c r="U213" i="1" a="1"/>
  <c r="U212" i="1" a="1"/>
  <c r="U211" i="1" a="1"/>
  <c r="U210" i="1" a="1"/>
  <c r="U209" i="1" a="1"/>
  <c r="U208" i="1" a="1"/>
  <c r="U207" i="1" a="1"/>
  <c r="U206" i="1" a="1"/>
  <c r="U205" i="1" a="1"/>
  <c r="U204" i="1" a="1"/>
  <c r="U203" i="1" a="1"/>
  <c r="U202" i="1" a="1"/>
  <c r="U201" i="1" a="1"/>
  <c r="U200" i="1" a="1"/>
  <c r="U199" i="1" a="1"/>
  <c r="U198" i="1" a="1"/>
  <c r="U197" i="1" a="1"/>
  <c r="U196" i="1" a="1"/>
  <c r="U195" i="1" a="1"/>
  <c r="U194" i="1" a="1"/>
  <c r="U193" i="1" a="1"/>
  <c r="U192" i="1" a="1"/>
  <c r="U191" i="1" a="1"/>
  <c r="U190" i="1" a="1"/>
  <c r="U189" i="1" a="1"/>
  <c r="U188" i="1" a="1"/>
  <c r="U187" i="1" a="1"/>
  <c r="U186" i="1" a="1"/>
  <c r="U185" i="1" a="1"/>
  <c r="U184" i="1" a="1"/>
  <c r="U183" i="1" a="1"/>
  <c r="U182" i="1" a="1"/>
  <c r="U181" i="1" a="1"/>
  <c r="U180" i="1" a="1"/>
  <c r="U179" i="1" a="1"/>
  <c r="U178" i="1" a="1"/>
  <c r="U177" i="1" a="1"/>
  <c r="U176" i="1" a="1"/>
  <c r="U175" i="1" a="1"/>
  <c r="U174" i="1" a="1"/>
  <c r="U173" i="1" a="1"/>
  <c r="U172" i="1" a="1"/>
  <c r="U171" i="1" a="1"/>
  <c r="U170" i="1" a="1"/>
  <c r="U169" i="1" a="1"/>
  <c r="U168" i="1" a="1"/>
  <c r="U167" i="1" a="1"/>
  <c r="U166" i="1" a="1"/>
  <c r="U165" i="1" a="1"/>
  <c r="U164" i="1" a="1"/>
  <c r="U163" i="1" a="1"/>
  <c r="U162" i="1" a="1"/>
  <c r="U161" i="1" a="1"/>
  <c r="U160" i="1" a="1"/>
  <c r="U159" i="1" a="1"/>
  <c r="U158" i="1" a="1"/>
  <c r="U157" i="1" a="1"/>
  <c r="U156" i="1" a="1"/>
  <c r="U155" i="1" a="1"/>
  <c r="U154" i="1" a="1"/>
  <c r="U153" i="1" a="1"/>
  <c r="U152" i="1" a="1"/>
  <c r="U151" i="1" a="1"/>
  <c r="U150" i="1" a="1"/>
  <c r="U149" i="1" a="1"/>
  <c r="U148" i="1" a="1"/>
  <c r="U147" i="1" a="1"/>
  <c r="U146" i="1" a="1"/>
  <c r="U145" i="1" a="1"/>
  <c r="U144" i="1" a="1"/>
  <c r="U143" i="1" a="1"/>
  <c r="U142" i="1" a="1"/>
  <c r="U141" i="1" a="1"/>
  <c r="U140" i="1" a="1"/>
  <c r="U139" i="1" a="1"/>
  <c r="U138" i="1" a="1"/>
  <c r="U137" i="1" a="1"/>
  <c r="U136" i="1" a="1"/>
  <c r="U135" i="1" a="1"/>
  <c r="U134" i="1" a="1"/>
  <c r="U133" i="1" a="1"/>
  <c r="U132" i="1" a="1"/>
  <c r="U131" i="1" a="1"/>
  <c r="U130" i="1" a="1"/>
  <c r="U129" i="1" a="1"/>
  <c r="U128" i="1" a="1"/>
  <c r="U127" i="1" a="1"/>
  <c r="U126" i="1" a="1"/>
  <c r="U125" i="1" a="1"/>
  <c r="U124" i="1" a="1"/>
  <c r="U123" i="1" a="1"/>
  <c r="U122" i="1" a="1"/>
  <c r="U121" i="1" a="1"/>
  <c r="U120" i="1" a="1"/>
  <c r="U119" i="1" a="1"/>
  <c r="U118" i="1" a="1"/>
  <c r="U117" i="1" a="1"/>
  <c r="U116" i="1" a="1"/>
  <c r="U115" i="1" a="1"/>
  <c r="U114" i="1" a="1"/>
  <c r="U113" i="1" a="1"/>
  <c r="U112" i="1" a="1"/>
  <c r="U111" i="1" a="1"/>
  <c r="U110" i="1" a="1"/>
  <c r="U109" i="1" a="1"/>
  <c r="U108" i="1" a="1"/>
  <c r="U107" i="1" a="1"/>
  <c r="U106" i="1" a="1"/>
  <c r="U105" i="1" a="1"/>
  <c r="U104" i="1" a="1"/>
  <c r="U103" i="1" a="1"/>
  <c r="U102" i="1" a="1"/>
  <c r="U101" i="1" a="1"/>
  <c r="U100" i="1" a="1"/>
  <c r="U99" i="1" a="1"/>
  <c r="U98" i="1" a="1"/>
  <c r="U97" i="1" a="1"/>
  <c r="U96" i="1" a="1"/>
  <c r="U95" i="1" a="1"/>
  <c r="U94" i="1" a="1"/>
  <c r="U93" i="1" a="1"/>
  <c r="U92" i="1" a="1"/>
  <c r="U91" i="1" a="1"/>
  <c r="U90" i="1" a="1"/>
  <c r="U89" i="1" a="1"/>
  <c r="U88" i="1" a="1"/>
  <c r="U87" i="1" a="1"/>
  <c r="U86" i="1" a="1"/>
  <c r="U85" i="1" a="1"/>
  <c r="U84" i="1" a="1"/>
  <c r="U83" i="1" a="1"/>
  <c r="U82" i="1" a="1"/>
  <c r="U81" i="1" a="1"/>
  <c r="U80" i="1" a="1"/>
  <c r="U79" i="1" a="1"/>
  <c r="U78" i="1" a="1"/>
  <c r="U77" i="1" a="1"/>
  <c r="U76" i="1" a="1"/>
  <c r="U75" i="1" a="1"/>
  <c r="U74" i="1" a="1"/>
  <c r="U73" i="1" a="1"/>
  <c r="U72" i="1" a="1"/>
  <c r="U71" i="1" a="1"/>
  <c r="U70" i="1" a="1"/>
  <c r="U69" i="1" a="1"/>
  <c r="U68" i="1" a="1"/>
  <c r="U67" i="1" a="1"/>
  <c r="U66" i="1" a="1"/>
  <c r="U65" i="1" a="1"/>
  <c r="U64" i="1" a="1"/>
  <c r="U63" i="1" a="1"/>
  <c r="U62" i="1" a="1"/>
  <c r="U61" i="1" a="1"/>
  <c r="U60" i="1" a="1"/>
  <c r="U59" i="1" a="1"/>
  <c r="U58" i="1" a="1"/>
  <c r="U57" i="1" a="1"/>
  <c r="U56" i="1" a="1"/>
  <c r="U55" i="1" a="1"/>
  <c r="U54" i="1" a="1"/>
  <c r="U53" i="1" a="1"/>
  <c r="U52" i="1" a="1"/>
  <c r="U51" i="1" a="1"/>
  <c r="U50" i="1" a="1"/>
  <c r="U49" i="1" a="1"/>
  <c r="U48" i="1" a="1"/>
  <c r="U47" i="1" a="1"/>
  <c r="U46" i="1" a="1"/>
  <c r="U45" i="1" a="1"/>
  <c r="U44" i="1" a="1"/>
  <c r="U43" i="1" a="1"/>
  <c r="U42" i="1" a="1"/>
  <c r="U41" i="1" a="1"/>
  <c r="U40" i="1" a="1"/>
  <c r="U39" i="1" a="1"/>
  <c r="U38" i="1" a="1"/>
  <c r="U37" i="1" a="1"/>
  <c r="U36" i="1" a="1"/>
  <c r="U35" i="1" a="1"/>
  <c r="U34" i="1" a="1"/>
  <c r="U33" i="1" a="1"/>
  <c r="U32" i="1" a="1"/>
  <c r="U31" i="1" a="1"/>
  <c r="U30" i="1" a="1"/>
  <c r="U29" i="1" a="1"/>
  <c r="U28" i="1" a="1"/>
  <c r="U27" i="1" a="1"/>
  <c r="U26" i="1" a="1"/>
  <c r="U25" i="1" a="1"/>
  <c r="U24" i="1" a="1"/>
  <c r="U23" i="1" a="1"/>
  <c r="U22" i="1" a="1"/>
  <c r="U21" i="1" a="1"/>
  <c r="U20" i="1" a="1"/>
  <c r="U19" i="1" a="1"/>
  <c r="U18" i="1" a="1"/>
  <c r="U17" i="1" a="1"/>
  <c r="U16" i="1" a="1"/>
  <c r="U15" i="1" a="1"/>
  <c r="U14" i="1" a="1"/>
  <c r="U13" i="1" a="1"/>
  <c r="U12" i="1" a="1"/>
  <c r="U11" i="1" a="1"/>
  <c r="U10" i="1" a="1"/>
  <c r="U9" i="1" a="1"/>
  <c r="T507" i="1" a="1"/>
  <c r="T506" i="1" a="1"/>
  <c r="T505" i="1" a="1"/>
  <c r="T504" i="1" a="1"/>
  <c r="T503" i="1" a="1"/>
  <c r="T502" i="1" a="1"/>
  <c r="T501" i="1" a="1"/>
  <c r="T500" i="1" a="1"/>
  <c r="T499" i="1" a="1"/>
  <c r="T498" i="1" a="1"/>
  <c r="T497" i="1" a="1"/>
  <c r="T496" i="1" a="1"/>
  <c r="T495" i="1" a="1"/>
  <c r="T494" i="1" a="1"/>
  <c r="T493" i="1" a="1"/>
  <c r="T492" i="1" a="1"/>
  <c r="T491" i="1" a="1"/>
  <c r="T490" i="1" a="1"/>
  <c r="T489" i="1" a="1"/>
  <c r="T488" i="1" a="1"/>
  <c r="T487" i="1" a="1"/>
  <c r="T486" i="1" a="1"/>
  <c r="T485" i="1" a="1"/>
  <c r="T484" i="1" a="1"/>
  <c r="T483" i="1" a="1"/>
  <c r="T482" i="1" a="1"/>
  <c r="T481" i="1" a="1"/>
  <c r="T480" i="1" a="1"/>
  <c r="T479" i="1" a="1"/>
  <c r="T478" i="1" a="1"/>
  <c r="T477" i="1" a="1"/>
  <c r="T476" i="1" a="1"/>
  <c r="T475" i="1" a="1"/>
  <c r="T474" i="1" a="1"/>
  <c r="T473" i="1" a="1"/>
  <c r="T472" i="1" a="1"/>
  <c r="T471" i="1" a="1"/>
  <c r="T470" i="1" a="1"/>
  <c r="T469" i="1" a="1"/>
  <c r="T468" i="1" a="1"/>
  <c r="T467" i="1" a="1"/>
  <c r="T466" i="1" a="1"/>
  <c r="T465" i="1" a="1"/>
  <c r="T464" i="1" a="1"/>
  <c r="T463" i="1" a="1"/>
  <c r="T462" i="1" a="1"/>
  <c r="T461" i="1" a="1"/>
  <c r="T460" i="1" a="1"/>
  <c r="T459" i="1" a="1"/>
  <c r="T458" i="1" a="1"/>
  <c r="T457" i="1" a="1"/>
  <c r="T456" i="1" a="1"/>
  <c r="T455" i="1" a="1"/>
  <c r="T454" i="1" a="1"/>
  <c r="T453" i="1" a="1"/>
  <c r="T452" i="1" a="1"/>
  <c r="T451" i="1" a="1"/>
  <c r="T450" i="1" a="1"/>
  <c r="T449" i="1" a="1"/>
  <c r="T448" i="1" a="1"/>
  <c r="T447" i="1" a="1"/>
  <c r="T446" i="1" a="1"/>
  <c r="T445" i="1" a="1"/>
  <c r="T444" i="1" a="1"/>
  <c r="T443" i="1" a="1"/>
  <c r="T442" i="1" a="1"/>
  <c r="T441" i="1" a="1"/>
  <c r="T440" i="1" a="1"/>
  <c r="T439" i="1" a="1"/>
  <c r="T438" i="1" a="1"/>
  <c r="T437" i="1" a="1"/>
  <c r="T436" i="1" a="1"/>
  <c r="T435" i="1" a="1"/>
  <c r="T434" i="1" a="1"/>
  <c r="T433" i="1" a="1"/>
  <c r="T432" i="1" a="1"/>
  <c r="T431" i="1" a="1"/>
  <c r="T430" i="1" a="1"/>
  <c r="T429" i="1" a="1"/>
  <c r="T428" i="1" a="1"/>
  <c r="T427" i="1" a="1"/>
  <c r="T426" i="1" a="1"/>
  <c r="T425" i="1" a="1"/>
  <c r="T424" i="1" a="1"/>
  <c r="T423" i="1" a="1"/>
  <c r="T422" i="1" a="1"/>
  <c r="T421" i="1" a="1"/>
  <c r="T420" i="1" a="1"/>
  <c r="T419" i="1" a="1"/>
  <c r="T418" i="1" a="1"/>
  <c r="T417" i="1" a="1"/>
  <c r="T416" i="1" a="1"/>
  <c r="T415" i="1" a="1"/>
  <c r="T414" i="1" a="1"/>
  <c r="T413" i="1" a="1"/>
  <c r="T412" i="1" a="1"/>
  <c r="T411" i="1" a="1"/>
  <c r="T410" i="1" a="1"/>
  <c r="T409" i="1" a="1"/>
  <c r="T408" i="1" a="1"/>
  <c r="T407" i="1" a="1"/>
  <c r="T406" i="1" a="1"/>
  <c r="T405" i="1" a="1"/>
  <c r="T404" i="1" a="1"/>
  <c r="T403" i="1" a="1"/>
  <c r="T402" i="1" a="1"/>
  <c r="T401" i="1" a="1"/>
  <c r="T400" i="1" a="1"/>
  <c r="T399" i="1" a="1"/>
  <c r="T398" i="1" a="1"/>
  <c r="T397" i="1" a="1"/>
  <c r="T396" i="1" a="1"/>
  <c r="T395" i="1" a="1"/>
  <c r="T394" i="1" a="1"/>
  <c r="T393" i="1" a="1"/>
  <c r="T392" i="1" a="1"/>
  <c r="T391" i="1" a="1"/>
  <c r="T390" i="1" a="1"/>
  <c r="T389" i="1" a="1"/>
  <c r="T388" i="1" a="1"/>
  <c r="T387" i="1" a="1"/>
  <c r="T386" i="1" a="1"/>
  <c r="T385" i="1" a="1"/>
  <c r="T384" i="1" a="1"/>
  <c r="T383" i="1" a="1"/>
  <c r="T382" i="1" a="1"/>
  <c r="T381" i="1" a="1"/>
  <c r="T380" i="1" a="1"/>
  <c r="T379" i="1" a="1"/>
  <c r="T378" i="1" a="1"/>
  <c r="T377" i="1" a="1"/>
  <c r="T376" i="1" a="1"/>
  <c r="T375" i="1" a="1"/>
  <c r="T374" i="1" a="1"/>
  <c r="T373" i="1" a="1"/>
  <c r="T372" i="1" a="1"/>
  <c r="T371" i="1" a="1"/>
  <c r="T370" i="1" a="1"/>
  <c r="T369" i="1" a="1"/>
  <c r="T368" i="1" a="1"/>
  <c r="T367" i="1" a="1"/>
  <c r="T366" i="1" a="1"/>
  <c r="T365" i="1" a="1"/>
  <c r="T364" i="1" a="1"/>
  <c r="T363" i="1" a="1"/>
  <c r="T362" i="1" a="1"/>
  <c r="T361" i="1" a="1"/>
  <c r="T360" i="1" a="1"/>
  <c r="T359" i="1" a="1"/>
  <c r="T358" i="1" a="1"/>
  <c r="T357" i="1" a="1"/>
  <c r="T356" i="1" a="1"/>
  <c r="T355" i="1" a="1"/>
  <c r="T354" i="1" a="1"/>
  <c r="T353" i="1" a="1"/>
  <c r="T352" i="1" a="1"/>
  <c r="T351" i="1" a="1"/>
  <c r="T350" i="1" a="1"/>
  <c r="T349" i="1" a="1"/>
  <c r="T348" i="1" a="1"/>
  <c r="T347" i="1" a="1"/>
  <c r="T346" i="1" a="1"/>
  <c r="T345" i="1" a="1"/>
  <c r="T344" i="1" a="1"/>
  <c r="T343" i="1" a="1"/>
  <c r="T342" i="1" a="1"/>
  <c r="T341" i="1" a="1"/>
  <c r="T340" i="1" a="1"/>
  <c r="T339" i="1" a="1"/>
  <c r="T338" i="1" a="1"/>
  <c r="T337" i="1" a="1"/>
  <c r="T336" i="1" a="1"/>
  <c r="T335" i="1" a="1"/>
  <c r="T334" i="1" a="1"/>
  <c r="T333" i="1" a="1"/>
  <c r="T332" i="1" a="1"/>
  <c r="T331" i="1" a="1"/>
  <c r="T330" i="1" a="1"/>
  <c r="T329" i="1" a="1"/>
  <c r="T328" i="1" a="1"/>
  <c r="T327" i="1" a="1"/>
  <c r="T326" i="1" a="1"/>
  <c r="T325" i="1" a="1"/>
  <c r="T324" i="1" a="1"/>
  <c r="T323" i="1" a="1"/>
  <c r="T322" i="1" a="1"/>
  <c r="T321" i="1" a="1"/>
  <c r="T320" i="1" a="1"/>
  <c r="T319" i="1" a="1"/>
  <c r="T318" i="1" a="1"/>
  <c r="T317" i="1" a="1"/>
  <c r="T316" i="1" a="1"/>
  <c r="T315" i="1" a="1"/>
  <c r="T314" i="1" a="1"/>
  <c r="T313" i="1" a="1"/>
  <c r="T312" i="1" a="1"/>
  <c r="T311" i="1" a="1"/>
  <c r="T310" i="1" a="1"/>
  <c r="T309" i="1" a="1"/>
  <c r="T308" i="1" a="1"/>
  <c r="T307" i="1" a="1"/>
  <c r="T306" i="1" a="1"/>
  <c r="T305" i="1" a="1"/>
  <c r="T304" i="1" a="1"/>
  <c r="T303" i="1" a="1"/>
  <c r="T302" i="1" a="1"/>
  <c r="T301" i="1" a="1"/>
  <c r="T300" i="1" a="1"/>
  <c r="T299" i="1" a="1"/>
  <c r="T298" i="1" a="1"/>
  <c r="T297" i="1" a="1"/>
  <c r="T296" i="1" a="1"/>
  <c r="T295" i="1" a="1"/>
  <c r="T294" i="1" a="1"/>
  <c r="T293" i="1" a="1"/>
  <c r="T292" i="1" a="1"/>
  <c r="T291" i="1" a="1"/>
  <c r="T290" i="1" a="1"/>
  <c r="T289" i="1" a="1"/>
  <c r="T288" i="1" a="1"/>
  <c r="T287" i="1" a="1"/>
  <c r="T286" i="1" a="1"/>
  <c r="T285" i="1" a="1"/>
  <c r="T284" i="1" a="1"/>
  <c r="T283" i="1" a="1"/>
  <c r="T282" i="1" a="1"/>
  <c r="T281" i="1" a="1"/>
  <c r="T280" i="1" a="1"/>
  <c r="T279" i="1" a="1"/>
  <c r="T278" i="1" a="1"/>
  <c r="T277" i="1" a="1"/>
  <c r="T276" i="1" a="1"/>
  <c r="T275" i="1" a="1"/>
  <c r="T274" i="1" a="1"/>
  <c r="T273" i="1" a="1"/>
  <c r="T272" i="1" a="1"/>
  <c r="T271" i="1" a="1"/>
  <c r="T270" i="1" a="1"/>
  <c r="T269" i="1" a="1"/>
  <c r="T268" i="1" a="1"/>
  <c r="T267" i="1" a="1"/>
  <c r="T266" i="1" a="1"/>
  <c r="T265" i="1" a="1"/>
  <c r="T264" i="1" a="1"/>
  <c r="T263" i="1" a="1"/>
  <c r="T262" i="1" a="1"/>
  <c r="T261" i="1" a="1"/>
  <c r="T260" i="1" a="1"/>
  <c r="T259" i="1" a="1"/>
  <c r="T258" i="1" a="1"/>
  <c r="T257" i="1" a="1"/>
  <c r="T256" i="1" a="1"/>
  <c r="T255" i="1" a="1"/>
  <c r="T254" i="1" a="1"/>
  <c r="T253" i="1" a="1"/>
  <c r="T252" i="1" a="1"/>
  <c r="T251" i="1" a="1"/>
  <c r="T250" i="1" a="1"/>
  <c r="T249" i="1" a="1"/>
  <c r="T248" i="1" a="1"/>
  <c r="T247" i="1" a="1"/>
  <c r="T246" i="1" a="1"/>
  <c r="T245" i="1" a="1"/>
  <c r="T244" i="1" a="1"/>
  <c r="T243" i="1" a="1"/>
  <c r="T242" i="1" a="1"/>
  <c r="T241" i="1" a="1"/>
  <c r="T240" i="1" a="1"/>
  <c r="T239" i="1" a="1"/>
  <c r="T238" i="1" a="1"/>
  <c r="T237" i="1" a="1"/>
  <c r="T236" i="1" a="1"/>
  <c r="T235" i="1" a="1"/>
  <c r="T234" i="1" a="1"/>
  <c r="T233" i="1" a="1"/>
  <c r="T232" i="1" a="1"/>
  <c r="T231" i="1" a="1"/>
  <c r="T230" i="1" a="1"/>
  <c r="T229" i="1" a="1"/>
  <c r="T228" i="1" a="1"/>
  <c r="T227" i="1" a="1"/>
  <c r="T226" i="1" a="1"/>
  <c r="T225" i="1" a="1"/>
  <c r="T224" i="1" a="1"/>
  <c r="T223" i="1" a="1"/>
  <c r="T222" i="1" a="1"/>
  <c r="T221" i="1" a="1"/>
  <c r="T220" i="1" a="1"/>
  <c r="T219" i="1" a="1"/>
  <c r="T218" i="1" a="1"/>
  <c r="T217" i="1" a="1"/>
  <c r="T216" i="1" a="1"/>
  <c r="T215" i="1" a="1"/>
  <c r="T214" i="1" a="1"/>
  <c r="T213" i="1" a="1"/>
  <c r="T212" i="1" a="1"/>
  <c r="T211" i="1" a="1"/>
  <c r="T210" i="1" a="1"/>
  <c r="T209" i="1" a="1"/>
  <c r="T208" i="1" a="1"/>
  <c r="T207" i="1" a="1"/>
  <c r="T206" i="1" a="1"/>
  <c r="T205" i="1" a="1"/>
  <c r="T204" i="1" a="1"/>
  <c r="T203" i="1" a="1"/>
  <c r="T202" i="1" a="1"/>
  <c r="T201" i="1" a="1"/>
  <c r="T200" i="1" a="1"/>
  <c r="T199" i="1" a="1"/>
  <c r="T198" i="1" a="1"/>
  <c r="T197" i="1" a="1"/>
  <c r="T196" i="1" a="1"/>
  <c r="T195" i="1" a="1"/>
  <c r="T194" i="1" a="1"/>
  <c r="T193" i="1" a="1"/>
  <c r="T192" i="1" a="1"/>
  <c r="T191" i="1" a="1"/>
  <c r="T190" i="1" a="1"/>
  <c r="T189" i="1" a="1"/>
  <c r="T188" i="1" a="1"/>
  <c r="T187" i="1" a="1"/>
  <c r="T186" i="1" a="1"/>
  <c r="T185" i="1" a="1"/>
  <c r="T184" i="1" a="1"/>
  <c r="T183" i="1" a="1"/>
  <c r="T182" i="1" a="1"/>
  <c r="T181" i="1" a="1"/>
  <c r="T180" i="1" a="1"/>
  <c r="T179" i="1" a="1"/>
  <c r="T178" i="1" a="1"/>
  <c r="T177" i="1" a="1"/>
  <c r="T176" i="1" a="1"/>
  <c r="T175" i="1" a="1"/>
  <c r="T174" i="1" a="1"/>
  <c r="T173" i="1" a="1"/>
  <c r="T172" i="1" a="1"/>
  <c r="T171" i="1" a="1"/>
  <c r="T170" i="1" a="1"/>
  <c r="T169" i="1" a="1"/>
  <c r="T168" i="1" a="1"/>
  <c r="T167" i="1" a="1"/>
  <c r="T166" i="1" a="1"/>
  <c r="T165" i="1" a="1"/>
  <c r="T164" i="1" a="1"/>
  <c r="T163" i="1" a="1"/>
  <c r="T162" i="1" a="1"/>
  <c r="T161" i="1" a="1"/>
  <c r="T160" i="1" a="1"/>
  <c r="T159" i="1" a="1"/>
  <c r="T158" i="1" a="1"/>
  <c r="T157" i="1" a="1"/>
  <c r="T156" i="1" a="1"/>
  <c r="T155" i="1" a="1"/>
  <c r="T154" i="1" a="1"/>
  <c r="T153" i="1" a="1"/>
  <c r="T152" i="1" a="1"/>
  <c r="T151" i="1" a="1"/>
  <c r="T150" i="1" a="1"/>
  <c r="T149" i="1" a="1"/>
  <c r="T148" i="1" a="1"/>
  <c r="T147" i="1" a="1"/>
  <c r="T146" i="1" a="1"/>
  <c r="T145" i="1" a="1"/>
  <c r="T144" i="1" a="1"/>
  <c r="T143" i="1" a="1"/>
  <c r="T142" i="1" a="1"/>
  <c r="T141" i="1" a="1"/>
  <c r="T140" i="1" a="1"/>
  <c r="T139" i="1" a="1"/>
  <c r="T138" i="1" a="1"/>
  <c r="T137" i="1" a="1"/>
  <c r="T136" i="1" a="1"/>
  <c r="T135" i="1" a="1"/>
  <c r="T134" i="1" a="1"/>
  <c r="T133" i="1" a="1"/>
  <c r="T132" i="1" a="1"/>
  <c r="T131" i="1" a="1"/>
  <c r="T130" i="1" a="1"/>
  <c r="T129" i="1" a="1"/>
  <c r="T128" i="1" a="1"/>
  <c r="T127" i="1" a="1"/>
  <c r="T126" i="1" a="1"/>
  <c r="T125" i="1" a="1"/>
  <c r="T124" i="1" a="1"/>
  <c r="T123" i="1" a="1"/>
  <c r="T122" i="1" a="1"/>
  <c r="T121" i="1" a="1"/>
  <c r="T120" i="1" a="1"/>
  <c r="T119" i="1" a="1"/>
  <c r="T118" i="1" a="1"/>
  <c r="T117" i="1" a="1"/>
  <c r="T116" i="1" a="1"/>
  <c r="T115" i="1" a="1"/>
  <c r="T114" i="1" a="1"/>
  <c r="T113" i="1" a="1"/>
  <c r="T112" i="1" a="1"/>
  <c r="T111" i="1" a="1"/>
  <c r="T110" i="1" a="1"/>
  <c r="T109" i="1" a="1"/>
  <c r="T108" i="1" a="1"/>
  <c r="T107" i="1" a="1"/>
  <c r="T106" i="1" a="1"/>
  <c r="T105" i="1" a="1"/>
  <c r="T104" i="1" a="1"/>
  <c r="T103" i="1" a="1"/>
  <c r="T102" i="1" a="1"/>
  <c r="T101" i="1" a="1"/>
  <c r="T100" i="1" a="1"/>
  <c r="T99" i="1" a="1"/>
  <c r="T98" i="1" a="1"/>
  <c r="T97" i="1" a="1"/>
  <c r="T96" i="1" a="1"/>
  <c r="T95" i="1" a="1"/>
  <c r="T94" i="1" a="1"/>
  <c r="T93" i="1" a="1"/>
  <c r="T92" i="1" a="1"/>
  <c r="T91" i="1" a="1"/>
  <c r="T90" i="1" a="1"/>
  <c r="T89" i="1" a="1"/>
  <c r="T88" i="1" a="1"/>
  <c r="T87" i="1" a="1"/>
  <c r="T86" i="1" a="1"/>
  <c r="T85" i="1" a="1"/>
  <c r="T84" i="1" a="1"/>
  <c r="T83" i="1" a="1"/>
  <c r="T82" i="1" a="1"/>
  <c r="T81" i="1" a="1"/>
  <c r="T80" i="1" a="1"/>
  <c r="T79" i="1" a="1"/>
  <c r="T78" i="1" a="1"/>
  <c r="T77" i="1" a="1"/>
  <c r="T76" i="1" a="1"/>
  <c r="T75" i="1" a="1"/>
  <c r="T74" i="1" a="1"/>
  <c r="T73" i="1" a="1"/>
  <c r="T72" i="1" a="1"/>
  <c r="T71" i="1" a="1"/>
  <c r="T70" i="1" a="1"/>
  <c r="T69" i="1" a="1"/>
  <c r="T68" i="1" a="1"/>
  <c r="T67" i="1" a="1"/>
  <c r="T66" i="1" a="1"/>
  <c r="T65" i="1" a="1"/>
  <c r="T64" i="1" a="1"/>
  <c r="T63" i="1" a="1"/>
  <c r="T62" i="1" a="1"/>
  <c r="T61" i="1" a="1"/>
  <c r="T60" i="1" a="1"/>
  <c r="T59" i="1" a="1"/>
  <c r="T58" i="1" a="1"/>
  <c r="T57" i="1" a="1"/>
  <c r="T56" i="1" a="1"/>
  <c r="T55" i="1" a="1"/>
  <c r="T54" i="1" a="1"/>
  <c r="T53" i="1" a="1"/>
  <c r="T52" i="1" a="1"/>
  <c r="T51" i="1" a="1"/>
  <c r="T50" i="1" a="1"/>
  <c r="T49" i="1" a="1"/>
  <c r="T48" i="1" a="1"/>
  <c r="T47" i="1" a="1"/>
  <c r="T46" i="1" a="1"/>
  <c r="T45" i="1" a="1"/>
  <c r="T44" i="1" a="1"/>
  <c r="T43" i="1" a="1"/>
  <c r="T42" i="1" a="1"/>
  <c r="T41" i="1" a="1"/>
  <c r="T40" i="1" a="1"/>
  <c r="T39" i="1" a="1"/>
  <c r="T38" i="1" a="1"/>
  <c r="T37" i="1" a="1"/>
  <c r="T36" i="1" a="1"/>
  <c r="T35" i="1" a="1"/>
  <c r="T34" i="1" a="1"/>
  <c r="T33" i="1" a="1"/>
  <c r="T32" i="1" a="1"/>
  <c r="T31" i="1" a="1"/>
  <c r="T30" i="1" a="1"/>
  <c r="T29" i="1" a="1"/>
  <c r="T28" i="1" a="1"/>
  <c r="T27" i="1" a="1"/>
  <c r="T26" i="1" a="1"/>
  <c r="T25" i="1" a="1"/>
  <c r="T24" i="1" a="1"/>
  <c r="T23" i="1" a="1"/>
  <c r="T22" i="1" a="1"/>
  <c r="T21" i="1" a="1"/>
  <c r="T20" i="1" a="1"/>
  <c r="T19" i="1" a="1"/>
  <c r="T18" i="1" a="1"/>
  <c r="T17" i="1" a="1"/>
  <c r="T16" i="1" a="1"/>
  <c r="T15" i="1" a="1"/>
  <c r="T14" i="1" a="1"/>
  <c r="T13" i="1" a="1"/>
  <c r="T12" i="1" a="1"/>
  <c r="T11" i="1" a="1"/>
  <c r="T10" i="1" a="1"/>
  <c r="T9" i="1" a="1"/>
  <c r="B41" i="6"/>
  <c r="B42" i="6"/>
  <c r="B43" i="6"/>
  <c r="B44" i="6"/>
  <c r="B45" i="6"/>
  <c r="B46" i="6"/>
  <c r="B47" i="6"/>
  <c r="B48" i="6"/>
  <c r="B49" i="6"/>
  <c r="B50" i="6"/>
  <c r="B51" i="6"/>
  <c r="B52" i="6"/>
  <c r="B53" i="6"/>
  <c r="B54" i="6"/>
  <c r="B55" i="6"/>
  <c r="B56" i="6"/>
  <c r="B57" i="6"/>
  <c r="B58" i="6"/>
  <c r="B59" i="6"/>
  <c r="B60" i="6"/>
  <c r="B61" i="6"/>
  <c r="B62" i="6"/>
  <c r="B63" i="6"/>
  <c r="B64" i="6"/>
  <c r="B65" i="6"/>
  <c r="B66" i="6"/>
  <c r="B67" i="6"/>
  <c r="B68" i="6"/>
  <c r="B69" i="6"/>
  <c r="B70" i="6"/>
  <c r="B71" i="6"/>
  <c r="B72" i="6"/>
  <c r="B73" i="6"/>
  <c r="B74" i="6"/>
  <c r="B75" i="6"/>
  <c r="B76" i="6"/>
  <c r="B77" i="6"/>
  <c r="B78" i="6"/>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B355" i="6"/>
  <c r="B356" i="6"/>
  <c r="B357" i="6"/>
  <c r="B358" i="6"/>
  <c r="B359" i="6"/>
  <c r="B360" i="6"/>
  <c r="B361" i="6"/>
  <c r="B362" i="6"/>
  <c r="B363" i="6"/>
  <c r="B364" i="6"/>
  <c r="B365" i="6"/>
  <c r="B366" i="6"/>
  <c r="B367" i="6"/>
  <c r="B368" i="6"/>
  <c r="B369" i="6"/>
  <c r="B370" i="6"/>
  <c r="B371" i="6"/>
  <c r="B372" i="6"/>
  <c r="B373" i="6"/>
  <c r="B374" i="6"/>
  <c r="B375" i="6"/>
  <c r="B376" i="6"/>
  <c r="B377" i="6"/>
  <c r="B378" i="6"/>
  <c r="B379" i="6"/>
  <c r="B380" i="6"/>
  <c r="B381" i="6"/>
  <c r="B382" i="6"/>
  <c r="B383" i="6"/>
  <c r="B384" i="6"/>
  <c r="B385" i="6"/>
  <c r="B386" i="6"/>
  <c r="B387" i="6"/>
  <c r="B388" i="6"/>
  <c r="B389" i="6"/>
  <c r="B390" i="6"/>
  <c r="B391" i="6"/>
  <c r="B392" i="6"/>
  <c r="B393" i="6"/>
  <c r="B394" i="6"/>
  <c r="B395" i="6"/>
  <c r="B396" i="6"/>
  <c r="B397" i="6"/>
  <c r="B398" i="6"/>
  <c r="B399" i="6"/>
  <c r="B400" i="6"/>
  <c r="B401" i="6"/>
  <c r="B402" i="6"/>
  <c r="B403" i="6"/>
  <c r="B404" i="6"/>
  <c r="B405" i="6"/>
  <c r="B406" i="6"/>
  <c r="B407" i="6"/>
  <c r="B408" i="6"/>
  <c r="B409" i="6"/>
  <c r="B410" i="6"/>
  <c r="B411" i="6"/>
  <c r="B412" i="6"/>
  <c r="B413" i="6"/>
  <c r="B414" i="6"/>
  <c r="B415" i="6"/>
  <c r="B416" i="6"/>
  <c r="B417" i="6"/>
  <c r="B418" i="6"/>
  <c r="B419" i="6"/>
  <c r="B420" i="6"/>
  <c r="B421" i="6"/>
  <c r="B422" i="6"/>
  <c r="B423" i="6"/>
  <c r="B424" i="6"/>
  <c r="B425" i="6"/>
  <c r="B426" i="6"/>
  <c r="B427" i="6"/>
  <c r="B428" i="6"/>
  <c r="B429" i="6"/>
  <c r="B430" i="6"/>
  <c r="B431" i="6"/>
  <c r="B432" i="6"/>
  <c r="B433" i="6"/>
  <c r="B434" i="6"/>
  <c r="B435" i="6"/>
  <c r="B436" i="6"/>
  <c r="B437" i="6"/>
  <c r="B438" i="6"/>
  <c r="B439" i="6"/>
  <c r="B440" i="6"/>
  <c r="B441" i="6"/>
  <c r="B442" i="6"/>
  <c r="B443" i="6"/>
  <c r="B444" i="6"/>
  <c r="B445" i="6"/>
  <c r="B446" i="6"/>
  <c r="B447" i="6"/>
  <c r="B448" i="6"/>
  <c r="B449" i="6"/>
  <c r="B450" i="6"/>
  <c r="B451" i="6"/>
  <c r="B452" i="6"/>
  <c r="B453" i="6"/>
  <c r="B454" i="6"/>
  <c r="B455" i="6"/>
  <c r="B456" i="6"/>
  <c r="B457" i="6"/>
  <c r="B458" i="6"/>
  <c r="B459" i="6"/>
  <c r="B460" i="6"/>
  <c r="B461" i="6"/>
  <c r="B462" i="6"/>
  <c r="B463" i="6"/>
  <c r="B464" i="6"/>
  <c r="B465" i="6"/>
  <c r="B466" i="6"/>
  <c r="B467" i="6"/>
  <c r="B468" i="6"/>
  <c r="B469" i="6"/>
  <c r="B470" i="6"/>
  <c r="B471" i="6"/>
  <c r="B472" i="6"/>
  <c r="B473" i="6"/>
  <c r="B474" i="6"/>
  <c r="B475" i="6"/>
  <c r="B476" i="6"/>
  <c r="B477" i="6"/>
  <c r="B478" i="6"/>
  <c r="B479" i="6"/>
  <c r="B480" i="6"/>
  <c r="B481" i="6"/>
  <c r="B482" i="6"/>
  <c r="B483" i="6"/>
  <c r="B484" i="6"/>
  <c r="B485" i="6"/>
  <c r="B486" i="6"/>
  <c r="B487" i="6"/>
  <c r="B488" i="6"/>
  <c r="B489" i="6"/>
  <c r="B490" i="6"/>
  <c r="B491" i="6"/>
  <c r="B492" i="6"/>
  <c r="B493" i="6"/>
  <c r="B494" i="6"/>
  <c r="B495" i="6"/>
  <c r="B496" i="6"/>
  <c r="B497" i="6"/>
  <c r="B498" i="6"/>
  <c r="B499" i="6"/>
  <c r="B500" i="6"/>
  <c r="B501" i="6"/>
  <c r="B502" i="6"/>
  <c r="B503" i="6"/>
  <c r="B504" i="6"/>
  <c r="B505" i="6"/>
  <c r="B506" i="6"/>
  <c r="B507" i="6"/>
  <c r="A508" i="6"/>
  <c r="B508" i="6" s="1"/>
  <c r="A509" i="6"/>
  <c r="B509" i="6" s="1"/>
  <c r="A510" i="6"/>
  <c r="B510" i="6" s="1"/>
  <c r="A511" i="6"/>
  <c r="B511" i="6" s="1"/>
  <c r="A512" i="6"/>
  <c r="B512" i="6" s="1"/>
  <c r="A513" i="6"/>
  <c r="B513" i="6" s="1"/>
  <c r="A514" i="6"/>
  <c r="B514" i="6" s="1"/>
  <c r="A515" i="6"/>
  <c r="B515" i="6" s="1"/>
  <c r="A516" i="6"/>
  <c r="B516" i="6" s="1"/>
  <c r="A517" i="6"/>
  <c r="B517" i="6" s="1"/>
  <c r="A518" i="6"/>
  <c r="B518" i="6" s="1"/>
  <c r="A519" i="6"/>
  <c r="B519" i="6" s="1"/>
  <c r="A520" i="6"/>
  <c r="B520" i="6" s="1"/>
  <c r="A521" i="6"/>
  <c r="B521" i="6" s="1"/>
  <c r="A522" i="6"/>
  <c r="B522" i="6" s="1"/>
  <c r="A523" i="6"/>
  <c r="B523" i="6" s="1"/>
  <c r="A524" i="6"/>
  <c r="B524" i="6" s="1"/>
  <c r="A525" i="6"/>
  <c r="B525" i="6" s="1"/>
  <c r="A526" i="6"/>
  <c r="B526" i="6" s="1"/>
  <c r="A527" i="6"/>
  <c r="B527" i="6" s="1"/>
  <c r="A528" i="6"/>
  <c r="B528" i="6" s="1"/>
  <c r="A529" i="6"/>
  <c r="B529" i="6" s="1"/>
  <c r="A530" i="6"/>
  <c r="B530" i="6" s="1"/>
  <c r="A531" i="6"/>
  <c r="B531" i="6" s="1"/>
  <c r="A532" i="6"/>
  <c r="B532" i="6" s="1"/>
  <c r="A533" i="6"/>
  <c r="B533" i="6" s="1"/>
  <c r="A534" i="6"/>
  <c r="B534" i="6" s="1"/>
  <c r="A535" i="6"/>
  <c r="B535" i="6" s="1"/>
  <c r="A536" i="6"/>
  <c r="B536" i="6" s="1"/>
  <c r="A537" i="6"/>
  <c r="B537" i="6" s="1"/>
  <c r="A538" i="6"/>
  <c r="B538" i="6" s="1"/>
  <c r="A539" i="6"/>
  <c r="B539" i="6" s="1"/>
  <c r="A540" i="6"/>
  <c r="B540" i="6" s="1"/>
  <c r="A541" i="6"/>
  <c r="B541" i="6" s="1"/>
  <c r="A542" i="6"/>
  <c r="B542" i="6" s="1"/>
  <c r="A543" i="6"/>
  <c r="B543" i="6" s="1"/>
  <c r="A544" i="6"/>
  <c r="B544" i="6" s="1"/>
  <c r="A545" i="6"/>
  <c r="B545" i="6" s="1"/>
  <c r="A546" i="6"/>
  <c r="B546" i="6" s="1"/>
  <c r="A547" i="6"/>
  <c r="B547" i="6" s="1"/>
  <c r="A548" i="6"/>
  <c r="B548" i="6" s="1"/>
  <c r="A549" i="6"/>
  <c r="B549" i="6" s="1"/>
  <c r="A550" i="6"/>
  <c r="B550" i="6" s="1"/>
  <c r="A551" i="6"/>
  <c r="B551" i="6" s="1"/>
  <c r="A552" i="6"/>
  <c r="B552" i="6" s="1"/>
  <c r="A553" i="6"/>
  <c r="B553" i="6" s="1"/>
  <c r="A554" i="6"/>
  <c r="B554" i="6" s="1"/>
  <c r="A555" i="6"/>
  <c r="B555" i="6" s="1"/>
  <c r="A556" i="6"/>
  <c r="B556" i="6" s="1"/>
  <c r="A557" i="6"/>
  <c r="B557" i="6" s="1"/>
  <c r="A558" i="6"/>
  <c r="B558" i="6" s="1"/>
  <c r="A559" i="6"/>
  <c r="B559" i="6" s="1"/>
  <c r="A560" i="6"/>
  <c r="B560" i="6" s="1"/>
  <c r="A561" i="6"/>
  <c r="B561" i="6" s="1"/>
  <c r="A562" i="6"/>
  <c r="B562" i="6" s="1"/>
  <c r="A563" i="6"/>
  <c r="B563" i="6" s="1"/>
  <c r="A564" i="6"/>
  <c r="B564" i="6" s="1"/>
  <c r="A565" i="6"/>
  <c r="B565" i="6" s="1"/>
  <c r="A566" i="6"/>
  <c r="B566" i="6" s="1"/>
  <c r="A567" i="6"/>
  <c r="B567" i="6" s="1"/>
  <c r="A568" i="6"/>
  <c r="B568" i="6" s="1"/>
  <c r="A569" i="6"/>
  <c r="B569" i="6" s="1"/>
  <c r="A570" i="6"/>
  <c r="B570" i="6" s="1"/>
  <c r="A571" i="6"/>
  <c r="B571" i="6" s="1"/>
  <c r="A572" i="6"/>
  <c r="B572" i="6" s="1"/>
  <c r="A573" i="6"/>
  <c r="B573" i="6" s="1"/>
  <c r="A574" i="6"/>
  <c r="B574" i="6" s="1"/>
  <c r="A575" i="6"/>
  <c r="B575" i="6" s="1"/>
  <c r="A576" i="6"/>
  <c r="B576" i="6" s="1"/>
  <c r="A577" i="6"/>
  <c r="B577" i="6" s="1"/>
  <c r="A578" i="6"/>
  <c r="B578" i="6" s="1"/>
  <c r="A579" i="6"/>
  <c r="B579" i="6" s="1"/>
  <c r="A580" i="6"/>
  <c r="B580" i="6" s="1"/>
  <c r="A581" i="6"/>
  <c r="B581" i="6" s="1"/>
  <c r="A582" i="6"/>
  <c r="B582" i="6" s="1"/>
  <c r="A583" i="6"/>
  <c r="B583" i="6" s="1"/>
  <c r="A584" i="6"/>
  <c r="B584" i="6" s="1"/>
  <c r="A585" i="6"/>
  <c r="B585" i="6" s="1"/>
  <c r="A586" i="6"/>
  <c r="B586" i="6" s="1"/>
  <c r="A587" i="6"/>
  <c r="B587" i="6" s="1"/>
  <c r="A588" i="6"/>
  <c r="B588" i="6" s="1"/>
  <c r="A589" i="6"/>
  <c r="B589" i="6" s="1"/>
  <c r="A590" i="6"/>
  <c r="B590" i="6" s="1"/>
  <c r="A591" i="6"/>
  <c r="B591" i="6" s="1"/>
  <c r="A592" i="6"/>
  <c r="B592" i="6" s="1"/>
  <c r="A593" i="6"/>
  <c r="B593" i="6" s="1"/>
  <c r="A594" i="6"/>
  <c r="B594" i="6" s="1"/>
  <c r="A595" i="6"/>
  <c r="B595" i="6" s="1"/>
  <c r="A596" i="6"/>
  <c r="B596" i="6" s="1"/>
  <c r="A597" i="6"/>
  <c r="B597" i="6" s="1"/>
  <c r="A598" i="6"/>
  <c r="B598" i="6" s="1"/>
  <c r="A599" i="6"/>
  <c r="B599" i="6" s="1"/>
  <c r="A600" i="6"/>
  <c r="B600" i="6" s="1"/>
  <c r="A601" i="6"/>
  <c r="B601" i="6" s="1"/>
  <c r="A602" i="6"/>
  <c r="B602" i="6" s="1"/>
  <c r="A603" i="6"/>
  <c r="B603" i="6" s="1"/>
  <c r="A604" i="6"/>
  <c r="B604" i="6" s="1"/>
  <c r="A605" i="6"/>
  <c r="B605" i="6" s="1"/>
  <c r="A606" i="6"/>
  <c r="B606" i="6" s="1"/>
  <c r="A607" i="6"/>
  <c r="B607" i="6" s="1"/>
  <c r="A608" i="6"/>
  <c r="B608" i="6" s="1"/>
  <c r="A609" i="6"/>
  <c r="B609" i="6" s="1"/>
  <c r="A610" i="6"/>
  <c r="B610" i="6" s="1"/>
  <c r="A611" i="6"/>
  <c r="B611" i="6" s="1"/>
  <c r="A612" i="6"/>
  <c r="B612" i="6" s="1"/>
  <c r="A613" i="6"/>
  <c r="B613" i="6" s="1"/>
  <c r="A614" i="6"/>
  <c r="B614" i="6" s="1"/>
  <c r="A615" i="6"/>
  <c r="B615" i="6" s="1"/>
  <c r="A616" i="6"/>
  <c r="B616" i="6" s="1"/>
  <c r="A617" i="6"/>
  <c r="B617" i="6" s="1"/>
  <c r="A618" i="6"/>
  <c r="B618" i="6" s="1"/>
  <c r="A619" i="6"/>
  <c r="B619" i="6" s="1"/>
  <c r="A620" i="6"/>
  <c r="B620" i="6" s="1"/>
  <c r="A621" i="6"/>
  <c r="B621" i="6" s="1"/>
  <c r="A622" i="6"/>
  <c r="B622" i="6" s="1"/>
  <c r="A623" i="6"/>
  <c r="B623" i="6" s="1"/>
  <c r="A624" i="6"/>
  <c r="B624" i="6" s="1"/>
  <c r="A625" i="6"/>
  <c r="B625" i="6" s="1"/>
  <c r="A626" i="6"/>
  <c r="B626" i="6" s="1"/>
  <c r="A627" i="6"/>
  <c r="B627" i="6" s="1"/>
  <c r="A628" i="6"/>
  <c r="B628" i="6" s="1"/>
  <c r="A629" i="6"/>
  <c r="B629" i="6" s="1"/>
  <c r="A630" i="6"/>
  <c r="B630" i="6" s="1"/>
  <c r="A631" i="6"/>
  <c r="B631" i="6" s="1"/>
  <c r="A632" i="6"/>
  <c r="B632" i="6" s="1"/>
  <c r="A633" i="6"/>
  <c r="B633" i="6" s="1"/>
  <c r="A634" i="6"/>
  <c r="B634" i="6" s="1"/>
  <c r="A635" i="6"/>
  <c r="B635" i="6" s="1"/>
  <c r="A636" i="6"/>
  <c r="B636" i="6" s="1"/>
  <c r="A637" i="6"/>
  <c r="B637" i="6" s="1"/>
  <c r="A638" i="6"/>
  <c r="B638" i="6" s="1"/>
  <c r="A639" i="6"/>
  <c r="B639" i="6" s="1"/>
  <c r="A640" i="6"/>
  <c r="B640" i="6" s="1"/>
  <c r="A641" i="6"/>
  <c r="B641" i="6" s="1"/>
  <c r="A642" i="6"/>
  <c r="B642" i="6" s="1"/>
  <c r="A643" i="6"/>
  <c r="B643" i="6" s="1"/>
  <c r="A644" i="6"/>
  <c r="B644" i="6" s="1"/>
  <c r="A645" i="6"/>
  <c r="B645" i="6" s="1"/>
  <c r="A646" i="6"/>
  <c r="B646" i="6" s="1"/>
  <c r="A647" i="6"/>
  <c r="B647" i="6" s="1"/>
  <c r="A648" i="6"/>
  <c r="B648" i="6" s="1"/>
  <c r="A649" i="6"/>
  <c r="B649" i="6" s="1"/>
  <c r="A650" i="6"/>
  <c r="B650" i="6" s="1"/>
  <c r="A651" i="6"/>
  <c r="B651" i="6" s="1"/>
  <c r="A652" i="6"/>
  <c r="B652" i="6" s="1"/>
  <c r="A653" i="6"/>
  <c r="B653" i="6" s="1"/>
  <c r="A654" i="6"/>
  <c r="B654" i="6" s="1"/>
  <c r="A655" i="6"/>
  <c r="B655" i="6" s="1"/>
  <c r="A656" i="6"/>
  <c r="B656" i="6" s="1"/>
  <c r="A657" i="6"/>
  <c r="B657" i="6" s="1"/>
  <c r="A658" i="6"/>
  <c r="B658" i="6" s="1"/>
  <c r="A659" i="6"/>
  <c r="B659" i="6" s="1"/>
  <c r="A660" i="6"/>
  <c r="B660" i="6" s="1"/>
  <c r="A661" i="6"/>
  <c r="B661" i="6" s="1"/>
  <c r="A662" i="6"/>
  <c r="B662" i="6" s="1"/>
  <c r="A663" i="6"/>
  <c r="B663" i="6" s="1"/>
  <c r="A664" i="6"/>
  <c r="B664" i="6" s="1"/>
  <c r="A665" i="6"/>
  <c r="B665" i="6" s="1"/>
  <c r="A666" i="6"/>
  <c r="B666" i="6" s="1"/>
  <c r="A667" i="6"/>
  <c r="B667" i="6" s="1"/>
  <c r="A668" i="6"/>
  <c r="B668" i="6" s="1"/>
  <c r="A669" i="6"/>
  <c r="B669" i="6" s="1"/>
  <c r="A670" i="6"/>
  <c r="B670" i="6" s="1"/>
  <c r="A671" i="6"/>
  <c r="B671" i="6" s="1"/>
  <c r="A672" i="6"/>
  <c r="B672" i="6" s="1"/>
  <c r="A673" i="6"/>
  <c r="B673" i="6" s="1"/>
  <c r="A674" i="6"/>
  <c r="B674" i="6" s="1"/>
  <c r="A675" i="6"/>
  <c r="B675" i="6" s="1"/>
  <c r="A676" i="6"/>
  <c r="B676" i="6" s="1"/>
  <c r="A677" i="6"/>
  <c r="B677" i="6" s="1"/>
  <c r="A678" i="6"/>
  <c r="B678" i="6" s="1"/>
  <c r="A679" i="6"/>
  <c r="B679" i="6" s="1"/>
  <c r="A680" i="6"/>
  <c r="B680" i="6" s="1"/>
  <c r="A681" i="6"/>
  <c r="B681" i="6" s="1"/>
  <c r="A682" i="6"/>
  <c r="B682" i="6" s="1"/>
  <c r="A683" i="6"/>
  <c r="B683" i="6" s="1"/>
  <c r="A684" i="6"/>
  <c r="B684" i="6" s="1"/>
  <c r="A685" i="6"/>
  <c r="B685" i="6" s="1"/>
  <c r="A686" i="6"/>
  <c r="B686" i="6" s="1"/>
  <c r="A687" i="6"/>
  <c r="B687" i="6" s="1"/>
  <c r="A688" i="6"/>
  <c r="B688" i="6" s="1"/>
  <c r="A689" i="6"/>
  <c r="B689" i="6" s="1"/>
  <c r="A690" i="6"/>
  <c r="B690" i="6" s="1"/>
  <c r="A691" i="6"/>
  <c r="B691" i="6" s="1"/>
  <c r="A692" i="6"/>
  <c r="B692" i="6" s="1"/>
  <c r="A693" i="6"/>
  <c r="B693" i="6" s="1"/>
  <c r="A694" i="6"/>
  <c r="B694" i="6" s="1"/>
  <c r="A695" i="6"/>
  <c r="B695" i="6" s="1"/>
  <c r="A696" i="6"/>
  <c r="B696" i="6" s="1"/>
  <c r="A697" i="6"/>
  <c r="B697" i="6" s="1"/>
  <c r="A698" i="6"/>
  <c r="B698" i="6" s="1"/>
  <c r="A699" i="6"/>
  <c r="B699" i="6" s="1"/>
  <c r="A700" i="6"/>
  <c r="B700" i="6" s="1"/>
  <c r="A10" i="6"/>
  <c r="B10" i="6" s="1"/>
  <c r="A11" i="6"/>
  <c r="B11" i="6" s="1"/>
  <c r="A12" i="6"/>
  <c r="B12" i="6" s="1"/>
  <c r="A13" i="6"/>
  <c r="B13" i="6" s="1"/>
  <c r="A14" i="6"/>
  <c r="B14" i="6" s="1"/>
  <c r="A15" i="6"/>
  <c r="B15" i="6" s="1"/>
  <c r="A16" i="6"/>
  <c r="B16" i="6" s="1"/>
  <c r="A17" i="6"/>
  <c r="B17" i="6" s="1"/>
  <c r="A18" i="6"/>
  <c r="B18" i="6" s="1"/>
  <c r="A19" i="6"/>
  <c r="B19" i="6" s="1"/>
  <c r="A20" i="6"/>
  <c r="B20" i="6" s="1"/>
  <c r="A21" i="6"/>
  <c r="B21" i="6" s="1"/>
  <c r="A22" i="6"/>
  <c r="B22" i="6" s="1"/>
  <c r="A23" i="6"/>
  <c r="B23" i="6" s="1"/>
  <c r="A24" i="6"/>
  <c r="B24" i="6" s="1"/>
  <c r="A25" i="6"/>
  <c r="B25" i="6" s="1"/>
  <c r="A26" i="6"/>
  <c r="B26" i="6" s="1"/>
  <c r="A27" i="6"/>
  <c r="B27" i="6" s="1"/>
  <c r="A28" i="6"/>
  <c r="B28" i="6" s="1"/>
  <c r="A29" i="6"/>
  <c r="B29" i="6" s="1"/>
  <c r="A30" i="6"/>
  <c r="B30" i="6" s="1"/>
  <c r="A31" i="6"/>
  <c r="B31" i="6" s="1"/>
  <c r="A32" i="6"/>
  <c r="B32" i="6" s="1"/>
  <c r="A33" i="6"/>
  <c r="B33" i="6" s="1"/>
  <c r="A34" i="6"/>
  <c r="B34" i="6" s="1"/>
  <c r="A35" i="6"/>
  <c r="B35" i="6" s="1"/>
  <c r="A36" i="6"/>
  <c r="B36" i="6" s="1"/>
  <c r="A37" i="6"/>
  <c r="B37" i="6" s="1"/>
  <c r="A38" i="6"/>
  <c r="B38" i="6" s="1"/>
  <c r="A39" i="6"/>
  <c r="B39" i="6" s="1"/>
  <c r="A40" i="6"/>
  <c r="B40" i="6" s="1"/>
  <c r="A41" i="6"/>
  <c r="A42" i="6"/>
  <c r="A43" i="6"/>
  <c r="A44" i="6"/>
  <c r="A45" i="6"/>
  <c r="A46" i="6"/>
  <c r="A47" i="6"/>
  <c r="A48" i="6"/>
  <c r="A49" i="6"/>
  <c r="A50" i="6"/>
  <c r="A51" i="6"/>
  <c r="A52" i="6"/>
  <c r="A53" i="6"/>
  <c r="A54" i="6"/>
  <c r="A55" i="6"/>
  <c r="A56" i="6"/>
  <c r="A57" i="6"/>
  <c r="A58" i="6"/>
  <c r="A59" i="6"/>
  <c r="A60" i="6"/>
  <c r="A61" i="6"/>
  <c r="A62" i="6"/>
  <c r="A63" i="6"/>
  <c r="A64" i="6"/>
  <c r="A65" i="6"/>
  <c r="A66" i="6"/>
  <c r="A67" i="6"/>
  <c r="A68" i="6"/>
  <c r="A69" i="6"/>
  <c r="A70" i="6"/>
  <c r="A71" i="6"/>
  <c r="A72" i="6"/>
  <c r="A73" i="6"/>
  <c r="A74" i="6"/>
  <c r="A75" i="6"/>
  <c r="A76" i="6"/>
  <c r="A77" i="6"/>
  <c r="A78" i="6"/>
  <c r="A79" i="6"/>
  <c r="A80" i="6"/>
  <c r="A81" i="6"/>
  <c r="A82" i="6"/>
  <c r="A83" i="6"/>
  <c r="A84" i="6"/>
  <c r="A85" i="6"/>
  <c r="A86" i="6"/>
  <c r="A87" i="6"/>
  <c r="A88" i="6"/>
  <c r="A89" i="6"/>
  <c r="A90" i="6"/>
  <c r="A91" i="6"/>
  <c r="A92" i="6"/>
  <c r="A93" i="6"/>
  <c r="A94" i="6"/>
  <c r="A95" i="6"/>
  <c r="A96" i="6"/>
  <c r="A97" i="6"/>
  <c r="A98" i="6"/>
  <c r="A99" i="6"/>
  <c r="A100" i="6"/>
  <c r="A101" i="6"/>
  <c r="A102" i="6"/>
  <c r="A103" i="6"/>
  <c r="A104" i="6"/>
  <c r="A105" i="6"/>
  <c r="A106" i="6"/>
  <c r="A107" i="6"/>
  <c r="A108" i="6"/>
  <c r="A109" i="6"/>
  <c r="A110" i="6"/>
  <c r="A111" i="6"/>
  <c r="A112" i="6"/>
  <c r="A113" i="6"/>
  <c r="A114" i="6"/>
  <c r="A115" i="6"/>
  <c r="A116" i="6"/>
  <c r="A117" i="6"/>
  <c r="A118" i="6"/>
  <c r="A119" i="6"/>
  <c r="A120" i="6"/>
  <c r="A121" i="6"/>
  <c r="A122" i="6"/>
  <c r="A123" i="6"/>
  <c r="A124" i="6"/>
  <c r="A125" i="6"/>
  <c r="A126" i="6"/>
  <c r="A127" i="6"/>
  <c r="A128" i="6"/>
  <c r="A129" i="6"/>
  <c r="A130" i="6"/>
  <c r="A131" i="6"/>
  <c r="A132" i="6"/>
  <c r="A133" i="6"/>
  <c r="A134" i="6"/>
  <c r="A135" i="6"/>
  <c r="A136" i="6"/>
  <c r="A137" i="6"/>
  <c r="A138" i="6"/>
  <c r="A139" i="6"/>
  <c r="A140" i="6"/>
  <c r="A141" i="6"/>
  <c r="A142" i="6"/>
  <c r="A143" i="6"/>
  <c r="A144" i="6"/>
  <c r="A145" i="6"/>
  <c r="A146" i="6"/>
  <c r="A147" i="6"/>
  <c r="A148" i="6"/>
  <c r="A149" i="6"/>
  <c r="A150" i="6"/>
  <c r="A151" i="6"/>
  <c r="A152" i="6"/>
  <c r="A153" i="6"/>
  <c r="A154" i="6"/>
  <c r="A155" i="6"/>
  <c r="A156" i="6"/>
  <c r="A157" i="6"/>
  <c r="A158" i="6"/>
  <c r="A159" i="6"/>
  <c r="A160" i="6"/>
  <c r="A161" i="6"/>
  <c r="A162" i="6"/>
  <c r="A163" i="6"/>
  <c r="A164" i="6"/>
  <c r="A165" i="6"/>
  <c r="A166" i="6"/>
  <c r="A167" i="6"/>
  <c r="A168" i="6"/>
  <c r="A169" i="6"/>
  <c r="A170" i="6"/>
  <c r="A171" i="6"/>
  <c r="A172" i="6"/>
  <c r="A173" i="6"/>
  <c r="A174" i="6"/>
  <c r="A175" i="6"/>
  <c r="A176" i="6"/>
  <c r="A177" i="6"/>
  <c r="A178" i="6"/>
  <c r="A179" i="6"/>
  <c r="A180" i="6"/>
  <c r="A181" i="6"/>
  <c r="A182" i="6"/>
  <c r="A183" i="6"/>
  <c r="A184" i="6"/>
  <c r="A185" i="6"/>
  <c r="A186" i="6"/>
  <c r="A187" i="6"/>
  <c r="A188" i="6"/>
  <c r="A189" i="6"/>
  <c r="A190" i="6"/>
  <c r="A191" i="6"/>
  <c r="A192" i="6"/>
  <c r="A193" i="6"/>
  <c r="A194" i="6"/>
  <c r="A195" i="6"/>
  <c r="A196" i="6"/>
  <c r="A197" i="6"/>
  <c r="A198" i="6"/>
  <c r="A199" i="6"/>
  <c r="A200" i="6"/>
  <c r="A201" i="6"/>
  <c r="A202" i="6"/>
  <c r="A203" i="6"/>
  <c r="A204" i="6"/>
  <c r="A205" i="6"/>
  <c r="A206" i="6"/>
  <c r="A207" i="6"/>
  <c r="A208" i="6"/>
  <c r="A209" i="6"/>
  <c r="A210" i="6"/>
  <c r="A211" i="6"/>
  <c r="A212" i="6"/>
  <c r="A213" i="6"/>
  <c r="A214" i="6"/>
  <c r="A215" i="6"/>
  <c r="A216" i="6"/>
  <c r="A217" i="6"/>
  <c r="A218" i="6"/>
  <c r="A219" i="6"/>
  <c r="A220" i="6"/>
  <c r="A221" i="6"/>
  <c r="A222" i="6"/>
  <c r="A223" i="6"/>
  <c r="A224" i="6"/>
  <c r="A225" i="6"/>
  <c r="A226" i="6"/>
  <c r="A227" i="6"/>
  <c r="A228" i="6"/>
  <c r="A229" i="6"/>
  <c r="A230" i="6"/>
  <c r="A231" i="6"/>
  <c r="A232" i="6"/>
  <c r="A233" i="6"/>
  <c r="A234" i="6"/>
  <c r="A235" i="6"/>
  <c r="A236" i="6"/>
  <c r="A237" i="6"/>
  <c r="A238" i="6"/>
  <c r="A239" i="6"/>
  <c r="A240" i="6"/>
  <c r="A241" i="6"/>
  <c r="A242" i="6"/>
  <c r="A243" i="6"/>
  <c r="A244" i="6"/>
  <c r="A245" i="6"/>
  <c r="A246" i="6"/>
  <c r="A247" i="6"/>
  <c r="A248" i="6"/>
  <c r="A249" i="6"/>
  <c r="A250" i="6"/>
  <c r="A251" i="6"/>
  <c r="A252" i="6"/>
  <c r="A253" i="6"/>
  <c r="A254" i="6"/>
  <c r="A255" i="6"/>
  <c r="A256" i="6"/>
  <c r="A257" i="6"/>
  <c r="A258" i="6"/>
  <c r="A259" i="6"/>
  <c r="A260" i="6"/>
  <c r="A261" i="6"/>
  <c r="A262" i="6"/>
  <c r="A263" i="6"/>
  <c r="A264" i="6"/>
  <c r="A265" i="6"/>
  <c r="A266" i="6"/>
  <c r="A267" i="6"/>
  <c r="A268" i="6"/>
  <c r="A269" i="6"/>
  <c r="A270" i="6"/>
  <c r="A271" i="6"/>
  <c r="A272" i="6"/>
  <c r="A273" i="6"/>
  <c r="A274" i="6"/>
  <c r="A275" i="6"/>
  <c r="A276" i="6"/>
  <c r="A277" i="6"/>
  <c r="A278" i="6"/>
  <c r="A279" i="6"/>
  <c r="A280" i="6"/>
  <c r="A281" i="6"/>
  <c r="A282" i="6"/>
  <c r="A283" i="6"/>
  <c r="A284" i="6"/>
  <c r="A285" i="6"/>
  <c r="A286" i="6"/>
  <c r="A287" i="6"/>
  <c r="A288" i="6"/>
  <c r="A289" i="6"/>
  <c r="A290" i="6"/>
  <c r="A291" i="6"/>
  <c r="A292" i="6"/>
  <c r="A293" i="6"/>
  <c r="A294" i="6"/>
  <c r="A295" i="6"/>
  <c r="A296" i="6"/>
  <c r="A297" i="6"/>
  <c r="A298" i="6"/>
  <c r="A299" i="6"/>
  <c r="A300" i="6"/>
  <c r="A301" i="6"/>
  <c r="A302" i="6"/>
  <c r="A303" i="6"/>
  <c r="A304" i="6"/>
  <c r="A305" i="6"/>
  <c r="A306" i="6"/>
  <c r="A307" i="6"/>
  <c r="A308" i="6"/>
  <c r="A309" i="6"/>
  <c r="A310" i="6"/>
  <c r="A311" i="6"/>
  <c r="A312" i="6"/>
  <c r="A313" i="6"/>
  <c r="A314" i="6"/>
  <c r="A315" i="6"/>
  <c r="A316" i="6"/>
  <c r="A317" i="6"/>
  <c r="A318" i="6"/>
  <c r="A319" i="6"/>
  <c r="A320" i="6"/>
  <c r="A321" i="6"/>
  <c r="A322" i="6"/>
  <c r="A323" i="6"/>
  <c r="A324" i="6"/>
  <c r="A325" i="6"/>
  <c r="A326" i="6"/>
  <c r="A327" i="6"/>
  <c r="A328" i="6"/>
  <c r="A329" i="6"/>
  <c r="A330" i="6"/>
  <c r="A331" i="6"/>
  <c r="A332" i="6"/>
  <c r="A333" i="6"/>
  <c r="A334" i="6"/>
  <c r="A335" i="6"/>
  <c r="A336" i="6"/>
  <c r="A337" i="6"/>
  <c r="A338" i="6"/>
  <c r="A339" i="6"/>
  <c r="A340" i="6"/>
  <c r="A341" i="6"/>
  <c r="A342" i="6"/>
  <c r="A343" i="6"/>
  <c r="A344" i="6"/>
  <c r="A345" i="6"/>
  <c r="A346" i="6"/>
  <c r="A347" i="6"/>
  <c r="A348" i="6"/>
  <c r="A349" i="6"/>
  <c r="A350" i="6"/>
  <c r="A351" i="6"/>
  <c r="A352" i="6"/>
  <c r="A353" i="6"/>
  <c r="A354" i="6"/>
  <c r="A355" i="6"/>
  <c r="A356" i="6"/>
  <c r="A357" i="6"/>
  <c r="A358" i="6"/>
  <c r="A359" i="6"/>
  <c r="A360" i="6"/>
  <c r="A361" i="6"/>
  <c r="A362" i="6"/>
  <c r="A363" i="6"/>
  <c r="A364" i="6"/>
  <c r="A365" i="6"/>
  <c r="A366" i="6"/>
  <c r="A367" i="6"/>
  <c r="A368" i="6"/>
  <c r="A369" i="6"/>
  <c r="A370" i="6"/>
  <c r="A371" i="6"/>
  <c r="A372" i="6"/>
  <c r="A373" i="6"/>
  <c r="A374" i="6"/>
  <c r="A375" i="6"/>
  <c r="A376" i="6"/>
  <c r="A377" i="6"/>
  <c r="A378" i="6"/>
  <c r="A379" i="6"/>
  <c r="A380" i="6"/>
  <c r="A381" i="6"/>
  <c r="A382" i="6"/>
  <c r="A383" i="6"/>
  <c r="A384" i="6"/>
  <c r="A385" i="6"/>
  <c r="A386" i="6"/>
  <c r="A387" i="6"/>
  <c r="A388" i="6"/>
  <c r="A389" i="6"/>
  <c r="A390" i="6"/>
  <c r="A391" i="6"/>
  <c r="A392" i="6"/>
  <c r="A393" i="6"/>
  <c r="A394" i="6"/>
  <c r="A395" i="6"/>
  <c r="A396" i="6"/>
  <c r="A397" i="6"/>
  <c r="A398" i="6"/>
  <c r="A399" i="6"/>
  <c r="A400" i="6"/>
  <c r="A401" i="6"/>
  <c r="A402" i="6"/>
  <c r="A403" i="6"/>
  <c r="A404" i="6"/>
  <c r="A405" i="6"/>
  <c r="A406" i="6"/>
  <c r="A407" i="6"/>
  <c r="A408" i="6"/>
  <c r="A409" i="6"/>
  <c r="A410" i="6"/>
  <c r="A411" i="6"/>
  <c r="A412" i="6"/>
  <c r="A413" i="6"/>
  <c r="A414" i="6"/>
  <c r="A415" i="6"/>
  <c r="A416" i="6"/>
  <c r="A417" i="6"/>
  <c r="A418" i="6"/>
  <c r="A419" i="6"/>
  <c r="A420" i="6"/>
  <c r="A421" i="6"/>
  <c r="A422" i="6"/>
  <c r="A423" i="6"/>
  <c r="A424" i="6"/>
  <c r="A425" i="6"/>
  <c r="A426" i="6"/>
  <c r="A427" i="6"/>
  <c r="A428" i="6"/>
  <c r="A429" i="6"/>
  <c r="A430" i="6"/>
  <c r="A431" i="6"/>
  <c r="A432" i="6"/>
  <c r="A433" i="6"/>
  <c r="A434" i="6"/>
  <c r="A435" i="6"/>
  <c r="A436" i="6"/>
  <c r="A437" i="6"/>
  <c r="A438" i="6"/>
  <c r="A439" i="6"/>
  <c r="A440" i="6"/>
  <c r="A441" i="6"/>
  <c r="A442" i="6"/>
  <c r="A443" i="6"/>
  <c r="A444" i="6"/>
  <c r="A445" i="6"/>
  <c r="A446" i="6"/>
  <c r="A447" i="6"/>
  <c r="A448" i="6"/>
  <c r="A449" i="6"/>
  <c r="A450" i="6"/>
  <c r="A451" i="6"/>
  <c r="A452" i="6"/>
  <c r="A453" i="6"/>
  <c r="A454" i="6"/>
  <c r="A455" i="6"/>
  <c r="A456" i="6"/>
  <c r="A457" i="6"/>
  <c r="A458" i="6"/>
  <c r="A459" i="6"/>
  <c r="A460" i="6"/>
  <c r="A461" i="6"/>
  <c r="A462" i="6"/>
  <c r="A463" i="6"/>
  <c r="A464" i="6"/>
  <c r="A465" i="6"/>
  <c r="A466" i="6"/>
  <c r="A467" i="6"/>
  <c r="A468" i="6"/>
  <c r="A469" i="6"/>
  <c r="A470" i="6"/>
  <c r="A471" i="6"/>
  <c r="A472" i="6"/>
  <c r="A473" i="6"/>
  <c r="A474" i="6"/>
  <c r="A475" i="6"/>
  <c r="A476" i="6"/>
  <c r="A477" i="6"/>
  <c r="A478" i="6"/>
  <c r="A479" i="6"/>
  <c r="A480" i="6"/>
  <c r="A481" i="6"/>
  <c r="A482" i="6"/>
  <c r="A483" i="6"/>
  <c r="A484" i="6"/>
  <c r="A485" i="6"/>
  <c r="A486" i="6"/>
  <c r="A487" i="6"/>
  <c r="A488" i="6"/>
  <c r="A489" i="6"/>
  <c r="A490" i="6"/>
  <c r="A491" i="6"/>
  <c r="A492" i="6"/>
  <c r="A493" i="6"/>
  <c r="A494" i="6"/>
  <c r="A495" i="6"/>
  <c r="A496" i="6"/>
  <c r="A497" i="6"/>
  <c r="A498" i="6"/>
  <c r="A499" i="6"/>
  <c r="A500" i="6"/>
  <c r="A501" i="6"/>
  <c r="A502" i="6"/>
  <c r="A503" i="6"/>
  <c r="A504" i="6"/>
  <c r="A505" i="6"/>
  <c r="A506" i="6"/>
  <c r="A507" i="6"/>
  <c r="E2" i="6" a="1"/>
  <c r="U508" i="1" a="1"/>
  <c r="L2" i="5" a="1"/>
  <c r="K2" i="5" a="1"/>
  <c r="J2" i="5" a="1"/>
  <c r="T508" i="1" a="1"/>
  <c r="AD508" i="1"/>
  <c r="AB508" i="1"/>
  <c r="A9" i="6"/>
  <c r="B9" i="6" s="1"/>
  <c r="X508" i="1"/>
  <c r="Z508" i="1"/>
  <c r="C20" i="3"/>
  <c r="C21" i="3"/>
  <c r="C22" i="3"/>
  <c r="C23" i="3"/>
  <c r="C24" i="3"/>
  <c r="C25" i="3"/>
  <c r="C26" i="3"/>
  <c r="C27" i="3"/>
  <c r="C28" i="3"/>
  <c r="C29" i="3"/>
  <c r="C30" i="3"/>
  <c r="C31" i="3"/>
  <c r="C32" i="3"/>
  <c r="C33" i="3"/>
  <c r="C34" i="3"/>
  <c r="C35" i="3"/>
  <c r="C36" i="3"/>
  <c r="C37" i="3"/>
  <c r="C38" i="3"/>
  <c r="C39" i="3"/>
  <c r="C40" i="3"/>
  <c r="C41" i="3"/>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78" i="3"/>
  <c r="C79" i="3"/>
  <c r="C80" i="3"/>
  <c r="C81" i="3"/>
  <c r="C82" i="3"/>
  <c r="C83" i="3"/>
  <c r="C84" i="3"/>
  <c r="C85" i="3"/>
  <c r="C86" i="3"/>
  <c r="C87" i="3"/>
  <c r="C88" i="3"/>
  <c r="C89" i="3"/>
  <c r="C90" i="3"/>
  <c r="C91" i="3"/>
  <c r="C92" i="3"/>
  <c r="C93" i="3"/>
  <c r="C94" i="3"/>
  <c r="C95" i="3"/>
  <c r="C96" i="3"/>
  <c r="C97" i="3"/>
  <c r="C98" i="3"/>
  <c r="C99" i="3"/>
  <c r="C100" i="3"/>
  <c r="C101" i="3"/>
  <c r="C102" i="3"/>
  <c r="C103" i="3"/>
  <c r="C104" i="3"/>
  <c r="C105" i="3"/>
  <c r="C106" i="3"/>
  <c r="C107" i="3"/>
  <c r="C108" i="3"/>
  <c r="C109" i="3"/>
  <c r="C110" i="3"/>
  <c r="C111" i="3"/>
  <c r="C112" i="3"/>
  <c r="C113" i="3"/>
  <c r="C114" i="3"/>
  <c r="C115" i="3"/>
  <c r="C116" i="3"/>
  <c r="C117" i="3"/>
  <c r="C118" i="3"/>
  <c r="C119" i="3"/>
  <c r="C120" i="3"/>
  <c r="C121" i="3"/>
  <c r="C122" i="3"/>
  <c r="C123" i="3"/>
  <c r="C124" i="3"/>
  <c r="C125" i="3"/>
  <c r="C126" i="3"/>
  <c r="C127" i="3"/>
  <c r="C128" i="3"/>
  <c r="C129" i="3"/>
  <c r="C130" i="3"/>
  <c r="C131" i="3"/>
  <c r="C132" i="3"/>
  <c r="C133" i="3"/>
  <c r="C134" i="3"/>
  <c r="C135" i="3"/>
  <c r="C136" i="3"/>
  <c r="C137" i="3"/>
  <c r="C138" i="3"/>
  <c r="C139" i="3"/>
  <c r="C140" i="3"/>
  <c r="C141" i="3"/>
  <c r="C142" i="3"/>
  <c r="C143" i="3"/>
  <c r="C144" i="3"/>
  <c r="C145" i="3"/>
  <c r="C146" i="3"/>
  <c r="C147" i="3"/>
  <c r="C148" i="3"/>
  <c r="C149" i="3"/>
  <c r="C150" i="3"/>
  <c r="C151" i="3"/>
  <c r="C152" i="3"/>
  <c r="C153" i="3"/>
  <c r="C154" i="3"/>
  <c r="C155" i="3"/>
  <c r="C156" i="3"/>
  <c r="C157" i="3"/>
  <c r="C158" i="3"/>
  <c r="C159" i="3"/>
  <c r="C160" i="3"/>
  <c r="C161" i="3"/>
  <c r="C162" i="3"/>
  <c r="C163" i="3"/>
  <c r="C164" i="3"/>
  <c r="C165" i="3"/>
  <c r="C166" i="3"/>
  <c r="C167" i="3"/>
  <c r="C168" i="3"/>
  <c r="C169" i="3"/>
  <c r="C170" i="3"/>
  <c r="C171" i="3"/>
  <c r="C172" i="3"/>
  <c r="C173" i="3"/>
  <c r="C174" i="3"/>
  <c r="C175" i="3"/>
  <c r="C176" i="3"/>
  <c r="C177" i="3"/>
  <c r="C178" i="3"/>
  <c r="C179" i="3"/>
  <c r="C180" i="3"/>
  <c r="C181" i="3"/>
  <c r="C182" i="3"/>
  <c r="C183" i="3"/>
  <c r="C184" i="3"/>
  <c r="C185" i="3"/>
  <c r="C186" i="3"/>
  <c r="C187" i="3"/>
  <c r="C188" i="3"/>
  <c r="C189" i="3"/>
  <c r="C190" i="3"/>
  <c r="C191" i="3"/>
  <c r="C192" i="3"/>
  <c r="C193" i="3"/>
  <c r="C194" i="3"/>
  <c r="C195" i="3"/>
  <c r="C196" i="3"/>
  <c r="C197" i="3"/>
  <c r="C198" i="3"/>
  <c r="C199" i="3"/>
  <c r="C200" i="3"/>
  <c r="C201" i="3"/>
  <c r="C202" i="3"/>
  <c r="C203" i="3"/>
  <c r="C204" i="3"/>
  <c r="C205" i="3"/>
  <c r="C206" i="3"/>
  <c r="C207" i="3"/>
  <c r="C208" i="3"/>
  <c r="C209" i="3"/>
  <c r="C210" i="3"/>
  <c r="C211" i="3"/>
  <c r="C212" i="3"/>
  <c r="C213" i="3"/>
  <c r="C214" i="3"/>
  <c r="C215" i="3"/>
  <c r="C216" i="3"/>
  <c r="C217" i="3"/>
  <c r="C218" i="3"/>
  <c r="C219" i="3"/>
  <c r="C220" i="3"/>
  <c r="C221" i="3"/>
  <c r="C222" i="3"/>
  <c r="C223" i="3"/>
  <c r="C224" i="3"/>
  <c r="C225" i="3"/>
  <c r="C226" i="3"/>
  <c r="C227" i="3"/>
  <c r="C228" i="3"/>
  <c r="C229" i="3"/>
  <c r="C230" i="3"/>
  <c r="C231" i="3"/>
  <c r="C232" i="3"/>
  <c r="C233" i="3"/>
  <c r="C234" i="3"/>
  <c r="C235" i="3"/>
  <c r="C236" i="3"/>
  <c r="C237" i="3"/>
  <c r="C238" i="3"/>
  <c r="C239" i="3"/>
  <c r="C240" i="3"/>
  <c r="C241" i="3"/>
  <c r="C242" i="3"/>
  <c r="C243" i="3"/>
  <c r="C244" i="3"/>
  <c r="C245" i="3"/>
  <c r="C246" i="3"/>
  <c r="C247" i="3"/>
  <c r="C248" i="3"/>
  <c r="C249" i="3"/>
  <c r="C250" i="3"/>
  <c r="C251" i="3"/>
  <c r="C252" i="3"/>
  <c r="C253" i="3"/>
  <c r="C254" i="3"/>
  <c r="C255" i="3"/>
  <c r="C256" i="3"/>
  <c r="C257" i="3"/>
  <c r="C258" i="3"/>
  <c r="C259" i="3"/>
  <c r="C260" i="3"/>
  <c r="C261" i="3"/>
  <c r="C262" i="3"/>
  <c r="C263" i="3"/>
  <c r="C264" i="3"/>
  <c r="C265" i="3"/>
  <c r="C266" i="3"/>
  <c r="C267" i="3"/>
  <c r="C268" i="3"/>
  <c r="C269" i="3"/>
  <c r="C270" i="3"/>
  <c r="C271" i="3"/>
  <c r="C272" i="3"/>
  <c r="C273" i="3"/>
  <c r="C274" i="3"/>
  <c r="C275" i="3"/>
  <c r="C276" i="3"/>
  <c r="C277" i="3"/>
  <c r="C278" i="3"/>
  <c r="C279" i="3"/>
  <c r="C280" i="3"/>
  <c r="C281" i="3"/>
  <c r="C282" i="3"/>
  <c r="C283" i="3"/>
  <c r="C284" i="3"/>
  <c r="C285" i="3"/>
  <c r="C286" i="3"/>
  <c r="C287" i="3"/>
  <c r="C288" i="3"/>
  <c r="C289" i="3"/>
  <c r="C290" i="3"/>
  <c r="C291" i="3"/>
  <c r="C292" i="3"/>
  <c r="C293" i="3"/>
  <c r="C294" i="3"/>
  <c r="C295" i="3"/>
  <c r="C296" i="3"/>
  <c r="C297" i="3"/>
  <c r="C298" i="3"/>
  <c r="C299" i="3"/>
  <c r="C300" i="3"/>
  <c r="C301" i="3"/>
  <c r="C302" i="3"/>
  <c r="C303" i="3"/>
  <c r="C304" i="3"/>
  <c r="C305" i="3"/>
  <c r="C306" i="3"/>
  <c r="C307" i="3"/>
  <c r="C308" i="3"/>
  <c r="C309" i="3"/>
  <c r="C310" i="3"/>
  <c r="C311" i="3"/>
  <c r="C312" i="3"/>
  <c r="C313" i="3"/>
  <c r="C314" i="3"/>
  <c r="C315" i="3"/>
  <c r="C316" i="3"/>
  <c r="C317" i="3"/>
  <c r="C318" i="3"/>
  <c r="C319" i="3"/>
  <c r="C320" i="3"/>
  <c r="C321" i="3"/>
  <c r="C322" i="3"/>
  <c r="C323" i="3"/>
  <c r="C324" i="3"/>
  <c r="C325" i="3"/>
  <c r="C326" i="3"/>
  <c r="C327" i="3"/>
  <c r="C328" i="3"/>
  <c r="C329" i="3"/>
  <c r="C330" i="3"/>
  <c r="C331" i="3"/>
  <c r="C332" i="3"/>
  <c r="C333" i="3"/>
  <c r="C334" i="3"/>
  <c r="C335" i="3"/>
  <c r="C336" i="3"/>
  <c r="C337" i="3"/>
  <c r="C338" i="3"/>
  <c r="C339" i="3"/>
  <c r="C340" i="3"/>
  <c r="C341" i="3"/>
  <c r="C342" i="3"/>
  <c r="C343" i="3"/>
  <c r="C344" i="3"/>
  <c r="C345" i="3"/>
  <c r="C346" i="3"/>
  <c r="C347" i="3"/>
  <c r="C348" i="3"/>
  <c r="C349" i="3"/>
  <c r="C350" i="3"/>
  <c r="C351" i="3"/>
  <c r="C352" i="3"/>
  <c r="C353" i="3"/>
  <c r="C354" i="3"/>
  <c r="C355" i="3"/>
  <c r="C356" i="3"/>
  <c r="C357" i="3"/>
  <c r="C358" i="3"/>
  <c r="C359" i="3"/>
  <c r="C360" i="3"/>
  <c r="C361" i="3"/>
  <c r="C362" i="3"/>
  <c r="C363" i="3"/>
  <c r="C364" i="3"/>
  <c r="C365" i="3"/>
  <c r="C366" i="3"/>
  <c r="C367" i="3"/>
  <c r="C368" i="3"/>
  <c r="C369" i="3"/>
  <c r="C370" i="3"/>
  <c r="C371" i="3"/>
  <c r="C372" i="3"/>
  <c r="C373" i="3"/>
  <c r="C374" i="3"/>
  <c r="C375" i="3"/>
  <c r="C376" i="3"/>
  <c r="C377" i="3"/>
  <c r="C378" i="3"/>
  <c r="C379" i="3"/>
  <c r="C380" i="3"/>
  <c r="C381" i="3"/>
  <c r="C382" i="3"/>
  <c r="C383" i="3"/>
  <c r="C384" i="3"/>
  <c r="C385" i="3"/>
  <c r="C386" i="3"/>
  <c r="C387" i="3"/>
  <c r="C388" i="3"/>
  <c r="C389" i="3"/>
  <c r="C390" i="3"/>
  <c r="C391" i="3"/>
  <c r="C392" i="3"/>
  <c r="C393" i="3"/>
  <c r="C394" i="3"/>
  <c r="C395" i="3"/>
  <c r="C396" i="3"/>
  <c r="C397" i="3"/>
  <c r="C398" i="3"/>
  <c r="C399" i="3"/>
  <c r="C400" i="3"/>
  <c r="C401" i="3"/>
  <c r="C402" i="3"/>
  <c r="C403" i="3"/>
  <c r="C404" i="3"/>
  <c r="C405" i="3"/>
  <c r="C406" i="3"/>
  <c r="C407" i="3"/>
  <c r="C408" i="3"/>
  <c r="C409" i="3"/>
  <c r="C410" i="3"/>
  <c r="C411" i="3"/>
  <c r="C412" i="3"/>
  <c r="C413" i="3"/>
  <c r="C414" i="3"/>
  <c r="C415" i="3"/>
  <c r="C416" i="3"/>
  <c r="C417" i="3"/>
  <c r="C418" i="3"/>
  <c r="C419" i="3"/>
  <c r="C420" i="3"/>
  <c r="C421" i="3"/>
  <c r="C422" i="3"/>
  <c r="C423" i="3"/>
  <c r="C424" i="3"/>
  <c r="C425" i="3"/>
  <c r="C426" i="3"/>
  <c r="C427" i="3"/>
  <c r="C428" i="3"/>
  <c r="C429" i="3"/>
  <c r="C430" i="3"/>
  <c r="C431" i="3"/>
  <c r="C432" i="3"/>
  <c r="C433" i="3"/>
  <c r="C434" i="3"/>
  <c r="C435" i="3"/>
  <c r="C436" i="3"/>
  <c r="C437" i="3"/>
  <c r="C438" i="3"/>
  <c r="C439" i="3"/>
  <c r="C440" i="3"/>
  <c r="C441" i="3"/>
  <c r="C442" i="3"/>
  <c r="C443" i="3"/>
  <c r="C444" i="3"/>
  <c r="C445" i="3"/>
  <c r="C446" i="3"/>
  <c r="C447" i="3"/>
  <c r="C448" i="3"/>
  <c r="C449" i="3"/>
  <c r="C450" i="3"/>
  <c r="C451" i="3"/>
  <c r="C452" i="3"/>
  <c r="C453" i="3"/>
  <c r="C454" i="3"/>
  <c r="C455" i="3"/>
  <c r="C456" i="3"/>
  <c r="C457" i="3"/>
  <c r="C458" i="3"/>
  <c r="C459" i="3"/>
  <c r="C460" i="3"/>
  <c r="C461" i="3"/>
  <c r="C462" i="3"/>
  <c r="C463" i="3"/>
  <c r="C464" i="3"/>
  <c r="C465" i="3"/>
  <c r="C466" i="3"/>
  <c r="C467" i="3"/>
  <c r="C468" i="3"/>
  <c r="C469" i="3"/>
  <c r="C470" i="3"/>
  <c r="C471" i="3"/>
  <c r="C472" i="3"/>
  <c r="C473" i="3"/>
  <c r="C474" i="3"/>
  <c r="C475" i="3"/>
  <c r="C476" i="3"/>
  <c r="C477" i="3"/>
  <c r="C478" i="3"/>
  <c r="C479" i="3"/>
  <c r="C480" i="3"/>
  <c r="C481" i="3"/>
  <c r="C482" i="3"/>
  <c r="C483" i="3"/>
  <c r="C484" i="3"/>
  <c r="C485" i="3"/>
  <c r="C486" i="3"/>
  <c r="C487" i="3"/>
  <c r="C488" i="3"/>
  <c r="C489" i="3"/>
  <c r="C490" i="3"/>
  <c r="C491" i="3"/>
  <c r="C492" i="3"/>
  <c r="C493" i="3"/>
  <c r="C494" i="3"/>
  <c r="C495" i="3"/>
  <c r="C496" i="3"/>
  <c r="C497" i="3"/>
  <c r="C498" i="3"/>
  <c r="C499" i="3"/>
  <c r="C500" i="3"/>
  <c r="C501" i="3"/>
  <c r="C502" i="3"/>
  <c r="C503" i="3"/>
  <c r="C504" i="3"/>
  <c r="C505" i="3"/>
  <c r="C506" i="3"/>
  <c r="C507" i="3"/>
  <c r="C508" i="3"/>
  <c r="C509" i="3"/>
  <c r="C510" i="3"/>
  <c r="C511" i="3"/>
  <c r="C512" i="3"/>
  <c r="C513" i="3"/>
  <c r="C514" i="3"/>
  <c r="C515" i="3"/>
  <c r="C516" i="3"/>
  <c r="C517" i="3"/>
  <c r="C518" i="3"/>
  <c r="C19" i="3"/>
  <c r="I518" i="3"/>
  <c r="H518" i="3"/>
  <c r="E518" i="3"/>
  <c r="D518" i="3"/>
  <c r="B518" i="3"/>
  <c r="A518" i="3"/>
  <c r="I517" i="3"/>
  <c r="H517" i="3"/>
  <c r="E517" i="3"/>
  <c r="D517" i="3"/>
  <c r="B517" i="3"/>
  <c r="A517" i="3"/>
  <c r="I516" i="3"/>
  <c r="H516" i="3"/>
  <c r="E516" i="3"/>
  <c r="D516" i="3"/>
  <c r="B516" i="3"/>
  <c r="A516" i="3"/>
  <c r="I515" i="3"/>
  <c r="H515" i="3"/>
  <c r="E515" i="3"/>
  <c r="D515" i="3"/>
  <c r="B515" i="3"/>
  <c r="A515" i="3"/>
  <c r="I514" i="3"/>
  <c r="H514" i="3"/>
  <c r="E514" i="3"/>
  <c r="D514" i="3"/>
  <c r="B514" i="3"/>
  <c r="A514" i="3"/>
  <c r="I513" i="3"/>
  <c r="H513" i="3"/>
  <c r="E513" i="3"/>
  <c r="D513" i="3"/>
  <c r="B513" i="3"/>
  <c r="A513" i="3"/>
  <c r="I512" i="3"/>
  <c r="H512" i="3"/>
  <c r="E512" i="3"/>
  <c r="D512" i="3"/>
  <c r="B512" i="3"/>
  <c r="A512" i="3"/>
  <c r="I511" i="3"/>
  <c r="H511" i="3"/>
  <c r="E511" i="3"/>
  <c r="D511" i="3"/>
  <c r="B511" i="3"/>
  <c r="A511" i="3"/>
  <c r="I510" i="3"/>
  <c r="H510" i="3"/>
  <c r="E510" i="3"/>
  <c r="D510" i="3"/>
  <c r="B510" i="3"/>
  <c r="A510" i="3"/>
  <c r="I509" i="3"/>
  <c r="H509" i="3"/>
  <c r="E509" i="3"/>
  <c r="D509" i="3"/>
  <c r="B509" i="3"/>
  <c r="A509" i="3"/>
  <c r="I508" i="3"/>
  <c r="H508" i="3"/>
  <c r="E508" i="3"/>
  <c r="D508" i="3"/>
  <c r="B508" i="3"/>
  <c r="A508" i="3"/>
  <c r="I507" i="3"/>
  <c r="H507" i="3"/>
  <c r="E507" i="3"/>
  <c r="D507" i="3"/>
  <c r="B507" i="3"/>
  <c r="A507" i="3"/>
  <c r="I506" i="3"/>
  <c r="H506" i="3"/>
  <c r="E506" i="3"/>
  <c r="D506" i="3"/>
  <c r="B506" i="3"/>
  <c r="A506" i="3"/>
  <c r="I505" i="3"/>
  <c r="H505" i="3"/>
  <c r="E505" i="3"/>
  <c r="D505" i="3"/>
  <c r="B505" i="3"/>
  <c r="A505" i="3"/>
  <c r="I504" i="3"/>
  <c r="H504" i="3"/>
  <c r="E504" i="3"/>
  <c r="D504" i="3"/>
  <c r="B504" i="3"/>
  <c r="A504" i="3"/>
  <c r="I503" i="3"/>
  <c r="H503" i="3"/>
  <c r="E503" i="3"/>
  <c r="D503" i="3"/>
  <c r="B503" i="3"/>
  <c r="A503" i="3"/>
  <c r="I502" i="3"/>
  <c r="H502" i="3"/>
  <c r="E502" i="3"/>
  <c r="D502" i="3"/>
  <c r="B502" i="3"/>
  <c r="A502" i="3"/>
  <c r="I501" i="3"/>
  <c r="H501" i="3"/>
  <c r="E501" i="3"/>
  <c r="D501" i="3"/>
  <c r="B501" i="3"/>
  <c r="A501" i="3"/>
  <c r="I500" i="3"/>
  <c r="H500" i="3"/>
  <c r="E500" i="3"/>
  <c r="D500" i="3"/>
  <c r="B500" i="3"/>
  <c r="A500" i="3"/>
  <c r="I499" i="3"/>
  <c r="H499" i="3"/>
  <c r="E499" i="3"/>
  <c r="D499" i="3"/>
  <c r="B499" i="3"/>
  <c r="A499" i="3"/>
  <c r="I498" i="3"/>
  <c r="H498" i="3"/>
  <c r="E498" i="3"/>
  <c r="D498" i="3"/>
  <c r="B498" i="3"/>
  <c r="A498" i="3"/>
  <c r="I497" i="3"/>
  <c r="H497" i="3"/>
  <c r="E497" i="3"/>
  <c r="D497" i="3"/>
  <c r="B497" i="3"/>
  <c r="A497" i="3"/>
  <c r="I496" i="3"/>
  <c r="H496" i="3"/>
  <c r="E496" i="3"/>
  <c r="D496" i="3"/>
  <c r="B496" i="3"/>
  <c r="A496" i="3"/>
  <c r="I495" i="3"/>
  <c r="H495" i="3"/>
  <c r="E495" i="3"/>
  <c r="D495" i="3"/>
  <c r="B495" i="3"/>
  <c r="A495" i="3"/>
  <c r="I494" i="3"/>
  <c r="H494" i="3"/>
  <c r="E494" i="3"/>
  <c r="D494" i="3"/>
  <c r="B494" i="3"/>
  <c r="A494" i="3"/>
  <c r="I493" i="3"/>
  <c r="H493" i="3"/>
  <c r="E493" i="3"/>
  <c r="D493" i="3"/>
  <c r="B493" i="3"/>
  <c r="A493" i="3"/>
  <c r="I492" i="3"/>
  <c r="H492" i="3"/>
  <c r="E492" i="3"/>
  <c r="D492" i="3"/>
  <c r="B492" i="3"/>
  <c r="A492" i="3"/>
  <c r="I491" i="3"/>
  <c r="H491" i="3"/>
  <c r="E491" i="3"/>
  <c r="D491" i="3"/>
  <c r="B491" i="3"/>
  <c r="A491" i="3"/>
  <c r="I490" i="3"/>
  <c r="H490" i="3"/>
  <c r="E490" i="3"/>
  <c r="D490" i="3"/>
  <c r="B490" i="3"/>
  <c r="A490" i="3"/>
  <c r="I489" i="3"/>
  <c r="H489" i="3"/>
  <c r="E489" i="3"/>
  <c r="D489" i="3"/>
  <c r="B489" i="3"/>
  <c r="A489" i="3"/>
  <c r="I488" i="3"/>
  <c r="H488" i="3"/>
  <c r="E488" i="3"/>
  <c r="D488" i="3"/>
  <c r="B488" i="3"/>
  <c r="A488" i="3"/>
  <c r="I487" i="3"/>
  <c r="H487" i="3"/>
  <c r="E487" i="3"/>
  <c r="D487" i="3"/>
  <c r="B487" i="3"/>
  <c r="A487" i="3"/>
  <c r="I486" i="3"/>
  <c r="H486" i="3"/>
  <c r="E486" i="3"/>
  <c r="D486" i="3"/>
  <c r="B486" i="3"/>
  <c r="A486" i="3"/>
  <c r="I485" i="3"/>
  <c r="H485" i="3"/>
  <c r="E485" i="3"/>
  <c r="D485" i="3"/>
  <c r="B485" i="3"/>
  <c r="A485" i="3"/>
  <c r="I484" i="3"/>
  <c r="H484" i="3"/>
  <c r="E484" i="3"/>
  <c r="D484" i="3"/>
  <c r="B484" i="3"/>
  <c r="A484" i="3"/>
  <c r="I483" i="3"/>
  <c r="H483" i="3"/>
  <c r="E483" i="3"/>
  <c r="D483" i="3"/>
  <c r="B483" i="3"/>
  <c r="A483" i="3"/>
  <c r="I482" i="3"/>
  <c r="H482" i="3"/>
  <c r="E482" i="3"/>
  <c r="D482" i="3"/>
  <c r="B482" i="3"/>
  <c r="A482" i="3"/>
  <c r="I481" i="3"/>
  <c r="H481" i="3"/>
  <c r="E481" i="3"/>
  <c r="D481" i="3"/>
  <c r="B481" i="3"/>
  <c r="A481" i="3"/>
  <c r="I480" i="3"/>
  <c r="H480" i="3"/>
  <c r="E480" i="3"/>
  <c r="D480" i="3"/>
  <c r="B480" i="3"/>
  <c r="A480" i="3"/>
  <c r="I479" i="3"/>
  <c r="H479" i="3"/>
  <c r="E479" i="3"/>
  <c r="D479" i="3"/>
  <c r="B479" i="3"/>
  <c r="A479" i="3"/>
  <c r="I478" i="3"/>
  <c r="H478" i="3"/>
  <c r="E478" i="3"/>
  <c r="D478" i="3"/>
  <c r="B478" i="3"/>
  <c r="A478" i="3"/>
  <c r="I477" i="3"/>
  <c r="H477" i="3"/>
  <c r="E477" i="3"/>
  <c r="D477" i="3"/>
  <c r="B477" i="3"/>
  <c r="A477" i="3"/>
  <c r="I476" i="3"/>
  <c r="H476" i="3"/>
  <c r="E476" i="3"/>
  <c r="D476" i="3"/>
  <c r="B476" i="3"/>
  <c r="A476" i="3"/>
  <c r="I475" i="3"/>
  <c r="H475" i="3"/>
  <c r="E475" i="3"/>
  <c r="D475" i="3"/>
  <c r="B475" i="3"/>
  <c r="A475" i="3"/>
  <c r="I474" i="3"/>
  <c r="H474" i="3"/>
  <c r="E474" i="3"/>
  <c r="D474" i="3"/>
  <c r="B474" i="3"/>
  <c r="A474" i="3"/>
  <c r="I473" i="3"/>
  <c r="H473" i="3"/>
  <c r="E473" i="3"/>
  <c r="D473" i="3"/>
  <c r="B473" i="3"/>
  <c r="A473" i="3"/>
  <c r="I472" i="3"/>
  <c r="H472" i="3"/>
  <c r="E472" i="3"/>
  <c r="D472" i="3"/>
  <c r="B472" i="3"/>
  <c r="A472" i="3"/>
  <c r="I471" i="3"/>
  <c r="H471" i="3"/>
  <c r="E471" i="3"/>
  <c r="D471" i="3"/>
  <c r="B471" i="3"/>
  <c r="A471" i="3"/>
  <c r="I470" i="3"/>
  <c r="H470" i="3"/>
  <c r="E470" i="3"/>
  <c r="D470" i="3"/>
  <c r="B470" i="3"/>
  <c r="A470" i="3"/>
  <c r="I469" i="3"/>
  <c r="H469" i="3"/>
  <c r="E469" i="3"/>
  <c r="D469" i="3"/>
  <c r="B469" i="3"/>
  <c r="A469" i="3"/>
  <c r="I468" i="3"/>
  <c r="H468" i="3"/>
  <c r="E468" i="3"/>
  <c r="D468" i="3"/>
  <c r="B468" i="3"/>
  <c r="A468" i="3"/>
  <c r="I467" i="3"/>
  <c r="H467" i="3"/>
  <c r="E467" i="3"/>
  <c r="D467" i="3"/>
  <c r="B467" i="3"/>
  <c r="A467" i="3"/>
  <c r="I466" i="3"/>
  <c r="H466" i="3"/>
  <c r="E466" i="3"/>
  <c r="D466" i="3"/>
  <c r="B466" i="3"/>
  <c r="A466" i="3"/>
  <c r="I465" i="3"/>
  <c r="H465" i="3"/>
  <c r="E465" i="3"/>
  <c r="D465" i="3"/>
  <c r="B465" i="3"/>
  <c r="A465" i="3"/>
  <c r="I464" i="3"/>
  <c r="H464" i="3"/>
  <c r="E464" i="3"/>
  <c r="D464" i="3"/>
  <c r="B464" i="3"/>
  <c r="A464" i="3"/>
  <c r="I463" i="3"/>
  <c r="H463" i="3"/>
  <c r="E463" i="3"/>
  <c r="D463" i="3"/>
  <c r="B463" i="3"/>
  <c r="A463" i="3"/>
  <c r="I462" i="3"/>
  <c r="H462" i="3"/>
  <c r="E462" i="3"/>
  <c r="D462" i="3"/>
  <c r="B462" i="3"/>
  <c r="A462" i="3"/>
  <c r="I461" i="3"/>
  <c r="H461" i="3"/>
  <c r="E461" i="3"/>
  <c r="D461" i="3"/>
  <c r="B461" i="3"/>
  <c r="A461" i="3"/>
  <c r="I460" i="3"/>
  <c r="H460" i="3"/>
  <c r="E460" i="3"/>
  <c r="D460" i="3"/>
  <c r="B460" i="3"/>
  <c r="A460" i="3"/>
  <c r="I459" i="3"/>
  <c r="H459" i="3"/>
  <c r="E459" i="3"/>
  <c r="D459" i="3"/>
  <c r="B459" i="3"/>
  <c r="A459" i="3"/>
  <c r="I458" i="3"/>
  <c r="H458" i="3"/>
  <c r="E458" i="3"/>
  <c r="D458" i="3"/>
  <c r="B458" i="3"/>
  <c r="A458" i="3"/>
  <c r="I457" i="3"/>
  <c r="H457" i="3"/>
  <c r="E457" i="3"/>
  <c r="D457" i="3"/>
  <c r="B457" i="3"/>
  <c r="A457" i="3"/>
  <c r="I456" i="3"/>
  <c r="H456" i="3"/>
  <c r="E456" i="3"/>
  <c r="D456" i="3"/>
  <c r="B456" i="3"/>
  <c r="A456" i="3"/>
  <c r="I455" i="3"/>
  <c r="H455" i="3"/>
  <c r="E455" i="3"/>
  <c r="D455" i="3"/>
  <c r="B455" i="3"/>
  <c r="A455" i="3"/>
  <c r="I454" i="3"/>
  <c r="H454" i="3"/>
  <c r="E454" i="3"/>
  <c r="D454" i="3"/>
  <c r="B454" i="3"/>
  <c r="A454" i="3"/>
  <c r="I453" i="3"/>
  <c r="H453" i="3"/>
  <c r="E453" i="3"/>
  <c r="D453" i="3"/>
  <c r="B453" i="3"/>
  <c r="A453" i="3"/>
  <c r="I452" i="3"/>
  <c r="H452" i="3"/>
  <c r="E452" i="3"/>
  <c r="D452" i="3"/>
  <c r="B452" i="3"/>
  <c r="A452" i="3"/>
  <c r="I451" i="3"/>
  <c r="H451" i="3"/>
  <c r="E451" i="3"/>
  <c r="D451" i="3"/>
  <c r="B451" i="3"/>
  <c r="A451" i="3"/>
  <c r="I450" i="3"/>
  <c r="H450" i="3"/>
  <c r="E450" i="3"/>
  <c r="D450" i="3"/>
  <c r="B450" i="3"/>
  <c r="A450" i="3"/>
  <c r="I449" i="3"/>
  <c r="H449" i="3"/>
  <c r="E449" i="3"/>
  <c r="D449" i="3"/>
  <c r="B449" i="3"/>
  <c r="A449" i="3"/>
  <c r="I448" i="3"/>
  <c r="H448" i="3"/>
  <c r="E448" i="3"/>
  <c r="D448" i="3"/>
  <c r="B448" i="3"/>
  <c r="A448" i="3"/>
  <c r="I447" i="3"/>
  <c r="H447" i="3"/>
  <c r="E447" i="3"/>
  <c r="D447" i="3"/>
  <c r="B447" i="3"/>
  <c r="A447" i="3"/>
  <c r="I446" i="3"/>
  <c r="H446" i="3"/>
  <c r="E446" i="3"/>
  <c r="D446" i="3"/>
  <c r="B446" i="3"/>
  <c r="A446" i="3"/>
  <c r="I445" i="3"/>
  <c r="H445" i="3"/>
  <c r="E445" i="3"/>
  <c r="D445" i="3"/>
  <c r="B445" i="3"/>
  <c r="A445" i="3"/>
  <c r="I444" i="3"/>
  <c r="H444" i="3"/>
  <c r="E444" i="3"/>
  <c r="D444" i="3"/>
  <c r="B444" i="3"/>
  <c r="A444" i="3"/>
  <c r="I443" i="3"/>
  <c r="H443" i="3"/>
  <c r="E443" i="3"/>
  <c r="D443" i="3"/>
  <c r="B443" i="3"/>
  <c r="A443" i="3"/>
  <c r="I442" i="3"/>
  <c r="H442" i="3"/>
  <c r="E442" i="3"/>
  <c r="D442" i="3"/>
  <c r="B442" i="3"/>
  <c r="A442" i="3"/>
  <c r="I441" i="3"/>
  <c r="H441" i="3"/>
  <c r="E441" i="3"/>
  <c r="D441" i="3"/>
  <c r="B441" i="3"/>
  <c r="A441" i="3"/>
  <c r="I440" i="3"/>
  <c r="H440" i="3"/>
  <c r="E440" i="3"/>
  <c r="D440" i="3"/>
  <c r="B440" i="3"/>
  <c r="A440" i="3"/>
  <c r="I439" i="3"/>
  <c r="H439" i="3"/>
  <c r="E439" i="3"/>
  <c r="D439" i="3"/>
  <c r="B439" i="3"/>
  <c r="A439" i="3"/>
  <c r="I438" i="3"/>
  <c r="H438" i="3"/>
  <c r="E438" i="3"/>
  <c r="D438" i="3"/>
  <c r="B438" i="3"/>
  <c r="A438" i="3"/>
  <c r="I437" i="3"/>
  <c r="H437" i="3"/>
  <c r="E437" i="3"/>
  <c r="D437" i="3"/>
  <c r="B437" i="3"/>
  <c r="A437" i="3"/>
  <c r="I436" i="3"/>
  <c r="H436" i="3"/>
  <c r="E436" i="3"/>
  <c r="D436" i="3"/>
  <c r="B436" i="3"/>
  <c r="A436" i="3"/>
  <c r="I435" i="3"/>
  <c r="H435" i="3"/>
  <c r="E435" i="3"/>
  <c r="D435" i="3"/>
  <c r="B435" i="3"/>
  <c r="A435" i="3"/>
  <c r="I434" i="3"/>
  <c r="H434" i="3"/>
  <c r="E434" i="3"/>
  <c r="D434" i="3"/>
  <c r="B434" i="3"/>
  <c r="A434" i="3"/>
  <c r="I433" i="3"/>
  <c r="H433" i="3"/>
  <c r="E433" i="3"/>
  <c r="D433" i="3"/>
  <c r="B433" i="3"/>
  <c r="A433" i="3"/>
  <c r="I432" i="3"/>
  <c r="H432" i="3"/>
  <c r="E432" i="3"/>
  <c r="D432" i="3"/>
  <c r="B432" i="3"/>
  <c r="A432" i="3"/>
  <c r="I431" i="3"/>
  <c r="H431" i="3"/>
  <c r="E431" i="3"/>
  <c r="D431" i="3"/>
  <c r="B431" i="3"/>
  <c r="A431" i="3"/>
  <c r="I430" i="3"/>
  <c r="H430" i="3"/>
  <c r="E430" i="3"/>
  <c r="D430" i="3"/>
  <c r="B430" i="3"/>
  <c r="A430" i="3"/>
  <c r="I429" i="3"/>
  <c r="H429" i="3"/>
  <c r="E429" i="3"/>
  <c r="D429" i="3"/>
  <c r="B429" i="3"/>
  <c r="A429" i="3"/>
  <c r="I428" i="3"/>
  <c r="H428" i="3"/>
  <c r="E428" i="3"/>
  <c r="D428" i="3"/>
  <c r="B428" i="3"/>
  <c r="A428" i="3"/>
  <c r="I427" i="3"/>
  <c r="H427" i="3"/>
  <c r="E427" i="3"/>
  <c r="D427" i="3"/>
  <c r="B427" i="3"/>
  <c r="A427" i="3"/>
  <c r="I426" i="3"/>
  <c r="H426" i="3"/>
  <c r="E426" i="3"/>
  <c r="D426" i="3"/>
  <c r="B426" i="3"/>
  <c r="A426" i="3"/>
  <c r="I425" i="3"/>
  <c r="H425" i="3"/>
  <c r="E425" i="3"/>
  <c r="D425" i="3"/>
  <c r="B425" i="3"/>
  <c r="A425" i="3"/>
  <c r="I424" i="3"/>
  <c r="H424" i="3"/>
  <c r="E424" i="3"/>
  <c r="D424" i="3"/>
  <c r="B424" i="3"/>
  <c r="A424" i="3"/>
  <c r="I423" i="3"/>
  <c r="H423" i="3"/>
  <c r="E423" i="3"/>
  <c r="D423" i="3"/>
  <c r="B423" i="3"/>
  <c r="A423" i="3"/>
  <c r="I422" i="3"/>
  <c r="H422" i="3"/>
  <c r="E422" i="3"/>
  <c r="D422" i="3"/>
  <c r="B422" i="3"/>
  <c r="A422" i="3"/>
  <c r="I421" i="3"/>
  <c r="H421" i="3"/>
  <c r="E421" i="3"/>
  <c r="D421" i="3"/>
  <c r="B421" i="3"/>
  <c r="A421" i="3"/>
  <c r="I420" i="3"/>
  <c r="H420" i="3"/>
  <c r="E420" i="3"/>
  <c r="D420" i="3"/>
  <c r="B420" i="3"/>
  <c r="A420" i="3"/>
  <c r="I419" i="3"/>
  <c r="H419" i="3"/>
  <c r="E419" i="3"/>
  <c r="D419" i="3"/>
  <c r="B419" i="3"/>
  <c r="A419" i="3"/>
  <c r="I418" i="3"/>
  <c r="H418" i="3"/>
  <c r="E418" i="3"/>
  <c r="D418" i="3"/>
  <c r="B418" i="3"/>
  <c r="A418" i="3"/>
  <c r="I417" i="3"/>
  <c r="H417" i="3"/>
  <c r="E417" i="3"/>
  <c r="D417" i="3"/>
  <c r="B417" i="3"/>
  <c r="A417" i="3"/>
  <c r="I416" i="3"/>
  <c r="H416" i="3"/>
  <c r="E416" i="3"/>
  <c r="D416" i="3"/>
  <c r="B416" i="3"/>
  <c r="A416" i="3"/>
  <c r="I415" i="3"/>
  <c r="H415" i="3"/>
  <c r="E415" i="3"/>
  <c r="D415" i="3"/>
  <c r="B415" i="3"/>
  <c r="A415" i="3"/>
  <c r="I414" i="3"/>
  <c r="H414" i="3"/>
  <c r="E414" i="3"/>
  <c r="D414" i="3"/>
  <c r="B414" i="3"/>
  <c r="A414" i="3"/>
  <c r="I413" i="3"/>
  <c r="H413" i="3"/>
  <c r="E413" i="3"/>
  <c r="D413" i="3"/>
  <c r="B413" i="3"/>
  <c r="A413" i="3"/>
  <c r="I412" i="3"/>
  <c r="H412" i="3"/>
  <c r="E412" i="3"/>
  <c r="D412" i="3"/>
  <c r="B412" i="3"/>
  <c r="A412" i="3"/>
  <c r="I411" i="3"/>
  <c r="H411" i="3"/>
  <c r="E411" i="3"/>
  <c r="D411" i="3"/>
  <c r="B411" i="3"/>
  <c r="A411" i="3"/>
  <c r="I410" i="3"/>
  <c r="H410" i="3"/>
  <c r="E410" i="3"/>
  <c r="D410" i="3"/>
  <c r="B410" i="3"/>
  <c r="A410" i="3"/>
  <c r="I409" i="3"/>
  <c r="H409" i="3"/>
  <c r="E409" i="3"/>
  <c r="D409" i="3"/>
  <c r="B409" i="3"/>
  <c r="A409" i="3"/>
  <c r="I408" i="3"/>
  <c r="H408" i="3"/>
  <c r="E408" i="3"/>
  <c r="D408" i="3"/>
  <c r="B408" i="3"/>
  <c r="A408" i="3"/>
  <c r="I407" i="3"/>
  <c r="H407" i="3"/>
  <c r="E407" i="3"/>
  <c r="D407" i="3"/>
  <c r="B407" i="3"/>
  <c r="A407" i="3"/>
  <c r="I406" i="3"/>
  <c r="H406" i="3"/>
  <c r="E406" i="3"/>
  <c r="D406" i="3"/>
  <c r="B406" i="3"/>
  <c r="A406" i="3"/>
  <c r="I405" i="3"/>
  <c r="H405" i="3"/>
  <c r="E405" i="3"/>
  <c r="D405" i="3"/>
  <c r="B405" i="3"/>
  <c r="A405" i="3"/>
  <c r="I404" i="3"/>
  <c r="H404" i="3"/>
  <c r="E404" i="3"/>
  <c r="D404" i="3"/>
  <c r="B404" i="3"/>
  <c r="A404" i="3"/>
  <c r="I403" i="3"/>
  <c r="H403" i="3"/>
  <c r="E403" i="3"/>
  <c r="D403" i="3"/>
  <c r="B403" i="3"/>
  <c r="A403" i="3"/>
  <c r="I402" i="3"/>
  <c r="H402" i="3"/>
  <c r="E402" i="3"/>
  <c r="D402" i="3"/>
  <c r="B402" i="3"/>
  <c r="A402" i="3"/>
  <c r="I401" i="3"/>
  <c r="H401" i="3"/>
  <c r="E401" i="3"/>
  <c r="D401" i="3"/>
  <c r="B401" i="3"/>
  <c r="A401" i="3"/>
  <c r="I400" i="3"/>
  <c r="H400" i="3"/>
  <c r="E400" i="3"/>
  <c r="D400" i="3"/>
  <c r="B400" i="3"/>
  <c r="A400" i="3"/>
  <c r="I399" i="3"/>
  <c r="H399" i="3"/>
  <c r="E399" i="3"/>
  <c r="D399" i="3"/>
  <c r="B399" i="3"/>
  <c r="A399" i="3"/>
  <c r="I398" i="3"/>
  <c r="H398" i="3"/>
  <c r="E398" i="3"/>
  <c r="D398" i="3"/>
  <c r="B398" i="3"/>
  <c r="A398" i="3"/>
  <c r="I397" i="3"/>
  <c r="H397" i="3"/>
  <c r="E397" i="3"/>
  <c r="D397" i="3"/>
  <c r="B397" i="3"/>
  <c r="A397" i="3"/>
  <c r="I396" i="3"/>
  <c r="H396" i="3"/>
  <c r="E396" i="3"/>
  <c r="D396" i="3"/>
  <c r="B396" i="3"/>
  <c r="A396" i="3"/>
  <c r="I395" i="3"/>
  <c r="H395" i="3"/>
  <c r="E395" i="3"/>
  <c r="D395" i="3"/>
  <c r="B395" i="3"/>
  <c r="A395" i="3"/>
  <c r="I394" i="3"/>
  <c r="H394" i="3"/>
  <c r="E394" i="3"/>
  <c r="D394" i="3"/>
  <c r="B394" i="3"/>
  <c r="A394" i="3"/>
  <c r="I393" i="3"/>
  <c r="H393" i="3"/>
  <c r="E393" i="3"/>
  <c r="D393" i="3"/>
  <c r="B393" i="3"/>
  <c r="A393" i="3"/>
  <c r="I392" i="3"/>
  <c r="H392" i="3"/>
  <c r="E392" i="3"/>
  <c r="D392" i="3"/>
  <c r="B392" i="3"/>
  <c r="A392" i="3"/>
  <c r="I391" i="3"/>
  <c r="H391" i="3"/>
  <c r="E391" i="3"/>
  <c r="D391" i="3"/>
  <c r="B391" i="3"/>
  <c r="A391" i="3"/>
  <c r="I390" i="3"/>
  <c r="H390" i="3"/>
  <c r="E390" i="3"/>
  <c r="D390" i="3"/>
  <c r="B390" i="3"/>
  <c r="A390" i="3"/>
  <c r="I389" i="3"/>
  <c r="H389" i="3"/>
  <c r="E389" i="3"/>
  <c r="D389" i="3"/>
  <c r="B389" i="3"/>
  <c r="A389" i="3"/>
  <c r="I388" i="3"/>
  <c r="H388" i="3"/>
  <c r="E388" i="3"/>
  <c r="D388" i="3"/>
  <c r="B388" i="3"/>
  <c r="A388" i="3"/>
  <c r="I387" i="3"/>
  <c r="H387" i="3"/>
  <c r="E387" i="3"/>
  <c r="D387" i="3"/>
  <c r="B387" i="3"/>
  <c r="A387" i="3"/>
  <c r="I386" i="3"/>
  <c r="H386" i="3"/>
  <c r="E386" i="3"/>
  <c r="D386" i="3"/>
  <c r="B386" i="3"/>
  <c r="A386" i="3"/>
  <c r="I385" i="3"/>
  <c r="H385" i="3"/>
  <c r="E385" i="3"/>
  <c r="D385" i="3"/>
  <c r="B385" i="3"/>
  <c r="A385" i="3"/>
  <c r="I384" i="3"/>
  <c r="H384" i="3"/>
  <c r="E384" i="3"/>
  <c r="D384" i="3"/>
  <c r="B384" i="3"/>
  <c r="A384" i="3"/>
  <c r="I383" i="3"/>
  <c r="H383" i="3"/>
  <c r="E383" i="3"/>
  <c r="D383" i="3"/>
  <c r="B383" i="3"/>
  <c r="A383" i="3"/>
  <c r="I382" i="3"/>
  <c r="H382" i="3"/>
  <c r="E382" i="3"/>
  <c r="D382" i="3"/>
  <c r="B382" i="3"/>
  <c r="A382" i="3"/>
  <c r="I381" i="3"/>
  <c r="H381" i="3"/>
  <c r="E381" i="3"/>
  <c r="D381" i="3"/>
  <c r="B381" i="3"/>
  <c r="A381" i="3"/>
  <c r="I380" i="3"/>
  <c r="H380" i="3"/>
  <c r="E380" i="3"/>
  <c r="D380" i="3"/>
  <c r="B380" i="3"/>
  <c r="A380" i="3"/>
  <c r="I379" i="3"/>
  <c r="H379" i="3"/>
  <c r="E379" i="3"/>
  <c r="D379" i="3"/>
  <c r="B379" i="3"/>
  <c r="A379" i="3"/>
  <c r="I378" i="3"/>
  <c r="H378" i="3"/>
  <c r="E378" i="3"/>
  <c r="D378" i="3"/>
  <c r="B378" i="3"/>
  <c r="A378" i="3"/>
  <c r="I377" i="3"/>
  <c r="H377" i="3"/>
  <c r="E377" i="3"/>
  <c r="D377" i="3"/>
  <c r="B377" i="3"/>
  <c r="A377" i="3"/>
  <c r="I376" i="3"/>
  <c r="H376" i="3"/>
  <c r="E376" i="3"/>
  <c r="D376" i="3"/>
  <c r="B376" i="3"/>
  <c r="A376" i="3"/>
  <c r="I375" i="3"/>
  <c r="H375" i="3"/>
  <c r="E375" i="3"/>
  <c r="D375" i="3"/>
  <c r="B375" i="3"/>
  <c r="A375" i="3"/>
  <c r="I374" i="3"/>
  <c r="H374" i="3"/>
  <c r="E374" i="3"/>
  <c r="D374" i="3"/>
  <c r="B374" i="3"/>
  <c r="A374" i="3"/>
  <c r="I373" i="3"/>
  <c r="H373" i="3"/>
  <c r="E373" i="3"/>
  <c r="D373" i="3"/>
  <c r="B373" i="3"/>
  <c r="A373" i="3"/>
  <c r="I372" i="3"/>
  <c r="H372" i="3"/>
  <c r="E372" i="3"/>
  <c r="D372" i="3"/>
  <c r="B372" i="3"/>
  <c r="A372" i="3"/>
  <c r="I371" i="3"/>
  <c r="H371" i="3"/>
  <c r="E371" i="3"/>
  <c r="D371" i="3"/>
  <c r="B371" i="3"/>
  <c r="A371" i="3"/>
  <c r="I370" i="3"/>
  <c r="H370" i="3"/>
  <c r="E370" i="3"/>
  <c r="D370" i="3"/>
  <c r="B370" i="3"/>
  <c r="A370" i="3"/>
  <c r="I369" i="3"/>
  <c r="H369" i="3"/>
  <c r="E369" i="3"/>
  <c r="D369" i="3"/>
  <c r="B369" i="3"/>
  <c r="A369" i="3"/>
  <c r="I368" i="3"/>
  <c r="H368" i="3"/>
  <c r="E368" i="3"/>
  <c r="D368" i="3"/>
  <c r="B368" i="3"/>
  <c r="A368" i="3"/>
  <c r="I367" i="3"/>
  <c r="H367" i="3"/>
  <c r="E367" i="3"/>
  <c r="D367" i="3"/>
  <c r="B367" i="3"/>
  <c r="A367" i="3"/>
  <c r="I366" i="3"/>
  <c r="H366" i="3"/>
  <c r="E366" i="3"/>
  <c r="D366" i="3"/>
  <c r="B366" i="3"/>
  <c r="A366" i="3"/>
  <c r="I365" i="3"/>
  <c r="H365" i="3"/>
  <c r="E365" i="3"/>
  <c r="D365" i="3"/>
  <c r="B365" i="3"/>
  <c r="A365" i="3"/>
  <c r="I364" i="3"/>
  <c r="H364" i="3"/>
  <c r="E364" i="3"/>
  <c r="D364" i="3"/>
  <c r="B364" i="3"/>
  <c r="A364" i="3"/>
  <c r="I363" i="3"/>
  <c r="H363" i="3"/>
  <c r="E363" i="3"/>
  <c r="D363" i="3"/>
  <c r="B363" i="3"/>
  <c r="A363" i="3"/>
  <c r="I362" i="3"/>
  <c r="H362" i="3"/>
  <c r="E362" i="3"/>
  <c r="D362" i="3"/>
  <c r="B362" i="3"/>
  <c r="A362" i="3"/>
  <c r="I361" i="3"/>
  <c r="H361" i="3"/>
  <c r="E361" i="3"/>
  <c r="D361" i="3"/>
  <c r="B361" i="3"/>
  <c r="A361" i="3"/>
  <c r="I360" i="3"/>
  <c r="H360" i="3"/>
  <c r="E360" i="3"/>
  <c r="D360" i="3"/>
  <c r="B360" i="3"/>
  <c r="A360" i="3"/>
  <c r="I359" i="3"/>
  <c r="H359" i="3"/>
  <c r="E359" i="3"/>
  <c r="D359" i="3"/>
  <c r="B359" i="3"/>
  <c r="A359" i="3"/>
  <c r="I358" i="3"/>
  <c r="H358" i="3"/>
  <c r="E358" i="3"/>
  <c r="D358" i="3"/>
  <c r="B358" i="3"/>
  <c r="A358" i="3"/>
  <c r="I357" i="3"/>
  <c r="H357" i="3"/>
  <c r="E357" i="3"/>
  <c r="D357" i="3"/>
  <c r="B357" i="3"/>
  <c r="A357" i="3"/>
  <c r="I356" i="3"/>
  <c r="H356" i="3"/>
  <c r="E356" i="3"/>
  <c r="D356" i="3"/>
  <c r="B356" i="3"/>
  <c r="A356" i="3"/>
  <c r="I355" i="3"/>
  <c r="H355" i="3"/>
  <c r="E355" i="3"/>
  <c r="D355" i="3"/>
  <c r="B355" i="3"/>
  <c r="A355" i="3"/>
  <c r="I354" i="3"/>
  <c r="H354" i="3"/>
  <c r="E354" i="3"/>
  <c r="D354" i="3"/>
  <c r="B354" i="3"/>
  <c r="A354" i="3"/>
  <c r="I353" i="3"/>
  <c r="H353" i="3"/>
  <c r="E353" i="3"/>
  <c r="D353" i="3"/>
  <c r="B353" i="3"/>
  <c r="A353" i="3"/>
  <c r="I352" i="3"/>
  <c r="H352" i="3"/>
  <c r="E352" i="3"/>
  <c r="D352" i="3"/>
  <c r="B352" i="3"/>
  <c r="A352" i="3"/>
  <c r="I351" i="3"/>
  <c r="H351" i="3"/>
  <c r="E351" i="3"/>
  <c r="D351" i="3"/>
  <c r="B351" i="3"/>
  <c r="A351" i="3"/>
  <c r="I350" i="3"/>
  <c r="H350" i="3"/>
  <c r="E350" i="3"/>
  <c r="D350" i="3"/>
  <c r="B350" i="3"/>
  <c r="A350" i="3"/>
  <c r="I349" i="3"/>
  <c r="H349" i="3"/>
  <c r="E349" i="3"/>
  <c r="D349" i="3"/>
  <c r="B349" i="3"/>
  <c r="A349" i="3"/>
  <c r="I348" i="3"/>
  <c r="H348" i="3"/>
  <c r="E348" i="3"/>
  <c r="D348" i="3"/>
  <c r="B348" i="3"/>
  <c r="A348" i="3"/>
  <c r="I347" i="3"/>
  <c r="H347" i="3"/>
  <c r="E347" i="3"/>
  <c r="D347" i="3"/>
  <c r="B347" i="3"/>
  <c r="A347" i="3"/>
  <c r="I346" i="3"/>
  <c r="H346" i="3"/>
  <c r="E346" i="3"/>
  <c r="D346" i="3"/>
  <c r="B346" i="3"/>
  <c r="A346" i="3"/>
  <c r="I345" i="3"/>
  <c r="H345" i="3"/>
  <c r="E345" i="3"/>
  <c r="D345" i="3"/>
  <c r="B345" i="3"/>
  <c r="A345" i="3"/>
  <c r="I344" i="3"/>
  <c r="H344" i="3"/>
  <c r="E344" i="3"/>
  <c r="D344" i="3"/>
  <c r="B344" i="3"/>
  <c r="A344" i="3"/>
  <c r="I343" i="3"/>
  <c r="H343" i="3"/>
  <c r="E343" i="3"/>
  <c r="D343" i="3"/>
  <c r="B343" i="3"/>
  <c r="A343" i="3"/>
  <c r="I342" i="3"/>
  <c r="H342" i="3"/>
  <c r="E342" i="3"/>
  <c r="D342" i="3"/>
  <c r="B342" i="3"/>
  <c r="A342" i="3"/>
  <c r="I341" i="3"/>
  <c r="H341" i="3"/>
  <c r="E341" i="3"/>
  <c r="D341" i="3"/>
  <c r="B341" i="3"/>
  <c r="A341" i="3"/>
  <c r="I340" i="3"/>
  <c r="H340" i="3"/>
  <c r="E340" i="3"/>
  <c r="D340" i="3"/>
  <c r="B340" i="3"/>
  <c r="A340" i="3"/>
  <c r="I339" i="3"/>
  <c r="H339" i="3"/>
  <c r="E339" i="3"/>
  <c r="D339" i="3"/>
  <c r="B339" i="3"/>
  <c r="A339" i="3"/>
  <c r="I338" i="3"/>
  <c r="H338" i="3"/>
  <c r="E338" i="3"/>
  <c r="D338" i="3"/>
  <c r="B338" i="3"/>
  <c r="A338" i="3"/>
  <c r="I337" i="3"/>
  <c r="H337" i="3"/>
  <c r="E337" i="3"/>
  <c r="D337" i="3"/>
  <c r="B337" i="3"/>
  <c r="A337" i="3"/>
  <c r="I336" i="3"/>
  <c r="H336" i="3"/>
  <c r="E336" i="3"/>
  <c r="D336" i="3"/>
  <c r="B336" i="3"/>
  <c r="A336" i="3"/>
  <c r="I335" i="3"/>
  <c r="H335" i="3"/>
  <c r="E335" i="3"/>
  <c r="D335" i="3"/>
  <c r="B335" i="3"/>
  <c r="A335" i="3"/>
  <c r="I334" i="3"/>
  <c r="H334" i="3"/>
  <c r="E334" i="3"/>
  <c r="D334" i="3"/>
  <c r="B334" i="3"/>
  <c r="A334" i="3"/>
  <c r="I333" i="3"/>
  <c r="H333" i="3"/>
  <c r="E333" i="3"/>
  <c r="D333" i="3"/>
  <c r="B333" i="3"/>
  <c r="A333" i="3"/>
  <c r="I332" i="3"/>
  <c r="H332" i="3"/>
  <c r="E332" i="3"/>
  <c r="D332" i="3"/>
  <c r="B332" i="3"/>
  <c r="A332" i="3"/>
  <c r="I331" i="3"/>
  <c r="H331" i="3"/>
  <c r="E331" i="3"/>
  <c r="D331" i="3"/>
  <c r="B331" i="3"/>
  <c r="A331" i="3"/>
  <c r="I330" i="3"/>
  <c r="H330" i="3"/>
  <c r="E330" i="3"/>
  <c r="D330" i="3"/>
  <c r="B330" i="3"/>
  <c r="A330" i="3"/>
  <c r="I329" i="3"/>
  <c r="H329" i="3"/>
  <c r="E329" i="3"/>
  <c r="D329" i="3"/>
  <c r="B329" i="3"/>
  <c r="A329" i="3"/>
  <c r="I328" i="3"/>
  <c r="H328" i="3"/>
  <c r="E328" i="3"/>
  <c r="D328" i="3"/>
  <c r="B328" i="3"/>
  <c r="A328" i="3"/>
  <c r="I327" i="3"/>
  <c r="H327" i="3"/>
  <c r="E327" i="3"/>
  <c r="D327" i="3"/>
  <c r="B327" i="3"/>
  <c r="A327" i="3"/>
  <c r="I326" i="3"/>
  <c r="H326" i="3"/>
  <c r="E326" i="3"/>
  <c r="D326" i="3"/>
  <c r="B326" i="3"/>
  <c r="A326" i="3"/>
  <c r="I325" i="3"/>
  <c r="H325" i="3"/>
  <c r="E325" i="3"/>
  <c r="D325" i="3"/>
  <c r="B325" i="3"/>
  <c r="A325" i="3"/>
  <c r="I324" i="3"/>
  <c r="H324" i="3"/>
  <c r="E324" i="3"/>
  <c r="D324" i="3"/>
  <c r="B324" i="3"/>
  <c r="A324" i="3"/>
  <c r="I323" i="3"/>
  <c r="H323" i="3"/>
  <c r="E323" i="3"/>
  <c r="D323" i="3"/>
  <c r="B323" i="3"/>
  <c r="A323" i="3"/>
  <c r="I322" i="3"/>
  <c r="H322" i="3"/>
  <c r="E322" i="3"/>
  <c r="D322" i="3"/>
  <c r="B322" i="3"/>
  <c r="A322" i="3"/>
  <c r="I321" i="3"/>
  <c r="H321" i="3"/>
  <c r="E321" i="3"/>
  <c r="D321" i="3"/>
  <c r="B321" i="3"/>
  <c r="A321" i="3"/>
  <c r="I320" i="3"/>
  <c r="H320" i="3"/>
  <c r="E320" i="3"/>
  <c r="D320" i="3"/>
  <c r="B320" i="3"/>
  <c r="A320" i="3"/>
  <c r="I319" i="3"/>
  <c r="H319" i="3"/>
  <c r="E319" i="3"/>
  <c r="D319" i="3"/>
  <c r="B319" i="3"/>
  <c r="A319" i="3"/>
  <c r="I318" i="3"/>
  <c r="H318" i="3"/>
  <c r="E318" i="3"/>
  <c r="D318" i="3"/>
  <c r="B318" i="3"/>
  <c r="A318" i="3"/>
  <c r="I317" i="3"/>
  <c r="H317" i="3"/>
  <c r="E317" i="3"/>
  <c r="D317" i="3"/>
  <c r="B317" i="3"/>
  <c r="A317" i="3"/>
  <c r="I316" i="3"/>
  <c r="H316" i="3"/>
  <c r="E316" i="3"/>
  <c r="D316" i="3"/>
  <c r="B316" i="3"/>
  <c r="A316" i="3"/>
  <c r="I315" i="3"/>
  <c r="H315" i="3"/>
  <c r="E315" i="3"/>
  <c r="D315" i="3"/>
  <c r="B315" i="3"/>
  <c r="A315" i="3"/>
  <c r="I314" i="3"/>
  <c r="H314" i="3"/>
  <c r="E314" i="3"/>
  <c r="D314" i="3"/>
  <c r="B314" i="3"/>
  <c r="A314" i="3"/>
  <c r="I313" i="3"/>
  <c r="H313" i="3"/>
  <c r="E313" i="3"/>
  <c r="D313" i="3"/>
  <c r="B313" i="3"/>
  <c r="A313" i="3"/>
  <c r="I312" i="3"/>
  <c r="H312" i="3"/>
  <c r="E312" i="3"/>
  <c r="D312" i="3"/>
  <c r="B312" i="3"/>
  <c r="A312" i="3"/>
  <c r="I311" i="3"/>
  <c r="H311" i="3"/>
  <c r="E311" i="3"/>
  <c r="D311" i="3"/>
  <c r="B311" i="3"/>
  <c r="A311" i="3"/>
  <c r="I310" i="3"/>
  <c r="H310" i="3"/>
  <c r="E310" i="3"/>
  <c r="D310" i="3"/>
  <c r="B310" i="3"/>
  <c r="A310" i="3"/>
  <c r="I309" i="3"/>
  <c r="H309" i="3"/>
  <c r="E309" i="3"/>
  <c r="D309" i="3"/>
  <c r="B309" i="3"/>
  <c r="A309" i="3"/>
  <c r="I308" i="3"/>
  <c r="H308" i="3"/>
  <c r="E308" i="3"/>
  <c r="D308" i="3"/>
  <c r="B308" i="3"/>
  <c r="A308" i="3"/>
  <c r="I307" i="3"/>
  <c r="H307" i="3"/>
  <c r="E307" i="3"/>
  <c r="D307" i="3"/>
  <c r="B307" i="3"/>
  <c r="A307" i="3"/>
  <c r="I306" i="3"/>
  <c r="H306" i="3"/>
  <c r="E306" i="3"/>
  <c r="D306" i="3"/>
  <c r="B306" i="3"/>
  <c r="A306" i="3"/>
  <c r="I305" i="3"/>
  <c r="H305" i="3"/>
  <c r="E305" i="3"/>
  <c r="D305" i="3"/>
  <c r="B305" i="3"/>
  <c r="A305" i="3"/>
  <c r="I304" i="3"/>
  <c r="H304" i="3"/>
  <c r="E304" i="3"/>
  <c r="D304" i="3"/>
  <c r="B304" i="3"/>
  <c r="A304" i="3"/>
  <c r="I303" i="3"/>
  <c r="H303" i="3"/>
  <c r="E303" i="3"/>
  <c r="D303" i="3"/>
  <c r="B303" i="3"/>
  <c r="A303" i="3"/>
  <c r="I302" i="3"/>
  <c r="H302" i="3"/>
  <c r="E302" i="3"/>
  <c r="D302" i="3"/>
  <c r="B302" i="3"/>
  <c r="A302" i="3"/>
  <c r="I301" i="3"/>
  <c r="H301" i="3"/>
  <c r="E301" i="3"/>
  <c r="D301" i="3"/>
  <c r="B301" i="3"/>
  <c r="A301" i="3"/>
  <c r="I300" i="3"/>
  <c r="H300" i="3"/>
  <c r="E300" i="3"/>
  <c r="D300" i="3"/>
  <c r="B300" i="3"/>
  <c r="A300" i="3"/>
  <c r="I299" i="3"/>
  <c r="H299" i="3"/>
  <c r="E299" i="3"/>
  <c r="D299" i="3"/>
  <c r="B299" i="3"/>
  <c r="A299" i="3"/>
  <c r="I298" i="3"/>
  <c r="H298" i="3"/>
  <c r="E298" i="3"/>
  <c r="D298" i="3"/>
  <c r="B298" i="3"/>
  <c r="A298" i="3"/>
  <c r="I297" i="3"/>
  <c r="H297" i="3"/>
  <c r="E297" i="3"/>
  <c r="D297" i="3"/>
  <c r="B297" i="3"/>
  <c r="A297" i="3"/>
  <c r="I296" i="3"/>
  <c r="H296" i="3"/>
  <c r="E296" i="3"/>
  <c r="D296" i="3"/>
  <c r="B296" i="3"/>
  <c r="A296" i="3"/>
  <c r="I295" i="3"/>
  <c r="H295" i="3"/>
  <c r="E295" i="3"/>
  <c r="D295" i="3"/>
  <c r="B295" i="3"/>
  <c r="A295" i="3"/>
  <c r="I294" i="3"/>
  <c r="H294" i="3"/>
  <c r="E294" i="3"/>
  <c r="D294" i="3"/>
  <c r="B294" i="3"/>
  <c r="A294" i="3"/>
  <c r="I293" i="3"/>
  <c r="H293" i="3"/>
  <c r="E293" i="3"/>
  <c r="D293" i="3"/>
  <c r="B293" i="3"/>
  <c r="A293" i="3"/>
  <c r="I292" i="3"/>
  <c r="H292" i="3"/>
  <c r="E292" i="3"/>
  <c r="D292" i="3"/>
  <c r="B292" i="3"/>
  <c r="A292" i="3"/>
  <c r="I291" i="3"/>
  <c r="H291" i="3"/>
  <c r="E291" i="3"/>
  <c r="D291" i="3"/>
  <c r="B291" i="3"/>
  <c r="A291" i="3"/>
  <c r="I290" i="3"/>
  <c r="H290" i="3"/>
  <c r="E290" i="3"/>
  <c r="D290" i="3"/>
  <c r="B290" i="3"/>
  <c r="A290" i="3"/>
  <c r="I289" i="3"/>
  <c r="H289" i="3"/>
  <c r="E289" i="3"/>
  <c r="D289" i="3"/>
  <c r="B289" i="3"/>
  <c r="A289" i="3"/>
  <c r="I288" i="3"/>
  <c r="H288" i="3"/>
  <c r="E288" i="3"/>
  <c r="D288" i="3"/>
  <c r="B288" i="3"/>
  <c r="A288" i="3"/>
  <c r="I287" i="3"/>
  <c r="H287" i="3"/>
  <c r="E287" i="3"/>
  <c r="D287" i="3"/>
  <c r="B287" i="3"/>
  <c r="A287" i="3"/>
  <c r="I286" i="3"/>
  <c r="H286" i="3"/>
  <c r="E286" i="3"/>
  <c r="D286" i="3"/>
  <c r="B286" i="3"/>
  <c r="A286" i="3"/>
  <c r="I285" i="3"/>
  <c r="H285" i="3"/>
  <c r="E285" i="3"/>
  <c r="D285" i="3"/>
  <c r="B285" i="3"/>
  <c r="A285" i="3"/>
  <c r="I284" i="3"/>
  <c r="H284" i="3"/>
  <c r="E284" i="3"/>
  <c r="D284" i="3"/>
  <c r="B284" i="3"/>
  <c r="A284" i="3"/>
  <c r="I283" i="3"/>
  <c r="H283" i="3"/>
  <c r="E283" i="3"/>
  <c r="D283" i="3"/>
  <c r="B283" i="3"/>
  <c r="A283" i="3"/>
  <c r="I282" i="3"/>
  <c r="H282" i="3"/>
  <c r="E282" i="3"/>
  <c r="D282" i="3"/>
  <c r="B282" i="3"/>
  <c r="A282" i="3"/>
  <c r="I281" i="3"/>
  <c r="H281" i="3"/>
  <c r="E281" i="3"/>
  <c r="D281" i="3"/>
  <c r="B281" i="3"/>
  <c r="A281" i="3"/>
  <c r="I280" i="3"/>
  <c r="H280" i="3"/>
  <c r="E280" i="3"/>
  <c r="D280" i="3"/>
  <c r="B280" i="3"/>
  <c r="A280" i="3"/>
  <c r="I279" i="3"/>
  <c r="H279" i="3"/>
  <c r="E279" i="3"/>
  <c r="D279" i="3"/>
  <c r="B279" i="3"/>
  <c r="A279" i="3"/>
  <c r="I278" i="3"/>
  <c r="H278" i="3"/>
  <c r="E278" i="3"/>
  <c r="D278" i="3"/>
  <c r="B278" i="3"/>
  <c r="A278" i="3"/>
  <c r="I277" i="3"/>
  <c r="H277" i="3"/>
  <c r="E277" i="3"/>
  <c r="D277" i="3"/>
  <c r="B277" i="3"/>
  <c r="A277" i="3"/>
  <c r="I276" i="3"/>
  <c r="H276" i="3"/>
  <c r="E276" i="3"/>
  <c r="D276" i="3"/>
  <c r="B276" i="3"/>
  <c r="A276" i="3"/>
  <c r="I275" i="3"/>
  <c r="H275" i="3"/>
  <c r="E275" i="3"/>
  <c r="D275" i="3"/>
  <c r="B275" i="3"/>
  <c r="A275" i="3"/>
  <c r="I274" i="3"/>
  <c r="H274" i="3"/>
  <c r="E274" i="3"/>
  <c r="D274" i="3"/>
  <c r="B274" i="3"/>
  <c r="A274" i="3"/>
  <c r="I273" i="3"/>
  <c r="H273" i="3"/>
  <c r="E273" i="3"/>
  <c r="D273" i="3"/>
  <c r="B273" i="3"/>
  <c r="A273" i="3"/>
  <c r="I272" i="3"/>
  <c r="H272" i="3"/>
  <c r="E272" i="3"/>
  <c r="D272" i="3"/>
  <c r="B272" i="3"/>
  <c r="A272" i="3"/>
  <c r="I271" i="3"/>
  <c r="H271" i="3"/>
  <c r="E271" i="3"/>
  <c r="D271" i="3"/>
  <c r="B271" i="3"/>
  <c r="A271" i="3"/>
  <c r="I270" i="3"/>
  <c r="H270" i="3"/>
  <c r="E270" i="3"/>
  <c r="D270" i="3"/>
  <c r="B270" i="3"/>
  <c r="A270" i="3"/>
  <c r="I269" i="3"/>
  <c r="H269" i="3"/>
  <c r="E269" i="3"/>
  <c r="D269" i="3"/>
  <c r="B269" i="3"/>
  <c r="A269" i="3"/>
  <c r="I268" i="3"/>
  <c r="H268" i="3"/>
  <c r="E268" i="3"/>
  <c r="D268" i="3"/>
  <c r="B268" i="3"/>
  <c r="A268" i="3"/>
  <c r="I267" i="3"/>
  <c r="H267" i="3"/>
  <c r="E267" i="3"/>
  <c r="D267" i="3"/>
  <c r="B267" i="3"/>
  <c r="A267" i="3"/>
  <c r="I266" i="3"/>
  <c r="H266" i="3"/>
  <c r="E266" i="3"/>
  <c r="D266" i="3"/>
  <c r="B266" i="3"/>
  <c r="A266" i="3"/>
  <c r="I265" i="3"/>
  <c r="H265" i="3"/>
  <c r="E265" i="3"/>
  <c r="D265" i="3"/>
  <c r="B265" i="3"/>
  <c r="A265" i="3"/>
  <c r="I264" i="3"/>
  <c r="H264" i="3"/>
  <c r="E264" i="3"/>
  <c r="D264" i="3"/>
  <c r="B264" i="3"/>
  <c r="A264" i="3"/>
  <c r="I263" i="3"/>
  <c r="H263" i="3"/>
  <c r="E263" i="3"/>
  <c r="D263" i="3"/>
  <c r="B263" i="3"/>
  <c r="A263" i="3"/>
  <c r="I262" i="3"/>
  <c r="H262" i="3"/>
  <c r="E262" i="3"/>
  <c r="D262" i="3"/>
  <c r="B262" i="3"/>
  <c r="A262" i="3"/>
  <c r="I261" i="3"/>
  <c r="H261" i="3"/>
  <c r="E261" i="3"/>
  <c r="D261" i="3"/>
  <c r="B261" i="3"/>
  <c r="A261" i="3"/>
  <c r="I260" i="3"/>
  <c r="H260" i="3"/>
  <c r="E260" i="3"/>
  <c r="D260" i="3"/>
  <c r="B260" i="3"/>
  <c r="A260" i="3"/>
  <c r="I259" i="3"/>
  <c r="H259" i="3"/>
  <c r="E259" i="3"/>
  <c r="D259" i="3"/>
  <c r="B259" i="3"/>
  <c r="A259" i="3"/>
  <c r="I258" i="3"/>
  <c r="H258" i="3"/>
  <c r="E258" i="3"/>
  <c r="D258" i="3"/>
  <c r="B258" i="3"/>
  <c r="A258" i="3"/>
  <c r="I257" i="3"/>
  <c r="H257" i="3"/>
  <c r="E257" i="3"/>
  <c r="D257" i="3"/>
  <c r="B257" i="3"/>
  <c r="A257" i="3"/>
  <c r="I256" i="3"/>
  <c r="H256" i="3"/>
  <c r="E256" i="3"/>
  <c r="D256" i="3"/>
  <c r="B256" i="3"/>
  <c r="A256" i="3"/>
  <c r="I255" i="3"/>
  <c r="H255" i="3"/>
  <c r="E255" i="3"/>
  <c r="D255" i="3"/>
  <c r="B255" i="3"/>
  <c r="A255" i="3"/>
  <c r="I254" i="3"/>
  <c r="H254" i="3"/>
  <c r="E254" i="3"/>
  <c r="D254" i="3"/>
  <c r="B254" i="3"/>
  <c r="A254" i="3"/>
  <c r="I253" i="3"/>
  <c r="H253" i="3"/>
  <c r="E253" i="3"/>
  <c r="D253" i="3"/>
  <c r="B253" i="3"/>
  <c r="A253" i="3"/>
  <c r="I252" i="3"/>
  <c r="H252" i="3"/>
  <c r="E252" i="3"/>
  <c r="D252" i="3"/>
  <c r="B252" i="3"/>
  <c r="A252" i="3"/>
  <c r="I251" i="3"/>
  <c r="H251" i="3"/>
  <c r="E251" i="3"/>
  <c r="D251" i="3"/>
  <c r="B251" i="3"/>
  <c r="A251" i="3"/>
  <c r="I250" i="3"/>
  <c r="H250" i="3"/>
  <c r="E250" i="3"/>
  <c r="D250" i="3"/>
  <c r="B250" i="3"/>
  <c r="A250" i="3"/>
  <c r="I249" i="3"/>
  <c r="H249" i="3"/>
  <c r="E249" i="3"/>
  <c r="D249" i="3"/>
  <c r="B249" i="3"/>
  <c r="A249" i="3"/>
  <c r="I248" i="3"/>
  <c r="H248" i="3"/>
  <c r="E248" i="3"/>
  <c r="D248" i="3"/>
  <c r="B248" i="3"/>
  <c r="A248" i="3"/>
  <c r="I247" i="3"/>
  <c r="H247" i="3"/>
  <c r="E247" i="3"/>
  <c r="D247" i="3"/>
  <c r="B247" i="3"/>
  <c r="A247" i="3"/>
  <c r="I246" i="3"/>
  <c r="H246" i="3"/>
  <c r="E246" i="3"/>
  <c r="D246" i="3"/>
  <c r="B246" i="3"/>
  <c r="A246" i="3"/>
  <c r="I245" i="3"/>
  <c r="H245" i="3"/>
  <c r="E245" i="3"/>
  <c r="D245" i="3"/>
  <c r="B245" i="3"/>
  <c r="A245" i="3"/>
  <c r="I244" i="3"/>
  <c r="H244" i="3"/>
  <c r="E244" i="3"/>
  <c r="D244" i="3"/>
  <c r="B244" i="3"/>
  <c r="A244" i="3"/>
  <c r="I243" i="3"/>
  <c r="H243" i="3"/>
  <c r="E243" i="3"/>
  <c r="D243" i="3"/>
  <c r="B243" i="3"/>
  <c r="A243" i="3"/>
  <c r="I242" i="3"/>
  <c r="H242" i="3"/>
  <c r="E242" i="3"/>
  <c r="D242" i="3"/>
  <c r="B242" i="3"/>
  <c r="A242" i="3"/>
  <c r="I241" i="3"/>
  <c r="H241" i="3"/>
  <c r="E241" i="3"/>
  <c r="D241" i="3"/>
  <c r="B241" i="3"/>
  <c r="A241" i="3"/>
  <c r="I240" i="3"/>
  <c r="H240" i="3"/>
  <c r="E240" i="3"/>
  <c r="D240" i="3"/>
  <c r="B240" i="3"/>
  <c r="A240" i="3"/>
  <c r="I239" i="3"/>
  <c r="H239" i="3"/>
  <c r="E239" i="3"/>
  <c r="D239" i="3"/>
  <c r="B239" i="3"/>
  <c r="A239" i="3"/>
  <c r="I238" i="3"/>
  <c r="H238" i="3"/>
  <c r="E238" i="3"/>
  <c r="D238" i="3"/>
  <c r="B238" i="3"/>
  <c r="A238" i="3"/>
  <c r="I237" i="3"/>
  <c r="H237" i="3"/>
  <c r="E237" i="3"/>
  <c r="D237" i="3"/>
  <c r="B237" i="3"/>
  <c r="A237" i="3"/>
  <c r="I236" i="3"/>
  <c r="H236" i="3"/>
  <c r="E236" i="3"/>
  <c r="D236" i="3"/>
  <c r="B236" i="3"/>
  <c r="A236" i="3"/>
  <c r="I235" i="3"/>
  <c r="H235" i="3"/>
  <c r="E235" i="3"/>
  <c r="D235" i="3"/>
  <c r="B235" i="3"/>
  <c r="A235" i="3"/>
  <c r="I234" i="3"/>
  <c r="H234" i="3"/>
  <c r="E234" i="3"/>
  <c r="D234" i="3"/>
  <c r="B234" i="3"/>
  <c r="A234" i="3"/>
  <c r="I233" i="3"/>
  <c r="H233" i="3"/>
  <c r="E233" i="3"/>
  <c r="D233" i="3"/>
  <c r="B233" i="3"/>
  <c r="A233" i="3"/>
  <c r="I232" i="3"/>
  <c r="H232" i="3"/>
  <c r="E232" i="3"/>
  <c r="D232" i="3"/>
  <c r="B232" i="3"/>
  <c r="A232" i="3"/>
  <c r="I231" i="3"/>
  <c r="H231" i="3"/>
  <c r="E231" i="3"/>
  <c r="D231" i="3"/>
  <c r="B231" i="3"/>
  <c r="A231" i="3"/>
  <c r="I230" i="3"/>
  <c r="H230" i="3"/>
  <c r="E230" i="3"/>
  <c r="D230" i="3"/>
  <c r="B230" i="3"/>
  <c r="A230" i="3"/>
  <c r="I229" i="3"/>
  <c r="H229" i="3"/>
  <c r="E229" i="3"/>
  <c r="D229" i="3"/>
  <c r="B229" i="3"/>
  <c r="A229" i="3"/>
  <c r="I228" i="3"/>
  <c r="H228" i="3"/>
  <c r="E228" i="3"/>
  <c r="D228" i="3"/>
  <c r="B228" i="3"/>
  <c r="A228" i="3"/>
  <c r="I227" i="3"/>
  <c r="H227" i="3"/>
  <c r="E227" i="3"/>
  <c r="D227" i="3"/>
  <c r="B227" i="3"/>
  <c r="A227" i="3"/>
  <c r="I226" i="3"/>
  <c r="H226" i="3"/>
  <c r="E226" i="3"/>
  <c r="D226" i="3"/>
  <c r="B226" i="3"/>
  <c r="A226" i="3"/>
  <c r="I225" i="3"/>
  <c r="H225" i="3"/>
  <c r="E225" i="3"/>
  <c r="D225" i="3"/>
  <c r="B225" i="3"/>
  <c r="A225" i="3"/>
  <c r="I224" i="3"/>
  <c r="H224" i="3"/>
  <c r="E224" i="3"/>
  <c r="D224" i="3"/>
  <c r="B224" i="3"/>
  <c r="A224" i="3"/>
  <c r="I223" i="3"/>
  <c r="H223" i="3"/>
  <c r="E223" i="3"/>
  <c r="D223" i="3"/>
  <c r="B223" i="3"/>
  <c r="A223" i="3"/>
  <c r="I222" i="3"/>
  <c r="H222" i="3"/>
  <c r="E222" i="3"/>
  <c r="D222" i="3"/>
  <c r="B222" i="3"/>
  <c r="A222" i="3"/>
  <c r="I221" i="3"/>
  <c r="H221" i="3"/>
  <c r="E221" i="3"/>
  <c r="D221" i="3"/>
  <c r="B221" i="3"/>
  <c r="A221" i="3"/>
  <c r="I220" i="3"/>
  <c r="H220" i="3"/>
  <c r="E220" i="3"/>
  <c r="D220" i="3"/>
  <c r="B220" i="3"/>
  <c r="A220" i="3"/>
  <c r="I219" i="3"/>
  <c r="H219" i="3"/>
  <c r="E219" i="3"/>
  <c r="D219" i="3"/>
  <c r="B219" i="3"/>
  <c r="A219" i="3"/>
  <c r="I218" i="3"/>
  <c r="H218" i="3"/>
  <c r="E218" i="3"/>
  <c r="D218" i="3"/>
  <c r="B218" i="3"/>
  <c r="A218" i="3"/>
  <c r="I217" i="3"/>
  <c r="H217" i="3"/>
  <c r="E217" i="3"/>
  <c r="D217" i="3"/>
  <c r="B217" i="3"/>
  <c r="A217" i="3"/>
  <c r="I216" i="3"/>
  <c r="H216" i="3"/>
  <c r="E216" i="3"/>
  <c r="D216" i="3"/>
  <c r="B216" i="3"/>
  <c r="A216" i="3"/>
  <c r="I215" i="3"/>
  <c r="H215" i="3"/>
  <c r="E215" i="3"/>
  <c r="D215" i="3"/>
  <c r="B215" i="3"/>
  <c r="A215" i="3"/>
  <c r="I214" i="3"/>
  <c r="H214" i="3"/>
  <c r="E214" i="3"/>
  <c r="D214" i="3"/>
  <c r="B214" i="3"/>
  <c r="A214" i="3"/>
  <c r="I213" i="3"/>
  <c r="H213" i="3"/>
  <c r="E213" i="3"/>
  <c r="D213" i="3"/>
  <c r="B213" i="3"/>
  <c r="A213" i="3"/>
  <c r="I212" i="3"/>
  <c r="H212" i="3"/>
  <c r="E212" i="3"/>
  <c r="D212" i="3"/>
  <c r="B212" i="3"/>
  <c r="A212" i="3"/>
  <c r="I211" i="3"/>
  <c r="H211" i="3"/>
  <c r="E211" i="3"/>
  <c r="D211" i="3"/>
  <c r="B211" i="3"/>
  <c r="A211" i="3"/>
  <c r="I210" i="3"/>
  <c r="H210" i="3"/>
  <c r="E210" i="3"/>
  <c r="D210" i="3"/>
  <c r="B210" i="3"/>
  <c r="A210" i="3"/>
  <c r="I209" i="3"/>
  <c r="H209" i="3"/>
  <c r="E209" i="3"/>
  <c r="D209" i="3"/>
  <c r="B209" i="3"/>
  <c r="A209" i="3"/>
  <c r="I208" i="3"/>
  <c r="H208" i="3"/>
  <c r="E208" i="3"/>
  <c r="D208" i="3"/>
  <c r="B208" i="3"/>
  <c r="A208" i="3"/>
  <c r="I207" i="3"/>
  <c r="H207" i="3"/>
  <c r="E207" i="3"/>
  <c r="D207" i="3"/>
  <c r="B207" i="3"/>
  <c r="A207" i="3"/>
  <c r="I206" i="3"/>
  <c r="H206" i="3"/>
  <c r="E206" i="3"/>
  <c r="D206" i="3"/>
  <c r="B206" i="3"/>
  <c r="A206" i="3"/>
  <c r="I205" i="3"/>
  <c r="H205" i="3"/>
  <c r="E205" i="3"/>
  <c r="D205" i="3"/>
  <c r="B205" i="3"/>
  <c r="A205" i="3"/>
  <c r="I204" i="3"/>
  <c r="H204" i="3"/>
  <c r="E204" i="3"/>
  <c r="D204" i="3"/>
  <c r="B204" i="3"/>
  <c r="A204" i="3"/>
  <c r="I203" i="3"/>
  <c r="H203" i="3"/>
  <c r="E203" i="3"/>
  <c r="D203" i="3"/>
  <c r="B203" i="3"/>
  <c r="A203" i="3"/>
  <c r="I202" i="3"/>
  <c r="H202" i="3"/>
  <c r="E202" i="3"/>
  <c r="D202" i="3"/>
  <c r="B202" i="3"/>
  <c r="A202" i="3"/>
  <c r="I201" i="3"/>
  <c r="H201" i="3"/>
  <c r="E201" i="3"/>
  <c r="D201" i="3"/>
  <c r="B201" i="3"/>
  <c r="A201" i="3"/>
  <c r="I200" i="3"/>
  <c r="H200" i="3"/>
  <c r="E200" i="3"/>
  <c r="D200" i="3"/>
  <c r="B200" i="3"/>
  <c r="A200" i="3"/>
  <c r="I199" i="3"/>
  <c r="H199" i="3"/>
  <c r="E199" i="3"/>
  <c r="D199" i="3"/>
  <c r="B199" i="3"/>
  <c r="A199" i="3"/>
  <c r="I198" i="3"/>
  <c r="H198" i="3"/>
  <c r="E198" i="3"/>
  <c r="D198" i="3"/>
  <c r="B198" i="3"/>
  <c r="A198" i="3"/>
  <c r="I197" i="3"/>
  <c r="H197" i="3"/>
  <c r="E197" i="3"/>
  <c r="D197" i="3"/>
  <c r="B197" i="3"/>
  <c r="A197" i="3"/>
  <c r="I196" i="3"/>
  <c r="H196" i="3"/>
  <c r="E196" i="3"/>
  <c r="D196" i="3"/>
  <c r="B196" i="3"/>
  <c r="A196" i="3"/>
  <c r="I195" i="3"/>
  <c r="H195" i="3"/>
  <c r="E195" i="3"/>
  <c r="D195" i="3"/>
  <c r="B195" i="3"/>
  <c r="A195" i="3"/>
  <c r="I194" i="3"/>
  <c r="H194" i="3"/>
  <c r="E194" i="3"/>
  <c r="D194" i="3"/>
  <c r="B194" i="3"/>
  <c r="A194" i="3"/>
  <c r="I193" i="3"/>
  <c r="H193" i="3"/>
  <c r="E193" i="3"/>
  <c r="D193" i="3"/>
  <c r="B193" i="3"/>
  <c r="A193" i="3"/>
  <c r="I192" i="3"/>
  <c r="H192" i="3"/>
  <c r="E192" i="3"/>
  <c r="D192" i="3"/>
  <c r="B192" i="3"/>
  <c r="A192" i="3"/>
  <c r="I191" i="3"/>
  <c r="H191" i="3"/>
  <c r="E191" i="3"/>
  <c r="D191" i="3"/>
  <c r="B191" i="3"/>
  <c r="A191" i="3"/>
  <c r="I190" i="3"/>
  <c r="H190" i="3"/>
  <c r="E190" i="3"/>
  <c r="D190" i="3"/>
  <c r="B190" i="3"/>
  <c r="A190" i="3"/>
  <c r="I189" i="3"/>
  <c r="H189" i="3"/>
  <c r="E189" i="3"/>
  <c r="D189" i="3"/>
  <c r="B189" i="3"/>
  <c r="A189" i="3"/>
  <c r="I188" i="3"/>
  <c r="H188" i="3"/>
  <c r="E188" i="3"/>
  <c r="D188" i="3"/>
  <c r="B188" i="3"/>
  <c r="A188" i="3"/>
  <c r="I187" i="3"/>
  <c r="H187" i="3"/>
  <c r="E187" i="3"/>
  <c r="D187" i="3"/>
  <c r="B187" i="3"/>
  <c r="A187" i="3"/>
  <c r="I186" i="3"/>
  <c r="H186" i="3"/>
  <c r="E186" i="3"/>
  <c r="D186" i="3"/>
  <c r="B186" i="3"/>
  <c r="A186" i="3"/>
  <c r="I185" i="3"/>
  <c r="H185" i="3"/>
  <c r="E185" i="3"/>
  <c r="D185" i="3"/>
  <c r="B185" i="3"/>
  <c r="A185" i="3"/>
  <c r="I184" i="3"/>
  <c r="H184" i="3"/>
  <c r="E184" i="3"/>
  <c r="D184" i="3"/>
  <c r="B184" i="3"/>
  <c r="A184" i="3"/>
  <c r="I183" i="3"/>
  <c r="H183" i="3"/>
  <c r="E183" i="3"/>
  <c r="D183" i="3"/>
  <c r="B183" i="3"/>
  <c r="A183" i="3"/>
  <c r="I182" i="3"/>
  <c r="H182" i="3"/>
  <c r="E182" i="3"/>
  <c r="D182" i="3"/>
  <c r="B182" i="3"/>
  <c r="A182" i="3"/>
  <c r="I181" i="3"/>
  <c r="H181" i="3"/>
  <c r="E181" i="3"/>
  <c r="D181" i="3"/>
  <c r="B181" i="3"/>
  <c r="A181" i="3"/>
  <c r="I180" i="3"/>
  <c r="H180" i="3"/>
  <c r="E180" i="3"/>
  <c r="D180" i="3"/>
  <c r="B180" i="3"/>
  <c r="A180" i="3"/>
  <c r="I179" i="3"/>
  <c r="H179" i="3"/>
  <c r="E179" i="3"/>
  <c r="D179" i="3"/>
  <c r="B179" i="3"/>
  <c r="A179" i="3"/>
  <c r="I178" i="3"/>
  <c r="H178" i="3"/>
  <c r="E178" i="3"/>
  <c r="D178" i="3"/>
  <c r="B178" i="3"/>
  <c r="A178" i="3"/>
  <c r="I177" i="3"/>
  <c r="H177" i="3"/>
  <c r="E177" i="3"/>
  <c r="D177" i="3"/>
  <c r="B177" i="3"/>
  <c r="A177" i="3"/>
  <c r="I176" i="3"/>
  <c r="H176" i="3"/>
  <c r="E176" i="3"/>
  <c r="D176" i="3"/>
  <c r="B176" i="3"/>
  <c r="A176" i="3"/>
  <c r="I175" i="3"/>
  <c r="H175" i="3"/>
  <c r="E175" i="3"/>
  <c r="D175" i="3"/>
  <c r="B175" i="3"/>
  <c r="A175" i="3"/>
  <c r="I174" i="3"/>
  <c r="H174" i="3"/>
  <c r="E174" i="3"/>
  <c r="D174" i="3"/>
  <c r="B174" i="3"/>
  <c r="A174" i="3"/>
  <c r="I173" i="3"/>
  <c r="H173" i="3"/>
  <c r="E173" i="3"/>
  <c r="D173" i="3"/>
  <c r="B173" i="3"/>
  <c r="A173" i="3"/>
  <c r="I172" i="3"/>
  <c r="H172" i="3"/>
  <c r="E172" i="3"/>
  <c r="D172" i="3"/>
  <c r="B172" i="3"/>
  <c r="A172" i="3"/>
  <c r="I171" i="3"/>
  <c r="H171" i="3"/>
  <c r="E171" i="3"/>
  <c r="D171" i="3"/>
  <c r="B171" i="3"/>
  <c r="A171" i="3"/>
  <c r="I170" i="3"/>
  <c r="H170" i="3"/>
  <c r="E170" i="3"/>
  <c r="D170" i="3"/>
  <c r="B170" i="3"/>
  <c r="A170" i="3"/>
  <c r="I169" i="3"/>
  <c r="H169" i="3"/>
  <c r="E169" i="3"/>
  <c r="D169" i="3"/>
  <c r="B169" i="3"/>
  <c r="A169" i="3"/>
  <c r="I168" i="3"/>
  <c r="H168" i="3"/>
  <c r="E168" i="3"/>
  <c r="D168" i="3"/>
  <c r="B168" i="3"/>
  <c r="A168" i="3"/>
  <c r="I167" i="3"/>
  <c r="H167" i="3"/>
  <c r="E167" i="3"/>
  <c r="D167" i="3"/>
  <c r="B167" i="3"/>
  <c r="A167" i="3"/>
  <c r="I166" i="3"/>
  <c r="H166" i="3"/>
  <c r="E166" i="3"/>
  <c r="D166" i="3"/>
  <c r="B166" i="3"/>
  <c r="A166" i="3"/>
  <c r="I165" i="3"/>
  <c r="H165" i="3"/>
  <c r="E165" i="3"/>
  <c r="D165" i="3"/>
  <c r="B165" i="3"/>
  <c r="A165" i="3"/>
  <c r="I164" i="3"/>
  <c r="H164" i="3"/>
  <c r="E164" i="3"/>
  <c r="D164" i="3"/>
  <c r="B164" i="3"/>
  <c r="A164" i="3"/>
  <c r="I163" i="3"/>
  <c r="H163" i="3"/>
  <c r="E163" i="3"/>
  <c r="D163" i="3"/>
  <c r="B163" i="3"/>
  <c r="A163" i="3"/>
  <c r="I162" i="3"/>
  <c r="H162" i="3"/>
  <c r="E162" i="3"/>
  <c r="D162" i="3"/>
  <c r="B162" i="3"/>
  <c r="A162" i="3"/>
  <c r="I161" i="3"/>
  <c r="H161" i="3"/>
  <c r="E161" i="3"/>
  <c r="D161" i="3"/>
  <c r="B161" i="3"/>
  <c r="A161" i="3"/>
  <c r="I160" i="3"/>
  <c r="H160" i="3"/>
  <c r="E160" i="3"/>
  <c r="D160" i="3"/>
  <c r="B160" i="3"/>
  <c r="A160" i="3"/>
  <c r="I159" i="3"/>
  <c r="H159" i="3"/>
  <c r="E159" i="3"/>
  <c r="D159" i="3"/>
  <c r="B159" i="3"/>
  <c r="A159" i="3"/>
  <c r="I158" i="3"/>
  <c r="H158" i="3"/>
  <c r="E158" i="3"/>
  <c r="D158" i="3"/>
  <c r="B158" i="3"/>
  <c r="A158" i="3"/>
  <c r="I157" i="3"/>
  <c r="H157" i="3"/>
  <c r="E157" i="3"/>
  <c r="D157" i="3"/>
  <c r="B157" i="3"/>
  <c r="A157" i="3"/>
  <c r="I156" i="3"/>
  <c r="H156" i="3"/>
  <c r="E156" i="3"/>
  <c r="D156" i="3"/>
  <c r="B156" i="3"/>
  <c r="A156" i="3"/>
  <c r="I155" i="3"/>
  <c r="H155" i="3"/>
  <c r="E155" i="3"/>
  <c r="D155" i="3"/>
  <c r="B155" i="3"/>
  <c r="A155" i="3"/>
  <c r="I154" i="3"/>
  <c r="H154" i="3"/>
  <c r="E154" i="3"/>
  <c r="D154" i="3"/>
  <c r="B154" i="3"/>
  <c r="A154" i="3"/>
  <c r="I153" i="3"/>
  <c r="H153" i="3"/>
  <c r="E153" i="3"/>
  <c r="D153" i="3"/>
  <c r="B153" i="3"/>
  <c r="A153" i="3"/>
  <c r="I152" i="3"/>
  <c r="H152" i="3"/>
  <c r="E152" i="3"/>
  <c r="D152" i="3"/>
  <c r="B152" i="3"/>
  <c r="A152" i="3"/>
  <c r="I151" i="3"/>
  <c r="H151" i="3"/>
  <c r="E151" i="3"/>
  <c r="D151" i="3"/>
  <c r="B151" i="3"/>
  <c r="A151" i="3"/>
  <c r="I150" i="3"/>
  <c r="H150" i="3"/>
  <c r="E150" i="3"/>
  <c r="D150" i="3"/>
  <c r="B150" i="3"/>
  <c r="A150" i="3"/>
  <c r="I149" i="3"/>
  <c r="H149" i="3"/>
  <c r="E149" i="3"/>
  <c r="D149" i="3"/>
  <c r="B149" i="3"/>
  <c r="A149" i="3"/>
  <c r="I148" i="3"/>
  <c r="H148" i="3"/>
  <c r="E148" i="3"/>
  <c r="D148" i="3"/>
  <c r="B148" i="3"/>
  <c r="A148" i="3"/>
  <c r="I147" i="3"/>
  <c r="H147" i="3"/>
  <c r="E147" i="3"/>
  <c r="D147" i="3"/>
  <c r="B147" i="3"/>
  <c r="A147" i="3"/>
  <c r="I146" i="3"/>
  <c r="H146" i="3"/>
  <c r="E146" i="3"/>
  <c r="D146" i="3"/>
  <c r="B146" i="3"/>
  <c r="A146" i="3"/>
  <c r="I145" i="3"/>
  <c r="H145" i="3"/>
  <c r="E145" i="3"/>
  <c r="D145" i="3"/>
  <c r="B145" i="3"/>
  <c r="A145" i="3"/>
  <c r="I144" i="3"/>
  <c r="H144" i="3"/>
  <c r="E144" i="3"/>
  <c r="D144" i="3"/>
  <c r="B144" i="3"/>
  <c r="A144" i="3"/>
  <c r="I143" i="3"/>
  <c r="H143" i="3"/>
  <c r="E143" i="3"/>
  <c r="D143" i="3"/>
  <c r="B143" i="3"/>
  <c r="A143" i="3"/>
  <c r="I142" i="3"/>
  <c r="H142" i="3"/>
  <c r="E142" i="3"/>
  <c r="D142" i="3"/>
  <c r="B142" i="3"/>
  <c r="A142" i="3"/>
  <c r="I141" i="3"/>
  <c r="H141" i="3"/>
  <c r="E141" i="3"/>
  <c r="D141" i="3"/>
  <c r="B141" i="3"/>
  <c r="A141" i="3"/>
  <c r="I140" i="3"/>
  <c r="H140" i="3"/>
  <c r="E140" i="3"/>
  <c r="D140" i="3"/>
  <c r="B140" i="3"/>
  <c r="A140" i="3"/>
  <c r="I139" i="3"/>
  <c r="H139" i="3"/>
  <c r="E139" i="3"/>
  <c r="D139" i="3"/>
  <c r="B139" i="3"/>
  <c r="A139" i="3"/>
  <c r="I138" i="3"/>
  <c r="H138" i="3"/>
  <c r="E138" i="3"/>
  <c r="D138" i="3"/>
  <c r="B138" i="3"/>
  <c r="A138" i="3"/>
  <c r="I137" i="3"/>
  <c r="H137" i="3"/>
  <c r="E137" i="3"/>
  <c r="D137" i="3"/>
  <c r="B137" i="3"/>
  <c r="A137" i="3"/>
  <c r="I136" i="3"/>
  <c r="H136" i="3"/>
  <c r="E136" i="3"/>
  <c r="D136" i="3"/>
  <c r="B136" i="3"/>
  <c r="A136" i="3"/>
  <c r="I135" i="3"/>
  <c r="H135" i="3"/>
  <c r="E135" i="3"/>
  <c r="D135" i="3"/>
  <c r="B135" i="3"/>
  <c r="A135" i="3"/>
  <c r="I134" i="3"/>
  <c r="H134" i="3"/>
  <c r="E134" i="3"/>
  <c r="D134" i="3"/>
  <c r="B134" i="3"/>
  <c r="A134" i="3"/>
  <c r="I133" i="3"/>
  <c r="H133" i="3"/>
  <c r="E133" i="3"/>
  <c r="D133" i="3"/>
  <c r="B133" i="3"/>
  <c r="A133" i="3"/>
  <c r="I132" i="3"/>
  <c r="H132" i="3"/>
  <c r="E132" i="3"/>
  <c r="D132" i="3"/>
  <c r="B132" i="3"/>
  <c r="A132" i="3"/>
  <c r="I131" i="3"/>
  <c r="H131" i="3"/>
  <c r="E131" i="3"/>
  <c r="D131" i="3"/>
  <c r="B131" i="3"/>
  <c r="A131" i="3"/>
  <c r="I130" i="3"/>
  <c r="H130" i="3"/>
  <c r="E130" i="3"/>
  <c r="D130" i="3"/>
  <c r="B130" i="3"/>
  <c r="A130" i="3"/>
  <c r="I129" i="3"/>
  <c r="H129" i="3"/>
  <c r="E129" i="3"/>
  <c r="D129" i="3"/>
  <c r="B129" i="3"/>
  <c r="A129" i="3"/>
  <c r="I128" i="3"/>
  <c r="H128" i="3"/>
  <c r="E128" i="3"/>
  <c r="D128" i="3"/>
  <c r="B128" i="3"/>
  <c r="A128" i="3"/>
  <c r="I127" i="3"/>
  <c r="H127" i="3"/>
  <c r="E127" i="3"/>
  <c r="D127" i="3"/>
  <c r="B127" i="3"/>
  <c r="A127" i="3"/>
  <c r="I126" i="3"/>
  <c r="H126" i="3"/>
  <c r="E126" i="3"/>
  <c r="D126" i="3"/>
  <c r="B126" i="3"/>
  <c r="A126" i="3"/>
  <c r="I125" i="3"/>
  <c r="H125" i="3"/>
  <c r="E125" i="3"/>
  <c r="D125" i="3"/>
  <c r="B125" i="3"/>
  <c r="A125" i="3"/>
  <c r="I124" i="3"/>
  <c r="H124" i="3"/>
  <c r="E124" i="3"/>
  <c r="D124" i="3"/>
  <c r="B124" i="3"/>
  <c r="A124" i="3"/>
  <c r="I123" i="3"/>
  <c r="H123" i="3"/>
  <c r="E123" i="3"/>
  <c r="D123" i="3"/>
  <c r="B123" i="3"/>
  <c r="A123" i="3"/>
  <c r="I122" i="3"/>
  <c r="H122" i="3"/>
  <c r="E122" i="3"/>
  <c r="D122" i="3"/>
  <c r="B122" i="3"/>
  <c r="A122" i="3"/>
  <c r="I121" i="3"/>
  <c r="H121" i="3"/>
  <c r="E121" i="3"/>
  <c r="D121" i="3"/>
  <c r="B121" i="3"/>
  <c r="A121" i="3"/>
  <c r="I120" i="3"/>
  <c r="H120" i="3"/>
  <c r="E120" i="3"/>
  <c r="D120" i="3"/>
  <c r="B120" i="3"/>
  <c r="A120" i="3"/>
  <c r="I119" i="3"/>
  <c r="H119" i="3"/>
  <c r="E119" i="3"/>
  <c r="D119" i="3"/>
  <c r="B119" i="3"/>
  <c r="A119" i="3"/>
  <c r="I118" i="3"/>
  <c r="H118" i="3"/>
  <c r="E118" i="3"/>
  <c r="D118" i="3"/>
  <c r="B118" i="3"/>
  <c r="A118" i="3"/>
  <c r="I117" i="3"/>
  <c r="H117" i="3"/>
  <c r="E117" i="3"/>
  <c r="D117" i="3"/>
  <c r="B117" i="3"/>
  <c r="A117" i="3"/>
  <c r="I116" i="3"/>
  <c r="H116" i="3"/>
  <c r="E116" i="3"/>
  <c r="D116" i="3"/>
  <c r="B116" i="3"/>
  <c r="A116" i="3"/>
  <c r="I115" i="3"/>
  <c r="H115" i="3"/>
  <c r="E115" i="3"/>
  <c r="D115" i="3"/>
  <c r="B115" i="3"/>
  <c r="A115" i="3"/>
  <c r="I114" i="3"/>
  <c r="H114" i="3"/>
  <c r="E114" i="3"/>
  <c r="D114" i="3"/>
  <c r="B114" i="3"/>
  <c r="A114" i="3"/>
  <c r="I113" i="3"/>
  <c r="H113" i="3"/>
  <c r="E113" i="3"/>
  <c r="D113" i="3"/>
  <c r="B113" i="3"/>
  <c r="A113" i="3"/>
  <c r="I112" i="3"/>
  <c r="H112" i="3"/>
  <c r="E112" i="3"/>
  <c r="D112" i="3"/>
  <c r="B112" i="3"/>
  <c r="A112" i="3"/>
  <c r="I111" i="3"/>
  <c r="H111" i="3"/>
  <c r="E111" i="3"/>
  <c r="D111" i="3"/>
  <c r="B111" i="3"/>
  <c r="A111" i="3"/>
  <c r="I110" i="3"/>
  <c r="H110" i="3"/>
  <c r="E110" i="3"/>
  <c r="D110" i="3"/>
  <c r="B110" i="3"/>
  <c r="A110" i="3"/>
  <c r="I109" i="3"/>
  <c r="H109" i="3"/>
  <c r="E109" i="3"/>
  <c r="D109" i="3"/>
  <c r="B109" i="3"/>
  <c r="A109" i="3"/>
  <c r="I108" i="3"/>
  <c r="H108" i="3"/>
  <c r="E108" i="3"/>
  <c r="D108" i="3"/>
  <c r="B108" i="3"/>
  <c r="A108" i="3"/>
  <c r="I107" i="3"/>
  <c r="H107" i="3"/>
  <c r="E107" i="3"/>
  <c r="D107" i="3"/>
  <c r="B107" i="3"/>
  <c r="A107" i="3"/>
  <c r="I106" i="3"/>
  <c r="H106" i="3"/>
  <c r="E106" i="3"/>
  <c r="D106" i="3"/>
  <c r="B106" i="3"/>
  <c r="A106" i="3"/>
  <c r="I105" i="3"/>
  <c r="H105" i="3"/>
  <c r="E105" i="3"/>
  <c r="D105" i="3"/>
  <c r="B105" i="3"/>
  <c r="A105" i="3"/>
  <c r="I104" i="3"/>
  <c r="H104" i="3"/>
  <c r="E104" i="3"/>
  <c r="D104" i="3"/>
  <c r="B104" i="3"/>
  <c r="A104" i="3"/>
  <c r="I103" i="3"/>
  <c r="H103" i="3"/>
  <c r="E103" i="3"/>
  <c r="D103" i="3"/>
  <c r="B103" i="3"/>
  <c r="A103" i="3"/>
  <c r="I102" i="3"/>
  <c r="H102" i="3"/>
  <c r="E102" i="3"/>
  <c r="D102" i="3"/>
  <c r="B102" i="3"/>
  <c r="A102" i="3"/>
  <c r="I101" i="3"/>
  <c r="H101" i="3"/>
  <c r="E101" i="3"/>
  <c r="D101" i="3"/>
  <c r="B101" i="3"/>
  <c r="A101" i="3"/>
  <c r="I100" i="3"/>
  <c r="H100" i="3"/>
  <c r="E100" i="3"/>
  <c r="D100" i="3"/>
  <c r="B100" i="3"/>
  <c r="A100" i="3"/>
  <c r="I99" i="3"/>
  <c r="H99" i="3"/>
  <c r="E99" i="3"/>
  <c r="D99" i="3"/>
  <c r="B99" i="3"/>
  <c r="A99" i="3"/>
  <c r="I98" i="3"/>
  <c r="H98" i="3"/>
  <c r="E98" i="3"/>
  <c r="D98" i="3"/>
  <c r="B98" i="3"/>
  <c r="A98" i="3"/>
  <c r="I97" i="3"/>
  <c r="H97" i="3"/>
  <c r="E97" i="3"/>
  <c r="D97" i="3"/>
  <c r="B97" i="3"/>
  <c r="A97" i="3"/>
  <c r="I96" i="3"/>
  <c r="H96" i="3"/>
  <c r="E96" i="3"/>
  <c r="D96" i="3"/>
  <c r="B96" i="3"/>
  <c r="A96" i="3"/>
  <c r="I95" i="3"/>
  <c r="H95" i="3"/>
  <c r="E95" i="3"/>
  <c r="D95" i="3"/>
  <c r="B95" i="3"/>
  <c r="A95" i="3"/>
  <c r="I94" i="3"/>
  <c r="H94" i="3"/>
  <c r="E94" i="3"/>
  <c r="D94" i="3"/>
  <c r="B94" i="3"/>
  <c r="A94" i="3"/>
  <c r="I93" i="3"/>
  <c r="H93" i="3"/>
  <c r="E93" i="3"/>
  <c r="D93" i="3"/>
  <c r="B93" i="3"/>
  <c r="A93" i="3"/>
  <c r="I92" i="3"/>
  <c r="H92" i="3"/>
  <c r="E92" i="3"/>
  <c r="D92" i="3"/>
  <c r="B92" i="3"/>
  <c r="A92" i="3"/>
  <c r="I91" i="3"/>
  <c r="H91" i="3"/>
  <c r="E91" i="3"/>
  <c r="D91" i="3"/>
  <c r="B91" i="3"/>
  <c r="A91" i="3"/>
  <c r="I90" i="3"/>
  <c r="H90" i="3"/>
  <c r="E90" i="3"/>
  <c r="D90" i="3"/>
  <c r="B90" i="3"/>
  <c r="A90" i="3"/>
  <c r="I89" i="3"/>
  <c r="H89" i="3"/>
  <c r="E89" i="3"/>
  <c r="D89" i="3"/>
  <c r="O89" i="3" s="1"/>
  <c r="BC79" i="1" s="1"/>
  <c r="B89" i="3"/>
  <c r="A89" i="3"/>
  <c r="I88" i="3"/>
  <c r="H88" i="3"/>
  <c r="E88" i="3"/>
  <c r="D88" i="3"/>
  <c r="B88" i="3"/>
  <c r="A88" i="3"/>
  <c r="I87" i="3"/>
  <c r="H87" i="3"/>
  <c r="E87" i="3"/>
  <c r="D87" i="3"/>
  <c r="B87" i="3"/>
  <c r="A87" i="3"/>
  <c r="I86" i="3"/>
  <c r="H86" i="3"/>
  <c r="E86" i="3"/>
  <c r="D86" i="3"/>
  <c r="B86" i="3"/>
  <c r="A86" i="3"/>
  <c r="I85" i="3"/>
  <c r="H85" i="3"/>
  <c r="E85" i="3"/>
  <c r="D85" i="3"/>
  <c r="B85" i="3"/>
  <c r="A85" i="3"/>
  <c r="I84" i="3"/>
  <c r="H84" i="3"/>
  <c r="E84" i="3"/>
  <c r="D84" i="3"/>
  <c r="B84" i="3"/>
  <c r="A84" i="3"/>
  <c r="I83" i="3"/>
  <c r="H83" i="3"/>
  <c r="E83" i="3"/>
  <c r="D83" i="3"/>
  <c r="B83" i="3"/>
  <c r="A83" i="3"/>
  <c r="I82" i="3"/>
  <c r="H82" i="3"/>
  <c r="E82" i="3"/>
  <c r="D82" i="3"/>
  <c r="B82" i="3"/>
  <c r="A82" i="3"/>
  <c r="I81" i="3"/>
  <c r="H81" i="3"/>
  <c r="E81" i="3"/>
  <c r="D81" i="3"/>
  <c r="B81" i="3"/>
  <c r="A81" i="3"/>
  <c r="I80" i="3"/>
  <c r="H80" i="3"/>
  <c r="E80" i="3"/>
  <c r="D80" i="3"/>
  <c r="B80" i="3"/>
  <c r="A80" i="3"/>
  <c r="I79" i="3"/>
  <c r="H79" i="3"/>
  <c r="E79" i="3"/>
  <c r="D79" i="3"/>
  <c r="B79" i="3"/>
  <c r="A79" i="3"/>
  <c r="I78" i="3"/>
  <c r="H78" i="3"/>
  <c r="E78" i="3"/>
  <c r="D78" i="3"/>
  <c r="B78" i="3"/>
  <c r="A78" i="3"/>
  <c r="I77" i="3"/>
  <c r="H77" i="3"/>
  <c r="E77" i="3"/>
  <c r="D77" i="3"/>
  <c r="B77" i="3"/>
  <c r="A77" i="3"/>
  <c r="I76" i="3"/>
  <c r="H76" i="3"/>
  <c r="E76" i="3"/>
  <c r="D76" i="3"/>
  <c r="B76" i="3"/>
  <c r="A76" i="3"/>
  <c r="I75" i="3"/>
  <c r="H75" i="3"/>
  <c r="E75" i="3"/>
  <c r="D75" i="3"/>
  <c r="B75" i="3"/>
  <c r="A75" i="3"/>
  <c r="I74" i="3"/>
  <c r="H74" i="3"/>
  <c r="E74" i="3"/>
  <c r="D74" i="3"/>
  <c r="B74" i="3"/>
  <c r="A74" i="3"/>
  <c r="I73" i="3"/>
  <c r="H73" i="3"/>
  <c r="E73" i="3"/>
  <c r="D73" i="3"/>
  <c r="B73" i="3"/>
  <c r="A73" i="3"/>
  <c r="I72" i="3"/>
  <c r="H72" i="3"/>
  <c r="E72" i="3"/>
  <c r="D72" i="3"/>
  <c r="B72" i="3"/>
  <c r="A72" i="3"/>
  <c r="I71" i="3"/>
  <c r="H71" i="3"/>
  <c r="E71" i="3"/>
  <c r="D71" i="3"/>
  <c r="L71" i="3" s="1"/>
  <c r="AZ61" i="1" s="1"/>
  <c r="B71" i="3"/>
  <c r="A71" i="3"/>
  <c r="I70" i="3"/>
  <c r="H70" i="3"/>
  <c r="E70" i="3"/>
  <c r="D70" i="3"/>
  <c r="B70" i="3"/>
  <c r="A70" i="3"/>
  <c r="I69" i="3"/>
  <c r="H69" i="3"/>
  <c r="E69" i="3"/>
  <c r="D69" i="3"/>
  <c r="B69" i="3"/>
  <c r="A69" i="3"/>
  <c r="I68" i="3"/>
  <c r="H68" i="3"/>
  <c r="E68" i="3"/>
  <c r="D68" i="3"/>
  <c r="B68" i="3"/>
  <c r="A68" i="3"/>
  <c r="I67" i="3"/>
  <c r="H67" i="3"/>
  <c r="E67" i="3"/>
  <c r="D67" i="3"/>
  <c r="B67" i="3"/>
  <c r="A67" i="3"/>
  <c r="I66" i="3"/>
  <c r="H66" i="3"/>
  <c r="E66" i="3"/>
  <c r="D66" i="3"/>
  <c r="B66" i="3"/>
  <c r="A66" i="3"/>
  <c r="I65" i="3"/>
  <c r="H65" i="3"/>
  <c r="E65" i="3"/>
  <c r="D65" i="3"/>
  <c r="B65" i="3"/>
  <c r="A65" i="3"/>
  <c r="I64" i="3"/>
  <c r="H64" i="3"/>
  <c r="E64" i="3"/>
  <c r="D64" i="3"/>
  <c r="B64" i="3"/>
  <c r="A64" i="3"/>
  <c r="I63" i="3"/>
  <c r="H63" i="3"/>
  <c r="E63" i="3"/>
  <c r="D63" i="3"/>
  <c r="B63" i="3"/>
  <c r="A63" i="3"/>
  <c r="I62" i="3"/>
  <c r="H62" i="3"/>
  <c r="E62" i="3"/>
  <c r="D62" i="3"/>
  <c r="B62" i="3"/>
  <c r="A62" i="3"/>
  <c r="I61" i="3"/>
  <c r="H61" i="3"/>
  <c r="E61" i="3"/>
  <c r="D61" i="3"/>
  <c r="B61" i="3"/>
  <c r="A61" i="3"/>
  <c r="I60" i="3"/>
  <c r="H60" i="3"/>
  <c r="E60" i="3"/>
  <c r="D60" i="3"/>
  <c r="B60" i="3"/>
  <c r="A60" i="3"/>
  <c r="I59" i="3"/>
  <c r="H59" i="3"/>
  <c r="E59" i="3"/>
  <c r="D59" i="3"/>
  <c r="B59" i="3"/>
  <c r="A59" i="3"/>
  <c r="I58" i="3"/>
  <c r="H58" i="3"/>
  <c r="E58" i="3"/>
  <c r="D58" i="3"/>
  <c r="B58" i="3"/>
  <c r="A58" i="3"/>
  <c r="I57" i="3"/>
  <c r="H57" i="3"/>
  <c r="E57" i="3"/>
  <c r="D57" i="3"/>
  <c r="B57" i="3"/>
  <c r="A57" i="3"/>
  <c r="I56" i="3"/>
  <c r="H56" i="3"/>
  <c r="E56" i="3"/>
  <c r="D56" i="3"/>
  <c r="B56" i="3"/>
  <c r="A56" i="3"/>
  <c r="I55" i="3"/>
  <c r="H55" i="3"/>
  <c r="E55" i="3"/>
  <c r="D55" i="3"/>
  <c r="B55" i="3"/>
  <c r="A55" i="3"/>
  <c r="I54" i="3"/>
  <c r="H54" i="3"/>
  <c r="E54" i="3"/>
  <c r="D54" i="3"/>
  <c r="B54" i="3"/>
  <c r="A54" i="3"/>
  <c r="I53" i="3"/>
  <c r="H53" i="3"/>
  <c r="E53" i="3"/>
  <c r="D53" i="3"/>
  <c r="B53" i="3"/>
  <c r="A53" i="3"/>
  <c r="I52" i="3"/>
  <c r="H52" i="3"/>
  <c r="E52" i="3"/>
  <c r="D52" i="3"/>
  <c r="B52" i="3"/>
  <c r="A52" i="3"/>
  <c r="I51" i="3"/>
  <c r="H51" i="3"/>
  <c r="E51" i="3"/>
  <c r="D51" i="3"/>
  <c r="B51" i="3"/>
  <c r="A51" i="3"/>
  <c r="I50" i="3"/>
  <c r="H50" i="3"/>
  <c r="E50" i="3"/>
  <c r="D50" i="3"/>
  <c r="B50" i="3"/>
  <c r="A50" i="3"/>
  <c r="I49" i="3"/>
  <c r="H49" i="3"/>
  <c r="E49" i="3"/>
  <c r="D49" i="3"/>
  <c r="B49" i="3"/>
  <c r="A49" i="3"/>
  <c r="I48" i="3"/>
  <c r="H48" i="3"/>
  <c r="E48" i="3"/>
  <c r="D48" i="3"/>
  <c r="B48" i="3"/>
  <c r="A48" i="3"/>
  <c r="I47" i="3"/>
  <c r="H47" i="3"/>
  <c r="E47" i="3"/>
  <c r="D47" i="3"/>
  <c r="B47" i="3"/>
  <c r="A47" i="3"/>
  <c r="I46" i="3"/>
  <c r="H46" i="3"/>
  <c r="E46" i="3"/>
  <c r="D46" i="3"/>
  <c r="B46" i="3"/>
  <c r="A46" i="3"/>
  <c r="I45" i="3"/>
  <c r="H45" i="3"/>
  <c r="E45" i="3"/>
  <c r="D45" i="3"/>
  <c r="B45" i="3"/>
  <c r="A45" i="3"/>
  <c r="I44" i="3"/>
  <c r="H44" i="3"/>
  <c r="E44" i="3"/>
  <c r="D44" i="3"/>
  <c r="B44" i="3"/>
  <c r="A44" i="3"/>
  <c r="I43" i="3"/>
  <c r="H43" i="3"/>
  <c r="E43" i="3"/>
  <c r="D43" i="3"/>
  <c r="B43" i="3"/>
  <c r="A43" i="3"/>
  <c r="I42" i="3"/>
  <c r="H42" i="3"/>
  <c r="E42" i="3"/>
  <c r="D42" i="3"/>
  <c r="B42" i="3"/>
  <c r="A42" i="3"/>
  <c r="I41" i="3"/>
  <c r="H41" i="3"/>
  <c r="E41" i="3"/>
  <c r="D41" i="3"/>
  <c r="B41" i="3"/>
  <c r="A41" i="3"/>
  <c r="I40" i="3"/>
  <c r="H40" i="3"/>
  <c r="E40" i="3"/>
  <c r="D40" i="3"/>
  <c r="B40" i="3"/>
  <c r="A40" i="3"/>
  <c r="I39" i="3"/>
  <c r="H39" i="3"/>
  <c r="E39" i="3"/>
  <c r="D39" i="3"/>
  <c r="B39" i="3"/>
  <c r="A39" i="3"/>
  <c r="I38" i="3"/>
  <c r="H38" i="3"/>
  <c r="E38" i="3"/>
  <c r="D38" i="3"/>
  <c r="B38" i="3"/>
  <c r="A38" i="3"/>
  <c r="I37" i="3"/>
  <c r="H37" i="3"/>
  <c r="E37" i="3"/>
  <c r="D37" i="3"/>
  <c r="B37" i="3"/>
  <c r="A37" i="3"/>
  <c r="I36" i="3"/>
  <c r="H36" i="3"/>
  <c r="E36" i="3"/>
  <c r="D36" i="3"/>
  <c r="B36" i="3"/>
  <c r="A36" i="3"/>
  <c r="I35" i="3"/>
  <c r="H35" i="3"/>
  <c r="E35" i="3"/>
  <c r="D35" i="3"/>
  <c r="B35" i="3"/>
  <c r="A35" i="3"/>
  <c r="I34" i="3"/>
  <c r="H34" i="3"/>
  <c r="E34" i="3"/>
  <c r="D34" i="3"/>
  <c r="B34" i="3"/>
  <c r="A34" i="3"/>
  <c r="I33" i="3"/>
  <c r="H33" i="3"/>
  <c r="E33" i="3"/>
  <c r="D33" i="3"/>
  <c r="B33" i="3"/>
  <c r="A33" i="3"/>
  <c r="I32" i="3"/>
  <c r="H32" i="3"/>
  <c r="E32" i="3"/>
  <c r="D32" i="3"/>
  <c r="B32" i="3"/>
  <c r="A32" i="3"/>
  <c r="I31" i="3"/>
  <c r="H31" i="3"/>
  <c r="E31" i="3"/>
  <c r="D31" i="3"/>
  <c r="B31" i="3"/>
  <c r="A31" i="3"/>
  <c r="I30" i="3"/>
  <c r="H30" i="3"/>
  <c r="E30" i="3"/>
  <c r="D30" i="3"/>
  <c r="B30" i="3"/>
  <c r="A30" i="3"/>
  <c r="I29" i="3"/>
  <c r="H29" i="3"/>
  <c r="E29" i="3"/>
  <c r="D29" i="3"/>
  <c r="B29" i="3"/>
  <c r="A29" i="3"/>
  <c r="I28" i="3"/>
  <c r="H28" i="3"/>
  <c r="E28" i="3"/>
  <c r="D28" i="3"/>
  <c r="B28" i="3"/>
  <c r="A28" i="3"/>
  <c r="I27" i="3"/>
  <c r="H27" i="3"/>
  <c r="E27" i="3"/>
  <c r="D27" i="3"/>
  <c r="B27" i="3"/>
  <c r="A27" i="3"/>
  <c r="I26" i="3"/>
  <c r="H26" i="3"/>
  <c r="E26" i="3"/>
  <c r="D26" i="3"/>
  <c r="B26" i="3"/>
  <c r="A26" i="3"/>
  <c r="I25" i="3"/>
  <c r="H25" i="3"/>
  <c r="E25" i="3"/>
  <c r="D25" i="3"/>
  <c r="B25" i="3"/>
  <c r="A25" i="3"/>
  <c r="I24" i="3"/>
  <c r="H24" i="3"/>
  <c r="E24" i="3"/>
  <c r="D24" i="3"/>
  <c r="B24" i="3"/>
  <c r="A24" i="3"/>
  <c r="I23" i="3"/>
  <c r="H23" i="3"/>
  <c r="E23" i="3"/>
  <c r="D23" i="3"/>
  <c r="B23" i="3"/>
  <c r="A23" i="3"/>
  <c r="I22" i="3"/>
  <c r="H22" i="3"/>
  <c r="E22" i="3"/>
  <c r="D22" i="3"/>
  <c r="B22" i="3"/>
  <c r="A22" i="3"/>
  <c r="I21" i="3"/>
  <c r="H21" i="3"/>
  <c r="E21" i="3"/>
  <c r="D21" i="3"/>
  <c r="B21" i="3"/>
  <c r="A21" i="3"/>
  <c r="I20" i="3"/>
  <c r="H20" i="3"/>
  <c r="E20" i="3"/>
  <c r="D20" i="3"/>
  <c r="B20" i="3"/>
  <c r="A20" i="3"/>
  <c r="I19" i="3"/>
  <c r="H19" i="3"/>
  <c r="E19" i="3"/>
  <c r="D19" i="3"/>
  <c r="B19" i="3"/>
  <c r="A19" i="3"/>
  <c r="M90" i="3" l="1"/>
  <c r="BA80" i="1" s="1"/>
  <c r="P20" i="3"/>
  <c r="BD10" i="1" s="1"/>
  <c r="P21" i="3"/>
  <c r="BD11" i="1" s="1"/>
  <c r="P19" i="3"/>
  <c r="BD9" i="1" s="1"/>
  <c r="F20" i="3"/>
  <c r="F277" i="3"/>
  <c r="F276" i="3"/>
  <c r="F275" i="3"/>
  <c r="F274" i="3"/>
  <c r="F273" i="3"/>
  <c r="F272" i="3"/>
  <c r="F271" i="3"/>
  <c r="F270" i="3"/>
  <c r="F269" i="3"/>
  <c r="F268" i="3"/>
  <c r="F267" i="3"/>
  <c r="F266" i="3"/>
  <c r="F265" i="3"/>
  <c r="F264" i="3"/>
  <c r="F263" i="3"/>
  <c r="F262" i="3"/>
  <c r="F261" i="3"/>
  <c r="F259" i="3"/>
  <c r="F258" i="3"/>
  <c r="F257" i="3"/>
  <c r="F256" i="3"/>
  <c r="F255" i="3"/>
  <c r="F254" i="3"/>
  <c r="F253" i="3"/>
  <c r="F252" i="3"/>
  <c r="F251" i="3"/>
  <c r="F250" i="3"/>
  <c r="F249" i="3"/>
  <c r="F248" i="3"/>
  <c r="F247" i="3"/>
  <c r="F246" i="3"/>
  <c r="F245" i="3"/>
  <c r="F244" i="3"/>
  <c r="K25" i="3"/>
  <c r="AY15" i="1" s="1"/>
  <c r="F243" i="3"/>
  <c r="F242" i="3"/>
  <c r="F241" i="3"/>
  <c r="F421" i="3"/>
  <c r="F420" i="3"/>
  <c r="F419" i="3"/>
  <c r="F418" i="3"/>
  <c r="F417" i="3"/>
  <c r="F416" i="3"/>
  <c r="F415" i="3"/>
  <c r="F414" i="3"/>
  <c r="F413" i="3"/>
  <c r="F412" i="3"/>
  <c r="F411" i="3"/>
  <c r="F240" i="3"/>
  <c r="F239" i="3"/>
  <c r="F238" i="3"/>
  <c r="F237" i="3"/>
  <c r="F236" i="3"/>
  <c r="F235" i="3"/>
  <c r="F389" i="3"/>
  <c r="F388" i="3"/>
  <c r="F387" i="3"/>
  <c r="F386" i="3"/>
  <c r="F385" i="3"/>
  <c r="F384" i="3"/>
  <c r="F383" i="3"/>
  <c r="F382" i="3"/>
  <c r="F381" i="3"/>
  <c r="F380" i="3"/>
  <c r="F379" i="3"/>
  <c r="F378" i="3"/>
  <c r="F377" i="3"/>
  <c r="F376" i="3"/>
  <c r="F375" i="3"/>
  <c r="F374" i="3"/>
  <c r="F373" i="3"/>
  <c r="F372" i="3"/>
  <c r="F371" i="3"/>
  <c r="F370" i="3"/>
  <c r="F369" i="3"/>
  <c r="F368" i="3"/>
  <c r="F367" i="3"/>
  <c r="F366" i="3"/>
  <c r="F365" i="3"/>
  <c r="F364" i="3"/>
  <c r="F363" i="3"/>
  <c r="F362" i="3"/>
  <c r="F361" i="3"/>
  <c r="F360" i="3"/>
  <c r="F359" i="3"/>
  <c r="F358" i="3"/>
  <c r="F357" i="3"/>
  <c r="F356" i="3"/>
  <c r="F355" i="3"/>
  <c r="F354" i="3"/>
  <c r="G353" i="3"/>
  <c r="F353" i="3"/>
  <c r="G352" i="3"/>
  <c r="F352" i="3"/>
  <c r="G351" i="3"/>
  <c r="F351" i="3"/>
  <c r="G350" i="3"/>
  <c r="F350" i="3"/>
  <c r="G349" i="3"/>
  <c r="F349" i="3"/>
  <c r="G348" i="3"/>
  <c r="F348" i="3"/>
  <c r="G347" i="3"/>
  <c r="F347" i="3"/>
  <c r="G346" i="3"/>
  <c r="F346" i="3"/>
  <c r="G345" i="3"/>
  <c r="F345" i="3"/>
  <c r="G344" i="3"/>
  <c r="F344" i="3"/>
  <c r="G343" i="3"/>
  <c r="F343" i="3"/>
  <c r="G342" i="3"/>
  <c r="F342" i="3"/>
  <c r="G341" i="3"/>
  <c r="F341" i="3"/>
  <c r="G340" i="3"/>
  <c r="F340" i="3"/>
  <c r="G339" i="3"/>
  <c r="F339" i="3"/>
  <c r="G338" i="3"/>
  <c r="F338" i="3"/>
  <c r="G337" i="3"/>
  <c r="F337" i="3"/>
  <c r="G336" i="3"/>
  <c r="F336" i="3"/>
  <c r="G335" i="3"/>
  <c r="F335" i="3"/>
  <c r="G334" i="3"/>
  <c r="F333" i="3"/>
  <c r="G332" i="3"/>
  <c r="F332" i="3"/>
  <c r="G331" i="3"/>
  <c r="F331" i="3"/>
  <c r="G330" i="3"/>
  <c r="F330" i="3"/>
  <c r="G329" i="3"/>
  <c r="F329" i="3"/>
  <c r="G328" i="3"/>
  <c r="F328" i="3"/>
  <c r="G327" i="3"/>
  <c r="F327" i="3"/>
  <c r="G326" i="3"/>
  <c r="F326" i="3"/>
  <c r="G325" i="3"/>
  <c r="F325" i="3"/>
  <c r="G324" i="3"/>
  <c r="F324" i="3"/>
  <c r="G323" i="3"/>
  <c r="F323" i="3"/>
  <c r="G322" i="3"/>
  <c r="F322" i="3"/>
  <c r="G321" i="3"/>
  <c r="F321" i="3"/>
  <c r="G320" i="3"/>
  <c r="G267" i="3"/>
  <c r="G266" i="3"/>
  <c r="G260" i="3"/>
  <c r="G250" i="3"/>
  <c r="G245" i="3"/>
  <c r="G240" i="3"/>
  <c r="G236" i="3"/>
  <c r="F320" i="3"/>
  <c r="G319" i="3"/>
  <c r="F319" i="3"/>
  <c r="G318" i="3"/>
  <c r="F318" i="3"/>
  <c r="G317" i="3"/>
  <c r="F317" i="3"/>
  <c r="G316" i="3"/>
  <c r="F316" i="3"/>
  <c r="G315" i="3"/>
  <c r="F315" i="3"/>
  <c r="G314" i="3"/>
  <c r="F314" i="3"/>
  <c r="G313" i="3"/>
  <c r="F313" i="3"/>
  <c r="G312" i="3"/>
  <c r="F312" i="3"/>
  <c r="G311" i="3"/>
  <c r="F311" i="3"/>
  <c r="G310" i="3"/>
  <c r="F310" i="3"/>
  <c r="G309" i="3"/>
  <c r="F309" i="3"/>
  <c r="G308" i="3"/>
  <c r="F308" i="3"/>
  <c r="G307" i="3"/>
  <c r="F307" i="3"/>
  <c r="G306" i="3"/>
  <c r="F306" i="3"/>
  <c r="G305" i="3"/>
  <c r="F305" i="3"/>
  <c r="G304" i="3"/>
  <c r="F304" i="3"/>
  <c r="G262" i="3"/>
  <c r="G261" i="3"/>
  <c r="G246" i="3"/>
  <c r="G242" i="3"/>
  <c r="G237" i="3"/>
  <c r="F302" i="3"/>
  <c r="F301" i="3"/>
  <c r="F300" i="3"/>
  <c r="G299" i="3"/>
  <c r="G298" i="3"/>
  <c r="G297" i="3"/>
  <c r="F296" i="3"/>
  <c r="F295" i="3"/>
  <c r="F294" i="3"/>
  <c r="F293" i="3"/>
  <c r="F292" i="3"/>
  <c r="F291" i="3"/>
  <c r="G289" i="3"/>
  <c r="F288" i="3"/>
  <c r="F287" i="3"/>
  <c r="F286" i="3"/>
  <c r="F285" i="3"/>
  <c r="G283" i="3"/>
  <c r="F282" i="3"/>
  <c r="F281" i="3"/>
  <c r="F280" i="3"/>
  <c r="F279" i="3"/>
  <c r="F278" i="3"/>
  <c r="G277" i="3"/>
  <c r="G273" i="3"/>
  <c r="G271" i="3"/>
  <c r="G269" i="3"/>
  <c r="G265" i="3"/>
  <c r="G263" i="3"/>
  <c r="G248" i="3"/>
  <c r="G241" i="3"/>
  <c r="G235" i="3"/>
  <c r="F303" i="3"/>
  <c r="F299" i="3"/>
  <c r="F298" i="3"/>
  <c r="F297" i="3"/>
  <c r="G296" i="3"/>
  <c r="G295" i="3"/>
  <c r="G294" i="3"/>
  <c r="G293" i="3"/>
  <c r="G292" i="3"/>
  <c r="G291" i="3"/>
  <c r="G290" i="3"/>
  <c r="F290" i="3"/>
  <c r="F289" i="3"/>
  <c r="G288" i="3"/>
  <c r="G287" i="3"/>
  <c r="G286" i="3"/>
  <c r="G285" i="3"/>
  <c r="G284" i="3"/>
  <c r="F284" i="3"/>
  <c r="F283" i="3"/>
  <c r="G282" i="3"/>
  <c r="G281" i="3"/>
  <c r="G280" i="3"/>
  <c r="G279" i="3"/>
  <c r="G278" i="3"/>
  <c r="G276" i="3"/>
  <c r="G275" i="3"/>
  <c r="G274" i="3"/>
  <c r="G272" i="3"/>
  <c r="G270" i="3"/>
  <c r="G268" i="3"/>
  <c r="G264" i="3"/>
  <c r="G247" i="3"/>
  <c r="G243" i="3"/>
  <c r="G238" i="3"/>
  <c r="F260" i="3"/>
  <c r="G259" i="3"/>
  <c r="G258" i="3"/>
  <c r="G257" i="3"/>
  <c r="G256" i="3"/>
  <c r="G255" i="3"/>
  <c r="G254" i="3"/>
  <c r="G253" i="3"/>
  <c r="G252" i="3"/>
  <c r="G251" i="3"/>
  <c r="G249" i="3"/>
  <c r="G244" i="3"/>
  <c r="G239" i="3"/>
  <c r="G518" i="3"/>
  <c r="F518" i="3"/>
  <c r="G517" i="3"/>
  <c r="F517" i="3"/>
  <c r="G516" i="3"/>
  <c r="F516" i="3"/>
  <c r="G515" i="3"/>
  <c r="F515" i="3"/>
  <c r="G514" i="3"/>
  <c r="F514" i="3"/>
  <c r="G513" i="3"/>
  <c r="F513" i="3"/>
  <c r="G512" i="3"/>
  <c r="F512" i="3"/>
  <c r="G511" i="3"/>
  <c r="F511" i="3"/>
  <c r="G510" i="3"/>
  <c r="F510" i="3"/>
  <c r="G509" i="3"/>
  <c r="F509" i="3"/>
  <c r="G508" i="3"/>
  <c r="F508" i="3"/>
  <c r="G507" i="3"/>
  <c r="F507" i="3"/>
  <c r="G506" i="3"/>
  <c r="F506" i="3"/>
  <c r="G505" i="3"/>
  <c r="F505" i="3"/>
  <c r="G504" i="3"/>
  <c r="F504" i="3"/>
  <c r="G503" i="3"/>
  <c r="F503" i="3"/>
  <c r="G502" i="3"/>
  <c r="F502" i="3"/>
  <c r="G501" i="3"/>
  <c r="F501" i="3"/>
  <c r="G500" i="3"/>
  <c r="F500" i="3"/>
  <c r="G499" i="3"/>
  <c r="F499" i="3"/>
  <c r="G498" i="3"/>
  <c r="F498" i="3"/>
  <c r="G497" i="3"/>
  <c r="F497" i="3"/>
  <c r="G496" i="3"/>
  <c r="F496" i="3"/>
  <c r="G495" i="3"/>
  <c r="F495" i="3"/>
  <c r="G494" i="3"/>
  <c r="F494" i="3"/>
  <c r="G493" i="3"/>
  <c r="F493" i="3"/>
  <c r="G492" i="3"/>
  <c r="F492" i="3"/>
  <c r="G491" i="3"/>
  <c r="F491" i="3"/>
  <c r="G490" i="3"/>
  <c r="F490" i="3"/>
  <c r="G489" i="3"/>
  <c r="F489" i="3"/>
  <c r="G487" i="3"/>
  <c r="F487" i="3"/>
  <c r="G486" i="3"/>
  <c r="F486" i="3"/>
  <c r="G485" i="3"/>
  <c r="F485" i="3"/>
  <c r="G484" i="3"/>
  <c r="F484" i="3"/>
  <c r="G483" i="3"/>
  <c r="F483" i="3"/>
  <c r="G482" i="3"/>
  <c r="F482" i="3"/>
  <c r="G481" i="3"/>
  <c r="F481" i="3"/>
  <c r="G480" i="3"/>
  <c r="F480" i="3"/>
  <c r="G479" i="3"/>
  <c r="F479" i="3"/>
  <c r="G478" i="3"/>
  <c r="F478" i="3"/>
  <c r="G477" i="3"/>
  <c r="F477" i="3"/>
  <c r="G476" i="3"/>
  <c r="F476" i="3"/>
  <c r="G475" i="3"/>
  <c r="F475" i="3"/>
  <c r="G474" i="3"/>
  <c r="F474" i="3"/>
  <c r="G473" i="3"/>
  <c r="F473" i="3"/>
  <c r="G472" i="3"/>
  <c r="F472" i="3"/>
  <c r="G471" i="3"/>
  <c r="F471" i="3"/>
  <c r="G470" i="3"/>
  <c r="F470" i="3"/>
  <c r="G469" i="3"/>
  <c r="F469" i="3"/>
  <c r="G468" i="3"/>
  <c r="F468" i="3"/>
  <c r="G467" i="3"/>
  <c r="F467" i="3"/>
  <c r="G466" i="3"/>
  <c r="F466" i="3"/>
  <c r="G465" i="3"/>
  <c r="F465" i="3"/>
  <c r="G464" i="3"/>
  <c r="F464" i="3"/>
  <c r="G463" i="3"/>
  <c r="F463" i="3"/>
  <c r="G462" i="3"/>
  <c r="F462" i="3"/>
  <c r="G461" i="3"/>
  <c r="F461" i="3"/>
  <c r="G460" i="3"/>
  <c r="F460" i="3"/>
  <c r="G459" i="3"/>
  <c r="F459" i="3"/>
  <c r="G458" i="3"/>
  <c r="F458" i="3"/>
  <c r="G457" i="3"/>
  <c r="F457" i="3"/>
  <c r="G456" i="3"/>
  <c r="F456" i="3"/>
  <c r="G455" i="3"/>
  <c r="F455" i="3"/>
  <c r="G454" i="3"/>
  <c r="F454" i="3"/>
  <c r="G453" i="3"/>
  <c r="F453" i="3"/>
  <c r="G452" i="3"/>
  <c r="F452" i="3"/>
  <c r="G451" i="3"/>
  <c r="F451" i="3"/>
  <c r="G450" i="3"/>
  <c r="F450" i="3"/>
  <c r="G449" i="3"/>
  <c r="F449" i="3"/>
  <c r="G448" i="3"/>
  <c r="F448" i="3"/>
  <c r="F446" i="3"/>
  <c r="G445" i="3"/>
  <c r="F445" i="3"/>
  <c r="G444" i="3"/>
  <c r="F444" i="3"/>
  <c r="G443" i="3"/>
  <c r="F443" i="3"/>
  <c r="G442" i="3"/>
  <c r="F442" i="3"/>
  <c r="G441" i="3"/>
  <c r="F441" i="3"/>
  <c r="G440" i="3"/>
  <c r="F440" i="3"/>
  <c r="G439" i="3"/>
  <c r="F439" i="3"/>
  <c r="G438" i="3"/>
  <c r="F438" i="3"/>
  <c r="G437" i="3"/>
  <c r="F437" i="3"/>
  <c r="G436" i="3"/>
  <c r="F436" i="3"/>
  <c r="G435" i="3"/>
  <c r="F435" i="3"/>
  <c r="G434" i="3"/>
  <c r="F434" i="3"/>
  <c r="G433" i="3"/>
  <c r="F433" i="3"/>
  <c r="G432" i="3"/>
  <c r="F432" i="3"/>
  <c r="G431" i="3"/>
  <c r="F431" i="3"/>
  <c r="G428" i="3"/>
  <c r="F428" i="3"/>
  <c r="G427" i="3"/>
  <c r="F427" i="3"/>
  <c r="G426" i="3"/>
  <c r="F426" i="3"/>
  <c r="G425" i="3"/>
  <c r="F425" i="3"/>
  <c r="G424" i="3"/>
  <c r="F424" i="3"/>
  <c r="G423" i="3"/>
  <c r="F423" i="3"/>
  <c r="F422" i="3"/>
  <c r="G419" i="3"/>
  <c r="G418" i="3"/>
  <c r="G417" i="3"/>
  <c r="G415" i="3"/>
  <c r="G414" i="3"/>
  <c r="G412" i="3"/>
  <c r="G411" i="3"/>
  <c r="G382" i="3"/>
  <c r="G380" i="3"/>
  <c r="G372" i="3"/>
  <c r="G371" i="3"/>
  <c r="G369" i="3"/>
  <c r="G367" i="3"/>
  <c r="G365" i="3"/>
  <c r="G363" i="3"/>
  <c r="G361" i="3"/>
  <c r="G359" i="3"/>
  <c r="G357" i="3"/>
  <c r="G355" i="3"/>
  <c r="G488" i="3"/>
  <c r="F488" i="3"/>
  <c r="G430" i="3"/>
  <c r="F430" i="3"/>
  <c r="G429" i="3"/>
  <c r="F429" i="3"/>
  <c r="G422" i="3"/>
  <c r="G421" i="3"/>
  <c r="G420" i="3"/>
  <c r="G416" i="3"/>
  <c r="G413" i="3"/>
  <c r="G383" i="3"/>
  <c r="G379" i="3"/>
  <c r="G376" i="3"/>
  <c r="G375" i="3"/>
  <c r="G368" i="3"/>
  <c r="G364" i="3"/>
  <c r="G360" i="3"/>
  <c r="G356" i="3"/>
  <c r="G410" i="3"/>
  <c r="F410" i="3"/>
  <c r="G409" i="3"/>
  <c r="F409" i="3"/>
  <c r="G408" i="3"/>
  <c r="F408" i="3"/>
  <c r="G407" i="3"/>
  <c r="F407" i="3"/>
  <c r="G406" i="3"/>
  <c r="F406" i="3"/>
  <c r="G405" i="3"/>
  <c r="F405" i="3"/>
  <c r="G404" i="3"/>
  <c r="F404" i="3"/>
  <c r="G403" i="3"/>
  <c r="F403" i="3"/>
  <c r="G402" i="3"/>
  <c r="F402" i="3"/>
  <c r="G401" i="3"/>
  <c r="F401" i="3"/>
  <c r="G400" i="3"/>
  <c r="F400" i="3"/>
  <c r="G399" i="3"/>
  <c r="F399" i="3"/>
  <c r="G398" i="3"/>
  <c r="F398" i="3"/>
  <c r="G397" i="3"/>
  <c r="F397" i="3"/>
  <c r="G396" i="3"/>
  <c r="F396" i="3"/>
  <c r="G395" i="3"/>
  <c r="F395" i="3"/>
  <c r="G394" i="3"/>
  <c r="F394" i="3"/>
  <c r="G393" i="3"/>
  <c r="F393" i="3"/>
  <c r="G392" i="3"/>
  <c r="F392" i="3"/>
  <c r="G391" i="3"/>
  <c r="F391" i="3"/>
  <c r="G390" i="3"/>
  <c r="F390" i="3"/>
  <c r="G389" i="3"/>
  <c r="G388" i="3"/>
  <c r="G387" i="3"/>
  <c r="G386" i="3"/>
  <c r="G385" i="3"/>
  <c r="G384" i="3"/>
  <c r="G381" i="3"/>
  <c r="G378" i="3"/>
  <c r="G377" i="3"/>
  <c r="G374" i="3"/>
  <c r="G373" i="3"/>
  <c r="G370" i="3"/>
  <c r="G366" i="3"/>
  <c r="G362" i="3"/>
  <c r="G358" i="3"/>
  <c r="F334" i="3"/>
  <c r="G333" i="3"/>
  <c r="G303" i="3"/>
  <c r="G302" i="3"/>
  <c r="G301" i="3"/>
  <c r="G300" i="3"/>
  <c r="O99" i="3"/>
  <c r="BC89" i="1" s="1"/>
  <c r="G234" i="3"/>
  <c r="F234" i="3"/>
  <c r="G233" i="3"/>
  <c r="F233" i="3"/>
  <c r="G232" i="3"/>
  <c r="F232" i="3"/>
  <c r="G231" i="3"/>
  <c r="F231" i="3"/>
  <c r="G230" i="3"/>
  <c r="F230" i="3"/>
  <c r="G229" i="3"/>
  <c r="F229" i="3"/>
  <c r="G228" i="3"/>
  <c r="F228" i="3"/>
  <c r="G227" i="3"/>
  <c r="F227" i="3"/>
  <c r="G226" i="3"/>
  <c r="F226" i="3"/>
  <c r="G225" i="3"/>
  <c r="F225" i="3"/>
  <c r="G224" i="3"/>
  <c r="F224" i="3"/>
  <c r="G223" i="3"/>
  <c r="F223" i="3"/>
  <c r="G222" i="3"/>
  <c r="F222" i="3"/>
  <c r="G221" i="3"/>
  <c r="F221" i="3"/>
  <c r="G220" i="3"/>
  <c r="F220" i="3"/>
  <c r="G219" i="3"/>
  <c r="F219" i="3"/>
  <c r="G218" i="3"/>
  <c r="F218" i="3"/>
  <c r="G217" i="3"/>
  <c r="F217" i="3"/>
  <c r="G216" i="3"/>
  <c r="F216" i="3"/>
  <c r="G215" i="3"/>
  <c r="F215" i="3"/>
  <c r="G214" i="3"/>
  <c r="F214" i="3"/>
  <c r="G213" i="3"/>
  <c r="F213" i="3"/>
  <c r="G212" i="3"/>
  <c r="F212" i="3"/>
  <c r="G211" i="3"/>
  <c r="F211" i="3"/>
  <c r="G210" i="3"/>
  <c r="F210" i="3"/>
  <c r="G209" i="3"/>
  <c r="F209" i="3"/>
  <c r="G208" i="3"/>
  <c r="F208" i="3"/>
  <c r="G207" i="3"/>
  <c r="F207" i="3"/>
  <c r="G206" i="3"/>
  <c r="F206" i="3"/>
  <c r="G205" i="3"/>
  <c r="F205" i="3"/>
  <c r="G204" i="3"/>
  <c r="F204" i="3"/>
  <c r="G203" i="3"/>
  <c r="F203" i="3"/>
  <c r="G202" i="3"/>
  <c r="F202" i="3"/>
  <c r="G201" i="3"/>
  <c r="F201" i="3"/>
  <c r="G200" i="3"/>
  <c r="F200" i="3"/>
  <c r="G199" i="3"/>
  <c r="F199" i="3"/>
  <c r="G198" i="3"/>
  <c r="F198" i="3"/>
  <c r="G197" i="3"/>
  <c r="F197" i="3"/>
  <c r="G196" i="3"/>
  <c r="F196" i="3"/>
  <c r="G195" i="3"/>
  <c r="F195" i="3"/>
  <c r="G194" i="3"/>
  <c r="F194" i="3"/>
  <c r="G193" i="3"/>
  <c r="F193" i="3"/>
  <c r="G192" i="3"/>
  <c r="F192" i="3"/>
  <c r="G191" i="3"/>
  <c r="F191" i="3"/>
  <c r="G190" i="3"/>
  <c r="F190" i="3"/>
  <c r="G189" i="3"/>
  <c r="F189" i="3"/>
  <c r="G188" i="3"/>
  <c r="F188" i="3"/>
  <c r="G187" i="3"/>
  <c r="F187" i="3"/>
  <c r="G186" i="3"/>
  <c r="F186" i="3"/>
  <c r="G185" i="3"/>
  <c r="F185" i="3"/>
  <c r="G184" i="3"/>
  <c r="F184" i="3"/>
  <c r="G183" i="3"/>
  <c r="F183" i="3"/>
  <c r="G182" i="3"/>
  <c r="F182" i="3"/>
  <c r="G181" i="3"/>
  <c r="F181" i="3"/>
  <c r="G180" i="3"/>
  <c r="F180" i="3"/>
  <c r="G179" i="3"/>
  <c r="F179" i="3"/>
  <c r="G178" i="3"/>
  <c r="F178" i="3"/>
  <c r="G177" i="3"/>
  <c r="F177" i="3"/>
  <c r="G176" i="3"/>
  <c r="F176" i="3"/>
  <c r="G175" i="3"/>
  <c r="F175" i="3"/>
  <c r="G174" i="3"/>
  <c r="F174" i="3"/>
  <c r="G173" i="3"/>
  <c r="F173" i="3"/>
  <c r="G172" i="3"/>
  <c r="F172" i="3"/>
  <c r="G171" i="3"/>
  <c r="F171" i="3"/>
  <c r="G170" i="3"/>
  <c r="F170" i="3"/>
  <c r="G169" i="3"/>
  <c r="F169" i="3"/>
  <c r="G168" i="3"/>
  <c r="F168" i="3"/>
  <c r="G167" i="3"/>
  <c r="F167" i="3"/>
  <c r="Q71" i="3"/>
  <c r="BE61" i="1" s="1"/>
  <c r="Q72" i="3"/>
  <c r="BE62" i="1" s="1"/>
  <c r="Q73" i="3"/>
  <c r="BE63" i="1" s="1"/>
  <c r="Q74" i="3"/>
  <c r="BE64" i="1" s="1"/>
  <c r="Q75" i="3"/>
  <c r="BE65" i="1" s="1"/>
  <c r="Q76" i="3"/>
  <c r="BE66" i="1" s="1"/>
  <c r="Q77" i="3"/>
  <c r="BE67" i="1" s="1"/>
  <c r="Q78" i="3"/>
  <c r="BE68" i="1" s="1"/>
  <c r="Q79" i="3"/>
  <c r="BE69" i="1" s="1"/>
  <c r="Q80" i="3"/>
  <c r="BE70" i="1" s="1"/>
  <c r="Q177" i="3"/>
  <c r="BE167" i="1" s="1"/>
  <c r="Q178" i="3"/>
  <c r="BE168" i="1" s="1"/>
  <c r="Q179" i="3"/>
  <c r="BE169" i="1" s="1"/>
  <c r="Q180" i="3"/>
  <c r="BE170" i="1" s="1"/>
  <c r="Q181" i="3"/>
  <c r="BE171" i="1" s="1"/>
  <c r="Q182" i="3"/>
  <c r="BE172" i="1" s="1"/>
  <c r="Q183" i="3"/>
  <c r="BE173" i="1" s="1"/>
  <c r="Q184" i="3"/>
  <c r="BE174" i="1" s="1"/>
  <c r="Q185" i="3"/>
  <c r="BE175" i="1" s="1"/>
  <c r="Q186" i="3"/>
  <c r="BE176" i="1" s="1"/>
  <c r="Q187" i="3"/>
  <c r="BE177" i="1" s="1"/>
  <c r="Q188" i="3"/>
  <c r="BE178" i="1" s="1"/>
  <c r="Q189" i="3"/>
  <c r="BE179" i="1" s="1"/>
  <c r="Q190" i="3"/>
  <c r="BE180" i="1" s="1"/>
  <c r="Q191" i="3"/>
  <c r="BE181" i="1" s="1"/>
  <c r="Q192" i="3"/>
  <c r="BE182" i="1" s="1"/>
  <c r="Q193" i="3"/>
  <c r="BE183" i="1" s="1"/>
  <c r="Q194" i="3"/>
  <c r="BE184" i="1" s="1"/>
  <c r="Q195" i="3"/>
  <c r="BE185" i="1" s="1"/>
  <c r="Q196" i="3"/>
  <c r="BE186" i="1" s="1"/>
  <c r="Q197" i="3"/>
  <c r="BE187" i="1" s="1"/>
  <c r="Q198" i="3"/>
  <c r="BE188" i="1" s="1"/>
  <c r="Q199" i="3"/>
  <c r="BE189" i="1" s="1"/>
  <c r="Q200" i="3"/>
  <c r="BE190" i="1" s="1"/>
  <c r="Q201" i="3"/>
  <c r="BE191" i="1" s="1"/>
  <c r="Q202" i="3"/>
  <c r="BE192" i="1" s="1"/>
  <c r="Q203" i="3"/>
  <c r="BE193" i="1" s="1"/>
  <c r="Q204" i="3"/>
  <c r="BE194" i="1" s="1"/>
  <c r="Q205" i="3"/>
  <c r="BE195" i="1" s="1"/>
  <c r="Q206" i="3"/>
  <c r="BE196" i="1" s="1"/>
  <c r="Q207" i="3"/>
  <c r="BE197" i="1" s="1"/>
  <c r="Q208" i="3"/>
  <c r="BE198" i="1" s="1"/>
  <c r="Q209" i="3"/>
  <c r="BE199" i="1" s="1"/>
  <c r="Q210" i="3"/>
  <c r="BE200" i="1" s="1"/>
  <c r="Q211" i="3"/>
  <c r="BE201" i="1" s="1"/>
  <c r="Q212" i="3"/>
  <c r="BE202" i="1" s="1"/>
  <c r="Q213" i="3"/>
  <c r="BE203" i="1" s="1"/>
  <c r="Q214" i="3"/>
  <c r="BE204" i="1" s="1"/>
  <c r="Q215" i="3"/>
  <c r="BE205" i="1" s="1"/>
  <c r="Q216" i="3"/>
  <c r="BE206" i="1" s="1"/>
  <c r="Q217" i="3"/>
  <c r="BE207" i="1" s="1"/>
  <c r="Q218" i="3"/>
  <c r="BE208" i="1" s="1"/>
  <c r="Q219" i="3"/>
  <c r="BE209" i="1" s="1"/>
  <c r="Q220" i="3"/>
  <c r="BE210" i="1" s="1"/>
  <c r="Q221" i="3"/>
  <c r="BE211" i="1" s="1"/>
  <c r="Q222" i="3"/>
  <c r="BE212" i="1" s="1"/>
  <c r="Q223" i="3"/>
  <c r="BE213" i="1" s="1"/>
  <c r="Q224" i="3"/>
  <c r="BE214" i="1" s="1"/>
  <c r="Q225" i="3"/>
  <c r="BE215" i="1" s="1"/>
  <c r="Q226" i="3"/>
  <c r="BE216" i="1" s="1"/>
  <c r="Q227" i="3"/>
  <c r="BE217" i="1" s="1"/>
  <c r="Q228" i="3"/>
  <c r="BE218" i="1" s="1"/>
  <c r="Q229" i="3"/>
  <c r="BE219" i="1" s="1"/>
  <c r="Q230" i="3"/>
  <c r="BE220" i="1" s="1"/>
  <c r="Q231" i="3"/>
  <c r="BE221" i="1" s="1"/>
  <c r="Q232" i="3"/>
  <c r="BE222" i="1" s="1"/>
  <c r="Q233" i="3"/>
  <c r="BE223" i="1" s="1"/>
  <c r="Q234" i="3"/>
  <c r="BE224" i="1" s="1"/>
  <c r="Q350" i="3"/>
  <c r="BE340" i="1" s="1"/>
  <c r="Q351" i="3"/>
  <c r="BE341" i="1" s="1"/>
  <c r="Q352" i="3"/>
  <c r="BE342" i="1" s="1"/>
  <c r="Q353" i="3"/>
  <c r="BE343" i="1" s="1"/>
  <c r="Q354" i="3"/>
  <c r="BE344" i="1" s="1"/>
  <c r="Q355" i="3"/>
  <c r="BE345" i="1" s="1"/>
  <c r="Q99" i="3"/>
  <c r="BE89" i="1" s="1"/>
  <c r="Q132" i="3"/>
  <c r="BE122" i="1" s="1"/>
  <c r="Q134" i="3"/>
  <c r="BE124" i="1" s="1"/>
  <c r="Q137" i="3"/>
  <c r="BE127" i="1" s="1"/>
  <c r="Q140" i="3"/>
  <c r="BE130" i="1" s="1"/>
  <c r="Q144" i="3"/>
  <c r="BE134" i="1" s="1"/>
  <c r="Q145" i="3"/>
  <c r="BE135" i="1" s="1"/>
  <c r="Q148" i="3"/>
  <c r="BE138" i="1" s="1"/>
  <c r="Q150" i="3"/>
  <c r="BE140" i="1" s="1"/>
  <c r="Q153" i="3"/>
  <c r="BE143" i="1" s="1"/>
  <c r="Q156" i="3"/>
  <c r="BE146" i="1" s="1"/>
  <c r="Q157" i="3"/>
  <c r="BE147" i="1" s="1"/>
  <c r="Q159" i="3"/>
  <c r="BE149" i="1" s="1"/>
  <c r="Q162" i="3"/>
  <c r="BE152" i="1" s="1"/>
  <c r="Q167" i="3"/>
  <c r="BE157" i="1" s="1"/>
  <c r="Q169" i="3"/>
  <c r="BE159" i="1" s="1"/>
  <c r="Q172" i="3"/>
  <c r="BE162" i="1" s="1"/>
  <c r="Q175" i="3"/>
  <c r="BE165" i="1" s="1"/>
  <c r="Q235" i="3"/>
  <c r="BE225" i="1" s="1"/>
  <c r="Q236" i="3"/>
  <c r="BE226" i="1" s="1"/>
  <c r="Q237" i="3"/>
  <c r="BE227" i="1" s="1"/>
  <c r="Q238" i="3"/>
  <c r="BE228" i="1" s="1"/>
  <c r="Q239" i="3"/>
  <c r="BE229" i="1" s="1"/>
  <c r="Q240" i="3"/>
  <c r="BE230" i="1" s="1"/>
  <c r="Q241" i="3"/>
  <c r="BE231" i="1" s="1"/>
  <c r="Q242" i="3"/>
  <c r="BE232" i="1" s="1"/>
  <c r="Q243" i="3"/>
  <c r="BE233" i="1" s="1"/>
  <c r="Q245" i="3"/>
  <c r="BE235" i="1" s="1"/>
  <c r="Q247" i="3"/>
  <c r="BE237" i="1" s="1"/>
  <c r="Q249" i="3"/>
  <c r="BE239" i="1" s="1"/>
  <c r="Q250" i="3"/>
  <c r="BE240" i="1" s="1"/>
  <c r="Q251" i="3"/>
  <c r="BE241" i="1" s="1"/>
  <c r="Q252" i="3"/>
  <c r="BE242" i="1" s="1"/>
  <c r="Q253" i="3"/>
  <c r="BE243" i="1" s="1"/>
  <c r="Q256" i="3"/>
  <c r="BE246" i="1" s="1"/>
  <c r="Q257" i="3"/>
  <c r="BE247" i="1" s="1"/>
  <c r="Q259" i="3"/>
  <c r="BE249" i="1" s="1"/>
  <c r="Q261" i="3"/>
  <c r="BE251" i="1" s="1"/>
  <c r="Q262" i="3"/>
  <c r="BE252" i="1" s="1"/>
  <c r="Q264" i="3"/>
  <c r="BE254" i="1" s="1"/>
  <c r="Q266" i="3"/>
  <c r="BE256" i="1" s="1"/>
  <c r="Q268" i="3"/>
  <c r="BE258" i="1" s="1"/>
  <c r="Q270" i="3"/>
  <c r="BE260" i="1" s="1"/>
  <c r="Q271" i="3"/>
  <c r="BE261" i="1" s="1"/>
  <c r="Q274" i="3"/>
  <c r="BE264" i="1" s="1"/>
  <c r="Q277" i="3"/>
  <c r="BE267" i="1" s="1"/>
  <c r="Q278" i="3"/>
  <c r="BE268" i="1" s="1"/>
  <c r="Q280" i="3"/>
  <c r="BE270" i="1" s="1"/>
  <c r="Q281" i="3"/>
  <c r="BE271" i="1" s="1"/>
  <c r="Q283" i="3"/>
  <c r="BE273" i="1" s="1"/>
  <c r="Q284" i="3"/>
  <c r="BE274" i="1" s="1"/>
  <c r="Q285" i="3"/>
  <c r="BE275" i="1" s="1"/>
  <c r="Q287" i="3"/>
  <c r="BE277" i="1" s="1"/>
  <c r="Q289" i="3"/>
  <c r="BE279" i="1" s="1"/>
  <c r="Q291" i="3"/>
  <c r="BE281" i="1" s="1"/>
  <c r="Q295" i="3"/>
  <c r="BE285" i="1" s="1"/>
  <c r="Q296" i="3"/>
  <c r="BE286" i="1" s="1"/>
  <c r="Q300" i="3"/>
  <c r="BE290" i="1" s="1"/>
  <c r="Q302" i="3"/>
  <c r="BE292" i="1" s="1"/>
  <c r="Q305" i="3"/>
  <c r="BE295" i="1" s="1"/>
  <c r="Q307" i="3"/>
  <c r="BE297" i="1" s="1"/>
  <c r="Q310" i="3"/>
  <c r="BE300" i="1" s="1"/>
  <c r="Q313" i="3"/>
  <c r="BE303" i="1" s="1"/>
  <c r="Q314" i="3"/>
  <c r="BE304" i="1" s="1"/>
  <c r="Q316" i="3"/>
  <c r="BE306" i="1" s="1"/>
  <c r="Q319" i="3"/>
  <c r="BE309" i="1" s="1"/>
  <c r="Q322" i="3"/>
  <c r="BE312" i="1" s="1"/>
  <c r="Q326" i="3"/>
  <c r="BE316" i="1" s="1"/>
  <c r="Q328" i="3"/>
  <c r="BE318" i="1" s="1"/>
  <c r="Q333" i="3"/>
  <c r="BE323" i="1" s="1"/>
  <c r="Q335" i="3"/>
  <c r="BE325" i="1" s="1"/>
  <c r="Q337" i="3"/>
  <c r="BE327" i="1" s="1"/>
  <c r="Q340" i="3"/>
  <c r="BE330" i="1" s="1"/>
  <c r="Q343" i="3"/>
  <c r="BE333" i="1" s="1"/>
  <c r="Q346" i="3"/>
  <c r="BE336" i="1" s="1"/>
  <c r="Q348" i="3"/>
  <c r="BE338" i="1" s="1"/>
  <c r="Q358" i="3"/>
  <c r="BE348" i="1" s="1"/>
  <c r="Q360" i="3"/>
  <c r="BE350" i="1" s="1"/>
  <c r="Q364" i="3"/>
  <c r="BE354" i="1" s="1"/>
  <c r="Q368" i="3"/>
  <c r="BE358" i="1" s="1"/>
  <c r="Q370" i="3"/>
  <c r="BE360" i="1" s="1"/>
  <c r="Q372" i="3"/>
  <c r="BE362" i="1" s="1"/>
  <c r="Q374" i="3"/>
  <c r="BE364" i="1" s="1"/>
  <c r="Q375" i="3"/>
  <c r="BE365" i="1" s="1"/>
  <c r="Q376" i="3"/>
  <c r="BE366" i="1" s="1"/>
  <c r="Q20" i="3"/>
  <c r="BE10" i="1" s="1"/>
  <c r="Q21" i="3"/>
  <c r="BE11" i="1" s="1"/>
  <c r="Q22" i="3"/>
  <c r="BE12" i="1" s="1"/>
  <c r="Q23" i="3"/>
  <c r="BE13" i="1" s="1"/>
  <c r="Q24" i="3"/>
  <c r="BE14" i="1" s="1"/>
  <c r="Q25" i="3"/>
  <c r="BE15" i="1" s="1"/>
  <c r="Q26" i="3"/>
  <c r="BE16" i="1" s="1"/>
  <c r="Q27" i="3"/>
  <c r="BE17" i="1" s="1"/>
  <c r="Q28" i="3"/>
  <c r="BE18" i="1" s="1"/>
  <c r="Q29" i="3"/>
  <c r="BE19" i="1" s="1"/>
  <c r="Q30" i="3"/>
  <c r="BE20" i="1" s="1"/>
  <c r="Q31" i="3"/>
  <c r="BE21" i="1" s="1"/>
  <c r="Q32" i="3"/>
  <c r="BE22" i="1" s="1"/>
  <c r="Q33" i="3"/>
  <c r="BE23" i="1" s="1"/>
  <c r="Q34" i="3"/>
  <c r="BE24" i="1" s="1"/>
  <c r="Q35" i="3"/>
  <c r="BE25" i="1" s="1"/>
  <c r="Q36" i="3"/>
  <c r="BE26" i="1" s="1"/>
  <c r="Q37" i="3"/>
  <c r="BE27" i="1" s="1"/>
  <c r="Q38" i="3"/>
  <c r="BE28" i="1" s="1"/>
  <c r="Q39" i="3"/>
  <c r="BE29" i="1" s="1"/>
  <c r="Q40" i="3"/>
  <c r="BE30" i="1" s="1"/>
  <c r="Q41" i="3"/>
  <c r="BE31" i="1" s="1"/>
  <c r="Q42" i="3"/>
  <c r="BE32" i="1" s="1"/>
  <c r="Q43" i="3"/>
  <c r="BE33" i="1" s="1"/>
  <c r="Q44" i="3"/>
  <c r="BE34" i="1" s="1"/>
  <c r="Q45" i="3"/>
  <c r="BE35" i="1" s="1"/>
  <c r="Q46" i="3"/>
  <c r="BE36" i="1" s="1"/>
  <c r="Q47" i="3"/>
  <c r="BE37" i="1" s="1"/>
  <c r="Q48" i="3"/>
  <c r="BE38" i="1" s="1"/>
  <c r="Q49" i="3"/>
  <c r="BE39" i="1" s="1"/>
  <c r="Q50" i="3"/>
  <c r="BE40" i="1" s="1"/>
  <c r="Q51" i="3"/>
  <c r="BE41" i="1" s="1"/>
  <c r="Q52" i="3"/>
  <c r="BE42" i="1" s="1"/>
  <c r="Q53" i="3"/>
  <c r="BE43" i="1" s="1"/>
  <c r="Q54" i="3"/>
  <c r="BE44" i="1" s="1"/>
  <c r="Q55" i="3"/>
  <c r="BE45" i="1" s="1"/>
  <c r="Q56" i="3"/>
  <c r="BE46" i="1" s="1"/>
  <c r="Q57" i="3"/>
  <c r="BE47" i="1" s="1"/>
  <c r="Q58" i="3"/>
  <c r="BE48" i="1" s="1"/>
  <c r="Q59" i="3"/>
  <c r="BE49" i="1" s="1"/>
  <c r="Q60" i="3"/>
  <c r="BE50" i="1" s="1"/>
  <c r="Q61" i="3"/>
  <c r="BE51" i="1" s="1"/>
  <c r="Q62" i="3"/>
  <c r="BE52" i="1" s="1"/>
  <c r="Q63" i="3"/>
  <c r="BE53" i="1" s="1"/>
  <c r="Q64" i="3"/>
  <c r="BE54" i="1" s="1"/>
  <c r="Q65" i="3"/>
  <c r="BE55" i="1" s="1"/>
  <c r="Q66" i="3"/>
  <c r="BE56" i="1" s="1"/>
  <c r="Q67" i="3"/>
  <c r="BE57" i="1" s="1"/>
  <c r="Q68" i="3"/>
  <c r="BE58" i="1" s="1"/>
  <c r="Q69" i="3"/>
  <c r="BE59" i="1" s="1"/>
  <c r="Q70" i="3"/>
  <c r="BE60" i="1" s="1"/>
  <c r="Q136" i="3"/>
  <c r="BE126" i="1" s="1"/>
  <c r="Q141" i="3"/>
  <c r="BE131" i="1" s="1"/>
  <c r="Q143" i="3"/>
  <c r="BE133" i="1" s="1"/>
  <c r="Q146" i="3"/>
  <c r="BE136" i="1" s="1"/>
  <c r="Q149" i="3"/>
  <c r="BE139" i="1" s="1"/>
  <c r="Q152" i="3"/>
  <c r="BE142" i="1" s="1"/>
  <c r="Q155" i="3"/>
  <c r="BE145" i="1" s="1"/>
  <c r="Q160" i="3"/>
  <c r="BE150" i="1" s="1"/>
  <c r="Q163" i="3"/>
  <c r="BE153" i="1" s="1"/>
  <c r="Q166" i="3"/>
  <c r="BE156" i="1" s="1"/>
  <c r="Q170" i="3"/>
  <c r="BE160" i="1" s="1"/>
  <c r="Q173" i="3"/>
  <c r="BE163" i="1" s="1"/>
  <c r="Q176" i="3"/>
  <c r="BE166" i="1" s="1"/>
  <c r="Q309" i="3"/>
  <c r="BE299" i="1" s="1"/>
  <c r="Q311" i="3"/>
  <c r="BE301" i="1" s="1"/>
  <c r="Q315" i="3"/>
  <c r="BE305" i="1" s="1"/>
  <c r="Q317" i="3"/>
  <c r="BE307" i="1" s="1"/>
  <c r="Q321" i="3"/>
  <c r="BE311" i="1" s="1"/>
  <c r="Q324" i="3"/>
  <c r="BE314" i="1" s="1"/>
  <c r="Q327" i="3"/>
  <c r="BE317" i="1" s="1"/>
  <c r="Q329" i="3"/>
  <c r="BE319" i="1" s="1"/>
  <c r="Q331" i="3"/>
  <c r="BE321" i="1" s="1"/>
  <c r="Q332" i="3"/>
  <c r="BE322" i="1" s="1"/>
  <c r="Q336" i="3"/>
  <c r="BE326" i="1" s="1"/>
  <c r="Q339" i="3"/>
  <c r="BE329" i="1" s="1"/>
  <c r="Q341" i="3"/>
  <c r="BE331" i="1" s="1"/>
  <c r="Q344" i="3"/>
  <c r="BE334" i="1" s="1"/>
  <c r="Q347" i="3"/>
  <c r="BE337" i="1" s="1"/>
  <c r="Q356" i="3"/>
  <c r="BE346" i="1" s="1"/>
  <c r="Q357" i="3"/>
  <c r="BE347" i="1" s="1"/>
  <c r="Q359" i="3"/>
  <c r="BE349" i="1" s="1"/>
  <c r="Q363" i="3"/>
  <c r="BE353" i="1" s="1"/>
  <c r="Q365" i="3"/>
  <c r="BE355" i="1" s="1"/>
  <c r="Q366" i="3"/>
  <c r="BE356" i="1" s="1"/>
  <c r="Q367" i="3"/>
  <c r="BE357" i="1" s="1"/>
  <c r="Q377" i="3"/>
  <c r="BE367" i="1" s="1"/>
  <c r="Q378" i="3"/>
  <c r="BE368" i="1" s="1"/>
  <c r="Q379" i="3"/>
  <c r="BE369" i="1" s="1"/>
  <c r="Q380" i="3"/>
  <c r="BE370" i="1" s="1"/>
  <c r="Q381" i="3"/>
  <c r="BE371" i="1" s="1"/>
  <c r="Q382" i="3"/>
  <c r="BE372" i="1" s="1"/>
  <c r="Q383" i="3"/>
  <c r="BE373" i="1" s="1"/>
  <c r="Q384" i="3"/>
  <c r="BE374" i="1" s="1"/>
  <c r="Q385" i="3"/>
  <c r="BE375" i="1" s="1"/>
  <c r="Q386" i="3"/>
  <c r="BE376" i="1" s="1"/>
  <c r="Q387" i="3"/>
  <c r="BE377" i="1" s="1"/>
  <c r="Q388" i="3"/>
  <c r="BE378" i="1" s="1"/>
  <c r="Q389" i="3"/>
  <c r="BE379" i="1" s="1"/>
  <c r="Q390" i="3"/>
  <c r="BE380" i="1" s="1"/>
  <c r="Q391" i="3"/>
  <c r="BE381" i="1" s="1"/>
  <c r="Q392" i="3"/>
  <c r="BE382" i="1" s="1"/>
  <c r="Q393" i="3"/>
  <c r="BE383" i="1" s="1"/>
  <c r="Q394" i="3"/>
  <c r="BE384" i="1" s="1"/>
  <c r="Q395" i="3"/>
  <c r="BE385" i="1" s="1"/>
  <c r="Q396" i="3"/>
  <c r="BE386" i="1" s="1"/>
  <c r="Q397" i="3"/>
  <c r="BE387" i="1" s="1"/>
  <c r="Q398" i="3"/>
  <c r="BE388" i="1" s="1"/>
  <c r="Q399" i="3"/>
  <c r="BE389" i="1" s="1"/>
  <c r="Q400" i="3"/>
  <c r="BE390" i="1" s="1"/>
  <c r="Q401" i="3"/>
  <c r="BE391" i="1" s="1"/>
  <c r="Q402" i="3"/>
  <c r="BE392" i="1" s="1"/>
  <c r="Q403" i="3"/>
  <c r="BE393" i="1" s="1"/>
  <c r="Q404" i="3"/>
  <c r="BE394" i="1" s="1"/>
  <c r="Q405" i="3"/>
  <c r="BE395" i="1" s="1"/>
  <c r="Q406" i="3"/>
  <c r="BE396" i="1" s="1"/>
  <c r="Q407" i="3"/>
  <c r="BE397" i="1" s="1"/>
  <c r="Q408" i="3"/>
  <c r="BE398" i="1" s="1"/>
  <c r="Q409" i="3"/>
  <c r="BE399" i="1" s="1"/>
  <c r="Q410" i="3"/>
  <c r="BE400" i="1" s="1"/>
  <c r="Q411" i="3"/>
  <c r="BE401" i="1" s="1"/>
  <c r="Q412" i="3"/>
  <c r="BE402" i="1" s="1"/>
  <c r="Q413" i="3"/>
  <c r="BE403" i="1" s="1"/>
  <c r="Q414" i="3"/>
  <c r="BE404" i="1" s="1"/>
  <c r="Q415" i="3"/>
  <c r="BE405" i="1" s="1"/>
  <c r="Q416" i="3"/>
  <c r="BE406" i="1" s="1"/>
  <c r="Q417" i="3"/>
  <c r="BE407" i="1" s="1"/>
  <c r="Q418" i="3"/>
  <c r="BE408" i="1" s="1"/>
  <c r="Q419" i="3"/>
  <c r="BE409" i="1" s="1"/>
  <c r="Q420" i="3"/>
  <c r="BE410" i="1" s="1"/>
  <c r="Q421" i="3"/>
  <c r="BE411" i="1" s="1"/>
  <c r="Q422" i="3"/>
  <c r="BE412" i="1" s="1"/>
  <c r="Q423" i="3"/>
  <c r="BE413" i="1" s="1"/>
  <c r="Q424" i="3"/>
  <c r="BE414" i="1" s="1"/>
  <c r="Q425" i="3"/>
  <c r="BE415" i="1" s="1"/>
  <c r="Q426" i="3"/>
  <c r="BE416" i="1" s="1"/>
  <c r="Q427" i="3"/>
  <c r="BE417" i="1" s="1"/>
  <c r="Q428" i="3"/>
  <c r="BE418" i="1" s="1"/>
  <c r="Q429" i="3"/>
  <c r="BE419" i="1" s="1"/>
  <c r="Q430" i="3"/>
  <c r="BE420" i="1" s="1"/>
  <c r="Q431" i="3"/>
  <c r="BE421" i="1" s="1"/>
  <c r="Q432" i="3"/>
  <c r="BE422" i="1" s="1"/>
  <c r="Q433" i="3"/>
  <c r="BE423" i="1" s="1"/>
  <c r="Q434" i="3"/>
  <c r="BE424" i="1" s="1"/>
  <c r="Q435" i="3"/>
  <c r="BE425" i="1" s="1"/>
  <c r="Q436" i="3"/>
  <c r="BE426" i="1" s="1"/>
  <c r="Q437" i="3"/>
  <c r="BE427" i="1" s="1"/>
  <c r="Q438" i="3"/>
  <c r="BE428" i="1" s="1"/>
  <c r="Q439" i="3"/>
  <c r="BE429" i="1" s="1"/>
  <c r="Q440" i="3"/>
  <c r="BE430" i="1" s="1"/>
  <c r="Q441" i="3"/>
  <c r="BE431" i="1" s="1"/>
  <c r="Q442" i="3"/>
  <c r="BE432" i="1" s="1"/>
  <c r="Q443" i="3"/>
  <c r="BE433" i="1" s="1"/>
  <c r="Q444" i="3"/>
  <c r="BE434" i="1" s="1"/>
  <c r="Q445" i="3"/>
  <c r="BE435" i="1" s="1"/>
  <c r="Q446" i="3"/>
  <c r="BE436" i="1" s="1"/>
  <c r="Q447" i="3"/>
  <c r="BE437" i="1" s="1"/>
  <c r="Q448" i="3"/>
  <c r="BE438" i="1" s="1"/>
  <c r="Q449" i="3"/>
  <c r="BE439" i="1" s="1"/>
  <c r="Q450" i="3"/>
  <c r="BE440" i="1" s="1"/>
  <c r="Q451" i="3"/>
  <c r="BE441" i="1" s="1"/>
  <c r="Q452" i="3"/>
  <c r="BE442" i="1" s="1"/>
  <c r="Q453" i="3"/>
  <c r="BE443" i="1" s="1"/>
  <c r="Q454" i="3"/>
  <c r="BE444" i="1" s="1"/>
  <c r="Q455" i="3"/>
  <c r="BE445" i="1" s="1"/>
  <c r="Q456" i="3"/>
  <c r="BE446" i="1" s="1"/>
  <c r="Q457" i="3"/>
  <c r="BE447" i="1" s="1"/>
  <c r="Q458" i="3"/>
  <c r="BE448" i="1" s="1"/>
  <c r="Q459" i="3"/>
  <c r="BE449" i="1" s="1"/>
  <c r="Q460" i="3"/>
  <c r="BE450" i="1" s="1"/>
  <c r="Q461" i="3"/>
  <c r="BE451" i="1" s="1"/>
  <c r="Q462" i="3"/>
  <c r="BE452" i="1" s="1"/>
  <c r="Q463" i="3"/>
  <c r="BE453" i="1" s="1"/>
  <c r="Q464" i="3"/>
  <c r="BE454" i="1" s="1"/>
  <c r="Q465" i="3"/>
  <c r="BE455" i="1" s="1"/>
  <c r="Q466" i="3"/>
  <c r="BE456" i="1" s="1"/>
  <c r="Q467" i="3"/>
  <c r="BE457" i="1" s="1"/>
  <c r="Q468" i="3"/>
  <c r="BE458" i="1" s="1"/>
  <c r="Q469" i="3"/>
  <c r="BE459" i="1" s="1"/>
  <c r="Q470" i="3"/>
  <c r="BE460" i="1" s="1"/>
  <c r="Q471" i="3"/>
  <c r="BE461" i="1" s="1"/>
  <c r="Q472" i="3"/>
  <c r="BE462" i="1" s="1"/>
  <c r="Q473" i="3"/>
  <c r="BE463" i="1" s="1"/>
  <c r="Q474" i="3"/>
  <c r="BE464" i="1" s="1"/>
  <c r="Q475" i="3"/>
  <c r="BE465" i="1" s="1"/>
  <c r="Q476" i="3"/>
  <c r="BE466" i="1" s="1"/>
  <c r="Q477" i="3"/>
  <c r="BE467" i="1" s="1"/>
  <c r="Q478" i="3"/>
  <c r="BE468" i="1" s="1"/>
  <c r="Q479" i="3"/>
  <c r="BE469" i="1" s="1"/>
  <c r="Q480" i="3"/>
  <c r="BE470" i="1" s="1"/>
  <c r="Q481" i="3"/>
  <c r="BE471" i="1" s="1"/>
  <c r="Q482" i="3"/>
  <c r="BE472" i="1" s="1"/>
  <c r="Q483" i="3"/>
  <c r="BE473" i="1" s="1"/>
  <c r="Q484" i="3"/>
  <c r="BE474" i="1" s="1"/>
  <c r="Q485" i="3"/>
  <c r="BE475" i="1" s="1"/>
  <c r="Q486" i="3"/>
  <c r="BE476" i="1" s="1"/>
  <c r="Q487" i="3"/>
  <c r="BE477" i="1" s="1"/>
  <c r="Q488" i="3"/>
  <c r="BE478" i="1" s="1"/>
  <c r="Q489" i="3"/>
  <c r="BE479" i="1" s="1"/>
  <c r="Q490" i="3"/>
  <c r="BE480" i="1" s="1"/>
  <c r="Q491" i="3"/>
  <c r="BE481" i="1" s="1"/>
  <c r="Q492" i="3"/>
  <c r="BE482" i="1" s="1"/>
  <c r="Q493" i="3"/>
  <c r="BE483" i="1" s="1"/>
  <c r="Q494" i="3"/>
  <c r="BE484" i="1" s="1"/>
  <c r="Q495" i="3"/>
  <c r="BE485" i="1" s="1"/>
  <c r="Q496" i="3"/>
  <c r="BE486" i="1" s="1"/>
  <c r="Q497" i="3"/>
  <c r="BE487" i="1" s="1"/>
  <c r="Q498" i="3"/>
  <c r="BE488" i="1" s="1"/>
  <c r="Q499" i="3"/>
  <c r="BE489" i="1" s="1"/>
  <c r="Q500" i="3"/>
  <c r="BE490" i="1" s="1"/>
  <c r="Q501" i="3"/>
  <c r="BE491" i="1" s="1"/>
  <c r="Q502" i="3"/>
  <c r="BE492" i="1" s="1"/>
  <c r="Q503" i="3"/>
  <c r="BE493" i="1" s="1"/>
  <c r="Q504" i="3"/>
  <c r="BE494" i="1" s="1"/>
  <c r="Q505" i="3"/>
  <c r="BE495" i="1" s="1"/>
  <c r="Q506" i="3"/>
  <c r="BE496" i="1" s="1"/>
  <c r="Q507" i="3"/>
  <c r="BE497" i="1" s="1"/>
  <c r="Q508" i="3"/>
  <c r="BE498" i="1" s="1"/>
  <c r="Q509" i="3"/>
  <c r="BE499" i="1" s="1"/>
  <c r="Q510" i="3"/>
  <c r="BE500" i="1" s="1"/>
  <c r="Q511" i="3"/>
  <c r="BE501" i="1" s="1"/>
  <c r="Q512" i="3"/>
  <c r="BE502" i="1" s="1"/>
  <c r="Q513" i="3"/>
  <c r="BE503" i="1" s="1"/>
  <c r="Q514" i="3"/>
  <c r="BE504" i="1" s="1"/>
  <c r="Q515" i="3"/>
  <c r="BE505" i="1" s="1"/>
  <c r="Q516" i="3"/>
  <c r="BE506" i="1" s="1"/>
  <c r="Q517" i="3"/>
  <c r="BE507" i="1" s="1"/>
  <c r="Q518" i="3"/>
  <c r="Q19" i="3"/>
  <c r="BE9" i="1" s="1"/>
  <c r="P22" i="3"/>
  <c r="BD12" i="1" s="1"/>
  <c r="P23" i="3"/>
  <c r="BD13" i="1" s="1"/>
  <c r="P24" i="3"/>
  <c r="BD14" i="1" s="1"/>
  <c r="P25" i="3"/>
  <c r="BD15" i="1" s="1"/>
  <c r="P26" i="3"/>
  <c r="BD16" i="1" s="1"/>
  <c r="P27" i="3"/>
  <c r="BD17" i="1" s="1"/>
  <c r="P28" i="3"/>
  <c r="BD18" i="1" s="1"/>
  <c r="P29" i="3"/>
  <c r="BD19" i="1" s="1"/>
  <c r="P30" i="3"/>
  <c r="BD20" i="1" s="1"/>
  <c r="P31" i="3"/>
  <c r="BD21" i="1" s="1"/>
  <c r="P32" i="3"/>
  <c r="BD22" i="1" s="1"/>
  <c r="P33" i="3"/>
  <c r="BD23" i="1" s="1"/>
  <c r="P34" i="3"/>
  <c r="BD24" i="1" s="1"/>
  <c r="P35" i="3"/>
  <c r="BD25" i="1" s="1"/>
  <c r="P36" i="3"/>
  <c r="BD26" i="1" s="1"/>
  <c r="P37" i="3"/>
  <c r="BD27" i="1" s="1"/>
  <c r="P38" i="3"/>
  <c r="BD28" i="1" s="1"/>
  <c r="P39" i="3"/>
  <c r="BD29" i="1" s="1"/>
  <c r="P40" i="3"/>
  <c r="BD30" i="1" s="1"/>
  <c r="P41" i="3"/>
  <c r="BD31" i="1" s="1"/>
  <c r="P42" i="3"/>
  <c r="BD32" i="1" s="1"/>
  <c r="P43" i="3"/>
  <c r="BD33" i="1" s="1"/>
  <c r="P44" i="3"/>
  <c r="BD34" i="1" s="1"/>
  <c r="P45" i="3"/>
  <c r="BD35" i="1" s="1"/>
  <c r="P46" i="3"/>
  <c r="BD36" i="1" s="1"/>
  <c r="P47" i="3"/>
  <c r="BD37" i="1" s="1"/>
  <c r="P48" i="3"/>
  <c r="BD38" i="1" s="1"/>
  <c r="P49" i="3"/>
  <c r="BD39" i="1" s="1"/>
  <c r="P50" i="3"/>
  <c r="BD40" i="1" s="1"/>
  <c r="P51" i="3"/>
  <c r="BD41" i="1" s="1"/>
  <c r="P52" i="3"/>
  <c r="BD42" i="1" s="1"/>
  <c r="P53" i="3"/>
  <c r="BD43" i="1" s="1"/>
  <c r="P54" i="3"/>
  <c r="BD44" i="1" s="1"/>
  <c r="P55" i="3"/>
  <c r="BD45" i="1" s="1"/>
  <c r="P56" i="3"/>
  <c r="BD46" i="1" s="1"/>
  <c r="P57" i="3"/>
  <c r="BD47" i="1" s="1"/>
  <c r="P58" i="3"/>
  <c r="BD48" i="1" s="1"/>
  <c r="P59" i="3"/>
  <c r="BD49" i="1" s="1"/>
  <c r="P60" i="3"/>
  <c r="BD50" i="1" s="1"/>
  <c r="P61" i="3"/>
  <c r="BD51" i="1" s="1"/>
  <c r="P62" i="3"/>
  <c r="BD52" i="1" s="1"/>
  <c r="P63" i="3"/>
  <c r="BD53" i="1" s="1"/>
  <c r="P64" i="3"/>
  <c r="BD54" i="1" s="1"/>
  <c r="P65" i="3"/>
  <c r="BD55" i="1" s="1"/>
  <c r="P66" i="3"/>
  <c r="BD56" i="1" s="1"/>
  <c r="P67" i="3"/>
  <c r="BD57" i="1" s="1"/>
  <c r="P68" i="3"/>
  <c r="BD58" i="1" s="1"/>
  <c r="P69" i="3"/>
  <c r="BD59" i="1" s="1"/>
  <c r="P70" i="3"/>
  <c r="BD60" i="1" s="1"/>
  <c r="P71" i="3"/>
  <c r="BD61" i="1" s="1"/>
  <c r="P72" i="3"/>
  <c r="BD62" i="1" s="1"/>
  <c r="P73" i="3"/>
  <c r="BD63" i="1" s="1"/>
  <c r="P74" i="3"/>
  <c r="BD64" i="1" s="1"/>
  <c r="P75" i="3"/>
  <c r="BD65" i="1" s="1"/>
  <c r="P76" i="3"/>
  <c r="BD66" i="1" s="1"/>
  <c r="P77" i="3"/>
  <c r="BD67" i="1" s="1"/>
  <c r="P78" i="3"/>
  <c r="BD68" i="1" s="1"/>
  <c r="P79" i="3"/>
  <c r="BD69" i="1" s="1"/>
  <c r="P80" i="3"/>
  <c r="BD70" i="1" s="1"/>
  <c r="P81" i="3"/>
  <c r="BD71" i="1" s="1"/>
  <c r="P82" i="3"/>
  <c r="BD72" i="1" s="1"/>
  <c r="P83" i="3"/>
  <c r="BD73" i="1" s="1"/>
  <c r="P84" i="3"/>
  <c r="BD74" i="1" s="1"/>
  <c r="P85" i="3"/>
  <c r="BD75" i="1" s="1"/>
  <c r="P86" i="3"/>
  <c r="BD76" i="1" s="1"/>
  <c r="P87" i="3"/>
  <c r="BD77" i="1" s="1"/>
  <c r="P88" i="3"/>
  <c r="BD78" i="1" s="1"/>
  <c r="P89" i="3"/>
  <c r="BD79" i="1" s="1"/>
  <c r="P90" i="3"/>
  <c r="BD80" i="1" s="1"/>
  <c r="P91" i="3"/>
  <c r="BD81" i="1" s="1"/>
  <c r="P92" i="3"/>
  <c r="BD82" i="1" s="1"/>
  <c r="P93" i="3"/>
  <c r="BD83" i="1" s="1"/>
  <c r="P94" i="3"/>
  <c r="BD84" i="1" s="1"/>
  <c r="P95" i="3"/>
  <c r="BD85" i="1" s="1"/>
  <c r="P96" i="3"/>
  <c r="BD86" i="1" s="1"/>
  <c r="P97" i="3"/>
  <c r="BD87" i="1" s="1"/>
  <c r="P98" i="3"/>
  <c r="BD88" i="1" s="1"/>
  <c r="P99" i="3"/>
  <c r="BD89" i="1" s="1"/>
  <c r="P100" i="3"/>
  <c r="BD90" i="1" s="1"/>
  <c r="P101" i="3"/>
  <c r="BD91" i="1" s="1"/>
  <c r="P102" i="3"/>
  <c r="BD92" i="1" s="1"/>
  <c r="P103" i="3"/>
  <c r="BD93" i="1" s="1"/>
  <c r="P104" i="3"/>
  <c r="BD94" i="1" s="1"/>
  <c r="P105" i="3"/>
  <c r="BD95" i="1" s="1"/>
  <c r="P106" i="3"/>
  <c r="BD96" i="1" s="1"/>
  <c r="P107" i="3"/>
  <c r="BD97" i="1" s="1"/>
  <c r="P108" i="3"/>
  <c r="BD98" i="1" s="1"/>
  <c r="P109" i="3"/>
  <c r="BD99" i="1" s="1"/>
  <c r="P110" i="3"/>
  <c r="BD100" i="1" s="1"/>
  <c r="P111" i="3"/>
  <c r="BD101" i="1" s="1"/>
  <c r="P112" i="3"/>
  <c r="BD102" i="1" s="1"/>
  <c r="P113" i="3"/>
  <c r="BD103" i="1" s="1"/>
  <c r="P114" i="3"/>
  <c r="BD104" i="1" s="1"/>
  <c r="P115" i="3"/>
  <c r="BD105" i="1" s="1"/>
  <c r="P116" i="3"/>
  <c r="BD106" i="1" s="1"/>
  <c r="P117" i="3"/>
  <c r="BD107" i="1" s="1"/>
  <c r="P118" i="3"/>
  <c r="BD108" i="1" s="1"/>
  <c r="P119" i="3"/>
  <c r="BD109" i="1" s="1"/>
  <c r="P120" i="3"/>
  <c r="BD110" i="1" s="1"/>
  <c r="P121" i="3"/>
  <c r="BD111" i="1" s="1"/>
  <c r="P122" i="3"/>
  <c r="BD112" i="1" s="1"/>
  <c r="P123" i="3"/>
  <c r="BD113" i="1" s="1"/>
  <c r="P124" i="3"/>
  <c r="BD114" i="1" s="1"/>
  <c r="P125" i="3"/>
  <c r="BD115" i="1" s="1"/>
  <c r="P126" i="3"/>
  <c r="BD116" i="1" s="1"/>
  <c r="P127" i="3"/>
  <c r="BD117" i="1" s="1"/>
  <c r="P128" i="3"/>
  <c r="BD118" i="1" s="1"/>
  <c r="P129" i="3"/>
  <c r="BD119" i="1" s="1"/>
  <c r="P130" i="3"/>
  <c r="BD120" i="1" s="1"/>
  <c r="P131" i="3"/>
  <c r="BD121" i="1" s="1"/>
  <c r="P132" i="3"/>
  <c r="BD122" i="1" s="1"/>
  <c r="P133" i="3"/>
  <c r="BD123" i="1" s="1"/>
  <c r="P134" i="3"/>
  <c r="BD124" i="1" s="1"/>
  <c r="P135" i="3"/>
  <c r="BD125" i="1" s="1"/>
  <c r="P136" i="3"/>
  <c r="BD126" i="1" s="1"/>
  <c r="P137" i="3"/>
  <c r="BD127" i="1" s="1"/>
  <c r="P138" i="3"/>
  <c r="BD128" i="1" s="1"/>
  <c r="P139" i="3"/>
  <c r="BD129" i="1" s="1"/>
  <c r="P140" i="3"/>
  <c r="BD130" i="1" s="1"/>
  <c r="P141" i="3"/>
  <c r="BD131" i="1" s="1"/>
  <c r="P142" i="3"/>
  <c r="BD132" i="1" s="1"/>
  <c r="P143" i="3"/>
  <c r="BD133" i="1" s="1"/>
  <c r="P144" i="3"/>
  <c r="BD134" i="1" s="1"/>
  <c r="P145" i="3"/>
  <c r="BD135" i="1" s="1"/>
  <c r="P146" i="3"/>
  <c r="BD136" i="1" s="1"/>
  <c r="P147" i="3"/>
  <c r="BD137" i="1" s="1"/>
  <c r="P148" i="3"/>
  <c r="BD138" i="1" s="1"/>
  <c r="P149" i="3"/>
  <c r="BD139" i="1" s="1"/>
  <c r="P150" i="3"/>
  <c r="BD140" i="1" s="1"/>
  <c r="P151" i="3"/>
  <c r="BD141" i="1" s="1"/>
  <c r="P152" i="3"/>
  <c r="BD142" i="1" s="1"/>
  <c r="P153" i="3"/>
  <c r="BD143" i="1" s="1"/>
  <c r="P154" i="3"/>
  <c r="BD144" i="1" s="1"/>
  <c r="P155" i="3"/>
  <c r="BD145" i="1" s="1"/>
  <c r="P156" i="3"/>
  <c r="BD146" i="1" s="1"/>
  <c r="P157" i="3"/>
  <c r="BD147" i="1" s="1"/>
  <c r="P158" i="3"/>
  <c r="BD148" i="1" s="1"/>
  <c r="P159" i="3"/>
  <c r="BD149" i="1" s="1"/>
  <c r="P160" i="3"/>
  <c r="BD150" i="1" s="1"/>
  <c r="P161" i="3"/>
  <c r="BD151" i="1" s="1"/>
  <c r="P162" i="3"/>
  <c r="BD152" i="1" s="1"/>
  <c r="P163" i="3"/>
  <c r="BD153" i="1" s="1"/>
  <c r="P164" i="3"/>
  <c r="BD154" i="1" s="1"/>
  <c r="P165" i="3"/>
  <c r="BD155" i="1" s="1"/>
  <c r="P166" i="3"/>
  <c r="BD156" i="1" s="1"/>
  <c r="P167" i="3"/>
  <c r="BD157" i="1" s="1"/>
  <c r="P168" i="3"/>
  <c r="BD158" i="1" s="1"/>
  <c r="P169" i="3"/>
  <c r="BD159" i="1" s="1"/>
  <c r="P170" i="3"/>
  <c r="BD160" i="1" s="1"/>
  <c r="P171" i="3"/>
  <c r="BD161" i="1" s="1"/>
  <c r="P172" i="3"/>
  <c r="BD162" i="1" s="1"/>
  <c r="P173" i="3"/>
  <c r="BD163" i="1" s="1"/>
  <c r="P174" i="3"/>
  <c r="BD164" i="1" s="1"/>
  <c r="P175" i="3"/>
  <c r="BD165" i="1" s="1"/>
  <c r="P176" i="3"/>
  <c r="BD166" i="1" s="1"/>
  <c r="P177" i="3"/>
  <c r="BD167" i="1" s="1"/>
  <c r="P178" i="3"/>
  <c r="BD168" i="1" s="1"/>
  <c r="P179" i="3"/>
  <c r="BD169" i="1" s="1"/>
  <c r="P180" i="3"/>
  <c r="BD170" i="1" s="1"/>
  <c r="P181" i="3"/>
  <c r="BD171" i="1" s="1"/>
  <c r="P182" i="3"/>
  <c r="BD172" i="1" s="1"/>
  <c r="P183" i="3"/>
  <c r="BD173" i="1" s="1"/>
  <c r="P184" i="3"/>
  <c r="BD174" i="1" s="1"/>
  <c r="P185" i="3"/>
  <c r="BD175" i="1" s="1"/>
  <c r="P186" i="3"/>
  <c r="BD176" i="1" s="1"/>
  <c r="P187" i="3"/>
  <c r="BD177" i="1" s="1"/>
  <c r="P188" i="3"/>
  <c r="BD178" i="1" s="1"/>
  <c r="P189" i="3"/>
  <c r="BD179" i="1" s="1"/>
  <c r="P190" i="3"/>
  <c r="BD180" i="1" s="1"/>
  <c r="P191" i="3"/>
  <c r="BD181" i="1" s="1"/>
  <c r="P192" i="3"/>
  <c r="BD182" i="1" s="1"/>
  <c r="P193" i="3"/>
  <c r="BD183" i="1" s="1"/>
  <c r="P194" i="3"/>
  <c r="BD184" i="1" s="1"/>
  <c r="P195" i="3"/>
  <c r="BD185" i="1" s="1"/>
  <c r="P196" i="3"/>
  <c r="BD186" i="1" s="1"/>
  <c r="P197" i="3"/>
  <c r="BD187" i="1" s="1"/>
  <c r="P198" i="3"/>
  <c r="BD188" i="1" s="1"/>
  <c r="P199" i="3"/>
  <c r="BD189" i="1" s="1"/>
  <c r="P200" i="3"/>
  <c r="BD190" i="1" s="1"/>
  <c r="P201" i="3"/>
  <c r="BD191" i="1" s="1"/>
  <c r="P202" i="3"/>
  <c r="BD192" i="1" s="1"/>
  <c r="P203" i="3"/>
  <c r="BD193" i="1" s="1"/>
  <c r="P204" i="3"/>
  <c r="BD194" i="1" s="1"/>
  <c r="P205" i="3"/>
  <c r="BD195" i="1" s="1"/>
  <c r="P206" i="3"/>
  <c r="BD196" i="1" s="1"/>
  <c r="P207" i="3"/>
  <c r="BD197" i="1" s="1"/>
  <c r="P208" i="3"/>
  <c r="BD198" i="1" s="1"/>
  <c r="P209" i="3"/>
  <c r="BD199" i="1" s="1"/>
  <c r="P210" i="3"/>
  <c r="BD200" i="1" s="1"/>
  <c r="P211" i="3"/>
  <c r="BD201" i="1" s="1"/>
  <c r="P212" i="3"/>
  <c r="BD202" i="1" s="1"/>
  <c r="P213" i="3"/>
  <c r="BD203" i="1" s="1"/>
  <c r="P214" i="3"/>
  <c r="BD204" i="1" s="1"/>
  <c r="P215" i="3"/>
  <c r="BD205" i="1" s="1"/>
  <c r="P216" i="3"/>
  <c r="BD206" i="1" s="1"/>
  <c r="P217" i="3"/>
  <c r="BD207" i="1" s="1"/>
  <c r="P218" i="3"/>
  <c r="BD208" i="1" s="1"/>
  <c r="P219" i="3"/>
  <c r="BD209" i="1" s="1"/>
  <c r="P220" i="3"/>
  <c r="BD210" i="1" s="1"/>
  <c r="P221" i="3"/>
  <c r="BD211" i="1" s="1"/>
  <c r="P222" i="3"/>
  <c r="BD212" i="1" s="1"/>
  <c r="P223" i="3"/>
  <c r="BD213" i="1" s="1"/>
  <c r="P224" i="3"/>
  <c r="BD214" i="1" s="1"/>
  <c r="P225" i="3"/>
  <c r="BD215" i="1" s="1"/>
  <c r="P226" i="3"/>
  <c r="BD216" i="1" s="1"/>
  <c r="P227" i="3"/>
  <c r="BD217" i="1" s="1"/>
  <c r="P228" i="3"/>
  <c r="BD218" i="1" s="1"/>
  <c r="P229" i="3"/>
  <c r="BD219" i="1" s="1"/>
  <c r="P230" i="3"/>
  <c r="BD220" i="1" s="1"/>
  <c r="P231" i="3"/>
  <c r="BD221" i="1" s="1"/>
  <c r="P232" i="3"/>
  <c r="BD222" i="1" s="1"/>
  <c r="P233" i="3"/>
  <c r="BD223" i="1" s="1"/>
  <c r="P234" i="3"/>
  <c r="BD224" i="1" s="1"/>
  <c r="P235" i="3"/>
  <c r="BD225" i="1" s="1"/>
  <c r="P236" i="3"/>
  <c r="BD226" i="1" s="1"/>
  <c r="P237" i="3"/>
  <c r="BD227" i="1" s="1"/>
  <c r="P238" i="3"/>
  <c r="BD228" i="1" s="1"/>
  <c r="P239" i="3"/>
  <c r="BD229" i="1" s="1"/>
  <c r="P240" i="3"/>
  <c r="BD230" i="1" s="1"/>
  <c r="P241" i="3"/>
  <c r="BD231" i="1" s="1"/>
  <c r="P242" i="3"/>
  <c r="BD232" i="1" s="1"/>
  <c r="P243" i="3"/>
  <c r="BD233" i="1" s="1"/>
  <c r="P244" i="3"/>
  <c r="BD234" i="1" s="1"/>
  <c r="P245" i="3"/>
  <c r="BD235" i="1" s="1"/>
  <c r="P246" i="3"/>
  <c r="BD236" i="1" s="1"/>
  <c r="P247" i="3"/>
  <c r="BD237" i="1" s="1"/>
  <c r="P248" i="3"/>
  <c r="BD238" i="1" s="1"/>
  <c r="P249" i="3"/>
  <c r="BD239" i="1" s="1"/>
  <c r="P250" i="3"/>
  <c r="BD240" i="1" s="1"/>
  <c r="P251" i="3"/>
  <c r="BD241" i="1" s="1"/>
  <c r="P252" i="3"/>
  <c r="BD242" i="1" s="1"/>
  <c r="P253" i="3"/>
  <c r="BD243" i="1" s="1"/>
  <c r="P254" i="3"/>
  <c r="BD244" i="1" s="1"/>
  <c r="P255" i="3"/>
  <c r="BD245" i="1" s="1"/>
  <c r="P256" i="3"/>
  <c r="BD246" i="1" s="1"/>
  <c r="P257" i="3"/>
  <c r="BD247" i="1" s="1"/>
  <c r="P258" i="3"/>
  <c r="BD248" i="1" s="1"/>
  <c r="P259" i="3"/>
  <c r="BD249" i="1" s="1"/>
  <c r="P260" i="3"/>
  <c r="BD250" i="1" s="1"/>
  <c r="P261" i="3"/>
  <c r="BD251" i="1" s="1"/>
  <c r="P262" i="3"/>
  <c r="BD252" i="1" s="1"/>
  <c r="P263" i="3"/>
  <c r="BD253" i="1" s="1"/>
  <c r="P264" i="3"/>
  <c r="BD254" i="1" s="1"/>
  <c r="P265" i="3"/>
  <c r="BD255" i="1" s="1"/>
  <c r="P266" i="3"/>
  <c r="BD256" i="1" s="1"/>
  <c r="P267" i="3"/>
  <c r="BD257" i="1" s="1"/>
  <c r="P268" i="3"/>
  <c r="BD258" i="1" s="1"/>
  <c r="P269" i="3"/>
  <c r="BD259" i="1" s="1"/>
  <c r="P270" i="3"/>
  <c r="BD260" i="1" s="1"/>
  <c r="P271" i="3"/>
  <c r="BD261" i="1" s="1"/>
  <c r="P272" i="3"/>
  <c r="BD262" i="1" s="1"/>
  <c r="P273" i="3"/>
  <c r="BD263" i="1" s="1"/>
  <c r="P274" i="3"/>
  <c r="BD264" i="1" s="1"/>
  <c r="P275" i="3"/>
  <c r="BD265" i="1" s="1"/>
  <c r="P276" i="3"/>
  <c r="BD266" i="1" s="1"/>
  <c r="P277" i="3"/>
  <c r="BD267" i="1" s="1"/>
  <c r="P278" i="3"/>
  <c r="BD268" i="1" s="1"/>
  <c r="P279" i="3"/>
  <c r="BD269" i="1" s="1"/>
  <c r="P280" i="3"/>
  <c r="BD270" i="1" s="1"/>
  <c r="P281" i="3"/>
  <c r="BD271" i="1" s="1"/>
  <c r="P282" i="3"/>
  <c r="BD272" i="1" s="1"/>
  <c r="P283" i="3"/>
  <c r="BD273" i="1" s="1"/>
  <c r="P284" i="3"/>
  <c r="BD274" i="1" s="1"/>
  <c r="P285" i="3"/>
  <c r="BD275" i="1" s="1"/>
  <c r="P286" i="3"/>
  <c r="BD276" i="1" s="1"/>
  <c r="P287" i="3"/>
  <c r="BD277" i="1" s="1"/>
  <c r="P288" i="3"/>
  <c r="BD278" i="1" s="1"/>
  <c r="P289" i="3"/>
  <c r="BD279" i="1" s="1"/>
  <c r="P290" i="3"/>
  <c r="BD280" i="1" s="1"/>
  <c r="P291" i="3"/>
  <c r="BD281" i="1" s="1"/>
  <c r="P292" i="3"/>
  <c r="BD282" i="1" s="1"/>
  <c r="P293" i="3"/>
  <c r="BD283" i="1" s="1"/>
  <c r="P294" i="3"/>
  <c r="BD284" i="1" s="1"/>
  <c r="P295" i="3"/>
  <c r="BD285" i="1" s="1"/>
  <c r="P296" i="3"/>
  <c r="BD286" i="1" s="1"/>
  <c r="P297" i="3"/>
  <c r="BD287" i="1" s="1"/>
  <c r="P298" i="3"/>
  <c r="BD288" i="1" s="1"/>
  <c r="P299" i="3"/>
  <c r="BD289" i="1" s="1"/>
  <c r="P300" i="3"/>
  <c r="BD290" i="1" s="1"/>
  <c r="P301" i="3"/>
  <c r="BD291" i="1" s="1"/>
  <c r="P302" i="3"/>
  <c r="BD292" i="1" s="1"/>
  <c r="P303" i="3"/>
  <c r="BD293" i="1" s="1"/>
  <c r="P304" i="3"/>
  <c r="BD294" i="1" s="1"/>
  <c r="P305" i="3"/>
  <c r="BD295" i="1" s="1"/>
  <c r="P306" i="3"/>
  <c r="BD296" i="1" s="1"/>
  <c r="P307" i="3"/>
  <c r="BD297" i="1" s="1"/>
  <c r="P308" i="3"/>
  <c r="BD298" i="1" s="1"/>
  <c r="P309" i="3"/>
  <c r="BD299" i="1" s="1"/>
  <c r="P310" i="3"/>
  <c r="BD300" i="1" s="1"/>
  <c r="P311" i="3"/>
  <c r="BD301" i="1" s="1"/>
  <c r="P312" i="3"/>
  <c r="BD302" i="1" s="1"/>
  <c r="P313" i="3"/>
  <c r="BD303" i="1" s="1"/>
  <c r="P314" i="3"/>
  <c r="BD304" i="1" s="1"/>
  <c r="P315" i="3"/>
  <c r="BD305" i="1" s="1"/>
  <c r="P316" i="3"/>
  <c r="BD306" i="1" s="1"/>
  <c r="P317" i="3"/>
  <c r="BD307" i="1" s="1"/>
  <c r="P318" i="3"/>
  <c r="BD308" i="1" s="1"/>
  <c r="P319" i="3"/>
  <c r="BD309" i="1" s="1"/>
  <c r="P320" i="3"/>
  <c r="BD310" i="1" s="1"/>
  <c r="P321" i="3"/>
  <c r="BD311" i="1" s="1"/>
  <c r="P322" i="3"/>
  <c r="BD312" i="1" s="1"/>
  <c r="P323" i="3"/>
  <c r="BD313" i="1" s="1"/>
  <c r="P324" i="3"/>
  <c r="BD314" i="1" s="1"/>
  <c r="P325" i="3"/>
  <c r="BD315" i="1" s="1"/>
  <c r="P326" i="3"/>
  <c r="BD316" i="1" s="1"/>
  <c r="P327" i="3"/>
  <c r="BD317" i="1" s="1"/>
  <c r="P328" i="3"/>
  <c r="BD318" i="1" s="1"/>
  <c r="P329" i="3"/>
  <c r="BD319" i="1" s="1"/>
  <c r="P330" i="3"/>
  <c r="BD320" i="1" s="1"/>
  <c r="P331" i="3"/>
  <c r="BD321" i="1" s="1"/>
  <c r="P332" i="3"/>
  <c r="BD322" i="1" s="1"/>
  <c r="P333" i="3"/>
  <c r="BD323" i="1" s="1"/>
  <c r="P334" i="3"/>
  <c r="BD324" i="1" s="1"/>
  <c r="P335" i="3"/>
  <c r="BD325" i="1" s="1"/>
  <c r="P336" i="3"/>
  <c r="BD326" i="1" s="1"/>
  <c r="P337" i="3"/>
  <c r="BD327" i="1" s="1"/>
  <c r="P338" i="3"/>
  <c r="BD328" i="1" s="1"/>
  <c r="P339" i="3"/>
  <c r="BD329" i="1" s="1"/>
  <c r="P340" i="3"/>
  <c r="BD330" i="1" s="1"/>
  <c r="P341" i="3"/>
  <c r="BD331" i="1" s="1"/>
  <c r="P342" i="3"/>
  <c r="BD332" i="1" s="1"/>
  <c r="P343" i="3"/>
  <c r="BD333" i="1" s="1"/>
  <c r="P344" i="3"/>
  <c r="BD334" i="1" s="1"/>
  <c r="P345" i="3"/>
  <c r="BD335" i="1" s="1"/>
  <c r="P346" i="3"/>
  <c r="BD336" i="1" s="1"/>
  <c r="P347" i="3"/>
  <c r="BD337" i="1" s="1"/>
  <c r="P348" i="3"/>
  <c r="BD338" i="1" s="1"/>
  <c r="P349" i="3"/>
  <c r="BD339" i="1" s="1"/>
  <c r="P350" i="3"/>
  <c r="BD340" i="1" s="1"/>
  <c r="P351" i="3"/>
  <c r="BD341" i="1" s="1"/>
  <c r="P352" i="3"/>
  <c r="BD342" i="1" s="1"/>
  <c r="P353" i="3"/>
  <c r="BD343" i="1" s="1"/>
  <c r="P354" i="3"/>
  <c r="BD344" i="1" s="1"/>
  <c r="P355" i="3"/>
  <c r="BD345" i="1" s="1"/>
  <c r="P356" i="3"/>
  <c r="BD346" i="1" s="1"/>
  <c r="P357" i="3"/>
  <c r="BD347" i="1" s="1"/>
  <c r="P358" i="3"/>
  <c r="BD348" i="1" s="1"/>
  <c r="P359" i="3"/>
  <c r="BD349" i="1" s="1"/>
  <c r="P360" i="3"/>
  <c r="BD350" i="1" s="1"/>
  <c r="P361" i="3"/>
  <c r="BD351" i="1" s="1"/>
  <c r="P362" i="3"/>
  <c r="BD352" i="1" s="1"/>
  <c r="P363" i="3"/>
  <c r="BD353" i="1" s="1"/>
  <c r="P364" i="3"/>
  <c r="BD354" i="1" s="1"/>
  <c r="P365" i="3"/>
  <c r="BD355" i="1" s="1"/>
  <c r="P366" i="3"/>
  <c r="BD356" i="1" s="1"/>
  <c r="P367" i="3"/>
  <c r="BD357" i="1" s="1"/>
  <c r="P368" i="3"/>
  <c r="BD358" i="1" s="1"/>
  <c r="P369" i="3"/>
  <c r="BD359" i="1" s="1"/>
  <c r="P370" i="3"/>
  <c r="BD360" i="1" s="1"/>
  <c r="P371" i="3"/>
  <c r="BD361" i="1" s="1"/>
  <c r="P372" i="3"/>
  <c r="BD362" i="1" s="1"/>
  <c r="P373" i="3"/>
  <c r="BD363" i="1" s="1"/>
  <c r="P374" i="3"/>
  <c r="BD364" i="1" s="1"/>
  <c r="P375" i="3"/>
  <c r="BD365" i="1" s="1"/>
  <c r="P376" i="3"/>
  <c r="BD366" i="1" s="1"/>
  <c r="P377" i="3"/>
  <c r="BD367" i="1" s="1"/>
  <c r="P378" i="3"/>
  <c r="BD368" i="1" s="1"/>
  <c r="P379" i="3"/>
  <c r="BD369" i="1" s="1"/>
  <c r="P380" i="3"/>
  <c r="BD370" i="1" s="1"/>
  <c r="P381" i="3"/>
  <c r="BD371" i="1" s="1"/>
  <c r="P382" i="3"/>
  <c r="BD372" i="1" s="1"/>
  <c r="P383" i="3"/>
  <c r="BD373" i="1" s="1"/>
  <c r="P384" i="3"/>
  <c r="BD374" i="1" s="1"/>
  <c r="P385" i="3"/>
  <c r="BD375" i="1" s="1"/>
  <c r="P386" i="3"/>
  <c r="BD376" i="1" s="1"/>
  <c r="P387" i="3"/>
  <c r="BD377" i="1" s="1"/>
  <c r="P388" i="3"/>
  <c r="BD378" i="1" s="1"/>
  <c r="P389" i="3"/>
  <c r="BD379" i="1" s="1"/>
  <c r="P390" i="3"/>
  <c r="BD380" i="1" s="1"/>
  <c r="P391" i="3"/>
  <c r="BD381" i="1" s="1"/>
  <c r="P392" i="3"/>
  <c r="BD382" i="1" s="1"/>
  <c r="P393" i="3"/>
  <c r="BD383" i="1" s="1"/>
  <c r="P394" i="3"/>
  <c r="BD384" i="1" s="1"/>
  <c r="P395" i="3"/>
  <c r="BD385" i="1" s="1"/>
  <c r="P396" i="3"/>
  <c r="BD386" i="1" s="1"/>
  <c r="P397" i="3"/>
  <c r="BD387" i="1" s="1"/>
  <c r="P398" i="3"/>
  <c r="BD388" i="1" s="1"/>
  <c r="P399" i="3"/>
  <c r="BD389" i="1" s="1"/>
  <c r="P400" i="3"/>
  <c r="BD390" i="1" s="1"/>
  <c r="P401" i="3"/>
  <c r="BD391" i="1" s="1"/>
  <c r="P402" i="3"/>
  <c r="BD392" i="1" s="1"/>
  <c r="P403" i="3"/>
  <c r="BD393" i="1" s="1"/>
  <c r="P404" i="3"/>
  <c r="BD394" i="1" s="1"/>
  <c r="P405" i="3"/>
  <c r="BD395" i="1" s="1"/>
  <c r="P406" i="3"/>
  <c r="BD396" i="1" s="1"/>
  <c r="P407" i="3"/>
  <c r="BD397" i="1" s="1"/>
  <c r="P408" i="3"/>
  <c r="BD398" i="1" s="1"/>
  <c r="P409" i="3"/>
  <c r="BD399" i="1" s="1"/>
  <c r="P410" i="3"/>
  <c r="BD400" i="1" s="1"/>
  <c r="P411" i="3"/>
  <c r="BD401" i="1" s="1"/>
  <c r="P412" i="3"/>
  <c r="BD402" i="1" s="1"/>
  <c r="P413" i="3"/>
  <c r="BD403" i="1" s="1"/>
  <c r="P414" i="3"/>
  <c r="BD404" i="1" s="1"/>
  <c r="P415" i="3"/>
  <c r="BD405" i="1" s="1"/>
  <c r="P416" i="3"/>
  <c r="BD406" i="1" s="1"/>
  <c r="P417" i="3"/>
  <c r="BD407" i="1" s="1"/>
  <c r="P418" i="3"/>
  <c r="BD408" i="1" s="1"/>
  <c r="P419" i="3"/>
  <c r="BD409" i="1" s="1"/>
  <c r="P420" i="3"/>
  <c r="BD410" i="1" s="1"/>
  <c r="P421" i="3"/>
  <c r="BD411" i="1" s="1"/>
  <c r="P422" i="3"/>
  <c r="BD412" i="1" s="1"/>
  <c r="P423" i="3"/>
  <c r="BD413" i="1" s="1"/>
  <c r="P424" i="3"/>
  <c r="BD414" i="1" s="1"/>
  <c r="P425" i="3"/>
  <c r="BD415" i="1" s="1"/>
  <c r="P426" i="3"/>
  <c r="BD416" i="1" s="1"/>
  <c r="P427" i="3"/>
  <c r="BD417" i="1" s="1"/>
  <c r="P428" i="3"/>
  <c r="BD418" i="1" s="1"/>
  <c r="P429" i="3"/>
  <c r="BD419" i="1" s="1"/>
  <c r="P430" i="3"/>
  <c r="BD420" i="1" s="1"/>
  <c r="P431" i="3"/>
  <c r="BD421" i="1" s="1"/>
  <c r="P432" i="3"/>
  <c r="BD422" i="1" s="1"/>
  <c r="P433" i="3"/>
  <c r="BD423" i="1" s="1"/>
  <c r="P434" i="3"/>
  <c r="BD424" i="1" s="1"/>
  <c r="P435" i="3"/>
  <c r="BD425" i="1" s="1"/>
  <c r="P436" i="3"/>
  <c r="BD426" i="1" s="1"/>
  <c r="P437" i="3"/>
  <c r="BD427" i="1" s="1"/>
  <c r="P438" i="3"/>
  <c r="BD428" i="1" s="1"/>
  <c r="P439" i="3"/>
  <c r="BD429" i="1" s="1"/>
  <c r="P440" i="3"/>
  <c r="BD430" i="1" s="1"/>
  <c r="P441" i="3"/>
  <c r="BD431" i="1" s="1"/>
  <c r="P442" i="3"/>
  <c r="BD432" i="1" s="1"/>
  <c r="P443" i="3"/>
  <c r="BD433" i="1" s="1"/>
  <c r="P444" i="3"/>
  <c r="BD434" i="1" s="1"/>
  <c r="P445" i="3"/>
  <c r="BD435" i="1" s="1"/>
  <c r="P446" i="3"/>
  <c r="BD436" i="1" s="1"/>
  <c r="P447" i="3"/>
  <c r="BD437" i="1" s="1"/>
  <c r="P448" i="3"/>
  <c r="BD438" i="1" s="1"/>
  <c r="P449" i="3"/>
  <c r="BD439" i="1" s="1"/>
  <c r="P450" i="3"/>
  <c r="BD440" i="1" s="1"/>
  <c r="P451" i="3"/>
  <c r="BD441" i="1" s="1"/>
  <c r="P452" i="3"/>
  <c r="BD442" i="1" s="1"/>
  <c r="P453" i="3"/>
  <c r="BD443" i="1" s="1"/>
  <c r="P454" i="3"/>
  <c r="BD444" i="1" s="1"/>
  <c r="P455" i="3"/>
  <c r="BD445" i="1" s="1"/>
  <c r="P456" i="3"/>
  <c r="BD446" i="1" s="1"/>
  <c r="P457" i="3"/>
  <c r="BD447" i="1" s="1"/>
  <c r="P458" i="3"/>
  <c r="BD448" i="1" s="1"/>
  <c r="P459" i="3"/>
  <c r="BD449" i="1" s="1"/>
  <c r="P460" i="3"/>
  <c r="BD450" i="1" s="1"/>
  <c r="P461" i="3"/>
  <c r="BD451" i="1" s="1"/>
  <c r="P462" i="3"/>
  <c r="BD452" i="1" s="1"/>
  <c r="P463" i="3"/>
  <c r="BD453" i="1" s="1"/>
  <c r="P464" i="3"/>
  <c r="BD454" i="1" s="1"/>
  <c r="P465" i="3"/>
  <c r="BD455" i="1" s="1"/>
  <c r="P466" i="3"/>
  <c r="BD456" i="1" s="1"/>
  <c r="P467" i="3"/>
  <c r="BD457" i="1" s="1"/>
  <c r="P468" i="3"/>
  <c r="BD458" i="1" s="1"/>
  <c r="P469" i="3"/>
  <c r="BD459" i="1" s="1"/>
  <c r="P470" i="3"/>
  <c r="BD460" i="1" s="1"/>
  <c r="P471" i="3"/>
  <c r="BD461" i="1" s="1"/>
  <c r="P472" i="3"/>
  <c r="BD462" i="1" s="1"/>
  <c r="P473" i="3"/>
  <c r="BD463" i="1" s="1"/>
  <c r="P474" i="3"/>
  <c r="BD464" i="1" s="1"/>
  <c r="P475" i="3"/>
  <c r="BD465" i="1" s="1"/>
  <c r="P476" i="3"/>
  <c r="BD466" i="1" s="1"/>
  <c r="P477" i="3"/>
  <c r="BD467" i="1" s="1"/>
  <c r="P478" i="3"/>
  <c r="BD468" i="1" s="1"/>
  <c r="P479" i="3"/>
  <c r="BD469" i="1" s="1"/>
  <c r="P480" i="3"/>
  <c r="BD470" i="1" s="1"/>
  <c r="P481" i="3"/>
  <c r="BD471" i="1" s="1"/>
  <c r="P482" i="3"/>
  <c r="BD472" i="1" s="1"/>
  <c r="P483" i="3"/>
  <c r="BD473" i="1" s="1"/>
  <c r="P484" i="3"/>
  <c r="BD474" i="1" s="1"/>
  <c r="P485" i="3"/>
  <c r="BD475" i="1" s="1"/>
  <c r="P486" i="3"/>
  <c r="BD476" i="1" s="1"/>
  <c r="P487" i="3"/>
  <c r="BD477" i="1" s="1"/>
  <c r="P488" i="3"/>
  <c r="BD478" i="1" s="1"/>
  <c r="P489" i="3"/>
  <c r="BD479" i="1" s="1"/>
  <c r="P490" i="3"/>
  <c r="BD480" i="1" s="1"/>
  <c r="P491" i="3"/>
  <c r="BD481" i="1" s="1"/>
  <c r="P492" i="3"/>
  <c r="BD482" i="1" s="1"/>
  <c r="P493" i="3"/>
  <c r="BD483" i="1" s="1"/>
  <c r="P494" i="3"/>
  <c r="BD484" i="1" s="1"/>
  <c r="P495" i="3"/>
  <c r="BD485" i="1" s="1"/>
  <c r="P496" i="3"/>
  <c r="BD486" i="1" s="1"/>
  <c r="P497" i="3"/>
  <c r="BD487" i="1" s="1"/>
  <c r="P498" i="3"/>
  <c r="BD488" i="1" s="1"/>
  <c r="P499" i="3"/>
  <c r="BD489" i="1" s="1"/>
  <c r="P500" i="3"/>
  <c r="BD490" i="1" s="1"/>
  <c r="P501" i="3"/>
  <c r="BD491" i="1" s="1"/>
  <c r="P502" i="3"/>
  <c r="BD492" i="1" s="1"/>
  <c r="P503" i="3"/>
  <c r="BD493" i="1" s="1"/>
  <c r="P504" i="3"/>
  <c r="BD494" i="1" s="1"/>
  <c r="P505" i="3"/>
  <c r="BD495" i="1" s="1"/>
  <c r="P506" i="3"/>
  <c r="BD496" i="1" s="1"/>
  <c r="P507" i="3"/>
  <c r="BD497" i="1" s="1"/>
  <c r="P508" i="3"/>
  <c r="BD498" i="1" s="1"/>
  <c r="P509" i="3"/>
  <c r="BD499" i="1" s="1"/>
  <c r="P510" i="3"/>
  <c r="BD500" i="1" s="1"/>
  <c r="P511" i="3"/>
  <c r="BD501" i="1" s="1"/>
  <c r="P512" i="3"/>
  <c r="BD502" i="1" s="1"/>
  <c r="P513" i="3"/>
  <c r="BD503" i="1" s="1"/>
  <c r="P514" i="3"/>
  <c r="BD504" i="1" s="1"/>
  <c r="P515" i="3"/>
  <c r="BD505" i="1" s="1"/>
  <c r="P516" i="3"/>
  <c r="BD506" i="1" s="1"/>
  <c r="P517" i="3"/>
  <c r="BD507" i="1" s="1"/>
  <c r="P518" i="3"/>
  <c r="G447" i="3"/>
  <c r="F447" i="3"/>
  <c r="G446" i="3"/>
  <c r="G354" i="3"/>
  <c r="G166" i="3"/>
  <c r="F166" i="3"/>
  <c r="G165" i="3"/>
  <c r="F165" i="3"/>
  <c r="G164" i="3"/>
  <c r="F164" i="3"/>
  <c r="G163" i="3"/>
  <c r="F163" i="3"/>
  <c r="G162" i="3"/>
  <c r="F162" i="3"/>
  <c r="G161" i="3"/>
  <c r="F161" i="3"/>
  <c r="G160" i="3"/>
  <c r="F160" i="3"/>
  <c r="G159" i="3"/>
  <c r="F159" i="3"/>
  <c r="G158" i="3"/>
  <c r="F158" i="3"/>
  <c r="G157" i="3"/>
  <c r="F157" i="3"/>
  <c r="G156" i="3"/>
  <c r="F156" i="3"/>
  <c r="G155" i="3"/>
  <c r="F155" i="3"/>
  <c r="G154" i="3"/>
  <c r="F154" i="3"/>
  <c r="G153" i="3"/>
  <c r="F153" i="3"/>
  <c r="G152" i="3"/>
  <c r="F152" i="3"/>
  <c r="G151" i="3"/>
  <c r="F151" i="3"/>
  <c r="G150" i="3"/>
  <c r="F150" i="3"/>
  <c r="G149" i="3"/>
  <c r="F149" i="3"/>
  <c r="G148" i="3"/>
  <c r="F148" i="3"/>
  <c r="G147" i="3"/>
  <c r="F147" i="3"/>
  <c r="G146" i="3"/>
  <c r="F146" i="3"/>
  <c r="G145" i="3"/>
  <c r="F145" i="3"/>
  <c r="G144" i="3"/>
  <c r="F144" i="3"/>
  <c r="G143" i="3"/>
  <c r="F143" i="3"/>
  <c r="G142" i="3"/>
  <c r="F142" i="3"/>
  <c r="G141" i="3"/>
  <c r="F141" i="3"/>
  <c r="G140" i="3"/>
  <c r="F140" i="3"/>
  <c r="G139" i="3"/>
  <c r="F139" i="3"/>
  <c r="G138" i="3"/>
  <c r="F138" i="3"/>
  <c r="G137" i="3"/>
  <c r="F137" i="3"/>
  <c r="G136" i="3"/>
  <c r="F136" i="3"/>
  <c r="G135" i="3"/>
  <c r="F135" i="3"/>
  <c r="G134" i="3"/>
  <c r="F134" i="3"/>
  <c r="G133" i="3"/>
  <c r="F133" i="3"/>
  <c r="G132" i="3"/>
  <c r="F132" i="3"/>
  <c r="G131" i="3"/>
  <c r="F131" i="3"/>
  <c r="G130" i="3"/>
  <c r="F130" i="3"/>
  <c r="G129" i="3"/>
  <c r="F129" i="3"/>
  <c r="G128" i="3"/>
  <c r="F128" i="3"/>
  <c r="G127" i="3"/>
  <c r="F127" i="3"/>
  <c r="G126" i="3"/>
  <c r="F126" i="3"/>
  <c r="G125" i="3"/>
  <c r="F125" i="3"/>
  <c r="G124" i="3"/>
  <c r="F124" i="3"/>
  <c r="G123" i="3"/>
  <c r="F123" i="3"/>
  <c r="G122" i="3"/>
  <c r="F122" i="3"/>
  <c r="G121" i="3"/>
  <c r="F121" i="3"/>
  <c r="G120" i="3"/>
  <c r="F120" i="3"/>
  <c r="G119" i="3"/>
  <c r="F119" i="3"/>
  <c r="G118" i="3"/>
  <c r="F118" i="3"/>
  <c r="G117" i="3"/>
  <c r="F117" i="3"/>
  <c r="G116" i="3"/>
  <c r="F116" i="3"/>
  <c r="G115" i="3"/>
  <c r="F115" i="3"/>
  <c r="G114" i="3"/>
  <c r="F114" i="3"/>
  <c r="G113" i="3"/>
  <c r="F113" i="3"/>
  <c r="G112" i="3"/>
  <c r="F112" i="3"/>
  <c r="G111" i="3"/>
  <c r="F111" i="3"/>
  <c r="G110" i="3"/>
  <c r="F110" i="3"/>
  <c r="G109" i="3"/>
  <c r="F109" i="3"/>
  <c r="G108" i="3"/>
  <c r="F108" i="3"/>
  <c r="G107" i="3"/>
  <c r="F107" i="3"/>
  <c r="G106" i="3"/>
  <c r="F106" i="3"/>
  <c r="G105" i="3"/>
  <c r="F105" i="3"/>
  <c r="G104" i="3"/>
  <c r="F104" i="3"/>
  <c r="G103" i="3"/>
  <c r="F103" i="3"/>
  <c r="G102" i="3"/>
  <c r="F102" i="3"/>
  <c r="G101" i="3"/>
  <c r="F101" i="3"/>
  <c r="G100" i="3"/>
  <c r="F100" i="3"/>
  <c r="G99" i="3"/>
  <c r="F99" i="3"/>
  <c r="G98" i="3"/>
  <c r="F98" i="3"/>
  <c r="G97" i="3"/>
  <c r="F97" i="3"/>
  <c r="G96" i="3"/>
  <c r="F96" i="3"/>
  <c r="G95" i="3"/>
  <c r="F95" i="3"/>
  <c r="G94" i="3"/>
  <c r="F94" i="3"/>
  <c r="G93" i="3"/>
  <c r="F93" i="3"/>
  <c r="G92" i="3"/>
  <c r="F92" i="3"/>
  <c r="G91" i="3"/>
  <c r="F91" i="3"/>
  <c r="G90" i="3"/>
  <c r="F90" i="3"/>
  <c r="G89" i="3"/>
  <c r="F89" i="3"/>
  <c r="G88" i="3"/>
  <c r="F88" i="3"/>
  <c r="G87" i="3"/>
  <c r="F87" i="3"/>
  <c r="G86" i="3"/>
  <c r="F86" i="3"/>
  <c r="G85" i="3"/>
  <c r="F85" i="3"/>
  <c r="G84" i="3"/>
  <c r="F84" i="3"/>
  <c r="G83" i="3"/>
  <c r="F83" i="3"/>
  <c r="G82" i="3"/>
  <c r="F82" i="3"/>
  <c r="G81" i="3"/>
  <c r="F81" i="3"/>
  <c r="G80" i="3"/>
  <c r="F80" i="3"/>
  <c r="G79" i="3"/>
  <c r="F79" i="3"/>
  <c r="G78" i="3"/>
  <c r="F78" i="3"/>
  <c r="G77" i="3"/>
  <c r="F77" i="3"/>
  <c r="G76" i="3"/>
  <c r="F76" i="3"/>
  <c r="G75" i="3"/>
  <c r="F75" i="3"/>
  <c r="G74" i="3"/>
  <c r="F74" i="3"/>
  <c r="G73" i="3"/>
  <c r="F73" i="3"/>
  <c r="G72" i="3"/>
  <c r="F72" i="3"/>
  <c r="G71" i="3"/>
  <c r="F71" i="3"/>
  <c r="G70" i="3"/>
  <c r="F70" i="3"/>
  <c r="G69" i="3"/>
  <c r="F69" i="3"/>
  <c r="G68" i="3"/>
  <c r="F68" i="3"/>
  <c r="G67" i="3"/>
  <c r="F67" i="3"/>
  <c r="G66" i="3"/>
  <c r="F66" i="3"/>
  <c r="G65" i="3"/>
  <c r="F65" i="3"/>
  <c r="G64" i="3"/>
  <c r="F64" i="3"/>
  <c r="G63" i="3"/>
  <c r="F63" i="3"/>
  <c r="G62" i="3"/>
  <c r="F62" i="3"/>
  <c r="G61" i="3"/>
  <c r="F61" i="3"/>
  <c r="G60" i="3"/>
  <c r="F60" i="3"/>
  <c r="G59" i="3"/>
  <c r="F59" i="3"/>
  <c r="G58" i="3"/>
  <c r="F58" i="3"/>
  <c r="G57" i="3"/>
  <c r="F57" i="3"/>
  <c r="G56" i="3"/>
  <c r="F56" i="3"/>
  <c r="G55" i="3"/>
  <c r="F55" i="3"/>
  <c r="G54" i="3"/>
  <c r="F54" i="3"/>
  <c r="G53" i="3"/>
  <c r="F53" i="3"/>
  <c r="G52" i="3"/>
  <c r="F52" i="3"/>
  <c r="G51" i="3"/>
  <c r="F51" i="3"/>
  <c r="G50" i="3"/>
  <c r="F50" i="3"/>
  <c r="G49" i="3"/>
  <c r="F49" i="3"/>
  <c r="G48" i="3"/>
  <c r="F48" i="3"/>
  <c r="G47" i="3"/>
  <c r="F47" i="3"/>
  <c r="G46" i="3"/>
  <c r="F46" i="3"/>
  <c r="G45" i="3"/>
  <c r="F45" i="3"/>
  <c r="G44" i="3"/>
  <c r="F44" i="3"/>
  <c r="G43" i="3"/>
  <c r="F43" i="3"/>
  <c r="G42" i="3"/>
  <c r="F42" i="3"/>
  <c r="G41" i="3"/>
  <c r="F41" i="3"/>
  <c r="G40" i="3"/>
  <c r="F40" i="3"/>
  <c r="G39" i="3"/>
  <c r="F39" i="3"/>
  <c r="G38" i="3"/>
  <c r="F38" i="3"/>
  <c r="G37" i="3"/>
  <c r="F37" i="3"/>
  <c r="G36" i="3"/>
  <c r="F36" i="3"/>
  <c r="G35" i="3"/>
  <c r="F35" i="3"/>
  <c r="G34" i="3"/>
  <c r="F34" i="3"/>
  <c r="G33" i="3"/>
  <c r="F33" i="3"/>
  <c r="G32" i="3"/>
  <c r="F32" i="3"/>
  <c r="G31" i="3"/>
  <c r="F31" i="3"/>
  <c r="G30" i="3"/>
  <c r="F30" i="3"/>
  <c r="G29" i="3"/>
  <c r="F29" i="3"/>
  <c r="G28" i="3"/>
  <c r="F28" i="3"/>
  <c r="G27" i="3"/>
  <c r="F27" i="3"/>
  <c r="G26" i="3"/>
  <c r="F26" i="3"/>
  <c r="G25" i="3"/>
  <c r="F25" i="3"/>
  <c r="G24" i="3"/>
  <c r="F24" i="3"/>
  <c r="G23" i="3"/>
  <c r="F23" i="3"/>
  <c r="G22" i="3"/>
  <c r="F22" i="3"/>
  <c r="G21" i="3"/>
  <c r="S21" i="3" s="1"/>
  <c r="BG11" i="1" s="1"/>
  <c r="F21" i="3"/>
  <c r="R21" i="3" s="1"/>
  <c r="BF11" i="1" s="1"/>
  <c r="G20" i="3"/>
  <c r="G19" i="3"/>
  <c r="F19" i="3"/>
  <c r="Q244" i="3"/>
  <c r="BE234" i="1" s="1"/>
  <c r="Q246" i="3"/>
  <c r="BE236" i="1" s="1"/>
  <c r="Q248" i="3"/>
  <c r="BE238" i="1" s="1"/>
  <c r="Q254" i="3"/>
  <c r="BE244" i="1" s="1"/>
  <c r="Q255" i="3"/>
  <c r="BE245" i="1" s="1"/>
  <c r="Q258" i="3"/>
  <c r="BE248" i="1" s="1"/>
  <c r="Q260" i="3"/>
  <c r="BE250" i="1" s="1"/>
  <c r="Q263" i="3"/>
  <c r="BE253" i="1" s="1"/>
  <c r="Q265" i="3"/>
  <c r="BE255" i="1" s="1"/>
  <c r="Q267" i="3"/>
  <c r="BE257" i="1" s="1"/>
  <c r="Q269" i="3"/>
  <c r="BE259" i="1" s="1"/>
  <c r="Q272" i="3"/>
  <c r="BE262" i="1" s="1"/>
  <c r="Q273" i="3"/>
  <c r="BE263" i="1" s="1"/>
  <c r="Q275" i="3"/>
  <c r="BE265" i="1" s="1"/>
  <c r="Q276" i="3"/>
  <c r="BE266" i="1" s="1"/>
  <c r="Q279" i="3"/>
  <c r="BE269" i="1" s="1"/>
  <c r="Q282" i="3"/>
  <c r="BE272" i="1" s="1"/>
  <c r="Q286" i="3"/>
  <c r="BE276" i="1" s="1"/>
  <c r="Q288" i="3"/>
  <c r="BE278" i="1" s="1"/>
  <c r="Q290" i="3"/>
  <c r="BE280" i="1" s="1"/>
  <c r="Q292" i="3"/>
  <c r="BE282" i="1" s="1"/>
  <c r="Q293" i="3"/>
  <c r="BE283" i="1" s="1"/>
  <c r="Q294" i="3"/>
  <c r="BE284" i="1" s="1"/>
  <c r="Q297" i="3"/>
  <c r="BE287" i="1" s="1"/>
  <c r="Q298" i="3"/>
  <c r="BE288" i="1" s="1"/>
  <c r="Q299" i="3"/>
  <c r="BE289" i="1" s="1"/>
  <c r="Q301" i="3"/>
  <c r="BE291" i="1" s="1"/>
  <c r="Q303" i="3"/>
  <c r="BE293" i="1" s="1"/>
  <c r="Q304" i="3"/>
  <c r="BE294" i="1" s="1"/>
  <c r="Q306" i="3"/>
  <c r="BE296" i="1" s="1"/>
  <c r="Q308" i="3"/>
  <c r="BE298" i="1" s="1"/>
  <c r="Q312" i="3"/>
  <c r="BE302" i="1" s="1"/>
  <c r="Q318" i="3"/>
  <c r="BE308" i="1" s="1"/>
  <c r="Q320" i="3"/>
  <c r="BE310" i="1" s="1"/>
  <c r="Q323" i="3"/>
  <c r="BE313" i="1" s="1"/>
  <c r="Q325" i="3"/>
  <c r="BE315" i="1" s="1"/>
  <c r="Q330" i="3"/>
  <c r="BE320" i="1" s="1"/>
  <c r="Q334" i="3"/>
  <c r="BE324" i="1" s="1"/>
  <c r="Q338" i="3"/>
  <c r="BE328" i="1" s="1"/>
  <c r="Q342" i="3"/>
  <c r="BE332" i="1" s="1"/>
  <c r="Q345" i="3"/>
  <c r="BE335" i="1" s="1"/>
  <c r="Q349" i="3"/>
  <c r="BE339" i="1" s="1"/>
  <c r="Q361" i="3"/>
  <c r="BE351" i="1" s="1"/>
  <c r="Q362" i="3"/>
  <c r="BE352" i="1" s="1"/>
  <c r="Q369" i="3"/>
  <c r="BE359" i="1" s="1"/>
  <c r="Q371" i="3"/>
  <c r="BE361" i="1" s="1"/>
  <c r="Q373" i="3"/>
  <c r="BE363" i="1" s="1"/>
  <c r="Q81" i="3"/>
  <c r="BE71" i="1" s="1"/>
  <c r="Q82" i="3"/>
  <c r="BE72" i="1" s="1"/>
  <c r="Q83" i="3"/>
  <c r="BE73" i="1" s="1"/>
  <c r="Q84" i="3"/>
  <c r="BE74" i="1" s="1"/>
  <c r="Q85" i="3"/>
  <c r="BE75" i="1" s="1"/>
  <c r="Q86" i="3"/>
  <c r="BE76" i="1" s="1"/>
  <c r="Q87" i="3"/>
  <c r="BE77" i="1" s="1"/>
  <c r="Q88" i="3"/>
  <c r="BE78" i="1" s="1"/>
  <c r="Q89" i="3"/>
  <c r="BE79" i="1" s="1"/>
  <c r="Q90" i="3"/>
  <c r="BE80" i="1" s="1"/>
  <c r="Q91" i="3"/>
  <c r="BE81" i="1" s="1"/>
  <c r="Q92" i="3"/>
  <c r="BE82" i="1" s="1"/>
  <c r="Q93" i="3"/>
  <c r="BE83" i="1" s="1"/>
  <c r="Q94" i="3"/>
  <c r="BE84" i="1" s="1"/>
  <c r="Q95" i="3"/>
  <c r="BE85" i="1" s="1"/>
  <c r="Q96" i="3"/>
  <c r="BE86" i="1" s="1"/>
  <c r="Q97" i="3"/>
  <c r="BE87" i="1" s="1"/>
  <c r="Q98" i="3"/>
  <c r="BE88" i="1" s="1"/>
  <c r="Q100" i="3"/>
  <c r="BE90" i="1" s="1"/>
  <c r="Q101" i="3"/>
  <c r="BE91" i="1" s="1"/>
  <c r="Q102" i="3"/>
  <c r="BE92" i="1" s="1"/>
  <c r="Q103" i="3"/>
  <c r="BE93" i="1" s="1"/>
  <c r="Q104" i="3"/>
  <c r="BE94" i="1" s="1"/>
  <c r="Q105" i="3"/>
  <c r="BE95" i="1" s="1"/>
  <c r="Q106" i="3"/>
  <c r="BE96" i="1" s="1"/>
  <c r="Q107" i="3"/>
  <c r="BE97" i="1" s="1"/>
  <c r="Q108" i="3"/>
  <c r="BE98" i="1" s="1"/>
  <c r="Q109" i="3"/>
  <c r="BE99" i="1" s="1"/>
  <c r="Q110" i="3"/>
  <c r="BE100" i="1" s="1"/>
  <c r="Q111" i="3"/>
  <c r="BE101" i="1" s="1"/>
  <c r="Q112" i="3"/>
  <c r="BE102" i="1" s="1"/>
  <c r="Q113" i="3"/>
  <c r="BE103" i="1" s="1"/>
  <c r="Q114" i="3"/>
  <c r="BE104" i="1" s="1"/>
  <c r="Q115" i="3"/>
  <c r="BE105" i="1" s="1"/>
  <c r="Q116" i="3"/>
  <c r="BE106" i="1" s="1"/>
  <c r="Q117" i="3"/>
  <c r="BE107" i="1" s="1"/>
  <c r="Q118" i="3"/>
  <c r="BE108" i="1" s="1"/>
  <c r="Q119" i="3"/>
  <c r="BE109" i="1" s="1"/>
  <c r="Q120" i="3"/>
  <c r="BE110" i="1" s="1"/>
  <c r="Q121" i="3"/>
  <c r="BE111" i="1" s="1"/>
  <c r="Q122" i="3"/>
  <c r="BE112" i="1" s="1"/>
  <c r="Q123" i="3"/>
  <c r="BE113" i="1" s="1"/>
  <c r="Q124" i="3"/>
  <c r="BE114" i="1" s="1"/>
  <c r="Q125" i="3"/>
  <c r="BE115" i="1" s="1"/>
  <c r="Q126" i="3"/>
  <c r="BE116" i="1" s="1"/>
  <c r="Q127" i="3"/>
  <c r="BE117" i="1" s="1"/>
  <c r="Q128" i="3"/>
  <c r="BE118" i="1" s="1"/>
  <c r="Q129" i="3"/>
  <c r="BE119" i="1" s="1"/>
  <c r="Q130" i="3"/>
  <c r="BE120" i="1" s="1"/>
  <c r="Q131" i="3"/>
  <c r="BE121" i="1" s="1"/>
  <c r="Q133" i="3"/>
  <c r="BE123" i="1" s="1"/>
  <c r="Q135" i="3"/>
  <c r="BE125" i="1" s="1"/>
  <c r="Q138" i="3"/>
  <c r="BE128" i="1" s="1"/>
  <c r="Q139" i="3"/>
  <c r="BE129" i="1" s="1"/>
  <c r="Q142" i="3"/>
  <c r="BE132" i="1" s="1"/>
  <c r="Q147" i="3"/>
  <c r="BE137" i="1" s="1"/>
  <c r="Q151" i="3"/>
  <c r="BE141" i="1" s="1"/>
  <c r="Q154" i="3"/>
  <c r="BE144" i="1" s="1"/>
  <c r="Q158" i="3"/>
  <c r="BE148" i="1" s="1"/>
  <c r="Q161" i="3"/>
  <c r="BE151" i="1" s="1"/>
  <c r="Q164" i="3"/>
  <c r="BE154" i="1" s="1"/>
  <c r="Q165" i="3"/>
  <c r="BE155" i="1" s="1"/>
  <c r="Q168" i="3"/>
  <c r="BE158" i="1" s="1"/>
  <c r="Q171" i="3"/>
  <c r="BE161" i="1" s="1"/>
  <c r="Q174" i="3"/>
  <c r="BE164" i="1" s="1"/>
  <c r="N110" i="3"/>
  <c r="BB100" i="1" s="1"/>
  <c r="O518" i="3"/>
  <c r="N518" i="3"/>
  <c r="BB508" i="1" s="1"/>
  <c r="M518" i="3"/>
  <c r="BA508" i="1" s="1"/>
  <c r="L518" i="3"/>
  <c r="AZ508" i="1" s="1"/>
  <c r="K518" i="3"/>
  <c r="AY508" i="1" s="1"/>
  <c r="O517" i="3"/>
  <c r="BC507" i="1" s="1"/>
  <c r="N517" i="3"/>
  <c r="BB507" i="1" s="1"/>
  <c r="M517" i="3"/>
  <c r="BA507" i="1" s="1"/>
  <c r="L517" i="3"/>
  <c r="AZ507" i="1" s="1"/>
  <c r="K517" i="3"/>
  <c r="AY507" i="1" s="1"/>
  <c r="O516" i="3"/>
  <c r="BC506" i="1" s="1"/>
  <c r="N516" i="3"/>
  <c r="BB506" i="1" s="1"/>
  <c r="M516" i="3"/>
  <c r="BA506" i="1" s="1"/>
  <c r="L516" i="3"/>
  <c r="AZ506" i="1" s="1"/>
  <c r="K516" i="3"/>
  <c r="AY506" i="1" s="1"/>
  <c r="O515" i="3"/>
  <c r="BC505" i="1" s="1"/>
  <c r="N515" i="3"/>
  <c r="BB505" i="1" s="1"/>
  <c r="M515" i="3"/>
  <c r="BA505" i="1" s="1"/>
  <c r="L515" i="3"/>
  <c r="AZ505" i="1" s="1"/>
  <c r="K515" i="3"/>
  <c r="AY505" i="1" s="1"/>
  <c r="O514" i="3"/>
  <c r="BC504" i="1" s="1"/>
  <c r="N514" i="3"/>
  <c r="BB504" i="1" s="1"/>
  <c r="M514" i="3"/>
  <c r="BA504" i="1" s="1"/>
  <c r="L514" i="3"/>
  <c r="AZ504" i="1" s="1"/>
  <c r="K514" i="3"/>
  <c r="AY504" i="1" s="1"/>
  <c r="O513" i="3"/>
  <c r="BC503" i="1" s="1"/>
  <c r="N513" i="3"/>
  <c r="BB503" i="1" s="1"/>
  <c r="M513" i="3"/>
  <c r="BA503" i="1" s="1"/>
  <c r="L513" i="3"/>
  <c r="AZ503" i="1" s="1"/>
  <c r="K513" i="3"/>
  <c r="AY503" i="1" s="1"/>
  <c r="O512" i="3"/>
  <c r="BC502" i="1" s="1"/>
  <c r="N512" i="3"/>
  <c r="BB502" i="1" s="1"/>
  <c r="M512" i="3"/>
  <c r="BA502" i="1" s="1"/>
  <c r="L512" i="3"/>
  <c r="AZ502" i="1" s="1"/>
  <c r="K512" i="3"/>
  <c r="AY502" i="1" s="1"/>
  <c r="O511" i="3"/>
  <c r="BC501" i="1" s="1"/>
  <c r="N511" i="3"/>
  <c r="BB501" i="1" s="1"/>
  <c r="M511" i="3"/>
  <c r="BA501" i="1" s="1"/>
  <c r="L511" i="3"/>
  <c r="AZ501" i="1" s="1"/>
  <c r="K511" i="3"/>
  <c r="AY501" i="1" s="1"/>
  <c r="O510" i="3"/>
  <c r="BC500" i="1" s="1"/>
  <c r="N510" i="3"/>
  <c r="BB500" i="1" s="1"/>
  <c r="M510" i="3"/>
  <c r="BA500" i="1" s="1"/>
  <c r="L510" i="3"/>
  <c r="AZ500" i="1" s="1"/>
  <c r="K510" i="3"/>
  <c r="AY500" i="1" s="1"/>
  <c r="O509" i="3"/>
  <c r="BC499" i="1" s="1"/>
  <c r="N509" i="3"/>
  <c r="BB499" i="1" s="1"/>
  <c r="M509" i="3"/>
  <c r="BA499" i="1" s="1"/>
  <c r="L509" i="3"/>
  <c r="AZ499" i="1" s="1"/>
  <c r="K509" i="3"/>
  <c r="AY499" i="1" s="1"/>
  <c r="O508" i="3"/>
  <c r="BC498" i="1" s="1"/>
  <c r="N508" i="3"/>
  <c r="BB498" i="1" s="1"/>
  <c r="M508" i="3"/>
  <c r="BA498" i="1" s="1"/>
  <c r="L508" i="3"/>
  <c r="AZ498" i="1" s="1"/>
  <c r="K508" i="3"/>
  <c r="AY498" i="1" s="1"/>
  <c r="O507" i="3"/>
  <c r="BC497" i="1" s="1"/>
  <c r="N507" i="3"/>
  <c r="BB497" i="1" s="1"/>
  <c r="M507" i="3"/>
  <c r="BA497" i="1" s="1"/>
  <c r="L507" i="3"/>
  <c r="AZ497" i="1" s="1"/>
  <c r="K507" i="3"/>
  <c r="AY497" i="1" s="1"/>
  <c r="O506" i="3"/>
  <c r="BC496" i="1" s="1"/>
  <c r="N506" i="3"/>
  <c r="BB496" i="1" s="1"/>
  <c r="M506" i="3"/>
  <c r="BA496" i="1" s="1"/>
  <c r="L506" i="3"/>
  <c r="AZ496" i="1" s="1"/>
  <c r="K506" i="3"/>
  <c r="AY496" i="1" s="1"/>
  <c r="O505" i="3"/>
  <c r="BC495" i="1" s="1"/>
  <c r="N505" i="3"/>
  <c r="BB495" i="1" s="1"/>
  <c r="M505" i="3"/>
  <c r="BA495" i="1" s="1"/>
  <c r="L505" i="3"/>
  <c r="AZ495" i="1" s="1"/>
  <c r="K505" i="3"/>
  <c r="AY495" i="1" s="1"/>
  <c r="O504" i="3"/>
  <c r="BC494" i="1" s="1"/>
  <c r="N504" i="3"/>
  <c r="BB494" i="1" s="1"/>
  <c r="M504" i="3"/>
  <c r="BA494" i="1" s="1"/>
  <c r="L504" i="3"/>
  <c r="AZ494" i="1" s="1"/>
  <c r="K504" i="3"/>
  <c r="AY494" i="1" s="1"/>
  <c r="O503" i="3"/>
  <c r="BC493" i="1" s="1"/>
  <c r="N503" i="3"/>
  <c r="BB493" i="1" s="1"/>
  <c r="M503" i="3"/>
  <c r="BA493" i="1" s="1"/>
  <c r="L503" i="3"/>
  <c r="AZ493" i="1" s="1"/>
  <c r="K503" i="3"/>
  <c r="AY493" i="1" s="1"/>
  <c r="O502" i="3"/>
  <c r="BC492" i="1" s="1"/>
  <c r="N502" i="3"/>
  <c r="BB492" i="1" s="1"/>
  <c r="M502" i="3"/>
  <c r="BA492" i="1" s="1"/>
  <c r="L502" i="3"/>
  <c r="AZ492" i="1" s="1"/>
  <c r="K502" i="3"/>
  <c r="AY492" i="1" s="1"/>
  <c r="O501" i="3"/>
  <c r="BC491" i="1" s="1"/>
  <c r="N501" i="3"/>
  <c r="BB491" i="1" s="1"/>
  <c r="M501" i="3"/>
  <c r="BA491" i="1" s="1"/>
  <c r="L501" i="3"/>
  <c r="AZ491" i="1" s="1"/>
  <c r="K501" i="3"/>
  <c r="AY491" i="1" s="1"/>
  <c r="O500" i="3"/>
  <c r="BC490" i="1" s="1"/>
  <c r="N500" i="3"/>
  <c r="BB490" i="1" s="1"/>
  <c r="M500" i="3"/>
  <c r="BA490" i="1" s="1"/>
  <c r="L500" i="3"/>
  <c r="AZ490" i="1" s="1"/>
  <c r="K500" i="3"/>
  <c r="AY490" i="1" s="1"/>
  <c r="O499" i="3"/>
  <c r="BC489" i="1" s="1"/>
  <c r="N499" i="3"/>
  <c r="BB489" i="1" s="1"/>
  <c r="M499" i="3"/>
  <c r="BA489" i="1" s="1"/>
  <c r="L499" i="3"/>
  <c r="AZ489" i="1" s="1"/>
  <c r="K499" i="3"/>
  <c r="AY489" i="1" s="1"/>
  <c r="O498" i="3"/>
  <c r="BC488" i="1" s="1"/>
  <c r="N498" i="3"/>
  <c r="BB488" i="1" s="1"/>
  <c r="M498" i="3"/>
  <c r="BA488" i="1" s="1"/>
  <c r="L498" i="3"/>
  <c r="AZ488" i="1" s="1"/>
  <c r="K498" i="3"/>
  <c r="AY488" i="1" s="1"/>
  <c r="O497" i="3"/>
  <c r="BC487" i="1" s="1"/>
  <c r="N497" i="3"/>
  <c r="BB487" i="1" s="1"/>
  <c r="M497" i="3"/>
  <c r="BA487" i="1" s="1"/>
  <c r="L497" i="3"/>
  <c r="AZ487" i="1" s="1"/>
  <c r="K497" i="3"/>
  <c r="AY487" i="1" s="1"/>
  <c r="M496" i="3"/>
  <c r="BA486" i="1" s="1"/>
  <c r="N496" i="3"/>
  <c r="BB486" i="1" s="1"/>
  <c r="O496" i="3"/>
  <c r="BC486" i="1" s="1"/>
  <c r="L496" i="3"/>
  <c r="AZ486" i="1" s="1"/>
  <c r="K496" i="3"/>
  <c r="AY486" i="1" s="1"/>
  <c r="O495" i="3"/>
  <c r="BC485" i="1" s="1"/>
  <c r="N495" i="3"/>
  <c r="BB485" i="1" s="1"/>
  <c r="M495" i="3"/>
  <c r="BA485" i="1" s="1"/>
  <c r="L495" i="3"/>
  <c r="AZ485" i="1" s="1"/>
  <c r="K495" i="3"/>
  <c r="AY485" i="1" s="1"/>
  <c r="O494" i="3"/>
  <c r="BC484" i="1" s="1"/>
  <c r="N494" i="3"/>
  <c r="BB484" i="1" s="1"/>
  <c r="M494" i="3"/>
  <c r="BA484" i="1" s="1"/>
  <c r="L494" i="3"/>
  <c r="AZ484" i="1" s="1"/>
  <c r="K494" i="3"/>
  <c r="AY484" i="1" s="1"/>
  <c r="O493" i="3"/>
  <c r="BC483" i="1" s="1"/>
  <c r="N493" i="3"/>
  <c r="BB483" i="1" s="1"/>
  <c r="M493" i="3"/>
  <c r="BA483" i="1" s="1"/>
  <c r="L493" i="3"/>
  <c r="AZ483" i="1" s="1"/>
  <c r="K493" i="3"/>
  <c r="AY483" i="1" s="1"/>
  <c r="O492" i="3"/>
  <c r="BC482" i="1" s="1"/>
  <c r="N492" i="3"/>
  <c r="BB482" i="1" s="1"/>
  <c r="M492" i="3"/>
  <c r="BA482" i="1" s="1"/>
  <c r="L492" i="3"/>
  <c r="AZ482" i="1" s="1"/>
  <c r="K492" i="3"/>
  <c r="AY482" i="1" s="1"/>
  <c r="O491" i="3"/>
  <c r="BC481" i="1" s="1"/>
  <c r="N491" i="3"/>
  <c r="BB481" i="1" s="1"/>
  <c r="M491" i="3"/>
  <c r="BA481" i="1" s="1"/>
  <c r="L491" i="3"/>
  <c r="AZ481" i="1" s="1"/>
  <c r="K491" i="3"/>
  <c r="AY481" i="1" s="1"/>
  <c r="K490" i="3"/>
  <c r="AY480" i="1" s="1"/>
  <c r="N490" i="3"/>
  <c r="BB480" i="1" s="1"/>
  <c r="M490" i="3"/>
  <c r="BA480" i="1" s="1"/>
  <c r="L490" i="3"/>
  <c r="AZ480" i="1" s="1"/>
  <c r="O490" i="3"/>
  <c r="BC480" i="1" s="1"/>
  <c r="O489" i="3"/>
  <c r="BC479" i="1" s="1"/>
  <c r="N489" i="3"/>
  <c r="BB479" i="1" s="1"/>
  <c r="M489" i="3"/>
  <c r="BA479" i="1" s="1"/>
  <c r="L489" i="3"/>
  <c r="AZ479" i="1" s="1"/>
  <c r="K489" i="3"/>
  <c r="AY479" i="1" s="1"/>
  <c r="O488" i="3"/>
  <c r="BC478" i="1" s="1"/>
  <c r="N488" i="3"/>
  <c r="BB478" i="1" s="1"/>
  <c r="M488" i="3"/>
  <c r="BA478" i="1" s="1"/>
  <c r="L488" i="3"/>
  <c r="AZ478" i="1" s="1"/>
  <c r="K488" i="3"/>
  <c r="AY478" i="1" s="1"/>
  <c r="K487" i="3"/>
  <c r="AY477" i="1" s="1"/>
  <c r="N487" i="3"/>
  <c r="BB477" i="1" s="1"/>
  <c r="M487" i="3"/>
  <c r="BA477" i="1" s="1"/>
  <c r="L487" i="3"/>
  <c r="AZ477" i="1" s="1"/>
  <c r="O487" i="3"/>
  <c r="BC477" i="1" s="1"/>
  <c r="O486" i="3"/>
  <c r="BC476" i="1" s="1"/>
  <c r="N486" i="3"/>
  <c r="BB476" i="1" s="1"/>
  <c r="M486" i="3"/>
  <c r="BA476" i="1" s="1"/>
  <c r="L486" i="3"/>
  <c r="AZ476" i="1" s="1"/>
  <c r="K486" i="3"/>
  <c r="AY476" i="1" s="1"/>
  <c r="O485" i="3"/>
  <c r="BC475" i="1" s="1"/>
  <c r="N485" i="3"/>
  <c r="BB475" i="1" s="1"/>
  <c r="M485" i="3"/>
  <c r="BA475" i="1" s="1"/>
  <c r="L485" i="3"/>
  <c r="AZ475" i="1" s="1"/>
  <c r="K485" i="3"/>
  <c r="AY475" i="1" s="1"/>
  <c r="O484" i="3"/>
  <c r="BC474" i="1" s="1"/>
  <c r="N484" i="3"/>
  <c r="BB474" i="1" s="1"/>
  <c r="M484" i="3"/>
  <c r="BA474" i="1" s="1"/>
  <c r="L484" i="3"/>
  <c r="AZ474" i="1" s="1"/>
  <c r="K484" i="3"/>
  <c r="AY474" i="1" s="1"/>
  <c r="N483" i="3"/>
  <c r="BB473" i="1" s="1"/>
  <c r="O483" i="3"/>
  <c r="BC473" i="1" s="1"/>
  <c r="M483" i="3"/>
  <c r="BA473" i="1" s="1"/>
  <c r="L483" i="3"/>
  <c r="AZ473" i="1" s="1"/>
  <c r="K483" i="3"/>
  <c r="AY473" i="1" s="1"/>
  <c r="O482" i="3"/>
  <c r="BC472" i="1" s="1"/>
  <c r="N482" i="3"/>
  <c r="BB472" i="1" s="1"/>
  <c r="M482" i="3"/>
  <c r="BA472" i="1" s="1"/>
  <c r="L482" i="3"/>
  <c r="AZ472" i="1" s="1"/>
  <c r="K482" i="3"/>
  <c r="AY472" i="1" s="1"/>
  <c r="O481" i="3"/>
  <c r="BC471" i="1" s="1"/>
  <c r="N481" i="3"/>
  <c r="BB471" i="1" s="1"/>
  <c r="M481" i="3"/>
  <c r="BA471" i="1" s="1"/>
  <c r="L481" i="3"/>
  <c r="AZ471" i="1" s="1"/>
  <c r="K481" i="3"/>
  <c r="AY471" i="1" s="1"/>
  <c r="O480" i="3"/>
  <c r="BC470" i="1" s="1"/>
  <c r="N480" i="3"/>
  <c r="BB470" i="1" s="1"/>
  <c r="M480" i="3"/>
  <c r="BA470" i="1" s="1"/>
  <c r="L480" i="3"/>
  <c r="AZ470" i="1" s="1"/>
  <c r="K480" i="3"/>
  <c r="AY470" i="1" s="1"/>
  <c r="O479" i="3"/>
  <c r="BC469" i="1" s="1"/>
  <c r="N479" i="3"/>
  <c r="BB469" i="1" s="1"/>
  <c r="M479" i="3"/>
  <c r="BA469" i="1" s="1"/>
  <c r="L479" i="3"/>
  <c r="AZ469" i="1" s="1"/>
  <c r="K479" i="3"/>
  <c r="AY469" i="1" s="1"/>
  <c r="O478" i="3"/>
  <c r="BC468" i="1" s="1"/>
  <c r="N478" i="3"/>
  <c r="BB468" i="1" s="1"/>
  <c r="M478" i="3"/>
  <c r="BA468" i="1" s="1"/>
  <c r="L478" i="3"/>
  <c r="AZ468" i="1" s="1"/>
  <c r="K478" i="3"/>
  <c r="AY468" i="1" s="1"/>
  <c r="L477" i="3"/>
  <c r="AZ467" i="1" s="1"/>
  <c r="N477" i="3"/>
  <c r="BB467" i="1" s="1"/>
  <c r="M477" i="3"/>
  <c r="BA467" i="1" s="1"/>
  <c r="O477" i="3"/>
  <c r="BC467" i="1" s="1"/>
  <c r="K477" i="3"/>
  <c r="AY467" i="1" s="1"/>
  <c r="O476" i="3"/>
  <c r="BC466" i="1" s="1"/>
  <c r="N476" i="3"/>
  <c r="BB466" i="1" s="1"/>
  <c r="M476" i="3"/>
  <c r="BA466" i="1" s="1"/>
  <c r="L476" i="3"/>
  <c r="AZ466" i="1" s="1"/>
  <c r="K476" i="3"/>
  <c r="AY466" i="1" s="1"/>
  <c r="O475" i="3"/>
  <c r="BC465" i="1" s="1"/>
  <c r="N475" i="3"/>
  <c r="BB465" i="1" s="1"/>
  <c r="M475" i="3"/>
  <c r="BA465" i="1" s="1"/>
  <c r="L475" i="3"/>
  <c r="AZ465" i="1" s="1"/>
  <c r="K475" i="3"/>
  <c r="AY465" i="1" s="1"/>
  <c r="L474" i="3"/>
  <c r="AZ464" i="1" s="1"/>
  <c r="N474" i="3"/>
  <c r="BB464" i="1" s="1"/>
  <c r="M474" i="3"/>
  <c r="BA464" i="1" s="1"/>
  <c r="O474" i="3"/>
  <c r="BC464" i="1" s="1"/>
  <c r="K474" i="3"/>
  <c r="AY464" i="1" s="1"/>
  <c r="O473" i="3"/>
  <c r="BC463" i="1" s="1"/>
  <c r="N473" i="3"/>
  <c r="BB463" i="1" s="1"/>
  <c r="M473" i="3"/>
  <c r="BA463" i="1" s="1"/>
  <c r="L473" i="3"/>
  <c r="AZ463" i="1" s="1"/>
  <c r="K473" i="3"/>
  <c r="AY463" i="1" s="1"/>
  <c r="O472" i="3"/>
  <c r="BC462" i="1" s="1"/>
  <c r="N472" i="3"/>
  <c r="BB462" i="1" s="1"/>
  <c r="M472" i="3"/>
  <c r="BA462" i="1" s="1"/>
  <c r="L472" i="3"/>
  <c r="AZ462" i="1" s="1"/>
  <c r="K472" i="3"/>
  <c r="AY462" i="1" s="1"/>
  <c r="O471" i="3"/>
  <c r="BC461" i="1" s="1"/>
  <c r="N471" i="3"/>
  <c r="BB461" i="1" s="1"/>
  <c r="M471" i="3"/>
  <c r="BA461" i="1" s="1"/>
  <c r="L471" i="3"/>
  <c r="AZ461" i="1" s="1"/>
  <c r="K471" i="3"/>
  <c r="AY461" i="1" s="1"/>
  <c r="O470" i="3"/>
  <c r="BC460" i="1" s="1"/>
  <c r="N470" i="3"/>
  <c r="BB460" i="1" s="1"/>
  <c r="M470" i="3"/>
  <c r="BA460" i="1" s="1"/>
  <c r="L470" i="3"/>
  <c r="AZ460" i="1" s="1"/>
  <c r="K470" i="3"/>
  <c r="AY460" i="1" s="1"/>
  <c r="O469" i="3"/>
  <c r="BC459" i="1" s="1"/>
  <c r="N469" i="3"/>
  <c r="BB459" i="1" s="1"/>
  <c r="M469" i="3"/>
  <c r="BA459" i="1" s="1"/>
  <c r="L469" i="3"/>
  <c r="AZ459" i="1" s="1"/>
  <c r="K469" i="3"/>
  <c r="AY459" i="1" s="1"/>
  <c r="O468" i="3"/>
  <c r="BC458" i="1" s="1"/>
  <c r="N468" i="3"/>
  <c r="BB458" i="1" s="1"/>
  <c r="M468" i="3"/>
  <c r="BA458" i="1" s="1"/>
  <c r="L468" i="3"/>
  <c r="AZ458" i="1" s="1"/>
  <c r="K468" i="3"/>
  <c r="AY458" i="1" s="1"/>
  <c r="O467" i="3"/>
  <c r="BC457" i="1" s="1"/>
  <c r="N467" i="3"/>
  <c r="BB457" i="1" s="1"/>
  <c r="M467" i="3"/>
  <c r="BA457" i="1" s="1"/>
  <c r="L467" i="3"/>
  <c r="AZ457" i="1" s="1"/>
  <c r="K467" i="3"/>
  <c r="AY457" i="1" s="1"/>
  <c r="O466" i="3"/>
  <c r="BC456" i="1" s="1"/>
  <c r="N466" i="3"/>
  <c r="BB456" i="1" s="1"/>
  <c r="M466" i="3"/>
  <c r="BA456" i="1" s="1"/>
  <c r="L466" i="3"/>
  <c r="AZ456" i="1" s="1"/>
  <c r="K466" i="3"/>
  <c r="AY456" i="1" s="1"/>
  <c r="O465" i="3"/>
  <c r="BC455" i="1" s="1"/>
  <c r="N465" i="3"/>
  <c r="BB455" i="1" s="1"/>
  <c r="M465" i="3"/>
  <c r="BA455" i="1" s="1"/>
  <c r="L465" i="3"/>
  <c r="AZ455" i="1" s="1"/>
  <c r="K465" i="3"/>
  <c r="AY455" i="1" s="1"/>
  <c r="M464" i="3"/>
  <c r="BA454" i="1" s="1"/>
  <c r="N464" i="3"/>
  <c r="BB454" i="1" s="1"/>
  <c r="O464" i="3"/>
  <c r="BC454" i="1" s="1"/>
  <c r="L464" i="3"/>
  <c r="AZ454" i="1" s="1"/>
  <c r="K464" i="3"/>
  <c r="AY454" i="1" s="1"/>
  <c r="O463" i="3"/>
  <c r="BC453" i="1" s="1"/>
  <c r="N463" i="3"/>
  <c r="BB453" i="1" s="1"/>
  <c r="M463" i="3"/>
  <c r="BA453" i="1" s="1"/>
  <c r="L463" i="3"/>
  <c r="AZ453" i="1" s="1"/>
  <c r="K463" i="3"/>
  <c r="AY453" i="1" s="1"/>
  <c r="O462" i="3"/>
  <c r="BC452" i="1" s="1"/>
  <c r="N462" i="3"/>
  <c r="BB452" i="1" s="1"/>
  <c r="M462" i="3"/>
  <c r="BA452" i="1" s="1"/>
  <c r="L462" i="3"/>
  <c r="AZ452" i="1" s="1"/>
  <c r="K462" i="3"/>
  <c r="AY452" i="1" s="1"/>
  <c r="L461" i="3"/>
  <c r="AZ451" i="1" s="1"/>
  <c r="N461" i="3"/>
  <c r="BB451" i="1" s="1"/>
  <c r="M461" i="3"/>
  <c r="BA451" i="1" s="1"/>
  <c r="O461" i="3"/>
  <c r="BC451" i="1" s="1"/>
  <c r="K461" i="3"/>
  <c r="AY451" i="1" s="1"/>
  <c r="O460" i="3"/>
  <c r="BC450" i="1" s="1"/>
  <c r="N460" i="3"/>
  <c r="BB450" i="1" s="1"/>
  <c r="M460" i="3"/>
  <c r="BA450" i="1" s="1"/>
  <c r="L460" i="3"/>
  <c r="AZ450" i="1" s="1"/>
  <c r="K460" i="3"/>
  <c r="AY450" i="1" s="1"/>
  <c r="O459" i="3"/>
  <c r="BC449" i="1" s="1"/>
  <c r="N459" i="3"/>
  <c r="BB449" i="1" s="1"/>
  <c r="M459" i="3"/>
  <c r="BA449" i="1" s="1"/>
  <c r="L459" i="3"/>
  <c r="AZ449" i="1" s="1"/>
  <c r="K459" i="3"/>
  <c r="AY449" i="1" s="1"/>
  <c r="O458" i="3"/>
  <c r="BC448" i="1" s="1"/>
  <c r="N458" i="3"/>
  <c r="BB448" i="1" s="1"/>
  <c r="M458" i="3"/>
  <c r="BA448" i="1" s="1"/>
  <c r="L458" i="3"/>
  <c r="AZ448" i="1" s="1"/>
  <c r="K458" i="3"/>
  <c r="AY448" i="1" s="1"/>
  <c r="O457" i="3"/>
  <c r="BC447" i="1" s="1"/>
  <c r="N457" i="3"/>
  <c r="BB447" i="1" s="1"/>
  <c r="M457" i="3"/>
  <c r="BA447" i="1" s="1"/>
  <c r="L457" i="3"/>
  <c r="AZ447" i="1" s="1"/>
  <c r="K457" i="3"/>
  <c r="AY447" i="1" s="1"/>
  <c r="O456" i="3"/>
  <c r="BC446" i="1" s="1"/>
  <c r="N456" i="3"/>
  <c r="BB446" i="1" s="1"/>
  <c r="M456" i="3"/>
  <c r="BA446" i="1" s="1"/>
  <c r="L456" i="3"/>
  <c r="AZ446" i="1" s="1"/>
  <c r="K456" i="3"/>
  <c r="AY446" i="1" s="1"/>
  <c r="O455" i="3"/>
  <c r="BC445" i="1" s="1"/>
  <c r="N455" i="3"/>
  <c r="BB445" i="1" s="1"/>
  <c r="M455" i="3"/>
  <c r="BA445" i="1" s="1"/>
  <c r="L455" i="3"/>
  <c r="AZ445" i="1" s="1"/>
  <c r="K455" i="3"/>
  <c r="AY445" i="1" s="1"/>
  <c r="O454" i="3"/>
  <c r="BC444" i="1" s="1"/>
  <c r="N454" i="3"/>
  <c r="BB444" i="1" s="1"/>
  <c r="M454" i="3"/>
  <c r="BA444" i="1" s="1"/>
  <c r="L454" i="3"/>
  <c r="AZ444" i="1" s="1"/>
  <c r="K454" i="3"/>
  <c r="AY444" i="1" s="1"/>
  <c r="O453" i="3"/>
  <c r="BC443" i="1" s="1"/>
  <c r="N453" i="3"/>
  <c r="BB443" i="1" s="1"/>
  <c r="M453" i="3"/>
  <c r="BA443" i="1" s="1"/>
  <c r="L453" i="3"/>
  <c r="AZ443" i="1" s="1"/>
  <c r="K453" i="3"/>
  <c r="AY443" i="1" s="1"/>
  <c r="O452" i="3"/>
  <c r="BC442" i="1" s="1"/>
  <c r="N452" i="3"/>
  <c r="BB442" i="1" s="1"/>
  <c r="M452" i="3"/>
  <c r="BA442" i="1" s="1"/>
  <c r="L452" i="3"/>
  <c r="AZ442" i="1" s="1"/>
  <c r="K452" i="3"/>
  <c r="AY442" i="1" s="1"/>
  <c r="O451" i="3"/>
  <c r="BC441" i="1" s="1"/>
  <c r="N451" i="3"/>
  <c r="BB441" i="1" s="1"/>
  <c r="M451" i="3"/>
  <c r="BA441" i="1" s="1"/>
  <c r="L451" i="3"/>
  <c r="AZ441" i="1" s="1"/>
  <c r="K451" i="3"/>
  <c r="AY441" i="1" s="1"/>
  <c r="O450" i="3"/>
  <c r="BC440" i="1" s="1"/>
  <c r="N450" i="3"/>
  <c r="BB440" i="1" s="1"/>
  <c r="M450" i="3"/>
  <c r="BA440" i="1" s="1"/>
  <c r="L450" i="3"/>
  <c r="AZ440" i="1" s="1"/>
  <c r="K450" i="3"/>
  <c r="AY440" i="1" s="1"/>
  <c r="O449" i="3"/>
  <c r="BC439" i="1" s="1"/>
  <c r="N449" i="3"/>
  <c r="BB439" i="1" s="1"/>
  <c r="M449" i="3"/>
  <c r="BA439" i="1" s="1"/>
  <c r="L449" i="3"/>
  <c r="AZ439" i="1" s="1"/>
  <c r="K449" i="3"/>
  <c r="AY439" i="1" s="1"/>
  <c r="O448" i="3"/>
  <c r="BC438" i="1" s="1"/>
  <c r="N448" i="3"/>
  <c r="BB438" i="1" s="1"/>
  <c r="M448" i="3"/>
  <c r="BA438" i="1" s="1"/>
  <c r="L448" i="3"/>
  <c r="AZ438" i="1" s="1"/>
  <c r="K448" i="3"/>
  <c r="AY438" i="1" s="1"/>
  <c r="O447" i="3"/>
  <c r="BC437" i="1" s="1"/>
  <c r="N447" i="3"/>
  <c r="BB437" i="1" s="1"/>
  <c r="M447" i="3"/>
  <c r="BA437" i="1" s="1"/>
  <c r="L447" i="3"/>
  <c r="AZ437" i="1" s="1"/>
  <c r="K447" i="3"/>
  <c r="AY437" i="1" s="1"/>
  <c r="O446" i="3"/>
  <c r="BC436" i="1" s="1"/>
  <c r="N446" i="3"/>
  <c r="BB436" i="1" s="1"/>
  <c r="M446" i="3"/>
  <c r="BA436" i="1" s="1"/>
  <c r="L446" i="3"/>
  <c r="AZ436" i="1" s="1"/>
  <c r="K446" i="3"/>
  <c r="AY436" i="1" s="1"/>
  <c r="L445" i="3"/>
  <c r="AZ435" i="1" s="1"/>
  <c r="N445" i="3"/>
  <c r="BB435" i="1" s="1"/>
  <c r="M445" i="3"/>
  <c r="BA435" i="1" s="1"/>
  <c r="O445" i="3"/>
  <c r="BC435" i="1" s="1"/>
  <c r="K445" i="3"/>
  <c r="AY435" i="1" s="1"/>
  <c r="O444" i="3"/>
  <c r="BC434" i="1" s="1"/>
  <c r="N444" i="3"/>
  <c r="BB434" i="1" s="1"/>
  <c r="M444" i="3"/>
  <c r="BA434" i="1" s="1"/>
  <c r="L444" i="3"/>
  <c r="AZ434" i="1" s="1"/>
  <c r="K444" i="3"/>
  <c r="AY434" i="1" s="1"/>
  <c r="O443" i="3"/>
  <c r="BC433" i="1" s="1"/>
  <c r="N443" i="3"/>
  <c r="BB433" i="1" s="1"/>
  <c r="M443" i="3"/>
  <c r="BA433" i="1" s="1"/>
  <c r="L443" i="3"/>
  <c r="AZ433" i="1" s="1"/>
  <c r="K443" i="3"/>
  <c r="AY433" i="1" s="1"/>
  <c r="O442" i="3"/>
  <c r="BC432" i="1" s="1"/>
  <c r="N442" i="3"/>
  <c r="BB432" i="1" s="1"/>
  <c r="M442" i="3"/>
  <c r="BA432" i="1" s="1"/>
  <c r="L442" i="3"/>
  <c r="AZ432" i="1" s="1"/>
  <c r="K442" i="3"/>
  <c r="AY432" i="1" s="1"/>
  <c r="O441" i="3"/>
  <c r="BC431" i="1" s="1"/>
  <c r="N441" i="3"/>
  <c r="BB431" i="1" s="1"/>
  <c r="M441" i="3"/>
  <c r="BA431" i="1" s="1"/>
  <c r="L441" i="3"/>
  <c r="AZ431" i="1" s="1"/>
  <c r="K441" i="3"/>
  <c r="AY431" i="1" s="1"/>
  <c r="O440" i="3"/>
  <c r="BC430" i="1" s="1"/>
  <c r="N440" i="3"/>
  <c r="BB430" i="1" s="1"/>
  <c r="M440" i="3"/>
  <c r="BA430" i="1" s="1"/>
  <c r="L440" i="3"/>
  <c r="AZ430" i="1" s="1"/>
  <c r="K440" i="3"/>
  <c r="AY430" i="1" s="1"/>
  <c r="K439" i="3"/>
  <c r="AY429" i="1" s="1"/>
  <c r="N439" i="3"/>
  <c r="BB429" i="1" s="1"/>
  <c r="M439" i="3"/>
  <c r="BA429" i="1" s="1"/>
  <c r="L439" i="3"/>
  <c r="AZ429" i="1" s="1"/>
  <c r="O439" i="3"/>
  <c r="BC429" i="1" s="1"/>
  <c r="O438" i="3"/>
  <c r="BC428" i="1" s="1"/>
  <c r="N438" i="3"/>
  <c r="BB428" i="1" s="1"/>
  <c r="M438" i="3"/>
  <c r="BA428" i="1" s="1"/>
  <c r="L438" i="3"/>
  <c r="AZ428" i="1" s="1"/>
  <c r="K438" i="3"/>
  <c r="AY428" i="1" s="1"/>
  <c r="O437" i="3"/>
  <c r="BC427" i="1" s="1"/>
  <c r="N437" i="3"/>
  <c r="BB427" i="1" s="1"/>
  <c r="M437" i="3"/>
  <c r="BA427" i="1" s="1"/>
  <c r="L437" i="3"/>
  <c r="AZ427" i="1" s="1"/>
  <c r="K437" i="3"/>
  <c r="AY427" i="1" s="1"/>
  <c r="K436" i="3"/>
  <c r="AY426" i="1" s="1"/>
  <c r="N436" i="3"/>
  <c r="BB426" i="1" s="1"/>
  <c r="M436" i="3"/>
  <c r="BA426" i="1" s="1"/>
  <c r="L436" i="3"/>
  <c r="AZ426" i="1" s="1"/>
  <c r="O436" i="3"/>
  <c r="BC426" i="1" s="1"/>
  <c r="O435" i="3"/>
  <c r="BC425" i="1" s="1"/>
  <c r="N435" i="3"/>
  <c r="BB425" i="1" s="1"/>
  <c r="M435" i="3"/>
  <c r="BA425" i="1" s="1"/>
  <c r="L435" i="3"/>
  <c r="AZ425" i="1" s="1"/>
  <c r="K435" i="3"/>
  <c r="AY425" i="1" s="1"/>
  <c r="O434" i="3"/>
  <c r="BC424" i="1" s="1"/>
  <c r="N434" i="3"/>
  <c r="BB424" i="1" s="1"/>
  <c r="M434" i="3"/>
  <c r="BA424" i="1" s="1"/>
  <c r="L434" i="3"/>
  <c r="AZ424" i="1" s="1"/>
  <c r="K434" i="3"/>
  <c r="AY424" i="1" s="1"/>
  <c r="O433" i="3"/>
  <c r="BC423" i="1" s="1"/>
  <c r="N433" i="3"/>
  <c r="BB423" i="1" s="1"/>
  <c r="M433" i="3"/>
  <c r="BA423" i="1" s="1"/>
  <c r="L433" i="3"/>
  <c r="AZ423" i="1" s="1"/>
  <c r="K433" i="3"/>
  <c r="AY423" i="1" s="1"/>
  <c r="L432" i="3"/>
  <c r="AZ422" i="1" s="1"/>
  <c r="N432" i="3"/>
  <c r="BB422" i="1" s="1"/>
  <c r="M432" i="3"/>
  <c r="BA422" i="1" s="1"/>
  <c r="O432" i="3"/>
  <c r="BC422" i="1" s="1"/>
  <c r="K432" i="3"/>
  <c r="AY422" i="1" s="1"/>
  <c r="O431" i="3"/>
  <c r="BC421" i="1" s="1"/>
  <c r="N431" i="3"/>
  <c r="BB421" i="1" s="1"/>
  <c r="M431" i="3"/>
  <c r="BA421" i="1" s="1"/>
  <c r="L431" i="3"/>
  <c r="AZ421" i="1" s="1"/>
  <c r="K431" i="3"/>
  <c r="AY421" i="1" s="1"/>
  <c r="O430" i="3"/>
  <c r="BC420" i="1" s="1"/>
  <c r="N430" i="3"/>
  <c r="BB420" i="1" s="1"/>
  <c r="M430" i="3"/>
  <c r="BA420" i="1" s="1"/>
  <c r="L430" i="3"/>
  <c r="AZ420" i="1" s="1"/>
  <c r="K430" i="3"/>
  <c r="AY420" i="1" s="1"/>
  <c r="O429" i="3"/>
  <c r="BC419" i="1" s="1"/>
  <c r="N429" i="3"/>
  <c r="BB419" i="1" s="1"/>
  <c r="M429" i="3"/>
  <c r="BA419" i="1" s="1"/>
  <c r="L429" i="3"/>
  <c r="AZ419" i="1" s="1"/>
  <c r="K429" i="3"/>
  <c r="AY419" i="1" s="1"/>
  <c r="O428" i="3"/>
  <c r="BC418" i="1" s="1"/>
  <c r="N428" i="3"/>
  <c r="BB418" i="1" s="1"/>
  <c r="M428" i="3"/>
  <c r="BA418" i="1" s="1"/>
  <c r="L428" i="3"/>
  <c r="AZ418" i="1" s="1"/>
  <c r="K428" i="3"/>
  <c r="AY418" i="1" s="1"/>
  <c r="O427" i="3"/>
  <c r="BC417" i="1" s="1"/>
  <c r="N427" i="3"/>
  <c r="BB417" i="1" s="1"/>
  <c r="M427" i="3"/>
  <c r="BA417" i="1" s="1"/>
  <c r="L427" i="3"/>
  <c r="AZ417" i="1" s="1"/>
  <c r="K427" i="3"/>
  <c r="AY417" i="1" s="1"/>
  <c r="O426" i="3"/>
  <c r="BC416" i="1" s="1"/>
  <c r="N426" i="3"/>
  <c r="BB416" i="1" s="1"/>
  <c r="M426" i="3"/>
  <c r="BA416" i="1" s="1"/>
  <c r="L426" i="3"/>
  <c r="AZ416" i="1" s="1"/>
  <c r="K426" i="3"/>
  <c r="AY416" i="1" s="1"/>
  <c r="O425" i="3"/>
  <c r="BC415" i="1" s="1"/>
  <c r="N425" i="3"/>
  <c r="BB415" i="1" s="1"/>
  <c r="M425" i="3"/>
  <c r="BA415" i="1" s="1"/>
  <c r="L425" i="3"/>
  <c r="AZ415" i="1" s="1"/>
  <c r="K425" i="3"/>
  <c r="AY415" i="1" s="1"/>
  <c r="O424" i="3"/>
  <c r="BC414" i="1" s="1"/>
  <c r="N424" i="3"/>
  <c r="BB414" i="1" s="1"/>
  <c r="M424" i="3"/>
  <c r="BA414" i="1" s="1"/>
  <c r="L424" i="3"/>
  <c r="AZ414" i="1" s="1"/>
  <c r="K424" i="3"/>
  <c r="AY414" i="1" s="1"/>
  <c r="O423" i="3"/>
  <c r="BC413" i="1" s="1"/>
  <c r="N423" i="3"/>
  <c r="BB413" i="1" s="1"/>
  <c r="M423" i="3"/>
  <c r="BA413" i="1" s="1"/>
  <c r="L423" i="3"/>
  <c r="AZ413" i="1" s="1"/>
  <c r="K423" i="3"/>
  <c r="AY413" i="1" s="1"/>
  <c r="O422" i="3"/>
  <c r="BC412" i="1" s="1"/>
  <c r="N422" i="3"/>
  <c r="BB412" i="1" s="1"/>
  <c r="M422" i="3"/>
  <c r="BA412" i="1" s="1"/>
  <c r="L422" i="3"/>
  <c r="AZ412" i="1" s="1"/>
  <c r="K422" i="3"/>
  <c r="AY412" i="1" s="1"/>
  <c r="O421" i="3"/>
  <c r="BC411" i="1" s="1"/>
  <c r="N421" i="3"/>
  <c r="BB411" i="1" s="1"/>
  <c r="M421" i="3"/>
  <c r="BA411" i="1" s="1"/>
  <c r="L421" i="3"/>
  <c r="AZ411" i="1" s="1"/>
  <c r="K421" i="3"/>
  <c r="AY411" i="1" s="1"/>
  <c r="O420" i="3"/>
  <c r="BC410" i="1" s="1"/>
  <c r="N420" i="3"/>
  <c r="BB410" i="1" s="1"/>
  <c r="M420" i="3"/>
  <c r="BA410" i="1" s="1"/>
  <c r="L420" i="3"/>
  <c r="AZ410" i="1" s="1"/>
  <c r="K420" i="3"/>
  <c r="AY410" i="1" s="1"/>
  <c r="O419" i="3"/>
  <c r="BC409" i="1" s="1"/>
  <c r="N419" i="3"/>
  <c r="BB409" i="1" s="1"/>
  <c r="M419" i="3"/>
  <c r="BA409" i="1" s="1"/>
  <c r="L419" i="3"/>
  <c r="AZ409" i="1" s="1"/>
  <c r="K419" i="3"/>
  <c r="AY409" i="1" s="1"/>
  <c r="O418" i="3"/>
  <c r="BC408" i="1" s="1"/>
  <c r="N418" i="3"/>
  <c r="BB408" i="1" s="1"/>
  <c r="M418" i="3"/>
  <c r="BA408" i="1" s="1"/>
  <c r="L418" i="3"/>
  <c r="AZ408" i="1" s="1"/>
  <c r="K418" i="3"/>
  <c r="AY408" i="1" s="1"/>
  <c r="O417" i="3"/>
  <c r="BC407" i="1" s="1"/>
  <c r="N417" i="3"/>
  <c r="BB407" i="1" s="1"/>
  <c r="M417" i="3"/>
  <c r="BA407" i="1" s="1"/>
  <c r="L417" i="3"/>
  <c r="AZ407" i="1" s="1"/>
  <c r="K417" i="3"/>
  <c r="AY407" i="1" s="1"/>
  <c r="O416" i="3"/>
  <c r="BC406" i="1" s="1"/>
  <c r="N416" i="3"/>
  <c r="BB406" i="1" s="1"/>
  <c r="M416" i="3"/>
  <c r="BA406" i="1" s="1"/>
  <c r="L416" i="3"/>
  <c r="AZ406" i="1" s="1"/>
  <c r="K416" i="3"/>
  <c r="AY406" i="1" s="1"/>
  <c r="O415" i="3"/>
  <c r="BC405" i="1" s="1"/>
  <c r="N415" i="3"/>
  <c r="BB405" i="1" s="1"/>
  <c r="M415" i="3"/>
  <c r="BA405" i="1" s="1"/>
  <c r="L415" i="3"/>
  <c r="AZ405" i="1" s="1"/>
  <c r="K415" i="3"/>
  <c r="AY405" i="1" s="1"/>
  <c r="O414" i="3"/>
  <c r="BC404" i="1" s="1"/>
  <c r="N414" i="3"/>
  <c r="BB404" i="1" s="1"/>
  <c r="M414" i="3"/>
  <c r="BA404" i="1" s="1"/>
  <c r="L414" i="3"/>
  <c r="AZ404" i="1" s="1"/>
  <c r="K414" i="3"/>
  <c r="AY404" i="1" s="1"/>
  <c r="O413" i="3"/>
  <c r="BC403" i="1" s="1"/>
  <c r="N413" i="3"/>
  <c r="BB403" i="1" s="1"/>
  <c r="M413" i="3"/>
  <c r="BA403" i="1" s="1"/>
  <c r="L413" i="3"/>
  <c r="AZ403" i="1" s="1"/>
  <c r="K413" i="3"/>
  <c r="AY403" i="1" s="1"/>
  <c r="O412" i="3"/>
  <c r="BC402" i="1" s="1"/>
  <c r="N412" i="3"/>
  <c r="BB402" i="1" s="1"/>
  <c r="M412" i="3"/>
  <c r="BA402" i="1" s="1"/>
  <c r="L412" i="3"/>
  <c r="AZ402" i="1" s="1"/>
  <c r="K412" i="3"/>
  <c r="AY402" i="1" s="1"/>
  <c r="O411" i="3"/>
  <c r="BC401" i="1" s="1"/>
  <c r="N411" i="3"/>
  <c r="BB401" i="1" s="1"/>
  <c r="M411" i="3"/>
  <c r="BA401" i="1" s="1"/>
  <c r="L411" i="3"/>
  <c r="AZ401" i="1" s="1"/>
  <c r="K411" i="3"/>
  <c r="AY401" i="1" s="1"/>
  <c r="O410" i="3"/>
  <c r="BC400" i="1" s="1"/>
  <c r="N410" i="3"/>
  <c r="BB400" i="1" s="1"/>
  <c r="M410" i="3"/>
  <c r="BA400" i="1" s="1"/>
  <c r="L410" i="3"/>
  <c r="AZ400" i="1" s="1"/>
  <c r="K410" i="3"/>
  <c r="AY400" i="1" s="1"/>
  <c r="O409" i="3"/>
  <c r="BC399" i="1" s="1"/>
  <c r="N409" i="3"/>
  <c r="BB399" i="1" s="1"/>
  <c r="M409" i="3"/>
  <c r="BA399" i="1" s="1"/>
  <c r="L409" i="3"/>
  <c r="AZ399" i="1" s="1"/>
  <c r="K409" i="3"/>
  <c r="AY399" i="1" s="1"/>
  <c r="O408" i="3"/>
  <c r="BC398" i="1" s="1"/>
  <c r="N408" i="3"/>
  <c r="BB398" i="1" s="1"/>
  <c r="M408" i="3"/>
  <c r="BA398" i="1" s="1"/>
  <c r="L408" i="3"/>
  <c r="AZ398" i="1" s="1"/>
  <c r="K408" i="3"/>
  <c r="AY398" i="1" s="1"/>
  <c r="O407" i="3"/>
  <c r="BC397" i="1" s="1"/>
  <c r="N407" i="3"/>
  <c r="BB397" i="1" s="1"/>
  <c r="M407" i="3"/>
  <c r="BA397" i="1" s="1"/>
  <c r="L407" i="3"/>
  <c r="AZ397" i="1" s="1"/>
  <c r="K407" i="3"/>
  <c r="AY397" i="1" s="1"/>
  <c r="N406" i="3"/>
  <c r="BB396" i="1" s="1"/>
  <c r="O406" i="3"/>
  <c r="BC396" i="1" s="1"/>
  <c r="M406" i="3"/>
  <c r="BA396" i="1" s="1"/>
  <c r="L406" i="3"/>
  <c r="AZ396" i="1" s="1"/>
  <c r="K406" i="3"/>
  <c r="AY396" i="1" s="1"/>
  <c r="O405" i="3"/>
  <c r="BC395" i="1" s="1"/>
  <c r="N405" i="3"/>
  <c r="BB395" i="1" s="1"/>
  <c r="M405" i="3"/>
  <c r="BA395" i="1" s="1"/>
  <c r="L405" i="3"/>
  <c r="AZ395" i="1" s="1"/>
  <c r="K405" i="3"/>
  <c r="AY395" i="1" s="1"/>
  <c r="O404" i="3"/>
  <c r="BC394" i="1" s="1"/>
  <c r="N404" i="3"/>
  <c r="BB394" i="1" s="1"/>
  <c r="M404" i="3"/>
  <c r="BA394" i="1" s="1"/>
  <c r="L404" i="3"/>
  <c r="AZ394" i="1" s="1"/>
  <c r="K404" i="3"/>
  <c r="AY394" i="1" s="1"/>
  <c r="O403" i="3"/>
  <c r="BC393" i="1" s="1"/>
  <c r="N403" i="3"/>
  <c r="BB393" i="1" s="1"/>
  <c r="M403" i="3"/>
  <c r="BA393" i="1" s="1"/>
  <c r="L403" i="3"/>
  <c r="AZ393" i="1" s="1"/>
  <c r="K403" i="3"/>
  <c r="AY393" i="1" s="1"/>
  <c r="O402" i="3"/>
  <c r="BC392" i="1" s="1"/>
  <c r="N402" i="3"/>
  <c r="BB392" i="1" s="1"/>
  <c r="M402" i="3"/>
  <c r="BA392" i="1" s="1"/>
  <c r="L402" i="3"/>
  <c r="AZ392" i="1" s="1"/>
  <c r="K402" i="3"/>
  <c r="AY392" i="1" s="1"/>
  <c r="O401" i="3"/>
  <c r="BC391" i="1" s="1"/>
  <c r="N401" i="3"/>
  <c r="BB391" i="1" s="1"/>
  <c r="M401" i="3"/>
  <c r="BA391" i="1" s="1"/>
  <c r="L401" i="3"/>
  <c r="AZ391" i="1" s="1"/>
  <c r="K401" i="3"/>
  <c r="AY391" i="1" s="1"/>
  <c r="O400" i="3"/>
  <c r="BC390" i="1" s="1"/>
  <c r="N400" i="3"/>
  <c r="BB390" i="1" s="1"/>
  <c r="M400" i="3"/>
  <c r="BA390" i="1" s="1"/>
  <c r="L400" i="3"/>
  <c r="AZ390" i="1" s="1"/>
  <c r="K400" i="3"/>
  <c r="AY390" i="1" s="1"/>
  <c r="O399" i="3"/>
  <c r="BC389" i="1" s="1"/>
  <c r="N399" i="3"/>
  <c r="BB389" i="1" s="1"/>
  <c r="M399" i="3"/>
  <c r="BA389" i="1" s="1"/>
  <c r="L399" i="3"/>
  <c r="AZ389" i="1" s="1"/>
  <c r="K399" i="3"/>
  <c r="AY389" i="1" s="1"/>
  <c r="O398" i="3"/>
  <c r="BC388" i="1" s="1"/>
  <c r="N398" i="3"/>
  <c r="BB388" i="1" s="1"/>
  <c r="M398" i="3"/>
  <c r="BA388" i="1" s="1"/>
  <c r="L398" i="3"/>
  <c r="AZ388" i="1" s="1"/>
  <c r="K398" i="3"/>
  <c r="AY388" i="1" s="1"/>
  <c r="O397" i="3"/>
  <c r="BC387" i="1" s="1"/>
  <c r="N397" i="3"/>
  <c r="BB387" i="1" s="1"/>
  <c r="M397" i="3"/>
  <c r="BA387" i="1" s="1"/>
  <c r="L397" i="3"/>
  <c r="AZ387" i="1" s="1"/>
  <c r="K397" i="3"/>
  <c r="AY387" i="1" s="1"/>
  <c r="O396" i="3"/>
  <c r="BC386" i="1" s="1"/>
  <c r="N396" i="3"/>
  <c r="BB386" i="1" s="1"/>
  <c r="M396" i="3"/>
  <c r="BA386" i="1" s="1"/>
  <c r="L396" i="3"/>
  <c r="AZ386" i="1" s="1"/>
  <c r="K396" i="3"/>
  <c r="AY386" i="1" s="1"/>
  <c r="O395" i="3"/>
  <c r="BC385" i="1" s="1"/>
  <c r="N395" i="3"/>
  <c r="BB385" i="1" s="1"/>
  <c r="M395" i="3"/>
  <c r="BA385" i="1" s="1"/>
  <c r="L395" i="3"/>
  <c r="AZ385" i="1" s="1"/>
  <c r="K395" i="3"/>
  <c r="AY385" i="1" s="1"/>
  <c r="K394" i="3"/>
  <c r="AY384" i="1" s="1"/>
  <c r="N394" i="3"/>
  <c r="BB384" i="1" s="1"/>
  <c r="M394" i="3"/>
  <c r="BA384" i="1" s="1"/>
  <c r="L394" i="3"/>
  <c r="AZ384" i="1" s="1"/>
  <c r="O394" i="3"/>
  <c r="BC384" i="1" s="1"/>
  <c r="O393" i="3"/>
  <c r="BC383" i="1" s="1"/>
  <c r="N393" i="3"/>
  <c r="BB383" i="1" s="1"/>
  <c r="M393" i="3"/>
  <c r="BA383" i="1" s="1"/>
  <c r="L393" i="3"/>
  <c r="AZ383" i="1" s="1"/>
  <c r="K393" i="3"/>
  <c r="AY383" i="1" s="1"/>
  <c r="O392" i="3"/>
  <c r="BC382" i="1" s="1"/>
  <c r="N392" i="3"/>
  <c r="BB382" i="1" s="1"/>
  <c r="M392" i="3"/>
  <c r="BA382" i="1" s="1"/>
  <c r="L392" i="3"/>
  <c r="AZ382" i="1" s="1"/>
  <c r="K392" i="3"/>
  <c r="AY382" i="1" s="1"/>
  <c r="O391" i="3"/>
  <c r="BC381" i="1" s="1"/>
  <c r="N391" i="3"/>
  <c r="BB381" i="1" s="1"/>
  <c r="M391" i="3"/>
  <c r="BA381" i="1" s="1"/>
  <c r="L391" i="3"/>
  <c r="AZ381" i="1" s="1"/>
  <c r="K391" i="3"/>
  <c r="AY381" i="1" s="1"/>
  <c r="O390" i="3"/>
  <c r="BC380" i="1" s="1"/>
  <c r="N390" i="3"/>
  <c r="BB380" i="1" s="1"/>
  <c r="M390" i="3"/>
  <c r="BA380" i="1" s="1"/>
  <c r="L390" i="3"/>
  <c r="AZ380" i="1" s="1"/>
  <c r="K390" i="3"/>
  <c r="AY380" i="1" s="1"/>
  <c r="O389" i="3"/>
  <c r="BC379" i="1" s="1"/>
  <c r="N389" i="3"/>
  <c r="BB379" i="1" s="1"/>
  <c r="M389" i="3"/>
  <c r="BA379" i="1" s="1"/>
  <c r="L389" i="3"/>
  <c r="AZ379" i="1" s="1"/>
  <c r="K389" i="3"/>
  <c r="AY379" i="1" s="1"/>
  <c r="K388" i="3"/>
  <c r="AY378" i="1" s="1"/>
  <c r="N388" i="3"/>
  <c r="BB378" i="1" s="1"/>
  <c r="M388" i="3"/>
  <c r="BA378" i="1" s="1"/>
  <c r="L388" i="3"/>
  <c r="AZ378" i="1" s="1"/>
  <c r="O388" i="3"/>
  <c r="BC378" i="1" s="1"/>
  <c r="O387" i="3"/>
  <c r="BC377" i="1" s="1"/>
  <c r="N387" i="3"/>
  <c r="BB377" i="1" s="1"/>
  <c r="M387" i="3"/>
  <c r="BA377" i="1" s="1"/>
  <c r="L387" i="3"/>
  <c r="AZ377" i="1" s="1"/>
  <c r="K387" i="3"/>
  <c r="AY377" i="1" s="1"/>
  <c r="O386" i="3"/>
  <c r="BC376" i="1" s="1"/>
  <c r="N386" i="3"/>
  <c r="BB376" i="1" s="1"/>
  <c r="M386" i="3"/>
  <c r="BA376" i="1" s="1"/>
  <c r="L386" i="3"/>
  <c r="AZ376" i="1" s="1"/>
  <c r="K386" i="3"/>
  <c r="AY376" i="1" s="1"/>
  <c r="K385" i="3"/>
  <c r="AY375" i="1" s="1"/>
  <c r="N385" i="3"/>
  <c r="BB375" i="1" s="1"/>
  <c r="M385" i="3"/>
  <c r="BA375" i="1" s="1"/>
  <c r="L385" i="3"/>
  <c r="AZ375" i="1" s="1"/>
  <c r="O385" i="3"/>
  <c r="BC375" i="1" s="1"/>
  <c r="O384" i="3"/>
  <c r="BC374" i="1" s="1"/>
  <c r="N384" i="3"/>
  <c r="BB374" i="1" s="1"/>
  <c r="M384" i="3"/>
  <c r="BA374" i="1" s="1"/>
  <c r="L384" i="3"/>
  <c r="AZ374" i="1" s="1"/>
  <c r="K384" i="3"/>
  <c r="AY374" i="1" s="1"/>
  <c r="O383" i="3"/>
  <c r="BC373" i="1" s="1"/>
  <c r="N383" i="3"/>
  <c r="BB373" i="1" s="1"/>
  <c r="M383" i="3"/>
  <c r="BA373" i="1" s="1"/>
  <c r="L383" i="3"/>
  <c r="AZ373" i="1" s="1"/>
  <c r="K383" i="3"/>
  <c r="AY373" i="1" s="1"/>
  <c r="O382" i="3"/>
  <c r="BC372" i="1" s="1"/>
  <c r="N382" i="3"/>
  <c r="BB372" i="1" s="1"/>
  <c r="M382" i="3"/>
  <c r="BA372" i="1" s="1"/>
  <c r="L382" i="3"/>
  <c r="AZ372" i="1" s="1"/>
  <c r="K382" i="3"/>
  <c r="AY372" i="1" s="1"/>
  <c r="K381" i="3"/>
  <c r="AY371" i="1" s="1"/>
  <c r="N381" i="3"/>
  <c r="BB371" i="1" s="1"/>
  <c r="M381" i="3"/>
  <c r="BA371" i="1" s="1"/>
  <c r="L381" i="3"/>
  <c r="AZ371" i="1" s="1"/>
  <c r="O381" i="3"/>
  <c r="BC371" i="1" s="1"/>
  <c r="O380" i="3"/>
  <c r="BC370" i="1" s="1"/>
  <c r="N380" i="3"/>
  <c r="BB370" i="1" s="1"/>
  <c r="M380" i="3"/>
  <c r="BA370" i="1" s="1"/>
  <c r="L380" i="3"/>
  <c r="AZ370" i="1" s="1"/>
  <c r="K380" i="3"/>
  <c r="AY370" i="1" s="1"/>
  <c r="O379" i="3"/>
  <c r="BC369" i="1" s="1"/>
  <c r="N379" i="3"/>
  <c r="BB369" i="1" s="1"/>
  <c r="M379" i="3"/>
  <c r="BA369" i="1" s="1"/>
  <c r="L379" i="3"/>
  <c r="AZ369" i="1" s="1"/>
  <c r="K379" i="3"/>
  <c r="AY369" i="1" s="1"/>
  <c r="O378" i="3"/>
  <c r="BC368" i="1" s="1"/>
  <c r="N378" i="3"/>
  <c r="BB368" i="1" s="1"/>
  <c r="M378" i="3"/>
  <c r="BA368" i="1" s="1"/>
  <c r="L378" i="3"/>
  <c r="AZ368" i="1" s="1"/>
  <c r="K378" i="3"/>
  <c r="AY368" i="1" s="1"/>
  <c r="O377" i="3"/>
  <c r="BC367" i="1" s="1"/>
  <c r="N377" i="3"/>
  <c r="BB367" i="1" s="1"/>
  <c r="M377" i="3"/>
  <c r="BA367" i="1" s="1"/>
  <c r="L377" i="3"/>
  <c r="AZ367" i="1" s="1"/>
  <c r="K377" i="3"/>
  <c r="AY367" i="1" s="1"/>
  <c r="O376" i="3"/>
  <c r="BC366" i="1" s="1"/>
  <c r="N376" i="3"/>
  <c r="BB366" i="1" s="1"/>
  <c r="M376" i="3"/>
  <c r="BA366" i="1" s="1"/>
  <c r="L376" i="3"/>
  <c r="AZ366" i="1" s="1"/>
  <c r="K376" i="3"/>
  <c r="AY366" i="1" s="1"/>
  <c r="O375" i="3"/>
  <c r="BC365" i="1" s="1"/>
  <c r="N375" i="3"/>
  <c r="BB365" i="1" s="1"/>
  <c r="M375" i="3"/>
  <c r="BA365" i="1" s="1"/>
  <c r="L375" i="3"/>
  <c r="AZ365" i="1" s="1"/>
  <c r="K375" i="3"/>
  <c r="AY365" i="1" s="1"/>
  <c r="O374" i="3"/>
  <c r="BC364" i="1" s="1"/>
  <c r="N374" i="3"/>
  <c r="BB364" i="1" s="1"/>
  <c r="M374" i="3"/>
  <c r="BA364" i="1" s="1"/>
  <c r="L374" i="3"/>
  <c r="AZ364" i="1" s="1"/>
  <c r="K374" i="3"/>
  <c r="AY364" i="1" s="1"/>
  <c r="O373" i="3"/>
  <c r="BC363" i="1" s="1"/>
  <c r="N373" i="3"/>
  <c r="BB363" i="1" s="1"/>
  <c r="M373" i="3"/>
  <c r="BA363" i="1" s="1"/>
  <c r="L373" i="3"/>
  <c r="AZ363" i="1" s="1"/>
  <c r="K373" i="3"/>
  <c r="AY363" i="1" s="1"/>
  <c r="O372" i="3"/>
  <c r="BC362" i="1" s="1"/>
  <c r="N372" i="3"/>
  <c r="BB362" i="1" s="1"/>
  <c r="M372" i="3"/>
  <c r="BA362" i="1" s="1"/>
  <c r="L372" i="3"/>
  <c r="AZ362" i="1" s="1"/>
  <c r="K372" i="3"/>
  <c r="AY362" i="1" s="1"/>
  <c r="O371" i="3"/>
  <c r="BC361" i="1" s="1"/>
  <c r="N371" i="3"/>
  <c r="BB361" i="1" s="1"/>
  <c r="M371" i="3"/>
  <c r="BA361" i="1" s="1"/>
  <c r="L371" i="3"/>
  <c r="AZ361" i="1" s="1"/>
  <c r="K371" i="3"/>
  <c r="AY361" i="1" s="1"/>
  <c r="O370" i="3"/>
  <c r="BC360" i="1" s="1"/>
  <c r="N370" i="3"/>
  <c r="BB360" i="1" s="1"/>
  <c r="M370" i="3"/>
  <c r="BA360" i="1" s="1"/>
  <c r="L370" i="3"/>
  <c r="AZ360" i="1" s="1"/>
  <c r="K370" i="3"/>
  <c r="AY360" i="1" s="1"/>
  <c r="O369" i="3"/>
  <c r="BC359" i="1" s="1"/>
  <c r="N369" i="3"/>
  <c r="BB359" i="1" s="1"/>
  <c r="M369" i="3"/>
  <c r="BA359" i="1" s="1"/>
  <c r="L369" i="3"/>
  <c r="AZ359" i="1" s="1"/>
  <c r="K369" i="3"/>
  <c r="AY359" i="1" s="1"/>
  <c r="O368" i="3"/>
  <c r="BC358" i="1" s="1"/>
  <c r="N368" i="3"/>
  <c r="BB358" i="1" s="1"/>
  <c r="M368" i="3"/>
  <c r="BA358" i="1" s="1"/>
  <c r="L368" i="3"/>
  <c r="AZ358" i="1" s="1"/>
  <c r="K368" i="3"/>
  <c r="AY358" i="1" s="1"/>
  <c r="O367" i="3"/>
  <c r="BC357" i="1" s="1"/>
  <c r="N367" i="3"/>
  <c r="BB357" i="1" s="1"/>
  <c r="M367" i="3"/>
  <c r="BA357" i="1" s="1"/>
  <c r="L367" i="3"/>
  <c r="AZ357" i="1" s="1"/>
  <c r="K367" i="3"/>
  <c r="AY357" i="1" s="1"/>
  <c r="O366" i="3"/>
  <c r="BC356" i="1" s="1"/>
  <c r="N366" i="3"/>
  <c r="BB356" i="1" s="1"/>
  <c r="M366" i="3"/>
  <c r="BA356" i="1" s="1"/>
  <c r="L366" i="3"/>
  <c r="AZ356" i="1" s="1"/>
  <c r="K366" i="3"/>
  <c r="AY356" i="1" s="1"/>
  <c r="O365" i="3"/>
  <c r="BC355" i="1" s="1"/>
  <c r="N365" i="3"/>
  <c r="BB355" i="1" s="1"/>
  <c r="M365" i="3"/>
  <c r="BA355" i="1" s="1"/>
  <c r="L365" i="3"/>
  <c r="AZ355" i="1" s="1"/>
  <c r="K365" i="3"/>
  <c r="AY355" i="1" s="1"/>
  <c r="O364" i="3"/>
  <c r="BC354" i="1" s="1"/>
  <c r="N364" i="3"/>
  <c r="BB354" i="1" s="1"/>
  <c r="M364" i="3"/>
  <c r="BA354" i="1" s="1"/>
  <c r="L364" i="3"/>
  <c r="AZ354" i="1" s="1"/>
  <c r="K364" i="3"/>
  <c r="AY354" i="1" s="1"/>
  <c r="O363" i="3"/>
  <c r="BC353" i="1" s="1"/>
  <c r="N363" i="3"/>
  <c r="BB353" i="1" s="1"/>
  <c r="M363" i="3"/>
  <c r="BA353" i="1" s="1"/>
  <c r="L363" i="3"/>
  <c r="AZ353" i="1" s="1"/>
  <c r="K363" i="3"/>
  <c r="AY353" i="1" s="1"/>
  <c r="O362" i="3"/>
  <c r="BC352" i="1" s="1"/>
  <c r="N362" i="3"/>
  <c r="BB352" i="1" s="1"/>
  <c r="M362" i="3"/>
  <c r="BA352" i="1" s="1"/>
  <c r="L362" i="3"/>
  <c r="AZ352" i="1" s="1"/>
  <c r="K362" i="3"/>
  <c r="AY352" i="1" s="1"/>
  <c r="O361" i="3"/>
  <c r="BC351" i="1" s="1"/>
  <c r="N361" i="3"/>
  <c r="BB351" i="1" s="1"/>
  <c r="M361" i="3"/>
  <c r="BA351" i="1" s="1"/>
  <c r="L361" i="3"/>
  <c r="AZ351" i="1" s="1"/>
  <c r="K361" i="3"/>
  <c r="AY351" i="1" s="1"/>
  <c r="O360" i="3"/>
  <c r="BC350" i="1" s="1"/>
  <c r="N360" i="3"/>
  <c r="BB350" i="1" s="1"/>
  <c r="M360" i="3"/>
  <c r="BA350" i="1" s="1"/>
  <c r="L360" i="3"/>
  <c r="AZ350" i="1" s="1"/>
  <c r="K360" i="3"/>
  <c r="AY350" i="1" s="1"/>
  <c r="O359" i="3"/>
  <c r="BC349" i="1" s="1"/>
  <c r="N359" i="3"/>
  <c r="BB349" i="1" s="1"/>
  <c r="M359" i="3"/>
  <c r="BA349" i="1" s="1"/>
  <c r="L359" i="3"/>
  <c r="AZ349" i="1" s="1"/>
  <c r="K359" i="3"/>
  <c r="AY349" i="1" s="1"/>
  <c r="O358" i="3"/>
  <c r="BC348" i="1" s="1"/>
  <c r="N358" i="3"/>
  <c r="BB348" i="1" s="1"/>
  <c r="M358" i="3"/>
  <c r="BA348" i="1" s="1"/>
  <c r="L358" i="3"/>
  <c r="AZ348" i="1" s="1"/>
  <c r="K358" i="3"/>
  <c r="AY348" i="1" s="1"/>
  <c r="O357" i="3"/>
  <c r="BC347" i="1" s="1"/>
  <c r="N357" i="3"/>
  <c r="BB347" i="1" s="1"/>
  <c r="M357" i="3"/>
  <c r="BA347" i="1" s="1"/>
  <c r="L357" i="3"/>
  <c r="AZ347" i="1" s="1"/>
  <c r="K357" i="3"/>
  <c r="AY347" i="1" s="1"/>
  <c r="O356" i="3"/>
  <c r="BC346" i="1" s="1"/>
  <c r="N356" i="3"/>
  <c r="BB346" i="1" s="1"/>
  <c r="M356" i="3"/>
  <c r="BA346" i="1" s="1"/>
  <c r="L356" i="3"/>
  <c r="AZ346" i="1" s="1"/>
  <c r="K356" i="3"/>
  <c r="AY346" i="1" s="1"/>
  <c r="L355" i="3"/>
  <c r="AZ345" i="1" s="1"/>
  <c r="N355" i="3"/>
  <c r="BB345" i="1" s="1"/>
  <c r="M355" i="3"/>
  <c r="BA345" i="1" s="1"/>
  <c r="O355" i="3"/>
  <c r="BC345" i="1" s="1"/>
  <c r="K355" i="3"/>
  <c r="AY345" i="1" s="1"/>
  <c r="O354" i="3"/>
  <c r="BC344" i="1" s="1"/>
  <c r="N354" i="3"/>
  <c r="BB344" i="1" s="1"/>
  <c r="M354" i="3"/>
  <c r="BA344" i="1" s="1"/>
  <c r="L354" i="3"/>
  <c r="AZ344" i="1" s="1"/>
  <c r="K354" i="3"/>
  <c r="AY344" i="1" s="1"/>
  <c r="O353" i="3"/>
  <c r="BC343" i="1" s="1"/>
  <c r="N353" i="3"/>
  <c r="BB343" i="1" s="1"/>
  <c r="M353" i="3"/>
  <c r="BA343" i="1" s="1"/>
  <c r="L353" i="3"/>
  <c r="AZ343" i="1" s="1"/>
  <c r="K353" i="3"/>
  <c r="AY343" i="1" s="1"/>
  <c r="O352" i="3"/>
  <c r="BC342" i="1" s="1"/>
  <c r="N352" i="3"/>
  <c r="BB342" i="1" s="1"/>
  <c r="M352" i="3"/>
  <c r="BA342" i="1" s="1"/>
  <c r="L352" i="3"/>
  <c r="AZ342" i="1" s="1"/>
  <c r="K352" i="3"/>
  <c r="AY342" i="1" s="1"/>
  <c r="O351" i="3"/>
  <c r="BC341" i="1" s="1"/>
  <c r="N351" i="3"/>
  <c r="BB341" i="1" s="1"/>
  <c r="M351" i="3"/>
  <c r="BA341" i="1" s="1"/>
  <c r="L351" i="3"/>
  <c r="AZ341" i="1" s="1"/>
  <c r="K351" i="3"/>
  <c r="AY341" i="1" s="1"/>
  <c r="O350" i="3"/>
  <c r="BC340" i="1" s="1"/>
  <c r="N350" i="3"/>
  <c r="BB340" i="1" s="1"/>
  <c r="M350" i="3"/>
  <c r="BA340" i="1" s="1"/>
  <c r="L350" i="3"/>
  <c r="AZ340" i="1" s="1"/>
  <c r="K350" i="3"/>
  <c r="AY340" i="1" s="1"/>
  <c r="L349" i="3"/>
  <c r="AZ339" i="1" s="1"/>
  <c r="N349" i="3"/>
  <c r="BB339" i="1" s="1"/>
  <c r="M349" i="3"/>
  <c r="BA339" i="1" s="1"/>
  <c r="O349" i="3"/>
  <c r="BC339" i="1" s="1"/>
  <c r="K349" i="3"/>
  <c r="AY339" i="1" s="1"/>
  <c r="O348" i="3"/>
  <c r="BC338" i="1" s="1"/>
  <c r="N348" i="3"/>
  <c r="BB338" i="1" s="1"/>
  <c r="M348" i="3"/>
  <c r="BA338" i="1" s="1"/>
  <c r="L348" i="3"/>
  <c r="AZ338" i="1" s="1"/>
  <c r="K348" i="3"/>
  <c r="AY338" i="1" s="1"/>
  <c r="O347" i="3"/>
  <c r="BC337" i="1" s="1"/>
  <c r="N347" i="3"/>
  <c r="BB337" i="1" s="1"/>
  <c r="M347" i="3"/>
  <c r="BA337" i="1" s="1"/>
  <c r="L347" i="3"/>
  <c r="AZ337" i="1" s="1"/>
  <c r="K347" i="3"/>
  <c r="AY337" i="1" s="1"/>
  <c r="L346" i="3"/>
  <c r="AZ336" i="1" s="1"/>
  <c r="N346" i="3"/>
  <c r="BB336" i="1" s="1"/>
  <c r="M346" i="3"/>
  <c r="BA336" i="1" s="1"/>
  <c r="O346" i="3"/>
  <c r="BC336" i="1" s="1"/>
  <c r="K346" i="3"/>
  <c r="AY336" i="1" s="1"/>
  <c r="O345" i="3"/>
  <c r="BC335" i="1" s="1"/>
  <c r="N345" i="3"/>
  <c r="BB335" i="1" s="1"/>
  <c r="M345" i="3"/>
  <c r="BA335" i="1" s="1"/>
  <c r="L345" i="3"/>
  <c r="AZ335" i="1" s="1"/>
  <c r="K345" i="3"/>
  <c r="AY335" i="1" s="1"/>
  <c r="O344" i="3"/>
  <c r="BC334" i="1" s="1"/>
  <c r="N344" i="3"/>
  <c r="BB334" i="1" s="1"/>
  <c r="M344" i="3"/>
  <c r="BA334" i="1" s="1"/>
  <c r="L344" i="3"/>
  <c r="AZ334" i="1" s="1"/>
  <c r="K344" i="3"/>
  <c r="AY334" i="1" s="1"/>
  <c r="O343" i="3"/>
  <c r="BC333" i="1" s="1"/>
  <c r="N343" i="3"/>
  <c r="BB333" i="1" s="1"/>
  <c r="M343" i="3"/>
  <c r="BA333" i="1" s="1"/>
  <c r="L343" i="3"/>
  <c r="AZ333" i="1" s="1"/>
  <c r="K343" i="3"/>
  <c r="AY333" i="1" s="1"/>
  <c r="O342" i="3"/>
  <c r="BC332" i="1" s="1"/>
  <c r="N342" i="3"/>
  <c r="BB332" i="1" s="1"/>
  <c r="M342" i="3"/>
  <c r="BA332" i="1" s="1"/>
  <c r="L342" i="3"/>
  <c r="AZ332" i="1" s="1"/>
  <c r="K342" i="3"/>
  <c r="AY332" i="1" s="1"/>
  <c r="O341" i="3"/>
  <c r="BC331" i="1" s="1"/>
  <c r="N341" i="3"/>
  <c r="BB331" i="1" s="1"/>
  <c r="M341" i="3"/>
  <c r="BA331" i="1" s="1"/>
  <c r="L341" i="3"/>
  <c r="AZ331" i="1" s="1"/>
  <c r="K341" i="3"/>
  <c r="AY331" i="1" s="1"/>
  <c r="O340" i="3"/>
  <c r="BC330" i="1" s="1"/>
  <c r="N340" i="3"/>
  <c r="BB330" i="1" s="1"/>
  <c r="M340" i="3"/>
  <c r="BA330" i="1" s="1"/>
  <c r="L340" i="3"/>
  <c r="AZ330" i="1" s="1"/>
  <c r="K340" i="3"/>
  <c r="AY330" i="1" s="1"/>
  <c r="O339" i="3"/>
  <c r="BC329" i="1" s="1"/>
  <c r="N339" i="3"/>
  <c r="BB329" i="1" s="1"/>
  <c r="M339" i="3"/>
  <c r="BA329" i="1" s="1"/>
  <c r="L339" i="3"/>
  <c r="AZ329" i="1" s="1"/>
  <c r="K339" i="3"/>
  <c r="AY329" i="1" s="1"/>
  <c r="O338" i="3"/>
  <c r="BC328" i="1" s="1"/>
  <c r="N338" i="3"/>
  <c r="BB328" i="1" s="1"/>
  <c r="M338" i="3"/>
  <c r="BA328" i="1" s="1"/>
  <c r="L338" i="3"/>
  <c r="AZ328" i="1" s="1"/>
  <c r="K338" i="3"/>
  <c r="AY328" i="1" s="1"/>
  <c r="O337" i="3"/>
  <c r="BC327" i="1" s="1"/>
  <c r="N337" i="3"/>
  <c r="BB327" i="1" s="1"/>
  <c r="M337" i="3"/>
  <c r="BA327" i="1" s="1"/>
  <c r="L337" i="3"/>
  <c r="AZ327" i="1" s="1"/>
  <c r="K337" i="3"/>
  <c r="AY327" i="1" s="1"/>
  <c r="M336" i="3"/>
  <c r="BA326" i="1" s="1"/>
  <c r="N336" i="3"/>
  <c r="BB326" i="1" s="1"/>
  <c r="O336" i="3"/>
  <c r="BC326" i="1" s="1"/>
  <c r="L336" i="3"/>
  <c r="AZ326" i="1" s="1"/>
  <c r="K336" i="3"/>
  <c r="AY326" i="1" s="1"/>
  <c r="O335" i="3"/>
  <c r="BC325" i="1" s="1"/>
  <c r="N335" i="3"/>
  <c r="BB325" i="1" s="1"/>
  <c r="M335" i="3"/>
  <c r="BA325" i="1" s="1"/>
  <c r="L335" i="3"/>
  <c r="AZ325" i="1" s="1"/>
  <c r="K335" i="3"/>
  <c r="AY325" i="1" s="1"/>
  <c r="O334" i="3"/>
  <c r="BC324" i="1" s="1"/>
  <c r="N334" i="3"/>
  <c r="BB324" i="1" s="1"/>
  <c r="M334" i="3"/>
  <c r="BA324" i="1" s="1"/>
  <c r="L334" i="3"/>
  <c r="AZ324" i="1" s="1"/>
  <c r="K334" i="3"/>
  <c r="AY324" i="1" s="1"/>
  <c r="L333" i="3"/>
  <c r="AZ323" i="1" s="1"/>
  <c r="N333" i="3"/>
  <c r="BB323" i="1" s="1"/>
  <c r="M333" i="3"/>
  <c r="BA323" i="1" s="1"/>
  <c r="O333" i="3"/>
  <c r="BC323" i="1" s="1"/>
  <c r="K333" i="3"/>
  <c r="AY323" i="1" s="1"/>
  <c r="O332" i="3"/>
  <c r="BC322" i="1" s="1"/>
  <c r="N332" i="3"/>
  <c r="BB322" i="1" s="1"/>
  <c r="M332" i="3"/>
  <c r="BA322" i="1" s="1"/>
  <c r="L332" i="3"/>
  <c r="AZ322" i="1" s="1"/>
  <c r="K332" i="3"/>
  <c r="AY322" i="1" s="1"/>
  <c r="O331" i="3"/>
  <c r="BC321" i="1" s="1"/>
  <c r="N331" i="3"/>
  <c r="BB321" i="1" s="1"/>
  <c r="M331" i="3"/>
  <c r="BA321" i="1" s="1"/>
  <c r="L331" i="3"/>
  <c r="AZ321" i="1" s="1"/>
  <c r="K331" i="3"/>
  <c r="AY321" i="1" s="1"/>
  <c r="O330" i="3"/>
  <c r="BC320" i="1" s="1"/>
  <c r="N330" i="3"/>
  <c r="BB320" i="1" s="1"/>
  <c r="M330" i="3"/>
  <c r="BA320" i="1" s="1"/>
  <c r="L330" i="3"/>
  <c r="AZ320" i="1" s="1"/>
  <c r="K330" i="3"/>
  <c r="AY320" i="1" s="1"/>
  <c r="O329" i="3"/>
  <c r="BC319" i="1" s="1"/>
  <c r="N329" i="3"/>
  <c r="BB319" i="1" s="1"/>
  <c r="M329" i="3"/>
  <c r="BA319" i="1" s="1"/>
  <c r="L329" i="3"/>
  <c r="AZ319" i="1" s="1"/>
  <c r="K329" i="3"/>
  <c r="AY319" i="1" s="1"/>
  <c r="O328" i="3"/>
  <c r="BC318" i="1" s="1"/>
  <c r="N328" i="3"/>
  <c r="BB318" i="1" s="1"/>
  <c r="M328" i="3"/>
  <c r="BA318" i="1" s="1"/>
  <c r="L328" i="3"/>
  <c r="AZ318" i="1" s="1"/>
  <c r="K328" i="3"/>
  <c r="AY318" i="1" s="1"/>
  <c r="O327" i="3"/>
  <c r="BC317" i="1" s="1"/>
  <c r="N327" i="3"/>
  <c r="BB317" i="1" s="1"/>
  <c r="M327" i="3"/>
  <c r="BA317" i="1" s="1"/>
  <c r="L327" i="3"/>
  <c r="AZ317" i="1" s="1"/>
  <c r="K327" i="3"/>
  <c r="AY317" i="1" s="1"/>
  <c r="O326" i="3"/>
  <c r="BC316" i="1" s="1"/>
  <c r="N326" i="3"/>
  <c r="BB316" i="1" s="1"/>
  <c r="M326" i="3"/>
  <c r="BA316" i="1" s="1"/>
  <c r="L326" i="3"/>
  <c r="AZ316" i="1" s="1"/>
  <c r="K326" i="3"/>
  <c r="AY316" i="1" s="1"/>
  <c r="O325" i="3"/>
  <c r="BC315" i="1" s="1"/>
  <c r="N325" i="3"/>
  <c r="BB315" i="1" s="1"/>
  <c r="M325" i="3"/>
  <c r="BA315" i="1" s="1"/>
  <c r="L325" i="3"/>
  <c r="AZ315" i="1" s="1"/>
  <c r="K325" i="3"/>
  <c r="AY315" i="1" s="1"/>
  <c r="O324" i="3"/>
  <c r="BC314" i="1" s="1"/>
  <c r="N324" i="3"/>
  <c r="BB314" i="1" s="1"/>
  <c r="M324" i="3"/>
  <c r="BA314" i="1" s="1"/>
  <c r="L324" i="3"/>
  <c r="AZ314" i="1" s="1"/>
  <c r="K324" i="3"/>
  <c r="AY314" i="1" s="1"/>
  <c r="O323" i="3"/>
  <c r="BC313" i="1" s="1"/>
  <c r="N323" i="3"/>
  <c r="BB313" i="1" s="1"/>
  <c r="M323" i="3"/>
  <c r="BA313" i="1" s="1"/>
  <c r="L323" i="3"/>
  <c r="AZ313" i="1" s="1"/>
  <c r="K323" i="3"/>
  <c r="AY313" i="1" s="1"/>
  <c r="O322" i="3"/>
  <c r="BC312" i="1" s="1"/>
  <c r="N322" i="3"/>
  <c r="BB312" i="1" s="1"/>
  <c r="M322" i="3"/>
  <c r="BA312" i="1" s="1"/>
  <c r="L322" i="3"/>
  <c r="AZ312" i="1" s="1"/>
  <c r="K322" i="3"/>
  <c r="AY312" i="1" s="1"/>
  <c r="O321" i="3"/>
  <c r="BC311" i="1" s="1"/>
  <c r="N321" i="3"/>
  <c r="BB311" i="1" s="1"/>
  <c r="M321" i="3"/>
  <c r="BA311" i="1" s="1"/>
  <c r="L321" i="3"/>
  <c r="AZ311" i="1" s="1"/>
  <c r="K321" i="3"/>
  <c r="AY311" i="1" s="1"/>
  <c r="O320" i="3"/>
  <c r="BC310" i="1" s="1"/>
  <c r="N320" i="3"/>
  <c r="BB310" i="1" s="1"/>
  <c r="M320" i="3"/>
  <c r="BA310" i="1" s="1"/>
  <c r="L320" i="3"/>
  <c r="AZ310" i="1" s="1"/>
  <c r="K320" i="3"/>
  <c r="AY310" i="1" s="1"/>
  <c r="O319" i="3"/>
  <c r="BC309" i="1" s="1"/>
  <c r="N319" i="3"/>
  <c r="BB309" i="1" s="1"/>
  <c r="M319" i="3"/>
  <c r="BA309" i="1" s="1"/>
  <c r="L319" i="3"/>
  <c r="AZ309" i="1" s="1"/>
  <c r="K319" i="3"/>
  <c r="AY309" i="1" s="1"/>
  <c r="O318" i="3"/>
  <c r="BC308" i="1" s="1"/>
  <c r="N318" i="3"/>
  <c r="BB308" i="1" s="1"/>
  <c r="M318" i="3"/>
  <c r="BA308" i="1" s="1"/>
  <c r="L318" i="3"/>
  <c r="AZ308" i="1" s="1"/>
  <c r="K318" i="3"/>
  <c r="AY308" i="1" s="1"/>
  <c r="O317" i="3"/>
  <c r="BC307" i="1" s="1"/>
  <c r="N317" i="3"/>
  <c r="BB307" i="1" s="1"/>
  <c r="M317" i="3"/>
  <c r="BA307" i="1" s="1"/>
  <c r="L317" i="3"/>
  <c r="AZ307" i="1" s="1"/>
  <c r="K317" i="3"/>
  <c r="AY307" i="1" s="1"/>
  <c r="O316" i="3"/>
  <c r="BC306" i="1" s="1"/>
  <c r="N316" i="3"/>
  <c r="BB306" i="1" s="1"/>
  <c r="M316" i="3"/>
  <c r="BA306" i="1" s="1"/>
  <c r="L316" i="3"/>
  <c r="AZ306" i="1" s="1"/>
  <c r="K316" i="3"/>
  <c r="AY306" i="1" s="1"/>
  <c r="O315" i="3"/>
  <c r="BC305" i="1" s="1"/>
  <c r="N315" i="3"/>
  <c r="BB305" i="1" s="1"/>
  <c r="M315" i="3"/>
  <c r="BA305" i="1" s="1"/>
  <c r="L315" i="3"/>
  <c r="AZ305" i="1" s="1"/>
  <c r="K315" i="3"/>
  <c r="AY305" i="1" s="1"/>
  <c r="O314" i="3"/>
  <c r="BC304" i="1" s="1"/>
  <c r="N314" i="3"/>
  <c r="BB304" i="1" s="1"/>
  <c r="M314" i="3"/>
  <c r="BA304" i="1" s="1"/>
  <c r="L314" i="3"/>
  <c r="AZ304" i="1" s="1"/>
  <c r="K314" i="3"/>
  <c r="AY304" i="1" s="1"/>
  <c r="O313" i="3"/>
  <c r="BC303" i="1" s="1"/>
  <c r="N313" i="3"/>
  <c r="BB303" i="1" s="1"/>
  <c r="M313" i="3"/>
  <c r="BA303" i="1" s="1"/>
  <c r="L313" i="3"/>
  <c r="AZ303" i="1" s="1"/>
  <c r="K313" i="3"/>
  <c r="AY303" i="1" s="1"/>
  <c r="O312" i="3"/>
  <c r="BC302" i="1" s="1"/>
  <c r="N312" i="3"/>
  <c r="BB302" i="1" s="1"/>
  <c r="M312" i="3"/>
  <c r="BA302" i="1" s="1"/>
  <c r="L312" i="3"/>
  <c r="AZ302" i="1" s="1"/>
  <c r="K312" i="3"/>
  <c r="AY302" i="1" s="1"/>
  <c r="O311" i="3"/>
  <c r="BC301" i="1" s="1"/>
  <c r="N311" i="3"/>
  <c r="BB301" i="1" s="1"/>
  <c r="M311" i="3"/>
  <c r="BA301" i="1" s="1"/>
  <c r="L311" i="3"/>
  <c r="AZ301" i="1" s="1"/>
  <c r="K311" i="3"/>
  <c r="AY301" i="1" s="1"/>
  <c r="O310" i="3"/>
  <c r="BC300" i="1" s="1"/>
  <c r="N310" i="3"/>
  <c r="BB300" i="1" s="1"/>
  <c r="M310" i="3"/>
  <c r="BA300" i="1" s="1"/>
  <c r="L310" i="3"/>
  <c r="AZ300" i="1" s="1"/>
  <c r="K310" i="3"/>
  <c r="AY300" i="1" s="1"/>
  <c r="O309" i="3"/>
  <c r="BC299" i="1" s="1"/>
  <c r="N309" i="3"/>
  <c r="BB299" i="1" s="1"/>
  <c r="M309" i="3"/>
  <c r="BA299" i="1" s="1"/>
  <c r="L309" i="3"/>
  <c r="AZ299" i="1" s="1"/>
  <c r="K309" i="3"/>
  <c r="AY299" i="1" s="1"/>
  <c r="O308" i="3"/>
  <c r="BC298" i="1" s="1"/>
  <c r="N308" i="3"/>
  <c r="BB298" i="1" s="1"/>
  <c r="M308" i="3"/>
  <c r="BA298" i="1" s="1"/>
  <c r="L308" i="3"/>
  <c r="AZ298" i="1" s="1"/>
  <c r="K308" i="3"/>
  <c r="AY298" i="1" s="1"/>
  <c r="O307" i="3"/>
  <c r="BC297" i="1" s="1"/>
  <c r="N307" i="3"/>
  <c r="BB297" i="1" s="1"/>
  <c r="M307" i="3"/>
  <c r="BA297" i="1" s="1"/>
  <c r="L307" i="3"/>
  <c r="AZ297" i="1" s="1"/>
  <c r="K307" i="3"/>
  <c r="AY297" i="1" s="1"/>
  <c r="O306" i="3"/>
  <c r="BC296" i="1" s="1"/>
  <c r="N306" i="3"/>
  <c r="BB296" i="1" s="1"/>
  <c r="M306" i="3"/>
  <c r="BA296" i="1" s="1"/>
  <c r="L306" i="3"/>
  <c r="AZ296" i="1" s="1"/>
  <c r="K306" i="3"/>
  <c r="AY296" i="1" s="1"/>
  <c r="O305" i="3"/>
  <c r="BC295" i="1" s="1"/>
  <c r="N305" i="3"/>
  <c r="BB295" i="1" s="1"/>
  <c r="M305" i="3"/>
  <c r="BA295" i="1" s="1"/>
  <c r="L305" i="3"/>
  <c r="AZ295" i="1" s="1"/>
  <c r="K305" i="3"/>
  <c r="AY295" i="1" s="1"/>
  <c r="O304" i="3"/>
  <c r="BC294" i="1" s="1"/>
  <c r="N304" i="3"/>
  <c r="BB294" i="1" s="1"/>
  <c r="M304" i="3"/>
  <c r="BA294" i="1" s="1"/>
  <c r="L304" i="3"/>
  <c r="AZ294" i="1" s="1"/>
  <c r="K304" i="3"/>
  <c r="AY294" i="1" s="1"/>
  <c r="N303" i="3"/>
  <c r="BB293" i="1" s="1"/>
  <c r="L303" i="3"/>
  <c r="AZ293" i="1" s="1"/>
  <c r="O303" i="3"/>
  <c r="BC293" i="1" s="1"/>
  <c r="M303" i="3"/>
  <c r="BA293" i="1" s="1"/>
  <c r="K303" i="3"/>
  <c r="AY293" i="1" s="1"/>
  <c r="N302" i="3"/>
  <c r="BB292" i="1" s="1"/>
  <c r="K302" i="3"/>
  <c r="AY292" i="1" s="1"/>
  <c r="O302" i="3"/>
  <c r="BC292" i="1" s="1"/>
  <c r="L302" i="3"/>
  <c r="AZ292" i="1" s="1"/>
  <c r="M302" i="3"/>
  <c r="BA292" i="1" s="1"/>
  <c r="K301" i="3"/>
  <c r="AY291" i="1" s="1"/>
  <c r="M301" i="3"/>
  <c r="BA291" i="1" s="1"/>
  <c r="L301" i="3"/>
  <c r="AZ291" i="1" s="1"/>
  <c r="N301" i="3"/>
  <c r="BB291" i="1" s="1"/>
  <c r="O301" i="3"/>
  <c r="BC291" i="1" s="1"/>
  <c r="O300" i="3"/>
  <c r="BC290" i="1" s="1"/>
  <c r="N300" i="3"/>
  <c r="BB290" i="1" s="1"/>
  <c r="M300" i="3"/>
  <c r="BA290" i="1" s="1"/>
  <c r="L300" i="3"/>
  <c r="AZ290" i="1" s="1"/>
  <c r="K300" i="3"/>
  <c r="AY290" i="1" s="1"/>
  <c r="L299" i="3"/>
  <c r="AZ289" i="1" s="1"/>
  <c r="N299" i="3"/>
  <c r="BB289" i="1" s="1"/>
  <c r="M299" i="3"/>
  <c r="BA289" i="1" s="1"/>
  <c r="K299" i="3"/>
  <c r="AY289" i="1" s="1"/>
  <c r="O299" i="3"/>
  <c r="BC289" i="1" s="1"/>
  <c r="L298" i="3"/>
  <c r="AZ288" i="1" s="1"/>
  <c r="N298" i="3"/>
  <c r="BB288" i="1" s="1"/>
  <c r="O298" i="3"/>
  <c r="BC288" i="1" s="1"/>
  <c r="K298" i="3"/>
  <c r="AY288" i="1" s="1"/>
  <c r="M298" i="3"/>
  <c r="BA288" i="1" s="1"/>
  <c r="K297" i="3"/>
  <c r="AY287" i="1" s="1"/>
  <c r="L297" i="3"/>
  <c r="AZ287" i="1" s="1"/>
  <c r="M297" i="3"/>
  <c r="BA287" i="1" s="1"/>
  <c r="O297" i="3"/>
  <c r="BC287" i="1" s="1"/>
  <c r="N297" i="3"/>
  <c r="BB287" i="1" s="1"/>
  <c r="O296" i="3"/>
  <c r="BC286" i="1" s="1"/>
  <c r="N296" i="3"/>
  <c r="BB286" i="1" s="1"/>
  <c r="M296" i="3"/>
  <c r="BA286" i="1" s="1"/>
  <c r="L296" i="3"/>
  <c r="AZ286" i="1" s="1"/>
  <c r="K296" i="3"/>
  <c r="AY286" i="1" s="1"/>
  <c r="M295" i="3"/>
  <c r="BA285" i="1" s="1"/>
  <c r="L295" i="3"/>
  <c r="AZ285" i="1" s="1"/>
  <c r="K295" i="3"/>
  <c r="AY285" i="1" s="1"/>
  <c r="O295" i="3"/>
  <c r="BC285" i="1" s="1"/>
  <c r="N295" i="3"/>
  <c r="BB285" i="1" s="1"/>
  <c r="M294" i="3"/>
  <c r="BA284" i="1" s="1"/>
  <c r="N294" i="3"/>
  <c r="BB284" i="1" s="1"/>
  <c r="L294" i="3"/>
  <c r="AZ284" i="1" s="1"/>
  <c r="K294" i="3"/>
  <c r="AY284" i="1" s="1"/>
  <c r="O294" i="3"/>
  <c r="BC284" i="1" s="1"/>
  <c r="K293" i="3"/>
  <c r="AY283" i="1" s="1"/>
  <c r="L293" i="3"/>
  <c r="AZ283" i="1" s="1"/>
  <c r="N293" i="3"/>
  <c r="BB283" i="1" s="1"/>
  <c r="M293" i="3"/>
  <c r="BA283" i="1" s="1"/>
  <c r="O293" i="3"/>
  <c r="BC283" i="1" s="1"/>
  <c r="O292" i="3"/>
  <c r="BC282" i="1" s="1"/>
  <c r="N292" i="3"/>
  <c r="BB282" i="1" s="1"/>
  <c r="L292" i="3"/>
  <c r="AZ282" i="1" s="1"/>
  <c r="K292" i="3"/>
  <c r="AY282" i="1" s="1"/>
  <c r="M292" i="3"/>
  <c r="BA282" i="1" s="1"/>
  <c r="N291" i="3"/>
  <c r="BB281" i="1" s="1"/>
  <c r="O291" i="3"/>
  <c r="BC281" i="1" s="1"/>
  <c r="L291" i="3"/>
  <c r="AZ281" i="1" s="1"/>
  <c r="M291" i="3"/>
  <c r="BA281" i="1" s="1"/>
  <c r="K291" i="3"/>
  <c r="AY281" i="1" s="1"/>
  <c r="M290" i="3"/>
  <c r="BA280" i="1" s="1"/>
  <c r="N290" i="3"/>
  <c r="BB280" i="1" s="1"/>
  <c r="O290" i="3"/>
  <c r="BC280" i="1" s="1"/>
  <c r="K290" i="3"/>
  <c r="AY280" i="1" s="1"/>
  <c r="L290" i="3"/>
  <c r="AZ280" i="1" s="1"/>
  <c r="M289" i="3"/>
  <c r="BA279" i="1" s="1"/>
  <c r="K289" i="3"/>
  <c r="AY279" i="1" s="1"/>
  <c r="L289" i="3"/>
  <c r="AZ279" i="1" s="1"/>
  <c r="N289" i="3"/>
  <c r="BB279" i="1" s="1"/>
  <c r="O289" i="3"/>
  <c r="BC279" i="1" s="1"/>
  <c r="L288" i="3"/>
  <c r="AZ278" i="1" s="1"/>
  <c r="M288" i="3"/>
  <c r="BA278" i="1" s="1"/>
  <c r="N288" i="3"/>
  <c r="BB278" i="1" s="1"/>
  <c r="O288" i="3"/>
  <c r="BC278" i="1" s="1"/>
  <c r="K288" i="3"/>
  <c r="AY278" i="1" s="1"/>
  <c r="L287" i="3"/>
  <c r="AZ277" i="1" s="1"/>
  <c r="M287" i="3"/>
  <c r="BA277" i="1" s="1"/>
  <c r="O287" i="3"/>
  <c r="BC277" i="1" s="1"/>
  <c r="N287" i="3"/>
  <c r="BB277" i="1" s="1"/>
  <c r="K287" i="3"/>
  <c r="AY277" i="1" s="1"/>
  <c r="L286" i="3"/>
  <c r="AZ276" i="1" s="1"/>
  <c r="O286" i="3"/>
  <c r="BC276" i="1" s="1"/>
  <c r="N286" i="3"/>
  <c r="BB276" i="1" s="1"/>
  <c r="M286" i="3"/>
  <c r="BA276" i="1" s="1"/>
  <c r="K286" i="3"/>
  <c r="AY276" i="1" s="1"/>
  <c r="M285" i="3"/>
  <c r="BA275" i="1" s="1"/>
  <c r="K285" i="3"/>
  <c r="AY275" i="1" s="1"/>
  <c r="N285" i="3"/>
  <c r="BB275" i="1" s="1"/>
  <c r="O285" i="3"/>
  <c r="BC275" i="1" s="1"/>
  <c r="L285" i="3"/>
  <c r="AZ275" i="1" s="1"/>
  <c r="O284" i="3"/>
  <c r="BC274" i="1" s="1"/>
  <c r="L284" i="3"/>
  <c r="AZ274" i="1" s="1"/>
  <c r="N284" i="3"/>
  <c r="BB274" i="1" s="1"/>
  <c r="K284" i="3"/>
  <c r="AY274" i="1" s="1"/>
  <c r="M284" i="3"/>
  <c r="BA274" i="1" s="1"/>
  <c r="M283" i="3"/>
  <c r="BA273" i="1" s="1"/>
  <c r="K283" i="3"/>
  <c r="AY273" i="1" s="1"/>
  <c r="L283" i="3"/>
  <c r="AZ273" i="1" s="1"/>
  <c r="O283" i="3"/>
  <c r="BC273" i="1" s="1"/>
  <c r="N283" i="3"/>
  <c r="BB273" i="1" s="1"/>
  <c r="O282" i="3"/>
  <c r="BC272" i="1" s="1"/>
  <c r="K282" i="3"/>
  <c r="AY272" i="1" s="1"/>
  <c r="N282" i="3"/>
  <c r="BB272" i="1" s="1"/>
  <c r="M282" i="3"/>
  <c r="BA272" i="1" s="1"/>
  <c r="L282" i="3"/>
  <c r="AZ272" i="1" s="1"/>
  <c r="O281" i="3"/>
  <c r="BC271" i="1" s="1"/>
  <c r="N281" i="3"/>
  <c r="BB271" i="1" s="1"/>
  <c r="K281" i="3"/>
  <c r="AY271" i="1" s="1"/>
  <c r="L281" i="3"/>
  <c r="AZ271" i="1" s="1"/>
  <c r="M281" i="3"/>
  <c r="BA271" i="1" s="1"/>
  <c r="M280" i="3"/>
  <c r="BA270" i="1" s="1"/>
  <c r="O280" i="3"/>
  <c r="BC270" i="1" s="1"/>
  <c r="N280" i="3"/>
  <c r="BB270" i="1" s="1"/>
  <c r="L280" i="3"/>
  <c r="AZ270" i="1" s="1"/>
  <c r="K280" i="3"/>
  <c r="AY270" i="1" s="1"/>
  <c r="N279" i="3"/>
  <c r="BB269" i="1" s="1"/>
  <c r="M279" i="3"/>
  <c r="BA269" i="1" s="1"/>
  <c r="L279" i="3"/>
  <c r="AZ269" i="1" s="1"/>
  <c r="K279" i="3"/>
  <c r="AY269" i="1" s="1"/>
  <c r="O279" i="3"/>
  <c r="BC269" i="1" s="1"/>
  <c r="N278" i="3"/>
  <c r="BB268" i="1" s="1"/>
  <c r="K278" i="3"/>
  <c r="AY268" i="1" s="1"/>
  <c r="L278" i="3"/>
  <c r="AZ268" i="1" s="1"/>
  <c r="M278" i="3"/>
  <c r="BA268" i="1" s="1"/>
  <c r="O278" i="3"/>
  <c r="BC268" i="1" s="1"/>
  <c r="L277" i="3"/>
  <c r="AZ267" i="1" s="1"/>
  <c r="N277" i="3"/>
  <c r="BB267" i="1" s="1"/>
  <c r="O277" i="3"/>
  <c r="BC267" i="1" s="1"/>
  <c r="M277" i="3"/>
  <c r="BA267" i="1" s="1"/>
  <c r="K277" i="3"/>
  <c r="AY267" i="1" s="1"/>
  <c r="N276" i="3"/>
  <c r="BB266" i="1" s="1"/>
  <c r="K276" i="3"/>
  <c r="AY266" i="1" s="1"/>
  <c r="M276" i="3"/>
  <c r="BA266" i="1" s="1"/>
  <c r="L276" i="3"/>
  <c r="AZ266" i="1" s="1"/>
  <c r="O276" i="3"/>
  <c r="BC266" i="1" s="1"/>
  <c r="K275" i="3"/>
  <c r="AY265" i="1" s="1"/>
  <c r="L275" i="3"/>
  <c r="AZ265" i="1" s="1"/>
  <c r="M275" i="3"/>
  <c r="BA265" i="1" s="1"/>
  <c r="N275" i="3"/>
  <c r="BB265" i="1" s="1"/>
  <c r="O275" i="3"/>
  <c r="BC265" i="1" s="1"/>
  <c r="L274" i="3"/>
  <c r="AZ264" i="1" s="1"/>
  <c r="M274" i="3"/>
  <c r="BA264" i="1" s="1"/>
  <c r="N274" i="3"/>
  <c r="BB264" i="1" s="1"/>
  <c r="K274" i="3"/>
  <c r="AY264" i="1" s="1"/>
  <c r="O274" i="3"/>
  <c r="BC264" i="1" s="1"/>
  <c r="M273" i="3"/>
  <c r="BA263" i="1" s="1"/>
  <c r="L273" i="3"/>
  <c r="AZ263" i="1" s="1"/>
  <c r="N273" i="3"/>
  <c r="BB263" i="1" s="1"/>
  <c r="K273" i="3"/>
  <c r="AY263" i="1" s="1"/>
  <c r="O273" i="3"/>
  <c r="BC263" i="1" s="1"/>
  <c r="L272" i="3"/>
  <c r="AZ262" i="1" s="1"/>
  <c r="K272" i="3"/>
  <c r="AY262" i="1" s="1"/>
  <c r="N272" i="3"/>
  <c r="BB262" i="1" s="1"/>
  <c r="M272" i="3"/>
  <c r="BA262" i="1" s="1"/>
  <c r="O272" i="3"/>
  <c r="BC262" i="1" s="1"/>
  <c r="N271" i="3"/>
  <c r="BB261" i="1" s="1"/>
  <c r="M271" i="3"/>
  <c r="BA261" i="1" s="1"/>
  <c r="L271" i="3"/>
  <c r="AZ261" i="1" s="1"/>
  <c r="O271" i="3"/>
  <c r="BC261" i="1" s="1"/>
  <c r="K271" i="3"/>
  <c r="AY261" i="1" s="1"/>
  <c r="M270" i="3"/>
  <c r="BA260" i="1" s="1"/>
  <c r="K270" i="3"/>
  <c r="AY260" i="1" s="1"/>
  <c r="N270" i="3"/>
  <c r="BB260" i="1" s="1"/>
  <c r="O270" i="3"/>
  <c r="BC260" i="1" s="1"/>
  <c r="L270" i="3"/>
  <c r="AZ260" i="1" s="1"/>
  <c r="O269" i="3"/>
  <c r="BC259" i="1" s="1"/>
  <c r="N269" i="3"/>
  <c r="BB259" i="1" s="1"/>
  <c r="L269" i="3"/>
  <c r="AZ259" i="1" s="1"/>
  <c r="M269" i="3"/>
  <c r="BA259" i="1" s="1"/>
  <c r="K269" i="3"/>
  <c r="AY259" i="1" s="1"/>
  <c r="M268" i="3"/>
  <c r="BA258" i="1" s="1"/>
  <c r="L268" i="3"/>
  <c r="AZ258" i="1" s="1"/>
  <c r="N268" i="3"/>
  <c r="BB258" i="1" s="1"/>
  <c r="O268" i="3"/>
  <c r="BC258" i="1" s="1"/>
  <c r="K268" i="3"/>
  <c r="AY258" i="1" s="1"/>
  <c r="L267" i="3"/>
  <c r="AZ257" i="1" s="1"/>
  <c r="N267" i="3"/>
  <c r="BB257" i="1" s="1"/>
  <c r="O267" i="3"/>
  <c r="BC257" i="1" s="1"/>
  <c r="M267" i="3"/>
  <c r="BA257" i="1" s="1"/>
  <c r="K267" i="3"/>
  <c r="AY257" i="1" s="1"/>
  <c r="N266" i="3"/>
  <c r="BB256" i="1" s="1"/>
  <c r="M266" i="3"/>
  <c r="BA256" i="1" s="1"/>
  <c r="L266" i="3"/>
  <c r="AZ256" i="1" s="1"/>
  <c r="O266" i="3"/>
  <c r="BC256" i="1" s="1"/>
  <c r="K266" i="3"/>
  <c r="AY256" i="1" s="1"/>
  <c r="K265" i="3"/>
  <c r="AY255" i="1" s="1"/>
  <c r="L265" i="3"/>
  <c r="AZ255" i="1" s="1"/>
  <c r="N265" i="3"/>
  <c r="BB255" i="1" s="1"/>
  <c r="O265" i="3"/>
  <c r="BC255" i="1" s="1"/>
  <c r="M265" i="3"/>
  <c r="BA255" i="1" s="1"/>
  <c r="L264" i="3"/>
  <c r="AZ254" i="1" s="1"/>
  <c r="N264" i="3"/>
  <c r="BB254" i="1" s="1"/>
  <c r="M264" i="3"/>
  <c r="BA254" i="1" s="1"/>
  <c r="K264" i="3"/>
  <c r="AY254" i="1" s="1"/>
  <c r="O264" i="3"/>
  <c r="BC254" i="1" s="1"/>
  <c r="L263" i="3"/>
  <c r="AZ253" i="1" s="1"/>
  <c r="O263" i="3"/>
  <c r="BC253" i="1" s="1"/>
  <c r="N263" i="3"/>
  <c r="BB253" i="1" s="1"/>
  <c r="K263" i="3"/>
  <c r="AY253" i="1" s="1"/>
  <c r="M263" i="3"/>
  <c r="BA253" i="1" s="1"/>
  <c r="M262" i="3"/>
  <c r="BA252" i="1" s="1"/>
  <c r="O262" i="3"/>
  <c r="BC252" i="1" s="1"/>
  <c r="L262" i="3"/>
  <c r="AZ252" i="1" s="1"/>
  <c r="K262" i="3"/>
  <c r="AY252" i="1" s="1"/>
  <c r="N262" i="3"/>
  <c r="BB252" i="1" s="1"/>
  <c r="O261" i="3"/>
  <c r="BC251" i="1" s="1"/>
  <c r="N261" i="3"/>
  <c r="BB251" i="1" s="1"/>
  <c r="M261" i="3"/>
  <c r="BA251" i="1" s="1"/>
  <c r="L261" i="3"/>
  <c r="AZ251" i="1" s="1"/>
  <c r="K261" i="3"/>
  <c r="AY251" i="1" s="1"/>
  <c r="L260" i="3"/>
  <c r="AZ250" i="1" s="1"/>
  <c r="N260" i="3"/>
  <c r="BB250" i="1" s="1"/>
  <c r="O260" i="3"/>
  <c r="BC250" i="1" s="1"/>
  <c r="M260" i="3"/>
  <c r="BA250" i="1" s="1"/>
  <c r="K260" i="3"/>
  <c r="AY250" i="1" s="1"/>
  <c r="N259" i="3"/>
  <c r="BB249" i="1" s="1"/>
  <c r="K259" i="3"/>
  <c r="AY249" i="1" s="1"/>
  <c r="M259" i="3"/>
  <c r="BA249" i="1" s="1"/>
  <c r="O259" i="3"/>
  <c r="BC249" i="1" s="1"/>
  <c r="L259" i="3"/>
  <c r="AZ249" i="1" s="1"/>
  <c r="N258" i="3"/>
  <c r="BB248" i="1" s="1"/>
  <c r="K258" i="3"/>
  <c r="AY248" i="1" s="1"/>
  <c r="L258" i="3"/>
  <c r="AZ248" i="1" s="1"/>
  <c r="O258" i="3"/>
  <c r="BC248" i="1" s="1"/>
  <c r="M258" i="3"/>
  <c r="BA248" i="1" s="1"/>
  <c r="M257" i="3"/>
  <c r="BA247" i="1" s="1"/>
  <c r="L257" i="3"/>
  <c r="AZ247" i="1" s="1"/>
  <c r="N257" i="3"/>
  <c r="BB247" i="1" s="1"/>
  <c r="O257" i="3"/>
  <c r="BC247" i="1" s="1"/>
  <c r="K257" i="3"/>
  <c r="AY247" i="1" s="1"/>
  <c r="L256" i="3"/>
  <c r="AZ246" i="1" s="1"/>
  <c r="N256" i="3"/>
  <c r="BB246" i="1" s="1"/>
  <c r="M256" i="3"/>
  <c r="BA246" i="1" s="1"/>
  <c r="K256" i="3"/>
  <c r="AY246" i="1" s="1"/>
  <c r="O256" i="3"/>
  <c r="BC246" i="1" s="1"/>
  <c r="K255" i="3"/>
  <c r="AY245" i="1" s="1"/>
  <c r="N255" i="3"/>
  <c r="BB245" i="1" s="1"/>
  <c r="M255" i="3"/>
  <c r="BA245" i="1" s="1"/>
  <c r="O255" i="3"/>
  <c r="BC245" i="1" s="1"/>
  <c r="L255" i="3"/>
  <c r="AZ245" i="1" s="1"/>
  <c r="M254" i="3"/>
  <c r="BA244" i="1" s="1"/>
  <c r="O254" i="3"/>
  <c r="BC244" i="1" s="1"/>
  <c r="N254" i="3"/>
  <c r="BB244" i="1" s="1"/>
  <c r="L254" i="3"/>
  <c r="AZ244" i="1" s="1"/>
  <c r="K254" i="3"/>
  <c r="AY244" i="1" s="1"/>
  <c r="L253" i="3"/>
  <c r="AZ243" i="1" s="1"/>
  <c r="M253" i="3"/>
  <c r="BA243" i="1" s="1"/>
  <c r="K253" i="3"/>
  <c r="AY243" i="1" s="1"/>
  <c r="N253" i="3"/>
  <c r="BB243" i="1" s="1"/>
  <c r="O253" i="3"/>
  <c r="BC243" i="1" s="1"/>
  <c r="N252" i="3"/>
  <c r="BB242" i="1" s="1"/>
  <c r="K252" i="3"/>
  <c r="AY242" i="1" s="1"/>
  <c r="L252" i="3"/>
  <c r="AZ242" i="1" s="1"/>
  <c r="M252" i="3"/>
  <c r="BA242" i="1" s="1"/>
  <c r="O252" i="3"/>
  <c r="BC242" i="1" s="1"/>
  <c r="K251" i="3"/>
  <c r="AY241" i="1" s="1"/>
  <c r="L251" i="3"/>
  <c r="AZ241" i="1" s="1"/>
  <c r="O251" i="3"/>
  <c r="BC241" i="1" s="1"/>
  <c r="M251" i="3"/>
  <c r="BA241" i="1" s="1"/>
  <c r="N251" i="3"/>
  <c r="BB241" i="1" s="1"/>
  <c r="M250" i="3"/>
  <c r="BA240" i="1" s="1"/>
  <c r="N250" i="3"/>
  <c r="BB240" i="1" s="1"/>
  <c r="K250" i="3"/>
  <c r="AY240" i="1" s="1"/>
  <c r="O250" i="3"/>
  <c r="BC240" i="1" s="1"/>
  <c r="L250" i="3"/>
  <c r="AZ240" i="1" s="1"/>
  <c r="L249" i="3"/>
  <c r="AZ239" i="1" s="1"/>
  <c r="O249" i="3"/>
  <c r="BC239" i="1" s="1"/>
  <c r="M249" i="3"/>
  <c r="BA239" i="1" s="1"/>
  <c r="N249" i="3"/>
  <c r="BB239" i="1" s="1"/>
  <c r="K249" i="3"/>
  <c r="AY239" i="1" s="1"/>
  <c r="N248" i="3"/>
  <c r="BB238" i="1" s="1"/>
  <c r="M248" i="3"/>
  <c r="BA238" i="1" s="1"/>
  <c r="K248" i="3"/>
  <c r="AY238" i="1" s="1"/>
  <c r="O248" i="3"/>
  <c r="BC238" i="1" s="1"/>
  <c r="L248" i="3"/>
  <c r="AZ238" i="1" s="1"/>
  <c r="L247" i="3"/>
  <c r="AZ237" i="1" s="1"/>
  <c r="M247" i="3"/>
  <c r="BA237" i="1" s="1"/>
  <c r="O247" i="3"/>
  <c r="BC237" i="1" s="1"/>
  <c r="N247" i="3"/>
  <c r="BB237" i="1" s="1"/>
  <c r="K247" i="3"/>
  <c r="AY237" i="1" s="1"/>
  <c r="K246" i="3"/>
  <c r="AY236" i="1" s="1"/>
  <c r="O246" i="3"/>
  <c r="BC236" i="1" s="1"/>
  <c r="N246" i="3"/>
  <c r="BB236" i="1" s="1"/>
  <c r="M246" i="3"/>
  <c r="BA236" i="1" s="1"/>
  <c r="L246" i="3"/>
  <c r="AZ236" i="1" s="1"/>
  <c r="K245" i="3"/>
  <c r="AY235" i="1" s="1"/>
  <c r="O245" i="3"/>
  <c r="BC235" i="1" s="1"/>
  <c r="N245" i="3"/>
  <c r="BB235" i="1" s="1"/>
  <c r="M245" i="3"/>
  <c r="BA235" i="1" s="1"/>
  <c r="L245" i="3"/>
  <c r="AZ235" i="1" s="1"/>
  <c r="L244" i="3"/>
  <c r="AZ234" i="1" s="1"/>
  <c r="M244" i="3"/>
  <c r="BA234" i="1" s="1"/>
  <c r="K244" i="3"/>
  <c r="AY234" i="1" s="1"/>
  <c r="N244" i="3"/>
  <c r="BB234" i="1" s="1"/>
  <c r="O244" i="3"/>
  <c r="BC234" i="1" s="1"/>
  <c r="M243" i="3"/>
  <c r="BA233" i="1" s="1"/>
  <c r="N243" i="3"/>
  <c r="BB233" i="1" s="1"/>
  <c r="L243" i="3"/>
  <c r="AZ233" i="1" s="1"/>
  <c r="O243" i="3"/>
  <c r="BC233" i="1" s="1"/>
  <c r="K243" i="3"/>
  <c r="AY233" i="1" s="1"/>
  <c r="L242" i="3"/>
  <c r="AZ232" i="1" s="1"/>
  <c r="K242" i="3"/>
  <c r="AY232" i="1" s="1"/>
  <c r="M242" i="3"/>
  <c r="BA232" i="1" s="1"/>
  <c r="N242" i="3"/>
  <c r="BB232" i="1" s="1"/>
  <c r="O242" i="3"/>
  <c r="BC232" i="1" s="1"/>
  <c r="M241" i="3"/>
  <c r="BA231" i="1" s="1"/>
  <c r="N241" i="3"/>
  <c r="BB231" i="1" s="1"/>
  <c r="K241" i="3"/>
  <c r="AY231" i="1" s="1"/>
  <c r="O241" i="3"/>
  <c r="BC231" i="1" s="1"/>
  <c r="L241" i="3"/>
  <c r="AZ231" i="1" s="1"/>
  <c r="O240" i="3"/>
  <c r="BC230" i="1" s="1"/>
  <c r="K240" i="3"/>
  <c r="AY230" i="1" s="1"/>
  <c r="N240" i="3"/>
  <c r="BB230" i="1" s="1"/>
  <c r="M240" i="3"/>
  <c r="BA230" i="1" s="1"/>
  <c r="L240" i="3"/>
  <c r="AZ230" i="1" s="1"/>
  <c r="N239" i="3"/>
  <c r="BB229" i="1" s="1"/>
  <c r="O239" i="3"/>
  <c r="BC229" i="1" s="1"/>
  <c r="M239" i="3"/>
  <c r="BA229" i="1" s="1"/>
  <c r="K239" i="3"/>
  <c r="AY229" i="1" s="1"/>
  <c r="L239" i="3"/>
  <c r="AZ229" i="1" s="1"/>
  <c r="K238" i="3"/>
  <c r="AY228" i="1" s="1"/>
  <c r="O238" i="3"/>
  <c r="BC228" i="1" s="1"/>
  <c r="L238" i="3"/>
  <c r="AZ228" i="1" s="1"/>
  <c r="M238" i="3"/>
  <c r="BA228" i="1" s="1"/>
  <c r="N238" i="3"/>
  <c r="BB228" i="1" s="1"/>
  <c r="L237" i="3"/>
  <c r="AZ227" i="1" s="1"/>
  <c r="M237" i="3"/>
  <c r="BA227" i="1" s="1"/>
  <c r="O237" i="3"/>
  <c r="BC227" i="1" s="1"/>
  <c r="K237" i="3"/>
  <c r="AY227" i="1" s="1"/>
  <c r="N237" i="3"/>
  <c r="BB227" i="1" s="1"/>
  <c r="N236" i="3"/>
  <c r="BB226" i="1" s="1"/>
  <c r="M236" i="3"/>
  <c r="BA226" i="1" s="1"/>
  <c r="K236" i="3"/>
  <c r="AY226" i="1" s="1"/>
  <c r="O236" i="3"/>
  <c r="BC226" i="1" s="1"/>
  <c r="L236" i="3"/>
  <c r="AZ226" i="1" s="1"/>
  <c r="N235" i="3"/>
  <c r="BB225" i="1" s="1"/>
  <c r="O235" i="3"/>
  <c r="BC225" i="1" s="1"/>
  <c r="M235" i="3"/>
  <c r="BA225" i="1" s="1"/>
  <c r="K235" i="3"/>
  <c r="AY225" i="1" s="1"/>
  <c r="L235" i="3"/>
  <c r="AZ225" i="1" s="1"/>
  <c r="L234" i="3"/>
  <c r="AZ224" i="1" s="1"/>
  <c r="N234" i="3"/>
  <c r="BB224" i="1" s="1"/>
  <c r="M234" i="3"/>
  <c r="BA224" i="1" s="1"/>
  <c r="O234" i="3"/>
  <c r="BC224" i="1" s="1"/>
  <c r="K234" i="3"/>
  <c r="AY224" i="1" s="1"/>
  <c r="L233" i="3"/>
  <c r="AZ223" i="1" s="1"/>
  <c r="M233" i="3"/>
  <c r="BA223" i="1" s="1"/>
  <c r="N233" i="3"/>
  <c r="BB223" i="1" s="1"/>
  <c r="O233" i="3"/>
  <c r="BC223" i="1" s="1"/>
  <c r="K233" i="3"/>
  <c r="AY223" i="1" s="1"/>
  <c r="L232" i="3"/>
  <c r="AZ222" i="1" s="1"/>
  <c r="M232" i="3"/>
  <c r="BA222" i="1" s="1"/>
  <c r="N232" i="3"/>
  <c r="BB222" i="1" s="1"/>
  <c r="O232" i="3"/>
  <c r="BC222" i="1" s="1"/>
  <c r="K232" i="3"/>
  <c r="AY222" i="1" s="1"/>
  <c r="M231" i="3"/>
  <c r="BA221" i="1" s="1"/>
  <c r="O231" i="3"/>
  <c r="BC221" i="1" s="1"/>
  <c r="L231" i="3"/>
  <c r="AZ221" i="1" s="1"/>
  <c r="K231" i="3"/>
  <c r="AY221" i="1" s="1"/>
  <c r="N231" i="3"/>
  <c r="BB221" i="1" s="1"/>
  <c r="O230" i="3"/>
  <c r="BC220" i="1" s="1"/>
  <c r="K230" i="3"/>
  <c r="AY220" i="1" s="1"/>
  <c r="N230" i="3"/>
  <c r="BB220" i="1" s="1"/>
  <c r="M230" i="3"/>
  <c r="BA220" i="1" s="1"/>
  <c r="L230" i="3"/>
  <c r="AZ220" i="1" s="1"/>
  <c r="M229" i="3"/>
  <c r="BA219" i="1" s="1"/>
  <c r="N229" i="3"/>
  <c r="BB219" i="1" s="1"/>
  <c r="K229" i="3"/>
  <c r="AY219" i="1" s="1"/>
  <c r="O229" i="3"/>
  <c r="BC219" i="1" s="1"/>
  <c r="L229" i="3"/>
  <c r="AZ219" i="1" s="1"/>
  <c r="L228" i="3"/>
  <c r="AZ218" i="1" s="1"/>
  <c r="M228" i="3"/>
  <c r="BA218" i="1" s="1"/>
  <c r="O228" i="3"/>
  <c r="BC218" i="1" s="1"/>
  <c r="N228" i="3"/>
  <c r="BB218" i="1" s="1"/>
  <c r="K228" i="3"/>
  <c r="AY218" i="1" s="1"/>
  <c r="N227" i="3"/>
  <c r="BB217" i="1" s="1"/>
  <c r="O227" i="3"/>
  <c r="BC217" i="1" s="1"/>
  <c r="M227" i="3"/>
  <c r="BA217" i="1" s="1"/>
  <c r="K227" i="3"/>
  <c r="AY217" i="1" s="1"/>
  <c r="L227" i="3"/>
  <c r="AZ217" i="1" s="1"/>
  <c r="O226" i="3"/>
  <c r="BC216" i="1" s="1"/>
  <c r="K226" i="3"/>
  <c r="AY216" i="1" s="1"/>
  <c r="M226" i="3"/>
  <c r="BA216" i="1" s="1"/>
  <c r="L226" i="3"/>
  <c r="AZ216" i="1" s="1"/>
  <c r="N226" i="3"/>
  <c r="BB216" i="1" s="1"/>
  <c r="N225" i="3"/>
  <c r="BB215" i="1" s="1"/>
  <c r="O225" i="3"/>
  <c r="BC215" i="1" s="1"/>
  <c r="K225" i="3"/>
  <c r="AY215" i="1" s="1"/>
  <c r="M225" i="3"/>
  <c r="BA215" i="1" s="1"/>
  <c r="L225" i="3"/>
  <c r="AZ215" i="1" s="1"/>
  <c r="M224" i="3"/>
  <c r="BA214" i="1" s="1"/>
  <c r="O224" i="3"/>
  <c r="BC214" i="1" s="1"/>
  <c r="N224" i="3"/>
  <c r="BB214" i="1" s="1"/>
  <c r="L224" i="3"/>
  <c r="AZ214" i="1" s="1"/>
  <c r="K224" i="3"/>
  <c r="AY214" i="1" s="1"/>
  <c r="L223" i="3"/>
  <c r="AZ213" i="1" s="1"/>
  <c r="M223" i="3"/>
  <c r="BA213" i="1" s="1"/>
  <c r="N223" i="3"/>
  <c r="BB213" i="1" s="1"/>
  <c r="O223" i="3"/>
  <c r="BC213" i="1" s="1"/>
  <c r="K223" i="3"/>
  <c r="AY213" i="1" s="1"/>
  <c r="M222" i="3"/>
  <c r="BA212" i="1" s="1"/>
  <c r="L222" i="3"/>
  <c r="AZ212" i="1" s="1"/>
  <c r="K222" i="3"/>
  <c r="AY212" i="1" s="1"/>
  <c r="N222" i="3"/>
  <c r="BB212" i="1" s="1"/>
  <c r="O222" i="3"/>
  <c r="BC212" i="1" s="1"/>
  <c r="L221" i="3"/>
  <c r="AZ211" i="1" s="1"/>
  <c r="N221" i="3"/>
  <c r="BB211" i="1" s="1"/>
  <c r="O221" i="3"/>
  <c r="BC211" i="1" s="1"/>
  <c r="K221" i="3"/>
  <c r="AY211" i="1" s="1"/>
  <c r="M221" i="3"/>
  <c r="BA211" i="1" s="1"/>
  <c r="M220" i="3"/>
  <c r="BA210" i="1" s="1"/>
  <c r="O220" i="3"/>
  <c r="BC210" i="1" s="1"/>
  <c r="L220" i="3"/>
  <c r="AZ210" i="1" s="1"/>
  <c r="K220" i="3"/>
  <c r="AY210" i="1" s="1"/>
  <c r="N220" i="3"/>
  <c r="BB210" i="1" s="1"/>
  <c r="K219" i="3"/>
  <c r="AY209" i="1" s="1"/>
  <c r="M219" i="3"/>
  <c r="BA209" i="1" s="1"/>
  <c r="N219" i="3"/>
  <c r="BB209" i="1" s="1"/>
  <c r="L219" i="3"/>
  <c r="AZ209" i="1" s="1"/>
  <c r="O219" i="3"/>
  <c r="BC209" i="1" s="1"/>
  <c r="L218" i="3"/>
  <c r="AZ208" i="1" s="1"/>
  <c r="K218" i="3"/>
  <c r="AY208" i="1" s="1"/>
  <c r="N218" i="3"/>
  <c r="BB208" i="1" s="1"/>
  <c r="M218" i="3"/>
  <c r="BA208" i="1" s="1"/>
  <c r="O218" i="3"/>
  <c r="BC208" i="1" s="1"/>
  <c r="L217" i="3"/>
  <c r="AZ207" i="1" s="1"/>
  <c r="M217" i="3"/>
  <c r="BA207" i="1" s="1"/>
  <c r="O217" i="3"/>
  <c r="BC207" i="1" s="1"/>
  <c r="N217" i="3"/>
  <c r="BB207" i="1" s="1"/>
  <c r="K217" i="3"/>
  <c r="AY207" i="1" s="1"/>
  <c r="K216" i="3"/>
  <c r="AY206" i="1" s="1"/>
  <c r="M216" i="3"/>
  <c r="BA206" i="1" s="1"/>
  <c r="O216" i="3"/>
  <c r="BC206" i="1" s="1"/>
  <c r="N216" i="3"/>
  <c r="BB206" i="1" s="1"/>
  <c r="L216" i="3"/>
  <c r="AZ206" i="1" s="1"/>
  <c r="M215" i="3"/>
  <c r="BA205" i="1" s="1"/>
  <c r="N215" i="3"/>
  <c r="BB205" i="1" s="1"/>
  <c r="O215" i="3"/>
  <c r="BC205" i="1" s="1"/>
  <c r="L215" i="3"/>
  <c r="AZ205" i="1" s="1"/>
  <c r="K215" i="3"/>
  <c r="AY205" i="1" s="1"/>
  <c r="M214" i="3"/>
  <c r="BA204" i="1" s="1"/>
  <c r="L214" i="3"/>
  <c r="AZ204" i="1" s="1"/>
  <c r="O214" i="3"/>
  <c r="BC204" i="1" s="1"/>
  <c r="N214" i="3"/>
  <c r="BB204" i="1" s="1"/>
  <c r="K214" i="3"/>
  <c r="AY204" i="1" s="1"/>
  <c r="K213" i="3"/>
  <c r="AY203" i="1" s="1"/>
  <c r="N213" i="3"/>
  <c r="BB203" i="1" s="1"/>
  <c r="L213" i="3"/>
  <c r="AZ203" i="1" s="1"/>
  <c r="O213" i="3"/>
  <c r="BC203" i="1" s="1"/>
  <c r="M213" i="3"/>
  <c r="BA203" i="1" s="1"/>
  <c r="M212" i="3"/>
  <c r="BA202" i="1" s="1"/>
  <c r="O212" i="3"/>
  <c r="BC202" i="1" s="1"/>
  <c r="K212" i="3"/>
  <c r="AY202" i="1" s="1"/>
  <c r="N212" i="3"/>
  <c r="BB202" i="1" s="1"/>
  <c r="L212" i="3"/>
  <c r="AZ202" i="1" s="1"/>
  <c r="L211" i="3"/>
  <c r="AZ201" i="1" s="1"/>
  <c r="N211" i="3"/>
  <c r="BB201" i="1" s="1"/>
  <c r="K211" i="3"/>
  <c r="AY201" i="1" s="1"/>
  <c r="M211" i="3"/>
  <c r="BA201" i="1" s="1"/>
  <c r="O211" i="3"/>
  <c r="BC201" i="1" s="1"/>
  <c r="O210" i="3"/>
  <c r="BC200" i="1" s="1"/>
  <c r="K210" i="3"/>
  <c r="AY200" i="1" s="1"/>
  <c r="N210" i="3"/>
  <c r="BB200" i="1" s="1"/>
  <c r="M210" i="3"/>
  <c r="BA200" i="1" s="1"/>
  <c r="L210" i="3"/>
  <c r="AZ200" i="1" s="1"/>
  <c r="O209" i="3"/>
  <c r="BC199" i="1" s="1"/>
  <c r="M209" i="3"/>
  <c r="BA199" i="1" s="1"/>
  <c r="L209" i="3"/>
  <c r="AZ199" i="1" s="1"/>
  <c r="N209" i="3"/>
  <c r="BB199" i="1" s="1"/>
  <c r="K209" i="3"/>
  <c r="AY199" i="1" s="1"/>
  <c r="M208" i="3"/>
  <c r="BA198" i="1" s="1"/>
  <c r="N208" i="3"/>
  <c r="BB198" i="1" s="1"/>
  <c r="O208" i="3"/>
  <c r="BC198" i="1" s="1"/>
  <c r="L208" i="3"/>
  <c r="AZ198" i="1" s="1"/>
  <c r="K208" i="3"/>
  <c r="AY198" i="1" s="1"/>
  <c r="L207" i="3"/>
  <c r="AZ197" i="1" s="1"/>
  <c r="O207" i="3"/>
  <c r="BC197" i="1" s="1"/>
  <c r="M207" i="3"/>
  <c r="BA197" i="1" s="1"/>
  <c r="N207" i="3"/>
  <c r="BB197" i="1" s="1"/>
  <c r="K207" i="3"/>
  <c r="AY197" i="1" s="1"/>
  <c r="K206" i="3"/>
  <c r="AY196" i="1" s="1"/>
  <c r="N206" i="3"/>
  <c r="BB196" i="1" s="1"/>
  <c r="M206" i="3"/>
  <c r="BA196" i="1" s="1"/>
  <c r="L206" i="3"/>
  <c r="AZ196" i="1" s="1"/>
  <c r="O206" i="3"/>
  <c r="BC196" i="1" s="1"/>
  <c r="O205" i="3"/>
  <c r="BC195" i="1" s="1"/>
  <c r="M205" i="3"/>
  <c r="BA195" i="1" s="1"/>
  <c r="N205" i="3"/>
  <c r="BB195" i="1" s="1"/>
  <c r="L205" i="3"/>
  <c r="AZ195" i="1" s="1"/>
  <c r="K205" i="3"/>
  <c r="AY195" i="1" s="1"/>
  <c r="O204" i="3"/>
  <c r="BC194" i="1" s="1"/>
  <c r="M204" i="3"/>
  <c r="BA194" i="1" s="1"/>
  <c r="K204" i="3"/>
  <c r="AY194" i="1" s="1"/>
  <c r="L204" i="3"/>
  <c r="AZ194" i="1" s="1"/>
  <c r="N204" i="3"/>
  <c r="BB194" i="1" s="1"/>
  <c r="K203" i="3"/>
  <c r="AY193" i="1" s="1"/>
  <c r="L203" i="3"/>
  <c r="AZ193" i="1" s="1"/>
  <c r="M203" i="3"/>
  <c r="BA193" i="1" s="1"/>
  <c r="O203" i="3"/>
  <c r="BC193" i="1" s="1"/>
  <c r="N203" i="3"/>
  <c r="BB193" i="1" s="1"/>
  <c r="O202" i="3"/>
  <c r="BC192" i="1" s="1"/>
  <c r="L202" i="3"/>
  <c r="AZ192" i="1" s="1"/>
  <c r="M202" i="3"/>
  <c r="BA192" i="1" s="1"/>
  <c r="K202" i="3"/>
  <c r="AY192" i="1" s="1"/>
  <c r="N202" i="3"/>
  <c r="BB192" i="1" s="1"/>
  <c r="O201" i="3"/>
  <c r="BC191" i="1" s="1"/>
  <c r="N201" i="3"/>
  <c r="BB191" i="1" s="1"/>
  <c r="M201" i="3"/>
  <c r="BA191" i="1" s="1"/>
  <c r="K201" i="3"/>
  <c r="AY191" i="1" s="1"/>
  <c r="L201" i="3"/>
  <c r="AZ191" i="1" s="1"/>
  <c r="M200" i="3"/>
  <c r="BA190" i="1" s="1"/>
  <c r="L200" i="3"/>
  <c r="AZ190" i="1" s="1"/>
  <c r="O200" i="3"/>
  <c r="BC190" i="1" s="1"/>
  <c r="N200" i="3"/>
  <c r="BB190" i="1" s="1"/>
  <c r="K200" i="3"/>
  <c r="AY190" i="1" s="1"/>
  <c r="N199" i="3"/>
  <c r="BB189" i="1" s="1"/>
  <c r="L199" i="3"/>
  <c r="AZ189" i="1" s="1"/>
  <c r="O199" i="3"/>
  <c r="BC189" i="1" s="1"/>
  <c r="M199" i="3"/>
  <c r="BA189" i="1" s="1"/>
  <c r="K199" i="3"/>
  <c r="AY189" i="1" s="1"/>
  <c r="K198" i="3"/>
  <c r="AY188" i="1" s="1"/>
  <c r="L198" i="3"/>
  <c r="AZ188" i="1" s="1"/>
  <c r="O198" i="3"/>
  <c r="BC188" i="1" s="1"/>
  <c r="M198" i="3"/>
  <c r="BA188" i="1" s="1"/>
  <c r="N198" i="3"/>
  <c r="BB188" i="1" s="1"/>
  <c r="L197" i="3"/>
  <c r="AZ187" i="1" s="1"/>
  <c r="M197" i="3"/>
  <c r="BA187" i="1" s="1"/>
  <c r="K197" i="3"/>
  <c r="AY187" i="1" s="1"/>
  <c r="O197" i="3"/>
  <c r="BC187" i="1" s="1"/>
  <c r="N197" i="3"/>
  <c r="BB187" i="1" s="1"/>
  <c r="O196" i="3"/>
  <c r="BC186" i="1" s="1"/>
  <c r="L196" i="3"/>
  <c r="AZ186" i="1" s="1"/>
  <c r="M196" i="3"/>
  <c r="BA186" i="1" s="1"/>
  <c r="K196" i="3"/>
  <c r="AY186" i="1" s="1"/>
  <c r="N196" i="3"/>
  <c r="BB186" i="1" s="1"/>
  <c r="O195" i="3"/>
  <c r="BC185" i="1" s="1"/>
  <c r="N195" i="3"/>
  <c r="BB185" i="1" s="1"/>
  <c r="L195" i="3"/>
  <c r="AZ185" i="1" s="1"/>
  <c r="K195" i="3"/>
  <c r="AY185" i="1" s="1"/>
  <c r="M195" i="3"/>
  <c r="BA185" i="1" s="1"/>
  <c r="L194" i="3"/>
  <c r="AZ184" i="1" s="1"/>
  <c r="O194" i="3"/>
  <c r="BC184" i="1" s="1"/>
  <c r="M194" i="3"/>
  <c r="BA184" i="1" s="1"/>
  <c r="K194" i="3"/>
  <c r="AY184" i="1" s="1"/>
  <c r="N194" i="3"/>
  <c r="BB184" i="1" s="1"/>
  <c r="K193" i="3"/>
  <c r="AY183" i="1" s="1"/>
  <c r="L193" i="3"/>
  <c r="AZ183" i="1" s="1"/>
  <c r="N193" i="3"/>
  <c r="BB183" i="1" s="1"/>
  <c r="O193" i="3"/>
  <c r="BC183" i="1" s="1"/>
  <c r="M193" i="3"/>
  <c r="BA183" i="1" s="1"/>
  <c r="K192" i="3"/>
  <c r="AY182" i="1" s="1"/>
  <c r="M192" i="3"/>
  <c r="BA182" i="1" s="1"/>
  <c r="L192" i="3"/>
  <c r="AZ182" i="1" s="1"/>
  <c r="N192" i="3"/>
  <c r="BB182" i="1" s="1"/>
  <c r="O192" i="3"/>
  <c r="BC182" i="1" s="1"/>
  <c r="N191" i="3"/>
  <c r="BB181" i="1" s="1"/>
  <c r="K191" i="3"/>
  <c r="AY181" i="1" s="1"/>
  <c r="M191" i="3"/>
  <c r="BA181" i="1" s="1"/>
  <c r="L191" i="3"/>
  <c r="AZ181" i="1" s="1"/>
  <c r="O191" i="3"/>
  <c r="BC181" i="1" s="1"/>
  <c r="L190" i="3"/>
  <c r="AZ180" i="1" s="1"/>
  <c r="N190" i="3"/>
  <c r="BB180" i="1" s="1"/>
  <c r="M190" i="3"/>
  <c r="BA180" i="1" s="1"/>
  <c r="O190" i="3"/>
  <c r="BC180" i="1" s="1"/>
  <c r="K190" i="3"/>
  <c r="AY180" i="1" s="1"/>
  <c r="K189" i="3"/>
  <c r="AY179" i="1" s="1"/>
  <c r="O189" i="3"/>
  <c r="BC179" i="1" s="1"/>
  <c r="M189" i="3"/>
  <c r="BA179" i="1" s="1"/>
  <c r="N189" i="3"/>
  <c r="BB179" i="1" s="1"/>
  <c r="L189" i="3"/>
  <c r="AZ179" i="1" s="1"/>
  <c r="K188" i="3"/>
  <c r="AY178" i="1" s="1"/>
  <c r="N188" i="3"/>
  <c r="BB178" i="1" s="1"/>
  <c r="M188" i="3"/>
  <c r="BA178" i="1" s="1"/>
  <c r="L188" i="3"/>
  <c r="AZ178" i="1" s="1"/>
  <c r="O188" i="3"/>
  <c r="BC178" i="1" s="1"/>
  <c r="M187" i="3"/>
  <c r="BA177" i="1" s="1"/>
  <c r="N187" i="3"/>
  <c r="BB177" i="1" s="1"/>
  <c r="O187" i="3"/>
  <c r="BC177" i="1" s="1"/>
  <c r="L187" i="3"/>
  <c r="AZ177" i="1" s="1"/>
  <c r="K187" i="3"/>
  <c r="AY177" i="1" s="1"/>
  <c r="N186" i="3"/>
  <c r="BB176" i="1" s="1"/>
  <c r="M186" i="3"/>
  <c r="BA176" i="1" s="1"/>
  <c r="O186" i="3"/>
  <c r="BC176" i="1" s="1"/>
  <c r="L186" i="3"/>
  <c r="AZ176" i="1" s="1"/>
  <c r="K186" i="3"/>
  <c r="AY176" i="1" s="1"/>
  <c r="O185" i="3"/>
  <c r="BC175" i="1" s="1"/>
  <c r="M185" i="3"/>
  <c r="BA175" i="1" s="1"/>
  <c r="L185" i="3"/>
  <c r="AZ175" i="1" s="1"/>
  <c r="N185" i="3"/>
  <c r="BB175" i="1" s="1"/>
  <c r="K185" i="3"/>
  <c r="AY175" i="1" s="1"/>
  <c r="N184" i="3"/>
  <c r="BB174" i="1" s="1"/>
  <c r="K184" i="3"/>
  <c r="AY174" i="1" s="1"/>
  <c r="O184" i="3"/>
  <c r="BC174" i="1" s="1"/>
  <c r="M184" i="3"/>
  <c r="BA174" i="1" s="1"/>
  <c r="L184" i="3"/>
  <c r="AZ174" i="1" s="1"/>
  <c r="M183" i="3"/>
  <c r="BA173" i="1" s="1"/>
  <c r="O183" i="3"/>
  <c r="BC173" i="1" s="1"/>
  <c r="L183" i="3"/>
  <c r="AZ173" i="1" s="1"/>
  <c r="K183" i="3"/>
  <c r="AY173" i="1" s="1"/>
  <c r="N183" i="3"/>
  <c r="BB173" i="1" s="1"/>
  <c r="M182" i="3"/>
  <c r="BA172" i="1" s="1"/>
  <c r="K182" i="3"/>
  <c r="AY172" i="1" s="1"/>
  <c r="L182" i="3"/>
  <c r="AZ172" i="1" s="1"/>
  <c r="N182" i="3"/>
  <c r="BB172" i="1" s="1"/>
  <c r="O182" i="3"/>
  <c r="BC172" i="1" s="1"/>
  <c r="O181" i="3"/>
  <c r="BC171" i="1" s="1"/>
  <c r="N181" i="3"/>
  <c r="BB171" i="1" s="1"/>
  <c r="M181" i="3"/>
  <c r="BA171" i="1" s="1"/>
  <c r="L181" i="3"/>
  <c r="AZ171" i="1" s="1"/>
  <c r="K181" i="3"/>
  <c r="AY171" i="1" s="1"/>
  <c r="N180" i="3"/>
  <c r="BB170" i="1" s="1"/>
  <c r="K180" i="3"/>
  <c r="AY170" i="1" s="1"/>
  <c r="O180" i="3"/>
  <c r="BC170" i="1" s="1"/>
  <c r="M180" i="3"/>
  <c r="BA170" i="1" s="1"/>
  <c r="L180" i="3"/>
  <c r="AZ170" i="1" s="1"/>
  <c r="O179" i="3"/>
  <c r="BC169" i="1" s="1"/>
  <c r="L179" i="3"/>
  <c r="AZ169" i="1" s="1"/>
  <c r="N179" i="3"/>
  <c r="BB169" i="1" s="1"/>
  <c r="M179" i="3"/>
  <c r="BA169" i="1" s="1"/>
  <c r="K179" i="3"/>
  <c r="AY169" i="1" s="1"/>
  <c r="K178" i="3"/>
  <c r="AY168" i="1" s="1"/>
  <c r="O178" i="3"/>
  <c r="BC168" i="1" s="1"/>
  <c r="N178" i="3"/>
  <c r="BB168" i="1" s="1"/>
  <c r="M178" i="3"/>
  <c r="BA168" i="1" s="1"/>
  <c r="L178" i="3"/>
  <c r="AZ168" i="1" s="1"/>
  <c r="L177" i="3"/>
  <c r="AZ167" i="1" s="1"/>
  <c r="O177" i="3"/>
  <c r="BC167" i="1" s="1"/>
  <c r="K177" i="3"/>
  <c r="AY167" i="1" s="1"/>
  <c r="N177" i="3"/>
  <c r="BB167" i="1" s="1"/>
  <c r="M177" i="3"/>
  <c r="BA167" i="1" s="1"/>
  <c r="N176" i="3"/>
  <c r="BB166" i="1" s="1"/>
  <c r="O176" i="3"/>
  <c r="BC166" i="1" s="1"/>
  <c r="L176" i="3"/>
  <c r="AZ166" i="1" s="1"/>
  <c r="K176" i="3"/>
  <c r="AY166" i="1" s="1"/>
  <c r="M176" i="3"/>
  <c r="BA166" i="1" s="1"/>
  <c r="O175" i="3"/>
  <c r="BC165" i="1" s="1"/>
  <c r="L175" i="3"/>
  <c r="AZ165" i="1" s="1"/>
  <c r="N175" i="3"/>
  <c r="BB165" i="1" s="1"/>
  <c r="K175" i="3"/>
  <c r="AY165" i="1" s="1"/>
  <c r="M175" i="3"/>
  <c r="BA165" i="1" s="1"/>
  <c r="K174" i="3"/>
  <c r="AY164" i="1" s="1"/>
  <c r="L174" i="3"/>
  <c r="AZ164" i="1" s="1"/>
  <c r="N174" i="3"/>
  <c r="BB164" i="1" s="1"/>
  <c r="O174" i="3"/>
  <c r="BC164" i="1" s="1"/>
  <c r="M174" i="3"/>
  <c r="BA164" i="1" s="1"/>
  <c r="K173" i="3"/>
  <c r="AY163" i="1" s="1"/>
  <c r="M173" i="3"/>
  <c r="BA163" i="1" s="1"/>
  <c r="L173" i="3"/>
  <c r="AZ163" i="1" s="1"/>
  <c r="O173" i="3"/>
  <c r="BC163" i="1" s="1"/>
  <c r="N173" i="3"/>
  <c r="BB163" i="1" s="1"/>
  <c r="N172" i="3"/>
  <c r="BB162" i="1" s="1"/>
  <c r="O172" i="3"/>
  <c r="BC162" i="1" s="1"/>
  <c r="K172" i="3"/>
  <c r="AY162" i="1" s="1"/>
  <c r="L172" i="3"/>
  <c r="AZ162" i="1" s="1"/>
  <c r="M172" i="3"/>
  <c r="BA162" i="1" s="1"/>
  <c r="K171" i="3"/>
  <c r="AY161" i="1" s="1"/>
  <c r="O171" i="3"/>
  <c r="BC161" i="1" s="1"/>
  <c r="L171" i="3"/>
  <c r="AZ161" i="1" s="1"/>
  <c r="N171" i="3"/>
  <c r="BB161" i="1" s="1"/>
  <c r="M171" i="3"/>
  <c r="BA161" i="1" s="1"/>
  <c r="O170" i="3"/>
  <c r="BC160" i="1" s="1"/>
  <c r="K170" i="3"/>
  <c r="AY160" i="1" s="1"/>
  <c r="M170" i="3"/>
  <c r="BA160" i="1" s="1"/>
  <c r="L170" i="3"/>
  <c r="AZ160" i="1" s="1"/>
  <c r="N170" i="3"/>
  <c r="BB160" i="1" s="1"/>
  <c r="O169" i="3"/>
  <c r="BC159" i="1" s="1"/>
  <c r="L169" i="3"/>
  <c r="AZ159" i="1" s="1"/>
  <c r="N169" i="3"/>
  <c r="BB159" i="1" s="1"/>
  <c r="K169" i="3"/>
  <c r="AY159" i="1" s="1"/>
  <c r="M169" i="3"/>
  <c r="BA159" i="1" s="1"/>
  <c r="O168" i="3"/>
  <c r="BC158" i="1" s="1"/>
  <c r="N168" i="3"/>
  <c r="BB158" i="1" s="1"/>
  <c r="L168" i="3"/>
  <c r="AZ158" i="1" s="1"/>
  <c r="M168" i="3"/>
  <c r="BA158" i="1" s="1"/>
  <c r="K168" i="3"/>
  <c r="AY158" i="1" s="1"/>
  <c r="O167" i="3"/>
  <c r="BC157" i="1" s="1"/>
  <c r="L167" i="3"/>
  <c r="AZ157" i="1" s="1"/>
  <c r="M167" i="3"/>
  <c r="BA157" i="1" s="1"/>
  <c r="K167" i="3"/>
  <c r="AY157" i="1" s="1"/>
  <c r="N167" i="3"/>
  <c r="BB157" i="1" s="1"/>
  <c r="N166" i="3"/>
  <c r="BB156" i="1" s="1"/>
  <c r="O166" i="3"/>
  <c r="BC156" i="1" s="1"/>
  <c r="L166" i="3"/>
  <c r="AZ156" i="1" s="1"/>
  <c r="K166" i="3"/>
  <c r="AY156" i="1" s="1"/>
  <c r="M166" i="3"/>
  <c r="BA156" i="1" s="1"/>
  <c r="N165" i="3"/>
  <c r="BB155" i="1" s="1"/>
  <c r="M165" i="3"/>
  <c r="BA155" i="1" s="1"/>
  <c r="O165" i="3"/>
  <c r="BC155" i="1" s="1"/>
  <c r="L165" i="3"/>
  <c r="AZ155" i="1" s="1"/>
  <c r="K165" i="3"/>
  <c r="AY155" i="1" s="1"/>
  <c r="M164" i="3"/>
  <c r="BA154" i="1" s="1"/>
  <c r="K164" i="3"/>
  <c r="AY154" i="1" s="1"/>
  <c r="N164" i="3"/>
  <c r="BB154" i="1" s="1"/>
  <c r="O164" i="3"/>
  <c r="BC154" i="1" s="1"/>
  <c r="L164" i="3"/>
  <c r="AZ154" i="1" s="1"/>
  <c r="N163" i="3"/>
  <c r="BB153" i="1" s="1"/>
  <c r="O163" i="3"/>
  <c r="BC153" i="1" s="1"/>
  <c r="K163" i="3"/>
  <c r="AY153" i="1" s="1"/>
  <c r="L163" i="3"/>
  <c r="AZ153" i="1" s="1"/>
  <c r="M163" i="3"/>
  <c r="BA153" i="1" s="1"/>
  <c r="K162" i="3"/>
  <c r="AY152" i="1" s="1"/>
  <c r="O162" i="3"/>
  <c r="BC152" i="1" s="1"/>
  <c r="L162" i="3"/>
  <c r="AZ152" i="1" s="1"/>
  <c r="M162" i="3"/>
  <c r="BA152" i="1" s="1"/>
  <c r="N162" i="3"/>
  <c r="BB152" i="1" s="1"/>
  <c r="O161" i="3"/>
  <c r="BC151" i="1" s="1"/>
  <c r="K161" i="3"/>
  <c r="AY151" i="1" s="1"/>
  <c r="N161" i="3"/>
  <c r="BB151" i="1" s="1"/>
  <c r="L161" i="3"/>
  <c r="AZ151" i="1" s="1"/>
  <c r="M161" i="3"/>
  <c r="BA151" i="1" s="1"/>
  <c r="O160" i="3"/>
  <c r="BC150" i="1" s="1"/>
  <c r="L160" i="3"/>
  <c r="AZ150" i="1" s="1"/>
  <c r="N160" i="3"/>
  <c r="BB150" i="1" s="1"/>
  <c r="K160" i="3"/>
  <c r="AY150" i="1" s="1"/>
  <c r="M160" i="3"/>
  <c r="BA150" i="1" s="1"/>
  <c r="M159" i="3"/>
  <c r="BA149" i="1" s="1"/>
  <c r="K159" i="3"/>
  <c r="AY149" i="1" s="1"/>
  <c r="N159" i="3"/>
  <c r="BB149" i="1" s="1"/>
  <c r="L159" i="3"/>
  <c r="AZ149" i="1" s="1"/>
  <c r="O159" i="3"/>
  <c r="BC149" i="1" s="1"/>
  <c r="K158" i="3"/>
  <c r="AY148" i="1" s="1"/>
  <c r="L158" i="3"/>
  <c r="AZ148" i="1" s="1"/>
  <c r="N158" i="3"/>
  <c r="BB148" i="1" s="1"/>
  <c r="M158" i="3"/>
  <c r="BA148" i="1" s="1"/>
  <c r="O158" i="3"/>
  <c r="BC148" i="1" s="1"/>
  <c r="O157" i="3"/>
  <c r="BC147" i="1" s="1"/>
  <c r="M157" i="3"/>
  <c r="BA147" i="1" s="1"/>
  <c r="K157" i="3"/>
  <c r="AY147" i="1" s="1"/>
  <c r="N157" i="3"/>
  <c r="BB147" i="1" s="1"/>
  <c r="L157" i="3"/>
  <c r="AZ147" i="1" s="1"/>
  <c r="L156" i="3"/>
  <c r="AZ146" i="1" s="1"/>
  <c r="N156" i="3"/>
  <c r="BB146" i="1" s="1"/>
  <c r="M156" i="3"/>
  <c r="BA146" i="1" s="1"/>
  <c r="O156" i="3"/>
  <c r="BC146" i="1" s="1"/>
  <c r="K156" i="3"/>
  <c r="AY146" i="1" s="1"/>
  <c r="M155" i="3"/>
  <c r="BA145" i="1" s="1"/>
  <c r="O155" i="3"/>
  <c r="BC145" i="1" s="1"/>
  <c r="N155" i="3"/>
  <c r="BB145" i="1" s="1"/>
  <c r="K155" i="3"/>
  <c r="AY145" i="1" s="1"/>
  <c r="L155" i="3"/>
  <c r="AZ145" i="1" s="1"/>
  <c r="O154" i="3"/>
  <c r="BC144" i="1" s="1"/>
  <c r="K154" i="3"/>
  <c r="AY144" i="1" s="1"/>
  <c r="M154" i="3"/>
  <c r="BA144" i="1" s="1"/>
  <c r="L154" i="3"/>
  <c r="AZ144" i="1" s="1"/>
  <c r="N154" i="3"/>
  <c r="BB144" i="1" s="1"/>
  <c r="N153" i="3"/>
  <c r="BB143" i="1" s="1"/>
  <c r="K153" i="3"/>
  <c r="AY143" i="1" s="1"/>
  <c r="M153" i="3"/>
  <c r="BA143" i="1" s="1"/>
  <c r="L153" i="3"/>
  <c r="AZ143" i="1" s="1"/>
  <c r="O153" i="3"/>
  <c r="BC143" i="1" s="1"/>
  <c r="O152" i="3"/>
  <c r="BC142" i="1" s="1"/>
  <c r="K152" i="3"/>
  <c r="AY142" i="1" s="1"/>
  <c r="L152" i="3"/>
  <c r="AZ142" i="1" s="1"/>
  <c r="N152" i="3"/>
  <c r="BB142" i="1" s="1"/>
  <c r="M152" i="3"/>
  <c r="BA142" i="1" s="1"/>
  <c r="M151" i="3"/>
  <c r="BA141" i="1" s="1"/>
  <c r="O151" i="3"/>
  <c r="BC141" i="1" s="1"/>
  <c r="L151" i="3"/>
  <c r="AZ141" i="1" s="1"/>
  <c r="K151" i="3"/>
  <c r="AY141" i="1" s="1"/>
  <c r="N151" i="3"/>
  <c r="BB141" i="1" s="1"/>
  <c r="L150" i="3"/>
  <c r="AZ140" i="1" s="1"/>
  <c r="O150" i="3"/>
  <c r="BC140" i="1" s="1"/>
  <c r="M150" i="3"/>
  <c r="BA140" i="1" s="1"/>
  <c r="N150" i="3"/>
  <c r="BB140" i="1" s="1"/>
  <c r="K150" i="3"/>
  <c r="AY140" i="1" s="1"/>
  <c r="K149" i="3"/>
  <c r="AY139" i="1" s="1"/>
  <c r="M149" i="3"/>
  <c r="BA139" i="1" s="1"/>
  <c r="L149" i="3"/>
  <c r="AZ139" i="1" s="1"/>
  <c r="N149" i="3"/>
  <c r="BB139" i="1" s="1"/>
  <c r="O149" i="3"/>
  <c r="BC139" i="1" s="1"/>
  <c r="N148" i="3"/>
  <c r="BB138" i="1" s="1"/>
  <c r="O148" i="3"/>
  <c r="BC138" i="1" s="1"/>
  <c r="M148" i="3"/>
  <c r="BA138" i="1" s="1"/>
  <c r="L148" i="3"/>
  <c r="AZ138" i="1" s="1"/>
  <c r="K148" i="3"/>
  <c r="AY138" i="1" s="1"/>
  <c r="L147" i="3"/>
  <c r="AZ137" i="1" s="1"/>
  <c r="O147" i="3"/>
  <c r="BC137" i="1" s="1"/>
  <c r="K147" i="3"/>
  <c r="AY137" i="1" s="1"/>
  <c r="N147" i="3"/>
  <c r="BB137" i="1" s="1"/>
  <c r="M147" i="3"/>
  <c r="BA137" i="1" s="1"/>
  <c r="K146" i="3"/>
  <c r="AY136" i="1" s="1"/>
  <c r="N146" i="3"/>
  <c r="BB136" i="1" s="1"/>
  <c r="L146" i="3"/>
  <c r="AZ136" i="1" s="1"/>
  <c r="M146" i="3"/>
  <c r="BA136" i="1" s="1"/>
  <c r="O146" i="3"/>
  <c r="BC136" i="1" s="1"/>
  <c r="N145" i="3"/>
  <c r="BB135" i="1" s="1"/>
  <c r="K145" i="3"/>
  <c r="AY135" i="1" s="1"/>
  <c r="M145" i="3"/>
  <c r="BA135" i="1" s="1"/>
  <c r="O145" i="3"/>
  <c r="BC135" i="1" s="1"/>
  <c r="L145" i="3"/>
  <c r="AZ135" i="1" s="1"/>
  <c r="N144" i="3"/>
  <c r="BB134" i="1" s="1"/>
  <c r="K144" i="3"/>
  <c r="AY134" i="1" s="1"/>
  <c r="M144" i="3"/>
  <c r="BA134" i="1" s="1"/>
  <c r="O144" i="3"/>
  <c r="BC134" i="1" s="1"/>
  <c r="L144" i="3"/>
  <c r="AZ134" i="1" s="1"/>
  <c r="M143" i="3"/>
  <c r="BA133" i="1" s="1"/>
  <c r="N143" i="3"/>
  <c r="BB133" i="1" s="1"/>
  <c r="O143" i="3"/>
  <c r="BC133" i="1" s="1"/>
  <c r="L143" i="3"/>
  <c r="AZ133" i="1" s="1"/>
  <c r="K143" i="3"/>
  <c r="AY133" i="1" s="1"/>
  <c r="L142" i="3"/>
  <c r="AZ132" i="1" s="1"/>
  <c r="K142" i="3"/>
  <c r="AY132" i="1" s="1"/>
  <c r="M142" i="3"/>
  <c r="BA132" i="1" s="1"/>
  <c r="N142" i="3"/>
  <c r="BB132" i="1" s="1"/>
  <c r="O142" i="3"/>
  <c r="BC132" i="1" s="1"/>
  <c r="K141" i="3"/>
  <c r="AY131" i="1" s="1"/>
  <c r="L141" i="3"/>
  <c r="AZ131" i="1" s="1"/>
  <c r="O141" i="3"/>
  <c r="BC131" i="1" s="1"/>
  <c r="N141" i="3"/>
  <c r="BB131" i="1" s="1"/>
  <c r="M141" i="3"/>
  <c r="BA131" i="1" s="1"/>
  <c r="L140" i="3"/>
  <c r="AZ130" i="1" s="1"/>
  <c r="K140" i="3"/>
  <c r="AY130" i="1" s="1"/>
  <c r="M140" i="3"/>
  <c r="BA130" i="1" s="1"/>
  <c r="O140" i="3"/>
  <c r="BC130" i="1" s="1"/>
  <c r="N140" i="3"/>
  <c r="BB130" i="1" s="1"/>
  <c r="K139" i="3"/>
  <c r="AY129" i="1" s="1"/>
  <c r="N139" i="3"/>
  <c r="BB129" i="1" s="1"/>
  <c r="O139" i="3"/>
  <c r="BC129" i="1" s="1"/>
  <c r="M139" i="3"/>
  <c r="BA129" i="1" s="1"/>
  <c r="L139" i="3"/>
  <c r="AZ129" i="1" s="1"/>
  <c r="O138" i="3"/>
  <c r="BC128" i="1" s="1"/>
  <c r="M138" i="3"/>
  <c r="BA128" i="1" s="1"/>
  <c r="N138" i="3"/>
  <c r="BB128" i="1" s="1"/>
  <c r="L138" i="3"/>
  <c r="AZ128" i="1" s="1"/>
  <c r="K138" i="3"/>
  <c r="AY128" i="1" s="1"/>
  <c r="N137" i="3"/>
  <c r="BB127" i="1" s="1"/>
  <c r="M137" i="3"/>
  <c r="BA127" i="1" s="1"/>
  <c r="O137" i="3"/>
  <c r="BC127" i="1" s="1"/>
  <c r="K137" i="3"/>
  <c r="AY127" i="1" s="1"/>
  <c r="L137" i="3"/>
  <c r="AZ127" i="1" s="1"/>
  <c r="O136" i="3"/>
  <c r="BC126" i="1" s="1"/>
  <c r="L136" i="3"/>
  <c r="AZ126" i="1" s="1"/>
  <c r="N136" i="3"/>
  <c r="BB126" i="1" s="1"/>
  <c r="M136" i="3"/>
  <c r="BA126" i="1" s="1"/>
  <c r="K136" i="3"/>
  <c r="AY126" i="1" s="1"/>
  <c r="L135" i="3"/>
  <c r="AZ125" i="1" s="1"/>
  <c r="M135" i="3"/>
  <c r="BA125" i="1" s="1"/>
  <c r="N135" i="3"/>
  <c r="BB125" i="1" s="1"/>
  <c r="K135" i="3"/>
  <c r="AY125" i="1" s="1"/>
  <c r="O135" i="3"/>
  <c r="BC125" i="1" s="1"/>
  <c r="N134" i="3"/>
  <c r="BB124" i="1" s="1"/>
  <c r="O134" i="3"/>
  <c r="BC124" i="1" s="1"/>
  <c r="L134" i="3"/>
  <c r="AZ124" i="1" s="1"/>
  <c r="M134" i="3"/>
  <c r="BA124" i="1" s="1"/>
  <c r="K134" i="3"/>
  <c r="AY124" i="1" s="1"/>
  <c r="N133" i="3"/>
  <c r="BB123" i="1" s="1"/>
  <c r="K133" i="3"/>
  <c r="AY123" i="1" s="1"/>
  <c r="L133" i="3"/>
  <c r="AZ123" i="1" s="1"/>
  <c r="M133" i="3"/>
  <c r="BA123" i="1" s="1"/>
  <c r="O133" i="3"/>
  <c r="BC123" i="1" s="1"/>
  <c r="L132" i="3"/>
  <c r="AZ122" i="1" s="1"/>
  <c r="N132" i="3"/>
  <c r="BB122" i="1" s="1"/>
  <c r="O132" i="3"/>
  <c r="BC122" i="1" s="1"/>
  <c r="M132" i="3"/>
  <c r="BA122" i="1" s="1"/>
  <c r="K132" i="3"/>
  <c r="AY122" i="1" s="1"/>
  <c r="O131" i="3"/>
  <c r="BC121" i="1" s="1"/>
  <c r="K131" i="3"/>
  <c r="AY121" i="1" s="1"/>
  <c r="N131" i="3"/>
  <c r="BB121" i="1" s="1"/>
  <c r="M131" i="3"/>
  <c r="BA121" i="1" s="1"/>
  <c r="L131" i="3"/>
  <c r="AZ121" i="1" s="1"/>
  <c r="M130" i="3"/>
  <c r="BA120" i="1" s="1"/>
  <c r="K130" i="3"/>
  <c r="AY120" i="1" s="1"/>
  <c r="L130" i="3"/>
  <c r="AZ120" i="1" s="1"/>
  <c r="O130" i="3"/>
  <c r="BC120" i="1" s="1"/>
  <c r="N130" i="3"/>
  <c r="BB120" i="1" s="1"/>
  <c r="K129" i="3"/>
  <c r="AY119" i="1" s="1"/>
  <c r="N129" i="3"/>
  <c r="BB119" i="1" s="1"/>
  <c r="O129" i="3"/>
  <c r="BC119" i="1" s="1"/>
  <c r="L129" i="3"/>
  <c r="AZ119" i="1" s="1"/>
  <c r="M129" i="3"/>
  <c r="BA119" i="1" s="1"/>
  <c r="O128" i="3"/>
  <c r="BC118" i="1" s="1"/>
  <c r="L128" i="3"/>
  <c r="AZ118" i="1" s="1"/>
  <c r="M128" i="3"/>
  <c r="BA118" i="1" s="1"/>
  <c r="N128" i="3"/>
  <c r="BB118" i="1" s="1"/>
  <c r="K128" i="3"/>
  <c r="AY118" i="1" s="1"/>
  <c r="M127" i="3"/>
  <c r="BA117" i="1" s="1"/>
  <c r="K127" i="3"/>
  <c r="AY117" i="1" s="1"/>
  <c r="O127" i="3"/>
  <c r="BC117" i="1" s="1"/>
  <c r="N127" i="3"/>
  <c r="BB117" i="1" s="1"/>
  <c r="L127" i="3"/>
  <c r="AZ117" i="1" s="1"/>
  <c r="M126" i="3"/>
  <c r="BA116" i="1" s="1"/>
  <c r="N126" i="3"/>
  <c r="BB116" i="1" s="1"/>
  <c r="L126" i="3"/>
  <c r="AZ116" i="1" s="1"/>
  <c r="K126" i="3"/>
  <c r="AY116" i="1" s="1"/>
  <c r="O126" i="3"/>
  <c r="BC116" i="1" s="1"/>
  <c r="O125" i="3"/>
  <c r="BC115" i="1" s="1"/>
  <c r="L125" i="3"/>
  <c r="AZ115" i="1" s="1"/>
  <c r="K125" i="3"/>
  <c r="AY115" i="1" s="1"/>
  <c r="N125" i="3"/>
  <c r="BB115" i="1" s="1"/>
  <c r="M125" i="3"/>
  <c r="BA115" i="1" s="1"/>
  <c r="L124" i="3"/>
  <c r="AZ114" i="1" s="1"/>
  <c r="M124" i="3"/>
  <c r="BA114" i="1" s="1"/>
  <c r="O124" i="3"/>
  <c r="BC114" i="1" s="1"/>
  <c r="N124" i="3"/>
  <c r="BB114" i="1" s="1"/>
  <c r="K124" i="3"/>
  <c r="AY114" i="1" s="1"/>
  <c r="M123" i="3"/>
  <c r="BA113" i="1" s="1"/>
  <c r="O123" i="3"/>
  <c r="BC113" i="1" s="1"/>
  <c r="L123" i="3"/>
  <c r="AZ113" i="1" s="1"/>
  <c r="K123" i="3"/>
  <c r="AY113" i="1" s="1"/>
  <c r="N123" i="3"/>
  <c r="BB113" i="1" s="1"/>
  <c r="O122" i="3"/>
  <c r="BC112" i="1" s="1"/>
  <c r="K122" i="3"/>
  <c r="AY112" i="1" s="1"/>
  <c r="N122" i="3"/>
  <c r="BB112" i="1" s="1"/>
  <c r="L122" i="3"/>
  <c r="AZ112" i="1" s="1"/>
  <c r="M122" i="3"/>
  <c r="BA112" i="1" s="1"/>
  <c r="N121" i="3"/>
  <c r="BB111" i="1" s="1"/>
  <c r="M121" i="3"/>
  <c r="BA111" i="1" s="1"/>
  <c r="O121" i="3"/>
  <c r="BC111" i="1" s="1"/>
  <c r="K121" i="3"/>
  <c r="AY111" i="1" s="1"/>
  <c r="L121" i="3"/>
  <c r="AZ111" i="1" s="1"/>
  <c r="O120" i="3"/>
  <c r="BC110" i="1" s="1"/>
  <c r="M120" i="3"/>
  <c r="BA110" i="1" s="1"/>
  <c r="N120" i="3"/>
  <c r="BB110" i="1" s="1"/>
  <c r="L120" i="3"/>
  <c r="AZ110" i="1" s="1"/>
  <c r="K120" i="3"/>
  <c r="AY110" i="1" s="1"/>
  <c r="K119" i="3"/>
  <c r="AY109" i="1" s="1"/>
  <c r="L119" i="3"/>
  <c r="AZ109" i="1" s="1"/>
  <c r="O119" i="3"/>
  <c r="BC109" i="1" s="1"/>
  <c r="M119" i="3"/>
  <c r="BA109" i="1" s="1"/>
  <c r="N119" i="3"/>
  <c r="BB109" i="1" s="1"/>
  <c r="L118" i="3"/>
  <c r="AZ108" i="1" s="1"/>
  <c r="M118" i="3"/>
  <c r="BA108" i="1" s="1"/>
  <c r="O118" i="3"/>
  <c r="BC108" i="1" s="1"/>
  <c r="N118" i="3"/>
  <c r="BB108" i="1" s="1"/>
  <c r="K118" i="3"/>
  <c r="AY108" i="1" s="1"/>
  <c r="M117" i="3"/>
  <c r="BA107" i="1" s="1"/>
  <c r="K117" i="3"/>
  <c r="AY107" i="1" s="1"/>
  <c r="L117" i="3"/>
  <c r="AZ107" i="1" s="1"/>
  <c r="N117" i="3"/>
  <c r="BB107" i="1" s="1"/>
  <c r="O117" i="3"/>
  <c r="BC107" i="1" s="1"/>
  <c r="M116" i="3"/>
  <c r="BA106" i="1" s="1"/>
  <c r="N116" i="3"/>
  <c r="BB106" i="1" s="1"/>
  <c r="K116" i="3"/>
  <c r="AY106" i="1" s="1"/>
  <c r="L116" i="3"/>
  <c r="AZ106" i="1" s="1"/>
  <c r="O116" i="3"/>
  <c r="BC106" i="1" s="1"/>
  <c r="K115" i="3"/>
  <c r="AY105" i="1" s="1"/>
  <c r="L115" i="3"/>
  <c r="AZ105" i="1" s="1"/>
  <c r="N115" i="3"/>
  <c r="BB105" i="1" s="1"/>
  <c r="M115" i="3"/>
  <c r="BA105" i="1" s="1"/>
  <c r="O115" i="3"/>
  <c r="BC105" i="1" s="1"/>
  <c r="K114" i="3"/>
  <c r="AY104" i="1" s="1"/>
  <c r="L114" i="3"/>
  <c r="AZ104" i="1" s="1"/>
  <c r="M114" i="3"/>
  <c r="BA104" i="1" s="1"/>
  <c r="O114" i="3"/>
  <c r="BC104" i="1" s="1"/>
  <c r="N114" i="3"/>
  <c r="BB104" i="1" s="1"/>
  <c r="L113" i="3"/>
  <c r="AZ103" i="1" s="1"/>
  <c r="K113" i="3"/>
  <c r="AY103" i="1" s="1"/>
  <c r="M113" i="3"/>
  <c r="BA103" i="1" s="1"/>
  <c r="N113" i="3"/>
  <c r="BB103" i="1" s="1"/>
  <c r="O113" i="3"/>
  <c r="BC103" i="1" s="1"/>
  <c r="N112" i="3"/>
  <c r="BB102" i="1" s="1"/>
  <c r="K112" i="3"/>
  <c r="AY102" i="1" s="1"/>
  <c r="L112" i="3"/>
  <c r="AZ102" i="1" s="1"/>
  <c r="M112" i="3"/>
  <c r="BA102" i="1" s="1"/>
  <c r="O112" i="3"/>
  <c r="BC102" i="1" s="1"/>
  <c r="M111" i="3"/>
  <c r="BA101" i="1" s="1"/>
  <c r="O111" i="3"/>
  <c r="BC101" i="1" s="1"/>
  <c r="N111" i="3"/>
  <c r="BB101" i="1" s="1"/>
  <c r="L111" i="3"/>
  <c r="AZ101" i="1" s="1"/>
  <c r="K111" i="3"/>
  <c r="AY101" i="1" s="1"/>
  <c r="O110" i="3"/>
  <c r="BC100" i="1" s="1"/>
  <c r="M110" i="3"/>
  <c r="BA100" i="1" s="1"/>
  <c r="K110" i="3"/>
  <c r="AY100" i="1" s="1"/>
  <c r="L110" i="3"/>
  <c r="AZ100" i="1" s="1"/>
  <c r="N109" i="3"/>
  <c r="BB99" i="1" s="1"/>
  <c r="O109" i="3"/>
  <c r="BC99" i="1" s="1"/>
  <c r="K109" i="3"/>
  <c r="AY99" i="1" s="1"/>
  <c r="L109" i="3"/>
  <c r="AZ99" i="1" s="1"/>
  <c r="M109" i="3"/>
  <c r="BA99" i="1" s="1"/>
  <c r="M108" i="3"/>
  <c r="BA98" i="1" s="1"/>
  <c r="K108" i="3"/>
  <c r="AY98" i="1" s="1"/>
  <c r="N108" i="3"/>
  <c r="BB98" i="1" s="1"/>
  <c r="O108" i="3"/>
  <c r="BC98" i="1" s="1"/>
  <c r="L108" i="3"/>
  <c r="AZ98" i="1" s="1"/>
  <c r="L107" i="3"/>
  <c r="AZ97" i="1" s="1"/>
  <c r="M107" i="3"/>
  <c r="BA97" i="1" s="1"/>
  <c r="K107" i="3"/>
  <c r="AY97" i="1" s="1"/>
  <c r="N107" i="3"/>
  <c r="BB97" i="1" s="1"/>
  <c r="O107" i="3"/>
  <c r="BC97" i="1" s="1"/>
  <c r="M106" i="3"/>
  <c r="BA96" i="1" s="1"/>
  <c r="L106" i="3"/>
  <c r="AZ96" i="1" s="1"/>
  <c r="K106" i="3"/>
  <c r="AY96" i="1" s="1"/>
  <c r="O106" i="3"/>
  <c r="BC96" i="1" s="1"/>
  <c r="N106" i="3"/>
  <c r="BB96" i="1" s="1"/>
  <c r="O105" i="3"/>
  <c r="BC95" i="1" s="1"/>
  <c r="N105" i="3"/>
  <c r="BB95" i="1" s="1"/>
  <c r="M105" i="3"/>
  <c r="BA95" i="1" s="1"/>
  <c r="L105" i="3"/>
  <c r="AZ95" i="1" s="1"/>
  <c r="K105" i="3"/>
  <c r="AY95" i="1" s="1"/>
  <c r="N104" i="3"/>
  <c r="BB94" i="1" s="1"/>
  <c r="K104" i="3"/>
  <c r="AY94" i="1" s="1"/>
  <c r="M104" i="3"/>
  <c r="BA94" i="1" s="1"/>
  <c r="L104" i="3"/>
  <c r="AZ94" i="1" s="1"/>
  <c r="O104" i="3"/>
  <c r="BC94" i="1" s="1"/>
  <c r="M103" i="3"/>
  <c r="BA93" i="1" s="1"/>
  <c r="K103" i="3"/>
  <c r="AY93" i="1" s="1"/>
  <c r="L103" i="3"/>
  <c r="AZ93" i="1" s="1"/>
  <c r="N103" i="3"/>
  <c r="BB93" i="1" s="1"/>
  <c r="O103" i="3"/>
  <c r="BC93" i="1" s="1"/>
  <c r="N102" i="3"/>
  <c r="BB92" i="1" s="1"/>
  <c r="M102" i="3"/>
  <c r="BA92" i="1" s="1"/>
  <c r="O102" i="3"/>
  <c r="BC92" i="1" s="1"/>
  <c r="L102" i="3"/>
  <c r="AZ92" i="1" s="1"/>
  <c r="K102" i="3"/>
  <c r="AY92" i="1" s="1"/>
  <c r="N101" i="3"/>
  <c r="BB91" i="1" s="1"/>
  <c r="O101" i="3"/>
  <c r="BC91" i="1" s="1"/>
  <c r="K101" i="3"/>
  <c r="AY91" i="1" s="1"/>
  <c r="L101" i="3"/>
  <c r="AZ91" i="1" s="1"/>
  <c r="M101" i="3"/>
  <c r="BA91" i="1" s="1"/>
  <c r="N100" i="3"/>
  <c r="BB90" i="1" s="1"/>
  <c r="K100" i="3"/>
  <c r="AY90" i="1" s="1"/>
  <c r="O100" i="3"/>
  <c r="BC90" i="1" s="1"/>
  <c r="L100" i="3"/>
  <c r="AZ90" i="1" s="1"/>
  <c r="M100" i="3"/>
  <c r="BA90" i="1" s="1"/>
  <c r="N99" i="3"/>
  <c r="BB89" i="1" s="1"/>
  <c r="M99" i="3"/>
  <c r="BA89" i="1" s="1"/>
  <c r="L99" i="3"/>
  <c r="AZ89" i="1" s="1"/>
  <c r="K99" i="3"/>
  <c r="AY89" i="1" s="1"/>
  <c r="N98" i="3"/>
  <c r="BB88" i="1" s="1"/>
  <c r="O98" i="3"/>
  <c r="BC88" i="1" s="1"/>
  <c r="L98" i="3"/>
  <c r="AZ88" i="1" s="1"/>
  <c r="M98" i="3"/>
  <c r="BA88" i="1" s="1"/>
  <c r="K98" i="3"/>
  <c r="AY88" i="1" s="1"/>
  <c r="L97" i="3"/>
  <c r="AZ87" i="1" s="1"/>
  <c r="N97" i="3"/>
  <c r="BB87" i="1" s="1"/>
  <c r="K97" i="3"/>
  <c r="AY87" i="1" s="1"/>
  <c r="M97" i="3"/>
  <c r="BA87" i="1" s="1"/>
  <c r="O97" i="3"/>
  <c r="BC87" i="1" s="1"/>
  <c r="N96" i="3"/>
  <c r="BB86" i="1" s="1"/>
  <c r="O96" i="3"/>
  <c r="BC86" i="1" s="1"/>
  <c r="K96" i="3"/>
  <c r="AY86" i="1" s="1"/>
  <c r="M96" i="3"/>
  <c r="BA86" i="1" s="1"/>
  <c r="L96" i="3"/>
  <c r="AZ86" i="1" s="1"/>
  <c r="O95" i="3"/>
  <c r="BC85" i="1" s="1"/>
  <c r="N95" i="3"/>
  <c r="BB85" i="1" s="1"/>
  <c r="L95" i="3"/>
  <c r="AZ85" i="1" s="1"/>
  <c r="M95" i="3"/>
  <c r="BA85" i="1" s="1"/>
  <c r="K95" i="3"/>
  <c r="AY85" i="1" s="1"/>
  <c r="M94" i="3"/>
  <c r="BA84" i="1" s="1"/>
  <c r="N94" i="3"/>
  <c r="BB84" i="1" s="1"/>
  <c r="O94" i="3"/>
  <c r="BC84" i="1" s="1"/>
  <c r="K94" i="3"/>
  <c r="AY84" i="1" s="1"/>
  <c r="L94" i="3"/>
  <c r="AZ84" i="1" s="1"/>
  <c r="L93" i="3"/>
  <c r="AZ83" i="1" s="1"/>
  <c r="K93" i="3"/>
  <c r="AY83" i="1" s="1"/>
  <c r="O93" i="3"/>
  <c r="BC83" i="1" s="1"/>
  <c r="M93" i="3"/>
  <c r="BA83" i="1" s="1"/>
  <c r="N93" i="3"/>
  <c r="BB83" i="1" s="1"/>
  <c r="L92" i="3"/>
  <c r="AZ82" i="1" s="1"/>
  <c r="K92" i="3"/>
  <c r="AY82" i="1" s="1"/>
  <c r="M92" i="3"/>
  <c r="BA82" i="1" s="1"/>
  <c r="N92" i="3"/>
  <c r="BB82" i="1" s="1"/>
  <c r="O92" i="3"/>
  <c r="BC82" i="1" s="1"/>
  <c r="M91" i="3"/>
  <c r="BA81" i="1" s="1"/>
  <c r="L91" i="3"/>
  <c r="AZ81" i="1" s="1"/>
  <c r="O91" i="3"/>
  <c r="BC81" i="1" s="1"/>
  <c r="K91" i="3"/>
  <c r="AY81" i="1" s="1"/>
  <c r="N91" i="3"/>
  <c r="BB81" i="1" s="1"/>
  <c r="K90" i="3"/>
  <c r="AY80" i="1" s="1"/>
  <c r="L90" i="3"/>
  <c r="AZ80" i="1" s="1"/>
  <c r="O90" i="3"/>
  <c r="BC80" i="1" s="1"/>
  <c r="N90" i="3"/>
  <c r="BB80" i="1" s="1"/>
  <c r="L89" i="3"/>
  <c r="AZ79" i="1" s="1"/>
  <c r="M89" i="3"/>
  <c r="BA79" i="1" s="1"/>
  <c r="K89" i="3"/>
  <c r="AY79" i="1" s="1"/>
  <c r="N89" i="3"/>
  <c r="BB79" i="1" s="1"/>
  <c r="N88" i="3"/>
  <c r="BB78" i="1" s="1"/>
  <c r="O88" i="3"/>
  <c r="BC78" i="1" s="1"/>
  <c r="K88" i="3"/>
  <c r="AY78" i="1" s="1"/>
  <c r="L88" i="3"/>
  <c r="AZ78" i="1" s="1"/>
  <c r="M88" i="3"/>
  <c r="BA78" i="1" s="1"/>
  <c r="M87" i="3"/>
  <c r="BA77" i="1" s="1"/>
  <c r="K87" i="3"/>
  <c r="AY77" i="1" s="1"/>
  <c r="N87" i="3"/>
  <c r="BB77" i="1" s="1"/>
  <c r="L87" i="3"/>
  <c r="AZ77" i="1" s="1"/>
  <c r="O87" i="3"/>
  <c r="BC77" i="1" s="1"/>
  <c r="M86" i="3"/>
  <c r="BA76" i="1" s="1"/>
  <c r="K86" i="3"/>
  <c r="AY76" i="1" s="1"/>
  <c r="L86" i="3"/>
  <c r="AZ76" i="1" s="1"/>
  <c r="N86" i="3"/>
  <c r="BB76" i="1" s="1"/>
  <c r="O86" i="3"/>
  <c r="BC76" i="1" s="1"/>
  <c r="O85" i="3"/>
  <c r="BC75" i="1" s="1"/>
  <c r="N85" i="3"/>
  <c r="BB75" i="1" s="1"/>
  <c r="M85" i="3"/>
  <c r="BA75" i="1" s="1"/>
  <c r="L85" i="3"/>
  <c r="AZ75" i="1" s="1"/>
  <c r="K85" i="3"/>
  <c r="AY75" i="1" s="1"/>
  <c r="N84" i="3"/>
  <c r="BB74" i="1" s="1"/>
  <c r="M84" i="3"/>
  <c r="BA74" i="1" s="1"/>
  <c r="O84" i="3"/>
  <c r="BC74" i="1" s="1"/>
  <c r="L84" i="3"/>
  <c r="AZ74" i="1" s="1"/>
  <c r="K84" i="3"/>
  <c r="AY74" i="1" s="1"/>
  <c r="O83" i="3"/>
  <c r="BC73" i="1" s="1"/>
  <c r="K83" i="3"/>
  <c r="AY73" i="1" s="1"/>
  <c r="M83" i="3"/>
  <c r="BA73" i="1" s="1"/>
  <c r="L83" i="3"/>
  <c r="AZ73" i="1" s="1"/>
  <c r="N83" i="3"/>
  <c r="BB73" i="1" s="1"/>
  <c r="K82" i="3"/>
  <c r="AY72" i="1" s="1"/>
  <c r="L82" i="3"/>
  <c r="AZ72" i="1" s="1"/>
  <c r="M82" i="3"/>
  <c r="BA72" i="1" s="1"/>
  <c r="N82" i="3"/>
  <c r="BB72" i="1" s="1"/>
  <c r="O82" i="3"/>
  <c r="BC72" i="1" s="1"/>
  <c r="K81" i="3"/>
  <c r="AY71" i="1" s="1"/>
  <c r="L81" i="3"/>
  <c r="AZ71" i="1" s="1"/>
  <c r="M81" i="3"/>
  <c r="BA71" i="1" s="1"/>
  <c r="N81" i="3"/>
  <c r="BB71" i="1" s="1"/>
  <c r="O81" i="3"/>
  <c r="BC71" i="1" s="1"/>
  <c r="K80" i="3"/>
  <c r="AY70" i="1" s="1"/>
  <c r="L80" i="3"/>
  <c r="AZ70" i="1" s="1"/>
  <c r="O80" i="3"/>
  <c r="BC70" i="1" s="1"/>
  <c r="M80" i="3"/>
  <c r="BA70" i="1" s="1"/>
  <c r="N80" i="3"/>
  <c r="BB70" i="1" s="1"/>
  <c r="K79" i="3"/>
  <c r="AY69" i="1" s="1"/>
  <c r="L79" i="3"/>
  <c r="AZ69" i="1" s="1"/>
  <c r="M79" i="3"/>
  <c r="BA69" i="1" s="1"/>
  <c r="N79" i="3"/>
  <c r="BB69" i="1" s="1"/>
  <c r="O79" i="3"/>
  <c r="BC69" i="1" s="1"/>
  <c r="M78" i="3"/>
  <c r="BA68" i="1" s="1"/>
  <c r="O78" i="3"/>
  <c r="BC68" i="1" s="1"/>
  <c r="K78" i="3"/>
  <c r="AY68" i="1" s="1"/>
  <c r="N78" i="3"/>
  <c r="BB68" i="1" s="1"/>
  <c r="L78" i="3"/>
  <c r="AZ68" i="1" s="1"/>
  <c r="L77" i="3"/>
  <c r="AZ67" i="1" s="1"/>
  <c r="M77" i="3"/>
  <c r="BA67" i="1" s="1"/>
  <c r="N77" i="3"/>
  <c r="BB67" i="1" s="1"/>
  <c r="O77" i="3"/>
  <c r="BC67" i="1" s="1"/>
  <c r="K77" i="3"/>
  <c r="AY67" i="1" s="1"/>
  <c r="O76" i="3"/>
  <c r="BC66" i="1" s="1"/>
  <c r="K76" i="3"/>
  <c r="AY66" i="1" s="1"/>
  <c r="L76" i="3"/>
  <c r="AZ66" i="1" s="1"/>
  <c r="M76" i="3"/>
  <c r="BA66" i="1" s="1"/>
  <c r="N76" i="3"/>
  <c r="BB66" i="1" s="1"/>
  <c r="L75" i="3"/>
  <c r="AZ65" i="1" s="1"/>
  <c r="M75" i="3"/>
  <c r="BA65" i="1" s="1"/>
  <c r="N75" i="3"/>
  <c r="BB65" i="1" s="1"/>
  <c r="O75" i="3"/>
  <c r="BC65" i="1" s="1"/>
  <c r="K75" i="3"/>
  <c r="AY65" i="1" s="1"/>
  <c r="N74" i="3"/>
  <c r="BB64" i="1" s="1"/>
  <c r="M74" i="3"/>
  <c r="BA64" i="1" s="1"/>
  <c r="O74" i="3"/>
  <c r="BC64" i="1" s="1"/>
  <c r="L74" i="3"/>
  <c r="AZ64" i="1" s="1"/>
  <c r="K74" i="3"/>
  <c r="AY64" i="1" s="1"/>
  <c r="O73" i="3"/>
  <c r="BC63" i="1" s="1"/>
  <c r="N73" i="3"/>
  <c r="BB63" i="1" s="1"/>
  <c r="M73" i="3"/>
  <c r="BA63" i="1" s="1"/>
  <c r="L73" i="3"/>
  <c r="AZ63" i="1" s="1"/>
  <c r="K73" i="3"/>
  <c r="AY63" i="1" s="1"/>
  <c r="L72" i="3"/>
  <c r="AZ62" i="1" s="1"/>
  <c r="M72" i="3"/>
  <c r="BA62" i="1" s="1"/>
  <c r="K72" i="3"/>
  <c r="AY62" i="1" s="1"/>
  <c r="O72" i="3"/>
  <c r="BC62" i="1" s="1"/>
  <c r="N72" i="3"/>
  <c r="BB62" i="1" s="1"/>
  <c r="M71" i="3"/>
  <c r="BA61" i="1" s="1"/>
  <c r="N71" i="3"/>
  <c r="BB61" i="1" s="1"/>
  <c r="O71" i="3"/>
  <c r="BC61" i="1" s="1"/>
  <c r="K71" i="3"/>
  <c r="AY61" i="1" s="1"/>
  <c r="L70" i="3"/>
  <c r="AZ60" i="1" s="1"/>
  <c r="K70" i="3"/>
  <c r="AY60" i="1" s="1"/>
  <c r="O70" i="3"/>
  <c r="BC60" i="1" s="1"/>
  <c r="M70" i="3"/>
  <c r="BA60" i="1" s="1"/>
  <c r="N70" i="3"/>
  <c r="BB60" i="1" s="1"/>
  <c r="N69" i="3"/>
  <c r="BB59" i="1" s="1"/>
  <c r="O69" i="3"/>
  <c r="BC59" i="1" s="1"/>
  <c r="K69" i="3"/>
  <c r="AY59" i="1" s="1"/>
  <c r="M69" i="3"/>
  <c r="BA59" i="1" s="1"/>
  <c r="L69" i="3"/>
  <c r="AZ59" i="1" s="1"/>
  <c r="O68" i="3"/>
  <c r="BC58" i="1" s="1"/>
  <c r="M68" i="3"/>
  <c r="BA58" i="1" s="1"/>
  <c r="K68" i="3"/>
  <c r="AY58" i="1" s="1"/>
  <c r="L68" i="3"/>
  <c r="AZ58" i="1" s="1"/>
  <c r="N68" i="3"/>
  <c r="BB58" i="1" s="1"/>
  <c r="M67" i="3"/>
  <c r="BA57" i="1" s="1"/>
  <c r="N67" i="3"/>
  <c r="BB57" i="1" s="1"/>
  <c r="O67" i="3"/>
  <c r="BC57" i="1" s="1"/>
  <c r="K67" i="3"/>
  <c r="AY57" i="1" s="1"/>
  <c r="L67" i="3"/>
  <c r="AZ57" i="1" s="1"/>
  <c r="N66" i="3"/>
  <c r="BB56" i="1" s="1"/>
  <c r="M66" i="3"/>
  <c r="BA56" i="1" s="1"/>
  <c r="L66" i="3"/>
  <c r="AZ56" i="1" s="1"/>
  <c r="K66" i="3"/>
  <c r="AY56" i="1" s="1"/>
  <c r="O66" i="3"/>
  <c r="BC56" i="1" s="1"/>
  <c r="L65" i="3"/>
  <c r="AZ55" i="1" s="1"/>
  <c r="O65" i="3"/>
  <c r="BC55" i="1" s="1"/>
  <c r="N65" i="3"/>
  <c r="BB55" i="1" s="1"/>
  <c r="M65" i="3"/>
  <c r="BA55" i="1" s="1"/>
  <c r="K65" i="3"/>
  <c r="AY55" i="1" s="1"/>
  <c r="O64" i="3"/>
  <c r="BC54" i="1" s="1"/>
  <c r="N64" i="3"/>
  <c r="BB54" i="1" s="1"/>
  <c r="M64" i="3"/>
  <c r="BA54" i="1" s="1"/>
  <c r="K64" i="3"/>
  <c r="AY54" i="1" s="1"/>
  <c r="L64" i="3"/>
  <c r="AZ54" i="1" s="1"/>
  <c r="N63" i="3"/>
  <c r="BB53" i="1" s="1"/>
  <c r="K63" i="3"/>
  <c r="AY53" i="1" s="1"/>
  <c r="L63" i="3"/>
  <c r="AZ53" i="1" s="1"/>
  <c r="M63" i="3"/>
  <c r="BA53" i="1" s="1"/>
  <c r="O63" i="3"/>
  <c r="BC53" i="1" s="1"/>
  <c r="M62" i="3"/>
  <c r="BA52" i="1" s="1"/>
  <c r="O62" i="3"/>
  <c r="BC52" i="1" s="1"/>
  <c r="L62" i="3"/>
  <c r="AZ52" i="1" s="1"/>
  <c r="K62" i="3"/>
  <c r="AY52" i="1" s="1"/>
  <c r="N62" i="3"/>
  <c r="BB52" i="1" s="1"/>
  <c r="L61" i="3"/>
  <c r="AZ51" i="1" s="1"/>
  <c r="O61" i="3"/>
  <c r="BC51" i="1" s="1"/>
  <c r="N61" i="3"/>
  <c r="BB51" i="1" s="1"/>
  <c r="K61" i="3"/>
  <c r="AY51" i="1" s="1"/>
  <c r="M61" i="3"/>
  <c r="BA51" i="1" s="1"/>
  <c r="L60" i="3"/>
  <c r="AZ50" i="1" s="1"/>
  <c r="K60" i="3"/>
  <c r="AY50" i="1" s="1"/>
  <c r="M60" i="3"/>
  <c r="BA50" i="1" s="1"/>
  <c r="N60" i="3"/>
  <c r="BB50" i="1" s="1"/>
  <c r="O60" i="3"/>
  <c r="BC50" i="1" s="1"/>
  <c r="L59" i="3"/>
  <c r="AZ49" i="1" s="1"/>
  <c r="N59" i="3"/>
  <c r="BB49" i="1" s="1"/>
  <c r="K59" i="3"/>
  <c r="AY49" i="1" s="1"/>
  <c r="O59" i="3"/>
  <c r="BC49" i="1" s="1"/>
  <c r="M59" i="3"/>
  <c r="BA49" i="1" s="1"/>
  <c r="N58" i="3"/>
  <c r="BB48" i="1" s="1"/>
  <c r="K58" i="3"/>
  <c r="AY48" i="1" s="1"/>
  <c r="M58" i="3"/>
  <c r="BA48" i="1" s="1"/>
  <c r="O58" i="3"/>
  <c r="BC48" i="1" s="1"/>
  <c r="L58" i="3"/>
  <c r="AZ48" i="1" s="1"/>
  <c r="N57" i="3"/>
  <c r="BB47" i="1" s="1"/>
  <c r="K57" i="3"/>
  <c r="AY47" i="1" s="1"/>
  <c r="L57" i="3"/>
  <c r="AZ47" i="1" s="1"/>
  <c r="M57" i="3"/>
  <c r="BA47" i="1" s="1"/>
  <c r="O57" i="3"/>
  <c r="BC47" i="1" s="1"/>
  <c r="L56" i="3"/>
  <c r="AZ46" i="1" s="1"/>
  <c r="M56" i="3"/>
  <c r="BA46" i="1" s="1"/>
  <c r="O56" i="3"/>
  <c r="BC46" i="1" s="1"/>
  <c r="K56" i="3"/>
  <c r="AY46" i="1" s="1"/>
  <c r="N56" i="3"/>
  <c r="BB46" i="1" s="1"/>
  <c r="O55" i="3"/>
  <c r="BC45" i="1" s="1"/>
  <c r="N55" i="3"/>
  <c r="BB45" i="1" s="1"/>
  <c r="M55" i="3"/>
  <c r="BA45" i="1" s="1"/>
  <c r="L55" i="3"/>
  <c r="AZ45" i="1" s="1"/>
  <c r="K55" i="3"/>
  <c r="AY45" i="1" s="1"/>
  <c r="M54" i="3"/>
  <c r="BA44" i="1" s="1"/>
  <c r="L54" i="3"/>
  <c r="AZ44" i="1" s="1"/>
  <c r="N54" i="3"/>
  <c r="BB44" i="1" s="1"/>
  <c r="O54" i="3"/>
  <c r="BC44" i="1" s="1"/>
  <c r="K54" i="3"/>
  <c r="AY44" i="1" s="1"/>
  <c r="N53" i="3"/>
  <c r="BB43" i="1" s="1"/>
  <c r="M53" i="3"/>
  <c r="BA43" i="1" s="1"/>
  <c r="K53" i="3"/>
  <c r="AY43" i="1" s="1"/>
  <c r="L53" i="3"/>
  <c r="AZ43" i="1" s="1"/>
  <c r="O53" i="3"/>
  <c r="BC43" i="1" s="1"/>
  <c r="K52" i="3"/>
  <c r="AY42" i="1" s="1"/>
  <c r="L52" i="3"/>
  <c r="AZ42" i="1" s="1"/>
  <c r="O52" i="3"/>
  <c r="BC42" i="1" s="1"/>
  <c r="N52" i="3"/>
  <c r="BB42" i="1" s="1"/>
  <c r="M52" i="3"/>
  <c r="BA42" i="1" s="1"/>
  <c r="L51" i="3"/>
  <c r="AZ41" i="1" s="1"/>
  <c r="K51" i="3"/>
  <c r="AY41" i="1" s="1"/>
  <c r="M51" i="3"/>
  <c r="BA41" i="1" s="1"/>
  <c r="N51" i="3"/>
  <c r="BB41" i="1" s="1"/>
  <c r="O51" i="3"/>
  <c r="BC41" i="1" s="1"/>
  <c r="K50" i="3"/>
  <c r="AY40" i="1" s="1"/>
  <c r="M50" i="3"/>
  <c r="BA40" i="1" s="1"/>
  <c r="L50" i="3"/>
  <c r="AZ40" i="1" s="1"/>
  <c r="N50" i="3"/>
  <c r="BB40" i="1" s="1"/>
  <c r="O50" i="3"/>
  <c r="BC40" i="1" s="1"/>
  <c r="K49" i="3"/>
  <c r="AY39" i="1" s="1"/>
  <c r="O49" i="3"/>
  <c r="BC39" i="1" s="1"/>
  <c r="N49" i="3"/>
  <c r="BB39" i="1" s="1"/>
  <c r="M49" i="3"/>
  <c r="BA39" i="1" s="1"/>
  <c r="L49" i="3"/>
  <c r="AZ39" i="1" s="1"/>
  <c r="M48" i="3"/>
  <c r="BA38" i="1" s="1"/>
  <c r="O48" i="3"/>
  <c r="BC38" i="1" s="1"/>
  <c r="N48" i="3"/>
  <c r="BB38" i="1" s="1"/>
  <c r="L48" i="3"/>
  <c r="AZ38" i="1" s="1"/>
  <c r="K48" i="3"/>
  <c r="AY38" i="1" s="1"/>
  <c r="N47" i="3"/>
  <c r="BB37" i="1" s="1"/>
  <c r="L47" i="3"/>
  <c r="AZ37" i="1" s="1"/>
  <c r="K47" i="3"/>
  <c r="AY37" i="1" s="1"/>
  <c r="M47" i="3"/>
  <c r="BA37" i="1" s="1"/>
  <c r="O47" i="3"/>
  <c r="BC37" i="1" s="1"/>
  <c r="K46" i="3"/>
  <c r="AY36" i="1" s="1"/>
  <c r="N46" i="3"/>
  <c r="BB36" i="1" s="1"/>
  <c r="L46" i="3"/>
  <c r="AZ36" i="1" s="1"/>
  <c r="M46" i="3"/>
  <c r="BA36" i="1" s="1"/>
  <c r="O46" i="3"/>
  <c r="BC36" i="1" s="1"/>
  <c r="O45" i="3"/>
  <c r="BC35" i="1" s="1"/>
  <c r="N45" i="3"/>
  <c r="BB35" i="1" s="1"/>
  <c r="M45" i="3"/>
  <c r="BA35" i="1" s="1"/>
  <c r="K45" i="3"/>
  <c r="AY35" i="1" s="1"/>
  <c r="L45" i="3"/>
  <c r="AZ35" i="1" s="1"/>
  <c r="O44" i="3"/>
  <c r="BC34" i="1" s="1"/>
  <c r="K44" i="3"/>
  <c r="AY34" i="1" s="1"/>
  <c r="M44" i="3"/>
  <c r="BA34" i="1" s="1"/>
  <c r="L44" i="3"/>
  <c r="AZ34" i="1" s="1"/>
  <c r="N44" i="3"/>
  <c r="BB34" i="1" s="1"/>
  <c r="N43" i="3"/>
  <c r="BB33" i="1" s="1"/>
  <c r="M43" i="3"/>
  <c r="BA33" i="1" s="1"/>
  <c r="K43" i="3"/>
  <c r="AY33" i="1" s="1"/>
  <c r="O43" i="3"/>
  <c r="BC33" i="1" s="1"/>
  <c r="L43" i="3"/>
  <c r="AZ33" i="1" s="1"/>
  <c r="K42" i="3"/>
  <c r="AY32" i="1" s="1"/>
  <c r="O42" i="3"/>
  <c r="BC32" i="1" s="1"/>
  <c r="N42" i="3"/>
  <c r="BB32" i="1" s="1"/>
  <c r="M42" i="3"/>
  <c r="BA32" i="1" s="1"/>
  <c r="L42" i="3"/>
  <c r="AZ32" i="1" s="1"/>
  <c r="L41" i="3"/>
  <c r="AZ31" i="1" s="1"/>
  <c r="O41" i="3"/>
  <c r="BC31" i="1" s="1"/>
  <c r="M41" i="3"/>
  <c r="BA31" i="1" s="1"/>
  <c r="K41" i="3"/>
  <c r="AY31" i="1" s="1"/>
  <c r="N41" i="3"/>
  <c r="BB31" i="1" s="1"/>
  <c r="K40" i="3"/>
  <c r="AY30" i="1" s="1"/>
  <c r="O40" i="3"/>
  <c r="BC30" i="1" s="1"/>
  <c r="M40" i="3"/>
  <c r="BA30" i="1" s="1"/>
  <c r="N40" i="3"/>
  <c r="BB30" i="1" s="1"/>
  <c r="L40" i="3"/>
  <c r="AZ30" i="1" s="1"/>
  <c r="N39" i="3"/>
  <c r="BB29" i="1" s="1"/>
  <c r="K39" i="3"/>
  <c r="AY29" i="1" s="1"/>
  <c r="O39" i="3"/>
  <c r="BC29" i="1" s="1"/>
  <c r="L39" i="3"/>
  <c r="AZ29" i="1" s="1"/>
  <c r="M39" i="3"/>
  <c r="BA29" i="1" s="1"/>
  <c r="M38" i="3"/>
  <c r="BA28" i="1" s="1"/>
  <c r="N38" i="3"/>
  <c r="BB28" i="1" s="1"/>
  <c r="L38" i="3"/>
  <c r="AZ28" i="1" s="1"/>
  <c r="O38" i="3"/>
  <c r="BC28" i="1" s="1"/>
  <c r="K38" i="3"/>
  <c r="AY28" i="1" s="1"/>
  <c r="O37" i="3"/>
  <c r="BC27" i="1" s="1"/>
  <c r="K37" i="3"/>
  <c r="AY27" i="1" s="1"/>
  <c r="L37" i="3"/>
  <c r="AZ27" i="1" s="1"/>
  <c r="N37" i="3"/>
  <c r="BB27" i="1" s="1"/>
  <c r="M37" i="3"/>
  <c r="BA27" i="1" s="1"/>
  <c r="L36" i="3"/>
  <c r="AZ26" i="1" s="1"/>
  <c r="K36" i="3"/>
  <c r="AY26" i="1" s="1"/>
  <c r="N36" i="3"/>
  <c r="BB26" i="1" s="1"/>
  <c r="M36" i="3"/>
  <c r="BA26" i="1" s="1"/>
  <c r="O36" i="3"/>
  <c r="BC26" i="1" s="1"/>
  <c r="O35" i="3"/>
  <c r="BC25" i="1" s="1"/>
  <c r="K35" i="3"/>
  <c r="AY25" i="1" s="1"/>
  <c r="N35" i="3"/>
  <c r="BB25" i="1" s="1"/>
  <c r="M35" i="3"/>
  <c r="BA25" i="1" s="1"/>
  <c r="L35" i="3"/>
  <c r="AZ25" i="1" s="1"/>
  <c r="M34" i="3"/>
  <c r="BA24" i="1" s="1"/>
  <c r="L34" i="3"/>
  <c r="AZ24" i="1" s="1"/>
  <c r="K34" i="3"/>
  <c r="AY24" i="1" s="1"/>
  <c r="N34" i="3"/>
  <c r="BB24" i="1" s="1"/>
  <c r="O34" i="3"/>
  <c r="BC24" i="1" s="1"/>
  <c r="K33" i="3"/>
  <c r="AY23" i="1" s="1"/>
  <c r="O33" i="3"/>
  <c r="BC23" i="1" s="1"/>
  <c r="N33" i="3"/>
  <c r="BB23" i="1" s="1"/>
  <c r="M33" i="3"/>
  <c r="BA23" i="1" s="1"/>
  <c r="L33" i="3"/>
  <c r="AZ23" i="1" s="1"/>
  <c r="L32" i="3"/>
  <c r="AZ22" i="1" s="1"/>
  <c r="O32" i="3"/>
  <c r="BC22" i="1" s="1"/>
  <c r="N32" i="3"/>
  <c r="BB22" i="1" s="1"/>
  <c r="K32" i="3"/>
  <c r="AY22" i="1" s="1"/>
  <c r="M32" i="3"/>
  <c r="BA22" i="1" s="1"/>
  <c r="N31" i="3"/>
  <c r="BB21" i="1" s="1"/>
  <c r="O31" i="3"/>
  <c r="BC21" i="1" s="1"/>
  <c r="M31" i="3"/>
  <c r="BA21" i="1" s="1"/>
  <c r="L31" i="3"/>
  <c r="AZ21" i="1" s="1"/>
  <c r="K31" i="3"/>
  <c r="AY21" i="1" s="1"/>
  <c r="O30" i="3"/>
  <c r="BC20" i="1" s="1"/>
  <c r="N30" i="3"/>
  <c r="BB20" i="1" s="1"/>
  <c r="M30" i="3"/>
  <c r="BA20" i="1" s="1"/>
  <c r="L30" i="3"/>
  <c r="AZ20" i="1" s="1"/>
  <c r="K30" i="3"/>
  <c r="AY20" i="1" s="1"/>
  <c r="M29" i="3"/>
  <c r="BA19" i="1" s="1"/>
  <c r="N29" i="3"/>
  <c r="BB19" i="1" s="1"/>
  <c r="O29" i="3"/>
  <c r="BC19" i="1" s="1"/>
  <c r="L29" i="3"/>
  <c r="AZ19" i="1" s="1"/>
  <c r="K29" i="3"/>
  <c r="AY19" i="1" s="1"/>
  <c r="M28" i="3"/>
  <c r="BA18" i="1" s="1"/>
  <c r="K28" i="3"/>
  <c r="AY18" i="1" s="1"/>
  <c r="N28" i="3"/>
  <c r="BB18" i="1" s="1"/>
  <c r="O28" i="3"/>
  <c r="BC18" i="1" s="1"/>
  <c r="L28" i="3"/>
  <c r="AZ18" i="1" s="1"/>
  <c r="K27" i="3"/>
  <c r="AY17" i="1" s="1"/>
  <c r="L27" i="3"/>
  <c r="AZ17" i="1" s="1"/>
  <c r="O27" i="3"/>
  <c r="BC17" i="1" s="1"/>
  <c r="N27" i="3"/>
  <c r="BB17" i="1" s="1"/>
  <c r="M27" i="3"/>
  <c r="BA17" i="1" s="1"/>
  <c r="O26" i="3"/>
  <c r="BC16" i="1" s="1"/>
  <c r="N26" i="3"/>
  <c r="BB16" i="1" s="1"/>
  <c r="M26" i="3"/>
  <c r="BA16" i="1" s="1"/>
  <c r="L26" i="3"/>
  <c r="AZ16" i="1" s="1"/>
  <c r="K26" i="3"/>
  <c r="AY16" i="1" s="1"/>
  <c r="M25" i="3"/>
  <c r="BA15" i="1" s="1"/>
  <c r="N25" i="3"/>
  <c r="BB15" i="1" s="1"/>
  <c r="L25" i="3"/>
  <c r="AZ15" i="1" s="1"/>
  <c r="O25" i="3"/>
  <c r="BC15" i="1" s="1"/>
  <c r="L24" i="3"/>
  <c r="AZ14" i="1" s="1"/>
  <c r="O24" i="3"/>
  <c r="BC14" i="1" s="1"/>
  <c r="N24" i="3"/>
  <c r="BB14" i="1" s="1"/>
  <c r="M24" i="3"/>
  <c r="BA14" i="1" s="1"/>
  <c r="K24" i="3"/>
  <c r="AY14" i="1" s="1"/>
  <c r="K23" i="3"/>
  <c r="AY13" i="1" s="1"/>
  <c r="L23" i="3"/>
  <c r="AZ13" i="1" s="1"/>
  <c r="M23" i="3"/>
  <c r="BA13" i="1" s="1"/>
  <c r="N23" i="3"/>
  <c r="BB13" i="1" s="1"/>
  <c r="O23" i="3"/>
  <c r="BC13" i="1" s="1"/>
  <c r="M22" i="3"/>
  <c r="BA12" i="1" s="1"/>
  <c r="K22" i="3"/>
  <c r="AY12" i="1" s="1"/>
  <c r="L22" i="3"/>
  <c r="AZ12" i="1" s="1"/>
  <c r="O22" i="3"/>
  <c r="BC12" i="1" s="1"/>
  <c r="N22" i="3"/>
  <c r="BB12" i="1" s="1"/>
  <c r="M21" i="3"/>
  <c r="BA11" i="1" s="1"/>
  <c r="L21" i="3"/>
  <c r="AZ11" i="1" s="1"/>
  <c r="N21" i="3"/>
  <c r="BB11" i="1" s="1"/>
  <c r="O21" i="3"/>
  <c r="BC11" i="1" s="1"/>
  <c r="K21" i="3"/>
  <c r="AY11" i="1" s="1"/>
  <c r="K20" i="3"/>
  <c r="AY10" i="1" s="1"/>
  <c r="L20" i="3"/>
  <c r="AZ10" i="1" s="1"/>
  <c r="M20" i="3"/>
  <c r="BA10" i="1" s="1"/>
  <c r="N20" i="3"/>
  <c r="BB10" i="1" s="1"/>
  <c r="O20" i="3"/>
  <c r="BC10" i="1" s="1"/>
  <c r="M19" i="3"/>
  <c r="BA9" i="1" s="1"/>
  <c r="N19" i="3"/>
  <c r="BB9" i="1" s="1"/>
  <c r="O19" i="3"/>
  <c r="BC9" i="1" s="1"/>
  <c r="L19" i="3"/>
  <c r="AZ9" i="1" s="1"/>
  <c r="S155" i="3" l="1"/>
  <c r="BG145" i="1" s="1"/>
  <c r="S150" i="3"/>
  <c r="BG140" i="1" s="1"/>
  <c r="R145" i="3"/>
  <c r="BF135" i="1" s="1"/>
  <c r="R141" i="3"/>
  <c r="BF131" i="1" s="1"/>
  <c r="R137" i="3"/>
  <c r="BF127" i="1" s="1"/>
  <c r="R133" i="3"/>
  <c r="BF123" i="1" s="1"/>
  <c r="S128" i="3"/>
  <c r="BG118" i="1" s="1"/>
  <c r="S123" i="3"/>
  <c r="BG113" i="1" s="1"/>
  <c r="S118" i="3"/>
  <c r="BG108" i="1" s="1"/>
  <c r="R115" i="3"/>
  <c r="BF105" i="1" s="1"/>
  <c r="S111" i="3"/>
  <c r="BG101" i="1" s="1"/>
  <c r="S107" i="3"/>
  <c r="BG97" i="1" s="1"/>
  <c r="S103" i="3"/>
  <c r="BG93" i="1" s="1"/>
  <c r="S98" i="3"/>
  <c r="BG88" i="1" s="1"/>
  <c r="S93" i="3"/>
  <c r="BG83" i="1" s="1"/>
  <c r="R90" i="3"/>
  <c r="BF80" i="1" s="1"/>
  <c r="S86" i="3"/>
  <c r="BG76" i="1" s="1"/>
  <c r="S80" i="3"/>
  <c r="BG70" i="1" s="1"/>
  <c r="R149" i="3"/>
  <c r="BF139" i="1" s="1"/>
  <c r="S145" i="3"/>
  <c r="BG135" i="1" s="1"/>
  <c r="S142" i="3"/>
  <c r="BG132" i="1" s="1"/>
  <c r="R140" i="3"/>
  <c r="BF130" i="1" s="1"/>
  <c r="R138" i="3"/>
  <c r="BF128" i="1" s="1"/>
  <c r="R136" i="3"/>
  <c r="BF126" i="1" s="1"/>
  <c r="R134" i="3"/>
  <c r="BF124" i="1" s="1"/>
  <c r="S131" i="3"/>
  <c r="BG121" i="1" s="1"/>
  <c r="S129" i="3"/>
  <c r="BG119" i="1" s="1"/>
  <c r="S127" i="3"/>
  <c r="BG117" i="1" s="1"/>
  <c r="R126" i="3"/>
  <c r="BF116" i="1" s="1"/>
  <c r="R124" i="3"/>
  <c r="BF114" i="1" s="1"/>
  <c r="R122" i="3"/>
  <c r="BF112" i="1" s="1"/>
  <c r="R120" i="3"/>
  <c r="BF110" i="1" s="1"/>
  <c r="R117" i="3"/>
  <c r="BF107" i="1" s="1"/>
  <c r="R116" i="3"/>
  <c r="BF106" i="1" s="1"/>
  <c r="R114" i="3"/>
  <c r="BF104" i="1" s="1"/>
  <c r="R112" i="3"/>
  <c r="BF102" i="1" s="1"/>
  <c r="R110" i="3"/>
  <c r="BF100" i="1" s="1"/>
  <c r="S108" i="3"/>
  <c r="BG98" i="1" s="1"/>
  <c r="R107" i="3"/>
  <c r="BF97" i="1" s="1"/>
  <c r="R105" i="3"/>
  <c r="BF95" i="1" s="1"/>
  <c r="R103" i="3"/>
  <c r="BF93" i="1" s="1"/>
  <c r="R101" i="3"/>
  <c r="BF91" i="1" s="1"/>
  <c r="S99" i="3"/>
  <c r="BG89" i="1" s="1"/>
  <c r="R97" i="3"/>
  <c r="BF87" i="1" s="1"/>
  <c r="S95" i="3"/>
  <c r="BG85" i="1" s="1"/>
  <c r="R93" i="3"/>
  <c r="BF83" i="1" s="1"/>
  <c r="S91" i="3"/>
  <c r="BG81" i="1" s="1"/>
  <c r="S89" i="3"/>
  <c r="BG79" i="1" s="1"/>
  <c r="R88" i="3"/>
  <c r="BF78" i="1" s="1"/>
  <c r="R86" i="3"/>
  <c r="BF76" i="1" s="1"/>
  <c r="S84" i="3"/>
  <c r="BG74" i="1" s="1"/>
  <c r="S82" i="3"/>
  <c r="BG72" i="1" s="1"/>
  <c r="S81" i="3"/>
  <c r="BG71" i="1" s="1"/>
  <c r="S79" i="3"/>
  <c r="BG69" i="1" s="1"/>
  <c r="R166" i="3"/>
  <c r="BF156" i="1" s="1"/>
  <c r="S165" i="3"/>
  <c r="BG155" i="1" s="1"/>
  <c r="S164" i="3"/>
  <c r="BG154" i="1" s="1"/>
  <c r="R164" i="3"/>
  <c r="BF154" i="1" s="1"/>
  <c r="R163" i="3"/>
  <c r="BF153" i="1" s="1"/>
  <c r="S162" i="3"/>
  <c r="BG152" i="1" s="1"/>
  <c r="R162" i="3"/>
  <c r="BF152" i="1" s="1"/>
  <c r="R161" i="3"/>
  <c r="BF151" i="1" s="1"/>
  <c r="S160" i="3"/>
  <c r="BG150" i="1" s="1"/>
  <c r="R156" i="3"/>
  <c r="BF146" i="1" s="1"/>
  <c r="R155" i="3"/>
  <c r="BF145" i="1" s="1"/>
  <c r="S153" i="3"/>
  <c r="BG143" i="1" s="1"/>
  <c r="S152" i="3"/>
  <c r="BG142" i="1" s="1"/>
  <c r="S151" i="3"/>
  <c r="BG141" i="1" s="1"/>
  <c r="S149" i="3"/>
  <c r="BG139" i="1" s="1"/>
  <c r="R148" i="3"/>
  <c r="BF138" i="1" s="1"/>
  <c r="R147" i="3"/>
  <c r="BF137" i="1" s="1"/>
  <c r="R144" i="3"/>
  <c r="BF134" i="1" s="1"/>
  <c r="S143" i="3"/>
  <c r="BG133" i="1" s="1"/>
  <c r="S140" i="3"/>
  <c r="BG130" i="1" s="1"/>
  <c r="S139" i="3"/>
  <c r="BG129" i="1" s="1"/>
  <c r="S137" i="3"/>
  <c r="BG127" i="1" s="1"/>
  <c r="S135" i="3"/>
  <c r="BG125" i="1" s="1"/>
  <c r="S132" i="3"/>
  <c r="BG122" i="1" s="1"/>
  <c r="R131" i="3"/>
  <c r="BF121" i="1" s="1"/>
  <c r="R129" i="3"/>
  <c r="BF119" i="1" s="1"/>
  <c r="R127" i="3"/>
  <c r="BF117" i="1" s="1"/>
  <c r="R125" i="3"/>
  <c r="BF115" i="1" s="1"/>
  <c r="R123" i="3"/>
  <c r="BF113" i="1" s="1"/>
  <c r="S121" i="3"/>
  <c r="BG111" i="1" s="1"/>
  <c r="S119" i="3"/>
  <c r="BG109" i="1" s="1"/>
  <c r="R118" i="3"/>
  <c r="BF108" i="1" s="1"/>
  <c r="S114" i="3"/>
  <c r="BG104" i="1" s="1"/>
  <c r="S112" i="3"/>
  <c r="BG102" i="1" s="1"/>
  <c r="S110" i="3"/>
  <c r="BG100" i="1" s="1"/>
  <c r="R109" i="3"/>
  <c r="BF99" i="1" s="1"/>
  <c r="S105" i="3"/>
  <c r="BG95" i="1" s="1"/>
  <c r="R104" i="3"/>
  <c r="BF94" i="1" s="1"/>
  <c r="R102" i="3"/>
  <c r="BF92" i="1" s="1"/>
  <c r="R100" i="3"/>
  <c r="BF90" i="1" s="1"/>
  <c r="S97" i="3"/>
  <c r="BG87" i="1" s="1"/>
  <c r="R96" i="3"/>
  <c r="BF86" i="1" s="1"/>
  <c r="S94" i="3"/>
  <c r="BG84" i="1" s="1"/>
  <c r="S92" i="3"/>
  <c r="BG82" i="1" s="1"/>
  <c r="S90" i="3"/>
  <c r="BG80" i="1" s="1"/>
  <c r="R89" i="3"/>
  <c r="BF79" i="1" s="1"/>
  <c r="R87" i="3"/>
  <c r="BF77" i="1" s="1"/>
  <c r="R85" i="3"/>
  <c r="BF75" i="1" s="1"/>
  <c r="R83" i="3"/>
  <c r="BF73" i="1" s="1"/>
  <c r="R81" i="3"/>
  <c r="BF71" i="1" s="1"/>
  <c r="S156" i="3"/>
  <c r="BG146" i="1" s="1"/>
  <c r="R154" i="3"/>
  <c r="BF144" i="1" s="1"/>
  <c r="R153" i="3"/>
  <c r="BF143" i="1" s="1"/>
  <c r="R152" i="3"/>
  <c r="BF142" i="1" s="1"/>
  <c r="R150" i="3"/>
  <c r="BF140" i="1" s="1"/>
  <c r="S148" i="3"/>
  <c r="BG138" i="1" s="1"/>
  <c r="S147" i="3"/>
  <c r="BG137" i="1" s="1"/>
  <c r="R146" i="3"/>
  <c r="BF136" i="1" s="1"/>
  <c r="S144" i="3"/>
  <c r="BG134" i="1" s="1"/>
  <c r="R143" i="3"/>
  <c r="BF133" i="1" s="1"/>
  <c r="S141" i="3"/>
  <c r="BG131" i="1" s="1"/>
  <c r="R139" i="3"/>
  <c r="BF129" i="1" s="1"/>
  <c r="S136" i="3"/>
  <c r="BG126" i="1" s="1"/>
  <c r="R135" i="3"/>
  <c r="BF125" i="1" s="1"/>
  <c r="S133" i="3"/>
  <c r="BG123" i="1" s="1"/>
  <c r="R132" i="3"/>
  <c r="BF122" i="1" s="1"/>
  <c r="S130" i="3"/>
  <c r="BG120" i="1" s="1"/>
  <c r="R128" i="3"/>
  <c r="BF118" i="1" s="1"/>
  <c r="S126" i="3"/>
  <c r="BG116" i="1" s="1"/>
  <c r="S124" i="3"/>
  <c r="BG114" i="1" s="1"/>
  <c r="S122" i="3"/>
  <c r="BG112" i="1" s="1"/>
  <c r="R121" i="3"/>
  <c r="BF111" i="1" s="1"/>
  <c r="R119" i="3"/>
  <c r="BF109" i="1" s="1"/>
  <c r="S117" i="3"/>
  <c r="BG107" i="1" s="1"/>
  <c r="S115" i="3"/>
  <c r="BG105" i="1" s="1"/>
  <c r="R113" i="3"/>
  <c r="BF103" i="1" s="1"/>
  <c r="R111" i="3"/>
  <c r="BF101" i="1" s="1"/>
  <c r="R108" i="3"/>
  <c r="BF98" i="1" s="1"/>
  <c r="R106" i="3"/>
  <c r="BF96" i="1" s="1"/>
  <c r="S104" i="3"/>
  <c r="BG94" i="1" s="1"/>
  <c r="S101" i="3"/>
  <c r="BG91" i="1" s="1"/>
  <c r="S100" i="3"/>
  <c r="BG90" i="1" s="1"/>
  <c r="R98" i="3"/>
  <c r="BF88" i="1" s="1"/>
  <c r="S96" i="3"/>
  <c r="BG86" i="1" s="1"/>
  <c r="R94" i="3"/>
  <c r="BF84" i="1" s="1"/>
  <c r="R91" i="3"/>
  <c r="BF81" i="1" s="1"/>
  <c r="S88" i="3"/>
  <c r="BG78" i="1" s="1"/>
  <c r="S85" i="3"/>
  <c r="BG75" i="1" s="1"/>
  <c r="R84" i="3"/>
  <c r="BF74" i="1" s="1"/>
  <c r="R82" i="3"/>
  <c r="BF72" i="1" s="1"/>
  <c r="R80" i="3"/>
  <c r="BF70" i="1" s="1"/>
  <c r="S166" i="3"/>
  <c r="BG156" i="1" s="1"/>
  <c r="R165" i="3"/>
  <c r="BF155" i="1" s="1"/>
  <c r="S163" i="3"/>
  <c r="BG153" i="1" s="1"/>
  <c r="S161" i="3"/>
  <c r="BG151" i="1" s="1"/>
  <c r="R160" i="3"/>
  <c r="BF150" i="1" s="1"/>
  <c r="S159" i="3"/>
  <c r="BG149" i="1" s="1"/>
  <c r="R159" i="3"/>
  <c r="BF149" i="1" s="1"/>
  <c r="S158" i="3"/>
  <c r="BG148" i="1" s="1"/>
  <c r="R158" i="3"/>
  <c r="BF148" i="1" s="1"/>
  <c r="S157" i="3"/>
  <c r="BG147" i="1" s="1"/>
  <c r="R157" i="3"/>
  <c r="BF147" i="1" s="1"/>
  <c r="S154" i="3"/>
  <c r="BG144" i="1" s="1"/>
  <c r="R151" i="3"/>
  <c r="BF141" i="1" s="1"/>
  <c r="S146" i="3"/>
  <c r="BG136" i="1" s="1"/>
  <c r="R142" i="3"/>
  <c r="BF132" i="1" s="1"/>
  <c r="S138" i="3"/>
  <c r="BG128" i="1" s="1"/>
  <c r="S134" i="3"/>
  <c r="BG124" i="1" s="1"/>
  <c r="R130" i="3"/>
  <c r="BF120" i="1" s="1"/>
  <c r="S125" i="3"/>
  <c r="BG115" i="1" s="1"/>
  <c r="S120" i="3"/>
  <c r="BG110" i="1" s="1"/>
  <c r="S116" i="3"/>
  <c r="BG106" i="1" s="1"/>
  <c r="S113" i="3"/>
  <c r="BG103" i="1" s="1"/>
  <c r="S109" i="3"/>
  <c r="BG99" i="1" s="1"/>
  <c r="S106" i="3"/>
  <c r="BG96" i="1" s="1"/>
  <c r="S102" i="3"/>
  <c r="BG92" i="1" s="1"/>
  <c r="R99" i="3"/>
  <c r="BF89" i="1" s="1"/>
  <c r="R95" i="3"/>
  <c r="BF85" i="1" s="1"/>
  <c r="R92" i="3"/>
  <c r="BF82" i="1" s="1"/>
  <c r="S87" i="3"/>
  <c r="BG77" i="1" s="1"/>
  <c r="S83" i="3"/>
  <c r="BG73" i="1" s="1"/>
  <c r="S191" i="3"/>
  <c r="BG181" i="1" s="1"/>
  <c r="R191" i="3"/>
  <c r="BF181" i="1" s="1"/>
  <c r="S190" i="3"/>
  <c r="BG180" i="1" s="1"/>
  <c r="R190" i="3"/>
  <c r="BF180" i="1" s="1"/>
  <c r="S189" i="3"/>
  <c r="BG179" i="1" s="1"/>
  <c r="R189" i="3"/>
  <c r="BF179" i="1" s="1"/>
  <c r="S188" i="3"/>
  <c r="BG178" i="1" s="1"/>
  <c r="R188" i="3"/>
  <c r="BF178" i="1" s="1"/>
  <c r="S187" i="3"/>
  <c r="BG177" i="1" s="1"/>
  <c r="R187" i="3"/>
  <c r="BF177" i="1" s="1"/>
  <c r="S186" i="3"/>
  <c r="BG176" i="1" s="1"/>
  <c r="R186" i="3"/>
  <c r="BF176" i="1" s="1"/>
  <c r="S185" i="3"/>
  <c r="BG175" i="1" s="1"/>
  <c r="R185" i="3"/>
  <c r="BF175" i="1" s="1"/>
  <c r="S184" i="3"/>
  <c r="BG174" i="1" s="1"/>
  <c r="R184" i="3"/>
  <c r="BF174" i="1" s="1"/>
  <c r="S183" i="3"/>
  <c r="BG173" i="1" s="1"/>
  <c r="R183" i="3"/>
  <c r="BF173" i="1" s="1"/>
  <c r="S182" i="3"/>
  <c r="BG172" i="1" s="1"/>
  <c r="R182" i="3"/>
  <c r="BF172" i="1" s="1"/>
  <c r="S181" i="3"/>
  <c r="BG171" i="1" s="1"/>
  <c r="R181" i="3"/>
  <c r="BF171" i="1" s="1"/>
  <c r="S180" i="3"/>
  <c r="BG170" i="1" s="1"/>
  <c r="R180" i="3"/>
  <c r="BF170" i="1" s="1"/>
  <c r="S179" i="3"/>
  <c r="BG169" i="1" s="1"/>
  <c r="R179" i="3"/>
  <c r="BF169" i="1" s="1"/>
  <c r="S178" i="3"/>
  <c r="BG168" i="1" s="1"/>
  <c r="R178" i="3"/>
  <c r="BF168" i="1" s="1"/>
  <c r="S177" i="3"/>
  <c r="BG167" i="1" s="1"/>
  <c r="R177" i="3"/>
  <c r="BF167" i="1" s="1"/>
  <c r="S176" i="3"/>
  <c r="BG166" i="1" s="1"/>
  <c r="R176" i="3"/>
  <c r="BF166" i="1" s="1"/>
  <c r="S175" i="3"/>
  <c r="BG165" i="1" s="1"/>
  <c r="R175" i="3"/>
  <c r="BF165" i="1" s="1"/>
  <c r="S174" i="3"/>
  <c r="BG164" i="1" s="1"/>
  <c r="R174" i="3"/>
  <c r="BF164" i="1" s="1"/>
  <c r="S173" i="3"/>
  <c r="BG163" i="1" s="1"/>
  <c r="R173" i="3"/>
  <c r="BF163" i="1" s="1"/>
  <c r="S172" i="3"/>
  <c r="BG162" i="1" s="1"/>
  <c r="R172" i="3"/>
  <c r="BF162" i="1" s="1"/>
  <c r="S171" i="3"/>
  <c r="BG161" i="1" s="1"/>
  <c r="R171" i="3"/>
  <c r="BF161" i="1" s="1"/>
  <c r="S170" i="3"/>
  <c r="BG160" i="1" s="1"/>
  <c r="R170" i="3"/>
  <c r="BF160" i="1" s="1"/>
  <c r="S169" i="3"/>
  <c r="BG159" i="1" s="1"/>
  <c r="R169" i="3"/>
  <c r="BF159" i="1" s="1"/>
  <c r="S168" i="3"/>
  <c r="BG158" i="1" s="1"/>
  <c r="R168" i="3"/>
  <c r="BF158" i="1" s="1"/>
  <c r="S167" i="3"/>
  <c r="BG157" i="1" s="1"/>
  <c r="R167" i="3"/>
  <c r="BF157" i="1" s="1"/>
  <c r="R79" i="3"/>
  <c r="BF69" i="1" s="1"/>
  <c r="S78" i="3"/>
  <c r="BG68" i="1" s="1"/>
  <c r="R78" i="3"/>
  <c r="BF68" i="1" s="1"/>
  <c r="S77" i="3"/>
  <c r="BG67" i="1" s="1"/>
  <c r="R77" i="3"/>
  <c r="BF67" i="1" s="1"/>
  <c r="S76" i="3"/>
  <c r="BG66" i="1" s="1"/>
  <c r="R76" i="3"/>
  <c r="BF66" i="1" s="1"/>
  <c r="S75" i="3"/>
  <c r="BG65" i="1" s="1"/>
  <c r="R75" i="3"/>
  <c r="BF65" i="1" s="1"/>
  <c r="S74" i="3"/>
  <c r="BG64" i="1" s="1"/>
  <c r="R74" i="3"/>
  <c r="BF64" i="1" s="1"/>
  <c r="S73" i="3"/>
  <c r="BG63" i="1" s="1"/>
  <c r="R73" i="3"/>
  <c r="BF63" i="1" s="1"/>
  <c r="S72" i="3"/>
  <c r="BG62" i="1" s="1"/>
  <c r="R72" i="3"/>
  <c r="BF62" i="1" s="1"/>
  <c r="S71" i="3"/>
  <c r="BG61" i="1" s="1"/>
  <c r="R71" i="3"/>
  <c r="BF61" i="1" s="1"/>
  <c r="S70" i="3"/>
  <c r="BG60" i="1" s="1"/>
  <c r="R70" i="3"/>
  <c r="BF60" i="1" s="1"/>
  <c r="S69" i="3"/>
  <c r="BG59" i="1" s="1"/>
  <c r="R69" i="3"/>
  <c r="BF59" i="1" s="1"/>
  <c r="S68" i="3"/>
  <c r="BG58" i="1" s="1"/>
  <c r="R68" i="3"/>
  <c r="BF58" i="1" s="1"/>
  <c r="S67" i="3"/>
  <c r="BG57" i="1" s="1"/>
  <c r="R67" i="3"/>
  <c r="BF57" i="1" s="1"/>
  <c r="S66" i="3"/>
  <c r="BG56" i="1" s="1"/>
  <c r="R66" i="3"/>
  <c r="BF56" i="1" s="1"/>
  <c r="S65" i="3"/>
  <c r="BG55" i="1" s="1"/>
  <c r="R65" i="3"/>
  <c r="BF55" i="1" s="1"/>
  <c r="S64" i="3"/>
  <c r="BG54" i="1" s="1"/>
  <c r="R64" i="3"/>
  <c r="BF54" i="1" s="1"/>
  <c r="S63" i="3"/>
  <c r="BG53" i="1" s="1"/>
  <c r="R63" i="3"/>
  <c r="BF53" i="1" s="1"/>
  <c r="S62" i="3"/>
  <c r="BG52" i="1" s="1"/>
  <c r="R62" i="3"/>
  <c r="BF52" i="1" s="1"/>
  <c r="S61" i="3"/>
  <c r="BG51" i="1" s="1"/>
  <c r="R61" i="3"/>
  <c r="BF51" i="1" s="1"/>
  <c r="S60" i="3"/>
  <c r="BG50" i="1" s="1"/>
  <c r="R60" i="3"/>
  <c r="BF50" i="1" s="1"/>
  <c r="S59" i="3"/>
  <c r="BG49" i="1" s="1"/>
  <c r="R59" i="3"/>
  <c r="BF49" i="1" s="1"/>
  <c r="S58" i="3"/>
  <c r="BG48" i="1" s="1"/>
  <c r="R58" i="3"/>
  <c r="BF48" i="1" s="1"/>
  <c r="S57" i="3"/>
  <c r="BG47" i="1" s="1"/>
  <c r="R57" i="3"/>
  <c r="BF47" i="1" s="1"/>
  <c r="S56" i="3"/>
  <c r="BG46" i="1" s="1"/>
  <c r="R56" i="3"/>
  <c r="BF46" i="1" s="1"/>
  <c r="S55" i="3"/>
  <c r="BG45" i="1" s="1"/>
  <c r="R55" i="3"/>
  <c r="BF45" i="1" s="1"/>
  <c r="S54" i="3"/>
  <c r="BG44" i="1" s="1"/>
  <c r="R54" i="3"/>
  <c r="BF44" i="1" s="1"/>
  <c r="S53" i="3"/>
  <c r="BG43" i="1" s="1"/>
  <c r="R53" i="3"/>
  <c r="BF43" i="1" s="1"/>
  <c r="S52" i="3"/>
  <c r="BG42" i="1" s="1"/>
  <c r="R52" i="3"/>
  <c r="BF42" i="1" s="1"/>
  <c r="S51" i="3"/>
  <c r="BG41" i="1" s="1"/>
  <c r="R51" i="3"/>
  <c r="BF41" i="1" s="1"/>
  <c r="S50" i="3"/>
  <c r="BG40" i="1" s="1"/>
  <c r="R50" i="3"/>
  <c r="BF40" i="1" s="1"/>
  <c r="S49" i="3"/>
  <c r="BG39" i="1" s="1"/>
  <c r="R49" i="3"/>
  <c r="BF39" i="1" s="1"/>
  <c r="S48" i="3"/>
  <c r="BG38" i="1" s="1"/>
  <c r="R48" i="3"/>
  <c r="BF38" i="1" s="1"/>
  <c r="S47" i="3"/>
  <c r="BG37" i="1" s="1"/>
  <c r="R47" i="3"/>
  <c r="BF37" i="1" s="1"/>
  <c r="S46" i="3"/>
  <c r="BG36" i="1" s="1"/>
  <c r="R46" i="3"/>
  <c r="BF36" i="1" s="1"/>
  <c r="S45" i="3"/>
  <c r="BG35" i="1" s="1"/>
  <c r="R45" i="3"/>
  <c r="BF35" i="1" s="1"/>
  <c r="S44" i="3"/>
  <c r="BG34" i="1" s="1"/>
  <c r="R44" i="3"/>
  <c r="BF34" i="1" s="1"/>
  <c r="S43" i="3"/>
  <c r="BG33" i="1" s="1"/>
  <c r="R43" i="3"/>
  <c r="BF33" i="1" s="1"/>
  <c r="S42" i="3"/>
  <c r="BG32" i="1" s="1"/>
  <c r="R42" i="3"/>
  <c r="BF32" i="1" s="1"/>
  <c r="S41" i="3"/>
  <c r="BG31" i="1" s="1"/>
  <c r="R41" i="3"/>
  <c r="BF31" i="1" s="1"/>
  <c r="S40" i="3"/>
  <c r="BG30" i="1" s="1"/>
  <c r="R40" i="3"/>
  <c r="BF30" i="1" s="1"/>
  <c r="S39" i="3"/>
  <c r="BG29" i="1" s="1"/>
  <c r="R39" i="3"/>
  <c r="BF29" i="1" s="1"/>
  <c r="S38" i="3"/>
  <c r="BG28" i="1" s="1"/>
  <c r="R38" i="3"/>
  <c r="BF28" i="1" s="1"/>
  <c r="S37" i="3"/>
  <c r="BG27" i="1" s="1"/>
  <c r="R37" i="3"/>
  <c r="BF27" i="1" s="1"/>
  <c r="S36" i="3"/>
  <c r="BG26" i="1" s="1"/>
  <c r="R36" i="3"/>
  <c r="BF26" i="1" s="1"/>
  <c r="S35" i="3"/>
  <c r="BG25" i="1" s="1"/>
  <c r="R35" i="3"/>
  <c r="BF25" i="1" s="1"/>
  <c r="S34" i="3"/>
  <c r="BG24" i="1" s="1"/>
  <c r="R34" i="3"/>
  <c r="BF24" i="1" s="1"/>
  <c r="S33" i="3"/>
  <c r="BG23" i="1" s="1"/>
  <c r="R33" i="3"/>
  <c r="BF23" i="1" s="1"/>
  <c r="S32" i="3"/>
  <c r="BG22" i="1" s="1"/>
  <c r="R32" i="3"/>
  <c r="BF22" i="1" s="1"/>
  <c r="S31" i="3"/>
  <c r="BG21" i="1" s="1"/>
  <c r="R31" i="3"/>
  <c r="BF21" i="1" s="1"/>
  <c r="S30" i="3"/>
  <c r="BG20" i="1" s="1"/>
  <c r="R30" i="3"/>
  <c r="BF20" i="1" s="1"/>
  <c r="S29" i="3"/>
  <c r="BG19" i="1" s="1"/>
  <c r="R29" i="3"/>
  <c r="BF19" i="1" s="1"/>
  <c r="S28" i="3"/>
  <c r="BG18" i="1" s="1"/>
  <c r="R28" i="3"/>
  <c r="BF18" i="1" s="1"/>
  <c r="S27" i="3"/>
  <c r="BG17" i="1" s="1"/>
  <c r="R27" i="3"/>
  <c r="BF17" i="1" s="1"/>
  <c r="S26" i="3"/>
  <c r="BG16" i="1" s="1"/>
  <c r="R26" i="3"/>
  <c r="BF16" i="1" s="1"/>
  <c r="S25" i="3"/>
  <c r="BG15" i="1" s="1"/>
  <c r="R25" i="3"/>
  <c r="BF15" i="1" s="1"/>
  <c r="S24" i="3"/>
  <c r="BG14" i="1" s="1"/>
  <c r="R24" i="3"/>
  <c r="BF14" i="1" s="1"/>
  <c r="S23" i="3"/>
  <c r="BG13" i="1" s="1"/>
  <c r="R23" i="3"/>
  <c r="BF13" i="1" s="1"/>
  <c r="S22" i="3"/>
  <c r="BG12" i="1" s="1"/>
  <c r="R22" i="3"/>
  <c r="BF12" i="1" s="1"/>
  <c r="S20" i="3"/>
  <c r="BG10" i="1" s="1"/>
  <c r="S446" i="3"/>
  <c r="BG436" i="1" s="1"/>
  <c r="R254" i="3"/>
  <c r="BF244" i="1" s="1"/>
  <c r="R251" i="3"/>
  <c r="BF241" i="1" s="1"/>
  <c r="R256" i="3"/>
  <c r="BF246" i="1" s="1"/>
  <c r="R20" i="3"/>
  <c r="BF10" i="1" s="1"/>
  <c r="R253" i="3"/>
  <c r="BF243" i="1" s="1"/>
  <c r="R250" i="3"/>
  <c r="BF240" i="1" s="1"/>
  <c r="R248" i="3"/>
  <c r="BF238" i="1" s="1"/>
  <c r="R245" i="3"/>
  <c r="BF235" i="1" s="1"/>
  <c r="R252" i="3"/>
  <c r="BF242" i="1" s="1"/>
  <c r="R249" i="3"/>
  <c r="BF239" i="1" s="1"/>
  <c r="R247" i="3"/>
  <c r="BF237" i="1" s="1"/>
  <c r="R255" i="3"/>
  <c r="BF245" i="1" s="1"/>
  <c r="R277" i="3"/>
  <c r="BF267" i="1" s="1"/>
  <c r="R276" i="3"/>
  <c r="BF266" i="1" s="1"/>
  <c r="R275" i="3"/>
  <c r="BF265" i="1" s="1"/>
  <c r="R274" i="3"/>
  <c r="BF264" i="1" s="1"/>
  <c r="R273" i="3"/>
  <c r="BF263" i="1" s="1"/>
  <c r="R272" i="3"/>
  <c r="BF262" i="1" s="1"/>
  <c r="R271" i="3"/>
  <c r="BF261" i="1" s="1"/>
  <c r="R270" i="3"/>
  <c r="BF260" i="1" s="1"/>
  <c r="R269" i="3"/>
  <c r="BF259" i="1" s="1"/>
  <c r="R268" i="3"/>
  <c r="BF258" i="1" s="1"/>
  <c r="R267" i="3"/>
  <c r="BF257" i="1" s="1"/>
  <c r="R266" i="3"/>
  <c r="BF256" i="1" s="1"/>
  <c r="R265" i="3"/>
  <c r="BF255" i="1" s="1"/>
  <c r="R264" i="3"/>
  <c r="BF254" i="1" s="1"/>
  <c r="R263" i="3"/>
  <c r="BF253" i="1" s="1"/>
  <c r="R262" i="3"/>
  <c r="BF252" i="1" s="1"/>
  <c r="R261" i="3"/>
  <c r="BF251" i="1" s="1"/>
  <c r="R259" i="3"/>
  <c r="BF249" i="1" s="1"/>
  <c r="R258" i="3"/>
  <c r="BF248" i="1" s="1"/>
  <c r="R257" i="3"/>
  <c r="BF247" i="1" s="1"/>
  <c r="R246" i="3"/>
  <c r="BF236" i="1" s="1"/>
  <c r="R244" i="3"/>
  <c r="BF234" i="1" s="1"/>
  <c r="R243" i="3"/>
  <c r="BF233" i="1" s="1"/>
  <c r="R242" i="3"/>
  <c r="BF232" i="1" s="1"/>
  <c r="R241" i="3"/>
  <c r="BF231" i="1" s="1"/>
  <c r="R421" i="3"/>
  <c r="BF411" i="1" s="1"/>
  <c r="R420" i="3"/>
  <c r="BF410" i="1" s="1"/>
  <c r="R419" i="3"/>
  <c r="BF409" i="1" s="1"/>
  <c r="R418" i="3"/>
  <c r="BF408" i="1" s="1"/>
  <c r="R417" i="3"/>
  <c r="BF407" i="1" s="1"/>
  <c r="R416" i="3"/>
  <c r="BF406" i="1" s="1"/>
  <c r="R415" i="3"/>
  <c r="BF405" i="1" s="1"/>
  <c r="R414" i="3"/>
  <c r="BF404" i="1" s="1"/>
  <c r="R413" i="3"/>
  <c r="BF403" i="1" s="1"/>
  <c r="R412" i="3"/>
  <c r="BF402" i="1" s="1"/>
  <c r="R411" i="3"/>
  <c r="BF401" i="1" s="1"/>
  <c r="R240" i="3"/>
  <c r="BF230" i="1" s="1"/>
  <c r="R239" i="3"/>
  <c r="BF229" i="1" s="1"/>
  <c r="R238" i="3"/>
  <c r="BF228" i="1" s="1"/>
  <c r="R237" i="3"/>
  <c r="BF227" i="1" s="1"/>
  <c r="R236" i="3"/>
  <c r="BF226" i="1" s="1"/>
  <c r="R235" i="3"/>
  <c r="BF225" i="1" s="1"/>
  <c r="R389" i="3"/>
  <c r="BF379" i="1" s="1"/>
  <c r="R388" i="3"/>
  <c r="BF378" i="1" s="1"/>
  <c r="R387" i="3"/>
  <c r="BF377" i="1" s="1"/>
  <c r="R386" i="3"/>
  <c r="BF376" i="1" s="1"/>
  <c r="R385" i="3"/>
  <c r="BF375" i="1" s="1"/>
  <c r="R384" i="3"/>
  <c r="BF374" i="1" s="1"/>
  <c r="R383" i="3"/>
  <c r="BF373" i="1" s="1"/>
  <c r="R382" i="3"/>
  <c r="BF372" i="1" s="1"/>
  <c r="R381" i="3"/>
  <c r="BF371" i="1" s="1"/>
  <c r="R380" i="3"/>
  <c r="BF370" i="1" s="1"/>
  <c r="R379" i="3"/>
  <c r="BF369" i="1" s="1"/>
  <c r="R378" i="3"/>
  <c r="BF368" i="1" s="1"/>
  <c r="R377" i="3"/>
  <c r="BF367" i="1" s="1"/>
  <c r="R376" i="3"/>
  <c r="BF366" i="1" s="1"/>
  <c r="R375" i="3"/>
  <c r="BF365" i="1" s="1"/>
  <c r="R374" i="3"/>
  <c r="BF364" i="1" s="1"/>
  <c r="R373" i="3"/>
  <c r="BF363" i="1" s="1"/>
  <c r="R372" i="3"/>
  <c r="BF362" i="1" s="1"/>
  <c r="R371" i="3"/>
  <c r="BF361" i="1" s="1"/>
  <c r="R370" i="3"/>
  <c r="BF360" i="1" s="1"/>
  <c r="R369" i="3"/>
  <c r="BF359" i="1" s="1"/>
  <c r="R368" i="3"/>
  <c r="BF358" i="1" s="1"/>
  <c r="R367" i="3"/>
  <c r="BF357" i="1" s="1"/>
  <c r="R366" i="3"/>
  <c r="BF356" i="1" s="1"/>
  <c r="R365" i="3"/>
  <c r="BF355" i="1" s="1"/>
  <c r="R364" i="3"/>
  <c r="BF354" i="1" s="1"/>
  <c r="R363" i="3"/>
  <c r="BF353" i="1" s="1"/>
  <c r="R362" i="3"/>
  <c r="BF352" i="1" s="1"/>
  <c r="R361" i="3"/>
  <c r="BF351" i="1" s="1"/>
  <c r="R360" i="3"/>
  <c r="BF350" i="1" s="1"/>
  <c r="R359" i="3"/>
  <c r="BF349" i="1" s="1"/>
  <c r="R358" i="3"/>
  <c r="BF348" i="1" s="1"/>
  <c r="R357" i="3"/>
  <c r="BF347" i="1" s="1"/>
  <c r="R356" i="3"/>
  <c r="BF346" i="1" s="1"/>
  <c r="R355" i="3"/>
  <c r="BF345" i="1" s="1"/>
  <c r="R354" i="3"/>
  <c r="BF344" i="1" s="1"/>
  <c r="S353" i="3"/>
  <c r="BG343" i="1" s="1"/>
  <c r="R353" i="3"/>
  <c r="BF343" i="1" s="1"/>
  <c r="S352" i="3"/>
  <c r="BG342" i="1" s="1"/>
  <c r="R352" i="3"/>
  <c r="BF342" i="1" s="1"/>
  <c r="S351" i="3"/>
  <c r="BG341" i="1" s="1"/>
  <c r="R351" i="3"/>
  <c r="BF341" i="1" s="1"/>
  <c r="S350" i="3"/>
  <c r="BG340" i="1" s="1"/>
  <c r="R350" i="3"/>
  <c r="BF340" i="1" s="1"/>
  <c r="S349" i="3"/>
  <c r="BG339" i="1" s="1"/>
  <c r="R349" i="3"/>
  <c r="BF339" i="1" s="1"/>
  <c r="S348" i="3"/>
  <c r="BG338" i="1" s="1"/>
  <c r="R348" i="3"/>
  <c r="BF338" i="1" s="1"/>
  <c r="S347" i="3"/>
  <c r="BG337" i="1" s="1"/>
  <c r="R347" i="3"/>
  <c r="BF337" i="1" s="1"/>
  <c r="S346" i="3"/>
  <c r="BG336" i="1" s="1"/>
  <c r="R346" i="3"/>
  <c r="BF336" i="1" s="1"/>
  <c r="S345" i="3"/>
  <c r="BG335" i="1" s="1"/>
  <c r="R345" i="3"/>
  <c r="BF335" i="1" s="1"/>
  <c r="S344" i="3"/>
  <c r="BG334" i="1" s="1"/>
  <c r="R344" i="3"/>
  <c r="BF334" i="1" s="1"/>
  <c r="S343" i="3"/>
  <c r="BG333" i="1" s="1"/>
  <c r="R343" i="3"/>
  <c r="BF333" i="1" s="1"/>
  <c r="S342" i="3"/>
  <c r="BG332" i="1" s="1"/>
  <c r="R342" i="3"/>
  <c r="BF332" i="1" s="1"/>
  <c r="S341" i="3"/>
  <c r="BG331" i="1" s="1"/>
  <c r="R341" i="3"/>
  <c r="BF331" i="1" s="1"/>
  <c r="S340" i="3"/>
  <c r="BG330" i="1" s="1"/>
  <c r="R340" i="3"/>
  <c r="BF330" i="1" s="1"/>
  <c r="S339" i="3"/>
  <c r="BG329" i="1" s="1"/>
  <c r="R339" i="3"/>
  <c r="BF329" i="1" s="1"/>
  <c r="S338" i="3"/>
  <c r="BG328" i="1" s="1"/>
  <c r="R338" i="3"/>
  <c r="BF328" i="1" s="1"/>
  <c r="S337" i="3"/>
  <c r="BG327" i="1" s="1"/>
  <c r="R337" i="3"/>
  <c r="BF327" i="1" s="1"/>
  <c r="S336" i="3"/>
  <c r="BG326" i="1" s="1"/>
  <c r="R336" i="3"/>
  <c r="BF326" i="1" s="1"/>
  <c r="S335" i="3"/>
  <c r="BG325" i="1" s="1"/>
  <c r="R335" i="3"/>
  <c r="BF325" i="1" s="1"/>
  <c r="S334" i="3"/>
  <c r="BG324" i="1" s="1"/>
  <c r="R333" i="3"/>
  <c r="BF323" i="1" s="1"/>
  <c r="S332" i="3"/>
  <c r="BG322" i="1" s="1"/>
  <c r="R332" i="3"/>
  <c r="BF322" i="1" s="1"/>
  <c r="S331" i="3"/>
  <c r="BG321" i="1" s="1"/>
  <c r="R331" i="3"/>
  <c r="BF321" i="1" s="1"/>
  <c r="S330" i="3"/>
  <c r="BG320" i="1" s="1"/>
  <c r="R330" i="3"/>
  <c r="BF320" i="1" s="1"/>
  <c r="S329" i="3"/>
  <c r="BG319" i="1" s="1"/>
  <c r="R329" i="3"/>
  <c r="BF319" i="1" s="1"/>
  <c r="S328" i="3"/>
  <c r="BG318" i="1" s="1"/>
  <c r="R328" i="3"/>
  <c r="BF318" i="1" s="1"/>
  <c r="S327" i="3"/>
  <c r="BG317" i="1" s="1"/>
  <c r="R327" i="3"/>
  <c r="BF317" i="1" s="1"/>
  <c r="S326" i="3"/>
  <c r="BG316" i="1" s="1"/>
  <c r="R326" i="3"/>
  <c r="BF316" i="1" s="1"/>
  <c r="S325" i="3"/>
  <c r="BG315" i="1" s="1"/>
  <c r="R325" i="3"/>
  <c r="BF315" i="1" s="1"/>
  <c r="S324" i="3"/>
  <c r="BG314" i="1" s="1"/>
  <c r="R324" i="3"/>
  <c r="BF314" i="1" s="1"/>
  <c r="S323" i="3"/>
  <c r="BG313" i="1" s="1"/>
  <c r="R323" i="3"/>
  <c r="BF313" i="1" s="1"/>
  <c r="S322" i="3"/>
  <c r="BG312" i="1" s="1"/>
  <c r="R322" i="3"/>
  <c r="BF312" i="1" s="1"/>
  <c r="S321" i="3"/>
  <c r="BG311" i="1" s="1"/>
  <c r="R321" i="3"/>
  <c r="BF311" i="1" s="1"/>
  <c r="S320" i="3"/>
  <c r="BG310" i="1" s="1"/>
  <c r="S267" i="3"/>
  <c r="BG257" i="1" s="1"/>
  <c r="S266" i="3"/>
  <c r="BG256" i="1" s="1"/>
  <c r="S260" i="3"/>
  <c r="BG250" i="1" s="1"/>
  <c r="S250" i="3"/>
  <c r="BG240" i="1" s="1"/>
  <c r="S245" i="3"/>
  <c r="BG235" i="1" s="1"/>
  <c r="S240" i="3"/>
  <c r="BG230" i="1" s="1"/>
  <c r="S236" i="3"/>
  <c r="BG226" i="1" s="1"/>
  <c r="R320" i="3"/>
  <c r="BF310" i="1" s="1"/>
  <c r="S319" i="3"/>
  <c r="BG309" i="1" s="1"/>
  <c r="R319" i="3"/>
  <c r="BF309" i="1" s="1"/>
  <c r="S318" i="3"/>
  <c r="BG308" i="1" s="1"/>
  <c r="R318" i="3"/>
  <c r="BF308" i="1" s="1"/>
  <c r="S317" i="3"/>
  <c r="BG307" i="1" s="1"/>
  <c r="R317" i="3"/>
  <c r="BF307" i="1" s="1"/>
  <c r="S316" i="3"/>
  <c r="BG306" i="1" s="1"/>
  <c r="R316" i="3"/>
  <c r="BF306" i="1" s="1"/>
  <c r="S315" i="3"/>
  <c r="BG305" i="1" s="1"/>
  <c r="R315" i="3"/>
  <c r="BF305" i="1" s="1"/>
  <c r="S314" i="3"/>
  <c r="BG304" i="1" s="1"/>
  <c r="R314" i="3"/>
  <c r="BF304" i="1" s="1"/>
  <c r="S313" i="3"/>
  <c r="BG303" i="1" s="1"/>
  <c r="R313" i="3"/>
  <c r="BF303" i="1" s="1"/>
  <c r="S312" i="3"/>
  <c r="BG302" i="1" s="1"/>
  <c r="R312" i="3"/>
  <c r="BF302" i="1" s="1"/>
  <c r="S311" i="3"/>
  <c r="BG301" i="1" s="1"/>
  <c r="R311" i="3"/>
  <c r="BF301" i="1" s="1"/>
  <c r="S310" i="3"/>
  <c r="BG300" i="1" s="1"/>
  <c r="R310" i="3"/>
  <c r="BF300" i="1" s="1"/>
  <c r="S309" i="3"/>
  <c r="BG299" i="1" s="1"/>
  <c r="R309" i="3"/>
  <c r="BF299" i="1" s="1"/>
  <c r="S308" i="3"/>
  <c r="BG298" i="1" s="1"/>
  <c r="R308" i="3"/>
  <c r="BF298" i="1" s="1"/>
  <c r="S307" i="3"/>
  <c r="BG297" i="1" s="1"/>
  <c r="R307" i="3"/>
  <c r="BF297" i="1" s="1"/>
  <c r="S306" i="3"/>
  <c r="BG296" i="1" s="1"/>
  <c r="R306" i="3"/>
  <c r="BF296" i="1" s="1"/>
  <c r="S305" i="3"/>
  <c r="BG295" i="1" s="1"/>
  <c r="R305" i="3"/>
  <c r="BF295" i="1" s="1"/>
  <c r="S304" i="3"/>
  <c r="BG294" i="1" s="1"/>
  <c r="R304" i="3"/>
  <c r="BF294" i="1" s="1"/>
  <c r="S262" i="3"/>
  <c r="BG252" i="1" s="1"/>
  <c r="S261" i="3"/>
  <c r="BG251" i="1" s="1"/>
  <c r="S246" i="3"/>
  <c r="BG236" i="1" s="1"/>
  <c r="S242" i="3"/>
  <c r="BG232" i="1" s="1"/>
  <c r="S237" i="3"/>
  <c r="BG227" i="1" s="1"/>
  <c r="R302" i="3"/>
  <c r="BF292" i="1" s="1"/>
  <c r="R301" i="3"/>
  <c r="BF291" i="1" s="1"/>
  <c r="R300" i="3"/>
  <c r="BF290" i="1" s="1"/>
  <c r="S299" i="3"/>
  <c r="BG289" i="1" s="1"/>
  <c r="S298" i="3"/>
  <c r="BG288" i="1" s="1"/>
  <c r="S297" i="3"/>
  <c r="BG287" i="1" s="1"/>
  <c r="R296" i="3"/>
  <c r="BF286" i="1" s="1"/>
  <c r="R295" i="3"/>
  <c r="BF285" i="1" s="1"/>
  <c r="R294" i="3"/>
  <c r="BF284" i="1" s="1"/>
  <c r="R293" i="3"/>
  <c r="BF283" i="1" s="1"/>
  <c r="R292" i="3"/>
  <c r="BF282" i="1" s="1"/>
  <c r="R291" i="3"/>
  <c r="BF281" i="1" s="1"/>
  <c r="S289" i="3"/>
  <c r="BG279" i="1" s="1"/>
  <c r="R288" i="3"/>
  <c r="BF278" i="1" s="1"/>
  <c r="R287" i="3"/>
  <c r="BF277" i="1" s="1"/>
  <c r="R286" i="3"/>
  <c r="BF276" i="1" s="1"/>
  <c r="R285" i="3"/>
  <c r="BF275" i="1" s="1"/>
  <c r="S283" i="3"/>
  <c r="BG273" i="1" s="1"/>
  <c r="R282" i="3"/>
  <c r="BF272" i="1" s="1"/>
  <c r="R281" i="3"/>
  <c r="BF271" i="1" s="1"/>
  <c r="R280" i="3"/>
  <c r="BF270" i="1" s="1"/>
  <c r="R279" i="3"/>
  <c r="BF269" i="1" s="1"/>
  <c r="R278" i="3"/>
  <c r="BF268" i="1" s="1"/>
  <c r="S277" i="3"/>
  <c r="BG267" i="1" s="1"/>
  <c r="S273" i="3"/>
  <c r="BG263" i="1" s="1"/>
  <c r="S271" i="3"/>
  <c r="BG261" i="1" s="1"/>
  <c r="S269" i="3"/>
  <c r="BG259" i="1" s="1"/>
  <c r="S265" i="3"/>
  <c r="BG255" i="1" s="1"/>
  <c r="S263" i="3"/>
  <c r="BG253" i="1" s="1"/>
  <c r="S248" i="3"/>
  <c r="BG238" i="1" s="1"/>
  <c r="S241" i="3"/>
  <c r="BG231" i="1" s="1"/>
  <c r="S235" i="3"/>
  <c r="BG225" i="1" s="1"/>
  <c r="R303" i="3"/>
  <c r="BF293" i="1" s="1"/>
  <c r="R299" i="3"/>
  <c r="BF289" i="1" s="1"/>
  <c r="R298" i="3"/>
  <c r="BF288" i="1" s="1"/>
  <c r="R297" i="3"/>
  <c r="BF287" i="1" s="1"/>
  <c r="S296" i="3"/>
  <c r="BG286" i="1" s="1"/>
  <c r="S295" i="3"/>
  <c r="BG285" i="1" s="1"/>
  <c r="S294" i="3"/>
  <c r="BG284" i="1" s="1"/>
  <c r="S293" i="3"/>
  <c r="BG283" i="1" s="1"/>
  <c r="S292" i="3"/>
  <c r="BG282" i="1" s="1"/>
  <c r="S291" i="3"/>
  <c r="BG281" i="1" s="1"/>
  <c r="S290" i="3"/>
  <c r="BG280" i="1" s="1"/>
  <c r="R290" i="3"/>
  <c r="BF280" i="1" s="1"/>
  <c r="R289" i="3"/>
  <c r="BF279" i="1" s="1"/>
  <c r="S288" i="3"/>
  <c r="BG278" i="1" s="1"/>
  <c r="S287" i="3"/>
  <c r="BG277" i="1" s="1"/>
  <c r="S286" i="3"/>
  <c r="BG276" i="1" s="1"/>
  <c r="S285" i="3"/>
  <c r="BG275" i="1" s="1"/>
  <c r="S284" i="3"/>
  <c r="BG274" i="1" s="1"/>
  <c r="R284" i="3"/>
  <c r="BF274" i="1" s="1"/>
  <c r="R283" i="3"/>
  <c r="BF273" i="1" s="1"/>
  <c r="S282" i="3"/>
  <c r="BG272" i="1" s="1"/>
  <c r="S281" i="3"/>
  <c r="BG271" i="1" s="1"/>
  <c r="S280" i="3"/>
  <c r="BG270" i="1" s="1"/>
  <c r="S279" i="3"/>
  <c r="BG269" i="1" s="1"/>
  <c r="S278" i="3"/>
  <c r="BG268" i="1" s="1"/>
  <c r="S276" i="3"/>
  <c r="BG266" i="1" s="1"/>
  <c r="S275" i="3"/>
  <c r="BG265" i="1" s="1"/>
  <c r="S274" i="3"/>
  <c r="BG264" i="1" s="1"/>
  <c r="S272" i="3"/>
  <c r="BG262" i="1" s="1"/>
  <c r="S270" i="3"/>
  <c r="BG260" i="1" s="1"/>
  <c r="S268" i="3"/>
  <c r="BG258" i="1" s="1"/>
  <c r="S264" i="3"/>
  <c r="BG254" i="1" s="1"/>
  <c r="S247" i="3"/>
  <c r="BG237" i="1" s="1"/>
  <c r="S243" i="3"/>
  <c r="BG233" i="1" s="1"/>
  <c r="S238" i="3"/>
  <c r="BG228" i="1" s="1"/>
  <c r="R260" i="3"/>
  <c r="BF250" i="1" s="1"/>
  <c r="S259" i="3"/>
  <c r="BG249" i="1" s="1"/>
  <c r="S258" i="3"/>
  <c r="BG248" i="1" s="1"/>
  <c r="S257" i="3"/>
  <c r="BG247" i="1" s="1"/>
  <c r="S256" i="3"/>
  <c r="BG246" i="1" s="1"/>
  <c r="S255" i="3"/>
  <c r="BG245" i="1" s="1"/>
  <c r="S254" i="3"/>
  <c r="BG244" i="1" s="1"/>
  <c r="S253" i="3"/>
  <c r="BG243" i="1" s="1"/>
  <c r="S252" i="3"/>
  <c r="BG242" i="1" s="1"/>
  <c r="S251" i="3"/>
  <c r="BG241" i="1" s="1"/>
  <c r="S249" i="3"/>
  <c r="BG239" i="1" s="1"/>
  <c r="S244" i="3"/>
  <c r="BG234" i="1" s="1"/>
  <c r="S239" i="3"/>
  <c r="BG229" i="1" s="1"/>
  <c r="S518" i="3"/>
  <c r="R518" i="3"/>
  <c r="BF508" i="1" s="1"/>
  <c r="S517" i="3"/>
  <c r="BG507" i="1" s="1"/>
  <c r="R517" i="3"/>
  <c r="BF507" i="1" s="1"/>
  <c r="S516" i="3"/>
  <c r="BG506" i="1" s="1"/>
  <c r="R516" i="3"/>
  <c r="BF506" i="1" s="1"/>
  <c r="S515" i="3"/>
  <c r="BG505" i="1" s="1"/>
  <c r="R515" i="3"/>
  <c r="BF505" i="1" s="1"/>
  <c r="S514" i="3"/>
  <c r="BG504" i="1" s="1"/>
  <c r="R514" i="3"/>
  <c r="BF504" i="1" s="1"/>
  <c r="S513" i="3"/>
  <c r="BG503" i="1" s="1"/>
  <c r="R513" i="3"/>
  <c r="BF503" i="1" s="1"/>
  <c r="S512" i="3"/>
  <c r="BG502" i="1" s="1"/>
  <c r="R512" i="3"/>
  <c r="BF502" i="1" s="1"/>
  <c r="S511" i="3"/>
  <c r="BG501" i="1" s="1"/>
  <c r="R511" i="3"/>
  <c r="BF501" i="1" s="1"/>
  <c r="S510" i="3"/>
  <c r="BG500" i="1" s="1"/>
  <c r="R510" i="3"/>
  <c r="BF500" i="1" s="1"/>
  <c r="S509" i="3"/>
  <c r="BG499" i="1" s="1"/>
  <c r="R509" i="3"/>
  <c r="BF499" i="1" s="1"/>
  <c r="S508" i="3"/>
  <c r="BG498" i="1" s="1"/>
  <c r="R508" i="3"/>
  <c r="BF498" i="1" s="1"/>
  <c r="S507" i="3"/>
  <c r="BG497" i="1" s="1"/>
  <c r="R507" i="3"/>
  <c r="BF497" i="1" s="1"/>
  <c r="S506" i="3"/>
  <c r="BG496" i="1" s="1"/>
  <c r="R506" i="3"/>
  <c r="BF496" i="1" s="1"/>
  <c r="S505" i="3"/>
  <c r="BG495" i="1" s="1"/>
  <c r="R505" i="3"/>
  <c r="BF495" i="1" s="1"/>
  <c r="S504" i="3"/>
  <c r="BG494" i="1" s="1"/>
  <c r="R504" i="3"/>
  <c r="BF494" i="1" s="1"/>
  <c r="S503" i="3"/>
  <c r="BG493" i="1" s="1"/>
  <c r="R503" i="3"/>
  <c r="BF493" i="1" s="1"/>
  <c r="S502" i="3"/>
  <c r="BG492" i="1" s="1"/>
  <c r="R502" i="3"/>
  <c r="BF492" i="1" s="1"/>
  <c r="S501" i="3"/>
  <c r="BG491" i="1" s="1"/>
  <c r="R501" i="3"/>
  <c r="BF491" i="1" s="1"/>
  <c r="S500" i="3"/>
  <c r="BG490" i="1" s="1"/>
  <c r="R500" i="3"/>
  <c r="BF490" i="1" s="1"/>
  <c r="S499" i="3"/>
  <c r="BG489" i="1" s="1"/>
  <c r="R499" i="3"/>
  <c r="BF489" i="1" s="1"/>
  <c r="S498" i="3"/>
  <c r="BG488" i="1" s="1"/>
  <c r="R498" i="3"/>
  <c r="BF488" i="1" s="1"/>
  <c r="S497" i="3"/>
  <c r="BG487" i="1" s="1"/>
  <c r="R497" i="3"/>
  <c r="BF487" i="1" s="1"/>
  <c r="S496" i="3"/>
  <c r="BG486" i="1" s="1"/>
  <c r="R496" i="3"/>
  <c r="BF486" i="1" s="1"/>
  <c r="S495" i="3"/>
  <c r="BG485" i="1" s="1"/>
  <c r="R495" i="3"/>
  <c r="BF485" i="1" s="1"/>
  <c r="S494" i="3"/>
  <c r="BG484" i="1" s="1"/>
  <c r="R494" i="3"/>
  <c r="BF484" i="1" s="1"/>
  <c r="S493" i="3"/>
  <c r="BG483" i="1" s="1"/>
  <c r="R493" i="3"/>
  <c r="BF483" i="1" s="1"/>
  <c r="S492" i="3"/>
  <c r="BG482" i="1" s="1"/>
  <c r="R492" i="3"/>
  <c r="BF482" i="1" s="1"/>
  <c r="S491" i="3"/>
  <c r="BG481" i="1" s="1"/>
  <c r="R491" i="3"/>
  <c r="BF481" i="1" s="1"/>
  <c r="S490" i="3"/>
  <c r="BG480" i="1" s="1"/>
  <c r="R490" i="3"/>
  <c r="BF480" i="1" s="1"/>
  <c r="S489" i="3"/>
  <c r="BG479" i="1" s="1"/>
  <c r="R489" i="3"/>
  <c r="BF479" i="1" s="1"/>
  <c r="S487" i="3"/>
  <c r="BG477" i="1" s="1"/>
  <c r="R487" i="3"/>
  <c r="BF477" i="1" s="1"/>
  <c r="S486" i="3"/>
  <c r="BG476" i="1" s="1"/>
  <c r="R486" i="3"/>
  <c r="BF476" i="1" s="1"/>
  <c r="S485" i="3"/>
  <c r="BG475" i="1" s="1"/>
  <c r="R485" i="3"/>
  <c r="BF475" i="1" s="1"/>
  <c r="S484" i="3"/>
  <c r="BG474" i="1" s="1"/>
  <c r="R484" i="3"/>
  <c r="BF474" i="1" s="1"/>
  <c r="S483" i="3"/>
  <c r="BG473" i="1" s="1"/>
  <c r="R483" i="3"/>
  <c r="BF473" i="1" s="1"/>
  <c r="S482" i="3"/>
  <c r="BG472" i="1" s="1"/>
  <c r="R482" i="3"/>
  <c r="BF472" i="1" s="1"/>
  <c r="S481" i="3"/>
  <c r="BG471" i="1" s="1"/>
  <c r="R481" i="3"/>
  <c r="BF471" i="1" s="1"/>
  <c r="S480" i="3"/>
  <c r="BG470" i="1" s="1"/>
  <c r="R480" i="3"/>
  <c r="BF470" i="1" s="1"/>
  <c r="S479" i="3"/>
  <c r="BG469" i="1" s="1"/>
  <c r="R479" i="3"/>
  <c r="BF469" i="1" s="1"/>
  <c r="S478" i="3"/>
  <c r="BG468" i="1" s="1"/>
  <c r="R478" i="3"/>
  <c r="BF468" i="1" s="1"/>
  <c r="S477" i="3"/>
  <c r="BG467" i="1" s="1"/>
  <c r="R477" i="3"/>
  <c r="BF467" i="1" s="1"/>
  <c r="S476" i="3"/>
  <c r="BG466" i="1" s="1"/>
  <c r="R476" i="3"/>
  <c r="BF466" i="1" s="1"/>
  <c r="S475" i="3"/>
  <c r="BG465" i="1" s="1"/>
  <c r="R475" i="3"/>
  <c r="BF465" i="1" s="1"/>
  <c r="S474" i="3"/>
  <c r="BG464" i="1" s="1"/>
  <c r="R474" i="3"/>
  <c r="BF464" i="1" s="1"/>
  <c r="S473" i="3"/>
  <c r="BG463" i="1" s="1"/>
  <c r="R473" i="3"/>
  <c r="BF463" i="1" s="1"/>
  <c r="S472" i="3"/>
  <c r="BG462" i="1" s="1"/>
  <c r="R472" i="3"/>
  <c r="BF462" i="1" s="1"/>
  <c r="S471" i="3"/>
  <c r="BG461" i="1" s="1"/>
  <c r="R471" i="3"/>
  <c r="BF461" i="1" s="1"/>
  <c r="S470" i="3"/>
  <c r="BG460" i="1" s="1"/>
  <c r="R470" i="3"/>
  <c r="BF460" i="1" s="1"/>
  <c r="S469" i="3"/>
  <c r="BG459" i="1" s="1"/>
  <c r="R469" i="3"/>
  <c r="BF459" i="1" s="1"/>
  <c r="S468" i="3"/>
  <c r="BG458" i="1" s="1"/>
  <c r="R468" i="3"/>
  <c r="BF458" i="1" s="1"/>
  <c r="S467" i="3"/>
  <c r="BG457" i="1" s="1"/>
  <c r="R467" i="3"/>
  <c r="BF457" i="1" s="1"/>
  <c r="S466" i="3"/>
  <c r="BG456" i="1" s="1"/>
  <c r="R466" i="3"/>
  <c r="BF456" i="1" s="1"/>
  <c r="S465" i="3"/>
  <c r="BG455" i="1" s="1"/>
  <c r="R465" i="3"/>
  <c r="BF455" i="1" s="1"/>
  <c r="S464" i="3"/>
  <c r="BG454" i="1" s="1"/>
  <c r="R464" i="3"/>
  <c r="BF454" i="1" s="1"/>
  <c r="S463" i="3"/>
  <c r="BG453" i="1" s="1"/>
  <c r="R463" i="3"/>
  <c r="BF453" i="1" s="1"/>
  <c r="S462" i="3"/>
  <c r="BG452" i="1" s="1"/>
  <c r="R462" i="3"/>
  <c r="BF452" i="1" s="1"/>
  <c r="S461" i="3"/>
  <c r="BG451" i="1" s="1"/>
  <c r="R461" i="3"/>
  <c r="BF451" i="1" s="1"/>
  <c r="S460" i="3"/>
  <c r="BG450" i="1" s="1"/>
  <c r="R460" i="3"/>
  <c r="BF450" i="1" s="1"/>
  <c r="S459" i="3"/>
  <c r="BG449" i="1" s="1"/>
  <c r="R459" i="3"/>
  <c r="BF449" i="1" s="1"/>
  <c r="S458" i="3"/>
  <c r="BG448" i="1" s="1"/>
  <c r="R458" i="3"/>
  <c r="BF448" i="1" s="1"/>
  <c r="S457" i="3"/>
  <c r="BG447" i="1" s="1"/>
  <c r="R457" i="3"/>
  <c r="BF447" i="1" s="1"/>
  <c r="S456" i="3"/>
  <c r="BG446" i="1" s="1"/>
  <c r="R456" i="3"/>
  <c r="BF446" i="1" s="1"/>
  <c r="S455" i="3"/>
  <c r="BG445" i="1" s="1"/>
  <c r="R455" i="3"/>
  <c r="BF445" i="1" s="1"/>
  <c r="S454" i="3"/>
  <c r="BG444" i="1" s="1"/>
  <c r="R454" i="3"/>
  <c r="BF444" i="1" s="1"/>
  <c r="S453" i="3"/>
  <c r="BG443" i="1" s="1"/>
  <c r="R453" i="3"/>
  <c r="BF443" i="1" s="1"/>
  <c r="S452" i="3"/>
  <c r="BG442" i="1" s="1"/>
  <c r="R452" i="3"/>
  <c r="BF442" i="1" s="1"/>
  <c r="S451" i="3"/>
  <c r="BG441" i="1" s="1"/>
  <c r="R451" i="3"/>
  <c r="BF441" i="1" s="1"/>
  <c r="S450" i="3"/>
  <c r="BG440" i="1" s="1"/>
  <c r="R450" i="3"/>
  <c r="BF440" i="1" s="1"/>
  <c r="S449" i="3"/>
  <c r="BG439" i="1" s="1"/>
  <c r="R449" i="3"/>
  <c r="BF439" i="1" s="1"/>
  <c r="S448" i="3"/>
  <c r="BG438" i="1" s="1"/>
  <c r="R448" i="3"/>
  <c r="BF438" i="1" s="1"/>
  <c r="R446" i="3"/>
  <c r="BF436" i="1" s="1"/>
  <c r="S445" i="3"/>
  <c r="BG435" i="1" s="1"/>
  <c r="R445" i="3"/>
  <c r="BF435" i="1" s="1"/>
  <c r="S444" i="3"/>
  <c r="BG434" i="1" s="1"/>
  <c r="R444" i="3"/>
  <c r="BF434" i="1" s="1"/>
  <c r="S443" i="3"/>
  <c r="BG433" i="1" s="1"/>
  <c r="R443" i="3"/>
  <c r="BF433" i="1" s="1"/>
  <c r="S442" i="3"/>
  <c r="BG432" i="1" s="1"/>
  <c r="R442" i="3"/>
  <c r="BF432" i="1" s="1"/>
  <c r="S441" i="3"/>
  <c r="BG431" i="1" s="1"/>
  <c r="R441" i="3"/>
  <c r="BF431" i="1" s="1"/>
  <c r="S440" i="3"/>
  <c r="BG430" i="1" s="1"/>
  <c r="R440" i="3"/>
  <c r="BF430" i="1" s="1"/>
  <c r="S439" i="3"/>
  <c r="BG429" i="1" s="1"/>
  <c r="R439" i="3"/>
  <c r="BF429" i="1" s="1"/>
  <c r="S438" i="3"/>
  <c r="BG428" i="1" s="1"/>
  <c r="R438" i="3"/>
  <c r="BF428" i="1" s="1"/>
  <c r="S437" i="3"/>
  <c r="BG427" i="1" s="1"/>
  <c r="R437" i="3"/>
  <c r="BF427" i="1" s="1"/>
  <c r="S436" i="3"/>
  <c r="BG426" i="1" s="1"/>
  <c r="R436" i="3"/>
  <c r="BF426" i="1" s="1"/>
  <c r="S435" i="3"/>
  <c r="BG425" i="1" s="1"/>
  <c r="R435" i="3"/>
  <c r="BF425" i="1" s="1"/>
  <c r="S434" i="3"/>
  <c r="BG424" i="1" s="1"/>
  <c r="R434" i="3"/>
  <c r="BF424" i="1" s="1"/>
  <c r="S433" i="3"/>
  <c r="BG423" i="1" s="1"/>
  <c r="R433" i="3"/>
  <c r="BF423" i="1" s="1"/>
  <c r="S432" i="3"/>
  <c r="BG422" i="1" s="1"/>
  <c r="R432" i="3"/>
  <c r="BF422" i="1" s="1"/>
  <c r="S431" i="3"/>
  <c r="BG421" i="1" s="1"/>
  <c r="R431" i="3"/>
  <c r="BF421" i="1" s="1"/>
  <c r="S428" i="3"/>
  <c r="BG418" i="1" s="1"/>
  <c r="R428" i="3"/>
  <c r="BF418" i="1" s="1"/>
  <c r="S427" i="3"/>
  <c r="BG417" i="1" s="1"/>
  <c r="R427" i="3"/>
  <c r="BF417" i="1" s="1"/>
  <c r="S426" i="3"/>
  <c r="BG416" i="1" s="1"/>
  <c r="R426" i="3"/>
  <c r="BF416" i="1" s="1"/>
  <c r="S425" i="3"/>
  <c r="BG415" i="1" s="1"/>
  <c r="R425" i="3"/>
  <c r="BF415" i="1" s="1"/>
  <c r="S424" i="3"/>
  <c r="BG414" i="1" s="1"/>
  <c r="R424" i="3"/>
  <c r="BF414" i="1" s="1"/>
  <c r="S423" i="3"/>
  <c r="BG413" i="1" s="1"/>
  <c r="R423" i="3"/>
  <c r="BF413" i="1" s="1"/>
  <c r="R422" i="3"/>
  <c r="BF412" i="1" s="1"/>
  <c r="S419" i="3"/>
  <c r="BG409" i="1" s="1"/>
  <c r="S418" i="3"/>
  <c r="BG408" i="1" s="1"/>
  <c r="S417" i="3"/>
  <c r="BG407" i="1" s="1"/>
  <c r="S415" i="3"/>
  <c r="BG405" i="1" s="1"/>
  <c r="S414" i="3"/>
  <c r="BG404" i="1" s="1"/>
  <c r="S412" i="3"/>
  <c r="BG402" i="1" s="1"/>
  <c r="S411" i="3"/>
  <c r="BG401" i="1" s="1"/>
  <c r="S382" i="3"/>
  <c r="BG372" i="1" s="1"/>
  <c r="S380" i="3"/>
  <c r="BG370" i="1" s="1"/>
  <c r="S372" i="3"/>
  <c r="BG362" i="1" s="1"/>
  <c r="S371" i="3"/>
  <c r="BG361" i="1" s="1"/>
  <c r="S369" i="3"/>
  <c r="BG359" i="1" s="1"/>
  <c r="S367" i="3"/>
  <c r="BG357" i="1" s="1"/>
  <c r="S365" i="3"/>
  <c r="BG355" i="1" s="1"/>
  <c r="S363" i="3"/>
  <c r="BG353" i="1" s="1"/>
  <c r="S361" i="3"/>
  <c r="BG351" i="1" s="1"/>
  <c r="S359" i="3"/>
  <c r="BG349" i="1" s="1"/>
  <c r="S357" i="3"/>
  <c r="BG347" i="1" s="1"/>
  <c r="S355" i="3"/>
  <c r="BG345" i="1" s="1"/>
  <c r="S488" i="3"/>
  <c r="BG478" i="1" s="1"/>
  <c r="R488" i="3"/>
  <c r="BF478" i="1" s="1"/>
  <c r="S430" i="3"/>
  <c r="BG420" i="1" s="1"/>
  <c r="R430" i="3"/>
  <c r="BF420" i="1" s="1"/>
  <c r="S429" i="3"/>
  <c r="BG419" i="1" s="1"/>
  <c r="R429" i="3"/>
  <c r="BF419" i="1" s="1"/>
  <c r="S422" i="3"/>
  <c r="BG412" i="1" s="1"/>
  <c r="S421" i="3"/>
  <c r="BG411" i="1" s="1"/>
  <c r="S420" i="3"/>
  <c r="BG410" i="1" s="1"/>
  <c r="S416" i="3"/>
  <c r="BG406" i="1" s="1"/>
  <c r="S413" i="3"/>
  <c r="BG403" i="1" s="1"/>
  <c r="S383" i="3"/>
  <c r="BG373" i="1" s="1"/>
  <c r="S379" i="3"/>
  <c r="BG369" i="1" s="1"/>
  <c r="S376" i="3"/>
  <c r="BG366" i="1" s="1"/>
  <c r="S375" i="3"/>
  <c r="BG365" i="1" s="1"/>
  <c r="S368" i="3"/>
  <c r="BG358" i="1" s="1"/>
  <c r="S364" i="3"/>
  <c r="BG354" i="1" s="1"/>
  <c r="S360" i="3"/>
  <c r="BG350" i="1" s="1"/>
  <c r="S356" i="3"/>
  <c r="BG346" i="1" s="1"/>
  <c r="S410" i="3"/>
  <c r="BG400" i="1" s="1"/>
  <c r="R410" i="3"/>
  <c r="BF400" i="1" s="1"/>
  <c r="S409" i="3"/>
  <c r="BG399" i="1" s="1"/>
  <c r="R409" i="3"/>
  <c r="BF399" i="1" s="1"/>
  <c r="S408" i="3"/>
  <c r="BG398" i="1" s="1"/>
  <c r="R408" i="3"/>
  <c r="BF398" i="1" s="1"/>
  <c r="S407" i="3"/>
  <c r="BG397" i="1" s="1"/>
  <c r="R407" i="3"/>
  <c r="BF397" i="1" s="1"/>
  <c r="S406" i="3"/>
  <c r="BG396" i="1" s="1"/>
  <c r="R406" i="3"/>
  <c r="BF396" i="1" s="1"/>
  <c r="S405" i="3"/>
  <c r="BG395" i="1" s="1"/>
  <c r="R405" i="3"/>
  <c r="BF395" i="1" s="1"/>
  <c r="S404" i="3"/>
  <c r="BG394" i="1" s="1"/>
  <c r="R404" i="3"/>
  <c r="BF394" i="1" s="1"/>
  <c r="S403" i="3"/>
  <c r="BG393" i="1" s="1"/>
  <c r="R403" i="3"/>
  <c r="BF393" i="1" s="1"/>
  <c r="S402" i="3"/>
  <c r="BG392" i="1" s="1"/>
  <c r="R402" i="3"/>
  <c r="BF392" i="1" s="1"/>
  <c r="S401" i="3"/>
  <c r="BG391" i="1" s="1"/>
  <c r="R401" i="3"/>
  <c r="BF391" i="1" s="1"/>
  <c r="S400" i="3"/>
  <c r="BG390" i="1" s="1"/>
  <c r="R400" i="3"/>
  <c r="BF390" i="1" s="1"/>
  <c r="S399" i="3"/>
  <c r="BG389" i="1" s="1"/>
  <c r="R399" i="3"/>
  <c r="BF389" i="1" s="1"/>
  <c r="S398" i="3"/>
  <c r="BG388" i="1" s="1"/>
  <c r="R398" i="3"/>
  <c r="BF388" i="1" s="1"/>
  <c r="S397" i="3"/>
  <c r="BG387" i="1" s="1"/>
  <c r="R397" i="3"/>
  <c r="BF387" i="1" s="1"/>
  <c r="S396" i="3"/>
  <c r="BG386" i="1" s="1"/>
  <c r="R396" i="3"/>
  <c r="BF386" i="1" s="1"/>
  <c r="S395" i="3"/>
  <c r="BG385" i="1" s="1"/>
  <c r="R395" i="3"/>
  <c r="BF385" i="1" s="1"/>
  <c r="S394" i="3"/>
  <c r="BG384" i="1" s="1"/>
  <c r="R394" i="3"/>
  <c r="BF384" i="1" s="1"/>
  <c r="S393" i="3"/>
  <c r="BG383" i="1" s="1"/>
  <c r="R393" i="3"/>
  <c r="BF383" i="1" s="1"/>
  <c r="S392" i="3"/>
  <c r="BG382" i="1" s="1"/>
  <c r="R392" i="3"/>
  <c r="BF382" i="1" s="1"/>
  <c r="S391" i="3"/>
  <c r="BG381" i="1" s="1"/>
  <c r="R391" i="3"/>
  <c r="BF381" i="1" s="1"/>
  <c r="S390" i="3"/>
  <c r="BG380" i="1" s="1"/>
  <c r="R390" i="3"/>
  <c r="BF380" i="1" s="1"/>
  <c r="S389" i="3"/>
  <c r="BG379" i="1" s="1"/>
  <c r="S388" i="3"/>
  <c r="BG378" i="1" s="1"/>
  <c r="S387" i="3"/>
  <c r="BG377" i="1" s="1"/>
  <c r="S386" i="3"/>
  <c r="BG376" i="1" s="1"/>
  <c r="S385" i="3"/>
  <c r="BG375" i="1" s="1"/>
  <c r="S384" i="3"/>
  <c r="BG374" i="1" s="1"/>
  <c r="S381" i="3"/>
  <c r="BG371" i="1" s="1"/>
  <c r="S378" i="3"/>
  <c r="BG368" i="1" s="1"/>
  <c r="S377" i="3"/>
  <c r="BG367" i="1" s="1"/>
  <c r="S374" i="3"/>
  <c r="BG364" i="1" s="1"/>
  <c r="S373" i="3"/>
  <c r="BG363" i="1" s="1"/>
  <c r="S370" i="3"/>
  <c r="BG360" i="1" s="1"/>
  <c r="S366" i="3"/>
  <c r="BG356" i="1" s="1"/>
  <c r="S362" i="3"/>
  <c r="BG352" i="1" s="1"/>
  <c r="S358" i="3"/>
  <c r="BG348" i="1" s="1"/>
  <c r="R334" i="3"/>
  <c r="BF324" i="1" s="1"/>
  <c r="S333" i="3"/>
  <c r="BG323" i="1" s="1"/>
  <c r="S303" i="3"/>
  <c r="BG293" i="1" s="1"/>
  <c r="S302" i="3"/>
  <c r="BG292" i="1" s="1"/>
  <c r="S301" i="3"/>
  <c r="BG291" i="1" s="1"/>
  <c r="S300" i="3"/>
  <c r="BG290" i="1" s="1"/>
  <c r="S234" i="3"/>
  <c r="BG224" i="1" s="1"/>
  <c r="R234" i="3"/>
  <c r="BF224" i="1" s="1"/>
  <c r="S233" i="3"/>
  <c r="BG223" i="1" s="1"/>
  <c r="R233" i="3"/>
  <c r="BF223" i="1" s="1"/>
  <c r="S232" i="3"/>
  <c r="BG222" i="1" s="1"/>
  <c r="R232" i="3"/>
  <c r="BF222" i="1" s="1"/>
  <c r="S231" i="3"/>
  <c r="BG221" i="1" s="1"/>
  <c r="R231" i="3"/>
  <c r="BF221" i="1" s="1"/>
  <c r="S230" i="3"/>
  <c r="BG220" i="1" s="1"/>
  <c r="R230" i="3"/>
  <c r="BF220" i="1" s="1"/>
  <c r="S229" i="3"/>
  <c r="BG219" i="1" s="1"/>
  <c r="R229" i="3"/>
  <c r="BF219" i="1" s="1"/>
  <c r="S228" i="3"/>
  <c r="BG218" i="1" s="1"/>
  <c r="R228" i="3"/>
  <c r="BF218" i="1" s="1"/>
  <c r="S227" i="3"/>
  <c r="BG217" i="1" s="1"/>
  <c r="R227" i="3"/>
  <c r="BF217" i="1" s="1"/>
  <c r="S226" i="3"/>
  <c r="BG216" i="1" s="1"/>
  <c r="R226" i="3"/>
  <c r="BF216" i="1" s="1"/>
  <c r="S225" i="3"/>
  <c r="BG215" i="1" s="1"/>
  <c r="R225" i="3"/>
  <c r="BF215" i="1" s="1"/>
  <c r="S224" i="3"/>
  <c r="BG214" i="1" s="1"/>
  <c r="R224" i="3"/>
  <c r="BF214" i="1" s="1"/>
  <c r="S223" i="3"/>
  <c r="BG213" i="1" s="1"/>
  <c r="R223" i="3"/>
  <c r="BF213" i="1" s="1"/>
  <c r="S222" i="3"/>
  <c r="BG212" i="1" s="1"/>
  <c r="R222" i="3"/>
  <c r="BF212" i="1" s="1"/>
  <c r="S221" i="3"/>
  <c r="BG211" i="1" s="1"/>
  <c r="R221" i="3"/>
  <c r="BF211" i="1" s="1"/>
  <c r="S220" i="3"/>
  <c r="BG210" i="1" s="1"/>
  <c r="R220" i="3"/>
  <c r="BF210" i="1" s="1"/>
  <c r="S219" i="3"/>
  <c r="BG209" i="1" s="1"/>
  <c r="R219" i="3"/>
  <c r="BF209" i="1" s="1"/>
  <c r="S218" i="3"/>
  <c r="BG208" i="1" s="1"/>
  <c r="R218" i="3"/>
  <c r="BF208" i="1" s="1"/>
  <c r="S217" i="3"/>
  <c r="BG207" i="1" s="1"/>
  <c r="R217" i="3"/>
  <c r="BF207" i="1" s="1"/>
  <c r="S216" i="3"/>
  <c r="BG206" i="1" s="1"/>
  <c r="R216" i="3"/>
  <c r="BF206" i="1" s="1"/>
  <c r="S215" i="3"/>
  <c r="BG205" i="1" s="1"/>
  <c r="R215" i="3"/>
  <c r="BF205" i="1" s="1"/>
  <c r="S214" i="3"/>
  <c r="BG204" i="1" s="1"/>
  <c r="R214" i="3"/>
  <c r="BF204" i="1" s="1"/>
  <c r="S213" i="3"/>
  <c r="BG203" i="1" s="1"/>
  <c r="R213" i="3"/>
  <c r="BF203" i="1" s="1"/>
  <c r="S212" i="3"/>
  <c r="BG202" i="1" s="1"/>
  <c r="R212" i="3"/>
  <c r="BF202" i="1" s="1"/>
  <c r="S211" i="3"/>
  <c r="BG201" i="1" s="1"/>
  <c r="R211" i="3"/>
  <c r="BF201" i="1" s="1"/>
  <c r="S210" i="3"/>
  <c r="BG200" i="1" s="1"/>
  <c r="R210" i="3"/>
  <c r="BF200" i="1" s="1"/>
  <c r="S209" i="3"/>
  <c r="BG199" i="1" s="1"/>
  <c r="R209" i="3"/>
  <c r="BF199" i="1" s="1"/>
  <c r="S208" i="3"/>
  <c r="BG198" i="1" s="1"/>
  <c r="R208" i="3"/>
  <c r="BF198" i="1" s="1"/>
  <c r="S207" i="3"/>
  <c r="BG197" i="1" s="1"/>
  <c r="R207" i="3"/>
  <c r="BF197" i="1" s="1"/>
  <c r="S206" i="3"/>
  <c r="BG196" i="1" s="1"/>
  <c r="R206" i="3"/>
  <c r="BF196" i="1" s="1"/>
  <c r="S205" i="3"/>
  <c r="BG195" i="1" s="1"/>
  <c r="R205" i="3"/>
  <c r="BF195" i="1" s="1"/>
  <c r="S204" i="3"/>
  <c r="BG194" i="1" s="1"/>
  <c r="R204" i="3"/>
  <c r="BF194" i="1" s="1"/>
  <c r="S203" i="3"/>
  <c r="BG193" i="1" s="1"/>
  <c r="R203" i="3"/>
  <c r="BF193" i="1" s="1"/>
  <c r="S202" i="3"/>
  <c r="BG192" i="1" s="1"/>
  <c r="R202" i="3"/>
  <c r="BF192" i="1" s="1"/>
  <c r="S201" i="3"/>
  <c r="BG191" i="1" s="1"/>
  <c r="R201" i="3"/>
  <c r="BF191" i="1" s="1"/>
  <c r="S200" i="3"/>
  <c r="BG190" i="1" s="1"/>
  <c r="R200" i="3"/>
  <c r="BF190" i="1" s="1"/>
  <c r="S199" i="3"/>
  <c r="BG189" i="1" s="1"/>
  <c r="R199" i="3"/>
  <c r="BF189" i="1" s="1"/>
  <c r="S198" i="3"/>
  <c r="BG188" i="1" s="1"/>
  <c r="R198" i="3"/>
  <c r="BF188" i="1" s="1"/>
  <c r="S197" i="3"/>
  <c r="BG187" i="1" s="1"/>
  <c r="R197" i="3"/>
  <c r="BF187" i="1" s="1"/>
  <c r="S196" i="3"/>
  <c r="BG186" i="1" s="1"/>
  <c r="R196" i="3"/>
  <c r="BF186" i="1" s="1"/>
  <c r="S195" i="3"/>
  <c r="BG185" i="1" s="1"/>
  <c r="R195" i="3"/>
  <c r="BF185" i="1" s="1"/>
  <c r="S194" i="3"/>
  <c r="BG184" i="1" s="1"/>
  <c r="R194" i="3"/>
  <c r="BF184" i="1" s="1"/>
  <c r="S193" i="3"/>
  <c r="BG183" i="1" s="1"/>
  <c r="R193" i="3"/>
  <c r="BF183" i="1" s="1"/>
  <c r="S192" i="3"/>
  <c r="BG182" i="1" s="1"/>
  <c r="R192" i="3"/>
  <c r="BF182" i="1" s="1"/>
  <c r="S354" i="3"/>
  <c r="BG344" i="1" s="1"/>
  <c r="S447" i="3"/>
  <c r="BG437" i="1" s="1"/>
  <c r="R447" i="3"/>
  <c r="BF437" i="1" s="1"/>
  <c r="S19" i="3"/>
  <c r="BG9" i="1" s="1"/>
  <c r="R19" i="3"/>
  <c r="BF9" i="1" s="1"/>
  <c r="U3" i="1"/>
  <c r="U2" i="1"/>
  <c r="K19" i="3"/>
  <c r="AY9" i="1" s="1"/>
  <c r="BE508" i="1"/>
  <c r="BD508" i="1"/>
  <c r="BC508" i="1"/>
  <c r="BG508" i="1" l="1"/>
  <c r="U4" i="1"/>
  <c r="U1" i="1"/>
  <c r="M2" i="5" a="1"/>
  <c r="N2" i="5"/>
  <c r="F2" i="6"/>
  <c r="G2" i="6" s="1" a="1"/>
  <c r="O2" i="5" l="1" a="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Omar Viazcán Gómez</author>
    <author>DL v8.3</author>
  </authors>
  <commentList>
    <comment ref="H1" authorId="0" shapeId="0" xr:uid="{00000000-0006-0000-0000-000001000000}">
      <text>
        <r>
          <rPr>
            <sz val="11"/>
            <color rgb="FF000000"/>
            <rFont val="Calibri"/>
            <family val="2"/>
            <charset val="1"/>
          </rPr>
          <t>Seleccionar si se requiere crear cotización y Números de Parte o Solo Números de Parte</t>
        </r>
      </text>
    </comment>
    <comment ref="G3" authorId="0" shapeId="0" xr:uid="{00000000-0006-0000-0000-000002000000}">
      <text>
        <r>
          <rPr>
            <sz val="11"/>
            <color rgb="FF000000"/>
            <rFont val="Calibri"/>
            <family val="2"/>
            <charset val="1"/>
          </rPr>
          <t>Se requiere para nombrar la cotización. También es el nombre del archivo que se exporta. Si se seleccionan varios clientes en la tabla, se usará este nombre adicionado con un consecutivo para separar cada cotización</t>
        </r>
      </text>
    </comment>
    <comment ref="J3" authorId="0" shapeId="0" xr:uid="{00000000-0006-0000-0000-000003000000}">
      <text>
        <r>
          <rPr>
            <sz val="11"/>
            <color rgb="FF000000"/>
            <rFont val="Calibri"/>
            <family val="2"/>
            <charset val="1"/>
          </rPr>
          <t xml:space="preserve">Visibles al cliente
</t>
        </r>
      </text>
    </comment>
    <comment ref="Q3" authorId="0" shapeId="0" xr:uid="{00000000-0006-0000-0000-000004000000}">
      <text>
        <r>
          <rPr>
            <sz val="11"/>
            <color rgb="FF000000"/>
            <rFont val="Calibri"/>
            <family val="2"/>
            <charset val="1"/>
          </rPr>
          <t>Visible sólo internamente</t>
        </r>
      </text>
    </comment>
    <comment ref="G4" authorId="0" shapeId="0" xr:uid="{00000000-0006-0000-0000-000005000000}">
      <text>
        <r>
          <rPr>
            <sz val="11"/>
            <color rgb="FF000000"/>
            <rFont val="Calibri"/>
            <family val="2"/>
            <charset val="1"/>
          </rPr>
          <t>Cotizador asignado</t>
        </r>
      </text>
    </comment>
    <comment ref="D7" authorId="0" shapeId="0" xr:uid="{00000000-0006-0000-0000-00000A000000}">
      <text>
        <r>
          <rPr>
            <sz val="11"/>
            <color rgb="FF000000"/>
            <rFont val="Calibri"/>
            <family val="2"/>
            <charset val="1"/>
          </rPr>
          <t xml:space="preserve">La cotización se separará en varias conforme clientes se seleccionen.
</t>
        </r>
        <r>
          <rPr>
            <sz val="11"/>
            <color rgb="FF000000"/>
            <rFont val="Calibri"/>
            <family val="2"/>
            <charset val="1"/>
          </rPr>
          <t>Debes seleccionar cliente Y dirección de planta.</t>
        </r>
      </text>
    </comment>
    <comment ref="E7" authorId="1" shapeId="0" xr:uid="{00000000-0006-0000-0000-00000B000000}">
      <text>
        <r>
          <rPr>
            <sz val="11"/>
            <color rgb="FF000000"/>
            <rFont val="Calibri"/>
            <family val="2"/>
            <charset val="1"/>
          </rPr>
          <t>REQUERIDO. Nombre exacto del PN.</t>
        </r>
      </text>
    </comment>
    <comment ref="F7" authorId="1" shapeId="0" xr:uid="{00000000-0006-0000-0000-00000C000000}">
      <text>
        <r>
          <rPr>
            <sz val="11"/>
            <color rgb="FF000000"/>
            <rFont val="Calibri"/>
            <family val="2"/>
            <charset val="1"/>
          </rPr>
          <t>descriptionMarkdown. Acepta markdown.</t>
        </r>
      </text>
    </comment>
    <comment ref="G7" authorId="1" shapeId="0" xr:uid="{00000000-0006-0000-0000-00000D000000}">
      <text>
        <r>
          <rPr>
            <sz val="11"/>
            <color rgb="FF000000"/>
            <rFont val="Calibri"/>
            <family val="2"/>
            <charset val="1"/>
          </rPr>
          <t>Comas separan múltiples. DatosAdicionalesNP.NumeroParteAlterno.</t>
        </r>
      </text>
    </comment>
    <comment ref="H7" authorId="1" shapeId="0" xr:uid="{00000000-0006-0000-0000-00000E000000}">
      <text>
        <r>
          <rPr>
            <sz val="11"/>
            <color rgb="FF000000"/>
            <rFont val="Calibri"/>
            <family val="2"/>
            <charset val="1"/>
          </rPr>
          <t>Part Number Group. Debe existir en SH.</t>
        </r>
      </text>
    </comment>
    <comment ref="I7" authorId="1" shapeId="0" xr:uid="{00000000-0006-0000-0000-00000F000000}">
      <text>
        <r>
          <rPr>
            <sz val="11"/>
            <color rgb="FF000000"/>
            <rFont val="Calibri"/>
            <family val="2"/>
            <charset val="1"/>
          </rPr>
          <t>REQUERIDO. quantityPerParent.</t>
        </r>
      </text>
    </comment>
    <comment ref="J7" authorId="1" shapeId="0" xr:uid="{00000000-0006-0000-0000-000010000000}">
      <text>
        <r>
          <rPr>
            <sz val="11"/>
            <color rgb="FF000000"/>
            <rFont val="Calibri"/>
            <family val="2"/>
            <charset val="1"/>
          </rPr>
          <t>Precio unitario. 0 es válido.</t>
        </r>
      </text>
    </comment>
    <comment ref="K7" authorId="1" shapeId="0" xr:uid="{00000000-0006-0000-0000-000011000000}">
      <text>
        <r>
          <rPr>
            <sz val="11"/>
            <color rgb="FF000000"/>
            <rFont val="Calibri"/>
            <family val="2"/>
            <charset val="1"/>
          </rPr>
          <t>Vacío=PZA. Opciones: PZA,KGM,CMK,FTK,LM,LBR,LO.</t>
        </r>
      </text>
    </comment>
    <comment ref="L7" authorId="1" shapeId="0" xr:uid="{00000000-0006-0000-0000-000012000000}">
      <text>
        <r>
          <rPr>
            <sz val="11"/>
            <color rgb="FF000000"/>
            <rFont val="Calibri"/>
            <family val="2"/>
            <charset val="1"/>
          </rPr>
          <t>USD ó MXN, USD por default</t>
        </r>
      </text>
    </comment>
    <comment ref="M7" authorId="1" shapeId="0" xr:uid="{00000000-0006-0000-0000-000013000000}">
      <text>
        <r>
          <rPr>
            <sz val="11"/>
            <color rgb="FF000000"/>
            <rFont val="Calibri"/>
            <family val="2"/>
            <charset val="1"/>
          </rPr>
          <t>Sí=marca este precio como default del PN.</t>
        </r>
      </text>
    </comment>
    <comment ref="N7" authorId="1" shapeId="0" xr:uid="{00000000-0006-0000-0000-000027000000}">
      <text>
        <r>
          <rPr>
            <sz val="11"/>
            <color rgb="FF000000"/>
            <rFont val="Calibri"/>
            <family val="2"/>
            <charset val="1"/>
          </rPr>
          <t>Dim Custom Value. Pendiente IDs.</t>
        </r>
      </text>
    </comment>
    <comment ref="O7" authorId="1" shapeId="0" xr:uid="{00000000-0006-0000-0000-000014000000}">
      <text>
        <r>
          <rPr>
            <sz val="11"/>
            <color rgb="FF000000"/>
            <rFont val="Calibri"/>
            <family val="2"/>
            <charset val="1"/>
          </rPr>
          <t xml:space="preserve">Substrato. DatosAdicionalesNP.BaseMetal.
</t>
        </r>
        <r>
          <rPr>
            <sz val="11"/>
            <color rgb="FF000000"/>
            <rFont val="Calibri"/>
            <family val="2"/>
            <charset val="1"/>
          </rPr>
          <t>Agregar nuevos: SH &gt; PN Custom Inputs schema.</t>
        </r>
      </text>
    </comment>
    <comment ref="P7" authorId="1" shapeId="0" xr:uid="{00000000-0006-0000-0000-000015000000}">
      <text>
        <r>
          <rPr>
            <sz val="11"/>
            <color rgb="FF000000"/>
            <rFont val="Calibri"/>
            <family val="2"/>
            <charset val="1"/>
          </rPr>
          <t xml:space="preserve">Label del catálogo SH.
</t>
        </r>
        <r>
          <rPr>
            <sz val="11"/>
            <color rgb="FF000000"/>
            <rFont val="Calibri"/>
            <family val="2"/>
            <charset val="1"/>
          </rPr>
          <t>Agregar nuevas: SH &gt; Domain Settings &gt; Labels.</t>
        </r>
      </text>
    </comment>
    <comment ref="U7" authorId="1" shapeId="0" xr:uid="{00000000-0006-0000-0000-000016000000}">
      <text>
        <r>
          <rPr>
            <sz val="11"/>
            <color rgb="FF000000"/>
            <rFont val="Calibri"/>
            <family val="2"/>
            <charset val="1"/>
          </rPr>
          <t>Override del proceso default. Vacío=usa header.</t>
        </r>
      </text>
    </comment>
    <comment ref="V7" authorId="1" shapeId="0" xr:uid="{00000000-0006-0000-0000-000017000000}">
      <text>
        <r>
          <rPr>
            <sz val="11"/>
            <color rgb="FF000000"/>
            <rFont val="Calibri"/>
            <family val="2"/>
            <charset val="1"/>
          </rPr>
          <t>Producto contable. Agregar: SH &gt; Products.</t>
        </r>
      </text>
    </comment>
    <comment ref="W7" authorId="1" shapeId="0" xr:uid="{00000000-0006-0000-0000-000018000000}">
      <text>
        <r>
          <rPr>
            <sz val="11"/>
            <color rgb="FF000000"/>
            <rFont val="Calibri"/>
            <family val="2"/>
            <charset val="1"/>
          </rPr>
          <t xml:space="preserve">Formato: "Nombre Spec | Parámetro"
</t>
        </r>
        <r>
          <rPr>
            <sz val="11"/>
            <color rgb="FF000000"/>
            <rFont val="Calibri"/>
            <family val="2"/>
            <charset val="1"/>
          </rPr>
          <t xml:space="preserve">Si 1 param, basta el nombre.
</t>
        </r>
        <r>
          <rPr>
            <sz val="11"/>
            <color rgb="FF000000"/>
            <rFont val="Calibri"/>
            <family val="2"/>
            <charset val="1"/>
          </rPr>
          <t>Agregar: SH &gt; Specs.</t>
        </r>
      </text>
    </comment>
    <comment ref="X7" authorId="1" shapeId="0" xr:uid="{00000000-0006-0000-0000-000019000000}">
      <text>
        <r>
          <rPr>
            <sz val="11"/>
            <color rgb="FF000000"/>
            <rFont val="Calibri"/>
            <family val="2"/>
            <charset val="1"/>
          </rPr>
          <t xml:space="preserve">Espesor objetivo en µm.
</t>
        </r>
        <r>
          <rPr>
            <sz val="11"/>
            <color rgb="FF000000"/>
            <rFont val="Calibri"/>
            <family val="2"/>
            <charset val="1"/>
          </rPr>
          <t xml:space="preserve">Se calcula auto del punto medio del rango.
</t>
        </r>
        <r>
          <rPr>
            <sz val="11"/>
            <color rgb="FF000000"/>
            <rFont val="Calibri"/>
            <family val="2"/>
            <charset val="1"/>
          </rPr>
          <t xml:space="preserve">Puedes escribir encima para override.
</t>
        </r>
        <r>
          <rPr>
            <sz val="11"/>
            <color rgb="FF000000"/>
            <rFont val="Calibri"/>
            <family val="2"/>
            <charset val="1"/>
          </rPr>
          <t>Alimenta Cálculo MP.</t>
        </r>
      </text>
    </comment>
    <comment ref="Y7" authorId="1" shapeId="0" xr:uid="{00000000-0006-0000-0000-00001A000000}">
      <text>
        <r>
          <rPr>
            <sz val="11"/>
            <color rgb="FF000000"/>
            <rFont val="Calibri"/>
            <family val="2"/>
            <charset val="1"/>
          </rPr>
          <t>Segunda spec.</t>
        </r>
      </text>
    </comment>
    <comment ref="Z7" authorId="1" shapeId="0" xr:uid="{00000000-0006-0000-0000-00001B000000}">
      <text>
        <r>
          <rPr>
            <sz val="11"/>
            <color theme="1"/>
            <rFont val="Calibri"/>
            <family val="2"/>
            <charset val="1"/>
          </rPr>
          <t>Idem Spec 1.</t>
        </r>
      </text>
    </comment>
    <comment ref="AA7" authorId="1" shapeId="0" xr:uid="{5209DCB4-8239-7B43-B54C-D7AB17B1F8DA}">
      <text>
        <r>
          <rPr>
            <sz val="11"/>
            <color rgb="FF000000"/>
            <rFont val="Calibri"/>
            <family val="2"/>
            <charset val="1"/>
          </rPr>
          <t>Segunda spec.</t>
        </r>
      </text>
    </comment>
    <comment ref="AB7" authorId="1" shapeId="0" xr:uid="{901CDE73-7390-0344-B793-26B652636AC7}">
      <text>
        <r>
          <rPr>
            <sz val="11"/>
            <color theme="1"/>
            <rFont val="Calibri"/>
            <family val="2"/>
            <charset val="1"/>
          </rPr>
          <t>Idem Spec 1.</t>
        </r>
      </text>
    </comment>
    <comment ref="AC7" authorId="1" shapeId="0" xr:uid="{7B99EE97-7E64-864D-9435-307D44B5420C}">
      <text>
        <r>
          <rPr>
            <sz val="11"/>
            <color rgb="FF000000"/>
            <rFont val="Calibri"/>
            <family val="2"/>
            <charset val="1"/>
          </rPr>
          <t>Segunda spec.</t>
        </r>
      </text>
    </comment>
    <comment ref="AD7" authorId="1" shapeId="0" xr:uid="{95EF38CA-1A44-574A-AE95-951E9075B0F3}">
      <text>
        <r>
          <rPr>
            <sz val="11"/>
            <color rgb="FF000000"/>
            <rFont val="Calibri"/>
            <family val="2"/>
            <charset val="1"/>
          </rPr>
          <t>Idem Spec 1.</t>
        </r>
      </text>
    </comment>
    <comment ref="AE7" authorId="1" shapeId="0" xr:uid="{00000000-0006-0000-0000-00001C000000}">
      <text>
        <r>
          <rPr>
            <sz val="11"/>
            <color rgb="FF000000"/>
            <rFont val="Calibri"/>
            <family val="2"/>
            <charset val="1"/>
          </rPr>
          <t>kg/pza. Auto genera LBR.</t>
        </r>
      </text>
    </comment>
    <comment ref="AF7" authorId="1" shapeId="0" xr:uid="{00000000-0006-0000-0000-00001D000000}">
      <text>
        <r>
          <rPr>
            <sz val="11"/>
            <color rgb="FF000000"/>
            <rFont val="Calibri"/>
            <family val="2"/>
            <charset val="1"/>
          </rPr>
          <t xml:space="preserve">cm²/pza. Auto genera FTK.
</t>
        </r>
        <r>
          <rPr>
            <sz val="11"/>
            <color rgb="FF000000"/>
            <rFont val="Calibri"/>
            <family val="2"/>
            <charset val="1"/>
          </rPr>
          <t>Usado en Cálculo MP para predictive metals.</t>
        </r>
      </text>
    </comment>
    <comment ref="AG7" authorId="1" shapeId="0" xr:uid="{00000000-0006-0000-0000-00001E000000}">
      <text>
        <r>
          <rPr>
            <sz val="11"/>
            <color rgb="FF000000"/>
            <rFont val="Calibri"/>
            <family val="2"/>
            <charset val="1"/>
          </rPr>
          <t xml:space="preserve">m/pza. Auto genera FOT.
</t>
        </r>
        <r>
          <rPr>
            <sz val="11"/>
            <color rgb="FF000000"/>
            <rFont val="Calibri"/>
            <family val="2"/>
            <charset val="1"/>
          </rPr>
          <t>Usado en Cálculo MP para epóxicas.</t>
        </r>
      </text>
    </comment>
    <comment ref="AH7" authorId="1" shapeId="0" xr:uid="{00000000-0006-0000-0000-00001F000000}">
      <text>
        <r>
          <rPr>
            <sz val="11"/>
            <color theme="1"/>
            <rFont val="Calibri"/>
            <family val="2"/>
            <charset val="1"/>
          </rPr>
          <t>Genera LO (1/n). Si se deja en blanco, no aplicará cargo de lote mínimo.</t>
        </r>
      </text>
    </comment>
    <comment ref="AI7" authorId="1" shapeId="0" xr:uid="{00000000-0006-0000-0000-000020000000}">
      <text>
        <r>
          <rPr>
            <sz val="11"/>
            <color rgb="FF000000"/>
            <rFont val="Calibri"/>
            <family val="2"/>
            <charset val="1"/>
          </rPr>
          <t>Solo FlyBar/Barril. Agregar: SH &gt; Rack Types.</t>
        </r>
      </text>
    </comment>
    <comment ref="AK7" authorId="1" shapeId="0" xr:uid="{05D0E702-4AD0-BE48-B2F1-4275A989DFEB}">
      <text>
        <r>
          <rPr>
            <sz val="11"/>
            <color rgb="FF000000"/>
            <rFont val="Calibri"/>
            <family val="2"/>
            <charset val="1"/>
          </rPr>
          <t>Solo FlyBar/Barril. Agregar: SH &gt; Rack Types.</t>
        </r>
      </text>
    </comment>
    <comment ref="AM7" authorId="1" shapeId="0" xr:uid="{AFF7C9B7-F7E3-2747-B969-3D0517292AAB}">
      <text>
        <r>
          <rPr>
            <sz val="11"/>
            <color rgb="FF000000"/>
            <rFont val="Calibri"/>
            <family val="2"/>
            <charset val="1"/>
          </rPr>
          <t>Solo FlyBar/Barril. Agregar: SH &gt; Rack Types.</t>
        </r>
      </text>
    </comment>
    <comment ref="AO7" authorId="1" shapeId="0" xr:uid="{5056A385-D9F3-8747-B6DA-F82C46A9865E}">
      <text>
        <r>
          <rPr>
            <sz val="11"/>
            <color rgb="FF000000"/>
            <rFont val="Calibri"/>
            <family val="2"/>
            <charset val="1"/>
          </rPr>
          <t>Solo FlyBar/Barril. Agregar: SH &gt; Rack Types.</t>
        </r>
      </text>
    </comment>
    <comment ref="AQ7" authorId="1" shapeId="0" xr:uid="{C4BA29F0-48C7-8B40-AFE2-CB13CB61FE13}">
      <text>
        <r>
          <rPr>
            <sz val="11"/>
            <color rgb="FF000000"/>
            <rFont val="Calibri"/>
            <family val="2"/>
            <charset val="1"/>
          </rPr>
          <t>Solo FlyBar/Barril. Agregar: SH &gt; Rack Types.</t>
        </r>
      </text>
    </comment>
    <comment ref="AT7" authorId="1" shapeId="0" xr:uid="{00000000-0006-0000-0000-000022000000}">
      <text>
        <r>
          <rPr>
            <sz val="11"/>
            <color theme="1"/>
            <rFont val="Calibri"/>
            <family val="2"/>
            <charset val="1"/>
          </rPr>
          <t>Geom Genérica 831. DimTypeId:1284.</t>
        </r>
      </text>
    </comment>
    <comment ref="AU7" authorId="1" shapeId="0" xr:uid="{00000000-0006-0000-0000-000023000000}">
      <text>
        <r>
          <rPr>
            <sz val="11"/>
            <color theme="1"/>
            <rFont val="Calibri"/>
            <family val="2"/>
            <charset val="1"/>
          </rPr>
          <t>DimTypeId:1011.</t>
        </r>
      </text>
    </comment>
    <comment ref="AV7" authorId="1" shapeId="0" xr:uid="{00000000-0006-0000-0000-000024000000}">
      <text>
        <r>
          <rPr>
            <sz val="11"/>
            <color theme="1"/>
            <rFont val="Calibri"/>
            <family val="2"/>
            <charset val="1"/>
          </rPr>
          <t>DimTypeId:1012.</t>
        </r>
      </text>
    </comment>
    <comment ref="AW7" authorId="1" shapeId="0" xr:uid="{00000000-0006-0000-0000-000025000000}">
      <text>
        <r>
          <rPr>
            <sz val="11"/>
            <color theme="1"/>
            <rFont val="Calibri"/>
            <family val="2"/>
            <charset val="1"/>
          </rPr>
          <t>DimTypeId:1013.</t>
        </r>
      </text>
    </comment>
    <comment ref="AX7" authorId="1" shapeId="0" xr:uid="{00000000-0006-0000-0000-000026000000}">
      <text>
        <r>
          <rPr>
            <sz val="11"/>
            <color rgb="FF000000"/>
            <rFont val="Calibri"/>
            <family val="2"/>
            <charset val="1"/>
          </rPr>
          <t>DimTypeId:1014.</t>
        </r>
      </text>
    </comment>
    <comment ref="AY7" authorId="1" shapeId="0" xr:uid="{00000000-0006-0000-0000-00002A000000}">
      <text>
        <r>
          <rPr>
            <sz val="11"/>
            <color rgb="FF000000"/>
            <rFont val="Calibri"/>
            <family val="2"/>
            <charset val="1"/>
          </rPr>
          <t>ID:364506. Fórmula auto desde Cálculo MP.</t>
        </r>
      </text>
    </comment>
    <comment ref="AZ7" authorId="1" shapeId="0" xr:uid="{00000000-0006-0000-0000-00002B000000}">
      <text>
        <r>
          <rPr>
            <sz val="11"/>
            <color rgb="FF000000"/>
            <rFont val="Calibri"/>
            <family val="2"/>
            <charset val="1"/>
          </rPr>
          <t>ID:397490.</t>
        </r>
      </text>
    </comment>
    <comment ref="BA7" authorId="1" shapeId="0" xr:uid="{00000000-0006-0000-0000-00002C000000}">
      <text>
        <r>
          <rPr>
            <sz val="11"/>
            <color theme="1"/>
            <rFont val="Calibri"/>
            <family val="2"/>
            <charset val="1"/>
          </rPr>
          <t>ID:412305.</t>
        </r>
      </text>
    </comment>
    <comment ref="BB7" authorId="1" shapeId="0" xr:uid="{00000000-0006-0000-0000-00002D000000}">
      <text>
        <r>
          <rPr>
            <sz val="11"/>
            <color theme="1"/>
            <rFont val="Calibri"/>
            <family val="2"/>
            <charset val="1"/>
          </rPr>
          <t>ID:412805.</t>
        </r>
      </text>
    </comment>
    <comment ref="BC7" authorId="1" shapeId="0" xr:uid="{00000000-0006-0000-0000-00002E000000}">
      <text>
        <r>
          <rPr>
            <sz val="11"/>
            <color rgb="FF000000"/>
            <rFont val="Calibri"/>
            <family val="2"/>
            <charset val="1"/>
          </rPr>
          <t>ID:412479.</t>
        </r>
      </text>
    </comment>
    <comment ref="BD7" authorId="1" shapeId="0" xr:uid="{00000000-0006-0000-0000-00002F000000}">
      <text>
        <r>
          <rPr>
            <sz val="11"/>
            <color theme="1"/>
            <rFont val="Calibri"/>
            <family val="2"/>
            <charset val="1"/>
          </rPr>
          <t>ID:412723. 0.0012×cobre_kg.</t>
        </r>
      </text>
    </comment>
    <comment ref="BE7" authorId="1" shapeId="0" xr:uid="{00000000-0006-0000-0000-000030000000}">
      <text>
        <r>
          <rPr>
            <sz val="11"/>
            <color rgb="FF000000"/>
            <rFont val="Calibri"/>
            <family val="2"/>
            <charset val="1"/>
          </rPr>
          <t xml:space="preserve">ID:702767. 1069.98 g/m </t>
        </r>
        <r>
          <rPr>
            <sz val="11"/>
            <color rgb="FF000000"/>
            <rFont val="Calibri"/>
            <family val="2"/>
            <charset val="1"/>
          </rPr>
          <t>×</t>
        </r>
        <r>
          <rPr>
            <sz val="11"/>
            <color rgb="FF000000"/>
            <rFont val="Calibri"/>
            <family val="2"/>
            <charset val="1"/>
          </rPr>
          <t xml:space="preserve"> LM / 453.592.</t>
        </r>
      </text>
    </comment>
    <comment ref="BF7" authorId="1" shapeId="0" xr:uid="{00000000-0006-0000-0000-000031000000}">
      <text>
        <r>
          <rPr>
            <sz val="11"/>
            <color rgb="FF000000"/>
            <rFont val="Calibri"/>
            <family val="2"/>
            <charset val="1"/>
          </rPr>
          <t xml:space="preserve">ID:702769. 165.60 g/m </t>
        </r>
        <r>
          <rPr>
            <sz val="11"/>
            <color rgb="FF000000"/>
            <rFont val="Calibri"/>
            <family val="2"/>
            <charset val="1"/>
          </rPr>
          <t>×</t>
        </r>
        <r>
          <rPr>
            <sz val="11"/>
            <color rgb="FF000000"/>
            <rFont val="Calibri"/>
            <family val="2"/>
            <charset val="1"/>
          </rPr>
          <t xml:space="preserve"> LM / 453.592.</t>
        </r>
      </text>
    </comment>
    <comment ref="BG7" authorId="1" shapeId="0" xr:uid="{00000000-0006-0000-0000-000032000000}">
      <text>
        <r>
          <rPr>
            <sz val="11"/>
            <color rgb="FF000000"/>
            <rFont val="Calibri"/>
            <family val="2"/>
            <charset val="1"/>
          </rPr>
          <t xml:space="preserve">ID:702768. MT </t>
        </r>
        <r>
          <rPr>
            <sz val="11"/>
            <color rgb="FF000000"/>
            <rFont val="Calibri"/>
            <family val="2"/>
            <charset val="1"/>
          </rPr>
          <t>×</t>
        </r>
        <r>
          <rPr>
            <sz val="11"/>
            <color rgb="FF000000"/>
            <rFont val="Calibri"/>
            <family val="2"/>
            <charset val="1"/>
          </rPr>
          <t xml:space="preserve"> 1.07.</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<sst xmlns="http://schemas.openxmlformats.org/spreadsheetml/2006/main" count="21171" uniqueCount="2788">
  <si>
    <t>Empresa Emisora:</t>
  </si>
  <si>
    <t>ECOPLATING</t>
  </si>
  <si>
    <t>Nombre Cotización/Layout:</t>
  </si>
  <si>
    <t>Notas Externas:</t>
  </si>
  <si>
    <t>Notas Internas:</t>
  </si>
  <si>
    <t>Válida Hasta (días):</t>
  </si>
  <si>
    <t>30</t>
  </si>
  <si>
    <t>Asignado:</t>
  </si>
  <si>
    <t>OMAR FIDEL VIAZCAN GOMEZ</t>
  </si>
  <si>
    <t>PARÁMETROS</t>
  </si>
  <si>
    <t>IDENTIFICACIÓN</t>
  </si>
  <si>
    <t>PRECIO</t>
  </si>
  <si>
    <t>PROCESO</t>
  </si>
  <si>
    <t>ESPECIFICACIONES</t>
  </si>
  <si>
    <t>CONVERSIÓN DE UNIDADES</t>
  </si>
  <si>
    <t>DIMENSIONES</t>
  </si>
  <si>
    <t>USO PREDICTIVO DE MATERIAS PRIMAS</t>
  </si>
  <si>
    <t>Cliente</t>
  </si>
  <si>
    <t>Número de
parte</t>
  </si>
  <si>
    <t>Descripción</t>
  </si>
  <si>
    <t>PN alterno</t>
  </si>
  <si>
    <t>Grupo</t>
  </si>
  <si>
    <t>Cantidad</t>
  </si>
  <si>
    <t>Precio</t>
  </si>
  <si>
    <t>Unidad
precio</t>
  </si>
  <si>
    <t>Divisa</t>
  </si>
  <si>
    <t>Precio
default</t>
  </si>
  <si>
    <t>Metal base</t>
  </si>
  <si>
    <t>Etiqueta 1</t>
  </si>
  <si>
    <t>Etiqueta 2</t>
  </si>
  <si>
    <t>Etiqueta 3</t>
  </si>
  <si>
    <t>Etiqueta 4</t>
  </si>
  <si>
    <t>Proceso</t>
  </si>
  <si>
    <t>Producto 1</t>
  </si>
  <si>
    <t>Producto 2</t>
  </si>
  <si>
    <t>Producto 3</t>
  </si>
  <si>
    <t>Spec 1</t>
  </si>
  <si>
    <t>Esp. Spec 1
(µm)</t>
  </si>
  <si>
    <t>Spec 2</t>
  </si>
  <si>
    <t>Esp. Spec 2
(µm)</t>
  </si>
  <si>
    <t>KGM
(kg/pza)</t>
  </si>
  <si>
    <t>CMK
(cm²/pza)</t>
  </si>
  <si>
    <t>LM
(m/pza)</t>
  </si>
  <si>
    <t>Mín Pzas
Lote</t>
  </si>
  <si>
    <t>Longitud
(m)</t>
  </si>
  <si>
    <t>Ancho
(m)</t>
  </si>
  <si>
    <t>Alto
(m)</t>
  </si>
  <si>
    <t>Diám.Ext
(m)</t>
  </si>
  <si>
    <t>Diám.Int
(m)</t>
  </si>
  <si>
    <t>Línea</t>
  </si>
  <si>
    <t>Plata
(kg/pza)</t>
  </si>
  <si>
    <t>Estaño
(kg/pza)</t>
  </si>
  <si>
    <t>Níquel
(kg/pza)</t>
  </si>
  <si>
    <t>Zinc
(kg/pza)</t>
  </si>
  <si>
    <t>Cobre
(kg/pza)</t>
  </si>
  <si>
    <t>Antitarnish
(L/pza)</t>
  </si>
  <si>
    <t>Epóx. MT
(lb/pza)</t>
  </si>
  <si>
    <t>Epóx. BT
(lb/pza)</t>
  </si>
  <si>
    <t>Epóx. MTR
(lb/pza)</t>
  </si>
  <si>
    <t>QuoteIBMS</t>
  </si>
  <si>
    <t>Plano</t>
  </si>
  <si>
    <t>Piezas por Carga</t>
  </si>
  <si>
    <t>Cargas por Hora</t>
  </si>
  <si>
    <t>Tiempo de Entrega</t>
  </si>
  <si>
    <t>Notas adicionales</t>
  </si>
  <si>
    <t>V/F</t>
  </si>
  <si>
    <t>Desp.</t>
  </si>
  <si>
    <t>Texto</t>
  </si>
  <si>
    <t>#</t>
  </si>
  <si>
    <t>$</t>
  </si>
  <si>
    <t>Calc/#</t>
  </si>
  <si>
    <t>Calc.</t>
  </si>
  <si>
    <t>(seleccione o escriba)</t>
  </si>
  <si>
    <t>(seleccione)</t>
  </si>
  <si>
    <t>USD</t>
  </si>
  <si>
    <t>73181106 - Servicios de enchapado</t>
  </si>
  <si>
    <t>Clientes</t>
  </si>
  <si>
    <t>Procesos</t>
  </si>
  <si>
    <t>Productos</t>
  </si>
  <si>
    <t>Etiquetas</t>
  </si>
  <si>
    <t>Specs</t>
  </si>
  <si>
    <t>Racks Línea</t>
  </si>
  <si>
    <t>Racks Todos</t>
  </si>
  <si>
    <t>CódigoSAT</t>
  </si>
  <si>
    <t>MetalBase</t>
  </si>
  <si>
    <t>Líneas</t>
  </si>
  <si>
    <t>Departamentos</t>
  </si>
  <si>
    <t>Usuarios</t>
  </si>
  <si>
    <t>Grupos de Partes</t>
  </si>
  <si>
    <t>281D SILVER FLASH PART FABRICADAS</t>
  </si>
  <si>
    <t>Abrillantado</t>
  </si>
  <si>
    <t>M101-BA01 Barril</t>
  </si>
  <si>
    <t>CJ02 Caja de Plástico</t>
  </si>
  <si>
    <t>Cobre</t>
  </si>
  <si>
    <t>Administración</t>
  </si>
  <si>
    <t>ABIGAHIL FLORES SANCHEZ</t>
  </si>
  <si>
    <t>Bimetales</t>
  </si>
  <si>
    <t>281E EPOXICO BT</t>
  </si>
  <si>
    <t>Aceitado</t>
  </si>
  <si>
    <t>1.28.003 (Pavonado)</t>
  </si>
  <si>
    <t>M102-FL01 FlyBar Cobre</t>
  </si>
  <si>
    <t>73181109 - Servicios de niquelado</t>
  </si>
  <si>
    <t>Aluminio</t>
  </si>
  <si>
    <t>Almacén</t>
  </si>
  <si>
    <t>ALAN EMANUEL URBINA AZOTEA</t>
  </si>
  <si>
    <t>FPN123</t>
  </si>
  <si>
    <t>281G ESTAÑADO SOBRE COBRE</t>
  </si>
  <si>
    <t>M102-FL02 FlyBar Cobre y Acero</t>
  </si>
  <si>
    <t>73181119 - Servicio de recubrimiento con pintura en polvo</t>
  </si>
  <si>
    <t>Fierro</t>
  </si>
  <si>
    <t>Almacén de Materia Prima</t>
  </si>
  <si>
    <t>ALEJANDRO LOPEZ ZARATE</t>
  </si>
  <si>
    <t>GM</t>
  </si>
  <si>
    <t>Anodizado Negro</t>
  </si>
  <si>
    <t>M103-FL01 FlyBar Eaton</t>
  </si>
  <si>
    <t>73151500 - Servicios de ensamble</t>
  </si>
  <si>
    <t>Latón</t>
  </si>
  <si>
    <t>Calidad</t>
  </si>
  <si>
    <t>ALEJANDRO MARTINEZ ENRIQUEZ</t>
  </si>
  <si>
    <t>Kits</t>
  </si>
  <si>
    <t>281K PLATEADO TRENCILLAS, BARRAS CU</t>
  </si>
  <si>
    <t>Antitarnish</t>
  </si>
  <si>
    <t>T101-FL01</t>
  </si>
  <si>
    <t>M102-RA01 Bastón 6"</t>
  </si>
  <si>
    <t>73151506 - Servicio de subensamble o ensamble definitivo</t>
  </si>
  <si>
    <t>Acero Inoxidable</t>
  </si>
  <si>
    <t>Compras</t>
  </si>
  <si>
    <t>ALEJANDRO ROCHA RAMIREZ</t>
  </si>
  <si>
    <t>Moneda</t>
  </si>
  <si>
    <t>281M DECAPADO, ACABADO PLATEADO/CU</t>
  </si>
  <si>
    <t>Barnizado</t>
  </si>
  <si>
    <t>T102-BA01</t>
  </si>
  <si>
    <t>M102-RA02 Bastón 4"</t>
  </si>
  <si>
    <t>11191500 - Cuerpos sólidos de metal</t>
  </si>
  <si>
    <t>Bronce</t>
  </si>
  <si>
    <t>Contabilidad</t>
  </si>
  <si>
    <t>ALEXA RENEE PAGES DE ROSENZWEIG</t>
  </si>
  <si>
    <t>281N DECAPADO, ACABADO ESTAÑADO/CU</t>
  </si>
  <si>
    <t>Bright Dip</t>
  </si>
  <si>
    <t>T103-FL01</t>
  </si>
  <si>
    <t>M102-RA03 Bastón 3"</t>
  </si>
  <si>
    <t>30262200 - Barras de cobre</t>
  </si>
  <si>
    <t>Dirección</t>
  </si>
  <si>
    <t>Proyecto Barras</t>
  </si>
  <si>
    <t xml:space="preserve">EATON INDUSTRIES — </t>
  </si>
  <si>
    <t>Prueba de bloqueo</t>
  </si>
  <si>
    <t>281P PLATA SOLO AREAS DE CONTACTO</t>
  </si>
  <si>
    <t>Brill 61</t>
  </si>
  <si>
    <t>T104-FL01</t>
  </si>
  <si>
    <t>M102-RA04 Gancho 1 Nivel</t>
  </si>
  <si>
    <t>31281500 - Componentes estampados</t>
  </si>
  <si>
    <t>Ingeniería de Procesos</t>
  </si>
  <si>
    <t>ALFONSO FLORES HERNANDEZ</t>
  </si>
  <si>
    <t>RFQ873FS</t>
  </si>
  <si>
    <t>281Q ESTAÑADO SOBRE ALUMINIO</t>
  </si>
  <si>
    <t>T105-FL01</t>
  </si>
  <si>
    <t>M102-RA05 Parrilla 1" a 1.75"</t>
  </si>
  <si>
    <t>31281813 - Componentes de cobre perforados</t>
  </si>
  <si>
    <t>Laboratorio</t>
  </si>
  <si>
    <t>ALFONSO GONZALEZ BECERRIL</t>
  </si>
  <si>
    <t>S17A9813A1</t>
  </si>
  <si>
    <t>281R ZINCADO TRIVALENTE</t>
  </si>
  <si>
    <t>T106-BA01</t>
  </si>
  <si>
    <t>M102-RA06 Parrilla 2" a 2.75"</t>
  </si>
  <si>
    <t>AMALIO ALVARADO ESCANDON</t>
  </si>
  <si>
    <t>S18A2476A1</t>
  </si>
  <si>
    <t>281S BARNIZADO PIEZAS DE COBRE</t>
  </si>
  <si>
    <t>T107-FL01</t>
  </si>
  <si>
    <t>M102-RA07 Parrilla 2" a 3.75"</t>
  </si>
  <si>
    <t>Mantenimiento</t>
  </si>
  <si>
    <t>ANA LAURA GONZALEZ MARTINEZ</t>
  </si>
  <si>
    <t>S18A2479A1</t>
  </si>
  <si>
    <t>T100 (SAB)-T107 (PLA)-CU-C5 (60.0)</t>
  </si>
  <si>
    <t>281T ESTAÑADO BARRAS DE ALUMINIO</t>
  </si>
  <si>
    <t>T108-BA01</t>
  </si>
  <si>
    <t>M102-RA08 Clip 4</t>
  </si>
  <si>
    <t>ANDRES LOPEZ RICO</t>
  </si>
  <si>
    <t>S18A2482A1</t>
  </si>
  <si>
    <t>T101 (BDP)-CU-VARIOS (4.0)</t>
  </si>
  <si>
    <t>281U ENCAPSULADO EPÓXICO</t>
  </si>
  <si>
    <t>T108-FL01</t>
  </si>
  <si>
    <t>M102-RA09 Clip 5</t>
  </si>
  <si>
    <t>ANGEL CESAR CALDERON CONTRERAS</t>
  </si>
  <si>
    <t>S18A6259A2</t>
  </si>
  <si>
    <t>T101 (BRI)-CU-VARIOS (4.0)</t>
  </si>
  <si>
    <t>281W ANTI TARNISH TREAT OVER CU</t>
  </si>
  <si>
    <t>Cromato Amarillo Especial</t>
  </si>
  <si>
    <t>T109-BA01</t>
  </si>
  <si>
    <t>M102-RA10 Clip 6</t>
  </si>
  <si>
    <t>Producción</t>
  </si>
  <si>
    <t>ANGEL DANIEL GUADARRAMA DOMINGUEZ</t>
  </si>
  <si>
    <t>S39B1449E4</t>
  </si>
  <si>
    <t>T101 (CRO)-AL-MAT. MECANICO ELECTRICO (4.0)</t>
  </si>
  <si>
    <t>Anodizado Convencional</t>
  </si>
  <si>
    <t>Cromato Negro</t>
  </si>
  <si>
    <t>T110-FL01</t>
  </si>
  <si>
    <t>M102-RA11 Parrilla ABB</t>
  </si>
  <si>
    <t>Recursos Humanos</t>
  </si>
  <si>
    <t>ANGEL FRANCISCO HERNANDEZ PUGA</t>
  </si>
  <si>
    <t>T101 (DEC)-AL-VARIOS (4.0)</t>
  </si>
  <si>
    <t>Anodizado Decorativo</t>
  </si>
  <si>
    <t>T111-FL01</t>
  </si>
  <si>
    <t>M102-RA12 Gancho 2 Niveles</t>
  </si>
  <si>
    <t>ANGEL PASCUAL MARCIAL DEL</t>
  </si>
  <si>
    <t>T101 (DEC)-CU-VARIOS (4.0)</t>
  </si>
  <si>
    <t>Anodizado Duro</t>
  </si>
  <si>
    <t>Cromato Tropicalizado (Amarillo)</t>
  </si>
  <si>
    <t>T112-BA01</t>
  </si>
  <si>
    <t>M102-RA13 Baston Modificado 4" a 6"</t>
  </si>
  <si>
    <t>Sistemas</t>
  </si>
  <si>
    <t>ANGEL VILLEGAS GUADARRAMA</t>
  </si>
  <si>
    <t>T101 (DEC)-FE-VARIOS (4.0)</t>
  </si>
  <si>
    <t>Cromato Verde Olivo</t>
  </si>
  <si>
    <t>T113-BA01</t>
  </si>
  <si>
    <t>M102-RA14 Gancho EAV</t>
  </si>
  <si>
    <t>ANGELICA PEREZ FLORES</t>
  </si>
  <si>
    <t>T101 (DEC)-INOX-VARIOS (4.0)</t>
  </si>
  <si>
    <t>Arranque de línea</t>
  </si>
  <si>
    <t>Cromo Duro</t>
  </si>
  <si>
    <t>T114-FL01</t>
  </si>
  <si>
    <t>M102-RA15 Gancho 4 Niveles</t>
  </si>
  <si>
    <t>T101 (DEC)-LA-VARIOS (4.0)</t>
  </si>
  <si>
    <t>Bimetal</t>
  </si>
  <si>
    <t>Decapado</t>
  </si>
  <si>
    <t>48057-004-01 (Bright Dip)</t>
  </si>
  <si>
    <t>T115-FL01</t>
  </si>
  <si>
    <t>M102-RA16 Angulo</t>
  </si>
  <si>
    <t>ANTONIO CORRAL TEMAHUAYA</t>
  </si>
  <si>
    <t>T101 (DEC)-T109 (NBR)-FE/AC-GRANEL (15.0)</t>
  </si>
  <si>
    <t>Deshidrogenado</t>
  </si>
  <si>
    <t>T116-FL01</t>
  </si>
  <si>
    <t>M102-RA17 Clip 400</t>
  </si>
  <si>
    <t>ANUHAR SILVA GARCIA</t>
  </si>
  <si>
    <t>T101 (DEC)-T109 (NSU)-FE/AC-GRANEL (15.0)</t>
  </si>
  <si>
    <t>Cancelación por NC</t>
  </si>
  <si>
    <t>T117-FL01</t>
  </si>
  <si>
    <t>M102-RA18 Clip 28</t>
  </si>
  <si>
    <t>ANYELO RICARDO GONZALEZ TORRES</t>
  </si>
  <si>
    <t>T101 (DES)-INOX/CU-VARIOS (4.0)</t>
  </si>
  <si>
    <t>Casetas</t>
  </si>
  <si>
    <t>Electropulido</t>
  </si>
  <si>
    <t>48860-031-01 (Lavado)</t>
  </si>
  <si>
    <t>T201-FL01</t>
  </si>
  <si>
    <t>M102-RA19 Clip 37</t>
  </si>
  <si>
    <t>ARI EDUARDO MARTINEZ VALDEZ</t>
  </si>
  <si>
    <t>T101 (IRI)-AL-VARIOS (4.0)</t>
  </si>
  <si>
    <t>Cianuro de Plata</t>
  </si>
  <si>
    <t>Empaque</t>
  </si>
  <si>
    <t>48951-001-01 (Rebabeo)</t>
  </si>
  <si>
    <t>T202-FL01</t>
  </si>
  <si>
    <t>ARIADNA PAOLA CEBALLOS ROMERO</t>
  </si>
  <si>
    <t>T101 (LAV)-AL-VARIOS (4.0)</t>
  </si>
  <si>
    <t>Cobrizado</t>
  </si>
  <si>
    <t>En desarrollo</t>
  </si>
  <si>
    <t>48951-001-02 (Rebabeo)</t>
  </si>
  <si>
    <t>T203-BA01</t>
  </si>
  <si>
    <t>M103-RA01 Racks Eaton</t>
  </si>
  <si>
    <t>ARTURO MORALES MARIN</t>
  </si>
  <si>
    <t>T101 (LAV)-CU-VARIOS (4.0)</t>
  </si>
  <si>
    <t>Cobrizado-Plateado</t>
  </si>
  <si>
    <t>Epóxico BT</t>
  </si>
  <si>
    <t>48951-008-01 (Desengrase)</t>
  </si>
  <si>
    <t>T204-FL01</t>
  </si>
  <si>
    <t>MADERA</t>
  </si>
  <si>
    <t>AURELIANO GARCIA GARCIA</t>
  </si>
  <si>
    <t>T101 (LAV)-CU/BR-HUBBELL (4.0)</t>
  </si>
  <si>
    <t>Cromado Decorativo</t>
  </si>
  <si>
    <t>Epóxico MT</t>
  </si>
  <si>
    <t>T205-FL01</t>
  </si>
  <si>
    <t>BENITO RODOLFO ALVARADO SALAS</t>
  </si>
  <si>
    <t>T101 (LAV)-FE-VARIOS (4.0)</t>
  </si>
  <si>
    <t>Cromado Duro</t>
  </si>
  <si>
    <t>T206-BA01</t>
  </si>
  <si>
    <t>BERNARDO ROMERO HERNANDEZ</t>
  </si>
  <si>
    <t>T101 (LAV)-INOX-VARIOS (4.0)</t>
  </si>
  <si>
    <t>Cromatizado</t>
  </si>
  <si>
    <t>Estaño</t>
  </si>
  <si>
    <t>T207-FL01</t>
  </si>
  <si>
    <t>T101 (LAV)-LA-VARIOS (4.0)</t>
  </si>
  <si>
    <t>Estaño Mate</t>
  </si>
  <si>
    <t>T301-BA01</t>
  </si>
  <si>
    <t>T103-RA01</t>
  </si>
  <si>
    <t>BRAULIO HERNANDEZ CUADROS</t>
  </si>
  <si>
    <t>T101 (NOX)-AL-VARIOS (4.0)</t>
  </si>
  <si>
    <t>Decapado Estañado</t>
  </si>
  <si>
    <t>T401-FL01</t>
  </si>
  <si>
    <t>T103-RA02</t>
  </si>
  <si>
    <t>BRAYAN NOE PICHARDO FRIAS</t>
  </si>
  <si>
    <t xml:space="preserve">JABIL EMS SWITZERLAND GMBH — </t>
  </si>
  <si>
    <t>T101 (PAS)-CU-VARIOS (4.0)</t>
  </si>
  <si>
    <t>Decapado no oxidante</t>
  </si>
  <si>
    <t>Evabrite</t>
  </si>
  <si>
    <t>T103-RA04</t>
  </si>
  <si>
    <t>BRAYAN OSCAR GONZALEZ LUJA</t>
  </si>
  <si>
    <t xml:space="preserve">JINRONG MEXICO PRECISION MACHINERY — </t>
  </si>
  <si>
    <t>T101 (PAS)-FE-VARIOS (4.0)</t>
  </si>
  <si>
    <t>Decapado Plateado</t>
  </si>
  <si>
    <t>Fibrado</t>
  </si>
  <si>
    <t>T103-RA05</t>
  </si>
  <si>
    <t>BRENDA MARLEN MARTINEZ FLORES</t>
  </si>
  <si>
    <t>T101 (PAS)-INOX-VARIOS (4.0)</t>
  </si>
  <si>
    <t>Desbarbado</t>
  </si>
  <si>
    <t>T103-RA06</t>
  </si>
  <si>
    <t>BRYAN AGUILAR MEJIA</t>
  </si>
  <si>
    <t>T101 (PRE)-T108 (NSU)-T109 (PAS)-LA-VARIOS (13.0)</t>
  </si>
  <si>
    <t>Descuento por Scrap</t>
  </si>
  <si>
    <t>Fosfato de Manganeso</t>
  </si>
  <si>
    <t>T103-RA07</t>
  </si>
  <si>
    <t>CARLOS ALBERTO ARZATE VAZQUEZ</t>
  </si>
  <si>
    <t>Desengrase</t>
  </si>
  <si>
    <t>Fosfato de Zinc</t>
  </si>
  <si>
    <t>T103-RA08</t>
  </si>
  <si>
    <t>CARLOS ALBERTO BERNAL VALDES</t>
  </si>
  <si>
    <t>T101 (PRE)-T112 (NWO)-T109 (NSU)-CU/LA/FE/INOX-VARIOS (13.2)</t>
  </si>
  <si>
    <t>Desniquelado</t>
  </si>
  <si>
    <t>Horneado</t>
  </si>
  <si>
    <t>T103-RA09</t>
  </si>
  <si>
    <t>CARLOS ALBERTO FERNANDEZ REYES</t>
  </si>
  <si>
    <t>T101 (PRE)-T112 (NWO)-T109 (NSU)-INOX-RPK (15.0)</t>
  </si>
  <si>
    <t>Iridizado</t>
  </si>
  <si>
    <t>T103-RA10</t>
  </si>
  <si>
    <t>CARLOS ALBERTO ORTEGA HERNANDEZ</t>
  </si>
  <si>
    <t>T101 (PRE)-T112 (NWO)-T112 (NEL)-T109 (PAS)-LA-VARIOS (13.2)</t>
  </si>
  <si>
    <t>Empacado</t>
  </si>
  <si>
    <t>Lavado</t>
  </si>
  <si>
    <t>T103-RA11</t>
  </si>
  <si>
    <t>CARLOS ALEXANDER GONZALEZ RAMIREZ</t>
  </si>
  <si>
    <t>T101 (PRE)-T112 (NWO)-T203 (PLA)-LA-VARIOS (16.0)</t>
  </si>
  <si>
    <t>Ensamble de Kits</t>
  </si>
  <si>
    <t>Lavado de Bimetales</t>
  </si>
  <si>
    <t>T103-RA12</t>
  </si>
  <si>
    <t>CARLOS GARCIA AVILES</t>
  </si>
  <si>
    <t>Equipo de Protección Personal</t>
  </si>
  <si>
    <t>Limpieza Especial ISP</t>
  </si>
  <si>
    <t>CARLOS JACALES PIEDRA</t>
  </si>
  <si>
    <t>T101 (PRE)-T203 (PLA)-LA-VARIOS (16.0)</t>
  </si>
  <si>
    <t>Estañado</t>
  </si>
  <si>
    <t>Limpieza Especial PCL</t>
  </si>
  <si>
    <t>CARLOS MILLAN DURAN</t>
  </si>
  <si>
    <t>T101 (ROD)-T108 (NWO)-T108 (NEL)-T109 (PAS)-INOX/FE-VARIOS (13.0)</t>
  </si>
  <si>
    <t>Estañado Mate</t>
  </si>
  <si>
    <t>Limpieza Mecánica</t>
  </si>
  <si>
    <t>CARLOS SANTANA HERNANDEZ</t>
  </si>
  <si>
    <t xml:space="preserve">METALWORKING — </t>
  </si>
  <si>
    <t>T101 (ROD)-T109 (NBR)-FE/AC-GRANEL (15.0)</t>
  </si>
  <si>
    <t>Fabricación de Herramentales</t>
  </si>
  <si>
    <t>Muestras</t>
  </si>
  <si>
    <t>CARLOS SANTANA VALDES</t>
  </si>
  <si>
    <t>T101 (ROD)-T109 (NBR)-T100 (HOR)-FE/AC-GRANEL (15.0)</t>
  </si>
  <si>
    <t>Flete</t>
  </si>
  <si>
    <t>Níquel Brillante (Sulfato)</t>
  </si>
  <si>
    <t>T107-RA01</t>
  </si>
  <si>
    <t>CARMEN DOMINGUEZ CASTILLO</t>
  </si>
  <si>
    <t>T101 (ROD)-T109 (NSU)-FE/AC-GRANEL (15.0)</t>
  </si>
  <si>
    <t>Fletes</t>
  </si>
  <si>
    <t>Níquel Cromvet</t>
  </si>
  <si>
    <t>T101 (ROD)-T109 (NSU)-T100 (HOR)-FE/AC-GRANEL (15.0)</t>
  </si>
  <si>
    <t>Fosfatizado de Manganeso</t>
  </si>
  <si>
    <t>Níquel Electroless</t>
  </si>
  <si>
    <t>CELIA MALVAEZ DOMINGUEZ</t>
  </si>
  <si>
    <t>Fosfatizado de Zinc</t>
  </si>
  <si>
    <t>Níquel Sulfamato</t>
  </si>
  <si>
    <t>CESAR ALEJANDRO REYES HERNANDEZ</t>
  </si>
  <si>
    <t>T101 (ROD)-T112 (NWO)-T112 (NEL)-T112 (ACE)-INOX-MONEDA (13.2)</t>
  </si>
  <si>
    <t>Fundición de Plata</t>
  </si>
  <si>
    <t>Níquel Woods</t>
  </si>
  <si>
    <t>CESAR GARCIA APOLONIO</t>
  </si>
  <si>
    <t>T102 (COB)-AL-VARIOS (12.0)</t>
  </si>
  <si>
    <t>Granallado</t>
  </si>
  <si>
    <t>No Oxide</t>
  </si>
  <si>
    <t>CHRISTIAN GONZALEZ VENTA</t>
  </si>
  <si>
    <t>NP Desconocido</t>
  </si>
  <si>
    <t>CHRYSTIAN GEOVANI HERNANDEZ NAVA</t>
  </si>
  <si>
    <t>T102 (EST)-AL-VARIOS (12.0)</t>
  </si>
  <si>
    <t>Jornada Extraordinaria</t>
  </si>
  <si>
    <t>Obsoleto</t>
  </si>
  <si>
    <t>T111-RA01</t>
  </si>
  <si>
    <t>CRISTIAN GEOVANI RUIZ GUTIERREZ</t>
  </si>
  <si>
    <t>Pasivado</t>
  </si>
  <si>
    <t>T111-RA02</t>
  </si>
  <si>
    <t>CRISTIAN REYES PICHARDO</t>
  </si>
  <si>
    <t>T102 (IRI)-AL-FISHER (12.0)</t>
  </si>
  <si>
    <t>Limpieza de Recubrimiento</t>
  </si>
  <si>
    <t>Pavonado</t>
  </si>
  <si>
    <t>T111-RA03</t>
  </si>
  <si>
    <t>CRUZ OROZCO ALDAMA</t>
  </si>
  <si>
    <t>Maquila de Tratamiento Térmico</t>
  </si>
  <si>
    <t>Plata</t>
  </si>
  <si>
    <t>T111-RA04</t>
  </si>
  <si>
    <t>DAISY VILLAGRAN SEGUNDO</t>
  </si>
  <si>
    <t>Materia Prima</t>
  </si>
  <si>
    <t>Plata Flash</t>
  </si>
  <si>
    <t>T111-RA05</t>
  </si>
  <si>
    <t>DAMIAN AGUILAR OLMOS</t>
  </si>
  <si>
    <t>Metales</t>
  </si>
  <si>
    <t>Plata Mate</t>
  </si>
  <si>
    <t>T111-RA06</t>
  </si>
  <si>
    <t>DANIEL SHARSHI LAZARO</t>
  </si>
  <si>
    <t>Niquelado Brillante</t>
  </si>
  <si>
    <t>Plata Semibrillante</t>
  </si>
  <si>
    <t>T111-RA07</t>
  </si>
  <si>
    <t>DANIEL VILLANUEVA HERNANDEZ</t>
  </si>
  <si>
    <t>Niquelado Electroless</t>
  </si>
  <si>
    <t>Prelimpieza</t>
  </si>
  <si>
    <t>T111-RA08</t>
  </si>
  <si>
    <t>DAVID ALBERTO MARTINEZ SANCHEZ</t>
  </si>
  <si>
    <t>Niquelado Estaño</t>
  </si>
  <si>
    <t>Pulido</t>
  </si>
  <si>
    <t>DAVID ALEJANDRO ALVAREZ DOMINGUEZ</t>
  </si>
  <si>
    <t>Niquelado Plateado</t>
  </si>
  <si>
    <t>DAVID CRUZ GARCIA</t>
  </si>
  <si>
    <t>Niquelado Sulfamato</t>
  </si>
  <si>
    <t>Rebabeo</t>
  </si>
  <si>
    <t>T114-CA01</t>
  </si>
  <si>
    <t>DAVID GONZALEZ BECERRIL</t>
  </si>
  <si>
    <t>Niquelado Woods</t>
  </si>
  <si>
    <t>Rodado</t>
  </si>
  <si>
    <t>DAVID MACEDO ZARATE</t>
  </si>
  <si>
    <t>Sandblast</t>
  </si>
  <si>
    <t>deployment</t>
  </si>
  <si>
    <t>Pintura Epóxica BT</t>
  </si>
  <si>
    <t>SCM</t>
  </si>
  <si>
    <t>DIANA IRIS VILLAGRAN SEGUNDO</t>
  </si>
  <si>
    <t>Pintura Epóxica MT</t>
  </si>
  <si>
    <t>DIANA RUBI HEREDIA SANCHEZ</t>
  </si>
  <si>
    <t>Plateado</t>
  </si>
  <si>
    <t>SMY</t>
  </si>
  <si>
    <t>T201-RA01</t>
  </si>
  <si>
    <t>DIEGO FERNANDO MILLAN ALVAREZ</t>
  </si>
  <si>
    <t>Plateado Flash</t>
  </si>
  <si>
    <t>T201-RA02</t>
  </si>
  <si>
    <t>DIEGO REYES VARELA</t>
  </si>
  <si>
    <t>Plateado Selectivo</t>
  </si>
  <si>
    <t>SRG</t>
  </si>
  <si>
    <t>DIEGO RIVERA TREJO</t>
  </si>
  <si>
    <t>Pre-Limpieza</t>
  </si>
  <si>
    <t>STX</t>
  </si>
  <si>
    <t>DIEGO SAENZ ORTIZ</t>
  </si>
  <si>
    <t>Preparación previa al acabado</t>
  </si>
  <si>
    <t>Tinta Azul</t>
  </si>
  <si>
    <t>DOLORES BELTRAN GONZALEZ</t>
  </si>
  <si>
    <t>Refacciones</t>
  </si>
  <si>
    <t>Tinta Negra</t>
  </si>
  <si>
    <t>T204-RA01</t>
  </si>
  <si>
    <t>DULCE MARIA ROMERO SANCHEZ</t>
  </si>
  <si>
    <t>Retrabajo Ecoplating</t>
  </si>
  <si>
    <t>Tinta Roja</t>
  </si>
  <si>
    <t>T204-RA02</t>
  </si>
  <si>
    <t>EDUARDO A. CHI PECH</t>
  </si>
  <si>
    <t>Servicio Logístico</t>
  </si>
  <si>
    <t>Tinta Verde</t>
  </si>
  <si>
    <t>T204-RA03</t>
  </si>
  <si>
    <t>EDUARDO MONDRAGON BLANCAS</t>
  </si>
  <si>
    <t>Tiempo de Ingeniería y Línea</t>
  </si>
  <si>
    <t>T204-RA04</t>
  </si>
  <si>
    <t>ELDER DAVID CONCEPCION NAVARRETE</t>
  </si>
  <si>
    <t>Tricapa Estaño Níquel Cobre</t>
  </si>
  <si>
    <t>Tratamiento Térmico</t>
  </si>
  <si>
    <t>T204-RA05</t>
  </si>
  <si>
    <t>ELIUD GERMAN MUNOZ ALVAREZ</t>
  </si>
  <si>
    <t>Zinc Cromo Trivalente</t>
  </si>
  <si>
    <t>Zinc</t>
  </si>
  <si>
    <t>EMANUEL HERNANDEZ ALBARRAN</t>
  </si>
  <si>
    <t>T107 (PLA)-CU-C4 (60.0)</t>
  </si>
  <si>
    <t>Zinc Níquel</t>
  </si>
  <si>
    <t>T205-RA01</t>
  </si>
  <si>
    <t>EMANUEL RUIZ ESQUIVEL</t>
  </si>
  <si>
    <t>Zincado</t>
  </si>
  <si>
    <t>T205-RA02</t>
  </si>
  <si>
    <t>EMILIO PICHARDO FRIAS</t>
  </si>
  <si>
    <t>T205-RA03</t>
  </si>
  <si>
    <t>ERICA GONZALEZ GARDUNO</t>
  </si>
  <si>
    <t>T205-RA04</t>
  </si>
  <si>
    <t>T205-RA05</t>
  </si>
  <si>
    <t>ERICK EFREN ESCAMILLA LOPEZ</t>
  </si>
  <si>
    <t>T205-RA06</t>
  </si>
  <si>
    <t>ERICK GABRIEL REYES LOPEZ</t>
  </si>
  <si>
    <t>T109 (NBR)-FE/AC-GRANEL (15.0)</t>
  </si>
  <si>
    <t>T205-RA07</t>
  </si>
  <si>
    <t>ERICK JIMENEZ MONDRAGON</t>
  </si>
  <si>
    <t>T109 (NBR)-T100 (HOR)-FE/AC-GRANEL (15.0)</t>
  </si>
  <si>
    <t>T205-RA08</t>
  </si>
  <si>
    <t>ERNESTO GERARDO RIOS ALVAREZ</t>
  </si>
  <si>
    <t>T109 (NSU)-FE-BUJIA (15.0)</t>
  </si>
  <si>
    <t>T205-RA09</t>
  </si>
  <si>
    <t>ERNESTO MARTINEZ DE LA CRUZ</t>
  </si>
  <si>
    <t>T109 (NSU)-FE-BUJIA RENAULT (15.0)</t>
  </si>
  <si>
    <t>T205-RA10</t>
  </si>
  <si>
    <t>ERNESTO SANCHEZ CRISANTOS</t>
  </si>
  <si>
    <t>T109 (NSU)-FE/AC-GRANEL (15.0)</t>
  </si>
  <si>
    <t>T205-RA11</t>
  </si>
  <si>
    <t>ERON ROSARIO VALLEJO</t>
  </si>
  <si>
    <t>T109 (NSU)-T100 (HOR)-FE/AC-GRANEL (15.0)</t>
  </si>
  <si>
    <t>T205-RA12</t>
  </si>
  <si>
    <t>ESTEBAN CLEMENTE NOLASCO</t>
  </si>
  <si>
    <t>T110 (DEC)-CU-VARIOS (26.0)</t>
  </si>
  <si>
    <t>ESTEBAN JESUS MARTINEZ VALLEJO</t>
  </si>
  <si>
    <t xml:space="preserve">T111 (AND)-AL-VARIOS (14.0) </t>
  </si>
  <si>
    <t>EUGENIO CHAVEZ SANCHEZ</t>
  </si>
  <si>
    <t>T111 (COB)-T110 (PLA)-AL-VARIOS (26.0)</t>
  </si>
  <si>
    <t>EULOGIO LOPEZ COLIN</t>
  </si>
  <si>
    <t>T111 (COB)-T203 (PLA)-AL-HEATER (16.0)</t>
  </si>
  <si>
    <t>EVELIN MARTINEZ GUTIERREZ</t>
  </si>
  <si>
    <t>T111 (ESM)-AL-VARIOS (14.0)</t>
  </si>
  <si>
    <t>T111 (ESM)-CU-VARIOS (14.0)</t>
  </si>
  <si>
    <t>T111 (EST)-AL-VARIOS (14.0)</t>
  </si>
  <si>
    <t>FELIPE PORFIRIO GARCIA</t>
  </si>
  <si>
    <t>T111 (EST)-CU-VARIOS (14.0)</t>
  </si>
  <si>
    <t>FELIPE TERRON VAZQUEZ</t>
  </si>
  <si>
    <t>T112 (NWO)-T203 (PLA)-FE-VARIOS (16.0)</t>
  </si>
  <si>
    <t>FERNANDO HERNANDEZ SALAZAR</t>
  </si>
  <si>
    <t>FERNANDO OCTAVIO ANAYA ALBARRAN</t>
  </si>
  <si>
    <t>T112 (NWO)-T301 (EST)-CU/FE/LA-VARIOS (24.0)</t>
  </si>
  <si>
    <t>FERNANDO OLIVARES VELAZQUEZ</t>
  </si>
  <si>
    <t>T113 (ZIN)-T100 (HOR)-T113 (CAZ)-FE-VARIOS (17.0)</t>
  </si>
  <si>
    <t>FERNANDO PAGES</t>
  </si>
  <si>
    <t>T113 (ZIN)-T113 (CAZ)-FE-VARIOS (17.0)</t>
  </si>
  <si>
    <t>FRANCISCO JAVIER DIAZ HERNANDEZ</t>
  </si>
  <si>
    <t>T114 (FMS)-FE-GM (7.1)</t>
  </si>
  <si>
    <t>FROYLAN QUIRINO MARTINEZ</t>
  </si>
  <si>
    <t>T114 (FMS)-FE-PIÑON (7.1)</t>
  </si>
  <si>
    <t>GABRIEL CORREA GONZALEZ</t>
  </si>
  <si>
    <t>T114 (FMS)-FE-PISTON (7.1)</t>
  </si>
  <si>
    <t>GABRIEL IGNACIO MATA VEGA</t>
  </si>
  <si>
    <t>T114 (FMS)-T114 (ACE)-FE-PIÑON (7.1)</t>
  </si>
  <si>
    <t>GALDINO VIVANCO EVARISTO</t>
  </si>
  <si>
    <t>T114 (FMS)-T114 (ACE)-FE-PISTON (7.1)</t>
  </si>
  <si>
    <t>GERARDO FLORES SALGADO</t>
  </si>
  <si>
    <t>GERARDO GUTIERREZ ALVA</t>
  </si>
  <si>
    <t>GERARDO VALLEJO PEREZ</t>
  </si>
  <si>
    <t>GERMAN GONZALEZ BECERRIL</t>
  </si>
  <si>
    <t>GERMAN MOYA CONTRERAS</t>
  </si>
  <si>
    <t>GILBERTO ARMANDO ARELLANO ONTIVEROS</t>
  </si>
  <si>
    <t>GIOVANNI JAVIER LOURIDO PONCE</t>
  </si>
  <si>
    <t>T200 (REB)-T109 (NBR)-FE/AC-GRANEL (15.0)</t>
  </si>
  <si>
    <t>GREGORIO MAURO CIENEGA GONZALEZ</t>
  </si>
  <si>
    <t>T200 (REB)-T109 (NBR)-T100 (HOR)-FE/AC-GRANEL (15.0)</t>
  </si>
  <si>
    <t>GUADALUPE ESPINOSA OSORIO</t>
  </si>
  <si>
    <t>T200 (REB)-T109 (NSU)-FE/AC-GRANEL (15.0)</t>
  </si>
  <si>
    <t>GUADALUPE LETICIA ORTEGA SANTANA</t>
  </si>
  <si>
    <t>T200 (REB)-T109 (NSU)-T100 (HOR)-FE/AC-GRANEL (15.0)</t>
  </si>
  <si>
    <t>GUILLERMO GARCIA ROSALES</t>
  </si>
  <si>
    <t>T201 (COB)-AL-VARIOS (25.0)</t>
  </si>
  <si>
    <t>GUILLERMO MARTINEZ LOPEZ</t>
  </si>
  <si>
    <t>GUILLERMO TEPEPA GRANDA</t>
  </si>
  <si>
    <t>T201 (ESM)-AL-VARIOS (25.0)</t>
  </si>
  <si>
    <t>T201 (ESM)-CU-VARIOS (25.0)</t>
  </si>
  <si>
    <t>GUSTAVO ANGEL ANGELES GONZALEZ</t>
  </si>
  <si>
    <t>T201 (EST)-AL-VARIOS (25.0)</t>
  </si>
  <si>
    <t>HECTOR PUGA GRANADOS</t>
  </si>
  <si>
    <t>T201 (EST)-CU-VARIOS (25.0)</t>
  </si>
  <si>
    <t>HECTOR VAZQUEZ MONTES</t>
  </si>
  <si>
    <t>T201 (NSU)-CU-VARIOS (25.0)</t>
  </si>
  <si>
    <t>HERMINO TORAL MORA</t>
  </si>
  <si>
    <t>T202 (DEC)-CU-BARE (16.2)</t>
  </si>
  <si>
    <t>HORACIO CELAYA ENGUILO</t>
  </si>
  <si>
    <t>HUGO VILLANUEVA MARTINEZ</t>
  </si>
  <si>
    <t>ISMAEL HERNANDEZ NAVA</t>
  </si>
  <si>
    <t>T204 (DEC)-CU-BARE (16.1)</t>
  </si>
  <si>
    <t>ISRAEL DE JESUS ANGELES</t>
  </si>
  <si>
    <t>T205 (DEC)-CU-BARE (16.3)</t>
  </si>
  <si>
    <t>ISRAEL GOMEZ JIMENEZ</t>
  </si>
  <si>
    <t>T205 (EST)-AL-VARIOS (16.3)</t>
  </si>
  <si>
    <t>JACOBO REYES ALVAREZ</t>
  </si>
  <si>
    <t>JAIR JIMENEZ MONDRAGON</t>
  </si>
  <si>
    <t>JANELI PAULETTE MARTINEZ ARRIAGA</t>
  </si>
  <si>
    <t>JAROL ALEXIS FLORES HERNANDEZ</t>
  </si>
  <si>
    <t>T205 (PLA)-T300 (ANT)-CU-SOLERA RG (16.3)</t>
  </si>
  <si>
    <t>JAVIER ALVAREZ MIRANDA</t>
  </si>
  <si>
    <t>JAVIER VALDEZ BECERRIL</t>
  </si>
  <si>
    <t>T207 (AND)-AL-VARIOS (16.4)</t>
  </si>
  <si>
    <t>JAZMIN MONDRAGON BOTELLO</t>
  </si>
  <si>
    <t>T207 (AND)-T207 (TIN)-AL-VARIOS (16.4)</t>
  </si>
  <si>
    <t>JESUS ANGELES TIRZO</t>
  </si>
  <si>
    <t>JESUS AXEL GUADALUPE ALCANTARA</t>
  </si>
  <si>
    <t>JESUS FLORES ROMERO</t>
  </si>
  <si>
    <t>T300 (FIB)-T205 (PLA)-CU-ZION (16.3)</t>
  </si>
  <si>
    <t>JESUS HERNANDEZ GOMEZ</t>
  </si>
  <si>
    <t>T300 (FIB)-T205 (PLA)-T300 (ANT)-CU-SOLERA WIELAND (16.3)</t>
  </si>
  <si>
    <t>JESUS ROMERO GARCIA</t>
  </si>
  <si>
    <t>T300 (LES)-T110 (PLA)-CU-VARIOS (26.0)</t>
  </si>
  <si>
    <t>JESUS SANCHEZ GALVAN</t>
  </si>
  <si>
    <t>T300 (LES)-T110 (PLA)-T300 (ANT)-CU-VARIOS (26.0)</t>
  </si>
  <si>
    <t>JOEL ADRIAN GUADARRAMA MARTINEZ</t>
  </si>
  <si>
    <t>JONATAN OMAR ALCANTARA ESCOBEDO</t>
  </si>
  <si>
    <t>JONATHAN HERNANDEZ SANCHEZ</t>
  </si>
  <si>
    <t>T300 (LES)-T204 (NWO)-T204 (PLA)-CU-VARIOS (16.1)</t>
  </si>
  <si>
    <t>JORGE ALBERTO LOPEZ COLIN</t>
  </si>
  <si>
    <t>JORGE CAMPOS GARCIA</t>
  </si>
  <si>
    <t>T300 (LES)-T204 (PLA)-T300 (ANT)-CU-VARIOS (16.1)</t>
  </si>
  <si>
    <t>JORGE EMILIANO AVELINO BELMONT</t>
  </si>
  <si>
    <t>JORGE MEJIA VAZQUEZ</t>
  </si>
  <si>
    <t>T301 (LES)-T301 (EST)-CU-CELCO (24.0)</t>
  </si>
  <si>
    <t>JORGE TURRAL ROSAS</t>
  </si>
  <si>
    <t>JOSE ADRIAN PEREZ CARBAJAL</t>
  </si>
  <si>
    <t>T401 (EBT)-CU-VARIOS (30.0)</t>
  </si>
  <si>
    <t>JOSE ADRIAN ZAMORA FLORES</t>
  </si>
  <si>
    <t>JOSE ANGEL DOMINGUEZ NAVA</t>
  </si>
  <si>
    <t>JOSE ANGEL MIRANDA SANTIN</t>
  </si>
  <si>
    <t>T401 (EMR)-CU-VARIOS (30.0)</t>
  </si>
  <si>
    <t>JOSE ANTONIO GUTIERREZ MORA</t>
  </si>
  <si>
    <t>T401 (EMT)-CU-VARIOS (30.0)</t>
  </si>
  <si>
    <t>JOSE ANTONIO HERNANDEZ NAVA</t>
  </si>
  <si>
    <t>JOSE DANIEL CONTRERAS PICHARDO</t>
  </si>
  <si>
    <t>JOSE DE JESUS AGUILAR MARTINEZ</t>
  </si>
  <si>
    <t>JOSE GUADALUPE FELIX MUNGUIA</t>
  </si>
  <si>
    <t>JOSE GUADALUPE GONZALEZ MAYA</t>
  </si>
  <si>
    <t>JOSE LUIS FLORES DOMINGUEZ</t>
  </si>
  <si>
    <t>JOSE LUIS JIMENEZ MONDRAGON</t>
  </si>
  <si>
    <t>JOSE LUIS JULIAN ALBINO</t>
  </si>
  <si>
    <t>JOSE LUIS LOPEZ COLIN</t>
  </si>
  <si>
    <t>JOSE LUIS MARTINEZ ACEVES</t>
  </si>
  <si>
    <t>JOSE LUIS RIVAS REBOLLO</t>
  </si>
  <si>
    <t>JOSE MANUEL GALVAN ERASTO</t>
  </si>
  <si>
    <t>JOSE MANUEL JIMENEZ JIMENEZ</t>
  </si>
  <si>
    <t>JOSE MANUEL REBOLLAR DELGADO</t>
  </si>
  <si>
    <t>JOSE MARCO ANTONIO VELAZQUEZ GUADARRAMA</t>
  </si>
  <si>
    <t>JOSE MIGUEL REGINO ALVARADO</t>
  </si>
  <si>
    <t>JOSE RAUL GONZALEZ ARRIAGA</t>
  </si>
  <si>
    <t>JOSE YAEL ALVAREZ DOMINGUEZ</t>
  </si>
  <si>
    <t>JOSUE GALVAN COLIN</t>
  </si>
  <si>
    <t>JOSUE GONZALES AVILES</t>
  </si>
  <si>
    <t>JUAN ANTONIO SALDANA CLAVEL</t>
  </si>
  <si>
    <t>JUAN CARLOS CHAVEZ MONDRAGON</t>
  </si>
  <si>
    <t>JUAN CARLOS GONZALEZ GUTIERREZ</t>
  </si>
  <si>
    <t>JUAN CARLOS NAVA REYES</t>
  </si>
  <si>
    <t>JUAN CARLOS PORTILLO MEDINA</t>
  </si>
  <si>
    <t>JUAN ERNESTO GARDUNO PALMA</t>
  </si>
  <si>
    <t>JUAN MORALES AGUILAR</t>
  </si>
  <si>
    <t>JUANA CAPULIN EVARISTO</t>
  </si>
  <si>
    <t>JULIANA FRANCELLY LINARES ALCANTARA</t>
  </si>
  <si>
    <t>JULIO MARTINEZ ARAUJO</t>
  </si>
  <si>
    <t>KARINA ALVAREZ MENDIETA</t>
  </si>
  <si>
    <t>KARLA HERNANDEZ BENITEZ</t>
  </si>
  <si>
    <t>KEVIN RODRIGO LARA RUIZ</t>
  </si>
  <si>
    <t>LARISSA YUDID CASTILLO PRADO</t>
  </si>
  <si>
    <t>LAZARO MORALES ESTRADA</t>
  </si>
  <si>
    <t>LEANDRO HERNANDEZ REYES</t>
  </si>
  <si>
    <t>LIDIA BELTRAN GONZALEZ</t>
  </si>
  <si>
    <t>LIZBETH REYES ALCANTARA</t>
  </si>
  <si>
    <t>LORENZO ORTEGA ROMERO</t>
  </si>
  <si>
    <t>LUIS ANGEL HUARACHE SABINO</t>
  </si>
  <si>
    <t>LUIS BARRANCO MELITON</t>
  </si>
  <si>
    <t>LUIS DANIEL NUÑEZ PIÑA</t>
  </si>
  <si>
    <t>LUIS GUSTAVO VELAZQUEZ CAMACHO</t>
  </si>
  <si>
    <t>LUIS JAVIER ESQUIVEL GOMEZ</t>
  </si>
  <si>
    <t>MARCO ANTONIO ROMERO HERRERA</t>
  </si>
  <si>
    <t>MARIA ALTAGRACIA ALMAZAN DOMINGUEZ</t>
  </si>
  <si>
    <t>MARIA DE LA LUZ PEREZ CABRERA</t>
  </si>
  <si>
    <t>MARIA DEL CARMEN ESQUIVEL DE JESUS</t>
  </si>
  <si>
    <t>MARIA EUGENIA ALMAZAN DOMINGUEZ</t>
  </si>
  <si>
    <t>MARIA GUADALUPE ROSALES VALLE</t>
  </si>
  <si>
    <t>MARIA INES IGNACIO REYES</t>
  </si>
  <si>
    <t>MARIA ITZEL ESCOBAR ALBARRAN</t>
  </si>
  <si>
    <t>MARIA TERESA ANGELES TIRZO</t>
  </si>
  <si>
    <t>MARICRUZ SALAZAR RICO</t>
  </si>
  <si>
    <t>MARIO MENDOZA MORENO</t>
  </si>
  <si>
    <t>MARTHA CEJUDO ROJAS</t>
  </si>
  <si>
    <t>MARTHA JACQUELINE CARTA DESALES</t>
  </si>
  <si>
    <t>MARTIN ALVAREZ ROJAS</t>
  </si>
  <si>
    <t>MARTIN REYES TELLEZ</t>
  </si>
  <si>
    <t>MAURICIO ALBERTO CARBAJAL LOPEZ</t>
  </si>
  <si>
    <t>MAXIMINO SIERRA MENDOZA</t>
  </si>
  <si>
    <t>MIGUEL ANGEL VAZQUEZ TAPIA</t>
  </si>
  <si>
    <t>MIGUEL ESCARAMUZA SANCHEZ</t>
  </si>
  <si>
    <t>MONICA ORTEGA RUIZ</t>
  </si>
  <si>
    <t>NESTOR LOPEZ IGLESIAS</t>
  </si>
  <si>
    <t>NOE RODOLFO CARBAJAL PADILLA</t>
  </si>
  <si>
    <t>NOE SARANDINGUA FRANCES</t>
  </si>
  <si>
    <t>NORBERTO ROMERO LERMA</t>
  </si>
  <si>
    <t>OBED HERNANDEZ ROBLES</t>
  </si>
  <si>
    <t>OBED RAMIRO VALDEZ BELTRAN</t>
  </si>
  <si>
    <t>OCTAVIO NERI BERNAL</t>
  </si>
  <si>
    <t>OCTAVIO SALGADO REYES</t>
  </si>
  <si>
    <t>OMAR FLORES HERNANDEZ</t>
  </si>
  <si>
    <t>OSCAR DAVID AGUILAR FLORES</t>
  </si>
  <si>
    <t>OSCAR GONZALEZ BALDERAS</t>
  </si>
  <si>
    <t>OSCAR MARTINEZ FUENTES</t>
  </si>
  <si>
    <t>OSVALDO MARTINEZ LOPEZ</t>
  </si>
  <si>
    <t>OSVALDO NAVA REYES</t>
  </si>
  <si>
    <t>PABLO GUADARRAMA SALINAS</t>
  </si>
  <si>
    <t>PAOLA BENITEZ VALLE</t>
  </si>
  <si>
    <t>PAOLA PALMA GUADARRAMA</t>
  </si>
  <si>
    <t>PASCUAL GIOVANNI LOPEZ MARTINEZ</t>
  </si>
  <si>
    <t>PAULA SUSANA VELAZQUEZ GARCIA</t>
  </si>
  <si>
    <t>PEDRO CUEVAS PEREZ</t>
  </si>
  <si>
    <t>PEDRO RAMIREZ CONTRERAS</t>
  </si>
  <si>
    <t>PERLA ITZEL GARCIA MARTINEZ</t>
  </si>
  <si>
    <t>RAFAEL OSCAR GARCIA GALEANA</t>
  </si>
  <si>
    <t>RAMON CAMILO PAGES DE ROSENZWEIG</t>
  </si>
  <si>
    <t>RAMON VALLEJO GIL</t>
  </si>
  <si>
    <t>RICARDO AMBRIZ CORRAL</t>
  </si>
  <si>
    <t>ROBERTO JESUS OROZCO MOLINA</t>
  </si>
  <si>
    <t>ROCIO GONZALEZ MARTINEZ</t>
  </si>
  <si>
    <t>RODRIGO MEJIA PERALTA</t>
  </si>
  <si>
    <t>RODRIGO MONTES HERNANDEZ</t>
  </si>
  <si>
    <t>ROGELIO ANGELES JIMENEZ</t>
  </si>
  <si>
    <t>ROLANDO HERNANDEZ ROMERO</t>
  </si>
  <si>
    <t>ROSALIA ALEJANDRA SABAS CHAVEZ</t>
  </si>
  <si>
    <t>ROSANNA KATHLEEN PAGES DE ROSENZWEIG</t>
  </si>
  <si>
    <t>RUBEN ANGEL OROZCO REYES</t>
  </si>
  <si>
    <t>RUFINO GONZALEZ BALDERAS</t>
  </si>
  <si>
    <t>RUTH ANDREA ALVAREZ VALDES</t>
  </si>
  <si>
    <t>SALVADOR ARRIAGA LOPEZ</t>
  </si>
  <si>
    <t>SALVADOR GONZALEZ DE AQUINO</t>
  </si>
  <si>
    <t>SAUL NOE MARTINEZ LOPEZ</t>
  </si>
  <si>
    <t>SEBASTIAN MOTA CONTRERAS</t>
  </si>
  <si>
    <t>SERGIO CESAR HERNANDEZ GUZMAN</t>
  </si>
  <si>
    <t>SERGIO MUNGUIA VENTOLERO</t>
  </si>
  <si>
    <t>SERGIO ROSALES PEREZ</t>
  </si>
  <si>
    <t>Support - Ecoplating</t>
  </si>
  <si>
    <t>TELESFORO FERNANDO MARTINEZ GARCIA</t>
  </si>
  <si>
    <t>USIEL VIEYRA ALMONTE</t>
  </si>
  <si>
    <t>VERONICA FLORES FLORES</t>
  </si>
  <si>
    <t>VERONICA GONZALEZ TORRES</t>
  </si>
  <si>
    <t>VICENTE RIVERA VEGA</t>
  </si>
  <si>
    <t>ZULMA CELESTE ALMANZA HERRERA</t>
  </si>
  <si>
    <t>Cálculo de consumo de materia prima por pieza</t>
  </si>
  <si>
    <t>Metales: densidad×área×espesor/10⁷=kg. AT:0.0012L/kg_Cu. Epóx:g/m×LM/453.592=lb. MTR:MT×1.07</t>
  </si>
  <si>
    <t>Espesor se lee automáticamente de Upload (punto medio del rango de la Spec). Puede editarse directamente.</t>
  </si>
  <si>
    <t>Material</t>
  </si>
  <si>
    <t>Símbolo</t>
  </si>
  <si>
    <t>Densidad
(g/cm³)</t>
  </si>
  <si>
    <t>ID</t>
  </si>
  <si>
    <t>BOM Item SH</t>
  </si>
  <si>
    <t>Unidad</t>
  </si>
  <si>
    <t>Keyword</t>
  </si>
  <si>
    <t>Ag</t>
  </si>
  <si>
    <t>Plata Fina</t>
  </si>
  <si>
    <t>KGM</t>
  </si>
  <si>
    <t>Sn</t>
  </si>
  <si>
    <t>Estaño Puro</t>
  </si>
  <si>
    <t>Níquel</t>
  </si>
  <si>
    <t>Ni</t>
  </si>
  <si>
    <t>Níquel Metálico</t>
  </si>
  <si>
    <t>Zn</t>
  </si>
  <si>
    <t>Zinc Metálico</t>
  </si>
  <si>
    <t>Cu</t>
  </si>
  <si>
    <t>Placa Cobre Electrolítico</t>
  </si>
  <si>
    <t>—</t>
  </si>
  <si>
    <t>Sterlingshield S</t>
  </si>
  <si>
    <t>LTS</t>
  </si>
  <si>
    <t>Epóxica MT</t>
  </si>
  <si>
    <t>Epoxy MT</t>
  </si>
  <si>
    <t>LBR</t>
  </si>
  <si>
    <t>Epóx</t>
  </si>
  <si>
    <t>Epóxica BT</t>
  </si>
  <si>
    <t>Epoxica BT</t>
  </si>
  <si>
    <t>Epóxica MT Roja</t>
  </si>
  <si>
    <t>Epoxica MT Red</t>
  </si>
  <si>
    <t>CÁLCULO POR NÚMERO DE PARTE</t>
  </si>
  <si>
    <t>PN</t>
  </si>
  <si>
    <t>Área
(cm²)</t>
  </si>
  <si>
    <t>Esp.1
(µm)</t>
  </si>
  <si>
    <t>Esp.2
(µm)</t>
  </si>
  <si>
    <t>Spec1
keyword</t>
  </si>
  <si>
    <t>Spec2
keyword</t>
  </si>
  <si>
    <t>Plata
(kg)</t>
  </si>
  <si>
    <t>Estaño
(kg)</t>
  </si>
  <si>
    <t>Níquel
(kg)</t>
  </si>
  <si>
    <t>Zinc
(kg)</t>
  </si>
  <si>
    <t>Cobre
(kg)</t>
  </si>
  <si>
    <t>AT
(L)</t>
  </si>
  <si>
    <t>MT
(lb)</t>
  </si>
  <si>
    <t>BT
(lb)</t>
  </si>
  <si>
    <t>MTR
(lb)</t>
  </si>
  <si>
    <t>Auto</t>
  </si>
  <si>
    <t>CALC</t>
  </si>
  <si>
    <t>STEELHEAD AUTOMATOR v10 — GUÍA DE USO</t>
  </si>
  <si>
    <t>EXTENSIÓN CHROME</t>
  </si>
  <si>
    <t xml:space="preserve">   Instalar desde Chrome Web Store (link proporcionado por admin).</t>
  </si>
  <si>
    <t xml:space="preserve">   Funciona en Chrome y Microsoft Edge.</t>
  </si>
  <si>
    <t xml:space="preserve">   La extensión debe estar activa mientras se usa app.gosteelhead.com.</t>
  </si>
  <si>
    <t>MENÚ PRINCIPAL</t>
  </si>
  <si>
    <t xml:space="preserve">   📊 Carga Masiva — Cotizaciones y Números de Parte</t>
  </si>
  <si>
    <t xml:space="preserve">   🔍 Explorador Steelhead — Captura de APIs y hashes</t>
  </si>
  <si>
    <t xml:space="preserve">   📦 Archivador, 🔎 Auditor, 📎 Cargador, 🔀 Migrador Specs, 📂 Liberador Reportes, 🔄 Reset Inventario</t>
  </si>
  <si>
    <t>CARGA MASIVA — FLUJO</t>
  </si>
  <si>
    <t xml:space="preserve">   1. Descargar Plantilla v10 (botón en extensión)</t>
  </si>
  <si>
    <t xml:space="preserve">   2. Actualizar Catálogos (botón en extensión, estando en Steelhead)</t>
  </si>
  <si>
    <t xml:space="preserve">   3. En Excel: ejecutar macro RefrescarListas (selecciona archivo de catálogos)</t>
  </si>
  <si>
    <t xml:space="preserve">   4. Llenar datos en hoja Upload</t>
  </si>
  <si>
    <t xml:space="preserve">   5. Exportar CSV (macro ExportarCSV)</t>
  </si>
  <si>
    <t xml:space="preserve">   6. En Steelhead: clic en extensión → Carga Masiva → Cargar CSV</t>
  </si>
  <si>
    <t>MODOS</t>
  </si>
  <si>
    <t xml:space="preserve">   COTIZACIÓN+NP — Crea cotizaciones (UNA por cliente) con NPs, precios y productos</t>
  </si>
  <si>
    <t xml:space="preserve">   SOLO_PN — Solo crea/modifica números de parte sin cotización</t>
  </si>
  <si>
    <t>NOVEDADES v10 RESPECTO A v9</t>
  </si>
  <si>
    <t xml:space="preserve">   • Cliente, Divisa y Proceso ahora son POR LÍNEA (ya no en el header)</t>
  </si>
  <si>
    <t xml:space="preserve">   • Si hay varios clientes en COTIZACIÓN+NP se crea UNA cotización por cliente</t>
  </si>
  <si>
    <t xml:space="preserve">     Nombre: "{Cliente} {Layout}"</t>
  </si>
  <si>
    <t xml:space="preserve">   • Divisa puede mezclarse: cada línea con USD o MXN</t>
  </si>
  <si>
    <t xml:space="preserve">   • Proceso es OBLIGATORIO por línea (sin default)</t>
  </si>
  <si>
    <t xml:space="preserve">   • Etiqueta 5 nueva en Acabados (misma lista que las otras)</t>
  </si>
  <si>
    <t xml:space="preserve">   • Espesor soporta tanto µm como mils (se detecta y convierte automáticamente)</t>
  </si>
  <si>
    <t xml:space="preserve">   • Columna check al final eliminada</t>
  </si>
  <si>
    <t>HEADER (filas 1-4)</t>
  </si>
  <si>
    <t xml:space="preserve">   G1   Modo (SOLO_PN o COTIZACIÓN+NP)</t>
  </si>
  <si>
    <t xml:space="preserve">   C3   Empresa Emisora (ECO, ECOPLATING, PRO, PROQUIPA)</t>
  </si>
  <si>
    <t xml:space="preserve">   C4   Válida hasta (días) — solo COTIZACIÓN+NP</t>
  </si>
  <si>
    <t xml:space="preserve">   G3   Nombre Cotización/Layout (requerido en COTIZACIÓN+NP)</t>
  </si>
  <si>
    <t xml:space="preserve">   G4   Asignado (vendedor)</t>
  </si>
  <si>
    <t xml:space="preserve">   J3   Notas Externas (visible al cliente)</t>
  </si>
  <si>
    <t xml:space="preserve">   P3   Notas Internas</t>
  </si>
  <si>
    <t>CÓDIGO DE COLORES</t>
  </si>
  <si>
    <t xml:space="preserve">   Verde claro    Editable — el usuario llena</t>
  </si>
  <si>
    <t xml:space="preserve">   Gris claro     No aplica al modo seleccionado (sombreado por SombrearModoSoloPN)</t>
  </si>
  <si>
    <t>PLACEHOLDERS EN DROPDOWNS</t>
  </si>
  <si>
    <t xml:space="preserve">   (seleccione)              Campo con dropdown — elegir del listado</t>
  </si>
  <si>
    <t xml:space="preserve">   (seleccione o escriba)    Campo híbrido — elegir o escribir valor nuevo</t>
  </si>
  <si>
    <t>CONVENCIONES</t>
  </si>
  <si>
    <t xml:space="preserve">   Vacío         No tocar (mantiene valor existente en Steelhead)</t>
  </si>
  <si>
    <t xml:space="preserve">   Guión (-)     Borrar dato (envía valor vacío a Steelhead)</t>
  </si>
  <si>
    <t>COLUMNAS DE DATOS (fila 9 en adelante)</t>
  </si>
  <si>
    <t xml:space="preserve">   PARÁMETROS (A-D)</t>
  </si>
  <si>
    <t xml:space="preserve">      A  Archivado — archivar el PN al finalizar</t>
  </si>
  <si>
    <t xml:space="preserve">      B  Validación 1er recibo — activar opt-in de validación</t>
  </si>
  <si>
    <t xml:space="preserve">      C  Forzar duplicar — crear PN nuevo aunque ya exista</t>
  </si>
  <si>
    <t xml:space="preserve">      D  Archivar anterior — archivar el PN viejo al forzar duplicado</t>
  </si>
  <si>
    <t xml:space="preserve">   IDENTIFICACIÓN (E-I)</t>
  </si>
  <si>
    <t xml:space="preserve">      E  Cliente — REQUERIDO. Per-línea (puede haber varios en un layout)</t>
  </si>
  <si>
    <t xml:space="preserve">      F  Número de parte — REQUERIDO</t>
  </si>
  <si>
    <t xml:space="preserve">      G  Descripción — texto libre</t>
  </si>
  <si>
    <t xml:space="preserve">      H  PN alterno — números alternos separados por coma</t>
  </si>
  <si>
    <t xml:space="preserve">      I  Grupo — familia/grupo del PN (se crea si no existe; híbrido)</t>
  </si>
  <si>
    <t xml:space="preserve">   PRECIO (J-N)</t>
  </si>
  <si>
    <t xml:space="preserve">      J  Cantidad — requerido en COTIZACIÓN+NP</t>
  </si>
  <si>
    <t xml:space="preserve">      K  Precio — precio unitario</t>
  </si>
  <si>
    <t xml:space="preserve">      L  Unidad precio — PZA, KGM, CMK, FTK, LM, LBR, LO</t>
  </si>
  <si>
    <t xml:space="preserve">      M  Divisa — USD o MXN (per-línea, default USD)</t>
  </si>
  <si>
    <t xml:space="preserve">      N  Precio default — marcar como precio predeterminado</t>
  </si>
  <si>
    <t xml:space="preserve">   ACABADOS / LABELS (O-T)</t>
  </si>
  <si>
    <t xml:space="preserve">      O  Metal base — material base del PN</t>
  </si>
  <si>
    <t xml:space="preserve">      P  Etiqueta 1</t>
  </si>
  <si>
    <t xml:space="preserve">      Q  Etiqueta 2</t>
  </si>
  <si>
    <t xml:space="preserve">      R  Etiqueta 3</t>
  </si>
  <si>
    <t xml:space="preserve">      S  Etiqueta 4</t>
  </si>
  <si>
    <t xml:space="preserve">      T  Etiqueta 5 (NUEVA en v10 — útil para "planta")</t>
  </si>
  <si>
    <t xml:space="preserve">   PROCESO (U)</t>
  </si>
  <si>
    <t xml:space="preserve">      U  Proceso — REQUERIDO por línea (sin fallback en v10)</t>
  </si>
  <si>
    <t xml:space="preserve">   PRODUCTOS A COTIZAR ×3 (V-AG) — Solo COTIZACIÓN+NP</t>
  </si>
  <si>
    <t xml:space="preserve">      V/Z/AD   Producto — seleccionar del catálogo</t>
  </si>
  <si>
    <t xml:space="preserve">      W/AA/AE  Precio producto</t>
  </si>
  <si>
    <t xml:space="preserve">      X/AB/AF  Cantidad producto</t>
  </si>
  <si>
    <t xml:space="preserve">      Y/AC/AG  Unidad producto</t>
  </si>
  <si>
    <t xml:space="preserve">   ESPECIFICACIONES ×2 (AH-AK)</t>
  </si>
  <si>
    <t xml:space="preserve">      AH  Spec 1 — formato: "Nombre | rango µm" o "Nombre | rango mils"</t>
  </si>
  <si>
    <t xml:space="preserve">      AI  Esp.1 — calc auto del rango (convertido a µm si era mils)</t>
  </si>
  <si>
    <t xml:space="preserve">      AJ  Spec 2</t>
  </si>
  <si>
    <t xml:space="preserve">      AK  Esp.2</t>
  </si>
  <si>
    <t xml:space="preserve">   CONVERSIÓN DE UNIDADES (AL-AO)</t>
  </si>
  <si>
    <t xml:space="preserve">      AL  KGM — kg por pieza</t>
  </si>
  <si>
    <t xml:space="preserve">      AM  CMK — cm² por pieza</t>
  </si>
  <si>
    <t xml:space="preserve">      AN  LM — metros lineales por pieza</t>
  </si>
  <si>
    <t xml:space="preserve">      AO  Mín Pzas Lote</t>
  </si>
  <si>
    <t xml:space="preserve">   RACKS ×2 (AP-AS)</t>
  </si>
  <si>
    <t xml:space="preserve">      AP  Rack Flybar/Barril (Carga) — tipo FL/BA/Barril</t>
  </si>
  <si>
    <t xml:space="preserve">      AQ  Pzas/Rack Línea</t>
  </si>
  <si>
    <t xml:space="preserve">      AR  Rack Específico</t>
  </si>
  <si>
    <t xml:space="preserve">      AS  Pzas/Rack Sec.</t>
  </si>
  <si>
    <t xml:space="preserve">   DIMENSIONES ×5 (AT-AX) — en metros</t>
  </si>
  <si>
    <t xml:space="preserve">      AT  Longitud</t>
  </si>
  <si>
    <t xml:space="preserve">      AU  Ancho</t>
  </si>
  <si>
    <t xml:space="preserve">      AV  Alto</t>
  </si>
  <si>
    <t xml:space="preserve">      AW  Diámetro Exterior</t>
  </si>
  <si>
    <t xml:space="preserve">      AX  Diámetro Interior</t>
  </si>
  <si>
    <t xml:space="preserve">   ASIGNACIÓN CONTABLE (AY-BA)</t>
  </si>
  <si>
    <t xml:space="preserve">      AY  Línea — dimensión contable</t>
  </si>
  <si>
    <t xml:space="preserve">      AZ  Departamento — dimensión contable</t>
  </si>
  <si>
    <t xml:space="preserve">      BA  Código SAT — clasificación fiscal (trae default; no se borra)</t>
  </si>
  <si>
    <t xml:space="preserve">   USO PREDICTIVO DE MATERIAS PRIMAS (BB-BJ) — calc auto</t>
  </si>
  <si>
    <t xml:space="preserve">      BB  Plata (kg)</t>
  </si>
  <si>
    <t xml:space="preserve">      BC  Estaño (kg)</t>
  </si>
  <si>
    <t xml:space="preserve">      BD  Níquel (kg)</t>
  </si>
  <si>
    <t xml:space="preserve">      BE  Zinc (kg)</t>
  </si>
  <si>
    <t xml:space="preserve">      BF  Cobre (kg)</t>
  </si>
  <si>
    <t xml:space="preserve">      BG  Antitarnish (L)</t>
  </si>
  <si>
    <t xml:space="preserve">      BH  Epóx. MT (lb)</t>
  </si>
  <si>
    <t xml:space="preserve">      BI  Epóx. BT (lb)</t>
  </si>
  <si>
    <t xml:space="preserve">      BJ  Epóx. MTR (lb)</t>
  </si>
  <si>
    <t xml:space="preserve">   REFERENCIA IBMS (BK-BQ)</t>
  </si>
  <si>
    <t xml:space="preserve">      BK  Quote IBMS — referencia del sistema anterior</t>
  </si>
  <si>
    <t xml:space="preserve">      BL  Estación IBMS</t>
  </si>
  <si>
    <t xml:space="preserve">      BM  Plano</t>
  </si>
  <si>
    <t xml:space="preserve">      BN  Piezas por Carga</t>
  </si>
  <si>
    <t xml:space="preserve">      BO  Cargas por Hora</t>
  </si>
  <si>
    <t xml:space="preserve">      BP  Tiempo de Entrega — días</t>
  </si>
  <si>
    <t xml:space="preserve">      BQ  Notas adicionales</t>
  </si>
  <si>
    <t>MACROS DISPONIBLES</t>
  </si>
  <si>
    <t xml:space="preserve">   ExportarCSV         Exporta hoja Upload como CSV UTF-8 (69 columnas, A-BQ)</t>
  </si>
  <si>
    <t xml:space="preserve">   RefrescarListas     Lee catálogos del archivo descargado por la extensión</t>
  </si>
  <si>
    <t xml:space="preserve">   LimpiarDatos        Borra datos y restaura defaults/placeholders (filas 9+)</t>
  </si>
  <si>
    <t xml:space="preserve">   SombrearModoSoloPN  Sombrea/restaura columnas según modo (automático al cambiar G1)</t>
  </si>
  <si>
    <t>CATÁLOGOS (Listas)</t>
  </si>
  <si>
    <t xml:space="preserve">   A  Clientes (nombre — dirección)</t>
  </si>
  <si>
    <t xml:space="preserve">   B  Procesos activos</t>
  </si>
  <si>
    <t xml:space="preserve">   C  Productos activos</t>
  </si>
  <si>
    <t xml:space="preserve">   D  Etiquetas activas</t>
  </si>
  <si>
    <t xml:space="preserve">   E  Specs (con parámetros de espesor)</t>
  </si>
  <si>
    <t xml:space="preserve">   F  Racks Línea</t>
  </si>
  <si>
    <t xml:space="preserve">   G  Racks Todos</t>
  </si>
  <si>
    <t xml:space="preserve">   H  Código SAT (preservado)</t>
  </si>
  <si>
    <t xml:space="preserve">   I  Metal base (preservado)</t>
  </si>
  <si>
    <t xml:space="preserve">   J  Líneas (dimensión contable)</t>
  </si>
  <si>
    <t xml:space="preserve">   K  Departamentos (dimensión contable)</t>
  </si>
  <si>
    <t xml:space="preserve">   L  Usuarios</t>
  </si>
  <si>
    <t xml:space="preserve">   M  Grupos de Partes</t>
  </si>
  <si>
    <t>NOTAS TÉCNICAS</t>
  </si>
  <si>
    <t xml:space="preserve">   • Multi-cotización: con varios clientes en COTIZACIÓN+NP se crean N cotizaciones</t>
  </si>
  <si>
    <t xml:space="preserve">   • Cada cotización lleva el nombre "{Cliente} {Layout}"</t>
  </si>
  <si>
    <t xml:space="preserve">   • Divisa va por línea — el script respeta cada DatosPrecio.Divisa individual</t>
  </si>
  <si>
    <t xml:space="preserve">   • Proceso es obligatorio por línea — si falta, esa línea reporta error y se omite</t>
  </si>
  <si>
    <t xml:space="preserve">   • Espesor en µm o mils — Cálculo MP detecta y convierte mils a µm (×25.4)</t>
  </si>
  <si>
    <t xml:space="preserve">   • Etiqueta 5 misma lista que Etiquetas 1-4 (no hay lista separada de plantas)</t>
  </si>
  <si>
    <t>SOPORTE</t>
  </si>
  <si>
    <t xml:space="preserve">   Contacto: oviazcan@gmail.com</t>
  </si>
  <si>
    <t xml:space="preserve">   Repo: github.com/oviazcan/SteelheadAutomator</t>
  </si>
  <si>
    <t>V</t>
  </si>
  <si>
    <t xml:space="preserve">   Checkbox ✓    V = activar, F = desactivar</t>
  </si>
  <si>
    <t>Con base en el Espesor de esta Especificación se calculan los factores de uso de inventario predictivo</t>
  </si>
  <si>
    <t>Si se coloca, aplicará cargo por lote mínimo</t>
  </si>
  <si>
    <t>Si son más de uno, separar por comas</t>
  </si>
  <si>
    <t>T101 (PRE)-T108 (NWO)-T108 (NEL)-T109 (PAS)-FE-BUJIA (13.0)</t>
  </si>
  <si>
    <t>T109 (LAV)-T000 (TRT)-T109 (NBR)-BI-BIMETALES (15.0)</t>
  </si>
  <si>
    <t>T201 (DEC)-T201 (ESM)-CU-VARIOS (25.0)</t>
  </si>
  <si>
    <t>T201 (DEC)-T201 (EST)-CU-VARIOS (25.0)</t>
  </si>
  <si>
    <t>T201 (DEC)-T201 (NSU)-CU-VARIOS (25.0)</t>
  </si>
  <si>
    <t>T206 (LAV)-T000 (TRT)-T206 (EST)-BI-BIMETALES (18.0)</t>
  </si>
  <si>
    <t>281J SILVER FLASH SOLERAS DE COBRE</t>
  </si>
  <si>
    <t>Enmascarado</t>
  </si>
  <si>
    <t>Oro</t>
  </si>
  <si>
    <t>T101-LI Pre Limpieza (4.0)</t>
  </si>
  <si>
    <t>T102-LI Estaño e Iridizado (12.0)</t>
  </si>
  <si>
    <t>T103-LI Cromo Duro (11.0)</t>
  </si>
  <si>
    <t>T104-LI Zinc y Estaño Manual (6.0)</t>
  </si>
  <si>
    <t>T105-LI Zinc Semiautomático (7.0)</t>
  </si>
  <si>
    <t>T106-LI Zinc Barril (10.0)</t>
  </si>
  <si>
    <t>T107-LI Plata Colgado Cx (60.0)</t>
  </si>
  <si>
    <t>T108-LI Níquel Electroless (13.0)</t>
  </si>
  <si>
    <t>T109-LI Níquel Barril (15.0)</t>
  </si>
  <si>
    <t>T110-LI Plata Colgado (26.0)</t>
  </si>
  <si>
    <t>T111-LI Estaño s/Aluminio y s/Cobre - Anodizado (14.0)</t>
  </si>
  <si>
    <t>T112-LI Níquel Electroless (13.2)</t>
  </si>
  <si>
    <t>T113-LI Zinc Barril Manual (17.0)</t>
  </si>
  <si>
    <t>T114-LI Fosfato de Manganeso (7.1)</t>
  </si>
  <si>
    <t>T115-LI Cromo Decorativo (23.0)</t>
  </si>
  <si>
    <t>T116-LI Fosfato de Zinc y Pavón (7.2)</t>
  </si>
  <si>
    <t>T117-LI Zinc Níquel Bonete (28.0)</t>
  </si>
  <si>
    <t>T201-LI Níquel y Estaño Colgado (25.0)</t>
  </si>
  <si>
    <t>T202-LI Plata Selectiva (16.2)</t>
  </si>
  <si>
    <t>T203-LI Plata Barril (16.0)</t>
  </si>
  <si>
    <t>T204-LI Plata y Estaño s/Cobre Colgado (16.1)</t>
  </si>
  <si>
    <t>T205-LI Plata y Estaño (16.3)</t>
  </si>
  <si>
    <t>T206-LI Estaño y Lavado Barril (18.0)</t>
  </si>
  <si>
    <t>T207-LI Anodizado y Electropulido (16.4)</t>
  </si>
  <si>
    <t>T301-LI Estaño s/Cobre Barril (24.0)</t>
  </si>
  <si>
    <t>T401-LI Epóxico BT y MT (30.0)</t>
  </si>
  <si>
    <t>Ingeniería de Producto</t>
  </si>
  <si>
    <t>Planificación</t>
  </si>
  <si>
    <t>Seguridad Industrial y Patrimonial</t>
  </si>
  <si>
    <t>Servicio al Cliente</t>
  </si>
  <si>
    <t>Servicios Generales</t>
  </si>
  <si>
    <t>39121400 - Lengüetas de conexión, conectadores y terminales</t>
  </si>
  <si>
    <t>Acero al Carbón</t>
  </si>
  <si>
    <t>Zamak</t>
  </si>
  <si>
    <t>Peso (kg)</t>
  </si>
  <si>
    <t>-</t>
  </si>
  <si>
    <t>FFS-3A9 (Iridizado)</t>
  </si>
  <si>
    <t>GDE1214700 (Antitarnish)</t>
  </si>
  <si>
    <t>Vacío ó (seleccione) = no tocar.  Guión (-) = borrar dato. Filas sin número de parte no se tocan ni validan. Espesor: se calcula auto del punto medio del rango de la Especificación</t>
  </si>
  <si>
    <t xml:space="preserve">ABB — </t>
  </si>
  <si>
    <t xml:space="preserve">AMFT — </t>
  </si>
  <si>
    <t xml:space="preserve">NEW CONCEPT TECHNOLOGY — </t>
  </si>
  <si>
    <t xml:space="preserve">NORCAST — </t>
  </si>
  <si>
    <t>RT01 Pre-Limpieza s/LA</t>
  </si>
  <si>
    <t>RT02 Decapado Pre-Limpieza s/FE</t>
  </si>
  <si>
    <t>RT03 Desniquelado s/FE</t>
  </si>
  <si>
    <t>RT04 Decapado Desniquelado s/CU/LA</t>
  </si>
  <si>
    <t>RT05 Desniquelado Bujía s/FE</t>
  </si>
  <si>
    <t>RT06 Decapado Pre-Limpieza s/CU</t>
  </si>
  <si>
    <t>RT07 Decapado Plata s/CU</t>
  </si>
  <si>
    <t>RT08 Decapado Estaño s/AL</t>
  </si>
  <si>
    <t>RT09 Decapado Estaño s/CU</t>
  </si>
  <si>
    <t>RT10 Decapado Cromo s/FE</t>
  </si>
  <si>
    <t>RT11 Decapado Zinc s/FE (T109)</t>
  </si>
  <si>
    <t>SP T500 (RCC)-FE/AC/CU-Recibo de Componentes (80.0)</t>
  </si>
  <si>
    <t>T100 (LMC)-CU/BR-VARIOS (4.0)</t>
  </si>
  <si>
    <t>T100 (LMC)-T101 (DEC)-T104 (EST)-CU/BR-HUBBELL (6.0)</t>
  </si>
  <si>
    <t>T100 (LMC)-T102 (EST)-CU/BR-HUBBELL (12.0)</t>
  </si>
  <si>
    <t>T100 (LMC)-T104 (EST)-CU/BR-HUBBELL (6.0)</t>
  </si>
  <si>
    <t>T100 (LMC)-T301 (EST)-CU/BR-VARIOS (24.0)</t>
  </si>
  <si>
    <t>T100 (PUL)-T103 (CRD)-FE/AC/INOX-FISHER (11.0)</t>
  </si>
  <si>
    <t>T100 (PUL)-T103 (CRD)-T103 (ACE)-T100 (ABR)-FE/AC/INOX-FISHER (11.0)</t>
  </si>
  <si>
    <t>T100 (REB)-FE/AC/CU/INOX-VARIOS (4.0)</t>
  </si>
  <si>
    <t>T100 (REB)-T104 (ZIN)-T104 (CAZ)-FE/AC-VARIOS (6.0)</t>
  </si>
  <si>
    <t>T100 (REB)-T104 (ZIN)-T104 (CTR)-FE/AC-VARIOS (6.0)</t>
  </si>
  <si>
    <t>T100 (REB)-T104 (ZIN)-T104 (CVO)-FE/AC-VARIOS (6.0)</t>
  </si>
  <si>
    <t>T100 (REB)-T106 (ZIN)-T106 (CAM)-FE/AC-VARIOS (10.0)</t>
  </si>
  <si>
    <t>T100 (REB)-T108 (NWO)-T108 (NEL)-T109 (PAS)-T100 (HOR)-FE/AC-VARIOS (13.0)</t>
  </si>
  <si>
    <t>T100 (REB)-T112 (NEL)-T109 (PAS)-T100 (HOR)-FE/AC-VARIOS (13.2)</t>
  </si>
  <si>
    <t>T100 (REB)-T116 (FZI)-FE/AC-VARIOS (7.2)</t>
  </si>
  <si>
    <t>T101 (BDP)-AC-VARIOS (4.0)</t>
  </si>
  <si>
    <t>T101 (BDP)-LA-VARIOS (4.0)</t>
  </si>
  <si>
    <t>T101 (DEC)-AC-VARIOS (4.0)</t>
  </si>
  <si>
    <t>T101 (DEC)-CU-BARE (4.0)</t>
  </si>
  <si>
    <t>T101 (DEC)-T100 (HOR)-FE-VARIOS (4.0)</t>
  </si>
  <si>
    <t>T101 (DEC)-T101 (IRI)-AL-VARIOS (4.0)</t>
  </si>
  <si>
    <t>T101 (DEC)-T101 (PAS)-AC-VARIOS (4.0)</t>
  </si>
  <si>
    <t>T101 (DEC)-T101 (PAS)-AL-VARIOS (4.0)</t>
  </si>
  <si>
    <t>T101 (DEC)-T101 (PAS)-CU-VARIOS (4.0)</t>
  </si>
  <si>
    <t>T101 (DEC)-T101 (PAS)-FE-VARIOS (4.0)</t>
  </si>
  <si>
    <t>T101 (DEC)-T101 (PAS)-INOX-VARIOS (4.0)</t>
  </si>
  <si>
    <t>T101 (DEC)-T101 (PAS)-LA-VARIOS (4.0)</t>
  </si>
  <si>
    <t>T101 (DEC)-T104 (EST)-CU/BR-VARIOS (6.0)</t>
  </si>
  <si>
    <t>T101 (DEC)-T109 (NBR)-T100 (HOR)-FE/AC-GRANEL (15.0)</t>
  </si>
  <si>
    <t>T101 (DEC)-T112 (NWO)-T301 (EST)-CU/FE/LA-VARIOS (24.0)</t>
  </si>
  <si>
    <t>T101 (DES)-AC-VARIOS (4.0)</t>
  </si>
  <si>
    <t>T101 (DES)-GA-VARIOS (4.0)</t>
  </si>
  <si>
    <t>T101 (LAV)-AC-VARIOS (4.0)</t>
  </si>
  <si>
    <t>T101 (LAV)-BI-VARIOS (4.0)</t>
  </si>
  <si>
    <t>T101 (LAV)-GA-VARIOS (4.0)</t>
  </si>
  <si>
    <t>T101 (LAV)-T100 (HOR)-AC-VARIOS (4.0)</t>
  </si>
  <si>
    <t>T101 (LAV)-T100 (LMC)-AC-VARIOS (4.0)</t>
  </si>
  <si>
    <t>T101 (LAV)-T100 (LMC)-BR-VARIOS (4.0)</t>
  </si>
  <si>
    <t>T101 (LAV)-T100 (LMC)-CU-VARIOS (4.0)</t>
  </si>
  <si>
    <t>T101 (LAV)-T100 (REB)-INOX-VARIOS (4.0)</t>
  </si>
  <si>
    <t>T101 (LAV)-T101 (ABR)-AC-VARIOS (4.0)</t>
  </si>
  <si>
    <t>T101 (LAV)-T101 (ABR)-INOX-VARIOS (4.0)</t>
  </si>
  <si>
    <t>T101 (LAV)-T101 (DEC)-AC-VARIOS (4.0)</t>
  </si>
  <si>
    <t>T101 (LAV)-T101 (DEC)-CU/BR-VARIOS (4.0)</t>
  </si>
  <si>
    <t>T101 (LAV)-T101 (DEC)-T100 (LMC)-AC-VARIOS (4.0)</t>
  </si>
  <si>
    <t>T101 (LAV)-T101 (DEC)-T100 (LMC)-CU/BR-VARIOS (4.0)</t>
  </si>
  <si>
    <t>T101 (LAV)-T101 (DEC)-T203 (ANT)-CU-VARIOS (4.0)</t>
  </si>
  <si>
    <t>T101 (LAV)-T101 (PAS)-AC-VARIOS (4.0)</t>
  </si>
  <si>
    <t>T101 (LAV)-T101 (PAS)-AL-VARIOS (4.0)</t>
  </si>
  <si>
    <t>T101 (LAV)-T101 (PAS)-CU-VARIOS (4.0)</t>
  </si>
  <si>
    <t>T101 (LAV)-T101 (PAS)-FE-VARIOS (4.0)</t>
  </si>
  <si>
    <t>T101 (LAV)-T101 (PAS)-INOX-VARIOS (4.0)</t>
  </si>
  <si>
    <t>T101 (LAV)-T101 (PAS)-LA-VARIOS (4.0)</t>
  </si>
  <si>
    <t>T101 (LAV)-T300 (ANT)-AL-VARIOS (20.0)</t>
  </si>
  <si>
    <t>T101 (LAV)-T300 (ANT)-AL-VARIOS (4.0)</t>
  </si>
  <si>
    <t>T101 (LAV)-T300 (ANT)-CU-VARIOS (20.0)</t>
  </si>
  <si>
    <t>T101 (LAV)-T300 (ANT)-CU-VARIOS (4.0)</t>
  </si>
  <si>
    <t>T101 (LAV)-T400 (ANT)-AL-VARIOS (20.0)</t>
  </si>
  <si>
    <t>T101 (LAV)-T400 (ANT)-AL-VARIOS (4.0)</t>
  </si>
  <si>
    <t>T101 (LAV)-T400 (ANT)-CU-VARIOS (20.0)</t>
  </si>
  <si>
    <t>T101 (LAV)-T400 (ANT)-CU-VARIOS (4.0)</t>
  </si>
  <si>
    <t>T101 (LVE)-GA-NO RETIRAR EL ZINC (4.0)</t>
  </si>
  <si>
    <t>T101 (PAS)-AC-VARIOS (4.0)</t>
  </si>
  <si>
    <t>T101 (PRE)-T204 (NWO)-T204 (PLA)-LA-VARIOS (16.1)</t>
  </si>
  <si>
    <t>T101 (ROD)-T108 (NEL)-T109 (PAS)-CU-VARIOS (13.0)</t>
  </si>
  <si>
    <t>T101 (ROD)-T108 (NWO)-T108 (NEL)-T109 (PAS)-T100 (HOR)-FE-VARIOS (13.0)</t>
  </si>
  <si>
    <t>T101 (ROD)-T112 (NEL)-T109 (PAS)-CU-VARIOS (13.2)</t>
  </si>
  <si>
    <t>T101 (ROD)-T112 (NEL)-T109 (PAS)-FE/AC-VARIOS (13.2)</t>
  </si>
  <si>
    <t>T101 (ROD)-T112 (NEL)-T109 (PAS)-T100 (HOR)-FE/AC-VARIOS (13.2)</t>
  </si>
  <si>
    <t>T102 (COB)-FE-VARIOS (12.0)</t>
  </si>
  <si>
    <t>T102 (COB)-T102 (EST)-FE/AC-VARIOS (12.0)</t>
  </si>
  <si>
    <t>T102 (COB)-T109 (NSU)-FE/AC-GRANEL (15.0)</t>
  </si>
  <si>
    <t>T102 (COB)-T301 (EST)-FE/AC-VARIOS (24.0)</t>
  </si>
  <si>
    <t>T102 (DEC)-T102 (EST)-AL-VARIOS (12.0)</t>
  </si>
  <si>
    <t>T102 (DEC)-T102 (EST)-CU/BR-VARIOS (12.0)</t>
  </si>
  <si>
    <t>T102 (DEC)-T102 (IRI)-AL-FISHER (12.0)</t>
  </si>
  <si>
    <t>T102 (EST)-CU/BR-VARIOS (12.0)</t>
  </si>
  <si>
    <t>T102 (EST)-FE/AC/LA-VARIOS (12.0)</t>
  </si>
  <si>
    <t>T103 (CRD)-AC-VEEBALL (11.0)</t>
  </si>
  <si>
    <t>T103 (CRD)-FE/AC/INOX-VARIOS (11.0)</t>
  </si>
  <si>
    <t>T103 (CRD)-T103 (ACE)-T100 (ABR)-FE/AC/INOX-FISHER (11.0)</t>
  </si>
  <si>
    <t>T103 (DEC)-FE/AC/INOX-VARIOS (11.0)</t>
  </si>
  <si>
    <t>T103 (DEC)-T103 (CRD)-FE/AC/INOX-VARIOS (11.0)</t>
  </si>
  <si>
    <t>T103 (LAV)-T401 (ENM)-T103 (CRD)-T100 (HOR)-T401 (DNM)-T100 (FIB)-AC/INOX-VARIOS (11.0)</t>
  </si>
  <si>
    <t>T103 (LAV)-T401 (ENM)-T103 (CRD)-T401 (DNM)-T100 (FIB)-AC/INOX-VARIOS (11.0)</t>
  </si>
  <si>
    <t>T104 (DEC)-T104 (ZIN)-T100 (HOR)-T104 (CAZ)-FE/AC-VARIOS (6.0)</t>
  </si>
  <si>
    <t>T104 (DEC)-T104 (ZIN)-T104 (CAZ)-FE/AC-VARIOS (6.0)</t>
  </si>
  <si>
    <t>T104 (DEC)-T104 (ZIN)-T104 (CTR)-FE/AC-VARIOS (6.0)</t>
  </si>
  <si>
    <t>T104 (DEC)-T104 (ZIN)-T104 (CVO)-FE/AC-VARIOS (6.0)</t>
  </si>
  <si>
    <t>T104 (EST)-CU/BR-VARIOS (6.0)</t>
  </si>
  <si>
    <t>T104 (ZIN)-T100 (HOR)-T104 (CAZ)-FE/AC-VARIOS (6.0)</t>
  </si>
  <si>
    <t>T104 (ZIN)-T100 (HOR)-T104 (CTR)-FE/AC-VARIOS (6.0)</t>
  </si>
  <si>
    <t>T104 (ZIN)-T100 (HOR)-T104 (CVO)-FE/AC-VARIOS (6.0)</t>
  </si>
  <si>
    <t>T104 (ZIN)-T104 (CAZ)-FE/AC-VARIOS (6.0)</t>
  </si>
  <si>
    <t>T104 (ZIN)-T104 (CAZ)-T104 (TOP)-FE/AC-VAROS (6.0)</t>
  </si>
  <si>
    <t>T104 (ZIN)-T104 (CNE)-T104 (TOP)-FE/AC-VAROS (6.0)</t>
  </si>
  <si>
    <t>T104 (ZIN)-T104 (CTR)-FE/AC-VARIOS (6.0)</t>
  </si>
  <si>
    <t>T104 (ZIN)-T104 (CVO)-FE/AC-VARIOS (6.0)</t>
  </si>
  <si>
    <t>T105 (DEC)-T105 (ZIN)-T105 (CAZ)-FE/AC-VARIOS (7.0)</t>
  </si>
  <si>
    <t>T105 (DEC)-T105 (ZIN)-T105 (CTR)-FE/AC-VARIOS (7.0)</t>
  </si>
  <si>
    <t>T105 (DEC)-T105 (ZIN)-T105 (CVO)-FE/AC-VARIOS (7.0)</t>
  </si>
  <si>
    <t>T105 (ZIN)-T100 (HOR)-T105 (CAZ)-FE/AC/LA-VARIOS (7.0)</t>
  </si>
  <si>
    <t>T105 (ZIN)-T105 (CAZ)-FE/AC/LA-VARIOS (7.0)</t>
  </si>
  <si>
    <t>T105 (ZIN)-T105 (CTR)-FE/AC/LA-VARIOS (7.0)</t>
  </si>
  <si>
    <t>T105 (ZIN)-T105 (CVO)-FE/AC/LA-VARIOS (7.0)</t>
  </si>
  <si>
    <t>T106 (DEC)-T106 (ZIN)-T100 (HOR)-T106 (CAM)-FE/AC-VARIOS (10.0)</t>
  </si>
  <si>
    <t>T106 (DEC)-T106 (ZIN)-T101 (HOR)-T106 (CAZ)-FE/AC-VARIOS (10.0)</t>
  </si>
  <si>
    <t>T106 (DEC)-T106 (ZIN)-T106 (CAM)-FE/AC-VARIOS (10.0)</t>
  </si>
  <si>
    <t>T106 (DEC)-T106 (ZIN)-T106 (CAT)-FE/AC-VARIOS (10.0)</t>
  </si>
  <si>
    <t>T106 (DEC)-T106 (ZIN)-T106 (CAZ)-FE/AC-VARIOS (10.0)</t>
  </si>
  <si>
    <t>T106 (DEC)-T106 (ZIN)-T106 (CTR)-FE/AC-VARIOS (10.0)</t>
  </si>
  <si>
    <t>T106 (DEC)-T106 (ZIN)-T106 (CTV)-FE/AC-VARIOS (10.0)</t>
  </si>
  <si>
    <t>T106 (DEC)-T106 (ZIN)-T106 (CVO)-FE/AC-VARIOS (10.0)</t>
  </si>
  <si>
    <t>T106 (ZIN)-T100 (HOR)-T106 (CAM)-FE/AC-VARIOS (10.0)</t>
  </si>
  <si>
    <t>T106 (ZIN)-T100 (HOR)-T106 (CAM)-T106 (TOP)-FE/AC-VARIOS (10.0)</t>
  </si>
  <si>
    <t>T106 (ZIN)-T100 (HOR)-T106 (CAT)-FE/AC-VARIOS (10.0)</t>
  </si>
  <si>
    <t>T106 (ZIN)-T100 (HOR)-T106 (CAZ)-FE/AC-VARIOS (10.0)</t>
  </si>
  <si>
    <t>T106 (ZIN)-T100 (HOR)-T106 (CNE)-FE/AC-VARIOS (10.0)</t>
  </si>
  <si>
    <t>T106 (ZIN)-T100 (HOR)-T106 (CTR)-FE/AC-VARIOS (10.0)</t>
  </si>
  <si>
    <t>T106 (ZIN)-T106 (CAM)-FE/AC-VARIOS (10.0)</t>
  </si>
  <si>
    <t>T106 (ZIN)-T106 (CAT)-FE/AC-VARIOS (10.0)</t>
  </si>
  <si>
    <t>T106 (ZIN)-T106 (CAT)-LA-VARIOS (10.0)</t>
  </si>
  <si>
    <t>T106 (ZIN)-T106 (CAZ)-FE/AC-VARIOS (10.0)</t>
  </si>
  <si>
    <t>T106 (ZIN)-T106 (CAZ)-T106 (TOP)-FE/AC-VARIOS (10.0)</t>
  </si>
  <si>
    <t>T106 (ZIN)-T106 (CNE)-FE/AC-VARIOS (10.0)</t>
  </si>
  <si>
    <t>T106 (ZIN)-T106 (CNE)-T106 (TOP)-FE/AC-VARIOS (10.0)</t>
  </si>
  <si>
    <t>T106 (ZIN)-T106 (CNT)-FE/AC-VARIOS (10.0)</t>
  </si>
  <si>
    <t>T106 (ZIN)-T106 (CRJ)-FE/AC-VARIOS (10.0)</t>
  </si>
  <si>
    <t>T106 (ZIN)-T106 (CTR)-FE/AC-VARIOS (10.0)</t>
  </si>
  <si>
    <t>T106 (ZIN)-T106 (CTV)-FE/AC-VARIOS (10.0)</t>
  </si>
  <si>
    <t>T106 (ZIN)-T106 (CVO)-FE/AC-VARIOS (10.0)</t>
  </si>
  <si>
    <t>T108 (COB)-T108 (NWO)-T108 (NEL)-T108 (NCV)-T109 (PAS)-ZA/FE-CROMVET (13.0)</t>
  </si>
  <si>
    <t>T108 (DEC)-CU/BR-VARIOS (13.0)</t>
  </si>
  <si>
    <t>T108 (DEC)-FE/AC-VARIOS (13.0)</t>
  </si>
  <si>
    <t>T108 (DEC)-INOX-VARIOS (13.0)</t>
  </si>
  <si>
    <t>T108 (ENM)-T108 (NEL)-T401 (EBT)-CU-VARIOS (13.0)</t>
  </si>
  <si>
    <t>T108 (ENM)-T108 (NEL)-T401 (EMT)-CU-VARIOS (13.0)</t>
  </si>
  <si>
    <t>T108 (NEL)-T100 (HOR)-T108 (DEC)-T100 (FIB)-FE/AC-CAGES FISHER (13.0)</t>
  </si>
  <si>
    <t>T108 (NWO)-T108 (COB)-T108 (NWO)-T108 (NEL)-T109 (PAS)-FE/ZA/AC-VARIOS (13.0)</t>
  </si>
  <si>
    <t>T108 (NWO)-T108 (NEL)-T100 (HOR)-T108 (DEC)-T100 (FIB)-FE/AC-CAGES FISHER (13.0)</t>
  </si>
  <si>
    <t>T109 (NSU)-CU/BR-GRANEL (15.0)</t>
  </si>
  <si>
    <t>T109 (NSU)-LA-GRANEL (15.0)</t>
  </si>
  <si>
    <t>T110 (PLA)-CU-VARIOS (26.0)</t>
  </si>
  <si>
    <t>T110 (PLA)-T300 (ANT)-CU-VARIOS (26.0)</t>
  </si>
  <si>
    <t>T110 (PLF)-CU-VARIOS (26.0)</t>
  </si>
  <si>
    <t>T110 (PLF)-T300 (ANT)-CU-VARIOS (26.0)</t>
  </si>
  <si>
    <t>T111 (DEC)-T111 (ESM)-AL-VARIOS (14.0)</t>
  </si>
  <si>
    <t>T111 (DEC)-T111 (EST)-AL-VARIOS (14.0)</t>
  </si>
  <si>
    <t>T115 (NCR)-FE/AC-VARIOS (23.0)</t>
  </si>
  <si>
    <t>T116 (FZI)-FE/AC-VARIOS (7.2)</t>
  </si>
  <si>
    <t>T116 (FZI)-T100 (HOR)-FE/AC-VARIOS (7.2)</t>
  </si>
  <si>
    <t>T116 (FZI)-T100 (HOR)-T116 (ACE)-FE/AC-VARIOS (7.2)</t>
  </si>
  <si>
    <t>T116 (FZI)-T116 (ACE)-FE/AC-VARIOS (7.2)</t>
  </si>
  <si>
    <t>T116 (PAV)-FE/AC-VARIOS (7.2)</t>
  </si>
  <si>
    <t>T116 (PAV)-T116 (ACE)-FE/AC-VARIOS (7.2)</t>
  </si>
  <si>
    <t>T117 (ZNQ)-T117 (CNN)-FE/AC-BONETE (28.0)</t>
  </si>
  <si>
    <t>T200 (REB)-T203 (PLF)-CU-VARIOS (16.0)</t>
  </si>
  <si>
    <t>T201 (DEC)-CU-BARE (25.0)</t>
  </si>
  <si>
    <t>T201 (EST)-T401 (EBT)-CU-VARIOS (25.0)</t>
  </si>
  <si>
    <t>T202 (PLA)-CU-VARIOS (16.2)</t>
  </si>
  <si>
    <t>T202 (PLA)-T300 (ANT)-CU-VARIOS (16.2)</t>
  </si>
  <si>
    <t>T202 (PLF)-CU-VARIOS (16.2)</t>
  </si>
  <si>
    <t>T202 (PLF)-T300 (ANT)-CU-VARIOS (16.2)</t>
  </si>
  <si>
    <t>T203 (LES)-T203 (PLA)-AC-VARIOS (16.0)</t>
  </si>
  <si>
    <t>T203 (LES)-T203 (PLA)-CU/BR-VARIOS (16.0)</t>
  </si>
  <si>
    <t>T203 (LES)-T203 (PLA)-T300 (ANT)-CU-VARIOS (16.0)</t>
  </si>
  <si>
    <t>T203 (LES)-T203 (PLF)-CU-VARIOS (16.0)</t>
  </si>
  <si>
    <t>T203 (LES)-T203 (PLF)-T300 (ANT)-CU-VARIOS (16.0)</t>
  </si>
  <si>
    <t>T204 (DEC)-T204 (EST)-CU/BR-VARIOS (16.1)</t>
  </si>
  <si>
    <t>T204 (DEC)-T204 (EST)-LA-VARIOS (16.1)</t>
  </si>
  <si>
    <t>T204 (DEC)-T204 (NWO)-T204 (EST)-CU/BR-VARIOS (16.1)</t>
  </si>
  <si>
    <t>T204 (EST)-CU/BR-VARIOS (16.1)</t>
  </si>
  <si>
    <t>T204 (EST)-T401 (EBT)-CU-VARIOS (16.1)</t>
  </si>
  <si>
    <t>T204 (NWA)-CU-VARIOS (16.1)</t>
  </si>
  <si>
    <t>T204 (NWO)-T204 (EST)-CU/BR-VARIOS (16.1)</t>
  </si>
  <si>
    <t>T204 (NWO)-T204 (EST)-LA-VARIOS (16.1)</t>
  </si>
  <si>
    <t>T204 (NWO)-T204 (PLA)-CU/BR-VARIOS (16.1)</t>
  </si>
  <si>
    <t>T204 (NWO)-T204 (PLA)-FE-VARIOS (16.1)</t>
  </si>
  <si>
    <t>T204 (PLA)-CU/BR-VARIOS (16.1)</t>
  </si>
  <si>
    <t>T204 (PLA)-LA-VARIOS (16.1)</t>
  </si>
  <si>
    <t>T204 (PLA)-T204 (ANT)-FE-VARIOS (16.1)</t>
  </si>
  <si>
    <t>T204 (PLA)-T300 (ANT)-CU-VARIOS (16.1)</t>
  </si>
  <si>
    <t>T204 (PLF)-CU-VARIOS (16.1)</t>
  </si>
  <si>
    <t>T204 (PLF)-T300 (ANT)-CU-VARIOS (16.1)</t>
  </si>
  <si>
    <t>T205 (COB)-T205 (PLA)-AL-VARIOS (16.3)</t>
  </si>
  <si>
    <t>T205 (DEC)-T205 (EST)-AL-VARIOS (16.3)</t>
  </si>
  <si>
    <t>T205 (DEC)-T205 (EST)-CU/BR-VARIOS (16.3)</t>
  </si>
  <si>
    <t>T205 (EST)-CU/BR-VARIOS (16.3)</t>
  </si>
  <si>
    <t>T205 (EST)-T401 (EBT)-CU-VARIOS (16.3)</t>
  </si>
  <si>
    <t>T205 (PLA)-CU-VARIOS (16.3)</t>
  </si>
  <si>
    <t>T205 (PLA)-T300 (ANT)-CU-VARIOS (16.3)</t>
  </si>
  <si>
    <t>T205 (PLF)-CU-VARIOS (16.3)</t>
  </si>
  <si>
    <t>T205 (PLF)-T300 (ANT)-CU-SOLERA RG (16.3)</t>
  </si>
  <si>
    <t>T205 (PLF)-T300 (ANT)-CU-VARIOS (16.3)</t>
  </si>
  <si>
    <t>T207 (DEC)-T207 (AND)-T207 (TIN)-AL-VARIOS (16.4)</t>
  </si>
  <si>
    <t>T207 (ELE)-FE/AC/INOX-FISHER (16.4)</t>
  </si>
  <si>
    <t>T300 (ANT)-CU-VARIOS (20.0)</t>
  </si>
  <si>
    <t>T300 (FIB)-T205 (PLA)-CU-WIELAND (16.3)</t>
  </si>
  <si>
    <t>T300 (FIB)-T205 (PLF)-CU-WIELAND (16.3)</t>
  </si>
  <si>
    <t>T300 (FIB)-T205 (PLF)-CU-ZION (16.3)</t>
  </si>
  <si>
    <t>T300 (FIB)-T205 (PLF)-T300 (ANT)-CU-SOLERA WIELAND (16.3)</t>
  </si>
  <si>
    <t>T300 (LES)-T110 (PLF)-CU-VARIOS (26.0)</t>
  </si>
  <si>
    <t>T300 (LES)-T110 (PLF)-T300 (ANT)-CU-VARIOS (26.0)</t>
  </si>
  <si>
    <t>T300 (LES)-T204 (EST)-CU/BR-VARIOS (16.1)</t>
  </si>
  <si>
    <t>T300 (LES)-T204 (PLA)-CU/BR-VARIOS (16.1)</t>
  </si>
  <si>
    <t>T300 (LES)-T204 (PLF)-CU-VARIOS (16.1)</t>
  </si>
  <si>
    <t>T300 (LES)-T204 (PLF)-T300 (ANT)-CU-VARIOS (16.1)</t>
  </si>
  <si>
    <t>T300 (LES)-T205 (EST)-CU/BR-VARIOS (16.3)</t>
  </si>
  <si>
    <t>T300 (LES)-T205 (PLA)-CU-MAQUILA QRO (16.3)</t>
  </si>
  <si>
    <t>T300 (LES)-T205 (PLA)-T300 (ANT)-CU-MAQUILA RG (16.3)</t>
  </si>
  <si>
    <t>T300 (LES)-T205 (PLF)-CU-MAQUILA QRO (16.3)</t>
  </si>
  <si>
    <t>T300 (LES)-T205 (PLF)-T300 (ANT)-CU-MAQUILA RG (16.3)</t>
  </si>
  <si>
    <t>T300 (LES)-T300 (ANT)-FE-VARIOS (20.0)</t>
  </si>
  <si>
    <t>T300 (LES)-T400 (ANT)-FE-VARIOS (20.0)</t>
  </si>
  <si>
    <t>T301 (DEC)-T301 (EST)-CU/BR/FE-VARIOS (24.0)</t>
  </si>
  <si>
    <t>T301 (DEC)-T301 (EST)-LA/AC-VARIOS (24.0)</t>
  </si>
  <si>
    <t>T301 (EST)-CU/BR/FE-VARIOS (24.0)</t>
  </si>
  <si>
    <t>T301 (EST)-LA/AC-VARIOS (24.0)</t>
  </si>
  <si>
    <t>T400 (ANT)-CU-VARIOS (20.0)</t>
  </si>
  <si>
    <t>T400 (BAR)-CU-VARIOS (40.0)</t>
  </si>
  <si>
    <t>T401 (EBT)-T110 (PLA)-T300 (ANT)-CU-VARIOS (26.0)</t>
  </si>
  <si>
    <t>T401 (EBT)-T110 (PLF)-T300 (ANT)-CU-VARIOS (26.0)</t>
  </si>
  <si>
    <t>T401 (EBT)-T204 (PLA)-T300 (ANT)-CU-VARIOS (16.1)</t>
  </si>
  <si>
    <t>T401 (EBT)-T204 (PLF)-T300 (ANT)-CU-VARIOS (16.1)</t>
  </si>
  <si>
    <t>T401 (EBT)-T205 (PLA)-T300 (ANT)-CU-VARIOS (16.3)</t>
  </si>
  <si>
    <t>T401 (EBT)-T205 (PLF)-T300 (ANT)-CU-VARIOS (16.3)</t>
  </si>
  <si>
    <t>T401 (EMT)-T110 (PLA)-T300 (ANT)-CU-VARIOS (26.0)</t>
  </si>
  <si>
    <t>T401 (EMT)-T110 (PLF)-T300 (ANT)-CU-VARIOS (26.0)</t>
  </si>
  <si>
    <t>T401 (EMT)-T201 (EST)-CU-VARIOS (25.0)</t>
  </si>
  <si>
    <t>T401 (EMT)-T204 (EST)-CU-VARIOS (16.1)</t>
  </si>
  <si>
    <t>T401 (EMT)-T204 (PLA)-T300 (ANT)-CU-VARIOS (16.1)</t>
  </si>
  <si>
    <t>T401 (EMT)-T204 (PLF)-T300 (ANT)-CU-VARIOS (16.1)</t>
  </si>
  <si>
    <t>T401 (EMT)-T205 (EST)-CU-VARIOS (16.3)</t>
  </si>
  <si>
    <t>T401 (EMT)-T205 (PLA)-T300 (ANT)-CU-VARIOS (16.3)</t>
  </si>
  <si>
    <t>T401 (EMT)-T205 (PLF)-T300 (ANT)-CU-VARIOS (16.3)</t>
  </si>
  <si>
    <t>T500 (ENK)-FE/AC/CU-VARIOS (80.0)</t>
  </si>
  <si>
    <t>Anodizado</t>
  </si>
  <si>
    <t>Componente de Kits</t>
  </si>
  <si>
    <t>Cromato Claro Azul (Iridiscente)</t>
  </si>
  <si>
    <t>Epóxico MT Rojo</t>
  </si>
  <si>
    <t>Iridizado (Cromato de Oro)</t>
  </si>
  <si>
    <t>Lavado Especial (Zinc)</t>
  </si>
  <si>
    <t>Lote</t>
  </si>
  <si>
    <t>Níquel Wash</t>
  </si>
  <si>
    <t>Níquel-Cromo</t>
  </si>
  <si>
    <t>SQ2</t>
  </si>
  <si>
    <t>SXC</t>
  </si>
  <si>
    <t>Top Coat (Sellador)</t>
  </si>
  <si>
    <t>1.28.001 (Zinc Negro Azul) | 3.81 - 11.43 µm</t>
  </si>
  <si>
    <t>1.28.031 (Zinc) | 3.81 - 11.43 µm</t>
  </si>
  <si>
    <t>1.28.032 (Níquel) | 2.54 - 7.62 µm</t>
  </si>
  <si>
    <t>1.28.032 (Níquel) | 7.62 - 15.24 µm</t>
  </si>
  <si>
    <t>1.28.041 (Níquel Electroless) | 5 - 10 µm</t>
  </si>
  <si>
    <t>40001-050-01 (Plata Flash) | 0.508 - 0.762 µm</t>
  </si>
  <si>
    <t>40001-053-02 (Estaño) | 5.08 - 10.16 µm</t>
  </si>
  <si>
    <t>40004-017-01 (Zinc) | 5 - 8 µm</t>
  </si>
  <si>
    <t>48053-005-01 (Lavado - Tratamiento Térmico - Bimetales)</t>
  </si>
  <si>
    <t>48057-002-02 (Níquel Bimetales) | 0.5 - 2.0 µm</t>
  </si>
  <si>
    <t>48057-003-01 (Zinc) | 6.0 - 10.0 µm</t>
  </si>
  <si>
    <t>48057-007-01 (Estaño Bimetales) | 1.9 - 5.0 µm</t>
  </si>
  <si>
    <t>ABD01030 (Plata Semibrillante) | 2 - 5 µm</t>
  </si>
  <si>
    <t>ACP5-618 (Plata) | 0.076 - 2.54 µm</t>
  </si>
  <si>
    <t>ACP5-618 (Plata) | 2.54 - 5.08 µm</t>
  </si>
  <si>
    <t>ACP5-618 (Plata) | 5.08 - 12.7 µm</t>
  </si>
  <si>
    <t>ASTM B689 (Níquel) | 200 - 225 µm</t>
  </si>
  <si>
    <t>ASTM B689 (Níquel) | 25 - 30 µm</t>
  </si>
  <si>
    <t>ASTM B689 (Níquel) | 50 - 60 µm</t>
  </si>
  <si>
    <t>ASTM B700 (Plata) | 10 - 20 µm</t>
  </si>
  <si>
    <t>ASTM B700 (Plata) | 2.5 - 5 µm</t>
  </si>
  <si>
    <t>ASTM B700 (Plata) | 20 - 30 µm</t>
  </si>
  <si>
    <t>ASTM B700 (Plata) | 40 - 50 µm</t>
  </si>
  <si>
    <t>ASTM B700 (Plata) | 5 - 10 µm</t>
  </si>
  <si>
    <t>E27780 (Epóxico MT) | 50 - 100 mils</t>
  </si>
  <si>
    <t>ES-000101 (Epóxico MT Rojo) | 20 - 60 mils</t>
  </si>
  <si>
    <t>ES-000101 (Epóxico MT Rojo) | 30 - 40 mils</t>
  </si>
  <si>
    <t>F4383 (Estaño) | 7.62 - 25.4 µm</t>
  </si>
  <si>
    <t>F70H2 (Plata Mate) | 0.508 - 1.016 µm</t>
  </si>
  <si>
    <t>F70H2 (Plata Mate) | 25.4 - 38.1 µm</t>
  </si>
  <si>
    <t>FFS-1A1 (Fosfato de Zinc) | 10 - 35 µm</t>
  </si>
  <si>
    <t>FFS-1C1 (Fosfato de Zinc c/Aceite) | 15 - 45 µm</t>
  </si>
  <si>
    <t>FFS-2E3 (Cromo Duro) | 12.7 - 17.78 µm</t>
  </si>
  <si>
    <t>FFS-2E3 (Cromo Duro) | 19.05 - 31.75 µm</t>
  </si>
  <si>
    <t>FFS-2E3 (Cromo Duro) | 25 - 38 µm</t>
  </si>
  <si>
    <t>FFS-2E3 (Cromo Duro) | 38.5 - 63.5 µm</t>
  </si>
  <si>
    <t>FFS-2E3 (Cromo Duro) | 63.5 - 88.9 µm</t>
  </si>
  <si>
    <t>FFS-2E3 (Cromo Duro) | 7.62 - 12.7 µm</t>
  </si>
  <si>
    <t>FGS-8B7 (Níquel Electroless) | 50.8 - 63.5 µm</t>
  </si>
  <si>
    <t>FTR00047 (Plata) | 5 - 8 µm</t>
  </si>
  <si>
    <t>GG QTLV 5115 (Níquel Sulfamato) | 5 - 15 µm</t>
  </si>
  <si>
    <t>MS-S1053 (Fosfato de Manganeso - Medición de Grano) | 5 - 11 µm</t>
  </si>
  <si>
    <t>P 1029 P003 E 131 (Níquel Electroless) (Moneda) | 45 - 70 µm</t>
  </si>
  <si>
    <t>PL 112-16-2 (Estaño) | 3.8 - 12.7 µm</t>
  </si>
  <si>
    <t>RC Ag (Plata) | 3.8 - 5.5 µm</t>
  </si>
  <si>
    <t>RC Anodizado Natural | 12 - 18 µm</t>
  </si>
  <si>
    <t>RC Anodizado Natural | 8 - 13 µm</t>
  </si>
  <si>
    <t>RC Anodizado Negro | 12 - 18 µm</t>
  </si>
  <si>
    <t>RC Anodizado Negro | 8 - 13 µm</t>
  </si>
  <si>
    <t>RC Brill 61</t>
  </si>
  <si>
    <t>RC Cu (Cobre) | 0.25 - 1 µm</t>
  </si>
  <si>
    <t>RC Cu (Cobre) | 10 - 12 µm</t>
  </si>
  <si>
    <t>RC Cu (Cobre) | 3 - 5 µm</t>
  </si>
  <si>
    <t>RC Decapado</t>
  </si>
  <si>
    <t>RC Electropulido</t>
  </si>
  <si>
    <t>RC Empaque</t>
  </si>
  <si>
    <t>RC EpBT (Epóxico BT) | 10 - 15 mils</t>
  </si>
  <si>
    <t>RC EpBT (Epóxico BT) | 4 - 11 mils</t>
  </si>
  <si>
    <t>RC EpMT (Epóxico MT) | 94 - 140 mils</t>
  </si>
  <si>
    <t>RC Lavado</t>
  </si>
  <si>
    <t>RC Limpieza Mecánica</t>
  </si>
  <si>
    <t>RC Ni (Níquel) | 10 - 13 µm</t>
  </si>
  <si>
    <t>RC NiCrv (Níquel Cromvet) | 0.5 - 1 µm</t>
  </si>
  <si>
    <t>RC NiEl (Níquel Electroless) | 12.7 - 17.78 µm</t>
  </si>
  <si>
    <t>RC NiEl (Níquel Electroless) | 25 - 38 µm</t>
  </si>
  <si>
    <t>RC NiEl (Níquel Electroless) | 6 - 10 µm</t>
  </si>
  <si>
    <t>RC No Oxide</t>
  </si>
  <si>
    <t>RC Pasivado</t>
  </si>
  <si>
    <t>RC Rebabeo</t>
  </si>
  <si>
    <t>RC Zn (Zinc) | 12 - 16 µm</t>
  </si>
  <si>
    <t>RC Zn (Zinc) | 15 - 18 µm</t>
  </si>
  <si>
    <t>RC Zn (Zinc) | 20 - 24 µm</t>
  </si>
  <si>
    <t>RC Zn (Zinc) | 5 - 10 µm</t>
  </si>
  <si>
    <t>RC Zn-Ni (Zinc Níquel - Bonete) | 8 - 25 µm</t>
  </si>
  <si>
    <t>S30793-507 (Estaño) | 2.5 - 5 µm</t>
  </si>
  <si>
    <t>TS1E-010-103 (Fosfato de Manganeso - Medición de Grano - GM) | 5 - 11 µm</t>
  </si>
  <si>
    <t>T101-BA01</t>
  </si>
  <si>
    <t>T102-FL01</t>
  </si>
  <si>
    <t>Galvanil</t>
  </si>
  <si>
    <t>T300-CE03 Célula de Antitarnish (20.0)</t>
  </si>
  <si>
    <t>T300-CE05 Célula de Barnizado (40.0)</t>
  </si>
  <si>
    <t>T500-CE04 Célula de Ensamble de Kits (80.0)</t>
  </si>
  <si>
    <t>BRAYAN AGUILAR SALAZAR</t>
  </si>
  <si>
    <t>DANIEL PAREDES PRIMERO</t>
  </si>
  <si>
    <t>EDUARDO MUÑOZ</t>
  </si>
  <si>
    <t>EMMANUEL GUTIERREZ MORA</t>
  </si>
  <si>
    <t>ENRIQUE GUTIERREZ VARELA</t>
  </si>
  <si>
    <t>GUADALUPE TORRES TEJOCOTE</t>
  </si>
  <si>
    <t>IGNACIA OLIVARES GONZALEZ</t>
  </si>
  <si>
    <t>JUAN CARLOS ESQUIVEL LOPEZ</t>
  </si>
  <si>
    <t>LUIS ANGEL CELAYA CASTILLO</t>
  </si>
  <si>
    <t>MARIA ANTONIA MARTINEZ DE JESUS</t>
  </si>
  <si>
    <t>MARIEL BEATRIZ SORIA GONZALEZ</t>
  </si>
  <si>
    <t>ROBERTO PERALTA SANCHEZ</t>
  </si>
  <si>
    <t>SAUL YAEL MARTINEZ CARMONA</t>
  </si>
  <si>
    <t>YURITZI FLORES SANCHEZ</t>
  </si>
  <si>
    <t>Aleta de Tiburón</t>
  </si>
  <si>
    <t>Ensambles</t>
  </si>
  <si>
    <t>Sólo Puntas</t>
  </si>
  <si>
    <t>Toda la Pieza</t>
  </si>
  <si>
    <t>Id SH</t>
  </si>
  <si>
    <t>Genérica</t>
  </si>
  <si>
    <t>Cilindro</t>
  </si>
  <si>
    <t>Placa con Aletas</t>
  </si>
  <si>
    <t>Ganso</t>
  </si>
  <si>
    <t>Gusano</t>
  </si>
  <si>
    <t>Plana</t>
  </si>
  <si>
    <t>Bastón</t>
  </si>
  <si>
    <t>U</t>
  </si>
  <si>
    <t>L</t>
  </si>
  <si>
    <t>Z</t>
  </si>
  <si>
    <t>Componente</t>
  </si>
  <si>
    <t>Barra</t>
  </si>
  <si>
    <t>Cabecera</t>
  </si>
  <si>
    <t>Cuadrado</t>
  </si>
  <si>
    <t>Tipos de Geometría</t>
  </si>
  <si>
    <t>Tipo de Geometría</t>
  </si>
  <si>
    <t>DATOS DE REFERENCIA</t>
  </si>
  <si>
    <t>Línea2</t>
  </si>
  <si>
    <t>Característica Especial</t>
  </si>
  <si>
    <t>Metal Base</t>
  </si>
  <si>
    <t>Fila Activa Upload</t>
  </si>
  <si>
    <t>Procesos posibles (fila activa)</t>
  </si>
  <si>
    <t>Bright Dip + Empaque</t>
  </si>
  <si>
    <t>Decapado + Bright Dip</t>
  </si>
  <si>
    <t>Decapado + Pasivado</t>
  </si>
  <si>
    <t>Decapado + Horneado</t>
  </si>
  <si>
    <t>Decapado + Deshidrogenado</t>
  </si>
  <si>
    <t>Lavado + Empaque</t>
  </si>
  <si>
    <t>Lavado Especial (Zinc) + Empaque</t>
  </si>
  <si>
    <t>Lavado + Antitarnish</t>
  </si>
  <si>
    <t>Lavado + Abrillantado</t>
  </si>
  <si>
    <t>Lavado + Decapado</t>
  </si>
  <si>
    <t>Lavado + Decapado + Antitarnish</t>
  </si>
  <si>
    <t>Lavado + Limpieza Mecánica + Decapado</t>
  </si>
  <si>
    <t>Lavado + Decapado + Limpieza Mecánica</t>
  </si>
  <si>
    <t>Lavado + Limpieza Mecánica</t>
  </si>
  <si>
    <t>Lavado + Horneado</t>
  </si>
  <si>
    <t>Lavado + Deshidrogenado</t>
  </si>
  <si>
    <t>Lavado + Pasivado</t>
  </si>
  <si>
    <t>Lavado + Rebabeo</t>
  </si>
  <si>
    <t>Decapado + Iridizado</t>
  </si>
  <si>
    <t>Zinc + Cromato Verde Olivo</t>
  </si>
  <si>
    <t>Zinc + Cromato Claro Azul (Iridiscente)</t>
  </si>
  <si>
    <t>Lavado + Zinc + Cromato Claro Azul (Iridiscente)</t>
  </si>
  <si>
    <t>Zinc + Cromato Claro Azul (Iridiscente) + Pasivado</t>
  </si>
  <si>
    <t>Zinc + Cromato Tropicalizado (Amarillo)</t>
  </si>
  <si>
    <t>Zinc + Cromato Claro Azul (Iridiscente) + Top Coat</t>
  </si>
  <si>
    <t>Zinc + Cromato Claro Azul (Iridiscente) + Top Coat (Sellador)</t>
  </si>
  <si>
    <t>Zinc + Cromato Claro Azul (Iridiscente) + Pasivado + Top Coat</t>
  </si>
  <si>
    <t>Zinc + Cromato Claro Azul (Iridiscente) + Pasivado + Top Coat (Sellador)</t>
  </si>
  <si>
    <t>Zinc + Cromato Negro + Top Coat</t>
  </si>
  <si>
    <t>Zinc + Cromato Negro + Top Coat (Sellador)</t>
  </si>
  <si>
    <t>Zinc + Cromato Claro Azul (Iridiscente) + Horneado</t>
  </si>
  <si>
    <t>Zinc + Cromato Claro Azul (Iridiscente) + Horneado + Pasivado</t>
  </si>
  <si>
    <t>Zinc + Cromato Claro Azul (Iridiscente) + Deshidrogenado</t>
  </si>
  <si>
    <t>Lavado + Zinc + Cromato Claro Azul (Iridiscente) + Deshidrogenado</t>
  </si>
  <si>
    <t>Zinc + Cromato Claro Azul (Iridiscente) + Deshidrogenado + Pasivado</t>
  </si>
  <si>
    <t>Zinc + Cromato Tropicalizado (Amarillo) + Horneado</t>
  </si>
  <si>
    <t>Zinc + Cromato Tropicalizado (Amarillo) + Deshidrogenado</t>
  </si>
  <si>
    <t>Zinc + Cromato Verde Olivo + Horneado</t>
  </si>
  <si>
    <t>Zinc + Cromato Verde Olivo + Deshidrogenado</t>
  </si>
  <si>
    <t>Rebabeo + Zinc + Cromato Tropicalizado (Amarillo)</t>
  </si>
  <si>
    <t>Rebabeo + Zinc + Cromato Verde Olivo</t>
  </si>
  <si>
    <t>Rebabeo + Zinc + Cromato Claro Azul (Iridiscente)</t>
  </si>
  <si>
    <t>Decapado + Zinc + Cromato Tropicalizado (Amarillo)</t>
  </si>
  <si>
    <t>Decapado + Zinc + Cromato Verde Olivo</t>
  </si>
  <si>
    <t>Decapado + Zinc + Cromato Claro Azul (Iridiscente)</t>
  </si>
  <si>
    <t>Decapado + Zinc + Cromato Claro Azul (Iridiscente) + Horneado</t>
  </si>
  <si>
    <t>Decapado + Zinc + Cromato Claro Azul (Iridiscente) + Deshidrogenado</t>
  </si>
  <si>
    <t>Fosfato de Manganeso + Aceitado</t>
  </si>
  <si>
    <t>Fosfato de Zinc + Aceitado</t>
  </si>
  <si>
    <t>Fosfato de Zinc + Horneado + Aceitado</t>
  </si>
  <si>
    <t>Fosfato de Zinc + Deshidrogenado + Aceitado</t>
  </si>
  <si>
    <t>Fosfato de Zinc + Aceitado + Deshidrogenado</t>
  </si>
  <si>
    <t>Fosfato de Zinc + Horneado</t>
  </si>
  <si>
    <t>Fosfato de Zinc + Deshidrogenado</t>
  </si>
  <si>
    <t>Rebabeo + Fosfato de Zinc</t>
  </si>
  <si>
    <t>Pavonado + Aceitado</t>
  </si>
  <si>
    <t>Zinc + Cromato Amarillo Especial</t>
  </si>
  <si>
    <t>Zinc + Tinta Azul</t>
  </si>
  <si>
    <t>Zinc + Cromato Claro Azul (Iridiscente) + Empaque</t>
  </si>
  <si>
    <t>Zinc + Tinta Negra</t>
  </si>
  <si>
    <t>Zinc + Cromato Negro</t>
  </si>
  <si>
    <t>Zinc + Tinta Roja</t>
  </si>
  <si>
    <t>Zinc + Tinta Verde</t>
  </si>
  <si>
    <t>Zinc + Cromato Claro Azul (Iridiscente) + Top Coat + Pasivado</t>
  </si>
  <si>
    <t>Zinc + Cromato Claro Azul (Iridiscente) + Top Coat (Sellador) + Pasivado</t>
  </si>
  <si>
    <t>Zinc + Cromato Claro Azul (Iridiscente) + Top Coat + Empaque</t>
  </si>
  <si>
    <t>Zinc + Cromato Claro Azul (Iridiscente) + Top Coat (Sellador) + Empaque</t>
  </si>
  <si>
    <t>Rebabeo + Zinc + Cromato Amarillo Especial</t>
  </si>
  <si>
    <t>Decapado + Zinc + Cromato Amarillo Especial</t>
  </si>
  <si>
    <t>Decapado + Zinc + Cromato Claro Azul (Iridiscente) + Pasivado</t>
  </si>
  <si>
    <t>Decapado + Zinc + Cromato Claro Azul (Iridiscente) + Empaque</t>
  </si>
  <si>
    <t>Decapado + Zinc + Tinta Azul</t>
  </si>
  <si>
    <t>Decapado + Zinc + Tinta Verde</t>
  </si>
  <si>
    <t>Zinc + Cromato Claro Azul (Iridiscente) + Horneado + Empaque</t>
  </si>
  <si>
    <t>Zinc + Cromato Claro Azul (Iridiscente) + Deshidrogenado + Empaque</t>
  </si>
  <si>
    <t>Zinc + Cromato Amarillo Especial + Horneado</t>
  </si>
  <si>
    <t>Zinc + Cromato Amarillo Especial + Deshidrogenado</t>
  </si>
  <si>
    <t>Zinc + Cromato Amarillo Especial + Horneado + Top Coat (Sellador)</t>
  </si>
  <si>
    <t>Zinc + Cromato Amarillo Especial + Horneado + Top Coat</t>
  </si>
  <si>
    <t>Zinc + Cromato Amarillo Especial + Deshidrogenado + Top Coat (Sellador)</t>
  </si>
  <si>
    <t>Zinc + Cromato Amarillo Especial + Deshidrogenado + Top Coat</t>
  </si>
  <si>
    <t>Zinc + Cromato Negro + Horneado</t>
  </si>
  <si>
    <t>Zinc + Cromato Negro + Deshidrogenado</t>
  </si>
  <si>
    <t>Zinc + Tinta Azul + Horneado</t>
  </si>
  <si>
    <t>Zinc + Tinta Azul + Deshidrogenado</t>
  </si>
  <si>
    <t>Decapado + Zinc + Cromato Amarillo Especial + Horneado</t>
  </si>
  <si>
    <t>Decapado + Zinc + Cromato Amarillo Especial + Deshidrogenado</t>
  </si>
  <si>
    <t>Cromo Duro + Pasivado</t>
  </si>
  <si>
    <t>Pasivado + Cromo Duro</t>
  </si>
  <si>
    <t>Decapado + Cromo Duro</t>
  </si>
  <si>
    <t>Lavado + Enmascarado + Cromo Duro + Desenmascarado + Fibrado</t>
  </si>
  <si>
    <t>Cromo Duro + Enmascarado</t>
  </si>
  <si>
    <t>Enmascarado + Cromo Duro</t>
  </si>
  <si>
    <t>Lavado + Enmascarado + Cromo Duro + Horno + Desenmascarado + Fibrado</t>
  </si>
  <si>
    <t>Cromo Duro + Deshidrogenado + Enmascarado</t>
  </si>
  <si>
    <t>Enmascarado + Cromo Duro + Deshidrogenado</t>
  </si>
  <si>
    <t>Cromo Duro + Deshidrogenado</t>
  </si>
  <si>
    <t>Pulido + Cromo Duro + Aceitado + Abrillantado</t>
  </si>
  <si>
    <t>Fisher</t>
  </si>
  <si>
    <t>Pulido + Cromo Duro + Abrillantado</t>
  </si>
  <si>
    <t>Cromo Duro + Aceitado + Abrillantado</t>
  </si>
  <si>
    <t>Cromo Duro + Abrillantado</t>
  </si>
  <si>
    <t>Pulido + Cromo Duro</t>
  </si>
  <si>
    <t>Cobre + Estaño Mate</t>
  </si>
  <si>
    <t>Enmascarado + Níquel Electroless + Epóxico MT</t>
  </si>
  <si>
    <t>Níquel Electroless + Epóxico MT + Enmascarado</t>
  </si>
  <si>
    <t>Níquel Electroless + Epóxico MT</t>
  </si>
  <si>
    <t>Enmascarado + Níquel Electroless + Epóxico BT</t>
  </si>
  <si>
    <t>Níquel Electroless + Epóxico BT + Enmascarado</t>
  </si>
  <si>
    <t>Níquel Electroless + Epóxico BT</t>
  </si>
  <si>
    <t>Prelimpieza + Níquel Woods + Níquel Electroless + Pasivado</t>
  </si>
  <si>
    <t>Prelimpieza + Níquel Woods + Níquel Electroless</t>
  </si>
  <si>
    <t>Decapado + Níquel Electroless</t>
  </si>
  <si>
    <t>Níquel Electroless + Horneado + Decapado + Fibrado</t>
  </si>
  <si>
    <t>Níquel Electroless + Horneado</t>
  </si>
  <si>
    <t>Níquel Electroless + Deshidrogenado + Decapado + Fibrado</t>
  </si>
  <si>
    <t>Níquel Electroless + Deshidrogenado</t>
  </si>
  <si>
    <t>Níquel Woods + Níquel Electroless + Horneado + Decapado + Fibrado</t>
  </si>
  <si>
    <t>Níquel Woods + Níquel Electroless + Horneado</t>
  </si>
  <si>
    <t>Níquel Woods + Níquel Electroless + Deshidrogenado + Decapado + Fibrado</t>
  </si>
  <si>
    <t>Níquel Woods + Níquel Electroless + Deshidrogenado</t>
  </si>
  <si>
    <t>Cobre + Níquel Woods + Níquel Electroless + Níquel Cromvet + Pasivado</t>
  </si>
  <si>
    <t>Rodado + Níquel Woods + Níquel Electroless + Aceitado</t>
  </si>
  <si>
    <t>Níquel Electroless + Aceitado</t>
  </si>
  <si>
    <t>Rebabeo + Níquel Woods + Níquel Electroless + Pasivado + Horneado</t>
  </si>
  <si>
    <t>Rebabeo + Níquel Electroless + Horneado</t>
  </si>
  <si>
    <t>Rebabeo + Níquel Woods + Níquel Electroless + Pasivado + Deshidrogenado</t>
  </si>
  <si>
    <t>Rebabeo + Níquel Electroless + Deshidrogenado</t>
  </si>
  <si>
    <t>Rebabeo + Níquel Electroless + Pasivado + Horneado</t>
  </si>
  <si>
    <t>Rebabeo + Níquel Electroless + Pasivado + Deshidrogenado</t>
  </si>
  <si>
    <t>Rodado + Níquel Electroless + Pasivado</t>
  </si>
  <si>
    <t>Rodado + Níquel Electroless</t>
  </si>
  <si>
    <t>Níquel Electroless + Pasivado</t>
  </si>
  <si>
    <t>Níquel Electroless + Empaque</t>
  </si>
  <si>
    <t>Rodado + Níquel Woods + Níquel Electroless + Pasivado</t>
  </si>
  <si>
    <t>Níquel Woods + Níquel Electroless + Pasivado</t>
  </si>
  <si>
    <t>Níquel Woods + Níquel Electroless</t>
  </si>
  <si>
    <t>Níquel Electroless + Pasivado + Horneado</t>
  </si>
  <si>
    <t>Níquel Electroless + Pasivado + Deshidrogenado</t>
  </si>
  <si>
    <t>Decapado + Níquel Electroless + Horneado</t>
  </si>
  <si>
    <t>Decapado + Níquel Electroless + Deshidrogenado</t>
  </si>
  <si>
    <t>Níquel Woods + Níquel Electroless + Pasivado + Horneado</t>
  </si>
  <si>
    <t>Níquel Woods + Níquel Electroless + Pasivado + Deshidrogenado</t>
  </si>
  <si>
    <t>Níquel Electroless + Deshidrogenado + Empaque</t>
  </si>
  <si>
    <t>Níquel Electroless + Horneado + Empaque</t>
  </si>
  <si>
    <t>Níquel Woods + Cobre + Níquel Woods + Níquel Electroless + Pasivado</t>
  </si>
  <si>
    <t>Níquel Woods + Cobre + Níquel Electroless</t>
  </si>
  <si>
    <t>Cobre + Níquel Electroless</t>
  </si>
  <si>
    <t>Prelimpieza + Níquel Sulfamato + Pasivado</t>
  </si>
  <si>
    <t>Deacapado + Níquel Sulfamato</t>
  </si>
  <si>
    <t>Prelimpieza + Níquel Woods + Níquel Sulfamato</t>
  </si>
  <si>
    <t>Decapado + Níquel Woods + Níquel Sulfamato</t>
  </si>
  <si>
    <t>Níquel Woods + Níquel Sulfamato</t>
  </si>
  <si>
    <t>Decapado + Estaño Mate</t>
  </si>
  <si>
    <t>Lavado + Decapado + Estaño Mate</t>
  </si>
  <si>
    <t>Decapado + Cobre + Estaño Mate</t>
  </si>
  <si>
    <t>Decapado + Cobre + Estaño Mate + Empaque</t>
  </si>
  <si>
    <t>Lavado + Estaño Mate</t>
  </si>
  <si>
    <t>Lavado + Estaño Mate + Empaque</t>
  </si>
  <si>
    <t>Estaño Mate + Empaque</t>
  </si>
  <si>
    <t>Lavado + Cobre + Estaño Mate</t>
  </si>
  <si>
    <t>Lavado + Cobre + Estaño Mate + Empaque</t>
  </si>
  <si>
    <t>Cobre + Estaño Mate + Empaque</t>
  </si>
  <si>
    <t>T111 (AND)-AL-VARIOS (14.0)</t>
  </si>
  <si>
    <t>Lavado de Bimetales + Tratamiento Térmico + Níquel Brillante (Sulfato)</t>
  </si>
  <si>
    <t>Níquel Brillante (Sulfato) + Empaque</t>
  </si>
  <si>
    <t>Níquel Brillante (Sulfato) + Horneado</t>
  </si>
  <si>
    <t>Níquel Brillante (Sulfato) + Horneado + Empaque</t>
  </si>
  <si>
    <t>Níquel Brillante (Sulfato) + Deshidrogenado</t>
  </si>
  <si>
    <t>Níquel Brillante (Sulfato) + Deshidrogenado + Empaque</t>
  </si>
  <si>
    <t>Rebabeo + Níquel Brillante (Sulfato)</t>
  </si>
  <si>
    <t>Rebabeo + Níquel Brillante (Sulfato) + Horneado</t>
  </si>
  <si>
    <t>Rebabeo + Níquel Brillante (Sulfato) + Deshidrogenado</t>
  </si>
  <si>
    <t>Rodado + Níquel Brillante (Sulfato)</t>
  </si>
  <si>
    <t>Rodado + Níquel Brillante (Sulfato) + Horneado</t>
  </si>
  <si>
    <t>Rodado + Níquel Brillante (Sulfato) + Deshidrogenado</t>
  </si>
  <si>
    <t>Decapado + Níquel Brillante (Sulfato)</t>
  </si>
  <si>
    <t>Decapado + Níquel Brillante (Sulfato) + Horneado</t>
  </si>
  <si>
    <t>Decapado + Níquel Brillante (Sulfato) + Deshidrogenado</t>
  </si>
  <si>
    <t>Níquel Sulfamato + Empaque</t>
  </si>
  <si>
    <t>Níquel Sulfamato + Horneado</t>
  </si>
  <si>
    <t>Níquel Sulfamato + Horneado + Empaque</t>
  </si>
  <si>
    <t>Níquel Sulfamato + Deshidrogenado</t>
  </si>
  <si>
    <t>Níquel Sulfamato + Deshidrogenado + Empaque</t>
  </si>
  <si>
    <t>Cobre + Níquel Sulfamato</t>
  </si>
  <si>
    <t>Rebabeo + Níquel Sulfamato</t>
  </si>
  <si>
    <t>Rebabeo + Níquel Sulfamato + Horneado</t>
  </si>
  <si>
    <t>Rebabeo + Níquel Sulfamato + Deshidrogenado</t>
  </si>
  <si>
    <t>Rodado + Níquel Sulfamato</t>
  </si>
  <si>
    <t>Rodado + Níquel Sulfamato + Horneado</t>
  </si>
  <si>
    <t>Rodado + Níquel Sulfamato + Deshidrogenado</t>
  </si>
  <si>
    <t>Decapado + Níquel Sulfamato</t>
  </si>
  <si>
    <t>Cobre + Plata</t>
  </si>
  <si>
    <t>Cobre + Plata + Empaque</t>
  </si>
  <si>
    <t>Cobre + Plata + Evabrite</t>
  </si>
  <si>
    <t>Decapado + Cobre + Plata</t>
  </si>
  <si>
    <t>Decapado + Cobre + Plata + Evabrite</t>
  </si>
  <si>
    <t>Decapado + Cobre + Plata + Empaque</t>
  </si>
  <si>
    <t>Decapado + Cobre + Plata + Evabrite + Empaque</t>
  </si>
  <si>
    <t>Lavado + Plata</t>
  </si>
  <si>
    <t>Decapado + Plata</t>
  </si>
  <si>
    <t>Limpieza Especial (ISP/PCL) + Plata</t>
  </si>
  <si>
    <t>Plata + Evabrite</t>
  </si>
  <si>
    <t>Plata + Evabrite + Empaque</t>
  </si>
  <si>
    <t>Plata + Antitarnish</t>
  </si>
  <si>
    <t>Plata + Evabrite + Antitarnish</t>
  </si>
  <si>
    <t>Plata + Evabrite + Antitarnish + Empaque</t>
  </si>
  <si>
    <t>Decapado + Plata + Antitarnish</t>
  </si>
  <si>
    <t>Decapado + Plata + Evabrite + Antitarnish</t>
  </si>
  <si>
    <t>Decapado + Plata + Evabrite + Antitarnish + Empaque</t>
  </si>
  <si>
    <t>Lavado + Plata Flash</t>
  </si>
  <si>
    <t>Decapado + Plata Flash</t>
  </si>
  <si>
    <t>Decapado + Plata Flash + Evabrite</t>
  </si>
  <si>
    <t>Decapado + Plata Flash + Evabrite + Empaque</t>
  </si>
  <si>
    <t>Limpieza Especial (ISP/PCL) + Plata Flash</t>
  </si>
  <si>
    <t>Plata Flash + Evabrite</t>
  </si>
  <si>
    <t>Plata Flash + Evabrite + Empaque</t>
  </si>
  <si>
    <t>Plata Flash + Antitarnish</t>
  </si>
  <si>
    <t>Plata Flash + Evabrite + Antitarnish</t>
  </si>
  <si>
    <t>Plata Flash + Evabrite + Antitarnish + Empaque</t>
  </si>
  <si>
    <t>Decapado + Plata Flash + Antitarnish</t>
  </si>
  <si>
    <t>Decapado + Plata Flash + Evabrite + Antitarnish</t>
  </si>
  <si>
    <t>Decapado + Plata Flash + Evabrite + Antitarnish + Empaque</t>
  </si>
  <si>
    <t>Limpieza Especial (ISP/PCL) + Plata Flash + Antitarnish</t>
  </si>
  <si>
    <t>Prelimpieza + Plata</t>
  </si>
  <si>
    <t>Prelimpieza + Níquel Woods + Plata</t>
  </si>
  <si>
    <t>Níquel Woods + Plata</t>
  </si>
  <si>
    <t>Rebabeo + Plata Flash</t>
  </si>
  <si>
    <t>Níquel Woods + Estaño Mate</t>
  </si>
  <si>
    <t>Níquel Brillante (Sulfato) + Estaño Mate</t>
  </si>
  <si>
    <t>Decapado + Níquel Woods + Estaño Mate</t>
  </si>
  <si>
    <t>Decapado + Níquel Brillante (Sulfato) + Estaño Mate</t>
  </si>
  <si>
    <t>Plata + Antitarnish + Epóxico BT</t>
  </si>
  <si>
    <t>Decapado + Plata + Antitarnish + Epóxico BT</t>
  </si>
  <si>
    <t>Plata + Epóxico BT</t>
  </si>
  <si>
    <t>Decapado + Plata + Epóxico BT</t>
  </si>
  <si>
    <t>Decapado + Plata Flash + Antitarnish + Epóxico BT</t>
  </si>
  <si>
    <t>Plata Flash + Antitarnish + Epóxico BT</t>
  </si>
  <si>
    <t>Plata Flash + Epóxico BT</t>
  </si>
  <si>
    <t>Decapado + Plata Flash + Epóxico BT</t>
  </si>
  <si>
    <t>Plata + Antitarnish + Epóxico MT</t>
  </si>
  <si>
    <t>Decapado + Plata + Antitarnish + Epóxico MT</t>
  </si>
  <si>
    <t>Plata + Epóxico MT</t>
  </si>
  <si>
    <t>Decapado + Plata + Epóxico MT</t>
  </si>
  <si>
    <t>Decapado + Plata Flash + Antitarnish + Epóxico MT</t>
  </si>
  <si>
    <t>Plata Flash + Antitarnish + Epóxico MT</t>
  </si>
  <si>
    <t>Plata Flash + Epóxico MT</t>
  </si>
  <si>
    <t>Decapado + Plata Flash + Epóxico MT</t>
  </si>
  <si>
    <t>Decapado + Plata + Evabrite</t>
  </si>
  <si>
    <t>Decapado + Plata + Evabrite + Empaque</t>
  </si>
  <si>
    <t>Plata + Empaque</t>
  </si>
  <si>
    <t>Plata Mate + Empaque</t>
  </si>
  <si>
    <t>Plata Semibrillante + Empaque</t>
  </si>
  <si>
    <t>Limpieza Especial (ISP/PCL) + Plata + Antitarnish</t>
  </si>
  <si>
    <t>Plata + Antitarnish + Empaque</t>
  </si>
  <si>
    <t>Plata Mate + Antitarnish</t>
  </si>
  <si>
    <t>Plata Mate + Antitarnish + Empaque</t>
  </si>
  <si>
    <t>Plata Semibrillante + Antitarnish</t>
  </si>
  <si>
    <t>Plata Semibrillante + Antitarnish + Empaque</t>
  </si>
  <si>
    <t>Plata Flash + Empaque</t>
  </si>
  <si>
    <t>Plata Mate Flash</t>
  </si>
  <si>
    <t>Plata Mate Flash + Empaque</t>
  </si>
  <si>
    <t>Plata Semibrillante Flash</t>
  </si>
  <si>
    <t>Plata Semibrillante Flash + Empaque</t>
  </si>
  <si>
    <t>Plata Flash + Antitarnish + Empaque</t>
  </si>
  <si>
    <t>Plata Mate Flash + Antitarnish</t>
  </si>
  <si>
    <t>Plata Mate Flash + Antitarnish + Empaque</t>
  </si>
  <si>
    <t>Plata Semibrillante Flash + Antitarnish</t>
  </si>
  <si>
    <t>Plata Semibrillante Flash + Antitarnish + Empaque</t>
  </si>
  <si>
    <t>Níquel Brillante (Sulfato) + Plata</t>
  </si>
  <si>
    <t>Limpieza Especial (ISP/PCL) + Níquel Woods + Plata</t>
  </si>
  <si>
    <t>Cobre + Plata + Evabrite + Empaque</t>
  </si>
  <si>
    <t>Zion</t>
  </si>
  <si>
    <t>Fibrado + Plata</t>
  </si>
  <si>
    <t>Wieland</t>
  </si>
  <si>
    <t>Fibrado + Plata + Antitarnish</t>
  </si>
  <si>
    <t>Fibrado + Plata Flash</t>
  </si>
  <si>
    <t>Fibrado + Plata Flash + Antitarnish</t>
  </si>
  <si>
    <t>Decapado + Anodizado + Tinta Negra</t>
  </si>
  <si>
    <t>Decapado + Anodizado Negro</t>
  </si>
  <si>
    <t>Anodizado + Tinta Negra</t>
  </si>
  <si>
    <t>Limpieza Especial (ISP/PCL) + Antitarnish</t>
  </si>
  <si>
    <t>Zinc Níquel + Cromato Negro</t>
  </si>
  <si>
    <t>Epóxico</t>
  </si>
  <si>
    <t>Decapado + Plata + Empaque</t>
  </si>
  <si>
    <t>Sandblast + Plata</t>
  </si>
  <si>
    <t>Sandblast + Plata + Empaque</t>
  </si>
  <si>
    <t>Sandblast + Plata + Evabrite</t>
  </si>
  <si>
    <t>Sandblast + Plata + Evabrite + Empaque</t>
  </si>
  <si>
    <t>T400-CE08 Barnizado (40.0)</t>
  </si>
  <si>
    <t>T500-CE04 Ensamble de Kits (80.0)</t>
  </si>
  <si>
    <t>Spec_Listas</t>
  </si>
  <si>
    <t>Código</t>
  </si>
  <si>
    <t>Tipo</t>
  </si>
  <si>
    <t>DEPT</t>
  </si>
  <si>
    <t>Línea Completa</t>
  </si>
  <si>
    <t>4.0</t>
  </si>
  <si>
    <t>Híbrida</t>
  </si>
  <si>
    <t>4</t>
  </si>
  <si>
    <t>5.0</t>
  </si>
  <si>
    <t>5.1</t>
  </si>
  <si>
    <t>5.2</t>
  </si>
  <si>
    <t>5.3</t>
  </si>
  <si>
    <t>2.0</t>
  </si>
  <si>
    <t>2.1</t>
  </si>
  <si>
    <t>2.2</t>
  </si>
  <si>
    <t>2.3</t>
  </si>
  <si>
    <t>3.0</t>
  </si>
  <si>
    <t>3.1</t>
  </si>
  <si>
    <t>3.2</t>
  </si>
  <si>
    <t>3.3</t>
  </si>
  <si>
    <t>19</t>
  </si>
  <si>
    <t>19.0</t>
  </si>
  <si>
    <t>12.0</t>
  </si>
  <si>
    <t>12</t>
  </si>
  <si>
    <t>12.1</t>
  </si>
  <si>
    <t>12.2</t>
  </si>
  <si>
    <t>11.0</t>
  </si>
  <si>
    <t>Rack</t>
  </si>
  <si>
    <t>11</t>
  </si>
  <si>
    <t>11.1</t>
  </si>
  <si>
    <t>6.0</t>
  </si>
  <si>
    <t>6</t>
  </si>
  <si>
    <t>6.1</t>
  </si>
  <si>
    <t>6.3</t>
  </si>
  <si>
    <t>7.0</t>
  </si>
  <si>
    <t>7</t>
  </si>
  <si>
    <t>10.0</t>
  </si>
  <si>
    <t>Barril</t>
  </si>
  <si>
    <t>10</t>
  </si>
  <si>
    <t>60</t>
  </si>
  <si>
    <t>60.0</t>
  </si>
  <si>
    <t>13.0</t>
  </si>
  <si>
    <t>13</t>
  </si>
  <si>
    <t>13.1</t>
  </si>
  <si>
    <t>15.0</t>
  </si>
  <si>
    <t>15</t>
  </si>
  <si>
    <t>15.1</t>
  </si>
  <si>
    <t>15.2</t>
  </si>
  <si>
    <t>26.0</t>
  </si>
  <si>
    <t>26</t>
  </si>
  <si>
    <t>14.0</t>
  </si>
  <si>
    <t>14</t>
  </si>
  <si>
    <t>13.2</t>
  </si>
  <si>
    <t>17</t>
  </si>
  <si>
    <t>17.0</t>
  </si>
  <si>
    <t>7.1</t>
  </si>
  <si>
    <t>23</t>
  </si>
  <si>
    <t>23.0</t>
  </si>
  <si>
    <t>23.2</t>
  </si>
  <si>
    <t>7.2</t>
  </si>
  <si>
    <t>7.3</t>
  </si>
  <si>
    <t>28</t>
  </si>
  <si>
    <t>28.0</t>
  </si>
  <si>
    <t>25.0</t>
  </si>
  <si>
    <t>25</t>
  </si>
  <si>
    <t>25.1</t>
  </si>
  <si>
    <t>16.2</t>
  </si>
  <si>
    <t>16.0</t>
  </si>
  <si>
    <t>16</t>
  </si>
  <si>
    <t>16.1</t>
  </si>
  <si>
    <t>16.1-20</t>
  </si>
  <si>
    <t>16.1-30</t>
  </si>
  <si>
    <t>16.1-20-30</t>
  </si>
  <si>
    <t>16.5</t>
  </si>
  <si>
    <t>16.8</t>
  </si>
  <si>
    <t>16.1 Ag</t>
  </si>
  <si>
    <t>16.3</t>
  </si>
  <si>
    <t>18.0</t>
  </si>
  <si>
    <t>18</t>
  </si>
  <si>
    <t>16.4</t>
  </si>
  <si>
    <t>24.0</t>
  </si>
  <si>
    <t>24</t>
  </si>
  <si>
    <t>30.0</t>
  </si>
  <si>
    <t>20</t>
  </si>
  <si>
    <t>Célula</t>
  </si>
  <si>
    <t>20.0</t>
  </si>
  <si>
    <t>80</t>
  </si>
  <si>
    <t>80.0</t>
  </si>
  <si>
    <t>40</t>
  </si>
  <si>
    <t>40.0</t>
  </si>
  <si>
    <t>16.6</t>
  </si>
  <si>
    <t>5</t>
  </si>
  <si>
    <t>3</t>
  </si>
  <si>
    <t>MPO_FINISH</t>
  </si>
  <si>
    <t>Unidad 1</t>
  </si>
  <si>
    <t>Unidad 2</t>
  </si>
  <si>
    <t>Unidad 3</t>
  </si>
  <si>
    <t>LM</t>
  </si>
  <si>
    <t>EPOXICO BT</t>
  </si>
  <si>
    <t>EPOXICO MT</t>
  </si>
  <si>
    <t>FTK</t>
  </si>
  <si>
    <t>PROYECTO BARRAS</t>
  </si>
  <si>
    <t>SILVER FLASH, ANTITARNISH</t>
  </si>
  <si>
    <t>EstIBMS</t>
  </si>
  <si>
    <t>Precio 1</t>
  </si>
  <si>
    <t>Cantidad 1</t>
  </si>
  <si>
    <t>Precio 2</t>
  </si>
  <si>
    <t>Cantidad 2</t>
  </si>
  <si>
    <t>Precio 3</t>
  </si>
  <si>
    <t>Cantidad 3</t>
  </si>
  <si>
    <t>Etiqueta</t>
  </si>
  <si>
    <t>Metal</t>
  </si>
  <si>
    <t>Con proceso:</t>
  </si>
  <si>
    <t>Combinación no existente</t>
  </si>
  <si>
    <t>Grupo Etiqueta</t>
  </si>
  <si>
    <t>Specs Filtradas (Spill)</t>
  </si>
  <si>
    <t>Etiquetas (fila activa)</t>
  </si>
  <si>
    <t>Grupo Detectado</t>
  </si>
  <si>
    <t>Specs Filtradas (spill)</t>
  </si>
  <si>
    <t>Prueba de Proceso</t>
  </si>
  <si>
    <t>T104 (DEC)-T104 (ZIN)-T104 (CTR)-FE/AC-VARIOS (6.0)z</t>
  </si>
  <si>
    <t>ARTURO CUERO BELTRAN</t>
  </si>
  <si>
    <t>EDWIN GUADALUPE RUBIO ZARAGOZA</t>
  </si>
  <si>
    <t>GERARDO ALBERTO GAVIA HUERTA</t>
  </si>
  <si>
    <t>GUSTAVO ADOLFO PIÑA ROMERO</t>
  </si>
  <si>
    <t>HERIBERTO SANTOS MOTA</t>
  </si>
  <si>
    <t>JESUS GARDUÑO VALLEJO</t>
  </si>
  <si>
    <t>LUIS ANGEL SANCHEZ VENCES</t>
  </si>
  <si>
    <t>MARCO ANTONIO GUERRERO DE LA CRUZ</t>
  </si>
  <si>
    <t>MARCO ANTONIO SERRANO ROMERO</t>
  </si>
  <si>
    <t>MARTIN NAVA COLLADO</t>
  </si>
  <si>
    <t>NESTOR URIEL REYES COLIN</t>
  </si>
  <si>
    <t>NINIVE SARAI DELGADO TOLENTINO</t>
  </si>
  <si>
    <t>ROBERTO CARLOS MORALES MARTINEZ</t>
  </si>
  <si>
    <t>SAMUEL NAVA REYES</t>
  </si>
  <si>
    <t>VICTOR MANUEL PEÑA SALVADOR</t>
  </si>
  <si>
    <t>Selecciona primero algunos acabados para seleccionar las especificaciones que le corresponden</t>
  </si>
  <si>
    <t>Otros</t>
  </si>
  <si>
    <t>Níquel+Zinc</t>
  </si>
  <si>
    <t>Sin forzar duplicado</t>
  </si>
  <si>
    <t>Estatus</t>
  </si>
  <si>
    <t>Activo con validación</t>
  </si>
  <si>
    <t>Forzar
duplicado</t>
  </si>
  <si>
    <t>Spec 3</t>
  </si>
  <si>
    <t>Esp. Spec 3
(µm)</t>
  </si>
  <si>
    <t>Spec 4</t>
  </si>
  <si>
    <t>Esp. Spec 4
(µm)</t>
  </si>
  <si>
    <t>Etiqueta Planta Schneider</t>
  </si>
  <si>
    <t>SQ1</t>
  </si>
  <si>
    <t>PRODUCTOS</t>
  </si>
  <si>
    <t>DECAPADO ESTAÑO, EPOXICO BT</t>
  </si>
  <si>
    <t>DECAPADO ESTAÑO, EPOXICO MT</t>
  </si>
  <si>
    <t>DECAPADO PLATEADO, ANTITARNISH</t>
  </si>
  <si>
    <t>DECAPADO PLATEADO, ANTITARNISH, EPOXICO BT</t>
  </si>
  <si>
    <t>DECAPADO PLATEADO, ANTITARNISH, EPOXICO MT</t>
  </si>
  <si>
    <t>DECAPADO, PLATEADO, ANTITARNISH, EPOXICO MT</t>
  </si>
  <si>
    <t>SILVER FLASH, ANTITARNISH, EPOXICO BT</t>
  </si>
  <si>
    <t>SILVER FLASH, ANTITARNISH, EPOXICO MT</t>
  </si>
  <si>
    <t>ANTITARNISH</t>
  </si>
  <si>
    <t>BONDAL</t>
  </si>
  <si>
    <t>DECAPADO ESTAÑADO</t>
  </si>
  <si>
    <t>DECAPADO PLATEADO</t>
  </si>
  <si>
    <t>DECAPADO</t>
  </si>
  <si>
    <t>ESTAÑO</t>
  </si>
  <si>
    <t>SERVICIO ESTAÑO</t>
  </si>
  <si>
    <t>ZINC CROMATO TRIVALENTE</t>
  </si>
  <si>
    <t>PLATEADO</t>
  </si>
  <si>
    <t>SILVER FLASH</t>
  </si>
  <si>
    <t xml:space="preserve">BESTOP — </t>
  </si>
  <si>
    <t xml:space="preserve">KANTE — </t>
  </si>
  <si>
    <t xml:space="preserve">MJC — </t>
  </si>
  <si>
    <t>T102 (COB)-T102 (EST)-CU-VARIOS (12.0)</t>
  </si>
  <si>
    <t>T104 (DEC)-T104 (EST)-CU/BR-VARIOS (6.0)</t>
  </si>
  <si>
    <t>T106 (DEC)-T106 (ZIN)-T106 (CNE)-T106 (TOP)-FE/AC-VARIOS (10.0)</t>
  </si>
  <si>
    <t>T108 (NEL)-T100 (HOR)-T108 (FIB)-FE/AC-CAGES FISHER (13.0)</t>
  </si>
  <si>
    <t>T108 (NWO)-T108 (NEL)-T100 (HOR)-T108 (FIB)-FE/AC-CAGES FISHER (13.0)</t>
  </si>
  <si>
    <t>T110 (DEC)-CU-BARE (26.0)</t>
  </si>
  <si>
    <t>T200 (REB)-T109 (LAV)-T000 (TCT)-T109 (NBR)-FE/AC-TRATAMIENTO (15.0)</t>
  </si>
  <si>
    <t>T301 (DEC)-T301 (EST)-CU/BR-VARIOS (24.0)</t>
  </si>
  <si>
    <t>T301 (DEC)-T301 (EST)-LA/FE/AC-VARIOS (24.0)</t>
  </si>
  <si>
    <t>T301 (EST)-CU/BR-VARIOS (24.0)</t>
  </si>
  <si>
    <t>T301 (EST)-LA/AC/FE-VARIOS (24.0)</t>
  </si>
  <si>
    <t>T401 (ENM)-T108 (NWO)-T108 (NEL)-T401 (DNM)-FE/AC-VARIOS (13.0)</t>
  </si>
  <si>
    <t>Cobrizado y Estañado</t>
  </si>
  <si>
    <t>Automotriz</t>
  </si>
  <si>
    <t>Bloquead@</t>
  </si>
  <si>
    <t>Bondal</t>
  </si>
  <si>
    <t>Borrado definitivo</t>
  </si>
  <si>
    <t>CGR</t>
  </si>
  <si>
    <t>Cromo Decorativo</t>
  </si>
  <si>
    <t>Dimer</t>
  </si>
  <si>
    <t>DyM</t>
  </si>
  <si>
    <t>Eaton</t>
  </si>
  <si>
    <t>Expeditar</t>
  </si>
  <si>
    <t>Federal Mogul</t>
  </si>
  <si>
    <t>General Electric Company</t>
  </si>
  <si>
    <t>Inactiva IBMS</t>
  </si>
  <si>
    <t>Industrial</t>
  </si>
  <si>
    <t>Inspección</t>
  </si>
  <si>
    <t>Intercompañía</t>
  </si>
  <si>
    <t>MP</t>
  </si>
  <si>
    <t>Parámetros</t>
  </si>
  <si>
    <t>Prelanzamiento</t>
  </si>
  <si>
    <t>Proquipa</t>
  </si>
  <si>
    <t>Prospecto</t>
  </si>
  <si>
    <t>Prototipo</t>
  </si>
  <si>
    <t>Retrabajo</t>
  </si>
  <si>
    <t>Rev. 00</t>
  </si>
  <si>
    <t>Rockwell Automation</t>
  </si>
  <si>
    <t>Schneider</t>
  </si>
  <si>
    <t>Siemens</t>
  </si>
  <si>
    <t>Square D</t>
  </si>
  <si>
    <t>Tenneco</t>
  </si>
  <si>
    <t>Volkswagen</t>
  </si>
  <si>
    <t>WB Almacén</t>
  </si>
  <si>
    <t>WB Calidad</t>
  </si>
  <si>
    <t>WB Ingeniería</t>
  </si>
  <si>
    <t>WB Producción</t>
  </si>
  <si>
    <t>FFS-1A1 (Fosfato de Zinc) | 8 - 12 µm</t>
  </si>
  <si>
    <t>RC Anodizado Natural | 2 - 3 µm</t>
  </si>
  <si>
    <t>RC Ensamble de Kits</t>
  </si>
  <si>
    <t>T100</t>
  </si>
  <si>
    <t>T101-CA01</t>
  </si>
  <si>
    <t>T102-RA02</t>
  </si>
  <si>
    <t>T400-MA01</t>
  </si>
  <si>
    <t>ALEXANDER MAURICIO MENDOZA PALMA</t>
  </si>
  <si>
    <t>ANTONIO LUNA LOPEZ</t>
  </si>
  <si>
    <t>ELIZABETH ALCANTARA LOPEZ</t>
  </si>
  <si>
    <t>JOSUE MIRA MANCILLA</t>
  </si>
  <si>
    <t>LUIS ARMANDO SARABIA JIMENEZ</t>
  </si>
  <si>
    <t>OLD_ALAN EMANUEL URBINA AZOTEA</t>
  </si>
  <si>
    <t>OLD_ALFONSO GONZALEZ BECERRIL</t>
  </si>
  <si>
    <t>OLD_AMALIO ALVARADO ESCANDON</t>
  </si>
  <si>
    <t>OLD_ANDRES LOPEZ RICO</t>
  </si>
  <si>
    <t>OLD_ANGEL CESAR CALDERON CONTRERAS</t>
  </si>
  <si>
    <t>OLD_ANGELINA FLORES SANCHEZ</t>
  </si>
  <si>
    <t>OLD_ARTURO MORALES MARIN</t>
  </si>
  <si>
    <t>OLD_AURELIANO GARCIA GARCIA</t>
  </si>
  <si>
    <t>OLD_BRYAN AGUILAR MEJIA</t>
  </si>
  <si>
    <t>OLD_CARLOS ALBERTO ARZATE VAZQUEZ</t>
  </si>
  <si>
    <t>OLD_CARLOS GARCIA AVILES</t>
  </si>
  <si>
    <t>OLD_CARLOS JACALES PIEDRA</t>
  </si>
  <si>
    <t>OLD_CARLOS MILLAN DURAN</t>
  </si>
  <si>
    <t>OLD_CARMEN DOMINGUEZ CASTILLO</t>
  </si>
  <si>
    <t>OLD_CATALINA BALLESTEROS RODRIGUEZ</t>
  </si>
  <si>
    <t>OLD_CESAR ALEJANDRO REYES HERNANDEZ</t>
  </si>
  <si>
    <t>OLD_CRISTIAN GEOVANI RUIZ GUTIERREZ</t>
  </si>
  <si>
    <t>OLD_DAISY VILLAGRAN SEGUNDO</t>
  </si>
  <si>
    <t>OLD_DAVID GONZALEZ BECERRIL</t>
  </si>
  <si>
    <t>OLD_DAVID MACEDO ZARATE</t>
  </si>
  <si>
    <t>OLD_DIEGO SAENZ ORTIZ</t>
  </si>
  <si>
    <t>OLD_DOLORES BELTRAN GONZALEZ</t>
  </si>
  <si>
    <t>OLD_EDUARDO MUÑOZ</t>
  </si>
  <si>
    <t>OLD_ELDER DAVID CONCEPCION NAVARRETE</t>
  </si>
  <si>
    <t>OLD_EMILIO PICHARDO FRIAS</t>
  </si>
  <si>
    <t>OLD_EMMANUEL GUTIERREZ MORA</t>
  </si>
  <si>
    <t>OLD_ENRIQUE GUTIERREZ VARELA</t>
  </si>
  <si>
    <t>OLD_ERICA GONZALEZ GARDUNO</t>
  </si>
  <si>
    <t>OLD_ERON ROSARIO VALLEJO</t>
  </si>
  <si>
    <t>OLD_ESTEBAN CLEMENTE NOLASCO</t>
  </si>
  <si>
    <t>OLD_FABIAN JESUS TREVILLA PEREZ</t>
  </si>
  <si>
    <t>OLD_FERNANDO OCTAVIO ANAYA ALBARRAN</t>
  </si>
  <si>
    <t>OLD_GABRIEL CORREA GONZALEZ</t>
  </si>
  <si>
    <t>OLD_GERARDO VALLEJO PEREZ</t>
  </si>
  <si>
    <t>OLD_GERMAN GONZALEZ BECERRIL</t>
  </si>
  <si>
    <t>OLD_GREGORIO MAURO CIENEGA GONZALEZ</t>
  </si>
  <si>
    <t>OLD_GUADALUPE ESPINOSA OSORIO</t>
  </si>
  <si>
    <t>OLD_GUSTAVO ANGEL ANGELES GONZALEZ</t>
  </si>
  <si>
    <t>OLD_HECTOR PUGA GRANADOS</t>
  </si>
  <si>
    <t>OLD_HERMINO TORAL MORA</t>
  </si>
  <si>
    <t>OLD_HORACIO CELAYA ENGUILO</t>
  </si>
  <si>
    <t>OLD_ISMAEL HERNANDEZ NAVA</t>
  </si>
  <si>
    <t>OLD_ISRAEL DE JESUS ANGELES</t>
  </si>
  <si>
    <t>OLD_JAIR JIMENEZ MONDRAGON</t>
  </si>
  <si>
    <t>OLD_JAROL ALEXIS FLORES HERNANDEZ</t>
  </si>
  <si>
    <t>OLD_JAVIER VALDEZ BECERRIL</t>
  </si>
  <si>
    <t>OLD_JESUS AXEL GUADALUPE ALCANTARA</t>
  </si>
  <si>
    <t>OLD_JESUS SANCHEZ GALVAN</t>
  </si>
  <si>
    <t>OLD_JONATAN OMAR ALCANTARA ESCOBEDO</t>
  </si>
  <si>
    <t>OLD_JONATHAN HERNANDEZ SANCHEZ</t>
  </si>
  <si>
    <t>OLD_JOSE DE JESUS AGUILAR MARTINEZ</t>
  </si>
  <si>
    <t>OLD_JOSE LUIS JIMENEZ MONDRAGON</t>
  </si>
  <si>
    <t>OLD_JOSE LUIS LOPEZ COLIN</t>
  </si>
  <si>
    <t>OLD_JOSE MARCO ANTONIO VELAZQUEZ GUADARRAMA</t>
  </si>
  <si>
    <t>OLD_JOSE YAEL ALVAREZ DOMINGUEZ</t>
  </si>
  <si>
    <t>OLD_JOSUE GONZALES AVILES</t>
  </si>
  <si>
    <t>OLD_JUAN ANTONIO SALDANA CLAVEL</t>
  </si>
  <si>
    <t>OLD_JUAN CARLOS GONZALEZ GUTIERREZ</t>
  </si>
  <si>
    <t>OLD_JUAN MORALES AGUILAR</t>
  </si>
  <si>
    <t>OLD_LEANDRO HERNANDEZ REYES</t>
  </si>
  <si>
    <t>OLD_LIDIA BELTRAN GONZALEZ</t>
  </si>
  <si>
    <t>OLD_LLUIS ANGEL HUARACHE SABINO</t>
  </si>
  <si>
    <t>OLD_LORENZO ORTEGA ROMERO</t>
  </si>
  <si>
    <t>OLD_LUIS ANGEL CELAYA CASTILLO</t>
  </si>
  <si>
    <t>OLD_LUIS ANGEL HUARACHE SABINO</t>
  </si>
  <si>
    <t>OLD_LUIS DANIEL NUÑEZ PIÑA</t>
  </si>
  <si>
    <t>OLD_LUIS JAVIER ESQUIVEL GOMEZ</t>
  </si>
  <si>
    <t>OLD_MARIA DEL CARMEN ESQUIVEL DE JESUS</t>
  </si>
  <si>
    <t>OLD_MARIEL BEATRIZ SORIA GONZALEZ</t>
  </si>
  <si>
    <t>OLD_MAURICIO ALBERTO CARBAJAL LOPEZ</t>
  </si>
  <si>
    <t>OLD_MIGUEL ESCARAMUZA SANCHEZ</t>
  </si>
  <si>
    <t>OLD_NINIVE SARAI DELGADO TOLENTINO</t>
  </si>
  <si>
    <t>OLD_OBED RAMIRO VALDEZ BELTRAN</t>
  </si>
  <si>
    <t>OLD_OCTAVIO NERI BERNAL</t>
  </si>
  <si>
    <t>OLD_OSCAR GONZALEZ BALDERAS</t>
  </si>
  <si>
    <t>OLD_OSCAR MARTINEZ FUENTES</t>
  </si>
  <si>
    <t>OLD_OSVALDO NAVA REYES</t>
  </si>
  <si>
    <t>OLD_PABLO GUADARRAMA SALINAS</t>
  </si>
  <si>
    <t>OLD_PEDRO CUEVAS PEREZ</t>
  </si>
  <si>
    <t>OLD_RAMON VALLEJO GIL</t>
  </si>
  <si>
    <t>OLD_RODRIGO MONTES HERNANDEZ</t>
  </si>
  <si>
    <t>OLD_ROGELIO ANGELES JIMENEZ</t>
  </si>
  <si>
    <t>OLD_RUBEN ANGEL OROZCO REYES</t>
  </si>
  <si>
    <t>OLD_SALVADOR GONZALEZ DE AQUINO</t>
  </si>
  <si>
    <t>OLD_SAUL NOE MARTINEZ LOPEZ</t>
  </si>
  <si>
    <t>old_SERGIO ROSALES PEREZ</t>
  </si>
  <si>
    <t>OLD_SSERGIO ROSALES PEREZ</t>
  </si>
  <si>
    <t>OLD_VICENTE RIVERA VEGA</t>
  </si>
  <si>
    <t>SERVANDO ALCANTARA HERNANDEZ</t>
  </si>
  <si>
    <t>BarrasPatito</t>
  </si>
  <si>
    <t>Compresión</t>
  </si>
  <si>
    <t>Cot5151</t>
  </si>
  <si>
    <t>Proyecto ABB</t>
  </si>
  <si>
    <t xml:space="preserve">OLSON METAL PRODUCTS LLC — </t>
  </si>
  <si>
    <t>T101 (PRE)-T108 (NSU)-T109 (PAS)-LA/CU- GG (13.0)</t>
  </si>
  <si>
    <t>T101 (PRE)-T108 (NSU)-T301 (EST)-LA- GG (13.0)</t>
  </si>
  <si>
    <t>T110 (PLA)-T110 (ANT)-CU-VARIOS (26.0)</t>
  </si>
  <si>
    <t>T110 (PLF)-T110 (ANT)-CU-VARIOS (26.0)</t>
  </si>
  <si>
    <t>T202 (LES)-T202 (PLA)-CU-VARIOS (16.2)</t>
  </si>
  <si>
    <t>T202 (PLA)-T202 (ANT)-CU-VARIOS (16.2)</t>
  </si>
  <si>
    <t>T202 (PLF)-T202 (ANT)-CU-VARIOS (16.2)</t>
  </si>
  <si>
    <t>T203 (LES)-T203 (PLA)-T203 (ANT)-CU-VARIOS (16.0)</t>
  </si>
  <si>
    <t>T203 (LES)-T203 (PLF)-T203 (ANT)-CU-VARIOS (16.0)</t>
  </si>
  <si>
    <t>T204 (PLA)-T204 (ANT)-CU-VARIOS (16.1)</t>
  </si>
  <si>
    <t>T204 (PLF)-T204 (ANT)-CU-VARIOS (16.1)</t>
  </si>
  <si>
    <t>T205 (PLA)-AL-VARIOS (16.3)</t>
  </si>
  <si>
    <t>T300 (ANT)-CU-SOLERA/BARRA (20.0)</t>
  </si>
  <si>
    <t>T300 (LES)-T110 (PLF)-T110 (ANT)-CU-VARIOS (26.0)</t>
  </si>
  <si>
    <t>T300 (LES)-T204 (PLA)-T204 (ANT)-CU-VARIOS (16.1)</t>
  </si>
  <si>
    <t>T300 (LES)-T204 (PLF)-T204 (ANT)-CU-VARIOS (16.1)</t>
  </si>
  <si>
    <t>T300 (LES)-T300 (ANT)-FE-SOLERA/BARRA (20.0)</t>
  </si>
  <si>
    <t>T401 (EBT)-T110 (PLA)-T110 (ANT)-CU-VARIOS (26.0)</t>
  </si>
  <si>
    <t>T401 (EBT)-T110 (PLF)-T110 (ANT)-CU-VARIOS (26.0)</t>
  </si>
  <si>
    <t>T401 (EBT)-T204 (PLA)-T204 (ANT)-CU-VARIOS (16.1)</t>
  </si>
  <si>
    <t>T401 (EBT)-T204 (PLF)-T204 (ANT)-CU-VARIOS (16.1)</t>
  </si>
  <si>
    <t>T401 (EMT)-T110 (PLA)-T110 (ANT)-CU-VARIOS (26.0)</t>
  </si>
  <si>
    <t>T401 (EMT)-T110 (PLF)-T110 (ANT)-CU-VARIOS (26.0)</t>
  </si>
  <si>
    <t>T401 (EMT)-T204 (PLA)-T204 (ANT)-CU-VARIOS (16.1)</t>
  </si>
  <si>
    <t>T401 (EMT)-T204 (PLF)-T204 (ANT)-CU-VARIOS (16.1)</t>
  </si>
  <si>
    <t>Estaño Brillante</t>
  </si>
  <si>
    <t>Plata Alto Espesor</t>
  </si>
  <si>
    <t>F70F2 (Estaño Mate) | 0.508 - 1.016 µm | 2.54 - 5.08 µm</t>
  </si>
  <si>
    <t>F70F2 (Estaño Mate) | 12.7 - 19.05 µm | 2.54 - 5.08 µm</t>
  </si>
  <si>
    <t>F70F2 (Estaño Mate) | 2.54 - 5.08 µm | 2.54 - 5.08 µm</t>
  </si>
  <si>
    <t>F70F2 (Estaño Mate) | 25.4 - 38.1 µm | 2.54 - 5.08 µm</t>
  </si>
  <si>
    <t>F70F2 (Estaño Mate) | 3.81 - 7.62 µm | 2.54 - 5.08 µm</t>
  </si>
  <si>
    <t>F70F2 (Estaño Mate) | 5.08 - 10.16 µm | 2.54 - 5.08 µm</t>
  </si>
  <si>
    <t>Sistema de Gestión de Calidad</t>
  </si>
  <si>
    <t>ALEJANDRO DE LEON GOMEZ</t>
  </si>
  <si>
    <t>BRANDON JAIR COLIN NAVA</t>
  </si>
  <si>
    <t>HECTOR CASTRO VARGAS</t>
  </si>
  <si>
    <t>JOSE DAVID HERNANDEZ RAMOS</t>
  </si>
  <si>
    <t>LEONARDO ROSAS NAVA</t>
  </si>
  <si>
    <t>NOE CRISANTO JACINTO</t>
  </si>
  <si>
    <t>OLD_JOSE LUIS FLORES DOMINGUEZ</t>
  </si>
  <si>
    <t>OLD_OSVALDO MARTINEZ LOPEZ</t>
  </si>
  <si>
    <t>CAGE</t>
  </si>
  <si>
    <t>GG</t>
  </si>
  <si>
    <t>Setup</t>
  </si>
  <si>
    <t>Thinh Tran</t>
  </si>
  <si>
    <t>Visionary</t>
  </si>
  <si>
    <t>Lavado + Estaño Brillante</t>
  </si>
  <si>
    <t>Lavado + Estaño Brillante + Empaque</t>
  </si>
  <si>
    <t>Estaño Brillante + Empaque</t>
  </si>
  <si>
    <t>Decapado + Estaño Brillante</t>
  </si>
  <si>
    <t>Lavado + Decapado + Estaño Brillante</t>
  </si>
  <si>
    <t>Limpieza Mecánica + Estaño Brillante</t>
  </si>
  <si>
    <t>Limpieza Mecánica + Decapado + Estaño Brillante</t>
  </si>
  <si>
    <t>Lavado + Limpieza Mecánica + Decapado + Estaño Brillante</t>
  </si>
  <si>
    <t>Cobre + Estaño Brillante</t>
  </si>
  <si>
    <t>Lavado + Cobre + Estaño Brillante</t>
  </si>
  <si>
    <t>Lavado + Cobre + Estaño Brillante + Empaque</t>
  </si>
  <si>
    <t>Cobre + Estaño Brillante + Empaque</t>
  </si>
  <si>
    <t>Decapado + Cobre + Estaño Brillante</t>
  </si>
  <si>
    <t>Decapado + Cobre + Estaño Brillante + Empaque</t>
  </si>
  <si>
    <t>Decapado + Estaño Brillante + Empaque</t>
  </si>
  <si>
    <t>Níquel Woods + Estaño Brillante</t>
  </si>
  <si>
    <t>Níquel Brillante (Sulfato) + Estaño Brillante</t>
  </si>
  <si>
    <t>Decapado + Níquel Woods + Estaño Brillante</t>
  </si>
  <si>
    <t>Decapado + Níquel Brillante (Sulfato) + Estaño Brillante</t>
  </si>
  <si>
    <t>Estaño Brillante + Epóxico BT</t>
  </si>
  <si>
    <t>Decapado + Estaño Brillante + Epóxico BT</t>
  </si>
  <si>
    <t>Estaño Brillante + Epóxico MT</t>
  </si>
  <si>
    <t>Decapado + Estaño Brillante + Epóxico MT</t>
  </si>
  <si>
    <t>Limpieza Especial (ISP/PCL) + Estaño Brillante</t>
  </si>
  <si>
    <t>Lavado + Decapado + Cobre + Estaño Brillante</t>
  </si>
  <si>
    <t>Limpieza Especial (ISP/PCL) + Estaño Brillante + Empaque</t>
  </si>
  <si>
    <t>Lavado de Bimetales + Tratamiento Térmico + Estaño Brillante</t>
  </si>
  <si>
    <t>Lavado + Decapado + Estaño Brillante + Empaque</t>
  </si>
  <si>
    <t>T103 (CRD)-T103 (LMA)-AC-VEEBALL (11.0)</t>
  </si>
  <si>
    <t>T401 (ENM)-T103 (CRD)-T401 (DNM)-T100 (FIB)-FE/AC/INOX-CAGES (11.0)</t>
  </si>
  <si>
    <t>80065-DS-005 (Plata Flash) | 0.076 - 0.203 µm</t>
  </si>
  <si>
    <t>OLD_BRAYAN NOE PICHARDO FRIAS</t>
  </si>
  <si>
    <t>48053-001-01 (Deshidrogenado / Endurecido) | 176 - 204 °C (375 ± 25 °F) | 302 - 329 °C (600 ± 25 °F) | &gt;= 0.5 hrs.</t>
  </si>
  <si>
    <t>48053-001-01 (Deshidrogenado / Endurecido) | 176 - 204 °C (375 ± 25 °F) | 302 - 329 °C (600 ± 25 °F) | &gt;= 1 hrs.</t>
  </si>
  <si>
    <t>48053-001-01 (Deshidrogenado / Endurecido) | 176 - 204 °C (375 ± 25 °F) | 302 - 329 °C (600 ± 25 °F) | &gt;= 10 hrs.</t>
  </si>
  <si>
    <t>48053-001-01 (Deshidrogenado / Endurecido) | 176 - 204 °C (375 ± 25 °F) | 302 - 329 °C (600 ± 25 °F) | &gt;= 14 hrs.</t>
  </si>
  <si>
    <t>48053-001-01 (Deshidrogenado / Endurecido) | 176 - 204 °C (375 ± 25 °F) | 302 - 329 °C (600 ± 25 °F) | &gt;= 2 hrs.</t>
  </si>
  <si>
    <t>48053-001-01 (Deshidrogenado / Endurecido) | 176 - 204 °C (375 ± 25 °F) | 302 - 329 °C (600 ± 25 °F) | &gt;= 24 hrs.</t>
  </si>
  <si>
    <t>48053-001-01 (Deshidrogenado / Endurecido) | 176 - 204 °C (375 ± 25 °F) | 302 - 329 °C (600 ± 25 °F) | &gt;= 3 hrs.</t>
  </si>
  <si>
    <t>48053-001-01 (Deshidrogenado / Endurecido) | 176 - 204 °C (375 ± 25 °F) | 302 - 329 °C (600 ± 25 °F) | &gt;= 4 hrs.</t>
  </si>
  <si>
    <t>48053-001-01 (Deshidrogenado / Endurecido) | 176 - 204 °C (375 ± 25 °F) | 302 - 329 °C (600 ± 25 °F) | &gt;= 5 hrs.</t>
  </si>
  <si>
    <t>48053-001-01 (Deshidrogenado / Endurecido) | 176 - 204 °C (375 ± 25 °F) | 302 - 329 °C (600 ± 25 °F) | &gt;= 6 hrs.</t>
  </si>
  <si>
    <t>48053-001-01 (Deshidrogenado / Endurecido) | 176 - 204 °C (375 ± 25 °F) | 302 - 329 °C (600 ± 25 °F) | &gt;= 8 hrs.</t>
  </si>
  <si>
    <t>DYM Pendiente (Deshidrogenado) | 130 - 150 °C | &gt;= 5 hrs.</t>
  </si>
  <si>
    <t>F50HD3S (Deshidrogenado) | 115 - 121 °C | &gt;= 6 hrs.</t>
  </si>
  <si>
    <t>FGS-8B7 (Deshidrogenado / Horneado) | 190 - 204 °C (375 - 400 °F) | 337 - 349 (650 ± 10 °F) | &gt;= 0.5 hrs.</t>
  </si>
  <si>
    <t>FGS-8B7 (Deshidrogenado / Horneado) | 190 - 204 °C (375 - 400 °F) | 337 - 349 (650 ± 10 °F) | &gt;= 1 hrs.</t>
  </si>
  <si>
    <t>FGS-8B7 (Deshidrogenado / Horneado) | 190 - 204 °C (375 - 400 °F) | 337 - 349 (650 ± 10 °F) | &gt;= 10 hrs.</t>
  </si>
  <si>
    <t>FGS-8B7 (Deshidrogenado / Horneado) | 190 - 204 °C (375 - 400 °F) | 337 - 349 (650 ± 10 °F) | &gt;= 14 hrs.</t>
  </si>
  <si>
    <t>FGS-8B7 (Deshidrogenado / Horneado) | 190 - 204 °C (375 - 400 °F) | 337 - 349 (650 ± 10 °F) | &gt;= 2 hrs.</t>
  </si>
  <si>
    <t>FGS-8B7 (Deshidrogenado / Horneado) | 190 - 204 °C (375 - 400 °F) | 337 - 349 (650 ± 10 °F) | &gt;= 24 hrs.</t>
  </si>
  <si>
    <t>FGS-8B7 (Deshidrogenado / Horneado) | 190 - 204 °C (375 - 400 °F) | 337 - 349 (650 ± 10 °F) | &gt;= 3 hrs.</t>
  </si>
  <si>
    <t>FGS-8B7 (Deshidrogenado / Horneado) | 190 - 204 °C (375 - 400 °F) | 337 - 349 (650 ± 10 °F) | &gt;= 4 hrs.</t>
  </si>
  <si>
    <t>FGS-8B7 (Deshidrogenado / Horneado) | 190 - 204 °C (375 - 400 °F) | 337 - 349 (650 ± 10 °F) | &gt;= 5 hrs.</t>
  </si>
  <si>
    <t>FGS-8B7 (Deshidrogenado / Horneado) | 190 - 204 °C (375 - 400 °F) | 337 - 349 (650 ± 10 °F) | &gt;= 6 hrs.</t>
  </si>
  <si>
    <t>FGS-8B7 (Deshidrogenado / Horneado) | 190 - 204 °C (375 - 400 °F) | 337 - 349 (650 ± 10 °F) | &gt;= 8 hrs.</t>
  </si>
  <si>
    <t>FTR00055 (Níquel) | 2 - 4 µm</t>
  </si>
  <si>
    <t>MIL-DTL-16232G (Deshidrogenado) | 98 - 107 °C | &gt;= 8 hrs.</t>
  </si>
  <si>
    <t>Parker</t>
  </si>
  <si>
    <t>48053-001-01 (Deshidrogenado / Endurecido) | 176 - 204 °C (375 ± 25 °F) | No aplica | &gt;= 0.5 hrs.</t>
  </si>
  <si>
    <t>48053-001-01 (Deshidrogenado / Endurecido) | 176 - 204 °C (375 ± 25 °F) | No aplica | &gt;= 1 hrs.</t>
  </si>
  <si>
    <t>48053-001-01 (Deshidrogenado / Endurecido) | 176 - 204 °C (375 ± 25 °F) | No aplica | &gt;= 10 hrs.</t>
  </si>
  <si>
    <t>48053-001-01 (Deshidrogenado / Endurecido) | 176 - 204 °C (375 ± 25 °F) | No aplica | &gt;= 14 hrs.</t>
  </si>
  <si>
    <t>48053-001-01 (Deshidrogenado / Endurecido) | 176 - 204 °C (375 ± 25 °F) | No aplica | &gt;= 2 hrs.</t>
  </si>
  <si>
    <t>48053-001-01 (Deshidrogenado / Endurecido) | 176 - 204 °C (375 ± 25 °F) | No aplica | &gt;= 24 hrs.</t>
  </si>
  <si>
    <t>48053-001-01 (Deshidrogenado / Endurecido) | 176 - 204 °C (375 ± 25 °F) | No aplica | &gt;= 3 hrs.</t>
  </si>
  <si>
    <t>48053-001-01 (Deshidrogenado / Endurecido) | 176 - 204 °C (375 ± 25 °F) | No aplica | &gt;= 4 hrs.</t>
  </si>
  <si>
    <t>48053-001-01 (Deshidrogenado / Endurecido) | 176 - 204 °C (375 ± 25 °F) | No aplica | &gt;= 5 hrs.</t>
  </si>
  <si>
    <t>48053-001-01 (Deshidrogenado / Endurecido) | 176 - 204 °C (375 ± 25 °F) | No aplica | &gt;= 6 hrs.</t>
  </si>
  <si>
    <t>48053-001-01 (Deshidrogenado / Endurecido) | 176 - 204 °C (375 ± 25 °F) | No aplica | &gt;= 8 hrs.</t>
  </si>
  <si>
    <t>DIN 50967 | 5 - 8 µm</t>
  </si>
  <si>
    <t>FC-F01 | 8.0 - 12.5 µm</t>
  </si>
  <si>
    <t>FGS-8B7 (Deshidrogenado / Horneado) | No aplica | 337 - 349 (650 ± 10 °F) | &gt;= 0.5 hrs.</t>
  </si>
  <si>
    <t>FGS-8B7 (Deshidrogenado / Horneado) | No aplica | 337 - 349 (650 ± 10 °F) | &gt;= 1 hrs.</t>
  </si>
  <si>
    <t>FGS-8B7 (Deshidrogenado / Horneado) | No aplica | 337 - 349 (650 ± 10 °F) | &gt;= 10 hrs.</t>
  </si>
  <si>
    <t>FGS-8B7 (Deshidrogenado / Horneado) | No aplica | 337 - 349 (650 ± 10 °F) | &gt;= 14 hrs.</t>
  </si>
  <si>
    <t>FGS-8B7 (Deshidrogenado / Horneado) | No aplica | 337 - 349 (650 ± 10 °F) | &gt;= 2 hrs.</t>
  </si>
  <si>
    <t>FGS-8B7 (Deshidrogenado / Horneado) | No aplica | 337 - 349 (650 ± 10 °F) | &gt;= 24 hrs.</t>
  </si>
  <si>
    <t>FGS-8B7 (Deshidrogenado / Horneado) | No aplica | 337 - 349 (650 ± 10 °F) | &gt;= 3 hrs.</t>
  </si>
  <si>
    <t>FGS-8B7 (Deshidrogenado / Horneado) | No aplica | 337 - 349 (650 ± 10 °F) | &gt;= 4 hrs.</t>
  </si>
  <si>
    <t>FGS-8B7 (Deshidrogenado / Horneado) | No aplica | 337 - 349 (650 ± 10 °F) | &gt;= 5 hrs.</t>
  </si>
  <si>
    <t>FGS-8B7 (Deshidrogenado / Horneado) | No aplica | 337 - 349 (650 ± 10 °F) | &gt;= 6 hrs.</t>
  </si>
  <si>
    <t>FGS-8B7 (Deshidrogenado / Horneado) | No aplica | 337 - 349 (650 ± 10 °F) | &gt;= 8 hrs.</t>
  </si>
  <si>
    <t>FGS-8B7 (Deshidrogenado / Horneado) | 190 - 204 °C (375 - 400 °F) | No aplica | &gt;= 0.5 hrs.</t>
  </si>
  <si>
    <t>FGS-8B7 (Deshidrogenado / Horneado) | 190 - 204 °C (375 - 400 °F) | No aplica | &gt;= 1 hrs.</t>
  </si>
  <si>
    <t>FGS-8B7 (Deshidrogenado / Horneado) | 190 - 204 °C (375 - 400 °F) | No aplica | &gt;= 10 hrs.</t>
  </si>
  <si>
    <t>FGS-8B7 (Deshidrogenado / Horneado) | 190 - 204 °C (375 - 400 °F) | No aplica | &gt;= 14 hrs.</t>
  </si>
  <si>
    <t>FGS-8B7 (Deshidrogenado / Horneado) | 190 - 204 °C (375 - 400 °F) | No aplica | &gt;= 2 hrs.</t>
  </si>
  <si>
    <t>FGS-8B7 (Deshidrogenado / Horneado) | 190 - 204 °C (375 - 400 °F) | No aplica | &gt;= 24 hrs.</t>
  </si>
  <si>
    <t>FGS-8B7 (Deshidrogenado / Horneado) | 190 - 204 °C (375 - 400 °F) | No aplica | &gt;= 3 hrs.</t>
  </si>
  <si>
    <t>FGS-8B7 (Deshidrogenado / Horneado) | 190 - 204 °C (375 - 400 °F) | No aplica | &gt;= 4 hrs.</t>
  </si>
  <si>
    <t>FGS-8B7 (Deshidrogenado / Horneado) | 190 - 204 °C (375 - 400 °F) | No aplica | &gt;= 5 hrs.</t>
  </si>
  <si>
    <t>FGS-8B7 (Deshidrogenado / Horneado) | 190 - 204 °C (375 - 400 °F) | No aplica | &gt;= 6 hrs.</t>
  </si>
  <si>
    <t>FGS-8B7 (Deshidrogenado / Horneado) | 190 - 204 °C (375 - 400 °F) | No aplica | &gt;= 8 hrs.</t>
  </si>
  <si>
    <t>FGS-8B7 (Deshidrogenado / Horneado) | No aplica | No aplica | &gt;= 0.5 hrs.</t>
  </si>
  <si>
    <t>FGS-8B7 (Deshidrogenado / Horneado) | No aplica | No aplica | &gt;= 1 hrs.</t>
  </si>
  <si>
    <t>FGS-8B7 (Deshidrogenado / Horneado) | No aplica | No aplica | &gt;= 10 hrs.</t>
  </si>
  <si>
    <t>FGS-8B7 (Deshidrogenado / Horneado) | No aplica | No aplica | &gt;= 14 hrs.</t>
  </si>
  <si>
    <t>FGS-8B7 (Deshidrogenado / Horneado) | No aplica | No aplica | &gt;= 2 hrs.</t>
  </si>
  <si>
    <t>FGS-8B7 (Deshidrogenado / Horneado) | No aplica | No aplica | &gt;= 24 hrs.</t>
  </si>
  <si>
    <t>FGS-8B7 (Deshidrogenado / Horneado) | No aplica | No aplica | &gt;= 3 hrs.</t>
  </si>
  <si>
    <t>FGS-8B7 (Deshidrogenado / Horneado) | No aplica | No aplica | &gt;= 4 hrs.</t>
  </si>
  <si>
    <t>FGS-8B7 (Deshidrogenado / Horneado) | No aplica | No aplica | &gt;= 5 hrs.</t>
  </si>
  <si>
    <t>FGS-8B7 (Deshidrogenado / Horneado) | No aplica | No aplica | &gt;= 6 hrs.</t>
  </si>
  <si>
    <t>FGS-8B7 (Deshidrogenado / Horneado) | No aplica | No aplica | &gt;= 8 hrs.</t>
  </si>
  <si>
    <t>BOOSTER PRECISION COMPONENTS (BELUSA) S.R.O. — Beluša-Hloža 2520, Booster Precision Com</t>
  </si>
  <si>
    <t>BRAININ DE MEXICO — Dirección Fiscal, — Av. San Luis Tlatilc</t>
  </si>
  <si>
    <t>CGR DE MEXICO — Dirección fiscal, — Sin Nombre 7, Fracci</t>
  </si>
  <si>
    <t>CONTROLES Y MEDIDORES ESPECIALIZADOS — Dirección Fiscal — Paseo de la Reforma 2</t>
  </si>
  <si>
    <t>CUPRUM — Dirección Fiscal — Av. Diego Díaz de Ber</t>
  </si>
  <si>
    <t>DISEÑO Y METALMECANICA — Dirección Fiscal — Coltongo 158, Azcapot</t>
  </si>
  <si>
    <t xml:space="preserve">DISPOSITIVOS MECANICOS R.B. — Dirección Fiscal — Avenida de la Piedra </t>
  </si>
  <si>
    <t>ECOPLATING — 1 de Mayo, 1803, Toluca, Toluca de Lerdo</t>
  </si>
  <si>
    <t>ECOPLATING MONTERREY — Quinta Avenida 203 Parque Industrial Esc</t>
  </si>
  <si>
    <t>ESTAMPADOS MONTERREY — DIAZ ORDAZ 339 Santa Catarina Centro San</t>
  </si>
  <si>
    <t>FALCO ELECTRONICS MEXICO — Dirección fiscal — Calle 37 611 Itzincab</t>
  </si>
  <si>
    <t>FASTENAL MEXICO — Dirección Fiscal — Libramiento Noreste -</t>
  </si>
  <si>
    <t>FEDERAL MOGUL — Tenneco Puebla, Carretera Resurrección 7</t>
  </si>
  <si>
    <t>FEDERAL-MOGUL DE MEXICO — Poniente 150 956 Industrial Vallejo Ciud</t>
  </si>
  <si>
    <t>FISHER CONTROLES DE MEXICO — Dirección Fiscal — Industrias Químicas 2</t>
  </si>
  <si>
    <t>GRAMMER AUTOMOTIVE PUEBLA — Dirección Fiscal — Ivan Cortés Blvd TETL</t>
  </si>
  <si>
    <t>GRUPO COLLADO — Dirección Fiscal — Av. Gavilán 200, Guad</t>
  </si>
  <si>
    <t>HIRSCHVOGEL COMPONENTS MEXICO — Dirección Fiscal — Dr. Manfred Hirschvog</t>
  </si>
  <si>
    <t>HOFFMANN PRECISION METAL — Privada del Conde 4 Int. 2, Parque Indus</t>
  </si>
  <si>
    <t>HUBBELL PRODUCTS MEXICO — Dirección Fiscal — Cinco Sur 104, Parque</t>
  </si>
  <si>
    <t>IMPRO INDUSTRIES MEXICO — Dirección Fiscal — Rocío de la Cruz Pich</t>
  </si>
  <si>
    <t>INDUSTRIA EN ENGRANES Y MAQUINADOS — Moldeadores 318, Colonia Pro-hogar, Azca</t>
  </si>
  <si>
    <t>INDUSTRIAL ELECTRIC MANUFACTURING — 3600 Port Jacksonville Pkwy Jacksonville</t>
  </si>
  <si>
    <t>INDUSTRIAL TAMTO DE PUEBLA — Av. Hidalgo 24, Col. Santa Cruz Buenavis</t>
  </si>
  <si>
    <t>INDUSTRIAS MECANICO ELECTRICAS — Av. Central 23, Col. Rústica Xalostoc, E</t>
  </si>
  <si>
    <t>INDUSTRIAS UNIDAS — Dirección Fiscal — IUSA CARRETERA PANAME</t>
  </si>
  <si>
    <t>INTEGRACION Y DIGITALIZACION INDUSTRIAL — Sandino Martinez Villa union 451 Monterr</t>
  </si>
  <si>
    <t xml:space="preserve">INTERNATIONAL METALS DE MEXICO — IMMSA Avenida Alfredo del Mazo #14 Lote </t>
  </si>
  <si>
    <t>KEATS DE MEXICO — KEATS DE MEXICO Av. Brasil 17 Parque Ind</t>
  </si>
  <si>
    <t>KEMET ELECTRONICS CORPORATION — Dirección Fiscal — BILLY MITCHELL BLVD B</t>
  </si>
  <si>
    <t>KERN LIEBERS MEXICO — Kern liebers AVENIDA EL TEPEYAC 11080 In</t>
  </si>
  <si>
    <t>KWD INDUSTRIAS — Calle 4 Norte 100 Parque Industrial Tolu</t>
  </si>
  <si>
    <t>LEV INDUSTRIAL — Antigua Carretera a Querétaro S/N Bodega</t>
  </si>
  <si>
    <t>MACOR DE MEXICO — Doctor Coss 2330 Del Norte Monterrey, Nu</t>
  </si>
  <si>
    <t>MANUFACTURAS METALICAS CORREA — Dirección Fiscal — Priv. de los Gómez Lo</t>
  </si>
  <si>
    <t>MAQGARBEN Y SERVICIOS — Priv. Elias Flores, 810, Moderno Apodaca</t>
  </si>
  <si>
    <t>MECANOMATIC — Dirección Fiscal — España 440, San Nicol</t>
  </si>
  <si>
    <t xml:space="preserve">MECANOMATIC GTO — Ingenieros 106, Distribuidor Industrial </t>
  </si>
  <si>
    <t xml:space="preserve">MJCELCO MEXICO — Dirección fiscal — AVENIDA LUIS DONALDO </t>
  </si>
  <si>
    <t>MUCCINI — Aguascalientes, 1430, LOC 3 Reynosa, Tam</t>
  </si>
  <si>
    <t>National Presort — 14901 Trinity Blvd Ft Worth, TX  76155 U</t>
  </si>
  <si>
    <t xml:space="preserve">NEW DYNACAST DE MEXICO — Tejocotes Lote 77 2A, San Martín Obispo </t>
  </si>
  <si>
    <t>NICRO — NICRO Pirul 33 Bellavista Puente de Viga</t>
  </si>
  <si>
    <t>NUEVA GENERACION MANUFACTURAS — Av. Tezozomoc 239, Fraccionamiento Indus</t>
  </si>
  <si>
    <t>PARKER HANNIFIN DE MEXICO — Eje Uno Norte 100, Parque Industrial Tol</t>
  </si>
  <si>
    <t>POLLMANN DE MEXICO — Circuito Corral de Piedras 52, Corral de</t>
  </si>
  <si>
    <t xml:space="preserve">PROCESOS TECNICOS RAMIREZ — RAMIREZ Avenida de la Piedra 42 Ignacio </t>
  </si>
  <si>
    <t>PRODUCTOS EL ROBLE — Dirección Fiscal — BREA 188 Granjas Méxi</t>
  </si>
  <si>
    <t xml:space="preserve">PROGRESSIVE STAMPING DE MEXICO — PROGRESSIVE STAMPING DE MEXICO Calle 2, </t>
  </si>
  <si>
    <t>PROQUIPA — 1 de Mayo 1801, Zona Industrial, Toluca,</t>
  </si>
  <si>
    <t>RESISTENCIAS JOV — Juárez 13, San José Iturbide,, Guanajuat</t>
  </si>
  <si>
    <t>RESORTES Y PARTES — GUIZAR Y VALENCIA 14-01 San Andrés Atoto</t>
  </si>
  <si>
    <t>ROYAL POWER SOLUTIONS — Royal Power Solutions //Eaton Carr Estat</t>
  </si>
  <si>
    <t>RPK MEXICO — controller@rpk.com.mx Oriente 5 Ciudad I</t>
  </si>
  <si>
    <t>SANMINA CORPORATION — SANMINA 2700 North First Street San Jose</t>
  </si>
  <si>
    <t>SANMINA-SCI DE MEXICO — Planta Monterrey, — AVENIDA INDUSTRIAL R</t>
  </si>
  <si>
    <t>SANMINA-SCI RSP DE MEXICO — SANMINA GDL Carretera.Guadalajara-Chapal</t>
  </si>
  <si>
    <t>SANMINA-SCI SYSTEMS DE MEXICO — Av. Solidaridad Iberoamericana 7020, Clu</t>
  </si>
  <si>
    <t>SCHNEIDER ELECTRIC MEXICO — Planta CDMX, — Michoacán 20, Complejo In</t>
  </si>
  <si>
    <t>SCHNEIDER ELECTRIC MEXICO — Planta Rojo Gómez, — Javier Rojo Gómez 1</t>
  </si>
  <si>
    <t xml:space="preserve">SCHNEIDER ELECTRIC USA INC — Planta 2 Querétaro, — Carretera Estatal </t>
  </si>
  <si>
    <t xml:space="preserve">SCHNEIDER ELECTRIC USA INC — Planta Monterrey, — Blvd. Escobedo 317, </t>
  </si>
  <si>
    <t>SCHNEIDER ELECTRIC USA INC — Planta Querétaro, — Vesta Industrial Par</t>
  </si>
  <si>
    <t>SCHNEIDER ELECTRIC USA INC — Planta Tlaxcala, — Vía Corta Santa Ana P</t>
  </si>
  <si>
    <t xml:space="preserve">SCHNEIDER ELECTRIC USA INC — Planta Xicohténcatl, — FWPR+J7, Tercera </t>
  </si>
  <si>
    <t>Steelhead Manufacturing — 12501 Grand River Rd, Brighton,, MI,  48</t>
  </si>
  <si>
    <t>STK INDUSTRIAS — Carretera a Villa de García 2501 - Bodeg</t>
  </si>
  <si>
    <t>TECNOLOGIA HERGO — Dirección Fiscal — PRIV. DE JOSE CLARK F</t>
  </si>
  <si>
    <t>THYSSENKRUPP MATERIALS DE MEXICO — KM 117 AUTOPISTA MEXICO PUEBLA Sin Numer</t>
  </si>
  <si>
    <t>TINPRECISION — TINPRECISION 20 de Noviembre 1001 Santia</t>
  </si>
  <si>
    <t xml:space="preserve">TROQUELADOS INDUSTRIALES DE PRECISION — Dirección Fiscal — ING. RICARDO RAMIREZ </t>
  </si>
  <si>
    <t>WIELAND METAL SERVICES — La Griega 117, Parque Industrial Queréta</t>
  </si>
  <si>
    <t>ZION &amp; EBENEZER TECHNOLOGIES — Estado de México 1 Int. 2 y 3, Prof. Cri</t>
  </si>
  <si>
    <t>48053-001-01 (Deshidrogenado / Endurecido) | 176 - 204 °C (375 ± 25 °F) | 302 - 329 °C (600 ± 25 °F) | &gt;= 20 hrs.</t>
  </si>
  <si>
    <t>48053-001-01 (Deshidrogenado / Endurecido) | 176 - 204 °C (375 ± 25 °F) | No aplica | &gt;= 20 hrs.</t>
  </si>
  <si>
    <t>48053-001-01 (Deshidrogenado / Endurecido) | No aplica | 302 - 329 °C (600 ± 25 °F) | &gt;= 0.5 hrs.</t>
  </si>
  <si>
    <t>48053-001-01 (Deshidrogenado / Endurecido) | No aplica | 302 - 329 °C (600 ± 25 °F) | &gt;= 1 hrs.</t>
  </si>
  <si>
    <t>48053-001-01 (Deshidrogenado / Endurecido) | No aplica | 302 - 329 °C (600 ± 25 °F) | &gt;= 10 hrs.</t>
  </si>
  <si>
    <t>48053-001-01 (Deshidrogenado / Endurecido) | No aplica | 302 - 329 °C (600 ± 25 °F) | &gt;= 14 hrs.</t>
  </si>
  <si>
    <t>48053-001-01 (Deshidrogenado / Endurecido) | No aplica | 302 - 329 °C (600 ± 25 °F) | &gt;= 2 hrs.</t>
  </si>
  <si>
    <t>48053-001-01 (Deshidrogenado / Endurecido) | No aplica | 302 - 329 °C (600 ± 25 °F) | &gt;= 20 hrs.</t>
  </si>
  <si>
    <t>48053-001-01 (Deshidrogenado / Endurecido) | No aplica | 302 - 329 °C (600 ± 25 °F) | &gt;= 24 hrs.</t>
  </si>
  <si>
    <t>48053-001-01 (Deshidrogenado / Endurecido) | No aplica | 302 - 329 °C (600 ± 25 °F) | &gt;= 3 hrs.</t>
  </si>
  <si>
    <t>48053-001-01 (Deshidrogenado / Endurecido) | No aplica | 302 - 329 °C (600 ± 25 °F) | &gt;= 4 hrs.</t>
  </si>
  <si>
    <t>48053-001-01 (Deshidrogenado / Endurecido) | No aplica | 302 - 329 °C (600 ± 25 °F) | &gt;= 5 hrs.</t>
  </si>
  <si>
    <t>48053-001-01 (Deshidrogenado / Endurecido) | No aplica | 302 - 329 °C (600 ± 25 °F) | &gt;= 6 hrs.</t>
  </si>
  <si>
    <t>48053-001-01 (Deshidrogenado / Endurecido) | No aplica | 302 - 329 °C (600 ± 25 °F) | &gt;= 8 hrs.</t>
  </si>
  <si>
    <t>48053-001-01 (Deshidrogenado / Endurecido) | No aplica | No aplica | &gt;= 0.5 hrs.</t>
  </si>
  <si>
    <t>48053-001-01 (Deshidrogenado / Endurecido) | No aplica | No aplica | &gt;= 1 hrs.</t>
  </si>
  <si>
    <t>48053-001-01 (Deshidrogenado / Endurecido) | No aplica | No aplica | &gt;= 10 hrs.</t>
  </si>
  <si>
    <t>48053-001-01 (Deshidrogenado / Endurecido) | No aplica | No aplica | &gt;= 14 hrs.</t>
  </si>
  <si>
    <t>48053-001-01 (Deshidrogenado / Endurecido) | No aplica | No aplica | &gt;= 2 hrs.</t>
  </si>
  <si>
    <t>48053-001-01 (Deshidrogenado / Endurecido) | No aplica | No aplica | &gt;= 20 hrs.</t>
  </si>
  <si>
    <t>48053-001-01 (Deshidrogenado / Endurecido) | No aplica | No aplica | &gt;= 24 hrs.</t>
  </si>
  <si>
    <t>48053-001-01 (Deshidrogenado / Endurecido) | No aplica | No aplica | &gt;= 3 hrs.</t>
  </si>
  <si>
    <t>48053-001-01 (Deshidrogenado / Endurecido) | No aplica | No aplica | &gt;= 4 hrs.</t>
  </si>
  <si>
    <t>48053-001-01 (Deshidrogenado / Endurecido) | No aplica | No aplica | &gt;= 5 hrs.</t>
  </si>
  <si>
    <t>48053-001-01 (Deshidrogenado / Endurecido) | No aplica | No aplica | &gt;= 6 hrs.</t>
  </si>
  <si>
    <t>48053-001-01 (Deshidrogenado / Endurecido) | No aplica | No aplica | &gt;= 8 hrs.</t>
  </si>
  <si>
    <t>FFS-2E3 (Cromo Duro) | 5.08 - 7.62 µm</t>
  </si>
  <si>
    <t>Hirschvogel (Cromo Duro) | 21 - 25 µm</t>
  </si>
  <si>
    <t>RC MnPO4 (Fosfato de Manganeso - Medición de Grano) | 2.54 - 7.62 µm</t>
  </si>
  <si>
    <t>Carga Masiva Steelhead v13</t>
  </si>
  <si>
    <t xml:space="preserve">BROVEDANI MEXICO S.A DE C.V — </t>
  </si>
  <si>
    <t>SCHNEIDER ELECTRIC USA INC — Dirección Fiscal, — 5914 San Bernardo, S</t>
  </si>
  <si>
    <t>T100 (LMC)-T104 (DEC)-T104 (EST)-CU/BR-HUBBELL (6.0)</t>
  </si>
  <si>
    <t>T109 (DEC)-T109 (NBR)-FE/AC-GRANEL (15.0)</t>
  </si>
  <si>
    <t>T109 (DEC)-T109 (NBR)-T100 (HOR)-FE/AC-GRANEL (15.0)</t>
  </si>
  <si>
    <t>T109 (DEC)-T109 (NSU)-FE/AC-GRANEL (15.0)</t>
  </si>
  <si>
    <t>T109 (NBR)-T106 (ZIN)-T106(CAZ)-FE-VARIOS (10.0)</t>
  </si>
  <si>
    <t>T204 (PLA)-CU/BR-VARIOS  (16.1)</t>
  </si>
  <si>
    <t>Decapa281Ndo Estañado</t>
  </si>
  <si>
    <t>Epóxico MT Alto Grosor</t>
  </si>
  <si>
    <t>IMMSA</t>
  </si>
  <si>
    <t>Proyecto Declinado</t>
  </si>
  <si>
    <t>T114</t>
  </si>
  <si>
    <t>1.28.032 (Níquel) | 5.08 - 8.89 µm</t>
  </si>
  <si>
    <t>1.28.037 (Zinc Cromato Tropicalizado) | 3.81 - 5.08 µm</t>
  </si>
  <si>
    <t>1.28.037 (Zinc Cromato Tropicalizado) | 5.08 - 10.16 µm</t>
  </si>
  <si>
    <t>1.28.037 (Zinc Cromato Tropicalizado) | 5.08 - 8.89 µm</t>
  </si>
  <si>
    <t>40001-050-01 (Plata Flash) | 0.508 - 1.016 µm</t>
  </si>
  <si>
    <t>40004-014-01 (Estaño) | 5 - 10 µm | 0.5 - 1.0 µm</t>
  </si>
  <si>
    <t>40004-014-01 (Estaño) | 5 - 10 µm | No aplica</t>
  </si>
  <si>
    <t>40004-014-01 (Estaño) | 5 - 8 µm | 0.5 - 1.0 µm</t>
  </si>
  <si>
    <t>40004-014-01 (Estaño) | 5 - 8 µm | No aplica</t>
  </si>
  <si>
    <t>40004-015-01 (Estaño) | 5 - 10 µm | 0.5 - 1.0 µm</t>
  </si>
  <si>
    <t>40004-015-01 (Estaño) | 5 - 10 µm | No aplica</t>
  </si>
  <si>
    <t>40004-015-01 (Estaño) | 5 - 8 µm | 0.5 - 1.0 µm</t>
  </si>
  <si>
    <t>40004-015-01 (Estaño) | 5 - 8 µm | No aplica</t>
  </si>
  <si>
    <t>40004-017-01 (Zinc) | 12.19 - 15.49 µm</t>
  </si>
  <si>
    <t>40004-017-01 (Zinc) | 15.49 - 20 µm</t>
  </si>
  <si>
    <t>40004-017-01 (Zinc) | 2.54 - 4.44 µm</t>
  </si>
  <si>
    <t>40004-017-01 (Zinc) | 2.54 - 6.35 µm</t>
  </si>
  <si>
    <t>40004-017-01 (Zinc) | 4.44 - 6.35 µm</t>
  </si>
  <si>
    <t>40004-017-01 (Zinc) | 6.35 - 10.16 µm</t>
  </si>
  <si>
    <t>40004-017-01 (Zinc) | 8- 12.19 µm</t>
  </si>
  <si>
    <t>40004-022-01 (Estaño) | 5 - 10 µm | 0.5 - 1.0 µm</t>
  </si>
  <si>
    <t>40004-022-01 (Estaño) | 5 - 10 µm | No aplica</t>
  </si>
  <si>
    <t>40004-022-01 (Estaño) | 5 - 8 µm | 0.5 - 1.0 µm</t>
  </si>
  <si>
    <t>40004-022-01 (Estaño) | 5 - 8 µm | No aplica</t>
  </si>
  <si>
    <t>40004-055-01 (Plata) | 5 - 8 µm</t>
  </si>
  <si>
    <t>40004-086-01 (Plata Flash) | 1.27 - 2.54 µm</t>
  </si>
  <si>
    <t>40004-086-01 (Plata Flash) | 1.27 - 3 µm</t>
  </si>
  <si>
    <t>40004-086-01 (Plata Flash) | 1.27 - 3.5 µm</t>
  </si>
  <si>
    <t>48057-002-01 (Níquel) | 2.54 - 5.08 µm</t>
  </si>
  <si>
    <t>48057-002-02 (Níquel Bimetales) | 2.5- 5.0 µm</t>
  </si>
  <si>
    <t>48057-003-01 (Zinc) | 3.8 - 6.0 µm</t>
  </si>
  <si>
    <t>48057-006-01 (Plata) | 1.88- 2.56 µm</t>
  </si>
  <si>
    <t>48057-006-01 (Plata) | 2.54 - 3.81 µm</t>
  </si>
  <si>
    <t>48057-007-03 (Estaño Bimetales) | 0.6 - 2.0 µm</t>
  </si>
  <si>
    <t>48121-140-03 (Estaño) | 5 - 12 µm | No aplica</t>
  </si>
  <si>
    <t>48957-014-01 (Níquel Electroless) | 2.54 - 7.62 µm</t>
  </si>
  <si>
    <t>48957-014-01 (Níquel Electroless) | 7.62 - 15.24 µm</t>
  </si>
  <si>
    <t>7706XXX | 5.0 - 10.0 µm</t>
  </si>
  <si>
    <t>80040-DS-018 (Epóxico BT) | 14 - 22 mils</t>
  </si>
  <si>
    <t>80065-DS-001 (Estaño) | 5 - 10 µm | 0.5 - 1.0 µm</t>
  </si>
  <si>
    <t>80065-DS-001 (Estaño) | 5 - 10 µm | No aplica</t>
  </si>
  <si>
    <t>80065-DS-001 (Estaño) | 5 - 8 µm | 0.5 - 1.0 µm</t>
  </si>
  <si>
    <t>80065-DS-001 (Estaño) | 5 - 8 µm | No aplica</t>
  </si>
  <si>
    <t>80065-DS-002 (Estaño) | 5 - 10 µm | 0.5 - 1.0 µm</t>
  </si>
  <si>
    <t>80065-DS-002 (Estaño) | 5 - 10 µm | No aplica</t>
  </si>
  <si>
    <t>80065-DS-002 (Estaño) | 5 - 8 µm | 0.5 - 1.0 µm</t>
  </si>
  <si>
    <t>80065-DS-002 (Estaño) | 5 - 8 µm | No aplica</t>
  </si>
  <si>
    <t>80065-DS-004 (Plata) | 1.27 - 2.54 µm</t>
  </si>
  <si>
    <t>80065-DS-004 (Plata) | 1.27 - 3 µm</t>
  </si>
  <si>
    <t>80065-DS-008 (Plata) | 7.62 - 9.52 µm</t>
  </si>
  <si>
    <t>80282-DS-005 (Epóxico BT) | 4 - 11 mils</t>
  </si>
  <si>
    <t>A48057-030-02 (Níquel Electroless) | 7 - 12 µm</t>
  </si>
  <si>
    <t>ASTM B545 (Estaño) | 1.5 - 2.5 µm | 0.5 - 1.0 µm</t>
  </si>
  <si>
    <t>ASTM B545 (Estaño) | 1.5 - 2.5 µm | 1.0 - 2.54 µm</t>
  </si>
  <si>
    <t>ASTM B545 (Estaño) | 1.5 - 2.5 µm | 2.54 - 5.08 µm</t>
  </si>
  <si>
    <t>ASTM B545 (Estaño) | 1.5 - 2.5 µm | 5.08 - 10.16 µm</t>
  </si>
  <si>
    <t>ASTM B545 (Estaño) | 1.5 - 2.5 µm | No aplica</t>
  </si>
  <si>
    <t>ASTM B545 (Estaño) | 15 - 30 µm | 0.5 - 1.0 µm</t>
  </si>
  <si>
    <t>ASTM B545 (Estaño) | 15 - 30 µm | 1.0 - 2.54 µm</t>
  </si>
  <si>
    <t>ASTM B545 (Estaño) | 15 - 30 µm | 2.54 - 5.08 µm</t>
  </si>
  <si>
    <t>ASTM B545 (Estaño) | 15 - 30 µm | 5.08 - 10.16 µm</t>
  </si>
  <si>
    <t>ASTM B545 (Estaño) | 15 - 30 µm | No aplica</t>
  </si>
  <si>
    <t>ASTM B545 (Estaño) | 2.5 - 5 µm | 0.5 - 1.0 µm</t>
  </si>
  <si>
    <t>ASTM B545 (Estaño) | 2.5 - 5 µm | 1.0 - 2.54 µm</t>
  </si>
  <si>
    <t>ASTM B545 (Estaño) | 2.5 - 5 µm | 2.54 - 5.08 µm</t>
  </si>
  <si>
    <t>ASTM B545 (Estaño) | 2.5 - 5 µm | 5.08 - 10.16 µm</t>
  </si>
  <si>
    <t>ASTM B545 (Estaño) | 2.5 - 5 µm | No aplica</t>
  </si>
  <si>
    <t>ASTM B545 (Estaño) | 30 - 50 µm | 0.5 - 1.0 µm</t>
  </si>
  <si>
    <t>ASTM B545 (Estaño) | 30 - 50 µm | 1.0 - 2.54 µm</t>
  </si>
  <si>
    <t>ASTM B545 (Estaño) | 30 - 50 µm | 2.54 - 5.08 µm</t>
  </si>
  <si>
    <t>ASTM B545 (Estaño) | 30 - 50 µm | 5.08 - 10.16 µm</t>
  </si>
  <si>
    <t>ASTM B545 (Estaño) | 30 - 50 µm | No aplica</t>
  </si>
  <si>
    <t>ASTM B545 (Estaño) | 5 - 8 µm | 0.5 - 1.0 µm</t>
  </si>
  <si>
    <t>ASTM B545 (Estaño) | 5 - 8 µm | 1.0 - 2.54 µm</t>
  </si>
  <si>
    <t>ASTM B545 (Estaño) | 5 - 8 µm | 2.54 - 5.08 µm</t>
  </si>
  <si>
    <t>ASTM B545 (Estaño) | 5 - 8 µm | 5.08 - 10.16 µm</t>
  </si>
  <si>
    <t>ASTM B545 (Estaño) | 5 - 8 µm | No aplica</t>
  </si>
  <si>
    <t>ASTM B545 (Estaño) | 8 - 15 µm | 0.5 - 1.0 µm</t>
  </si>
  <si>
    <t>ASTM B545 (Estaño) | 8 - 15 µm | 1.0 - 2.54 µm</t>
  </si>
  <si>
    <t>ASTM B545 (Estaño) | 8 - 15 µm | 2.54 - 5.08 µm</t>
  </si>
  <si>
    <t>ASTM B545 (Estaño) | 8 - 15 µm | 5.08 - 10.16 µm</t>
  </si>
  <si>
    <t>ASTM B545 (Estaño) | 8 - 15 µm | No aplica</t>
  </si>
  <si>
    <t>ASTM B633 (Zinc) | 12 - 25 µm</t>
  </si>
  <si>
    <t>ASTM B633 (Zinc) | 25 - 40 µm</t>
  </si>
  <si>
    <t>ASTM B633 (Zinc) | 5 - 8 µm</t>
  </si>
  <si>
    <t>ASTM B633 (Zinc) | 8 - 12 µm</t>
  </si>
  <si>
    <t>ASTM B689 (Níquel) | 100 - 150 µm</t>
  </si>
  <si>
    <t>ASTM B689 (Níquel) | 5 - 12 µm</t>
  </si>
  <si>
    <t>ASTM B700 (Plata) | .41 - 2.5 µm</t>
  </si>
  <si>
    <t>BURNDY DI-EI-01/81 (Estaño) | 5 - 12 µm | No aplica</t>
  </si>
  <si>
    <t>BURNDY DI-EI-01/81 (Estaño) | 5 - 8 µm | No aplica</t>
  </si>
  <si>
    <t>BURNDY DI-EI-01/81 (Estaño) | 8 - 12 µm | No aplica</t>
  </si>
  <si>
    <t>DS258-103-00 (Estaño) | 5.08 - 10.16 µm | No aplica</t>
  </si>
  <si>
    <t>E27550 (Plata) | 1.27 - 2.54 µm</t>
  </si>
  <si>
    <t>E27550 (Plata) | 1.27 - 3 µm</t>
  </si>
  <si>
    <t>E27550 (Plata) | 1.27 - 3.81 µm</t>
  </si>
  <si>
    <t>E27551 (Plata) | 5 - 12 µm</t>
  </si>
  <si>
    <t>E27551 (Plata) | 5 - 8 µm</t>
  </si>
  <si>
    <t>E27551 (Plata) | 8 - 12 µm</t>
  </si>
  <si>
    <t>E27600 (Zinc) | 8 - 12 µm</t>
  </si>
  <si>
    <t>E27780 (Epóxico MT) | 80 - 100 mils</t>
  </si>
  <si>
    <t>EIPS (Zinc - Niquel) | 8 - 12 µm</t>
  </si>
  <si>
    <t>F50KD12 (Estaño) | 0.254 - 1.5 µm | No aplica</t>
  </si>
  <si>
    <t>F70F2 (Estaño Mate) | 0.508 - 1.016 µm | 0.762 - 1.27 µm</t>
  </si>
  <si>
    <t>F70F2 (Estaño Mate) | 0.508 - 1.016 µm | 5.08 - 10.16 µm</t>
  </si>
  <si>
    <t>F70F2 (Estaño Mate) | 0.508 - 1.016 µm | No aplica</t>
  </si>
  <si>
    <t>F70F2 (Estaño Mate) | 12.7 - 19.05 µm | 0.762 - 1.27 µm</t>
  </si>
  <si>
    <t>F70F2 (Estaño Mate) | 12.7 - 19.05 µm | 5.08 - 10.16 µm</t>
  </si>
  <si>
    <t>F70F2 (Estaño Mate) | 12.7 - 19.05 µm | No aplica</t>
  </si>
  <si>
    <t>F70F2 (Estaño Mate) | 2.54 - 5.08 µm | 0.762 - 1.27 µm</t>
  </si>
  <si>
    <t>F70F2 (Estaño Mate) | 2.54 - 5.08 µm | 5.08 - 10.16 µm</t>
  </si>
  <si>
    <t>F70F2 (Estaño Mate) | 2.54 - 5.08 µm | No aplica</t>
  </si>
  <si>
    <t>F70F2 (Estaño Mate) | 25.4 - 38.1 µm | 0.762 - 1.27 µm</t>
  </si>
  <si>
    <t>F70F2 (Estaño Mate) | 25.4 - 38.1 µm | 5.08 - 10.16 µm</t>
  </si>
  <si>
    <t>F70F2 (Estaño Mate) | 25.4 - 38.1 µm | No aplica</t>
  </si>
  <si>
    <t>F70F2 (Estaño Mate) | 3.81 - 7.62 µm | 0.762 - 1.27 µm</t>
  </si>
  <si>
    <t>F70F2 (Estaño Mate) | 3.81 - 7.62 µm | 5.08 - 10.16 µm</t>
  </si>
  <si>
    <t>F70F2 (Estaño Mate) | 3.81 - 7.62 µm | No aplica</t>
  </si>
  <si>
    <t>F70F2 (Estaño Mate) | 5.08 - 10.16 µm | 0.762 - 1.27 µm</t>
  </si>
  <si>
    <t>F70F2 (Estaño Mate) | 5.08 - 10.16 µm | 5.08 - 10.16 µm</t>
  </si>
  <si>
    <t>F70F2 (Estaño Mate) | 5.08 - 10.16 µm | No aplica</t>
  </si>
  <si>
    <t>F70H2 (Plata Mate) | 0.3 - 0.6 µm</t>
  </si>
  <si>
    <t>F70H2 (Plata Mate) | 10.16 - 15.24 µm</t>
  </si>
  <si>
    <t>F70H2 (Plata Mate) | 12.7 - 19.05 µm</t>
  </si>
  <si>
    <t>F70H2 (Plata Mate) | 2.54 - 7.62 µm</t>
  </si>
  <si>
    <t>F70H2 (Plata Mate) | 5.08 - 10.16 µm</t>
  </si>
  <si>
    <t>F70H3 (Plata Semibrillante) | 12.7 - 19.05 µm</t>
  </si>
  <si>
    <t>F70H3 (Plata Semibrillante) | 2.54 - 5.08 µm</t>
  </si>
  <si>
    <t>F70H3 (Plata Semibrillante) | 5.08 - 10.16 µm</t>
  </si>
  <si>
    <t>F71B1 (Estaño) | 0.762 - 1.27 µm | 0.5 - 1.0 µm</t>
  </si>
  <si>
    <t>F71B1 (Estaño) | 0.762 - 1.27 µm | No aplica</t>
  </si>
  <si>
    <t>F71D1 (Plata) | 0.076 - 0.152 µm</t>
  </si>
  <si>
    <t>F71D1 (Plata) | 0.508 - 1.016 µm</t>
  </si>
  <si>
    <t>FFS 3A9 (Zinc) | 5 - 12 µm</t>
  </si>
  <si>
    <t>FFS-2B4 (Zinc Cromato Verde - Amarillo - Claro) | 12.7 - 17.78 µm</t>
  </si>
  <si>
    <t>FFS-2B4 (Zinc Cromato Verde - Amarillo - Claro) | 3.81 - 6.35 µm</t>
  </si>
  <si>
    <t>FFS-2B4 (Zinc Cromato Verde - Amarillo - Claro) | 6.35 - 8.89 µm</t>
  </si>
  <si>
    <t>FFS-2E3 (Cromo Duro) | 50.8 - 63.5 µm</t>
  </si>
  <si>
    <t>FTR00025 (Zinc) | 12 - 25 µm</t>
  </si>
  <si>
    <t>FTR00025 (Zinc) | 25 - 40 µm</t>
  </si>
  <si>
    <t>FTR00025 (Zinc) | 40 - 50 µm</t>
  </si>
  <si>
    <t>FTR00025 (Zinc) | 5 - 8 µm</t>
  </si>
  <si>
    <t>FTR00025 (Zinc) | 8 - 12 µm</t>
  </si>
  <si>
    <t>FTR00047 (Plata) | 2 - 5 µm</t>
  </si>
  <si>
    <t>GG QTLV 5115 (Níquel Sulfamato) | 5 - 8 µm</t>
  </si>
  <si>
    <t>GG QTLV 5120.06 (Níquel Sulfamato - Estaño) | 1 - 5 µm | 1 - 3 µm</t>
  </si>
  <si>
    <t>GG QTLV 5120.06 (Níquel Sulfamato - Estaño) | 1 - 5 µm | No aplica</t>
  </si>
  <si>
    <t>GG QTLV 5120.06 (Níquel Sulfamato - Estaño) | 2.5 - 7.6 µm | 1 - 3 µm</t>
  </si>
  <si>
    <t>GG QTLV 5120.06 (Níquel Sulfamato - Estaño) | 2.5 - 7.6 µm | No aplica</t>
  </si>
  <si>
    <t>GG QTLV 5120.06 (Níquel Sulfamato - Estaño) | 8 - 15 µm | 1 - 3 µm</t>
  </si>
  <si>
    <t>GG QTLV 5120.06 (Níquel Sulfamato - Estaño) | 8 - 15 µm | No aplica</t>
  </si>
  <si>
    <t>Hubbell 250µm (Estaño) | 250 - 255 µm | No aplica</t>
  </si>
  <si>
    <t>KDS-258-107 (Estaño) | 2.5 - 5 µm | No aplica</t>
  </si>
  <si>
    <t>NNZ3703201 (Epóxico MT) | 80 - 100 mils</t>
  </si>
  <si>
    <t>RC Ag (Plata) | 0.0762 - 0.127 µm</t>
  </si>
  <si>
    <t>RC Ag (Plata) | 0.127 - 0.254 µm</t>
  </si>
  <si>
    <t>RC Ag (Plata) | 0.127 - 0.762 µm</t>
  </si>
  <si>
    <t>RC Ag (Plata) | 0.254 - 0.762 µm</t>
  </si>
  <si>
    <t>RC Ag (Plata) | 0.254 - 1.27 µm</t>
  </si>
  <si>
    <t>RC Ag (Plata) | 0.4 - 1.27 µm</t>
  </si>
  <si>
    <t>RC Ag (Plata) | 0.4 - 2.54 µm</t>
  </si>
  <si>
    <t>RC Ag (Plata) | 0.508 - 1.27 µm</t>
  </si>
  <si>
    <t>RC Ag (Plata) | 0.762 - 1.27 µm</t>
  </si>
  <si>
    <t>RC Ag (Plata) | 1.27 - 2.54 µm</t>
  </si>
  <si>
    <t>RC Ag (Plata) | 12.7 - 15.24 µm</t>
  </si>
  <si>
    <t>RC Ag (Plata) | 2 - 4 µm</t>
  </si>
  <si>
    <t>RC Ag (Plata) | 2.54 - 5.08 µm</t>
  </si>
  <si>
    <t>RC Ag (Plata) | 5.08 - 10.16 µm</t>
  </si>
  <si>
    <t>RC Ag (Plata) | 7.62 - 12.7 µm</t>
  </si>
  <si>
    <t>RC Cámara Salina | 12 hrs. | 12 hrs.</t>
  </si>
  <si>
    <t>RC Cámara Salina | 12 hrs. | 120 hrs.</t>
  </si>
  <si>
    <t>RC Cámara Salina | 12 hrs. | 144 hrs.</t>
  </si>
  <si>
    <t>RC Cámara Salina | 12 hrs. | 16 hrs.</t>
  </si>
  <si>
    <t>RC Cámara Salina | 12 hrs. | 172 hrs.</t>
  </si>
  <si>
    <t>RC Cámara Salina | 12 hrs. | 200 hrs.</t>
  </si>
  <si>
    <t>RC Cámara Salina | 12 hrs. | 24 hrs.</t>
  </si>
  <si>
    <t>RC Cámara Salina | 12 hrs. | 240 hrs.</t>
  </si>
  <si>
    <t>RC Cámara Salina | 12 hrs. | 36 hrs.</t>
  </si>
  <si>
    <t>RC Cámara Salina | 12 hrs. | 360 hrs.</t>
  </si>
  <si>
    <t>RC Cámara Salina | 12 hrs. | 48 hrs.</t>
  </si>
  <si>
    <t>RC Cámara Salina | 12 hrs. | 480 hrs.</t>
  </si>
  <si>
    <t>RC Cámara Salina | 12 hrs. | 500 hrs.</t>
  </si>
  <si>
    <t>RC Cámara Salina | 12 hrs. | 72 hrs.</t>
  </si>
  <si>
    <t>RC Cámara Salina | 12 hrs. | 720 hrs.</t>
  </si>
  <si>
    <t>RC Cámara Salina | 12 hrs. | 96 hrs.</t>
  </si>
  <si>
    <t>RC Cámara Salina | 12 hrs. | 960 hrs.</t>
  </si>
  <si>
    <t>RC Cámara Salina | 12 hrs. | No aplica</t>
  </si>
  <si>
    <t>RC Cámara Salina | 120 hrs. | 12 hrs.</t>
  </si>
  <si>
    <t>RC Cámara Salina | 120 hrs. | 120 hrs.</t>
  </si>
  <si>
    <t>RC Cámara Salina | 120 hrs. | 144 hrs.</t>
  </si>
  <si>
    <t>RC Cámara Salina | 120 hrs. | 16 hrs.</t>
  </si>
  <si>
    <t>RC Cámara Salina | 120 hrs. | 172 hrs.</t>
  </si>
  <si>
    <t>RC Cámara Salina | 120 hrs. | 200 hrs.</t>
  </si>
  <si>
    <t>RC Cámara Salina | 120 hrs. | 24 hrs.</t>
  </si>
  <si>
    <t>RC Cámara Salina | 120 hrs. | 240 hrs.</t>
  </si>
  <si>
    <t>RC Cámara Salina | 120 hrs. | 36 hrs.</t>
  </si>
  <si>
    <t>RC Cámara Salina | 120 hrs. | 360 hrs.</t>
  </si>
  <si>
    <t>RC Cámara Salina | 120 hrs. | 48 hrs.</t>
  </si>
  <si>
    <t>RC Cámara Salina | 120 hrs. | 480 hrs.</t>
  </si>
  <si>
    <t>RC Cámara Salina | 120 hrs. | 500 hrs.</t>
  </si>
  <si>
    <t>RC Cámara Salina | 120 hrs. | 72 hrs.</t>
  </si>
  <si>
    <t>RC Cámara Salina | 120 hrs. | 720 hrs.</t>
  </si>
  <si>
    <t>RC Cámara Salina | 120 hrs. | 96 hrs.</t>
  </si>
  <si>
    <t>RC Cámara Salina | 120 hrs. | 960 hrs.</t>
  </si>
  <si>
    <t>RC Cámara Salina | 120 hrs. | No aplica</t>
  </si>
  <si>
    <t>RC Cámara Salina | 144 hrs. | 12 hrs.</t>
  </si>
  <si>
    <t>RC Cámara Salina | 144 hrs. | 120 hrs.</t>
  </si>
  <si>
    <t>RC Cámara Salina | 144 hrs. | 144 hrs.</t>
  </si>
  <si>
    <t>RC Cámara Salina | 144 hrs. | 16 hrs.</t>
  </si>
  <si>
    <t>RC Cámara Salina | 144 hrs. | 172 hrs.</t>
  </si>
  <si>
    <t>RC Cámara Salina | 144 hrs. | 200 hrs.</t>
  </si>
  <si>
    <t>RC Cámara Salina | 144 hrs. | 24 hrs.</t>
  </si>
  <si>
    <t>RC Cámara Salina | 144 hrs. | 240 hrs.</t>
  </si>
  <si>
    <t>RC Cámara Salina | 144 hrs. | 36 hrs.</t>
  </si>
  <si>
    <t>RC Cámara Salina | 144 hrs. | 360 hrs.</t>
  </si>
  <si>
    <t>RC Cámara Salina | 144 hrs. | 48 hrs.</t>
  </si>
  <si>
    <t>RC Cámara Salina | 144 hrs. | 480 hrs.</t>
  </si>
  <si>
    <t>RC Cámara Salina | 144 hrs. | 500 hrs.</t>
  </si>
  <si>
    <t>RC Cámara Salina | 144 hrs. | 72 hrs.</t>
  </si>
  <si>
    <t>RC Cámara Salina | 144 hrs. | 720 hrs.</t>
  </si>
  <si>
    <t>RC Cámara Salina | 144 hrs. | 96 hrs.</t>
  </si>
  <si>
    <t>RC Cámara Salina | 144 hrs. | 960 hrs.</t>
  </si>
  <si>
    <t>RC Cámara Salina | 144 hrs. | No aplica</t>
  </si>
  <si>
    <t>RC Cámara Salina | 200 hrs. | 12 hrs.</t>
  </si>
  <si>
    <t>RC Cámara Salina | 200 hrs. | 120 hrs.</t>
  </si>
  <si>
    <t>RC Cámara Salina | 200 hrs. | 144 hrs.</t>
  </si>
  <si>
    <t>RC Cámara Salina | 200 hrs. | 16 hrs.</t>
  </si>
  <si>
    <t>RC Cámara Salina | 200 hrs. | 172 hrs.</t>
  </si>
  <si>
    <t>RC Cámara Salina | 200 hrs. | 200 hrs.</t>
  </si>
  <si>
    <t>RC Cámara Salina | 200 hrs. | 24 hrs.</t>
  </si>
  <si>
    <t>RC Cámara Salina | 200 hrs. | 240 hrs.</t>
  </si>
  <si>
    <t>RC Cámara Salina | 200 hrs. | 36 hrs.</t>
  </si>
  <si>
    <t>RC Cámara Salina | 200 hrs. | 360 hrs.</t>
  </si>
  <si>
    <t>RC Cámara Salina | 200 hrs. | 48 hrs.</t>
  </si>
  <si>
    <t>RC Cámara Salina | 200 hrs. | 480 hrs.</t>
  </si>
  <si>
    <t>RC Cámara Salina | 200 hrs. | 500 hrs.</t>
  </si>
  <si>
    <t>RC Cámara Salina | 200 hrs. | 72 hrs.</t>
  </si>
  <si>
    <t>RC Cámara Salina | 200 hrs. | 720 hrs.</t>
  </si>
  <si>
    <t>RC Cámara Salina | 200 hrs. | 96 hrs.</t>
  </si>
  <si>
    <t>RC Cámara Salina | 200 hrs. | 960 hrs.</t>
  </si>
  <si>
    <t>RC Cámara Salina | 200 hrs. | No aplica</t>
  </si>
  <si>
    <t>RC Cámara Salina | 24 hrs. | 12 hrs.</t>
  </si>
  <si>
    <t>RC Cámara Salina | 24 hrs. | 120 hrs.</t>
  </si>
  <si>
    <t>RC Cámara Salina | 24 hrs. | 144 hrs.</t>
  </si>
  <si>
    <t>RC Cámara Salina | 24 hrs. | 16 hrs.</t>
  </si>
  <si>
    <t>RC Cámara Salina | 24 hrs. | 172 hrs.</t>
  </si>
  <si>
    <t>RC Cámara Salina | 24 hrs. | 200 hrs.</t>
  </si>
  <si>
    <t>RC Cámara Salina | 24 hrs. | 24 hrs.</t>
  </si>
  <si>
    <t>RC Cámara Salina | 24 hrs. | 240 hrs.</t>
  </si>
  <si>
    <t>RC Cámara Salina | 24 hrs. | 36 hrs.</t>
  </si>
  <si>
    <t>RC Cámara Salina | 24 hrs. | 360 hrs.</t>
  </si>
  <si>
    <t>RC Cámara Salina | 24 hrs. | 48 hrs.</t>
  </si>
  <si>
    <t>RC Cámara Salina | 24 hrs. | 480 hrs.</t>
  </si>
  <si>
    <t>RC Cámara Salina | 24 hrs. | 500 hrs.</t>
  </si>
  <si>
    <t>RC Cámara Salina | 24 hrs. | 72 hrs.</t>
  </si>
  <si>
    <t>RC Cámara Salina | 24 hrs. | 720 hrs.</t>
  </si>
  <si>
    <t>RC Cámara Salina | 24 hrs. | 96 hrs.</t>
  </si>
  <si>
    <t>RC Cámara Salina | 24 hrs. | 960 hrs.</t>
  </si>
  <si>
    <t>RC Cámara Salina | 24 hrs. | No aplica</t>
  </si>
  <si>
    <t>RC Cámara Salina | 240 hrs. | 12 hrs.</t>
  </si>
  <si>
    <t>RC Cámara Salina | 240 hrs. | 120 hrs.</t>
  </si>
  <si>
    <t>RC Cámara Salina | 240 hrs. | 144 hrs.</t>
  </si>
  <si>
    <t>RC Cámara Salina | 240 hrs. | 16 hrs.</t>
  </si>
  <si>
    <t>RC Cámara Salina | 240 hrs. | 172 hrs.</t>
  </si>
  <si>
    <t>RC Cámara Salina | 240 hrs. | 200 hrs.</t>
  </si>
  <si>
    <t>RC Cámara Salina | 240 hrs. | 24 hrs.</t>
  </si>
  <si>
    <t>RC Cámara Salina | 240 hrs. | 240 hrs.</t>
  </si>
  <si>
    <t>RC Cámara Salina | 240 hrs. | 36 hrs.</t>
  </si>
  <si>
    <t>RC Cámara Salina | 240 hrs. | 360 hrs.</t>
  </si>
  <si>
    <t>RC Cámara Salina | 240 hrs. | 48 hrs.</t>
  </si>
  <si>
    <t>RC Cámara Salina | 240 hrs. | 480 hrs.</t>
  </si>
  <si>
    <t>RC Cámara Salina | 240 hrs. | 500 hrs.</t>
  </si>
  <si>
    <t>RC Cámara Salina | 240 hrs. | 72 hrs.</t>
  </si>
  <si>
    <t>RC Cámara Salina | 240 hrs. | 720 hrs.</t>
  </si>
  <si>
    <t>RC Cámara Salina | 240 hrs. | 96 hrs.</t>
  </si>
  <si>
    <t>RC Cámara Salina | 240 hrs. | 960 hrs.</t>
  </si>
  <si>
    <t>RC Cámara Salina | 240 hrs. | No aplica</t>
  </si>
  <si>
    <t>RC Cámara Salina | 3 hrs. | 12 hrs.</t>
  </si>
  <si>
    <t>RC Cámara Salina | 3 hrs. | 120 hrs.</t>
  </si>
  <si>
    <t>RC Cámara Salina | 3 hrs. | 144 hrs.</t>
  </si>
  <si>
    <t>RC Cámara Salina | 3 hrs. | 16 hrs.</t>
  </si>
  <si>
    <t>RC Cámara Salina | 3 hrs. | 172 hrs.</t>
  </si>
  <si>
    <t>RC Cámara Salina | 3 hrs. | 200 hrs.</t>
  </si>
  <si>
    <t>RC Cámara Salina | 3 hrs. | 24 hrs.</t>
  </si>
  <si>
    <t>RC Cámara Salina | 3 hrs. | 240 hrs.</t>
  </si>
  <si>
    <t>RC Cámara Salina | 3 hrs. | 36 hrs.</t>
  </si>
  <si>
    <t>RC Cámara Salina | 3 hrs. | 360 hrs.</t>
  </si>
  <si>
    <t>RC Cámara Salina | 3 hrs. | 48 hrs.</t>
  </si>
  <si>
    <t>RC Cámara Salina | 3 hrs. | 480 hrs.</t>
  </si>
  <si>
    <t>RC Cámara Salina | 3 hrs. | 500 hrs.</t>
  </si>
  <si>
    <t>RC Cámara Salina | 3 hrs. | 72 hrs.</t>
  </si>
  <si>
    <t>RC Cámara Salina | 3 hrs. | 720 hrs.</t>
  </si>
  <si>
    <t>RC Cámara Salina | 3 hrs. | 96 hrs.</t>
  </si>
  <si>
    <t>RC Cámara Salina | 3 hrs. | 960 hrs.</t>
  </si>
  <si>
    <t>RC Cámara Salina | 3 hrs. | No aplica</t>
  </si>
  <si>
    <t>RC Cámara Salina | 48 hrs. | 12 hrs.</t>
  </si>
  <si>
    <t>RC Cámara Salina | 48 hrs. | 120 hrs.</t>
  </si>
  <si>
    <t>RC Cámara Salina | 48 hrs. | 144 hrs.</t>
  </si>
  <si>
    <t>RC Cámara Salina | 48 hrs. | 16 hrs.</t>
  </si>
  <si>
    <t>RC Cámara Salina | 48 hrs. | 172 hrs.</t>
  </si>
  <si>
    <t>RC Cámara Salina | 48 hrs. | 200 hrs.</t>
  </si>
  <si>
    <t>RC Cámara Salina | 48 hrs. | 24 hrs.</t>
  </si>
  <si>
    <t>RC Cámara Salina | 48 hrs. | 240 hrs.</t>
  </si>
  <si>
    <t>RC Cámara Salina | 48 hrs. | 36 hrs.</t>
  </si>
  <si>
    <t>RC Cámara Salina | 48 hrs. | 360 hrs.</t>
  </si>
  <si>
    <t>RC Cámara Salina | 48 hrs. | 48 hrs.</t>
  </si>
  <si>
    <t>RC Cámara Salina | 48 hrs. | 480 hrs.</t>
  </si>
  <si>
    <t>RC Cámara Salina | 48 hrs. | 500 hrs.</t>
  </si>
  <si>
    <t>RC Cámara Salina | 48 hrs. | 72 hrs.</t>
  </si>
  <si>
    <t>RC Cámara Salina | 48 hrs. | 720 hrs.</t>
  </si>
  <si>
    <t>RC Cámara Salina | 48 hrs. | 96 hrs.</t>
  </si>
  <si>
    <t>RC Cámara Salina | 48 hrs. | 960 hrs.</t>
  </si>
  <si>
    <t>RC Cámara Salina | 48 hrs. | No aplica</t>
  </si>
  <si>
    <t>RC Cámara Salina | 72 hrs. | 12 hrs.</t>
  </si>
  <si>
    <t>RC Cámara Salina | 72 hrs. | 120 hrs.</t>
  </si>
  <si>
    <t>RC Cámara Salina | 72 hrs. | 144 hrs.</t>
  </si>
  <si>
    <t>RC Cámara Salina | 72 hrs. | 16 hrs.</t>
  </si>
  <si>
    <t>RC Cámara Salina | 72 hrs. | 172 hrs.</t>
  </si>
  <si>
    <t>RC Cámara Salina | 72 hrs. | 200 hrs.</t>
  </si>
  <si>
    <t>RC Cámara Salina | 72 hrs. | 24 hrs.</t>
  </si>
  <si>
    <t>RC Cámara Salina | 72 hrs. | 240 hrs.</t>
  </si>
  <si>
    <t>RC Cámara Salina | 72 hrs. | 36 hrs.</t>
  </si>
  <si>
    <t>RC Cámara Salina | 72 hrs. | 360 hrs.</t>
  </si>
  <si>
    <t>RC Cámara Salina | 72 hrs. | 48 hrs.</t>
  </si>
  <si>
    <t>RC Cámara Salina | 72 hrs. | 480 hrs.</t>
  </si>
  <si>
    <t>RC Cámara Salina | 72 hrs. | 500 hrs.</t>
  </si>
  <si>
    <t>RC Cámara Salina | 72 hrs. | 72 hrs.</t>
  </si>
  <si>
    <t>RC Cámara Salina | 72 hrs. | 720 hrs.</t>
  </si>
  <si>
    <t>RC Cámara Salina | 72 hrs. | 96 hrs.</t>
  </si>
  <si>
    <t>RC Cámara Salina | 72 hrs. | 960 hrs.</t>
  </si>
  <si>
    <t>RC Cámara Salina | 72 hrs. | No aplica</t>
  </si>
  <si>
    <t>RC Cámara Salina | 8 hrs. | 12 hrs.</t>
  </si>
  <si>
    <t>RC Cámara Salina | 8 hrs. | 120 hrs.</t>
  </si>
  <si>
    <t>RC Cámara Salina | 8 hrs. | 144 hrs.</t>
  </si>
  <si>
    <t>RC Cámara Salina | 8 hrs. | 16 hrs.</t>
  </si>
  <si>
    <t>RC Cámara Salina | 8 hrs. | 172 hrs.</t>
  </si>
  <si>
    <t>RC Cámara Salina | 8 hrs. | 200 hrs.</t>
  </si>
  <si>
    <t>RC Cámara Salina | 8 hrs. | 24 hrs.</t>
  </si>
  <si>
    <t>RC Cámara Salina | 8 hrs. | 240 hrs.</t>
  </si>
  <si>
    <t>RC Cámara Salina | 8 hrs. | 36 hrs.</t>
  </si>
  <si>
    <t>RC Cámara Salina | 8 hrs. | 360 hrs.</t>
  </si>
  <si>
    <t>RC Cámara Salina | 8 hrs. | 48 hrs.</t>
  </si>
  <si>
    <t>RC Cámara Salina | 8 hrs. | 480 hrs.</t>
  </si>
  <si>
    <t>RC Cámara Salina | 8 hrs. | 500 hrs.</t>
  </si>
  <si>
    <t>RC Cámara Salina | 8 hrs. | 72 hrs.</t>
  </si>
  <si>
    <t>RC Cámara Salina | 8 hrs. | 720 hrs.</t>
  </si>
  <si>
    <t>RC Cámara Salina | 8 hrs. | 96 hrs.</t>
  </si>
  <si>
    <t>RC Cámara Salina | 8 hrs. | 960 hrs.</t>
  </si>
  <si>
    <t>RC Cámara Salina | 8 hrs. | No aplica</t>
  </si>
  <si>
    <t>RC Cámara Salina | 80 hrs. | 12 hrs.</t>
  </si>
  <si>
    <t>RC Cámara Salina | 80 hrs. | 120 hrs.</t>
  </si>
  <si>
    <t>RC Cámara Salina | 80 hrs. | 144 hrs.</t>
  </si>
  <si>
    <t>RC Cámara Salina | 80 hrs. | 16 hrs.</t>
  </si>
  <si>
    <t>RC Cámara Salina | 80 hrs. | 172 hrs.</t>
  </si>
  <si>
    <t>RC Cámara Salina | 80 hrs. | 200 hrs.</t>
  </si>
  <si>
    <t>RC Cámara Salina | 80 hrs. | 24 hrs.</t>
  </si>
  <si>
    <t>RC Cámara Salina | 80 hrs. | 240 hrs.</t>
  </si>
  <si>
    <t>RC Cámara Salina | 80 hrs. | 36 hrs.</t>
  </si>
  <si>
    <t>RC Cámara Salina | 80 hrs. | 360 hrs.</t>
  </si>
  <si>
    <t>RC Cámara Salina | 80 hrs. | 48 hrs.</t>
  </si>
  <si>
    <t>RC Cámara Salina | 80 hrs. | 480 hrs.</t>
  </si>
  <si>
    <t>RC Cámara Salina | 80 hrs. | 500 hrs.</t>
  </si>
  <si>
    <t>RC Cámara Salina | 80 hrs. | 72 hrs.</t>
  </si>
  <si>
    <t>RC Cámara Salina | 80 hrs. | 720 hrs.</t>
  </si>
  <si>
    <t>RC Cámara Salina | 80 hrs. | 96 hrs.</t>
  </si>
  <si>
    <t>RC Cámara Salina | 80 hrs. | 960 hrs.</t>
  </si>
  <si>
    <t>RC Cámara Salina | 80 hrs. | No aplica</t>
  </si>
  <si>
    <t>RC Cámara Salina | 96 hrs. | 12 hrs.</t>
  </si>
  <si>
    <t>RC Cámara Salina | 96 hrs. | 120 hrs.</t>
  </si>
  <si>
    <t>RC Cámara Salina | 96 hrs. | 144 hrs.</t>
  </si>
  <si>
    <t>RC Cámara Salina | 96 hrs. | 16 hrs.</t>
  </si>
  <si>
    <t>RC Cámara Salina | 96 hrs. | 172 hrs.</t>
  </si>
  <si>
    <t>RC Cámara Salina | 96 hrs. | 200 hrs.</t>
  </si>
  <si>
    <t>RC Cámara Salina | 96 hrs. | 24 hrs.</t>
  </si>
  <si>
    <t>RC Cámara Salina | 96 hrs. | 240 hrs.</t>
  </si>
  <si>
    <t>RC Cámara Salina | 96 hrs. | 36 hrs.</t>
  </si>
  <si>
    <t>RC Cámara Salina | 96 hrs. | 360 hrs.</t>
  </si>
  <si>
    <t>RC Cámara Salina | 96 hrs. | 48 hrs.</t>
  </si>
  <si>
    <t>RC Cámara Salina | 96 hrs. | 480 hrs.</t>
  </si>
  <si>
    <t>RC Cámara Salina | 96 hrs. | 500 hrs.</t>
  </si>
  <si>
    <t>RC Cámara Salina | 96 hrs. | 72 hrs.</t>
  </si>
  <si>
    <t>RC Cámara Salina | 96 hrs. | 720 hrs.</t>
  </si>
  <si>
    <t>RC Cámara Salina | 96 hrs. | 96 hrs.</t>
  </si>
  <si>
    <t>RC Cámara Salina | 96 hrs. | 960 hrs.</t>
  </si>
  <si>
    <t>RC Cámara Salina | 96 hrs. | No aplica</t>
  </si>
  <si>
    <t>RC Cámara Salina | No aplica | 12 hrs.</t>
  </si>
  <si>
    <t>RC Cámara Salina | No aplica | 120 hrs.</t>
  </si>
  <si>
    <t>RC Cámara Salina | No aplica | 144 hrs.</t>
  </si>
  <si>
    <t>RC Cámara Salina | No aplica | 16 hrs.</t>
  </si>
  <si>
    <t>RC Cámara Salina | No aplica | 172 hrs.</t>
  </si>
  <si>
    <t>RC Cámara Salina | No aplica | 200 hrs.</t>
  </si>
  <si>
    <t>RC Cámara Salina | No aplica | 24 hrs.</t>
  </si>
  <si>
    <t>RC Cámara Salina | No aplica | 240 hrs.</t>
  </si>
  <si>
    <t>RC Cámara Salina | No aplica | 36 hrs.</t>
  </si>
  <si>
    <t>RC Cámara Salina | No aplica | 360 hrs.</t>
  </si>
  <si>
    <t>RC Cámara Salina | No aplica | 48 hrs.</t>
  </si>
  <si>
    <t>RC Cámara Salina | No aplica | 480 hrs.</t>
  </si>
  <si>
    <t>RC Cámara Salina | No aplica | 500 hrs.</t>
  </si>
  <si>
    <t>RC Cámara Salina | No aplica | 72 hrs.</t>
  </si>
  <si>
    <t>RC Cámara Salina | No aplica | 720 hrs.</t>
  </si>
  <si>
    <t>RC Cámara Salina | No aplica | 96 hrs.</t>
  </si>
  <si>
    <t>RC Cámara Salina | No aplica | 960 hrs.</t>
  </si>
  <si>
    <t>RC Cámara Salina | No aplica | No aplica</t>
  </si>
  <si>
    <t>RC Cu-Ag (Cobre - Plata) | 0.5 - 1.5 µm | 0.5 - 1.0 µm</t>
  </si>
  <si>
    <t>RC Cu-Ag (Cobre - Plata) | 0.5 - 1.5 µm | No aplica</t>
  </si>
  <si>
    <t>RC Cu-Ag (Cobre - Plata) | 1.5 - 2.5 µm | 0.5 - 1.0 µm</t>
  </si>
  <si>
    <t>RC Cu-Ag (Cobre - Plata) | 1.5 - 2.5 µm | No aplica</t>
  </si>
  <si>
    <t>RC Cu-Ni (Cobre - Níquel) | 10 - 13 µm | 0.5 - 1.0 µm</t>
  </si>
  <si>
    <t>RC Cu-Ni (Cobre - Níquel) | 10 - 13 µm | 18 - 22 µm</t>
  </si>
  <si>
    <t>RC Cu-Ni (Cobre - Níquel) | 10 - 13 µm | 20 - 25 µm</t>
  </si>
  <si>
    <t>RC Cu-Ni (Cobre - Níquel) | 10 - 13 µm | 7 - 9 µm</t>
  </si>
  <si>
    <t>RC Cu-Ni (Cobre - Níquel) | 10 - 13 µm | No aplica</t>
  </si>
  <si>
    <t>RC Cu-Ni (Cobre - Níquel) | 3.81 - 5.08 µm | 0.5 - 1.0 µm</t>
  </si>
  <si>
    <t>RC Cu-Ni (Cobre - Níquel) | 3.81 - 5.08 µm | 18 - 22 µm</t>
  </si>
  <si>
    <t>RC Cu-Ni (Cobre - Níquel) | 3.81 - 5.08 µm | 20 - 25 µm</t>
  </si>
  <si>
    <t>RC Cu-Ni (Cobre - Níquel) | 3.81 - 5.08 µm | 7 - 9 µm</t>
  </si>
  <si>
    <t>RC Cu-Ni (Cobre - Níquel) | 3.81 - 5.08 µm | No aplica</t>
  </si>
  <si>
    <t>RC Cu-Ni (Cobre - Níquel) | 7.62 - 10.16 µm | 0.5 - 1.0 µm</t>
  </si>
  <si>
    <t>RC Cu-Ni (Cobre - Níquel) | 7.62 - 10.16 µm | 18 - 22 µm</t>
  </si>
  <si>
    <t>RC Cu-Ni (Cobre - Níquel) | 7.62 - 10.16 µm | 20 - 25 µm</t>
  </si>
  <si>
    <t>RC Cu-Ni (Cobre - Níquel) | 7.62 - 10.16 µm | 7 - 9 µm</t>
  </si>
  <si>
    <t>RC Cu-Ni (Cobre - Níquel) | 7.62 - 10.16 µm | No aplica</t>
  </si>
  <si>
    <t>RC MnPO4 (Fosfato de Manganeso - Medición de Grano) | 4 - 12 µm</t>
  </si>
  <si>
    <t>RC Ni (Níquel) | 1 - 6 µm</t>
  </si>
  <si>
    <t>RC Ni (Níquel) | 2 - 5 µm</t>
  </si>
  <si>
    <t>RC Ni (Níquel) | 4 - 7 µm</t>
  </si>
  <si>
    <t>RC Ni (Níquel) | 5 - 10 µm</t>
  </si>
  <si>
    <t>RC Ni (Níquel) | 7.62 - 12.7 µm</t>
  </si>
  <si>
    <t>RC Ni-Ag (Níquel - Plata) | 2.5 - 5.0 µm | 0.5 - 0.8 µm</t>
  </si>
  <si>
    <t>RC Ni-Ag (Níquel - Plata) | 2.5 - 5.0 µm | 3 - 6 µm</t>
  </si>
  <si>
    <t>RC Ni-Ag (Níquel - Plata) | 2.5 - 5.0 µm | 5 - 8 µm</t>
  </si>
  <si>
    <t>RC Ni-Ag (Níquel - Plata) | 2.5 - 5.0 µm | No aplica</t>
  </si>
  <si>
    <t>RC Ni-Ag (Níquel - Plata) | 5.0 - 8.0 µm | 0.5 - 0.8 µm</t>
  </si>
  <si>
    <t>RC Ni-Ag (Níquel - Plata) | 5.0 - 8.0 µm | 3 - 6 µm</t>
  </si>
  <si>
    <t>RC Ni-Ag (Níquel - Plata) | 5.0 - 8.0 µm | 5 - 8 µm</t>
  </si>
  <si>
    <t>RC Ni-Ag (Níquel - Plata) | 5.0 - 8.0 µm | No aplica</t>
  </si>
  <si>
    <t>RC Ni-Sn (Níquel - Estaño) | 12 - 16 µm | 1 - 3 µm</t>
  </si>
  <si>
    <t>RC Ni-Sn (Níquel - Estaño) | 12 - 16 µm | No aplica</t>
  </si>
  <si>
    <t>RC Ni-Sn (Níquel - Estaño) | 3 - 5 µm | 1 - 3 µm</t>
  </si>
  <si>
    <t>RC Ni-Sn (Níquel - Estaño) | 3 - 5 µm | No aplica</t>
  </si>
  <si>
    <t>RC Ni-Sn (Níquel - Estaño) | 8 - 12 µm | 1 - 3 µm</t>
  </si>
  <si>
    <t>RC Ni-Sn (Níquel - Estaño) | 8 - 12 µm | No aplica</t>
  </si>
  <si>
    <t>RC NiEl (Níquel Electroless) | 10 - 13 µm</t>
  </si>
  <si>
    <t>RC NiEl (Níquel Electroless) | 12.7 - 25.4 µm</t>
  </si>
  <si>
    <t>RC NiEl (Níquel Electroless) | 13 - 15 µm</t>
  </si>
  <si>
    <t>RC NiEl (Níquel Electroless) | 6 - 8 µm</t>
  </si>
  <si>
    <t>RC Sn (Estaño) | 0.5 - 1 µm | 0.5 - 1 µm</t>
  </si>
  <si>
    <t>RC Sn (Estaño) | 0.5 - 1 µm | 0.762 - 1.27 µm</t>
  </si>
  <si>
    <t>RC Sn (Estaño) | 0.5 - 1 µm | 1 - 3 µm</t>
  </si>
  <si>
    <t>RC Sn (Estaño) | 0.5 - 1 µm | 2.54 - 5.08 µm</t>
  </si>
  <si>
    <t>RC Sn (Estaño) | 0.5 - 1 µm | No aplica</t>
  </si>
  <si>
    <t>RC Sn (Estaño) | 0.6 - 2 µm | 0.5 - 1 µm</t>
  </si>
  <si>
    <t>RC Sn (Estaño) | 0.6 - 2 µm | 0.762 - 1.27 µm</t>
  </si>
  <si>
    <t>RC Sn (Estaño) | 0.6 - 2 µm | 1 - 3 µm</t>
  </si>
  <si>
    <t>RC Sn (Estaño) | 0.6 - 2 µm | 2.54 - 5.08 µm</t>
  </si>
  <si>
    <t>RC Sn (Estaño) | 0.6 - 2 µm | No aplica</t>
  </si>
  <si>
    <t>RC Sn (Estaño) | 1.5 - 3 µm | 0.5 - 1 µm</t>
  </si>
  <si>
    <t>RC Sn (Estaño) | 1.5 - 3 µm | 0.762 - 1.27 µm</t>
  </si>
  <si>
    <t>RC Sn (Estaño) | 1.5 - 3 µm | 1 - 3 µm</t>
  </si>
  <si>
    <t>RC Sn (Estaño) | 1.5 - 3 µm | 2.54 - 5.08 µm</t>
  </si>
  <si>
    <t>RC Sn (Estaño) | 1.5 - 3 µm | No aplica</t>
  </si>
  <si>
    <t>RC Sn (Estaño) | 10 - 15 µm | 0.5 - 1 µm</t>
  </si>
  <si>
    <t>RC Sn (Estaño) | 10 - 15 µm | 0.762 - 1.27 µm</t>
  </si>
  <si>
    <t>RC Sn (Estaño) | 10 - 15 µm | 1 - 3 µm</t>
  </si>
  <si>
    <t>RC Sn (Estaño) | 10 - 15 µm | 2.54 - 5.08 µm</t>
  </si>
  <si>
    <t>RC Sn (Estaño) | 10 - 15 µm | No aplica</t>
  </si>
  <si>
    <t>RC Sn (Estaño) | 2 - 5 µm | 0.5 - 1 µm</t>
  </si>
  <si>
    <t>RC Sn (Estaño) | 2 - 5 µm | 0.762 - 1.27 µm</t>
  </si>
  <si>
    <t>RC Sn (Estaño) | 2 - 5 µm | 1 - 3 µm</t>
  </si>
  <si>
    <t>RC Sn (Estaño) | 2 - 5 µm | 2.54 - 5.08 µm</t>
  </si>
  <si>
    <t>RC Sn (Estaño) | 2 - 5 µm | No aplica</t>
  </si>
  <si>
    <t>RC Sn (Estaño) | 3 - 5 µm | 0.5 - 1 µm</t>
  </si>
  <si>
    <t>RC Sn (Estaño) | 3 - 5 µm | 0.762 - 1.27 µm</t>
  </si>
  <si>
    <t>RC Sn (Estaño) | 3 - 5 µm | 1 - 3 µm</t>
  </si>
  <si>
    <t>RC Sn (Estaño) | 3 - 5 µm | 2.54 - 5.08 µm</t>
  </si>
  <si>
    <t>RC Sn (Estaño) | 3 - 5 µm | No aplica</t>
  </si>
  <si>
    <t>RC Sn (Estaño) | 5 - 10 µm | 0.5 - 1 µm</t>
  </si>
  <si>
    <t>RC Sn (Estaño) | 5 - 10 µm | 0.762 - 1.27 µm</t>
  </si>
  <si>
    <t>RC Sn (Estaño) | 5 - 10 µm | 1 - 3 µm</t>
  </si>
  <si>
    <t>RC Sn (Estaño) | 5 - 10 µm | 2.54 - 5.08 µm</t>
  </si>
  <si>
    <t>RC Sn (Estaño) | 5 - 10 µm | No aplica</t>
  </si>
  <si>
    <t>RC Sn (Estaño) | 5 - 12 µm | 0.5 - 1 µm</t>
  </si>
  <si>
    <t>RC Sn (Estaño) | 5 - 12 µm | 0.762 - 1.27 µm</t>
  </si>
  <si>
    <t>RC Sn (Estaño) | 5 - 12 µm | 1 - 3 µm</t>
  </si>
  <si>
    <t>RC Sn (Estaño) | 5 - 12 µm | 2.54 - 5.08 µm</t>
  </si>
  <si>
    <t>RC Sn (Estaño) | 5 - 12 µm | No aplica</t>
  </si>
  <si>
    <t>RC Sn (Estaño) | 5 - 8 µm | 0.5 - 1 µm</t>
  </si>
  <si>
    <t>RC Sn (Estaño) | 5 - 8 µm | 0.762 - 1.27 µm</t>
  </si>
  <si>
    <t>RC Sn (Estaño) | 5 - 8 µm | 1 - 3 µm</t>
  </si>
  <si>
    <t>RC Sn (Estaño) | 5 - 8 µm | 2.54 - 5.08 µm</t>
  </si>
  <si>
    <t>RC Sn (Estaño) | 5 - 8 µm | No aplica</t>
  </si>
  <si>
    <t>RC Sn (Estaño) | 7 - 12 µm | 0.5 - 1 µm</t>
  </si>
  <si>
    <t>RC Sn (Estaño) | 7 - 12 µm | 0.762 - 1.27 µm</t>
  </si>
  <si>
    <t>RC Sn (Estaño) | 7 - 12 µm | 1 - 3 µm</t>
  </si>
  <si>
    <t>RC Sn (Estaño) | 7 - 12 µm | 2.54 - 5.08 µm</t>
  </si>
  <si>
    <t>RC Sn (Estaño) | 7 - 12 µm | No aplica</t>
  </si>
  <si>
    <t>RC Sn (Estaño) | 8 - 10 µm | 0.5 - 1 µm</t>
  </si>
  <si>
    <t>RC Sn (Estaño) | 8 - 10 µm | 0.762 - 1.27 µm</t>
  </si>
  <si>
    <t>RC Sn (Estaño) | 8 - 10 µm | 1 - 3 µm</t>
  </si>
  <si>
    <t>RC Sn (Estaño) | 8 - 10 µm | 2.54 - 5.08 µm</t>
  </si>
  <si>
    <t>RC Sn (Estaño) | 8 - 10 µm | No aplica</t>
  </si>
  <si>
    <t>RC Sn (Estaño) | 8 - 12 µm | 0.5 - 1 µm</t>
  </si>
  <si>
    <t>RC Sn (Estaño) | 8 - 12 µm | 0.762 - 1.27 µm</t>
  </si>
  <si>
    <t>RC Sn (Estaño) | 8 - 12 µm | 1 - 3 µm</t>
  </si>
  <si>
    <t>RC Sn (Estaño) | 8 - 12 µm | 2.54 - 5.08 µm</t>
  </si>
  <si>
    <t>RC Sn (Estaño) | 8 - 12 µm | No aplica</t>
  </si>
  <si>
    <t>RC Sn (Estaño) | 9 - 25 µm | 0.5 - 1 µm</t>
  </si>
  <si>
    <t>RC Sn (Estaño) | 9 - 25 µm | 0.762 - 1.27 µm</t>
  </si>
  <si>
    <t>RC Sn (Estaño) | 9 - 25 µm | 1 - 3 µm</t>
  </si>
  <si>
    <t>RC Sn (Estaño) | 9 - 25 µm | 2.54 - 5.08 µm</t>
  </si>
  <si>
    <t>RC Sn (Estaño) | 9 - 25 µm | No aplica</t>
  </si>
  <si>
    <t>RC Zn (Zinc) | 10 - 15 µm</t>
  </si>
  <si>
    <t>RC Zn (Zinc) | 2.4 - 5 µm</t>
  </si>
  <si>
    <t>RC Zn (Zinc) | 6 - 10 µm</t>
  </si>
  <si>
    <t>RC Zn (Zinc) | 8 - 12.5 µm</t>
  </si>
  <si>
    <t>TL 203 (Níquel Cromo) | 10 - 13 µm | 0.3 - 1 µm</t>
  </si>
  <si>
    <t>TL 203 (Níquel Cromo) | 10 - 13 µm | No aplica</t>
  </si>
  <si>
    <t>T300</t>
  </si>
  <si>
    <t>T200-CE06 Laboratorio</t>
  </si>
  <si>
    <t>T300-CE08 Célula de Barnizado (40.0)</t>
  </si>
  <si>
    <t>DAVID ORTIZ ROSAS</t>
  </si>
  <si>
    <t>EMMANUEL PEREA MORENO</t>
  </si>
  <si>
    <t>GABRIEL VALDEZ ESTRADA</t>
  </si>
  <si>
    <t>ISRAEL ANTONIO OCHOA MONROY</t>
  </si>
  <si>
    <t>IVETTE GUILLERMINA DE JESUS RAMOS</t>
  </si>
  <si>
    <t>LETICIA CARMONA VALDEZ</t>
  </si>
  <si>
    <t>MIGUEL ANGEL GARDUÑO</t>
  </si>
  <si>
    <t>MIGUEL CARRILLO DESIDERIO</t>
  </si>
  <si>
    <t>OLD_DANIEL SHARSHI LAZARO</t>
  </si>
  <si>
    <t>OLD_Nestor Lopéz Iglesias</t>
  </si>
  <si>
    <t>Prueba Carga Masiva</t>
  </si>
  <si>
    <t>TERMINAL</t>
  </si>
  <si>
    <t>Níquel-Zinc</t>
  </si>
  <si>
    <t>Rack Flybar o Barril 1</t>
  </si>
  <si>
    <t>Rack Flybar o Barril 2</t>
  </si>
  <si>
    <t>Rack Flybar o Barril 3</t>
  </si>
  <si>
    <t>Rack Flybar o Barril 4</t>
  </si>
  <si>
    <t>Rack Flybar o Barril 5</t>
  </si>
  <si>
    <t>Pzas/Rack
Línea 1</t>
  </si>
  <si>
    <t>Pzas/Rack
Línea 2</t>
  </si>
  <si>
    <t>Pzas/Rack
Línea 3</t>
  </si>
  <si>
    <t>Pzas/Rack
Línea 4</t>
  </si>
  <si>
    <t>Pzas/Rack
Línea 5</t>
  </si>
  <si>
    <t>LÍNEA Y ACABADOS (Etiquetas - Labels)</t>
  </si>
  <si>
    <t>Instrucciones de Empaque</t>
  </si>
  <si>
    <t>TIPOS DE RACK (Piezas por Tipo de Rack)</t>
  </si>
  <si>
    <t>COTIZACIÓN+NP</t>
  </si>
  <si>
    <t>Nueva Cotización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</si>
</sst>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0.0000"/>
    <numFmt numFmtId="165" formatCode="0.0"/>
    <numFmt numFmtId="166" formatCode="_-* #,##0_-;\-* #,##0_-;_-* &quot;-&quot;??_-;_-@_-"/>
  </numFmts>
  <fonts count="53" x14ac:knownFonts="1">
    <font>
      <sz val="11"/>
      <color theme="1"/>
      <name val="Calibri"/>
      <family val="2"/>
      <charset val="1"/>
    </font>
    <font>
      <sz val="12"/>
      <color theme="1"/>
      <name val="Calibri"/>
      <family val="2"/>
      <scheme val="minor"/>
    </font>
    <font>
      <b/>
      <sz val="14"/>
      <color rgb="FFFFFFFF"/>
      <name val="Arial"/>
      <family val="2"/>
    </font>
    <font>
      <i/>
      <sz val="9"/>
      <color rgb="FF666666"/>
      <name val="Arial"/>
      <family val="2"/>
    </font>
    <font>
      <sz val="10"/>
      <color rgb="FF2F3E4C"/>
      <name val="Arial"/>
      <family val="2"/>
    </font>
    <font>
      <b/>
      <sz val="12"/>
      <color rgb="FF2F3E4C"/>
      <name val="Arial"/>
      <family val="2"/>
    </font>
    <font>
      <b/>
      <sz val="9"/>
      <color rgb="FFFFFFFF"/>
      <name val="Arial"/>
      <family val="2"/>
    </font>
    <font>
      <i/>
      <sz val="9"/>
      <color rgb="FF94A3B8"/>
      <name val="Arial"/>
      <family val="2"/>
    </font>
    <font>
      <sz val="10"/>
      <color rgb="FF64748B"/>
      <name val="Arial"/>
      <family val="2"/>
    </font>
    <font>
      <b/>
      <sz val="10"/>
      <color rgb="FFFFFFFF"/>
      <name val="Arial"/>
      <family val="2"/>
    </font>
    <font>
      <b/>
      <sz val="14"/>
      <color rgb="FF1E3A5F"/>
      <name val="Arial"/>
      <family val="2"/>
    </font>
    <font>
      <sz val="10"/>
      <name val="Arial"/>
      <family val="2"/>
    </font>
    <font>
      <b/>
      <sz val="11"/>
      <color rgb="FF1E3A5F"/>
      <name val="Arial"/>
      <family val="2"/>
    </font>
    <font>
      <sz val="11"/>
      <color rgb="FF000000"/>
      <name val="Calibri"/>
      <family val="2"/>
      <charset val="1"/>
    </font>
    <font>
      <b/>
      <sz val="14"/>
      <color rgb="FF002060"/>
      <name val="Trebuchet MS"/>
      <family val="2"/>
    </font>
    <font>
      <sz val="14"/>
      <color rgb="FF002060"/>
      <name val="Trebuchet MS"/>
      <family val="2"/>
    </font>
    <font>
      <b/>
      <sz val="14"/>
      <color rgb="FFFF0000"/>
      <name val="Trebuchet MS"/>
      <family val="2"/>
    </font>
    <font>
      <sz val="14"/>
      <color rgb="FFFF0000"/>
      <name val="Trebuchet MS"/>
      <family val="2"/>
    </font>
    <font>
      <b/>
      <sz val="14"/>
      <color rgb="FF000000"/>
      <name val="Trebuchet MS"/>
      <family val="2"/>
    </font>
    <font>
      <sz val="11"/>
      <color theme="1"/>
      <name val="Trebuchet MS"/>
      <family val="2"/>
    </font>
    <font>
      <sz val="20"/>
      <color rgb="FF1E293B"/>
      <name val="Trebuchet MS"/>
      <family val="2"/>
    </font>
    <font>
      <b/>
      <sz val="16"/>
      <color theme="0"/>
      <name val="Trebuchet MS"/>
      <family val="2"/>
    </font>
    <font>
      <i/>
      <sz val="12"/>
      <color theme="1" tint="0.499984740745262"/>
      <name val="Trebuchet MS"/>
      <family val="2"/>
    </font>
    <font>
      <b/>
      <sz val="14"/>
      <color rgb="FF334155"/>
      <name val="Trebuchet MS"/>
      <family val="2"/>
    </font>
    <font>
      <sz val="14"/>
      <color rgb="FF1E293B"/>
      <name val="Trebuchet MS"/>
      <family val="2"/>
    </font>
    <font>
      <sz val="14"/>
      <color theme="1"/>
      <name val="Trebuchet MS"/>
      <family val="2"/>
    </font>
    <font>
      <b/>
      <sz val="11"/>
      <color rgb="FF334155"/>
      <name val="Trebuchet MS"/>
      <family val="2"/>
    </font>
    <font>
      <sz val="11"/>
      <color rgb="FF1E293B"/>
      <name val="Trebuchet MS"/>
      <family val="2"/>
    </font>
    <font>
      <sz val="10"/>
      <color rgb="FF2F3E4C"/>
      <name val="Trebuchet MS"/>
      <family val="2"/>
    </font>
    <font>
      <i/>
      <sz val="10"/>
      <color rgb="FFE65100"/>
      <name val="Trebuchet MS"/>
      <family val="2"/>
    </font>
    <font>
      <b/>
      <sz val="9"/>
      <color rgb="FF2F3E4C"/>
      <name val="Trebuchet MS"/>
      <family val="2"/>
    </font>
    <font>
      <sz val="9"/>
      <color rgb="FF2F3E4C"/>
      <name val="Trebuchet MS"/>
      <family val="2"/>
    </font>
    <font>
      <b/>
      <sz val="12"/>
      <color rgb="FFFFFFFF"/>
      <name val="Trebuchet MS"/>
      <family val="2"/>
    </font>
    <font>
      <sz val="12"/>
      <color theme="1"/>
      <name val="Trebuchet MS"/>
      <family val="2"/>
    </font>
    <font>
      <b/>
      <sz val="12"/>
      <color theme="1"/>
      <name val="Trebuchet MS"/>
      <family val="2"/>
    </font>
    <font>
      <b/>
      <sz val="11"/>
      <color rgb="FF1E293B"/>
      <name val="Trebuchet MS"/>
      <family val="2"/>
    </font>
    <font>
      <sz val="8"/>
      <color rgb="FF94A3B8"/>
      <name val="Trebuchet MS"/>
      <family val="2"/>
    </font>
    <font>
      <sz val="10"/>
      <color rgb="FFE65100"/>
      <name val="Trebuchet MS"/>
      <family val="2"/>
    </font>
    <font>
      <sz val="10"/>
      <color rgb="FFFF0000"/>
      <name val="Trebuchet MS"/>
      <family val="2"/>
    </font>
    <font>
      <sz val="10"/>
      <color rgb="FF64748B"/>
      <name val="Trebuchet MS"/>
      <family val="2"/>
    </font>
    <font>
      <sz val="10"/>
      <color rgb="FF2E7D32"/>
      <name val="Trebuchet MS"/>
      <family val="2"/>
    </font>
    <font>
      <sz val="11"/>
      <color theme="1"/>
      <name val="Calibri"/>
      <family val="2"/>
      <charset val="1"/>
    </font>
    <font>
      <sz val="11"/>
      <color theme="1"/>
      <name val="Calibri"/>
      <family val="2"/>
      <scheme val="minor"/>
    </font>
    <font>
      <b/>
      <sz val="11"/>
      <color theme="0"/>
      <name val="Calibri"/>
      <family val="2"/>
      <scheme val="minor"/>
    </font>
    <font>
      <b/>
      <sz val="11"/>
      <color theme="1"/>
      <name val="Calibri"/>
      <family val="2"/>
      <scheme val="minor"/>
    </font>
    <font>
      <sz val="11"/>
      <color rgb="FFFF0000"/>
      <name val="Calibri"/>
      <family val="2"/>
      <scheme val="minor"/>
    </font>
    <font>
      <sz val="10"/>
      <color theme="1"/>
      <name val="Arial"/>
      <family val="2"/>
    </font>
    <font>
      <sz val="11"/>
      <name val="Calibri"/>
      <family val="2"/>
      <scheme val="minor"/>
    </font>
    <font>
      <b/>
      <sz val="11"/>
      <color rgb="FFFFFFFF"/>
      <name val="Calibri"/>
      <family val="2"/>
      <scheme val="minor"/>
    </font>
    <font>
      <sz val="11"/>
      <color rgb="FF0000FF"/>
      <name val="Calibri"/>
      <family val="2"/>
      <scheme val="minor"/>
    </font>
    <font>
      <sz val="11"/>
      <color rgb="FF000000"/>
      <name val="Calibri"/>
      <family val="2"/>
    </font>
    <font>
      <b/>
      <sz val="11"/>
      <color theme="0" tint="-0.499984740745262"/>
      <name val="Trebuchet MS"/>
      <family val="2"/>
    </font>
    <font>
      <sz val="8"/>
      <color theme="0" tint="-0.499984740745262"/>
      <name val="Trebuchet MS"/>
      <family val="2"/>
    </font>
  </fonts>
  <fills count="37">
    <fill>
      <patternFill patternType="none"/>
    </fill>
    <fill>
      <patternFill patternType="gray125"/>
    </fill>
    <fill>
      <patternFill patternType="solid">
        <fgColor rgb="FF2F3E4C"/>
        <bgColor rgb="FF3B5068"/>
      </patternFill>
    </fill>
    <fill>
      <patternFill patternType="solid">
        <fgColor rgb="FF616161"/>
      </patternFill>
    </fill>
    <fill>
      <patternFill patternType="solid">
        <fgColor rgb="FF1D4ED8"/>
      </patternFill>
    </fill>
    <fill>
      <patternFill patternType="solid">
        <fgColor rgb="FF059669"/>
      </patternFill>
    </fill>
    <fill>
      <patternFill patternType="solid">
        <fgColor rgb="FF92400E"/>
      </patternFill>
    </fill>
    <fill>
      <patternFill patternType="solid">
        <fgColor rgb="FFC2410C"/>
      </patternFill>
    </fill>
    <fill>
      <patternFill patternType="solid">
        <fgColor rgb="FF7E22CE"/>
      </patternFill>
    </fill>
    <fill>
      <patternFill patternType="solid">
        <fgColor rgb="FF0F766E"/>
      </patternFill>
    </fill>
    <fill>
      <patternFill patternType="solid">
        <fgColor rgb="FF78350F"/>
      </patternFill>
    </fill>
    <fill>
      <patternFill patternType="solid">
        <fgColor rgb="FF1E3A8A"/>
      </patternFill>
    </fill>
    <fill>
      <patternFill patternType="solid">
        <fgColor rgb="FF5B21B6"/>
      </patternFill>
    </fill>
    <fill>
      <patternFill patternType="solid">
        <fgColor rgb="FF9A3412"/>
      </patternFill>
    </fill>
    <fill>
      <patternFill patternType="solid">
        <fgColor rgb="FF334155"/>
      </patternFill>
    </fill>
    <fill>
      <patternFill patternType="solid">
        <fgColor rgb="FFF0F9FF"/>
      </patternFill>
    </fill>
    <fill>
      <patternFill patternType="solid">
        <fgColor rgb="FFF0FDF4"/>
      </patternFill>
    </fill>
    <fill>
      <patternFill patternType="solid">
        <fgColor rgb="FFF1F5F9"/>
      </patternFill>
    </fill>
    <fill>
      <patternFill patternType="solid">
        <fgColor rgb="FFE8F5E9"/>
        <bgColor indexed="64"/>
      </patternFill>
    </fill>
    <fill>
      <patternFill patternType="solid">
        <fgColor rgb="FFFFF8E1"/>
        <bgColor indexed="64"/>
      </patternFill>
    </fill>
    <fill>
      <patternFill patternType="solid">
        <fgColor rgb="FFE0E0E0"/>
        <bgColor indexed="64"/>
      </patternFill>
    </fill>
    <fill>
      <patternFill patternType="solid">
        <fgColor theme="0" tint="-0.14999847407452621"/>
        <bgColor indexed="64"/>
      </patternFill>
    </fill>
    <fill>
      <patternFill patternType="solid">
        <fgColor theme="1"/>
        <bgColor indexed="64"/>
      </patternFill>
    </fill>
    <fill>
      <patternFill patternType="solid">
        <fgColor theme="1" tint="0.34998626667073579"/>
        <bgColor indexed="64"/>
      </patternFill>
    </fill>
    <fill>
      <patternFill patternType="solid">
        <fgColor theme="5" tint="0.39997558519241921"/>
        <bgColor indexed="64"/>
      </patternFill>
    </fill>
    <fill>
      <patternFill patternType="solid">
        <fgColor theme="7" tint="-0.499984740745262"/>
        <bgColor rgb="FF3B5068"/>
      </patternFill>
    </fill>
    <fill>
      <patternFill patternType="solid">
        <fgColor theme="0"/>
        <bgColor indexed="64"/>
      </patternFill>
    </fill>
    <fill>
      <patternFill patternType="solid">
        <fgColor theme="7"/>
        <bgColor indexed="64"/>
      </patternFill>
    </fill>
    <fill>
      <patternFill patternType="solid">
        <fgColor rgb="FFFFC000"/>
        <bgColor indexed="64"/>
      </patternFill>
    </fill>
    <fill>
      <patternFill patternType="solid">
        <fgColor rgb="FFD9E1F2"/>
        <bgColor indexed="64"/>
      </patternFill>
    </fill>
    <fill>
      <patternFill patternType="solid">
        <fgColor theme="6" tint="0.59999389629810485"/>
        <bgColor indexed="64"/>
      </patternFill>
    </fill>
    <fill>
      <patternFill patternType="solid">
        <fgColor theme="0" tint="-0.249977111117893"/>
        <bgColor indexed="64"/>
      </patternFill>
    </fill>
    <fill>
      <patternFill patternType="solid">
        <fgColor rgb="FF4472C4"/>
        <bgColor indexed="64"/>
      </patternFill>
    </fill>
    <fill>
      <patternFill patternType="solid">
        <fgColor rgb="FF90CAF9"/>
        <bgColor indexed="64"/>
      </patternFill>
    </fill>
    <fill>
      <patternFill patternType="solid">
        <fgColor rgb="FFC5E1A5"/>
        <bgColor indexed="64"/>
      </patternFill>
    </fill>
    <fill>
      <patternFill patternType="solid">
        <fgColor rgb="FFFFE082"/>
        <bgColor indexed="64"/>
      </patternFill>
    </fill>
    <fill>
      <patternFill patternType="solid">
        <fgColor rgb="FFFFF2CC"/>
        <bgColor indexed="64"/>
      </patternFill>
    </fill>
  </fills>
  <borders count="30">
    <border>
      <left/>
      <right/>
      <top/>
      <bottom/>
      <diagonal/>
    </border>
    <border>
      <left style="thin">
        <color rgb="FFCCCCCC"/>
      </left>
      <right style="thin">
        <color rgb="FFCCCCCC"/>
      </right>
      <top style="thin">
        <color rgb="FFCCCCCC"/>
      </top>
      <bottom style="thin">
        <color rgb="FFCCCCCC"/>
      </bottom>
      <diagonal/>
    </border>
    <border>
      <left style="thin">
        <color rgb="FFE2E8F0"/>
      </left>
      <right style="thin">
        <color rgb="FFE2E8F0"/>
      </right>
      <top style="thin">
        <color rgb="FFE2E8F0"/>
      </top>
      <bottom style="thin">
        <color rgb="FFE2E8F0"/>
      </bottom>
      <diagonal/>
    </border>
    <border>
      <left/>
      <right/>
      <top style="thin">
        <color rgb="FFE2E8F0"/>
      </top>
      <bottom style="thin">
        <color rgb="FFE2E8F0"/>
      </bottom>
      <diagonal/>
    </border>
    <border>
      <left/>
      <right style="thin">
        <color rgb="FFE2E8F0"/>
      </right>
      <top style="thin">
        <color rgb="FFE2E8F0"/>
      </top>
      <bottom style="thin">
        <color rgb="FFE2E8F0"/>
      </bottom>
      <diagonal/>
    </border>
    <border>
      <left/>
      <right/>
      <top/>
      <bottom style="thin">
        <color rgb="FFCBD5E1"/>
      </bottom>
      <diagonal/>
    </border>
    <border>
      <left/>
      <right/>
      <top style="thin">
        <color theme="4"/>
      </top>
      <bottom/>
      <diagonal/>
    </border>
    <border>
      <left/>
      <right style="thin">
        <color rgb="FFCCCCCC"/>
      </right>
      <top style="thin">
        <color rgb="FFCCCCCC"/>
      </top>
      <bottom style="thin">
        <color rgb="FFCCCCCC"/>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rgb="FFE2E8F0"/>
      </left>
      <right style="thin">
        <color rgb="FFE2E8F0"/>
      </right>
      <top/>
      <bottom style="thin">
        <color rgb="FFE2E8F0"/>
      </bottom>
      <diagonal/>
    </border>
    <border>
      <left style="thin">
        <color rgb="FFE2E8F0"/>
      </left>
      <right/>
      <top/>
      <bottom style="thin">
        <color rgb="FFE2E8F0"/>
      </bottom>
      <diagonal/>
    </border>
    <border>
      <left/>
      <right/>
      <top/>
      <bottom style="thin">
        <color rgb="FFE2E8F0"/>
      </bottom>
      <diagonal/>
    </border>
    <border>
      <left/>
      <right style="thin">
        <color rgb="FFE2E8F0"/>
      </right>
      <top/>
      <bottom style="thin">
        <color rgb="FFE2E8F0"/>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rgb="FFE2E8F0"/>
      </left>
      <right/>
      <top style="thin">
        <color rgb="FFE2E8F0"/>
      </top>
      <bottom style="thin">
        <color rgb="FFE2E8F0"/>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rgb="FFCCCCCC"/>
      </left>
      <right style="thin">
        <color rgb="FFCCCCCC"/>
      </right>
      <top style="thin">
        <color rgb="FFCCCCCC"/>
      </top>
      <bottom/>
      <diagonal/>
    </border>
    <border>
      <left/>
      <right/>
      <top style="thin">
        <color indexed="64"/>
      </top>
      <bottom style="thin">
        <color indexed="64"/>
      </bottom>
      <diagonal/>
    </border>
    <border>
      <left/>
      <right/>
      <top/>
      <bottom style="thin">
        <color theme="0"/>
      </bottom>
      <diagonal/>
    </border>
    <border>
      <left/>
      <right/>
      <top style="thin">
        <color theme="0"/>
      </top>
      <bottom style="thin">
        <color rgb="FFE2E8F0"/>
      </bottom>
      <diagonal/>
    </border>
  </borders>
  <cellStyleXfs count="5">
    <xf numFmtId="0" fontId="0" fillId="0" borderId="0"/>
    <xf numFmtId="0" fontId="1" fillId="0" borderId="0"/>
    <xf numFmtId="0" fontId="42" fillId="0" borderId="0"/>
    <xf numFmtId="0" fontId="41" fillId="0" borderId="0"/>
    <xf numFmtId="43" fontId="41" fillId="0" borderId="0" applyFont="0" applyFill="0" applyBorder="0" applyAlignment="0" applyProtection="0"/>
  </cellStyleXfs>
  <cellXfs count="173">
    <xf numFmtId="0" fontId="0" fillId="0" borderId="0" xfId="0"/>
    <xf numFmtId="0" fontId="2" fillId="2" borderId="0" xfId="0" applyFont="1" applyFill="1" applyAlignment="1">
      <alignment horizontal="left" vertical="center" wrapText="1"/>
    </xf>
    <xf numFmtId="0" fontId="0" fillId="0" borderId="0" xfId="0" applyAlignment="1">
      <alignment horizontal="left" vertical="center" wrapText="1"/>
    </xf>
    <xf numFmtId="0" fontId="5" fillId="0" borderId="0" xfId="0" applyFont="1" applyAlignment="1">
      <alignment horizontal="left" vertical="center" wrapText="1"/>
    </xf>
    <xf numFmtId="0" fontId="4" fillId="0" borderId="0" xfId="0" applyFont="1" applyAlignment="1">
      <alignment horizontal="left" vertical="center" wrapText="1"/>
    </xf>
    <xf numFmtId="0" fontId="3" fillId="0" borderId="0" xfId="0" applyFont="1" applyAlignment="1">
      <alignment horizontal="left" vertical="center" wrapText="1"/>
    </xf>
    <xf numFmtId="0" fontId="6" fillId="3" borderId="0" xfId="0" applyFont="1" applyFill="1" applyAlignment="1">
      <alignment horizontal="center" vertical="center"/>
    </xf>
    <xf numFmtId="0" fontId="7" fillId="0" borderId="0" xfId="0" applyFont="1"/>
    <xf numFmtId="0" fontId="9" fillId="13" borderId="2" xfId="0" applyFont="1" applyFill="1" applyBorder="1" applyAlignment="1">
      <alignment horizontal="center" vertical="center" wrapText="1"/>
    </xf>
    <xf numFmtId="0" fontId="8" fillId="0" borderId="0" xfId="0" applyFont="1"/>
    <xf numFmtId="0" fontId="9" fillId="14" borderId="2" xfId="0" applyFont="1" applyFill="1" applyBorder="1" applyAlignment="1">
      <alignment horizontal="center" vertical="center" wrapText="1"/>
    </xf>
    <xf numFmtId="0" fontId="11" fillId="0" borderId="2" xfId="0" applyFont="1" applyBorder="1"/>
    <xf numFmtId="0" fontId="11" fillId="15" borderId="2" xfId="0" applyFont="1" applyFill="1" applyBorder="1"/>
    <xf numFmtId="0" fontId="12" fillId="0" borderId="0" xfId="0" applyFont="1"/>
    <xf numFmtId="0" fontId="7" fillId="0" borderId="0" xfId="0" applyFont="1" applyAlignment="1">
      <alignment horizontal="center" vertical="center" wrapText="1"/>
    </xf>
    <xf numFmtId="164" fontId="8" fillId="16" borderId="2" xfId="0" applyNumberFormat="1" applyFont="1" applyFill="1" applyBorder="1"/>
    <xf numFmtId="0" fontId="19" fillId="26" borderId="0" xfId="0" applyFont="1" applyFill="1"/>
    <xf numFmtId="49" fontId="19" fillId="26" borderId="0" xfId="0" applyNumberFormat="1" applyFont="1" applyFill="1"/>
    <xf numFmtId="0" fontId="20" fillId="26" borderId="20" xfId="0" applyFont="1" applyFill="1" applyBorder="1" applyAlignment="1">
      <alignment horizontal="center" vertical="center"/>
    </xf>
    <xf numFmtId="0" fontId="19" fillId="0" borderId="0" xfId="0" applyFont="1"/>
    <xf numFmtId="49" fontId="19" fillId="0" borderId="0" xfId="0" applyNumberFormat="1" applyFont="1"/>
    <xf numFmtId="3" fontId="22" fillId="26" borderId="0" xfId="0" applyNumberFormat="1" applyFont="1" applyFill="1" applyAlignment="1">
      <alignment horizontal="left" vertical="center" indent="2"/>
    </xf>
    <xf numFmtId="4" fontId="29" fillId="26" borderId="0" xfId="0" applyNumberFormat="1" applyFont="1" applyFill="1" applyAlignment="1">
      <alignment horizontal="left" vertical="center"/>
    </xf>
    <xf numFmtId="0" fontId="30" fillId="26" borderId="0" xfId="0" applyFont="1" applyFill="1" applyAlignment="1">
      <alignment horizontal="left" vertical="center" wrapText="1"/>
    </xf>
    <xf numFmtId="0" fontId="31" fillId="26" borderId="0" xfId="0" applyFont="1" applyFill="1" applyAlignment="1">
      <alignment horizontal="left" vertical="center" wrapText="1"/>
    </xf>
    <xf numFmtId="4" fontId="31" fillId="26" borderId="0" xfId="0" applyNumberFormat="1" applyFont="1" applyFill="1" applyAlignment="1">
      <alignment horizontal="right" vertical="center"/>
    </xf>
    <xf numFmtId="0" fontId="28" fillId="26" borderId="0" xfId="0" applyFont="1" applyFill="1" applyAlignment="1">
      <alignment horizontal="left" vertical="center" wrapText="1"/>
    </xf>
    <xf numFmtId="4" fontId="28" fillId="26" borderId="0" xfId="0" applyNumberFormat="1" applyFont="1" applyFill="1" applyAlignment="1">
      <alignment horizontal="right" vertical="center"/>
    </xf>
    <xf numFmtId="3" fontId="28" fillId="26" borderId="0" xfId="0" applyNumberFormat="1" applyFont="1" applyFill="1" applyAlignment="1">
      <alignment horizontal="right" vertical="center"/>
    </xf>
    <xf numFmtId="0" fontId="28" fillId="0" borderId="7" xfId="0" applyFont="1" applyBorder="1" applyAlignment="1">
      <alignment horizontal="left" vertical="center" wrapText="1"/>
    </xf>
    <xf numFmtId="4" fontId="29" fillId="0" borderId="1" xfId="0" applyNumberFormat="1" applyFont="1" applyBorder="1" applyAlignment="1">
      <alignment horizontal="left" vertical="center"/>
    </xf>
    <xf numFmtId="0" fontId="32" fillId="6" borderId="2" xfId="0" applyFont="1" applyFill="1" applyBorder="1" applyAlignment="1">
      <alignment horizontal="center" vertical="center" wrapText="1"/>
    </xf>
    <xf numFmtId="0" fontId="34" fillId="0" borderId="0" xfId="0" applyFont="1"/>
    <xf numFmtId="3" fontId="35" fillId="18" borderId="2" xfId="0" applyNumberFormat="1" applyFont="1" applyFill="1" applyBorder="1" applyAlignment="1">
      <alignment horizontal="center" vertical="center" wrapText="1"/>
    </xf>
    <xf numFmtId="0" fontId="35" fillId="18" borderId="2" xfId="0" applyFont="1" applyFill="1" applyBorder="1" applyAlignment="1">
      <alignment horizontal="center" vertical="center" wrapText="1"/>
    </xf>
    <xf numFmtId="4" fontId="35" fillId="18" borderId="2" xfId="0" applyNumberFormat="1" applyFont="1" applyFill="1" applyBorder="1" applyAlignment="1">
      <alignment horizontal="center" vertical="center" wrapText="1"/>
    </xf>
    <xf numFmtId="0" fontId="35" fillId="17" borderId="2" xfId="0" applyFont="1" applyFill="1" applyBorder="1" applyAlignment="1">
      <alignment horizontal="center" vertical="center" wrapText="1"/>
    </xf>
    <xf numFmtId="49" fontId="35" fillId="17" borderId="2" xfId="0" applyNumberFormat="1" applyFont="1" applyFill="1" applyBorder="1" applyAlignment="1">
      <alignment horizontal="center" vertical="center" wrapText="1"/>
    </xf>
    <xf numFmtId="4" fontId="35" fillId="17" borderId="2" xfId="0" applyNumberFormat="1" applyFont="1" applyFill="1" applyBorder="1" applyAlignment="1">
      <alignment horizontal="center" vertical="center" wrapText="1"/>
    </xf>
    <xf numFmtId="3" fontId="35" fillId="17" borderId="2" xfId="0" applyNumberFormat="1" applyFont="1" applyFill="1" applyBorder="1" applyAlignment="1">
      <alignment horizontal="center" vertical="center" wrapText="1"/>
    </xf>
    <xf numFmtId="3" fontId="35" fillId="20" borderId="2" xfId="0" applyNumberFormat="1" applyFont="1" applyFill="1" applyBorder="1" applyAlignment="1">
      <alignment horizontal="center" vertical="center" wrapText="1"/>
    </xf>
    <xf numFmtId="3" fontId="36" fillId="18" borderId="5" xfId="0" applyNumberFormat="1" applyFont="1" applyFill="1" applyBorder="1" applyAlignment="1">
      <alignment horizontal="center" vertical="center"/>
    </xf>
    <xf numFmtId="0" fontId="36" fillId="18" borderId="0" xfId="0" applyFont="1" applyFill="1" applyAlignment="1">
      <alignment horizontal="center" vertical="center"/>
    </xf>
    <xf numFmtId="49" fontId="36" fillId="18" borderId="5" xfId="0" applyNumberFormat="1" applyFont="1" applyFill="1" applyBorder="1" applyAlignment="1">
      <alignment horizontal="center" vertical="center"/>
    </xf>
    <xf numFmtId="0" fontId="36" fillId="18" borderId="5" xfId="0" applyFont="1" applyFill="1" applyBorder="1" applyAlignment="1">
      <alignment horizontal="center" vertical="center"/>
    </xf>
    <xf numFmtId="4" fontId="36" fillId="18" borderId="5" xfId="0" applyNumberFormat="1" applyFont="1" applyFill="1" applyBorder="1" applyAlignment="1">
      <alignment horizontal="center" vertical="center"/>
    </xf>
    <xf numFmtId="3" fontId="36" fillId="20" borderId="5" xfId="0" applyNumberFormat="1" applyFont="1" applyFill="1" applyBorder="1" applyAlignment="1">
      <alignment horizontal="center" vertical="center"/>
    </xf>
    <xf numFmtId="0" fontId="36" fillId="19" borderId="5" xfId="0" applyFont="1" applyFill="1" applyBorder="1" applyAlignment="1">
      <alignment horizontal="center" vertical="center"/>
    </xf>
    <xf numFmtId="0" fontId="28" fillId="18" borderId="1" xfId="0" applyFont="1" applyFill="1" applyBorder="1" applyAlignment="1">
      <alignment vertical="center"/>
    </xf>
    <xf numFmtId="49" fontId="28" fillId="18" borderId="7" xfId="0" applyNumberFormat="1" applyFont="1" applyFill="1" applyBorder="1" applyAlignment="1">
      <alignment vertical="center"/>
    </xf>
    <xf numFmtId="49" fontId="28" fillId="18" borderId="1" xfId="0" applyNumberFormat="1" applyFont="1" applyFill="1" applyBorder="1" applyAlignment="1">
      <alignment vertical="center"/>
    </xf>
    <xf numFmtId="49" fontId="19" fillId="0" borderId="6" xfId="0" applyNumberFormat="1" applyFont="1" applyBorder="1"/>
    <xf numFmtId="0" fontId="28" fillId="18" borderId="1" xfId="0" applyFont="1" applyFill="1" applyBorder="1" applyAlignment="1">
      <alignment horizontal="center" vertical="center"/>
    </xf>
    <xf numFmtId="4" fontId="28" fillId="18" borderId="1" xfId="0" applyNumberFormat="1" applyFont="1" applyFill="1" applyBorder="1" applyAlignment="1">
      <alignment horizontal="center" vertical="center"/>
    </xf>
    <xf numFmtId="4" fontId="28" fillId="18" borderId="1" xfId="0" applyNumberFormat="1" applyFont="1" applyFill="1" applyBorder="1" applyAlignment="1">
      <alignment vertical="center"/>
    </xf>
    <xf numFmtId="3" fontId="28" fillId="18" borderId="1" xfId="0" applyNumberFormat="1" applyFont="1" applyFill="1" applyBorder="1" applyAlignment="1">
      <alignment vertical="center"/>
    </xf>
    <xf numFmtId="4" fontId="37" fillId="18" borderId="1" xfId="0" applyNumberFormat="1" applyFont="1" applyFill="1" applyBorder="1" applyAlignment="1">
      <alignment vertical="center"/>
    </xf>
    <xf numFmtId="0" fontId="38" fillId="19" borderId="0" xfId="0" applyFont="1" applyFill="1" applyAlignment="1">
      <alignment horizontal="center" vertical="center"/>
    </xf>
    <xf numFmtId="0" fontId="19" fillId="18" borderId="0" xfId="0" applyFont="1" applyFill="1" applyAlignment="1">
      <alignment vertical="center"/>
    </xf>
    <xf numFmtId="0" fontId="19" fillId="18" borderId="0" xfId="0" applyFont="1" applyFill="1" applyAlignment="1">
      <alignment horizontal="center" vertical="center"/>
    </xf>
    <xf numFmtId="164" fontId="39" fillId="21" borderId="0" xfId="0" applyNumberFormat="1" applyFont="1" applyFill="1" applyAlignment="1">
      <alignment horizontal="center" vertical="center"/>
    </xf>
    <xf numFmtId="0" fontId="39" fillId="18" borderId="0" xfId="0" applyFont="1" applyFill="1" applyAlignment="1">
      <alignment horizontal="center" vertical="center"/>
    </xf>
    <xf numFmtId="49" fontId="40" fillId="18" borderId="1" xfId="0" applyNumberFormat="1" applyFont="1" applyFill="1" applyBorder="1" applyAlignment="1">
      <alignment vertical="center"/>
    </xf>
    <xf numFmtId="1" fontId="19" fillId="18" borderId="0" xfId="0" applyNumberFormat="1" applyFont="1" applyFill="1" applyAlignment="1">
      <alignment horizontal="center" vertical="center"/>
    </xf>
    <xf numFmtId="0" fontId="43" fillId="27" borderId="14" xfId="2" applyFont="1" applyFill="1" applyBorder="1" applyAlignment="1">
      <alignment horizontal="center" vertical="center"/>
    </xf>
    <xf numFmtId="0" fontId="43" fillId="28" borderId="22" xfId="2" applyFont="1" applyFill="1" applyBorder="1" applyAlignment="1">
      <alignment horizontal="center"/>
    </xf>
    <xf numFmtId="0" fontId="43" fillId="27" borderId="19" xfId="2" applyFont="1" applyFill="1" applyBorder="1" applyAlignment="1">
      <alignment horizontal="center"/>
    </xf>
    <xf numFmtId="0" fontId="43" fillId="27" borderId="19" xfId="2" applyFont="1" applyFill="1" applyBorder="1" applyAlignment="1">
      <alignment horizontal="center" vertical="center"/>
    </xf>
    <xf numFmtId="0" fontId="43" fillId="27" borderId="12" xfId="2" applyFont="1" applyFill="1" applyBorder="1" applyAlignment="1">
      <alignment horizontal="center" vertical="center"/>
    </xf>
    <xf numFmtId="0" fontId="42" fillId="0" borderId="0" xfId="2"/>
    <xf numFmtId="0" fontId="44" fillId="29" borderId="0" xfId="2" applyFont="1" applyFill="1" applyAlignment="1" applyProtection="1">
      <alignment horizontal="center"/>
      <protection locked="0"/>
    </xf>
    <xf numFmtId="0" fontId="44" fillId="29" borderId="0" xfId="2" applyFont="1" applyFill="1"/>
    <xf numFmtId="0" fontId="42" fillId="0" borderId="23" xfId="2" applyBorder="1" applyAlignment="1">
      <alignment horizontal="center" vertical="center"/>
    </xf>
    <xf numFmtId="165" fontId="42" fillId="0" borderId="24" xfId="2" applyNumberFormat="1" applyBorder="1" applyAlignment="1">
      <alignment horizontal="center" vertical="center"/>
    </xf>
    <xf numFmtId="0" fontId="42" fillId="0" borderId="8" xfId="2" applyBorder="1" applyAlignment="1">
      <alignment vertical="center" wrapText="1"/>
    </xf>
    <xf numFmtId="0" fontId="42" fillId="0" borderId="8" xfId="2" applyBorder="1"/>
    <xf numFmtId="0" fontId="42" fillId="0" borderId="8" xfId="2" applyBorder="1" applyAlignment="1">
      <alignment horizontal="center" vertical="center"/>
    </xf>
    <xf numFmtId="0" fontId="42" fillId="0" borderId="25" xfId="2" applyBorder="1" applyAlignment="1">
      <alignment horizontal="center" vertical="center"/>
    </xf>
    <xf numFmtId="0" fontId="42" fillId="30" borderId="0" xfId="2" applyFill="1"/>
    <xf numFmtId="0" fontId="42" fillId="31" borderId="23" xfId="2" applyFill="1" applyBorder="1" applyAlignment="1">
      <alignment horizontal="center" vertical="center"/>
    </xf>
    <xf numFmtId="0" fontId="42" fillId="31" borderId="8" xfId="2" applyFill="1" applyBorder="1" applyAlignment="1">
      <alignment vertical="center" wrapText="1"/>
    </xf>
    <xf numFmtId="0" fontId="42" fillId="31" borderId="8" xfId="2" applyFill="1" applyBorder="1"/>
    <xf numFmtId="0" fontId="42" fillId="31" borderId="8" xfId="2" applyFill="1" applyBorder="1" applyAlignment="1">
      <alignment horizontal="center" vertical="center"/>
    </xf>
    <xf numFmtId="0" fontId="42" fillId="31" borderId="25" xfId="2" applyFill="1" applyBorder="1" applyAlignment="1">
      <alignment horizontal="center" vertical="center"/>
    </xf>
    <xf numFmtId="0" fontId="45" fillId="0" borderId="8" xfId="2" applyFont="1" applyBorder="1" applyAlignment="1">
      <alignment horizontal="center" vertical="center"/>
    </xf>
    <xf numFmtId="0" fontId="46" fillId="0" borderId="8" xfId="2" applyFont="1" applyBorder="1" applyAlignment="1">
      <alignment vertical="center"/>
    </xf>
    <xf numFmtId="0" fontId="47" fillId="0" borderId="8" xfId="2" applyFont="1" applyBorder="1" applyAlignment="1">
      <alignment horizontal="center" vertical="center"/>
    </xf>
    <xf numFmtId="0" fontId="42" fillId="0" borderId="8" xfId="2" applyBorder="1" applyAlignment="1">
      <alignment horizontal="left" vertical="center" wrapText="1"/>
    </xf>
    <xf numFmtId="0" fontId="42" fillId="0" borderId="8" xfId="2" applyBorder="1" applyAlignment="1">
      <alignment vertical="center"/>
    </xf>
    <xf numFmtId="0" fontId="42" fillId="31" borderId="8" xfId="2" applyFill="1" applyBorder="1" applyAlignment="1">
      <alignment vertical="center"/>
    </xf>
    <xf numFmtId="165" fontId="42" fillId="0" borderId="8" xfId="2" applyNumberFormat="1" applyBorder="1" applyAlignment="1">
      <alignment horizontal="center" vertical="center"/>
    </xf>
    <xf numFmtId="0" fontId="42" fillId="0" borderId="11" xfId="2" applyBorder="1" applyAlignment="1">
      <alignment horizontal="center" vertical="center"/>
    </xf>
    <xf numFmtId="0" fontId="42" fillId="0" borderId="24" xfId="2" applyBorder="1" applyAlignment="1">
      <alignment vertical="center" wrapText="1"/>
    </xf>
    <xf numFmtId="0" fontId="42" fillId="0" borderId="24" xfId="2" applyBorder="1"/>
    <xf numFmtId="0" fontId="42" fillId="0" borderId="24" xfId="2" applyBorder="1" applyAlignment="1">
      <alignment horizontal="center" vertical="center"/>
    </xf>
    <xf numFmtId="0" fontId="42" fillId="0" borderId="9" xfId="2" applyBorder="1" applyAlignment="1">
      <alignment horizontal="center" vertical="center"/>
    </xf>
    <xf numFmtId="0" fontId="48" fillId="32" borderId="0" xfId="2" applyFont="1" applyFill="1"/>
    <xf numFmtId="0" fontId="44" fillId="0" borderId="0" xfId="2" applyFont="1"/>
    <xf numFmtId="49" fontId="42" fillId="0" borderId="0" xfId="2" applyNumberFormat="1"/>
    <xf numFmtId="0" fontId="42" fillId="33" borderId="0" xfId="2" applyFill="1"/>
    <xf numFmtId="0" fontId="42" fillId="34" borderId="0" xfId="2" applyFill="1"/>
    <xf numFmtId="0" fontId="42" fillId="35" borderId="0" xfId="2" applyFill="1"/>
    <xf numFmtId="0" fontId="42" fillId="20" borderId="0" xfId="2" applyFill="1"/>
    <xf numFmtId="0" fontId="48" fillId="32" borderId="0" xfId="2" applyFont="1" applyFill="1" applyAlignment="1">
      <alignment horizontal="center"/>
    </xf>
    <xf numFmtId="0" fontId="19" fillId="0" borderId="0" xfId="3" applyFont="1"/>
    <xf numFmtId="0" fontId="19" fillId="0" borderId="0" xfId="3" applyFont="1" applyAlignment="1">
      <alignment horizontal="right"/>
    </xf>
    <xf numFmtId="3" fontId="19" fillId="0" borderId="0" xfId="3" applyNumberFormat="1" applyFont="1" applyAlignment="1">
      <alignment horizontal="left" indent="1"/>
    </xf>
    <xf numFmtId="0" fontId="44" fillId="36" borderId="0" xfId="2" applyFont="1" applyFill="1"/>
    <xf numFmtId="0" fontId="49" fillId="36" borderId="0" xfId="2" applyFont="1" applyFill="1"/>
    <xf numFmtId="0" fontId="19" fillId="18" borderId="0" xfId="0" applyFont="1" applyFill="1"/>
    <xf numFmtId="3" fontId="26" fillId="18" borderId="0" xfId="0" applyNumberFormat="1" applyFont="1" applyFill="1" applyAlignment="1">
      <alignment horizontal="left" vertical="center"/>
    </xf>
    <xf numFmtId="0" fontId="42" fillId="0" borderId="0" xfId="2" applyAlignment="1">
      <alignment horizontal="center"/>
    </xf>
    <xf numFmtId="3" fontId="32" fillId="7" borderId="2" xfId="0" applyNumberFormat="1" applyFont="1" applyFill="1" applyBorder="1" applyAlignment="1">
      <alignment horizontal="center" vertical="center" wrapText="1"/>
    </xf>
    <xf numFmtId="0" fontId="28" fillId="18" borderId="1" xfId="0" applyFont="1" applyFill="1" applyBorder="1" applyAlignment="1">
      <alignment horizontal="left" vertical="center"/>
      <extLst>
        <ext xmlns:xfpb="http://schemas.microsoft.com/office/spreadsheetml/2022/featurepropertybag" uri="{C7286773-470A-42A8-94C5-96B5CB345126}">
          <xfpb:xfComplement i="0"/>
        </ext>
      </extLst>
    </xf>
    <xf numFmtId="3" fontId="28" fillId="18" borderId="1" xfId="0" applyNumberFormat="1" applyFont="1" applyFill="1" applyBorder="1" applyAlignment="1">
      <alignment horizontal="left" vertical="center"/>
    </xf>
    <xf numFmtId="0" fontId="28" fillId="0" borderId="26" xfId="0" applyFont="1" applyBorder="1" applyAlignment="1">
      <alignment horizontal="left" vertical="center" wrapText="1"/>
    </xf>
    <xf numFmtId="4" fontId="29" fillId="0" borderId="26" xfId="0" applyNumberFormat="1" applyFont="1" applyBorder="1" applyAlignment="1">
      <alignment horizontal="left" vertical="center"/>
    </xf>
    <xf numFmtId="4" fontId="35" fillId="17" borderId="15" xfId="0" applyNumberFormat="1" applyFont="1" applyFill="1" applyBorder="1" applyAlignment="1">
      <alignment horizontal="center" vertical="center" wrapText="1"/>
    </xf>
    <xf numFmtId="0" fontId="35" fillId="17" borderId="15" xfId="0" applyFont="1" applyFill="1" applyBorder="1" applyAlignment="1">
      <alignment horizontal="center" vertical="center" wrapText="1"/>
    </xf>
    <xf numFmtId="0" fontId="19" fillId="0" borderId="28" xfId="0" applyFont="1" applyBorder="1"/>
    <xf numFmtId="0" fontId="19" fillId="0" borderId="29" xfId="0" applyFont="1" applyBorder="1"/>
    <xf numFmtId="0" fontId="28" fillId="21" borderId="1" xfId="0" applyFont="1" applyFill="1" applyBorder="1" applyAlignment="1">
      <alignment vertical="center"/>
    </xf>
    <xf numFmtId="0" fontId="1" fillId="0" borderId="0" xfId="1" applyAlignment="1">
      <alignment horizontal="center"/>
    </xf>
    <xf numFmtId="49" fontId="24" fillId="18" borderId="8" xfId="0" applyNumberFormat="1" applyFont="1" applyFill="1" applyBorder="1" applyAlignment="1">
      <alignment vertical="center"/>
    </xf>
    <xf numFmtId="0" fontId="50" fillId="0" borderId="0" xfId="0" applyFont="1" applyAlignment="1">
      <alignment horizontal="left"/>
    </xf>
    <xf numFmtId="0" fontId="51" fillId="31" borderId="2" xfId="0" applyFont="1" applyFill="1" applyBorder="1" applyAlignment="1">
      <alignment horizontal="center" vertical="center" wrapText="1"/>
    </xf>
    <xf numFmtId="0" fontId="52" fillId="31" borderId="5" xfId="0" applyFont="1" applyFill="1" applyBorder="1" applyAlignment="1">
      <alignment horizontal="center" vertical="center"/>
    </xf>
    <xf numFmtId="0" fontId="23" fillId="18" borderId="0" xfId="0" applyFont="1" applyFill="1" applyAlignment="1">
      <alignment horizontal="left" vertical="center"/>
    </xf>
    <xf numFmtId="0" fontId="24" fillId="18" borderId="8" xfId="0" applyFont="1" applyFill="1" applyBorder="1" applyAlignment="1">
      <alignment horizontal="center" vertical="center"/>
    </xf>
    <xf numFmtId="49" fontId="25" fillId="18" borderId="0" xfId="0" applyNumberFormat="1" applyFont="1" applyFill="1"/>
    <xf numFmtId="49" fontId="19" fillId="18" borderId="0" xfId="0" applyNumberFormat="1" applyFont="1" applyFill="1"/>
    <xf numFmtId="0" fontId="26" fillId="18" borderId="0" xfId="0" applyFont="1" applyFill="1" applyAlignment="1">
      <alignment horizontal="left" vertical="center"/>
    </xf>
    <xf numFmtId="4" fontId="27" fillId="18" borderId="19" xfId="0" applyNumberFormat="1" applyFont="1" applyFill="1" applyBorder="1" applyAlignment="1">
      <alignment horizontal="center" vertical="center"/>
    </xf>
    <xf numFmtId="49" fontId="26" fillId="18" borderId="0" xfId="0" applyNumberFormat="1" applyFont="1" applyFill="1" applyAlignment="1">
      <alignment horizontal="left" vertical="center"/>
    </xf>
    <xf numFmtId="49" fontId="27" fillId="18" borderId="8" xfId="0" applyNumberFormat="1" applyFont="1" applyFill="1" applyBorder="1" applyAlignment="1">
      <alignment vertical="center"/>
    </xf>
    <xf numFmtId="166" fontId="28" fillId="18" borderId="1" xfId="4" applyNumberFormat="1" applyFont="1" applyFill="1" applyBorder="1" applyAlignment="1">
      <alignment horizontal="center" vertical="center"/>
    </xf>
    <xf numFmtId="0" fontId="21" fillId="25" borderId="0" xfId="0" applyFont="1" applyFill="1" applyAlignment="1">
      <alignment horizontal="center" vertical="center"/>
    </xf>
    <xf numFmtId="0" fontId="19" fillId="0" borderId="0" xfId="0" applyFont="1"/>
    <xf numFmtId="49" fontId="19" fillId="0" borderId="0" xfId="0" applyNumberFormat="1" applyFont="1"/>
    <xf numFmtId="49" fontId="27" fillId="18" borderId="8" xfId="0" applyNumberFormat="1" applyFont="1" applyFill="1" applyBorder="1" applyAlignment="1">
      <alignment horizontal="left" vertical="top"/>
    </xf>
    <xf numFmtId="0" fontId="19" fillId="18" borderId="10" xfId="0" applyFont="1" applyFill="1" applyBorder="1"/>
    <xf numFmtId="0" fontId="19" fillId="18" borderId="11" xfId="0" applyFont="1" applyFill="1" applyBorder="1"/>
    <xf numFmtId="0" fontId="19" fillId="18" borderId="12" xfId="0" applyFont="1" applyFill="1" applyBorder="1"/>
    <xf numFmtId="0" fontId="19" fillId="18" borderId="13" xfId="0" applyFont="1" applyFill="1" applyBorder="1"/>
    <xf numFmtId="0" fontId="19" fillId="18" borderId="14" xfId="0" applyFont="1" applyFill="1" applyBorder="1"/>
    <xf numFmtId="0" fontId="32" fillId="9" borderId="4" xfId="0" applyFont="1" applyFill="1" applyBorder="1" applyAlignment="1">
      <alignment horizontal="center" vertical="center" wrapText="1"/>
    </xf>
    <xf numFmtId="0" fontId="33" fillId="0" borderId="3" xfId="0" applyFont="1" applyBorder="1"/>
    <xf numFmtId="0" fontId="33" fillId="0" borderId="4" xfId="0" applyFont="1" applyBorder="1"/>
    <xf numFmtId="0" fontId="34" fillId="24" borderId="18" xfId="0" applyFont="1" applyFill="1" applyBorder="1" applyAlignment="1">
      <alignment horizontal="center" vertical="center"/>
    </xf>
    <xf numFmtId="0" fontId="33" fillId="0" borderId="17" xfId="0" applyFont="1" applyBorder="1"/>
    <xf numFmtId="0" fontId="33" fillId="0" borderId="18" xfId="0" applyFont="1" applyBorder="1"/>
    <xf numFmtId="0" fontId="32" fillId="4" borderId="16" xfId="0" applyFont="1" applyFill="1" applyBorder="1" applyAlignment="1">
      <alignment horizontal="center" vertical="center" wrapText="1"/>
    </xf>
    <xf numFmtId="0" fontId="32" fillId="4" borderId="17" xfId="0" applyFont="1" applyFill="1" applyBorder="1" applyAlignment="1">
      <alignment horizontal="center" vertical="center" wrapText="1"/>
    </xf>
    <xf numFmtId="0" fontId="32" fillId="5" borderId="16" xfId="0" applyFont="1" applyFill="1" applyBorder="1" applyAlignment="1">
      <alignment horizontal="center" vertical="center"/>
    </xf>
    <xf numFmtId="0" fontId="32" fillId="5" borderId="17" xfId="0" applyFont="1" applyFill="1" applyBorder="1" applyAlignment="1">
      <alignment horizontal="center" vertical="center"/>
    </xf>
    <xf numFmtId="0" fontId="32" fillId="5" borderId="18" xfId="0" applyFont="1" applyFill="1" applyBorder="1" applyAlignment="1">
      <alignment horizontal="center" vertical="center"/>
    </xf>
    <xf numFmtId="3" fontId="32" fillId="22" borderId="16" xfId="0" applyNumberFormat="1" applyFont="1" applyFill="1" applyBorder="1" applyAlignment="1">
      <alignment horizontal="center" vertical="center" wrapText="1"/>
    </xf>
    <xf numFmtId="3" fontId="32" fillId="22" borderId="18" xfId="0" applyNumberFormat="1" applyFont="1" applyFill="1" applyBorder="1" applyAlignment="1">
      <alignment horizontal="center" vertical="center" wrapText="1"/>
    </xf>
    <xf numFmtId="0" fontId="32" fillId="12" borderId="21" xfId="0" applyFont="1" applyFill="1" applyBorder="1" applyAlignment="1">
      <alignment horizontal="center" vertical="center"/>
    </xf>
    <xf numFmtId="0" fontId="32" fillId="12" borderId="3" xfId="0" applyFont="1" applyFill="1" applyBorder="1" applyAlignment="1">
      <alignment horizontal="center" vertical="center"/>
    </xf>
    <xf numFmtId="0" fontId="32" fillId="23" borderId="2" xfId="0" applyFont="1" applyFill="1" applyBorder="1" applyAlignment="1">
      <alignment horizontal="center" vertical="center" wrapText="1"/>
    </xf>
    <xf numFmtId="0" fontId="27" fillId="18" borderId="9" xfId="0" applyFont="1" applyFill="1" applyBorder="1" applyAlignment="1">
      <alignment horizontal="left" vertical="top"/>
    </xf>
    <xf numFmtId="0" fontId="32" fillId="11" borderId="21" xfId="0" applyFont="1" applyFill="1" applyBorder="1" applyAlignment="1">
      <alignment horizontal="center" vertical="center" wrapText="1"/>
    </xf>
    <xf numFmtId="0" fontId="32" fillId="11" borderId="3" xfId="0" applyFont="1" applyFill="1" applyBorder="1" applyAlignment="1">
      <alignment horizontal="center" vertical="center" wrapText="1"/>
    </xf>
    <xf numFmtId="0" fontId="32" fillId="11" borderId="4" xfId="0" applyFont="1" applyFill="1" applyBorder="1" applyAlignment="1">
      <alignment horizontal="center" vertical="center" wrapText="1"/>
    </xf>
    <xf numFmtId="4" fontId="32" fillId="8" borderId="25" xfId="0" applyNumberFormat="1" applyFont="1" applyFill="1" applyBorder="1" applyAlignment="1">
      <alignment horizontal="center" vertical="center" wrapText="1"/>
    </xf>
    <xf numFmtId="4" fontId="32" fillId="8" borderId="27" xfId="0" applyNumberFormat="1" applyFont="1" applyFill="1" applyBorder="1" applyAlignment="1">
      <alignment horizontal="center" vertical="center" wrapText="1"/>
    </xf>
    <xf numFmtId="4" fontId="32" fillId="8" borderId="23" xfId="0" applyNumberFormat="1" applyFont="1" applyFill="1" applyBorder="1" applyAlignment="1">
      <alignment horizontal="center" vertical="center" wrapText="1"/>
    </xf>
    <xf numFmtId="0" fontId="32" fillId="10" borderId="16" xfId="0" applyFont="1" applyFill="1" applyBorder="1" applyAlignment="1">
      <alignment horizontal="center" vertical="center" wrapText="1"/>
    </xf>
    <xf numFmtId="0" fontId="32" fillId="10" borderId="17" xfId="0" applyFont="1" applyFill="1" applyBorder="1" applyAlignment="1">
      <alignment horizontal="center" vertical="center" wrapText="1"/>
    </xf>
    <xf numFmtId="0" fontId="32" fillId="10" borderId="18" xfId="0" applyFont="1" applyFill="1" applyBorder="1" applyAlignment="1">
      <alignment horizontal="center" vertical="center" wrapText="1"/>
    </xf>
    <xf numFmtId="0" fontId="10" fillId="0" borderId="0" xfId="0" applyFont="1"/>
    <xf numFmtId="0" fontId="0" fillId="0" borderId="0" xfId="0"/>
  </cellXfs>
  <cellStyles count="5">
    <cellStyle name="Millares" xfId="4" builtinId="3"/>
    <cellStyle name="Normal" xfId="0" builtinId="0"/>
    <cellStyle name="Normal 2" xfId="1" xr:uid="{00000000-0005-0000-0000-000001000000}"/>
    <cellStyle name="Normal 3" xfId="2" xr:uid="{4FE59EFB-C354-CA49-ABFA-A22D44665344}"/>
    <cellStyle name="Normal 4" xfId="3" xr:uid="{9ADBF6AD-6C9C-8B4E-AA8E-8B2DABFBD9E3}"/>
  </cellStyles>
  <dxfs count="9">
    <dxf>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right style="thin">
          <color indexed="64"/>
        </right>
        <top style="thin">
          <color indexed="64"/>
        </top>
        <bottom style="thin">
          <color indexed="64"/>
        </bottom>
      </border>
    </dxf>
    <dxf>
      <font>
        <color rgb="FF9C5700"/>
      </font>
      <fill>
        <patternFill>
          <bgColor rgb="FFFFEB9C"/>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6A1B9A"/>
      <rgbColor rgb="FF008080"/>
      <rgbColor rgb="FFCCCCCC"/>
      <rgbColor rgb="FF666666"/>
      <rgbColor rgb="FF9999FF"/>
      <rgbColor rgb="FF795548"/>
      <rgbColor rgb="FFFFF3E0"/>
      <rgbColor rgb="FFE8F5E9"/>
      <rgbColor rgb="FF660066"/>
      <rgbColor rgb="FFFF8A65"/>
      <rgbColor rgb="FF1565C0"/>
      <rgbColor rgb="FFCFD8DC"/>
      <rgbColor rgb="FF000080"/>
      <rgbColor rgb="FFFF00FF"/>
      <rgbColor rgb="FFFFFF00"/>
      <rgbColor rgb="FF00FFFF"/>
      <rgbColor rgb="FF800080"/>
      <rgbColor rgb="FF800000"/>
      <rgbColor rgb="FF008080"/>
      <rgbColor rgb="FF0000FF"/>
      <rgbColor rgb="FF00CCFF"/>
      <rgbColor rgb="FFEEF3F6"/>
      <rgbColor rgb="FFF1F8E9"/>
      <rgbColor rgb="FFFFFFF0"/>
      <rgbColor rgb="FF90CAF9"/>
      <rgbColor rgb="FFF5F5F5"/>
      <rgbColor rgb="FFCE93D8"/>
      <rgbColor rgb="FFFFB74D"/>
      <rgbColor rgb="FF3366FF"/>
      <rgbColor rgb="FF42A5F5"/>
      <rgbColor rgb="FF66BB6A"/>
      <rgbColor rgb="FFFFCC00"/>
      <rgbColor rgb="FFFF9900"/>
      <rgbColor rgb="FFE65100"/>
      <rgbColor rgb="FF4A6A8A"/>
      <rgbColor rgb="FF999999"/>
      <rgbColor rgb="FF003366"/>
      <rgbColor rgb="FF2E7D32"/>
      <rgbColor rgb="FF003300"/>
      <rgbColor rgb="FF333300"/>
      <rgbColor rgb="FF993300"/>
      <rgbColor rgb="FF993366"/>
      <rgbColor rgb="FF3B5068"/>
      <rgbColor rgb="FF2F3E4C"/>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22/11/relationships/FeaturePropertyBag" Target="featurePropertyBag/featurePropertyBag.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50800</xdr:rowOff>
        </xdr:from>
        <xdr:to>
          <xdr:col>2</xdr:col>
          <xdr:colOff>304800</xdr:colOff>
          <xdr:row>0</xdr:row>
          <xdr:rowOff>495300</xdr:rowOff>
        </xdr:to>
        <xdr:sp macro="" textlink="">
          <xdr:nvSpPr>
            <xdr:cNvPr id="1073" name="Button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400" b="1" i="0" u="none" strike="noStrike" baseline="0">
                  <a:solidFill>
                    <a:srgbClr val="002060"/>
                  </a:solidFill>
                  <a:latin typeface="Trebuchet MS" pitchFamily="2" charset="0"/>
                </a:rPr>
                <a:t>Refrescar Listas</a:t>
              </a:r>
              <a:r>
                <a:rPr lang="es-MX" sz="1400" b="0" i="0" u="none" strike="noStrike" baseline="0">
                  <a:solidFill>
                    <a:srgbClr val="002060"/>
                  </a:solidFill>
                  <a:latin typeface="Trebuchet MS" pitchFamily="2" charset="0"/>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520700</xdr:colOff>
          <xdr:row>0</xdr:row>
          <xdr:rowOff>50800</xdr:rowOff>
        </xdr:from>
        <xdr:to>
          <xdr:col>5</xdr:col>
          <xdr:colOff>190500</xdr:colOff>
          <xdr:row>0</xdr:row>
          <xdr:rowOff>495300</xdr:rowOff>
        </xdr:to>
        <xdr:sp macro="" textlink="">
          <xdr:nvSpPr>
            <xdr:cNvPr id="1074" name="Button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400" b="1" i="0" u="none" strike="noStrike" baseline="0">
                  <a:solidFill>
                    <a:srgbClr val="000000"/>
                  </a:solidFill>
                  <a:latin typeface="Trebuchet MS" pitchFamily="2" charset="0"/>
                </a:rPr>
                <a:t>Exportar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406400</xdr:colOff>
          <xdr:row>0</xdr:row>
          <xdr:rowOff>50800</xdr:rowOff>
        </xdr:from>
        <xdr:to>
          <xdr:col>6</xdr:col>
          <xdr:colOff>1130300</xdr:colOff>
          <xdr:row>0</xdr:row>
          <xdr:rowOff>495300</xdr:rowOff>
        </xdr:to>
        <xdr:sp macro="" textlink="">
          <xdr:nvSpPr>
            <xdr:cNvPr id="1196" name="Button 172" hidden="1">
              <a:extLst>
                <a:ext uri="{63B3BB69-23CF-44E3-9099-C40C66FF867C}">
                  <a14:compatExt spid="_x0000_s1196"/>
                </a:ext>
                <a:ext uri="{FF2B5EF4-FFF2-40B4-BE49-F238E27FC236}">
                  <a16:creationId xmlns:a16="http://schemas.microsoft.com/office/drawing/2014/main" id="{00000000-0008-0000-0000-0000A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400" b="1" i="0" u="none" strike="noStrike" baseline="0">
                  <a:solidFill>
                    <a:srgbClr val="FF0000"/>
                  </a:solidFill>
                  <a:latin typeface="Trebuchet MS" pitchFamily="2" charset="0"/>
                </a:rPr>
                <a:t>Limpiar Datos</a:t>
              </a:r>
              <a:r>
                <a:rPr lang="es-MX" sz="1400" b="0" i="0" u="none" strike="noStrike" baseline="0">
                  <a:solidFill>
                    <a:srgbClr val="FF0000"/>
                  </a:solidFill>
                  <a:latin typeface="Trebuchet MS" pitchFamily="2" charset="0"/>
                </a:rPr>
                <a:t> 🗑️</a:t>
              </a:r>
            </a:p>
          </xdr:txBody>
        </xdr:sp>
        <xdr:clientData fPrintsWithSheet="0"/>
      </xdr:twoCellAnchor>
    </mc:Choice>
    <mc:Fallback/>
  </mc:AlternateContent>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0377940-5299-3049-993F-A799A23B04BF}" name="Tabla1" displayName="Tabla1" ref="A1:G1581" totalsRowShown="0" tableBorderDxfId="7">
  <autoFilter ref="A1:G1581" xr:uid="{59BB7528-42C0-4551-98EE-9CADA5BA7E43}"/>
  <tableColumns count="7">
    <tableColumn id="1" xr3:uid="{B7E6D9F4-20FF-2847-B856-8A081BAD8920}" name="Grupo" dataDxfId="6"/>
    <tableColumn id="6" xr3:uid="{ABA681FF-B184-6641-83EB-4231F1DB8E12}" name="Característica Especial" dataDxfId="5" dataCellStyle="Normal 3"/>
    <tableColumn id="2" xr3:uid="{D9BEB9BE-6683-6846-BB00-8597A8796E1B}" name="Línea" dataDxfId="4"/>
    <tableColumn id="3" xr3:uid="{2FD1F62C-64D2-4342-BCCF-E0DF5A009919}" name="Línea2" dataDxfId="3"/>
    <tableColumn id="7" xr3:uid="{EE914A74-CD62-7B49-8E08-9541D5E6B4F6}" name="Metal Base" dataDxfId="2" dataCellStyle="Normal 3"/>
    <tableColumn id="5" xr3:uid="{4D50BCE3-3666-FC40-899F-DB14DCF46DF8}" name="Etiquetas" dataDxfId="1" dataCellStyle="Normal 3"/>
    <tableColumn id="4" xr3:uid="{AA65509F-CF70-CE44-A89F-FE835FA1B716}" name="Proceso"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23733EA-DB8F-734F-BC4F-E75B57477497}">
  <we:reference id="wa200009404" version="1.0.0.8" store="en-US" storeType="OMEX"/>
  <we:alternateReferences>
    <we:reference id="wa200009404" version="1.0.0.8" store="" storeType="OMEX"/>
  </we:alternateReferences>
  <we:properties>
    <we:property name="claude.fileId" value="&quot;69b1ea8e-a079-4d89-b691-b991b912422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tabColor rgb="FF1D4ED8"/>
  </sheetPr>
  <dimension ref="A1:BO508"/>
  <sheetViews>
    <sheetView tabSelected="1" zoomScaleNormal="100" workbookViewId="0">
      <pane xSplit="5" ySplit="8" topLeftCell="F9" activePane="bottomRight" state="frozen"/>
      <selection pane="topRight" activeCell="F1" sqref="F1"/>
      <selection pane="bottomLeft" activeCell="A9" sqref="A9"/>
      <selection pane="bottomRight" activeCell="BF5" sqref="BF5"/>
    </sheetView>
  </sheetViews>
  <sheetFormatPr baseColWidth="10" defaultColWidth="8.6640625" defaultRowHeight="14" outlineLevelCol="1" x14ac:dyDescent="0.15"/>
  <cols>
    <col min="1" max="1" width="20.5" style="19" bestFit="1" customWidth="1"/>
    <col min="2" max="2" width="16.33203125" style="19" customWidth="1" outlineLevel="1"/>
    <col min="3" max="4" width="10.1640625" style="19" customWidth="1"/>
    <col min="5" max="5" width="13.5" style="19" customWidth="1"/>
    <col min="6" max="6" width="16.5" style="19" customWidth="1"/>
    <col min="7" max="7" width="16.5" style="20" customWidth="1"/>
    <col min="8" max="8" width="20.33203125" style="20" customWidth="1"/>
    <col min="9" max="9" width="8.83203125" style="20" customWidth="1" outlineLevel="1"/>
    <col min="10" max="10" width="6.5" style="19" bestFit="1" customWidth="1"/>
    <col min="11" max="11" width="9.33203125" style="19" customWidth="1"/>
    <col min="12" max="12" width="9" style="19" customWidth="1"/>
    <col min="13" max="13" width="8" style="19" customWidth="1" outlineLevel="1"/>
    <col min="14" max="15" width="8" style="19" customWidth="1"/>
    <col min="16" max="16" width="12" style="19" customWidth="1"/>
    <col min="17" max="17" width="15.5" style="19" customWidth="1"/>
    <col min="18" max="19" width="16" style="19" customWidth="1"/>
    <col min="20" max="20" width="16" style="19" customWidth="1" outlineLevel="1"/>
    <col min="21" max="21" width="16" style="19" customWidth="1"/>
    <col min="22" max="22" width="23" style="19" bestFit="1" customWidth="1"/>
    <col min="23" max="23" width="15.6640625" style="19" customWidth="1"/>
    <col min="24" max="24" width="11.1640625" style="19" customWidth="1"/>
    <col min="25" max="25" width="10.83203125" style="19" bestFit="1" customWidth="1"/>
    <col min="26" max="26" width="10.6640625" style="19" bestFit="1" customWidth="1"/>
    <col min="27" max="27" width="10.83203125" style="19" bestFit="1" customWidth="1"/>
    <col min="28" max="28" width="10.6640625" style="19" bestFit="1" customWidth="1"/>
    <col min="29" max="29" width="10.83203125" style="19" bestFit="1" customWidth="1"/>
    <col min="30" max="30" width="11.1640625" style="19" customWidth="1"/>
    <col min="31" max="31" width="8.1640625" style="19" bestFit="1" customWidth="1"/>
    <col min="32" max="32" width="9.5" style="19" bestFit="1" customWidth="1"/>
    <col min="33" max="33" width="7.6640625" style="19" bestFit="1" customWidth="1"/>
    <col min="34" max="34" width="8.5" style="19" bestFit="1" customWidth="1"/>
    <col min="35" max="35" width="12.5" style="19" customWidth="1"/>
    <col min="36" max="36" width="10" style="19" customWidth="1"/>
    <col min="37" max="37" width="15" style="19" customWidth="1"/>
    <col min="38" max="38" width="10.1640625" style="19" customWidth="1"/>
    <col min="39" max="39" width="15" style="19" customWidth="1"/>
    <col min="40" max="40" width="10.1640625" style="19" customWidth="1"/>
    <col min="41" max="41" width="15" style="19" customWidth="1"/>
    <col min="42" max="42" width="10.1640625" style="19" customWidth="1"/>
    <col min="43" max="43" width="15" style="19" customWidth="1"/>
    <col min="44" max="44" width="10.1640625" style="19" customWidth="1"/>
    <col min="45" max="45" width="18.6640625" style="19" bestFit="1" customWidth="1"/>
    <col min="46" max="46" width="8.33203125" style="19" bestFit="1" customWidth="1"/>
    <col min="47" max="47" width="6.5" style="19" bestFit="1" customWidth="1"/>
    <col min="48" max="48" width="4.5" style="19" bestFit="1" customWidth="1"/>
    <col min="49" max="49" width="8.83203125" style="19" bestFit="1" customWidth="1"/>
    <col min="50" max="50" width="8.5" style="19" bestFit="1" customWidth="1"/>
    <col min="51" max="55" width="8.1640625" style="19" bestFit="1" customWidth="1" outlineLevel="1"/>
    <col min="56" max="56" width="10.5" style="19" bestFit="1" customWidth="1" outlineLevel="1"/>
    <col min="57" max="57" width="9" style="19" bestFit="1" customWidth="1" outlineLevel="1"/>
    <col min="58" max="58" width="8.83203125" style="19" bestFit="1" customWidth="1" outlineLevel="1"/>
    <col min="59" max="59" width="10.1640625" style="19" bestFit="1" customWidth="1" outlineLevel="1"/>
    <col min="60" max="60" width="12" style="19" customWidth="1"/>
    <col min="61" max="61" width="10.5" style="19" bestFit="1" customWidth="1"/>
    <col min="62" max="62" width="10.1640625" style="19" bestFit="1" customWidth="1" outlineLevel="1"/>
    <col min="63" max="63" width="7.6640625" style="19" bestFit="1" customWidth="1" outlineLevel="1"/>
    <col min="64" max="64" width="5.6640625" style="19" bestFit="1" customWidth="1" outlineLevel="1"/>
    <col min="65" max="65" width="10.33203125" style="19" bestFit="1" customWidth="1" outlineLevel="1"/>
    <col min="66" max="66" width="8.6640625" style="19" bestFit="1" customWidth="1" outlineLevel="1"/>
    <col min="67" max="67" width="10.33203125" style="19" bestFit="1" customWidth="1" outlineLevel="1"/>
    <col min="68" max="69" width="10.5" style="19" customWidth="1"/>
    <col min="70" max="70" width="8.6640625" style="19" customWidth="1"/>
    <col min="71" max="16384" width="8.6640625" style="19"/>
  </cols>
  <sheetData>
    <row r="1" spans="1:67" ht="41" customHeight="1" thickBot="1" x14ac:dyDescent="0.2">
      <c r="A1" s="16"/>
      <c r="B1" s="16"/>
      <c r="C1" s="16"/>
      <c r="D1" s="16"/>
      <c r="E1" s="16"/>
      <c r="F1" s="16"/>
      <c r="G1" s="17"/>
      <c r="H1" s="18" t="s">
        <v>2786</v>
      </c>
      <c r="I1" s="17"/>
      <c r="J1" s="16"/>
      <c r="K1" s="16"/>
      <c r="L1" s="16"/>
      <c r="M1" s="16"/>
      <c r="N1" s="16"/>
      <c r="O1" s="16"/>
      <c r="Q1" s="16"/>
      <c r="R1" s="16"/>
      <c r="S1" s="16"/>
      <c r="T1" s="105" t="s">
        <v>1760</v>
      </c>
      <c r="U1" s="106">
        <f>COUNTA($U$9:$U$508)-SUM(U2:U3)</f>
        <v>0</v>
      </c>
    </row>
    <row r="2" spans="1:67" ht="25" customHeight="1" x14ac:dyDescent="0.15">
      <c r="A2" s="136" t="s">
        <v>2226</v>
      </c>
      <c r="B2" s="137"/>
      <c r="C2" s="137"/>
      <c r="D2" s="137"/>
      <c r="E2" s="137"/>
      <c r="F2" s="137"/>
      <c r="G2" s="138"/>
      <c r="H2" s="138"/>
      <c r="I2" s="21" t="s">
        <v>969</v>
      </c>
      <c r="J2" s="16"/>
      <c r="K2" s="16"/>
      <c r="L2" s="16"/>
      <c r="M2" s="16"/>
      <c r="N2" s="16"/>
      <c r="O2" s="16"/>
      <c r="Q2" s="16"/>
      <c r="R2" s="16"/>
      <c r="S2" s="16"/>
      <c r="T2" s="105" t="s">
        <v>73</v>
      </c>
      <c r="U2" s="106">
        <f>COUNTIF($U$9:$U$508,$T2)</f>
        <v>0</v>
      </c>
    </row>
    <row r="3" spans="1:67" ht="22" customHeight="1" x14ac:dyDescent="0.2">
      <c r="A3" s="127" t="s">
        <v>0</v>
      </c>
      <c r="B3" s="128" t="s">
        <v>1</v>
      </c>
      <c r="C3" s="109"/>
      <c r="D3" s="109"/>
      <c r="E3" s="127" t="s">
        <v>2</v>
      </c>
      <c r="F3" s="129"/>
      <c r="G3" s="123" t="s">
        <v>2787</v>
      </c>
      <c r="H3" s="130"/>
      <c r="I3" s="131" t="s">
        <v>3</v>
      </c>
      <c r="J3" s="161"/>
      <c r="K3" s="140"/>
      <c r="L3" s="140"/>
      <c r="M3" s="141"/>
      <c r="N3" s="109"/>
      <c r="O3" s="109"/>
      <c r="P3" s="110" t="s">
        <v>4</v>
      </c>
      <c r="Q3" s="139"/>
      <c r="R3" s="140"/>
      <c r="S3" s="141"/>
      <c r="T3" s="105" t="s">
        <v>1761</v>
      </c>
      <c r="U3" s="106">
        <f>COUNTIF($U$9:$U$508,$T3)</f>
        <v>500</v>
      </c>
    </row>
    <row r="4" spans="1:67" ht="22" customHeight="1" x14ac:dyDescent="0.15">
      <c r="A4" s="110" t="s">
        <v>5</v>
      </c>
      <c r="B4" s="132" t="s">
        <v>6</v>
      </c>
      <c r="C4" s="109"/>
      <c r="D4" s="109"/>
      <c r="E4" s="110" t="s">
        <v>7</v>
      </c>
      <c r="F4" s="133"/>
      <c r="G4" s="134" t="s">
        <v>2761</v>
      </c>
      <c r="H4" s="130"/>
      <c r="I4" s="109"/>
      <c r="J4" s="142"/>
      <c r="K4" s="143"/>
      <c r="L4" s="143"/>
      <c r="M4" s="144"/>
      <c r="N4" s="109"/>
      <c r="O4" s="109"/>
      <c r="P4" s="109"/>
      <c r="Q4" s="142"/>
      <c r="R4" s="143"/>
      <c r="S4" s="144"/>
      <c r="T4" s="104"/>
      <c r="U4" s="106">
        <f>SUM(U2:U3)</f>
        <v>500</v>
      </c>
      <c r="W4" s="30" t="s">
        <v>1784</v>
      </c>
      <c r="Z4" s="119"/>
    </row>
    <row r="5" spans="1:67" ht="24" customHeight="1" x14ac:dyDescent="0.15">
      <c r="A5" s="16"/>
      <c r="B5" s="16"/>
      <c r="C5" s="16"/>
      <c r="D5" s="16"/>
      <c r="E5" s="16"/>
      <c r="F5" s="16"/>
      <c r="G5" s="17"/>
      <c r="H5" s="22" t="s">
        <v>921</v>
      </c>
      <c r="J5" s="16"/>
      <c r="K5" s="23"/>
      <c r="L5" s="24"/>
      <c r="M5" s="24"/>
      <c r="N5" s="24"/>
      <c r="O5" s="25"/>
      <c r="Q5" s="26"/>
      <c r="R5" s="26"/>
      <c r="S5" s="27"/>
      <c r="T5" s="28"/>
      <c r="U5" s="26"/>
      <c r="V5" s="29"/>
      <c r="W5" s="115"/>
      <c r="X5" s="116" t="s">
        <v>919</v>
      </c>
      <c r="AA5" s="116"/>
      <c r="AC5" s="116"/>
      <c r="AE5" s="120"/>
      <c r="AH5" s="30" t="s">
        <v>920</v>
      </c>
    </row>
    <row r="6" spans="1:67" s="32" customFormat="1" ht="22" customHeight="1" x14ac:dyDescent="0.2">
      <c r="A6" s="156" t="s">
        <v>9</v>
      </c>
      <c r="B6" s="157"/>
      <c r="C6" s="151" t="s">
        <v>10</v>
      </c>
      <c r="D6" s="152"/>
      <c r="E6" s="152"/>
      <c r="F6" s="152"/>
      <c r="G6" s="152"/>
      <c r="H6" s="152"/>
      <c r="I6" s="148" t="s">
        <v>11</v>
      </c>
      <c r="J6" s="149"/>
      <c r="K6" s="149"/>
      <c r="L6" s="149"/>
      <c r="M6" s="150"/>
      <c r="N6" s="153" t="s">
        <v>2783</v>
      </c>
      <c r="O6" s="154"/>
      <c r="P6" s="154"/>
      <c r="Q6" s="154"/>
      <c r="R6" s="154"/>
      <c r="S6" s="154"/>
      <c r="T6" s="155"/>
      <c r="U6" s="31" t="s">
        <v>12</v>
      </c>
      <c r="V6" s="112" t="s">
        <v>1797</v>
      </c>
      <c r="W6" s="165" t="s">
        <v>13</v>
      </c>
      <c r="X6" s="166"/>
      <c r="Y6" s="166"/>
      <c r="Z6" s="166"/>
      <c r="AA6" s="166"/>
      <c r="AB6" s="166"/>
      <c r="AC6" s="166"/>
      <c r="AD6" s="167"/>
      <c r="AE6" s="145" t="s">
        <v>14</v>
      </c>
      <c r="AF6" s="146"/>
      <c r="AG6" s="146"/>
      <c r="AH6" s="147"/>
      <c r="AI6" s="168" t="s">
        <v>2785</v>
      </c>
      <c r="AJ6" s="169"/>
      <c r="AK6" s="169"/>
      <c r="AL6" s="169"/>
      <c r="AM6" s="169"/>
      <c r="AN6" s="169"/>
      <c r="AO6" s="169"/>
      <c r="AP6" s="169"/>
      <c r="AQ6" s="169"/>
      <c r="AR6" s="170"/>
      <c r="AS6" s="162" t="s">
        <v>15</v>
      </c>
      <c r="AT6" s="163"/>
      <c r="AU6" s="163"/>
      <c r="AV6" s="163"/>
      <c r="AW6" s="163"/>
      <c r="AX6" s="164"/>
      <c r="AY6" s="160" t="s">
        <v>16</v>
      </c>
      <c r="AZ6" s="146"/>
      <c r="BA6" s="146"/>
      <c r="BB6" s="146"/>
      <c r="BC6" s="146"/>
      <c r="BD6" s="146"/>
      <c r="BE6" s="146"/>
      <c r="BF6" s="146"/>
      <c r="BG6" s="147"/>
      <c r="BH6" s="158" t="s">
        <v>1351</v>
      </c>
      <c r="BI6" s="159"/>
      <c r="BJ6" s="159"/>
      <c r="BK6" s="159"/>
      <c r="BL6" s="159"/>
      <c r="BM6" s="159"/>
      <c r="BN6" s="159"/>
      <c r="BO6" s="159"/>
    </row>
    <row r="7" spans="1:67" ht="36" customHeight="1" x14ac:dyDescent="0.15">
      <c r="A7" s="33" t="s">
        <v>1788</v>
      </c>
      <c r="B7" s="35" t="s">
        <v>1790</v>
      </c>
      <c r="C7" s="34" t="s">
        <v>1334</v>
      </c>
      <c r="D7" s="36" t="s">
        <v>17</v>
      </c>
      <c r="E7" s="37" t="s">
        <v>18</v>
      </c>
      <c r="F7" s="37" t="s">
        <v>19</v>
      </c>
      <c r="G7" s="37" t="s">
        <v>20</v>
      </c>
      <c r="H7" s="36" t="s">
        <v>21</v>
      </c>
      <c r="I7" s="34" t="s">
        <v>22</v>
      </c>
      <c r="J7" s="34" t="s">
        <v>23</v>
      </c>
      <c r="K7" s="34" t="s">
        <v>24</v>
      </c>
      <c r="L7" s="34" t="s">
        <v>25</v>
      </c>
      <c r="M7" s="35" t="s">
        <v>26</v>
      </c>
      <c r="N7" s="36" t="s">
        <v>49</v>
      </c>
      <c r="O7" s="36" t="s">
        <v>27</v>
      </c>
      <c r="P7" s="36" t="s">
        <v>28</v>
      </c>
      <c r="Q7" s="38" t="s">
        <v>29</v>
      </c>
      <c r="R7" s="39" t="s">
        <v>30</v>
      </c>
      <c r="S7" s="36" t="s">
        <v>31</v>
      </c>
      <c r="T7" s="36" t="s">
        <v>1795</v>
      </c>
      <c r="U7" s="36" t="s">
        <v>32</v>
      </c>
      <c r="V7" s="40" t="s">
        <v>78</v>
      </c>
      <c r="W7" s="117" t="s">
        <v>36</v>
      </c>
      <c r="X7" s="118" t="s">
        <v>37</v>
      </c>
      <c r="Y7" s="118" t="s">
        <v>38</v>
      </c>
      <c r="Z7" s="118" t="s">
        <v>39</v>
      </c>
      <c r="AA7" s="118" t="s">
        <v>1791</v>
      </c>
      <c r="AB7" s="118" t="s">
        <v>1792</v>
      </c>
      <c r="AC7" s="118" t="s">
        <v>1793</v>
      </c>
      <c r="AD7" s="118" t="s">
        <v>1794</v>
      </c>
      <c r="AE7" s="36" t="s">
        <v>40</v>
      </c>
      <c r="AF7" s="36" t="s">
        <v>41</v>
      </c>
      <c r="AG7" s="36" t="s">
        <v>42</v>
      </c>
      <c r="AH7" s="36" t="s">
        <v>43</v>
      </c>
      <c r="AI7" s="36" t="s">
        <v>2773</v>
      </c>
      <c r="AJ7" s="36" t="s">
        <v>2778</v>
      </c>
      <c r="AK7" s="36" t="s">
        <v>2774</v>
      </c>
      <c r="AL7" s="36" t="s">
        <v>2779</v>
      </c>
      <c r="AM7" s="36" t="s">
        <v>2775</v>
      </c>
      <c r="AN7" s="36" t="s">
        <v>2780</v>
      </c>
      <c r="AO7" s="36" t="s">
        <v>2776</v>
      </c>
      <c r="AP7" s="36" t="s">
        <v>2781</v>
      </c>
      <c r="AQ7" s="36" t="s">
        <v>2777</v>
      </c>
      <c r="AR7" s="36" t="s">
        <v>2782</v>
      </c>
      <c r="AS7" s="36" t="s">
        <v>1350</v>
      </c>
      <c r="AT7" s="36" t="s">
        <v>44</v>
      </c>
      <c r="AU7" s="36" t="s">
        <v>45</v>
      </c>
      <c r="AV7" s="36" t="s">
        <v>46</v>
      </c>
      <c r="AW7" s="36" t="s">
        <v>47</v>
      </c>
      <c r="AX7" s="36" t="s">
        <v>48</v>
      </c>
      <c r="AY7" s="36" t="s">
        <v>50</v>
      </c>
      <c r="AZ7" s="36" t="s">
        <v>51</v>
      </c>
      <c r="BA7" s="36" t="s">
        <v>52</v>
      </c>
      <c r="BB7" s="36" t="s">
        <v>53</v>
      </c>
      <c r="BC7" s="36" t="s">
        <v>54</v>
      </c>
      <c r="BD7" s="36" t="s">
        <v>55</v>
      </c>
      <c r="BE7" s="36" t="s">
        <v>56</v>
      </c>
      <c r="BF7" s="36" t="s">
        <v>57</v>
      </c>
      <c r="BG7" s="36" t="s">
        <v>58</v>
      </c>
      <c r="BH7" s="36" t="s">
        <v>2784</v>
      </c>
      <c r="BI7" s="36" t="s">
        <v>64</v>
      </c>
      <c r="BJ7" s="125" t="s">
        <v>59</v>
      </c>
      <c r="BK7" s="125" t="s">
        <v>1751</v>
      </c>
      <c r="BL7" s="125" t="s">
        <v>60</v>
      </c>
      <c r="BM7" s="125" t="s">
        <v>61</v>
      </c>
      <c r="BN7" s="125" t="s">
        <v>62</v>
      </c>
      <c r="BO7" s="125" t="s">
        <v>63</v>
      </c>
    </row>
    <row r="8" spans="1:67" ht="18" customHeight="1" x14ac:dyDescent="0.15">
      <c r="A8" s="41" t="s">
        <v>66</v>
      </c>
      <c r="B8" s="41" t="s">
        <v>66</v>
      </c>
      <c r="C8" s="43" t="s">
        <v>67</v>
      </c>
      <c r="D8" s="42" t="s">
        <v>66</v>
      </c>
      <c r="E8" s="43" t="s">
        <v>67</v>
      </c>
      <c r="F8" s="43" t="s">
        <v>67</v>
      </c>
      <c r="G8" s="43" t="s">
        <v>67</v>
      </c>
      <c r="H8" s="44" t="s">
        <v>67</v>
      </c>
      <c r="I8" s="44" t="s">
        <v>68</v>
      </c>
      <c r="J8" s="44" t="s">
        <v>69</v>
      </c>
      <c r="K8" s="44" t="s">
        <v>66</v>
      </c>
      <c r="L8" s="44" t="s">
        <v>66</v>
      </c>
      <c r="M8" s="41" t="s">
        <v>65</v>
      </c>
      <c r="N8" s="44" t="s">
        <v>66</v>
      </c>
      <c r="O8" s="44" t="s">
        <v>66</v>
      </c>
      <c r="P8" s="44" t="s">
        <v>66</v>
      </c>
      <c r="Q8" s="45" t="s">
        <v>66</v>
      </c>
      <c r="R8" s="41" t="s">
        <v>66</v>
      </c>
      <c r="S8" s="44" t="s">
        <v>66</v>
      </c>
      <c r="T8" s="44" t="s">
        <v>71</v>
      </c>
      <c r="U8" s="44" t="s">
        <v>66</v>
      </c>
      <c r="V8" s="46" t="s">
        <v>66</v>
      </c>
      <c r="W8" s="45" t="s">
        <v>66</v>
      </c>
      <c r="X8" s="47" t="s">
        <v>70</v>
      </c>
      <c r="Y8" s="44" t="s">
        <v>66</v>
      </c>
      <c r="Z8" s="47" t="s">
        <v>70</v>
      </c>
      <c r="AA8" s="44" t="s">
        <v>66</v>
      </c>
      <c r="AB8" s="47" t="s">
        <v>70</v>
      </c>
      <c r="AC8" s="44" t="s">
        <v>66</v>
      </c>
      <c r="AD8" s="47" t="s">
        <v>70</v>
      </c>
      <c r="AE8" s="44" t="s">
        <v>68</v>
      </c>
      <c r="AF8" s="44" t="s">
        <v>68</v>
      </c>
      <c r="AG8" s="44" t="s">
        <v>68</v>
      </c>
      <c r="AH8" s="44" t="s">
        <v>68</v>
      </c>
      <c r="AI8" s="44" t="s">
        <v>66</v>
      </c>
      <c r="AJ8" s="44" t="s">
        <v>68</v>
      </c>
      <c r="AK8" s="44" t="s">
        <v>66</v>
      </c>
      <c r="AL8" s="44" t="s">
        <v>68</v>
      </c>
      <c r="AM8" s="44" t="s">
        <v>66</v>
      </c>
      <c r="AN8" s="44" t="s">
        <v>68</v>
      </c>
      <c r="AO8" s="44" t="s">
        <v>66</v>
      </c>
      <c r="AP8" s="44" t="s">
        <v>68</v>
      </c>
      <c r="AQ8" s="44" t="s">
        <v>66</v>
      </c>
      <c r="AR8" s="44" t="s">
        <v>68</v>
      </c>
      <c r="AS8" s="44" t="s">
        <v>66</v>
      </c>
      <c r="AT8" s="44" t="s">
        <v>68</v>
      </c>
      <c r="AU8" s="44" t="s">
        <v>68</v>
      </c>
      <c r="AV8" s="44" t="s">
        <v>68</v>
      </c>
      <c r="AW8" s="44" t="s">
        <v>68</v>
      </c>
      <c r="AX8" s="44" t="s">
        <v>68</v>
      </c>
      <c r="AY8" s="44" t="s">
        <v>71</v>
      </c>
      <c r="AZ8" s="44" t="s">
        <v>71</v>
      </c>
      <c r="BA8" s="44" t="s">
        <v>71</v>
      </c>
      <c r="BB8" s="44" t="s">
        <v>71</v>
      </c>
      <c r="BC8" s="44" t="s">
        <v>71</v>
      </c>
      <c r="BD8" s="44" t="s">
        <v>71</v>
      </c>
      <c r="BE8" s="44" t="s">
        <v>71</v>
      </c>
      <c r="BF8" s="44" t="s">
        <v>71</v>
      </c>
      <c r="BG8" s="44" t="s">
        <v>71</v>
      </c>
      <c r="BH8" s="44" t="s">
        <v>67</v>
      </c>
      <c r="BI8" s="44" t="s">
        <v>67</v>
      </c>
      <c r="BJ8" s="126" t="s">
        <v>67</v>
      </c>
      <c r="BK8" s="126" t="s">
        <v>67</v>
      </c>
      <c r="BL8" s="126" t="s">
        <v>67</v>
      </c>
      <c r="BM8" s="126" t="s">
        <v>67</v>
      </c>
      <c r="BN8" s="126" t="s">
        <v>67</v>
      </c>
      <c r="BO8" s="126" t="s">
        <v>67</v>
      </c>
    </row>
    <row r="9" spans="1:67" ht="19.5" customHeight="1" x14ac:dyDescent="0.2">
      <c r="A9" s="114" t="s">
        <v>1789</v>
      </c>
      <c r="B9" s="113" t="s">
        <v>1787</v>
      </c>
      <c r="C9" s="122"/>
      <c r="D9" s="48" t="s">
        <v>73</v>
      </c>
      <c r="E9" s="49"/>
      <c r="F9" s="50"/>
      <c r="G9" s="51"/>
      <c r="H9" s="48" t="s">
        <v>72</v>
      </c>
      <c r="I9" s="135">
        <v>1</v>
      </c>
      <c r="J9" s="52"/>
      <c r="K9" s="52" t="s">
        <v>73</v>
      </c>
      <c r="L9" s="52" t="s">
        <v>74</v>
      </c>
      <c r="M9" s="53" t="s">
        <v>917</v>
      </c>
      <c r="N9" s="58" t="s">
        <v>73</v>
      </c>
      <c r="O9" s="48" t="s">
        <v>72</v>
      </c>
      <c r="P9" s="48" t="s">
        <v>73</v>
      </c>
      <c r="Q9" s="54" t="s">
        <v>73</v>
      </c>
      <c r="R9" s="48" t="s">
        <v>73</v>
      </c>
      <c r="S9" s="48" t="s">
        <v>73</v>
      </c>
      <c r="T9" s="121" t="str" cm="1">
        <f t="array" ref="T9">IF(ISNUMBER(SEARCH("SCHNEIDER",D9)),_xlfn.IFS(ISNUMBER(SEARCH("2 Querétaro",D9)),"SQ2",ISNUMBER(SEARCH("Xicohténcatl",D9)),"SXC",ISNUMBER(SEARCH("Rojo Gómez",D9)),"SRG",ISNUMBER(SEARCH("Tlaxcala",D9)),"STX",ISNUMBER(SEARCH("Monterrey",D9)),"SMY",ISNUMBER(SEARCH("Querétaro",D9)),"SQ1",ISNUMBER(SEARCH("CDMX",D9)),"SCM",TRUE,""),"")</f>
        <v/>
      </c>
      <c r="U9" s="48" t="str" cm="1">
        <f t="array" ref="U9">_xlfn.LET(_xlpm.resultados,_xlfn.UNIQUE(_xlfn._xlws.FILTER(Tabla1[Proceso],(Tabla1[Metal Base]=O9)*(Tabla1[Etiquetas]=_xlfn.TEXTJOIN(" + ",TRUE,IF((TRIM(Upload!P9:S9)="")+(LOWER(TRIM(Upload!P9:S9))="(seleccione)"),"",PROPER(TRIM(Upload!P9:S9)))))*(Tabla1[Línea2]=IFERROR(VLOOKUP(Upload!N9&amp;"*",CAT_Procesos!D:D,1,FALSE),"")))),_xlpm.cantidad,ROWS(_xlpm.resultados),IF(ISERROR(_xlpm.cantidad),"Combinación no existente",IF(_xlpm.cantidad=1,INDEX(_xlpm.resultados,1),"(seleccione)")))</f>
        <v>Combinación no existente</v>
      </c>
      <c r="V9" s="55" t="s">
        <v>73</v>
      </c>
      <c r="W9" s="56" t="s">
        <v>73</v>
      </c>
      <c r="X9" s="57" t="str">
        <f t="shared" ref="X9:X72" si="0">IFERROR(((VALUE(TRIM(LEFT(MID(W9,FIND("|",W9)+1,99),FIND("-",MID(W9,FIND("|",W9)+1,99))-1)))+VALUE(TRIM(SUBSTITUTE(SUBSTITUTE(SUBSTITUTE(SUBSTITUTE(SUBSTITUTE(MID(MID(W9,FIND("|",W9)+1,99),FIND("-",MID(W9,FIND("|",W9)+1,99))+1,20),"µm",""),"μm",""),"mils",""),"mil",""),"",""))))/2)*IF(ISNUMBER(SEARCH("mil",MID(W9,FIND("|",W9)+1,99))),25.4,1),"")</f>
        <v/>
      </c>
      <c r="Y9" s="58" t="s">
        <v>73</v>
      </c>
      <c r="Z9" s="57" t="str">
        <f t="shared" ref="Z9:Z72" si="1">IFERROR(((VALUE(TRIM(LEFT(MID(Y9,FIND("|",Y9)+1,99),FIND("-",MID(Y9,FIND("|",Y9)+1,99))-1)))+VALUE(TRIM(SUBSTITUTE(SUBSTITUTE(SUBSTITUTE(SUBSTITUTE(SUBSTITUTE(MID(MID(Y9,FIND("|",Y9)+1,99),FIND("-",MID(Y9,FIND("|",Y9)+1,99))+1,20),"µm",""),"μm",""),"mils",""),"mil",""),"",""))))/2)*IF(ISNUMBER(SEARCH("mil",MID(Y9,FIND("|",Y9)+1,99))),25.4,1),"")</f>
        <v/>
      </c>
      <c r="AA9" s="58" t="s">
        <v>73</v>
      </c>
      <c r="AB9" s="57" t="str">
        <f t="shared" ref="AB9:AB72" si="2">IFERROR(((VALUE(TRIM(LEFT(MID(AA9,FIND("|",AA9)+1,99),FIND("-",MID(AA9,FIND("|",AA9)+1,99))-1)))+VALUE(TRIM(SUBSTITUTE(SUBSTITUTE(SUBSTITUTE(SUBSTITUTE(SUBSTITUTE(MID(MID(AA9,FIND("|",AA9)+1,99),FIND("-",MID(AA9,FIND("|",AA9)+1,99))+1,20),"µm",""),"μm",""),"mils",""),"mil",""),"",""))))/2)*IF(ISNUMBER(SEARCH("mil",MID(AA9,FIND("|",AA9)+1,99))),25.4,1),"")</f>
        <v/>
      </c>
      <c r="AC9" s="58" t="s">
        <v>73</v>
      </c>
      <c r="AD9" s="57" t="str">
        <f t="shared" ref="AD9:AD72" si="3">IFERROR(((VALUE(TRIM(LEFT(MID(AC9,FIND("|",AC9)+1,99),FIND("-",MID(AC9,FIND("|",AC9)+1,99))-1)))+VALUE(TRIM(SUBSTITUTE(SUBSTITUTE(SUBSTITUTE(SUBSTITUTE(SUBSTITUTE(MID(MID(AC9,FIND("|",AC9)+1,99),FIND("-",MID(AC9,FIND("|",AC9)+1,99))+1,20),"µm",""),"μm",""),"mils",""),"mil",""),"",""))))/2)*IF(ISNUMBER(SEARCH("mil",MID(AC9,FIND("|",AC9)+1,99))),25.4,1),"")</f>
        <v/>
      </c>
      <c r="AE9" s="59"/>
      <c r="AF9" s="59"/>
      <c r="AG9" s="59"/>
      <c r="AH9" s="59"/>
      <c r="AI9" s="59" t="s">
        <v>73</v>
      </c>
      <c r="AJ9" s="59"/>
      <c r="AK9" s="59" t="s">
        <v>73</v>
      </c>
      <c r="AL9" s="59"/>
      <c r="AM9" s="59" t="s">
        <v>73</v>
      </c>
      <c r="AN9" s="59"/>
      <c r="AO9" s="59" t="s">
        <v>73</v>
      </c>
      <c r="AP9" s="59"/>
      <c r="AQ9" s="59" t="s">
        <v>73</v>
      </c>
      <c r="AR9" s="59"/>
      <c r="AS9" s="59" t="s">
        <v>72</v>
      </c>
      <c r="AT9" s="59"/>
      <c r="AU9" s="59"/>
      <c r="AV9" s="59"/>
      <c r="AW9" s="59"/>
      <c r="AX9" s="59"/>
      <c r="AY9" s="60" t="str">
        <f>IF('Cálculo MP'!K19="","",'Cálculo MP'!K19)</f>
        <v/>
      </c>
      <c r="AZ9" s="60" t="str">
        <f>IF('Cálculo MP'!L19="","",'Cálculo MP'!L19)</f>
        <v/>
      </c>
      <c r="BA9" s="60" t="str">
        <f>IF('Cálculo MP'!M19="","",'Cálculo MP'!M19)</f>
        <v/>
      </c>
      <c r="BB9" s="60" t="str">
        <f>IF('Cálculo MP'!N19="","",'Cálculo MP'!N19)</f>
        <v/>
      </c>
      <c r="BC9" s="60" t="str">
        <f>IF('Cálculo MP'!O19="","",'Cálculo MP'!O19)</f>
        <v/>
      </c>
      <c r="BD9" s="60" t="str">
        <f>IF('Cálculo MP'!P19="","",'Cálculo MP'!P19)</f>
        <v/>
      </c>
      <c r="BE9" s="60" t="str">
        <f>IF('Cálculo MP'!Q19="","",'Cálculo MP'!Q19)</f>
        <v/>
      </c>
      <c r="BF9" s="60" t="str">
        <f>IF('Cálculo MP'!R19="","",'Cálculo MP'!R19)</f>
        <v/>
      </c>
      <c r="BG9" s="60" t="str">
        <f>IF('Cálculo MP'!S19="","",'Cálculo MP'!S19)</f>
        <v/>
      </c>
      <c r="BH9" s="61"/>
      <c r="BI9" s="61"/>
      <c r="BJ9" s="61"/>
      <c r="BK9" s="61"/>
      <c r="BL9" s="61"/>
      <c r="BM9" s="61"/>
      <c r="BN9" s="61"/>
      <c r="BO9" s="61"/>
    </row>
    <row r="10" spans="1:67" ht="19.5" customHeight="1" x14ac:dyDescent="0.2">
      <c r="A10" s="114" t="s">
        <v>1789</v>
      </c>
      <c r="B10" s="113" t="s">
        <v>1787</v>
      </c>
      <c r="C10" s="122"/>
      <c r="D10" s="48" t="s">
        <v>73</v>
      </c>
      <c r="E10" s="49"/>
      <c r="F10" s="50"/>
      <c r="G10" s="62"/>
      <c r="H10" s="48" t="s">
        <v>72</v>
      </c>
      <c r="I10" s="135">
        <v>1</v>
      </c>
      <c r="J10" s="52"/>
      <c r="K10" s="52" t="s">
        <v>73</v>
      </c>
      <c r="L10" s="52" t="s">
        <v>74</v>
      </c>
      <c r="M10" s="53" t="s">
        <v>917</v>
      </c>
      <c r="N10" s="58" t="s">
        <v>73</v>
      </c>
      <c r="O10" s="48" t="s">
        <v>72</v>
      </c>
      <c r="P10" s="48" t="s">
        <v>73</v>
      </c>
      <c r="Q10" s="54" t="s">
        <v>73</v>
      </c>
      <c r="R10" s="48" t="s">
        <v>73</v>
      </c>
      <c r="S10" s="48" t="s">
        <v>73</v>
      </c>
      <c r="T10" s="121" t="str" cm="1">
        <f t="array" ref="T10">IF(ISNUMBER(SEARCH("SCHNEIDER",D10)),_xlfn.IFS(ISNUMBER(SEARCH("2 Querétaro",D10)),"SQ2",ISNUMBER(SEARCH("Xicohténcatl",D10)),"SXC",ISNUMBER(SEARCH("Rojo Gómez",D10)),"SRG",ISNUMBER(SEARCH("Tlaxcala",D10)),"STX",ISNUMBER(SEARCH("Monterrey",D10)),"SMY",ISNUMBER(SEARCH("Querétaro",D10)),"SQ1",ISNUMBER(SEARCH("CDMX",D10)),"SCM",TRUE,""),"")</f>
        <v/>
      </c>
      <c r="U10" s="48" t="str" cm="1">
        <f t="array" ref="U10">_xlfn.LET(_xlpm.resultados,_xlfn.UNIQUE(_xlfn._xlws.FILTER(Tabla1[Proceso],(Tabla1[Metal Base]=O10)*(Tabla1[Etiquetas]=_xlfn.TEXTJOIN(" + ",TRUE,IF((TRIM(Upload!P10:S10)="")+(LOWER(TRIM(Upload!P10:S10))="(seleccione)"),"",PROPER(TRIM(Upload!P10:S10)))))*(Tabla1[Línea2]=IFERROR(VLOOKUP(Upload!N10&amp;"*",CAT_Procesos!D:D,1,FALSE),"")))),_xlpm.cantidad,ROWS(_xlpm.resultados),IF(ISERROR(_xlpm.cantidad),"Combinación no existente",IF(_xlpm.cantidad=1,INDEX(_xlpm.resultados,1),"(seleccione)")))</f>
        <v>Combinación no existente</v>
      </c>
      <c r="V10" s="55" t="s">
        <v>73</v>
      </c>
      <c r="W10" s="56" t="s">
        <v>73</v>
      </c>
      <c r="X10" s="57" t="str">
        <f t="shared" si="0"/>
        <v/>
      </c>
      <c r="Y10" s="58" t="s">
        <v>73</v>
      </c>
      <c r="Z10" s="57" t="str">
        <f t="shared" si="1"/>
        <v/>
      </c>
      <c r="AA10" s="58" t="s">
        <v>73</v>
      </c>
      <c r="AB10" s="57" t="str">
        <f t="shared" si="2"/>
        <v/>
      </c>
      <c r="AC10" s="58" t="s">
        <v>73</v>
      </c>
      <c r="AD10" s="57" t="str">
        <f t="shared" si="3"/>
        <v/>
      </c>
      <c r="AE10" s="59"/>
      <c r="AF10" s="59"/>
      <c r="AG10" s="59"/>
      <c r="AH10" s="63"/>
      <c r="AI10" s="59" t="s">
        <v>73</v>
      </c>
      <c r="AJ10" s="59"/>
      <c r="AK10" s="59" t="s">
        <v>73</v>
      </c>
      <c r="AL10" s="59"/>
      <c r="AM10" s="59" t="s">
        <v>73</v>
      </c>
      <c r="AN10" s="59"/>
      <c r="AO10" s="59" t="s">
        <v>73</v>
      </c>
      <c r="AP10" s="59"/>
      <c r="AQ10" s="59" t="s">
        <v>73</v>
      </c>
      <c r="AR10" s="59"/>
      <c r="AS10" s="59" t="s">
        <v>72</v>
      </c>
      <c r="AT10" s="59"/>
      <c r="AU10" s="59"/>
      <c r="AV10" s="59"/>
      <c r="AW10" s="59"/>
      <c r="AX10" s="59"/>
      <c r="AY10" s="60" t="str">
        <f>IF('Cálculo MP'!K20="","",'Cálculo MP'!K20)</f>
        <v/>
      </c>
      <c r="AZ10" s="60" t="str">
        <f>IF('Cálculo MP'!L20="","",'Cálculo MP'!L20)</f>
        <v/>
      </c>
      <c r="BA10" s="60" t="str">
        <f>IF('Cálculo MP'!M20="","",'Cálculo MP'!M20)</f>
        <v/>
      </c>
      <c r="BB10" s="60" t="str">
        <f>IF('Cálculo MP'!N20="","",'Cálculo MP'!N20)</f>
        <v/>
      </c>
      <c r="BC10" s="60" t="str">
        <f>IF('Cálculo MP'!O20="","",'Cálculo MP'!O20)</f>
        <v/>
      </c>
      <c r="BD10" s="60" t="str">
        <f>IF('Cálculo MP'!P20="","",'Cálculo MP'!P20)</f>
        <v/>
      </c>
      <c r="BE10" s="60" t="str">
        <f>IF('Cálculo MP'!Q20="","",'Cálculo MP'!Q20)</f>
        <v/>
      </c>
      <c r="BF10" s="60" t="str">
        <f>IF('Cálculo MP'!R20="","",'Cálculo MP'!R20)</f>
        <v/>
      </c>
      <c r="BG10" s="60" t="str">
        <f>IF('Cálculo MP'!S20="","",'Cálculo MP'!S20)</f>
        <v/>
      </c>
      <c r="BH10" s="61"/>
      <c r="BI10" s="61"/>
      <c r="BJ10" s="61"/>
      <c r="BK10" s="61"/>
      <c r="BL10" s="61"/>
      <c r="BM10" s="61"/>
      <c r="BN10" s="61"/>
      <c r="BO10" s="61"/>
    </row>
    <row r="11" spans="1:67" ht="19.5" customHeight="1" x14ac:dyDescent="0.2">
      <c r="A11" s="114" t="s">
        <v>1789</v>
      </c>
      <c r="B11" s="113" t="s">
        <v>1787</v>
      </c>
      <c r="C11" s="122"/>
      <c r="D11" s="48" t="s">
        <v>73</v>
      </c>
      <c r="E11" s="49"/>
      <c r="F11" s="50"/>
      <c r="G11" s="62"/>
      <c r="H11" s="48" t="s">
        <v>72</v>
      </c>
      <c r="I11" s="135">
        <v>1</v>
      </c>
      <c r="J11" s="52"/>
      <c r="K11" s="52" t="s">
        <v>73</v>
      </c>
      <c r="L11" s="52" t="s">
        <v>74</v>
      </c>
      <c r="M11" s="53" t="s">
        <v>917</v>
      </c>
      <c r="N11" s="58" t="s">
        <v>73</v>
      </c>
      <c r="O11" s="48" t="s">
        <v>72</v>
      </c>
      <c r="P11" s="48" t="s">
        <v>73</v>
      </c>
      <c r="Q11" s="54" t="s">
        <v>73</v>
      </c>
      <c r="R11" s="55" t="s">
        <v>73</v>
      </c>
      <c r="S11" s="48" t="s">
        <v>73</v>
      </c>
      <c r="T11" s="121" t="str" cm="1">
        <f t="array" ref="T11">IF(ISNUMBER(SEARCH("SCHNEIDER",D11)),_xlfn.IFS(ISNUMBER(SEARCH("2 Querétaro",D11)),"SQ2",ISNUMBER(SEARCH("Xicohténcatl",D11)),"SXC",ISNUMBER(SEARCH("Rojo Gómez",D11)),"SRG",ISNUMBER(SEARCH("Tlaxcala",D11)),"STX",ISNUMBER(SEARCH("Monterrey",D11)),"SMY",ISNUMBER(SEARCH("Querétaro",D11)),"SQ1",ISNUMBER(SEARCH("CDMX",D11)),"SCM",TRUE,""),"")</f>
        <v/>
      </c>
      <c r="U11" s="48" t="str" cm="1">
        <f t="array" ref="U11">_xlfn.LET(_xlpm.resultados,_xlfn.UNIQUE(_xlfn._xlws.FILTER(Tabla1[Proceso],(Tabla1[Metal Base]=O11)*(Tabla1[Etiquetas]=_xlfn.TEXTJOIN(" + ",TRUE,IF((TRIM(Upload!P11:S11)="")+(LOWER(TRIM(Upload!P11:S11))="(seleccione)"),"",PROPER(TRIM(Upload!P11:S11)))))*(Tabla1[Línea2]=IFERROR(VLOOKUP(Upload!N11&amp;"*",CAT_Procesos!D:D,1,FALSE),"")))),_xlpm.cantidad,ROWS(_xlpm.resultados),IF(ISERROR(_xlpm.cantidad),"Combinación no existente",IF(_xlpm.cantidad=1,INDEX(_xlpm.resultados,1),"(seleccione)")))</f>
        <v>Combinación no existente</v>
      </c>
      <c r="V11" s="55" t="s">
        <v>73</v>
      </c>
      <c r="W11" s="56" t="s">
        <v>73</v>
      </c>
      <c r="X11" s="57" t="str">
        <f t="shared" si="0"/>
        <v/>
      </c>
      <c r="Y11" s="58" t="s">
        <v>73</v>
      </c>
      <c r="Z11" s="57" t="str">
        <f t="shared" si="1"/>
        <v/>
      </c>
      <c r="AA11" s="58" t="s">
        <v>73</v>
      </c>
      <c r="AB11" s="57" t="str">
        <f t="shared" si="2"/>
        <v/>
      </c>
      <c r="AC11" s="58" t="s">
        <v>73</v>
      </c>
      <c r="AD11" s="57" t="str">
        <f t="shared" si="3"/>
        <v/>
      </c>
      <c r="AE11" s="59"/>
      <c r="AF11" s="59"/>
      <c r="AG11" s="59"/>
      <c r="AH11" s="63"/>
      <c r="AI11" s="59" t="s">
        <v>73</v>
      </c>
      <c r="AJ11" s="59"/>
      <c r="AK11" s="59" t="s">
        <v>73</v>
      </c>
      <c r="AL11" s="59"/>
      <c r="AM11" s="59" t="s">
        <v>73</v>
      </c>
      <c r="AN11" s="59"/>
      <c r="AO11" s="59" t="s">
        <v>73</v>
      </c>
      <c r="AP11" s="59"/>
      <c r="AQ11" s="59" t="s">
        <v>73</v>
      </c>
      <c r="AR11" s="59"/>
      <c r="AS11" s="59" t="s">
        <v>72</v>
      </c>
      <c r="AT11" s="59"/>
      <c r="AU11" s="59"/>
      <c r="AV11" s="59"/>
      <c r="AW11" s="59"/>
      <c r="AX11" s="59"/>
      <c r="AY11" s="60" t="str">
        <f>IF('Cálculo MP'!K21="","",'Cálculo MP'!K21)</f>
        <v/>
      </c>
      <c r="AZ11" s="60" t="str">
        <f>IF('Cálculo MP'!L21="","",'Cálculo MP'!L21)</f>
        <v/>
      </c>
      <c r="BA11" s="60" t="str">
        <f>IF('Cálculo MP'!M21="","",'Cálculo MP'!M21)</f>
        <v/>
      </c>
      <c r="BB11" s="60" t="str">
        <f>IF('Cálculo MP'!N21="","",'Cálculo MP'!N21)</f>
        <v/>
      </c>
      <c r="BC11" s="60" t="str">
        <f>IF('Cálculo MP'!O21="","",'Cálculo MP'!O21)</f>
        <v/>
      </c>
      <c r="BD11" s="60" t="str">
        <f>IF('Cálculo MP'!P21="","",'Cálculo MP'!P21)</f>
        <v/>
      </c>
      <c r="BE11" s="60" t="str">
        <f>IF('Cálculo MP'!Q21="","",'Cálculo MP'!Q21)</f>
        <v/>
      </c>
      <c r="BF11" s="60" t="str">
        <f>IF('Cálculo MP'!R21="","",'Cálculo MP'!R21)</f>
        <v/>
      </c>
      <c r="BG11" s="60" t="str">
        <f>IF('Cálculo MP'!S21="","",'Cálculo MP'!S21)</f>
        <v/>
      </c>
      <c r="BH11" s="61"/>
      <c r="BI11" s="61"/>
      <c r="BJ11" s="61"/>
      <c r="BK11" s="61"/>
      <c r="BL11" s="61"/>
      <c r="BM11" s="61"/>
      <c r="BN11" s="61"/>
      <c r="BO11" s="61"/>
    </row>
    <row r="12" spans="1:67" ht="19.5" customHeight="1" x14ac:dyDescent="0.2">
      <c r="A12" s="114" t="s">
        <v>1789</v>
      </c>
      <c r="B12" s="113" t="s">
        <v>1787</v>
      </c>
      <c r="C12" s="122"/>
      <c r="D12" s="48" t="s">
        <v>73</v>
      </c>
      <c r="E12" s="49"/>
      <c r="F12" s="50"/>
      <c r="G12" s="62"/>
      <c r="H12" s="48" t="s">
        <v>72</v>
      </c>
      <c r="I12" s="135">
        <v>1</v>
      </c>
      <c r="J12" s="52"/>
      <c r="K12" s="52" t="s">
        <v>73</v>
      </c>
      <c r="L12" s="52" t="s">
        <v>74</v>
      </c>
      <c r="M12" s="53" t="s">
        <v>917</v>
      </c>
      <c r="N12" s="58" t="s">
        <v>73</v>
      </c>
      <c r="O12" s="48" t="s">
        <v>72</v>
      </c>
      <c r="P12" s="48" t="s">
        <v>73</v>
      </c>
      <c r="Q12" s="54" t="s">
        <v>73</v>
      </c>
      <c r="R12" s="55" t="s">
        <v>73</v>
      </c>
      <c r="S12" s="48" t="s">
        <v>73</v>
      </c>
      <c r="T12" s="121" t="str" cm="1">
        <f t="array" ref="T12">IF(ISNUMBER(SEARCH("SCHNEIDER",D12)),_xlfn.IFS(ISNUMBER(SEARCH("2 Querétaro",D12)),"SQ2",ISNUMBER(SEARCH("Xicohténcatl",D12)),"SXC",ISNUMBER(SEARCH("Rojo Gómez",D12)),"SRG",ISNUMBER(SEARCH("Tlaxcala",D12)),"STX",ISNUMBER(SEARCH("Monterrey",D12)),"SMY",ISNUMBER(SEARCH("Querétaro",D12)),"SQ1",ISNUMBER(SEARCH("CDMX",D12)),"SCM",TRUE,""),"")</f>
        <v/>
      </c>
      <c r="U12" s="48" t="str" cm="1">
        <f t="array" ref="U12">_xlfn.LET(_xlpm.resultados,_xlfn.UNIQUE(_xlfn._xlws.FILTER(Tabla1[Proceso],(Tabla1[Metal Base]=O12)*(Tabla1[Etiquetas]=_xlfn.TEXTJOIN(" + ",TRUE,IF((TRIM(Upload!P12:S12)="")+(LOWER(TRIM(Upload!P12:S12))="(seleccione)"),"",PROPER(TRIM(Upload!P12:S12)))))*(Tabla1[Línea2]=IFERROR(VLOOKUP(Upload!N12&amp;"*",CAT_Procesos!D:D,1,FALSE),"")))),_xlpm.cantidad,ROWS(_xlpm.resultados),IF(ISERROR(_xlpm.cantidad),"Combinación no existente",IF(_xlpm.cantidad=1,INDEX(_xlpm.resultados,1),"(seleccione)")))</f>
        <v>Combinación no existente</v>
      </c>
      <c r="V12" s="55" t="s">
        <v>73</v>
      </c>
      <c r="W12" s="56" t="s">
        <v>73</v>
      </c>
      <c r="X12" s="57" t="str">
        <f t="shared" si="0"/>
        <v/>
      </c>
      <c r="Y12" s="58" t="s">
        <v>73</v>
      </c>
      <c r="Z12" s="57" t="str">
        <f t="shared" si="1"/>
        <v/>
      </c>
      <c r="AA12" s="58" t="s">
        <v>73</v>
      </c>
      <c r="AB12" s="57" t="str">
        <f t="shared" si="2"/>
        <v/>
      </c>
      <c r="AC12" s="58" t="s">
        <v>73</v>
      </c>
      <c r="AD12" s="57" t="str">
        <f t="shared" si="3"/>
        <v/>
      </c>
      <c r="AE12" s="59"/>
      <c r="AF12" s="59"/>
      <c r="AG12" s="59"/>
      <c r="AH12" s="63"/>
      <c r="AI12" s="59" t="s">
        <v>73</v>
      </c>
      <c r="AJ12" s="59"/>
      <c r="AK12" s="59" t="s">
        <v>73</v>
      </c>
      <c r="AL12" s="59"/>
      <c r="AM12" s="59" t="s">
        <v>73</v>
      </c>
      <c r="AN12" s="59"/>
      <c r="AO12" s="59" t="s">
        <v>73</v>
      </c>
      <c r="AP12" s="59"/>
      <c r="AQ12" s="59" t="s">
        <v>73</v>
      </c>
      <c r="AR12" s="59"/>
      <c r="AS12" s="59" t="s">
        <v>72</v>
      </c>
      <c r="AT12" s="59"/>
      <c r="AU12" s="59"/>
      <c r="AV12" s="59"/>
      <c r="AW12" s="59"/>
      <c r="AX12" s="59"/>
      <c r="AY12" s="60" t="str">
        <f>IF('Cálculo MP'!K22="","",'Cálculo MP'!K22)</f>
        <v/>
      </c>
      <c r="AZ12" s="60" t="str">
        <f>IF('Cálculo MP'!L22="","",'Cálculo MP'!L22)</f>
        <v/>
      </c>
      <c r="BA12" s="60" t="str">
        <f>IF('Cálculo MP'!M22="","",'Cálculo MP'!M22)</f>
        <v/>
      </c>
      <c r="BB12" s="60" t="str">
        <f>IF('Cálculo MP'!N22="","",'Cálculo MP'!N22)</f>
        <v/>
      </c>
      <c r="BC12" s="60" t="str">
        <f>IF('Cálculo MP'!O22="","",'Cálculo MP'!O22)</f>
        <v/>
      </c>
      <c r="BD12" s="60" t="str">
        <f>IF('Cálculo MP'!P22="","",'Cálculo MP'!P22)</f>
        <v/>
      </c>
      <c r="BE12" s="60" t="str">
        <f>IF('Cálculo MP'!Q22="","",'Cálculo MP'!Q22)</f>
        <v/>
      </c>
      <c r="BF12" s="60" t="str">
        <f>IF('Cálculo MP'!R22="","",'Cálculo MP'!R22)</f>
        <v/>
      </c>
      <c r="BG12" s="60" t="str">
        <f>IF('Cálculo MP'!S22="","",'Cálculo MP'!S22)</f>
        <v/>
      </c>
      <c r="BH12" s="61"/>
      <c r="BI12" s="61"/>
      <c r="BJ12" s="61"/>
      <c r="BK12" s="61"/>
      <c r="BL12" s="61"/>
      <c r="BM12" s="61"/>
      <c r="BN12" s="61"/>
      <c r="BO12" s="61"/>
    </row>
    <row r="13" spans="1:67" ht="19.5" customHeight="1" x14ac:dyDescent="0.2">
      <c r="A13" s="114" t="s">
        <v>1789</v>
      </c>
      <c r="B13" s="113" t="s">
        <v>1787</v>
      </c>
      <c r="C13" s="122"/>
      <c r="D13" s="48" t="s">
        <v>73</v>
      </c>
      <c r="E13" s="49"/>
      <c r="F13" s="50"/>
      <c r="G13" s="62"/>
      <c r="H13" s="48" t="s">
        <v>72</v>
      </c>
      <c r="I13" s="135">
        <v>1</v>
      </c>
      <c r="J13" s="52"/>
      <c r="K13" s="52" t="s">
        <v>73</v>
      </c>
      <c r="L13" s="52" t="s">
        <v>74</v>
      </c>
      <c r="M13" s="53" t="s">
        <v>917</v>
      </c>
      <c r="N13" s="58" t="s">
        <v>73</v>
      </c>
      <c r="O13" s="48" t="s">
        <v>72</v>
      </c>
      <c r="P13" s="48" t="s">
        <v>73</v>
      </c>
      <c r="Q13" s="54" t="s">
        <v>73</v>
      </c>
      <c r="R13" s="55" t="s">
        <v>73</v>
      </c>
      <c r="S13" s="48" t="s">
        <v>73</v>
      </c>
      <c r="T13" s="121" t="str" cm="1">
        <f t="array" ref="T13">IF(ISNUMBER(SEARCH("SCHNEIDER",D13)),_xlfn.IFS(ISNUMBER(SEARCH("2 Querétaro",D13)),"SQ2",ISNUMBER(SEARCH("Xicohténcatl",D13)),"SXC",ISNUMBER(SEARCH("Rojo Gómez",D13)),"SRG",ISNUMBER(SEARCH("Tlaxcala",D13)),"STX",ISNUMBER(SEARCH("Monterrey",D13)),"SMY",ISNUMBER(SEARCH("Querétaro",D13)),"SQ1",ISNUMBER(SEARCH("CDMX",D13)),"SCM",TRUE,""),"")</f>
        <v/>
      </c>
      <c r="U13" s="48" t="str" cm="1">
        <f t="array" ref="U13">_xlfn.LET(_xlpm.resultados,_xlfn.UNIQUE(_xlfn._xlws.FILTER(Tabla1[Proceso],(Tabla1[Metal Base]=O13)*(Tabla1[Etiquetas]=_xlfn.TEXTJOIN(" + ",TRUE,IF((TRIM(Upload!P13:S13)="")+(LOWER(TRIM(Upload!P13:S13))="(seleccione)"),"",PROPER(TRIM(Upload!P13:S13)))))*(Tabla1[Línea2]=IFERROR(VLOOKUP(Upload!N13&amp;"*",CAT_Procesos!D:D,1,FALSE),"")))),_xlpm.cantidad,ROWS(_xlpm.resultados),IF(ISERROR(_xlpm.cantidad),"Combinación no existente",IF(_xlpm.cantidad=1,INDEX(_xlpm.resultados,1),"(seleccione)")))</f>
        <v>Combinación no existente</v>
      </c>
      <c r="V13" s="55" t="s">
        <v>73</v>
      </c>
      <c r="W13" s="56" t="s">
        <v>73</v>
      </c>
      <c r="X13" s="57" t="str">
        <f t="shared" si="0"/>
        <v/>
      </c>
      <c r="Y13" s="58" t="s">
        <v>73</v>
      </c>
      <c r="Z13" s="57" t="str">
        <f t="shared" si="1"/>
        <v/>
      </c>
      <c r="AA13" s="58" t="s">
        <v>73</v>
      </c>
      <c r="AB13" s="57" t="str">
        <f t="shared" si="2"/>
        <v/>
      </c>
      <c r="AC13" s="58" t="s">
        <v>73</v>
      </c>
      <c r="AD13" s="57" t="str">
        <f t="shared" si="3"/>
        <v/>
      </c>
      <c r="AE13" s="59"/>
      <c r="AF13" s="59"/>
      <c r="AG13" s="59"/>
      <c r="AH13" s="63"/>
      <c r="AI13" s="59" t="s">
        <v>73</v>
      </c>
      <c r="AJ13" s="59"/>
      <c r="AK13" s="59" t="s">
        <v>73</v>
      </c>
      <c r="AL13" s="59"/>
      <c r="AM13" s="59" t="s">
        <v>73</v>
      </c>
      <c r="AN13" s="59"/>
      <c r="AO13" s="59" t="s">
        <v>73</v>
      </c>
      <c r="AP13" s="59"/>
      <c r="AQ13" s="59" t="s">
        <v>73</v>
      </c>
      <c r="AR13" s="59"/>
      <c r="AS13" s="59" t="s">
        <v>72</v>
      </c>
      <c r="AT13" s="59"/>
      <c r="AU13" s="59"/>
      <c r="AV13" s="59"/>
      <c r="AW13" s="59"/>
      <c r="AX13" s="59"/>
      <c r="AY13" s="60" t="str">
        <f>IF('Cálculo MP'!K23="","",'Cálculo MP'!K23)</f>
        <v/>
      </c>
      <c r="AZ13" s="60" t="str">
        <f>IF('Cálculo MP'!L23="","",'Cálculo MP'!L23)</f>
        <v/>
      </c>
      <c r="BA13" s="60" t="str">
        <f>IF('Cálculo MP'!M23="","",'Cálculo MP'!M23)</f>
        <v/>
      </c>
      <c r="BB13" s="60" t="str">
        <f>IF('Cálculo MP'!N23="","",'Cálculo MP'!N23)</f>
        <v/>
      </c>
      <c r="BC13" s="60" t="str">
        <f>IF('Cálculo MP'!O23="","",'Cálculo MP'!O23)</f>
        <v/>
      </c>
      <c r="BD13" s="60" t="str">
        <f>IF('Cálculo MP'!P23="","",'Cálculo MP'!P23)</f>
        <v/>
      </c>
      <c r="BE13" s="60" t="str">
        <f>IF('Cálculo MP'!Q23="","",'Cálculo MP'!Q23)</f>
        <v/>
      </c>
      <c r="BF13" s="60" t="str">
        <f>IF('Cálculo MP'!R23="","",'Cálculo MP'!R23)</f>
        <v/>
      </c>
      <c r="BG13" s="60" t="str">
        <f>IF('Cálculo MP'!S23="","",'Cálculo MP'!S23)</f>
        <v/>
      </c>
      <c r="BH13" s="61"/>
      <c r="BI13" s="61"/>
      <c r="BJ13" s="61"/>
      <c r="BK13" s="61"/>
      <c r="BL13" s="61"/>
      <c r="BM13" s="61"/>
      <c r="BN13" s="61"/>
      <c r="BO13" s="61"/>
    </row>
    <row r="14" spans="1:67" ht="19.5" customHeight="1" x14ac:dyDescent="0.2">
      <c r="A14" s="114" t="s">
        <v>1789</v>
      </c>
      <c r="B14" s="113" t="s">
        <v>1787</v>
      </c>
      <c r="C14" s="122"/>
      <c r="D14" s="48" t="s">
        <v>73</v>
      </c>
      <c r="E14" s="49"/>
      <c r="F14" s="50"/>
      <c r="G14" s="62"/>
      <c r="H14" s="48" t="s">
        <v>72</v>
      </c>
      <c r="I14" s="135">
        <v>1</v>
      </c>
      <c r="J14" s="52"/>
      <c r="K14" s="52" t="s">
        <v>73</v>
      </c>
      <c r="L14" s="52" t="s">
        <v>74</v>
      </c>
      <c r="M14" s="53" t="s">
        <v>917</v>
      </c>
      <c r="N14" s="58" t="s">
        <v>73</v>
      </c>
      <c r="O14" s="48" t="s">
        <v>72</v>
      </c>
      <c r="P14" s="48" t="s">
        <v>73</v>
      </c>
      <c r="Q14" s="54" t="s">
        <v>73</v>
      </c>
      <c r="R14" s="55" t="s">
        <v>73</v>
      </c>
      <c r="S14" s="48" t="s">
        <v>73</v>
      </c>
      <c r="T14" s="121" t="str" cm="1">
        <f t="array" ref="T14">IF(ISNUMBER(SEARCH("SCHNEIDER",D14)),_xlfn.IFS(ISNUMBER(SEARCH("2 Querétaro",D14)),"SQ2",ISNUMBER(SEARCH("Xicohténcatl",D14)),"SXC",ISNUMBER(SEARCH("Rojo Gómez",D14)),"SRG",ISNUMBER(SEARCH("Tlaxcala",D14)),"STX",ISNUMBER(SEARCH("Monterrey",D14)),"SMY",ISNUMBER(SEARCH("Querétaro",D14)),"SQ1",ISNUMBER(SEARCH("CDMX",D14)),"SCM",TRUE,""),"")</f>
        <v/>
      </c>
      <c r="U14" s="48" t="str" cm="1">
        <f t="array" ref="U14">_xlfn.LET(_xlpm.resultados,_xlfn.UNIQUE(_xlfn._xlws.FILTER(Tabla1[Proceso],(Tabla1[Metal Base]=O14)*(Tabla1[Etiquetas]=_xlfn.TEXTJOIN(" + ",TRUE,IF((TRIM(Upload!P14:S14)="")+(LOWER(TRIM(Upload!P14:S14))="(seleccione)"),"",PROPER(TRIM(Upload!P14:S14)))))*(Tabla1[Línea2]=IFERROR(VLOOKUP(Upload!N14&amp;"*",CAT_Procesos!D:D,1,FALSE),"")))),_xlpm.cantidad,ROWS(_xlpm.resultados),IF(ISERROR(_xlpm.cantidad),"Combinación no existente",IF(_xlpm.cantidad=1,INDEX(_xlpm.resultados,1),"(seleccione)")))</f>
        <v>Combinación no existente</v>
      </c>
      <c r="V14" s="55" t="s">
        <v>73</v>
      </c>
      <c r="W14" s="56" t="s">
        <v>73</v>
      </c>
      <c r="X14" s="57" t="str">
        <f t="shared" si="0"/>
        <v/>
      </c>
      <c r="Y14" s="58" t="s">
        <v>73</v>
      </c>
      <c r="Z14" s="57" t="str">
        <f t="shared" si="1"/>
        <v/>
      </c>
      <c r="AA14" s="58" t="s">
        <v>73</v>
      </c>
      <c r="AB14" s="57" t="str">
        <f t="shared" si="2"/>
        <v/>
      </c>
      <c r="AC14" s="58" t="s">
        <v>73</v>
      </c>
      <c r="AD14" s="57" t="str">
        <f t="shared" si="3"/>
        <v/>
      </c>
      <c r="AE14" s="59"/>
      <c r="AF14" s="59"/>
      <c r="AG14" s="59"/>
      <c r="AH14" s="59"/>
      <c r="AI14" s="59" t="s">
        <v>73</v>
      </c>
      <c r="AJ14" s="59"/>
      <c r="AK14" s="59" t="s">
        <v>73</v>
      </c>
      <c r="AL14" s="59"/>
      <c r="AM14" s="59" t="s">
        <v>73</v>
      </c>
      <c r="AN14" s="59"/>
      <c r="AO14" s="59" t="s">
        <v>73</v>
      </c>
      <c r="AP14" s="59"/>
      <c r="AQ14" s="59" t="s">
        <v>73</v>
      </c>
      <c r="AR14" s="59"/>
      <c r="AS14" s="59" t="s">
        <v>72</v>
      </c>
      <c r="AT14" s="59"/>
      <c r="AU14" s="59"/>
      <c r="AV14" s="59"/>
      <c r="AW14" s="59"/>
      <c r="AX14" s="59"/>
      <c r="AY14" s="60" t="str">
        <f>IF('Cálculo MP'!K24="","",'Cálculo MP'!K24)</f>
        <v/>
      </c>
      <c r="AZ14" s="60" t="str">
        <f>IF('Cálculo MP'!L24="","",'Cálculo MP'!L24)</f>
        <v/>
      </c>
      <c r="BA14" s="60" t="str">
        <f>IF('Cálculo MP'!M24="","",'Cálculo MP'!M24)</f>
        <v/>
      </c>
      <c r="BB14" s="60" t="str">
        <f>IF('Cálculo MP'!N24="","",'Cálculo MP'!N24)</f>
        <v/>
      </c>
      <c r="BC14" s="60" t="str">
        <f>IF('Cálculo MP'!O24="","",'Cálculo MP'!O24)</f>
        <v/>
      </c>
      <c r="BD14" s="60" t="str">
        <f>IF('Cálculo MP'!P24="","",'Cálculo MP'!P24)</f>
        <v/>
      </c>
      <c r="BE14" s="60" t="str">
        <f>IF('Cálculo MP'!Q24="","",'Cálculo MP'!Q24)</f>
        <v/>
      </c>
      <c r="BF14" s="60" t="str">
        <f>IF('Cálculo MP'!R24="","",'Cálculo MP'!R24)</f>
        <v/>
      </c>
      <c r="BG14" s="60" t="str">
        <f>IF('Cálculo MP'!S24="","",'Cálculo MP'!S24)</f>
        <v/>
      </c>
      <c r="BH14" s="61"/>
      <c r="BI14" s="61"/>
      <c r="BJ14" s="61"/>
      <c r="BK14" s="61"/>
      <c r="BL14" s="61"/>
      <c r="BM14" s="61"/>
      <c r="BN14" s="61"/>
      <c r="BO14" s="61"/>
    </row>
    <row r="15" spans="1:67" ht="19.5" customHeight="1" x14ac:dyDescent="0.2">
      <c r="A15" s="114" t="s">
        <v>1789</v>
      </c>
      <c r="B15" s="113" t="s">
        <v>1787</v>
      </c>
      <c r="C15" s="122"/>
      <c r="D15" s="48" t="s">
        <v>73</v>
      </c>
      <c r="E15" s="49"/>
      <c r="F15" s="50"/>
      <c r="G15" s="62"/>
      <c r="H15" s="48" t="s">
        <v>72</v>
      </c>
      <c r="I15" s="135">
        <v>1</v>
      </c>
      <c r="J15" s="52"/>
      <c r="K15" s="52" t="s">
        <v>73</v>
      </c>
      <c r="L15" s="52" t="s">
        <v>74</v>
      </c>
      <c r="M15" s="53" t="s">
        <v>917</v>
      </c>
      <c r="N15" s="58" t="s">
        <v>73</v>
      </c>
      <c r="O15" s="48" t="s">
        <v>72</v>
      </c>
      <c r="P15" s="48" t="s">
        <v>73</v>
      </c>
      <c r="Q15" s="54" t="s">
        <v>73</v>
      </c>
      <c r="R15" s="55" t="s">
        <v>73</v>
      </c>
      <c r="S15" s="48" t="s">
        <v>73</v>
      </c>
      <c r="T15" s="121" t="str" cm="1">
        <f t="array" ref="T15">IF(ISNUMBER(SEARCH("SCHNEIDER",D15)),_xlfn.IFS(ISNUMBER(SEARCH("2 Querétaro",D15)),"SQ2",ISNUMBER(SEARCH("Xicohténcatl",D15)),"SXC",ISNUMBER(SEARCH("Rojo Gómez",D15)),"SRG",ISNUMBER(SEARCH("Tlaxcala",D15)),"STX",ISNUMBER(SEARCH("Monterrey",D15)),"SMY",ISNUMBER(SEARCH("Querétaro",D15)),"SQ1",ISNUMBER(SEARCH("CDMX",D15)),"SCM",TRUE,""),"")</f>
        <v/>
      </c>
      <c r="U15" s="48" t="str" cm="1">
        <f t="array" ref="U15">_xlfn.LET(_xlpm.resultados,_xlfn.UNIQUE(_xlfn._xlws.FILTER(Tabla1[Proceso],(Tabla1[Metal Base]=O15)*(Tabla1[Etiquetas]=_xlfn.TEXTJOIN(" + ",TRUE,IF((TRIM(Upload!P15:S15)="")+(LOWER(TRIM(Upload!P15:S15))="(seleccione)"),"",PROPER(TRIM(Upload!P15:S15)))))*(Tabla1[Línea2]=IFERROR(VLOOKUP(Upload!N15&amp;"*",CAT_Procesos!D:D,1,FALSE),"")))),_xlpm.cantidad,ROWS(_xlpm.resultados),IF(ISERROR(_xlpm.cantidad),"Combinación no existente",IF(_xlpm.cantidad=1,INDEX(_xlpm.resultados,1),"(seleccione)")))</f>
        <v>Combinación no existente</v>
      </c>
      <c r="V15" s="55" t="s">
        <v>73</v>
      </c>
      <c r="W15" s="56" t="s">
        <v>73</v>
      </c>
      <c r="X15" s="57" t="str">
        <f t="shared" si="0"/>
        <v/>
      </c>
      <c r="Y15" s="58" t="s">
        <v>73</v>
      </c>
      <c r="Z15" s="57" t="str">
        <f t="shared" si="1"/>
        <v/>
      </c>
      <c r="AA15" s="58" t="s">
        <v>73</v>
      </c>
      <c r="AB15" s="57" t="str">
        <f t="shared" si="2"/>
        <v/>
      </c>
      <c r="AC15" s="58" t="s">
        <v>73</v>
      </c>
      <c r="AD15" s="57" t="str">
        <f t="shared" si="3"/>
        <v/>
      </c>
      <c r="AE15" s="59"/>
      <c r="AF15" s="59"/>
      <c r="AG15" s="59"/>
      <c r="AH15" s="59"/>
      <c r="AI15" s="59" t="s">
        <v>73</v>
      </c>
      <c r="AJ15" s="59"/>
      <c r="AK15" s="59" t="s">
        <v>73</v>
      </c>
      <c r="AL15" s="59"/>
      <c r="AM15" s="59" t="s">
        <v>73</v>
      </c>
      <c r="AN15" s="59"/>
      <c r="AO15" s="59" t="s">
        <v>73</v>
      </c>
      <c r="AP15" s="59"/>
      <c r="AQ15" s="59" t="s">
        <v>73</v>
      </c>
      <c r="AR15" s="59"/>
      <c r="AS15" s="59" t="s">
        <v>72</v>
      </c>
      <c r="AT15" s="59"/>
      <c r="AU15" s="59"/>
      <c r="AV15" s="59"/>
      <c r="AW15" s="59"/>
      <c r="AX15" s="59"/>
      <c r="AY15" s="60" t="str">
        <f>IF('Cálculo MP'!K25="","",'Cálculo MP'!K25)</f>
        <v/>
      </c>
      <c r="AZ15" s="60" t="str">
        <f>IF('Cálculo MP'!L25="","",'Cálculo MP'!L25)</f>
        <v/>
      </c>
      <c r="BA15" s="60" t="str">
        <f>IF('Cálculo MP'!M25="","",'Cálculo MP'!M25)</f>
        <v/>
      </c>
      <c r="BB15" s="60" t="str">
        <f>IF('Cálculo MP'!N25="","",'Cálculo MP'!N25)</f>
        <v/>
      </c>
      <c r="BC15" s="60" t="str">
        <f>IF('Cálculo MP'!O25="","",'Cálculo MP'!O25)</f>
        <v/>
      </c>
      <c r="BD15" s="60" t="str">
        <f>IF('Cálculo MP'!P25="","",'Cálculo MP'!P25)</f>
        <v/>
      </c>
      <c r="BE15" s="60" t="str">
        <f>IF('Cálculo MP'!Q25="","",'Cálculo MP'!Q25)</f>
        <v/>
      </c>
      <c r="BF15" s="60" t="str">
        <f>IF('Cálculo MP'!R25="","",'Cálculo MP'!R25)</f>
        <v/>
      </c>
      <c r="BG15" s="60" t="str">
        <f>IF('Cálculo MP'!S25="","",'Cálculo MP'!S25)</f>
        <v/>
      </c>
      <c r="BH15" s="61"/>
      <c r="BI15" s="61"/>
      <c r="BJ15" s="61"/>
      <c r="BK15" s="61"/>
      <c r="BL15" s="61"/>
      <c r="BM15" s="61"/>
      <c r="BN15" s="61"/>
      <c r="BO15" s="61"/>
    </row>
    <row r="16" spans="1:67" ht="19.5" customHeight="1" x14ac:dyDescent="0.2">
      <c r="A16" s="114" t="s">
        <v>1789</v>
      </c>
      <c r="B16" s="113" t="s">
        <v>1787</v>
      </c>
      <c r="C16" s="122"/>
      <c r="D16" s="48" t="s">
        <v>73</v>
      </c>
      <c r="E16" s="49"/>
      <c r="F16" s="50"/>
      <c r="G16" s="62"/>
      <c r="H16" s="48" t="s">
        <v>72</v>
      </c>
      <c r="I16" s="135">
        <v>1</v>
      </c>
      <c r="J16" s="52"/>
      <c r="K16" s="52" t="s">
        <v>73</v>
      </c>
      <c r="L16" s="52" t="s">
        <v>74</v>
      </c>
      <c r="M16" s="53" t="s">
        <v>917</v>
      </c>
      <c r="N16" s="58" t="s">
        <v>73</v>
      </c>
      <c r="O16" s="48" t="s">
        <v>72</v>
      </c>
      <c r="P16" s="48" t="s">
        <v>73</v>
      </c>
      <c r="Q16" s="54" t="s">
        <v>73</v>
      </c>
      <c r="R16" s="55" t="s">
        <v>73</v>
      </c>
      <c r="S16" s="48" t="s">
        <v>73</v>
      </c>
      <c r="T16" s="121" t="str" cm="1">
        <f t="array" ref="T16">IF(ISNUMBER(SEARCH("SCHNEIDER",D16)),_xlfn.IFS(ISNUMBER(SEARCH("2 Querétaro",D16)),"SQ2",ISNUMBER(SEARCH("Xicohténcatl",D16)),"SXC",ISNUMBER(SEARCH("Rojo Gómez",D16)),"SRG",ISNUMBER(SEARCH("Tlaxcala",D16)),"STX",ISNUMBER(SEARCH("Monterrey",D16)),"SMY",ISNUMBER(SEARCH("Querétaro",D16)),"SQ1",ISNUMBER(SEARCH("CDMX",D16)),"SCM",TRUE,""),"")</f>
        <v/>
      </c>
      <c r="U16" s="48" t="str" cm="1">
        <f t="array" ref="U16">_xlfn.LET(_xlpm.resultados,_xlfn.UNIQUE(_xlfn._xlws.FILTER(Tabla1[Proceso],(Tabla1[Metal Base]=O16)*(Tabla1[Etiquetas]=_xlfn.TEXTJOIN(" + ",TRUE,IF((TRIM(Upload!P16:S16)="")+(LOWER(TRIM(Upload!P16:S16))="(seleccione)"),"",PROPER(TRIM(Upload!P16:S16)))))*(Tabla1[Línea2]=IFERROR(VLOOKUP(Upload!N16&amp;"*",CAT_Procesos!D:D,1,FALSE),"")))),_xlpm.cantidad,ROWS(_xlpm.resultados),IF(ISERROR(_xlpm.cantidad),"Combinación no existente",IF(_xlpm.cantidad=1,INDEX(_xlpm.resultados,1),"(seleccione)")))</f>
        <v>Combinación no existente</v>
      </c>
      <c r="V16" s="55" t="s">
        <v>73</v>
      </c>
      <c r="W16" s="56" t="s">
        <v>73</v>
      </c>
      <c r="X16" s="57" t="str">
        <f t="shared" si="0"/>
        <v/>
      </c>
      <c r="Y16" s="58" t="s">
        <v>73</v>
      </c>
      <c r="Z16" s="57" t="str">
        <f t="shared" si="1"/>
        <v/>
      </c>
      <c r="AA16" s="58" t="s">
        <v>73</v>
      </c>
      <c r="AB16" s="57" t="str">
        <f t="shared" si="2"/>
        <v/>
      </c>
      <c r="AC16" s="58" t="s">
        <v>73</v>
      </c>
      <c r="AD16" s="57" t="str">
        <f t="shared" si="3"/>
        <v/>
      </c>
      <c r="AE16" s="59"/>
      <c r="AF16" s="59"/>
      <c r="AG16" s="59"/>
      <c r="AH16" s="59"/>
      <c r="AI16" s="59" t="s">
        <v>73</v>
      </c>
      <c r="AJ16" s="59"/>
      <c r="AK16" s="59" t="s">
        <v>73</v>
      </c>
      <c r="AL16" s="59"/>
      <c r="AM16" s="59" t="s">
        <v>73</v>
      </c>
      <c r="AN16" s="59"/>
      <c r="AO16" s="59" t="s">
        <v>73</v>
      </c>
      <c r="AP16" s="59"/>
      <c r="AQ16" s="59" t="s">
        <v>73</v>
      </c>
      <c r="AR16" s="59"/>
      <c r="AS16" s="59" t="s">
        <v>72</v>
      </c>
      <c r="AT16" s="59"/>
      <c r="AU16" s="59"/>
      <c r="AV16" s="59"/>
      <c r="AW16" s="59"/>
      <c r="AX16" s="59"/>
      <c r="AY16" s="60" t="str">
        <f>IF('Cálculo MP'!K26="","",'Cálculo MP'!K26)</f>
        <v/>
      </c>
      <c r="AZ16" s="60" t="str">
        <f>IF('Cálculo MP'!L26="","",'Cálculo MP'!L26)</f>
        <v/>
      </c>
      <c r="BA16" s="60" t="str">
        <f>IF('Cálculo MP'!M26="","",'Cálculo MP'!M26)</f>
        <v/>
      </c>
      <c r="BB16" s="60" t="str">
        <f>IF('Cálculo MP'!N26="","",'Cálculo MP'!N26)</f>
        <v/>
      </c>
      <c r="BC16" s="60" t="str">
        <f>IF('Cálculo MP'!O26="","",'Cálculo MP'!O26)</f>
        <v/>
      </c>
      <c r="BD16" s="60" t="str">
        <f>IF('Cálculo MP'!P26="","",'Cálculo MP'!P26)</f>
        <v/>
      </c>
      <c r="BE16" s="60" t="str">
        <f>IF('Cálculo MP'!Q26="","",'Cálculo MP'!Q26)</f>
        <v/>
      </c>
      <c r="BF16" s="60" t="str">
        <f>IF('Cálculo MP'!R26="","",'Cálculo MP'!R26)</f>
        <v/>
      </c>
      <c r="BG16" s="60" t="str">
        <f>IF('Cálculo MP'!S26="","",'Cálculo MP'!S26)</f>
        <v/>
      </c>
      <c r="BH16" s="61"/>
      <c r="BI16" s="61"/>
      <c r="BJ16" s="61"/>
      <c r="BK16" s="61"/>
      <c r="BL16" s="61"/>
      <c r="BM16" s="61"/>
      <c r="BN16" s="61"/>
      <c r="BO16" s="61"/>
    </row>
    <row r="17" spans="1:67" ht="19.5" customHeight="1" x14ac:dyDescent="0.2">
      <c r="A17" s="114" t="s">
        <v>1789</v>
      </c>
      <c r="B17" s="113" t="s">
        <v>1787</v>
      </c>
      <c r="C17" s="122"/>
      <c r="D17" s="48" t="s">
        <v>73</v>
      </c>
      <c r="E17" s="49"/>
      <c r="F17" s="50"/>
      <c r="G17" s="62"/>
      <c r="H17" s="48" t="s">
        <v>72</v>
      </c>
      <c r="I17" s="135">
        <v>1</v>
      </c>
      <c r="J17" s="52"/>
      <c r="K17" s="52" t="s">
        <v>73</v>
      </c>
      <c r="L17" s="52" t="s">
        <v>74</v>
      </c>
      <c r="M17" s="53" t="s">
        <v>917</v>
      </c>
      <c r="N17" s="58" t="s">
        <v>73</v>
      </c>
      <c r="O17" s="48" t="s">
        <v>72</v>
      </c>
      <c r="P17" s="48" t="s">
        <v>73</v>
      </c>
      <c r="Q17" s="54" t="s">
        <v>73</v>
      </c>
      <c r="R17" s="55" t="s">
        <v>73</v>
      </c>
      <c r="S17" s="48" t="s">
        <v>73</v>
      </c>
      <c r="T17" s="121" t="str" cm="1">
        <f t="array" ref="T17">IF(ISNUMBER(SEARCH("SCHNEIDER",D17)),_xlfn.IFS(ISNUMBER(SEARCH("2 Querétaro",D17)),"SQ2",ISNUMBER(SEARCH("Xicohténcatl",D17)),"SXC",ISNUMBER(SEARCH("Rojo Gómez",D17)),"SRG",ISNUMBER(SEARCH("Tlaxcala",D17)),"STX",ISNUMBER(SEARCH("Monterrey",D17)),"SMY",ISNUMBER(SEARCH("Querétaro",D17)),"SQ1",ISNUMBER(SEARCH("CDMX",D17)),"SCM",TRUE,""),"")</f>
        <v/>
      </c>
      <c r="U17" s="48" t="str" cm="1">
        <f t="array" ref="U17">_xlfn.LET(_xlpm.resultados,_xlfn.UNIQUE(_xlfn._xlws.FILTER(Tabla1[Proceso],(Tabla1[Metal Base]=O17)*(Tabla1[Etiquetas]=_xlfn.TEXTJOIN(" + ",TRUE,IF((TRIM(Upload!P17:S17)="")+(LOWER(TRIM(Upload!P17:S17))="(seleccione)"),"",PROPER(TRIM(Upload!P17:S17)))))*(Tabla1[Línea2]=IFERROR(VLOOKUP(Upload!N17&amp;"*",CAT_Procesos!D:D,1,FALSE),"")))),_xlpm.cantidad,ROWS(_xlpm.resultados),IF(ISERROR(_xlpm.cantidad),"Combinación no existente",IF(_xlpm.cantidad=1,INDEX(_xlpm.resultados,1),"(seleccione)")))</f>
        <v>Combinación no existente</v>
      </c>
      <c r="V17" s="55" t="s">
        <v>73</v>
      </c>
      <c r="W17" s="56" t="s">
        <v>73</v>
      </c>
      <c r="X17" s="57" t="str">
        <f t="shared" si="0"/>
        <v/>
      </c>
      <c r="Y17" s="58" t="s">
        <v>73</v>
      </c>
      <c r="Z17" s="57" t="str">
        <f t="shared" si="1"/>
        <v/>
      </c>
      <c r="AA17" s="58" t="s">
        <v>73</v>
      </c>
      <c r="AB17" s="57" t="str">
        <f t="shared" si="2"/>
        <v/>
      </c>
      <c r="AC17" s="58" t="s">
        <v>73</v>
      </c>
      <c r="AD17" s="57" t="str">
        <f t="shared" si="3"/>
        <v/>
      </c>
      <c r="AE17" s="59"/>
      <c r="AF17" s="59"/>
      <c r="AG17" s="59"/>
      <c r="AH17" s="59"/>
      <c r="AI17" s="59" t="s">
        <v>73</v>
      </c>
      <c r="AJ17" s="59"/>
      <c r="AK17" s="59" t="s">
        <v>73</v>
      </c>
      <c r="AL17" s="59"/>
      <c r="AM17" s="59" t="s">
        <v>73</v>
      </c>
      <c r="AN17" s="59"/>
      <c r="AO17" s="59" t="s">
        <v>73</v>
      </c>
      <c r="AP17" s="59"/>
      <c r="AQ17" s="59" t="s">
        <v>73</v>
      </c>
      <c r="AR17" s="59"/>
      <c r="AS17" s="59" t="s">
        <v>72</v>
      </c>
      <c r="AT17" s="59"/>
      <c r="AU17" s="59"/>
      <c r="AV17" s="59"/>
      <c r="AW17" s="59"/>
      <c r="AX17" s="59"/>
      <c r="AY17" s="60" t="str">
        <f>IF('Cálculo MP'!K27="","",'Cálculo MP'!K27)</f>
        <v/>
      </c>
      <c r="AZ17" s="60" t="str">
        <f>IF('Cálculo MP'!L27="","",'Cálculo MP'!L27)</f>
        <v/>
      </c>
      <c r="BA17" s="60" t="str">
        <f>IF('Cálculo MP'!M27="","",'Cálculo MP'!M27)</f>
        <v/>
      </c>
      <c r="BB17" s="60" t="str">
        <f>IF('Cálculo MP'!N27="","",'Cálculo MP'!N27)</f>
        <v/>
      </c>
      <c r="BC17" s="60" t="str">
        <f>IF('Cálculo MP'!O27="","",'Cálculo MP'!O27)</f>
        <v/>
      </c>
      <c r="BD17" s="60" t="str">
        <f>IF('Cálculo MP'!P27="","",'Cálculo MP'!P27)</f>
        <v/>
      </c>
      <c r="BE17" s="60" t="str">
        <f>IF('Cálculo MP'!Q27="","",'Cálculo MP'!Q27)</f>
        <v/>
      </c>
      <c r="BF17" s="60" t="str">
        <f>IF('Cálculo MP'!R27="","",'Cálculo MP'!R27)</f>
        <v/>
      </c>
      <c r="BG17" s="60" t="str">
        <f>IF('Cálculo MP'!S27="","",'Cálculo MP'!S27)</f>
        <v/>
      </c>
      <c r="BH17" s="61"/>
      <c r="BI17" s="61"/>
      <c r="BJ17" s="61"/>
      <c r="BK17" s="61"/>
      <c r="BL17" s="61"/>
      <c r="BM17" s="61"/>
      <c r="BN17" s="61"/>
      <c r="BO17" s="61"/>
    </row>
    <row r="18" spans="1:67" ht="19.5" customHeight="1" x14ac:dyDescent="0.2">
      <c r="A18" s="114" t="s">
        <v>1789</v>
      </c>
      <c r="B18" s="113" t="s">
        <v>1787</v>
      </c>
      <c r="C18" s="122"/>
      <c r="D18" s="48" t="s">
        <v>73</v>
      </c>
      <c r="E18" s="49"/>
      <c r="F18" s="50"/>
      <c r="G18" s="62"/>
      <c r="H18" s="48" t="s">
        <v>72</v>
      </c>
      <c r="I18" s="135">
        <v>1</v>
      </c>
      <c r="J18" s="52"/>
      <c r="K18" s="52" t="s">
        <v>73</v>
      </c>
      <c r="L18" s="52" t="s">
        <v>74</v>
      </c>
      <c r="M18" s="53" t="s">
        <v>917</v>
      </c>
      <c r="N18" s="58" t="s">
        <v>73</v>
      </c>
      <c r="O18" s="48" t="s">
        <v>72</v>
      </c>
      <c r="P18" s="48" t="s">
        <v>73</v>
      </c>
      <c r="Q18" s="54" t="s">
        <v>73</v>
      </c>
      <c r="R18" s="55" t="s">
        <v>73</v>
      </c>
      <c r="S18" s="48" t="s">
        <v>73</v>
      </c>
      <c r="T18" s="121" t="str" cm="1">
        <f t="array" ref="T18">IF(ISNUMBER(SEARCH("SCHNEIDER",D18)),_xlfn.IFS(ISNUMBER(SEARCH("2 Querétaro",D18)),"SQ2",ISNUMBER(SEARCH("Xicohténcatl",D18)),"SXC",ISNUMBER(SEARCH("Rojo Gómez",D18)),"SRG",ISNUMBER(SEARCH("Tlaxcala",D18)),"STX",ISNUMBER(SEARCH("Monterrey",D18)),"SMY",ISNUMBER(SEARCH("Querétaro",D18)),"SQ1",ISNUMBER(SEARCH("CDMX",D18)),"SCM",TRUE,""),"")</f>
        <v/>
      </c>
      <c r="U18" s="48" t="str" cm="1">
        <f t="array" ref="U18">_xlfn.LET(_xlpm.resultados,_xlfn.UNIQUE(_xlfn._xlws.FILTER(Tabla1[Proceso],(Tabla1[Metal Base]=O18)*(Tabla1[Etiquetas]=_xlfn.TEXTJOIN(" + ",TRUE,IF((TRIM(Upload!P18:S18)="")+(LOWER(TRIM(Upload!P18:S18))="(seleccione)"),"",PROPER(TRIM(Upload!P18:S18)))))*(Tabla1[Línea2]=IFERROR(VLOOKUP(Upload!N18&amp;"*",CAT_Procesos!D:D,1,FALSE),"")))),_xlpm.cantidad,ROWS(_xlpm.resultados),IF(ISERROR(_xlpm.cantidad),"Combinación no existente",IF(_xlpm.cantidad=1,INDEX(_xlpm.resultados,1),"(seleccione)")))</f>
        <v>Combinación no existente</v>
      </c>
      <c r="V18" s="55" t="s">
        <v>73</v>
      </c>
      <c r="W18" s="56" t="s">
        <v>73</v>
      </c>
      <c r="X18" s="57" t="str">
        <f t="shared" si="0"/>
        <v/>
      </c>
      <c r="Y18" s="58" t="s">
        <v>73</v>
      </c>
      <c r="Z18" s="57" t="str">
        <f t="shared" si="1"/>
        <v/>
      </c>
      <c r="AA18" s="58" t="s">
        <v>73</v>
      </c>
      <c r="AB18" s="57" t="str">
        <f t="shared" si="2"/>
        <v/>
      </c>
      <c r="AC18" s="58" t="s">
        <v>73</v>
      </c>
      <c r="AD18" s="57" t="str">
        <f t="shared" si="3"/>
        <v/>
      </c>
      <c r="AE18" s="59"/>
      <c r="AF18" s="59"/>
      <c r="AG18" s="59"/>
      <c r="AH18" s="59"/>
      <c r="AI18" s="59" t="s">
        <v>73</v>
      </c>
      <c r="AJ18" s="59"/>
      <c r="AK18" s="59" t="s">
        <v>73</v>
      </c>
      <c r="AL18" s="59"/>
      <c r="AM18" s="59" t="s">
        <v>73</v>
      </c>
      <c r="AN18" s="59"/>
      <c r="AO18" s="59" t="s">
        <v>73</v>
      </c>
      <c r="AP18" s="59"/>
      <c r="AQ18" s="59" t="s">
        <v>73</v>
      </c>
      <c r="AR18" s="59"/>
      <c r="AS18" s="59" t="s">
        <v>72</v>
      </c>
      <c r="AT18" s="59"/>
      <c r="AU18" s="59"/>
      <c r="AV18" s="59"/>
      <c r="AW18" s="59"/>
      <c r="AX18" s="59"/>
      <c r="AY18" s="60" t="str">
        <f>IF('Cálculo MP'!K28="","",'Cálculo MP'!K28)</f>
        <v/>
      </c>
      <c r="AZ18" s="60" t="str">
        <f>IF('Cálculo MP'!L28="","",'Cálculo MP'!L28)</f>
        <v/>
      </c>
      <c r="BA18" s="60" t="str">
        <f>IF('Cálculo MP'!M28="","",'Cálculo MP'!M28)</f>
        <v/>
      </c>
      <c r="BB18" s="60" t="str">
        <f>IF('Cálculo MP'!N28="","",'Cálculo MP'!N28)</f>
        <v/>
      </c>
      <c r="BC18" s="60" t="str">
        <f>IF('Cálculo MP'!O28="","",'Cálculo MP'!O28)</f>
        <v/>
      </c>
      <c r="BD18" s="60" t="str">
        <f>IF('Cálculo MP'!P28="","",'Cálculo MP'!P28)</f>
        <v/>
      </c>
      <c r="BE18" s="60" t="str">
        <f>IF('Cálculo MP'!Q28="","",'Cálculo MP'!Q28)</f>
        <v/>
      </c>
      <c r="BF18" s="60" t="str">
        <f>IF('Cálculo MP'!R28="","",'Cálculo MP'!R28)</f>
        <v/>
      </c>
      <c r="BG18" s="60" t="str">
        <f>IF('Cálculo MP'!S28="","",'Cálculo MP'!S28)</f>
        <v/>
      </c>
      <c r="BH18" s="61"/>
      <c r="BI18" s="61"/>
      <c r="BJ18" s="61"/>
      <c r="BK18" s="61"/>
      <c r="BL18" s="61"/>
      <c r="BM18" s="61"/>
      <c r="BN18" s="61"/>
      <c r="BO18" s="61"/>
    </row>
    <row r="19" spans="1:67" ht="19.5" customHeight="1" x14ac:dyDescent="0.2">
      <c r="A19" s="114" t="s">
        <v>1789</v>
      </c>
      <c r="B19" s="113" t="s">
        <v>1787</v>
      </c>
      <c r="C19" s="122"/>
      <c r="D19" s="48" t="s">
        <v>73</v>
      </c>
      <c r="E19" s="49"/>
      <c r="F19" s="50"/>
      <c r="G19" s="62"/>
      <c r="H19" s="48" t="s">
        <v>72</v>
      </c>
      <c r="I19" s="135">
        <v>1</v>
      </c>
      <c r="J19" s="52"/>
      <c r="K19" s="52" t="s">
        <v>73</v>
      </c>
      <c r="L19" s="52" t="s">
        <v>74</v>
      </c>
      <c r="M19" s="53" t="s">
        <v>917</v>
      </c>
      <c r="N19" s="58" t="s">
        <v>73</v>
      </c>
      <c r="O19" s="48" t="s">
        <v>72</v>
      </c>
      <c r="P19" s="48" t="s">
        <v>73</v>
      </c>
      <c r="Q19" s="54" t="s">
        <v>73</v>
      </c>
      <c r="R19" s="55" t="s">
        <v>73</v>
      </c>
      <c r="S19" s="48" t="s">
        <v>73</v>
      </c>
      <c r="T19" s="121" t="str" cm="1">
        <f t="array" ref="T19">IF(ISNUMBER(SEARCH("SCHNEIDER",D19)),_xlfn.IFS(ISNUMBER(SEARCH("2 Querétaro",D19)),"SQ2",ISNUMBER(SEARCH("Xicohténcatl",D19)),"SXC",ISNUMBER(SEARCH("Rojo Gómez",D19)),"SRG",ISNUMBER(SEARCH("Tlaxcala",D19)),"STX",ISNUMBER(SEARCH("Monterrey",D19)),"SMY",ISNUMBER(SEARCH("Querétaro",D19)),"SQ1",ISNUMBER(SEARCH("CDMX",D19)),"SCM",TRUE,""),"")</f>
        <v/>
      </c>
      <c r="U19" s="48" t="str" cm="1">
        <f t="array" ref="U19">_xlfn.LET(_xlpm.resultados,_xlfn.UNIQUE(_xlfn._xlws.FILTER(Tabla1[Proceso],(Tabla1[Metal Base]=O19)*(Tabla1[Etiquetas]=_xlfn.TEXTJOIN(" + ",TRUE,IF((TRIM(Upload!P19:S19)="")+(LOWER(TRIM(Upload!P19:S19))="(seleccione)"),"",PROPER(TRIM(Upload!P19:S19)))))*(Tabla1[Línea2]=IFERROR(VLOOKUP(Upload!N19&amp;"*",CAT_Procesos!D:D,1,FALSE),"")))),_xlpm.cantidad,ROWS(_xlpm.resultados),IF(ISERROR(_xlpm.cantidad),"Combinación no existente",IF(_xlpm.cantidad=1,INDEX(_xlpm.resultados,1),"(seleccione)")))</f>
        <v>Combinación no existente</v>
      </c>
      <c r="V19" s="55" t="s">
        <v>73</v>
      </c>
      <c r="W19" s="56" t="s">
        <v>73</v>
      </c>
      <c r="X19" s="57" t="str">
        <f t="shared" si="0"/>
        <v/>
      </c>
      <c r="Y19" s="58" t="s">
        <v>73</v>
      </c>
      <c r="Z19" s="57" t="str">
        <f t="shared" si="1"/>
        <v/>
      </c>
      <c r="AA19" s="58" t="s">
        <v>73</v>
      </c>
      <c r="AB19" s="57" t="str">
        <f t="shared" si="2"/>
        <v/>
      </c>
      <c r="AC19" s="58" t="s">
        <v>73</v>
      </c>
      <c r="AD19" s="57" t="str">
        <f t="shared" si="3"/>
        <v/>
      </c>
      <c r="AE19" s="59"/>
      <c r="AF19" s="59"/>
      <c r="AG19" s="59"/>
      <c r="AH19" s="59"/>
      <c r="AI19" s="59" t="s">
        <v>73</v>
      </c>
      <c r="AJ19" s="59"/>
      <c r="AK19" s="59" t="s">
        <v>73</v>
      </c>
      <c r="AL19" s="59"/>
      <c r="AM19" s="59" t="s">
        <v>73</v>
      </c>
      <c r="AN19" s="59"/>
      <c r="AO19" s="59" t="s">
        <v>73</v>
      </c>
      <c r="AP19" s="59"/>
      <c r="AQ19" s="59" t="s">
        <v>73</v>
      </c>
      <c r="AR19" s="59"/>
      <c r="AS19" s="59" t="s">
        <v>72</v>
      </c>
      <c r="AT19" s="59"/>
      <c r="AU19" s="59"/>
      <c r="AV19" s="59"/>
      <c r="AW19" s="59"/>
      <c r="AX19" s="59"/>
      <c r="AY19" s="60" t="str">
        <f>IF('Cálculo MP'!K29="","",'Cálculo MP'!K29)</f>
        <v/>
      </c>
      <c r="AZ19" s="60" t="str">
        <f>IF('Cálculo MP'!L29="","",'Cálculo MP'!L29)</f>
        <v/>
      </c>
      <c r="BA19" s="60" t="str">
        <f>IF('Cálculo MP'!M29="","",'Cálculo MP'!M29)</f>
        <v/>
      </c>
      <c r="BB19" s="60" t="str">
        <f>IF('Cálculo MP'!N29="","",'Cálculo MP'!N29)</f>
        <v/>
      </c>
      <c r="BC19" s="60" t="str">
        <f>IF('Cálculo MP'!O29="","",'Cálculo MP'!O29)</f>
        <v/>
      </c>
      <c r="BD19" s="60" t="str">
        <f>IF('Cálculo MP'!P29="","",'Cálculo MP'!P29)</f>
        <v/>
      </c>
      <c r="BE19" s="60" t="str">
        <f>IF('Cálculo MP'!Q29="","",'Cálculo MP'!Q29)</f>
        <v/>
      </c>
      <c r="BF19" s="60" t="str">
        <f>IF('Cálculo MP'!R29="","",'Cálculo MP'!R29)</f>
        <v/>
      </c>
      <c r="BG19" s="60" t="str">
        <f>IF('Cálculo MP'!S29="","",'Cálculo MP'!S29)</f>
        <v/>
      </c>
      <c r="BH19" s="61"/>
      <c r="BI19" s="61"/>
      <c r="BJ19" s="61"/>
      <c r="BK19" s="61"/>
      <c r="BL19" s="61"/>
      <c r="BM19" s="61"/>
      <c r="BN19" s="61"/>
      <c r="BO19" s="61"/>
    </row>
    <row r="20" spans="1:67" ht="19.5" customHeight="1" x14ac:dyDescent="0.2">
      <c r="A20" s="114" t="s">
        <v>1789</v>
      </c>
      <c r="B20" s="113" t="s">
        <v>1787</v>
      </c>
      <c r="C20" s="122"/>
      <c r="D20" s="48" t="s">
        <v>73</v>
      </c>
      <c r="E20" s="49"/>
      <c r="F20" s="50"/>
      <c r="G20" s="62"/>
      <c r="H20" s="48" t="s">
        <v>72</v>
      </c>
      <c r="I20" s="135">
        <v>1</v>
      </c>
      <c r="J20" s="52"/>
      <c r="K20" s="52" t="s">
        <v>73</v>
      </c>
      <c r="L20" s="52" t="s">
        <v>74</v>
      </c>
      <c r="M20" s="53" t="s">
        <v>917</v>
      </c>
      <c r="N20" s="58" t="s">
        <v>73</v>
      </c>
      <c r="O20" s="48" t="s">
        <v>72</v>
      </c>
      <c r="P20" s="48" t="s">
        <v>73</v>
      </c>
      <c r="Q20" s="54" t="s">
        <v>73</v>
      </c>
      <c r="R20" s="55" t="s">
        <v>73</v>
      </c>
      <c r="S20" s="48" t="s">
        <v>73</v>
      </c>
      <c r="T20" s="121" t="str" cm="1">
        <f t="array" ref="T20">IF(ISNUMBER(SEARCH("SCHNEIDER",D20)),_xlfn.IFS(ISNUMBER(SEARCH("2 Querétaro",D20)),"SQ2",ISNUMBER(SEARCH("Xicohténcatl",D20)),"SXC",ISNUMBER(SEARCH("Rojo Gómez",D20)),"SRG",ISNUMBER(SEARCH("Tlaxcala",D20)),"STX",ISNUMBER(SEARCH("Monterrey",D20)),"SMY",ISNUMBER(SEARCH("Querétaro",D20)),"SQ1",ISNUMBER(SEARCH("CDMX",D20)),"SCM",TRUE,""),"")</f>
        <v/>
      </c>
      <c r="U20" s="48" t="str" cm="1">
        <f t="array" ref="U20">_xlfn.LET(_xlpm.resultados,_xlfn.UNIQUE(_xlfn._xlws.FILTER(Tabla1[Proceso],(Tabla1[Metal Base]=O20)*(Tabla1[Etiquetas]=_xlfn.TEXTJOIN(" + ",TRUE,IF((TRIM(Upload!P20:S20)="")+(LOWER(TRIM(Upload!P20:S20))="(seleccione)"),"",PROPER(TRIM(Upload!P20:S20)))))*(Tabla1[Línea2]=IFERROR(VLOOKUP(Upload!N20&amp;"*",CAT_Procesos!D:D,1,FALSE),"")))),_xlpm.cantidad,ROWS(_xlpm.resultados),IF(ISERROR(_xlpm.cantidad),"Combinación no existente",IF(_xlpm.cantidad=1,INDEX(_xlpm.resultados,1),"(seleccione)")))</f>
        <v>Combinación no existente</v>
      </c>
      <c r="V20" s="55" t="s">
        <v>73</v>
      </c>
      <c r="W20" s="56" t="s">
        <v>73</v>
      </c>
      <c r="X20" s="57" t="str">
        <f t="shared" si="0"/>
        <v/>
      </c>
      <c r="Y20" s="58" t="s">
        <v>73</v>
      </c>
      <c r="Z20" s="57" t="str">
        <f t="shared" si="1"/>
        <v/>
      </c>
      <c r="AA20" s="58" t="s">
        <v>73</v>
      </c>
      <c r="AB20" s="57" t="str">
        <f t="shared" si="2"/>
        <v/>
      </c>
      <c r="AC20" s="58" t="s">
        <v>73</v>
      </c>
      <c r="AD20" s="57" t="str">
        <f t="shared" si="3"/>
        <v/>
      </c>
      <c r="AE20" s="59"/>
      <c r="AF20" s="59"/>
      <c r="AG20" s="59"/>
      <c r="AH20" s="59"/>
      <c r="AI20" s="59" t="s">
        <v>73</v>
      </c>
      <c r="AJ20" s="59"/>
      <c r="AK20" s="59" t="s">
        <v>73</v>
      </c>
      <c r="AL20" s="59"/>
      <c r="AM20" s="59" t="s">
        <v>73</v>
      </c>
      <c r="AN20" s="59"/>
      <c r="AO20" s="59" t="s">
        <v>73</v>
      </c>
      <c r="AP20" s="59"/>
      <c r="AQ20" s="59" t="s">
        <v>73</v>
      </c>
      <c r="AR20" s="59"/>
      <c r="AS20" s="59" t="s">
        <v>72</v>
      </c>
      <c r="AT20" s="59"/>
      <c r="AU20" s="59"/>
      <c r="AV20" s="59"/>
      <c r="AW20" s="59"/>
      <c r="AX20" s="59"/>
      <c r="AY20" s="60" t="str">
        <f>IF('Cálculo MP'!K30="","",'Cálculo MP'!K30)</f>
        <v/>
      </c>
      <c r="AZ20" s="60" t="str">
        <f>IF('Cálculo MP'!L30="","",'Cálculo MP'!L30)</f>
        <v/>
      </c>
      <c r="BA20" s="60" t="str">
        <f>IF('Cálculo MP'!M30="","",'Cálculo MP'!M30)</f>
        <v/>
      </c>
      <c r="BB20" s="60" t="str">
        <f>IF('Cálculo MP'!N30="","",'Cálculo MP'!N30)</f>
        <v/>
      </c>
      <c r="BC20" s="60" t="str">
        <f>IF('Cálculo MP'!O30="","",'Cálculo MP'!O30)</f>
        <v/>
      </c>
      <c r="BD20" s="60" t="str">
        <f>IF('Cálculo MP'!P30="","",'Cálculo MP'!P30)</f>
        <v/>
      </c>
      <c r="BE20" s="60" t="str">
        <f>IF('Cálculo MP'!Q30="","",'Cálculo MP'!Q30)</f>
        <v/>
      </c>
      <c r="BF20" s="60" t="str">
        <f>IF('Cálculo MP'!R30="","",'Cálculo MP'!R30)</f>
        <v/>
      </c>
      <c r="BG20" s="60" t="str">
        <f>IF('Cálculo MP'!S30="","",'Cálculo MP'!S30)</f>
        <v/>
      </c>
      <c r="BH20" s="61"/>
      <c r="BI20" s="61"/>
      <c r="BJ20" s="61"/>
      <c r="BK20" s="61"/>
      <c r="BL20" s="61"/>
      <c r="BM20" s="61"/>
      <c r="BN20" s="61"/>
      <c r="BO20" s="61"/>
    </row>
    <row r="21" spans="1:67" ht="19.5" customHeight="1" x14ac:dyDescent="0.2">
      <c r="A21" s="114" t="s">
        <v>1789</v>
      </c>
      <c r="B21" s="113" t="s">
        <v>1787</v>
      </c>
      <c r="C21" s="122"/>
      <c r="D21" s="48" t="s">
        <v>73</v>
      </c>
      <c r="E21" s="49"/>
      <c r="F21" s="50"/>
      <c r="G21" s="62"/>
      <c r="H21" s="48" t="s">
        <v>72</v>
      </c>
      <c r="I21" s="135">
        <v>1</v>
      </c>
      <c r="J21" s="52"/>
      <c r="K21" s="52" t="s">
        <v>73</v>
      </c>
      <c r="L21" s="52" t="s">
        <v>74</v>
      </c>
      <c r="M21" s="53" t="s">
        <v>917</v>
      </c>
      <c r="N21" s="58" t="s">
        <v>73</v>
      </c>
      <c r="O21" s="48" t="s">
        <v>72</v>
      </c>
      <c r="P21" s="48" t="s">
        <v>73</v>
      </c>
      <c r="Q21" s="54" t="s">
        <v>73</v>
      </c>
      <c r="R21" s="55" t="s">
        <v>73</v>
      </c>
      <c r="S21" s="48" t="s">
        <v>73</v>
      </c>
      <c r="T21" s="121" t="str" cm="1">
        <f t="array" ref="T21">IF(ISNUMBER(SEARCH("SCHNEIDER",D21)),_xlfn.IFS(ISNUMBER(SEARCH("2 Querétaro",D21)),"SQ2",ISNUMBER(SEARCH("Xicohténcatl",D21)),"SXC",ISNUMBER(SEARCH("Rojo Gómez",D21)),"SRG",ISNUMBER(SEARCH("Tlaxcala",D21)),"STX",ISNUMBER(SEARCH("Monterrey",D21)),"SMY",ISNUMBER(SEARCH("Querétaro",D21)),"SQ1",ISNUMBER(SEARCH("CDMX",D21)),"SCM",TRUE,""),"")</f>
        <v/>
      </c>
      <c r="U21" s="48" t="str" cm="1">
        <f t="array" ref="U21">_xlfn.LET(_xlpm.resultados,_xlfn.UNIQUE(_xlfn._xlws.FILTER(Tabla1[Proceso],(Tabla1[Metal Base]=O21)*(Tabla1[Etiquetas]=_xlfn.TEXTJOIN(" + ",TRUE,IF((TRIM(Upload!P21:S21)="")+(LOWER(TRIM(Upload!P21:S21))="(seleccione)"),"",PROPER(TRIM(Upload!P21:S21)))))*(Tabla1[Línea2]=IFERROR(VLOOKUP(Upload!N21&amp;"*",CAT_Procesos!D:D,1,FALSE),"")))),_xlpm.cantidad,ROWS(_xlpm.resultados),IF(ISERROR(_xlpm.cantidad),"Combinación no existente",IF(_xlpm.cantidad=1,INDEX(_xlpm.resultados,1),"(seleccione)")))</f>
        <v>Combinación no existente</v>
      </c>
      <c r="V21" s="55" t="s">
        <v>73</v>
      </c>
      <c r="W21" s="56" t="s">
        <v>73</v>
      </c>
      <c r="X21" s="57" t="str">
        <f t="shared" si="0"/>
        <v/>
      </c>
      <c r="Y21" s="58" t="s">
        <v>73</v>
      </c>
      <c r="Z21" s="57" t="str">
        <f t="shared" si="1"/>
        <v/>
      </c>
      <c r="AA21" s="58" t="s">
        <v>73</v>
      </c>
      <c r="AB21" s="57" t="str">
        <f t="shared" si="2"/>
        <v/>
      </c>
      <c r="AC21" s="58" t="s">
        <v>73</v>
      </c>
      <c r="AD21" s="57" t="str">
        <f t="shared" si="3"/>
        <v/>
      </c>
      <c r="AE21" s="59"/>
      <c r="AF21" s="59"/>
      <c r="AG21" s="59"/>
      <c r="AH21" s="59"/>
      <c r="AI21" s="59" t="s">
        <v>73</v>
      </c>
      <c r="AJ21" s="59"/>
      <c r="AK21" s="59" t="s">
        <v>73</v>
      </c>
      <c r="AL21" s="59"/>
      <c r="AM21" s="59" t="s">
        <v>73</v>
      </c>
      <c r="AN21" s="59"/>
      <c r="AO21" s="59" t="s">
        <v>73</v>
      </c>
      <c r="AP21" s="59"/>
      <c r="AQ21" s="59" t="s">
        <v>73</v>
      </c>
      <c r="AR21" s="59"/>
      <c r="AS21" s="59" t="s">
        <v>72</v>
      </c>
      <c r="AT21" s="59"/>
      <c r="AU21" s="59"/>
      <c r="AV21" s="59"/>
      <c r="AW21" s="59"/>
      <c r="AX21" s="59"/>
      <c r="AY21" s="60" t="str">
        <f>IF('Cálculo MP'!K31="","",'Cálculo MP'!K31)</f>
        <v/>
      </c>
      <c r="AZ21" s="60" t="str">
        <f>IF('Cálculo MP'!L31="","",'Cálculo MP'!L31)</f>
        <v/>
      </c>
      <c r="BA21" s="60" t="str">
        <f>IF('Cálculo MP'!M31="","",'Cálculo MP'!M31)</f>
        <v/>
      </c>
      <c r="BB21" s="60" t="str">
        <f>IF('Cálculo MP'!N31="","",'Cálculo MP'!N31)</f>
        <v/>
      </c>
      <c r="BC21" s="60" t="str">
        <f>IF('Cálculo MP'!O31="","",'Cálculo MP'!O31)</f>
        <v/>
      </c>
      <c r="BD21" s="60" t="str">
        <f>IF('Cálculo MP'!P31="","",'Cálculo MP'!P31)</f>
        <v/>
      </c>
      <c r="BE21" s="60" t="str">
        <f>IF('Cálculo MP'!Q31="","",'Cálculo MP'!Q31)</f>
        <v/>
      </c>
      <c r="BF21" s="60" t="str">
        <f>IF('Cálculo MP'!R31="","",'Cálculo MP'!R31)</f>
        <v/>
      </c>
      <c r="BG21" s="60" t="str">
        <f>IF('Cálculo MP'!S31="","",'Cálculo MP'!S31)</f>
        <v/>
      </c>
      <c r="BH21" s="61"/>
      <c r="BI21" s="61"/>
      <c r="BJ21" s="61"/>
      <c r="BK21" s="61"/>
      <c r="BL21" s="61"/>
      <c r="BM21" s="61"/>
      <c r="BN21" s="61"/>
      <c r="BO21" s="61"/>
    </row>
    <row r="22" spans="1:67" ht="19.5" customHeight="1" x14ac:dyDescent="0.2">
      <c r="A22" s="114" t="s">
        <v>1789</v>
      </c>
      <c r="B22" s="113" t="s">
        <v>1787</v>
      </c>
      <c r="C22" s="122"/>
      <c r="D22" s="48" t="s">
        <v>73</v>
      </c>
      <c r="E22" s="49"/>
      <c r="F22" s="50"/>
      <c r="G22" s="62"/>
      <c r="H22" s="48" t="s">
        <v>72</v>
      </c>
      <c r="I22" s="135">
        <v>1</v>
      </c>
      <c r="J22" s="52"/>
      <c r="K22" s="52" t="s">
        <v>73</v>
      </c>
      <c r="L22" s="52" t="s">
        <v>74</v>
      </c>
      <c r="M22" s="53" t="s">
        <v>917</v>
      </c>
      <c r="N22" s="58" t="s">
        <v>73</v>
      </c>
      <c r="O22" s="48" t="s">
        <v>72</v>
      </c>
      <c r="P22" s="48" t="s">
        <v>73</v>
      </c>
      <c r="Q22" s="54" t="s">
        <v>73</v>
      </c>
      <c r="R22" s="55" t="s">
        <v>73</v>
      </c>
      <c r="S22" s="48" t="s">
        <v>73</v>
      </c>
      <c r="T22" s="121" t="str" cm="1">
        <f t="array" ref="T22">IF(ISNUMBER(SEARCH("SCHNEIDER",D22)),_xlfn.IFS(ISNUMBER(SEARCH("2 Querétaro",D22)),"SQ2",ISNUMBER(SEARCH("Xicohténcatl",D22)),"SXC",ISNUMBER(SEARCH("Rojo Gómez",D22)),"SRG",ISNUMBER(SEARCH("Tlaxcala",D22)),"STX",ISNUMBER(SEARCH("Monterrey",D22)),"SMY",ISNUMBER(SEARCH("Querétaro",D22)),"SQ1",ISNUMBER(SEARCH("CDMX",D22)),"SCM",TRUE,""),"")</f>
        <v/>
      </c>
      <c r="U22" s="48" t="str" cm="1">
        <f t="array" ref="U22">_xlfn.LET(_xlpm.resultados,_xlfn.UNIQUE(_xlfn._xlws.FILTER(Tabla1[Proceso],(Tabla1[Metal Base]=O22)*(Tabla1[Etiquetas]=_xlfn.TEXTJOIN(" + ",TRUE,IF((TRIM(Upload!P22:S22)="")+(LOWER(TRIM(Upload!P22:S22))="(seleccione)"),"",PROPER(TRIM(Upload!P22:S22)))))*(Tabla1[Línea2]=IFERROR(VLOOKUP(Upload!N22&amp;"*",CAT_Procesos!D:D,1,FALSE),"")))),_xlpm.cantidad,ROWS(_xlpm.resultados),IF(ISERROR(_xlpm.cantidad),"Combinación no existente",IF(_xlpm.cantidad=1,INDEX(_xlpm.resultados,1),"(seleccione)")))</f>
        <v>Combinación no existente</v>
      </c>
      <c r="V22" s="55" t="s">
        <v>73</v>
      </c>
      <c r="W22" s="56" t="s">
        <v>73</v>
      </c>
      <c r="X22" s="57" t="str">
        <f t="shared" si="0"/>
        <v/>
      </c>
      <c r="Y22" s="58" t="s">
        <v>73</v>
      </c>
      <c r="Z22" s="57" t="str">
        <f t="shared" si="1"/>
        <v/>
      </c>
      <c r="AA22" s="58" t="s">
        <v>73</v>
      </c>
      <c r="AB22" s="57" t="str">
        <f t="shared" si="2"/>
        <v/>
      </c>
      <c r="AC22" s="58" t="s">
        <v>73</v>
      </c>
      <c r="AD22" s="57" t="str">
        <f t="shared" si="3"/>
        <v/>
      </c>
      <c r="AE22" s="59"/>
      <c r="AF22" s="59"/>
      <c r="AG22" s="59"/>
      <c r="AH22" s="59"/>
      <c r="AI22" s="59" t="s">
        <v>73</v>
      </c>
      <c r="AJ22" s="59"/>
      <c r="AK22" s="59" t="s">
        <v>73</v>
      </c>
      <c r="AL22" s="59"/>
      <c r="AM22" s="59" t="s">
        <v>73</v>
      </c>
      <c r="AN22" s="59"/>
      <c r="AO22" s="59" t="s">
        <v>73</v>
      </c>
      <c r="AP22" s="59"/>
      <c r="AQ22" s="59" t="s">
        <v>73</v>
      </c>
      <c r="AR22" s="59"/>
      <c r="AS22" s="59" t="s">
        <v>72</v>
      </c>
      <c r="AT22" s="59"/>
      <c r="AU22" s="59"/>
      <c r="AV22" s="59"/>
      <c r="AW22" s="59"/>
      <c r="AX22" s="59"/>
      <c r="AY22" s="60" t="str">
        <f>IF('Cálculo MP'!K32="","",'Cálculo MP'!K32)</f>
        <v/>
      </c>
      <c r="AZ22" s="60" t="str">
        <f>IF('Cálculo MP'!L32="","",'Cálculo MP'!L32)</f>
        <v/>
      </c>
      <c r="BA22" s="60" t="str">
        <f>IF('Cálculo MP'!M32="","",'Cálculo MP'!M32)</f>
        <v/>
      </c>
      <c r="BB22" s="60" t="str">
        <f>IF('Cálculo MP'!N32="","",'Cálculo MP'!N32)</f>
        <v/>
      </c>
      <c r="BC22" s="60" t="str">
        <f>IF('Cálculo MP'!O32="","",'Cálculo MP'!O32)</f>
        <v/>
      </c>
      <c r="BD22" s="60" t="str">
        <f>IF('Cálculo MP'!P32="","",'Cálculo MP'!P32)</f>
        <v/>
      </c>
      <c r="BE22" s="60" t="str">
        <f>IF('Cálculo MP'!Q32="","",'Cálculo MP'!Q32)</f>
        <v/>
      </c>
      <c r="BF22" s="60" t="str">
        <f>IF('Cálculo MP'!R32="","",'Cálculo MP'!R32)</f>
        <v/>
      </c>
      <c r="BG22" s="60" t="str">
        <f>IF('Cálculo MP'!S32="","",'Cálculo MP'!S32)</f>
        <v/>
      </c>
      <c r="BH22" s="61"/>
      <c r="BI22" s="61"/>
      <c r="BJ22" s="61"/>
      <c r="BK22" s="61"/>
      <c r="BL22" s="61"/>
      <c r="BM22" s="61"/>
      <c r="BN22" s="61"/>
      <c r="BO22" s="61"/>
    </row>
    <row r="23" spans="1:67" ht="19.5" customHeight="1" x14ac:dyDescent="0.2">
      <c r="A23" s="114" t="s">
        <v>1789</v>
      </c>
      <c r="B23" s="113" t="s">
        <v>1787</v>
      </c>
      <c r="C23" s="122"/>
      <c r="D23" s="48" t="s">
        <v>73</v>
      </c>
      <c r="E23" s="49"/>
      <c r="F23" s="50"/>
      <c r="G23" s="62"/>
      <c r="H23" s="48" t="s">
        <v>72</v>
      </c>
      <c r="I23" s="135">
        <v>1</v>
      </c>
      <c r="J23" s="52"/>
      <c r="K23" s="52" t="s">
        <v>73</v>
      </c>
      <c r="L23" s="52" t="s">
        <v>74</v>
      </c>
      <c r="M23" s="53" t="s">
        <v>917</v>
      </c>
      <c r="N23" s="58" t="s">
        <v>73</v>
      </c>
      <c r="O23" s="48" t="s">
        <v>72</v>
      </c>
      <c r="P23" s="48" t="s">
        <v>73</v>
      </c>
      <c r="Q23" s="54" t="s">
        <v>73</v>
      </c>
      <c r="R23" s="55" t="s">
        <v>73</v>
      </c>
      <c r="S23" s="48" t="s">
        <v>73</v>
      </c>
      <c r="T23" s="121" t="str" cm="1">
        <f t="array" ref="T23">IF(ISNUMBER(SEARCH("SCHNEIDER",D23)),_xlfn.IFS(ISNUMBER(SEARCH("2 Querétaro",D23)),"SQ2",ISNUMBER(SEARCH("Xicohténcatl",D23)),"SXC",ISNUMBER(SEARCH("Rojo Gómez",D23)),"SRG",ISNUMBER(SEARCH("Tlaxcala",D23)),"STX",ISNUMBER(SEARCH("Monterrey",D23)),"SMY",ISNUMBER(SEARCH("Querétaro",D23)),"SQ1",ISNUMBER(SEARCH("CDMX",D23)),"SCM",TRUE,""),"")</f>
        <v/>
      </c>
      <c r="U23" s="48" t="str" cm="1">
        <f t="array" ref="U23">_xlfn.LET(_xlpm.resultados,_xlfn.UNIQUE(_xlfn._xlws.FILTER(Tabla1[Proceso],(Tabla1[Metal Base]=O23)*(Tabla1[Etiquetas]=_xlfn.TEXTJOIN(" + ",TRUE,IF((TRIM(Upload!P23:S23)="")+(LOWER(TRIM(Upload!P23:S23))="(seleccione)"),"",PROPER(TRIM(Upload!P23:S23)))))*(Tabla1[Línea2]=IFERROR(VLOOKUP(Upload!N23&amp;"*",CAT_Procesos!D:D,1,FALSE),"")))),_xlpm.cantidad,ROWS(_xlpm.resultados),IF(ISERROR(_xlpm.cantidad),"Combinación no existente",IF(_xlpm.cantidad=1,INDEX(_xlpm.resultados,1),"(seleccione)")))</f>
        <v>Combinación no existente</v>
      </c>
      <c r="V23" s="55" t="s">
        <v>73</v>
      </c>
      <c r="W23" s="56" t="s">
        <v>73</v>
      </c>
      <c r="X23" s="57" t="str">
        <f t="shared" si="0"/>
        <v/>
      </c>
      <c r="Y23" s="58" t="s">
        <v>73</v>
      </c>
      <c r="Z23" s="57" t="str">
        <f t="shared" si="1"/>
        <v/>
      </c>
      <c r="AA23" s="58" t="s">
        <v>73</v>
      </c>
      <c r="AB23" s="57" t="str">
        <f t="shared" si="2"/>
        <v/>
      </c>
      <c r="AC23" s="58" t="s">
        <v>73</v>
      </c>
      <c r="AD23" s="57" t="str">
        <f t="shared" si="3"/>
        <v/>
      </c>
      <c r="AE23" s="59"/>
      <c r="AF23" s="59"/>
      <c r="AG23" s="59"/>
      <c r="AH23" s="59"/>
      <c r="AI23" s="59" t="s">
        <v>73</v>
      </c>
      <c r="AJ23" s="59"/>
      <c r="AK23" s="59" t="s">
        <v>73</v>
      </c>
      <c r="AL23" s="59"/>
      <c r="AM23" s="59" t="s">
        <v>73</v>
      </c>
      <c r="AN23" s="59"/>
      <c r="AO23" s="59" t="s">
        <v>73</v>
      </c>
      <c r="AP23" s="59"/>
      <c r="AQ23" s="59" t="s">
        <v>73</v>
      </c>
      <c r="AR23" s="59"/>
      <c r="AS23" s="59" t="s">
        <v>72</v>
      </c>
      <c r="AT23" s="59"/>
      <c r="AU23" s="59"/>
      <c r="AV23" s="59"/>
      <c r="AW23" s="59"/>
      <c r="AX23" s="59"/>
      <c r="AY23" s="60" t="str">
        <f>IF('Cálculo MP'!K33="","",'Cálculo MP'!K33)</f>
        <v/>
      </c>
      <c r="AZ23" s="60" t="str">
        <f>IF('Cálculo MP'!L33="","",'Cálculo MP'!L33)</f>
        <v/>
      </c>
      <c r="BA23" s="60" t="str">
        <f>IF('Cálculo MP'!M33="","",'Cálculo MP'!M33)</f>
        <v/>
      </c>
      <c r="BB23" s="60" t="str">
        <f>IF('Cálculo MP'!N33="","",'Cálculo MP'!N33)</f>
        <v/>
      </c>
      <c r="BC23" s="60" t="str">
        <f>IF('Cálculo MP'!O33="","",'Cálculo MP'!O33)</f>
        <v/>
      </c>
      <c r="BD23" s="60" t="str">
        <f>IF('Cálculo MP'!P33="","",'Cálculo MP'!P33)</f>
        <v/>
      </c>
      <c r="BE23" s="60" t="str">
        <f>IF('Cálculo MP'!Q33="","",'Cálculo MP'!Q33)</f>
        <v/>
      </c>
      <c r="BF23" s="60" t="str">
        <f>IF('Cálculo MP'!R33="","",'Cálculo MP'!R33)</f>
        <v/>
      </c>
      <c r="BG23" s="60" t="str">
        <f>IF('Cálculo MP'!S33="","",'Cálculo MP'!S33)</f>
        <v/>
      </c>
      <c r="BH23" s="61"/>
      <c r="BI23" s="61"/>
      <c r="BJ23" s="61"/>
      <c r="BK23" s="61"/>
      <c r="BL23" s="61"/>
      <c r="BM23" s="61"/>
      <c r="BN23" s="61"/>
      <c r="BO23" s="61"/>
    </row>
    <row r="24" spans="1:67" ht="19.5" customHeight="1" x14ac:dyDescent="0.2">
      <c r="A24" s="114" t="s">
        <v>1789</v>
      </c>
      <c r="B24" s="113" t="s">
        <v>1787</v>
      </c>
      <c r="C24" s="122"/>
      <c r="D24" s="48" t="s">
        <v>73</v>
      </c>
      <c r="E24" s="49"/>
      <c r="F24" s="50"/>
      <c r="G24" s="62"/>
      <c r="H24" s="48" t="s">
        <v>72</v>
      </c>
      <c r="I24" s="135">
        <v>1</v>
      </c>
      <c r="J24" s="52"/>
      <c r="K24" s="52" t="s">
        <v>73</v>
      </c>
      <c r="L24" s="52" t="s">
        <v>74</v>
      </c>
      <c r="M24" s="53" t="s">
        <v>917</v>
      </c>
      <c r="N24" s="58" t="s">
        <v>73</v>
      </c>
      <c r="O24" s="48" t="s">
        <v>72</v>
      </c>
      <c r="P24" s="48" t="s">
        <v>73</v>
      </c>
      <c r="Q24" s="54" t="s">
        <v>73</v>
      </c>
      <c r="R24" s="55" t="s">
        <v>73</v>
      </c>
      <c r="S24" s="48" t="s">
        <v>73</v>
      </c>
      <c r="T24" s="121" t="str" cm="1">
        <f t="array" ref="T24">IF(ISNUMBER(SEARCH("SCHNEIDER",D24)),_xlfn.IFS(ISNUMBER(SEARCH("2 Querétaro",D24)),"SQ2",ISNUMBER(SEARCH("Xicohténcatl",D24)),"SXC",ISNUMBER(SEARCH("Rojo Gómez",D24)),"SRG",ISNUMBER(SEARCH("Tlaxcala",D24)),"STX",ISNUMBER(SEARCH("Monterrey",D24)),"SMY",ISNUMBER(SEARCH("Querétaro",D24)),"SQ1",ISNUMBER(SEARCH("CDMX",D24)),"SCM",TRUE,""),"")</f>
        <v/>
      </c>
      <c r="U24" s="48" t="str" cm="1">
        <f t="array" ref="U24">_xlfn.LET(_xlpm.resultados,_xlfn.UNIQUE(_xlfn._xlws.FILTER(Tabla1[Proceso],(Tabla1[Metal Base]=O24)*(Tabla1[Etiquetas]=_xlfn.TEXTJOIN(" + ",TRUE,IF((TRIM(Upload!P24:S24)="")+(LOWER(TRIM(Upload!P24:S24))="(seleccione)"),"",PROPER(TRIM(Upload!P24:S24)))))*(Tabla1[Línea2]=IFERROR(VLOOKUP(Upload!N24&amp;"*",CAT_Procesos!D:D,1,FALSE),"")))),_xlpm.cantidad,ROWS(_xlpm.resultados),IF(ISERROR(_xlpm.cantidad),"Combinación no existente",IF(_xlpm.cantidad=1,INDEX(_xlpm.resultados,1),"(seleccione)")))</f>
        <v>Combinación no existente</v>
      </c>
      <c r="V24" s="55" t="s">
        <v>73</v>
      </c>
      <c r="W24" s="56" t="s">
        <v>73</v>
      </c>
      <c r="X24" s="57" t="str">
        <f t="shared" si="0"/>
        <v/>
      </c>
      <c r="Y24" s="58" t="s">
        <v>73</v>
      </c>
      <c r="Z24" s="57" t="str">
        <f t="shared" si="1"/>
        <v/>
      </c>
      <c r="AA24" s="58" t="s">
        <v>73</v>
      </c>
      <c r="AB24" s="57" t="str">
        <f t="shared" si="2"/>
        <v/>
      </c>
      <c r="AC24" s="58" t="s">
        <v>73</v>
      </c>
      <c r="AD24" s="57" t="str">
        <f t="shared" si="3"/>
        <v/>
      </c>
      <c r="AE24" s="59"/>
      <c r="AF24" s="59"/>
      <c r="AG24" s="59"/>
      <c r="AH24" s="59"/>
      <c r="AI24" s="59" t="s">
        <v>73</v>
      </c>
      <c r="AJ24" s="59"/>
      <c r="AK24" s="59" t="s">
        <v>73</v>
      </c>
      <c r="AL24" s="59"/>
      <c r="AM24" s="59" t="s">
        <v>73</v>
      </c>
      <c r="AN24" s="59"/>
      <c r="AO24" s="59" t="s">
        <v>73</v>
      </c>
      <c r="AP24" s="59"/>
      <c r="AQ24" s="59" t="s">
        <v>73</v>
      </c>
      <c r="AR24" s="59"/>
      <c r="AS24" s="59" t="s">
        <v>72</v>
      </c>
      <c r="AT24" s="59"/>
      <c r="AU24" s="59"/>
      <c r="AV24" s="59"/>
      <c r="AW24" s="59"/>
      <c r="AX24" s="59"/>
      <c r="AY24" s="60" t="str">
        <f>IF('Cálculo MP'!K34="","",'Cálculo MP'!K34)</f>
        <v/>
      </c>
      <c r="AZ24" s="60" t="str">
        <f>IF('Cálculo MP'!L34="","",'Cálculo MP'!L34)</f>
        <v/>
      </c>
      <c r="BA24" s="60" t="str">
        <f>IF('Cálculo MP'!M34="","",'Cálculo MP'!M34)</f>
        <v/>
      </c>
      <c r="BB24" s="60" t="str">
        <f>IF('Cálculo MP'!N34="","",'Cálculo MP'!N34)</f>
        <v/>
      </c>
      <c r="BC24" s="60" t="str">
        <f>IF('Cálculo MP'!O34="","",'Cálculo MP'!O34)</f>
        <v/>
      </c>
      <c r="BD24" s="60" t="str">
        <f>IF('Cálculo MP'!P34="","",'Cálculo MP'!P34)</f>
        <v/>
      </c>
      <c r="BE24" s="60" t="str">
        <f>IF('Cálculo MP'!Q34="","",'Cálculo MP'!Q34)</f>
        <v/>
      </c>
      <c r="BF24" s="60" t="str">
        <f>IF('Cálculo MP'!R34="","",'Cálculo MP'!R34)</f>
        <v/>
      </c>
      <c r="BG24" s="60" t="str">
        <f>IF('Cálculo MP'!S34="","",'Cálculo MP'!S34)</f>
        <v/>
      </c>
      <c r="BH24" s="61"/>
      <c r="BI24" s="61"/>
      <c r="BJ24" s="61"/>
      <c r="BK24" s="61"/>
      <c r="BL24" s="61"/>
      <c r="BM24" s="61"/>
      <c r="BN24" s="61"/>
      <c r="BO24" s="61"/>
    </row>
    <row r="25" spans="1:67" ht="19.5" customHeight="1" x14ac:dyDescent="0.2">
      <c r="A25" s="114" t="s">
        <v>1789</v>
      </c>
      <c r="B25" s="113" t="s">
        <v>1787</v>
      </c>
      <c r="C25" s="122"/>
      <c r="D25" s="48" t="s">
        <v>73</v>
      </c>
      <c r="E25" s="49"/>
      <c r="F25" s="50"/>
      <c r="G25" s="62"/>
      <c r="H25" s="48" t="s">
        <v>72</v>
      </c>
      <c r="I25" s="135">
        <v>1</v>
      </c>
      <c r="J25" s="52"/>
      <c r="K25" s="52" t="s">
        <v>73</v>
      </c>
      <c r="L25" s="52" t="s">
        <v>74</v>
      </c>
      <c r="M25" s="53" t="s">
        <v>917</v>
      </c>
      <c r="N25" s="58" t="s">
        <v>73</v>
      </c>
      <c r="O25" s="48" t="s">
        <v>72</v>
      </c>
      <c r="P25" s="48" t="s">
        <v>73</v>
      </c>
      <c r="Q25" s="54" t="s">
        <v>73</v>
      </c>
      <c r="R25" s="55" t="s">
        <v>73</v>
      </c>
      <c r="S25" s="48" t="s">
        <v>73</v>
      </c>
      <c r="T25" s="121" t="str" cm="1">
        <f t="array" ref="T25">IF(ISNUMBER(SEARCH("SCHNEIDER",D25)),_xlfn.IFS(ISNUMBER(SEARCH("2 Querétaro",D25)),"SQ2",ISNUMBER(SEARCH("Xicohténcatl",D25)),"SXC",ISNUMBER(SEARCH("Rojo Gómez",D25)),"SRG",ISNUMBER(SEARCH("Tlaxcala",D25)),"STX",ISNUMBER(SEARCH("Monterrey",D25)),"SMY",ISNUMBER(SEARCH("Querétaro",D25)),"SQ1",ISNUMBER(SEARCH("CDMX",D25)),"SCM",TRUE,""),"")</f>
        <v/>
      </c>
      <c r="U25" s="48" t="str" cm="1">
        <f t="array" ref="U25">_xlfn.LET(_xlpm.resultados,_xlfn.UNIQUE(_xlfn._xlws.FILTER(Tabla1[Proceso],(Tabla1[Metal Base]=O25)*(Tabla1[Etiquetas]=_xlfn.TEXTJOIN(" + ",TRUE,IF((TRIM(Upload!P25:S25)="")+(LOWER(TRIM(Upload!P25:S25))="(seleccione)"),"",PROPER(TRIM(Upload!P25:S25)))))*(Tabla1[Línea2]=IFERROR(VLOOKUP(Upload!N25&amp;"*",CAT_Procesos!D:D,1,FALSE),"")))),_xlpm.cantidad,ROWS(_xlpm.resultados),IF(ISERROR(_xlpm.cantidad),"Combinación no existente",IF(_xlpm.cantidad=1,INDEX(_xlpm.resultados,1),"(seleccione)")))</f>
        <v>Combinación no existente</v>
      </c>
      <c r="V25" s="55" t="s">
        <v>73</v>
      </c>
      <c r="W25" s="56" t="s">
        <v>73</v>
      </c>
      <c r="X25" s="57" t="str">
        <f t="shared" si="0"/>
        <v/>
      </c>
      <c r="Y25" s="58" t="s">
        <v>73</v>
      </c>
      <c r="Z25" s="57" t="str">
        <f t="shared" si="1"/>
        <v/>
      </c>
      <c r="AA25" s="58" t="s">
        <v>73</v>
      </c>
      <c r="AB25" s="57" t="str">
        <f t="shared" si="2"/>
        <v/>
      </c>
      <c r="AC25" s="58" t="s">
        <v>73</v>
      </c>
      <c r="AD25" s="57" t="str">
        <f t="shared" si="3"/>
        <v/>
      </c>
      <c r="AE25" s="59"/>
      <c r="AF25" s="59"/>
      <c r="AG25" s="59"/>
      <c r="AH25" s="59"/>
      <c r="AI25" s="59" t="s">
        <v>73</v>
      </c>
      <c r="AJ25" s="59"/>
      <c r="AK25" s="59" t="s">
        <v>73</v>
      </c>
      <c r="AL25" s="59"/>
      <c r="AM25" s="59" t="s">
        <v>73</v>
      </c>
      <c r="AN25" s="59"/>
      <c r="AO25" s="59" t="s">
        <v>73</v>
      </c>
      <c r="AP25" s="59"/>
      <c r="AQ25" s="59" t="s">
        <v>73</v>
      </c>
      <c r="AR25" s="59"/>
      <c r="AS25" s="59" t="s">
        <v>72</v>
      </c>
      <c r="AT25" s="59"/>
      <c r="AU25" s="59"/>
      <c r="AV25" s="59"/>
      <c r="AW25" s="59"/>
      <c r="AX25" s="59"/>
      <c r="AY25" s="60" t="str">
        <f>IF('Cálculo MP'!K35="","",'Cálculo MP'!K35)</f>
        <v/>
      </c>
      <c r="AZ25" s="60" t="str">
        <f>IF('Cálculo MP'!L35="","",'Cálculo MP'!L35)</f>
        <v/>
      </c>
      <c r="BA25" s="60" t="str">
        <f>IF('Cálculo MP'!M35="","",'Cálculo MP'!M35)</f>
        <v/>
      </c>
      <c r="BB25" s="60" t="str">
        <f>IF('Cálculo MP'!N35="","",'Cálculo MP'!N35)</f>
        <v/>
      </c>
      <c r="BC25" s="60" t="str">
        <f>IF('Cálculo MP'!O35="","",'Cálculo MP'!O35)</f>
        <v/>
      </c>
      <c r="BD25" s="60" t="str">
        <f>IF('Cálculo MP'!P35="","",'Cálculo MP'!P35)</f>
        <v/>
      </c>
      <c r="BE25" s="60" t="str">
        <f>IF('Cálculo MP'!Q35="","",'Cálculo MP'!Q35)</f>
        <v/>
      </c>
      <c r="BF25" s="60" t="str">
        <f>IF('Cálculo MP'!R35="","",'Cálculo MP'!R35)</f>
        <v/>
      </c>
      <c r="BG25" s="60" t="str">
        <f>IF('Cálculo MP'!S35="","",'Cálculo MP'!S35)</f>
        <v/>
      </c>
      <c r="BH25" s="61"/>
      <c r="BI25" s="61"/>
      <c r="BJ25" s="61"/>
      <c r="BK25" s="61"/>
      <c r="BL25" s="61"/>
      <c r="BM25" s="61"/>
      <c r="BN25" s="61"/>
      <c r="BO25" s="61"/>
    </row>
    <row r="26" spans="1:67" ht="19.5" customHeight="1" x14ac:dyDescent="0.2">
      <c r="A26" s="114" t="s">
        <v>1789</v>
      </c>
      <c r="B26" s="113" t="s">
        <v>1787</v>
      </c>
      <c r="C26" s="122"/>
      <c r="D26" s="48" t="s">
        <v>73</v>
      </c>
      <c r="E26" s="49"/>
      <c r="F26" s="50"/>
      <c r="G26" s="62"/>
      <c r="H26" s="48" t="s">
        <v>72</v>
      </c>
      <c r="I26" s="135">
        <v>1</v>
      </c>
      <c r="J26" s="52"/>
      <c r="K26" s="52" t="s">
        <v>73</v>
      </c>
      <c r="L26" s="52" t="s">
        <v>74</v>
      </c>
      <c r="M26" s="53" t="s">
        <v>917</v>
      </c>
      <c r="N26" s="58" t="s">
        <v>73</v>
      </c>
      <c r="O26" s="48" t="s">
        <v>72</v>
      </c>
      <c r="P26" s="48" t="s">
        <v>73</v>
      </c>
      <c r="Q26" s="54" t="s">
        <v>73</v>
      </c>
      <c r="R26" s="55" t="s">
        <v>73</v>
      </c>
      <c r="S26" s="48" t="s">
        <v>73</v>
      </c>
      <c r="T26" s="121" t="str" cm="1">
        <f t="array" ref="T26">IF(ISNUMBER(SEARCH("SCHNEIDER",D26)),_xlfn.IFS(ISNUMBER(SEARCH("2 Querétaro",D26)),"SQ2",ISNUMBER(SEARCH("Xicohténcatl",D26)),"SXC",ISNUMBER(SEARCH("Rojo Gómez",D26)),"SRG",ISNUMBER(SEARCH("Tlaxcala",D26)),"STX",ISNUMBER(SEARCH("Monterrey",D26)),"SMY",ISNUMBER(SEARCH("Querétaro",D26)),"SQ1",ISNUMBER(SEARCH("CDMX",D26)),"SCM",TRUE,""),"")</f>
        <v/>
      </c>
      <c r="U26" s="48" t="str" cm="1">
        <f t="array" ref="U26">_xlfn.LET(_xlpm.resultados,_xlfn.UNIQUE(_xlfn._xlws.FILTER(Tabla1[Proceso],(Tabla1[Metal Base]=O26)*(Tabla1[Etiquetas]=_xlfn.TEXTJOIN(" + ",TRUE,IF((TRIM(Upload!P26:S26)="")+(LOWER(TRIM(Upload!P26:S26))="(seleccione)"),"",PROPER(TRIM(Upload!P26:S26)))))*(Tabla1[Línea2]=IFERROR(VLOOKUP(Upload!N26&amp;"*",CAT_Procesos!D:D,1,FALSE),"")))),_xlpm.cantidad,ROWS(_xlpm.resultados),IF(ISERROR(_xlpm.cantidad),"Combinación no existente",IF(_xlpm.cantidad=1,INDEX(_xlpm.resultados,1),"(seleccione)")))</f>
        <v>Combinación no existente</v>
      </c>
      <c r="V26" s="55" t="s">
        <v>73</v>
      </c>
      <c r="W26" s="56" t="s">
        <v>73</v>
      </c>
      <c r="X26" s="57" t="str">
        <f t="shared" si="0"/>
        <v/>
      </c>
      <c r="Y26" s="58" t="s">
        <v>73</v>
      </c>
      <c r="Z26" s="57" t="str">
        <f t="shared" si="1"/>
        <v/>
      </c>
      <c r="AA26" s="58" t="s">
        <v>73</v>
      </c>
      <c r="AB26" s="57" t="str">
        <f t="shared" si="2"/>
        <v/>
      </c>
      <c r="AC26" s="58" t="s">
        <v>73</v>
      </c>
      <c r="AD26" s="57" t="str">
        <f t="shared" si="3"/>
        <v/>
      </c>
      <c r="AE26" s="59"/>
      <c r="AF26" s="59"/>
      <c r="AG26" s="59"/>
      <c r="AH26" s="59"/>
      <c r="AI26" s="59" t="s">
        <v>73</v>
      </c>
      <c r="AJ26" s="59"/>
      <c r="AK26" s="59" t="s">
        <v>73</v>
      </c>
      <c r="AL26" s="59"/>
      <c r="AM26" s="59" t="s">
        <v>73</v>
      </c>
      <c r="AN26" s="59"/>
      <c r="AO26" s="59" t="s">
        <v>73</v>
      </c>
      <c r="AP26" s="59"/>
      <c r="AQ26" s="59" t="s">
        <v>73</v>
      </c>
      <c r="AR26" s="59"/>
      <c r="AS26" s="59" t="s">
        <v>72</v>
      </c>
      <c r="AT26" s="59"/>
      <c r="AU26" s="59"/>
      <c r="AV26" s="59"/>
      <c r="AW26" s="59"/>
      <c r="AX26" s="59"/>
      <c r="AY26" s="60" t="str">
        <f>IF('Cálculo MP'!K36="","",'Cálculo MP'!K36)</f>
        <v/>
      </c>
      <c r="AZ26" s="60" t="str">
        <f>IF('Cálculo MP'!L36="","",'Cálculo MP'!L36)</f>
        <v/>
      </c>
      <c r="BA26" s="60" t="str">
        <f>IF('Cálculo MP'!M36="","",'Cálculo MP'!M36)</f>
        <v/>
      </c>
      <c r="BB26" s="60" t="str">
        <f>IF('Cálculo MP'!N36="","",'Cálculo MP'!N36)</f>
        <v/>
      </c>
      <c r="BC26" s="60" t="str">
        <f>IF('Cálculo MP'!O36="","",'Cálculo MP'!O36)</f>
        <v/>
      </c>
      <c r="BD26" s="60" t="str">
        <f>IF('Cálculo MP'!P36="","",'Cálculo MP'!P36)</f>
        <v/>
      </c>
      <c r="BE26" s="60" t="str">
        <f>IF('Cálculo MP'!Q36="","",'Cálculo MP'!Q36)</f>
        <v/>
      </c>
      <c r="BF26" s="60" t="str">
        <f>IF('Cálculo MP'!R36="","",'Cálculo MP'!R36)</f>
        <v/>
      </c>
      <c r="BG26" s="60" t="str">
        <f>IF('Cálculo MP'!S36="","",'Cálculo MP'!S36)</f>
        <v/>
      </c>
      <c r="BH26" s="61"/>
      <c r="BI26" s="61"/>
      <c r="BJ26" s="61"/>
      <c r="BK26" s="61"/>
      <c r="BL26" s="61"/>
      <c r="BM26" s="61"/>
      <c r="BN26" s="61"/>
      <c r="BO26" s="61"/>
    </row>
    <row r="27" spans="1:67" ht="19.5" customHeight="1" x14ac:dyDescent="0.2">
      <c r="A27" s="114" t="s">
        <v>1789</v>
      </c>
      <c r="B27" s="113" t="s">
        <v>1787</v>
      </c>
      <c r="C27" s="122"/>
      <c r="D27" s="48" t="s">
        <v>73</v>
      </c>
      <c r="E27" s="49"/>
      <c r="F27" s="50"/>
      <c r="G27" s="62"/>
      <c r="H27" s="48" t="s">
        <v>72</v>
      </c>
      <c r="I27" s="135">
        <v>1</v>
      </c>
      <c r="J27" s="52"/>
      <c r="K27" s="52" t="s">
        <v>73</v>
      </c>
      <c r="L27" s="52" t="s">
        <v>74</v>
      </c>
      <c r="M27" s="53" t="s">
        <v>917</v>
      </c>
      <c r="N27" s="58" t="s">
        <v>73</v>
      </c>
      <c r="O27" s="48" t="s">
        <v>72</v>
      </c>
      <c r="P27" s="48" t="s">
        <v>73</v>
      </c>
      <c r="Q27" s="54" t="s">
        <v>73</v>
      </c>
      <c r="R27" s="55" t="s">
        <v>73</v>
      </c>
      <c r="S27" s="48" t="s">
        <v>73</v>
      </c>
      <c r="T27" s="121" t="str" cm="1">
        <f t="array" ref="T27">IF(ISNUMBER(SEARCH("SCHNEIDER",D27)),_xlfn.IFS(ISNUMBER(SEARCH("2 Querétaro",D27)),"SQ2",ISNUMBER(SEARCH("Xicohténcatl",D27)),"SXC",ISNUMBER(SEARCH("Rojo Gómez",D27)),"SRG",ISNUMBER(SEARCH("Tlaxcala",D27)),"STX",ISNUMBER(SEARCH("Monterrey",D27)),"SMY",ISNUMBER(SEARCH("Querétaro",D27)),"SQ1",ISNUMBER(SEARCH("CDMX",D27)),"SCM",TRUE,""),"")</f>
        <v/>
      </c>
      <c r="U27" s="48" t="str" cm="1">
        <f t="array" ref="U27">_xlfn.LET(_xlpm.resultados,_xlfn.UNIQUE(_xlfn._xlws.FILTER(Tabla1[Proceso],(Tabla1[Metal Base]=O27)*(Tabla1[Etiquetas]=_xlfn.TEXTJOIN(" + ",TRUE,IF((TRIM(Upload!P27:S27)="")+(LOWER(TRIM(Upload!P27:S27))="(seleccione)"),"",PROPER(TRIM(Upload!P27:S27)))))*(Tabla1[Línea2]=IFERROR(VLOOKUP(Upload!N27&amp;"*",CAT_Procesos!D:D,1,FALSE),"")))),_xlpm.cantidad,ROWS(_xlpm.resultados),IF(ISERROR(_xlpm.cantidad),"Combinación no existente",IF(_xlpm.cantidad=1,INDEX(_xlpm.resultados,1),"(seleccione)")))</f>
        <v>Combinación no existente</v>
      </c>
      <c r="V27" s="55" t="s">
        <v>73</v>
      </c>
      <c r="W27" s="56" t="s">
        <v>73</v>
      </c>
      <c r="X27" s="57" t="str">
        <f t="shared" si="0"/>
        <v/>
      </c>
      <c r="Y27" s="58" t="s">
        <v>73</v>
      </c>
      <c r="Z27" s="57" t="str">
        <f t="shared" si="1"/>
        <v/>
      </c>
      <c r="AA27" s="58" t="s">
        <v>73</v>
      </c>
      <c r="AB27" s="57" t="str">
        <f t="shared" si="2"/>
        <v/>
      </c>
      <c r="AC27" s="58" t="s">
        <v>73</v>
      </c>
      <c r="AD27" s="57" t="str">
        <f t="shared" si="3"/>
        <v/>
      </c>
      <c r="AE27" s="59"/>
      <c r="AF27" s="59"/>
      <c r="AG27" s="59"/>
      <c r="AH27" s="59"/>
      <c r="AI27" s="59" t="s">
        <v>73</v>
      </c>
      <c r="AJ27" s="59"/>
      <c r="AK27" s="59" t="s">
        <v>73</v>
      </c>
      <c r="AL27" s="59"/>
      <c r="AM27" s="59" t="s">
        <v>73</v>
      </c>
      <c r="AN27" s="59"/>
      <c r="AO27" s="59" t="s">
        <v>73</v>
      </c>
      <c r="AP27" s="59"/>
      <c r="AQ27" s="59" t="s">
        <v>73</v>
      </c>
      <c r="AR27" s="59"/>
      <c r="AS27" s="59" t="s">
        <v>72</v>
      </c>
      <c r="AT27" s="59"/>
      <c r="AU27" s="59"/>
      <c r="AV27" s="59"/>
      <c r="AW27" s="59"/>
      <c r="AX27" s="59"/>
      <c r="AY27" s="60" t="str">
        <f>IF('Cálculo MP'!K37="","",'Cálculo MP'!K37)</f>
        <v/>
      </c>
      <c r="AZ27" s="60" t="str">
        <f>IF('Cálculo MP'!L37="","",'Cálculo MP'!L37)</f>
        <v/>
      </c>
      <c r="BA27" s="60" t="str">
        <f>IF('Cálculo MP'!M37="","",'Cálculo MP'!M37)</f>
        <v/>
      </c>
      <c r="BB27" s="60" t="str">
        <f>IF('Cálculo MP'!N37="","",'Cálculo MP'!N37)</f>
        <v/>
      </c>
      <c r="BC27" s="60" t="str">
        <f>IF('Cálculo MP'!O37="","",'Cálculo MP'!O37)</f>
        <v/>
      </c>
      <c r="BD27" s="60" t="str">
        <f>IF('Cálculo MP'!P37="","",'Cálculo MP'!P37)</f>
        <v/>
      </c>
      <c r="BE27" s="60" t="str">
        <f>IF('Cálculo MP'!Q37="","",'Cálculo MP'!Q37)</f>
        <v/>
      </c>
      <c r="BF27" s="60" t="str">
        <f>IF('Cálculo MP'!R37="","",'Cálculo MP'!R37)</f>
        <v/>
      </c>
      <c r="BG27" s="60" t="str">
        <f>IF('Cálculo MP'!S37="","",'Cálculo MP'!S37)</f>
        <v/>
      </c>
      <c r="BH27" s="61"/>
      <c r="BI27" s="61"/>
      <c r="BJ27" s="61"/>
      <c r="BK27" s="61"/>
      <c r="BL27" s="61"/>
      <c r="BM27" s="61"/>
      <c r="BN27" s="61"/>
      <c r="BO27" s="61"/>
    </row>
    <row r="28" spans="1:67" ht="19.5" customHeight="1" x14ac:dyDescent="0.2">
      <c r="A28" s="114" t="s">
        <v>1789</v>
      </c>
      <c r="B28" s="113" t="s">
        <v>1787</v>
      </c>
      <c r="C28" s="122"/>
      <c r="D28" s="48" t="s">
        <v>73</v>
      </c>
      <c r="E28" s="49"/>
      <c r="F28" s="50"/>
      <c r="G28" s="62"/>
      <c r="H28" s="48" t="s">
        <v>72</v>
      </c>
      <c r="I28" s="135">
        <v>1</v>
      </c>
      <c r="J28" s="52"/>
      <c r="K28" s="52" t="s">
        <v>73</v>
      </c>
      <c r="L28" s="52" t="s">
        <v>74</v>
      </c>
      <c r="M28" s="53" t="s">
        <v>917</v>
      </c>
      <c r="N28" s="58" t="s">
        <v>73</v>
      </c>
      <c r="O28" s="48" t="s">
        <v>72</v>
      </c>
      <c r="P28" s="48" t="s">
        <v>73</v>
      </c>
      <c r="Q28" s="54" t="s">
        <v>73</v>
      </c>
      <c r="R28" s="55" t="s">
        <v>73</v>
      </c>
      <c r="S28" s="48" t="s">
        <v>73</v>
      </c>
      <c r="T28" s="121" t="str" cm="1">
        <f t="array" ref="T28">IF(ISNUMBER(SEARCH("SCHNEIDER",D28)),_xlfn.IFS(ISNUMBER(SEARCH("2 Querétaro",D28)),"SQ2",ISNUMBER(SEARCH("Xicohténcatl",D28)),"SXC",ISNUMBER(SEARCH("Rojo Gómez",D28)),"SRG",ISNUMBER(SEARCH("Tlaxcala",D28)),"STX",ISNUMBER(SEARCH("Monterrey",D28)),"SMY",ISNUMBER(SEARCH("Querétaro",D28)),"SQ1",ISNUMBER(SEARCH("CDMX",D28)),"SCM",TRUE,""),"")</f>
        <v/>
      </c>
      <c r="U28" s="48" t="str" cm="1">
        <f t="array" ref="U28">_xlfn.LET(_xlpm.resultados,_xlfn.UNIQUE(_xlfn._xlws.FILTER(Tabla1[Proceso],(Tabla1[Metal Base]=O28)*(Tabla1[Etiquetas]=_xlfn.TEXTJOIN(" + ",TRUE,IF((TRIM(Upload!P28:S28)="")+(LOWER(TRIM(Upload!P28:S28))="(seleccione)"),"",PROPER(TRIM(Upload!P28:S28)))))*(Tabla1[Línea2]=IFERROR(VLOOKUP(Upload!N28&amp;"*",CAT_Procesos!D:D,1,FALSE),"")))),_xlpm.cantidad,ROWS(_xlpm.resultados),IF(ISERROR(_xlpm.cantidad),"Combinación no existente",IF(_xlpm.cantidad=1,INDEX(_xlpm.resultados,1),"(seleccione)")))</f>
        <v>Combinación no existente</v>
      </c>
      <c r="V28" s="55" t="s">
        <v>73</v>
      </c>
      <c r="W28" s="56" t="s">
        <v>73</v>
      </c>
      <c r="X28" s="57" t="str">
        <f t="shared" si="0"/>
        <v/>
      </c>
      <c r="Y28" s="58" t="s">
        <v>73</v>
      </c>
      <c r="Z28" s="57" t="str">
        <f t="shared" si="1"/>
        <v/>
      </c>
      <c r="AA28" s="58" t="s">
        <v>73</v>
      </c>
      <c r="AB28" s="57" t="str">
        <f t="shared" si="2"/>
        <v/>
      </c>
      <c r="AC28" s="58" t="s">
        <v>73</v>
      </c>
      <c r="AD28" s="57" t="str">
        <f t="shared" si="3"/>
        <v/>
      </c>
      <c r="AE28" s="59"/>
      <c r="AF28" s="59"/>
      <c r="AG28" s="59"/>
      <c r="AH28" s="59"/>
      <c r="AI28" s="59" t="s">
        <v>73</v>
      </c>
      <c r="AJ28" s="59"/>
      <c r="AK28" s="59" t="s">
        <v>73</v>
      </c>
      <c r="AL28" s="59"/>
      <c r="AM28" s="59" t="s">
        <v>73</v>
      </c>
      <c r="AN28" s="59"/>
      <c r="AO28" s="59" t="s">
        <v>73</v>
      </c>
      <c r="AP28" s="59"/>
      <c r="AQ28" s="59" t="s">
        <v>73</v>
      </c>
      <c r="AR28" s="59"/>
      <c r="AS28" s="59" t="s">
        <v>72</v>
      </c>
      <c r="AT28" s="59"/>
      <c r="AU28" s="59"/>
      <c r="AV28" s="59"/>
      <c r="AW28" s="59"/>
      <c r="AX28" s="59"/>
      <c r="AY28" s="60" t="str">
        <f>IF('Cálculo MP'!K38="","",'Cálculo MP'!K38)</f>
        <v/>
      </c>
      <c r="AZ28" s="60" t="str">
        <f>IF('Cálculo MP'!L38="","",'Cálculo MP'!L38)</f>
        <v/>
      </c>
      <c r="BA28" s="60" t="str">
        <f>IF('Cálculo MP'!M38="","",'Cálculo MP'!M38)</f>
        <v/>
      </c>
      <c r="BB28" s="60" t="str">
        <f>IF('Cálculo MP'!N38="","",'Cálculo MP'!N38)</f>
        <v/>
      </c>
      <c r="BC28" s="60" t="str">
        <f>IF('Cálculo MP'!O38="","",'Cálculo MP'!O38)</f>
        <v/>
      </c>
      <c r="BD28" s="60" t="str">
        <f>IF('Cálculo MP'!P38="","",'Cálculo MP'!P38)</f>
        <v/>
      </c>
      <c r="BE28" s="60" t="str">
        <f>IF('Cálculo MP'!Q38="","",'Cálculo MP'!Q38)</f>
        <v/>
      </c>
      <c r="BF28" s="60" t="str">
        <f>IF('Cálculo MP'!R38="","",'Cálculo MP'!R38)</f>
        <v/>
      </c>
      <c r="BG28" s="60" t="str">
        <f>IF('Cálculo MP'!S38="","",'Cálculo MP'!S38)</f>
        <v/>
      </c>
      <c r="BH28" s="61"/>
      <c r="BI28" s="61"/>
      <c r="BJ28" s="61"/>
      <c r="BK28" s="61"/>
      <c r="BL28" s="61"/>
      <c r="BM28" s="61"/>
      <c r="BN28" s="61"/>
      <c r="BO28" s="61"/>
    </row>
    <row r="29" spans="1:67" ht="19.5" customHeight="1" x14ac:dyDescent="0.2">
      <c r="A29" s="114" t="s">
        <v>1789</v>
      </c>
      <c r="B29" s="113" t="s">
        <v>1787</v>
      </c>
      <c r="C29" s="122"/>
      <c r="D29" s="48" t="s">
        <v>73</v>
      </c>
      <c r="E29" s="49"/>
      <c r="F29" s="50"/>
      <c r="G29" s="62"/>
      <c r="H29" s="48" t="s">
        <v>72</v>
      </c>
      <c r="I29" s="135">
        <v>1</v>
      </c>
      <c r="J29" s="52"/>
      <c r="K29" s="52" t="s">
        <v>73</v>
      </c>
      <c r="L29" s="52" t="s">
        <v>74</v>
      </c>
      <c r="M29" s="53" t="s">
        <v>917</v>
      </c>
      <c r="N29" s="58" t="s">
        <v>73</v>
      </c>
      <c r="O29" s="48" t="s">
        <v>72</v>
      </c>
      <c r="P29" s="48" t="s">
        <v>73</v>
      </c>
      <c r="Q29" s="54" t="s">
        <v>73</v>
      </c>
      <c r="R29" s="55" t="s">
        <v>73</v>
      </c>
      <c r="S29" s="48" t="s">
        <v>73</v>
      </c>
      <c r="T29" s="121" t="str" cm="1">
        <f t="array" ref="T29">IF(ISNUMBER(SEARCH("SCHNEIDER",D29)),_xlfn.IFS(ISNUMBER(SEARCH("2 Querétaro",D29)),"SQ2",ISNUMBER(SEARCH("Xicohténcatl",D29)),"SXC",ISNUMBER(SEARCH("Rojo Gómez",D29)),"SRG",ISNUMBER(SEARCH("Tlaxcala",D29)),"STX",ISNUMBER(SEARCH("Monterrey",D29)),"SMY",ISNUMBER(SEARCH("Querétaro",D29)),"SQ1",ISNUMBER(SEARCH("CDMX",D29)),"SCM",TRUE,""),"")</f>
        <v/>
      </c>
      <c r="U29" s="48" t="str" cm="1">
        <f t="array" ref="U29">_xlfn.LET(_xlpm.resultados,_xlfn.UNIQUE(_xlfn._xlws.FILTER(Tabla1[Proceso],(Tabla1[Metal Base]=O29)*(Tabla1[Etiquetas]=_xlfn.TEXTJOIN(" + ",TRUE,IF((TRIM(Upload!P29:S29)="")+(LOWER(TRIM(Upload!P29:S29))="(seleccione)"),"",PROPER(TRIM(Upload!P29:S29)))))*(Tabla1[Línea2]=IFERROR(VLOOKUP(Upload!N29&amp;"*",CAT_Procesos!D:D,1,FALSE),"")))),_xlpm.cantidad,ROWS(_xlpm.resultados),IF(ISERROR(_xlpm.cantidad),"Combinación no existente",IF(_xlpm.cantidad=1,INDEX(_xlpm.resultados,1),"(seleccione)")))</f>
        <v>Combinación no existente</v>
      </c>
      <c r="V29" s="55" t="s">
        <v>73</v>
      </c>
      <c r="W29" s="56" t="s">
        <v>73</v>
      </c>
      <c r="X29" s="57" t="str">
        <f t="shared" si="0"/>
        <v/>
      </c>
      <c r="Y29" s="58" t="s">
        <v>73</v>
      </c>
      <c r="Z29" s="57" t="str">
        <f t="shared" si="1"/>
        <v/>
      </c>
      <c r="AA29" s="58" t="s">
        <v>73</v>
      </c>
      <c r="AB29" s="57" t="str">
        <f t="shared" si="2"/>
        <v/>
      </c>
      <c r="AC29" s="58" t="s">
        <v>73</v>
      </c>
      <c r="AD29" s="57" t="str">
        <f t="shared" si="3"/>
        <v/>
      </c>
      <c r="AE29" s="59"/>
      <c r="AF29" s="59"/>
      <c r="AG29" s="59"/>
      <c r="AH29" s="59"/>
      <c r="AI29" s="59" t="s">
        <v>73</v>
      </c>
      <c r="AJ29" s="59"/>
      <c r="AK29" s="59" t="s">
        <v>73</v>
      </c>
      <c r="AL29" s="59"/>
      <c r="AM29" s="59" t="s">
        <v>73</v>
      </c>
      <c r="AN29" s="59"/>
      <c r="AO29" s="59" t="s">
        <v>73</v>
      </c>
      <c r="AP29" s="59"/>
      <c r="AQ29" s="59" t="s">
        <v>73</v>
      </c>
      <c r="AR29" s="59"/>
      <c r="AS29" s="59" t="s">
        <v>72</v>
      </c>
      <c r="AT29" s="59"/>
      <c r="AU29" s="59"/>
      <c r="AV29" s="59"/>
      <c r="AW29" s="59"/>
      <c r="AX29" s="59"/>
      <c r="AY29" s="60" t="str">
        <f>IF('Cálculo MP'!K39="","",'Cálculo MP'!K39)</f>
        <v/>
      </c>
      <c r="AZ29" s="60" t="str">
        <f>IF('Cálculo MP'!L39="","",'Cálculo MP'!L39)</f>
        <v/>
      </c>
      <c r="BA29" s="60" t="str">
        <f>IF('Cálculo MP'!M39="","",'Cálculo MP'!M39)</f>
        <v/>
      </c>
      <c r="BB29" s="60" t="str">
        <f>IF('Cálculo MP'!N39="","",'Cálculo MP'!N39)</f>
        <v/>
      </c>
      <c r="BC29" s="60" t="str">
        <f>IF('Cálculo MP'!O39="","",'Cálculo MP'!O39)</f>
        <v/>
      </c>
      <c r="BD29" s="60" t="str">
        <f>IF('Cálculo MP'!P39="","",'Cálculo MP'!P39)</f>
        <v/>
      </c>
      <c r="BE29" s="60" t="str">
        <f>IF('Cálculo MP'!Q39="","",'Cálculo MP'!Q39)</f>
        <v/>
      </c>
      <c r="BF29" s="60" t="str">
        <f>IF('Cálculo MP'!R39="","",'Cálculo MP'!R39)</f>
        <v/>
      </c>
      <c r="BG29" s="60" t="str">
        <f>IF('Cálculo MP'!S39="","",'Cálculo MP'!S39)</f>
        <v/>
      </c>
      <c r="BH29" s="61"/>
      <c r="BI29" s="61"/>
      <c r="BJ29" s="61"/>
      <c r="BK29" s="61"/>
      <c r="BL29" s="61"/>
      <c r="BM29" s="61"/>
      <c r="BN29" s="61"/>
      <c r="BO29" s="61"/>
    </row>
    <row r="30" spans="1:67" ht="19.5" customHeight="1" x14ac:dyDescent="0.2">
      <c r="A30" s="114" t="s">
        <v>1789</v>
      </c>
      <c r="B30" s="113" t="s">
        <v>1787</v>
      </c>
      <c r="C30" s="122"/>
      <c r="D30" s="48" t="s">
        <v>73</v>
      </c>
      <c r="E30" s="49"/>
      <c r="F30" s="50"/>
      <c r="G30" s="62"/>
      <c r="H30" s="48" t="s">
        <v>72</v>
      </c>
      <c r="I30" s="135">
        <v>1</v>
      </c>
      <c r="J30" s="52"/>
      <c r="K30" s="52" t="s">
        <v>73</v>
      </c>
      <c r="L30" s="52" t="s">
        <v>74</v>
      </c>
      <c r="M30" s="53" t="s">
        <v>917</v>
      </c>
      <c r="N30" s="58" t="s">
        <v>73</v>
      </c>
      <c r="O30" s="48" t="s">
        <v>72</v>
      </c>
      <c r="P30" s="48" t="s">
        <v>73</v>
      </c>
      <c r="Q30" s="54" t="s">
        <v>73</v>
      </c>
      <c r="R30" s="55" t="s">
        <v>73</v>
      </c>
      <c r="S30" s="48" t="s">
        <v>73</v>
      </c>
      <c r="T30" s="121" t="str" cm="1">
        <f t="array" ref="T30">IF(ISNUMBER(SEARCH("SCHNEIDER",D30)),_xlfn.IFS(ISNUMBER(SEARCH("2 Querétaro",D30)),"SQ2",ISNUMBER(SEARCH("Xicohténcatl",D30)),"SXC",ISNUMBER(SEARCH("Rojo Gómez",D30)),"SRG",ISNUMBER(SEARCH("Tlaxcala",D30)),"STX",ISNUMBER(SEARCH("Monterrey",D30)),"SMY",ISNUMBER(SEARCH("Querétaro",D30)),"SQ1",ISNUMBER(SEARCH("CDMX",D30)),"SCM",TRUE,""),"")</f>
        <v/>
      </c>
      <c r="U30" s="48" t="str" cm="1">
        <f t="array" ref="U30">_xlfn.LET(_xlpm.resultados,_xlfn.UNIQUE(_xlfn._xlws.FILTER(Tabla1[Proceso],(Tabla1[Metal Base]=O30)*(Tabla1[Etiquetas]=_xlfn.TEXTJOIN(" + ",TRUE,IF((TRIM(Upload!P30:S30)="")+(LOWER(TRIM(Upload!P30:S30))="(seleccione)"),"",PROPER(TRIM(Upload!P30:S30)))))*(Tabla1[Línea2]=IFERROR(VLOOKUP(Upload!N30&amp;"*",CAT_Procesos!D:D,1,FALSE),"")))),_xlpm.cantidad,ROWS(_xlpm.resultados),IF(ISERROR(_xlpm.cantidad),"Combinación no existente",IF(_xlpm.cantidad=1,INDEX(_xlpm.resultados,1),"(seleccione)")))</f>
        <v>Combinación no existente</v>
      </c>
      <c r="V30" s="55" t="s">
        <v>73</v>
      </c>
      <c r="W30" s="56" t="s">
        <v>73</v>
      </c>
      <c r="X30" s="57" t="str">
        <f t="shared" si="0"/>
        <v/>
      </c>
      <c r="Y30" s="58" t="s">
        <v>73</v>
      </c>
      <c r="Z30" s="57" t="str">
        <f t="shared" si="1"/>
        <v/>
      </c>
      <c r="AA30" s="58" t="s">
        <v>73</v>
      </c>
      <c r="AB30" s="57" t="str">
        <f t="shared" si="2"/>
        <v/>
      </c>
      <c r="AC30" s="58" t="s">
        <v>73</v>
      </c>
      <c r="AD30" s="57" t="str">
        <f t="shared" si="3"/>
        <v/>
      </c>
      <c r="AE30" s="59"/>
      <c r="AF30" s="59"/>
      <c r="AG30" s="59"/>
      <c r="AH30" s="59"/>
      <c r="AI30" s="59" t="s">
        <v>73</v>
      </c>
      <c r="AJ30" s="59"/>
      <c r="AK30" s="59" t="s">
        <v>73</v>
      </c>
      <c r="AL30" s="59"/>
      <c r="AM30" s="59" t="s">
        <v>73</v>
      </c>
      <c r="AN30" s="59"/>
      <c r="AO30" s="59" t="s">
        <v>73</v>
      </c>
      <c r="AP30" s="59"/>
      <c r="AQ30" s="59" t="s">
        <v>73</v>
      </c>
      <c r="AR30" s="59"/>
      <c r="AS30" s="59" t="s">
        <v>72</v>
      </c>
      <c r="AT30" s="59"/>
      <c r="AU30" s="59"/>
      <c r="AV30" s="59"/>
      <c r="AW30" s="59"/>
      <c r="AX30" s="59"/>
      <c r="AY30" s="60" t="str">
        <f>IF('Cálculo MP'!K40="","",'Cálculo MP'!K40)</f>
        <v/>
      </c>
      <c r="AZ30" s="60" t="str">
        <f>IF('Cálculo MP'!L40="","",'Cálculo MP'!L40)</f>
        <v/>
      </c>
      <c r="BA30" s="60" t="str">
        <f>IF('Cálculo MP'!M40="","",'Cálculo MP'!M40)</f>
        <v/>
      </c>
      <c r="BB30" s="60" t="str">
        <f>IF('Cálculo MP'!N40="","",'Cálculo MP'!N40)</f>
        <v/>
      </c>
      <c r="BC30" s="60" t="str">
        <f>IF('Cálculo MP'!O40="","",'Cálculo MP'!O40)</f>
        <v/>
      </c>
      <c r="BD30" s="60" t="str">
        <f>IF('Cálculo MP'!P40="","",'Cálculo MP'!P40)</f>
        <v/>
      </c>
      <c r="BE30" s="60" t="str">
        <f>IF('Cálculo MP'!Q40="","",'Cálculo MP'!Q40)</f>
        <v/>
      </c>
      <c r="BF30" s="60" t="str">
        <f>IF('Cálculo MP'!R40="","",'Cálculo MP'!R40)</f>
        <v/>
      </c>
      <c r="BG30" s="60" t="str">
        <f>IF('Cálculo MP'!S40="","",'Cálculo MP'!S40)</f>
        <v/>
      </c>
      <c r="BH30" s="61"/>
      <c r="BI30" s="61"/>
      <c r="BJ30" s="61"/>
      <c r="BK30" s="61"/>
      <c r="BL30" s="61"/>
      <c r="BM30" s="61"/>
      <c r="BN30" s="61"/>
      <c r="BO30" s="61"/>
    </row>
    <row r="31" spans="1:67" ht="19.5" customHeight="1" x14ac:dyDescent="0.2">
      <c r="A31" s="114" t="s">
        <v>1789</v>
      </c>
      <c r="B31" s="113" t="s">
        <v>1787</v>
      </c>
      <c r="C31" s="122"/>
      <c r="D31" s="48" t="s">
        <v>73</v>
      </c>
      <c r="E31" s="49"/>
      <c r="F31" s="50"/>
      <c r="G31" s="62"/>
      <c r="H31" s="48" t="s">
        <v>72</v>
      </c>
      <c r="I31" s="135">
        <v>1</v>
      </c>
      <c r="J31" s="52"/>
      <c r="K31" s="52" t="s">
        <v>73</v>
      </c>
      <c r="L31" s="52" t="s">
        <v>74</v>
      </c>
      <c r="M31" s="53" t="s">
        <v>917</v>
      </c>
      <c r="N31" s="58" t="s">
        <v>73</v>
      </c>
      <c r="O31" s="48" t="s">
        <v>72</v>
      </c>
      <c r="P31" s="48" t="s">
        <v>73</v>
      </c>
      <c r="Q31" s="54" t="s">
        <v>73</v>
      </c>
      <c r="R31" s="55" t="s">
        <v>73</v>
      </c>
      <c r="S31" s="48" t="s">
        <v>73</v>
      </c>
      <c r="T31" s="121" t="str" cm="1">
        <f t="array" ref="T31">IF(ISNUMBER(SEARCH("SCHNEIDER",D31)),_xlfn.IFS(ISNUMBER(SEARCH("2 Querétaro",D31)),"SQ2",ISNUMBER(SEARCH("Xicohténcatl",D31)),"SXC",ISNUMBER(SEARCH("Rojo Gómez",D31)),"SRG",ISNUMBER(SEARCH("Tlaxcala",D31)),"STX",ISNUMBER(SEARCH("Monterrey",D31)),"SMY",ISNUMBER(SEARCH("Querétaro",D31)),"SQ1",ISNUMBER(SEARCH("CDMX",D31)),"SCM",TRUE,""),"")</f>
        <v/>
      </c>
      <c r="U31" s="48" t="str" cm="1">
        <f t="array" ref="U31">_xlfn.LET(_xlpm.resultados,_xlfn.UNIQUE(_xlfn._xlws.FILTER(Tabla1[Proceso],(Tabla1[Metal Base]=O31)*(Tabla1[Etiquetas]=_xlfn.TEXTJOIN(" + ",TRUE,IF((TRIM(Upload!P31:S31)="")+(LOWER(TRIM(Upload!P31:S31))="(seleccione)"),"",PROPER(TRIM(Upload!P31:S31)))))*(Tabla1[Línea2]=IFERROR(VLOOKUP(Upload!N31&amp;"*",CAT_Procesos!D:D,1,FALSE),"")))),_xlpm.cantidad,ROWS(_xlpm.resultados),IF(ISERROR(_xlpm.cantidad),"Combinación no existente",IF(_xlpm.cantidad=1,INDEX(_xlpm.resultados,1),"(seleccione)")))</f>
        <v>Combinación no existente</v>
      </c>
      <c r="V31" s="55" t="s">
        <v>73</v>
      </c>
      <c r="W31" s="56" t="s">
        <v>73</v>
      </c>
      <c r="X31" s="57" t="str">
        <f t="shared" si="0"/>
        <v/>
      </c>
      <c r="Y31" s="58" t="s">
        <v>73</v>
      </c>
      <c r="Z31" s="57" t="str">
        <f t="shared" si="1"/>
        <v/>
      </c>
      <c r="AA31" s="58" t="s">
        <v>73</v>
      </c>
      <c r="AB31" s="57" t="str">
        <f t="shared" si="2"/>
        <v/>
      </c>
      <c r="AC31" s="58" t="s">
        <v>73</v>
      </c>
      <c r="AD31" s="57" t="str">
        <f t="shared" si="3"/>
        <v/>
      </c>
      <c r="AE31" s="59"/>
      <c r="AF31" s="59"/>
      <c r="AG31" s="59"/>
      <c r="AH31" s="59"/>
      <c r="AI31" s="59" t="s">
        <v>73</v>
      </c>
      <c r="AJ31" s="59"/>
      <c r="AK31" s="59" t="s">
        <v>73</v>
      </c>
      <c r="AL31" s="59"/>
      <c r="AM31" s="59" t="s">
        <v>73</v>
      </c>
      <c r="AN31" s="59"/>
      <c r="AO31" s="59" t="s">
        <v>73</v>
      </c>
      <c r="AP31" s="59"/>
      <c r="AQ31" s="59" t="s">
        <v>73</v>
      </c>
      <c r="AR31" s="59"/>
      <c r="AS31" s="59" t="s">
        <v>72</v>
      </c>
      <c r="AT31" s="59"/>
      <c r="AU31" s="59"/>
      <c r="AV31" s="59"/>
      <c r="AW31" s="59"/>
      <c r="AX31" s="59"/>
      <c r="AY31" s="60" t="str">
        <f>IF('Cálculo MP'!K41="","",'Cálculo MP'!K41)</f>
        <v/>
      </c>
      <c r="AZ31" s="60" t="str">
        <f>IF('Cálculo MP'!L41="","",'Cálculo MP'!L41)</f>
        <v/>
      </c>
      <c r="BA31" s="60" t="str">
        <f>IF('Cálculo MP'!M41="","",'Cálculo MP'!M41)</f>
        <v/>
      </c>
      <c r="BB31" s="60" t="str">
        <f>IF('Cálculo MP'!N41="","",'Cálculo MP'!N41)</f>
        <v/>
      </c>
      <c r="BC31" s="60" t="str">
        <f>IF('Cálculo MP'!O41="","",'Cálculo MP'!O41)</f>
        <v/>
      </c>
      <c r="BD31" s="60" t="str">
        <f>IF('Cálculo MP'!P41="","",'Cálculo MP'!P41)</f>
        <v/>
      </c>
      <c r="BE31" s="60" t="str">
        <f>IF('Cálculo MP'!Q41="","",'Cálculo MP'!Q41)</f>
        <v/>
      </c>
      <c r="BF31" s="60" t="str">
        <f>IF('Cálculo MP'!R41="","",'Cálculo MP'!R41)</f>
        <v/>
      </c>
      <c r="BG31" s="60" t="str">
        <f>IF('Cálculo MP'!S41="","",'Cálculo MP'!S41)</f>
        <v/>
      </c>
      <c r="BH31" s="61"/>
      <c r="BI31" s="61"/>
      <c r="BJ31" s="61"/>
      <c r="BK31" s="61"/>
      <c r="BL31" s="61"/>
      <c r="BM31" s="61"/>
      <c r="BN31" s="61"/>
      <c r="BO31" s="61"/>
    </row>
    <row r="32" spans="1:67" ht="19.5" customHeight="1" x14ac:dyDescent="0.2">
      <c r="A32" s="114" t="s">
        <v>1789</v>
      </c>
      <c r="B32" s="113" t="s">
        <v>1787</v>
      </c>
      <c r="C32" s="122"/>
      <c r="D32" s="48" t="s">
        <v>73</v>
      </c>
      <c r="E32" s="49"/>
      <c r="F32" s="50"/>
      <c r="G32" s="62"/>
      <c r="H32" s="48" t="s">
        <v>72</v>
      </c>
      <c r="I32" s="135">
        <v>1</v>
      </c>
      <c r="J32" s="52"/>
      <c r="K32" s="52" t="s">
        <v>73</v>
      </c>
      <c r="L32" s="52" t="s">
        <v>74</v>
      </c>
      <c r="M32" s="53" t="s">
        <v>917</v>
      </c>
      <c r="N32" s="58" t="s">
        <v>73</v>
      </c>
      <c r="O32" s="48" t="s">
        <v>72</v>
      </c>
      <c r="P32" s="48" t="s">
        <v>73</v>
      </c>
      <c r="Q32" s="54" t="s">
        <v>73</v>
      </c>
      <c r="R32" s="55" t="s">
        <v>73</v>
      </c>
      <c r="S32" s="48" t="s">
        <v>73</v>
      </c>
      <c r="T32" s="121" t="str" cm="1">
        <f t="array" ref="T32">IF(ISNUMBER(SEARCH("SCHNEIDER",D32)),_xlfn.IFS(ISNUMBER(SEARCH("2 Querétaro",D32)),"SQ2",ISNUMBER(SEARCH("Xicohténcatl",D32)),"SXC",ISNUMBER(SEARCH("Rojo Gómez",D32)),"SRG",ISNUMBER(SEARCH("Tlaxcala",D32)),"STX",ISNUMBER(SEARCH("Monterrey",D32)),"SMY",ISNUMBER(SEARCH("Querétaro",D32)),"SQ1",ISNUMBER(SEARCH("CDMX",D32)),"SCM",TRUE,""),"")</f>
        <v/>
      </c>
      <c r="U32" s="48" t="str" cm="1">
        <f t="array" ref="U32">_xlfn.LET(_xlpm.resultados,_xlfn.UNIQUE(_xlfn._xlws.FILTER(Tabla1[Proceso],(Tabla1[Metal Base]=O32)*(Tabla1[Etiquetas]=_xlfn.TEXTJOIN(" + ",TRUE,IF((TRIM(Upload!P32:S32)="")+(LOWER(TRIM(Upload!P32:S32))="(seleccione)"),"",PROPER(TRIM(Upload!P32:S32)))))*(Tabla1[Línea2]=IFERROR(VLOOKUP(Upload!N32&amp;"*",CAT_Procesos!D:D,1,FALSE),"")))),_xlpm.cantidad,ROWS(_xlpm.resultados),IF(ISERROR(_xlpm.cantidad),"Combinación no existente",IF(_xlpm.cantidad=1,INDEX(_xlpm.resultados,1),"(seleccione)")))</f>
        <v>Combinación no existente</v>
      </c>
      <c r="V32" s="55" t="s">
        <v>73</v>
      </c>
      <c r="W32" s="56" t="s">
        <v>73</v>
      </c>
      <c r="X32" s="57" t="str">
        <f t="shared" si="0"/>
        <v/>
      </c>
      <c r="Y32" s="58" t="s">
        <v>73</v>
      </c>
      <c r="Z32" s="57" t="str">
        <f t="shared" si="1"/>
        <v/>
      </c>
      <c r="AA32" s="58" t="s">
        <v>73</v>
      </c>
      <c r="AB32" s="57" t="str">
        <f t="shared" si="2"/>
        <v/>
      </c>
      <c r="AC32" s="58" t="s">
        <v>73</v>
      </c>
      <c r="AD32" s="57" t="str">
        <f t="shared" si="3"/>
        <v/>
      </c>
      <c r="AE32" s="59"/>
      <c r="AF32" s="59"/>
      <c r="AG32" s="59"/>
      <c r="AH32" s="59"/>
      <c r="AI32" s="59" t="s">
        <v>73</v>
      </c>
      <c r="AJ32" s="59"/>
      <c r="AK32" s="59" t="s">
        <v>73</v>
      </c>
      <c r="AL32" s="59"/>
      <c r="AM32" s="59" t="s">
        <v>73</v>
      </c>
      <c r="AN32" s="59"/>
      <c r="AO32" s="59" t="s">
        <v>73</v>
      </c>
      <c r="AP32" s="59"/>
      <c r="AQ32" s="59" t="s">
        <v>73</v>
      </c>
      <c r="AR32" s="59"/>
      <c r="AS32" s="59" t="s">
        <v>72</v>
      </c>
      <c r="AT32" s="59"/>
      <c r="AU32" s="59"/>
      <c r="AV32" s="59"/>
      <c r="AW32" s="59"/>
      <c r="AX32" s="59"/>
      <c r="AY32" s="60" t="str">
        <f>IF('Cálculo MP'!K42="","",'Cálculo MP'!K42)</f>
        <v/>
      </c>
      <c r="AZ32" s="60" t="str">
        <f>IF('Cálculo MP'!L42="","",'Cálculo MP'!L42)</f>
        <v/>
      </c>
      <c r="BA32" s="60" t="str">
        <f>IF('Cálculo MP'!M42="","",'Cálculo MP'!M42)</f>
        <v/>
      </c>
      <c r="BB32" s="60" t="str">
        <f>IF('Cálculo MP'!N42="","",'Cálculo MP'!N42)</f>
        <v/>
      </c>
      <c r="BC32" s="60" t="str">
        <f>IF('Cálculo MP'!O42="","",'Cálculo MP'!O42)</f>
        <v/>
      </c>
      <c r="BD32" s="60" t="str">
        <f>IF('Cálculo MP'!P42="","",'Cálculo MP'!P42)</f>
        <v/>
      </c>
      <c r="BE32" s="60" t="str">
        <f>IF('Cálculo MP'!Q42="","",'Cálculo MP'!Q42)</f>
        <v/>
      </c>
      <c r="BF32" s="60" t="str">
        <f>IF('Cálculo MP'!R42="","",'Cálculo MP'!R42)</f>
        <v/>
      </c>
      <c r="BG32" s="60" t="str">
        <f>IF('Cálculo MP'!S42="","",'Cálculo MP'!S42)</f>
        <v/>
      </c>
      <c r="BH32" s="61"/>
      <c r="BI32" s="61"/>
      <c r="BJ32" s="61"/>
      <c r="BK32" s="61"/>
      <c r="BL32" s="61"/>
      <c r="BM32" s="61"/>
      <c r="BN32" s="61"/>
      <c r="BO32" s="61"/>
    </row>
    <row r="33" spans="1:67" ht="19.5" customHeight="1" x14ac:dyDescent="0.2">
      <c r="A33" s="114" t="s">
        <v>1789</v>
      </c>
      <c r="B33" s="113" t="s">
        <v>1787</v>
      </c>
      <c r="C33" s="122"/>
      <c r="D33" s="48" t="s">
        <v>73</v>
      </c>
      <c r="E33" s="49"/>
      <c r="F33" s="50"/>
      <c r="G33" s="62"/>
      <c r="H33" s="48" t="s">
        <v>72</v>
      </c>
      <c r="I33" s="135">
        <v>1</v>
      </c>
      <c r="J33" s="52"/>
      <c r="K33" s="52" t="s">
        <v>73</v>
      </c>
      <c r="L33" s="52" t="s">
        <v>74</v>
      </c>
      <c r="M33" s="53" t="s">
        <v>917</v>
      </c>
      <c r="N33" s="58" t="s">
        <v>73</v>
      </c>
      <c r="O33" s="48" t="s">
        <v>72</v>
      </c>
      <c r="P33" s="48" t="s">
        <v>73</v>
      </c>
      <c r="Q33" s="54" t="s">
        <v>73</v>
      </c>
      <c r="R33" s="55" t="s">
        <v>73</v>
      </c>
      <c r="S33" s="48" t="s">
        <v>73</v>
      </c>
      <c r="T33" s="121" t="str" cm="1">
        <f t="array" ref="T33">IF(ISNUMBER(SEARCH("SCHNEIDER",D33)),_xlfn.IFS(ISNUMBER(SEARCH("2 Querétaro",D33)),"SQ2",ISNUMBER(SEARCH("Xicohténcatl",D33)),"SXC",ISNUMBER(SEARCH("Rojo Gómez",D33)),"SRG",ISNUMBER(SEARCH("Tlaxcala",D33)),"STX",ISNUMBER(SEARCH("Monterrey",D33)),"SMY",ISNUMBER(SEARCH("Querétaro",D33)),"SQ1",ISNUMBER(SEARCH("CDMX",D33)),"SCM",TRUE,""),"")</f>
        <v/>
      </c>
      <c r="U33" s="48" t="str" cm="1">
        <f t="array" ref="U33">_xlfn.LET(_xlpm.resultados,_xlfn.UNIQUE(_xlfn._xlws.FILTER(Tabla1[Proceso],(Tabla1[Metal Base]=O33)*(Tabla1[Etiquetas]=_xlfn.TEXTJOIN(" + ",TRUE,IF((TRIM(Upload!P33:S33)="")+(LOWER(TRIM(Upload!P33:S33))="(seleccione)"),"",PROPER(TRIM(Upload!P33:S33)))))*(Tabla1[Línea2]=IFERROR(VLOOKUP(Upload!N33&amp;"*",CAT_Procesos!D:D,1,FALSE),"")))),_xlpm.cantidad,ROWS(_xlpm.resultados),IF(ISERROR(_xlpm.cantidad),"Combinación no existente",IF(_xlpm.cantidad=1,INDEX(_xlpm.resultados,1),"(seleccione)")))</f>
        <v>Combinación no existente</v>
      </c>
      <c r="V33" s="55" t="s">
        <v>73</v>
      </c>
      <c r="W33" s="56" t="s">
        <v>73</v>
      </c>
      <c r="X33" s="57" t="str">
        <f t="shared" si="0"/>
        <v/>
      </c>
      <c r="Y33" s="58" t="s">
        <v>73</v>
      </c>
      <c r="Z33" s="57" t="str">
        <f t="shared" si="1"/>
        <v/>
      </c>
      <c r="AA33" s="58" t="s">
        <v>73</v>
      </c>
      <c r="AB33" s="57" t="str">
        <f t="shared" si="2"/>
        <v/>
      </c>
      <c r="AC33" s="58" t="s">
        <v>73</v>
      </c>
      <c r="AD33" s="57" t="str">
        <f t="shared" si="3"/>
        <v/>
      </c>
      <c r="AE33" s="59"/>
      <c r="AF33" s="59"/>
      <c r="AG33" s="59"/>
      <c r="AH33" s="59"/>
      <c r="AI33" s="59" t="s">
        <v>73</v>
      </c>
      <c r="AJ33" s="59"/>
      <c r="AK33" s="59" t="s">
        <v>73</v>
      </c>
      <c r="AL33" s="59"/>
      <c r="AM33" s="59" t="s">
        <v>73</v>
      </c>
      <c r="AN33" s="59"/>
      <c r="AO33" s="59" t="s">
        <v>73</v>
      </c>
      <c r="AP33" s="59"/>
      <c r="AQ33" s="59" t="s">
        <v>73</v>
      </c>
      <c r="AR33" s="59"/>
      <c r="AS33" s="59" t="s">
        <v>72</v>
      </c>
      <c r="AT33" s="59"/>
      <c r="AU33" s="59"/>
      <c r="AV33" s="59"/>
      <c r="AW33" s="59"/>
      <c r="AX33" s="59"/>
      <c r="AY33" s="60" t="str">
        <f>IF('Cálculo MP'!K43="","",'Cálculo MP'!K43)</f>
        <v/>
      </c>
      <c r="AZ33" s="60" t="str">
        <f>IF('Cálculo MP'!L43="","",'Cálculo MP'!L43)</f>
        <v/>
      </c>
      <c r="BA33" s="60" t="str">
        <f>IF('Cálculo MP'!M43="","",'Cálculo MP'!M43)</f>
        <v/>
      </c>
      <c r="BB33" s="60" t="str">
        <f>IF('Cálculo MP'!N43="","",'Cálculo MP'!N43)</f>
        <v/>
      </c>
      <c r="BC33" s="60" t="str">
        <f>IF('Cálculo MP'!O43="","",'Cálculo MP'!O43)</f>
        <v/>
      </c>
      <c r="BD33" s="60" t="str">
        <f>IF('Cálculo MP'!P43="","",'Cálculo MP'!P43)</f>
        <v/>
      </c>
      <c r="BE33" s="60" t="str">
        <f>IF('Cálculo MP'!Q43="","",'Cálculo MP'!Q43)</f>
        <v/>
      </c>
      <c r="BF33" s="60" t="str">
        <f>IF('Cálculo MP'!R43="","",'Cálculo MP'!R43)</f>
        <v/>
      </c>
      <c r="BG33" s="60" t="str">
        <f>IF('Cálculo MP'!S43="","",'Cálculo MP'!S43)</f>
        <v/>
      </c>
      <c r="BH33" s="61"/>
      <c r="BI33" s="61"/>
      <c r="BJ33" s="61"/>
      <c r="BK33" s="61"/>
      <c r="BL33" s="61"/>
      <c r="BM33" s="61"/>
      <c r="BN33" s="61"/>
      <c r="BO33" s="61"/>
    </row>
    <row r="34" spans="1:67" ht="19.5" customHeight="1" x14ac:dyDescent="0.2">
      <c r="A34" s="114" t="s">
        <v>1789</v>
      </c>
      <c r="B34" s="113" t="s">
        <v>1787</v>
      </c>
      <c r="C34" s="122"/>
      <c r="D34" s="48" t="s">
        <v>73</v>
      </c>
      <c r="E34" s="49"/>
      <c r="F34" s="50"/>
      <c r="G34" s="62"/>
      <c r="H34" s="48" t="s">
        <v>72</v>
      </c>
      <c r="I34" s="135">
        <v>1</v>
      </c>
      <c r="J34" s="52"/>
      <c r="K34" s="52" t="s">
        <v>73</v>
      </c>
      <c r="L34" s="52" t="s">
        <v>74</v>
      </c>
      <c r="M34" s="53" t="s">
        <v>917</v>
      </c>
      <c r="N34" s="58" t="s">
        <v>73</v>
      </c>
      <c r="O34" s="48" t="s">
        <v>72</v>
      </c>
      <c r="P34" s="48" t="s">
        <v>73</v>
      </c>
      <c r="Q34" s="54" t="s">
        <v>73</v>
      </c>
      <c r="R34" s="55" t="s">
        <v>73</v>
      </c>
      <c r="S34" s="48" t="s">
        <v>73</v>
      </c>
      <c r="T34" s="121" t="str" cm="1">
        <f t="array" ref="T34">IF(ISNUMBER(SEARCH("SCHNEIDER",D34)),_xlfn.IFS(ISNUMBER(SEARCH("2 Querétaro",D34)),"SQ2",ISNUMBER(SEARCH("Xicohténcatl",D34)),"SXC",ISNUMBER(SEARCH("Rojo Gómez",D34)),"SRG",ISNUMBER(SEARCH("Tlaxcala",D34)),"STX",ISNUMBER(SEARCH("Monterrey",D34)),"SMY",ISNUMBER(SEARCH("Querétaro",D34)),"SQ1",ISNUMBER(SEARCH("CDMX",D34)),"SCM",TRUE,""),"")</f>
        <v/>
      </c>
      <c r="U34" s="48" t="str" cm="1">
        <f t="array" ref="U34">_xlfn.LET(_xlpm.resultados,_xlfn.UNIQUE(_xlfn._xlws.FILTER(Tabla1[Proceso],(Tabla1[Metal Base]=O34)*(Tabla1[Etiquetas]=_xlfn.TEXTJOIN(" + ",TRUE,IF((TRIM(Upload!P34:S34)="")+(LOWER(TRIM(Upload!P34:S34))="(seleccione)"),"",PROPER(TRIM(Upload!P34:S34)))))*(Tabla1[Línea2]=IFERROR(VLOOKUP(Upload!N34&amp;"*",CAT_Procesos!D:D,1,FALSE),"")))),_xlpm.cantidad,ROWS(_xlpm.resultados),IF(ISERROR(_xlpm.cantidad),"Combinación no existente",IF(_xlpm.cantidad=1,INDEX(_xlpm.resultados,1),"(seleccione)")))</f>
        <v>Combinación no existente</v>
      </c>
      <c r="V34" s="55" t="s">
        <v>73</v>
      </c>
      <c r="W34" s="56" t="s">
        <v>73</v>
      </c>
      <c r="X34" s="57" t="str">
        <f t="shared" si="0"/>
        <v/>
      </c>
      <c r="Y34" s="58" t="s">
        <v>73</v>
      </c>
      <c r="Z34" s="57" t="str">
        <f t="shared" si="1"/>
        <v/>
      </c>
      <c r="AA34" s="58" t="s">
        <v>73</v>
      </c>
      <c r="AB34" s="57" t="str">
        <f t="shared" si="2"/>
        <v/>
      </c>
      <c r="AC34" s="58" t="s">
        <v>73</v>
      </c>
      <c r="AD34" s="57" t="str">
        <f t="shared" si="3"/>
        <v/>
      </c>
      <c r="AE34" s="59"/>
      <c r="AF34" s="59"/>
      <c r="AG34" s="59"/>
      <c r="AH34" s="59"/>
      <c r="AI34" s="59" t="s">
        <v>73</v>
      </c>
      <c r="AJ34" s="59"/>
      <c r="AK34" s="59" t="s">
        <v>73</v>
      </c>
      <c r="AL34" s="59"/>
      <c r="AM34" s="59" t="s">
        <v>73</v>
      </c>
      <c r="AN34" s="59"/>
      <c r="AO34" s="59" t="s">
        <v>73</v>
      </c>
      <c r="AP34" s="59"/>
      <c r="AQ34" s="59" t="s">
        <v>73</v>
      </c>
      <c r="AR34" s="59"/>
      <c r="AS34" s="59" t="s">
        <v>72</v>
      </c>
      <c r="AT34" s="59"/>
      <c r="AU34" s="59"/>
      <c r="AV34" s="59"/>
      <c r="AW34" s="59"/>
      <c r="AX34" s="59"/>
      <c r="AY34" s="60" t="str">
        <f>IF('Cálculo MP'!K44="","",'Cálculo MP'!K44)</f>
        <v/>
      </c>
      <c r="AZ34" s="60" t="str">
        <f>IF('Cálculo MP'!L44="","",'Cálculo MP'!L44)</f>
        <v/>
      </c>
      <c r="BA34" s="60" t="str">
        <f>IF('Cálculo MP'!M44="","",'Cálculo MP'!M44)</f>
        <v/>
      </c>
      <c r="BB34" s="60" t="str">
        <f>IF('Cálculo MP'!N44="","",'Cálculo MP'!N44)</f>
        <v/>
      </c>
      <c r="BC34" s="60" t="str">
        <f>IF('Cálculo MP'!O44="","",'Cálculo MP'!O44)</f>
        <v/>
      </c>
      <c r="BD34" s="60" t="str">
        <f>IF('Cálculo MP'!P44="","",'Cálculo MP'!P44)</f>
        <v/>
      </c>
      <c r="BE34" s="60" t="str">
        <f>IF('Cálculo MP'!Q44="","",'Cálculo MP'!Q44)</f>
        <v/>
      </c>
      <c r="BF34" s="60" t="str">
        <f>IF('Cálculo MP'!R44="","",'Cálculo MP'!R44)</f>
        <v/>
      </c>
      <c r="BG34" s="60" t="str">
        <f>IF('Cálculo MP'!S44="","",'Cálculo MP'!S44)</f>
        <v/>
      </c>
      <c r="BH34" s="61"/>
      <c r="BI34" s="61"/>
      <c r="BJ34" s="61"/>
      <c r="BK34" s="61"/>
      <c r="BL34" s="61"/>
      <c r="BM34" s="61"/>
      <c r="BN34" s="61"/>
      <c r="BO34" s="61"/>
    </row>
    <row r="35" spans="1:67" ht="19.5" customHeight="1" x14ac:dyDescent="0.2">
      <c r="A35" s="114" t="s">
        <v>1789</v>
      </c>
      <c r="B35" s="113" t="s">
        <v>1787</v>
      </c>
      <c r="C35" s="122"/>
      <c r="D35" s="48" t="s">
        <v>73</v>
      </c>
      <c r="E35" s="49"/>
      <c r="F35" s="50"/>
      <c r="G35" s="62"/>
      <c r="H35" s="48" t="s">
        <v>72</v>
      </c>
      <c r="I35" s="135">
        <v>1</v>
      </c>
      <c r="J35" s="52"/>
      <c r="K35" s="52" t="s">
        <v>73</v>
      </c>
      <c r="L35" s="52" t="s">
        <v>74</v>
      </c>
      <c r="M35" s="53" t="s">
        <v>917</v>
      </c>
      <c r="N35" s="58" t="s">
        <v>73</v>
      </c>
      <c r="O35" s="48" t="s">
        <v>72</v>
      </c>
      <c r="P35" s="48" t="s">
        <v>73</v>
      </c>
      <c r="Q35" s="54" t="s">
        <v>73</v>
      </c>
      <c r="R35" s="55" t="s">
        <v>73</v>
      </c>
      <c r="S35" s="48" t="s">
        <v>73</v>
      </c>
      <c r="T35" s="121" t="str" cm="1">
        <f t="array" ref="T35">IF(ISNUMBER(SEARCH("SCHNEIDER",D35)),_xlfn.IFS(ISNUMBER(SEARCH("2 Querétaro",D35)),"SQ2",ISNUMBER(SEARCH("Xicohténcatl",D35)),"SXC",ISNUMBER(SEARCH("Rojo Gómez",D35)),"SRG",ISNUMBER(SEARCH("Tlaxcala",D35)),"STX",ISNUMBER(SEARCH("Monterrey",D35)),"SMY",ISNUMBER(SEARCH("Querétaro",D35)),"SQ1",ISNUMBER(SEARCH("CDMX",D35)),"SCM",TRUE,""),"")</f>
        <v/>
      </c>
      <c r="U35" s="48" t="str" cm="1">
        <f t="array" ref="U35">_xlfn.LET(_xlpm.resultados,_xlfn.UNIQUE(_xlfn._xlws.FILTER(Tabla1[Proceso],(Tabla1[Metal Base]=O35)*(Tabla1[Etiquetas]=_xlfn.TEXTJOIN(" + ",TRUE,IF((TRIM(Upload!P35:S35)="")+(LOWER(TRIM(Upload!P35:S35))="(seleccione)"),"",PROPER(TRIM(Upload!P35:S35)))))*(Tabla1[Línea2]=IFERROR(VLOOKUP(Upload!N35&amp;"*",CAT_Procesos!D:D,1,FALSE),"")))),_xlpm.cantidad,ROWS(_xlpm.resultados),IF(ISERROR(_xlpm.cantidad),"Combinación no existente",IF(_xlpm.cantidad=1,INDEX(_xlpm.resultados,1),"(seleccione)")))</f>
        <v>Combinación no existente</v>
      </c>
      <c r="V35" s="55" t="s">
        <v>73</v>
      </c>
      <c r="W35" s="56" t="s">
        <v>73</v>
      </c>
      <c r="X35" s="57" t="str">
        <f t="shared" si="0"/>
        <v/>
      </c>
      <c r="Y35" s="58" t="s">
        <v>73</v>
      </c>
      <c r="Z35" s="57" t="str">
        <f t="shared" si="1"/>
        <v/>
      </c>
      <c r="AA35" s="58" t="s">
        <v>73</v>
      </c>
      <c r="AB35" s="57" t="str">
        <f t="shared" si="2"/>
        <v/>
      </c>
      <c r="AC35" s="58" t="s">
        <v>73</v>
      </c>
      <c r="AD35" s="57" t="str">
        <f t="shared" si="3"/>
        <v/>
      </c>
      <c r="AE35" s="59"/>
      <c r="AF35" s="59"/>
      <c r="AG35" s="59"/>
      <c r="AH35" s="59"/>
      <c r="AI35" s="59" t="s">
        <v>73</v>
      </c>
      <c r="AJ35" s="59"/>
      <c r="AK35" s="59" t="s">
        <v>73</v>
      </c>
      <c r="AL35" s="59"/>
      <c r="AM35" s="59" t="s">
        <v>73</v>
      </c>
      <c r="AN35" s="59"/>
      <c r="AO35" s="59" t="s">
        <v>73</v>
      </c>
      <c r="AP35" s="59"/>
      <c r="AQ35" s="59" t="s">
        <v>73</v>
      </c>
      <c r="AR35" s="59"/>
      <c r="AS35" s="59" t="s">
        <v>72</v>
      </c>
      <c r="AT35" s="59"/>
      <c r="AU35" s="59"/>
      <c r="AV35" s="59"/>
      <c r="AW35" s="59"/>
      <c r="AX35" s="59"/>
      <c r="AY35" s="60" t="str">
        <f>IF('Cálculo MP'!K45="","",'Cálculo MP'!K45)</f>
        <v/>
      </c>
      <c r="AZ35" s="60" t="str">
        <f>IF('Cálculo MP'!L45="","",'Cálculo MP'!L45)</f>
        <v/>
      </c>
      <c r="BA35" s="60" t="str">
        <f>IF('Cálculo MP'!M45="","",'Cálculo MP'!M45)</f>
        <v/>
      </c>
      <c r="BB35" s="60" t="str">
        <f>IF('Cálculo MP'!N45="","",'Cálculo MP'!N45)</f>
        <v/>
      </c>
      <c r="BC35" s="60" t="str">
        <f>IF('Cálculo MP'!O45="","",'Cálculo MP'!O45)</f>
        <v/>
      </c>
      <c r="BD35" s="60" t="str">
        <f>IF('Cálculo MP'!P45="","",'Cálculo MP'!P45)</f>
        <v/>
      </c>
      <c r="BE35" s="60" t="str">
        <f>IF('Cálculo MP'!Q45="","",'Cálculo MP'!Q45)</f>
        <v/>
      </c>
      <c r="BF35" s="60" t="str">
        <f>IF('Cálculo MP'!R45="","",'Cálculo MP'!R45)</f>
        <v/>
      </c>
      <c r="BG35" s="60" t="str">
        <f>IF('Cálculo MP'!S45="","",'Cálculo MP'!S45)</f>
        <v/>
      </c>
      <c r="BH35" s="61"/>
      <c r="BI35" s="61"/>
      <c r="BJ35" s="61"/>
      <c r="BK35" s="61"/>
      <c r="BL35" s="61"/>
      <c r="BM35" s="61"/>
      <c r="BN35" s="61"/>
      <c r="BO35" s="61"/>
    </row>
    <row r="36" spans="1:67" ht="19.5" customHeight="1" x14ac:dyDescent="0.2">
      <c r="A36" s="114" t="s">
        <v>1789</v>
      </c>
      <c r="B36" s="113" t="s">
        <v>1787</v>
      </c>
      <c r="C36" s="122"/>
      <c r="D36" s="48" t="s">
        <v>73</v>
      </c>
      <c r="E36" s="49"/>
      <c r="F36" s="50"/>
      <c r="G36" s="62"/>
      <c r="H36" s="48" t="s">
        <v>72</v>
      </c>
      <c r="I36" s="135">
        <v>1</v>
      </c>
      <c r="J36" s="52"/>
      <c r="K36" s="52" t="s">
        <v>73</v>
      </c>
      <c r="L36" s="52" t="s">
        <v>74</v>
      </c>
      <c r="M36" s="53" t="s">
        <v>917</v>
      </c>
      <c r="N36" s="58" t="s">
        <v>73</v>
      </c>
      <c r="O36" s="48" t="s">
        <v>72</v>
      </c>
      <c r="P36" s="48" t="s">
        <v>73</v>
      </c>
      <c r="Q36" s="54" t="s">
        <v>73</v>
      </c>
      <c r="R36" s="55" t="s">
        <v>73</v>
      </c>
      <c r="S36" s="48" t="s">
        <v>73</v>
      </c>
      <c r="T36" s="121" t="str" cm="1">
        <f t="array" ref="T36">IF(ISNUMBER(SEARCH("SCHNEIDER",D36)),_xlfn.IFS(ISNUMBER(SEARCH("2 Querétaro",D36)),"SQ2",ISNUMBER(SEARCH("Xicohténcatl",D36)),"SXC",ISNUMBER(SEARCH("Rojo Gómez",D36)),"SRG",ISNUMBER(SEARCH("Tlaxcala",D36)),"STX",ISNUMBER(SEARCH("Monterrey",D36)),"SMY",ISNUMBER(SEARCH("Querétaro",D36)),"SQ1",ISNUMBER(SEARCH("CDMX",D36)),"SCM",TRUE,""),"")</f>
        <v/>
      </c>
      <c r="U36" s="48" t="str" cm="1">
        <f t="array" ref="U36">_xlfn.LET(_xlpm.resultados,_xlfn.UNIQUE(_xlfn._xlws.FILTER(Tabla1[Proceso],(Tabla1[Metal Base]=O36)*(Tabla1[Etiquetas]=_xlfn.TEXTJOIN(" + ",TRUE,IF((TRIM(Upload!P36:S36)="")+(LOWER(TRIM(Upload!P36:S36))="(seleccione)"),"",PROPER(TRIM(Upload!P36:S36)))))*(Tabla1[Línea2]=IFERROR(VLOOKUP(Upload!N36&amp;"*",CAT_Procesos!D:D,1,FALSE),"")))),_xlpm.cantidad,ROWS(_xlpm.resultados),IF(ISERROR(_xlpm.cantidad),"Combinación no existente",IF(_xlpm.cantidad=1,INDEX(_xlpm.resultados,1),"(seleccione)")))</f>
        <v>Combinación no existente</v>
      </c>
      <c r="V36" s="55" t="s">
        <v>73</v>
      </c>
      <c r="W36" s="56" t="s">
        <v>73</v>
      </c>
      <c r="X36" s="57" t="str">
        <f t="shared" si="0"/>
        <v/>
      </c>
      <c r="Y36" s="58" t="s">
        <v>73</v>
      </c>
      <c r="Z36" s="57" t="str">
        <f t="shared" si="1"/>
        <v/>
      </c>
      <c r="AA36" s="58" t="s">
        <v>73</v>
      </c>
      <c r="AB36" s="57" t="str">
        <f t="shared" si="2"/>
        <v/>
      </c>
      <c r="AC36" s="58" t="s">
        <v>73</v>
      </c>
      <c r="AD36" s="57" t="str">
        <f t="shared" si="3"/>
        <v/>
      </c>
      <c r="AE36" s="59"/>
      <c r="AF36" s="59"/>
      <c r="AG36" s="59"/>
      <c r="AH36" s="59"/>
      <c r="AI36" s="59" t="s">
        <v>73</v>
      </c>
      <c r="AJ36" s="59"/>
      <c r="AK36" s="59" t="s">
        <v>73</v>
      </c>
      <c r="AL36" s="59"/>
      <c r="AM36" s="59" t="s">
        <v>73</v>
      </c>
      <c r="AN36" s="59"/>
      <c r="AO36" s="59" t="s">
        <v>73</v>
      </c>
      <c r="AP36" s="59"/>
      <c r="AQ36" s="59" t="s">
        <v>73</v>
      </c>
      <c r="AR36" s="59"/>
      <c r="AS36" s="59" t="s">
        <v>72</v>
      </c>
      <c r="AT36" s="59"/>
      <c r="AU36" s="59"/>
      <c r="AV36" s="59"/>
      <c r="AW36" s="59"/>
      <c r="AX36" s="59"/>
      <c r="AY36" s="60" t="str">
        <f>IF('Cálculo MP'!K46="","",'Cálculo MP'!K46)</f>
        <v/>
      </c>
      <c r="AZ36" s="60" t="str">
        <f>IF('Cálculo MP'!L46="","",'Cálculo MP'!L46)</f>
        <v/>
      </c>
      <c r="BA36" s="60" t="str">
        <f>IF('Cálculo MP'!M46="","",'Cálculo MP'!M46)</f>
        <v/>
      </c>
      <c r="BB36" s="60" t="str">
        <f>IF('Cálculo MP'!N46="","",'Cálculo MP'!N46)</f>
        <v/>
      </c>
      <c r="BC36" s="60" t="str">
        <f>IF('Cálculo MP'!O46="","",'Cálculo MP'!O46)</f>
        <v/>
      </c>
      <c r="BD36" s="60" t="str">
        <f>IF('Cálculo MP'!P46="","",'Cálculo MP'!P46)</f>
        <v/>
      </c>
      <c r="BE36" s="60" t="str">
        <f>IF('Cálculo MP'!Q46="","",'Cálculo MP'!Q46)</f>
        <v/>
      </c>
      <c r="BF36" s="60" t="str">
        <f>IF('Cálculo MP'!R46="","",'Cálculo MP'!R46)</f>
        <v/>
      </c>
      <c r="BG36" s="60" t="str">
        <f>IF('Cálculo MP'!S46="","",'Cálculo MP'!S46)</f>
        <v/>
      </c>
      <c r="BH36" s="61"/>
      <c r="BI36" s="61"/>
      <c r="BJ36" s="61"/>
      <c r="BK36" s="61"/>
      <c r="BL36" s="61"/>
      <c r="BM36" s="61"/>
      <c r="BN36" s="61"/>
      <c r="BO36" s="61"/>
    </row>
    <row r="37" spans="1:67" ht="19.5" customHeight="1" x14ac:dyDescent="0.2">
      <c r="A37" s="114" t="s">
        <v>1789</v>
      </c>
      <c r="B37" s="113" t="s">
        <v>1787</v>
      </c>
      <c r="C37" s="122"/>
      <c r="D37" s="48" t="s">
        <v>73</v>
      </c>
      <c r="E37" s="49"/>
      <c r="F37" s="50"/>
      <c r="G37" s="62"/>
      <c r="H37" s="48" t="s">
        <v>72</v>
      </c>
      <c r="I37" s="135">
        <v>1</v>
      </c>
      <c r="J37" s="52"/>
      <c r="K37" s="52" t="s">
        <v>73</v>
      </c>
      <c r="L37" s="52" t="s">
        <v>74</v>
      </c>
      <c r="M37" s="53" t="s">
        <v>917</v>
      </c>
      <c r="N37" s="58" t="s">
        <v>73</v>
      </c>
      <c r="O37" s="48" t="s">
        <v>72</v>
      </c>
      <c r="P37" s="48" t="s">
        <v>73</v>
      </c>
      <c r="Q37" s="54" t="s">
        <v>73</v>
      </c>
      <c r="R37" s="55" t="s">
        <v>73</v>
      </c>
      <c r="S37" s="48" t="s">
        <v>73</v>
      </c>
      <c r="T37" s="121" t="str" cm="1">
        <f t="array" ref="T37">IF(ISNUMBER(SEARCH("SCHNEIDER",D37)),_xlfn.IFS(ISNUMBER(SEARCH("2 Querétaro",D37)),"SQ2",ISNUMBER(SEARCH("Xicohténcatl",D37)),"SXC",ISNUMBER(SEARCH("Rojo Gómez",D37)),"SRG",ISNUMBER(SEARCH("Tlaxcala",D37)),"STX",ISNUMBER(SEARCH("Monterrey",D37)),"SMY",ISNUMBER(SEARCH("Querétaro",D37)),"SQ1",ISNUMBER(SEARCH("CDMX",D37)),"SCM",TRUE,""),"")</f>
        <v/>
      </c>
      <c r="U37" s="48" t="str" cm="1">
        <f t="array" ref="U37">_xlfn.LET(_xlpm.resultados,_xlfn.UNIQUE(_xlfn._xlws.FILTER(Tabla1[Proceso],(Tabla1[Metal Base]=O37)*(Tabla1[Etiquetas]=_xlfn.TEXTJOIN(" + ",TRUE,IF((TRIM(Upload!P37:S37)="")+(LOWER(TRIM(Upload!P37:S37))="(seleccione)"),"",PROPER(TRIM(Upload!P37:S37)))))*(Tabla1[Línea2]=IFERROR(VLOOKUP(Upload!N37&amp;"*",CAT_Procesos!D:D,1,FALSE),"")))),_xlpm.cantidad,ROWS(_xlpm.resultados),IF(ISERROR(_xlpm.cantidad),"Combinación no existente",IF(_xlpm.cantidad=1,INDEX(_xlpm.resultados,1),"(seleccione)")))</f>
        <v>Combinación no existente</v>
      </c>
      <c r="V37" s="55" t="s">
        <v>73</v>
      </c>
      <c r="W37" s="56" t="s">
        <v>73</v>
      </c>
      <c r="X37" s="57" t="str">
        <f t="shared" si="0"/>
        <v/>
      </c>
      <c r="Y37" s="58" t="s">
        <v>73</v>
      </c>
      <c r="Z37" s="57" t="str">
        <f t="shared" si="1"/>
        <v/>
      </c>
      <c r="AA37" s="58" t="s">
        <v>73</v>
      </c>
      <c r="AB37" s="57" t="str">
        <f t="shared" si="2"/>
        <v/>
      </c>
      <c r="AC37" s="58" t="s">
        <v>73</v>
      </c>
      <c r="AD37" s="57" t="str">
        <f t="shared" si="3"/>
        <v/>
      </c>
      <c r="AE37" s="59"/>
      <c r="AF37" s="59"/>
      <c r="AG37" s="59"/>
      <c r="AH37" s="59"/>
      <c r="AI37" s="59" t="s">
        <v>73</v>
      </c>
      <c r="AJ37" s="59"/>
      <c r="AK37" s="59" t="s">
        <v>73</v>
      </c>
      <c r="AL37" s="59"/>
      <c r="AM37" s="59" t="s">
        <v>73</v>
      </c>
      <c r="AN37" s="59"/>
      <c r="AO37" s="59" t="s">
        <v>73</v>
      </c>
      <c r="AP37" s="59"/>
      <c r="AQ37" s="59" t="s">
        <v>73</v>
      </c>
      <c r="AR37" s="59"/>
      <c r="AS37" s="59" t="s">
        <v>72</v>
      </c>
      <c r="AT37" s="59"/>
      <c r="AU37" s="59"/>
      <c r="AV37" s="59"/>
      <c r="AW37" s="59"/>
      <c r="AX37" s="59"/>
      <c r="AY37" s="60" t="str">
        <f>IF('Cálculo MP'!K47="","",'Cálculo MP'!K47)</f>
        <v/>
      </c>
      <c r="AZ37" s="60" t="str">
        <f>IF('Cálculo MP'!L47="","",'Cálculo MP'!L47)</f>
        <v/>
      </c>
      <c r="BA37" s="60" t="str">
        <f>IF('Cálculo MP'!M47="","",'Cálculo MP'!M47)</f>
        <v/>
      </c>
      <c r="BB37" s="60" t="str">
        <f>IF('Cálculo MP'!N47="","",'Cálculo MP'!N47)</f>
        <v/>
      </c>
      <c r="BC37" s="60" t="str">
        <f>IF('Cálculo MP'!O47="","",'Cálculo MP'!O47)</f>
        <v/>
      </c>
      <c r="BD37" s="60" t="str">
        <f>IF('Cálculo MP'!P47="","",'Cálculo MP'!P47)</f>
        <v/>
      </c>
      <c r="BE37" s="60" t="str">
        <f>IF('Cálculo MP'!Q47="","",'Cálculo MP'!Q47)</f>
        <v/>
      </c>
      <c r="BF37" s="60" t="str">
        <f>IF('Cálculo MP'!R47="","",'Cálculo MP'!R47)</f>
        <v/>
      </c>
      <c r="BG37" s="60" t="str">
        <f>IF('Cálculo MP'!S47="","",'Cálculo MP'!S47)</f>
        <v/>
      </c>
      <c r="BH37" s="61"/>
      <c r="BI37" s="61"/>
      <c r="BJ37" s="61"/>
      <c r="BK37" s="61"/>
      <c r="BL37" s="61"/>
      <c r="BM37" s="61"/>
      <c r="BN37" s="61"/>
      <c r="BO37" s="61"/>
    </row>
    <row r="38" spans="1:67" ht="19.5" customHeight="1" x14ac:dyDescent="0.2">
      <c r="A38" s="114" t="s">
        <v>1789</v>
      </c>
      <c r="B38" s="113" t="s">
        <v>1787</v>
      </c>
      <c r="C38" s="122"/>
      <c r="D38" s="48" t="s">
        <v>73</v>
      </c>
      <c r="E38" s="49"/>
      <c r="F38" s="50"/>
      <c r="G38" s="62"/>
      <c r="H38" s="48" t="s">
        <v>72</v>
      </c>
      <c r="I38" s="135">
        <v>1</v>
      </c>
      <c r="J38" s="52"/>
      <c r="K38" s="52" t="s">
        <v>73</v>
      </c>
      <c r="L38" s="52" t="s">
        <v>74</v>
      </c>
      <c r="M38" s="53" t="s">
        <v>917</v>
      </c>
      <c r="N38" s="58" t="s">
        <v>73</v>
      </c>
      <c r="O38" s="48" t="s">
        <v>72</v>
      </c>
      <c r="P38" s="48" t="s">
        <v>73</v>
      </c>
      <c r="Q38" s="54" t="s">
        <v>73</v>
      </c>
      <c r="R38" s="55" t="s">
        <v>73</v>
      </c>
      <c r="S38" s="48" t="s">
        <v>73</v>
      </c>
      <c r="T38" s="121" t="str" cm="1">
        <f t="array" ref="T38">IF(ISNUMBER(SEARCH("SCHNEIDER",D38)),_xlfn.IFS(ISNUMBER(SEARCH("2 Querétaro",D38)),"SQ2",ISNUMBER(SEARCH("Xicohténcatl",D38)),"SXC",ISNUMBER(SEARCH("Rojo Gómez",D38)),"SRG",ISNUMBER(SEARCH("Tlaxcala",D38)),"STX",ISNUMBER(SEARCH("Monterrey",D38)),"SMY",ISNUMBER(SEARCH("Querétaro",D38)),"SQ1",ISNUMBER(SEARCH("CDMX",D38)),"SCM",TRUE,""),"")</f>
        <v/>
      </c>
      <c r="U38" s="48" t="str" cm="1">
        <f t="array" ref="U38">_xlfn.LET(_xlpm.resultados,_xlfn.UNIQUE(_xlfn._xlws.FILTER(Tabla1[Proceso],(Tabla1[Metal Base]=O38)*(Tabla1[Etiquetas]=_xlfn.TEXTJOIN(" + ",TRUE,IF((TRIM(Upload!P38:S38)="")+(LOWER(TRIM(Upload!P38:S38))="(seleccione)"),"",PROPER(TRIM(Upload!P38:S38)))))*(Tabla1[Línea2]=IFERROR(VLOOKUP(Upload!N38&amp;"*",CAT_Procesos!D:D,1,FALSE),"")))),_xlpm.cantidad,ROWS(_xlpm.resultados),IF(ISERROR(_xlpm.cantidad),"Combinación no existente",IF(_xlpm.cantidad=1,INDEX(_xlpm.resultados,1),"(seleccione)")))</f>
        <v>Combinación no existente</v>
      </c>
      <c r="V38" s="55" t="s">
        <v>73</v>
      </c>
      <c r="W38" s="56" t="s">
        <v>73</v>
      </c>
      <c r="X38" s="57" t="str">
        <f t="shared" si="0"/>
        <v/>
      </c>
      <c r="Y38" s="58" t="s">
        <v>73</v>
      </c>
      <c r="Z38" s="57" t="str">
        <f t="shared" si="1"/>
        <v/>
      </c>
      <c r="AA38" s="58" t="s">
        <v>73</v>
      </c>
      <c r="AB38" s="57" t="str">
        <f t="shared" si="2"/>
        <v/>
      </c>
      <c r="AC38" s="58" t="s">
        <v>73</v>
      </c>
      <c r="AD38" s="57" t="str">
        <f t="shared" si="3"/>
        <v/>
      </c>
      <c r="AE38" s="59"/>
      <c r="AF38" s="59"/>
      <c r="AG38" s="59"/>
      <c r="AH38" s="59"/>
      <c r="AI38" s="59" t="s">
        <v>73</v>
      </c>
      <c r="AJ38" s="59"/>
      <c r="AK38" s="59" t="s">
        <v>73</v>
      </c>
      <c r="AL38" s="59"/>
      <c r="AM38" s="59" t="s">
        <v>73</v>
      </c>
      <c r="AN38" s="59"/>
      <c r="AO38" s="59" t="s">
        <v>73</v>
      </c>
      <c r="AP38" s="59"/>
      <c r="AQ38" s="59" t="s">
        <v>73</v>
      </c>
      <c r="AR38" s="59"/>
      <c r="AS38" s="59" t="s">
        <v>72</v>
      </c>
      <c r="AT38" s="59"/>
      <c r="AU38" s="59"/>
      <c r="AV38" s="59"/>
      <c r="AW38" s="59"/>
      <c r="AX38" s="59"/>
      <c r="AY38" s="60" t="str">
        <f>IF('Cálculo MP'!K48="","",'Cálculo MP'!K48)</f>
        <v/>
      </c>
      <c r="AZ38" s="60" t="str">
        <f>IF('Cálculo MP'!L48="","",'Cálculo MP'!L48)</f>
        <v/>
      </c>
      <c r="BA38" s="60" t="str">
        <f>IF('Cálculo MP'!M48="","",'Cálculo MP'!M48)</f>
        <v/>
      </c>
      <c r="BB38" s="60" t="str">
        <f>IF('Cálculo MP'!N48="","",'Cálculo MP'!N48)</f>
        <v/>
      </c>
      <c r="BC38" s="60" t="str">
        <f>IF('Cálculo MP'!O48="","",'Cálculo MP'!O48)</f>
        <v/>
      </c>
      <c r="BD38" s="60" t="str">
        <f>IF('Cálculo MP'!P48="","",'Cálculo MP'!P48)</f>
        <v/>
      </c>
      <c r="BE38" s="60" t="str">
        <f>IF('Cálculo MP'!Q48="","",'Cálculo MP'!Q48)</f>
        <v/>
      </c>
      <c r="BF38" s="60" t="str">
        <f>IF('Cálculo MP'!R48="","",'Cálculo MP'!R48)</f>
        <v/>
      </c>
      <c r="BG38" s="60" t="str">
        <f>IF('Cálculo MP'!S48="","",'Cálculo MP'!S48)</f>
        <v/>
      </c>
      <c r="BH38" s="61"/>
      <c r="BI38" s="61"/>
      <c r="BJ38" s="61"/>
      <c r="BK38" s="61"/>
      <c r="BL38" s="61"/>
      <c r="BM38" s="61"/>
      <c r="BN38" s="61"/>
      <c r="BO38" s="61"/>
    </row>
    <row r="39" spans="1:67" ht="19.5" customHeight="1" x14ac:dyDescent="0.2">
      <c r="A39" s="114" t="s">
        <v>1789</v>
      </c>
      <c r="B39" s="113" t="s">
        <v>1787</v>
      </c>
      <c r="C39" s="122"/>
      <c r="D39" s="48" t="s">
        <v>73</v>
      </c>
      <c r="E39" s="49"/>
      <c r="F39" s="50"/>
      <c r="G39" s="62"/>
      <c r="H39" s="48" t="s">
        <v>72</v>
      </c>
      <c r="I39" s="135">
        <v>1</v>
      </c>
      <c r="J39" s="52"/>
      <c r="K39" s="52" t="s">
        <v>73</v>
      </c>
      <c r="L39" s="52" t="s">
        <v>74</v>
      </c>
      <c r="M39" s="53" t="s">
        <v>917</v>
      </c>
      <c r="N39" s="58" t="s">
        <v>73</v>
      </c>
      <c r="O39" s="48" t="s">
        <v>72</v>
      </c>
      <c r="P39" s="48" t="s">
        <v>73</v>
      </c>
      <c r="Q39" s="54" t="s">
        <v>73</v>
      </c>
      <c r="R39" s="55" t="s">
        <v>73</v>
      </c>
      <c r="S39" s="48" t="s">
        <v>73</v>
      </c>
      <c r="T39" s="121" t="str" cm="1">
        <f t="array" ref="T39">IF(ISNUMBER(SEARCH("SCHNEIDER",D39)),_xlfn.IFS(ISNUMBER(SEARCH("2 Querétaro",D39)),"SQ2",ISNUMBER(SEARCH("Xicohténcatl",D39)),"SXC",ISNUMBER(SEARCH("Rojo Gómez",D39)),"SRG",ISNUMBER(SEARCH("Tlaxcala",D39)),"STX",ISNUMBER(SEARCH("Monterrey",D39)),"SMY",ISNUMBER(SEARCH("Querétaro",D39)),"SQ1",ISNUMBER(SEARCH("CDMX",D39)),"SCM",TRUE,""),"")</f>
        <v/>
      </c>
      <c r="U39" s="48" t="str" cm="1">
        <f t="array" ref="U39">_xlfn.LET(_xlpm.resultados,_xlfn.UNIQUE(_xlfn._xlws.FILTER(Tabla1[Proceso],(Tabla1[Metal Base]=O39)*(Tabla1[Etiquetas]=_xlfn.TEXTJOIN(" + ",TRUE,IF((TRIM(Upload!P39:S39)="")+(LOWER(TRIM(Upload!P39:S39))="(seleccione)"),"",PROPER(TRIM(Upload!P39:S39)))))*(Tabla1[Línea2]=IFERROR(VLOOKUP(Upload!N39&amp;"*",CAT_Procesos!D:D,1,FALSE),"")))),_xlpm.cantidad,ROWS(_xlpm.resultados),IF(ISERROR(_xlpm.cantidad),"Combinación no existente",IF(_xlpm.cantidad=1,INDEX(_xlpm.resultados,1),"(seleccione)")))</f>
        <v>Combinación no existente</v>
      </c>
      <c r="V39" s="55" t="s">
        <v>73</v>
      </c>
      <c r="W39" s="56" t="s">
        <v>73</v>
      </c>
      <c r="X39" s="57" t="str">
        <f t="shared" si="0"/>
        <v/>
      </c>
      <c r="Y39" s="58" t="s">
        <v>73</v>
      </c>
      <c r="Z39" s="57" t="str">
        <f t="shared" si="1"/>
        <v/>
      </c>
      <c r="AA39" s="58" t="s">
        <v>73</v>
      </c>
      <c r="AB39" s="57" t="str">
        <f t="shared" si="2"/>
        <v/>
      </c>
      <c r="AC39" s="58" t="s">
        <v>73</v>
      </c>
      <c r="AD39" s="57" t="str">
        <f t="shared" si="3"/>
        <v/>
      </c>
      <c r="AE39" s="59"/>
      <c r="AF39" s="59"/>
      <c r="AG39" s="59"/>
      <c r="AH39" s="59"/>
      <c r="AI39" s="59" t="s">
        <v>73</v>
      </c>
      <c r="AJ39" s="59"/>
      <c r="AK39" s="59" t="s">
        <v>73</v>
      </c>
      <c r="AL39" s="59"/>
      <c r="AM39" s="59" t="s">
        <v>73</v>
      </c>
      <c r="AN39" s="59"/>
      <c r="AO39" s="59" t="s">
        <v>73</v>
      </c>
      <c r="AP39" s="59"/>
      <c r="AQ39" s="59" t="s">
        <v>73</v>
      </c>
      <c r="AR39" s="59"/>
      <c r="AS39" s="59" t="s">
        <v>72</v>
      </c>
      <c r="AT39" s="59"/>
      <c r="AU39" s="59"/>
      <c r="AV39" s="59"/>
      <c r="AW39" s="59"/>
      <c r="AX39" s="59"/>
      <c r="AY39" s="60" t="str">
        <f>IF('Cálculo MP'!K49="","",'Cálculo MP'!K49)</f>
        <v/>
      </c>
      <c r="AZ39" s="60" t="str">
        <f>IF('Cálculo MP'!L49="","",'Cálculo MP'!L49)</f>
        <v/>
      </c>
      <c r="BA39" s="60" t="str">
        <f>IF('Cálculo MP'!M49="","",'Cálculo MP'!M49)</f>
        <v/>
      </c>
      <c r="BB39" s="60" t="str">
        <f>IF('Cálculo MP'!N49="","",'Cálculo MP'!N49)</f>
        <v/>
      </c>
      <c r="BC39" s="60" t="str">
        <f>IF('Cálculo MP'!O49="","",'Cálculo MP'!O49)</f>
        <v/>
      </c>
      <c r="BD39" s="60" t="str">
        <f>IF('Cálculo MP'!P49="","",'Cálculo MP'!P49)</f>
        <v/>
      </c>
      <c r="BE39" s="60" t="str">
        <f>IF('Cálculo MP'!Q49="","",'Cálculo MP'!Q49)</f>
        <v/>
      </c>
      <c r="BF39" s="60" t="str">
        <f>IF('Cálculo MP'!R49="","",'Cálculo MP'!R49)</f>
        <v/>
      </c>
      <c r="BG39" s="60" t="str">
        <f>IF('Cálculo MP'!S49="","",'Cálculo MP'!S49)</f>
        <v/>
      </c>
      <c r="BH39" s="61"/>
      <c r="BI39" s="61"/>
      <c r="BJ39" s="61"/>
      <c r="BK39" s="61"/>
      <c r="BL39" s="61"/>
      <c r="BM39" s="61"/>
      <c r="BN39" s="61"/>
      <c r="BO39" s="61"/>
    </row>
    <row r="40" spans="1:67" ht="19.5" customHeight="1" x14ac:dyDescent="0.2">
      <c r="A40" s="114" t="s">
        <v>1789</v>
      </c>
      <c r="B40" s="113" t="s">
        <v>1787</v>
      </c>
      <c r="C40" s="122"/>
      <c r="D40" s="48" t="s">
        <v>73</v>
      </c>
      <c r="E40" s="49"/>
      <c r="F40" s="50"/>
      <c r="G40" s="62"/>
      <c r="H40" s="48" t="s">
        <v>72</v>
      </c>
      <c r="I40" s="135">
        <v>1</v>
      </c>
      <c r="J40" s="52"/>
      <c r="K40" s="52" t="s">
        <v>73</v>
      </c>
      <c r="L40" s="52" t="s">
        <v>74</v>
      </c>
      <c r="M40" s="53" t="s">
        <v>917</v>
      </c>
      <c r="N40" s="58" t="s">
        <v>73</v>
      </c>
      <c r="O40" s="48" t="s">
        <v>72</v>
      </c>
      <c r="P40" s="48" t="s">
        <v>73</v>
      </c>
      <c r="Q40" s="54" t="s">
        <v>73</v>
      </c>
      <c r="R40" s="55" t="s">
        <v>73</v>
      </c>
      <c r="S40" s="48" t="s">
        <v>73</v>
      </c>
      <c r="T40" s="121" t="str" cm="1">
        <f t="array" ref="T40">IF(ISNUMBER(SEARCH("SCHNEIDER",D40)),_xlfn.IFS(ISNUMBER(SEARCH("2 Querétaro",D40)),"SQ2",ISNUMBER(SEARCH("Xicohténcatl",D40)),"SXC",ISNUMBER(SEARCH("Rojo Gómez",D40)),"SRG",ISNUMBER(SEARCH("Tlaxcala",D40)),"STX",ISNUMBER(SEARCH("Monterrey",D40)),"SMY",ISNUMBER(SEARCH("Querétaro",D40)),"SQ1",ISNUMBER(SEARCH("CDMX",D40)),"SCM",TRUE,""),"")</f>
        <v/>
      </c>
      <c r="U40" s="48" t="str" cm="1">
        <f t="array" ref="U40">_xlfn.LET(_xlpm.resultados,_xlfn.UNIQUE(_xlfn._xlws.FILTER(Tabla1[Proceso],(Tabla1[Metal Base]=O40)*(Tabla1[Etiquetas]=_xlfn.TEXTJOIN(" + ",TRUE,IF((TRIM(Upload!P40:S40)="")+(LOWER(TRIM(Upload!P40:S40))="(seleccione)"),"",PROPER(TRIM(Upload!P40:S40)))))*(Tabla1[Línea2]=IFERROR(VLOOKUP(Upload!N40&amp;"*",CAT_Procesos!D:D,1,FALSE),"")))),_xlpm.cantidad,ROWS(_xlpm.resultados),IF(ISERROR(_xlpm.cantidad),"Combinación no existente",IF(_xlpm.cantidad=1,INDEX(_xlpm.resultados,1),"(seleccione)")))</f>
        <v>Combinación no existente</v>
      </c>
      <c r="V40" s="55" t="s">
        <v>73</v>
      </c>
      <c r="W40" s="56" t="s">
        <v>73</v>
      </c>
      <c r="X40" s="57" t="str">
        <f t="shared" si="0"/>
        <v/>
      </c>
      <c r="Y40" s="58" t="s">
        <v>73</v>
      </c>
      <c r="Z40" s="57" t="str">
        <f t="shared" si="1"/>
        <v/>
      </c>
      <c r="AA40" s="58" t="s">
        <v>73</v>
      </c>
      <c r="AB40" s="57" t="str">
        <f t="shared" si="2"/>
        <v/>
      </c>
      <c r="AC40" s="58" t="s">
        <v>73</v>
      </c>
      <c r="AD40" s="57" t="str">
        <f t="shared" si="3"/>
        <v/>
      </c>
      <c r="AE40" s="59"/>
      <c r="AF40" s="59"/>
      <c r="AG40" s="59"/>
      <c r="AH40" s="59"/>
      <c r="AI40" s="59" t="s">
        <v>73</v>
      </c>
      <c r="AJ40" s="59"/>
      <c r="AK40" s="59" t="s">
        <v>73</v>
      </c>
      <c r="AL40" s="59"/>
      <c r="AM40" s="59" t="s">
        <v>73</v>
      </c>
      <c r="AN40" s="59"/>
      <c r="AO40" s="59" t="s">
        <v>73</v>
      </c>
      <c r="AP40" s="59"/>
      <c r="AQ40" s="59" t="s">
        <v>73</v>
      </c>
      <c r="AR40" s="59"/>
      <c r="AS40" s="59" t="s">
        <v>72</v>
      </c>
      <c r="AT40" s="59"/>
      <c r="AU40" s="59"/>
      <c r="AV40" s="59"/>
      <c r="AW40" s="59"/>
      <c r="AX40" s="59"/>
      <c r="AY40" s="60" t="str">
        <f>IF('Cálculo MP'!K50="","",'Cálculo MP'!K50)</f>
        <v/>
      </c>
      <c r="AZ40" s="60" t="str">
        <f>IF('Cálculo MP'!L50="","",'Cálculo MP'!L50)</f>
        <v/>
      </c>
      <c r="BA40" s="60" t="str">
        <f>IF('Cálculo MP'!M50="","",'Cálculo MP'!M50)</f>
        <v/>
      </c>
      <c r="BB40" s="60" t="str">
        <f>IF('Cálculo MP'!N50="","",'Cálculo MP'!N50)</f>
        <v/>
      </c>
      <c r="BC40" s="60" t="str">
        <f>IF('Cálculo MP'!O50="","",'Cálculo MP'!O50)</f>
        <v/>
      </c>
      <c r="BD40" s="60" t="str">
        <f>IF('Cálculo MP'!P50="","",'Cálculo MP'!P50)</f>
        <v/>
      </c>
      <c r="BE40" s="60" t="str">
        <f>IF('Cálculo MP'!Q50="","",'Cálculo MP'!Q50)</f>
        <v/>
      </c>
      <c r="BF40" s="60" t="str">
        <f>IF('Cálculo MP'!R50="","",'Cálculo MP'!R50)</f>
        <v/>
      </c>
      <c r="BG40" s="60" t="str">
        <f>IF('Cálculo MP'!S50="","",'Cálculo MP'!S50)</f>
        <v/>
      </c>
      <c r="BH40" s="61"/>
      <c r="BI40" s="61"/>
      <c r="BJ40" s="61"/>
      <c r="BK40" s="61"/>
      <c r="BL40" s="61"/>
      <c r="BM40" s="61"/>
      <c r="BN40" s="61"/>
      <c r="BO40" s="61"/>
    </row>
    <row r="41" spans="1:67" ht="19.5" customHeight="1" x14ac:dyDescent="0.2">
      <c r="A41" s="114" t="s">
        <v>1789</v>
      </c>
      <c r="B41" s="113" t="s">
        <v>1787</v>
      </c>
      <c r="C41" s="122"/>
      <c r="D41" s="48" t="s">
        <v>73</v>
      </c>
      <c r="E41" s="49"/>
      <c r="F41" s="50"/>
      <c r="G41" s="62"/>
      <c r="H41" s="48" t="s">
        <v>72</v>
      </c>
      <c r="I41" s="135">
        <v>1</v>
      </c>
      <c r="J41" s="52"/>
      <c r="K41" s="52" t="s">
        <v>73</v>
      </c>
      <c r="L41" s="52" t="s">
        <v>74</v>
      </c>
      <c r="M41" s="53" t="s">
        <v>917</v>
      </c>
      <c r="N41" s="58" t="s">
        <v>73</v>
      </c>
      <c r="O41" s="48" t="s">
        <v>72</v>
      </c>
      <c r="P41" s="48" t="s">
        <v>73</v>
      </c>
      <c r="Q41" s="54" t="s">
        <v>73</v>
      </c>
      <c r="R41" s="55" t="s">
        <v>73</v>
      </c>
      <c r="S41" s="48" t="s">
        <v>73</v>
      </c>
      <c r="T41" s="121" t="str" cm="1">
        <f t="array" ref="T41">IF(ISNUMBER(SEARCH("SCHNEIDER",D41)),_xlfn.IFS(ISNUMBER(SEARCH("2 Querétaro",D41)),"SQ2",ISNUMBER(SEARCH("Xicohténcatl",D41)),"SXC",ISNUMBER(SEARCH("Rojo Gómez",D41)),"SRG",ISNUMBER(SEARCH("Tlaxcala",D41)),"STX",ISNUMBER(SEARCH("Monterrey",D41)),"SMY",ISNUMBER(SEARCH("Querétaro",D41)),"SQ1",ISNUMBER(SEARCH("CDMX",D41)),"SCM",TRUE,""),"")</f>
        <v/>
      </c>
      <c r="U41" s="48" t="str" cm="1">
        <f t="array" ref="U41">_xlfn.LET(_xlpm.resultados,_xlfn.UNIQUE(_xlfn._xlws.FILTER(Tabla1[Proceso],(Tabla1[Metal Base]=O41)*(Tabla1[Etiquetas]=_xlfn.TEXTJOIN(" + ",TRUE,IF((TRIM(Upload!P41:S41)="")+(LOWER(TRIM(Upload!P41:S41))="(seleccione)"),"",PROPER(TRIM(Upload!P41:S41)))))*(Tabla1[Línea2]=IFERROR(VLOOKUP(Upload!N41&amp;"*",CAT_Procesos!D:D,1,FALSE),"")))),_xlpm.cantidad,ROWS(_xlpm.resultados),IF(ISERROR(_xlpm.cantidad),"Combinación no existente",IF(_xlpm.cantidad=1,INDEX(_xlpm.resultados,1),"(seleccione)")))</f>
        <v>Combinación no existente</v>
      </c>
      <c r="V41" s="55" t="s">
        <v>73</v>
      </c>
      <c r="W41" s="56" t="s">
        <v>73</v>
      </c>
      <c r="X41" s="57" t="str">
        <f t="shared" si="0"/>
        <v/>
      </c>
      <c r="Y41" s="58" t="s">
        <v>73</v>
      </c>
      <c r="Z41" s="57" t="str">
        <f t="shared" si="1"/>
        <v/>
      </c>
      <c r="AA41" s="58" t="s">
        <v>73</v>
      </c>
      <c r="AB41" s="57" t="str">
        <f t="shared" si="2"/>
        <v/>
      </c>
      <c r="AC41" s="58" t="s">
        <v>73</v>
      </c>
      <c r="AD41" s="57" t="str">
        <f t="shared" si="3"/>
        <v/>
      </c>
      <c r="AE41" s="59"/>
      <c r="AF41" s="59"/>
      <c r="AG41" s="59"/>
      <c r="AH41" s="59"/>
      <c r="AI41" s="59" t="s">
        <v>73</v>
      </c>
      <c r="AJ41" s="59"/>
      <c r="AK41" s="59" t="s">
        <v>73</v>
      </c>
      <c r="AL41" s="59"/>
      <c r="AM41" s="59" t="s">
        <v>73</v>
      </c>
      <c r="AN41" s="59"/>
      <c r="AO41" s="59" t="s">
        <v>73</v>
      </c>
      <c r="AP41" s="59"/>
      <c r="AQ41" s="59" t="s">
        <v>73</v>
      </c>
      <c r="AR41" s="59"/>
      <c r="AS41" s="59" t="s">
        <v>72</v>
      </c>
      <c r="AT41" s="59"/>
      <c r="AU41" s="59"/>
      <c r="AV41" s="59"/>
      <c r="AW41" s="59"/>
      <c r="AX41" s="59"/>
      <c r="AY41" s="60" t="str">
        <f>IF('Cálculo MP'!K51="","",'Cálculo MP'!K51)</f>
        <v/>
      </c>
      <c r="AZ41" s="60" t="str">
        <f>IF('Cálculo MP'!L51="","",'Cálculo MP'!L51)</f>
        <v/>
      </c>
      <c r="BA41" s="60" t="str">
        <f>IF('Cálculo MP'!M51="","",'Cálculo MP'!M51)</f>
        <v/>
      </c>
      <c r="BB41" s="60" t="str">
        <f>IF('Cálculo MP'!N51="","",'Cálculo MP'!N51)</f>
        <v/>
      </c>
      <c r="BC41" s="60" t="str">
        <f>IF('Cálculo MP'!O51="","",'Cálculo MP'!O51)</f>
        <v/>
      </c>
      <c r="BD41" s="60" t="str">
        <f>IF('Cálculo MP'!P51="","",'Cálculo MP'!P51)</f>
        <v/>
      </c>
      <c r="BE41" s="60" t="str">
        <f>IF('Cálculo MP'!Q51="","",'Cálculo MP'!Q51)</f>
        <v/>
      </c>
      <c r="BF41" s="60" t="str">
        <f>IF('Cálculo MP'!R51="","",'Cálculo MP'!R51)</f>
        <v/>
      </c>
      <c r="BG41" s="60" t="str">
        <f>IF('Cálculo MP'!S51="","",'Cálculo MP'!S51)</f>
        <v/>
      </c>
      <c r="BH41" s="61"/>
      <c r="BI41" s="61"/>
      <c r="BJ41" s="61"/>
      <c r="BK41" s="61"/>
      <c r="BL41" s="61"/>
      <c r="BM41" s="61"/>
      <c r="BN41" s="61"/>
      <c r="BO41" s="61"/>
    </row>
    <row r="42" spans="1:67" ht="19.5" customHeight="1" x14ac:dyDescent="0.2">
      <c r="A42" s="114" t="s">
        <v>1789</v>
      </c>
      <c r="B42" s="113" t="s">
        <v>1787</v>
      </c>
      <c r="C42" s="122"/>
      <c r="D42" s="48" t="s">
        <v>73</v>
      </c>
      <c r="E42" s="49"/>
      <c r="F42" s="50"/>
      <c r="G42" s="62"/>
      <c r="H42" s="48" t="s">
        <v>72</v>
      </c>
      <c r="I42" s="135">
        <v>1</v>
      </c>
      <c r="J42" s="52"/>
      <c r="K42" s="52" t="s">
        <v>73</v>
      </c>
      <c r="L42" s="52" t="s">
        <v>74</v>
      </c>
      <c r="M42" s="53" t="s">
        <v>917</v>
      </c>
      <c r="N42" s="58" t="s">
        <v>73</v>
      </c>
      <c r="O42" s="48" t="s">
        <v>72</v>
      </c>
      <c r="P42" s="48" t="s">
        <v>73</v>
      </c>
      <c r="Q42" s="54" t="s">
        <v>73</v>
      </c>
      <c r="R42" s="55" t="s">
        <v>73</v>
      </c>
      <c r="S42" s="48" t="s">
        <v>73</v>
      </c>
      <c r="T42" s="121" t="str" cm="1">
        <f t="array" ref="T42">IF(ISNUMBER(SEARCH("SCHNEIDER",D42)),_xlfn.IFS(ISNUMBER(SEARCH("2 Querétaro",D42)),"SQ2",ISNUMBER(SEARCH("Xicohténcatl",D42)),"SXC",ISNUMBER(SEARCH("Rojo Gómez",D42)),"SRG",ISNUMBER(SEARCH("Tlaxcala",D42)),"STX",ISNUMBER(SEARCH("Monterrey",D42)),"SMY",ISNUMBER(SEARCH("Querétaro",D42)),"SQ1",ISNUMBER(SEARCH("CDMX",D42)),"SCM",TRUE,""),"")</f>
        <v/>
      </c>
      <c r="U42" s="48" t="str" cm="1">
        <f t="array" ref="U42">_xlfn.LET(_xlpm.resultados,_xlfn.UNIQUE(_xlfn._xlws.FILTER(Tabla1[Proceso],(Tabla1[Metal Base]=O42)*(Tabla1[Etiquetas]=_xlfn.TEXTJOIN(" + ",TRUE,IF((TRIM(Upload!P42:S42)="")+(LOWER(TRIM(Upload!P42:S42))="(seleccione)"),"",PROPER(TRIM(Upload!P42:S42)))))*(Tabla1[Línea2]=IFERROR(VLOOKUP(Upload!N42&amp;"*",CAT_Procesos!D:D,1,FALSE),"")))),_xlpm.cantidad,ROWS(_xlpm.resultados),IF(ISERROR(_xlpm.cantidad),"Combinación no existente",IF(_xlpm.cantidad=1,INDEX(_xlpm.resultados,1),"(seleccione)")))</f>
        <v>Combinación no existente</v>
      </c>
      <c r="V42" s="55" t="s">
        <v>73</v>
      </c>
      <c r="W42" s="56" t="s">
        <v>73</v>
      </c>
      <c r="X42" s="57" t="str">
        <f t="shared" si="0"/>
        <v/>
      </c>
      <c r="Y42" s="58" t="s">
        <v>73</v>
      </c>
      <c r="Z42" s="57" t="str">
        <f t="shared" si="1"/>
        <v/>
      </c>
      <c r="AA42" s="58" t="s">
        <v>73</v>
      </c>
      <c r="AB42" s="57" t="str">
        <f t="shared" si="2"/>
        <v/>
      </c>
      <c r="AC42" s="58" t="s">
        <v>73</v>
      </c>
      <c r="AD42" s="57" t="str">
        <f t="shared" si="3"/>
        <v/>
      </c>
      <c r="AE42" s="59"/>
      <c r="AF42" s="59"/>
      <c r="AG42" s="59"/>
      <c r="AH42" s="59"/>
      <c r="AI42" s="59" t="s">
        <v>73</v>
      </c>
      <c r="AJ42" s="59"/>
      <c r="AK42" s="59" t="s">
        <v>73</v>
      </c>
      <c r="AL42" s="59"/>
      <c r="AM42" s="59" t="s">
        <v>73</v>
      </c>
      <c r="AN42" s="59"/>
      <c r="AO42" s="59" t="s">
        <v>73</v>
      </c>
      <c r="AP42" s="59"/>
      <c r="AQ42" s="59" t="s">
        <v>73</v>
      </c>
      <c r="AR42" s="59"/>
      <c r="AS42" s="59" t="s">
        <v>72</v>
      </c>
      <c r="AT42" s="59"/>
      <c r="AU42" s="59"/>
      <c r="AV42" s="59"/>
      <c r="AW42" s="59"/>
      <c r="AX42" s="59"/>
      <c r="AY42" s="60" t="str">
        <f>IF('Cálculo MP'!K52="","",'Cálculo MP'!K52)</f>
        <v/>
      </c>
      <c r="AZ42" s="60" t="str">
        <f>IF('Cálculo MP'!L52="","",'Cálculo MP'!L52)</f>
        <v/>
      </c>
      <c r="BA42" s="60" t="str">
        <f>IF('Cálculo MP'!M52="","",'Cálculo MP'!M52)</f>
        <v/>
      </c>
      <c r="BB42" s="60" t="str">
        <f>IF('Cálculo MP'!N52="","",'Cálculo MP'!N52)</f>
        <v/>
      </c>
      <c r="BC42" s="60" t="str">
        <f>IF('Cálculo MP'!O52="","",'Cálculo MP'!O52)</f>
        <v/>
      </c>
      <c r="BD42" s="60" t="str">
        <f>IF('Cálculo MP'!P52="","",'Cálculo MP'!P52)</f>
        <v/>
      </c>
      <c r="BE42" s="60" t="str">
        <f>IF('Cálculo MP'!Q52="","",'Cálculo MP'!Q52)</f>
        <v/>
      </c>
      <c r="BF42" s="60" t="str">
        <f>IF('Cálculo MP'!R52="","",'Cálculo MP'!R52)</f>
        <v/>
      </c>
      <c r="BG42" s="60" t="str">
        <f>IF('Cálculo MP'!S52="","",'Cálculo MP'!S52)</f>
        <v/>
      </c>
      <c r="BH42" s="61"/>
      <c r="BI42" s="61"/>
      <c r="BJ42" s="61"/>
      <c r="BK42" s="61"/>
      <c r="BL42" s="61"/>
      <c r="BM42" s="61"/>
      <c r="BN42" s="61"/>
      <c r="BO42" s="61"/>
    </row>
    <row r="43" spans="1:67" ht="19.5" customHeight="1" x14ac:dyDescent="0.2">
      <c r="A43" s="114" t="s">
        <v>1789</v>
      </c>
      <c r="B43" s="113" t="s">
        <v>1787</v>
      </c>
      <c r="C43" s="122"/>
      <c r="D43" s="48" t="s">
        <v>73</v>
      </c>
      <c r="E43" s="49"/>
      <c r="F43" s="50"/>
      <c r="G43" s="62"/>
      <c r="H43" s="48" t="s">
        <v>72</v>
      </c>
      <c r="I43" s="135">
        <v>1</v>
      </c>
      <c r="J43" s="52"/>
      <c r="K43" s="52" t="s">
        <v>73</v>
      </c>
      <c r="L43" s="52" t="s">
        <v>74</v>
      </c>
      <c r="M43" s="53" t="s">
        <v>917</v>
      </c>
      <c r="N43" s="58" t="s">
        <v>73</v>
      </c>
      <c r="O43" s="48" t="s">
        <v>72</v>
      </c>
      <c r="P43" s="48" t="s">
        <v>73</v>
      </c>
      <c r="Q43" s="54" t="s">
        <v>73</v>
      </c>
      <c r="R43" s="55" t="s">
        <v>73</v>
      </c>
      <c r="S43" s="48" t="s">
        <v>73</v>
      </c>
      <c r="T43" s="121" t="str" cm="1">
        <f t="array" ref="T43">IF(ISNUMBER(SEARCH("SCHNEIDER",D43)),_xlfn.IFS(ISNUMBER(SEARCH("2 Querétaro",D43)),"SQ2",ISNUMBER(SEARCH("Xicohténcatl",D43)),"SXC",ISNUMBER(SEARCH("Rojo Gómez",D43)),"SRG",ISNUMBER(SEARCH("Tlaxcala",D43)),"STX",ISNUMBER(SEARCH("Monterrey",D43)),"SMY",ISNUMBER(SEARCH("Querétaro",D43)),"SQ1",ISNUMBER(SEARCH("CDMX",D43)),"SCM",TRUE,""),"")</f>
        <v/>
      </c>
      <c r="U43" s="48" t="str" cm="1">
        <f t="array" ref="U43">_xlfn.LET(_xlpm.resultados,_xlfn.UNIQUE(_xlfn._xlws.FILTER(Tabla1[Proceso],(Tabla1[Metal Base]=O43)*(Tabla1[Etiquetas]=_xlfn.TEXTJOIN(" + ",TRUE,IF((TRIM(Upload!P43:S43)="")+(LOWER(TRIM(Upload!P43:S43))="(seleccione)"),"",PROPER(TRIM(Upload!P43:S43)))))*(Tabla1[Línea2]=IFERROR(VLOOKUP(Upload!N43&amp;"*",CAT_Procesos!D:D,1,FALSE),"")))),_xlpm.cantidad,ROWS(_xlpm.resultados),IF(ISERROR(_xlpm.cantidad),"Combinación no existente",IF(_xlpm.cantidad=1,INDEX(_xlpm.resultados,1),"(seleccione)")))</f>
        <v>Combinación no existente</v>
      </c>
      <c r="V43" s="55" t="s">
        <v>73</v>
      </c>
      <c r="W43" s="56" t="s">
        <v>73</v>
      </c>
      <c r="X43" s="57" t="str">
        <f t="shared" si="0"/>
        <v/>
      </c>
      <c r="Y43" s="58" t="s">
        <v>73</v>
      </c>
      <c r="Z43" s="57" t="str">
        <f t="shared" si="1"/>
        <v/>
      </c>
      <c r="AA43" s="58" t="s">
        <v>73</v>
      </c>
      <c r="AB43" s="57" t="str">
        <f t="shared" si="2"/>
        <v/>
      </c>
      <c r="AC43" s="58" t="s">
        <v>73</v>
      </c>
      <c r="AD43" s="57" t="str">
        <f t="shared" si="3"/>
        <v/>
      </c>
      <c r="AE43" s="59"/>
      <c r="AF43" s="59"/>
      <c r="AG43" s="59"/>
      <c r="AH43" s="59"/>
      <c r="AI43" s="59" t="s">
        <v>73</v>
      </c>
      <c r="AJ43" s="59"/>
      <c r="AK43" s="59" t="s">
        <v>73</v>
      </c>
      <c r="AL43" s="59"/>
      <c r="AM43" s="59" t="s">
        <v>73</v>
      </c>
      <c r="AN43" s="59"/>
      <c r="AO43" s="59" t="s">
        <v>73</v>
      </c>
      <c r="AP43" s="59"/>
      <c r="AQ43" s="59" t="s">
        <v>73</v>
      </c>
      <c r="AR43" s="59"/>
      <c r="AS43" s="59" t="s">
        <v>72</v>
      </c>
      <c r="AT43" s="59"/>
      <c r="AU43" s="59"/>
      <c r="AV43" s="59"/>
      <c r="AW43" s="59"/>
      <c r="AX43" s="59"/>
      <c r="AY43" s="60" t="str">
        <f>IF('Cálculo MP'!K53="","",'Cálculo MP'!K53)</f>
        <v/>
      </c>
      <c r="AZ43" s="60" t="str">
        <f>IF('Cálculo MP'!L53="","",'Cálculo MP'!L53)</f>
        <v/>
      </c>
      <c r="BA43" s="60" t="str">
        <f>IF('Cálculo MP'!M53="","",'Cálculo MP'!M53)</f>
        <v/>
      </c>
      <c r="BB43" s="60" t="str">
        <f>IF('Cálculo MP'!N53="","",'Cálculo MP'!N53)</f>
        <v/>
      </c>
      <c r="BC43" s="60" t="str">
        <f>IF('Cálculo MP'!O53="","",'Cálculo MP'!O53)</f>
        <v/>
      </c>
      <c r="BD43" s="60" t="str">
        <f>IF('Cálculo MP'!P53="","",'Cálculo MP'!P53)</f>
        <v/>
      </c>
      <c r="BE43" s="60" t="str">
        <f>IF('Cálculo MP'!Q53="","",'Cálculo MP'!Q53)</f>
        <v/>
      </c>
      <c r="BF43" s="60" t="str">
        <f>IF('Cálculo MP'!R53="","",'Cálculo MP'!R53)</f>
        <v/>
      </c>
      <c r="BG43" s="60" t="str">
        <f>IF('Cálculo MP'!S53="","",'Cálculo MP'!S53)</f>
        <v/>
      </c>
      <c r="BH43" s="61"/>
      <c r="BI43" s="61"/>
      <c r="BJ43" s="61"/>
      <c r="BK43" s="61"/>
      <c r="BL43" s="61"/>
      <c r="BM43" s="61"/>
      <c r="BN43" s="61"/>
      <c r="BO43" s="61"/>
    </row>
    <row r="44" spans="1:67" ht="19.5" customHeight="1" x14ac:dyDescent="0.2">
      <c r="A44" s="114" t="s">
        <v>1789</v>
      </c>
      <c r="B44" s="113" t="s">
        <v>1787</v>
      </c>
      <c r="C44" s="122"/>
      <c r="D44" s="48" t="s">
        <v>73</v>
      </c>
      <c r="E44" s="49"/>
      <c r="F44" s="50"/>
      <c r="G44" s="62"/>
      <c r="H44" s="48" t="s">
        <v>72</v>
      </c>
      <c r="I44" s="135">
        <v>1</v>
      </c>
      <c r="J44" s="52"/>
      <c r="K44" s="52" t="s">
        <v>73</v>
      </c>
      <c r="L44" s="52" t="s">
        <v>74</v>
      </c>
      <c r="M44" s="53" t="s">
        <v>917</v>
      </c>
      <c r="N44" s="58" t="s">
        <v>73</v>
      </c>
      <c r="O44" s="48" t="s">
        <v>72</v>
      </c>
      <c r="P44" s="48" t="s">
        <v>73</v>
      </c>
      <c r="Q44" s="54" t="s">
        <v>73</v>
      </c>
      <c r="R44" s="55" t="s">
        <v>73</v>
      </c>
      <c r="S44" s="48" t="s">
        <v>73</v>
      </c>
      <c r="T44" s="121" t="str" cm="1">
        <f t="array" ref="T44">IF(ISNUMBER(SEARCH("SCHNEIDER",D44)),_xlfn.IFS(ISNUMBER(SEARCH("2 Querétaro",D44)),"SQ2",ISNUMBER(SEARCH("Xicohténcatl",D44)),"SXC",ISNUMBER(SEARCH("Rojo Gómez",D44)),"SRG",ISNUMBER(SEARCH("Tlaxcala",D44)),"STX",ISNUMBER(SEARCH("Monterrey",D44)),"SMY",ISNUMBER(SEARCH("Querétaro",D44)),"SQ1",ISNUMBER(SEARCH("CDMX",D44)),"SCM",TRUE,""),"")</f>
        <v/>
      </c>
      <c r="U44" s="48" t="str" cm="1">
        <f t="array" ref="U44">_xlfn.LET(_xlpm.resultados,_xlfn.UNIQUE(_xlfn._xlws.FILTER(Tabla1[Proceso],(Tabla1[Metal Base]=O44)*(Tabla1[Etiquetas]=_xlfn.TEXTJOIN(" + ",TRUE,IF((TRIM(Upload!P44:S44)="")+(LOWER(TRIM(Upload!P44:S44))="(seleccione)"),"",PROPER(TRIM(Upload!P44:S44)))))*(Tabla1[Línea2]=IFERROR(VLOOKUP(Upload!N44&amp;"*",CAT_Procesos!D:D,1,FALSE),"")))),_xlpm.cantidad,ROWS(_xlpm.resultados),IF(ISERROR(_xlpm.cantidad),"Combinación no existente",IF(_xlpm.cantidad=1,INDEX(_xlpm.resultados,1),"(seleccione)")))</f>
        <v>Combinación no existente</v>
      </c>
      <c r="V44" s="55" t="s">
        <v>73</v>
      </c>
      <c r="W44" s="56" t="s">
        <v>73</v>
      </c>
      <c r="X44" s="57" t="str">
        <f t="shared" si="0"/>
        <v/>
      </c>
      <c r="Y44" s="58" t="s">
        <v>73</v>
      </c>
      <c r="Z44" s="57" t="str">
        <f t="shared" si="1"/>
        <v/>
      </c>
      <c r="AA44" s="58" t="s">
        <v>73</v>
      </c>
      <c r="AB44" s="57" t="str">
        <f t="shared" si="2"/>
        <v/>
      </c>
      <c r="AC44" s="58" t="s">
        <v>73</v>
      </c>
      <c r="AD44" s="57" t="str">
        <f t="shared" si="3"/>
        <v/>
      </c>
      <c r="AE44" s="59"/>
      <c r="AF44" s="59"/>
      <c r="AG44" s="59"/>
      <c r="AH44" s="59"/>
      <c r="AI44" s="59" t="s">
        <v>73</v>
      </c>
      <c r="AJ44" s="59"/>
      <c r="AK44" s="59" t="s">
        <v>73</v>
      </c>
      <c r="AL44" s="59"/>
      <c r="AM44" s="59" t="s">
        <v>73</v>
      </c>
      <c r="AN44" s="59"/>
      <c r="AO44" s="59" t="s">
        <v>73</v>
      </c>
      <c r="AP44" s="59"/>
      <c r="AQ44" s="59" t="s">
        <v>73</v>
      </c>
      <c r="AR44" s="59"/>
      <c r="AS44" s="59" t="s">
        <v>72</v>
      </c>
      <c r="AT44" s="59"/>
      <c r="AU44" s="59"/>
      <c r="AV44" s="59"/>
      <c r="AW44" s="59"/>
      <c r="AX44" s="59"/>
      <c r="AY44" s="60" t="str">
        <f>IF('Cálculo MP'!K54="","",'Cálculo MP'!K54)</f>
        <v/>
      </c>
      <c r="AZ44" s="60" t="str">
        <f>IF('Cálculo MP'!L54="","",'Cálculo MP'!L54)</f>
        <v/>
      </c>
      <c r="BA44" s="60" t="str">
        <f>IF('Cálculo MP'!M54="","",'Cálculo MP'!M54)</f>
        <v/>
      </c>
      <c r="BB44" s="60" t="str">
        <f>IF('Cálculo MP'!N54="","",'Cálculo MP'!N54)</f>
        <v/>
      </c>
      <c r="BC44" s="60" t="str">
        <f>IF('Cálculo MP'!O54="","",'Cálculo MP'!O54)</f>
        <v/>
      </c>
      <c r="BD44" s="60" t="str">
        <f>IF('Cálculo MP'!P54="","",'Cálculo MP'!P54)</f>
        <v/>
      </c>
      <c r="BE44" s="60" t="str">
        <f>IF('Cálculo MP'!Q54="","",'Cálculo MP'!Q54)</f>
        <v/>
      </c>
      <c r="BF44" s="60" t="str">
        <f>IF('Cálculo MP'!R54="","",'Cálculo MP'!R54)</f>
        <v/>
      </c>
      <c r="BG44" s="60" t="str">
        <f>IF('Cálculo MP'!S54="","",'Cálculo MP'!S54)</f>
        <v/>
      </c>
      <c r="BH44" s="61"/>
      <c r="BI44" s="61"/>
      <c r="BJ44" s="61"/>
      <c r="BK44" s="61"/>
      <c r="BL44" s="61"/>
      <c r="BM44" s="61"/>
      <c r="BN44" s="61"/>
      <c r="BO44" s="61"/>
    </row>
    <row r="45" spans="1:67" ht="19.5" customHeight="1" x14ac:dyDescent="0.2">
      <c r="A45" s="114" t="s">
        <v>1789</v>
      </c>
      <c r="B45" s="113" t="s">
        <v>1787</v>
      </c>
      <c r="C45" s="122"/>
      <c r="D45" s="48" t="s">
        <v>73</v>
      </c>
      <c r="E45" s="49"/>
      <c r="F45" s="50"/>
      <c r="G45" s="62"/>
      <c r="H45" s="48" t="s">
        <v>72</v>
      </c>
      <c r="I45" s="135">
        <v>1</v>
      </c>
      <c r="J45" s="52"/>
      <c r="K45" s="52" t="s">
        <v>73</v>
      </c>
      <c r="L45" s="52" t="s">
        <v>74</v>
      </c>
      <c r="M45" s="53" t="s">
        <v>917</v>
      </c>
      <c r="N45" s="58" t="s">
        <v>73</v>
      </c>
      <c r="O45" s="48" t="s">
        <v>72</v>
      </c>
      <c r="P45" s="48" t="s">
        <v>73</v>
      </c>
      <c r="Q45" s="54" t="s">
        <v>73</v>
      </c>
      <c r="R45" s="55" t="s">
        <v>73</v>
      </c>
      <c r="S45" s="48" t="s">
        <v>73</v>
      </c>
      <c r="T45" s="121" t="str" cm="1">
        <f t="array" ref="T45">IF(ISNUMBER(SEARCH("SCHNEIDER",D45)),_xlfn.IFS(ISNUMBER(SEARCH("2 Querétaro",D45)),"SQ2",ISNUMBER(SEARCH("Xicohténcatl",D45)),"SXC",ISNUMBER(SEARCH("Rojo Gómez",D45)),"SRG",ISNUMBER(SEARCH("Tlaxcala",D45)),"STX",ISNUMBER(SEARCH("Monterrey",D45)),"SMY",ISNUMBER(SEARCH("Querétaro",D45)),"SQ1",ISNUMBER(SEARCH("CDMX",D45)),"SCM",TRUE,""),"")</f>
        <v/>
      </c>
      <c r="U45" s="48" t="str" cm="1">
        <f t="array" ref="U45">_xlfn.LET(_xlpm.resultados,_xlfn.UNIQUE(_xlfn._xlws.FILTER(Tabla1[Proceso],(Tabla1[Metal Base]=O45)*(Tabla1[Etiquetas]=_xlfn.TEXTJOIN(" + ",TRUE,IF((TRIM(Upload!P45:S45)="")+(LOWER(TRIM(Upload!P45:S45))="(seleccione)"),"",PROPER(TRIM(Upload!P45:S45)))))*(Tabla1[Línea2]=IFERROR(VLOOKUP(Upload!N45&amp;"*",CAT_Procesos!D:D,1,FALSE),"")))),_xlpm.cantidad,ROWS(_xlpm.resultados),IF(ISERROR(_xlpm.cantidad),"Combinación no existente",IF(_xlpm.cantidad=1,INDEX(_xlpm.resultados,1),"(seleccione)")))</f>
        <v>Combinación no existente</v>
      </c>
      <c r="V45" s="55" t="s">
        <v>73</v>
      </c>
      <c r="W45" s="56" t="s">
        <v>73</v>
      </c>
      <c r="X45" s="57" t="str">
        <f t="shared" si="0"/>
        <v/>
      </c>
      <c r="Y45" s="58" t="s">
        <v>73</v>
      </c>
      <c r="Z45" s="57" t="str">
        <f t="shared" si="1"/>
        <v/>
      </c>
      <c r="AA45" s="58" t="s">
        <v>73</v>
      </c>
      <c r="AB45" s="57" t="str">
        <f t="shared" si="2"/>
        <v/>
      </c>
      <c r="AC45" s="58" t="s">
        <v>73</v>
      </c>
      <c r="AD45" s="57" t="str">
        <f t="shared" si="3"/>
        <v/>
      </c>
      <c r="AE45" s="59"/>
      <c r="AF45" s="59"/>
      <c r="AG45" s="59"/>
      <c r="AH45" s="59"/>
      <c r="AI45" s="59" t="s">
        <v>73</v>
      </c>
      <c r="AJ45" s="59"/>
      <c r="AK45" s="59" t="s">
        <v>73</v>
      </c>
      <c r="AL45" s="59"/>
      <c r="AM45" s="59" t="s">
        <v>73</v>
      </c>
      <c r="AN45" s="59"/>
      <c r="AO45" s="59" t="s">
        <v>73</v>
      </c>
      <c r="AP45" s="59"/>
      <c r="AQ45" s="59" t="s">
        <v>73</v>
      </c>
      <c r="AR45" s="59"/>
      <c r="AS45" s="59" t="s">
        <v>72</v>
      </c>
      <c r="AT45" s="59"/>
      <c r="AU45" s="59"/>
      <c r="AV45" s="59"/>
      <c r="AW45" s="59"/>
      <c r="AX45" s="59"/>
      <c r="AY45" s="60" t="str">
        <f>IF('Cálculo MP'!K55="","",'Cálculo MP'!K55)</f>
        <v/>
      </c>
      <c r="AZ45" s="60" t="str">
        <f>IF('Cálculo MP'!L55="","",'Cálculo MP'!L55)</f>
        <v/>
      </c>
      <c r="BA45" s="60" t="str">
        <f>IF('Cálculo MP'!M55="","",'Cálculo MP'!M55)</f>
        <v/>
      </c>
      <c r="BB45" s="60" t="str">
        <f>IF('Cálculo MP'!N55="","",'Cálculo MP'!N55)</f>
        <v/>
      </c>
      <c r="BC45" s="60" t="str">
        <f>IF('Cálculo MP'!O55="","",'Cálculo MP'!O55)</f>
        <v/>
      </c>
      <c r="BD45" s="60" t="str">
        <f>IF('Cálculo MP'!P55="","",'Cálculo MP'!P55)</f>
        <v/>
      </c>
      <c r="BE45" s="60" t="str">
        <f>IF('Cálculo MP'!Q55="","",'Cálculo MP'!Q55)</f>
        <v/>
      </c>
      <c r="BF45" s="60" t="str">
        <f>IF('Cálculo MP'!R55="","",'Cálculo MP'!R55)</f>
        <v/>
      </c>
      <c r="BG45" s="60" t="str">
        <f>IF('Cálculo MP'!S55="","",'Cálculo MP'!S55)</f>
        <v/>
      </c>
      <c r="BH45" s="61"/>
      <c r="BI45" s="61"/>
      <c r="BJ45" s="61"/>
      <c r="BK45" s="61"/>
      <c r="BL45" s="61"/>
      <c r="BM45" s="61"/>
      <c r="BN45" s="61"/>
      <c r="BO45" s="61"/>
    </row>
    <row r="46" spans="1:67" ht="19.5" customHeight="1" x14ac:dyDescent="0.2">
      <c r="A46" s="114" t="s">
        <v>1789</v>
      </c>
      <c r="B46" s="113" t="s">
        <v>1787</v>
      </c>
      <c r="C46" s="122"/>
      <c r="D46" s="48" t="s">
        <v>73</v>
      </c>
      <c r="E46" s="49"/>
      <c r="F46" s="50"/>
      <c r="G46" s="62"/>
      <c r="H46" s="48" t="s">
        <v>72</v>
      </c>
      <c r="I46" s="135">
        <v>1</v>
      </c>
      <c r="J46" s="52"/>
      <c r="K46" s="52" t="s">
        <v>73</v>
      </c>
      <c r="L46" s="52" t="s">
        <v>74</v>
      </c>
      <c r="M46" s="53" t="s">
        <v>917</v>
      </c>
      <c r="N46" s="58" t="s">
        <v>73</v>
      </c>
      <c r="O46" s="48" t="s">
        <v>72</v>
      </c>
      <c r="P46" s="48" t="s">
        <v>73</v>
      </c>
      <c r="Q46" s="54" t="s">
        <v>73</v>
      </c>
      <c r="R46" s="55" t="s">
        <v>73</v>
      </c>
      <c r="S46" s="48" t="s">
        <v>73</v>
      </c>
      <c r="T46" s="121" t="str" cm="1">
        <f t="array" ref="T46">IF(ISNUMBER(SEARCH("SCHNEIDER",D46)),_xlfn.IFS(ISNUMBER(SEARCH("2 Querétaro",D46)),"SQ2",ISNUMBER(SEARCH("Xicohténcatl",D46)),"SXC",ISNUMBER(SEARCH("Rojo Gómez",D46)),"SRG",ISNUMBER(SEARCH("Tlaxcala",D46)),"STX",ISNUMBER(SEARCH("Monterrey",D46)),"SMY",ISNUMBER(SEARCH("Querétaro",D46)),"SQ1",ISNUMBER(SEARCH("CDMX",D46)),"SCM",TRUE,""),"")</f>
        <v/>
      </c>
      <c r="U46" s="48" t="str" cm="1">
        <f t="array" ref="U46">_xlfn.LET(_xlpm.resultados,_xlfn.UNIQUE(_xlfn._xlws.FILTER(Tabla1[Proceso],(Tabla1[Metal Base]=O46)*(Tabla1[Etiquetas]=_xlfn.TEXTJOIN(" + ",TRUE,IF((TRIM(Upload!P46:S46)="")+(LOWER(TRIM(Upload!P46:S46))="(seleccione)"),"",PROPER(TRIM(Upload!P46:S46)))))*(Tabla1[Línea2]=IFERROR(VLOOKUP(Upload!N46&amp;"*",CAT_Procesos!D:D,1,FALSE),"")))),_xlpm.cantidad,ROWS(_xlpm.resultados),IF(ISERROR(_xlpm.cantidad),"Combinación no existente",IF(_xlpm.cantidad=1,INDEX(_xlpm.resultados,1),"(seleccione)")))</f>
        <v>Combinación no existente</v>
      </c>
      <c r="V46" s="55" t="s">
        <v>73</v>
      </c>
      <c r="W46" s="56" t="s">
        <v>73</v>
      </c>
      <c r="X46" s="57" t="str">
        <f t="shared" si="0"/>
        <v/>
      </c>
      <c r="Y46" s="58" t="s">
        <v>73</v>
      </c>
      <c r="Z46" s="57" t="str">
        <f t="shared" si="1"/>
        <v/>
      </c>
      <c r="AA46" s="58" t="s">
        <v>73</v>
      </c>
      <c r="AB46" s="57" t="str">
        <f t="shared" si="2"/>
        <v/>
      </c>
      <c r="AC46" s="58" t="s">
        <v>73</v>
      </c>
      <c r="AD46" s="57" t="str">
        <f t="shared" si="3"/>
        <v/>
      </c>
      <c r="AE46" s="59"/>
      <c r="AF46" s="59"/>
      <c r="AG46" s="59"/>
      <c r="AH46" s="59"/>
      <c r="AI46" s="59" t="s">
        <v>73</v>
      </c>
      <c r="AJ46" s="59"/>
      <c r="AK46" s="59" t="s">
        <v>73</v>
      </c>
      <c r="AL46" s="59"/>
      <c r="AM46" s="59" t="s">
        <v>73</v>
      </c>
      <c r="AN46" s="59"/>
      <c r="AO46" s="59" t="s">
        <v>73</v>
      </c>
      <c r="AP46" s="59"/>
      <c r="AQ46" s="59" t="s">
        <v>73</v>
      </c>
      <c r="AR46" s="59"/>
      <c r="AS46" s="59" t="s">
        <v>72</v>
      </c>
      <c r="AT46" s="59"/>
      <c r="AU46" s="59"/>
      <c r="AV46" s="59"/>
      <c r="AW46" s="59"/>
      <c r="AX46" s="59"/>
      <c r="AY46" s="60" t="str">
        <f>IF('Cálculo MP'!K56="","",'Cálculo MP'!K56)</f>
        <v/>
      </c>
      <c r="AZ46" s="60" t="str">
        <f>IF('Cálculo MP'!L56="","",'Cálculo MP'!L56)</f>
        <v/>
      </c>
      <c r="BA46" s="60" t="str">
        <f>IF('Cálculo MP'!M56="","",'Cálculo MP'!M56)</f>
        <v/>
      </c>
      <c r="BB46" s="60" t="str">
        <f>IF('Cálculo MP'!N56="","",'Cálculo MP'!N56)</f>
        <v/>
      </c>
      <c r="BC46" s="60" t="str">
        <f>IF('Cálculo MP'!O56="","",'Cálculo MP'!O56)</f>
        <v/>
      </c>
      <c r="BD46" s="60" t="str">
        <f>IF('Cálculo MP'!P56="","",'Cálculo MP'!P56)</f>
        <v/>
      </c>
      <c r="BE46" s="60" t="str">
        <f>IF('Cálculo MP'!Q56="","",'Cálculo MP'!Q56)</f>
        <v/>
      </c>
      <c r="BF46" s="60" t="str">
        <f>IF('Cálculo MP'!R56="","",'Cálculo MP'!R56)</f>
        <v/>
      </c>
      <c r="BG46" s="60" t="str">
        <f>IF('Cálculo MP'!S56="","",'Cálculo MP'!S56)</f>
        <v/>
      </c>
      <c r="BH46" s="61"/>
      <c r="BI46" s="61"/>
      <c r="BJ46" s="61"/>
      <c r="BK46" s="61"/>
      <c r="BL46" s="61"/>
      <c r="BM46" s="61"/>
      <c r="BN46" s="61"/>
      <c r="BO46" s="61"/>
    </row>
    <row r="47" spans="1:67" ht="19.5" customHeight="1" x14ac:dyDescent="0.2">
      <c r="A47" s="114" t="s">
        <v>1789</v>
      </c>
      <c r="B47" s="113" t="s">
        <v>1787</v>
      </c>
      <c r="C47" s="122"/>
      <c r="D47" s="48" t="s">
        <v>73</v>
      </c>
      <c r="E47" s="49"/>
      <c r="F47" s="50"/>
      <c r="G47" s="62"/>
      <c r="H47" s="48" t="s">
        <v>72</v>
      </c>
      <c r="I47" s="135">
        <v>1</v>
      </c>
      <c r="J47" s="52"/>
      <c r="K47" s="52" t="s">
        <v>73</v>
      </c>
      <c r="L47" s="52" t="s">
        <v>74</v>
      </c>
      <c r="M47" s="53" t="s">
        <v>917</v>
      </c>
      <c r="N47" s="58" t="s">
        <v>73</v>
      </c>
      <c r="O47" s="48" t="s">
        <v>72</v>
      </c>
      <c r="P47" s="48" t="s">
        <v>73</v>
      </c>
      <c r="Q47" s="54" t="s">
        <v>73</v>
      </c>
      <c r="R47" s="55" t="s">
        <v>73</v>
      </c>
      <c r="S47" s="48" t="s">
        <v>73</v>
      </c>
      <c r="T47" s="121" t="str" cm="1">
        <f t="array" ref="T47">IF(ISNUMBER(SEARCH("SCHNEIDER",D47)),_xlfn.IFS(ISNUMBER(SEARCH("2 Querétaro",D47)),"SQ2",ISNUMBER(SEARCH("Xicohténcatl",D47)),"SXC",ISNUMBER(SEARCH("Rojo Gómez",D47)),"SRG",ISNUMBER(SEARCH("Tlaxcala",D47)),"STX",ISNUMBER(SEARCH("Monterrey",D47)),"SMY",ISNUMBER(SEARCH("Querétaro",D47)),"SQ1",ISNUMBER(SEARCH("CDMX",D47)),"SCM",TRUE,""),"")</f>
        <v/>
      </c>
      <c r="U47" s="48" t="str" cm="1">
        <f t="array" ref="U47">_xlfn.LET(_xlpm.resultados,_xlfn.UNIQUE(_xlfn._xlws.FILTER(Tabla1[Proceso],(Tabla1[Metal Base]=O47)*(Tabla1[Etiquetas]=_xlfn.TEXTJOIN(" + ",TRUE,IF((TRIM(Upload!P47:S47)="")+(LOWER(TRIM(Upload!P47:S47))="(seleccione)"),"",PROPER(TRIM(Upload!P47:S47)))))*(Tabla1[Línea2]=IFERROR(VLOOKUP(Upload!N47&amp;"*",CAT_Procesos!D:D,1,FALSE),"")))),_xlpm.cantidad,ROWS(_xlpm.resultados),IF(ISERROR(_xlpm.cantidad),"Combinación no existente",IF(_xlpm.cantidad=1,INDEX(_xlpm.resultados,1),"(seleccione)")))</f>
        <v>Combinación no existente</v>
      </c>
      <c r="V47" s="55" t="s">
        <v>73</v>
      </c>
      <c r="W47" s="56" t="s">
        <v>73</v>
      </c>
      <c r="X47" s="57" t="str">
        <f t="shared" si="0"/>
        <v/>
      </c>
      <c r="Y47" s="58" t="s">
        <v>73</v>
      </c>
      <c r="Z47" s="57" t="str">
        <f t="shared" si="1"/>
        <v/>
      </c>
      <c r="AA47" s="58" t="s">
        <v>73</v>
      </c>
      <c r="AB47" s="57" t="str">
        <f t="shared" si="2"/>
        <v/>
      </c>
      <c r="AC47" s="58" t="s">
        <v>73</v>
      </c>
      <c r="AD47" s="57" t="str">
        <f t="shared" si="3"/>
        <v/>
      </c>
      <c r="AE47" s="59"/>
      <c r="AF47" s="59"/>
      <c r="AG47" s="59"/>
      <c r="AH47" s="59"/>
      <c r="AI47" s="59" t="s">
        <v>73</v>
      </c>
      <c r="AJ47" s="59"/>
      <c r="AK47" s="59" t="s">
        <v>73</v>
      </c>
      <c r="AL47" s="59"/>
      <c r="AM47" s="59" t="s">
        <v>73</v>
      </c>
      <c r="AN47" s="59"/>
      <c r="AO47" s="59" t="s">
        <v>73</v>
      </c>
      <c r="AP47" s="59"/>
      <c r="AQ47" s="59" t="s">
        <v>73</v>
      </c>
      <c r="AR47" s="59"/>
      <c r="AS47" s="59" t="s">
        <v>72</v>
      </c>
      <c r="AT47" s="59"/>
      <c r="AU47" s="59"/>
      <c r="AV47" s="59"/>
      <c r="AW47" s="59"/>
      <c r="AX47" s="59"/>
      <c r="AY47" s="60" t="str">
        <f>IF('Cálculo MP'!K57="","",'Cálculo MP'!K57)</f>
        <v/>
      </c>
      <c r="AZ47" s="60" t="str">
        <f>IF('Cálculo MP'!L57="","",'Cálculo MP'!L57)</f>
        <v/>
      </c>
      <c r="BA47" s="60" t="str">
        <f>IF('Cálculo MP'!M57="","",'Cálculo MP'!M57)</f>
        <v/>
      </c>
      <c r="BB47" s="60" t="str">
        <f>IF('Cálculo MP'!N57="","",'Cálculo MP'!N57)</f>
        <v/>
      </c>
      <c r="BC47" s="60" t="str">
        <f>IF('Cálculo MP'!O57="","",'Cálculo MP'!O57)</f>
        <v/>
      </c>
      <c r="BD47" s="60" t="str">
        <f>IF('Cálculo MP'!P57="","",'Cálculo MP'!P57)</f>
        <v/>
      </c>
      <c r="BE47" s="60" t="str">
        <f>IF('Cálculo MP'!Q57="","",'Cálculo MP'!Q57)</f>
        <v/>
      </c>
      <c r="BF47" s="60" t="str">
        <f>IF('Cálculo MP'!R57="","",'Cálculo MP'!R57)</f>
        <v/>
      </c>
      <c r="BG47" s="60" t="str">
        <f>IF('Cálculo MP'!S57="","",'Cálculo MP'!S57)</f>
        <v/>
      </c>
      <c r="BH47" s="61"/>
      <c r="BI47" s="61"/>
      <c r="BJ47" s="61"/>
      <c r="BK47" s="61"/>
      <c r="BL47" s="61"/>
      <c r="BM47" s="61"/>
      <c r="BN47" s="61"/>
      <c r="BO47" s="61"/>
    </row>
    <row r="48" spans="1:67" ht="19.5" customHeight="1" x14ac:dyDescent="0.2">
      <c r="A48" s="114" t="s">
        <v>1789</v>
      </c>
      <c r="B48" s="113" t="s">
        <v>1787</v>
      </c>
      <c r="C48" s="122"/>
      <c r="D48" s="48" t="s">
        <v>73</v>
      </c>
      <c r="E48" s="49"/>
      <c r="F48" s="50"/>
      <c r="G48" s="62"/>
      <c r="H48" s="48" t="s">
        <v>72</v>
      </c>
      <c r="I48" s="135">
        <v>1</v>
      </c>
      <c r="J48" s="52"/>
      <c r="K48" s="52" t="s">
        <v>73</v>
      </c>
      <c r="L48" s="52" t="s">
        <v>74</v>
      </c>
      <c r="M48" s="53" t="s">
        <v>917</v>
      </c>
      <c r="N48" s="58" t="s">
        <v>73</v>
      </c>
      <c r="O48" s="48" t="s">
        <v>72</v>
      </c>
      <c r="P48" s="48" t="s">
        <v>73</v>
      </c>
      <c r="Q48" s="54" t="s">
        <v>73</v>
      </c>
      <c r="R48" s="55" t="s">
        <v>73</v>
      </c>
      <c r="S48" s="48" t="s">
        <v>73</v>
      </c>
      <c r="T48" s="121" t="str" cm="1">
        <f t="array" ref="T48">IF(ISNUMBER(SEARCH("SCHNEIDER",D48)),_xlfn.IFS(ISNUMBER(SEARCH("2 Querétaro",D48)),"SQ2",ISNUMBER(SEARCH("Xicohténcatl",D48)),"SXC",ISNUMBER(SEARCH("Rojo Gómez",D48)),"SRG",ISNUMBER(SEARCH("Tlaxcala",D48)),"STX",ISNUMBER(SEARCH("Monterrey",D48)),"SMY",ISNUMBER(SEARCH("Querétaro",D48)),"SQ1",ISNUMBER(SEARCH("CDMX",D48)),"SCM",TRUE,""),"")</f>
        <v/>
      </c>
      <c r="U48" s="48" t="str" cm="1">
        <f t="array" ref="U48">_xlfn.LET(_xlpm.resultados,_xlfn.UNIQUE(_xlfn._xlws.FILTER(Tabla1[Proceso],(Tabla1[Metal Base]=O48)*(Tabla1[Etiquetas]=_xlfn.TEXTJOIN(" + ",TRUE,IF((TRIM(Upload!P48:S48)="")+(LOWER(TRIM(Upload!P48:S48))="(seleccione)"),"",PROPER(TRIM(Upload!P48:S48)))))*(Tabla1[Línea2]=IFERROR(VLOOKUP(Upload!N48&amp;"*",CAT_Procesos!D:D,1,FALSE),"")))),_xlpm.cantidad,ROWS(_xlpm.resultados),IF(ISERROR(_xlpm.cantidad),"Combinación no existente",IF(_xlpm.cantidad=1,INDEX(_xlpm.resultados,1),"(seleccione)")))</f>
        <v>Combinación no existente</v>
      </c>
      <c r="V48" s="55" t="s">
        <v>73</v>
      </c>
      <c r="W48" s="56" t="s">
        <v>73</v>
      </c>
      <c r="X48" s="57" t="str">
        <f t="shared" si="0"/>
        <v/>
      </c>
      <c r="Y48" s="58" t="s">
        <v>73</v>
      </c>
      <c r="Z48" s="57" t="str">
        <f t="shared" si="1"/>
        <v/>
      </c>
      <c r="AA48" s="58" t="s">
        <v>73</v>
      </c>
      <c r="AB48" s="57" t="str">
        <f t="shared" si="2"/>
        <v/>
      </c>
      <c r="AC48" s="58" t="s">
        <v>73</v>
      </c>
      <c r="AD48" s="57" t="str">
        <f t="shared" si="3"/>
        <v/>
      </c>
      <c r="AE48" s="59"/>
      <c r="AF48" s="59"/>
      <c r="AG48" s="59"/>
      <c r="AH48" s="59"/>
      <c r="AI48" s="59" t="s">
        <v>73</v>
      </c>
      <c r="AJ48" s="59"/>
      <c r="AK48" s="59" t="s">
        <v>73</v>
      </c>
      <c r="AL48" s="59"/>
      <c r="AM48" s="59" t="s">
        <v>73</v>
      </c>
      <c r="AN48" s="59"/>
      <c r="AO48" s="59" t="s">
        <v>73</v>
      </c>
      <c r="AP48" s="59"/>
      <c r="AQ48" s="59" t="s">
        <v>73</v>
      </c>
      <c r="AR48" s="59"/>
      <c r="AS48" s="59" t="s">
        <v>72</v>
      </c>
      <c r="AT48" s="59"/>
      <c r="AU48" s="59"/>
      <c r="AV48" s="59"/>
      <c r="AW48" s="59"/>
      <c r="AX48" s="59"/>
      <c r="AY48" s="60" t="str">
        <f>IF('Cálculo MP'!K58="","",'Cálculo MP'!K58)</f>
        <v/>
      </c>
      <c r="AZ48" s="60" t="str">
        <f>IF('Cálculo MP'!L58="","",'Cálculo MP'!L58)</f>
        <v/>
      </c>
      <c r="BA48" s="60" t="str">
        <f>IF('Cálculo MP'!M58="","",'Cálculo MP'!M58)</f>
        <v/>
      </c>
      <c r="BB48" s="60" t="str">
        <f>IF('Cálculo MP'!N58="","",'Cálculo MP'!N58)</f>
        <v/>
      </c>
      <c r="BC48" s="60" t="str">
        <f>IF('Cálculo MP'!O58="","",'Cálculo MP'!O58)</f>
        <v/>
      </c>
      <c r="BD48" s="60" t="str">
        <f>IF('Cálculo MP'!P58="","",'Cálculo MP'!P58)</f>
        <v/>
      </c>
      <c r="BE48" s="60" t="str">
        <f>IF('Cálculo MP'!Q58="","",'Cálculo MP'!Q58)</f>
        <v/>
      </c>
      <c r="BF48" s="60" t="str">
        <f>IF('Cálculo MP'!R58="","",'Cálculo MP'!R58)</f>
        <v/>
      </c>
      <c r="BG48" s="60" t="str">
        <f>IF('Cálculo MP'!S58="","",'Cálculo MP'!S58)</f>
        <v/>
      </c>
      <c r="BH48" s="61"/>
      <c r="BI48" s="61"/>
      <c r="BJ48" s="61"/>
      <c r="BK48" s="61"/>
      <c r="BL48" s="61"/>
      <c r="BM48" s="61"/>
      <c r="BN48" s="61"/>
      <c r="BO48" s="61"/>
    </row>
    <row r="49" spans="1:67" ht="19.5" customHeight="1" x14ac:dyDescent="0.2">
      <c r="A49" s="114" t="s">
        <v>1789</v>
      </c>
      <c r="B49" s="113" t="s">
        <v>1787</v>
      </c>
      <c r="C49" s="122"/>
      <c r="D49" s="48" t="s">
        <v>73</v>
      </c>
      <c r="E49" s="49"/>
      <c r="F49" s="50"/>
      <c r="G49" s="62"/>
      <c r="H49" s="48" t="s">
        <v>72</v>
      </c>
      <c r="I49" s="135">
        <v>1</v>
      </c>
      <c r="J49" s="52"/>
      <c r="K49" s="52" t="s">
        <v>73</v>
      </c>
      <c r="L49" s="52" t="s">
        <v>74</v>
      </c>
      <c r="M49" s="53" t="s">
        <v>917</v>
      </c>
      <c r="N49" s="58" t="s">
        <v>73</v>
      </c>
      <c r="O49" s="48" t="s">
        <v>72</v>
      </c>
      <c r="P49" s="48" t="s">
        <v>73</v>
      </c>
      <c r="Q49" s="54" t="s">
        <v>73</v>
      </c>
      <c r="R49" s="55" t="s">
        <v>73</v>
      </c>
      <c r="S49" s="48" t="s">
        <v>73</v>
      </c>
      <c r="T49" s="121" t="str" cm="1">
        <f t="array" ref="T49">IF(ISNUMBER(SEARCH("SCHNEIDER",D49)),_xlfn.IFS(ISNUMBER(SEARCH("2 Querétaro",D49)),"SQ2",ISNUMBER(SEARCH("Xicohténcatl",D49)),"SXC",ISNUMBER(SEARCH("Rojo Gómez",D49)),"SRG",ISNUMBER(SEARCH("Tlaxcala",D49)),"STX",ISNUMBER(SEARCH("Monterrey",D49)),"SMY",ISNUMBER(SEARCH("Querétaro",D49)),"SQ1",ISNUMBER(SEARCH("CDMX",D49)),"SCM",TRUE,""),"")</f>
        <v/>
      </c>
      <c r="U49" s="48" t="str" cm="1">
        <f t="array" ref="U49">_xlfn.LET(_xlpm.resultados,_xlfn.UNIQUE(_xlfn._xlws.FILTER(Tabla1[Proceso],(Tabla1[Metal Base]=O49)*(Tabla1[Etiquetas]=_xlfn.TEXTJOIN(" + ",TRUE,IF((TRIM(Upload!P49:S49)="")+(LOWER(TRIM(Upload!P49:S49))="(seleccione)"),"",PROPER(TRIM(Upload!P49:S49)))))*(Tabla1[Línea2]=IFERROR(VLOOKUP(Upload!N49&amp;"*",CAT_Procesos!D:D,1,FALSE),"")))),_xlpm.cantidad,ROWS(_xlpm.resultados),IF(ISERROR(_xlpm.cantidad),"Combinación no existente",IF(_xlpm.cantidad=1,INDEX(_xlpm.resultados,1),"(seleccione)")))</f>
        <v>Combinación no existente</v>
      </c>
      <c r="V49" s="55" t="s">
        <v>73</v>
      </c>
      <c r="W49" s="56" t="s">
        <v>73</v>
      </c>
      <c r="X49" s="57" t="str">
        <f t="shared" si="0"/>
        <v/>
      </c>
      <c r="Y49" s="58" t="s">
        <v>73</v>
      </c>
      <c r="Z49" s="57" t="str">
        <f t="shared" si="1"/>
        <v/>
      </c>
      <c r="AA49" s="58" t="s">
        <v>73</v>
      </c>
      <c r="AB49" s="57" t="str">
        <f t="shared" si="2"/>
        <v/>
      </c>
      <c r="AC49" s="58" t="s">
        <v>73</v>
      </c>
      <c r="AD49" s="57" t="str">
        <f t="shared" si="3"/>
        <v/>
      </c>
      <c r="AE49" s="59"/>
      <c r="AF49" s="59"/>
      <c r="AG49" s="59"/>
      <c r="AH49" s="59"/>
      <c r="AI49" s="59" t="s">
        <v>73</v>
      </c>
      <c r="AJ49" s="59"/>
      <c r="AK49" s="59" t="s">
        <v>73</v>
      </c>
      <c r="AL49" s="59"/>
      <c r="AM49" s="59" t="s">
        <v>73</v>
      </c>
      <c r="AN49" s="59"/>
      <c r="AO49" s="59" t="s">
        <v>73</v>
      </c>
      <c r="AP49" s="59"/>
      <c r="AQ49" s="59" t="s">
        <v>73</v>
      </c>
      <c r="AR49" s="59"/>
      <c r="AS49" s="59" t="s">
        <v>72</v>
      </c>
      <c r="AT49" s="59"/>
      <c r="AU49" s="59"/>
      <c r="AV49" s="59"/>
      <c r="AW49" s="59"/>
      <c r="AX49" s="59"/>
      <c r="AY49" s="60" t="str">
        <f>IF('Cálculo MP'!K59="","",'Cálculo MP'!K59)</f>
        <v/>
      </c>
      <c r="AZ49" s="60" t="str">
        <f>IF('Cálculo MP'!L59="","",'Cálculo MP'!L59)</f>
        <v/>
      </c>
      <c r="BA49" s="60" t="str">
        <f>IF('Cálculo MP'!M59="","",'Cálculo MP'!M59)</f>
        <v/>
      </c>
      <c r="BB49" s="60" t="str">
        <f>IF('Cálculo MP'!N59="","",'Cálculo MP'!N59)</f>
        <v/>
      </c>
      <c r="BC49" s="60" t="str">
        <f>IF('Cálculo MP'!O59="","",'Cálculo MP'!O59)</f>
        <v/>
      </c>
      <c r="BD49" s="60" t="str">
        <f>IF('Cálculo MP'!P59="","",'Cálculo MP'!P59)</f>
        <v/>
      </c>
      <c r="BE49" s="60" t="str">
        <f>IF('Cálculo MP'!Q59="","",'Cálculo MP'!Q59)</f>
        <v/>
      </c>
      <c r="BF49" s="60" t="str">
        <f>IF('Cálculo MP'!R59="","",'Cálculo MP'!R59)</f>
        <v/>
      </c>
      <c r="BG49" s="60" t="str">
        <f>IF('Cálculo MP'!S59="","",'Cálculo MP'!S59)</f>
        <v/>
      </c>
      <c r="BH49" s="61"/>
      <c r="BI49" s="61"/>
      <c r="BJ49" s="61"/>
      <c r="BK49" s="61"/>
      <c r="BL49" s="61"/>
      <c r="BM49" s="61"/>
      <c r="BN49" s="61"/>
      <c r="BO49" s="61"/>
    </row>
    <row r="50" spans="1:67" ht="19.5" customHeight="1" x14ac:dyDescent="0.2">
      <c r="A50" s="114" t="s">
        <v>1789</v>
      </c>
      <c r="B50" s="113" t="s">
        <v>1787</v>
      </c>
      <c r="C50" s="122"/>
      <c r="D50" s="48" t="s">
        <v>73</v>
      </c>
      <c r="E50" s="49"/>
      <c r="F50" s="50"/>
      <c r="G50" s="62"/>
      <c r="H50" s="48" t="s">
        <v>72</v>
      </c>
      <c r="I50" s="135">
        <v>1</v>
      </c>
      <c r="J50" s="52"/>
      <c r="K50" s="52" t="s">
        <v>73</v>
      </c>
      <c r="L50" s="52" t="s">
        <v>74</v>
      </c>
      <c r="M50" s="53" t="s">
        <v>917</v>
      </c>
      <c r="N50" s="58" t="s">
        <v>73</v>
      </c>
      <c r="O50" s="48" t="s">
        <v>72</v>
      </c>
      <c r="P50" s="48" t="s">
        <v>73</v>
      </c>
      <c r="Q50" s="54" t="s">
        <v>73</v>
      </c>
      <c r="R50" s="55" t="s">
        <v>73</v>
      </c>
      <c r="S50" s="48" t="s">
        <v>73</v>
      </c>
      <c r="T50" s="121" t="str" cm="1">
        <f t="array" ref="T50">IF(ISNUMBER(SEARCH("SCHNEIDER",D50)),_xlfn.IFS(ISNUMBER(SEARCH("2 Querétaro",D50)),"SQ2",ISNUMBER(SEARCH("Xicohténcatl",D50)),"SXC",ISNUMBER(SEARCH("Rojo Gómez",D50)),"SRG",ISNUMBER(SEARCH("Tlaxcala",D50)),"STX",ISNUMBER(SEARCH("Monterrey",D50)),"SMY",ISNUMBER(SEARCH("Querétaro",D50)),"SQ1",ISNUMBER(SEARCH("CDMX",D50)),"SCM",TRUE,""),"")</f>
        <v/>
      </c>
      <c r="U50" s="48" t="str" cm="1">
        <f t="array" ref="U50">_xlfn.LET(_xlpm.resultados,_xlfn.UNIQUE(_xlfn._xlws.FILTER(Tabla1[Proceso],(Tabla1[Metal Base]=O50)*(Tabla1[Etiquetas]=_xlfn.TEXTJOIN(" + ",TRUE,IF((TRIM(Upload!P50:S50)="")+(LOWER(TRIM(Upload!P50:S50))="(seleccione)"),"",PROPER(TRIM(Upload!P50:S50)))))*(Tabla1[Línea2]=IFERROR(VLOOKUP(Upload!N50&amp;"*",CAT_Procesos!D:D,1,FALSE),"")))),_xlpm.cantidad,ROWS(_xlpm.resultados),IF(ISERROR(_xlpm.cantidad),"Combinación no existente",IF(_xlpm.cantidad=1,INDEX(_xlpm.resultados,1),"(seleccione)")))</f>
        <v>Combinación no existente</v>
      </c>
      <c r="V50" s="55" t="s">
        <v>73</v>
      </c>
      <c r="W50" s="56" t="s">
        <v>73</v>
      </c>
      <c r="X50" s="57" t="str">
        <f t="shared" si="0"/>
        <v/>
      </c>
      <c r="Y50" s="58" t="s">
        <v>73</v>
      </c>
      <c r="Z50" s="57" t="str">
        <f t="shared" si="1"/>
        <v/>
      </c>
      <c r="AA50" s="58" t="s">
        <v>73</v>
      </c>
      <c r="AB50" s="57" t="str">
        <f t="shared" si="2"/>
        <v/>
      </c>
      <c r="AC50" s="58" t="s">
        <v>73</v>
      </c>
      <c r="AD50" s="57" t="str">
        <f t="shared" si="3"/>
        <v/>
      </c>
      <c r="AE50" s="59"/>
      <c r="AF50" s="59"/>
      <c r="AG50" s="59"/>
      <c r="AH50" s="59"/>
      <c r="AI50" s="59" t="s">
        <v>73</v>
      </c>
      <c r="AJ50" s="59"/>
      <c r="AK50" s="59" t="s">
        <v>73</v>
      </c>
      <c r="AL50" s="59"/>
      <c r="AM50" s="59" t="s">
        <v>73</v>
      </c>
      <c r="AN50" s="59"/>
      <c r="AO50" s="59" t="s">
        <v>73</v>
      </c>
      <c r="AP50" s="59"/>
      <c r="AQ50" s="59" t="s">
        <v>73</v>
      </c>
      <c r="AR50" s="59"/>
      <c r="AS50" s="59" t="s">
        <v>72</v>
      </c>
      <c r="AT50" s="59"/>
      <c r="AU50" s="59"/>
      <c r="AV50" s="59"/>
      <c r="AW50" s="59"/>
      <c r="AX50" s="59"/>
      <c r="AY50" s="60" t="str">
        <f>IF('Cálculo MP'!K60="","",'Cálculo MP'!K60)</f>
        <v/>
      </c>
      <c r="AZ50" s="60" t="str">
        <f>IF('Cálculo MP'!L60="","",'Cálculo MP'!L60)</f>
        <v/>
      </c>
      <c r="BA50" s="60" t="str">
        <f>IF('Cálculo MP'!M60="","",'Cálculo MP'!M60)</f>
        <v/>
      </c>
      <c r="BB50" s="60" t="str">
        <f>IF('Cálculo MP'!N60="","",'Cálculo MP'!N60)</f>
        <v/>
      </c>
      <c r="BC50" s="60" t="str">
        <f>IF('Cálculo MP'!O60="","",'Cálculo MP'!O60)</f>
        <v/>
      </c>
      <c r="BD50" s="60" t="str">
        <f>IF('Cálculo MP'!P60="","",'Cálculo MP'!P60)</f>
        <v/>
      </c>
      <c r="BE50" s="60" t="str">
        <f>IF('Cálculo MP'!Q60="","",'Cálculo MP'!Q60)</f>
        <v/>
      </c>
      <c r="BF50" s="60" t="str">
        <f>IF('Cálculo MP'!R60="","",'Cálculo MP'!R60)</f>
        <v/>
      </c>
      <c r="BG50" s="60" t="str">
        <f>IF('Cálculo MP'!S60="","",'Cálculo MP'!S60)</f>
        <v/>
      </c>
      <c r="BH50" s="61"/>
      <c r="BI50" s="61"/>
      <c r="BJ50" s="61"/>
      <c r="BK50" s="61"/>
      <c r="BL50" s="61"/>
      <c r="BM50" s="61"/>
      <c r="BN50" s="61"/>
      <c r="BO50" s="61"/>
    </row>
    <row r="51" spans="1:67" ht="19.5" customHeight="1" x14ac:dyDescent="0.2">
      <c r="A51" s="114" t="s">
        <v>1789</v>
      </c>
      <c r="B51" s="113" t="s">
        <v>1787</v>
      </c>
      <c r="C51" s="122"/>
      <c r="D51" s="48" t="s">
        <v>73</v>
      </c>
      <c r="E51" s="49"/>
      <c r="F51" s="50"/>
      <c r="G51" s="62"/>
      <c r="H51" s="48" t="s">
        <v>72</v>
      </c>
      <c r="I51" s="135">
        <v>1</v>
      </c>
      <c r="J51" s="52"/>
      <c r="K51" s="52" t="s">
        <v>73</v>
      </c>
      <c r="L51" s="52" t="s">
        <v>74</v>
      </c>
      <c r="M51" s="53" t="s">
        <v>917</v>
      </c>
      <c r="N51" s="58" t="s">
        <v>73</v>
      </c>
      <c r="O51" s="48" t="s">
        <v>72</v>
      </c>
      <c r="P51" s="48" t="s">
        <v>73</v>
      </c>
      <c r="Q51" s="54" t="s">
        <v>73</v>
      </c>
      <c r="R51" s="55" t="s">
        <v>73</v>
      </c>
      <c r="S51" s="48" t="s">
        <v>73</v>
      </c>
      <c r="T51" s="121" t="str" cm="1">
        <f t="array" ref="T51">IF(ISNUMBER(SEARCH("SCHNEIDER",D51)),_xlfn.IFS(ISNUMBER(SEARCH("2 Querétaro",D51)),"SQ2",ISNUMBER(SEARCH("Xicohténcatl",D51)),"SXC",ISNUMBER(SEARCH("Rojo Gómez",D51)),"SRG",ISNUMBER(SEARCH("Tlaxcala",D51)),"STX",ISNUMBER(SEARCH("Monterrey",D51)),"SMY",ISNUMBER(SEARCH("Querétaro",D51)),"SQ1",ISNUMBER(SEARCH("CDMX",D51)),"SCM",TRUE,""),"")</f>
        <v/>
      </c>
      <c r="U51" s="48" t="str" cm="1">
        <f t="array" ref="U51">_xlfn.LET(_xlpm.resultados,_xlfn.UNIQUE(_xlfn._xlws.FILTER(Tabla1[Proceso],(Tabla1[Metal Base]=O51)*(Tabla1[Etiquetas]=_xlfn.TEXTJOIN(" + ",TRUE,IF((TRIM(Upload!P51:S51)="")+(LOWER(TRIM(Upload!P51:S51))="(seleccione)"),"",PROPER(TRIM(Upload!P51:S51)))))*(Tabla1[Línea2]=IFERROR(VLOOKUP(Upload!N51&amp;"*",CAT_Procesos!D:D,1,FALSE),"")))),_xlpm.cantidad,ROWS(_xlpm.resultados),IF(ISERROR(_xlpm.cantidad),"Combinación no existente",IF(_xlpm.cantidad=1,INDEX(_xlpm.resultados,1),"(seleccione)")))</f>
        <v>Combinación no existente</v>
      </c>
      <c r="V51" s="55" t="s">
        <v>73</v>
      </c>
      <c r="W51" s="56" t="s">
        <v>73</v>
      </c>
      <c r="X51" s="57" t="str">
        <f t="shared" si="0"/>
        <v/>
      </c>
      <c r="Y51" s="58" t="s">
        <v>73</v>
      </c>
      <c r="Z51" s="57" t="str">
        <f t="shared" si="1"/>
        <v/>
      </c>
      <c r="AA51" s="58" t="s">
        <v>73</v>
      </c>
      <c r="AB51" s="57" t="str">
        <f t="shared" si="2"/>
        <v/>
      </c>
      <c r="AC51" s="58" t="s">
        <v>73</v>
      </c>
      <c r="AD51" s="57" t="str">
        <f t="shared" si="3"/>
        <v/>
      </c>
      <c r="AE51" s="59"/>
      <c r="AF51" s="59"/>
      <c r="AG51" s="59"/>
      <c r="AH51" s="59"/>
      <c r="AI51" s="59" t="s">
        <v>73</v>
      </c>
      <c r="AJ51" s="59"/>
      <c r="AK51" s="59" t="s">
        <v>73</v>
      </c>
      <c r="AL51" s="59"/>
      <c r="AM51" s="59" t="s">
        <v>73</v>
      </c>
      <c r="AN51" s="59"/>
      <c r="AO51" s="59" t="s">
        <v>73</v>
      </c>
      <c r="AP51" s="59"/>
      <c r="AQ51" s="59" t="s">
        <v>73</v>
      </c>
      <c r="AR51" s="59"/>
      <c r="AS51" s="59" t="s">
        <v>72</v>
      </c>
      <c r="AT51" s="59"/>
      <c r="AU51" s="59"/>
      <c r="AV51" s="59"/>
      <c r="AW51" s="59"/>
      <c r="AX51" s="59"/>
      <c r="AY51" s="60" t="str">
        <f>IF('Cálculo MP'!K61="","",'Cálculo MP'!K61)</f>
        <v/>
      </c>
      <c r="AZ51" s="60" t="str">
        <f>IF('Cálculo MP'!L61="","",'Cálculo MP'!L61)</f>
        <v/>
      </c>
      <c r="BA51" s="60" t="str">
        <f>IF('Cálculo MP'!M61="","",'Cálculo MP'!M61)</f>
        <v/>
      </c>
      <c r="BB51" s="60" t="str">
        <f>IF('Cálculo MP'!N61="","",'Cálculo MP'!N61)</f>
        <v/>
      </c>
      <c r="BC51" s="60" t="str">
        <f>IF('Cálculo MP'!O61="","",'Cálculo MP'!O61)</f>
        <v/>
      </c>
      <c r="BD51" s="60" t="str">
        <f>IF('Cálculo MP'!P61="","",'Cálculo MP'!P61)</f>
        <v/>
      </c>
      <c r="BE51" s="60" t="str">
        <f>IF('Cálculo MP'!Q61="","",'Cálculo MP'!Q61)</f>
        <v/>
      </c>
      <c r="BF51" s="60" t="str">
        <f>IF('Cálculo MP'!R61="","",'Cálculo MP'!R61)</f>
        <v/>
      </c>
      <c r="BG51" s="60" t="str">
        <f>IF('Cálculo MP'!S61="","",'Cálculo MP'!S61)</f>
        <v/>
      </c>
      <c r="BH51" s="61"/>
      <c r="BI51" s="61"/>
      <c r="BJ51" s="61"/>
      <c r="BK51" s="61"/>
      <c r="BL51" s="61"/>
      <c r="BM51" s="61"/>
      <c r="BN51" s="61"/>
      <c r="BO51" s="61"/>
    </row>
    <row r="52" spans="1:67" ht="19.5" customHeight="1" x14ac:dyDescent="0.2">
      <c r="A52" s="114" t="s">
        <v>1789</v>
      </c>
      <c r="B52" s="113" t="s">
        <v>1787</v>
      </c>
      <c r="C52" s="122"/>
      <c r="D52" s="48" t="s">
        <v>73</v>
      </c>
      <c r="E52" s="49"/>
      <c r="F52" s="50"/>
      <c r="G52" s="62"/>
      <c r="H52" s="48" t="s">
        <v>72</v>
      </c>
      <c r="I52" s="135">
        <v>1</v>
      </c>
      <c r="J52" s="52"/>
      <c r="K52" s="52" t="s">
        <v>73</v>
      </c>
      <c r="L52" s="52" t="s">
        <v>74</v>
      </c>
      <c r="M52" s="53" t="s">
        <v>917</v>
      </c>
      <c r="N52" s="58" t="s">
        <v>73</v>
      </c>
      <c r="O52" s="48" t="s">
        <v>72</v>
      </c>
      <c r="P52" s="48" t="s">
        <v>73</v>
      </c>
      <c r="Q52" s="54" t="s">
        <v>73</v>
      </c>
      <c r="R52" s="55" t="s">
        <v>73</v>
      </c>
      <c r="S52" s="48" t="s">
        <v>73</v>
      </c>
      <c r="T52" s="121" t="str" cm="1">
        <f t="array" ref="T52">IF(ISNUMBER(SEARCH("SCHNEIDER",D52)),_xlfn.IFS(ISNUMBER(SEARCH("2 Querétaro",D52)),"SQ2",ISNUMBER(SEARCH("Xicohténcatl",D52)),"SXC",ISNUMBER(SEARCH("Rojo Gómez",D52)),"SRG",ISNUMBER(SEARCH("Tlaxcala",D52)),"STX",ISNUMBER(SEARCH("Monterrey",D52)),"SMY",ISNUMBER(SEARCH("Querétaro",D52)),"SQ1",ISNUMBER(SEARCH("CDMX",D52)),"SCM",TRUE,""),"")</f>
        <v/>
      </c>
      <c r="U52" s="48" t="str" cm="1">
        <f t="array" ref="U52">_xlfn.LET(_xlpm.resultados,_xlfn.UNIQUE(_xlfn._xlws.FILTER(Tabla1[Proceso],(Tabla1[Metal Base]=O52)*(Tabla1[Etiquetas]=_xlfn.TEXTJOIN(" + ",TRUE,IF((TRIM(Upload!P52:S52)="")+(LOWER(TRIM(Upload!P52:S52))="(seleccione)"),"",PROPER(TRIM(Upload!P52:S52)))))*(Tabla1[Línea2]=IFERROR(VLOOKUP(Upload!N52&amp;"*",CAT_Procesos!D:D,1,FALSE),"")))),_xlpm.cantidad,ROWS(_xlpm.resultados),IF(ISERROR(_xlpm.cantidad),"Combinación no existente",IF(_xlpm.cantidad=1,INDEX(_xlpm.resultados,1),"(seleccione)")))</f>
        <v>Combinación no existente</v>
      </c>
      <c r="V52" s="55" t="s">
        <v>73</v>
      </c>
      <c r="W52" s="56" t="s">
        <v>73</v>
      </c>
      <c r="X52" s="57" t="str">
        <f t="shared" si="0"/>
        <v/>
      </c>
      <c r="Y52" s="58" t="s">
        <v>73</v>
      </c>
      <c r="Z52" s="57" t="str">
        <f t="shared" si="1"/>
        <v/>
      </c>
      <c r="AA52" s="58" t="s">
        <v>73</v>
      </c>
      <c r="AB52" s="57" t="str">
        <f t="shared" si="2"/>
        <v/>
      </c>
      <c r="AC52" s="58" t="s">
        <v>73</v>
      </c>
      <c r="AD52" s="57" t="str">
        <f t="shared" si="3"/>
        <v/>
      </c>
      <c r="AE52" s="59"/>
      <c r="AF52" s="59"/>
      <c r="AG52" s="59"/>
      <c r="AH52" s="59"/>
      <c r="AI52" s="59" t="s">
        <v>73</v>
      </c>
      <c r="AJ52" s="59"/>
      <c r="AK52" s="59" t="s">
        <v>73</v>
      </c>
      <c r="AL52" s="59"/>
      <c r="AM52" s="59" t="s">
        <v>73</v>
      </c>
      <c r="AN52" s="59"/>
      <c r="AO52" s="59" t="s">
        <v>73</v>
      </c>
      <c r="AP52" s="59"/>
      <c r="AQ52" s="59" t="s">
        <v>73</v>
      </c>
      <c r="AR52" s="59"/>
      <c r="AS52" s="59" t="s">
        <v>72</v>
      </c>
      <c r="AT52" s="59"/>
      <c r="AU52" s="59"/>
      <c r="AV52" s="59"/>
      <c r="AW52" s="59"/>
      <c r="AX52" s="59"/>
      <c r="AY52" s="60" t="str">
        <f>IF('Cálculo MP'!K62="","",'Cálculo MP'!K62)</f>
        <v/>
      </c>
      <c r="AZ52" s="60" t="str">
        <f>IF('Cálculo MP'!L62="","",'Cálculo MP'!L62)</f>
        <v/>
      </c>
      <c r="BA52" s="60" t="str">
        <f>IF('Cálculo MP'!M62="","",'Cálculo MP'!M62)</f>
        <v/>
      </c>
      <c r="BB52" s="60" t="str">
        <f>IF('Cálculo MP'!N62="","",'Cálculo MP'!N62)</f>
        <v/>
      </c>
      <c r="BC52" s="60" t="str">
        <f>IF('Cálculo MP'!O62="","",'Cálculo MP'!O62)</f>
        <v/>
      </c>
      <c r="BD52" s="60" t="str">
        <f>IF('Cálculo MP'!P62="","",'Cálculo MP'!P62)</f>
        <v/>
      </c>
      <c r="BE52" s="60" t="str">
        <f>IF('Cálculo MP'!Q62="","",'Cálculo MP'!Q62)</f>
        <v/>
      </c>
      <c r="BF52" s="60" t="str">
        <f>IF('Cálculo MP'!R62="","",'Cálculo MP'!R62)</f>
        <v/>
      </c>
      <c r="BG52" s="60" t="str">
        <f>IF('Cálculo MP'!S62="","",'Cálculo MP'!S62)</f>
        <v/>
      </c>
      <c r="BH52" s="61"/>
      <c r="BI52" s="61"/>
      <c r="BJ52" s="61"/>
      <c r="BK52" s="61"/>
      <c r="BL52" s="61"/>
      <c r="BM52" s="61"/>
      <c r="BN52" s="61"/>
      <c r="BO52" s="61"/>
    </row>
    <row r="53" spans="1:67" ht="19.5" customHeight="1" x14ac:dyDescent="0.2">
      <c r="A53" s="114" t="s">
        <v>1789</v>
      </c>
      <c r="B53" s="113" t="s">
        <v>1787</v>
      </c>
      <c r="C53" s="122"/>
      <c r="D53" s="48" t="s">
        <v>73</v>
      </c>
      <c r="E53" s="49"/>
      <c r="F53" s="50"/>
      <c r="G53" s="62"/>
      <c r="H53" s="48" t="s">
        <v>72</v>
      </c>
      <c r="I53" s="135">
        <v>1</v>
      </c>
      <c r="J53" s="52"/>
      <c r="K53" s="52" t="s">
        <v>73</v>
      </c>
      <c r="L53" s="52" t="s">
        <v>74</v>
      </c>
      <c r="M53" s="53" t="s">
        <v>917</v>
      </c>
      <c r="N53" s="58" t="s">
        <v>73</v>
      </c>
      <c r="O53" s="48" t="s">
        <v>72</v>
      </c>
      <c r="P53" s="48" t="s">
        <v>73</v>
      </c>
      <c r="Q53" s="54" t="s">
        <v>73</v>
      </c>
      <c r="R53" s="55" t="s">
        <v>73</v>
      </c>
      <c r="S53" s="48" t="s">
        <v>73</v>
      </c>
      <c r="T53" s="121" t="str" cm="1">
        <f t="array" ref="T53">IF(ISNUMBER(SEARCH("SCHNEIDER",D53)),_xlfn.IFS(ISNUMBER(SEARCH("2 Querétaro",D53)),"SQ2",ISNUMBER(SEARCH("Xicohténcatl",D53)),"SXC",ISNUMBER(SEARCH("Rojo Gómez",D53)),"SRG",ISNUMBER(SEARCH("Tlaxcala",D53)),"STX",ISNUMBER(SEARCH("Monterrey",D53)),"SMY",ISNUMBER(SEARCH("Querétaro",D53)),"SQ1",ISNUMBER(SEARCH("CDMX",D53)),"SCM",TRUE,""),"")</f>
        <v/>
      </c>
      <c r="U53" s="48" t="str" cm="1">
        <f t="array" ref="U53">_xlfn.LET(_xlpm.resultados,_xlfn.UNIQUE(_xlfn._xlws.FILTER(Tabla1[Proceso],(Tabla1[Metal Base]=O53)*(Tabla1[Etiquetas]=_xlfn.TEXTJOIN(" + ",TRUE,IF((TRIM(Upload!P53:S53)="")+(LOWER(TRIM(Upload!P53:S53))="(seleccione)"),"",PROPER(TRIM(Upload!P53:S53)))))*(Tabla1[Línea2]=IFERROR(VLOOKUP(Upload!N53&amp;"*",CAT_Procesos!D:D,1,FALSE),"")))),_xlpm.cantidad,ROWS(_xlpm.resultados),IF(ISERROR(_xlpm.cantidad),"Combinación no existente",IF(_xlpm.cantidad=1,INDEX(_xlpm.resultados,1),"(seleccione)")))</f>
        <v>Combinación no existente</v>
      </c>
      <c r="V53" s="55" t="s">
        <v>73</v>
      </c>
      <c r="W53" s="56" t="s">
        <v>73</v>
      </c>
      <c r="X53" s="57" t="str">
        <f t="shared" si="0"/>
        <v/>
      </c>
      <c r="Y53" s="58" t="s">
        <v>73</v>
      </c>
      <c r="Z53" s="57" t="str">
        <f t="shared" si="1"/>
        <v/>
      </c>
      <c r="AA53" s="58" t="s">
        <v>73</v>
      </c>
      <c r="AB53" s="57" t="str">
        <f t="shared" si="2"/>
        <v/>
      </c>
      <c r="AC53" s="58" t="s">
        <v>73</v>
      </c>
      <c r="AD53" s="57" t="str">
        <f t="shared" si="3"/>
        <v/>
      </c>
      <c r="AE53" s="59"/>
      <c r="AF53" s="59"/>
      <c r="AG53" s="59"/>
      <c r="AH53" s="59"/>
      <c r="AI53" s="59" t="s">
        <v>73</v>
      </c>
      <c r="AJ53" s="59"/>
      <c r="AK53" s="59" t="s">
        <v>73</v>
      </c>
      <c r="AL53" s="59"/>
      <c r="AM53" s="59" t="s">
        <v>73</v>
      </c>
      <c r="AN53" s="59"/>
      <c r="AO53" s="59" t="s">
        <v>73</v>
      </c>
      <c r="AP53" s="59"/>
      <c r="AQ53" s="59" t="s">
        <v>73</v>
      </c>
      <c r="AR53" s="59"/>
      <c r="AS53" s="59" t="s">
        <v>72</v>
      </c>
      <c r="AT53" s="59"/>
      <c r="AU53" s="59"/>
      <c r="AV53" s="59"/>
      <c r="AW53" s="59"/>
      <c r="AX53" s="59"/>
      <c r="AY53" s="60" t="str">
        <f>IF('Cálculo MP'!K63="","",'Cálculo MP'!K63)</f>
        <v/>
      </c>
      <c r="AZ53" s="60" t="str">
        <f>IF('Cálculo MP'!L63="","",'Cálculo MP'!L63)</f>
        <v/>
      </c>
      <c r="BA53" s="60" t="str">
        <f>IF('Cálculo MP'!M63="","",'Cálculo MP'!M63)</f>
        <v/>
      </c>
      <c r="BB53" s="60" t="str">
        <f>IF('Cálculo MP'!N63="","",'Cálculo MP'!N63)</f>
        <v/>
      </c>
      <c r="BC53" s="60" t="str">
        <f>IF('Cálculo MP'!O63="","",'Cálculo MP'!O63)</f>
        <v/>
      </c>
      <c r="BD53" s="60" t="str">
        <f>IF('Cálculo MP'!P63="","",'Cálculo MP'!P63)</f>
        <v/>
      </c>
      <c r="BE53" s="60" t="str">
        <f>IF('Cálculo MP'!Q63="","",'Cálculo MP'!Q63)</f>
        <v/>
      </c>
      <c r="BF53" s="60" t="str">
        <f>IF('Cálculo MP'!R63="","",'Cálculo MP'!R63)</f>
        <v/>
      </c>
      <c r="BG53" s="60" t="str">
        <f>IF('Cálculo MP'!S63="","",'Cálculo MP'!S63)</f>
        <v/>
      </c>
      <c r="BH53" s="61"/>
      <c r="BI53" s="61"/>
      <c r="BJ53" s="61"/>
      <c r="BK53" s="61"/>
      <c r="BL53" s="61"/>
      <c r="BM53" s="61"/>
      <c r="BN53" s="61"/>
      <c r="BO53" s="61"/>
    </row>
    <row r="54" spans="1:67" ht="19.5" customHeight="1" x14ac:dyDescent="0.2">
      <c r="A54" s="114" t="s">
        <v>1789</v>
      </c>
      <c r="B54" s="113" t="s">
        <v>1787</v>
      </c>
      <c r="C54" s="122"/>
      <c r="D54" s="48" t="s">
        <v>73</v>
      </c>
      <c r="E54" s="49"/>
      <c r="F54" s="50"/>
      <c r="G54" s="62"/>
      <c r="H54" s="48" t="s">
        <v>72</v>
      </c>
      <c r="I54" s="135">
        <v>1</v>
      </c>
      <c r="J54" s="52"/>
      <c r="K54" s="52" t="s">
        <v>73</v>
      </c>
      <c r="L54" s="52" t="s">
        <v>74</v>
      </c>
      <c r="M54" s="53" t="s">
        <v>917</v>
      </c>
      <c r="N54" s="58" t="s">
        <v>73</v>
      </c>
      <c r="O54" s="48" t="s">
        <v>72</v>
      </c>
      <c r="P54" s="48" t="s">
        <v>73</v>
      </c>
      <c r="Q54" s="54" t="s">
        <v>73</v>
      </c>
      <c r="R54" s="55" t="s">
        <v>73</v>
      </c>
      <c r="S54" s="48" t="s">
        <v>73</v>
      </c>
      <c r="T54" s="121" t="str" cm="1">
        <f t="array" ref="T54">IF(ISNUMBER(SEARCH("SCHNEIDER",D54)),_xlfn.IFS(ISNUMBER(SEARCH("2 Querétaro",D54)),"SQ2",ISNUMBER(SEARCH("Xicohténcatl",D54)),"SXC",ISNUMBER(SEARCH("Rojo Gómez",D54)),"SRG",ISNUMBER(SEARCH("Tlaxcala",D54)),"STX",ISNUMBER(SEARCH("Monterrey",D54)),"SMY",ISNUMBER(SEARCH("Querétaro",D54)),"SQ1",ISNUMBER(SEARCH("CDMX",D54)),"SCM",TRUE,""),"")</f>
        <v/>
      </c>
      <c r="U54" s="48" t="str" cm="1">
        <f t="array" ref="U54">_xlfn.LET(_xlpm.resultados,_xlfn.UNIQUE(_xlfn._xlws.FILTER(Tabla1[Proceso],(Tabla1[Metal Base]=O54)*(Tabla1[Etiquetas]=_xlfn.TEXTJOIN(" + ",TRUE,IF((TRIM(Upload!P54:S54)="")+(LOWER(TRIM(Upload!P54:S54))="(seleccione)"),"",PROPER(TRIM(Upload!P54:S54)))))*(Tabla1[Línea2]=IFERROR(VLOOKUP(Upload!N54&amp;"*",CAT_Procesos!D:D,1,FALSE),"")))),_xlpm.cantidad,ROWS(_xlpm.resultados),IF(ISERROR(_xlpm.cantidad),"Combinación no existente",IF(_xlpm.cantidad=1,INDEX(_xlpm.resultados,1),"(seleccione)")))</f>
        <v>Combinación no existente</v>
      </c>
      <c r="V54" s="55" t="s">
        <v>73</v>
      </c>
      <c r="W54" s="56" t="s">
        <v>73</v>
      </c>
      <c r="X54" s="57" t="str">
        <f t="shared" si="0"/>
        <v/>
      </c>
      <c r="Y54" s="58" t="s">
        <v>73</v>
      </c>
      <c r="Z54" s="57" t="str">
        <f t="shared" si="1"/>
        <v/>
      </c>
      <c r="AA54" s="58" t="s">
        <v>73</v>
      </c>
      <c r="AB54" s="57" t="str">
        <f t="shared" si="2"/>
        <v/>
      </c>
      <c r="AC54" s="58" t="s">
        <v>73</v>
      </c>
      <c r="AD54" s="57" t="str">
        <f t="shared" si="3"/>
        <v/>
      </c>
      <c r="AE54" s="59"/>
      <c r="AF54" s="59"/>
      <c r="AG54" s="59"/>
      <c r="AH54" s="59"/>
      <c r="AI54" s="59" t="s">
        <v>73</v>
      </c>
      <c r="AJ54" s="59"/>
      <c r="AK54" s="59" t="s">
        <v>73</v>
      </c>
      <c r="AL54" s="59"/>
      <c r="AM54" s="59" t="s">
        <v>73</v>
      </c>
      <c r="AN54" s="59"/>
      <c r="AO54" s="59" t="s">
        <v>73</v>
      </c>
      <c r="AP54" s="59"/>
      <c r="AQ54" s="59" t="s">
        <v>73</v>
      </c>
      <c r="AR54" s="59"/>
      <c r="AS54" s="59" t="s">
        <v>72</v>
      </c>
      <c r="AT54" s="59"/>
      <c r="AU54" s="59"/>
      <c r="AV54" s="59"/>
      <c r="AW54" s="59"/>
      <c r="AX54" s="59"/>
      <c r="AY54" s="60" t="str">
        <f>IF('Cálculo MP'!K64="","",'Cálculo MP'!K64)</f>
        <v/>
      </c>
      <c r="AZ54" s="60" t="str">
        <f>IF('Cálculo MP'!L64="","",'Cálculo MP'!L64)</f>
        <v/>
      </c>
      <c r="BA54" s="60" t="str">
        <f>IF('Cálculo MP'!M64="","",'Cálculo MP'!M64)</f>
        <v/>
      </c>
      <c r="BB54" s="60" t="str">
        <f>IF('Cálculo MP'!N64="","",'Cálculo MP'!N64)</f>
        <v/>
      </c>
      <c r="BC54" s="60" t="str">
        <f>IF('Cálculo MP'!O64="","",'Cálculo MP'!O64)</f>
        <v/>
      </c>
      <c r="BD54" s="60" t="str">
        <f>IF('Cálculo MP'!P64="","",'Cálculo MP'!P64)</f>
        <v/>
      </c>
      <c r="BE54" s="60" t="str">
        <f>IF('Cálculo MP'!Q64="","",'Cálculo MP'!Q64)</f>
        <v/>
      </c>
      <c r="BF54" s="60" t="str">
        <f>IF('Cálculo MP'!R64="","",'Cálculo MP'!R64)</f>
        <v/>
      </c>
      <c r="BG54" s="60" t="str">
        <f>IF('Cálculo MP'!S64="","",'Cálculo MP'!S64)</f>
        <v/>
      </c>
      <c r="BH54" s="61"/>
      <c r="BI54" s="61"/>
      <c r="BJ54" s="61"/>
      <c r="BK54" s="61"/>
      <c r="BL54" s="61"/>
      <c r="BM54" s="61"/>
      <c r="BN54" s="61"/>
      <c r="BO54" s="61"/>
    </row>
    <row r="55" spans="1:67" ht="19.5" customHeight="1" x14ac:dyDescent="0.2">
      <c r="A55" s="114" t="s">
        <v>1789</v>
      </c>
      <c r="B55" s="113" t="s">
        <v>1787</v>
      </c>
      <c r="C55" s="122"/>
      <c r="D55" s="48" t="s">
        <v>73</v>
      </c>
      <c r="E55" s="49"/>
      <c r="F55" s="50"/>
      <c r="G55" s="62"/>
      <c r="H55" s="48" t="s">
        <v>72</v>
      </c>
      <c r="I55" s="135">
        <v>1</v>
      </c>
      <c r="J55" s="52"/>
      <c r="K55" s="52" t="s">
        <v>73</v>
      </c>
      <c r="L55" s="52" t="s">
        <v>74</v>
      </c>
      <c r="M55" s="53" t="s">
        <v>917</v>
      </c>
      <c r="N55" s="58" t="s">
        <v>73</v>
      </c>
      <c r="O55" s="48" t="s">
        <v>72</v>
      </c>
      <c r="P55" s="48" t="s">
        <v>73</v>
      </c>
      <c r="Q55" s="54" t="s">
        <v>73</v>
      </c>
      <c r="R55" s="55" t="s">
        <v>73</v>
      </c>
      <c r="S55" s="48" t="s">
        <v>73</v>
      </c>
      <c r="T55" s="121" t="str" cm="1">
        <f t="array" ref="T55">IF(ISNUMBER(SEARCH("SCHNEIDER",D55)),_xlfn.IFS(ISNUMBER(SEARCH("2 Querétaro",D55)),"SQ2",ISNUMBER(SEARCH("Xicohténcatl",D55)),"SXC",ISNUMBER(SEARCH("Rojo Gómez",D55)),"SRG",ISNUMBER(SEARCH("Tlaxcala",D55)),"STX",ISNUMBER(SEARCH("Monterrey",D55)),"SMY",ISNUMBER(SEARCH("Querétaro",D55)),"SQ1",ISNUMBER(SEARCH("CDMX",D55)),"SCM",TRUE,""),"")</f>
        <v/>
      </c>
      <c r="U55" s="48" t="str" cm="1">
        <f t="array" ref="U55">_xlfn.LET(_xlpm.resultados,_xlfn.UNIQUE(_xlfn._xlws.FILTER(Tabla1[Proceso],(Tabla1[Metal Base]=O55)*(Tabla1[Etiquetas]=_xlfn.TEXTJOIN(" + ",TRUE,IF((TRIM(Upload!P55:S55)="")+(LOWER(TRIM(Upload!P55:S55))="(seleccione)"),"",PROPER(TRIM(Upload!P55:S55)))))*(Tabla1[Línea2]=IFERROR(VLOOKUP(Upload!N55&amp;"*",CAT_Procesos!D:D,1,FALSE),"")))),_xlpm.cantidad,ROWS(_xlpm.resultados),IF(ISERROR(_xlpm.cantidad),"Combinación no existente",IF(_xlpm.cantidad=1,INDEX(_xlpm.resultados,1),"(seleccione)")))</f>
        <v>Combinación no existente</v>
      </c>
      <c r="V55" s="55" t="s">
        <v>73</v>
      </c>
      <c r="W55" s="56" t="s">
        <v>73</v>
      </c>
      <c r="X55" s="57" t="str">
        <f t="shared" si="0"/>
        <v/>
      </c>
      <c r="Y55" s="58" t="s">
        <v>73</v>
      </c>
      <c r="Z55" s="57" t="str">
        <f t="shared" si="1"/>
        <v/>
      </c>
      <c r="AA55" s="58" t="s">
        <v>73</v>
      </c>
      <c r="AB55" s="57" t="str">
        <f t="shared" si="2"/>
        <v/>
      </c>
      <c r="AC55" s="58" t="s">
        <v>73</v>
      </c>
      <c r="AD55" s="57" t="str">
        <f t="shared" si="3"/>
        <v/>
      </c>
      <c r="AE55" s="59"/>
      <c r="AF55" s="59"/>
      <c r="AG55" s="59"/>
      <c r="AH55" s="59"/>
      <c r="AI55" s="59" t="s">
        <v>73</v>
      </c>
      <c r="AJ55" s="59"/>
      <c r="AK55" s="59" t="s">
        <v>73</v>
      </c>
      <c r="AL55" s="59"/>
      <c r="AM55" s="59" t="s">
        <v>73</v>
      </c>
      <c r="AN55" s="59"/>
      <c r="AO55" s="59" t="s">
        <v>73</v>
      </c>
      <c r="AP55" s="59"/>
      <c r="AQ55" s="59" t="s">
        <v>73</v>
      </c>
      <c r="AR55" s="59"/>
      <c r="AS55" s="59" t="s">
        <v>72</v>
      </c>
      <c r="AT55" s="59"/>
      <c r="AU55" s="59"/>
      <c r="AV55" s="59"/>
      <c r="AW55" s="59"/>
      <c r="AX55" s="59"/>
      <c r="AY55" s="60" t="str">
        <f>IF('Cálculo MP'!K65="","",'Cálculo MP'!K65)</f>
        <v/>
      </c>
      <c r="AZ55" s="60" t="str">
        <f>IF('Cálculo MP'!L65="","",'Cálculo MP'!L65)</f>
        <v/>
      </c>
      <c r="BA55" s="60" t="str">
        <f>IF('Cálculo MP'!M65="","",'Cálculo MP'!M65)</f>
        <v/>
      </c>
      <c r="BB55" s="60" t="str">
        <f>IF('Cálculo MP'!N65="","",'Cálculo MP'!N65)</f>
        <v/>
      </c>
      <c r="BC55" s="60" t="str">
        <f>IF('Cálculo MP'!O65="","",'Cálculo MP'!O65)</f>
        <v/>
      </c>
      <c r="BD55" s="60" t="str">
        <f>IF('Cálculo MP'!P65="","",'Cálculo MP'!P65)</f>
        <v/>
      </c>
      <c r="BE55" s="60" t="str">
        <f>IF('Cálculo MP'!Q65="","",'Cálculo MP'!Q65)</f>
        <v/>
      </c>
      <c r="BF55" s="60" t="str">
        <f>IF('Cálculo MP'!R65="","",'Cálculo MP'!R65)</f>
        <v/>
      </c>
      <c r="BG55" s="60" t="str">
        <f>IF('Cálculo MP'!S65="","",'Cálculo MP'!S65)</f>
        <v/>
      </c>
      <c r="BH55" s="61"/>
      <c r="BI55" s="61"/>
      <c r="BJ55" s="61"/>
      <c r="BK55" s="61"/>
      <c r="BL55" s="61"/>
      <c r="BM55" s="61"/>
      <c r="BN55" s="61"/>
      <c r="BO55" s="61"/>
    </row>
    <row r="56" spans="1:67" ht="19.5" customHeight="1" x14ac:dyDescent="0.2">
      <c r="A56" s="114" t="s">
        <v>1789</v>
      </c>
      <c r="B56" s="113" t="s">
        <v>1787</v>
      </c>
      <c r="C56" s="122"/>
      <c r="D56" s="48" t="s">
        <v>73</v>
      </c>
      <c r="E56" s="49"/>
      <c r="F56" s="50"/>
      <c r="G56" s="62"/>
      <c r="H56" s="48" t="s">
        <v>72</v>
      </c>
      <c r="I56" s="135">
        <v>1</v>
      </c>
      <c r="J56" s="52"/>
      <c r="K56" s="52" t="s">
        <v>73</v>
      </c>
      <c r="L56" s="52" t="s">
        <v>74</v>
      </c>
      <c r="M56" s="53" t="s">
        <v>917</v>
      </c>
      <c r="N56" s="58" t="s">
        <v>73</v>
      </c>
      <c r="O56" s="48" t="s">
        <v>72</v>
      </c>
      <c r="P56" s="48" t="s">
        <v>73</v>
      </c>
      <c r="Q56" s="54" t="s">
        <v>73</v>
      </c>
      <c r="R56" s="55" t="s">
        <v>73</v>
      </c>
      <c r="S56" s="48" t="s">
        <v>73</v>
      </c>
      <c r="T56" s="121" t="str" cm="1">
        <f t="array" ref="T56">IF(ISNUMBER(SEARCH("SCHNEIDER",D56)),_xlfn.IFS(ISNUMBER(SEARCH("2 Querétaro",D56)),"SQ2",ISNUMBER(SEARCH("Xicohténcatl",D56)),"SXC",ISNUMBER(SEARCH("Rojo Gómez",D56)),"SRG",ISNUMBER(SEARCH("Tlaxcala",D56)),"STX",ISNUMBER(SEARCH("Monterrey",D56)),"SMY",ISNUMBER(SEARCH("Querétaro",D56)),"SQ1",ISNUMBER(SEARCH("CDMX",D56)),"SCM",TRUE,""),"")</f>
        <v/>
      </c>
      <c r="U56" s="48" t="str" cm="1">
        <f t="array" ref="U56">_xlfn.LET(_xlpm.resultados,_xlfn.UNIQUE(_xlfn._xlws.FILTER(Tabla1[Proceso],(Tabla1[Metal Base]=O56)*(Tabla1[Etiquetas]=_xlfn.TEXTJOIN(" + ",TRUE,IF((TRIM(Upload!P56:S56)="")+(LOWER(TRIM(Upload!P56:S56))="(seleccione)"),"",PROPER(TRIM(Upload!P56:S56)))))*(Tabla1[Línea2]=IFERROR(VLOOKUP(Upload!N56&amp;"*",CAT_Procesos!D:D,1,FALSE),"")))),_xlpm.cantidad,ROWS(_xlpm.resultados),IF(ISERROR(_xlpm.cantidad),"Combinación no existente",IF(_xlpm.cantidad=1,INDEX(_xlpm.resultados,1),"(seleccione)")))</f>
        <v>Combinación no existente</v>
      </c>
      <c r="V56" s="55" t="s">
        <v>73</v>
      </c>
      <c r="W56" s="56" t="s">
        <v>73</v>
      </c>
      <c r="X56" s="57" t="str">
        <f t="shared" si="0"/>
        <v/>
      </c>
      <c r="Y56" s="58" t="s">
        <v>73</v>
      </c>
      <c r="Z56" s="57" t="str">
        <f t="shared" si="1"/>
        <v/>
      </c>
      <c r="AA56" s="58" t="s">
        <v>73</v>
      </c>
      <c r="AB56" s="57" t="str">
        <f t="shared" si="2"/>
        <v/>
      </c>
      <c r="AC56" s="58" t="s">
        <v>73</v>
      </c>
      <c r="AD56" s="57" t="str">
        <f t="shared" si="3"/>
        <v/>
      </c>
      <c r="AE56" s="59"/>
      <c r="AF56" s="59"/>
      <c r="AG56" s="59"/>
      <c r="AH56" s="59"/>
      <c r="AI56" s="59" t="s">
        <v>73</v>
      </c>
      <c r="AJ56" s="59"/>
      <c r="AK56" s="59" t="s">
        <v>73</v>
      </c>
      <c r="AL56" s="59"/>
      <c r="AM56" s="59" t="s">
        <v>73</v>
      </c>
      <c r="AN56" s="59"/>
      <c r="AO56" s="59" t="s">
        <v>73</v>
      </c>
      <c r="AP56" s="59"/>
      <c r="AQ56" s="59" t="s">
        <v>73</v>
      </c>
      <c r="AR56" s="59"/>
      <c r="AS56" s="59" t="s">
        <v>72</v>
      </c>
      <c r="AT56" s="59"/>
      <c r="AU56" s="59"/>
      <c r="AV56" s="59"/>
      <c r="AW56" s="59"/>
      <c r="AX56" s="59"/>
      <c r="AY56" s="60" t="str">
        <f>IF('Cálculo MP'!K66="","",'Cálculo MP'!K66)</f>
        <v/>
      </c>
      <c r="AZ56" s="60" t="str">
        <f>IF('Cálculo MP'!L66="","",'Cálculo MP'!L66)</f>
        <v/>
      </c>
      <c r="BA56" s="60" t="str">
        <f>IF('Cálculo MP'!M66="","",'Cálculo MP'!M66)</f>
        <v/>
      </c>
      <c r="BB56" s="60" t="str">
        <f>IF('Cálculo MP'!N66="","",'Cálculo MP'!N66)</f>
        <v/>
      </c>
      <c r="BC56" s="60" t="str">
        <f>IF('Cálculo MP'!O66="","",'Cálculo MP'!O66)</f>
        <v/>
      </c>
      <c r="BD56" s="60" t="str">
        <f>IF('Cálculo MP'!P66="","",'Cálculo MP'!P66)</f>
        <v/>
      </c>
      <c r="BE56" s="60" t="str">
        <f>IF('Cálculo MP'!Q66="","",'Cálculo MP'!Q66)</f>
        <v/>
      </c>
      <c r="BF56" s="60" t="str">
        <f>IF('Cálculo MP'!R66="","",'Cálculo MP'!R66)</f>
        <v/>
      </c>
      <c r="BG56" s="60" t="str">
        <f>IF('Cálculo MP'!S66="","",'Cálculo MP'!S66)</f>
        <v/>
      </c>
      <c r="BH56" s="61"/>
      <c r="BI56" s="61"/>
      <c r="BJ56" s="61"/>
      <c r="BK56" s="61"/>
      <c r="BL56" s="61"/>
      <c r="BM56" s="61"/>
      <c r="BN56" s="61"/>
      <c r="BO56" s="61"/>
    </row>
    <row r="57" spans="1:67" ht="19.5" customHeight="1" x14ac:dyDescent="0.2">
      <c r="A57" s="114" t="s">
        <v>1789</v>
      </c>
      <c r="B57" s="113" t="s">
        <v>1787</v>
      </c>
      <c r="C57" s="122"/>
      <c r="D57" s="48" t="s">
        <v>73</v>
      </c>
      <c r="E57" s="49"/>
      <c r="F57" s="50"/>
      <c r="G57" s="62"/>
      <c r="H57" s="48" t="s">
        <v>72</v>
      </c>
      <c r="I57" s="135">
        <v>1</v>
      </c>
      <c r="J57" s="52"/>
      <c r="K57" s="52" t="s">
        <v>73</v>
      </c>
      <c r="L57" s="52" t="s">
        <v>74</v>
      </c>
      <c r="M57" s="53" t="s">
        <v>917</v>
      </c>
      <c r="N57" s="58" t="s">
        <v>73</v>
      </c>
      <c r="O57" s="48" t="s">
        <v>72</v>
      </c>
      <c r="P57" s="48" t="s">
        <v>73</v>
      </c>
      <c r="Q57" s="54" t="s">
        <v>73</v>
      </c>
      <c r="R57" s="55" t="s">
        <v>73</v>
      </c>
      <c r="S57" s="48" t="s">
        <v>73</v>
      </c>
      <c r="T57" s="121" t="str" cm="1">
        <f t="array" ref="T57">IF(ISNUMBER(SEARCH("SCHNEIDER",D57)),_xlfn.IFS(ISNUMBER(SEARCH("2 Querétaro",D57)),"SQ2",ISNUMBER(SEARCH("Xicohténcatl",D57)),"SXC",ISNUMBER(SEARCH("Rojo Gómez",D57)),"SRG",ISNUMBER(SEARCH("Tlaxcala",D57)),"STX",ISNUMBER(SEARCH("Monterrey",D57)),"SMY",ISNUMBER(SEARCH("Querétaro",D57)),"SQ1",ISNUMBER(SEARCH("CDMX",D57)),"SCM",TRUE,""),"")</f>
        <v/>
      </c>
      <c r="U57" s="48" t="str" cm="1">
        <f t="array" ref="U57">_xlfn.LET(_xlpm.resultados,_xlfn.UNIQUE(_xlfn._xlws.FILTER(Tabla1[Proceso],(Tabla1[Metal Base]=O57)*(Tabla1[Etiquetas]=_xlfn.TEXTJOIN(" + ",TRUE,IF((TRIM(Upload!P57:S57)="")+(LOWER(TRIM(Upload!P57:S57))="(seleccione)"),"",PROPER(TRIM(Upload!P57:S57)))))*(Tabla1[Línea2]=IFERROR(VLOOKUP(Upload!N57&amp;"*",CAT_Procesos!D:D,1,FALSE),"")))),_xlpm.cantidad,ROWS(_xlpm.resultados),IF(ISERROR(_xlpm.cantidad),"Combinación no existente",IF(_xlpm.cantidad=1,INDEX(_xlpm.resultados,1),"(seleccione)")))</f>
        <v>Combinación no existente</v>
      </c>
      <c r="V57" s="55" t="s">
        <v>73</v>
      </c>
      <c r="W57" s="56" t="s">
        <v>73</v>
      </c>
      <c r="X57" s="57" t="str">
        <f t="shared" si="0"/>
        <v/>
      </c>
      <c r="Y57" s="58" t="s">
        <v>73</v>
      </c>
      <c r="Z57" s="57" t="str">
        <f t="shared" si="1"/>
        <v/>
      </c>
      <c r="AA57" s="58" t="s">
        <v>73</v>
      </c>
      <c r="AB57" s="57" t="str">
        <f t="shared" si="2"/>
        <v/>
      </c>
      <c r="AC57" s="58" t="s">
        <v>73</v>
      </c>
      <c r="AD57" s="57" t="str">
        <f t="shared" si="3"/>
        <v/>
      </c>
      <c r="AE57" s="59"/>
      <c r="AF57" s="59"/>
      <c r="AG57" s="59"/>
      <c r="AH57" s="59"/>
      <c r="AI57" s="59" t="s">
        <v>73</v>
      </c>
      <c r="AJ57" s="59"/>
      <c r="AK57" s="59" t="s">
        <v>73</v>
      </c>
      <c r="AL57" s="59"/>
      <c r="AM57" s="59" t="s">
        <v>73</v>
      </c>
      <c r="AN57" s="59"/>
      <c r="AO57" s="59" t="s">
        <v>73</v>
      </c>
      <c r="AP57" s="59"/>
      <c r="AQ57" s="59" t="s">
        <v>73</v>
      </c>
      <c r="AR57" s="59"/>
      <c r="AS57" s="59" t="s">
        <v>72</v>
      </c>
      <c r="AT57" s="59"/>
      <c r="AU57" s="59"/>
      <c r="AV57" s="59"/>
      <c r="AW57" s="59"/>
      <c r="AX57" s="59"/>
      <c r="AY57" s="60" t="str">
        <f>IF('Cálculo MP'!K67="","",'Cálculo MP'!K67)</f>
        <v/>
      </c>
      <c r="AZ57" s="60" t="str">
        <f>IF('Cálculo MP'!L67="","",'Cálculo MP'!L67)</f>
        <v/>
      </c>
      <c r="BA57" s="60" t="str">
        <f>IF('Cálculo MP'!M67="","",'Cálculo MP'!M67)</f>
        <v/>
      </c>
      <c r="BB57" s="60" t="str">
        <f>IF('Cálculo MP'!N67="","",'Cálculo MP'!N67)</f>
        <v/>
      </c>
      <c r="BC57" s="60" t="str">
        <f>IF('Cálculo MP'!O67="","",'Cálculo MP'!O67)</f>
        <v/>
      </c>
      <c r="BD57" s="60" t="str">
        <f>IF('Cálculo MP'!P67="","",'Cálculo MP'!P67)</f>
        <v/>
      </c>
      <c r="BE57" s="60" t="str">
        <f>IF('Cálculo MP'!Q67="","",'Cálculo MP'!Q67)</f>
        <v/>
      </c>
      <c r="BF57" s="60" t="str">
        <f>IF('Cálculo MP'!R67="","",'Cálculo MP'!R67)</f>
        <v/>
      </c>
      <c r="BG57" s="60" t="str">
        <f>IF('Cálculo MP'!S67="","",'Cálculo MP'!S67)</f>
        <v/>
      </c>
      <c r="BH57" s="61"/>
      <c r="BI57" s="61"/>
      <c r="BJ57" s="61"/>
      <c r="BK57" s="61"/>
      <c r="BL57" s="61"/>
      <c r="BM57" s="61"/>
      <c r="BN57" s="61"/>
      <c r="BO57" s="61"/>
    </row>
    <row r="58" spans="1:67" ht="19.5" customHeight="1" x14ac:dyDescent="0.2">
      <c r="A58" s="114" t="s">
        <v>1789</v>
      </c>
      <c r="B58" s="113" t="s">
        <v>1787</v>
      </c>
      <c r="C58" s="122"/>
      <c r="D58" s="48" t="s">
        <v>73</v>
      </c>
      <c r="E58" s="49"/>
      <c r="F58" s="50"/>
      <c r="G58" s="62"/>
      <c r="H58" s="48" t="s">
        <v>72</v>
      </c>
      <c r="I58" s="135">
        <v>1</v>
      </c>
      <c r="J58" s="52"/>
      <c r="K58" s="52" t="s">
        <v>73</v>
      </c>
      <c r="L58" s="52" t="s">
        <v>74</v>
      </c>
      <c r="M58" s="53" t="s">
        <v>917</v>
      </c>
      <c r="N58" s="58" t="s">
        <v>73</v>
      </c>
      <c r="O58" s="48" t="s">
        <v>72</v>
      </c>
      <c r="P58" s="48" t="s">
        <v>73</v>
      </c>
      <c r="Q58" s="54" t="s">
        <v>73</v>
      </c>
      <c r="R58" s="55" t="s">
        <v>73</v>
      </c>
      <c r="S58" s="48" t="s">
        <v>73</v>
      </c>
      <c r="T58" s="121" t="str" cm="1">
        <f t="array" ref="T58">IF(ISNUMBER(SEARCH("SCHNEIDER",D58)),_xlfn.IFS(ISNUMBER(SEARCH("2 Querétaro",D58)),"SQ2",ISNUMBER(SEARCH("Xicohténcatl",D58)),"SXC",ISNUMBER(SEARCH("Rojo Gómez",D58)),"SRG",ISNUMBER(SEARCH("Tlaxcala",D58)),"STX",ISNUMBER(SEARCH("Monterrey",D58)),"SMY",ISNUMBER(SEARCH("Querétaro",D58)),"SQ1",ISNUMBER(SEARCH("CDMX",D58)),"SCM",TRUE,""),"")</f>
        <v/>
      </c>
      <c r="U58" s="48" t="str" cm="1">
        <f t="array" ref="U58">_xlfn.LET(_xlpm.resultados,_xlfn.UNIQUE(_xlfn._xlws.FILTER(Tabla1[Proceso],(Tabla1[Metal Base]=O58)*(Tabla1[Etiquetas]=_xlfn.TEXTJOIN(" + ",TRUE,IF((TRIM(Upload!P58:S58)="")+(LOWER(TRIM(Upload!P58:S58))="(seleccione)"),"",PROPER(TRIM(Upload!P58:S58)))))*(Tabla1[Línea2]=IFERROR(VLOOKUP(Upload!N58&amp;"*",CAT_Procesos!D:D,1,FALSE),"")))),_xlpm.cantidad,ROWS(_xlpm.resultados),IF(ISERROR(_xlpm.cantidad),"Combinación no existente",IF(_xlpm.cantidad=1,INDEX(_xlpm.resultados,1),"(seleccione)")))</f>
        <v>Combinación no existente</v>
      </c>
      <c r="V58" s="55" t="s">
        <v>73</v>
      </c>
      <c r="W58" s="56" t="s">
        <v>73</v>
      </c>
      <c r="X58" s="57" t="str">
        <f t="shared" si="0"/>
        <v/>
      </c>
      <c r="Y58" s="58" t="s">
        <v>73</v>
      </c>
      <c r="Z58" s="57" t="str">
        <f t="shared" si="1"/>
        <v/>
      </c>
      <c r="AA58" s="58" t="s">
        <v>73</v>
      </c>
      <c r="AB58" s="57" t="str">
        <f t="shared" si="2"/>
        <v/>
      </c>
      <c r="AC58" s="58" t="s">
        <v>73</v>
      </c>
      <c r="AD58" s="57" t="str">
        <f t="shared" si="3"/>
        <v/>
      </c>
      <c r="AE58" s="59"/>
      <c r="AF58" s="59"/>
      <c r="AG58" s="59"/>
      <c r="AH58" s="59"/>
      <c r="AI58" s="59" t="s">
        <v>73</v>
      </c>
      <c r="AJ58" s="59"/>
      <c r="AK58" s="59" t="s">
        <v>73</v>
      </c>
      <c r="AL58" s="59"/>
      <c r="AM58" s="59" t="s">
        <v>73</v>
      </c>
      <c r="AN58" s="59"/>
      <c r="AO58" s="59" t="s">
        <v>73</v>
      </c>
      <c r="AP58" s="59"/>
      <c r="AQ58" s="59" t="s">
        <v>73</v>
      </c>
      <c r="AR58" s="59"/>
      <c r="AS58" s="59" t="s">
        <v>72</v>
      </c>
      <c r="AT58" s="59"/>
      <c r="AU58" s="59"/>
      <c r="AV58" s="59"/>
      <c r="AW58" s="59"/>
      <c r="AX58" s="59"/>
      <c r="AY58" s="60" t="str">
        <f>IF('Cálculo MP'!K68="","",'Cálculo MP'!K68)</f>
        <v/>
      </c>
      <c r="AZ58" s="60" t="str">
        <f>IF('Cálculo MP'!L68="","",'Cálculo MP'!L68)</f>
        <v/>
      </c>
      <c r="BA58" s="60" t="str">
        <f>IF('Cálculo MP'!M68="","",'Cálculo MP'!M68)</f>
        <v/>
      </c>
      <c r="BB58" s="60" t="str">
        <f>IF('Cálculo MP'!N68="","",'Cálculo MP'!N68)</f>
        <v/>
      </c>
      <c r="BC58" s="60" t="str">
        <f>IF('Cálculo MP'!O68="","",'Cálculo MP'!O68)</f>
        <v/>
      </c>
      <c r="BD58" s="60" t="str">
        <f>IF('Cálculo MP'!P68="","",'Cálculo MP'!P68)</f>
        <v/>
      </c>
      <c r="BE58" s="60" t="str">
        <f>IF('Cálculo MP'!Q68="","",'Cálculo MP'!Q68)</f>
        <v/>
      </c>
      <c r="BF58" s="60" t="str">
        <f>IF('Cálculo MP'!R68="","",'Cálculo MP'!R68)</f>
        <v/>
      </c>
      <c r="BG58" s="60" t="str">
        <f>IF('Cálculo MP'!S68="","",'Cálculo MP'!S68)</f>
        <v/>
      </c>
      <c r="BH58" s="61"/>
      <c r="BI58" s="61"/>
      <c r="BJ58" s="61"/>
      <c r="BK58" s="61"/>
      <c r="BL58" s="61"/>
      <c r="BM58" s="61"/>
      <c r="BN58" s="61"/>
      <c r="BO58" s="61"/>
    </row>
    <row r="59" spans="1:67" ht="19.5" customHeight="1" x14ac:dyDescent="0.2">
      <c r="A59" s="114" t="s">
        <v>1789</v>
      </c>
      <c r="B59" s="113" t="s">
        <v>1787</v>
      </c>
      <c r="C59" s="122"/>
      <c r="D59" s="48" t="s">
        <v>73</v>
      </c>
      <c r="E59" s="49"/>
      <c r="F59" s="50"/>
      <c r="G59" s="62"/>
      <c r="H59" s="48" t="s">
        <v>72</v>
      </c>
      <c r="I59" s="135">
        <v>1</v>
      </c>
      <c r="J59" s="52"/>
      <c r="K59" s="52" t="s">
        <v>73</v>
      </c>
      <c r="L59" s="52" t="s">
        <v>74</v>
      </c>
      <c r="M59" s="53" t="s">
        <v>917</v>
      </c>
      <c r="N59" s="58" t="s">
        <v>73</v>
      </c>
      <c r="O59" s="48" t="s">
        <v>72</v>
      </c>
      <c r="P59" s="48" t="s">
        <v>73</v>
      </c>
      <c r="Q59" s="54" t="s">
        <v>73</v>
      </c>
      <c r="R59" s="55" t="s">
        <v>73</v>
      </c>
      <c r="S59" s="48" t="s">
        <v>73</v>
      </c>
      <c r="T59" s="121" t="str" cm="1">
        <f t="array" ref="T59">IF(ISNUMBER(SEARCH("SCHNEIDER",D59)),_xlfn.IFS(ISNUMBER(SEARCH("2 Querétaro",D59)),"SQ2",ISNUMBER(SEARCH("Xicohténcatl",D59)),"SXC",ISNUMBER(SEARCH("Rojo Gómez",D59)),"SRG",ISNUMBER(SEARCH("Tlaxcala",D59)),"STX",ISNUMBER(SEARCH("Monterrey",D59)),"SMY",ISNUMBER(SEARCH("Querétaro",D59)),"SQ1",ISNUMBER(SEARCH("CDMX",D59)),"SCM",TRUE,""),"")</f>
        <v/>
      </c>
      <c r="U59" s="48" t="str" cm="1">
        <f t="array" ref="U59">_xlfn.LET(_xlpm.resultados,_xlfn.UNIQUE(_xlfn._xlws.FILTER(Tabla1[Proceso],(Tabla1[Metal Base]=O59)*(Tabla1[Etiquetas]=_xlfn.TEXTJOIN(" + ",TRUE,IF((TRIM(Upload!P59:S59)="")+(LOWER(TRIM(Upload!P59:S59))="(seleccione)"),"",PROPER(TRIM(Upload!P59:S59)))))*(Tabla1[Línea2]=IFERROR(VLOOKUP(Upload!N59&amp;"*",CAT_Procesos!D:D,1,FALSE),"")))),_xlpm.cantidad,ROWS(_xlpm.resultados),IF(ISERROR(_xlpm.cantidad),"Combinación no existente",IF(_xlpm.cantidad=1,INDEX(_xlpm.resultados,1),"(seleccione)")))</f>
        <v>Combinación no existente</v>
      </c>
      <c r="V59" s="55" t="s">
        <v>73</v>
      </c>
      <c r="W59" s="56" t="s">
        <v>73</v>
      </c>
      <c r="X59" s="57" t="str">
        <f t="shared" si="0"/>
        <v/>
      </c>
      <c r="Y59" s="58" t="s">
        <v>73</v>
      </c>
      <c r="Z59" s="57" t="str">
        <f t="shared" si="1"/>
        <v/>
      </c>
      <c r="AA59" s="58" t="s">
        <v>73</v>
      </c>
      <c r="AB59" s="57" t="str">
        <f t="shared" si="2"/>
        <v/>
      </c>
      <c r="AC59" s="58" t="s">
        <v>73</v>
      </c>
      <c r="AD59" s="57" t="str">
        <f t="shared" si="3"/>
        <v/>
      </c>
      <c r="AE59" s="59"/>
      <c r="AF59" s="59"/>
      <c r="AG59" s="59"/>
      <c r="AH59" s="59"/>
      <c r="AI59" s="59" t="s">
        <v>73</v>
      </c>
      <c r="AJ59" s="59"/>
      <c r="AK59" s="59" t="s">
        <v>73</v>
      </c>
      <c r="AL59" s="59"/>
      <c r="AM59" s="59" t="s">
        <v>73</v>
      </c>
      <c r="AN59" s="59"/>
      <c r="AO59" s="59" t="s">
        <v>73</v>
      </c>
      <c r="AP59" s="59"/>
      <c r="AQ59" s="59" t="s">
        <v>73</v>
      </c>
      <c r="AR59" s="59"/>
      <c r="AS59" s="59" t="s">
        <v>72</v>
      </c>
      <c r="AT59" s="59"/>
      <c r="AU59" s="59"/>
      <c r="AV59" s="59"/>
      <c r="AW59" s="59"/>
      <c r="AX59" s="59"/>
      <c r="AY59" s="60" t="str">
        <f>IF('Cálculo MP'!K69="","",'Cálculo MP'!K69)</f>
        <v/>
      </c>
      <c r="AZ59" s="60" t="str">
        <f>IF('Cálculo MP'!L69="","",'Cálculo MP'!L69)</f>
        <v/>
      </c>
      <c r="BA59" s="60" t="str">
        <f>IF('Cálculo MP'!M69="","",'Cálculo MP'!M69)</f>
        <v/>
      </c>
      <c r="BB59" s="60" t="str">
        <f>IF('Cálculo MP'!N69="","",'Cálculo MP'!N69)</f>
        <v/>
      </c>
      <c r="BC59" s="60" t="str">
        <f>IF('Cálculo MP'!O69="","",'Cálculo MP'!O69)</f>
        <v/>
      </c>
      <c r="BD59" s="60" t="str">
        <f>IF('Cálculo MP'!P69="","",'Cálculo MP'!P69)</f>
        <v/>
      </c>
      <c r="BE59" s="60" t="str">
        <f>IF('Cálculo MP'!Q69="","",'Cálculo MP'!Q69)</f>
        <v/>
      </c>
      <c r="BF59" s="60" t="str">
        <f>IF('Cálculo MP'!R69="","",'Cálculo MP'!R69)</f>
        <v/>
      </c>
      <c r="BG59" s="60" t="str">
        <f>IF('Cálculo MP'!S69="","",'Cálculo MP'!S69)</f>
        <v/>
      </c>
      <c r="BH59" s="61"/>
      <c r="BI59" s="61"/>
      <c r="BJ59" s="61"/>
      <c r="BK59" s="61"/>
      <c r="BL59" s="61"/>
      <c r="BM59" s="61"/>
      <c r="BN59" s="61"/>
      <c r="BO59" s="61"/>
    </row>
    <row r="60" spans="1:67" ht="19.5" customHeight="1" x14ac:dyDescent="0.2">
      <c r="A60" s="114" t="s">
        <v>1789</v>
      </c>
      <c r="B60" s="113" t="s">
        <v>1787</v>
      </c>
      <c r="C60" s="122"/>
      <c r="D60" s="48" t="s">
        <v>73</v>
      </c>
      <c r="E60" s="49"/>
      <c r="F60" s="50"/>
      <c r="G60" s="62"/>
      <c r="H60" s="48" t="s">
        <v>72</v>
      </c>
      <c r="I60" s="135">
        <v>1</v>
      </c>
      <c r="J60" s="52"/>
      <c r="K60" s="52" t="s">
        <v>73</v>
      </c>
      <c r="L60" s="52" t="s">
        <v>74</v>
      </c>
      <c r="M60" s="53" t="s">
        <v>917</v>
      </c>
      <c r="N60" s="58" t="s">
        <v>73</v>
      </c>
      <c r="O60" s="48" t="s">
        <v>72</v>
      </c>
      <c r="P60" s="48" t="s">
        <v>73</v>
      </c>
      <c r="Q60" s="54" t="s">
        <v>73</v>
      </c>
      <c r="R60" s="55" t="s">
        <v>73</v>
      </c>
      <c r="S60" s="48" t="s">
        <v>73</v>
      </c>
      <c r="T60" s="121" t="str" cm="1">
        <f t="array" ref="T60">IF(ISNUMBER(SEARCH("SCHNEIDER",D60)),_xlfn.IFS(ISNUMBER(SEARCH("2 Querétaro",D60)),"SQ2",ISNUMBER(SEARCH("Xicohténcatl",D60)),"SXC",ISNUMBER(SEARCH("Rojo Gómez",D60)),"SRG",ISNUMBER(SEARCH("Tlaxcala",D60)),"STX",ISNUMBER(SEARCH("Monterrey",D60)),"SMY",ISNUMBER(SEARCH("Querétaro",D60)),"SQ1",ISNUMBER(SEARCH("CDMX",D60)),"SCM",TRUE,""),"")</f>
        <v/>
      </c>
      <c r="U60" s="48" t="str" cm="1">
        <f t="array" ref="U60">_xlfn.LET(_xlpm.resultados,_xlfn.UNIQUE(_xlfn._xlws.FILTER(Tabla1[Proceso],(Tabla1[Metal Base]=O60)*(Tabla1[Etiquetas]=_xlfn.TEXTJOIN(" + ",TRUE,IF((TRIM(Upload!P60:S60)="")+(LOWER(TRIM(Upload!P60:S60))="(seleccione)"),"",PROPER(TRIM(Upload!P60:S60)))))*(Tabla1[Línea2]=IFERROR(VLOOKUP(Upload!N60&amp;"*",CAT_Procesos!D:D,1,FALSE),"")))),_xlpm.cantidad,ROWS(_xlpm.resultados),IF(ISERROR(_xlpm.cantidad),"Combinación no existente",IF(_xlpm.cantidad=1,INDEX(_xlpm.resultados,1),"(seleccione)")))</f>
        <v>Combinación no existente</v>
      </c>
      <c r="V60" s="55" t="s">
        <v>73</v>
      </c>
      <c r="W60" s="56" t="s">
        <v>73</v>
      </c>
      <c r="X60" s="57" t="str">
        <f t="shared" si="0"/>
        <v/>
      </c>
      <c r="Y60" s="58" t="s">
        <v>73</v>
      </c>
      <c r="Z60" s="57" t="str">
        <f t="shared" si="1"/>
        <v/>
      </c>
      <c r="AA60" s="58" t="s">
        <v>73</v>
      </c>
      <c r="AB60" s="57" t="str">
        <f t="shared" si="2"/>
        <v/>
      </c>
      <c r="AC60" s="58" t="s">
        <v>73</v>
      </c>
      <c r="AD60" s="57" t="str">
        <f t="shared" si="3"/>
        <v/>
      </c>
      <c r="AE60" s="59"/>
      <c r="AF60" s="59"/>
      <c r="AG60" s="59"/>
      <c r="AH60" s="59"/>
      <c r="AI60" s="59" t="s">
        <v>73</v>
      </c>
      <c r="AJ60" s="59"/>
      <c r="AK60" s="59" t="s">
        <v>73</v>
      </c>
      <c r="AL60" s="59"/>
      <c r="AM60" s="59" t="s">
        <v>73</v>
      </c>
      <c r="AN60" s="59"/>
      <c r="AO60" s="59" t="s">
        <v>73</v>
      </c>
      <c r="AP60" s="59"/>
      <c r="AQ60" s="59" t="s">
        <v>73</v>
      </c>
      <c r="AR60" s="59"/>
      <c r="AS60" s="59" t="s">
        <v>72</v>
      </c>
      <c r="AT60" s="59"/>
      <c r="AU60" s="59"/>
      <c r="AV60" s="59"/>
      <c r="AW60" s="59"/>
      <c r="AX60" s="59"/>
      <c r="AY60" s="60" t="str">
        <f>IF('Cálculo MP'!K70="","",'Cálculo MP'!K70)</f>
        <v/>
      </c>
      <c r="AZ60" s="60" t="str">
        <f>IF('Cálculo MP'!L70="","",'Cálculo MP'!L70)</f>
        <v/>
      </c>
      <c r="BA60" s="60" t="str">
        <f>IF('Cálculo MP'!M70="","",'Cálculo MP'!M70)</f>
        <v/>
      </c>
      <c r="BB60" s="60" t="str">
        <f>IF('Cálculo MP'!N70="","",'Cálculo MP'!N70)</f>
        <v/>
      </c>
      <c r="BC60" s="60" t="str">
        <f>IF('Cálculo MP'!O70="","",'Cálculo MP'!O70)</f>
        <v/>
      </c>
      <c r="BD60" s="60" t="str">
        <f>IF('Cálculo MP'!P70="","",'Cálculo MP'!P70)</f>
        <v/>
      </c>
      <c r="BE60" s="60" t="str">
        <f>IF('Cálculo MP'!Q70="","",'Cálculo MP'!Q70)</f>
        <v/>
      </c>
      <c r="BF60" s="60" t="str">
        <f>IF('Cálculo MP'!R70="","",'Cálculo MP'!R70)</f>
        <v/>
      </c>
      <c r="BG60" s="60" t="str">
        <f>IF('Cálculo MP'!S70="","",'Cálculo MP'!S70)</f>
        <v/>
      </c>
      <c r="BH60" s="59"/>
      <c r="BI60" s="59"/>
      <c r="BJ60" s="59"/>
      <c r="BK60" s="59"/>
      <c r="BL60" s="59"/>
      <c r="BM60" s="59"/>
      <c r="BN60" s="59"/>
      <c r="BO60" s="59"/>
    </row>
    <row r="61" spans="1:67" ht="19.5" customHeight="1" x14ac:dyDescent="0.2">
      <c r="A61" s="114" t="s">
        <v>1789</v>
      </c>
      <c r="B61" s="113" t="s">
        <v>1787</v>
      </c>
      <c r="C61" s="122"/>
      <c r="D61" s="48" t="s">
        <v>73</v>
      </c>
      <c r="E61" s="49"/>
      <c r="F61" s="50"/>
      <c r="G61" s="62"/>
      <c r="H61" s="48" t="s">
        <v>72</v>
      </c>
      <c r="I61" s="135">
        <v>1</v>
      </c>
      <c r="J61" s="52"/>
      <c r="K61" s="52" t="s">
        <v>73</v>
      </c>
      <c r="L61" s="52" t="s">
        <v>74</v>
      </c>
      <c r="M61" s="53" t="s">
        <v>917</v>
      </c>
      <c r="N61" s="58" t="s">
        <v>73</v>
      </c>
      <c r="O61" s="48" t="s">
        <v>72</v>
      </c>
      <c r="P61" s="48" t="s">
        <v>73</v>
      </c>
      <c r="Q61" s="54" t="s">
        <v>73</v>
      </c>
      <c r="R61" s="55" t="s">
        <v>73</v>
      </c>
      <c r="S61" s="48" t="s">
        <v>73</v>
      </c>
      <c r="T61" s="121" t="str" cm="1">
        <f t="array" ref="T61">IF(ISNUMBER(SEARCH("SCHNEIDER",D61)),_xlfn.IFS(ISNUMBER(SEARCH("2 Querétaro",D61)),"SQ2",ISNUMBER(SEARCH("Xicohténcatl",D61)),"SXC",ISNUMBER(SEARCH("Rojo Gómez",D61)),"SRG",ISNUMBER(SEARCH("Tlaxcala",D61)),"STX",ISNUMBER(SEARCH("Monterrey",D61)),"SMY",ISNUMBER(SEARCH("Querétaro",D61)),"SQ1",ISNUMBER(SEARCH("CDMX",D61)),"SCM",TRUE,""),"")</f>
        <v/>
      </c>
      <c r="U61" s="48" t="str" cm="1">
        <f t="array" ref="U61">_xlfn.LET(_xlpm.resultados,_xlfn.UNIQUE(_xlfn._xlws.FILTER(Tabla1[Proceso],(Tabla1[Metal Base]=O61)*(Tabla1[Etiquetas]=_xlfn.TEXTJOIN(" + ",TRUE,IF((TRIM(Upload!P61:S61)="")+(LOWER(TRIM(Upload!P61:S61))="(seleccione)"),"",PROPER(TRIM(Upload!P61:S61)))))*(Tabla1[Línea2]=IFERROR(VLOOKUP(Upload!N61&amp;"*",CAT_Procesos!D:D,1,FALSE),"")))),_xlpm.cantidad,ROWS(_xlpm.resultados),IF(ISERROR(_xlpm.cantidad),"Combinación no existente",IF(_xlpm.cantidad=1,INDEX(_xlpm.resultados,1),"(seleccione)")))</f>
        <v>Combinación no existente</v>
      </c>
      <c r="V61" s="55" t="s">
        <v>73</v>
      </c>
      <c r="W61" s="56" t="s">
        <v>73</v>
      </c>
      <c r="X61" s="57" t="str">
        <f t="shared" si="0"/>
        <v/>
      </c>
      <c r="Y61" s="58" t="s">
        <v>73</v>
      </c>
      <c r="Z61" s="57" t="str">
        <f t="shared" si="1"/>
        <v/>
      </c>
      <c r="AA61" s="58" t="s">
        <v>73</v>
      </c>
      <c r="AB61" s="57" t="str">
        <f t="shared" si="2"/>
        <v/>
      </c>
      <c r="AC61" s="58" t="s">
        <v>73</v>
      </c>
      <c r="AD61" s="57" t="str">
        <f t="shared" si="3"/>
        <v/>
      </c>
      <c r="AE61" s="59"/>
      <c r="AF61" s="59"/>
      <c r="AG61" s="59"/>
      <c r="AH61" s="59"/>
      <c r="AI61" s="59" t="s">
        <v>73</v>
      </c>
      <c r="AJ61" s="59"/>
      <c r="AK61" s="59" t="s">
        <v>73</v>
      </c>
      <c r="AL61" s="59"/>
      <c r="AM61" s="59" t="s">
        <v>73</v>
      </c>
      <c r="AN61" s="59"/>
      <c r="AO61" s="59" t="s">
        <v>73</v>
      </c>
      <c r="AP61" s="59"/>
      <c r="AQ61" s="59" t="s">
        <v>73</v>
      </c>
      <c r="AR61" s="59"/>
      <c r="AS61" s="59" t="s">
        <v>72</v>
      </c>
      <c r="AT61" s="59"/>
      <c r="AU61" s="59"/>
      <c r="AV61" s="59"/>
      <c r="AW61" s="59"/>
      <c r="AX61" s="59"/>
      <c r="AY61" s="60" t="str">
        <f>IF('Cálculo MP'!K71="","",'Cálculo MP'!K71)</f>
        <v/>
      </c>
      <c r="AZ61" s="60" t="str">
        <f>IF('Cálculo MP'!L71="","",'Cálculo MP'!L71)</f>
        <v/>
      </c>
      <c r="BA61" s="60" t="str">
        <f>IF('Cálculo MP'!M71="","",'Cálculo MP'!M71)</f>
        <v/>
      </c>
      <c r="BB61" s="60" t="str">
        <f>IF('Cálculo MP'!N71="","",'Cálculo MP'!N71)</f>
        <v/>
      </c>
      <c r="BC61" s="60" t="str">
        <f>IF('Cálculo MP'!O71="","",'Cálculo MP'!O71)</f>
        <v/>
      </c>
      <c r="BD61" s="60" t="str">
        <f>IF('Cálculo MP'!P71="","",'Cálculo MP'!P71)</f>
        <v/>
      </c>
      <c r="BE61" s="60" t="str">
        <f>IF('Cálculo MP'!Q71="","",'Cálculo MP'!Q71)</f>
        <v/>
      </c>
      <c r="BF61" s="60" t="str">
        <f>IF('Cálculo MP'!R71="","",'Cálculo MP'!R71)</f>
        <v/>
      </c>
      <c r="BG61" s="60" t="str">
        <f>IF('Cálculo MP'!S71="","",'Cálculo MP'!S71)</f>
        <v/>
      </c>
      <c r="BH61" s="59"/>
      <c r="BI61" s="59"/>
      <c r="BJ61" s="59"/>
      <c r="BK61" s="59"/>
      <c r="BL61" s="59"/>
      <c r="BM61" s="59"/>
      <c r="BN61" s="59"/>
      <c r="BO61" s="59"/>
    </row>
    <row r="62" spans="1:67" ht="19.5" customHeight="1" x14ac:dyDescent="0.2">
      <c r="A62" s="114" t="s">
        <v>1789</v>
      </c>
      <c r="B62" s="113" t="s">
        <v>1787</v>
      </c>
      <c r="C62" s="122"/>
      <c r="D62" s="48" t="s">
        <v>73</v>
      </c>
      <c r="E62" s="49"/>
      <c r="F62" s="50"/>
      <c r="G62" s="62"/>
      <c r="H62" s="48" t="s">
        <v>72</v>
      </c>
      <c r="I62" s="135">
        <v>1</v>
      </c>
      <c r="J62" s="52"/>
      <c r="K62" s="52" t="s">
        <v>73</v>
      </c>
      <c r="L62" s="52" t="s">
        <v>74</v>
      </c>
      <c r="M62" s="53" t="s">
        <v>917</v>
      </c>
      <c r="N62" s="58" t="s">
        <v>73</v>
      </c>
      <c r="O62" s="48" t="s">
        <v>72</v>
      </c>
      <c r="P62" s="48" t="s">
        <v>73</v>
      </c>
      <c r="Q62" s="54" t="s">
        <v>73</v>
      </c>
      <c r="R62" s="55" t="s">
        <v>73</v>
      </c>
      <c r="S62" s="48" t="s">
        <v>73</v>
      </c>
      <c r="T62" s="121" t="str" cm="1">
        <f t="array" ref="T62">IF(ISNUMBER(SEARCH("SCHNEIDER",D62)),_xlfn.IFS(ISNUMBER(SEARCH("2 Querétaro",D62)),"SQ2",ISNUMBER(SEARCH("Xicohténcatl",D62)),"SXC",ISNUMBER(SEARCH("Rojo Gómez",D62)),"SRG",ISNUMBER(SEARCH("Tlaxcala",D62)),"STX",ISNUMBER(SEARCH("Monterrey",D62)),"SMY",ISNUMBER(SEARCH("Querétaro",D62)),"SQ1",ISNUMBER(SEARCH("CDMX",D62)),"SCM",TRUE,""),"")</f>
        <v/>
      </c>
      <c r="U62" s="48" t="str" cm="1">
        <f t="array" ref="U62">_xlfn.LET(_xlpm.resultados,_xlfn.UNIQUE(_xlfn._xlws.FILTER(Tabla1[Proceso],(Tabla1[Metal Base]=O62)*(Tabla1[Etiquetas]=_xlfn.TEXTJOIN(" + ",TRUE,IF((TRIM(Upload!P62:S62)="")+(LOWER(TRIM(Upload!P62:S62))="(seleccione)"),"",PROPER(TRIM(Upload!P62:S62)))))*(Tabla1[Línea2]=IFERROR(VLOOKUP(Upload!N62&amp;"*",CAT_Procesos!D:D,1,FALSE),"")))),_xlpm.cantidad,ROWS(_xlpm.resultados),IF(ISERROR(_xlpm.cantidad),"Combinación no existente",IF(_xlpm.cantidad=1,INDEX(_xlpm.resultados,1),"(seleccione)")))</f>
        <v>Combinación no existente</v>
      </c>
      <c r="V62" s="55" t="s">
        <v>73</v>
      </c>
      <c r="W62" s="56" t="s">
        <v>73</v>
      </c>
      <c r="X62" s="57" t="str">
        <f t="shared" si="0"/>
        <v/>
      </c>
      <c r="Y62" s="58" t="s">
        <v>73</v>
      </c>
      <c r="Z62" s="57" t="str">
        <f t="shared" si="1"/>
        <v/>
      </c>
      <c r="AA62" s="58" t="s">
        <v>73</v>
      </c>
      <c r="AB62" s="57" t="str">
        <f t="shared" si="2"/>
        <v/>
      </c>
      <c r="AC62" s="58" t="s">
        <v>73</v>
      </c>
      <c r="AD62" s="57" t="str">
        <f t="shared" si="3"/>
        <v/>
      </c>
      <c r="AE62" s="59"/>
      <c r="AF62" s="59"/>
      <c r="AG62" s="59"/>
      <c r="AH62" s="59"/>
      <c r="AI62" s="59" t="s">
        <v>73</v>
      </c>
      <c r="AJ62" s="59"/>
      <c r="AK62" s="59" t="s">
        <v>73</v>
      </c>
      <c r="AL62" s="59"/>
      <c r="AM62" s="59" t="s">
        <v>73</v>
      </c>
      <c r="AN62" s="59"/>
      <c r="AO62" s="59" t="s">
        <v>73</v>
      </c>
      <c r="AP62" s="59"/>
      <c r="AQ62" s="59" t="s">
        <v>73</v>
      </c>
      <c r="AR62" s="59"/>
      <c r="AS62" s="59" t="s">
        <v>72</v>
      </c>
      <c r="AT62" s="59"/>
      <c r="AU62" s="59"/>
      <c r="AV62" s="59"/>
      <c r="AW62" s="59"/>
      <c r="AX62" s="59"/>
      <c r="AY62" s="60" t="str">
        <f>IF('Cálculo MP'!K72="","",'Cálculo MP'!K72)</f>
        <v/>
      </c>
      <c r="AZ62" s="60" t="str">
        <f>IF('Cálculo MP'!L72="","",'Cálculo MP'!L72)</f>
        <v/>
      </c>
      <c r="BA62" s="60" t="str">
        <f>IF('Cálculo MP'!M72="","",'Cálculo MP'!M72)</f>
        <v/>
      </c>
      <c r="BB62" s="60" t="str">
        <f>IF('Cálculo MP'!N72="","",'Cálculo MP'!N72)</f>
        <v/>
      </c>
      <c r="BC62" s="60" t="str">
        <f>IF('Cálculo MP'!O72="","",'Cálculo MP'!O72)</f>
        <v/>
      </c>
      <c r="BD62" s="60" t="str">
        <f>IF('Cálculo MP'!P72="","",'Cálculo MP'!P72)</f>
        <v/>
      </c>
      <c r="BE62" s="60" t="str">
        <f>IF('Cálculo MP'!Q72="","",'Cálculo MP'!Q72)</f>
        <v/>
      </c>
      <c r="BF62" s="60" t="str">
        <f>IF('Cálculo MP'!R72="","",'Cálculo MP'!R72)</f>
        <v/>
      </c>
      <c r="BG62" s="60" t="str">
        <f>IF('Cálculo MP'!S72="","",'Cálculo MP'!S72)</f>
        <v/>
      </c>
      <c r="BH62" s="59"/>
      <c r="BI62" s="59"/>
      <c r="BJ62" s="59"/>
      <c r="BK62" s="59"/>
      <c r="BL62" s="59"/>
      <c r="BM62" s="59"/>
      <c r="BN62" s="59"/>
      <c r="BO62" s="59"/>
    </row>
    <row r="63" spans="1:67" ht="19.5" customHeight="1" x14ac:dyDescent="0.2">
      <c r="A63" s="114" t="s">
        <v>1789</v>
      </c>
      <c r="B63" s="113" t="s">
        <v>1787</v>
      </c>
      <c r="C63" s="122"/>
      <c r="D63" s="48" t="s">
        <v>73</v>
      </c>
      <c r="E63" s="49"/>
      <c r="F63" s="50"/>
      <c r="G63" s="62"/>
      <c r="H63" s="48" t="s">
        <v>72</v>
      </c>
      <c r="I63" s="135">
        <v>1</v>
      </c>
      <c r="J63" s="52"/>
      <c r="K63" s="52" t="s">
        <v>73</v>
      </c>
      <c r="L63" s="52" t="s">
        <v>74</v>
      </c>
      <c r="M63" s="53" t="s">
        <v>917</v>
      </c>
      <c r="N63" s="58" t="s">
        <v>73</v>
      </c>
      <c r="O63" s="48" t="s">
        <v>72</v>
      </c>
      <c r="P63" s="48" t="s">
        <v>73</v>
      </c>
      <c r="Q63" s="54" t="s">
        <v>73</v>
      </c>
      <c r="R63" s="55" t="s">
        <v>73</v>
      </c>
      <c r="S63" s="48" t="s">
        <v>73</v>
      </c>
      <c r="T63" s="121" t="str" cm="1">
        <f t="array" ref="T63">IF(ISNUMBER(SEARCH("SCHNEIDER",D63)),_xlfn.IFS(ISNUMBER(SEARCH("2 Querétaro",D63)),"SQ2",ISNUMBER(SEARCH("Xicohténcatl",D63)),"SXC",ISNUMBER(SEARCH("Rojo Gómez",D63)),"SRG",ISNUMBER(SEARCH("Tlaxcala",D63)),"STX",ISNUMBER(SEARCH("Monterrey",D63)),"SMY",ISNUMBER(SEARCH("Querétaro",D63)),"SQ1",ISNUMBER(SEARCH("CDMX",D63)),"SCM",TRUE,""),"")</f>
        <v/>
      </c>
      <c r="U63" s="48" t="str" cm="1">
        <f t="array" ref="U63">_xlfn.LET(_xlpm.resultados,_xlfn.UNIQUE(_xlfn._xlws.FILTER(Tabla1[Proceso],(Tabla1[Metal Base]=O63)*(Tabla1[Etiquetas]=_xlfn.TEXTJOIN(" + ",TRUE,IF((TRIM(Upload!P63:S63)="")+(LOWER(TRIM(Upload!P63:S63))="(seleccione)"),"",PROPER(TRIM(Upload!P63:S63)))))*(Tabla1[Línea2]=IFERROR(VLOOKUP(Upload!N63&amp;"*",CAT_Procesos!D:D,1,FALSE),"")))),_xlpm.cantidad,ROWS(_xlpm.resultados),IF(ISERROR(_xlpm.cantidad),"Combinación no existente",IF(_xlpm.cantidad=1,INDEX(_xlpm.resultados,1),"(seleccione)")))</f>
        <v>Combinación no existente</v>
      </c>
      <c r="V63" s="55" t="s">
        <v>73</v>
      </c>
      <c r="W63" s="56" t="s">
        <v>73</v>
      </c>
      <c r="X63" s="57" t="str">
        <f t="shared" si="0"/>
        <v/>
      </c>
      <c r="Y63" s="58" t="s">
        <v>73</v>
      </c>
      <c r="Z63" s="57" t="str">
        <f t="shared" si="1"/>
        <v/>
      </c>
      <c r="AA63" s="58" t="s">
        <v>73</v>
      </c>
      <c r="AB63" s="57" t="str">
        <f t="shared" si="2"/>
        <v/>
      </c>
      <c r="AC63" s="58" t="s">
        <v>73</v>
      </c>
      <c r="AD63" s="57" t="str">
        <f t="shared" si="3"/>
        <v/>
      </c>
      <c r="AE63" s="59"/>
      <c r="AF63" s="59"/>
      <c r="AG63" s="59"/>
      <c r="AH63" s="59"/>
      <c r="AI63" s="59" t="s">
        <v>73</v>
      </c>
      <c r="AJ63" s="59"/>
      <c r="AK63" s="59" t="s">
        <v>73</v>
      </c>
      <c r="AL63" s="59"/>
      <c r="AM63" s="59" t="s">
        <v>73</v>
      </c>
      <c r="AN63" s="59"/>
      <c r="AO63" s="59" t="s">
        <v>73</v>
      </c>
      <c r="AP63" s="59"/>
      <c r="AQ63" s="59" t="s">
        <v>73</v>
      </c>
      <c r="AR63" s="59"/>
      <c r="AS63" s="59" t="s">
        <v>72</v>
      </c>
      <c r="AT63" s="59"/>
      <c r="AU63" s="59"/>
      <c r="AV63" s="59"/>
      <c r="AW63" s="59"/>
      <c r="AX63" s="59"/>
      <c r="AY63" s="60" t="str">
        <f>IF('Cálculo MP'!K73="","",'Cálculo MP'!K73)</f>
        <v/>
      </c>
      <c r="AZ63" s="60" t="str">
        <f>IF('Cálculo MP'!L73="","",'Cálculo MP'!L73)</f>
        <v/>
      </c>
      <c r="BA63" s="60" t="str">
        <f>IF('Cálculo MP'!M73="","",'Cálculo MP'!M73)</f>
        <v/>
      </c>
      <c r="BB63" s="60" t="str">
        <f>IF('Cálculo MP'!N73="","",'Cálculo MP'!N73)</f>
        <v/>
      </c>
      <c r="BC63" s="60" t="str">
        <f>IF('Cálculo MP'!O73="","",'Cálculo MP'!O73)</f>
        <v/>
      </c>
      <c r="BD63" s="60" t="str">
        <f>IF('Cálculo MP'!P73="","",'Cálculo MP'!P73)</f>
        <v/>
      </c>
      <c r="BE63" s="60" t="str">
        <f>IF('Cálculo MP'!Q73="","",'Cálculo MP'!Q73)</f>
        <v/>
      </c>
      <c r="BF63" s="60" t="str">
        <f>IF('Cálculo MP'!R73="","",'Cálculo MP'!R73)</f>
        <v/>
      </c>
      <c r="BG63" s="60" t="str">
        <f>IF('Cálculo MP'!S73="","",'Cálculo MP'!S73)</f>
        <v/>
      </c>
      <c r="BH63" s="59"/>
      <c r="BI63" s="59"/>
      <c r="BJ63" s="59"/>
      <c r="BK63" s="59"/>
      <c r="BL63" s="59"/>
      <c r="BM63" s="59"/>
      <c r="BN63" s="59"/>
      <c r="BO63" s="59"/>
    </row>
    <row r="64" spans="1:67" ht="19.5" customHeight="1" x14ac:dyDescent="0.2">
      <c r="A64" s="114" t="s">
        <v>1789</v>
      </c>
      <c r="B64" s="113" t="s">
        <v>1787</v>
      </c>
      <c r="C64" s="122"/>
      <c r="D64" s="48" t="s">
        <v>73</v>
      </c>
      <c r="E64" s="49"/>
      <c r="F64" s="50"/>
      <c r="G64" s="62"/>
      <c r="H64" s="48" t="s">
        <v>72</v>
      </c>
      <c r="I64" s="135">
        <v>1</v>
      </c>
      <c r="J64" s="52"/>
      <c r="K64" s="52" t="s">
        <v>73</v>
      </c>
      <c r="L64" s="52" t="s">
        <v>74</v>
      </c>
      <c r="M64" s="53" t="s">
        <v>917</v>
      </c>
      <c r="N64" s="58" t="s">
        <v>73</v>
      </c>
      <c r="O64" s="48" t="s">
        <v>72</v>
      </c>
      <c r="P64" s="48" t="s">
        <v>73</v>
      </c>
      <c r="Q64" s="54" t="s">
        <v>73</v>
      </c>
      <c r="R64" s="55" t="s">
        <v>73</v>
      </c>
      <c r="S64" s="48" t="s">
        <v>73</v>
      </c>
      <c r="T64" s="121" t="str" cm="1">
        <f t="array" ref="T64">IF(ISNUMBER(SEARCH("SCHNEIDER",D64)),_xlfn.IFS(ISNUMBER(SEARCH("2 Querétaro",D64)),"SQ2",ISNUMBER(SEARCH("Xicohténcatl",D64)),"SXC",ISNUMBER(SEARCH("Rojo Gómez",D64)),"SRG",ISNUMBER(SEARCH("Tlaxcala",D64)),"STX",ISNUMBER(SEARCH("Monterrey",D64)),"SMY",ISNUMBER(SEARCH("Querétaro",D64)),"SQ1",ISNUMBER(SEARCH("CDMX",D64)),"SCM",TRUE,""),"")</f>
        <v/>
      </c>
      <c r="U64" s="48" t="str" cm="1">
        <f t="array" ref="U64">_xlfn.LET(_xlpm.resultados,_xlfn.UNIQUE(_xlfn._xlws.FILTER(Tabla1[Proceso],(Tabla1[Metal Base]=O64)*(Tabla1[Etiquetas]=_xlfn.TEXTJOIN(" + ",TRUE,IF((TRIM(Upload!P64:S64)="")+(LOWER(TRIM(Upload!P64:S64))="(seleccione)"),"",PROPER(TRIM(Upload!P64:S64)))))*(Tabla1[Línea2]=IFERROR(VLOOKUP(Upload!N64&amp;"*",CAT_Procesos!D:D,1,FALSE),"")))),_xlpm.cantidad,ROWS(_xlpm.resultados),IF(ISERROR(_xlpm.cantidad),"Combinación no existente",IF(_xlpm.cantidad=1,INDEX(_xlpm.resultados,1),"(seleccione)")))</f>
        <v>Combinación no existente</v>
      </c>
      <c r="V64" s="55" t="s">
        <v>73</v>
      </c>
      <c r="W64" s="56" t="s">
        <v>73</v>
      </c>
      <c r="X64" s="57" t="str">
        <f t="shared" si="0"/>
        <v/>
      </c>
      <c r="Y64" s="58" t="s">
        <v>73</v>
      </c>
      <c r="Z64" s="57" t="str">
        <f t="shared" si="1"/>
        <v/>
      </c>
      <c r="AA64" s="58" t="s">
        <v>73</v>
      </c>
      <c r="AB64" s="57" t="str">
        <f t="shared" si="2"/>
        <v/>
      </c>
      <c r="AC64" s="58" t="s">
        <v>73</v>
      </c>
      <c r="AD64" s="57" t="str">
        <f t="shared" si="3"/>
        <v/>
      </c>
      <c r="AE64" s="59"/>
      <c r="AF64" s="59"/>
      <c r="AG64" s="59"/>
      <c r="AH64" s="59"/>
      <c r="AI64" s="59" t="s">
        <v>73</v>
      </c>
      <c r="AJ64" s="59"/>
      <c r="AK64" s="59" t="s">
        <v>73</v>
      </c>
      <c r="AL64" s="59"/>
      <c r="AM64" s="59" t="s">
        <v>73</v>
      </c>
      <c r="AN64" s="59"/>
      <c r="AO64" s="59" t="s">
        <v>73</v>
      </c>
      <c r="AP64" s="59"/>
      <c r="AQ64" s="59" t="s">
        <v>73</v>
      </c>
      <c r="AR64" s="59"/>
      <c r="AS64" s="59" t="s">
        <v>72</v>
      </c>
      <c r="AT64" s="59"/>
      <c r="AU64" s="59"/>
      <c r="AV64" s="59"/>
      <c r="AW64" s="59"/>
      <c r="AX64" s="59"/>
      <c r="AY64" s="60" t="str">
        <f>IF('Cálculo MP'!K74="","",'Cálculo MP'!K74)</f>
        <v/>
      </c>
      <c r="AZ64" s="60" t="str">
        <f>IF('Cálculo MP'!L74="","",'Cálculo MP'!L74)</f>
        <v/>
      </c>
      <c r="BA64" s="60" t="str">
        <f>IF('Cálculo MP'!M74="","",'Cálculo MP'!M74)</f>
        <v/>
      </c>
      <c r="BB64" s="60" t="str">
        <f>IF('Cálculo MP'!N74="","",'Cálculo MP'!N74)</f>
        <v/>
      </c>
      <c r="BC64" s="60" t="str">
        <f>IF('Cálculo MP'!O74="","",'Cálculo MP'!O74)</f>
        <v/>
      </c>
      <c r="BD64" s="60" t="str">
        <f>IF('Cálculo MP'!P74="","",'Cálculo MP'!P74)</f>
        <v/>
      </c>
      <c r="BE64" s="60" t="str">
        <f>IF('Cálculo MP'!Q74="","",'Cálculo MP'!Q74)</f>
        <v/>
      </c>
      <c r="BF64" s="60" t="str">
        <f>IF('Cálculo MP'!R74="","",'Cálculo MP'!R74)</f>
        <v/>
      </c>
      <c r="BG64" s="60" t="str">
        <f>IF('Cálculo MP'!S74="","",'Cálculo MP'!S74)</f>
        <v/>
      </c>
      <c r="BH64" s="59"/>
      <c r="BI64" s="59"/>
      <c r="BJ64" s="59"/>
      <c r="BK64" s="59"/>
      <c r="BL64" s="59"/>
      <c r="BM64" s="59"/>
      <c r="BN64" s="59"/>
      <c r="BO64" s="59"/>
    </row>
    <row r="65" spans="1:67" ht="19.5" customHeight="1" x14ac:dyDescent="0.2">
      <c r="A65" s="114" t="s">
        <v>1789</v>
      </c>
      <c r="B65" s="113" t="s">
        <v>1787</v>
      </c>
      <c r="C65" s="122"/>
      <c r="D65" s="48" t="s">
        <v>73</v>
      </c>
      <c r="E65" s="49"/>
      <c r="F65" s="50"/>
      <c r="G65" s="62"/>
      <c r="H65" s="48" t="s">
        <v>72</v>
      </c>
      <c r="I65" s="135">
        <v>1</v>
      </c>
      <c r="J65" s="52"/>
      <c r="K65" s="52" t="s">
        <v>73</v>
      </c>
      <c r="L65" s="52" t="s">
        <v>74</v>
      </c>
      <c r="M65" s="53" t="s">
        <v>917</v>
      </c>
      <c r="N65" s="58" t="s">
        <v>73</v>
      </c>
      <c r="O65" s="48" t="s">
        <v>72</v>
      </c>
      <c r="P65" s="48" t="s">
        <v>73</v>
      </c>
      <c r="Q65" s="54" t="s">
        <v>73</v>
      </c>
      <c r="R65" s="55" t="s">
        <v>73</v>
      </c>
      <c r="S65" s="48" t="s">
        <v>73</v>
      </c>
      <c r="T65" s="121" t="str" cm="1">
        <f t="array" ref="T65">IF(ISNUMBER(SEARCH("SCHNEIDER",D65)),_xlfn.IFS(ISNUMBER(SEARCH("2 Querétaro",D65)),"SQ2",ISNUMBER(SEARCH("Xicohténcatl",D65)),"SXC",ISNUMBER(SEARCH("Rojo Gómez",D65)),"SRG",ISNUMBER(SEARCH("Tlaxcala",D65)),"STX",ISNUMBER(SEARCH("Monterrey",D65)),"SMY",ISNUMBER(SEARCH("Querétaro",D65)),"SQ1",ISNUMBER(SEARCH("CDMX",D65)),"SCM",TRUE,""),"")</f>
        <v/>
      </c>
      <c r="U65" s="48" t="str" cm="1">
        <f t="array" ref="U65">_xlfn.LET(_xlpm.resultados,_xlfn.UNIQUE(_xlfn._xlws.FILTER(Tabla1[Proceso],(Tabla1[Metal Base]=O65)*(Tabla1[Etiquetas]=_xlfn.TEXTJOIN(" + ",TRUE,IF((TRIM(Upload!P65:S65)="")+(LOWER(TRIM(Upload!P65:S65))="(seleccione)"),"",PROPER(TRIM(Upload!P65:S65)))))*(Tabla1[Línea2]=IFERROR(VLOOKUP(Upload!N65&amp;"*",CAT_Procesos!D:D,1,FALSE),"")))),_xlpm.cantidad,ROWS(_xlpm.resultados),IF(ISERROR(_xlpm.cantidad),"Combinación no existente",IF(_xlpm.cantidad=1,INDEX(_xlpm.resultados,1),"(seleccione)")))</f>
        <v>Combinación no existente</v>
      </c>
      <c r="V65" s="55" t="s">
        <v>73</v>
      </c>
      <c r="W65" s="56" t="s">
        <v>73</v>
      </c>
      <c r="X65" s="57" t="str">
        <f t="shared" si="0"/>
        <v/>
      </c>
      <c r="Y65" s="58" t="s">
        <v>73</v>
      </c>
      <c r="Z65" s="57" t="str">
        <f t="shared" si="1"/>
        <v/>
      </c>
      <c r="AA65" s="58" t="s">
        <v>73</v>
      </c>
      <c r="AB65" s="57" t="str">
        <f t="shared" si="2"/>
        <v/>
      </c>
      <c r="AC65" s="58" t="s">
        <v>73</v>
      </c>
      <c r="AD65" s="57" t="str">
        <f t="shared" si="3"/>
        <v/>
      </c>
      <c r="AE65" s="59"/>
      <c r="AF65" s="59"/>
      <c r="AG65" s="59"/>
      <c r="AH65" s="59"/>
      <c r="AI65" s="59" t="s">
        <v>73</v>
      </c>
      <c r="AJ65" s="59"/>
      <c r="AK65" s="59" t="s">
        <v>73</v>
      </c>
      <c r="AL65" s="59"/>
      <c r="AM65" s="59" t="s">
        <v>73</v>
      </c>
      <c r="AN65" s="59"/>
      <c r="AO65" s="59" t="s">
        <v>73</v>
      </c>
      <c r="AP65" s="59"/>
      <c r="AQ65" s="59" t="s">
        <v>73</v>
      </c>
      <c r="AR65" s="59"/>
      <c r="AS65" s="59" t="s">
        <v>72</v>
      </c>
      <c r="AT65" s="59"/>
      <c r="AU65" s="59"/>
      <c r="AV65" s="59"/>
      <c r="AW65" s="59"/>
      <c r="AX65" s="59"/>
      <c r="AY65" s="60" t="str">
        <f>IF('Cálculo MP'!K75="","",'Cálculo MP'!K75)</f>
        <v/>
      </c>
      <c r="AZ65" s="60" t="str">
        <f>IF('Cálculo MP'!L75="","",'Cálculo MP'!L75)</f>
        <v/>
      </c>
      <c r="BA65" s="60" t="str">
        <f>IF('Cálculo MP'!M75="","",'Cálculo MP'!M75)</f>
        <v/>
      </c>
      <c r="BB65" s="60" t="str">
        <f>IF('Cálculo MP'!N75="","",'Cálculo MP'!N75)</f>
        <v/>
      </c>
      <c r="BC65" s="60" t="str">
        <f>IF('Cálculo MP'!O75="","",'Cálculo MP'!O75)</f>
        <v/>
      </c>
      <c r="BD65" s="60" t="str">
        <f>IF('Cálculo MP'!P75="","",'Cálculo MP'!P75)</f>
        <v/>
      </c>
      <c r="BE65" s="60" t="str">
        <f>IF('Cálculo MP'!Q75="","",'Cálculo MP'!Q75)</f>
        <v/>
      </c>
      <c r="BF65" s="60" t="str">
        <f>IF('Cálculo MP'!R75="","",'Cálculo MP'!R75)</f>
        <v/>
      </c>
      <c r="BG65" s="60" t="str">
        <f>IF('Cálculo MP'!S75="","",'Cálculo MP'!S75)</f>
        <v/>
      </c>
      <c r="BH65" s="59"/>
      <c r="BI65" s="59"/>
      <c r="BJ65" s="59"/>
      <c r="BK65" s="59"/>
      <c r="BL65" s="59"/>
      <c r="BM65" s="59"/>
      <c r="BN65" s="59"/>
      <c r="BO65" s="59"/>
    </row>
    <row r="66" spans="1:67" ht="19.5" customHeight="1" x14ac:dyDescent="0.2">
      <c r="A66" s="114" t="s">
        <v>1789</v>
      </c>
      <c r="B66" s="113" t="s">
        <v>1787</v>
      </c>
      <c r="C66" s="122"/>
      <c r="D66" s="48" t="s">
        <v>73</v>
      </c>
      <c r="E66" s="49"/>
      <c r="F66" s="50"/>
      <c r="G66" s="62"/>
      <c r="H66" s="48" t="s">
        <v>72</v>
      </c>
      <c r="I66" s="135">
        <v>1</v>
      </c>
      <c r="J66" s="52"/>
      <c r="K66" s="52" t="s">
        <v>73</v>
      </c>
      <c r="L66" s="52" t="s">
        <v>74</v>
      </c>
      <c r="M66" s="53" t="s">
        <v>917</v>
      </c>
      <c r="N66" s="58" t="s">
        <v>73</v>
      </c>
      <c r="O66" s="48" t="s">
        <v>72</v>
      </c>
      <c r="P66" s="48" t="s">
        <v>73</v>
      </c>
      <c r="Q66" s="54" t="s">
        <v>73</v>
      </c>
      <c r="R66" s="55" t="s">
        <v>73</v>
      </c>
      <c r="S66" s="48" t="s">
        <v>73</v>
      </c>
      <c r="T66" s="121" t="str" cm="1">
        <f t="array" ref="T66">IF(ISNUMBER(SEARCH("SCHNEIDER",D66)),_xlfn.IFS(ISNUMBER(SEARCH("2 Querétaro",D66)),"SQ2",ISNUMBER(SEARCH("Xicohténcatl",D66)),"SXC",ISNUMBER(SEARCH("Rojo Gómez",D66)),"SRG",ISNUMBER(SEARCH("Tlaxcala",D66)),"STX",ISNUMBER(SEARCH("Monterrey",D66)),"SMY",ISNUMBER(SEARCH("Querétaro",D66)),"SQ1",ISNUMBER(SEARCH("CDMX",D66)),"SCM",TRUE,""),"")</f>
        <v/>
      </c>
      <c r="U66" s="48" t="str" cm="1">
        <f t="array" ref="U66">_xlfn.LET(_xlpm.resultados,_xlfn.UNIQUE(_xlfn._xlws.FILTER(Tabla1[Proceso],(Tabla1[Metal Base]=O66)*(Tabla1[Etiquetas]=_xlfn.TEXTJOIN(" + ",TRUE,IF((TRIM(Upload!P66:S66)="")+(LOWER(TRIM(Upload!P66:S66))="(seleccione)"),"",PROPER(TRIM(Upload!P66:S66)))))*(Tabla1[Línea2]=IFERROR(VLOOKUP(Upload!N66&amp;"*",CAT_Procesos!D:D,1,FALSE),"")))),_xlpm.cantidad,ROWS(_xlpm.resultados),IF(ISERROR(_xlpm.cantidad),"Combinación no existente",IF(_xlpm.cantidad=1,INDEX(_xlpm.resultados,1),"(seleccione)")))</f>
        <v>Combinación no existente</v>
      </c>
      <c r="V66" s="55" t="s">
        <v>73</v>
      </c>
      <c r="W66" s="56" t="s">
        <v>73</v>
      </c>
      <c r="X66" s="57" t="str">
        <f t="shared" si="0"/>
        <v/>
      </c>
      <c r="Y66" s="58" t="s">
        <v>73</v>
      </c>
      <c r="Z66" s="57" t="str">
        <f t="shared" si="1"/>
        <v/>
      </c>
      <c r="AA66" s="58" t="s">
        <v>73</v>
      </c>
      <c r="AB66" s="57" t="str">
        <f t="shared" si="2"/>
        <v/>
      </c>
      <c r="AC66" s="58" t="s">
        <v>73</v>
      </c>
      <c r="AD66" s="57" t="str">
        <f t="shared" si="3"/>
        <v/>
      </c>
      <c r="AE66" s="59"/>
      <c r="AF66" s="59"/>
      <c r="AG66" s="59"/>
      <c r="AH66" s="59"/>
      <c r="AI66" s="59" t="s">
        <v>73</v>
      </c>
      <c r="AJ66" s="59"/>
      <c r="AK66" s="59" t="s">
        <v>73</v>
      </c>
      <c r="AL66" s="59"/>
      <c r="AM66" s="59" t="s">
        <v>73</v>
      </c>
      <c r="AN66" s="59"/>
      <c r="AO66" s="59" t="s">
        <v>73</v>
      </c>
      <c r="AP66" s="59"/>
      <c r="AQ66" s="59" t="s">
        <v>73</v>
      </c>
      <c r="AR66" s="59"/>
      <c r="AS66" s="59" t="s">
        <v>72</v>
      </c>
      <c r="AT66" s="59"/>
      <c r="AU66" s="59"/>
      <c r="AV66" s="59"/>
      <c r="AW66" s="59"/>
      <c r="AX66" s="59"/>
      <c r="AY66" s="60" t="str">
        <f>IF('Cálculo MP'!K76="","",'Cálculo MP'!K76)</f>
        <v/>
      </c>
      <c r="AZ66" s="60" t="str">
        <f>IF('Cálculo MP'!L76="","",'Cálculo MP'!L76)</f>
        <v/>
      </c>
      <c r="BA66" s="60" t="str">
        <f>IF('Cálculo MP'!M76="","",'Cálculo MP'!M76)</f>
        <v/>
      </c>
      <c r="BB66" s="60" t="str">
        <f>IF('Cálculo MP'!N76="","",'Cálculo MP'!N76)</f>
        <v/>
      </c>
      <c r="BC66" s="60" t="str">
        <f>IF('Cálculo MP'!O76="","",'Cálculo MP'!O76)</f>
        <v/>
      </c>
      <c r="BD66" s="60" t="str">
        <f>IF('Cálculo MP'!P76="","",'Cálculo MP'!P76)</f>
        <v/>
      </c>
      <c r="BE66" s="60" t="str">
        <f>IF('Cálculo MP'!Q76="","",'Cálculo MP'!Q76)</f>
        <v/>
      </c>
      <c r="BF66" s="60" t="str">
        <f>IF('Cálculo MP'!R76="","",'Cálculo MP'!R76)</f>
        <v/>
      </c>
      <c r="BG66" s="60" t="str">
        <f>IF('Cálculo MP'!S76="","",'Cálculo MP'!S76)</f>
        <v/>
      </c>
      <c r="BH66" s="59"/>
      <c r="BI66" s="59"/>
      <c r="BJ66" s="59"/>
      <c r="BK66" s="59"/>
      <c r="BL66" s="59"/>
      <c r="BM66" s="59"/>
      <c r="BN66" s="59"/>
      <c r="BO66" s="59"/>
    </row>
    <row r="67" spans="1:67" ht="19.5" customHeight="1" x14ac:dyDescent="0.2">
      <c r="A67" s="114" t="s">
        <v>1789</v>
      </c>
      <c r="B67" s="113" t="s">
        <v>1787</v>
      </c>
      <c r="C67" s="122"/>
      <c r="D67" s="48" t="s">
        <v>73</v>
      </c>
      <c r="E67" s="49"/>
      <c r="F67" s="50"/>
      <c r="G67" s="62"/>
      <c r="H67" s="48" t="s">
        <v>72</v>
      </c>
      <c r="I67" s="135">
        <v>1</v>
      </c>
      <c r="J67" s="52"/>
      <c r="K67" s="52" t="s">
        <v>73</v>
      </c>
      <c r="L67" s="52" t="s">
        <v>74</v>
      </c>
      <c r="M67" s="53" t="s">
        <v>917</v>
      </c>
      <c r="N67" s="58" t="s">
        <v>73</v>
      </c>
      <c r="O67" s="48" t="s">
        <v>72</v>
      </c>
      <c r="P67" s="48" t="s">
        <v>73</v>
      </c>
      <c r="Q67" s="54" t="s">
        <v>73</v>
      </c>
      <c r="R67" s="55" t="s">
        <v>73</v>
      </c>
      <c r="S67" s="48" t="s">
        <v>73</v>
      </c>
      <c r="T67" s="121" t="str" cm="1">
        <f t="array" ref="T67">IF(ISNUMBER(SEARCH("SCHNEIDER",D67)),_xlfn.IFS(ISNUMBER(SEARCH("2 Querétaro",D67)),"SQ2",ISNUMBER(SEARCH("Xicohténcatl",D67)),"SXC",ISNUMBER(SEARCH("Rojo Gómez",D67)),"SRG",ISNUMBER(SEARCH("Tlaxcala",D67)),"STX",ISNUMBER(SEARCH("Monterrey",D67)),"SMY",ISNUMBER(SEARCH("Querétaro",D67)),"SQ1",ISNUMBER(SEARCH("CDMX",D67)),"SCM",TRUE,""),"")</f>
        <v/>
      </c>
      <c r="U67" s="48" t="str" cm="1">
        <f t="array" ref="U67">_xlfn.LET(_xlpm.resultados,_xlfn.UNIQUE(_xlfn._xlws.FILTER(Tabla1[Proceso],(Tabla1[Metal Base]=O67)*(Tabla1[Etiquetas]=_xlfn.TEXTJOIN(" + ",TRUE,IF((TRIM(Upload!P67:S67)="")+(LOWER(TRIM(Upload!P67:S67))="(seleccione)"),"",PROPER(TRIM(Upload!P67:S67)))))*(Tabla1[Línea2]=IFERROR(VLOOKUP(Upload!N67&amp;"*",CAT_Procesos!D:D,1,FALSE),"")))),_xlpm.cantidad,ROWS(_xlpm.resultados),IF(ISERROR(_xlpm.cantidad),"Combinación no existente",IF(_xlpm.cantidad=1,INDEX(_xlpm.resultados,1),"(seleccione)")))</f>
        <v>Combinación no existente</v>
      </c>
      <c r="V67" s="55" t="s">
        <v>73</v>
      </c>
      <c r="W67" s="56" t="s">
        <v>73</v>
      </c>
      <c r="X67" s="57" t="str">
        <f t="shared" si="0"/>
        <v/>
      </c>
      <c r="Y67" s="58" t="s">
        <v>73</v>
      </c>
      <c r="Z67" s="57" t="str">
        <f t="shared" si="1"/>
        <v/>
      </c>
      <c r="AA67" s="58" t="s">
        <v>73</v>
      </c>
      <c r="AB67" s="57" t="str">
        <f t="shared" si="2"/>
        <v/>
      </c>
      <c r="AC67" s="58" t="s">
        <v>73</v>
      </c>
      <c r="AD67" s="57" t="str">
        <f t="shared" si="3"/>
        <v/>
      </c>
      <c r="AE67" s="59"/>
      <c r="AF67" s="59"/>
      <c r="AG67" s="59"/>
      <c r="AH67" s="59"/>
      <c r="AI67" s="59" t="s">
        <v>73</v>
      </c>
      <c r="AJ67" s="59"/>
      <c r="AK67" s="59" t="s">
        <v>73</v>
      </c>
      <c r="AL67" s="59"/>
      <c r="AM67" s="59" t="s">
        <v>73</v>
      </c>
      <c r="AN67" s="59"/>
      <c r="AO67" s="59" t="s">
        <v>73</v>
      </c>
      <c r="AP67" s="59"/>
      <c r="AQ67" s="59" t="s">
        <v>73</v>
      </c>
      <c r="AR67" s="59"/>
      <c r="AS67" s="59" t="s">
        <v>72</v>
      </c>
      <c r="AT67" s="59"/>
      <c r="AU67" s="59"/>
      <c r="AV67" s="59"/>
      <c r="AW67" s="59"/>
      <c r="AX67" s="59"/>
      <c r="AY67" s="60" t="str">
        <f>IF('Cálculo MP'!K77="","",'Cálculo MP'!K77)</f>
        <v/>
      </c>
      <c r="AZ67" s="60" t="str">
        <f>IF('Cálculo MP'!L77="","",'Cálculo MP'!L77)</f>
        <v/>
      </c>
      <c r="BA67" s="60" t="str">
        <f>IF('Cálculo MP'!M77="","",'Cálculo MP'!M77)</f>
        <v/>
      </c>
      <c r="BB67" s="60" t="str">
        <f>IF('Cálculo MP'!N77="","",'Cálculo MP'!N77)</f>
        <v/>
      </c>
      <c r="BC67" s="60" t="str">
        <f>IF('Cálculo MP'!O77="","",'Cálculo MP'!O77)</f>
        <v/>
      </c>
      <c r="BD67" s="60" t="str">
        <f>IF('Cálculo MP'!P77="","",'Cálculo MP'!P77)</f>
        <v/>
      </c>
      <c r="BE67" s="60" t="str">
        <f>IF('Cálculo MP'!Q77="","",'Cálculo MP'!Q77)</f>
        <v/>
      </c>
      <c r="BF67" s="60" t="str">
        <f>IF('Cálculo MP'!R77="","",'Cálculo MP'!R77)</f>
        <v/>
      </c>
      <c r="BG67" s="60" t="str">
        <f>IF('Cálculo MP'!S77="","",'Cálculo MP'!S77)</f>
        <v/>
      </c>
      <c r="BH67" s="59"/>
      <c r="BI67" s="59"/>
      <c r="BJ67" s="59"/>
      <c r="BK67" s="59"/>
      <c r="BL67" s="59"/>
      <c r="BM67" s="59"/>
      <c r="BN67" s="59"/>
      <c r="BO67" s="59"/>
    </row>
    <row r="68" spans="1:67" ht="19.5" customHeight="1" x14ac:dyDescent="0.2">
      <c r="A68" s="114" t="s">
        <v>1789</v>
      </c>
      <c r="B68" s="113" t="s">
        <v>1787</v>
      </c>
      <c r="C68" s="122"/>
      <c r="D68" s="48" t="s">
        <v>73</v>
      </c>
      <c r="E68" s="49"/>
      <c r="F68" s="50"/>
      <c r="G68" s="62"/>
      <c r="H68" s="48" t="s">
        <v>72</v>
      </c>
      <c r="I68" s="135">
        <v>1</v>
      </c>
      <c r="J68" s="52"/>
      <c r="K68" s="52" t="s">
        <v>73</v>
      </c>
      <c r="L68" s="52" t="s">
        <v>74</v>
      </c>
      <c r="M68" s="53" t="s">
        <v>917</v>
      </c>
      <c r="N68" s="58" t="s">
        <v>73</v>
      </c>
      <c r="O68" s="48" t="s">
        <v>72</v>
      </c>
      <c r="P68" s="48" t="s">
        <v>73</v>
      </c>
      <c r="Q68" s="54" t="s">
        <v>73</v>
      </c>
      <c r="R68" s="55" t="s">
        <v>73</v>
      </c>
      <c r="S68" s="48" t="s">
        <v>73</v>
      </c>
      <c r="T68" s="121" t="str" cm="1">
        <f t="array" ref="T68">IF(ISNUMBER(SEARCH("SCHNEIDER",D68)),_xlfn.IFS(ISNUMBER(SEARCH("2 Querétaro",D68)),"SQ2",ISNUMBER(SEARCH("Xicohténcatl",D68)),"SXC",ISNUMBER(SEARCH("Rojo Gómez",D68)),"SRG",ISNUMBER(SEARCH("Tlaxcala",D68)),"STX",ISNUMBER(SEARCH("Monterrey",D68)),"SMY",ISNUMBER(SEARCH("Querétaro",D68)),"SQ1",ISNUMBER(SEARCH("CDMX",D68)),"SCM",TRUE,""),"")</f>
        <v/>
      </c>
      <c r="U68" s="48" t="str" cm="1">
        <f t="array" ref="U68">_xlfn.LET(_xlpm.resultados,_xlfn.UNIQUE(_xlfn._xlws.FILTER(Tabla1[Proceso],(Tabla1[Metal Base]=O68)*(Tabla1[Etiquetas]=_xlfn.TEXTJOIN(" + ",TRUE,IF((TRIM(Upload!P68:S68)="")+(LOWER(TRIM(Upload!P68:S68))="(seleccione)"),"",PROPER(TRIM(Upload!P68:S68)))))*(Tabla1[Línea2]=IFERROR(VLOOKUP(Upload!N68&amp;"*",CAT_Procesos!D:D,1,FALSE),"")))),_xlpm.cantidad,ROWS(_xlpm.resultados),IF(ISERROR(_xlpm.cantidad),"Combinación no existente",IF(_xlpm.cantidad=1,INDEX(_xlpm.resultados,1),"(seleccione)")))</f>
        <v>Combinación no existente</v>
      </c>
      <c r="V68" s="55" t="s">
        <v>73</v>
      </c>
      <c r="W68" s="56" t="s">
        <v>73</v>
      </c>
      <c r="X68" s="57" t="str">
        <f t="shared" si="0"/>
        <v/>
      </c>
      <c r="Y68" s="58" t="s">
        <v>73</v>
      </c>
      <c r="Z68" s="57" t="str">
        <f t="shared" si="1"/>
        <v/>
      </c>
      <c r="AA68" s="58" t="s">
        <v>73</v>
      </c>
      <c r="AB68" s="57" t="str">
        <f t="shared" si="2"/>
        <v/>
      </c>
      <c r="AC68" s="58" t="s">
        <v>73</v>
      </c>
      <c r="AD68" s="57" t="str">
        <f t="shared" si="3"/>
        <v/>
      </c>
      <c r="AE68" s="59"/>
      <c r="AF68" s="59"/>
      <c r="AG68" s="59"/>
      <c r="AH68" s="59"/>
      <c r="AI68" s="59" t="s">
        <v>73</v>
      </c>
      <c r="AJ68" s="59"/>
      <c r="AK68" s="59" t="s">
        <v>73</v>
      </c>
      <c r="AL68" s="59"/>
      <c r="AM68" s="59" t="s">
        <v>73</v>
      </c>
      <c r="AN68" s="59"/>
      <c r="AO68" s="59" t="s">
        <v>73</v>
      </c>
      <c r="AP68" s="59"/>
      <c r="AQ68" s="59" t="s">
        <v>73</v>
      </c>
      <c r="AR68" s="59"/>
      <c r="AS68" s="59" t="s">
        <v>72</v>
      </c>
      <c r="AT68" s="59"/>
      <c r="AU68" s="59"/>
      <c r="AV68" s="59"/>
      <c r="AW68" s="59"/>
      <c r="AX68" s="59"/>
      <c r="AY68" s="60" t="str">
        <f>IF('Cálculo MP'!K78="","",'Cálculo MP'!K78)</f>
        <v/>
      </c>
      <c r="AZ68" s="60" t="str">
        <f>IF('Cálculo MP'!L78="","",'Cálculo MP'!L78)</f>
        <v/>
      </c>
      <c r="BA68" s="60" t="str">
        <f>IF('Cálculo MP'!M78="","",'Cálculo MP'!M78)</f>
        <v/>
      </c>
      <c r="BB68" s="60" t="str">
        <f>IF('Cálculo MP'!N78="","",'Cálculo MP'!N78)</f>
        <v/>
      </c>
      <c r="BC68" s="60" t="str">
        <f>IF('Cálculo MP'!O78="","",'Cálculo MP'!O78)</f>
        <v/>
      </c>
      <c r="BD68" s="60" t="str">
        <f>IF('Cálculo MP'!P78="","",'Cálculo MP'!P78)</f>
        <v/>
      </c>
      <c r="BE68" s="60" t="str">
        <f>IF('Cálculo MP'!Q78="","",'Cálculo MP'!Q78)</f>
        <v/>
      </c>
      <c r="BF68" s="60" t="str">
        <f>IF('Cálculo MP'!R78="","",'Cálculo MP'!R78)</f>
        <v/>
      </c>
      <c r="BG68" s="60" t="str">
        <f>IF('Cálculo MP'!S78="","",'Cálculo MP'!S78)</f>
        <v/>
      </c>
      <c r="BH68" s="59"/>
      <c r="BI68" s="59"/>
      <c r="BJ68" s="59"/>
      <c r="BK68" s="59"/>
      <c r="BL68" s="59"/>
      <c r="BM68" s="59"/>
      <c r="BN68" s="59"/>
      <c r="BO68" s="59"/>
    </row>
    <row r="69" spans="1:67" ht="19.5" customHeight="1" x14ac:dyDescent="0.2">
      <c r="A69" s="114" t="s">
        <v>1789</v>
      </c>
      <c r="B69" s="113" t="s">
        <v>1787</v>
      </c>
      <c r="C69" s="122"/>
      <c r="D69" s="48" t="s">
        <v>73</v>
      </c>
      <c r="E69" s="49"/>
      <c r="F69" s="50"/>
      <c r="G69" s="62"/>
      <c r="H69" s="48" t="s">
        <v>72</v>
      </c>
      <c r="I69" s="135">
        <v>1</v>
      </c>
      <c r="J69" s="52"/>
      <c r="K69" s="52" t="s">
        <v>73</v>
      </c>
      <c r="L69" s="52" t="s">
        <v>74</v>
      </c>
      <c r="M69" s="53" t="s">
        <v>917</v>
      </c>
      <c r="N69" s="58" t="s">
        <v>73</v>
      </c>
      <c r="O69" s="48" t="s">
        <v>72</v>
      </c>
      <c r="P69" s="48" t="s">
        <v>73</v>
      </c>
      <c r="Q69" s="54" t="s">
        <v>73</v>
      </c>
      <c r="R69" s="55" t="s">
        <v>73</v>
      </c>
      <c r="S69" s="48" t="s">
        <v>73</v>
      </c>
      <c r="T69" s="121" t="str" cm="1">
        <f t="array" ref="T69">IF(ISNUMBER(SEARCH("SCHNEIDER",D69)),_xlfn.IFS(ISNUMBER(SEARCH("2 Querétaro",D69)),"SQ2",ISNUMBER(SEARCH("Xicohténcatl",D69)),"SXC",ISNUMBER(SEARCH("Rojo Gómez",D69)),"SRG",ISNUMBER(SEARCH("Tlaxcala",D69)),"STX",ISNUMBER(SEARCH("Monterrey",D69)),"SMY",ISNUMBER(SEARCH("Querétaro",D69)),"SQ1",ISNUMBER(SEARCH("CDMX",D69)),"SCM",TRUE,""),"")</f>
        <v/>
      </c>
      <c r="U69" s="48" t="str" cm="1">
        <f t="array" ref="U69">_xlfn.LET(_xlpm.resultados,_xlfn.UNIQUE(_xlfn._xlws.FILTER(Tabla1[Proceso],(Tabla1[Metal Base]=O69)*(Tabla1[Etiquetas]=_xlfn.TEXTJOIN(" + ",TRUE,IF((TRIM(Upload!P69:S69)="")+(LOWER(TRIM(Upload!P69:S69))="(seleccione)"),"",PROPER(TRIM(Upload!P69:S69)))))*(Tabla1[Línea2]=IFERROR(VLOOKUP(Upload!N69&amp;"*",CAT_Procesos!D:D,1,FALSE),"")))),_xlpm.cantidad,ROWS(_xlpm.resultados),IF(ISERROR(_xlpm.cantidad),"Combinación no existente",IF(_xlpm.cantidad=1,INDEX(_xlpm.resultados,1),"(seleccione)")))</f>
        <v>Combinación no existente</v>
      </c>
      <c r="V69" s="55" t="s">
        <v>73</v>
      </c>
      <c r="W69" s="56" t="s">
        <v>73</v>
      </c>
      <c r="X69" s="57" t="str">
        <f t="shared" si="0"/>
        <v/>
      </c>
      <c r="Y69" s="58" t="s">
        <v>73</v>
      </c>
      <c r="Z69" s="57" t="str">
        <f t="shared" si="1"/>
        <v/>
      </c>
      <c r="AA69" s="58" t="s">
        <v>73</v>
      </c>
      <c r="AB69" s="57" t="str">
        <f t="shared" si="2"/>
        <v/>
      </c>
      <c r="AC69" s="58" t="s">
        <v>73</v>
      </c>
      <c r="AD69" s="57" t="str">
        <f t="shared" si="3"/>
        <v/>
      </c>
      <c r="AE69" s="59"/>
      <c r="AF69" s="59"/>
      <c r="AG69" s="59"/>
      <c r="AH69" s="59"/>
      <c r="AI69" s="59" t="s">
        <v>73</v>
      </c>
      <c r="AJ69" s="59"/>
      <c r="AK69" s="59" t="s">
        <v>73</v>
      </c>
      <c r="AL69" s="59"/>
      <c r="AM69" s="59" t="s">
        <v>73</v>
      </c>
      <c r="AN69" s="59"/>
      <c r="AO69" s="59" t="s">
        <v>73</v>
      </c>
      <c r="AP69" s="59"/>
      <c r="AQ69" s="59" t="s">
        <v>73</v>
      </c>
      <c r="AR69" s="59"/>
      <c r="AS69" s="59" t="s">
        <v>72</v>
      </c>
      <c r="AT69" s="59"/>
      <c r="AU69" s="59"/>
      <c r="AV69" s="59"/>
      <c r="AW69" s="59"/>
      <c r="AX69" s="59"/>
      <c r="AY69" s="60" t="str">
        <f>IF('Cálculo MP'!K79="","",'Cálculo MP'!K79)</f>
        <v/>
      </c>
      <c r="AZ69" s="60" t="str">
        <f>IF('Cálculo MP'!L79="","",'Cálculo MP'!L79)</f>
        <v/>
      </c>
      <c r="BA69" s="60" t="str">
        <f>IF('Cálculo MP'!M79="","",'Cálculo MP'!M79)</f>
        <v/>
      </c>
      <c r="BB69" s="60" t="str">
        <f>IF('Cálculo MP'!N79="","",'Cálculo MP'!N79)</f>
        <v/>
      </c>
      <c r="BC69" s="60" t="str">
        <f>IF('Cálculo MP'!O79="","",'Cálculo MP'!O79)</f>
        <v/>
      </c>
      <c r="BD69" s="60" t="str">
        <f>IF('Cálculo MP'!P79="","",'Cálculo MP'!P79)</f>
        <v/>
      </c>
      <c r="BE69" s="60" t="str">
        <f>IF('Cálculo MP'!Q79="","",'Cálculo MP'!Q79)</f>
        <v/>
      </c>
      <c r="BF69" s="60" t="str">
        <f>IF('Cálculo MP'!R79="","",'Cálculo MP'!R79)</f>
        <v/>
      </c>
      <c r="BG69" s="60" t="str">
        <f>IF('Cálculo MP'!S79="","",'Cálculo MP'!S79)</f>
        <v/>
      </c>
      <c r="BH69" s="59"/>
      <c r="BI69" s="59"/>
      <c r="BJ69" s="59"/>
      <c r="BK69" s="59"/>
      <c r="BL69" s="59"/>
      <c r="BM69" s="59"/>
      <c r="BN69" s="59"/>
      <c r="BO69" s="59"/>
    </row>
    <row r="70" spans="1:67" ht="19.5" customHeight="1" x14ac:dyDescent="0.2">
      <c r="A70" s="114" t="s">
        <v>1789</v>
      </c>
      <c r="B70" s="113" t="s">
        <v>1787</v>
      </c>
      <c r="C70" s="122"/>
      <c r="D70" s="48" t="s">
        <v>73</v>
      </c>
      <c r="E70" s="49"/>
      <c r="F70" s="50"/>
      <c r="G70" s="62"/>
      <c r="H70" s="48" t="s">
        <v>72</v>
      </c>
      <c r="I70" s="135">
        <v>1</v>
      </c>
      <c r="J70" s="52"/>
      <c r="K70" s="52" t="s">
        <v>73</v>
      </c>
      <c r="L70" s="52" t="s">
        <v>74</v>
      </c>
      <c r="M70" s="53" t="s">
        <v>917</v>
      </c>
      <c r="N70" s="58" t="s">
        <v>73</v>
      </c>
      <c r="O70" s="48" t="s">
        <v>72</v>
      </c>
      <c r="P70" s="48" t="s">
        <v>73</v>
      </c>
      <c r="Q70" s="54" t="s">
        <v>73</v>
      </c>
      <c r="R70" s="55" t="s">
        <v>73</v>
      </c>
      <c r="S70" s="48" t="s">
        <v>73</v>
      </c>
      <c r="T70" s="121" t="str" cm="1">
        <f t="array" ref="T70">IF(ISNUMBER(SEARCH("SCHNEIDER",D70)),_xlfn.IFS(ISNUMBER(SEARCH("2 Querétaro",D70)),"SQ2",ISNUMBER(SEARCH("Xicohténcatl",D70)),"SXC",ISNUMBER(SEARCH("Rojo Gómez",D70)),"SRG",ISNUMBER(SEARCH("Tlaxcala",D70)),"STX",ISNUMBER(SEARCH("Monterrey",D70)),"SMY",ISNUMBER(SEARCH("Querétaro",D70)),"SQ1",ISNUMBER(SEARCH("CDMX",D70)),"SCM",TRUE,""),"")</f>
        <v/>
      </c>
      <c r="U70" s="48" t="str" cm="1">
        <f t="array" ref="U70">_xlfn.LET(_xlpm.resultados,_xlfn.UNIQUE(_xlfn._xlws.FILTER(Tabla1[Proceso],(Tabla1[Metal Base]=O70)*(Tabla1[Etiquetas]=_xlfn.TEXTJOIN(" + ",TRUE,IF((TRIM(Upload!P70:S70)="")+(LOWER(TRIM(Upload!P70:S70))="(seleccione)"),"",PROPER(TRIM(Upload!P70:S70)))))*(Tabla1[Línea2]=IFERROR(VLOOKUP(Upload!N70&amp;"*",CAT_Procesos!D:D,1,FALSE),"")))),_xlpm.cantidad,ROWS(_xlpm.resultados),IF(ISERROR(_xlpm.cantidad),"Combinación no existente",IF(_xlpm.cantidad=1,INDEX(_xlpm.resultados,1),"(seleccione)")))</f>
        <v>Combinación no existente</v>
      </c>
      <c r="V70" s="55" t="s">
        <v>73</v>
      </c>
      <c r="W70" s="56" t="s">
        <v>73</v>
      </c>
      <c r="X70" s="57" t="str">
        <f t="shared" si="0"/>
        <v/>
      </c>
      <c r="Y70" s="58" t="s">
        <v>73</v>
      </c>
      <c r="Z70" s="57" t="str">
        <f t="shared" si="1"/>
        <v/>
      </c>
      <c r="AA70" s="58" t="s">
        <v>73</v>
      </c>
      <c r="AB70" s="57" t="str">
        <f t="shared" si="2"/>
        <v/>
      </c>
      <c r="AC70" s="58" t="s">
        <v>73</v>
      </c>
      <c r="AD70" s="57" t="str">
        <f t="shared" si="3"/>
        <v/>
      </c>
      <c r="AE70" s="59"/>
      <c r="AF70" s="59"/>
      <c r="AG70" s="59"/>
      <c r="AH70" s="59"/>
      <c r="AI70" s="59" t="s">
        <v>73</v>
      </c>
      <c r="AJ70" s="59"/>
      <c r="AK70" s="59" t="s">
        <v>73</v>
      </c>
      <c r="AL70" s="59"/>
      <c r="AM70" s="59" t="s">
        <v>73</v>
      </c>
      <c r="AN70" s="59"/>
      <c r="AO70" s="59" t="s">
        <v>73</v>
      </c>
      <c r="AP70" s="59"/>
      <c r="AQ70" s="59" t="s">
        <v>73</v>
      </c>
      <c r="AR70" s="59"/>
      <c r="AS70" s="59" t="s">
        <v>72</v>
      </c>
      <c r="AT70" s="59"/>
      <c r="AU70" s="59"/>
      <c r="AV70" s="59"/>
      <c r="AW70" s="59"/>
      <c r="AX70" s="59"/>
      <c r="AY70" s="60" t="str">
        <f>IF('Cálculo MP'!K80="","",'Cálculo MP'!K80)</f>
        <v/>
      </c>
      <c r="AZ70" s="60" t="str">
        <f>IF('Cálculo MP'!L80="","",'Cálculo MP'!L80)</f>
        <v/>
      </c>
      <c r="BA70" s="60" t="str">
        <f>IF('Cálculo MP'!M80="","",'Cálculo MP'!M80)</f>
        <v/>
      </c>
      <c r="BB70" s="60" t="str">
        <f>IF('Cálculo MP'!N80="","",'Cálculo MP'!N80)</f>
        <v/>
      </c>
      <c r="BC70" s="60" t="str">
        <f>IF('Cálculo MP'!O80="","",'Cálculo MP'!O80)</f>
        <v/>
      </c>
      <c r="BD70" s="60" t="str">
        <f>IF('Cálculo MP'!P80="","",'Cálculo MP'!P80)</f>
        <v/>
      </c>
      <c r="BE70" s="60" t="str">
        <f>IF('Cálculo MP'!Q80="","",'Cálculo MP'!Q80)</f>
        <v/>
      </c>
      <c r="BF70" s="60" t="str">
        <f>IF('Cálculo MP'!R80="","",'Cálculo MP'!R80)</f>
        <v/>
      </c>
      <c r="BG70" s="60" t="str">
        <f>IF('Cálculo MP'!S80="","",'Cálculo MP'!S80)</f>
        <v/>
      </c>
      <c r="BH70" s="59"/>
      <c r="BI70" s="59"/>
      <c r="BJ70" s="59"/>
      <c r="BK70" s="59"/>
      <c r="BL70" s="59"/>
      <c r="BM70" s="59"/>
      <c r="BN70" s="59"/>
      <c r="BO70" s="59"/>
    </row>
    <row r="71" spans="1:67" ht="19.5" customHeight="1" x14ac:dyDescent="0.2">
      <c r="A71" s="114" t="s">
        <v>1789</v>
      </c>
      <c r="B71" s="113" t="s">
        <v>1787</v>
      </c>
      <c r="C71" s="122"/>
      <c r="D71" s="48" t="s">
        <v>73</v>
      </c>
      <c r="E71" s="49"/>
      <c r="F71" s="50"/>
      <c r="G71" s="62"/>
      <c r="H71" s="48" t="s">
        <v>72</v>
      </c>
      <c r="I71" s="135">
        <v>1</v>
      </c>
      <c r="J71" s="52"/>
      <c r="K71" s="52" t="s">
        <v>73</v>
      </c>
      <c r="L71" s="52" t="s">
        <v>74</v>
      </c>
      <c r="M71" s="53" t="s">
        <v>917</v>
      </c>
      <c r="N71" s="58" t="s">
        <v>73</v>
      </c>
      <c r="O71" s="48" t="s">
        <v>72</v>
      </c>
      <c r="P71" s="48" t="s">
        <v>73</v>
      </c>
      <c r="Q71" s="54" t="s">
        <v>73</v>
      </c>
      <c r="R71" s="55" t="s">
        <v>73</v>
      </c>
      <c r="S71" s="48" t="s">
        <v>73</v>
      </c>
      <c r="T71" s="121" t="str" cm="1">
        <f t="array" ref="T71">IF(ISNUMBER(SEARCH("SCHNEIDER",D71)),_xlfn.IFS(ISNUMBER(SEARCH("2 Querétaro",D71)),"SQ2",ISNUMBER(SEARCH("Xicohténcatl",D71)),"SXC",ISNUMBER(SEARCH("Rojo Gómez",D71)),"SRG",ISNUMBER(SEARCH("Tlaxcala",D71)),"STX",ISNUMBER(SEARCH("Monterrey",D71)),"SMY",ISNUMBER(SEARCH("Querétaro",D71)),"SQ1",ISNUMBER(SEARCH("CDMX",D71)),"SCM",TRUE,""),"")</f>
        <v/>
      </c>
      <c r="U71" s="48" t="str" cm="1">
        <f t="array" ref="U71">_xlfn.LET(_xlpm.resultados,_xlfn.UNIQUE(_xlfn._xlws.FILTER(Tabla1[Proceso],(Tabla1[Metal Base]=O71)*(Tabla1[Etiquetas]=_xlfn.TEXTJOIN(" + ",TRUE,IF((TRIM(Upload!P71:S71)="")+(LOWER(TRIM(Upload!P71:S71))="(seleccione)"),"",PROPER(TRIM(Upload!P71:S71)))))*(Tabla1[Línea2]=IFERROR(VLOOKUP(Upload!N71&amp;"*",CAT_Procesos!D:D,1,FALSE),"")))),_xlpm.cantidad,ROWS(_xlpm.resultados),IF(ISERROR(_xlpm.cantidad),"Combinación no existente",IF(_xlpm.cantidad=1,INDEX(_xlpm.resultados,1),"(seleccione)")))</f>
        <v>Combinación no existente</v>
      </c>
      <c r="V71" s="55" t="s">
        <v>73</v>
      </c>
      <c r="W71" s="56" t="s">
        <v>73</v>
      </c>
      <c r="X71" s="57" t="str">
        <f t="shared" si="0"/>
        <v/>
      </c>
      <c r="Y71" s="58" t="s">
        <v>73</v>
      </c>
      <c r="Z71" s="57" t="str">
        <f t="shared" si="1"/>
        <v/>
      </c>
      <c r="AA71" s="58" t="s">
        <v>73</v>
      </c>
      <c r="AB71" s="57" t="str">
        <f t="shared" si="2"/>
        <v/>
      </c>
      <c r="AC71" s="58" t="s">
        <v>73</v>
      </c>
      <c r="AD71" s="57" t="str">
        <f t="shared" si="3"/>
        <v/>
      </c>
      <c r="AE71" s="59"/>
      <c r="AF71" s="59"/>
      <c r="AG71" s="59"/>
      <c r="AH71" s="59"/>
      <c r="AI71" s="59" t="s">
        <v>73</v>
      </c>
      <c r="AJ71" s="59"/>
      <c r="AK71" s="59" t="s">
        <v>73</v>
      </c>
      <c r="AL71" s="59"/>
      <c r="AM71" s="59" t="s">
        <v>73</v>
      </c>
      <c r="AN71" s="59"/>
      <c r="AO71" s="59" t="s">
        <v>73</v>
      </c>
      <c r="AP71" s="59"/>
      <c r="AQ71" s="59" t="s">
        <v>73</v>
      </c>
      <c r="AR71" s="59"/>
      <c r="AS71" s="59" t="s">
        <v>72</v>
      </c>
      <c r="AT71" s="59"/>
      <c r="AU71" s="59"/>
      <c r="AV71" s="59"/>
      <c r="AW71" s="59"/>
      <c r="AX71" s="59"/>
      <c r="AY71" s="60" t="str">
        <f>IF('Cálculo MP'!K81="","",'Cálculo MP'!K81)</f>
        <v/>
      </c>
      <c r="AZ71" s="60" t="str">
        <f>IF('Cálculo MP'!L81="","",'Cálculo MP'!L81)</f>
        <v/>
      </c>
      <c r="BA71" s="60" t="str">
        <f>IF('Cálculo MP'!M81="","",'Cálculo MP'!M81)</f>
        <v/>
      </c>
      <c r="BB71" s="60" t="str">
        <f>IF('Cálculo MP'!N81="","",'Cálculo MP'!N81)</f>
        <v/>
      </c>
      <c r="BC71" s="60" t="str">
        <f>IF('Cálculo MP'!O81="","",'Cálculo MP'!O81)</f>
        <v/>
      </c>
      <c r="BD71" s="60" t="str">
        <f>IF('Cálculo MP'!P81="","",'Cálculo MP'!P81)</f>
        <v/>
      </c>
      <c r="BE71" s="60" t="str">
        <f>IF('Cálculo MP'!Q81="","",'Cálculo MP'!Q81)</f>
        <v/>
      </c>
      <c r="BF71" s="60" t="str">
        <f>IF('Cálculo MP'!R81="","",'Cálculo MP'!R81)</f>
        <v/>
      </c>
      <c r="BG71" s="60" t="str">
        <f>IF('Cálculo MP'!S81="","",'Cálculo MP'!S81)</f>
        <v/>
      </c>
      <c r="BH71" s="59"/>
      <c r="BI71" s="59"/>
      <c r="BJ71" s="59"/>
      <c r="BK71" s="59"/>
      <c r="BL71" s="59"/>
      <c r="BM71" s="59"/>
      <c r="BN71" s="59"/>
      <c r="BO71" s="59"/>
    </row>
    <row r="72" spans="1:67" ht="19.5" customHeight="1" x14ac:dyDescent="0.2">
      <c r="A72" s="114" t="s">
        <v>1789</v>
      </c>
      <c r="B72" s="113" t="s">
        <v>1787</v>
      </c>
      <c r="C72" s="122"/>
      <c r="D72" s="48" t="s">
        <v>73</v>
      </c>
      <c r="E72" s="49"/>
      <c r="F72" s="50"/>
      <c r="G72" s="62"/>
      <c r="H72" s="48" t="s">
        <v>72</v>
      </c>
      <c r="I72" s="135">
        <v>1</v>
      </c>
      <c r="J72" s="52"/>
      <c r="K72" s="52" t="s">
        <v>73</v>
      </c>
      <c r="L72" s="52" t="s">
        <v>74</v>
      </c>
      <c r="M72" s="53" t="s">
        <v>917</v>
      </c>
      <c r="N72" s="58" t="s">
        <v>73</v>
      </c>
      <c r="O72" s="48" t="s">
        <v>72</v>
      </c>
      <c r="P72" s="48" t="s">
        <v>73</v>
      </c>
      <c r="Q72" s="54" t="s">
        <v>73</v>
      </c>
      <c r="R72" s="55" t="s">
        <v>73</v>
      </c>
      <c r="S72" s="48" t="s">
        <v>73</v>
      </c>
      <c r="T72" s="121" t="str" cm="1">
        <f t="array" ref="T72">IF(ISNUMBER(SEARCH("SCHNEIDER",D72)),_xlfn.IFS(ISNUMBER(SEARCH("2 Querétaro",D72)),"SQ2",ISNUMBER(SEARCH("Xicohténcatl",D72)),"SXC",ISNUMBER(SEARCH("Rojo Gómez",D72)),"SRG",ISNUMBER(SEARCH("Tlaxcala",D72)),"STX",ISNUMBER(SEARCH("Monterrey",D72)),"SMY",ISNUMBER(SEARCH("Querétaro",D72)),"SQ1",ISNUMBER(SEARCH("CDMX",D72)),"SCM",TRUE,""),"")</f>
        <v/>
      </c>
      <c r="U72" s="48" t="str" cm="1">
        <f t="array" ref="U72">_xlfn.LET(_xlpm.resultados,_xlfn.UNIQUE(_xlfn._xlws.FILTER(Tabla1[Proceso],(Tabla1[Metal Base]=O72)*(Tabla1[Etiquetas]=_xlfn.TEXTJOIN(" + ",TRUE,IF((TRIM(Upload!P72:S72)="")+(LOWER(TRIM(Upload!P72:S72))="(seleccione)"),"",PROPER(TRIM(Upload!P72:S72)))))*(Tabla1[Línea2]=IFERROR(VLOOKUP(Upload!N72&amp;"*",CAT_Procesos!D:D,1,FALSE),"")))),_xlpm.cantidad,ROWS(_xlpm.resultados),IF(ISERROR(_xlpm.cantidad),"Combinación no existente",IF(_xlpm.cantidad=1,INDEX(_xlpm.resultados,1),"(seleccione)")))</f>
        <v>Combinación no existente</v>
      </c>
      <c r="V72" s="55" t="s">
        <v>73</v>
      </c>
      <c r="W72" s="56" t="s">
        <v>73</v>
      </c>
      <c r="X72" s="57" t="str">
        <f t="shared" si="0"/>
        <v/>
      </c>
      <c r="Y72" s="58" t="s">
        <v>73</v>
      </c>
      <c r="Z72" s="57" t="str">
        <f t="shared" si="1"/>
        <v/>
      </c>
      <c r="AA72" s="58" t="s">
        <v>73</v>
      </c>
      <c r="AB72" s="57" t="str">
        <f t="shared" si="2"/>
        <v/>
      </c>
      <c r="AC72" s="58" t="s">
        <v>73</v>
      </c>
      <c r="AD72" s="57" t="str">
        <f t="shared" si="3"/>
        <v/>
      </c>
      <c r="AE72" s="59"/>
      <c r="AF72" s="59"/>
      <c r="AG72" s="59"/>
      <c r="AH72" s="59"/>
      <c r="AI72" s="59" t="s">
        <v>73</v>
      </c>
      <c r="AJ72" s="59"/>
      <c r="AK72" s="59" t="s">
        <v>73</v>
      </c>
      <c r="AL72" s="59"/>
      <c r="AM72" s="59" t="s">
        <v>73</v>
      </c>
      <c r="AN72" s="59"/>
      <c r="AO72" s="59" t="s">
        <v>73</v>
      </c>
      <c r="AP72" s="59"/>
      <c r="AQ72" s="59" t="s">
        <v>73</v>
      </c>
      <c r="AR72" s="59"/>
      <c r="AS72" s="59" t="s">
        <v>72</v>
      </c>
      <c r="AT72" s="59"/>
      <c r="AU72" s="59"/>
      <c r="AV72" s="59"/>
      <c r="AW72" s="59"/>
      <c r="AX72" s="59"/>
      <c r="AY72" s="60" t="str">
        <f>IF('Cálculo MP'!K82="","",'Cálculo MP'!K82)</f>
        <v/>
      </c>
      <c r="AZ72" s="60" t="str">
        <f>IF('Cálculo MP'!L82="","",'Cálculo MP'!L82)</f>
        <v/>
      </c>
      <c r="BA72" s="60" t="str">
        <f>IF('Cálculo MP'!M82="","",'Cálculo MP'!M82)</f>
        <v/>
      </c>
      <c r="BB72" s="60" t="str">
        <f>IF('Cálculo MP'!N82="","",'Cálculo MP'!N82)</f>
        <v/>
      </c>
      <c r="BC72" s="60" t="str">
        <f>IF('Cálculo MP'!O82="","",'Cálculo MP'!O82)</f>
        <v/>
      </c>
      <c r="BD72" s="60" t="str">
        <f>IF('Cálculo MP'!P82="","",'Cálculo MP'!P82)</f>
        <v/>
      </c>
      <c r="BE72" s="60" t="str">
        <f>IF('Cálculo MP'!Q82="","",'Cálculo MP'!Q82)</f>
        <v/>
      </c>
      <c r="BF72" s="60" t="str">
        <f>IF('Cálculo MP'!R82="","",'Cálculo MP'!R82)</f>
        <v/>
      </c>
      <c r="BG72" s="60" t="str">
        <f>IF('Cálculo MP'!S82="","",'Cálculo MP'!S82)</f>
        <v/>
      </c>
      <c r="BH72" s="59"/>
      <c r="BI72" s="59"/>
      <c r="BJ72" s="59"/>
      <c r="BK72" s="59"/>
      <c r="BL72" s="59"/>
      <c r="BM72" s="59"/>
      <c r="BN72" s="59"/>
      <c r="BO72" s="59"/>
    </row>
    <row r="73" spans="1:67" ht="19.5" customHeight="1" x14ac:dyDescent="0.2">
      <c r="A73" s="114" t="s">
        <v>1789</v>
      </c>
      <c r="B73" s="113" t="s">
        <v>1787</v>
      </c>
      <c r="C73" s="122"/>
      <c r="D73" s="48" t="s">
        <v>73</v>
      </c>
      <c r="E73" s="49"/>
      <c r="F73" s="50"/>
      <c r="G73" s="62"/>
      <c r="H73" s="48" t="s">
        <v>72</v>
      </c>
      <c r="I73" s="135">
        <v>1</v>
      </c>
      <c r="J73" s="52"/>
      <c r="K73" s="52" t="s">
        <v>73</v>
      </c>
      <c r="L73" s="52" t="s">
        <v>74</v>
      </c>
      <c r="M73" s="53" t="s">
        <v>917</v>
      </c>
      <c r="N73" s="58" t="s">
        <v>73</v>
      </c>
      <c r="O73" s="48" t="s">
        <v>72</v>
      </c>
      <c r="P73" s="48" t="s">
        <v>73</v>
      </c>
      <c r="Q73" s="54" t="s">
        <v>73</v>
      </c>
      <c r="R73" s="55" t="s">
        <v>73</v>
      </c>
      <c r="S73" s="48" t="s">
        <v>73</v>
      </c>
      <c r="T73" s="121" t="str" cm="1">
        <f t="array" ref="T73">IF(ISNUMBER(SEARCH("SCHNEIDER",D73)),_xlfn.IFS(ISNUMBER(SEARCH("2 Querétaro",D73)),"SQ2",ISNUMBER(SEARCH("Xicohténcatl",D73)),"SXC",ISNUMBER(SEARCH("Rojo Gómez",D73)),"SRG",ISNUMBER(SEARCH("Tlaxcala",D73)),"STX",ISNUMBER(SEARCH("Monterrey",D73)),"SMY",ISNUMBER(SEARCH("Querétaro",D73)),"SQ1",ISNUMBER(SEARCH("CDMX",D73)),"SCM",TRUE,""),"")</f>
        <v/>
      </c>
      <c r="U73" s="48" t="str" cm="1">
        <f t="array" ref="U73">_xlfn.LET(_xlpm.resultados,_xlfn.UNIQUE(_xlfn._xlws.FILTER(Tabla1[Proceso],(Tabla1[Metal Base]=O73)*(Tabla1[Etiquetas]=_xlfn.TEXTJOIN(" + ",TRUE,IF((TRIM(Upload!P73:S73)="")+(LOWER(TRIM(Upload!P73:S73))="(seleccione)"),"",PROPER(TRIM(Upload!P73:S73)))))*(Tabla1[Línea2]=IFERROR(VLOOKUP(Upload!N73&amp;"*",CAT_Procesos!D:D,1,FALSE),"")))),_xlpm.cantidad,ROWS(_xlpm.resultados),IF(ISERROR(_xlpm.cantidad),"Combinación no existente",IF(_xlpm.cantidad=1,INDEX(_xlpm.resultados,1),"(seleccione)")))</f>
        <v>Combinación no existente</v>
      </c>
      <c r="V73" s="55" t="s">
        <v>73</v>
      </c>
      <c r="W73" s="56" t="s">
        <v>73</v>
      </c>
      <c r="X73" s="57" t="str">
        <f t="shared" ref="X73:X136" si="4">IFERROR(((VALUE(TRIM(LEFT(MID(W73,FIND("|",W73)+1,99),FIND("-",MID(W73,FIND("|",W73)+1,99))-1)))+VALUE(TRIM(SUBSTITUTE(SUBSTITUTE(SUBSTITUTE(SUBSTITUTE(SUBSTITUTE(MID(MID(W73,FIND("|",W73)+1,99),FIND("-",MID(W73,FIND("|",W73)+1,99))+1,20),"µm",""),"μm",""),"mils",""),"mil",""),"",""))))/2)*IF(ISNUMBER(SEARCH("mil",MID(W73,FIND("|",W73)+1,99))),25.4,1),"")</f>
        <v/>
      </c>
      <c r="Y73" s="58" t="s">
        <v>73</v>
      </c>
      <c r="Z73" s="57" t="str">
        <f t="shared" ref="Z73:Z136" si="5">IFERROR(((VALUE(TRIM(LEFT(MID(Y73,FIND("|",Y73)+1,99),FIND("-",MID(Y73,FIND("|",Y73)+1,99))-1)))+VALUE(TRIM(SUBSTITUTE(SUBSTITUTE(SUBSTITUTE(SUBSTITUTE(SUBSTITUTE(MID(MID(Y73,FIND("|",Y73)+1,99),FIND("-",MID(Y73,FIND("|",Y73)+1,99))+1,20),"µm",""),"μm",""),"mils",""),"mil",""),"",""))))/2)*IF(ISNUMBER(SEARCH("mil",MID(Y73,FIND("|",Y73)+1,99))),25.4,1),"")</f>
        <v/>
      </c>
      <c r="AA73" s="58" t="s">
        <v>73</v>
      </c>
      <c r="AB73" s="57" t="str">
        <f t="shared" ref="AB73:AB136" si="6">IFERROR(((VALUE(TRIM(LEFT(MID(AA73,FIND("|",AA73)+1,99),FIND("-",MID(AA73,FIND("|",AA73)+1,99))-1)))+VALUE(TRIM(SUBSTITUTE(SUBSTITUTE(SUBSTITUTE(SUBSTITUTE(SUBSTITUTE(MID(MID(AA73,FIND("|",AA73)+1,99),FIND("-",MID(AA73,FIND("|",AA73)+1,99))+1,20),"µm",""),"μm",""),"mils",""),"mil",""),"",""))))/2)*IF(ISNUMBER(SEARCH("mil",MID(AA73,FIND("|",AA73)+1,99))),25.4,1),"")</f>
        <v/>
      </c>
      <c r="AC73" s="58" t="s">
        <v>73</v>
      </c>
      <c r="AD73" s="57" t="str">
        <f t="shared" ref="AD73:AD136" si="7">IFERROR(((VALUE(TRIM(LEFT(MID(AC73,FIND("|",AC73)+1,99),FIND("-",MID(AC73,FIND("|",AC73)+1,99))-1)))+VALUE(TRIM(SUBSTITUTE(SUBSTITUTE(SUBSTITUTE(SUBSTITUTE(SUBSTITUTE(MID(MID(AC73,FIND("|",AC73)+1,99),FIND("-",MID(AC73,FIND("|",AC73)+1,99))+1,20),"µm",""),"μm",""),"mils",""),"mil",""),"",""))))/2)*IF(ISNUMBER(SEARCH("mil",MID(AC73,FIND("|",AC73)+1,99))),25.4,1),"")</f>
        <v/>
      </c>
      <c r="AE73" s="59"/>
      <c r="AF73" s="59"/>
      <c r="AG73" s="59"/>
      <c r="AH73" s="59"/>
      <c r="AI73" s="59" t="s">
        <v>73</v>
      </c>
      <c r="AJ73" s="59"/>
      <c r="AK73" s="59" t="s">
        <v>73</v>
      </c>
      <c r="AL73" s="59"/>
      <c r="AM73" s="59" t="s">
        <v>73</v>
      </c>
      <c r="AN73" s="59"/>
      <c r="AO73" s="59" t="s">
        <v>73</v>
      </c>
      <c r="AP73" s="59"/>
      <c r="AQ73" s="59" t="s">
        <v>73</v>
      </c>
      <c r="AR73" s="59"/>
      <c r="AS73" s="59" t="s">
        <v>72</v>
      </c>
      <c r="AT73" s="59"/>
      <c r="AU73" s="59"/>
      <c r="AV73" s="59"/>
      <c r="AW73" s="59"/>
      <c r="AX73" s="59"/>
      <c r="AY73" s="60" t="str">
        <f>IF('Cálculo MP'!K83="","",'Cálculo MP'!K83)</f>
        <v/>
      </c>
      <c r="AZ73" s="60" t="str">
        <f>IF('Cálculo MP'!L83="","",'Cálculo MP'!L83)</f>
        <v/>
      </c>
      <c r="BA73" s="60" t="str">
        <f>IF('Cálculo MP'!M83="","",'Cálculo MP'!M83)</f>
        <v/>
      </c>
      <c r="BB73" s="60" t="str">
        <f>IF('Cálculo MP'!N83="","",'Cálculo MP'!N83)</f>
        <v/>
      </c>
      <c r="BC73" s="60" t="str">
        <f>IF('Cálculo MP'!O83="","",'Cálculo MP'!O83)</f>
        <v/>
      </c>
      <c r="BD73" s="60" t="str">
        <f>IF('Cálculo MP'!P83="","",'Cálculo MP'!P83)</f>
        <v/>
      </c>
      <c r="BE73" s="60" t="str">
        <f>IF('Cálculo MP'!Q83="","",'Cálculo MP'!Q83)</f>
        <v/>
      </c>
      <c r="BF73" s="60" t="str">
        <f>IF('Cálculo MP'!R83="","",'Cálculo MP'!R83)</f>
        <v/>
      </c>
      <c r="BG73" s="60" t="str">
        <f>IF('Cálculo MP'!S83="","",'Cálculo MP'!S83)</f>
        <v/>
      </c>
      <c r="BH73" s="59"/>
      <c r="BI73" s="59"/>
      <c r="BJ73" s="59"/>
      <c r="BK73" s="59"/>
      <c r="BL73" s="59"/>
      <c r="BM73" s="59"/>
      <c r="BN73" s="59"/>
      <c r="BO73" s="59"/>
    </row>
    <row r="74" spans="1:67" ht="19.5" customHeight="1" x14ac:dyDescent="0.2">
      <c r="A74" s="114" t="s">
        <v>1789</v>
      </c>
      <c r="B74" s="113" t="s">
        <v>1787</v>
      </c>
      <c r="C74" s="122"/>
      <c r="D74" s="48" t="s">
        <v>73</v>
      </c>
      <c r="E74" s="49"/>
      <c r="F74" s="50"/>
      <c r="G74" s="62"/>
      <c r="H74" s="48" t="s">
        <v>72</v>
      </c>
      <c r="I74" s="135">
        <v>1</v>
      </c>
      <c r="J74" s="52"/>
      <c r="K74" s="52" t="s">
        <v>73</v>
      </c>
      <c r="L74" s="52" t="s">
        <v>74</v>
      </c>
      <c r="M74" s="53" t="s">
        <v>917</v>
      </c>
      <c r="N74" s="58" t="s">
        <v>73</v>
      </c>
      <c r="O74" s="48" t="s">
        <v>72</v>
      </c>
      <c r="P74" s="48" t="s">
        <v>73</v>
      </c>
      <c r="Q74" s="54" t="s">
        <v>73</v>
      </c>
      <c r="R74" s="55" t="s">
        <v>73</v>
      </c>
      <c r="S74" s="48" t="s">
        <v>73</v>
      </c>
      <c r="T74" s="121" t="str" cm="1">
        <f t="array" ref="T74">IF(ISNUMBER(SEARCH("SCHNEIDER",D74)),_xlfn.IFS(ISNUMBER(SEARCH("2 Querétaro",D74)),"SQ2",ISNUMBER(SEARCH("Xicohténcatl",D74)),"SXC",ISNUMBER(SEARCH("Rojo Gómez",D74)),"SRG",ISNUMBER(SEARCH("Tlaxcala",D74)),"STX",ISNUMBER(SEARCH("Monterrey",D74)),"SMY",ISNUMBER(SEARCH("Querétaro",D74)),"SQ1",ISNUMBER(SEARCH("CDMX",D74)),"SCM",TRUE,""),"")</f>
        <v/>
      </c>
      <c r="U74" s="48" t="str" cm="1">
        <f t="array" ref="U74">_xlfn.LET(_xlpm.resultados,_xlfn.UNIQUE(_xlfn._xlws.FILTER(Tabla1[Proceso],(Tabla1[Metal Base]=O74)*(Tabla1[Etiquetas]=_xlfn.TEXTJOIN(" + ",TRUE,IF((TRIM(Upload!P74:S74)="")+(LOWER(TRIM(Upload!P74:S74))="(seleccione)"),"",PROPER(TRIM(Upload!P74:S74)))))*(Tabla1[Línea2]=IFERROR(VLOOKUP(Upload!N74&amp;"*",CAT_Procesos!D:D,1,FALSE),"")))),_xlpm.cantidad,ROWS(_xlpm.resultados),IF(ISERROR(_xlpm.cantidad),"Combinación no existente",IF(_xlpm.cantidad=1,INDEX(_xlpm.resultados,1),"(seleccione)")))</f>
        <v>Combinación no existente</v>
      </c>
      <c r="V74" s="55" t="s">
        <v>73</v>
      </c>
      <c r="W74" s="56" t="s">
        <v>73</v>
      </c>
      <c r="X74" s="57" t="str">
        <f t="shared" si="4"/>
        <v/>
      </c>
      <c r="Y74" s="58" t="s">
        <v>73</v>
      </c>
      <c r="Z74" s="57" t="str">
        <f t="shared" si="5"/>
        <v/>
      </c>
      <c r="AA74" s="58" t="s">
        <v>73</v>
      </c>
      <c r="AB74" s="57" t="str">
        <f t="shared" si="6"/>
        <v/>
      </c>
      <c r="AC74" s="58" t="s">
        <v>73</v>
      </c>
      <c r="AD74" s="57" t="str">
        <f t="shared" si="7"/>
        <v/>
      </c>
      <c r="AE74" s="59"/>
      <c r="AF74" s="59"/>
      <c r="AG74" s="59"/>
      <c r="AH74" s="59"/>
      <c r="AI74" s="59" t="s">
        <v>73</v>
      </c>
      <c r="AJ74" s="59"/>
      <c r="AK74" s="59" t="s">
        <v>73</v>
      </c>
      <c r="AL74" s="59"/>
      <c r="AM74" s="59" t="s">
        <v>73</v>
      </c>
      <c r="AN74" s="59"/>
      <c r="AO74" s="59" t="s">
        <v>73</v>
      </c>
      <c r="AP74" s="59"/>
      <c r="AQ74" s="59" t="s">
        <v>73</v>
      </c>
      <c r="AR74" s="59"/>
      <c r="AS74" s="59" t="s">
        <v>72</v>
      </c>
      <c r="AT74" s="59"/>
      <c r="AU74" s="59"/>
      <c r="AV74" s="59"/>
      <c r="AW74" s="59"/>
      <c r="AX74" s="59"/>
      <c r="AY74" s="60" t="str">
        <f>IF('Cálculo MP'!K84="","",'Cálculo MP'!K84)</f>
        <v/>
      </c>
      <c r="AZ74" s="60" t="str">
        <f>IF('Cálculo MP'!L84="","",'Cálculo MP'!L84)</f>
        <v/>
      </c>
      <c r="BA74" s="60" t="str">
        <f>IF('Cálculo MP'!M84="","",'Cálculo MP'!M84)</f>
        <v/>
      </c>
      <c r="BB74" s="60" t="str">
        <f>IF('Cálculo MP'!N84="","",'Cálculo MP'!N84)</f>
        <v/>
      </c>
      <c r="BC74" s="60" t="str">
        <f>IF('Cálculo MP'!O84="","",'Cálculo MP'!O84)</f>
        <v/>
      </c>
      <c r="BD74" s="60" t="str">
        <f>IF('Cálculo MP'!P84="","",'Cálculo MP'!P84)</f>
        <v/>
      </c>
      <c r="BE74" s="60" t="str">
        <f>IF('Cálculo MP'!Q84="","",'Cálculo MP'!Q84)</f>
        <v/>
      </c>
      <c r="BF74" s="60" t="str">
        <f>IF('Cálculo MP'!R84="","",'Cálculo MP'!R84)</f>
        <v/>
      </c>
      <c r="BG74" s="60" t="str">
        <f>IF('Cálculo MP'!S84="","",'Cálculo MP'!S84)</f>
        <v/>
      </c>
      <c r="BH74" s="59"/>
      <c r="BI74" s="59"/>
      <c r="BJ74" s="59"/>
      <c r="BK74" s="59"/>
      <c r="BL74" s="59"/>
      <c r="BM74" s="59"/>
      <c r="BN74" s="59"/>
      <c r="BO74" s="59"/>
    </row>
    <row r="75" spans="1:67" ht="19.5" customHeight="1" x14ac:dyDescent="0.2">
      <c r="A75" s="114" t="s">
        <v>1789</v>
      </c>
      <c r="B75" s="113" t="s">
        <v>1787</v>
      </c>
      <c r="C75" s="122"/>
      <c r="D75" s="48" t="s">
        <v>73</v>
      </c>
      <c r="E75" s="49"/>
      <c r="F75" s="50"/>
      <c r="G75" s="62"/>
      <c r="H75" s="48" t="s">
        <v>72</v>
      </c>
      <c r="I75" s="135">
        <v>1</v>
      </c>
      <c r="J75" s="52"/>
      <c r="K75" s="52" t="s">
        <v>73</v>
      </c>
      <c r="L75" s="52" t="s">
        <v>74</v>
      </c>
      <c r="M75" s="53" t="s">
        <v>917</v>
      </c>
      <c r="N75" s="58" t="s">
        <v>73</v>
      </c>
      <c r="O75" s="48" t="s">
        <v>72</v>
      </c>
      <c r="P75" s="48" t="s">
        <v>73</v>
      </c>
      <c r="Q75" s="54" t="s">
        <v>73</v>
      </c>
      <c r="R75" s="55" t="s">
        <v>73</v>
      </c>
      <c r="S75" s="48" t="s">
        <v>73</v>
      </c>
      <c r="T75" s="121" t="str" cm="1">
        <f t="array" ref="T75">IF(ISNUMBER(SEARCH("SCHNEIDER",D75)),_xlfn.IFS(ISNUMBER(SEARCH("2 Querétaro",D75)),"SQ2",ISNUMBER(SEARCH("Xicohténcatl",D75)),"SXC",ISNUMBER(SEARCH("Rojo Gómez",D75)),"SRG",ISNUMBER(SEARCH("Tlaxcala",D75)),"STX",ISNUMBER(SEARCH("Monterrey",D75)),"SMY",ISNUMBER(SEARCH("Querétaro",D75)),"SQ1",ISNUMBER(SEARCH("CDMX",D75)),"SCM",TRUE,""),"")</f>
        <v/>
      </c>
      <c r="U75" s="48" t="str" cm="1">
        <f t="array" ref="U75">_xlfn.LET(_xlpm.resultados,_xlfn.UNIQUE(_xlfn._xlws.FILTER(Tabla1[Proceso],(Tabla1[Metal Base]=O75)*(Tabla1[Etiquetas]=_xlfn.TEXTJOIN(" + ",TRUE,IF((TRIM(Upload!P75:S75)="")+(LOWER(TRIM(Upload!P75:S75))="(seleccione)"),"",PROPER(TRIM(Upload!P75:S75)))))*(Tabla1[Línea2]=IFERROR(VLOOKUP(Upload!N75&amp;"*",CAT_Procesos!D:D,1,FALSE),"")))),_xlpm.cantidad,ROWS(_xlpm.resultados),IF(ISERROR(_xlpm.cantidad),"Combinación no existente",IF(_xlpm.cantidad=1,INDEX(_xlpm.resultados,1),"(seleccione)")))</f>
        <v>Combinación no existente</v>
      </c>
      <c r="V75" s="55" t="s">
        <v>73</v>
      </c>
      <c r="W75" s="56" t="s">
        <v>73</v>
      </c>
      <c r="X75" s="57" t="str">
        <f t="shared" si="4"/>
        <v/>
      </c>
      <c r="Y75" s="58" t="s">
        <v>73</v>
      </c>
      <c r="Z75" s="57" t="str">
        <f t="shared" si="5"/>
        <v/>
      </c>
      <c r="AA75" s="58" t="s">
        <v>73</v>
      </c>
      <c r="AB75" s="57" t="str">
        <f t="shared" si="6"/>
        <v/>
      </c>
      <c r="AC75" s="58" t="s">
        <v>73</v>
      </c>
      <c r="AD75" s="57" t="str">
        <f t="shared" si="7"/>
        <v/>
      </c>
      <c r="AE75" s="59"/>
      <c r="AF75" s="59"/>
      <c r="AG75" s="59"/>
      <c r="AH75" s="59"/>
      <c r="AI75" s="59" t="s">
        <v>73</v>
      </c>
      <c r="AJ75" s="59"/>
      <c r="AK75" s="59" t="s">
        <v>73</v>
      </c>
      <c r="AL75" s="59"/>
      <c r="AM75" s="59" t="s">
        <v>73</v>
      </c>
      <c r="AN75" s="59"/>
      <c r="AO75" s="59" t="s">
        <v>73</v>
      </c>
      <c r="AP75" s="59"/>
      <c r="AQ75" s="59" t="s">
        <v>73</v>
      </c>
      <c r="AR75" s="59"/>
      <c r="AS75" s="59" t="s">
        <v>72</v>
      </c>
      <c r="AT75" s="59"/>
      <c r="AU75" s="59"/>
      <c r="AV75" s="59"/>
      <c r="AW75" s="59"/>
      <c r="AX75" s="59"/>
      <c r="AY75" s="60" t="str">
        <f>IF('Cálculo MP'!K85="","",'Cálculo MP'!K85)</f>
        <v/>
      </c>
      <c r="AZ75" s="60" t="str">
        <f>IF('Cálculo MP'!L85="","",'Cálculo MP'!L85)</f>
        <v/>
      </c>
      <c r="BA75" s="60" t="str">
        <f>IF('Cálculo MP'!M85="","",'Cálculo MP'!M85)</f>
        <v/>
      </c>
      <c r="BB75" s="60" t="str">
        <f>IF('Cálculo MP'!N85="","",'Cálculo MP'!N85)</f>
        <v/>
      </c>
      <c r="BC75" s="60" t="str">
        <f>IF('Cálculo MP'!O85="","",'Cálculo MP'!O85)</f>
        <v/>
      </c>
      <c r="BD75" s="60" t="str">
        <f>IF('Cálculo MP'!P85="","",'Cálculo MP'!P85)</f>
        <v/>
      </c>
      <c r="BE75" s="60" t="str">
        <f>IF('Cálculo MP'!Q85="","",'Cálculo MP'!Q85)</f>
        <v/>
      </c>
      <c r="BF75" s="60" t="str">
        <f>IF('Cálculo MP'!R85="","",'Cálculo MP'!R85)</f>
        <v/>
      </c>
      <c r="BG75" s="60" t="str">
        <f>IF('Cálculo MP'!S85="","",'Cálculo MP'!S85)</f>
        <v/>
      </c>
      <c r="BH75" s="59"/>
      <c r="BI75" s="59"/>
      <c r="BJ75" s="59"/>
      <c r="BK75" s="59"/>
      <c r="BL75" s="59"/>
      <c r="BM75" s="59"/>
      <c r="BN75" s="59"/>
      <c r="BO75" s="59"/>
    </row>
    <row r="76" spans="1:67" ht="19.5" customHeight="1" x14ac:dyDescent="0.2">
      <c r="A76" s="114" t="s">
        <v>1789</v>
      </c>
      <c r="B76" s="113" t="s">
        <v>1787</v>
      </c>
      <c r="C76" s="122"/>
      <c r="D76" s="48" t="s">
        <v>73</v>
      </c>
      <c r="E76" s="49"/>
      <c r="F76" s="50"/>
      <c r="G76" s="62"/>
      <c r="H76" s="48" t="s">
        <v>72</v>
      </c>
      <c r="I76" s="135">
        <v>1</v>
      </c>
      <c r="J76" s="52"/>
      <c r="K76" s="52" t="s">
        <v>73</v>
      </c>
      <c r="L76" s="52" t="s">
        <v>74</v>
      </c>
      <c r="M76" s="53" t="s">
        <v>917</v>
      </c>
      <c r="N76" s="58" t="s">
        <v>73</v>
      </c>
      <c r="O76" s="48" t="s">
        <v>72</v>
      </c>
      <c r="P76" s="48" t="s">
        <v>73</v>
      </c>
      <c r="Q76" s="54" t="s">
        <v>73</v>
      </c>
      <c r="R76" s="55" t="s">
        <v>73</v>
      </c>
      <c r="S76" s="48" t="s">
        <v>73</v>
      </c>
      <c r="T76" s="121" t="str" cm="1">
        <f t="array" ref="T76">IF(ISNUMBER(SEARCH("SCHNEIDER",D76)),_xlfn.IFS(ISNUMBER(SEARCH("2 Querétaro",D76)),"SQ2",ISNUMBER(SEARCH("Xicohténcatl",D76)),"SXC",ISNUMBER(SEARCH("Rojo Gómez",D76)),"SRG",ISNUMBER(SEARCH("Tlaxcala",D76)),"STX",ISNUMBER(SEARCH("Monterrey",D76)),"SMY",ISNUMBER(SEARCH("Querétaro",D76)),"SQ1",ISNUMBER(SEARCH("CDMX",D76)),"SCM",TRUE,""),"")</f>
        <v/>
      </c>
      <c r="U76" s="48" t="str" cm="1">
        <f t="array" ref="U76">_xlfn.LET(_xlpm.resultados,_xlfn.UNIQUE(_xlfn._xlws.FILTER(Tabla1[Proceso],(Tabla1[Metal Base]=O76)*(Tabla1[Etiquetas]=_xlfn.TEXTJOIN(" + ",TRUE,IF((TRIM(Upload!P76:S76)="")+(LOWER(TRIM(Upload!P76:S76))="(seleccione)"),"",PROPER(TRIM(Upload!P76:S76)))))*(Tabla1[Línea2]=IFERROR(VLOOKUP(Upload!N76&amp;"*",CAT_Procesos!D:D,1,FALSE),"")))),_xlpm.cantidad,ROWS(_xlpm.resultados),IF(ISERROR(_xlpm.cantidad),"Combinación no existente",IF(_xlpm.cantidad=1,INDEX(_xlpm.resultados,1),"(seleccione)")))</f>
        <v>Combinación no existente</v>
      </c>
      <c r="V76" s="55" t="s">
        <v>73</v>
      </c>
      <c r="W76" s="56" t="s">
        <v>73</v>
      </c>
      <c r="X76" s="57" t="str">
        <f t="shared" si="4"/>
        <v/>
      </c>
      <c r="Y76" s="58" t="s">
        <v>73</v>
      </c>
      <c r="Z76" s="57" t="str">
        <f t="shared" si="5"/>
        <v/>
      </c>
      <c r="AA76" s="58" t="s">
        <v>73</v>
      </c>
      <c r="AB76" s="57" t="str">
        <f t="shared" si="6"/>
        <v/>
      </c>
      <c r="AC76" s="58" t="s">
        <v>73</v>
      </c>
      <c r="AD76" s="57" t="str">
        <f t="shared" si="7"/>
        <v/>
      </c>
      <c r="AE76" s="59"/>
      <c r="AF76" s="59"/>
      <c r="AG76" s="59"/>
      <c r="AH76" s="59"/>
      <c r="AI76" s="59" t="s">
        <v>73</v>
      </c>
      <c r="AJ76" s="59"/>
      <c r="AK76" s="59" t="s">
        <v>73</v>
      </c>
      <c r="AL76" s="59"/>
      <c r="AM76" s="59" t="s">
        <v>73</v>
      </c>
      <c r="AN76" s="59"/>
      <c r="AO76" s="59" t="s">
        <v>73</v>
      </c>
      <c r="AP76" s="59"/>
      <c r="AQ76" s="59" t="s">
        <v>73</v>
      </c>
      <c r="AR76" s="59"/>
      <c r="AS76" s="59" t="s">
        <v>72</v>
      </c>
      <c r="AT76" s="59"/>
      <c r="AU76" s="59"/>
      <c r="AV76" s="59"/>
      <c r="AW76" s="59"/>
      <c r="AX76" s="59"/>
      <c r="AY76" s="60" t="str">
        <f>IF('Cálculo MP'!K86="","",'Cálculo MP'!K86)</f>
        <v/>
      </c>
      <c r="AZ76" s="60" t="str">
        <f>IF('Cálculo MP'!L86="","",'Cálculo MP'!L86)</f>
        <v/>
      </c>
      <c r="BA76" s="60" t="str">
        <f>IF('Cálculo MP'!M86="","",'Cálculo MP'!M86)</f>
        <v/>
      </c>
      <c r="BB76" s="60" t="str">
        <f>IF('Cálculo MP'!N86="","",'Cálculo MP'!N86)</f>
        <v/>
      </c>
      <c r="BC76" s="60" t="str">
        <f>IF('Cálculo MP'!O86="","",'Cálculo MP'!O86)</f>
        <v/>
      </c>
      <c r="BD76" s="60" t="str">
        <f>IF('Cálculo MP'!P86="","",'Cálculo MP'!P86)</f>
        <v/>
      </c>
      <c r="BE76" s="60" t="str">
        <f>IF('Cálculo MP'!Q86="","",'Cálculo MP'!Q86)</f>
        <v/>
      </c>
      <c r="BF76" s="60" t="str">
        <f>IF('Cálculo MP'!R86="","",'Cálculo MP'!R86)</f>
        <v/>
      </c>
      <c r="BG76" s="60" t="str">
        <f>IF('Cálculo MP'!S86="","",'Cálculo MP'!S86)</f>
        <v/>
      </c>
      <c r="BH76" s="59"/>
      <c r="BI76" s="59"/>
      <c r="BJ76" s="59"/>
      <c r="BK76" s="59"/>
      <c r="BL76" s="59"/>
      <c r="BM76" s="59"/>
      <c r="BN76" s="59"/>
      <c r="BO76" s="59"/>
    </row>
    <row r="77" spans="1:67" ht="19.5" customHeight="1" x14ac:dyDescent="0.2">
      <c r="A77" s="114" t="s">
        <v>1789</v>
      </c>
      <c r="B77" s="113" t="s">
        <v>1787</v>
      </c>
      <c r="C77" s="122"/>
      <c r="D77" s="48" t="s">
        <v>73</v>
      </c>
      <c r="E77" s="49"/>
      <c r="F77" s="50"/>
      <c r="G77" s="62"/>
      <c r="H77" s="48" t="s">
        <v>72</v>
      </c>
      <c r="I77" s="135">
        <v>1</v>
      </c>
      <c r="J77" s="52"/>
      <c r="K77" s="52" t="s">
        <v>73</v>
      </c>
      <c r="L77" s="52" t="s">
        <v>74</v>
      </c>
      <c r="M77" s="53" t="s">
        <v>917</v>
      </c>
      <c r="N77" s="58" t="s">
        <v>73</v>
      </c>
      <c r="O77" s="48" t="s">
        <v>72</v>
      </c>
      <c r="P77" s="48" t="s">
        <v>73</v>
      </c>
      <c r="Q77" s="54" t="s">
        <v>73</v>
      </c>
      <c r="R77" s="55" t="s">
        <v>73</v>
      </c>
      <c r="S77" s="48" t="s">
        <v>73</v>
      </c>
      <c r="T77" s="121" t="str" cm="1">
        <f t="array" ref="T77">IF(ISNUMBER(SEARCH("SCHNEIDER",D77)),_xlfn.IFS(ISNUMBER(SEARCH("2 Querétaro",D77)),"SQ2",ISNUMBER(SEARCH("Xicohténcatl",D77)),"SXC",ISNUMBER(SEARCH("Rojo Gómez",D77)),"SRG",ISNUMBER(SEARCH("Tlaxcala",D77)),"STX",ISNUMBER(SEARCH("Monterrey",D77)),"SMY",ISNUMBER(SEARCH("Querétaro",D77)),"SQ1",ISNUMBER(SEARCH("CDMX",D77)),"SCM",TRUE,""),"")</f>
        <v/>
      </c>
      <c r="U77" s="48" t="str" cm="1">
        <f t="array" ref="U77">_xlfn.LET(_xlpm.resultados,_xlfn.UNIQUE(_xlfn._xlws.FILTER(Tabla1[Proceso],(Tabla1[Metal Base]=O77)*(Tabla1[Etiquetas]=_xlfn.TEXTJOIN(" + ",TRUE,IF((TRIM(Upload!P77:S77)="")+(LOWER(TRIM(Upload!P77:S77))="(seleccione)"),"",PROPER(TRIM(Upload!P77:S77)))))*(Tabla1[Línea2]=IFERROR(VLOOKUP(Upload!N77&amp;"*",CAT_Procesos!D:D,1,FALSE),"")))),_xlpm.cantidad,ROWS(_xlpm.resultados),IF(ISERROR(_xlpm.cantidad),"Combinación no existente",IF(_xlpm.cantidad=1,INDEX(_xlpm.resultados,1),"(seleccione)")))</f>
        <v>Combinación no existente</v>
      </c>
      <c r="V77" s="55" t="s">
        <v>73</v>
      </c>
      <c r="W77" s="56" t="s">
        <v>73</v>
      </c>
      <c r="X77" s="57" t="str">
        <f t="shared" si="4"/>
        <v/>
      </c>
      <c r="Y77" s="58" t="s">
        <v>73</v>
      </c>
      <c r="Z77" s="57" t="str">
        <f t="shared" si="5"/>
        <v/>
      </c>
      <c r="AA77" s="58" t="s">
        <v>73</v>
      </c>
      <c r="AB77" s="57" t="str">
        <f t="shared" si="6"/>
        <v/>
      </c>
      <c r="AC77" s="58" t="s">
        <v>73</v>
      </c>
      <c r="AD77" s="57" t="str">
        <f t="shared" si="7"/>
        <v/>
      </c>
      <c r="AE77" s="59"/>
      <c r="AF77" s="59"/>
      <c r="AG77" s="59"/>
      <c r="AH77" s="59"/>
      <c r="AI77" s="59" t="s">
        <v>73</v>
      </c>
      <c r="AJ77" s="59"/>
      <c r="AK77" s="59" t="s">
        <v>73</v>
      </c>
      <c r="AL77" s="59"/>
      <c r="AM77" s="59" t="s">
        <v>73</v>
      </c>
      <c r="AN77" s="59"/>
      <c r="AO77" s="59" t="s">
        <v>73</v>
      </c>
      <c r="AP77" s="59"/>
      <c r="AQ77" s="59" t="s">
        <v>73</v>
      </c>
      <c r="AR77" s="59"/>
      <c r="AS77" s="59" t="s">
        <v>72</v>
      </c>
      <c r="AT77" s="59"/>
      <c r="AU77" s="59"/>
      <c r="AV77" s="59"/>
      <c r="AW77" s="59"/>
      <c r="AX77" s="59"/>
      <c r="AY77" s="60" t="str">
        <f>IF('Cálculo MP'!K87="","",'Cálculo MP'!K87)</f>
        <v/>
      </c>
      <c r="AZ77" s="60" t="str">
        <f>IF('Cálculo MP'!L87="","",'Cálculo MP'!L87)</f>
        <v/>
      </c>
      <c r="BA77" s="60" t="str">
        <f>IF('Cálculo MP'!M87="","",'Cálculo MP'!M87)</f>
        <v/>
      </c>
      <c r="BB77" s="60" t="str">
        <f>IF('Cálculo MP'!N87="","",'Cálculo MP'!N87)</f>
        <v/>
      </c>
      <c r="BC77" s="60" t="str">
        <f>IF('Cálculo MP'!O87="","",'Cálculo MP'!O87)</f>
        <v/>
      </c>
      <c r="BD77" s="60" t="str">
        <f>IF('Cálculo MP'!P87="","",'Cálculo MP'!P87)</f>
        <v/>
      </c>
      <c r="BE77" s="60" t="str">
        <f>IF('Cálculo MP'!Q87="","",'Cálculo MP'!Q87)</f>
        <v/>
      </c>
      <c r="BF77" s="60" t="str">
        <f>IF('Cálculo MP'!R87="","",'Cálculo MP'!R87)</f>
        <v/>
      </c>
      <c r="BG77" s="60" t="str">
        <f>IF('Cálculo MP'!S87="","",'Cálculo MP'!S87)</f>
        <v/>
      </c>
      <c r="BH77" s="59"/>
      <c r="BI77" s="59"/>
      <c r="BJ77" s="59"/>
      <c r="BK77" s="59"/>
      <c r="BL77" s="59"/>
      <c r="BM77" s="59"/>
      <c r="BN77" s="59"/>
      <c r="BO77" s="59"/>
    </row>
    <row r="78" spans="1:67" ht="19.5" customHeight="1" x14ac:dyDescent="0.2">
      <c r="A78" s="114" t="s">
        <v>1789</v>
      </c>
      <c r="B78" s="113" t="s">
        <v>1787</v>
      </c>
      <c r="C78" s="122"/>
      <c r="D78" s="48" t="s">
        <v>73</v>
      </c>
      <c r="E78" s="49"/>
      <c r="F78" s="50"/>
      <c r="G78" s="62"/>
      <c r="H78" s="48" t="s">
        <v>72</v>
      </c>
      <c r="I78" s="135">
        <v>1</v>
      </c>
      <c r="J78" s="52"/>
      <c r="K78" s="52" t="s">
        <v>73</v>
      </c>
      <c r="L78" s="52" t="s">
        <v>74</v>
      </c>
      <c r="M78" s="53" t="s">
        <v>917</v>
      </c>
      <c r="N78" s="58" t="s">
        <v>73</v>
      </c>
      <c r="O78" s="48" t="s">
        <v>72</v>
      </c>
      <c r="P78" s="48" t="s">
        <v>73</v>
      </c>
      <c r="Q78" s="54" t="s">
        <v>73</v>
      </c>
      <c r="R78" s="55" t="s">
        <v>73</v>
      </c>
      <c r="S78" s="48" t="s">
        <v>73</v>
      </c>
      <c r="T78" s="121" t="str" cm="1">
        <f t="array" ref="T78">IF(ISNUMBER(SEARCH("SCHNEIDER",D78)),_xlfn.IFS(ISNUMBER(SEARCH("2 Querétaro",D78)),"SQ2",ISNUMBER(SEARCH("Xicohténcatl",D78)),"SXC",ISNUMBER(SEARCH("Rojo Gómez",D78)),"SRG",ISNUMBER(SEARCH("Tlaxcala",D78)),"STX",ISNUMBER(SEARCH("Monterrey",D78)),"SMY",ISNUMBER(SEARCH("Querétaro",D78)),"SQ1",ISNUMBER(SEARCH("CDMX",D78)),"SCM",TRUE,""),"")</f>
        <v/>
      </c>
      <c r="U78" s="48" t="str" cm="1">
        <f t="array" ref="U78">_xlfn.LET(_xlpm.resultados,_xlfn.UNIQUE(_xlfn._xlws.FILTER(Tabla1[Proceso],(Tabla1[Metal Base]=O78)*(Tabla1[Etiquetas]=_xlfn.TEXTJOIN(" + ",TRUE,IF((TRIM(Upload!P78:S78)="")+(LOWER(TRIM(Upload!P78:S78))="(seleccione)"),"",PROPER(TRIM(Upload!P78:S78)))))*(Tabla1[Línea2]=IFERROR(VLOOKUP(Upload!N78&amp;"*",CAT_Procesos!D:D,1,FALSE),"")))),_xlpm.cantidad,ROWS(_xlpm.resultados),IF(ISERROR(_xlpm.cantidad),"Combinación no existente",IF(_xlpm.cantidad=1,INDEX(_xlpm.resultados,1),"(seleccione)")))</f>
        <v>Combinación no existente</v>
      </c>
      <c r="V78" s="55" t="s">
        <v>73</v>
      </c>
      <c r="W78" s="56" t="s">
        <v>73</v>
      </c>
      <c r="X78" s="57" t="str">
        <f t="shared" si="4"/>
        <v/>
      </c>
      <c r="Y78" s="58" t="s">
        <v>73</v>
      </c>
      <c r="Z78" s="57" t="str">
        <f t="shared" si="5"/>
        <v/>
      </c>
      <c r="AA78" s="58" t="s">
        <v>73</v>
      </c>
      <c r="AB78" s="57" t="str">
        <f t="shared" si="6"/>
        <v/>
      </c>
      <c r="AC78" s="58" t="s">
        <v>73</v>
      </c>
      <c r="AD78" s="57" t="str">
        <f t="shared" si="7"/>
        <v/>
      </c>
      <c r="AE78" s="59"/>
      <c r="AF78" s="59"/>
      <c r="AG78" s="59"/>
      <c r="AH78" s="59"/>
      <c r="AI78" s="59" t="s">
        <v>73</v>
      </c>
      <c r="AJ78" s="59"/>
      <c r="AK78" s="59" t="s">
        <v>73</v>
      </c>
      <c r="AL78" s="59"/>
      <c r="AM78" s="59" t="s">
        <v>73</v>
      </c>
      <c r="AN78" s="59"/>
      <c r="AO78" s="59" t="s">
        <v>73</v>
      </c>
      <c r="AP78" s="59"/>
      <c r="AQ78" s="59" t="s">
        <v>73</v>
      </c>
      <c r="AR78" s="59"/>
      <c r="AS78" s="59" t="s">
        <v>72</v>
      </c>
      <c r="AT78" s="59"/>
      <c r="AU78" s="59"/>
      <c r="AV78" s="59"/>
      <c r="AW78" s="59"/>
      <c r="AX78" s="59"/>
      <c r="AY78" s="60" t="str">
        <f>IF('Cálculo MP'!K88="","",'Cálculo MP'!K88)</f>
        <v/>
      </c>
      <c r="AZ78" s="60" t="str">
        <f>IF('Cálculo MP'!L88="","",'Cálculo MP'!L88)</f>
        <v/>
      </c>
      <c r="BA78" s="60" t="str">
        <f>IF('Cálculo MP'!M88="","",'Cálculo MP'!M88)</f>
        <v/>
      </c>
      <c r="BB78" s="60" t="str">
        <f>IF('Cálculo MP'!N88="","",'Cálculo MP'!N88)</f>
        <v/>
      </c>
      <c r="BC78" s="60" t="str">
        <f>IF('Cálculo MP'!O88="","",'Cálculo MP'!O88)</f>
        <v/>
      </c>
      <c r="BD78" s="60" t="str">
        <f>IF('Cálculo MP'!P88="","",'Cálculo MP'!P88)</f>
        <v/>
      </c>
      <c r="BE78" s="60" t="str">
        <f>IF('Cálculo MP'!Q88="","",'Cálculo MP'!Q88)</f>
        <v/>
      </c>
      <c r="BF78" s="60" t="str">
        <f>IF('Cálculo MP'!R88="","",'Cálculo MP'!R88)</f>
        <v/>
      </c>
      <c r="BG78" s="60" t="str">
        <f>IF('Cálculo MP'!S88="","",'Cálculo MP'!S88)</f>
        <v/>
      </c>
      <c r="BH78" s="59"/>
      <c r="BI78" s="59"/>
      <c r="BJ78" s="59"/>
      <c r="BK78" s="59"/>
      <c r="BL78" s="59"/>
      <c r="BM78" s="59"/>
      <c r="BN78" s="59"/>
      <c r="BO78" s="59"/>
    </row>
    <row r="79" spans="1:67" ht="19.5" customHeight="1" x14ac:dyDescent="0.2">
      <c r="A79" s="114" t="s">
        <v>1789</v>
      </c>
      <c r="B79" s="113" t="s">
        <v>1787</v>
      </c>
      <c r="C79" s="122"/>
      <c r="D79" s="48" t="s">
        <v>73</v>
      </c>
      <c r="E79" s="49"/>
      <c r="F79" s="50"/>
      <c r="G79" s="62"/>
      <c r="H79" s="48" t="s">
        <v>72</v>
      </c>
      <c r="I79" s="135">
        <v>1</v>
      </c>
      <c r="J79" s="52"/>
      <c r="K79" s="52" t="s">
        <v>73</v>
      </c>
      <c r="L79" s="52" t="s">
        <v>74</v>
      </c>
      <c r="M79" s="53" t="s">
        <v>917</v>
      </c>
      <c r="N79" s="58" t="s">
        <v>73</v>
      </c>
      <c r="O79" s="48" t="s">
        <v>72</v>
      </c>
      <c r="P79" s="48" t="s">
        <v>73</v>
      </c>
      <c r="Q79" s="54" t="s">
        <v>73</v>
      </c>
      <c r="R79" s="55" t="s">
        <v>73</v>
      </c>
      <c r="S79" s="48" t="s">
        <v>73</v>
      </c>
      <c r="T79" s="121" t="str" cm="1">
        <f t="array" ref="T79">IF(ISNUMBER(SEARCH("SCHNEIDER",D79)),_xlfn.IFS(ISNUMBER(SEARCH("2 Querétaro",D79)),"SQ2",ISNUMBER(SEARCH("Xicohténcatl",D79)),"SXC",ISNUMBER(SEARCH("Rojo Gómez",D79)),"SRG",ISNUMBER(SEARCH("Tlaxcala",D79)),"STX",ISNUMBER(SEARCH("Monterrey",D79)),"SMY",ISNUMBER(SEARCH("Querétaro",D79)),"SQ1",ISNUMBER(SEARCH("CDMX",D79)),"SCM",TRUE,""),"")</f>
        <v/>
      </c>
      <c r="U79" s="48" t="str" cm="1">
        <f t="array" ref="U79">_xlfn.LET(_xlpm.resultados,_xlfn.UNIQUE(_xlfn._xlws.FILTER(Tabla1[Proceso],(Tabla1[Metal Base]=O79)*(Tabla1[Etiquetas]=_xlfn.TEXTJOIN(" + ",TRUE,IF((TRIM(Upload!P79:S79)="")+(LOWER(TRIM(Upload!P79:S79))="(seleccione)"),"",PROPER(TRIM(Upload!P79:S79)))))*(Tabla1[Línea2]=IFERROR(VLOOKUP(Upload!N79&amp;"*",CAT_Procesos!D:D,1,FALSE),"")))),_xlpm.cantidad,ROWS(_xlpm.resultados),IF(ISERROR(_xlpm.cantidad),"Combinación no existente",IF(_xlpm.cantidad=1,INDEX(_xlpm.resultados,1),"(seleccione)")))</f>
        <v>Combinación no existente</v>
      </c>
      <c r="V79" s="55" t="s">
        <v>73</v>
      </c>
      <c r="W79" s="56" t="s">
        <v>73</v>
      </c>
      <c r="X79" s="57" t="str">
        <f t="shared" si="4"/>
        <v/>
      </c>
      <c r="Y79" s="58" t="s">
        <v>73</v>
      </c>
      <c r="Z79" s="57" t="str">
        <f t="shared" si="5"/>
        <v/>
      </c>
      <c r="AA79" s="58" t="s">
        <v>73</v>
      </c>
      <c r="AB79" s="57" t="str">
        <f t="shared" si="6"/>
        <v/>
      </c>
      <c r="AC79" s="58" t="s">
        <v>73</v>
      </c>
      <c r="AD79" s="57" t="str">
        <f t="shared" si="7"/>
        <v/>
      </c>
      <c r="AE79" s="59"/>
      <c r="AF79" s="59"/>
      <c r="AG79" s="59"/>
      <c r="AH79" s="59"/>
      <c r="AI79" s="59" t="s">
        <v>73</v>
      </c>
      <c r="AJ79" s="59"/>
      <c r="AK79" s="59" t="s">
        <v>73</v>
      </c>
      <c r="AL79" s="59"/>
      <c r="AM79" s="59" t="s">
        <v>73</v>
      </c>
      <c r="AN79" s="59"/>
      <c r="AO79" s="59" t="s">
        <v>73</v>
      </c>
      <c r="AP79" s="59"/>
      <c r="AQ79" s="59" t="s">
        <v>73</v>
      </c>
      <c r="AR79" s="59"/>
      <c r="AS79" s="59" t="s">
        <v>72</v>
      </c>
      <c r="AT79" s="59"/>
      <c r="AU79" s="59"/>
      <c r="AV79" s="59"/>
      <c r="AW79" s="59"/>
      <c r="AX79" s="59"/>
      <c r="AY79" s="60" t="str">
        <f>IF('Cálculo MP'!K89="","",'Cálculo MP'!K89)</f>
        <v/>
      </c>
      <c r="AZ79" s="60" t="str">
        <f>IF('Cálculo MP'!L89="","",'Cálculo MP'!L89)</f>
        <v/>
      </c>
      <c r="BA79" s="60" t="str">
        <f>IF('Cálculo MP'!M89="","",'Cálculo MP'!M89)</f>
        <v/>
      </c>
      <c r="BB79" s="60" t="str">
        <f>IF('Cálculo MP'!N89="","",'Cálculo MP'!N89)</f>
        <v/>
      </c>
      <c r="BC79" s="60" t="str">
        <f>IF('Cálculo MP'!O89="","",'Cálculo MP'!O89)</f>
        <v/>
      </c>
      <c r="BD79" s="60" t="str">
        <f>IF('Cálculo MP'!P89="","",'Cálculo MP'!P89)</f>
        <v/>
      </c>
      <c r="BE79" s="60" t="str">
        <f>IF('Cálculo MP'!Q89="","",'Cálculo MP'!Q89)</f>
        <v/>
      </c>
      <c r="BF79" s="60" t="str">
        <f>IF('Cálculo MP'!R89="","",'Cálculo MP'!R89)</f>
        <v/>
      </c>
      <c r="BG79" s="60" t="str">
        <f>IF('Cálculo MP'!S89="","",'Cálculo MP'!S89)</f>
        <v/>
      </c>
      <c r="BH79" s="59"/>
      <c r="BI79" s="59"/>
      <c r="BJ79" s="59"/>
      <c r="BK79" s="59"/>
      <c r="BL79" s="59"/>
      <c r="BM79" s="59"/>
      <c r="BN79" s="59"/>
      <c r="BO79" s="59"/>
    </row>
    <row r="80" spans="1:67" ht="19.5" customHeight="1" x14ac:dyDescent="0.2">
      <c r="A80" s="114" t="s">
        <v>1789</v>
      </c>
      <c r="B80" s="113" t="s">
        <v>1787</v>
      </c>
      <c r="C80" s="122"/>
      <c r="D80" s="48" t="s">
        <v>73</v>
      </c>
      <c r="E80" s="49"/>
      <c r="F80" s="50"/>
      <c r="G80" s="62"/>
      <c r="H80" s="48" t="s">
        <v>72</v>
      </c>
      <c r="I80" s="135">
        <v>1</v>
      </c>
      <c r="J80" s="52"/>
      <c r="K80" s="52" t="s">
        <v>73</v>
      </c>
      <c r="L80" s="52" t="s">
        <v>74</v>
      </c>
      <c r="M80" s="53" t="s">
        <v>917</v>
      </c>
      <c r="N80" s="58" t="s">
        <v>73</v>
      </c>
      <c r="O80" s="48" t="s">
        <v>72</v>
      </c>
      <c r="P80" s="48" t="s">
        <v>73</v>
      </c>
      <c r="Q80" s="54" t="s">
        <v>73</v>
      </c>
      <c r="R80" s="55" t="s">
        <v>73</v>
      </c>
      <c r="S80" s="48" t="s">
        <v>73</v>
      </c>
      <c r="T80" s="121" t="str" cm="1">
        <f t="array" ref="T80">IF(ISNUMBER(SEARCH("SCHNEIDER",D80)),_xlfn.IFS(ISNUMBER(SEARCH("2 Querétaro",D80)),"SQ2",ISNUMBER(SEARCH("Xicohténcatl",D80)),"SXC",ISNUMBER(SEARCH("Rojo Gómez",D80)),"SRG",ISNUMBER(SEARCH("Tlaxcala",D80)),"STX",ISNUMBER(SEARCH("Monterrey",D80)),"SMY",ISNUMBER(SEARCH("Querétaro",D80)),"SQ1",ISNUMBER(SEARCH("CDMX",D80)),"SCM",TRUE,""),"")</f>
        <v/>
      </c>
      <c r="U80" s="48" t="str" cm="1">
        <f t="array" ref="U80">_xlfn.LET(_xlpm.resultados,_xlfn.UNIQUE(_xlfn._xlws.FILTER(Tabla1[Proceso],(Tabla1[Metal Base]=O80)*(Tabla1[Etiquetas]=_xlfn.TEXTJOIN(" + ",TRUE,IF((TRIM(Upload!P80:S80)="")+(LOWER(TRIM(Upload!P80:S80))="(seleccione)"),"",PROPER(TRIM(Upload!P80:S80)))))*(Tabla1[Línea2]=IFERROR(VLOOKUP(Upload!N80&amp;"*",CAT_Procesos!D:D,1,FALSE),"")))),_xlpm.cantidad,ROWS(_xlpm.resultados),IF(ISERROR(_xlpm.cantidad),"Combinación no existente",IF(_xlpm.cantidad=1,INDEX(_xlpm.resultados,1),"(seleccione)")))</f>
        <v>Combinación no existente</v>
      </c>
      <c r="V80" s="55" t="s">
        <v>73</v>
      </c>
      <c r="W80" s="56" t="s">
        <v>73</v>
      </c>
      <c r="X80" s="57" t="str">
        <f t="shared" si="4"/>
        <v/>
      </c>
      <c r="Y80" s="58" t="s">
        <v>73</v>
      </c>
      <c r="Z80" s="57" t="str">
        <f t="shared" si="5"/>
        <v/>
      </c>
      <c r="AA80" s="58" t="s">
        <v>73</v>
      </c>
      <c r="AB80" s="57" t="str">
        <f t="shared" si="6"/>
        <v/>
      </c>
      <c r="AC80" s="58" t="s">
        <v>73</v>
      </c>
      <c r="AD80" s="57" t="str">
        <f t="shared" si="7"/>
        <v/>
      </c>
      <c r="AE80" s="59"/>
      <c r="AF80" s="59"/>
      <c r="AG80" s="59"/>
      <c r="AH80" s="59"/>
      <c r="AI80" s="59" t="s">
        <v>73</v>
      </c>
      <c r="AJ80" s="59"/>
      <c r="AK80" s="59" t="s">
        <v>73</v>
      </c>
      <c r="AL80" s="59"/>
      <c r="AM80" s="59" t="s">
        <v>73</v>
      </c>
      <c r="AN80" s="59"/>
      <c r="AO80" s="59" t="s">
        <v>73</v>
      </c>
      <c r="AP80" s="59"/>
      <c r="AQ80" s="59" t="s">
        <v>73</v>
      </c>
      <c r="AR80" s="59"/>
      <c r="AS80" s="59" t="s">
        <v>72</v>
      </c>
      <c r="AT80" s="59"/>
      <c r="AU80" s="59"/>
      <c r="AV80" s="59"/>
      <c r="AW80" s="59"/>
      <c r="AX80" s="59"/>
      <c r="AY80" s="60" t="str">
        <f>IF('Cálculo MP'!K90="","",'Cálculo MP'!K90)</f>
        <v/>
      </c>
      <c r="AZ80" s="60" t="str">
        <f>IF('Cálculo MP'!L90="","",'Cálculo MP'!L90)</f>
        <v/>
      </c>
      <c r="BA80" s="60" t="str">
        <f>IF('Cálculo MP'!M90="","",'Cálculo MP'!M90)</f>
        <v/>
      </c>
      <c r="BB80" s="60" t="str">
        <f>IF('Cálculo MP'!N90="","",'Cálculo MP'!N90)</f>
        <v/>
      </c>
      <c r="BC80" s="60" t="str">
        <f>IF('Cálculo MP'!O90="","",'Cálculo MP'!O90)</f>
        <v/>
      </c>
      <c r="BD80" s="60" t="str">
        <f>IF('Cálculo MP'!P90="","",'Cálculo MP'!P90)</f>
        <v/>
      </c>
      <c r="BE80" s="60" t="str">
        <f>IF('Cálculo MP'!Q90="","",'Cálculo MP'!Q90)</f>
        <v/>
      </c>
      <c r="BF80" s="60" t="str">
        <f>IF('Cálculo MP'!R90="","",'Cálculo MP'!R90)</f>
        <v/>
      </c>
      <c r="BG80" s="60" t="str">
        <f>IF('Cálculo MP'!S90="","",'Cálculo MP'!S90)</f>
        <v/>
      </c>
      <c r="BH80" s="59"/>
      <c r="BI80" s="59"/>
      <c r="BJ80" s="59"/>
      <c r="BK80" s="59"/>
      <c r="BL80" s="59"/>
      <c r="BM80" s="59"/>
      <c r="BN80" s="59"/>
      <c r="BO80" s="59"/>
    </row>
    <row r="81" spans="1:67" ht="19.5" customHeight="1" x14ac:dyDescent="0.2">
      <c r="A81" s="114" t="s">
        <v>1789</v>
      </c>
      <c r="B81" s="113" t="s">
        <v>1787</v>
      </c>
      <c r="C81" s="122"/>
      <c r="D81" s="48" t="s">
        <v>73</v>
      </c>
      <c r="E81" s="49"/>
      <c r="F81" s="50"/>
      <c r="G81" s="62"/>
      <c r="H81" s="48" t="s">
        <v>72</v>
      </c>
      <c r="I81" s="135">
        <v>1</v>
      </c>
      <c r="J81" s="52"/>
      <c r="K81" s="52" t="s">
        <v>73</v>
      </c>
      <c r="L81" s="52" t="s">
        <v>74</v>
      </c>
      <c r="M81" s="53" t="s">
        <v>917</v>
      </c>
      <c r="N81" s="58" t="s">
        <v>73</v>
      </c>
      <c r="O81" s="48" t="s">
        <v>72</v>
      </c>
      <c r="P81" s="48" t="s">
        <v>73</v>
      </c>
      <c r="Q81" s="54" t="s">
        <v>73</v>
      </c>
      <c r="R81" s="55" t="s">
        <v>73</v>
      </c>
      <c r="S81" s="48" t="s">
        <v>73</v>
      </c>
      <c r="T81" s="121" t="str" cm="1">
        <f t="array" ref="T81">IF(ISNUMBER(SEARCH("SCHNEIDER",D81)),_xlfn.IFS(ISNUMBER(SEARCH("2 Querétaro",D81)),"SQ2",ISNUMBER(SEARCH("Xicohténcatl",D81)),"SXC",ISNUMBER(SEARCH("Rojo Gómez",D81)),"SRG",ISNUMBER(SEARCH("Tlaxcala",D81)),"STX",ISNUMBER(SEARCH("Monterrey",D81)),"SMY",ISNUMBER(SEARCH("Querétaro",D81)),"SQ1",ISNUMBER(SEARCH("CDMX",D81)),"SCM",TRUE,""),"")</f>
        <v/>
      </c>
      <c r="U81" s="48" t="str" cm="1">
        <f t="array" ref="U81">_xlfn.LET(_xlpm.resultados,_xlfn.UNIQUE(_xlfn._xlws.FILTER(Tabla1[Proceso],(Tabla1[Metal Base]=O81)*(Tabla1[Etiquetas]=_xlfn.TEXTJOIN(" + ",TRUE,IF((TRIM(Upload!P81:S81)="")+(LOWER(TRIM(Upload!P81:S81))="(seleccione)"),"",PROPER(TRIM(Upload!P81:S81)))))*(Tabla1[Línea2]=IFERROR(VLOOKUP(Upload!N81&amp;"*",CAT_Procesos!D:D,1,FALSE),"")))),_xlpm.cantidad,ROWS(_xlpm.resultados),IF(ISERROR(_xlpm.cantidad),"Combinación no existente",IF(_xlpm.cantidad=1,INDEX(_xlpm.resultados,1),"(seleccione)")))</f>
        <v>Combinación no existente</v>
      </c>
      <c r="V81" s="55" t="s">
        <v>73</v>
      </c>
      <c r="W81" s="56" t="s">
        <v>73</v>
      </c>
      <c r="X81" s="57" t="str">
        <f t="shared" si="4"/>
        <v/>
      </c>
      <c r="Y81" s="58" t="s">
        <v>73</v>
      </c>
      <c r="Z81" s="57" t="str">
        <f t="shared" si="5"/>
        <v/>
      </c>
      <c r="AA81" s="58" t="s">
        <v>73</v>
      </c>
      <c r="AB81" s="57" t="str">
        <f t="shared" si="6"/>
        <v/>
      </c>
      <c r="AC81" s="58" t="s">
        <v>73</v>
      </c>
      <c r="AD81" s="57" t="str">
        <f t="shared" si="7"/>
        <v/>
      </c>
      <c r="AE81" s="59"/>
      <c r="AF81" s="59"/>
      <c r="AG81" s="59"/>
      <c r="AH81" s="59"/>
      <c r="AI81" s="59" t="s">
        <v>73</v>
      </c>
      <c r="AJ81" s="59"/>
      <c r="AK81" s="59" t="s">
        <v>73</v>
      </c>
      <c r="AL81" s="59"/>
      <c r="AM81" s="59" t="s">
        <v>73</v>
      </c>
      <c r="AN81" s="59"/>
      <c r="AO81" s="59" t="s">
        <v>73</v>
      </c>
      <c r="AP81" s="59"/>
      <c r="AQ81" s="59" t="s">
        <v>73</v>
      </c>
      <c r="AR81" s="59"/>
      <c r="AS81" s="59" t="s">
        <v>72</v>
      </c>
      <c r="AT81" s="59"/>
      <c r="AU81" s="59"/>
      <c r="AV81" s="59"/>
      <c r="AW81" s="59"/>
      <c r="AX81" s="59"/>
      <c r="AY81" s="60" t="str">
        <f>IF('Cálculo MP'!K91="","",'Cálculo MP'!K91)</f>
        <v/>
      </c>
      <c r="AZ81" s="60" t="str">
        <f>IF('Cálculo MP'!L91="","",'Cálculo MP'!L91)</f>
        <v/>
      </c>
      <c r="BA81" s="60" t="str">
        <f>IF('Cálculo MP'!M91="","",'Cálculo MP'!M91)</f>
        <v/>
      </c>
      <c r="BB81" s="60" t="str">
        <f>IF('Cálculo MP'!N91="","",'Cálculo MP'!N91)</f>
        <v/>
      </c>
      <c r="BC81" s="60" t="str">
        <f>IF('Cálculo MP'!O91="","",'Cálculo MP'!O91)</f>
        <v/>
      </c>
      <c r="BD81" s="60" t="str">
        <f>IF('Cálculo MP'!P91="","",'Cálculo MP'!P91)</f>
        <v/>
      </c>
      <c r="BE81" s="60" t="str">
        <f>IF('Cálculo MP'!Q91="","",'Cálculo MP'!Q91)</f>
        <v/>
      </c>
      <c r="BF81" s="60" t="str">
        <f>IF('Cálculo MP'!R91="","",'Cálculo MP'!R91)</f>
        <v/>
      </c>
      <c r="BG81" s="60" t="str">
        <f>IF('Cálculo MP'!S91="","",'Cálculo MP'!S91)</f>
        <v/>
      </c>
      <c r="BH81" s="59"/>
      <c r="BI81" s="59"/>
      <c r="BJ81" s="59"/>
      <c r="BK81" s="59"/>
      <c r="BL81" s="59"/>
      <c r="BM81" s="59"/>
      <c r="BN81" s="59"/>
      <c r="BO81" s="59"/>
    </row>
    <row r="82" spans="1:67" ht="19.5" customHeight="1" x14ac:dyDescent="0.2">
      <c r="A82" s="114" t="s">
        <v>1789</v>
      </c>
      <c r="B82" s="113" t="s">
        <v>1787</v>
      </c>
      <c r="C82" s="122"/>
      <c r="D82" s="48" t="s">
        <v>73</v>
      </c>
      <c r="E82" s="49"/>
      <c r="F82" s="50"/>
      <c r="G82" s="62"/>
      <c r="H82" s="48" t="s">
        <v>72</v>
      </c>
      <c r="I82" s="135">
        <v>1</v>
      </c>
      <c r="J82" s="52"/>
      <c r="K82" s="52" t="s">
        <v>73</v>
      </c>
      <c r="L82" s="52" t="s">
        <v>74</v>
      </c>
      <c r="M82" s="53" t="s">
        <v>917</v>
      </c>
      <c r="N82" s="58" t="s">
        <v>73</v>
      </c>
      <c r="O82" s="48" t="s">
        <v>72</v>
      </c>
      <c r="P82" s="48" t="s">
        <v>73</v>
      </c>
      <c r="Q82" s="54" t="s">
        <v>73</v>
      </c>
      <c r="R82" s="55" t="s">
        <v>73</v>
      </c>
      <c r="S82" s="48" t="s">
        <v>73</v>
      </c>
      <c r="T82" s="121" t="str" cm="1">
        <f t="array" ref="T82">IF(ISNUMBER(SEARCH("SCHNEIDER",D82)),_xlfn.IFS(ISNUMBER(SEARCH("2 Querétaro",D82)),"SQ2",ISNUMBER(SEARCH("Xicohténcatl",D82)),"SXC",ISNUMBER(SEARCH("Rojo Gómez",D82)),"SRG",ISNUMBER(SEARCH("Tlaxcala",D82)),"STX",ISNUMBER(SEARCH("Monterrey",D82)),"SMY",ISNUMBER(SEARCH("Querétaro",D82)),"SQ1",ISNUMBER(SEARCH("CDMX",D82)),"SCM",TRUE,""),"")</f>
        <v/>
      </c>
      <c r="U82" s="48" t="str" cm="1">
        <f t="array" ref="U82">_xlfn.LET(_xlpm.resultados,_xlfn.UNIQUE(_xlfn._xlws.FILTER(Tabla1[Proceso],(Tabla1[Metal Base]=O82)*(Tabla1[Etiquetas]=_xlfn.TEXTJOIN(" + ",TRUE,IF((TRIM(Upload!P82:S82)="")+(LOWER(TRIM(Upload!P82:S82))="(seleccione)"),"",PROPER(TRIM(Upload!P82:S82)))))*(Tabla1[Línea2]=IFERROR(VLOOKUP(Upload!N82&amp;"*",CAT_Procesos!D:D,1,FALSE),"")))),_xlpm.cantidad,ROWS(_xlpm.resultados),IF(ISERROR(_xlpm.cantidad),"Combinación no existente",IF(_xlpm.cantidad=1,INDEX(_xlpm.resultados,1),"(seleccione)")))</f>
        <v>Combinación no existente</v>
      </c>
      <c r="V82" s="55" t="s">
        <v>73</v>
      </c>
      <c r="W82" s="56" t="s">
        <v>73</v>
      </c>
      <c r="X82" s="57" t="str">
        <f t="shared" si="4"/>
        <v/>
      </c>
      <c r="Y82" s="58" t="s">
        <v>73</v>
      </c>
      <c r="Z82" s="57" t="str">
        <f t="shared" si="5"/>
        <v/>
      </c>
      <c r="AA82" s="58" t="s">
        <v>73</v>
      </c>
      <c r="AB82" s="57" t="str">
        <f t="shared" si="6"/>
        <v/>
      </c>
      <c r="AC82" s="58" t="s">
        <v>73</v>
      </c>
      <c r="AD82" s="57" t="str">
        <f t="shared" si="7"/>
        <v/>
      </c>
      <c r="AE82" s="59"/>
      <c r="AF82" s="59"/>
      <c r="AG82" s="59"/>
      <c r="AH82" s="59"/>
      <c r="AI82" s="59" t="s">
        <v>73</v>
      </c>
      <c r="AJ82" s="59"/>
      <c r="AK82" s="59" t="s">
        <v>73</v>
      </c>
      <c r="AL82" s="59"/>
      <c r="AM82" s="59" t="s">
        <v>73</v>
      </c>
      <c r="AN82" s="59"/>
      <c r="AO82" s="59" t="s">
        <v>73</v>
      </c>
      <c r="AP82" s="59"/>
      <c r="AQ82" s="59" t="s">
        <v>73</v>
      </c>
      <c r="AR82" s="59"/>
      <c r="AS82" s="59" t="s">
        <v>72</v>
      </c>
      <c r="AT82" s="59"/>
      <c r="AU82" s="59"/>
      <c r="AV82" s="59"/>
      <c r="AW82" s="59"/>
      <c r="AX82" s="59"/>
      <c r="AY82" s="60" t="str">
        <f>IF('Cálculo MP'!K92="","",'Cálculo MP'!K92)</f>
        <v/>
      </c>
      <c r="AZ82" s="60" t="str">
        <f>IF('Cálculo MP'!L92="","",'Cálculo MP'!L92)</f>
        <v/>
      </c>
      <c r="BA82" s="60" t="str">
        <f>IF('Cálculo MP'!M92="","",'Cálculo MP'!M92)</f>
        <v/>
      </c>
      <c r="BB82" s="60" t="str">
        <f>IF('Cálculo MP'!N92="","",'Cálculo MP'!N92)</f>
        <v/>
      </c>
      <c r="BC82" s="60" t="str">
        <f>IF('Cálculo MP'!O92="","",'Cálculo MP'!O92)</f>
        <v/>
      </c>
      <c r="BD82" s="60" t="str">
        <f>IF('Cálculo MP'!P92="","",'Cálculo MP'!P92)</f>
        <v/>
      </c>
      <c r="BE82" s="60" t="str">
        <f>IF('Cálculo MP'!Q92="","",'Cálculo MP'!Q92)</f>
        <v/>
      </c>
      <c r="BF82" s="60" t="str">
        <f>IF('Cálculo MP'!R92="","",'Cálculo MP'!R92)</f>
        <v/>
      </c>
      <c r="BG82" s="60" t="str">
        <f>IF('Cálculo MP'!S92="","",'Cálculo MP'!S92)</f>
        <v/>
      </c>
      <c r="BH82" s="59"/>
      <c r="BI82" s="59"/>
      <c r="BJ82" s="59"/>
      <c r="BK82" s="59"/>
      <c r="BL82" s="59"/>
      <c r="BM82" s="59"/>
      <c r="BN82" s="59"/>
      <c r="BO82" s="59"/>
    </row>
    <row r="83" spans="1:67" ht="19.5" customHeight="1" x14ac:dyDescent="0.2">
      <c r="A83" s="114" t="s">
        <v>1789</v>
      </c>
      <c r="B83" s="113" t="s">
        <v>1787</v>
      </c>
      <c r="C83" s="122"/>
      <c r="D83" s="48" t="s">
        <v>73</v>
      </c>
      <c r="E83" s="49"/>
      <c r="F83" s="50"/>
      <c r="G83" s="62"/>
      <c r="H83" s="48" t="s">
        <v>72</v>
      </c>
      <c r="I83" s="135">
        <v>1</v>
      </c>
      <c r="J83" s="52"/>
      <c r="K83" s="52" t="s">
        <v>73</v>
      </c>
      <c r="L83" s="52" t="s">
        <v>74</v>
      </c>
      <c r="M83" s="53" t="s">
        <v>917</v>
      </c>
      <c r="N83" s="58" t="s">
        <v>73</v>
      </c>
      <c r="O83" s="48" t="s">
        <v>72</v>
      </c>
      <c r="P83" s="48" t="s">
        <v>73</v>
      </c>
      <c r="Q83" s="54" t="s">
        <v>73</v>
      </c>
      <c r="R83" s="55" t="s">
        <v>73</v>
      </c>
      <c r="S83" s="48" t="s">
        <v>73</v>
      </c>
      <c r="T83" s="121" t="str" cm="1">
        <f t="array" ref="T83">IF(ISNUMBER(SEARCH("SCHNEIDER",D83)),_xlfn.IFS(ISNUMBER(SEARCH("2 Querétaro",D83)),"SQ2",ISNUMBER(SEARCH("Xicohténcatl",D83)),"SXC",ISNUMBER(SEARCH("Rojo Gómez",D83)),"SRG",ISNUMBER(SEARCH("Tlaxcala",D83)),"STX",ISNUMBER(SEARCH("Monterrey",D83)),"SMY",ISNUMBER(SEARCH("Querétaro",D83)),"SQ1",ISNUMBER(SEARCH("CDMX",D83)),"SCM",TRUE,""),"")</f>
        <v/>
      </c>
      <c r="U83" s="48" t="str" cm="1">
        <f t="array" ref="U83">_xlfn.LET(_xlpm.resultados,_xlfn.UNIQUE(_xlfn._xlws.FILTER(Tabla1[Proceso],(Tabla1[Metal Base]=O83)*(Tabla1[Etiquetas]=_xlfn.TEXTJOIN(" + ",TRUE,IF((TRIM(Upload!P83:S83)="")+(LOWER(TRIM(Upload!P83:S83))="(seleccione)"),"",PROPER(TRIM(Upload!P83:S83)))))*(Tabla1[Línea2]=IFERROR(VLOOKUP(Upload!N83&amp;"*",CAT_Procesos!D:D,1,FALSE),"")))),_xlpm.cantidad,ROWS(_xlpm.resultados),IF(ISERROR(_xlpm.cantidad),"Combinación no existente",IF(_xlpm.cantidad=1,INDEX(_xlpm.resultados,1),"(seleccione)")))</f>
        <v>Combinación no existente</v>
      </c>
      <c r="V83" s="55" t="s">
        <v>73</v>
      </c>
      <c r="W83" s="56" t="s">
        <v>73</v>
      </c>
      <c r="X83" s="57" t="str">
        <f t="shared" si="4"/>
        <v/>
      </c>
      <c r="Y83" s="58" t="s">
        <v>73</v>
      </c>
      <c r="Z83" s="57" t="str">
        <f t="shared" si="5"/>
        <v/>
      </c>
      <c r="AA83" s="58" t="s">
        <v>73</v>
      </c>
      <c r="AB83" s="57" t="str">
        <f t="shared" si="6"/>
        <v/>
      </c>
      <c r="AC83" s="58" t="s">
        <v>73</v>
      </c>
      <c r="AD83" s="57" t="str">
        <f t="shared" si="7"/>
        <v/>
      </c>
      <c r="AE83" s="59"/>
      <c r="AF83" s="59"/>
      <c r="AG83" s="59"/>
      <c r="AH83" s="59"/>
      <c r="AI83" s="59" t="s">
        <v>73</v>
      </c>
      <c r="AJ83" s="59"/>
      <c r="AK83" s="59" t="s">
        <v>73</v>
      </c>
      <c r="AL83" s="59"/>
      <c r="AM83" s="59" t="s">
        <v>73</v>
      </c>
      <c r="AN83" s="59"/>
      <c r="AO83" s="59" t="s">
        <v>73</v>
      </c>
      <c r="AP83" s="59"/>
      <c r="AQ83" s="59" t="s">
        <v>73</v>
      </c>
      <c r="AR83" s="59"/>
      <c r="AS83" s="59" t="s">
        <v>72</v>
      </c>
      <c r="AT83" s="59"/>
      <c r="AU83" s="59"/>
      <c r="AV83" s="59"/>
      <c r="AW83" s="59"/>
      <c r="AX83" s="59"/>
      <c r="AY83" s="60" t="str">
        <f>IF('Cálculo MP'!K93="","",'Cálculo MP'!K93)</f>
        <v/>
      </c>
      <c r="AZ83" s="60" t="str">
        <f>IF('Cálculo MP'!L93="","",'Cálculo MP'!L93)</f>
        <v/>
      </c>
      <c r="BA83" s="60" t="str">
        <f>IF('Cálculo MP'!M93="","",'Cálculo MP'!M93)</f>
        <v/>
      </c>
      <c r="BB83" s="60" t="str">
        <f>IF('Cálculo MP'!N93="","",'Cálculo MP'!N93)</f>
        <v/>
      </c>
      <c r="BC83" s="60" t="str">
        <f>IF('Cálculo MP'!O93="","",'Cálculo MP'!O93)</f>
        <v/>
      </c>
      <c r="BD83" s="60" t="str">
        <f>IF('Cálculo MP'!P93="","",'Cálculo MP'!P93)</f>
        <v/>
      </c>
      <c r="BE83" s="60" t="str">
        <f>IF('Cálculo MP'!Q93="","",'Cálculo MP'!Q93)</f>
        <v/>
      </c>
      <c r="BF83" s="60" t="str">
        <f>IF('Cálculo MP'!R93="","",'Cálculo MP'!R93)</f>
        <v/>
      </c>
      <c r="BG83" s="60" t="str">
        <f>IF('Cálculo MP'!S93="","",'Cálculo MP'!S93)</f>
        <v/>
      </c>
      <c r="BH83" s="59"/>
      <c r="BI83" s="59"/>
      <c r="BJ83" s="59"/>
      <c r="BK83" s="59"/>
      <c r="BL83" s="59"/>
      <c r="BM83" s="59"/>
      <c r="BN83" s="59"/>
      <c r="BO83" s="59"/>
    </row>
    <row r="84" spans="1:67" ht="19.5" customHeight="1" x14ac:dyDescent="0.2">
      <c r="A84" s="114" t="s">
        <v>1789</v>
      </c>
      <c r="B84" s="113" t="s">
        <v>1787</v>
      </c>
      <c r="C84" s="122"/>
      <c r="D84" s="48" t="s">
        <v>73</v>
      </c>
      <c r="E84" s="49"/>
      <c r="F84" s="50"/>
      <c r="G84" s="62"/>
      <c r="H84" s="48" t="s">
        <v>72</v>
      </c>
      <c r="I84" s="135">
        <v>1</v>
      </c>
      <c r="J84" s="52"/>
      <c r="K84" s="52" t="s">
        <v>73</v>
      </c>
      <c r="L84" s="52" t="s">
        <v>74</v>
      </c>
      <c r="M84" s="53" t="s">
        <v>917</v>
      </c>
      <c r="N84" s="58" t="s">
        <v>73</v>
      </c>
      <c r="O84" s="48" t="s">
        <v>72</v>
      </c>
      <c r="P84" s="48" t="s">
        <v>73</v>
      </c>
      <c r="Q84" s="54" t="s">
        <v>73</v>
      </c>
      <c r="R84" s="55" t="s">
        <v>73</v>
      </c>
      <c r="S84" s="48" t="s">
        <v>73</v>
      </c>
      <c r="T84" s="121" t="str" cm="1">
        <f t="array" ref="T84">IF(ISNUMBER(SEARCH("SCHNEIDER",D84)),_xlfn.IFS(ISNUMBER(SEARCH("2 Querétaro",D84)),"SQ2",ISNUMBER(SEARCH("Xicohténcatl",D84)),"SXC",ISNUMBER(SEARCH("Rojo Gómez",D84)),"SRG",ISNUMBER(SEARCH("Tlaxcala",D84)),"STX",ISNUMBER(SEARCH("Monterrey",D84)),"SMY",ISNUMBER(SEARCH("Querétaro",D84)),"SQ1",ISNUMBER(SEARCH("CDMX",D84)),"SCM",TRUE,""),"")</f>
        <v/>
      </c>
      <c r="U84" s="48" t="str" cm="1">
        <f t="array" ref="U84">_xlfn.LET(_xlpm.resultados,_xlfn.UNIQUE(_xlfn._xlws.FILTER(Tabla1[Proceso],(Tabla1[Metal Base]=O84)*(Tabla1[Etiquetas]=_xlfn.TEXTJOIN(" + ",TRUE,IF((TRIM(Upload!P84:S84)="")+(LOWER(TRIM(Upload!P84:S84))="(seleccione)"),"",PROPER(TRIM(Upload!P84:S84)))))*(Tabla1[Línea2]=IFERROR(VLOOKUP(Upload!N84&amp;"*",CAT_Procesos!D:D,1,FALSE),"")))),_xlpm.cantidad,ROWS(_xlpm.resultados),IF(ISERROR(_xlpm.cantidad),"Combinación no existente",IF(_xlpm.cantidad=1,INDEX(_xlpm.resultados,1),"(seleccione)")))</f>
        <v>Combinación no existente</v>
      </c>
      <c r="V84" s="55" t="s">
        <v>73</v>
      </c>
      <c r="W84" s="56" t="s">
        <v>73</v>
      </c>
      <c r="X84" s="57" t="str">
        <f t="shared" si="4"/>
        <v/>
      </c>
      <c r="Y84" s="58" t="s">
        <v>73</v>
      </c>
      <c r="Z84" s="57" t="str">
        <f t="shared" si="5"/>
        <v/>
      </c>
      <c r="AA84" s="58" t="s">
        <v>73</v>
      </c>
      <c r="AB84" s="57" t="str">
        <f t="shared" si="6"/>
        <v/>
      </c>
      <c r="AC84" s="58" t="s">
        <v>73</v>
      </c>
      <c r="AD84" s="57" t="str">
        <f t="shared" si="7"/>
        <v/>
      </c>
      <c r="AE84" s="59"/>
      <c r="AF84" s="59"/>
      <c r="AG84" s="59"/>
      <c r="AH84" s="59"/>
      <c r="AI84" s="59" t="s">
        <v>73</v>
      </c>
      <c r="AJ84" s="59"/>
      <c r="AK84" s="59" t="s">
        <v>73</v>
      </c>
      <c r="AL84" s="59"/>
      <c r="AM84" s="59" t="s">
        <v>73</v>
      </c>
      <c r="AN84" s="59"/>
      <c r="AO84" s="59" t="s">
        <v>73</v>
      </c>
      <c r="AP84" s="59"/>
      <c r="AQ84" s="59" t="s">
        <v>73</v>
      </c>
      <c r="AR84" s="59"/>
      <c r="AS84" s="59" t="s">
        <v>72</v>
      </c>
      <c r="AT84" s="59"/>
      <c r="AU84" s="59"/>
      <c r="AV84" s="59"/>
      <c r="AW84" s="59"/>
      <c r="AX84" s="59"/>
      <c r="AY84" s="60" t="str">
        <f>IF('Cálculo MP'!K94="","",'Cálculo MP'!K94)</f>
        <v/>
      </c>
      <c r="AZ84" s="60" t="str">
        <f>IF('Cálculo MP'!L94="","",'Cálculo MP'!L94)</f>
        <v/>
      </c>
      <c r="BA84" s="60" t="str">
        <f>IF('Cálculo MP'!M94="","",'Cálculo MP'!M94)</f>
        <v/>
      </c>
      <c r="BB84" s="60" t="str">
        <f>IF('Cálculo MP'!N94="","",'Cálculo MP'!N94)</f>
        <v/>
      </c>
      <c r="BC84" s="60" t="str">
        <f>IF('Cálculo MP'!O94="","",'Cálculo MP'!O94)</f>
        <v/>
      </c>
      <c r="BD84" s="60" t="str">
        <f>IF('Cálculo MP'!P94="","",'Cálculo MP'!P94)</f>
        <v/>
      </c>
      <c r="BE84" s="60" t="str">
        <f>IF('Cálculo MP'!Q94="","",'Cálculo MP'!Q94)</f>
        <v/>
      </c>
      <c r="BF84" s="60" t="str">
        <f>IF('Cálculo MP'!R94="","",'Cálculo MP'!R94)</f>
        <v/>
      </c>
      <c r="BG84" s="60" t="str">
        <f>IF('Cálculo MP'!S94="","",'Cálculo MP'!S94)</f>
        <v/>
      </c>
      <c r="BH84" s="59"/>
      <c r="BI84" s="59"/>
      <c r="BJ84" s="59"/>
      <c r="BK84" s="59"/>
      <c r="BL84" s="59"/>
      <c r="BM84" s="59"/>
      <c r="BN84" s="59"/>
      <c r="BO84" s="59"/>
    </row>
    <row r="85" spans="1:67" ht="19.5" customHeight="1" x14ac:dyDescent="0.2">
      <c r="A85" s="114" t="s">
        <v>1789</v>
      </c>
      <c r="B85" s="113" t="s">
        <v>1787</v>
      </c>
      <c r="C85" s="122"/>
      <c r="D85" s="48" t="s">
        <v>73</v>
      </c>
      <c r="E85" s="49"/>
      <c r="F85" s="50"/>
      <c r="G85" s="62"/>
      <c r="H85" s="48" t="s">
        <v>72</v>
      </c>
      <c r="I85" s="135">
        <v>1</v>
      </c>
      <c r="J85" s="52"/>
      <c r="K85" s="52" t="s">
        <v>73</v>
      </c>
      <c r="L85" s="52" t="s">
        <v>74</v>
      </c>
      <c r="M85" s="53" t="s">
        <v>917</v>
      </c>
      <c r="N85" s="58" t="s">
        <v>73</v>
      </c>
      <c r="O85" s="48" t="s">
        <v>72</v>
      </c>
      <c r="P85" s="48" t="s">
        <v>73</v>
      </c>
      <c r="Q85" s="54" t="s">
        <v>73</v>
      </c>
      <c r="R85" s="55" t="s">
        <v>73</v>
      </c>
      <c r="S85" s="48" t="s">
        <v>73</v>
      </c>
      <c r="T85" s="121" t="str" cm="1">
        <f t="array" ref="T85">IF(ISNUMBER(SEARCH("SCHNEIDER",D85)),_xlfn.IFS(ISNUMBER(SEARCH("2 Querétaro",D85)),"SQ2",ISNUMBER(SEARCH("Xicohténcatl",D85)),"SXC",ISNUMBER(SEARCH("Rojo Gómez",D85)),"SRG",ISNUMBER(SEARCH("Tlaxcala",D85)),"STX",ISNUMBER(SEARCH("Monterrey",D85)),"SMY",ISNUMBER(SEARCH("Querétaro",D85)),"SQ1",ISNUMBER(SEARCH("CDMX",D85)),"SCM",TRUE,""),"")</f>
        <v/>
      </c>
      <c r="U85" s="48" t="str" cm="1">
        <f t="array" ref="U85">_xlfn.LET(_xlpm.resultados,_xlfn.UNIQUE(_xlfn._xlws.FILTER(Tabla1[Proceso],(Tabla1[Metal Base]=O85)*(Tabla1[Etiquetas]=_xlfn.TEXTJOIN(" + ",TRUE,IF((TRIM(Upload!P85:S85)="")+(LOWER(TRIM(Upload!P85:S85))="(seleccione)"),"",PROPER(TRIM(Upload!P85:S85)))))*(Tabla1[Línea2]=IFERROR(VLOOKUP(Upload!N85&amp;"*",CAT_Procesos!D:D,1,FALSE),"")))),_xlpm.cantidad,ROWS(_xlpm.resultados),IF(ISERROR(_xlpm.cantidad),"Combinación no existente",IF(_xlpm.cantidad=1,INDEX(_xlpm.resultados,1),"(seleccione)")))</f>
        <v>Combinación no existente</v>
      </c>
      <c r="V85" s="55" t="s">
        <v>73</v>
      </c>
      <c r="W85" s="56" t="s">
        <v>73</v>
      </c>
      <c r="X85" s="57" t="str">
        <f t="shared" si="4"/>
        <v/>
      </c>
      <c r="Y85" s="58" t="s">
        <v>73</v>
      </c>
      <c r="Z85" s="57" t="str">
        <f t="shared" si="5"/>
        <v/>
      </c>
      <c r="AA85" s="58" t="s">
        <v>73</v>
      </c>
      <c r="AB85" s="57" t="str">
        <f t="shared" si="6"/>
        <v/>
      </c>
      <c r="AC85" s="58" t="s">
        <v>73</v>
      </c>
      <c r="AD85" s="57" t="str">
        <f t="shared" si="7"/>
        <v/>
      </c>
      <c r="AE85" s="59"/>
      <c r="AF85" s="59"/>
      <c r="AG85" s="59"/>
      <c r="AH85" s="59"/>
      <c r="AI85" s="59" t="s">
        <v>73</v>
      </c>
      <c r="AJ85" s="59"/>
      <c r="AK85" s="59" t="s">
        <v>73</v>
      </c>
      <c r="AL85" s="59"/>
      <c r="AM85" s="59" t="s">
        <v>73</v>
      </c>
      <c r="AN85" s="59"/>
      <c r="AO85" s="59" t="s">
        <v>73</v>
      </c>
      <c r="AP85" s="59"/>
      <c r="AQ85" s="59" t="s">
        <v>73</v>
      </c>
      <c r="AR85" s="59"/>
      <c r="AS85" s="59" t="s">
        <v>72</v>
      </c>
      <c r="AT85" s="59"/>
      <c r="AU85" s="59"/>
      <c r="AV85" s="59"/>
      <c r="AW85" s="59"/>
      <c r="AX85" s="59"/>
      <c r="AY85" s="60" t="str">
        <f>IF('Cálculo MP'!K95="","",'Cálculo MP'!K95)</f>
        <v/>
      </c>
      <c r="AZ85" s="60" t="str">
        <f>IF('Cálculo MP'!L95="","",'Cálculo MP'!L95)</f>
        <v/>
      </c>
      <c r="BA85" s="60" t="str">
        <f>IF('Cálculo MP'!M95="","",'Cálculo MP'!M95)</f>
        <v/>
      </c>
      <c r="BB85" s="60" t="str">
        <f>IF('Cálculo MP'!N95="","",'Cálculo MP'!N95)</f>
        <v/>
      </c>
      <c r="BC85" s="60" t="str">
        <f>IF('Cálculo MP'!O95="","",'Cálculo MP'!O95)</f>
        <v/>
      </c>
      <c r="BD85" s="60" t="str">
        <f>IF('Cálculo MP'!P95="","",'Cálculo MP'!P95)</f>
        <v/>
      </c>
      <c r="BE85" s="60" t="str">
        <f>IF('Cálculo MP'!Q95="","",'Cálculo MP'!Q95)</f>
        <v/>
      </c>
      <c r="BF85" s="60" t="str">
        <f>IF('Cálculo MP'!R95="","",'Cálculo MP'!R95)</f>
        <v/>
      </c>
      <c r="BG85" s="60" t="str">
        <f>IF('Cálculo MP'!S95="","",'Cálculo MP'!S95)</f>
        <v/>
      </c>
      <c r="BH85" s="59"/>
      <c r="BI85" s="59"/>
      <c r="BJ85" s="59"/>
      <c r="BK85" s="59"/>
      <c r="BL85" s="59"/>
      <c r="BM85" s="59"/>
      <c r="BN85" s="59"/>
      <c r="BO85" s="59"/>
    </row>
    <row r="86" spans="1:67" ht="19.5" customHeight="1" x14ac:dyDescent="0.2">
      <c r="A86" s="114" t="s">
        <v>1789</v>
      </c>
      <c r="B86" s="113" t="s">
        <v>1787</v>
      </c>
      <c r="C86" s="122"/>
      <c r="D86" s="48" t="s">
        <v>73</v>
      </c>
      <c r="E86" s="49"/>
      <c r="F86" s="50"/>
      <c r="G86" s="62"/>
      <c r="H86" s="48" t="s">
        <v>72</v>
      </c>
      <c r="I86" s="135">
        <v>1</v>
      </c>
      <c r="J86" s="52"/>
      <c r="K86" s="52" t="s">
        <v>73</v>
      </c>
      <c r="L86" s="52" t="s">
        <v>74</v>
      </c>
      <c r="M86" s="53" t="s">
        <v>917</v>
      </c>
      <c r="N86" s="58" t="s">
        <v>73</v>
      </c>
      <c r="O86" s="48" t="s">
        <v>72</v>
      </c>
      <c r="P86" s="48" t="s">
        <v>73</v>
      </c>
      <c r="Q86" s="54" t="s">
        <v>73</v>
      </c>
      <c r="R86" s="55" t="s">
        <v>73</v>
      </c>
      <c r="S86" s="48" t="s">
        <v>73</v>
      </c>
      <c r="T86" s="121" t="str" cm="1">
        <f t="array" ref="T86">IF(ISNUMBER(SEARCH("SCHNEIDER",D86)),_xlfn.IFS(ISNUMBER(SEARCH("2 Querétaro",D86)),"SQ2",ISNUMBER(SEARCH("Xicohténcatl",D86)),"SXC",ISNUMBER(SEARCH("Rojo Gómez",D86)),"SRG",ISNUMBER(SEARCH("Tlaxcala",D86)),"STX",ISNUMBER(SEARCH("Monterrey",D86)),"SMY",ISNUMBER(SEARCH("Querétaro",D86)),"SQ1",ISNUMBER(SEARCH("CDMX",D86)),"SCM",TRUE,""),"")</f>
        <v/>
      </c>
      <c r="U86" s="48" t="str" cm="1">
        <f t="array" ref="U86">_xlfn.LET(_xlpm.resultados,_xlfn.UNIQUE(_xlfn._xlws.FILTER(Tabla1[Proceso],(Tabla1[Metal Base]=O86)*(Tabla1[Etiquetas]=_xlfn.TEXTJOIN(" + ",TRUE,IF((TRIM(Upload!P86:S86)="")+(LOWER(TRIM(Upload!P86:S86))="(seleccione)"),"",PROPER(TRIM(Upload!P86:S86)))))*(Tabla1[Línea2]=IFERROR(VLOOKUP(Upload!N86&amp;"*",CAT_Procesos!D:D,1,FALSE),"")))),_xlpm.cantidad,ROWS(_xlpm.resultados),IF(ISERROR(_xlpm.cantidad),"Combinación no existente",IF(_xlpm.cantidad=1,INDEX(_xlpm.resultados,1),"(seleccione)")))</f>
        <v>Combinación no existente</v>
      </c>
      <c r="V86" s="55" t="s">
        <v>73</v>
      </c>
      <c r="W86" s="56" t="s">
        <v>73</v>
      </c>
      <c r="X86" s="57" t="str">
        <f t="shared" si="4"/>
        <v/>
      </c>
      <c r="Y86" s="58" t="s">
        <v>73</v>
      </c>
      <c r="Z86" s="57" t="str">
        <f t="shared" si="5"/>
        <v/>
      </c>
      <c r="AA86" s="58" t="s">
        <v>73</v>
      </c>
      <c r="AB86" s="57" t="str">
        <f t="shared" si="6"/>
        <v/>
      </c>
      <c r="AC86" s="58" t="s">
        <v>73</v>
      </c>
      <c r="AD86" s="57" t="str">
        <f t="shared" si="7"/>
        <v/>
      </c>
      <c r="AE86" s="59"/>
      <c r="AF86" s="59"/>
      <c r="AG86" s="59"/>
      <c r="AH86" s="59"/>
      <c r="AI86" s="59" t="s">
        <v>73</v>
      </c>
      <c r="AJ86" s="59"/>
      <c r="AK86" s="59" t="s">
        <v>73</v>
      </c>
      <c r="AL86" s="59"/>
      <c r="AM86" s="59" t="s">
        <v>73</v>
      </c>
      <c r="AN86" s="59"/>
      <c r="AO86" s="59" t="s">
        <v>73</v>
      </c>
      <c r="AP86" s="59"/>
      <c r="AQ86" s="59" t="s">
        <v>73</v>
      </c>
      <c r="AR86" s="59"/>
      <c r="AS86" s="59" t="s">
        <v>72</v>
      </c>
      <c r="AT86" s="59"/>
      <c r="AU86" s="59"/>
      <c r="AV86" s="59"/>
      <c r="AW86" s="59"/>
      <c r="AX86" s="59"/>
      <c r="AY86" s="60" t="str">
        <f>IF('Cálculo MP'!K96="","",'Cálculo MP'!K96)</f>
        <v/>
      </c>
      <c r="AZ86" s="60" t="str">
        <f>IF('Cálculo MP'!L96="","",'Cálculo MP'!L96)</f>
        <v/>
      </c>
      <c r="BA86" s="60" t="str">
        <f>IF('Cálculo MP'!M96="","",'Cálculo MP'!M96)</f>
        <v/>
      </c>
      <c r="BB86" s="60" t="str">
        <f>IF('Cálculo MP'!N96="","",'Cálculo MP'!N96)</f>
        <v/>
      </c>
      <c r="BC86" s="60" t="str">
        <f>IF('Cálculo MP'!O96="","",'Cálculo MP'!O96)</f>
        <v/>
      </c>
      <c r="BD86" s="60" t="str">
        <f>IF('Cálculo MP'!P96="","",'Cálculo MP'!P96)</f>
        <v/>
      </c>
      <c r="BE86" s="60" t="str">
        <f>IF('Cálculo MP'!Q96="","",'Cálculo MP'!Q96)</f>
        <v/>
      </c>
      <c r="BF86" s="60" t="str">
        <f>IF('Cálculo MP'!R96="","",'Cálculo MP'!R96)</f>
        <v/>
      </c>
      <c r="BG86" s="60" t="str">
        <f>IF('Cálculo MP'!S96="","",'Cálculo MP'!S96)</f>
        <v/>
      </c>
      <c r="BH86" s="59"/>
      <c r="BI86" s="59"/>
      <c r="BJ86" s="59"/>
      <c r="BK86" s="59"/>
      <c r="BL86" s="59"/>
      <c r="BM86" s="59"/>
      <c r="BN86" s="59"/>
      <c r="BO86" s="59"/>
    </row>
    <row r="87" spans="1:67" ht="19.5" customHeight="1" x14ac:dyDescent="0.2">
      <c r="A87" s="114" t="s">
        <v>1789</v>
      </c>
      <c r="B87" s="113" t="s">
        <v>1787</v>
      </c>
      <c r="C87" s="122"/>
      <c r="D87" s="48" t="s">
        <v>73</v>
      </c>
      <c r="E87" s="49"/>
      <c r="F87" s="50"/>
      <c r="G87" s="62"/>
      <c r="H87" s="48" t="s">
        <v>72</v>
      </c>
      <c r="I87" s="135">
        <v>1</v>
      </c>
      <c r="J87" s="52"/>
      <c r="K87" s="52" t="s">
        <v>73</v>
      </c>
      <c r="L87" s="52" t="s">
        <v>74</v>
      </c>
      <c r="M87" s="53" t="s">
        <v>917</v>
      </c>
      <c r="N87" s="58" t="s">
        <v>73</v>
      </c>
      <c r="O87" s="48" t="s">
        <v>72</v>
      </c>
      <c r="P87" s="48" t="s">
        <v>73</v>
      </c>
      <c r="Q87" s="54" t="s">
        <v>73</v>
      </c>
      <c r="R87" s="55" t="s">
        <v>73</v>
      </c>
      <c r="S87" s="48" t="s">
        <v>73</v>
      </c>
      <c r="T87" s="121" t="str" cm="1">
        <f t="array" ref="T87">IF(ISNUMBER(SEARCH("SCHNEIDER",D87)),_xlfn.IFS(ISNUMBER(SEARCH("2 Querétaro",D87)),"SQ2",ISNUMBER(SEARCH("Xicohténcatl",D87)),"SXC",ISNUMBER(SEARCH("Rojo Gómez",D87)),"SRG",ISNUMBER(SEARCH("Tlaxcala",D87)),"STX",ISNUMBER(SEARCH("Monterrey",D87)),"SMY",ISNUMBER(SEARCH("Querétaro",D87)),"SQ1",ISNUMBER(SEARCH("CDMX",D87)),"SCM",TRUE,""),"")</f>
        <v/>
      </c>
      <c r="U87" s="48" t="str" cm="1">
        <f t="array" ref="U87">_xlfn.LET(_xlpm.resultados,_xlfn.UNIQUE(_xlfn._xlws.FILTER(Tabla1[Proceso],(Tabla1[Metal Base]=O87)*(Tabla1[Etiquetas]=_xlfn.TEXTJOIN(" + ",TRUE,IF((TRIM(Upload!P87:S87)="")+(LOWER(TRIM(Upload!P87:S87))="(seleccione)"),"",PROPER(TRIM(Upload!P87:S87)))))*(Tabla1[Línea2]=IFERROR(VLOOKUP(Upload!N87&amp;"*",CAT_Procesos!D:D,1,FALSE),"")))),_xlpm.cantidad,ROWS(_xlpm.resultados),IF(ISERROR(_xlpm.cantidad),"Combinación no existente",IF(_xlpm.cantidad=1,INDEX(_xlpm.resultados,1),"(seleccione)")))</f>
        <v>Combinación no existente</v>
      </c>
      <c r="V87" s="55" t="s">
        <v>73</v>
      </c>
      <c r="W87" s="56" t="s">
        <v>73</v>
      </c>
      <c r="X87" s="57" t="str">
        <f t="shared" si="4"/>
        <v/>
      </c>
      <c r="Y87" s="58" t="s">
        <v>73</v>
      </c>
      <c r="Z87" s="57" t="str">
        <f t="shared" si="5"/>
        <v/>
      </c>
      <c r="AA87" s="58" t="s">
        <v>73</v>
      </c>
      <c r="AB87" s="57" t="str">
        <f t="shared" si="6"/>
        <v/>
      </c>
      <c r="AC87" s="58" t="s">
        <v>73</v>
      </c>
      <c r="AD87" s="57" t="str">
        <f t="shared" si="7"/>
        <v/>
      </c>
      <c r="AE87" s="59"/>
      <c r="AF87" s="59"/>
      <c r="AG87" s="59"/>
      <c r="AH87" s="59"/>
      <c r="AI87" s="59" t="s">
        <v>73</v>
      </c>
      <c r="AJ87" s="59"/>
      <c r="AK87" s="59" t="s">
        <v>73</v>
      </c>
      <c r="AL87" s="59"/>
      <c r="AM87" s="59" t="s">
        <v>73</v>
      </c>
      <c r="AN87" s="59"/>
      <c r="AO87" s="59" t="s">
        <v>73</v>
      </c>
      <c r="AP87" s="59"/>
      <c r="AQ87" s="59" t="s">
        <v>73</v>
      </c>
      <c r="AR87" s="59"/>
      <c r="AS87" s="59" t="s">
        <v>72</v>
      </c>
      <c r="AT87" s="59"/>
      <c r="AU87" s="59"/>
      <c r="AV87" s="59"/>
      <c r="AW87" s="59"/>
      <c r="AX87" s="59"/>
      <c r="AY87" s="60" t="str">
        <f>IF('Cálculo MP'!K97="","",'Cálculo MP'!K97)</f>
        <v/>
      </c>
      <c r="AZ87" s="60" t="str">
        <f>IF('Cálculo MP'!L97="","",'Cálculo MP'!L97)</f>
        <v/>
      </c>
      <c r="BA87" s="60" t="str">
        <f>IF('Cálculo MP'!M97="","",'Cálculo MP'!M97)</f>
        <v/>
      </c>
      <c r="BB87" s="60" t="str">
        <f>IF('Cálculo MP'!N97="","",'Cálculo MP'!N97)</f>
        <v/>
      </c>
      <c r="BC87" s="60" t="str">
        <f>IF('Cálculo MP'!O97="","",'Cálculo MP'!O97)</f>
        <v/>
      </c>
      <c r="BD87" s="60" t="str">
        <f>IF('Cálculo MP'!P97="","",'Cálculo MP'!P97)</f>
        <v/>
      </c>
      <c r="BE87" s="60" t="str">
        <f>IF('Cálculo MP'!Q97="","",'Cálculo MP'!Q97)</f>
        <v/>
      </c>
      <c r="BF87" s="60" t="str">
        <f>IF('Cálculo MP'!R97="","",'Cálculo MP'!R97)</f>
        <v/>
      </c>
      <c r="BG87" s="60" t="str">
        <f>IF('Cálculo MP'!S97="","",'Cálculo MP'!S97)</f>
        <v/>
      </c>
      <c r="BH87" s="59"/>
      <c r="BI87" s="59"/>
      <c r="BJ87" s="59"/>
      <c r="BK87" s="59"/>
      <c r="BL87" s="59"/>
      <c r="BM87" s="59"/>
      <c r="BN87" s="59"/>
      <c r="BO87" s="59"/>
    </row>
    <row r="88" spans="1:67" ht="19.5" customHeight="1" x14ac:dyDescent="0.2">
      <c r="A88" s="114" t="s">
        <v>1789</v>
      </c>
      <c r="B88" s="113" t="s">
        <v>1787</v>
      </c>
      <c r="C88" s="122"/>
      <c r="D88" s="48" t="s">
        <v>73</v>
      </c>
      <c r="E88" s="49"/>
      <c r="F88" s="50"/>
      <c r="G88" s="62"/>
      <c r="H88" s="48" t="s">
        <v>72</v>
      </c>
      <c r="I88" s="135">
        <v>1</v>
      </c>
      <c r="J88" s="52"/>
      <c r="K88" s="52" t="s">
        <v>73</v>
      </c>
      <c r="L88" s="52" t="s">
        <v>74</v>
      </c>
      <c r="M88" s="53" t="s">
        <v>917</v>
      </c>
      <c r="N88" s="58" t="s">
        <v>73</v>
      </c>
      <c r="O88" s="48" t="s">
        <v>72</v>
      </c>
      <c r="P88" s="48" t="s">
        <v>73</v>
      </c>
      <c r="Q88" s="54" t="s">
        <v>73</v>
      </c>
      <c r="R88" s="55" t="s">
        <v>73</v>
      </c>
      <c r="S88" s="48" t="s">
        <v>73</v>
      </c>
      <c r="T88" s="121" t="str" cm="1">
        <f t="array" ref="T88">IF(ISNUMBER(SEARCH("SCHNEIDER",D88)),_xlfn.IFS(ISNUMBER(SEARCH("2 Querétaro",D88)),"SQ2",ISNUMBER(SEARCH("Xicohténcatl",D88)),"SXC",ISNUMBER(SEARCH("Rojo Gómez",D88)),"SRG",ISNUMBER(SEARCH("Tlaxcala",D88)),"STX",ISNUMBER(SEARCH("Monterrey",D88)),"SMY",ISNUMBER(SEARCH("Querétaro",D88)),"SQ1",ISNUMBER(SEARCH("CDMX",D88)),"SCM",TRUE,""),"")</f>
        <v/>
      </c>
      <c r="U88" s="48" t="str" cm="1">
        <f t="array" ref="U88">_xlfn.LET(_xlpm.resultados,_xlfn.UNIQUE(_xlfn._xlws.FILTER(Tabla1[Proceso],(Tabla1[Metal Base]=O88)*(Tabla1[Etiquetas]=_xlfn.TEXTJOIN(" + ",TRUE,IF((TRIM(Upload!P88:S88)="")+(LOWER(TRIM(Upload!P88:S88))="(seleccione)"),"",PROPER(TRIM(Upload!P88:S88)))))*(Tabla1[Línea2]=IFERROR(VLOOKUP(Upload!N88&amp;"*",CAT_Procesos!D:D,1,FALSE),"")))),_xlpm.cantidad,ROWS(_xlpm.resultados),IF(ISERROR(_xlpm.cantidad),"Combinación no existente",IF(_xlpm.cantidad=1,INDEX(_xlpm.resultados,1),"(seleccione)")))</f>
        <v>Combinación no existente</v>
      </c>
      <c r="V88" s="55" t="s">
        <v>73</v>
      </c>
      <c r="W88" s="56" t="s">
        <v>73</v>
      </c>
      <c r="X88" s="57" t="str">
        <f t="shared" si="4"/>
        <v/>
      </c>
      <c r="Y88" s="58" t="s">
        <v>73</v>
      </c>
      <c r="Z88" s="57" t="str">
        <f t="shared" si="5"/>
        <v/>
      </c>
      <c r="AA88" s="58" t="s">
        <v>73</v>
      </c>
      <c r="AB88" s="57" t="str">
        <f t="shared" si="6"/>
        <v/>
      </c>
      <c r="AC88" s="58" t="s">
        <v>73</v>
      </c>
      <c r="AD88" s="57" t="str">
        <f t="shared" si="7"/>
        <v/>
      </c>
      <c r="AE88" s="59"/>
      <c r="AF88" s="59"/>
      <c r="AG88" s="59"/>
      <c r="AH88" s="59"/>
      <c r="AI88" s="59" t="s">
        <v>73</v>
      </c>
      <c r="AJ88" s="59"/>
      <c r="AK88" s="59" t="s">
        <v>73</v>
      </c>
      <c r="AL88" s="59"/>
      <c r="AM88" s="59" t="s">
        <v>73</v>
      </c>
      <c r="AN88" s="59"/>
      <c r="AO88" s="59" t="s">
        <v>73</v>
      </c>
      <c r="AP88" s="59"/>
      <c r="AQ88" s="59" t="s">
        <v>73</v>
      </c>
      <c r="AR88" s="59"/>
      <c r="AS88" s="59" t="s">
        <v>72</v>
      </c>
      <c r="AT88" s="59"/>
      <c r="AU88" s="59"/>
      <c r="AV88" s="59"/>
      <c r="AW88" s="59"/>
      <c r="AX88" s="59"/>
      <c r="AY88" s="60" t="str">
        <f>IF('Cálculo MP'!K98="","",'Cálculo MP'!K98)</f>
        <v/>
      </c>
      <c r="AZ88" s="60" t="str">
        <f>IF('Cálculo MP'!L98="","",'Cálculo MP'!L98)</f>
        <v/>
      </c>
      <c r="BA88" s="60" t="str">
        <f>IF('Cálculo MP'!M98="","",'Cálculo MP'!M98)</f>
        <v/>
      </c>
      <c r="BB88" s="60" t="str">
        <f>IF('Cálculo MP'!N98="","",'Cálculo MP'!N98)</f>
        <v/>
      </c>
      <c r="BC88" s="60" t="str">
        <f>IF('Cálculo MP'!O98="","",'Cálculo MP'!O98)</f>
        <v/>
      </c>
      <c r="BD88" s="60" t="str">
        <f>IF('Cálculo MP'!P98="","",'Cálculo MP'!P98)</f>
        <v/>
      </c>
      <c r="BE88" s="60" t="str">
        <f>IF('Cálculo MP'!Q98="","",'Cálculo MP'!Q98)</f>
        <v/>
      </c>
      <c r="BF88" s="60" t="str">
        <f>IF('Cálculo MP'!R98="","",'Cálculo MP'!R98)</f>
        <v/>
      </c>
      <c r="BG88" s="60" t="str">
        <f>IF('Cálculo MP'!S98="","",'Cálculo MP'!S98)</f>
        <v/>
      </c>
      <c r="BH88" s="59"/>
      <c r="BI88" s="59"/>
      <c r="BJ88" s="59"/>
      <c r="BK88" s="59"/>
      <c r="BL88" s="59"/>
      <c r="BM88" s="59"/>
      <c r="BN88" s="59"/>
      <c r="BO88" s="59"/>
    </row>
    <row r="89" spans="1:67" ht="19.5" customHeight="1" x14ac:dyDescent="0.2">
      <c r="A89" s="114" t="s">
        <v>1789</v>
      </c>
      <c r="B89" s="113" t="s">
        <v>1787</v>
      </c>
      <c r="C89" s="122"/>
      <c r="D89" s="48" t="s">
        <v>73</v>
      </c>
      <c r="E89" s="49"/>
      <c r="F89" s="50"/>
      <c r="G89" s="62"/>
      <c r="H89" s="48" t="s">
        <v>72</v>
      </c>
      <c r="I89" s="135">
        <v>1</v>
      </c>
      <c r="J89" s="52"/>
      <c r="K89" s="52" t="s">
        <v>73</v>
      </c>
      <c r="L89" s="52" t="s">
        <v>74</v>
      </c>
      <c r="M89" s="53" t="s">
        <v>917</v>
      </c>
      <c r="N89" s="58" t="s">
        <v>73</v>
      </c>
      <c r="O89" s="48" t="s">
        <v>72</v>
      </c>
      <c r="P89" s="48" t="s">
        <v>73</v>
      </c>
      <c r="Q89" s="54" t="s">
        <v>73</v>
      </c>
      <c r="R89" s="55" t="s">
        <v>73</v>
      </c>
      <c r="S89" s="48" t="s">
        <v>73</v>
      </c>
      <c r="T89" s="121" t="str" cm="1">
        <f t="array" ref="T89">IF(ISNUMBER(SEARCH("SCHNEIDER",D89)),_xlfn.IFS(ISNUMBER(SEARCH("2 Querétaro",D89)),"SQ2",ISNUMBER(SEARCH("Xicohténcatl",D89)),"SXC",ISNUMBER(SEARCH("Rojo Gómez",D89)),"SRG",ISNUMBER(SEARCH("Tlaxcala",D89)),"STX",ISNUMBER(SEARCH("Monterrey",D89)),"SMY",ISNUMBER(SEARCH("Querétaro",D89)),"SQ1",ISNUMBER(SEARCH("CDMX",D89)),"SCM",TRUE,""),"")</f>
        <v/>
      </c>
      <c r="U89" s="48" t="str" cm="1">
        <f t="array" ref="U89">_xlfn.LET(_xlpm.resultados,_xlfn.UNIQUE(_xlfn._xlws.FILTER(Tabla1[Proceso],(Tabla1[Metal Base]=O89)*(Tabla1[Etiquetas]=_xlfn.TEXTJOIN(" + ",TRUE,IF((TRIM(Upload!P89:S89)="")+(LOWER(TRIM(Upload!P89:S89))="(seleccione)"),"",PROPER(TRIM(Upload!P89:S89)))))*(Tabla1[Línea2]=IFERROR(VLOOKUP(Upload!N89&amp;"*",CAT_Procesos!D:D,1,FALSE),"")))),_xlpm.cantidad,ROWS(_xlpm.resultados),IF(ISERROR(_xlpm.cantidad),"Combinación no existente",IF(_xlpm.cantidad=1,INDEX(_xlpm.resultados,1),"(seleccione)")))</f>
        <v>Combinación no existente</v>
      </c>
      <c r="V89" s="55" t="s">
        <v>73</v>
      </c>
      <c r="W89" s="56" t="s">
        <v>73</v>
      </c>
      <c r="X89" s="57" t="str">
        <f t="shared" si="4"/>
        <v/>
      </c>
      <c r="Y89" s="58" t="s">
        <v>73</v>
      </c>
      <c r="Z89" s="57" t="str">
        <f t="shared" si="5"/>
        <v/>
      </c>
      <c r="AA89" s="58" t="s">
        <v>73</v>
      </c>
      <c r="AB89" s="57" t="str">
        <f t="shared" si="6"/>
        <v/>
      </c>
      <c r="AC89" s="58" t="s">
        <v>73</v>
      </c>
      <c r="AD89" s="57" t="str">
        <f t="shared" si="7"/>
        <v/>
      </c>
      <c r="AE89" s="59"/>
      <c r="AF89" s="59"/>
      <c r="AG89" s="59"/>
      <c r="AH89" s="59"/>
      <c r="AI89" s="59" t="s">
        <v>73</v>
      </c>
      <c r="AJ89" s="59"/>
      <c r="AK89" s="59" t="s">
        <v>73</v>
      </c>
      <c r="AL89" s="59"/>
      <c r="AM89" s="59" t="s">
        <v>73</v>
      </c>
      <c r="AN89" s="59"/>
      <c r="AO89" s="59" t="s">
        <v>73</v>
      </c>
      <c r="AP89" s="59"/>
      <c r="AQ89" s="59" t="s">
        <v>73</v>
      </c>
      <c r="AR89" s="59"/>
      <c r="AS89" s="59" t="s">
        <v>72</v>
      </c>
      <c r="AT89" s="59"/>
      <c r="AU89" s="59"/>
      <c r="AV89" s="59"/>
      <c r="AW89" s="59"/>
      <c r="AX89" s="59"/>
      <c r="AY89" s="60" t="str">
        <f>IF('Cálculo MP'!K99="","",'Cálculo MP'!K99)</f>
        <v/>
      </c>
      <c r="AZ89" s="60" t="str">
        <f>IF('Cálculo MP'!L99="","",'Cálculo MP'!L99)</f>
        <v/>
      </c>
      <c r="BA89" s="60" t="str">
        <f>IF('Cálculo MP'!M99="","",'Cálculo MP'!M99)</f>
        <v/>
      </c>
      <c r="BB89" s="60" t="str">
        <f>IF('Cálculo MP'!N99="","",'Cálculo MP'!N99)</f>
        <v/>
      </c>
      <c r="BC89" s="60" t="str">
        <f>IF('Cálculo MP'!O99="","",'Cálculo MP'!O99)</f>
        <v/>
      </c>
      <c r="BD89" s="60" t="str">
        <f>IF('Cálculo MP'!P99="","",'Cálculo MP'!P99)</f>
        <v/>
      </c>
      <c r="BE89" s="60" t="str">
        <f>IF('Cálculo MP'!Q99="","",'Cálculo MP'!Q99)</f>
        <v/>
      </c>
      <c r="BF89" s="60" t="str">
        <f>IF('Cálculo MP'!R99="","",'Cálculo MP'!R99)</f>
        <v/>
      </c>
      <c r="BG89" s="60" t="str">
        <f>IF('Cálculo MP'!S99="","",'Cálculo MP'!S99)</f>
        <v/>
      </c>
      <c r="BH89" s="59"/>
      <c r="BI89" s="59"/>
      <c r="BJ89" s="59"/>
      <c r="BK89" s="59"/>
      <c r="BL89" s="59"/>
      <c r="BM89" s="59"/>
      <c r="BN89" s="59"/>
      <c r="BO89" s="59"/>
    </row>
    <row r="90" spans="1:67" ht="19.5" customHeight="1" x14ac:dyDescent="0.2">
      <c r="A90" s="114" t="s">
        <v>1789</v>
      </c>
      <c r="B90" s="113" t="s">
        <v>1787</v>
      </c>
      <c r="C90" s="122"/>
      <c r="D90" s="48" t="s">
        <v>73</v>
      </c>
      <c r="E90" s="49"/>
      <c r="F90" s="50"/>
      <c r="G90" s="62"/>
      <c r="H90" s="48" t="s">
        <v>72</v>
      </c>
      <c r="I90" s="135">
        <v>1</v>
      </c>
      <c r="J90" s="52"/>
      <c r="K90" s="52" t="s">
        <v>73</v>
      </c>
      <c r="L90" s="52" t="s">
        <v>74</v>
      </c>
      <c r="M90" s="53" t="s">
        <v>917</v>
      </c>
      <c r="N90" s="58" t="s">
        <v>73</v>
      </c>
      <c r="O90" s="48" t="s">
        <v>72</v>
      </c>
      <c r="P90" s="48" t="s">
        <v>73</v>
      </c>
      <c r="Q90" s="54" t="s">
        <v>73</v>
      </c>
      <c r="R90" s="55" t="s">
        <v>73</v>
      </c>
      <c r="S90" s="48" t="s">
        <v>73</v>
      </c>
      <c r="T90" s="121" t="str" cm="1">
        <f t="array" ref="T90">IF(ISNUMBER(SEARCH("SCHNEIDER",D90)),_xlfn.IFS(ISNUMBER(SEARCH("2 Querétaro",D90)),"SQ2",ISNUMBER(SEARCH("Xicohténcatl",D90)),"SXC",ISNUMBER(SEARCH("Rojo Gómez",D90)),"SRG",ISNUMBER(SEARCH("Tlaxcala",D90)),"STX",ISNUMBER(SEARCH("Monterrey",D90)),"SMY",ISNUMBER(SEARCH("Querétaro",D90)),"SQ1",ISNUMBER(SEARCH("CDMX",D90)),"SCM",TRUE,""),"")</f>
        <v/>
      </c>
      <c r="U90" s="48" t="str" cm="1">
        <f t="array" ref="U90">_xlfn.LET(_xlpm.resultados,_xlfn.UNIQUE(_xlfn._xlws.FILTER(Tabla1[Proceso],(Tabla1[Metal Base]=O90)*(Tabla1[Etiquetas]=_xlfn.TEXTJOIN(" + ",TRUE,IF((TRIM(Upload!P90:S90)="")+(LOWER(TRIM(Upload!P90:S90))="(seleccione)"),"",PROPER(TRIM(Upload!P90:S90)))))*(Tabla1[Línea2]=IFERROR(VLOOKUP(Upload!N90&amp;"*",CAT_Procesos!D:D,1,FALSE),"")))),_xlpm.cantidad,ROWS(_xlpm.resultados),IF(ISERROR(_xlpm.cantidad),"Combinación no existente",IF(_xlpm.cantidad=1,INDEX(_xlpm.resultados,1),"(seleccione)")))</f>
        <v>Combinación no existente</v>
      </c>
      <c r="V90" s="55" t="s">
        <v>73</v>
      </c>
      <c r="W90" s="56" t="s">
        <v>73</v>
      </c>
      <c r="X90" s="57" t="str">
        <f t="shared" si="4"/>
        <v/>
      </c>
      <c r="Y90" s="58" t="s">
        <v>73</v>
      </c>
      <c r="Z90" s="57" t="str">
        <f t="shared" si="5"/>
        <v/>
      </c>
      <c r="AA90" s="58" t="s">
        <v>73</v>
      </c>
      <c r="AB90" s="57" t="str">
        <f t="shared" si="6"/>
        <v/>
      </c>
      <c r="AC90" s="58" t="s">
        <v>73</v>
      </c>
      <c r="AD90" s="57" t="str">
        <f t="shared" si="7"/>
        <v/>
      </c>
      <c r="AE90" s="59"/>
      <c r="AF90" s="59"/>
      <c r="AG90" s="59"/>
      <c r="AH90" s="59"/>
      <c r="AI90" s="59" t="s">
        <v>73</v>
      </c>
      <c r="AJ90" s="59"/>
      <c r="AK90" s="59" t="s">
        <v>73</v>
      </c>
      <c r="AL90" s="59"/>
      <c r="AM90" s="59" t="s">
        <v>73</v>
      </c>
      <c r="AN90" s="59"/>
      <c r="AO90" s="59" t="s">
        <v>73</v>
      </c>
      <c r="AP90" s="59"/>
      <c r="AQ90" s="59" t="s">
        <v>73</v>
      </c>
      <c r="AR90" s="59"/>
      <c r="AS90" s="59" t="s">
        <v>72</v>
      </c>
      <c r="AT90" s="59"/>
      <c r="AU90" s="59"/>
      <c r="AV90" s="59"/>
      <c r="AW90" s="59"/>
      <c r="AX90" s="59"/>
      <c r="AY90" s="60" t="str">
        <f>IF('Cálculo MP'!K100="","",'Cálculo MP'!K100)</f>
        <v/>
      </c>
      <c r="AZ90" s="60" t="str">
        <f>IF('Cálculo MP'!L100="","",'Cálculo MP'!L100)</f>
        <v/>
      </c>
      <c r="BA90" s="60" t="str">
        <f>IF('Cálculo MP'!M100="","",'Cálculo MP'!M100)</f>
        <v/>
      </c>
      <c r="BB90" s="60" t="str">
        <f>IF('Cálculo MP'!N100="","",'Cálculo MP'!N100)</f>
        <v/>
      </c>
      <c r="BC90" s="60" t="str">
        <f>IF('Cálculo MP'!O100="","",'Cálculo MP'!O100)</f>
        <v/>
      </c>
      <c r="BD90" s="60" t="str">
        <f>IF('Cálculo MP'!P100="","",'Cálculo MP'!P100)</f>
        <v/>
      </c>
      <c r="BE90" s="60" t="str">
        <f>IF('Cálculo MP'!Q100="","",'Cálculo MP'!Q100)</f>
        <v/>
      </c>
      <c r="BF90" s="60" t="str">
        <f>IF('Cálculo MP'!R100="","",'Cálculo MP'!R100)</f>
        <v/>
      </c>
      <c r="BG90" s="60" t="str">
        <f>IF('Cálculo MP'!S100="","",'Cálculo MP'!S100)</f>
        <v/>
      </c>
      <c r="BH90" s="59"/>
      <c r="BI90" s="59"/>
      <c r="BJ90" s="59"/>
      <c r="BK90" s="59"/>
      <c r="BL90" s="59"/>
      <c r="BM90" s="59"/>
      <c r="BN90" s="59"/>
      <c r="BO90" s="59"/>
    </row>
    <row r="91" spans="1:67" ht="19.5" customHeight="1" x14ac:dyDescent="0.2">
      <c r="A91" s="114" t="s">
        <v>1789</v>
      </c>
      <c r="B91" s="113" t="s">
        <v>1787</v>
      </c>
      <c r="C91" s="122"/>
      <c r="D91" s="48" t="s">
        <v>73</v>
      </c>
      <c r="E91" s="49"/>
      <c r="F91" s="50"/>
      <c r="G91" s="62"/>
      <c r="H91" s="48" t="s">
        <v>72</v>
      </c>
      <c r="I91" s="135">
        <v>1</v>
      </c>
      <c r="J91" s="52"/>
      <c r="K91" s="52" t="s">
        <v>73</v>
      </c>
      <c r="L91" s="52" t="s">
        <v>74</v>
      </c>
      <c r="M91" s="53" t="s">
        <v>917</v>
      </c>
      <c r="N91" s="58" t="s">
        <v>73</v>
      </c>
      <c r="O91" s="48" t="s">
        <v>72</v>
      </c>
      <c r="P91" s="48" t="s">
        <v>73</v>
      </c>
      <c r="Q91" s="54" t="s">
        <v>73</v>
      </c>
      <c r="R91" s="55" t="s">
        <v>73</v>
      </c>
      <c r="S91" s="48" t="s">
        <v>73</v>
      </c>
      <c r="T91" s="121" t="str" cm="1">
        <f t="array" ref="T91">IF(ISNUMBER(SEARCH("SCHNEIDER",D91)),_xlfn.IFS(ISNUMBER(SEARCH("2 Querétaro",D91)),"SQ2",ISNUMBER(SEARCH("Xicohténcatl",D91)),"SXC",ISNUMBER(SEARCH("Rojo Gómez",D91)),"SRG",ISNUMBER(SEARCH("Tlaxcala",D91)),"STX",ISNUMBER(SEARCH("Monterrey",D91)),"SMY",ISNUMBER(SEARCH("Querétaro",D91)),"SQ1",ISNUMBER(SEARCH("CDMX",D91)),"SCM",TRUE,""),"")</f>
        <v/>
      </c>
      <c r="U91" s="48" t="str" cm="1">
        <f t="array" ref="U91">_xlfn.LET(_xlpm.resultados,_xlfn.UNIQUE(_xlfn._xlws.FILTER(Tabla1[Proceso],(Tabla1[Metal Base]=O91)*(Tabla1[Etiquetas]=_xlfn.TEXTJOIN(" + ",TRUE,IF((TRIM(Upload!P91:S91)="")+(LOWER(TRIM(Upload!P91:S91))="(seleccione)"),"",PROPER(TRIM(Upload!P91:S91)))))*(Tabla1[Línea2]=IFERROR(VLOOKUP(Upload!N91&amp;"*",CAT_Procesos!D:D,1,FALSE),"")))),_xlpm.cantidad,ROWS(_xlpm.resultados),IF(ISERROR(_xlpm.cantidad),"Combinación no existente",IF(_xlpm.cantidad=1,INDEX(_xlpm.resultados,1),"(seleccione)")))</f>
        <v>Combinación no existente</v>
      </c>
      <c r="V91" s="55" t="s">
        <v>73</v>
      </c>
      <c r="W91" s="56" t="s">
        <v>73</v>
      </c>
      <c r="X91" s="57" t="str">
        <f t="shared" si="4"/>
        <v/>
      </c>
      <c r="Y91" s="58" t="s">
        <v>73</v>
      </c>
      <c r="Z91" s="57" t="str">
        <f t="shared" si="5"/>
        <v/>
      </c>
      <c r="AA91" s="58" t="s">
        <v>73</v>
      </c>
      <c r="AB91" s="57" t="str">
        <f t="shared" si="6"/>
        <v/>
      </c>
      <c r="AC91" s="58" t="s">
        <v>73</v>
      </c>
      <c r="AD91" s="57" t="str">
        <f t="shared" si="7"/>
        <v/>
      </c>
      <c r="AE91" s="59"/>
      <c r="AF91" s="59"/>
      <c r="AG91" s="59"/>
      <c r="AH91" s="59"/>
      <c r="AI91" s="59" t="s">
        <v>73</v>
      </c>
      <c r="AJ91" s="59"/>
      <c r="AK91" s="59" t="s">
        <v>73</v>
      </c>
      <c r="AL91" s="59"/>
      <c r="AM91" s="59" t="s">
        <v>73</v>
      </c>
      <c r="AN91" s="59"/>
      <c r="AO91" s="59" t="s">
        <v>73</v>
      </c>
      <c r="AP91" s="59"/>
      <c r="AQ91" s="59" t="s">
        <v>73</v>
      </c>
      <c r="AR91" s="59"/>
      <c r="AS91" s="59" t="s">
        <v>72</v>
      </c>
      <c r="AT91" s="59"/>
      <c r="AU91" s="59"/>
      <c r="AV91" s="59"/>
      <c r="AW91" s="59"/>
      <c r="AX91" s="59"/>
      <c r="AY91" s="60" t="str">
        <f>IF('Cálculo MP'!K101="","",'Cálculo MP'!K101)</f>
        <v/>
      </c>
      <c r="AZ91" s="60" t="str">
        <f>IF('Cálculo MP'!L101="","",'Cálculo MP'!L101)</f>
        <v/>
      </c>
      <c r="BA91" s="60" t="str">
        <f>IF('Cálculo MP'!M101="","",'Cálculo MP'!M101)</f>
        <v/>
      </c>
      <c r="BB91" s="60" t="str">
        <f>IF('Cálculo MP'!N101="","",'Cálculo MP'!N101)</f>
        <v/>
      </c>
      <c r="BC91" s="60" t="str">
        <f>IF('Cálculo MP'!O101="","",'Cálculo MP'!O101)</f>
        <v/>
      </c>
      <c r="BD91" s="60" t="str">
        <f>IF('Cálculo MP'!P101="","",'Cálculo MP'!P101)</f>
        <v/>
      </c>
      <c r="BE91" s="60" t="str">
        <f>IF('Cálculo MP'!Q101="","",'Cálculo MP'!Q101)</f>
        <v/>
      </c>
      <c r="BF91" s="60" t="str">
        <f>IF('Cálculo MP'!R101="","",'Cálculo MP'!R101)</f>
        <v/>
      </c>
      <c r="BG91" s="60" t="str">
        <f>IF('Cálculo MP'!S101="","",'Cálculo MP'!S101)</f>
        <v/>
      </c>
      <c r="BH91" s="59"/>
      <c r="BI91" s="59"/>
      <c r="BJ91" s="59"/>
      <c r="BK91" s="59"/>
      <c r="BL91" s="59"/>
      <c r="BM91" s="59"/>
      <c r="BN91" s="59"/>
      <c r="BO91" s="59"/>
    </row>
    <row r="92" spans="1:67" ht="19.5" customHeight="1" x14ac:dyDescent="0.2">
      <c r="A92" s="114" t="s">
        <v>1789</v>
      </c>
      <c r="B92" s="113" t="s">
        <v>1787</v>
      </c>
      <c r="C92" s="122"/>
      <c r="D92" s="48" t="s">
        <v>73</v>
      </c>
      <c r="E92" s="49"/>
      <c r="F92" s="50"/>
      <c r="G92" s="62"/>
      <c r="H92" s="48" t="s">
        <v>72</v>
      </c>
      <c r="I92" s="52">
        <v>1</v>
      </c>
      <c r="J92" s="52"/>
      <c r="K92" s="52" t="s">
        <v>73</v>
      </c>
      <c r="L92" s="52" t="s">
        <v>74</v>
      </c>
      <c r="M92" s="53" t="s">
        <v>917</v>
      </c>
      <c r="N92" s="58" t="s">
        <v>73</v>
      </c>
      <c r="O92" s="48" t="s">
        <v>72</v>
      </c>
      <c r="P92" s="48" t="s">
        <v>73</v>
      </c>
      <c r="Q92" s="54" t="s">
        <v>73</v>
      </c>
      <c r="R92" s="55" t="s">
        <v>73</v>
      </c>
      <c r="S92" s="48" t="s">
        <v>73</v>
      </c>
      <c r="T92" s="121" t="str" cm="1">
        <f t="array" ref="T92">IF(ISNUMBER(SEARCH("SCHNEIDER",D92)),_xlfn.IFS(ISNUMBER(SEARCH("2 Querétaro",D92)),"SQ2",ISNUMBER(SEARCH("Xicohténcatl",D92)),"SXC",ISNUMBER(SEARCH("Rojo Gómez",D92)),"SRG",ISNUMBER(SEARCH("Tlaxcala",D92)),"STX",ISNUMBER(SEARCH("Monterrey",D92)),"SMY",ISNUMBER(SEARCH("Querétaro",D92)),"SQ1",ISNUMBER(SEARCH("CDMX",D92)),"SCM",TRUE,""),"")</f>
        <v/>
      </c>
      <c r="U92" s="48" t="str" cm="1">
        <f t="array" ref="U92">_xlfn.LET(_xlpm.resultados,_xlfn.UNIQUE(_xlfn._xlws.FILTER(Tabla1[Proceso],(Tabla1[Metal Base]=O92)*(Tabla1[Etiquetas]=_xlfn.TEXTJOIN(" + ",TRUE,IF((TRIM(Upload!P92:S92)="")+(LOWER(TRIM(Upload!P92:S92))="(seleccione)"),"",PROPER(TRIM(Upload!P92:S92)))))*(Tabla1[Línea2]=IFERROR(VLOOKUP(Upload!N92&amp;"*",CAT_Procesos!D:D,1,FALSE),"")))),_xlpm.cantidad,ROWS(_xlpm.resultados),IF(ISERROR(_xlpm.cantidad),"Combinación no existente",IF(_xlpm.cantidad=1,INDEX(_xlpm.resultados,1),"(seleccione)")))</f>
        <v>Combinación no existente</v>
      </c>
      <c r="V92" s="55" t="s">
        <v>73</v>
      </c>
      <c r="W92" s="56" t="s">
        <v>73</v>
      </c>
      <c r="X92" s="57" t="str">
        <f t="shared" si="4"/>
        <v/>
      </c>
      <c r="Y92" s="58" t="s">
        <v>73</v>
      </c>
      <c r="Z92" s="57" t="str">
        <f t="shared" si="5"/>
        <v/>
      </c>
      <c r="AA92" s="58" t="s">
        <v>73</v>
      </c>
      <c r="AB92" s="57" t="str">
        <f t="shared" si="6"/>
        <v/>
      </c>
      <c r="AC92" s="58" t="s">
        <v>73</v>
      </c>
      <c r="AD92" s="57" t="str">
        <f t="shared" si="7"/>
        <v/>
      </c>
      <c r="AE92" s="59"/>
      <c r="AF92" s="59"/>
      <c r="AG92" s="59"/>
      <c r="AH92" s="59"/>
      <c r="AI92" s="59" t="s">
        <v>73</v>
      </c>
      <c r="AJ92" s="59"/>
      <c r="AK92" s="59" t="s">
        <v>73</v>
      </c>
      <c r="AL92" s="59"/>
      <c r="AM92" s="59" t="s">
        <v>73</v>
      </c>
      <c r="AN92" s="59"/>
      <c r="AO92" s="59" t="s">
        <v>73</v>
      </c>
      <c r="AP92" s="59"/>
      <c r="AQ92" s="59" t="s">
        <v>73</v>
      </c>
      <c r="AR92" s="59"/>
      <c r="AS92" s="59" t="s">
        <v>72</v>
      </c>
      <c r="AT92" s="59"/>
      <c r="AU92" s="59"/>
      <c r="AV92" s="59"/>
      <c r="AW92" s="59"/>
      <c r="AX92" s="59"/>
      <c r="AY92" s="60" t="str">
        <f>IF('Cálculo MP'!K102="","",'Cálculo MP'!K102)</f>
        <v/>
      </c>
      <c r="AZ92" s="60" t="str">
        <f>IF('Cálculo MP'!L102="","",'Cálculo MP'!L102)</f>
        <v/>
      </c>
      <c r="BA92" s="60" t="str">
        <f>IF('Cálculo MP'!M102="","",'Cálculo MP'!M102)</f>
        <v/>
      </c>
      <c r="BB92" s="60" t="str">
        <f>IF('Cálculo MP'!N102="","",'Cálculo MP'!N102)</f>
        <v/>
      </c>
      <c r="BC92" s="60" t="str">
        <f>IF('Cálculo MP'!O102="","",'Cálculo MP'!O102)</f>
        <v/>
      </c>
      <c r="BD92" s="60" t="str">
        <f>IF('Cálculo MP'!P102="","",'Cálculo MP'!P102)</f>
        <v/>
      </c>
      <c r="BE92" s="60" t="str">
        <f>IF('Cálculo MP'!Q102="","",'Cálculo MP'!Q102)</f>
        <v/>
      </c>
      <c r="BF92" s="60" t="str">
        <f>IF('Cálculo MP'!R102="","",'Cálculo MP'!R102)</f>
        <v/>
      </c>
      <c r="BG92" s="60" t="str">
        <f>IF('Cálculo MP'!S102="","",'Cálculo MP'!S102)</f>
        <v/>
      </c>
      <c r="BH92" s="59"/>
      <c r="BI92" s="59"/>
      <c r="BJ92" s="59"/>
      <c r="BK92" s="59"/>
      <c r="BL92" s="59"/>
      <c r="BM92" s="59"/>
      <c r="BN92" s="59"/>
      <c r="BO92" s="59"/>
    </row>
    <row r="93" spans="1:67" ht="19.5" customHeight="1" x14ac:dyDescent="0.2">
      <c r="A93" s="114" t="s">
        <v>1789</v>
      </c>
      <c r="B93" s="113" t="s">
        <v>1787</v>
      </c>
      <c r="C93" s="122"/>
      <c r="D93" s="48" t="s">
        <v>73</v>
      </c>
      <c r="E93" s="49"/>
      <c r="F93" s="50"/>
      <c r="G93" s="62"/>
      <c r="H93" s="48" t="s">
        <v>72</v>
      </c>
      <c r="I93" s="52">
        <v>1</v>
      </c>
      <c r="J93" s="52"/>
      <c r="K93" s="52" t="s">
        <v>73</v>
      </c>
      <c r="L93" s="52" t="s">
        <v>74</v>
      </c>
      <c r="M93" s="53" t="s">
        <v>917</v>
      </c>
      <c r="N93" s="58" t="s">
        <v>73</v>
      </c>
      <c r="O93" s="48" t="s">
        <v>72</v>
      </c>
      <c r="P93" s="48" t="s">
        <v>73</v>
      </c>
      <c r="Q93" s="54" t="s">
        <v>73</v>
      </c>
      <c r="R93" s="55" t="s">
        <v>73</v>
      </c>
      <c r="S93" s="48" t="s">
        <v>73</v>
      </c>
      <c r="T93" s="121" t="str" cm="1">
        <f t="array" ref="T93">IF(ISNUMBER(SEARCH("SCHNEIDER",D93)),_xlfn.IFS(ISNUMBER(SEARCH("2 Querétaro",D93)),"SQ2",ISNUMBER(SEARCH("Xicohténcatl",D93)),"SXC",ISNUMBER(SEARCH("Rojo Gómez",D93)),"SRG",ISNUMBER(SEARCH("Tlaxcala",D93)),"STX",ISNUMBER(SEARCH("Monterrey",D93)),"SMY",ISNUMBER(SEARCH("Querétaro",D93)),"SQ1",ISNUMBER(SEARCH("CDMX",D93)),"SCM",TRUE,""),"")</f>
        <v/>
      </c>
      <c r="U93" s="48" t="str" cm="1">
        <f t="array" ref="U93">_xlfn.LET(_xlpm.resultados,_xlfn.UNIQUE(_xlfn._xlws.FILTER(Tabla1[Proceso],(Tabla1[Metal Base]=O93)*(Tabla1[Etiquetas]=_xlfn.TEXTJOIN(" + ",TRUE,IF((TRIM(Upload!P93:S93)="")+(LOWER(TRIM(Upload!P93:S93))="(seleccione)"),"",PROPER(TRIM(Upload!P93:S93)))))*(Tabla1[Línea2]=IFERROR(VLOOKUP(Upload!N93&amp;"*",CAT_Procesos!D:D,1,FALSE),"")))),_xlpm.cantidad,ROWS(_xlpm.resultados),IF(ISERROR(_xlpm.cantidad),"Combinación no existente",IF(_xlpm.cantidad=1,INDEX(_xlpm.resultados,1),"(seleccione)")))</f>
        <v>Combinación no existente</v>
      </c>
      <c r="V93" s="55" t="s">
        <v>73</v>
      </c>
      <c r="W93" s="56" t="s">
        <v>73</v>
      </c>
      <c r="X93" s="57" t="str">
        <f t="shared" si="4"/>
        <v/>
      </c>
      <c r="Y93" s="58" t="s">
        <v>73</v>
      </c>
      <c r="Z93" s="57" t="str">
        <f t="shared" si="5"/>
        <v/>
      </c>
      <c r="AA93" s="58" t="s">
        <v>73</v>
      </c>
      <c r="AB93" s="57" t="str">
        <f t="shared" si="6"/>
        <v/>
      </c>
      <c r="AC93" s="58" t="s">
        <v>73</v>
      </c>
      <c r="AD93" s="57" t="str">
        <f t="shared" si="7"/>
        <v/>
      </c>
      <c r="AE93" s="59"/>
      <c r="AF93" s="59"/>
      <c r="AG93" s="59"/>
      <c r="AH93" s="59"/>
      <c r="AI93" s="59" t="s">
        <v>73</v>
      </c>
      <c r="AJ93" s="59"/>
      <c r="AK93" s="59" t="s">
        <v>73</v>
      </c>
      <c r="AL93" s="59"/>
      <c r="AM93" s="59" t="s">
        <v>73</v>
      </c>
      <c r="AN93" s="59"/>
      <c r="AO93" s="59" t="s">
        <v>73</v>
      </c>
      <c r="AP93" s="59"/>
      <c r="AQ93" s="59" t="s">
        <v>73</v>
      </c>
      <c r="AR93" s="59"/>
      <c r="AS93" s="59" t="s">
        <v>72</v>
      </c>
      <c r="AT93" s="59"/>
      <c r="AU93" s="59"/>
      <c r="AV93" s="59"/>
      <c r="AW93" s="59"/>
      <c r="AX93" s="59"/>
      <c r="AY93" s="60" t="str">
        <f>IF('Cálculo MP'!K103="","",'Cálculo MP'!K103)</f>
        <v/>
      </c>
      <c r="AZ93" s="60" t="str">
        <f>IF('Cálculo MP'!L103="","",'Cálculo MP'!L103)</f>
        <v/>
      </c>
      <c r="BA93" s="60" t="str">
        <f>IF('Cálculo MP'!M103="","",'Cálculo MP'!M103)</f>
        <v/>
      </c>
      <c r="BB93" s="60" t="str">
        <f>IF('Cálculo MP'!N103="","",'Cálculo MP'!N103)</f>
        <v/>
      </c>
      <c r="BC93" s="60" t="str">
        <f>IF('Cálculo MP'!O103="","",'Cálculo MP'!O103)</f>
        <v/>
      </c>
      <c r="BD93" s="60" t="str">
        <f>IF('Cálculo MP'!P103="","",'Cálculo MP'!P103)</f>
        <v/>
      </c>
      <c r="BE93" s="60" t="str">
        <f>IF('Cálculo MP'!Q103="","",'Cálculo MP'!Q103)</f>
        <v/>
      </c>
      <c r="BF93" s="60" t="str">
        <f>IF('Cálculo MP'!R103="","",'Cálculo MP'!R103)</f>
        <v/>
      </c>
      <c r="BG93" s="60" t="str">
        <f>IF('Cálculo MP'!S103="","",'Cálculo MP'!S103)</f>
        <v/>
      </c>
      <c r="BH93" s="59"/>
      <c r="BI93" s="59"/>
      <c r="BJ93" s="59"/>
      <c r="BK93" s="59"/>
      <c r="BL93" s="59"/>
      <c r="BM93" s="59"/>
      <c r="BN93" s="59"/>
      <c r="BO93" s="59"/>
    </row>
    <row r="94" spans="1:67" ht="19.5" customHeight="1" x14ac:dyDescent="0.2">
      <c r="A94" s="114" t="s">
        <v>1789</v>
      </c>
      <c r="B94" s="113" t="s">
        <v>1787</v>
      </c>
      <c r="C94" s="122"/>
      <c r="D94" s="48" t="s">
        <v>73</v>
      </c>
      <c r="E94" s="49"/>
      <c r="F94" s="50"/>
      <c r="G94" s="62"/>
      <c r="H94" s="48" t="s">
        <v>72</v>
      </c>
      <c r="I94" s="52">
        <v>1</v>
      </c>
      <c r="J94" s="52"/>
      <c r="K94" s="52" t="s">
        <v>73</v>
      </c>
      <c r="L94" s="52" t="s">
        <v>74</v>
      </c>
      <c r="M94" s="53" t="s">
        <v>917</v>
      </c>
      <c r="N94" s="58" t="s">
        <v>73</v>
      </c>
      <c r="O94" s="48" t="s">
        <v>72</v>
      </c>
      <c r="P94" s="48" t="s">
        <v>73</v>
      </c>
      <c r="Q94" s="54" t="s">
        <v>73</v>
      </c>
      <c r="R94" s="55" t="s">
        <v>73</v>
      </c>
      <c r="S94" s="48" t="s">
        <v>73</v>
      </c>
      <c r="T94" s="121" t="str" cm="1">
        <f t="array" ref="T94">IF(ISNUMBER(SEARCH("SCHNEIDER",D94)),_xlfn.IFS(ISNUMBER(SEARCH("2 Querétaro",D94)),"SQ2",ISNUMBER(SEARCH("Xicohténcatl",D94)),"SXC",ISNUMBER(SEARCH("Rojo Gómez",D94)),"SRG",ISNUMBER(SEARCH("Tlaxcala",D94)),"STX",ISNUMBER(SEARCH("Monterrey",D94)),"SMY",ISNUMBER(SEARCH("Querétaro",D94)),"SQ1",ISNUMBER(SEARCH("CDMX",D94)),"SCM",TRUE,""),"")</f>
        <v/>
      </c>
      <c r="U94" s="48" t="str" cm="1">
        <f t="array" ref="U94">_xlfn.LET(_xlpm.resultados,_xlfn.UNIQUE(_xlfn._xlws.FILTER(Tabla1[Proceso],(Tabla1[Metal Base]=O94)*(Tabla1[Etiquetas]=_xlfn.TEXTJOIN(" + ",TRUE,IF((TRIM(Upload!P94:S94)="")+(LOWER(TRIM(Upload!P94:S94))="(seleccione)"),"",PROPER(TRIM(Upload!P94:S94)))))*(Tabla1[Línea2]=IFERROR(VLOOKUP(Upload!N94&amp;"*",CAT_Procesos!D:D,1,FALSE),"")))),_xlpm.cantidad,ROWS(_xlpm.resultados),IF(ISERROR(_xlpm.cantidad),"Combinación no existente",IF(_xlpm.cantidad=1,INDEX(_xlpm.resultados,1),"(seleccione)")))</f>
        <v>Combinación no existente</v>
      </c>
      <c r="V94" s="55" t="s">
        <v>73</v>
      </c>
      <c r="W94" s="56" t="s">
        <v>73</v>
      </c>
      <c r="X94" s="57" t="str">
        <f t="shared" si="4"/>
        <v/>
      </c>
      <c r="Y94" s="58" t="s">
        <v>73</v>
      </c>
      <c r="Z94" s="57" t="str">
        <f t="shared" si="5"/>
        <v/>
      </c>
      <c r="AA94" s="58" t="s">
        <v>73</v>
      </c>
      <c r="AB94" s="57" t="str">
        <f t="shared" si="6"/>
        <v/>
      </c>
      <c r="AC94" s="58" t="s">
        <v>73</v>
      </c>
      <c r="AD94" s="57" t="str">
        <f t="shared" si="7"/>
        <v/>
      </c>
      <c r="AE94" s="59"/>
      <c r="AF94" s="59"/>
      <c r="AG94" s="59"/>
      <c r="AH94" s="59"/>
      <c r="AI94" s="59" t="s">
        <v>73</v>
      </c>
      <c r="AJ94" s="59"/>
      <c r="AK94" s="59" t="s">
        <v>73</v>
      </c>
      <c r="AL94" s="59"/>
      <c r="AM94" s="59" t="s">
        <v>73</v>
      </c>
      <c r="AN94" s="59"/>
      <c r="AO94" s="59" t="s">
        <v>73</v>
      </c>
      <c r="AP94" s="59"/>
      <c r="AQ94" s="59" t="s">
        <v>73</v>
      </c>
      <c r="AR94" s="59"/>
      <c r="AS94" s="59" t="s">
        <v>72</v>
      </c>
      <c r="AT94" s="59"/>
      <c r="AU94" s="59"/>
      <c r="AV94" s="59"/>
      <c r="AW94" s="59"/>
      <c r="AX94" s="59"/>
      <c r="AY94" s="60" t="str">
        <f>IF('Cálculo MP'!K104="","",'Cálculo MP'!K104)</f>
        <v/>
      </c>
      <c r="AZ94" s="60" t="str">
        <f>IF('Cálculo MP'!L104="","",'Cálculo MP'!L104)</f>
        <v/>
      </c>
      <c r="BA94" s="60" t="str">
        <f>IF('Cálculo MP'!M104="","",'Cálculo MP'!M104)</f>
        <v/>
      </c>
      <c r="BB94" s="60" t="str">
        <f>IF('Cálculo MP'!N104="","",'Cálculo MP'!N104)</f>
        <v/>
      </c>
      <c r="BC94" s="60" t="str">
        <f>IF('Cálculo MP'!O104="","",'Cálculo MP'!O104)</f>
        <v/>
      </c>
      <c r="BD94" s="60" t="str">
        <f>IF('Cálculo MP'!P104="","",'Cálculo MP'!P104)</f>
        <v/>
      </c>
      <c r="BE94" s="60" t="str">
        <f>IF('Cálculo MP'!Q104="","",'Cálculo MP'!Q104)</f>
        <v/>
      </c>
      <c r="BF94" s="60" t="str">
        <f>IF('Cálculo MP'!R104="","",'Cálculo MP'!R104)</f>
        <v/>
      </c>
      <c r="BG94" s="60" t="str">
        <f>IF('Cálculo MP'!S104="","",'Cálculo MP'!S104)</f>
        <v/>
      </c>
      <c r="BH94" s="59"/>
      <c r="BI94" s="59"/>
      <c r="BJ94" s="59"/>
      <c r="BK94" s="59"/>
      <c r="BL94" s="59"/>
      <c r="BM94" s="59"/>
      <c r="BN94" s="59"/>
      <c r="BO94" s="59"/>
    </row>
    <row r="95" spans="1:67" ht="19.5" customHeight="1" x14ac:dyDescent="0.2">
      <c r="A95" s="114" t="s">
        <v>1789</v>
      </c>
      <c r="B95" s="113" t="s">
        <v>1787</v>
      </c>
      <c r="C95" s="122"/>
      <c r="D95" s="48" t="s">
        <v>73</v>
      </c>
      <c r="E95" s="49"/>
      <c r="F95" s="50"/>
      <c r="G95" s="62"/>
      <c r="H95" s="48" t="s">
        <v>72</v>
      </c>
      <c r="I95" s="52">
        <v>1</v>
      </c>
      <c r="J95" s="52"/>
      <c r="K95" s="52" t="s">
        <v>73</v>
      </c>
      <c r="L95" s="52" t="s">
        <v>74</v>
      </c>
      <c r="M95" s="53" t="s">
        <v>917</v>
      </c>
      <c r="N95" s="58" t="s">
        <v>73</v>
      </c>
      <c r="O95" s="48" t="s">
        <v>72</v>
      </c>
      <c r="P95" s="48" t="s">
        <v>73</v>
      </c>
      <c r="Q95" s="54" t="s">
        <v>73</v>
      </c>
      <c r="R95" s="55" t="s">
        <v>73</v>
      </c>
      <c r="S95" s="48" t="s">
        <v>73</v>
      </c>
      <c r="T95" s="121" t="str" cm="1">
        <f t="array" ref="T95">IF(ISNUMBER(SEARCH("SCHNEIDER",D95)),_xlfn.IFS(ISNUMBER(SEARCH("2 Querétaro",D95)),"SQ2",ISNUMBER(SEARCH("Xicohténcatl",D95)),"SXC",ISNUMBER(SEARCH("Rojo Gómez",D95)),"SRG",ISNUMBER(SEARCH("Tlaxcala",D95)),"STX",ISNUMBER(SEARCH("Monterrey",D95)),"SMY",ISNUMBER(SEARCH("Querétaro",D95)),"SQ1",ISNUMBER(SEARCH("CDMX",D95)),"SCM",TRUE,""),"")</f>
        <v/>
      </c>
      <c r="U95" s="48" t="str" cm="1">
        <f t="array" ref="U95">_xlfn.LET(_xlpm.resultados,_xlfn.UNIQUE(_xlfn._xlws.FILTER(Tabla1[Proceso],(Tabla1[Metal Base]=O95)*(Tabla1[Etiquetas]=_xlfn.TEXTJOIN(" + ",TRUE,IF((TRIM(Upload!P95:S95)="")+(LOWER(TRIM(Upload!P95:S95))="(seleccione)"),"",PROPER(TRIM(Upload!P95:S95)))))*(Tabla1[Línea2]=IFERROR(VLOOKUP(Upload!N95&amp;"*",CAT_Procesos!D:D,1,FALSE),"")))),_xlpm.cantidad,ROWS(_xlpm.resultados),IF(ISERROR(_xlpm.cantidad),"Combinación no existente",IF(_xlpm.cantidad=1,INDEX(_xlpm.resultados,1),"(seleccione)")))</f>
        <v>Combinación no existente</v>
      </c>
      <c r="V95" s="55" t="s">
        <v>73</v>
      </c>
      <c r="W95" s="56" t="s">
        <v>73</v>
      </c>
      <c r="X95" s="57" t="str">
        <f t="shared" si="4"/>
        <v/>
      </c>
      <c r="Y95" s="58" t="s">
        <v>73</v>
      </c>
      <c r="Z95" s="57" t="str">
        <f t="shared" si="5"/>
        <v/>
      </c>
      <c r="AA95" s="58" t="s">
        <v>73</v>
      </c>
      <c r="AB95" s="57" t="str">
        <f t="shared" si="6"/>
        <v/>
      </c>
      <c r="AC95" s="58" t="s">
        <v>73</v>
      </c>
      <c r="AD95" s="57" t="str">
        <f t="shared" si="7"/>
        <v/>
      </c>
      <c r="AE95" s="59"/>
      <c r="AF95" s="59"/>
      <c r="AG95" s="59"/>
      <c r="AH95" s="59"/>
      <c r="AI95" s="59" t="s">
        <v>73</v>
      </c>
      <c r="AJ95" s="59"/>
      <c r="AK95" s="59" t="s">
        <v>73</v>
      </c>
      <c r="AL95" s="59"/>
      <c r="AM95" s="59" t="s">
        <v>73</v>
      </c>
      <c r="AN95" s="59"/>
      <c r="AO95" s="59" t="s">
        <v>73</v>
      </c>
      <c r="AP95" s="59"/>
      <c r="AQ95" s="59" t="s">
        <v>73</v>
      </c>
      <c r="AR95" s="59"/>
      <c r="AS95" s="59" t="s">
        <v>72</v>
      </c>
      <c r="AT95" s="59"/>
      <c r="AU95" s="59"/>
      <c r="AV95" s="59"/>
      <c r="AW95" s="59"/>
      <c r="AX95" s="59"/>
      <c r="AY95" s="60" t="str">
        <f>IF('Cálculo MP'!K105="","",'Cálculo MP'!K105)</f>
        <v/>
      </c>
      <c r="AZ95" s="60" t="str">
        <f>IF('Cálculo MP'!L105="","",'Cálculo MP'!L105)</f>
        <v/>
      </c>
      <c r="BA95" s="60" t="str">
        <f>IF('Cálculo MP'!M105="","",'Cálculo MP'!M105)</f>
        <v/>
      </c>
      <c r="BB95" s="60" t="str">
        <f>IF('Cálculo MP'!N105="","",'Cálculo MP'!N105)</f>
        <v/>
      </c>
      <c r="BC95" s="60" t="str">
        <f>IF('Cálculo MP'!O105="","",'Cálculo MP'!O105)</f>
        <v/>
      </c>
      <c r="BD95" s="60" t="str">
        <f>IF('Cálculo MP'!P105="","",'Cálculo MP'!P105)</f>
        <v/>
      </c>
      <c r="BE95" s="60" t="str">
        <f>IF('Cálculo MP'!Q105="","",'Cálculo MP'!Q105)</f>
        <v/>
      </c>
      <c r="BF95" s="60" t="str">
        <f>IF('Cálculo MP'!R105="","",'Cálculo MP'!R105)</f>
        <v/>
      </c>
      <c r="BG95" s="60" t="str">
        <f>IF('Cálculo MP'!S105="","",'Cálculo MP'!S105)</f>
        <v/>
      </c>
      <c r="BH95" s="59"/>
      <c r="BI95" s="59"/>
      <c r="BJ95" s="59"/>
      <c r="BK95" s="59"/>
      <c r="BL95" s="59"/>
      <c r="BM95" s="59"/>
      <c r="BN95" s="59"/>
      <c r="BO95" s="59"/>
    </row>
    <row r="96" spans="1:67" ht="19.5" customHeight="1" x14ac:dyDescent="0.2">
      <c r="A96" s="114" t="s">
        <v>1789</v>
      </c>
      <c r="B96" s="113" t="s">
        <v>1787</v>
      </c>
      <c r="C96" s="122"/>
      <c r="D96" s="48" t="s">
        <v>73</v>
      </c>
      <c r="E96" s="49"/>
      <c r="F96" s="50"/>
      <c r="G96" s="62"/>
      <c r="H96" s="48" t="s">
        <v>72</v>
      </c>
      <c r="I96" s="52">
        <v>1</v>
      </c>
      <c r="J96" s="52"/>
      <c r="K96" s="52" t="s">
        <v>73</v>
      </c>
      <c r="L96" s="52" t="s">
        <v>74</v>
      </c>
      <c r="M96" s="53" t="s">
        <v>917</v>
      </c>
      <c r="N96" s="58" t="s">
        <v>73</v>
      </c>
      <c r="O96" s="48" t="s">
        <v>72</v>
      </c>
      <c r="P96" s="48" t="s">
        <v>73</v>
      </c>
      <c r="Q96" s="54" t="s">
        <v>73</v>
      </c>
      <c r="R96" s="55" t="s">
        <v>73</v>
      </c>
      <c r="S96" s="48" t="s">
        <v>73</v>
      </c>
      <c r="T96" s="121" t="str" cm="1">
        <f t="array" ref="T96">IF(ISNUMBER(SEARCH("SCHNEIDER",D96)),_xlfn.IFS(ISNUMBER(SEARCH("2 Querétaro",D96)),"SQ2",ISNUMBER(SEARCH("Xicohténcatl",D96)),"SXC",ISNUMBER(SEARCH("Rojo Gómez",D96)),"SRG",ISNUMBER(SEARCH("Tlaxcala",D96)),"STX",ISNUMBER(SEARCH("Monterrey",D96)),"SMY",ISNUMBER(SEARCH("Querétaro",D96)),"SQ1",ISNUMBER(SEARCH("CDMX",D96)),"SCM",TRUE,""),"")</f>
        <v/>
      </c>
      <c r="U96" s="48" t="str" cm="1">
        <f t="array" ref="U96">_xlfn.LET(_xlpm.resultados,_xlfn.UNIQUE(_xlfn._xlws.FILTER(Tabla1[Proceso],(Tabla1[Metal Base]=O96)*(Tabla1[Etiquetas]=_xlfn.TEXTJOIN(" + ",TRUE,IF((TRIM(Upload!P96:S96)="")+(LOWER(TRIM(Upload!P96:S96))="(seleccione)"),"",PROPER(TRIM(Upload!P96:S96)))))*(Tabla1[Línea2]=IFERROR(VLOOKUP(Upload!N96&amp;"*",CAT_Procesos!D:D,1,FALSE),"")))),_xlpm.cantidad,ROWS(_xlpm.resultados),IF(ISERROR(_xlpm.cantidad),"Combinación no existente",IF(_xlpm.cantidad=1,INDEX(_xlpm.resultados,1),"(seleccione)")))</f>
        <v>Combinación no existente</v>
      </c>
      <c r="V96" s="55" t="s">
        <v>73</v>
      </c>
      <c r="W96" s="56" t="s">
        <v>73</v>
      </c>
      <c r="X96" s="57" t="str">
        <f t="shared" si="4"/>
        <v/>
      </c>
      <c r="Y96" s="58" t="s">
        <v>73</v>
      </c>
      <c r="Z96" s="57" t="str">
        <f t="shared" si="5"/>
        <v/>
      </c>
      <c r="AA96" s="58" t="s">
        <v>73</v>
      </c>
      <c r="AB96" s="57" t="str">
        <f t="shared" si="6"/>
        <v/>
      </c>
      <c r="AC96" s="58" t="s">
        <v>73</v>
      </c>
      <c r="AD96" s="57" t="str">
        <f t="shared" si="7"/>
        <v/>
      </c>
      <c r="AE96" s="59"/>
      <c r="AF96" s="59"/>
      <c r="AG96" s="59"/>
      <c r="AH96" s="59"/>
      <c r="AI96" s="59" t="s">
        <v>73</v>
      </c>
      <c r="AJ96" s="59"/>
      <c r="AK96" s="59" t="s">
        <v>73</v>
      </c>
      <c r="AL96" s="59"/>
      <c r="AM96" s="59" t="s">
        <v>73</v>
      </c>
      <c r="AN96" s="59"/>
      <c r="AO96" s="59" t="s">
        <v>73</v>
      </c>
      <c r="AP96" s="59"/>
      <c r="AQ96" s="59" t="s">
        <v>73</v>
      </c>
      <c r="AR96" s="59"/>
      <c r="AS96" s="59" t="s">
        <v>72</v>
      </c>
      <c r="AT96" s="59"/>
      <c r="AU96" s="59"/>
      <c r="AV96" s="59"/>
      <c r="AW96" s="59"/>
      <c r="AX96" s="59"/>
      <c r="AY96" s="60" t="str">
        <f>IF('Cálculo MP'!K106="","",'Cálculo MP'!K106)</f>
        <v/>
      </c>
      <c r="AZ96" s="60" t="str">
        <f>IF('Cálculo MP'!L106="","",'Cálculo MP'!L106)</f>
        <v/>
      </c>
      <c r="BA96" s="60" t="str">
        <f>IF('Cálculo MP'!M106="","",'Cálculo MP'!M106)</f>
        <v/>
      </c>
      <c r="BB96" s="60" t="str">
        <f>IF('Cálculo MP'!N106="","",'Cálculo MP'!N106)</f>
        <v/>
      </c>
      <c r="BC96" s="60" t="str">
        <f>IF('Cálculo MP'!O106="","",'Cálculo MP'!O106)</f>
        <v/>
      </c>
      <c r="BD96" s="60" t="str">
        <f>IF('Cálculo MP'!P106="","",'Cálculo MP'!P106)</f>
        <v/>
      </c>
      <c r="BE96" s="60" t="str">
        <f>IF('Cálculo MP'!Q106="","",'Cálculo MP'!Q106)</f>
        <v/>
      </c>
      <c r="BF96" s="60" t="str">
        <f>IF('Cálculo MP'!R106="","",'Cálculo MP'!R106)</f>
        <v/>
      </c>
      <c r="BG96" s="60" t="str">
        <f>IF('Cálculo MP'!S106="","",'Cálculo MP'!S106)</f>
        <v/>
      </c>
      <c r="BH96" s="59"/>
      <c r="BI96" s="59"/>
      <c r="BJ96" s="59"/>
      <c r="BK96" s="59"/>
      <c r="BL96" s="59"/>
      <c r="BM96" s="59"/>
      <c r="BN96" s="59"/>
      <c r="BO96" s="59"/>
    </row>
    <row r="97" spans="1:67" ht="19.5" customHeight="1" x14ac:dyDescent="0.2">
      <c r="A97" s="114" t="s">
        <v>1789</v>
      </c>
      <c r="B97" s="113" t="s">
        <v>1787</v>
      </c>
      <c r="C97" s="122"/>
      <c r="D97" s="48" t="s">
        <v>73</v>
      </c>
      <c r="E97" s="49"/>
      <c r="F97" s="50"/>
      <c r="G97" s="62"/>
      <c r="H97" s="48" t="s">
        <v>72</v>
      </c>
      <c r="I97" s="52">
        <v>1</v>
      </c>
      <c r="J97" s="52"/>
      <c r="K97" s="52" t="s">
        <v>73</v>
      </c>
      <c r="L97" s="52" t="s">
        <v>74</v>
      </c>
      <c r="M97" s="53" t="s">
        <v>917</v>
      </c>
      <c r="N97" s="58" t="s">
        <v>73</v>
      </c>
      <c r="O97" s="48" t="s">
        <v>72</v>
      </c>
      <c r="P97" s="48" t="s">
        <v>73</v>
      </c>
      <c r="Q97" s="54" t="s">
        <v>73</v>
      </c>
      <c r="R97" s="55" t="s">
        <v>73</v>
      </c>
      <c r="S97" s="48" t="s">
        <v>73</v>
      </c>
      <c r="T97" s="121" t="str" cm="1">
        <f t="array" ref="T97">IF(ISNUMBER(SEARCH("SCHNEIDER",D97)),_xlfn.IFS(ISNUMBER(SEARCH("2 Querétaro",D97)),"SQ2",ISNUMBER(SEARCH("Xicohténcatl",D97)),"SXC",ISNUMBER(SEARCH("Rojo Gómez",D97)),"SRG",ISNUMBER(SEARCH("Tlaxcala",D97)),"STX",ISNUMBER(SEARCH("Monterrey",D97)),"SMY",ISNUMBER(SEARCH("Querétaro",D97)),"SQ1",ISNUMBER(SEARCH("CDMX",D97)),"SCM",TRUE,""),"")</f>
        <v/>
      </c>
      <c r="U97" s="48" t="str" cm="1">
        <f t="array" ref="U97">_xlfn.LET(_xlpm.resultados,_xlfn.UNIQUE(_xlfn._xlws.FILTER(Tabla1[Proceso],(Tabla1[Metal Base]=O97)*(Tabla1[Etiquetas]=_xlfn.TEXTJOIN(" + ",TRUE,IF((TRIM(Upload!P97:S97)="")+(LOWER(TRIM(Upload!P97:S97))="(seleccione)"),"",PROPER(TRIM(Upload!P97:S97)))))*(Tabla1[Línea2]=IFERROR(VLOOKUP(Upload!N97&amp;"*",CAT_Procesos!D:D,1,FALSE),"")))),_xlpm.cantidad,ROWS(_xlpm.resultados),IF(ISERROR(_xlpm.cantidad),"Combinación no existente",IF(_xlpm.cantidad=1,INDEX(_xlpm.resultados,1),"(seleccione)")))</f>
        <v>Combinación no existente</v>
      </c>
      <c r="V97" s="55" t="s">
        <v>73</v>
      </c>
      <c r="W97" s="56" t="s">
        <v>73</v>
      </c>
      <c r="X97" s="57" t="str">
        <f t="shared" si="4"/>
        <v/>
      </c>
      <c r="Y97" s="58" t="s">
        <v>73</v>
      </c>
      <c r="Z97" s="57" t="str">
        <f t="shared" si="5"/>
        <v/>
      </c>
      <c r="AA97" s="58" t="s">
        <v>73</v>
      </c>
      <c r="AB97" s="57" t="str">
        <f t="shared" si="6"/>
        <v/>
      </c>
      <c r="AC97" s="58" t="s">
        <v>73</v>
      </c>
      <c r="AD97" s="57" t="str">
        <f t="shared" si="7"/>
        <v/>
      </c>
      <c r="AE97" s="59"/>
      <c r="AF97" s="59"/>
      <c r="AG97" s="59"/>
      <c r="AH97" s="59"/>
      <c r="AI97" s="59" t="s">
        <v>73</v>
      </c>
      <c r="AJ97" s="59"/>
      <c r="AK97" s="59" t="s">
        <v>73</v>
      </c>
      <c r="AL97" s="59"/>
      <c r="AM97" s="59" t="s">
        <v>73</v>
      </c>
      <c r="AN97" s="59"/>
      <c r="AO97" s="59" t="s">
        <v>73</v>
      </c>
      <c r="AP97" s="59"/>
      <c r="AQ97" s="59" t="s">
        <v>73</v>
      </c>
      <c r="AR97" s="59"/>
      <c r="AS97" s="59" t="s">
        <v>72</v>
      </c>
      <c r="AT97" s="59"/>
      <c r="AU97" s="59"/>
      <c r="AV97" s="59"/>
      <c r="AW97" s="59"/>
      <c r="AX97" s="59"/>
      <c r="AY97" s="60" t="str">
        <f>IF('Cálculo MP'!K107="","",'Cálculo MP'!K107)</f>
        <v/>
      </c>
      <c r="AZ97" s="60" t="str">
        <f>IF('Cálculo MP'!L107="","",'Cálculo MP'!L107)</f>
        <v/>
      </c>
      <c r="BA97" s="60" t="str">
        <f>IF('Cálculo MP'!M107="","",'Cálculo MP'!M107)</f>
        <v/>
      </c>
      <c r="BB97" s="60" t="str">
        <f>IF('Cálculo MP'!N107="","",'Cálculo MP'!N107)</f>
        <v/>
      </c>
      <c r="BC97" s="60" t="str">
        <f>IF('Cálculo MP'!O107="","",'Cálculo MP'!O107)</f>
        <v/>
      </c>
      <c r="BD97" s="60" t="str">
        <f>IF('Cálculo MP'!P107="","",'Cálculo MP'!P107)</f>
        <v/>
      </c>
      <c r="BE97" s="60" t="str">
        <f>IF('Cálculo MP'!Q107="","",'Cálculo MP'!Q107)</f>
        <v/>
      </c>
      <c r="BF97" s="60" t="str">
        <f>IF('Cálculo MP'!R107="","",'Cálculo MP'!R107)</f>
        <v/>
      </c>
      <c r="BG97" s="60" t="str">
        <f>IF('Cálculo MP'!S107="","",'Cálculo MP'!S107)</f>
        <v/>
      </c>
      <c r="BH97" s="59"/>
      <c r="BI97" s="59"/>
      <c r="BJ97" s="59"/>
      <c r="BK97" s="59"/>
      <c r="BL97" s="59"/>
      <c r="BM97" s="59"/>
      <c r="BN97" s="59"/>
      <c r="BO97" s="59"/>
    </row>
    <row r="98" spans="1:67" ht="19.5" customHeight="1" x14ac:dyDescent="0.2">
      <c r="A98" s="114" t="s">
        <v>1789</v>
      </c>
      <c r="B98" s="113" t="s">
        <v>1787</v>
      </c>
      <c r="C98" s="122"/>
      <c r="D98" s="48" t="s">
        <v>73</v>
      </c>
      <c r="E98" s="49"/>
      <c r="F98" s="50"/>
      <c r="G98" s="62"/>
      <c r="H98" s="48" t="s">
        <v>72</v>
      </c>
      <c r="I98" s="52">
        <v>1</v>
      </c>
      <c r="J98" s="52"/>
      <c r="K98" s="52" t="s">
        <v>73</v>
      </c>
      <c r="L98" s="52" t="s">
        <v>74</v>
      </c>
      <c r="M98" s="53" t="s">
        <v>917</v>
      </c>
      <c r="N98" s="58" t="s">
        <v>73</v>
      </c>
      <c r="O98" s="48" t="s">
        <v>72</v>
      </c>
      <c r="P98" s="48" t="s">
        <v>73</v>
      </c>
      <c r="Q98" s="54" t="s">
        <v>73</v>
      </c>
      <c r="R98" s="55" t="s">
        <v>73</v>
      </c>
      <c r="S98" s="48" t="s">
        <v>73</v>
      </c>
      <c r="T98" s="121" t="str" cm="1">
        <f t="array" ref="T98">IF(ISNUMBER(SEARCH("SCHNEIDER",D98)),_xlfn.IFS(ISNUMBER(SEARCH("2 Querétaro",D98)),"SQ2",ISNUMBER(SEARCH("Xicohténcatl",D98)),"SXC",ISNUMBER(SEARCH("Rojo Gómez",D98)),"SRG",ISNUMBER(SEARCH("Tlaxcala",D98)),"STX",ISNUMBER(SEARCH("Monterrey",D98)),"SMY",ISNUMBER(SEARCH("Querétaro",D98)),"SQ1",ISNUMBER(SEARCH("CDMX",D98)),"SCM",TRUE,""),"")</f>
        <v/>
      </c>
      <c r="U98" s="48" t="str" cm="1">
        <f t="array" ref="U98">_xlfn.LET(_xlpm.resultados,_xlfn.UNIQUE(_xlfn._xlws.FILTER(Tabla1[Proceso],(Tabla1[Metal Base]=O98)*(Tabla1[Etiquetas]=_xlfn.TEXTJOIN(" + ",TRUE,IF((TRIM(Upload!P98:S98)="")+(LOWER(TRIM(Upload!P98:S98))="(seleccione)"),"",PROPER(TRIM(Upload!P98:S98)))))*(Tabla1[Línea2]=IFERROR(VLOOKUP(Upload!N98&amp;"*",CAT_Procesos!D:D,1,FALSE),"")))),_xlpm.cantidad,ROWS(_xlpm.resultados),IF(ISERROR(_xlpm.cantidad),"Combinación no existente",IF(_xlpm.cantidad=1,INDEX(_xlpm.resultados,1),"(seleccione)")))</f>
        <v>Combinación no existente</v>
      </c>
      <c r="V98" s="55" t="s">
        <v>73</v>
      </c>
      <c r="W98" s="56" t="s">
        <v>73</v>
      </c>
      <c r="X98" s="57" t="str">
        <f t="shared" si="4"/>
        <v/>
      </c>
      <c r="Y98" s="58" t="s">
        <v>73</v>
      </c>
      <c r="Z98" s="57" t="str">
        <f t="shared" si="5"/>
        <v/>
      </c>
      <c r="AA98" s="58" t="s">
        <v>73</v>
      </c>
      <c r="AB98" s="57" t="str">
        <f t="shared" si="6"/>
        <v/>
      </c>
      <c r="AC98" s="58" t="s">
        <v>73</v>
      </c>
      <c r="AD98" s="57" t="str">
        <f t="shared" si="7"/>
        <v/>
      </c>
      <c r="AE98" s="59"/>
      <c r="AF98" s="59"/>
      <c r="AG98" s="59"/>
      <c r="AH98" s="59"/>
      <c r="AI98" s="59" t="s">
        <v>73</v>
      </c>
      <c r="AJ98" s="59"/>
      <c r="AK98" s="59" t="s">
        <v>73</v>
      </c>
      <c r="AL98" s="59"/>
      <c r="AM98" s="59" t="s">
        <v>73</v>
      </c>
      <c r="AN98" s="59"/>
      <c r="AO98" s="59" t="s">
        <v>73</v>
      </c>
      <c r="AP98" s="59"/>
      <c r="AQ98" s="59" t="s">
        <v>73</v>
      </c>
      <c r="AR98" s="59"/>
      <c r="AS98" s="59" t="s">
        <v>72</v>
      </c>
      <c r="AT98" s="59"/>
      <c r="AU98" s="59"/>
      <c r="AV98" s="59"/>
      <c r="AW98" s="59"/>
      <c r="AX98" s="59"/>
      <c r="AY98" s="60" t="str">
        <f>IF('Cálculo MP'!K108="","",'Cálculo MP'!K108)</f>
        <v/>
      </c>
      <c r="AZ98" s="60" t="str">
        <f>IF('Cálculo MP'!L108="","",'Cálculo MP'!L108)</f>
        <v/>
      </c>
      <c r="BA98" s="60" t="str">
        <f>IF('Cálculo MP'!M108="","",'Cálculo MP'!M108)</f>
        <v/>
      </c>
      <c r="BB98" s="60" t="str">
        <f>IF('Cálculo MP'!N108="","",'Cálculo MP'!N108)</f>
        <v/>
      </c>
      <c r="BC98" s="60" t="str">
        <f>IF('Cálculo MP'!O108="","",'Cálculo MP'!O108)</f>
        <v/>
      </c>
      <c r="BD98" s="60" t="str">
        <f>IF('Cálculo MP'!P108="","",'Cálculo MP'!P108)</f>
        <v/>
      </c>
      <c r="BE98" s="60" t="str">
        <f>IF('Cálculo MP'!Q108="","",'Cálculo MP'!Q108)</f>
        <v/>
      </c>
      <c r="BF98" s="60" t="str">
        <f>IF('Cálculo MP'!R108="","",'Cálculo MP'!R108)</f>
        <v/>
      </c>
      <c r="BG98" s="60" t="str">
        <f>IF('Cálculo MP'!S108="","",'Cálculo MP'!S108)</f>
        <v/>
      </c>
      <c r="BH98" s="59"/>
      <c r="BI98" s="59"/>
      <c r="BJ98" s="59"/>
      <c r="BK98" s="59"/>
      <c r="BL98" s="59"/>
      <c r="BM98" s="59"/>
      <c r="BN98" s="59"/>
      <c r="BO98" s="59"/>
    </row>
    <row r="99" spans="1:67" ht="19.5" customHeight="1" x14ac:dyDescent="0.2">
      <c r="A99" s="114" t="s">
        <v>1789</v>
      </c>
      <c r="B99" s="113" t="s">
        <v>1787</v>
      </c>
      <c r="C99" s="122"/>
      <c r="D99" s="48" t="s">
        <v>73</v>
      </c>
      <c r="E99" s="49"/>
      <c r="F99" s="50"/>
      <c r="G99" s="62"/>
      <c r="H99" s="48" t="s">
        <v>72</v>
      </c>
      <c r="I99" s="52">
        <v>1</v>
      </c>
      <c r="J99" s="52"/>
      <c r="K99" s="52" t="s">
        <v>73</v>
      </c>
      <c r="L99" s="52" t="s">
        <v>74</v>
      </c>
      <c r="M99" s="53" t="s">
        <v>917</v>
      </c>
      <c r="N99" s="58" t="s">
        <v>73</v>
      </c>
      <c r="O99" s="48" t="s">
        <v>72</v>
      </c>
      <c r="P99" s="48" t="s">
        <v>73</v>
      </c>
      <c r="Q99" s="54" t="s">
        <v>73</v>
      </c>
      <c r="R99" s="55" t="s">
        <v>73</v>
      </c>
      <c r="S99" s="48" t="s">
        <v>73</v>
      </c>
      <c r="T99" s="121" t="str" cm="1">
        <f t="array" ref="T99">IF(ISNUMBER(SEARCH("SCHNEIDER",D99)),_xlfn.IFS(ISNUMBER(SEARCH("2 Querétaro",D99)),"SQ2",ISNUMBER(SEARCH("Xicohténcatl",D99)),"SXC",ISNUMBER(SEARCH("Rojo Gómez",D99)),"SRG",ISNUMBER(SEARCH("Tlaxcala",D99)),"STX",ISNUMBER(SEARCH("Monterrey",D99)),"SMY",ISNUMBER(SEARCH("Querétaro",D99)),"SQ1",ISNUMBER(SEARCH("CDMX",D99)),"SCM",TRUE,""),"")</f>
        <v/>
      </c>
      <c r="U99" s="48" t="str" cm="1">
        <f t="array" ref="U99">_xlfn.LET(_xlpm.resultados,_xlfn.UNIQUE(_xlfn._xlws.FILTER(Tabla1[Proceso],(Tabla1[Metal Base]=O99)*(Tabla1[Etiquetas]=_xlfn.TEXTJOIN(" + ",TRUE,IF((TRIM(Upload!P99:S99)="")+(LOWER(TRIM(Upload!P99:S99))="(seleccione)"),"",PROPER(TRIM(Upload!P99:S99)))))*(Tabla1[Línea2]=IFERROR(VLOOKUP(Upload!N99&amp;"*",CAT_Procesos!D:D,1,FALSE),"")))),_xlpm.cantidad,ROWS(_xlpm.resultados),IF(ISERROR(_xlpm.cantidad),"Combinación no existente",IF(_xlpm.cantidad=1,INDEX(_xlpm.resultados,1),"(seleccione)")))</f>
        <v>Combinación no existente</v>
      </c>
      <c r="V99" s="55" t="s">
        <v>73</v>
      </c>
      <c r="W99" s="56" t="s">
        <v>73</v>
      </c>
      <c r="X99" s="57" t="str">
        <f t="shared" si="4"/>
        <v/>
      </c>
      <c r="Y99" s="58" t="s">
        <v>73</v>
      </c>
      <c r="Z99" s="57" t="str">
        <f t="shared" si="5"/>
        <v/>
      </c>
      <c r="AA99" s="58" t="s">
        <v>73</v>
      </c>
      <c r="AB99" s="57" t="str">
        <f t="shared" si="6"/>
        <v/>
      </c>
      <c r="AC99" s="58" t="s">
        <v>73</v>
      </c>
      <c r="AD99" s="57" t="str">
        <f t="shared" si="7"/>
        <v/>
      </c>
      <c r="AE99" s="59"/>
      <c r="AF99" s="59"/>
      <c r="AG99" s="59"/>
      <c r="AH99" s="59"/>
      <c r="AI99" s="59" t="s">
        <v>73</v>
      </c>
      <c r="AJ99" s="59"/>
      <c r="AK99" s="59" t="s">
        <v>73</v>
      </c>
      <c r="AL99" s="59"/>
      <c r="AM99" s="59" t="s">
        <v>73</v>
      </c>
      <c r="AN99" s="59"/>
      <c r="AO99" s="59" t="s">
        <v>73</v>
      </c>
      <c r="AP99" s="59"/>
      <c r="AQ99" s="59" t="s">
        <v>73</v>
      </c>
      <c r="AR99" s="59"/>
      <c r="AS99" s="59" t="s">
        <v>72</v>
      </c>
      <c r="AT99" s="59"/>
      <c r="AU99" s="59"/>
      <c r="AV99" s="59"/>
      <c r="AW99" s="59"/>
      <c r="AX99" s="59"/>
      <c r="AY99" s="60" t="str">
        <f>IF('Cálculo MP'!K109="","",'Cálculo MP'!K109)</f>
        <v/>
      </c>
      <c r="AZ99" s="60" t="str">
        <f>IF('Cálculo MP'!L109="","",'Cálculo MP'!L109)</f>
        <v/>
      </c>
      <c r="BA99" s="60" t="str">
        <f>IF('Cálculo MP'!M109="","",'Cálculo MP'!M109)</f>
        <v/>
      </c>
      <c r="BB99" s="60" t="str">
        <f>IF('Cálculo MP'!N109="","",'Cálculo MP'!N109)</f>
        <v/>
      </c>
      <c r="BC99" s="60" t="str">
        <f>IF('Cálculo MP'!O109="","",'Cálculo MP'!O109)</f>
        <v/>
      </c>
      <c r="BD99" s="60" t="str">
        <f>IF('Cálculo MP'!P109="","",'Cálculo MP'!P109)</f>
        <v/>
      </c>
      <c r="BE99" s="60" t="str">
        <f>IF('Cálculo MP'!Q109="","",'Cálculo MP'!Q109)</f>
        <v/>
      </c>
      <c r="BF99" s="60" t="str">
        <f>IF('Cálculo MP'!R109="","",'Cálculo MP'!R109)</f>
        <v/>
      </c>
      <c r="BG99" s="60" t="str">
        <f>IF('Cálculo MP'!S109="","",'Cálculo MP'!S109)</f>
        <v/>
      </c>
      <c r="BH99" s="59"/>
      <c r="BI99" s="59"/>
      <c r="BJ99" s="59"/>
      <c r="BK99" s="59"/>
      <c r="BL99" s="59"/>
      <c r="BM99" s="59"/>
      <c r="BN99" s="59"/>
      <c r="BO99" s="59"/>
    </row>
    <row r="100" spans="1:67" ht="19.5" customHeight="1" x14ac:dyDescent="0.2">
      <c r="A100" s="114" t="s">
        <v>1789</v>
      </c>
      <c r="B100" s="113" t="s">
        <v>1787</v>
      </c>
      <c r="C100" s="122"/>
      <c r="D100" s="48" t="s">
        <v>73</v>
      </c>
      <c r="E100" s="49"/>
      <c r="F100" s="50"/>
      <c r="G100" s="62"/>
      <c r="H100" s="48" t="s">
        <v>72</v>
      </c>
      <c r="I100" s="52">
        <v>1</v>
      </c>
      <c r="J100" s="52"/>
      <c r="K100" s="52" t="s">
        <v>73</v>
      </c>
      <c r="L100" s="52" t="s">
        <v>74</v>
      </c>
      <c r="M100" s="53" t="s">
        <v>917</v>
      </c>
      <c r="N100" s="58" t="s">
        <v>73</v>
      </c>
      <c r="O100" s="48" t="s">
        <v>72</v>
      </c>
      <c r="P100" s="48" t="s">
        <v>73</v>
      </c>
      <c r="Q100" s="54" t="s">
        <v>73</v>
      </c>
      <c r="R100" s="55" t="s">
        <v>73</v>
      </c>
      <c r="S100" s="48" t="s">
        <v>73</v>
      </c>
      <c r="T100" s="121" t="str" cm="1">
        <f t="array" ref="T100">IF(ISNUMBER(SEARCH("SCHNEIDER",D100)),_xlfn.IFS(ISNUMBER(SEARCH("2 Querétaro",D100)),"SQ2",ISNUMBER(SEARCH("Xicohténcatl",D100)),"SXC",ISNUMBER(SEARCH("Rojo Gómez",D100)),"SRG",ISNUMBER(SEARCH("Tlaxcala",D100)),"STX",ISNUMBER(SEARCH("Monterrey",D100)),"SMY",ISNUMBER(SEARCH("Querétaro",D100)),"SQ1",ISNUMBER(SEARCH("CDMX",D100)),"SCM",TRUE,""),"")</f>
        <v/>
      </c>
      <c r="U100" s="48" t="str" cm="1">
        <f t="array" ref="U100">_xlfn.LET(_xlpm.resultados,_xlfn.UNIQUE(_xlfn._xlws.FILTER(Tabla1[Proceso],(Tabla1[Metal Base]=O100)*(Tabla1[Etiquetas]=_xlfn.TEXTJOIN(" + ",TRUE,IF((TRIM(Upload!P100:S100)="")+(LOWER(TRIM(Upload!P100:S100))="(seleccione)"),"",PROPER(TRIM(Upload!P100:S100)))))*(Tabla1[Línea2]=IFERROR(VLOOKUP(Upload!N100&amp;"*",CAT_Procesos!D:D,1,FALSE),"")))),_xlpm.cantidad,ROWS(_xlpm.resultados),IF(ISERROR(_xlpm.cantidad),"Combinación no existente",IF(_xlpm.cantidad=1,INDEX(_xlpm.resultados,1),"(seleccione)")))</f>
        <v>Combinación no existente</v>
      </c>
      <c r="V100" s="55" t="s">
        <v>73</v>
      </c>
      <c r="W100" s="56" t="s">
        <v>73</v>
      </c>
      <c r="X100" s="57" t="str">
        <f t="shared" si="4"/>
        <v/>
      </c>
      <c r="Y100" s="58" t="s">
        <v>73</v>
      </c>
      <c r="Z100" s="57" t="str">
        <f t="shared" si="5"/>
        <v/>
      </c>
      <c r="AA100" s="58" t="s">
        <v>73</v>
      </c>
      <c r="AB100" s="57" t="str">
        <f t="shared" si="6"/>
        <v/>
      </c>
      <c r="AC100" s="58" t="s">
        <v>73</v>
      </c>
      <c r="AD100" s="57" t="str">
        <f t="shared" si="7"/>
        <v/>
      </c>
      <c r="AE100" s="59"/>
      <c r="AF100" s="59"/>
      <c r="AG100" s="59"/>
      <c r="AH100" s="59"/>
      <c r="AI100" s="59" t="s">
        <v>73</v>
      </c>
      <c r="AJ100" s="59"/>
      <c r="AK100" s="59" t="s">
        <v>73</v>
      </c>
      <c r="AL100" s="59"/>
      <c r="AM100" s="59" t="s">
        <v>73</v>
      </c>
      <c r="AN100" s="59"/>
      <c r="AO100" s="59" t="s">
        <v>73</v>
      </c>
      <c r="AP100" s="59"/>
      <c r="AQ100" s="59" t="s">
        <v>73</v>
      </c>
      <c r="AR100" s="59"/>
      <c r="AS100" s="59" t="s">
        <v>72</v>
      </c>
      <c r="AT100" s="59"/>
      <c r="AU100" s="59"/>
      <c r="AV100" s="59"/>
      <c r="AW100" s="59"/>
      <c r="AX100" s="59"/>
      <c r="AY100" s="60" t="str">
        <f>IF('Cálculo MP'!K110="","",'Cálculo MP'!K110)</f>
        <v/>
      </c>
      <c r="AZ100" s="60" t="str">
        <f>IF('Cálculo MP'!L110="","",'Cálculo MP'!L110)</f>
        <v/>
      </c>
      <c r="BA100" s="60" t="str">
        <f>IF('Cálculo MP'!M110="","",'Cálculo MP'!M110)</f>
        <v/>
      </c>
      <c r="BB100" s="60" t="str">
        <f>IF('Cálculo MP'!N110="","",'Cálculo MP'!N110)</f>
        <v/>
      </c>
      <c r="BC100" s="60" t="str">
        <f>IF('Cálculo MP'!O110="","",'Cálculo MP'!O110)</f>
        <v/>
      </c>
      <c r="BD100" s="60" t="str">
        <f>IF('Cálculo MP'!P110="","",'Cálculo MP'!P110)</f>
        <v/>
      </c>
      <c r="BE100" s="60" t="str">
        <f>IF('Cálculo MP'!Q110="","",'Cálculo MP'!Q110)</f>
        <v/>
      </c>
      <c r="BF100" s="60" t="str">
        <f>IF('Cálculo MP'!R110="","",'Cálculo MP'!R110)</f>
        <v/>
      </c>
      <c r="BG100" s="60" t="str">
        <f>IF('Cálculo MP'!S110="","",'Cálculo MP'!S110)</f>
        <v/>
      </c>
      <c r="BH100" s="59"/>
      <c r="BI100" s="59"/>
      <c r="BJ100" s="59"/>
      <c r="BK100" s="59"/>
      <c r="BL100" s="59"/>
      <c r="BM100" s="59"/>
      <c r="BN100" s="59"/>
      <c r="BO100" s="59"/>
    </row>
    <row r="101" spans="1:67" ht="19.5" customHeight="1" x14ac:dyDescent="0.2">
      <c r="A101" s="114" t="s">
        <v>1789</v>
      </c>
      <c r="B101" s="113" t="s">
        <v>1787</v>
      </c>
      <c r="C101" s="122"/>
      <c r="D101" s="48" t="s">
        <v>73</v>
      </c>
      <c r="E101" s="49"/>
      <c r="F101" s="50"/>
      <c r="G101" s="62"/>
      <c r="H101" s="48" t="s">
        <v>72</v>
      </c>
      <c r="I101" s="52">
        <v>1</v>
      </c>
      <c r="J101" s="52"/>
      <c r="K101" s="52" t="s">
        <v>73</v>
      </c>
      <c r="L101" s="52" t="s">
        <v>74</v>
      </c>
      <c r="M101" s="53" t="s">
        <v>917</v>
      </c>
      <c r="N101" s="58" t="s">
        <v>73</v>
      </c>
      <c r="O101" s="48" t="s">
        <v>72</v>
      </c>
      <c r="P101" s="48" t="s">
        <v>73</v>
      </c>
      <c r="Q101" s="54" t="s">
        <v>73</v>
      </c>
      <c r="R101" s="55" t="s">
        <v>73</v>
      </c>
      <c r="S101" s="48" t="s">
        <v>73</v>
      </c>
      <c r="T101" s="121" t="str" cm="1">
        <f t="array" ref="T101">IF(ISNUMBER(SEARCH("SCHNEIDER",D101)),_xlfn.IFS(ISNUMBER(SEARCH("2 Querétaro",D101)),"SQ2",ISNUMBER(SEARCH("Xicohténcatl",D101)),"SXC",ISNUMBER(SEARCH("Rojo Gómez",D101)),"SRG",ISNUMBER(SEARCH("Tlaxcala",D101)),"STX",ISNUMBER(SEARCH("Monterrey",D101)),"SMY",ISNUMBER(SEARCH("Querétaro",D101)),"SQ1",ISNUMBER(SEARCH("CDMX",D101)),"SCM",TRUE,""),"")</f>
        <v/>
      </c>
      <c r="U101" s="48" t="str" cm="1">
        <f t="array" ref="U101">_xlfn.LET(_xlpm.resultados,_xlfn.UNIQUE(_xlfn._xlws.FILTER(Tabla1[Proceso],(Tabla1[Metal Base]=O101)*(Tabla1[Etiquetas]=_xlfn.TEXTJOIN(" + ",TRUE,IF((TRIM(Upload!P101:S101)="")+(LOWER(TRIM(Upload!P101:S101))="(seleccione)"),"",PROPER(TRIM(Upload!P101:S101)))))*(Tabla1[Línea2]=IFERROR(VLOOKUP(Upload!N101&amp;"*",CAT_Procesos!D:D,1,FALSE),"")))),_xlpm.cantidad,ROWS(_xlpm.resultados),IF(ISERROR(_xlpm.cantidad),"Combinación no existente",IF(_xlpm.cantidad=1,INDEX(_xlpm.resultados,1),"(seleccione)")))</f>
        <v>Combinación no existente</v>
      </c>
      <c r="V101" s="55" t="s">
        <v>73</v>
      </c>
      <c r="W101" s="56" t="s">
        <v>73</v>
      </c>
      <c r="X101" s="57" t="str">
        <f t="shared" si="4"/>
        <v/>
      </c>
      <c r="Y101" s="58" t="s">
        <v>73</v>
      </c>
      <c r="Z101" s="57" t="str">
        <f t="shared" si="5"/>
        <v/>
      </c>
      <c r="AA101" s="58" t="s">
        <v>73</v>
      </c>
      <c r="AB101" s="57" t="str">
        <f t="shared" si="6"/>
        <v/>
      </c>
      <c r="AC101" s="58" t="s">
        <v>73</v>
      </c>
      <c r="AD101" s="57" t="str">
        <f t="shared" si="7"/>
        <v/>
      </c>
      <c r="AE101" s="59"/>
      <c r="AF101" s="59"/>
      <c r="AG101" s="59"/>
      <c r="AH101" s="59"/>
      <c r="AI101" s="59" t="s">
        <v>73</v>
      </c>
      <c r="AJ101" s="59"/>
      <c r="AK101" s="59" t="s">
        <v>73</v>
      </c>
      <c r="AL101" s="59"/>
      <c r="AM101" s="59" t="s">
        <v>73</v>
      </c>
      <c r="AN101" s="59"/>
      <c r="AO101" s="59" t="s">
        <v>73</v>
      </c>
      <c r="AP101" s="59"/>
      <c r="AQ101" s="59" t="s">
        <v>73</v>
      </c>
      <c r="AR101" s="59"/>
      <c r="AS101" s="59" t="s">
        <v>72</v>
      </c>
      <c r="AT101" s="59"/>
      <c r="AU101" s="59"/>
      <c r="AV101" s="59"/>
      <c r="AW101" s="59"/>
      <c r="AX101" s="59"/>
      <c r="AY101" s="60" t="str">
        <f>IF('Cálculo MP'!K111="","",'Cálculo MP'!K111)</f>
        <v/>
      </c>
      <c r="AZ101" s="60" t="str">
        <f>IF('Cálculo MP'!L111="","",'Cálculo MP'!L111)</f>
        <v/>
      </c>
      <c r="BA101" s="60" t="str">
        <f>IF('Cálculo MP'!M111="","",'Cálculo MP'!M111)</f>
        <v/>
      </c>
      <c r="BB101" s="60" t="str">
        <f>IF('Cálculo MP'!N111="","",'Cálculo MP'!N111)</f>
        <v/>
      </c>
      <c r="BC101" s="60" t="str">
        <f>IF('Cálculo MP'!O111="","",'Cálculo MP'!O111)</f>
        <v/>
      </c>
      <c r="BD101" s="60" t="str">
        <f>IF('Cálculo MP'!P111="","",'Cálculo MP'!P111)</f>
        <v/>
      </c>
      <c r="BE101" s="60" t="str">
        <f>IF('Cálculo MP'!Q111="","",'Cálculo MP'!Q111)</f>
        <v/>
      </c>
      <c r="BF101" s="60" t="str">
        <f>IF('Cálculo MP'!R111="","",'Cálculo MP'!R111)</f>
        <v/>
      </c>
      <c r="BG101" s="60" t="str">
        <f>IF('Cálculo MP'!S111="","",'Cálculo MP'!S111)</f>
        <v/>
      </c>
      <c r="BH101" s="59"/>
      <c r="BI101" s="59"/>
      <c r="BJ101" s="59"/>
      <c r="BK101" s="59"/>
      <c r="BL101" s="59"/>
      <c r="BM101" s="59"/>
      <c r="BN101" s="59"/>
      <c r="BO101" s="59"/>
    </row>
    <row r="102" spans="1:67" ht="19.5" customHeight="1" x14ac:dyDescent="0.2">
      <c r="A102" s="114" t="s">
        <v>1789</v>
      </c>
      <c r="B102" s="113" t="s">
        <v>1787</v>
      </c>
      <c r="C102" s="122"/>
      <c r="D102" s="48" t="s">
        <v>73</v>
      </c>
      <c r="E102" s="49"/>
      <c r="F102" s="50"/>
      <c r="G102" s="62"/>
      <c r="H102" s="48" t="s">
        <v>72</v>
      </c>
      <c r="I102" s="52">
        <v>1</v>
      </c>
      <c r="J102" s="52"/>
      <c r="K102" s="52" t="s">
        <v>73</v>
      </c>
      <c r="L102" s="52" t="s">
        <v>74</v>
      </c>
      <c r="M102" s="53" t="s">
        <v>917</v>
      </c>
      <c r="N102" s="58" t="s">
        <v>73</v>
      </c>
      <c r="O102" s="48" t="s">
        <v>72</v>
      </c>
      <c r="P102" s="48" t="s">
        <v>73</v>
      </c>
      <c r="Q102" s="54" t="s">
        <v>73</v>
      </c>
      <c r="R102" s="55" t="s">
        <v>73</v>
      </c>
      <c r="S102" s="48" t="s">
        <v>73</v>
      </c>
      <c r="T102" s="121" t="str" cm="1">
        <f t="array" ref="T102">IF(ISNUMBER(SEARCH("SCHNEIDER",D102)),_xlfn.IFS(ISNUMBER(SEARCH("2 Querétaro",D102)),"SQ2",ISNUMBER(SEARCH("Xicohténcatl",D102)),"SXC",ISNUMBER(SEARCH("Rojo Gómez",D102)),"SRG",ISNUMBER(SEARCH("Tlaxcala",D102)),"STX",ISNUMBER(SEARCH("Monterrey",D102)),"SMY",ISNUMBER(SEARCH("Querétaro",D102)),"SQ1",ISNUMBER(SEARCH("CDMX",D102)),"SCM",TRUE,""),"")</f>
        <v/>
      </c>
      <c r="U102" s="48" t="str" cm="1">
        <f t="array" ref="U102">_xlfn.LET(_xlpm.resultados,_xlfn.UNIQUE(_xlfn._xlws.FILTER(Tabla1[Proceso],(Tabla1[Metal Base]=O102)*(Tabla1[Etiquetas]=_xlfn.TEXTJOIN(" + ",TRUE,IF((TRIM(Upload!P102:S102)="")+(LOWER(TRIM(Upload!P102:S102))="(seleccione)"),"",PROPER(TRIM(Upload!P102:S102)))))*(Tabla1[Línea2]=IFERROR(VLOOKUP(Upload!N102&amp;"*",CAT_Procesos!D:D,1,FALSE),"")))),_xlpm.cantidad,ROWS(_xlpm.resultados),IF(ISERROR(_xlpm.cantidad),"Combinación no existente",IF(_xlpm.cantidad=1,INDEX(_xlpm.resultados,1),"(seleccione)")))</f>
        <v>Combinación no existente</v>
      </c>
      <c r="V102" s="55" t="s">
        <v>73</v>
      </c>
      <c r="W102" s="56" t="s">
        <v>73</v>
      </c>
      <c r="X102" s="57" t="str">
        <f t="shared" si="4"/>
        <v/>
      </c>
      <c r="Y102" s="58" t="s">
        <v>73</v>
      </c>
      <c r="Z102" s="57" t="str">
        <f t="shared" si="5"/>
        <v/>
      </c>
      <c r="AA102" s="58" t="s">
        <v>73</v>
      </c>
      <c r="AB102" s="57" t="str">
        <f t="shared" si="6"/>
        <v/>
      </c>
      <c r="AC102" s="58" t="s">
        <v>73</v>
      </c>
      <c r="AD102" s="57" t="str">
        <f t="shared" si="7"/>
        <v/>
      </c>
      <c r="AE102" s="59"/>
      <c r="AF102" s="59"/>
      <c r="AG102" s="59"/>
      <c r="AH102" s="59"/>
      <c r="AI102" s="59" t="s">
        <v>73</v>
      </c>
      <c r="AJ102" s="59"/>
      <c r="AK102" s="59" t="s">
        <v>73</v>
      </c>
      <c r="AL102" s="59"/>
      <c r="AM102" s="59" t="s">
        <v>73</v>
      </c>
      <c r="AN102" s="59"/>
      <c r="AO102" s="59" t="s">
        <v>73</v>
      </c>
      <c r="AP102" s="59"/>
      <c r="AQ102" s="59" t="s">
        <v>73</v>
      </c>
      <c r="AR102" s="59"/>
      <c r="AS102" s="59" t="s">
        <v>72</v>
      </c>
      <c r="AT102" s="59"/>
      <c r="AU102" s="59"/>
      <c r="AV102" s="59"/>
      <c r="AW102" s="59"/>
      <c r="AX102" s="59"/>
      <c r="AY102" s="60" t="str">
        <f>IF('Cálculo MP'!K112="","",'Cálculo MP'!K112)</f>
        <v/>
      </c>
      <c r="AZ102" s="60" t="str">
        <f>IF('Cálculo MP'!L112="","",'Cálculo MP'!L112)</f>
        <v/>
      </c>
      <c r="BA102" s="60" t="str">
        <f>IF('Cálculo MP'!M112="","",'Cálculo MP'!M112)</f>
        <v/>
      </c>
      <c r="BB102" s="60" t="str">
        <f>IF('Cálculo MP'!N112="","",'Cálculo MP'!N112)</f>
        <v/>
      </c>
      <c r="BC102" s="60" t="str">
        <f>IF('Cálculo MP'!O112="","",'Cálculo MP'!O112)</f>
        <v/>
      </c>
      <c r="BD102" s="60" t="str">
        <f>IF('Cálculo MP'!P112="","",'Cálculo MP'!P112)</f>
        <v/>
      </c>
      <c r="BE102" s="60" t="str">
        <f>IF('Cálculo MP'!Q112="","",'Cálculo MP'!Q112)</f>
        <v/>
      </c>
      <c r="BF102" s="60" t="str">
        <f>IF('Cálculo MP'!R112="","",'Cálculo MP'!R112)</f>
        <v/>
      </c>
      <c r="BG102" s="60" t="str">
        <f>IF('Cálculo MP'!S112="","",'Cálculo MP'!S112)</f>
        <v/>
      </c>
      <c r="BH102" s="59"/>
      <c r="BI102" s="59"/>
      <c r="BJ102" s="59"/>
      <c r="BK102" s="59"/>
      <c r="BL102" s="59"/>
      <c r="BM102" s="59"/>
      <c r="BN102" s="59"/>
      <c r="BO102" s="59"/>
    </row>
    <row r="103" spans="1:67" ht="19.5" customHeight="1" x14ac:dyDescent="0.2">
      <c r="A103" s="114" t="s">
        <v>1789</v>
      </c>
      <c r="B103" s="113" t="s">
        <v>1787</v>
      </c>
      <c r="C103" s="122"/>
      <c r="D103" s="48" t="s">
        <v>73</v>
      </c>
      <c r="E103" s="49"/>
      <c r="F103" s="50"/>
      <c r="G103" s="62"/>
      <c r="H103" s="48" t="s">
        <v>72</v>
      </c>
      <c r="I103" s="52">
        <v>1</v>
      </c>
      <c r="J103" s="52"/>
      <c r="K103" s="52" t="s">
        <v>73</v>
      </c>
      <c r="L103" s="52" t="s">
        <v>74</v>
      </c>
      <c r="M103" s="53" t="s">
        <v>917</v>
      </c>
      <c r="N103" s="58" t="s">
        <v>73</v>
      </c>
      <c r="O103" s="48" t="s">
        <v>72</v>
      </c>
      <c r="P103" s="48" t="s">
        <v>73</v>
      </c>
      <c r="Q103" s="54" t="s">
        <v>73</v>
      </c>
      <c r="R103" s="55" t="s">
        <v>73</v>
      </c>
      <c r="S103" s="48" t="s">
        <v>73</v>
      </c>
      <c r="T103" s="121" t="str" cm="1">
        <f t="array" ref="T103">IF(ISNUMBER(SEARCH("SCHNEIDER",D103)),_xlfn.IFS(ISNUMBER(SEARCH("2 Querétaro",D103)),"SQ2",ISNUMBER(SEARCH("Xicohténcatl",D103)),"SXC",ISNUMBER(SEARCH("Rojo Gómez",D103)),"SRG",ISNUMBER(SEARCH("Tlaxcala",D103)),"STX",ISNUMBER(SEARCH("Monterrey",D103)),"SMY",ISNUMBER(SEARCH("Querétaro",D103)),"SQ1",ISNUMBER(SEARCH("CDMX",D103)),"SCM",TRUE,""),"")</f>
        <v/>
      </c>
      <c r="U103" s="48" t="str" cm="1">
        <f t="array" ref="U103">_xlfn.LET(_xlpm.resultados,_xlfn.UNIQUE(_xlfn._xlws.FILTER(Tabla1[Proceso],(Tabla1[Metal Base]=O103)*(Tabla1[Etiquetas]=_xlfn.TEXTJOIN(" + ",TRUE,IF((TRIM(Upload!P103:S103)="")+(LOWER(TRIM(Upload!P103:S103))="(seleccione)"),"",PROPER(TRIM(Upload!P103:S103)))))*(Tabla1[Línea2]=IFERROR(VLOOKUP(Upload!N103&amp;"*",CAT_Procesos!D:D,1,FALSE),"")))),_xlpm.cantidad,ROWS(_xlpm.resultados),IF(ISERROR(_xlpm.cantidad),"Combinación no existente",IF(_xlpm.cantidad=1,INDEX(_xlpm.resultados,1),"(seleccione)")))</f>
        <v>Combinación no existente</v>
      </c>
      <c r="V103" s="55" t="s">
        <v>73</v>
      </c>
      <c r="W103" s="56" t="s">
        <v>73</v>
      </c>
      <c r="X103" s="57" t="str">
        <f t="shared" si="4"/>
        <v/>
      </c>
      <c r="Y103" s="58" t="s">
        <v>73</v>
      </c>
      <c r="Z103" s="57" t="str">
        <f t="shared" si="5"/>
        <v/>
      </c>
      <c r="AA103" s="58" t="s">
        <v>73</v>
      </c>
      <c r="AB103" s="57" t="str">
        <f t="shared" si="6"/>
        <v/>
      </c>
      <c r="AC103" s="58" t="s">
        <v>73</v>
      </c>
      <c r="AD103" s="57" t="str">
        <f t="shared" si="7"/>
        <v/>
      </c>
      <c r="AE103" s="59"/>
      <c r="AF103" s="59"/>
      <c r="AG103" s="59"/>
      <c r="AH103" s="59"/>
      <c r="AI103" s="59" t="s">
        <v>73</v>
      </c>
      <c r="AJ103" s="59"/>
      <c r="AK103" s="59" t="s">
        <v>73</v>
      </c>
      <c r="AL103" s="59"/>
      <c r="AM103" s="59" t="s">
        <v>73</v>
      </c>
      <c r="AN103" s="59"/>
      <c r="AO103" s="59" t="s">
        <v>73</v>
      </c>
      <c r="AP103" s="59"/>
      <c r="AQ103" s="59" t="s">
        <v>73</v>
      </c>
      <c r="AR103" s="59"/>
      <c r="AS103" s="59" t="s">
        <v>72</v>
      </c>
      <c r="AT103" s="59"/>
      <c r="AU103" s="59"/>
      <c r="AV103" s="59"/>
      <c r="AW103" s="59"/>
      <c r="AX103" s="59"/>
      <c r="AY103" s="60" t="str">
        <f>IF('Cálculo MP'!K113="","",'Cálculo MP'!K113)</f>
        <v/>
      </c>
      <c r="AZ103" s="60" t="str">
        <f>IF('Cálculo MP'!L113="","",'Cálculo MP'!L113)</f>
        <v/>
      </c>
      <c r="BA103" s="60" t="str">
        <f>IF('Cálculo MP'!M113="","",'Cálculo MP'!M113)</f>
        <v/>
      </c>
      <c r="BB103" s="60" t="str">
        <f>IF('Cálculo MP'!N113="","",'Cálculo MP'!N113)</f>
        <v/>
      </c>
      <c r="BC103" s="60" t="str">
        <f>IF('Cálculo MP'!O113="","",'Cálculo MP'!O113)</f>
        <v/>
      </c>
      <c r="BD103" s="60" t="str">
        <f>IF('Cálculo MP'!P113="","",'Cálculo MP'!P113)</f>
        <v/>
      </c>
      <c r="BE103" s="60" t="str">
        <f>IF('Cálculo MP'!Q113="","",'Cálculo MP'!Q113)</f>
        <v/>
      </c>
      <c r="BF103" s="60" t="str">
        <f>IF('Cálculo MP'!R113="","",'Cálculo MP'!R113)</f>
        <v/>
      </c>
      <c r="BG103" s="60" t="str">
        <f>IF('Cálculo MP'!S113="","",'Cálculo MP'!S113)</f>
        <v/>
      </c>
      <c r="BH103" s="59"/>
      <c r="BI103" s="59"/>
      <c r="BJ103" s="59"/>
      <c r="BK103" s="59"/>
      <c r="BL103" s="59"/>
      <c r="BM103" s="59"/>
      <c r="BN103" s="59"/>
      <c r="BO103" s="59"/>
    </row>
    <row r="104" spans="1:67" ht="19.5" customHeight="1" x14ac:dyDescent="0.2">
      <c r="A104" s="114" t="s">
        <v>1789</v>
      </c>
      <c r="B104" s="113" t="s">
        <v>1787</v>
      </c>
      <c r="C104" s="122"/>
      <c r="D104" s="48" t="s">
        <v>73</v>
      </c>
      <c r="E104" s="49"/>
      <c r="F104" s="50"/>
      <c r="G104" s="62"/>
      <c r="H104" s="48" t="s">
        <v>72</v>
      </c>
      <c r="I104" s="52">
        <v>1</v>
      </c>
      <c r="J104" s="52"/>
      <c r="K104" s="52" t="s">
        <v>73</v>
      </c>
      <c r="L104" s="52" t="s">
        <v>74</v>
      </c>
      <c r="M104" s="53" t="s">
        <v>917</v>
      </c>
      <c r="N104" s="58" t="s">
        <v>73</v>
      </c>
      <c r="O104" s="48" t="s">
        <v>72</v>
      </c>
      <c r="P104" s="48" t="s">
        <v>73</v>
      </c>
      <c r="Q104" s="54" t="s">
        <v>73</v>
      </c>
      <c r="R104" s="55" t="s">
        <v>73</v>
      </c>
      <c r="S104" s="48" t="s">
        <v>73</v>
      </c>
      <c r="T104" s="121" t="str" cm="1">
        <f t="array" ref="T104">IF(ISNUMBER(SEARCH("SCHNEIDER",D104)),_xlfn.IFS(ISNUMBER(SEARCH("2 Querétaro",D104)),"SQ2",ISNUMBER(SEARCH("Xicohténcatl",D104)),"SXC",ISNUMBER(SEARCH("Rojo Gómez",D104)),"SRG",ISNUMBER(SEARCH("Tlaxcala",D104)),"STX",ISNUMBER(SEARCH("Monterrey",D104)),"SMY",ISNUMBER(SEARCH("Querétaro",D104)),"SQ1",ISNUMBER(SEARCH("CDMX",D104)),"SCM",TRUE,""),"")</f>
        <v/>
      </c>
      <c r="U104" s="48" t="str" cm="1">
        <f t="array" ref="U104">_xlfn.LET(_xlpm.resultados,_xlfn.UNIQUE(_xlfn._xlws.FILTER(Tabla1[Proceso],(Tabla1[Metal Base]=O104)*(Tabla1[Etiquetas]=_xlfn.TEXTJOIN(" + ",TRUE,IF((TRIM(Upload!P104:S104)="")+(LOWER(TRIM(Upload!P104:S104))="(seleccione)"),"",PROPER(TRIM(Upload!P104:S104)))))*(Tabla1[Línea2]=IFERROR(VLOOKUP(Upload!N104&amp;"*",CAT_Procesos!D:D,1,FALSE),"")))),_xlpm.cantidad,ROWS(_xlpm.resultados),IF(ISERROR(_xlpm.cantidad),"Combinación no existente",IF(_xlpm.cantidad=1,INDEX(_xlpm.resultados,1),"(seleccione)")))</f>
        <v>Combinación no existente</v>
      </c>
      <c r="V104" s="55" t="s">
        <v>73</v>
      </c>
      <c r="W104" s="56" t="s">
        <v>73</v>
      </c>
      <c r="X104" s="57" t="str">
        <f t="shared" si="4"/>
        <v/>
      </c>
      <c r="Y104" s="58" t="s">
        <v>73</v>
      </c>
      <c r="Z104" s="57" t="str">
        <f t="shared" si="5"/>
        <v/>
      </c>
      <c r="AA104" s="58" t="s">
        <v>73</v>
      </c>
      <c r="AB104" s="57" t="str">
        <f t="shared" si="6"/>
        <v/>
      </c>
      <c r="AC104" s="58" t="s">
        <v>73</v>
      </c>
      <c r="AD104" s="57" t="str">
        <f t="shared" si="7"/>
        <v/>
      </c>
      <c r="AE104" s="59"/>
      <c r="AF104" s="59"/>
      <c r="AG104" s="59"/>
      <c r="AH104" s="59"/>
      <c r="AI104" s="59" t="s">
        <v>73</v>
      </c>
      <c r="AJ104" s="59"/>
      <c r="AK104" s="59" t="s">
        <v>73</v>
      </c>
      <c r="AL104" s="59"/>
      <c r="AM104" s="59" t="s">
        <v>73</v>
      </c>
      <c r="AN104" s="59"/>
      <c r="AO104" s="59" t="s">
        <v>73</v>
      </c>
      <c r="AP104" s="59"/>
      <c r="AQ104" s="59" t="s">
        <v>73</v>
      </c>
      <c r="AR104" s="59"/>
      <c r="AS104" s="59" t="s">
        <v>72</v>
      </c>
      <c r="AT104" s="59"/>
      <c r="AU104" s="59"/>
      <c r="AV104" s="59"/>
      <c r="AW104" s="59"/>
      <c r="AX104" s="59"/>
      <c r="AY104" s="60" t="str">
        <f>IF('Cálculo MP'!K114="","",'Cálculo MP'!K114)</f>
        <v/>
      </c>
      <c r="AZ104" s="60" t="str">
        <f>IF('Cálculo MP'!L114="","",'Cálculo MP'!L114)</f>
        <v/>
      </c>
      <c r="BA104" s="60" t="str">
        <f>IF('Cálculo MP'!M114="","",'Cálculo MP'!M114)</f>
        <v/>
      </c>
      <c r="BB104" s="60" t="str">
        <f>IF('Cálculo MP'!N114="","",'Cálculo MP'!N114)</f>
        <v/>
      </c>
      <c r="BC104" s="60" t="str">
        <f>IF('Cálculo MP'!O114="","",'Cálculo MP'!O114)</f>
        <v/>
      </c>
      <c r="BD104" s="60" t="str">
        <f>IF('Cálculo MP'!P114="","",'Cálculo MP'!P114)</f>
        <v/>
      </c>
      <c r="BE104" s="60" t="str">
        <f>IF('Cálculo MP'!Q114="","",'Cálculo MP'!Q114)</f>
        <v/>
      </c>
      <c r="BF104" s="60" t="str">
        <f>IF('Cálculo MP'!R114="","",'Cálculo MP'!R114)</f>
        <v/>
      </c>
      <c r="BG104" s="60" t="str">
        <f>IF('Cálculo MP'!S114="","",'Cálculo MP'!S114)</f>
        <v/>
      </c>
      <c r="BH104" s="59"/>
      <c r="BI104" s="59"/>
      <c r="BJ104" s="59"/>
      <c r="BK104" s="59"/>
      <c r="BL104" s="59"/>
      <c r="BM104" s="59"/>
      <c r="BN104" s="59"/>
      <c r="BO104" s="59"/>
    </row>
    <row r="105" spans="1:67" ht="19.5" customHeight="1" x14ac:dyDescent="0.2">
      <c r="A105" s="114" t="s">
        <v>1789</v>
      </c>
      <c r="B105" s="113" t="s">
        <v>1787</v>
      </c>
      <c r="C105" s="122"/>
      <c r="D105" s="48" t="s">
        <v>73</v>
      </c>
      <c r="E105" s="49"/>
      <c r="F105" s="50"/>
      <c r="G105" s="62"/>
      <c r="H105" s="48" t="s">
        <v>72</v>
      </c>
      <c r="I105" s="52">
        <v>1</v>
      </c>
      <c r="J105" s="52"/>
      <c r="K105" s="52" t="s">
        <v>73</v>
      </c>
      <c r="L105" s="52" t="s">
        <v>74</v>
      </c>
      <c r="M105" s="53" t="s">
        <v>917</v>
      </c>
      <c r="N105" s="58" t="s">
        <v>73</v>
      </c>
      <c r="O105" s="48" t="s">
        <v>72</v>
      </c>
      <c r="P105" s="48" t="s">
        <v>73</v>
      </c>
      <c r="Q105" s="54" t="s">
        <v>73</v>
      </c>
      <c r="R105" s="55" t="s">
        <v>73</v>
      </c>
      <c r="S105" s="48" t="s">
        <v>73</v>
      </c>
      <c r="T105" s="121" t="str" cm="1">
        <f t="array" ref="T105">IF(ISNUMBER(SEARCH("SCHNEIDER",D105)),_xlfn.IFS(ISNUMBER(SEARCH("2 Querétaro",D105)),"SQ2",ISNUMBER(SEARCH("Xicohténcatl",D105)),"SXC",ISNUMBER(SEARCH("Rojo Gómez",D105)),"SRG",ISNUMBER(SEARCH("Tlaxcala",D105)),"STX",ISNUMBER(SEARCH("Monterrey",D105)),"SMY",ISNUMBER(SEARCH("Querétaro",D105)),"SQ1",ISNUMBER(SEARCH("CDMX",D105)),"SCM",TRUE,""),"")</f>
        <v/>
      </c>
      <c r="U105" s="48" t="str" cm="1">
        <f t="array" ref="U105">_xlfn.LET(_xlpm.resultados,_xlfn.UNIQUE(_xlfn._xlws.FILTER(Tabla1[Proceso],(Tabla1[Metal Base]=O105)*(Tabla1[Etiquetas]=_xlfn.TEXTJOIN(" + ",TRUE,IF((TRIM(Upload!P105:S105)="")+(LOWER(TRIM(Upload!P105:S105))="(seleccione)"),"",PROPER(TRIM(Upload!P105:S105)))))*(Tabla1[Línea2]=IFERROR(VLOOKUP(Upload!N105&amp;"*",CAT_Procesos!D:D,1,FALSE),"")))),_xlpm.cantidad,ROWS(_xlpm.resultados),IF(ISERROR(_xlpm.cantidad),"Combinación no existente",IF(_xlpm.cantidad=1,INDEX(_xlpm.resultados,1),"(seleccione)")))</f>
        <v>Combinación no existente</v>
      </c>
      <c r="V105" s="55" t="s">
        <v>73</v>
      </c>
      <c r="W105" s="56" t="s">
        <v>73</v>
      </c>
      <c r="X105" s="57" t="str">
        <f t="shared" si="4"/>
        <v/>
      </c>
      <c r="Y105" s="58" t="s">
        <v>73</v>
      </c>
      <c r="Z105" s="57" t="str">
        <f t="shared" si="5"/>
        <v/>
      </c>
      <c r="AA105" s="58" t="s">
        <v>73</v>
      </c>
      <c r="AB105" s="57" t="str">
        <f t="shared" si="6"/>
        <v/>
      </c>
      <c r="AC105" s="58" t="s">
        <v>73</v>
      </c>
      <c r="AD105" s="57" t="str">
        <f t="shared" si="7"/>
        <v/>
      </c>
      <c r="AE105" s="59"/>
      <c r="AF105" s="59"/>
      <c r="AG105" s="59"/>
      <c r="AH105" s="59"/>
      <c r="AI105" s="59" t="s">
        <v>73</v>
      </c>
      <c r="AJ105" s="59"/>
      <c r="AK105" s="59" t="s">
        <v>73</v>
      </c>
      <c r="AL105" s="59"/>
      <c r="AM105" s="59" t="s">
        <v>73</v>
      </c>
      <c r="AN105" s="59"/>
      <c r="AO105" s="59" t="s">
        <v>73</v>
      </c>
      <c r="AP105" s="59"/>
      <c r="AQ105" s="59" t="s">
        <v>73</v>
      </c>
      <c r="AR105" s="59"/>
      <c r="AS105" s="59" t="s">
        <v>72</v>
      </c>
      <c r="AT105" s="59"/>
      <c r="AU105" s="59"/>
      <c r="AV105" s="59"/>
      <c r="AW105" s="59"/>
      <c r="AX105" s="59"/>
      <c r="AY105" s="60" t="str">
        <f>IF('Cálculo MP'!K115="","",'Cálculo MP'!K115)</f>
        <v/>
      </c>
      <c r="AZ105" s="60" t="str">
        <f>IF('Cálculo MP'!L115="","",'Cálculo MP'!L115)</f>
        <v/>
      </c>
      <c r="BA105" s="60" t="str">
        <f>IF('Cálculo MP'!M115="","",'Cálculo MP'!M115)</f>
        <v/>
      </c>
      <c r="BB105" s="60" t="str">
        <f>IF('Cálculo MP'!N115="","",'Cálculo MP'!N115)</f>
        <v/>
      </c>
      <c r="BC105" s="60" t="str">
        <f>IF('Cálculo MP'!O115="","",'Cálculo MP'!O115)</f>
        <v/>
      </c>
      <c r="BD105" s="60" t="str">
        <f>IF('Cálculo MP'!P115="","",'Cálculo MP'!P115)</f>
        <v/>
      </c>
      <c r="BE105" s="60" t="str">
        <f>IF('Cálculo MP'!Q115="","",'Cálculo MP'!Q115)</f>
        <v/>
      </c>
      <c r="BF105" s="60" t="str">
        <f>IF('Cálculo MP'!R115="","",'Cálculo MP'!R115)</f>
        <v/>
      </c>
      <c r="BG105" s="60" t="str">
        <f>IF('Cálculo MP'!S115="","",'Cálculo MP'!S115)</f>
        <v/>
      </c>
      <c r="BH105" s="59"/>
      <c r="BI105" s="59"/>
      <c r="BJ105" s="59"/>
      <c r="BK105" s="59"/>
      <c r="BL105" s="59"/>
      <c r="BM105" s="59"/>
      <c r="BN105" s="59"/>
      <c r="BO105" s="59"/>
    </row>
    <row r="106" spans="1:67" ht="19.5" customHeight="1" x14ac:dyDescent="0.2">
      <c r="A106" s="114" t="s">
        <v>1789</v>
      </c>
      <c r="B106" s="113" t="s">
        <v>1787</v>
      </c>
      <c r="C106" s="122"/>
      <c r="D106" s="48" t="s">
        <v>73</v>
      </c>
      <c r="E106" s="49"/>
      <c r="F106" s="50"/>
      <c r="G106" s="62"/>
      <c r="H106" s="48" t="s">
        <v>72</v>
      </c>
      <c r="I106" s="52">
        <v>1</v>
      </c>
      <c r="J106" s="52"/>
      <c r="K106" s="52" t="s">
        <v>73</v>
      </c>
      <c r="L106" s="52" t="s">
        <v>74</v>
      </c>
      <c r="M106" s="53" t="s">
        <v>917</v>
      </c>
      <c r="N106" s="58" t="s">
        <v>73</v>
      </c>
      <c r="O106" s="48" t="s">
        <v>72</v>
      </c>
      <c r="P106" s="48" t="s">
        <v>73</v>
      </c>
      <c r="Q106" s="54" t="s">
        <v>73</v>
      </c>
      <c r="R106" s="55" t="s">
        <v>73</v>
      </c>
      <c r="S106" s="48" t="s">
        <v>73</v>
      </c>
      <c r="T106" s="121" t="str" cm="1">
        <f t="array" ref="T106">IF(ISNUMBER(SEARCH("SCHNEIDER",D106)),_xlfn.IFS(ISNUMBER(SEARCH("2 Querétaro",D106)),"SQ2",ISNUMBER(SEARCH("Xicohténcatl",D106)),"SXC",ISNUMBER(SEARCH("Rojo Gómez",D106)),"SRG",ISNUMBER(SEARCH("Tlaxcala",D106)),"STX",ISNUMBER(SEARCH("Monterrey",D106)),"SMY",ISNUMBER(SEARCH("Querétaro",D106)),"SQ1",ISNUMBER(SEARCH("CDMX",D106)),"SCM",TRUE,""),"")</f>
        <v/>
      </c>
      <c r="U106" s="48" t="str" cm="1">
        <f t="array" ref="U106">_xlfn.LET(_xlpm.resultados,_xlfn.UNIQUE(_xlfn._xlws.FILTER(Tabla1[Proceso],(Tabla1[Metal Base]=O106)*(Tabla1[Etiquetas]=_xlfn.TEXTJOIN(" + ",TRUE,IF((TRIM(Upload!P106:S106)="")+(LOWER(TRIM(Upload!P106:S106))="(seleccione)"),"",PROPER(TRIM(Upload!P106:S106)))))*(Tabla1[Línea2]=IFERROR(VLOOKUP(Upload!N106&amp;"*",CAT_Procesos!D:D,1,FALSE),"")))),_xlpm.cantidad,ROWS(_xlpm.resultados),IF(ISERROR(_xlpm.cantidad),"Combinación no existente",IF(_xlpm.cantidad=1,INDEX(_xlpm.resultados,1),"(seleccione)")))</f>
        <v>Combinación no existente</v>
      </c>
      <c r="V106" s="55" t="s">
        <v>73</v>
      </c>
      <c r="W106" s="56" t="s">
        <v>73</v>
      </c>
      <c r="X106" s="57" t="str">
        <f t="shared" si="4"/>
        <v/>
      </c>
      <c r="Y106" s="58" t="s">
        <v>73</v>
      </c>
      <c r="Z106" s="57" t="str">
        <f t="shared" si="5"/>
        <v/>
      </c>
      <c r="AA106" s="58" t="s">
        <v>73</v>
      </c>
      <c r="AB106" s="57" t="str">
        <f t="shared" si="6"/>
        <v/>
      </c>
      <c r="AC106" s="58" t="s">
        <v>73</v>
      </c>
      <c r="AD106" s="57" t="str">
        <f t="shared" si="7"/>
        <v/>
      </c>
      <c r="AE106" s="59"/>
      <c r="AF106" s="59"/>
      <c r="AG106" s="59"/>
      <c r="AH106" s="59"/>
      <c r="AI106" s="59" t="s">
        <v>73</v>
      </c>
      <c r="AJ106" s="59"/>
      <c r="AK106" s="59" t="s">
        <v>73</v>
      </c>
      <c r="AL106" s="59"/>
      <c r="AM106" s="59" t="s">
        <v>73</v>
      </c>
      <c r="AN106" s="59"/>
      <c r="AO106" s="59" t="s">
        <v>73</v>
      </c>
      <c r="AP106" s="59"/>
      <c r="AQ106" s="59" t="s">
        <v>73</v>
      </c>
      <c r="AR106" s="59"/>
      <c r="AS106" s="59" t="s">
        <v>72</v>
      </c>
      <c r="AT106" s="59"/>
      <c r="AU106" s="59"/>
      <c r="AV106" s="59"/>
      <c r="AW106" s="59"/>
      <c r="AX106" s="59"/>
      <c r="AY106" s="60" t="str">
        <f>IF('Cálculo MP'!K116="","",'Cálculo MP'!K116)</f>
        <v/>
      </c>
      <c r="AZ106" s="60" t="str">
        <f>IF('Cálculo MP'!L116="","",'Cálculo MP'!L116)</f>
        <v/>
      </c>
      <c r="BA106" s="60" t="str">
        <f>IF('Cálculo MP'!M116="","",'Cálculo MP'!M116)</f>
        <v/>
      </c>
      <c r="BB106" s="60" t="str">
        <f>IF('Cálculo MP'!N116="","",'Cálculo MP'!N116)</f>
        <v/>
      </c>
      <c r="BC106" s="60" t="str">
        <f>IF('Cálculo MP'!O116="","",'Cálculo MP'!O116)</f>
        <v/>
      </c>
      <c r="BD106" s="60" t="str">
        <f>IF('Cálculo MP'!P116="","",'Cálculo MP'!P116)</f>
        <v/>
      </c>
      <c r="BE106" s="60" t="str">
        <f>IF('Cálculo MP'!Q116="","",'Cálculo MP'!Q116)</f>
        <v/>
      </c>
      <c r="BF106" s="60" t="str">
        <f>IF('Cálculo MP'!R116="","",'Cálculo MP'!R116)</f>
        <v/>
      </c>
      <c r="BG106" s="60" t="str">
        <f>IF('Cálculo MP'!S116="","",'Cálculo MP'!S116)</f>
        <v/>
      </c>
      <c r="BH106" s="59"/>
      <c r="BI106" s="59"/>
      <c r="BJ106" s="59"/>
      <c r="BK106" s="59"/>
      <c r="BL106" s="59"/>
      <c r="BM106" s="59"/>
      <c r="BN106" s="59"/>
      <c r="BO106" s="59"/>
    </row>
    <row r="107" spans="1:67" ht="19.5" customHeight="1" x14ac:dyDescent="0.2">
      <c r="A107" s="114" t="s">
        <v>1789</v>
      </c>
      <c r="B107" s="113" t="s">
        <v>1787</v>
      </c>
      <c r="C107" s="122"/>
      <c r="D107" s="48" t="s">
        <v>73</v>
      </c>
      <c r="E107" s="49"/>
      <c r="F107" s="50"/>
      <c r="G107" s="62"/>
      <c r="H107" s="48" t="s">
        <v>72</v>
      </c>
      <c r="I107" s="52">
        <v>1</v>
      </c>
      <c r="J107" s="52"/>
      <c r="K107" s="52" t="s">
        <v>73</v>
      </c>
      <c r="L107" s="52" t="s">
        <v>74</v>
      </c>
      <c r="M107" s="53" t="s">
        <v>917</v>
      </c>
      <c r="N107" s="58" t="s">
        <v>73</v>
      </c>
      <c r="O107" s="48" t="s">
        <v>72</v>
      </c>
      <c r="P107" s="48" t="s">
        <v>73</v>
      </c>
      <c r="Q107" s="54" t="s">
        <v>73</v>
      </c>
      <c r="R107" s="55" t="s">
        <v>73</v>
      </c>
      <c r="S107" s="48" t="s">
        <v>73</v>
      </c>
      <c r="T107" s="121" t="str" cm="1">
        <f t="array" ref="T107">IF(ISNUMBER(SEARCH("SCHNEIDER",D107)),_xlfn.IFS(ISNUMBER(SEARCH("2 Querétaro",D107)),"SQ2",ISNUMBER(SEARCH("Xicohténcatl",D107)),"SXC",ISNUMBER(SEARCH("Rojo Gómez",D107)),"SRG",ISNUMBER(SEARCH("Tlaxcala",D107)),"STX",ISNUMBER(SEARCH("Monterrey",D107)),"SMY",ISNUMBER(SEARCH("Querétaro",D107)),"SQ1",ISNUMBER(SEARCH("CDMX",D107)),"SCM",TRUE,""),"")</f>
        <v/>
      </c>
      <c r="U107" s="48" t="str" cm="1">
        <f t="array" ref="U107">_xlfn.LET(_xlpm.resultados,_xlfn.UNIQUE(_xlfn._xlws.FILTER(Tabla1[Proceso],(Tabla1[Metal Base]=O107)*(Tabla1[Etiquetas]=_xlfn.TEXTJOIN(" + ",TRUE,IF((TRIM(Upload!P107:S107)="")+(LOWER(TRIM(Upload!P107:S107))="(seleccione)"),"",PROPER(TRIM(Upload!P107:S107)))))*(Tabla1[Línea2]=IFERROR(VLOOKUP(Upload!N107&amp;"*",CAT_Procesos!D:D,1,FALSE),"")))),_xlpm.cantidad,ROWS(_xlpm.resultados),IF(ISERROR(_xlpm.cantidad),"Combinación no existente",IF(_xlpm.cantidad=1,INDEX(_xlpm.resultados,1),"(seleccione)")))</f>
        <v>Combinación no existente</v>
      </c>
      <c r="V107" s="55" t="s">
        <v>73</v>
      </c>
      <c r="W107" s="56" t="s">
        <v>73</v>
      </c>
      <c r="X107" s="57" t="str">
        <f t="shared" si="4"/>
        <v/>
      </c>
      <c r="Y107" s="58" t="s">
        <v>73</v>
      </c>
      <c r="Z107" s="57" t="str">
        <f t="shared" si="5"/>
        <v/>
      </c>
      <c r="AA107" s="58" t="s">
        <v>73</v>
      </c>
      <c r="AB107" s="57" t="str">
        <f t="shared" si="6"/>
        <v/>
      </c>
      <c r="AC107" s="58" t="s">
        <v>73</v>
      </c>
      <c r="AD107" s="57" t="str">
        <f t="shared" si="7"/>
        <v/>
      </c>
      <c r="AE107" s="59"/>
      <c r="AF107" s="59"/>
      <c r="AG107" s="59"/>
      <c r="AH107" s="59"/>
      <c r="AI107" s="59" t="s">
        <v>73</v>
      </c>
      <c r="AJ107" s="59"/>
      <c r="AK107" s="59" t="s">
        <v>73</v>
      </c>
      <c r="AL107" s="59"/>
      <c r="AM107" s="59" t="s">
        <v>73</v>
      </c>
      <c r="AN107" s="59"/>
      <c r="AO107" s="59" t="s">
        <v>73</v>
      </c>
      <c r="AP107" s="59"/>
      <c r="AQ107" s="59" t="s">
        <v>73</v>
      </c>
      <c r="AR107" s="59"/>
      <c r="AS107" s="59" t="s">
        <v>72</v>
      </c>
      <c r="AT107" s="59"/>
      <c r="AU107" s="59"/>
      <c r="AV107" s="59"/>
      <c r="AW107" s="59"/>
      <c r="AX107" s="59"/>
      <c r="AY107" s="60" t="str">
        <f>IF('Cálculo MP'!K117="","",'Cálculo MP'!K117)</f>
        <v/>
      </c>
      <c r="AZ107" s="60" t="str">
        <f>IF('Cálculo MP'!L117="","",'Cálculo MP'!L117)</f>
        <v/>
      </c>
      <c r="BA107" s="60" t="str">
        <f>IF('Cálculo MP'!M117="","",'Cálculo MP'!M117)</f>
        <v/>
      </c>
      <c r="BB107" s="60" t="str">
        <f>IF('Cálculo MP'!N117="","",'Cálculo MP'!N117)</f>
        <v/>
      </c>
      <c r="BC107" s="60" t="str">
        <f>IF('Cálculo MP'!O117="","",'Cálculo MP'!O117)</f>
        <v/>
      </c>
      <c r="BD107" s="60" t="str">
        <f>IF('Cálculo MP'!P117="","",'Cálculo MP'!P117)</f>
        <v/>
      </c>
      <c r="BE107" s="60" t="str">
        <f>IF('Cálculo MP'!Q117="","",'Cálculo MP'!Q117)</f>
        <v/>
      </c>
      <c r="BF107" s="60" t="str">
        <f>IF('Cálculo MP'!R117="","",'Cálculo MP'!R117)</f>
        <v/>
      </c>
      <c r="BG107" s="60" t="str">
        <f>IF('Cálculo MP'!S117="","",'Cálculo MP'!S117)</f>
        <v/>
      </c>
      <c r="BH107" s="59"/>
      <c r="BI107" s="59"/>
      <c r="BJ107" s="59"/>
      <c r="BK107" s="59"/>
      <c r="BL107" s="59"/>
      <c r="BM107" s="59"/>
      <c r="BN107" s="59"/>
      <c r="BO107" s="59"/>
    </row>
    <row r="108" spans="1:67" ht="19.5" customHeight="1" x14ac:dyDescent="0.2">
      <c r="A108" s="114" t="s">
        <v>1789</v>
      </c>
      <c r="B108" s="113" t="s">
        <v>1787</v>
      </c>
      <c r="C108" s="122"/>
      <c r="D108" s="48" t="s">
        <v>73</v>
      </c>
      <c r="E108" s="49"/>
      <c r="F108" s="50"/>
      <c r="G108" s="62"/>
      <c r="H108" s="48" t="s">
        <v>72</v>
      </c>
      <c r="I108" s="52">
        <v>1</v>
      </c>
      <c r="J108" s="52"/>
      <c r="K108" s="52" t="s">
        <v>73</v>
      </c>
      <c r="L108" s="52" t="s">
        <v>74</v>
      </c>
      <c r="M108" s="53" t="s">
        <v>917</v>
      </c>
      <c r="N108" s="58" t="s">
        <v>73</v>
      </c>
      <c r="O108" s="48" t="s">
        <v>72</v>
      </c>
      <c r="P108" s="48" t="s">
        <v>73</v>
      </c>
      <c r="Q108" s="54" t="s">
        <v>73</v>
      </c>
      <c r="R108" s="55" t="s">
        <v>73</v>
      </c>
      <c r="S108" s="48" t="s">
        <v>73</v>
      </c>
      <c r="T108" s="121" t="str" cm="1">
        <f t="array" ref="T108">IF(ISNUMBER(SEARCH("SCHNEIDER",D108)),_xlfn.IFS(ISNUMBER(SEARCH("2 Querétaro",D108)),"SQ2",ISNUMBER(SEARCH("Xicohténcatl",D108)),"SXC",ISNUMBER(SEARCH("Rojo Gómez",D108)),"SRG",ISNUMBER(SEARCH("Tlaxcala",D108)),"STX",ISNUMBER(SEARCH("Monterrey",D108)),"SMY",ISNUMBER(SEARCH("Querétaro",D108)),"SQ1",ISNUMBER(SEARCH("CDMX",D108)),"SCM",TRUE,""),"")</f>
        <v/>
      </c>
      <c r="U108" s="48" t="str" cm="1">
        <f t="array" ref="U108">_xlfn.LET(_xlpm.resultados,_xlfn.UNIQUE(_xlfn._xlws.FILTER(Tabla1[Proceso],(Tabla1[Metal Base]=O108)*(Tabla1[Etiquetas]=_xlfn.TEXTJOIN(" + ",TRUE,IF((TRIM(Upload!P108:S108)="")+(LOWER(TRIM(Upload!P108:S108))="(seleccione)"),"",PROPER(TRIM(Upload!P108:S108)))))*(Tabla1[Línea2]=IFERROR(VLOOKUP(Upload!N108&amp;"*",CAT_Procesos!D:D,1,FALSE),"")))),_xlpm.cantidad,ROWS(_xlpm.resultados),IF(ISERROR(_xlpm.cantidad),"Combinación no existente",IF(_xlpm.cantidad=1,INDEX(_xlpm.resultados,1),"(seleccione)")))</f>
        <v>Combinación no existente</v>
      </c>
      <c r="V108" s="55" t="s">
        <v>73</v>
      </c>
      <c r="W108" s="56" t="s">
        <v>73</v>
      </c>
      <c r="X108" s="57" t="str">
        <f t="shared" si="4"/>
        <v/>
      </c>
      <c r="Y108" s="58" t="s">
        <v>73</v>
      </c>
      <c r="Z108" s="57" t="str">
        <f t="shared" si="5"/>
        <v/>
      </c>
      <c r="AA108" s="58" t="s">
        <v>73</v>
      </c>
      <c r="AB108" s="57" t="str">
        <f t="shared" si="6"/>
        <v/>
      </c>
      <c r="AC108" s="58" t="s">
        <v>73</v>
      </c>
      <c r="AD108" s="57" t="str">
        <f t="shared" si="7"/>
        <v/>
      </c>
      <c r="AE108" s="59"/>
      <c r="AF108" s="59"/>
      <c r="AG108" s="59"/>
      <c r="AH108" s="59"/>
      <c r="AI108" s="59" t="s">
        <v>73</v>
      </c>
      <c r="AJ108" s="59"/>
      <c r="AK108" s="59" t="s">
        <v>73</v>
      </c>
      <c r="AL108" s="59"/>
      <c r="AM108" s="59" t="s">
        <v>73</v>
      </c>
      <c r="AN108" s="59"/>
      <c r="AO108" s="59" t="s">
        <v>73</v>
      </c>
      <c r="AP108" s="59"/>
      <c r="AQ108" s="59" t="s">
        <v>73</v>
      </c>
      <c r="AR108" s="59"/>
      <c r="AS108" s="59" t="s">
        <v>72</v>
      </c>
      <c r="AT108" s="59"/>
      <c r="AU108" s="59"/>
      <c r="AV108" s="59"/>
      <c r="AW108" s="59"/>
      <c r="AX108" s="59"/>
      <c r="AY108" s="60" t="str">
        <f>IF('Cálculo MP'!K118="","",'Cálculo MP'!K118)</f>
        <v/>
      </c>
      <c r="AZ108" s="60" t="str">
        <f>IF('Cálculo MP'!L118="","",'Cálculo MP'!L118)</f>
        <v/>
      </c>
      <c r="BA108" s="60" t="str">
        <f>IF('Cálculo MP'!M118="","",'Cálculo MP'!M118)</f>
        <v/>
      </c>
      <c r="BB108" s="60" t="str">
        <f>IF('Cálculo MP'!N118="","",'Cálculo MP'!N118)</f>
        <v/>
      </c>
      <c r="BC108" s="60" t="str">
        <f>IF('Cálculo MP'!O118="","",'Cálculo MP'!O118)</f>
        <v/>
      </c>
      <c r="BD108" s="60" t="str">
        <f>IF('Cálculo MP'!P118="","",'Cálculo MP'!P118)</f>
        <v/>
      </c>
      <c r="BE108" s="60" t="str">
        <f>IF('Cálculo MP'!Q118="","",'Cálculo MP'!Q118)</f>
        <v/>
      </c>
      <c r="BF108" s="60" t="str">
        <f>IF('Cálculo MP'!R118="","",'Cálculo MP'!R118)</f>
        <v/>
      </c>
      <c r="BG108" s="60" t="str">
        <f>IF('Cálculo MP'!S118="","",'Cálculo MP'!S118)</f>
        <v/>
      </c>
      <c r="BH108" s="59"/>
      <c r="BI108" s="59"/>
      <c r="BJ108" s="59"/>
      <c r="BK108" s="59"/>
      <c r="BL108" s="59"/>
      <c r="BM108" s="59"/>
      <c r="BN108" s="59"/>
      <c r="BO108" s="59"/>
    </row>
    <row r="109" spans="1:67" ht="19.5" customHeight="1" x14ac:dyDescent="0.2">
      <c r="A109" s="114" t="s">
        <v>1789</v>
      </c>
      <c r="B109" s="113" t="s">
        <v>1787</v>
      </c>
      <c r="C109" s="122"/>
      <c r="D109" s="48" t="s">
        <v>73</v>
      </c>
      <c r="E109" s="49"/>
      <c r="F109" s="50"/>
      <c r="G109" s="62"/>
      <c r="H109" s="48" t="s">
        <v>72</v>
      </c>
      <c r="I109" s="52">
        <v>1</v>
      </c>
      <c r="J109" s="52"/>
      <c r="K109" s="52" t="s">
        <v>73</v>
      </c>
      <c r="L109" s="52" t="s">
        <v>74</v>
      </c>
      <c r="M109" s="53" t="s">
        <v>917</v>
      </c>
      <c r="N109" s="58" t="s">
        <v>73</v>
      </c>
      <c r="O109" s="48" t="s">
        <v>72</v>
      </c>
      <c r="P109" s="48" t="s">
        <v>73</v>
      </c>
      <c r="Q109" s="54" t="s">
        <v>73</v>
      </c>
      <c r="R109" s="55" t="s">
        <v>73</v>
      </c>
      <c r="S109" s="48" t="s">
        <v>73</v>
      </c>
      <c r="T109" s="121" t="str" cm="1">
        <f t="array" ref="T109">IF(ISNUMBER(SEARCH("SCHNEIDER",D109)),_xlfn.IFS(ISNUMBER(SEARCH("2 Querétaro",D109)),"SQ2",ISNUMBER(SEARCH("Xicohténcatl",D109)),"SXC",ISNUMBER(SEARCH("Rojo Gómez",D109)),"SRG",ISNUMBER(SEARCH("Tlaxcala",D109)),"STX",ISNUMBER(SEARCH("Monterrey",D109)),"SMY",ISNUMBER(SEARCH("Querétaro",D109)),"SQ1",ISNUMBER(SEARCH("CDMX",D109)),"SCM",TRUE,""),"")</f>
        <v/>
      </c>
      <c r="U109" s="48" t="str" cm="1">
        <f t="array" ref="U109">_xlfn.LET(_xlpm.resultados,_xlfn.UNIQUE(_xlfn._xlws.FILTER(Tabla1[Proceso],(Tabla1[Metal Base]=O109)*(Tabla1[Etiquetas]=_xlfn.TEXTJOIN(" + ",TRUE,IF((TRIM(Upload!P109:S109)="")+(LOWER(TRIM(Upload!P109:S109))="(seleccione)"),"",PROPER(TRIM(Upload!P109:S109)))))*(Tabla1[Línea2]=IFERROR(VLOOKUP(Upload!N109&amp;"*",CAT_Procesos!D:D,1,FALSE),"")))),_xlpm.cantidad,ROWS(_xlpm.resultados),IF(ISERROR(_xlpm.cantidad),"Combinación no existente",IF(_xlpm.cantidad=1,INDEX(_xlpm.resultados,1),"(seleccione)")))</f>
        <v>Combinación no existente</v>
      </c>
      <c r="V109" s="55" t="s">
        <v>73</v>
      </c>
      <c r="W109" s="56" t="s">
        <v>73</v>
      </c>
      <c r="X109" s="57" t="str">
        <f t="shared" si="4"/>
        <v/>
      </c>
      <c r="Y109" s="58" t="s">
        <v>73</v>
      </c>
      <c r="Z109" s="57" t="str">
        <f t="shared" si="5"/>
        <v/>
      </c>
      <c r="AA109" s="58" t="s">
        <v>73</v>
      </c>
      <c r="AB109" s="57" t="str">
        <f t="shared" si="6"/>
        <v/>
      </c>
      <c r="AC109" s="58" t="s">
        <v>73</v>
      </c>
      <c r="AD109" s="57" t="str">
        <f t="shared" si="7"/>
        <v/>
      </c>
      <c r="AE109" s="59"/>
      <c r="AF109" s="59"/>
      <c r="AG109" s="59"/>
      <c r="AH109" s="59"/>
      <c r="AI109" s="59" t="s">
        <v>73</v>
      </c>
      <c r="AJ109" s="59"/>
      <c r="AK109" s="59" t="s">
        <v>73</v>
      </c>
      <c r="AL109" s="59"/>
      <c r="AM109" s="59" t="s">
        <v>73</v>
      </c>
      <c r="AN109" s="59"/>
      <c r="AO109" s="59" t="s">
        <v>73</v>
      </c>
      <c r="AP109" s="59"/>
      <c r="AQ109" s="59" t="s">
        <v>73</v>
      </c>
      <c r="AR109" s="59"/>
      <c r="AS109" s="59" t="s">
        <v>72</v>
      </c>
      <c r="AT109" s="59"/>
      <c r="AU109" s="59"/>
      <c r="AV109" s="59"/>
      <c r="AW109" s="59"/>
      <c r="AX109" s="59"/>
      <c r="AY109" s="60" t="str">
        <f>IF('Cálculo MP'!K119="","",'Cálculo MP'!K119)</f>
        <v/>
      </c>
      <c r="AZ109" s="60" t="str">
        <f>IF('Cálculo MP'!L119="","",'Cálculo MP'!L119)</f>
        <v/>
      </c>
      <c r="BA109" s="60" t="str">
        <f>IF('Cálculo MP'!M119="","",'Cálculo MP'!M119)</f>
        <v/>
      </c>
      <c r="BB109" s="60" t="str">
        <f>IF('Cálculo MP'!N119="","",'Cálculo MP'!N119)</f>
        <v/>
      </c>
      <c r="BC109" s="60" t="str">
        <f>IF('Cálculo MP'!O119="","",'Cálculo MP'!O119)</f>
        <v/>
      </c>
      <c r="BD109" s="60" t="str">
        <f>IF('Cálculo MP'!P119="","",'Cálculo MP'!P119)</f>
        <v/>
      </c>
      <c r="BE109" s="60" t="str">
        <f>IF('Cálculo MP'!Q119="","",'Cálculo MP'!Q119)</f>
        <v/>
      </c>
      <c r="BF109" s="60" t="str">
        <f>IF('Cálculo MP'!R119="","",'Cálculo MP'!R119)</f>
        <v/>
      </c>
      <c r="BG109" s="60" t="str">
        <f>IF('Cálculo MP'!S119="","",'Cálculo MP'!S119)</f>
        <v/>
      </c>
      <c r="BH109" s="59"/>
      <c r="BI109" s="59"/>
      <c r="BJ109" s="59"/>
      <c r="BK109" s="59"/>
      <c r="BL109" s="59"/>
      <c r="BM109" s="59"/>
      <c r="BN109" s="59"/>
      <c r="BO109" s="59"/>
    </row>
    <row r="110" spans="1:67" ht="19.5" customHeight="1" x14ac:dyDescent="0.2">
      <c r="A110" s="114" t="s">
        <v>1789</v>
      </c>
      <c r="B110" s="113" t="s">
        <v>1787</v>
      </c>
      <c r="C110" s="122"/>
      <c r="D110" s="48" t="s">
        <v>73</v>
      </c>
      <c r="E110" s="49"/>
      <c r="F110" s="50"/>
      <c r="G110" s="62"/>
      <c r="H110" s="48" t="s">
        <v>72</v>
      </c>
      <c r="I110" s="52">
        <v>1</v>
      </c>
      <c r="J110" s="52"/>
      <c r="K110" s="52" t="s">
        <v>73</v>
      </c>
      <c r="L110" s="52" t="s">
        <v>74</v>
      </c>
      <c r="M110" s="53" t="s">
        <v>917</v>
      </c>
      <c r="N110" s="58" t="s">
        <v>73</v>
      </c>
      <c r="O110" s="48" t="s">
        <v>72</v>
      </c>
      <c r="P110" s="48" t="s">
        <v>73</v>
      </c>
      <c r="Q110" s="54" t="s">
        <v>73</v>
      </c>
      <c r="R110" s="55" t="s">
        <v>73</v>
      </c>
      <c r="S110" s="48" t="s">
        <v>73</v>
      </c>
      <c r="T110" s="121" t="str" cm="1">
        <f t="array" ref="T110">IF(ISNUMBER(SEARCH("SCHNEIDER",D110)),_xlfn.IFS(ISNUMBER(SEARCH("2 Querétaro",D110)),"SQ2",ISNUMBER(SEARCH("Xicohténcatl",D110)),"SXC",ISNUMBER(SEARCH("Rojo Gómez",D110)),"SRG",ISNUMBER(SEARCH("Tlaxcala",D110)),"STX",ISNUMBER(SEARCH("Monterrey",D110)),"SMY",ISNUMBER(SEARCH("Querétaro",D110)),"SQ1",ISNUMBER(SEARCH("CDMX",D110)),"SCM",TRUE,""),"")</f>
        <v/>
      </c>
      <c r="U110" s="48" t="str" cm="1">
        <f t="array" ref="U110">_xlfn.LET(_xlpm.resultados,_xlfn.UNIQUE(_xlfn._xlws.FILTER(Tabla1[Proceso],(Tabla1[Metal Base]=O110)*(Tabla1[Etiquetas]=_xlfn.TEXTJOIN(" + ",TRUE,IF((TRIM(Upload!P110:S110)="")+(LOWER(TRIM(Upload!P110:S110))="(seleccione)"),"",PROPER(TRIM(Upload!P110:S110)))))*(Tabla1[Línea2]=IFERROR(VLOOKUP(Upload!N110&amp;"*",CAT_Procesos!D:D,1,FALSE),"")))),_xlpm.cantidad,ROWS(_xlpm.resultados),IF(ISERROR(_xlpm.cantidad),"Combinación no existente",IF(_xlpm.cantidad=1,INDEX(_xlpm.resultados,1),"(seleccione)")))</f>
        <v>Combinación no existente</v>
      </c>
      <c r="V110" s="55" t="s">
        <v>73</v>
      </c>
      <c r="W110" s="56" t="s">
        <v>73</v>
      </c>
      <c r="X110" s="57" t="str">
        <f t="shared" si="4"/>
        <v/>
      </c>
      <c r="Y110" s="58" t="s">
        <v>73</v>
      </c>
      <c r="Z110" s="57" t="str">
        <f t="shared" si="5"/>
        <v/>
      </c>
      <c r="AA110" s="58" t="s">
        <v>73</v>
      </c>
      <c r="AB110" s="57" t="str">
        <f t="shared" si="6"/>
        <v/>
      </c>
      <c r="AC110" s="58" t="s">
        <v>73</v>
      </c>
      <c r="AD110" s="57" t="str">
        <f t="shared" si="7"/>
        <v/>
      </c>
      <c r="AE110" s="59"/>
      <c r="AF110" s="59"/>
      <c r="AG110" s="59"/>
      <c r="AH110" s="59"/>
      <c r="AI110" s="59" t="s">
        <v>73</v>
      </c>
      <c r="AJ110" s="59"/>
      <c r="AK110" s="59" t="s">
        <v>73</v>
      </c>
      <c r="AL110" s="59"/>
      <c r="AM110" s="59" t="s">
        <v>73</v>
      </c>
      <c r="AN110" s="59"/>
      <c r="AO110" s="59" t="s">
        <v>73</v>
      </c>
      <c r="AP110" s="59"/>
      <c r="AQ110" s="59" t="s">
        <v>73</v>
      </c>
      <c r="AR110" s="59"/>
      <c r="AS110" s="59" t="s">
        <v>72</v>
      </c>
      <c r="AT110" s="59"/>
      <c r="AU110" s="59"/>
      <c r="AV110" s="59"/>
      <c r="AW110" s="59"/>
      <c r="AX110" s="59"/>
      <c r="AY110" s="60" t="str">
        <f>IF('Cálculo MP'!K120="","",'Cálculo MP'!K120)</f>
        <v/>
      </c>
      <c r="AZ110" s="60" t="str">
        <f>IF('Cálculo MP'!L120="","",'Cálculo MP'!L120)</f>
        <v/>
      </c>
      <c r="BA110" s="60" t="str">
        <f>IF('Cálculo MP'!M120="","",'Cálculo MP'!M120)</f>
        <v/>
      </c>
      <c r="BB110" s="60" t="str">
        <f>IF('Cálculo MP'!N120="","",'Cálculo MP'!N120)</f>
        <v/>
      </c>
      <c r="BC110" s="60" t="str">
        <f>IF('Cálculo MP'!O120="","",'Cálculo MP'!O120)</f>
        <v/>
      </c>
      <c r="BD110" s="60" t="str">
        <f>IF('Cálculo MP'!P120="","",'Cálculo MP'!P120)</f>
        <v/>
      </c>
      <c r="BE110" s="60" t="str">
        <f>IF('Cálculo MP'!Q120="","",'Cálculo MP'!Q120)</f>
        <v/>
      </c>
      <c r="BF110" s="60" t="str">
        <f>IF('Cálculo MP'!R120="","",'Cálculo MP'!R120)</f>
        <v/>
      </c>
      <c r="BG110" s="60" t="str">
        <f>IF('Cálculo MP'!S120="","",'Cálculo MP'!S120)</f>
        <v/>
      </c>
      <c r="BH110" s="59"/>
      <c r="BI110" s="59"/>
      <c r="BJ110" s="59"/>
      <c r="BK110" s="59"/>
      <c r="BL110" s="59"/>
      <c r="BM110" s="59"/>
      <c r="BN110" s="59"/>
      <c r="BO110" s="59"/>
    </row>
    <row r="111" spans="1:67" ht="19.5" customHeight="1" x14ac:dyDescent="0.2">
      <c r="A111" s="114" t="s">
        <v>1789</v>
      </c>
      <c r="B111" s="113" t="s">
        <v>1787</v>
      </c>
      <c r="C111" s="122"/>
      <c r="D111" s="48" t="s">
        <v>73</v>
      </c>
      <c r="E111" s="49"/>
      <c r="F111" s="50"/>
      <c r="G111" s="62"/>
      <c r="H111" s="48" t="s">
        <v>72</v>
      </c>
      <c r="I111" s="52">
        <v>1</v>
      </c>
      <c r="J111" s="52"/>
      <c r="K111" s="52" t="s">
        <v>73</v>
      </c>
      <c r="L111" s="52" t="s">
        <v>74</v>
      </c>
      <c r="M111" s="53" t="s">
        <v>917</v>
      </c>
      <c r="N111" s="58" t="s">
        <v>73</v>
      </c>
      <c r="O111" s="48" t="s">
        <v>72</v>
      </c>
      <c r="P111" s="48" t="s">
        <v>73</v>
      </c>
      <c r="Q111" s="54" t="s">
        <v>73</v>
      </c>
      <c r="R111" s="55" t="s">
        <v>73</v>
      </c>
      <c r="S111" s="48" t="s">
        <v>73</v>
      </c>
      <c r="T111" s="121" t="str" cm="1">
        <f t="array" ref="T111">IF(ISNUMBER(SEARCH("SCHNEIDER",D111)),_xlfn.IFS(ISNUMBER(SEARCH("2 Querétaro",D111)),"SQ2",ISNUMBER(SEARCH("Xicohténcatl",D111)),"SXC",ISNUMBER(SEARCH("Rojo Gómez",D111)),"SRG",ISNUMBER(SEARCH("Tlaxcala",D111)),"STX",ISNUMBER(SEARCH("Monterrey",D111)),"SMY",ISNUMBER(SEARCH("Querétaro",D111)),"SQ1",ISNUMBER(SEARCH("CDMX",D111)),"SCM",TRUE,""),"")</f>
        <v/>
      </c>
      <c r="U111" s="48" t="str" cm="1">
        <f t="array" ref="U111">_xlfn.LET(_xlpm.resultados,_xlfn.UNIQUE(_xlfn._xlws.FILTER(Tabla1[Proceso],(Tabla1[Metal Base]=O111)*(Tabla1[Etiquetas]=_xlfn.TEXTJOIN(" + ",TRUE,IF((TRIM(Upload!P111:S111)="")+(LOWER(TRIM(Upload!P111:S111))="(seleccione)"),"",PROPER(TRIM(Upload!P111:S111)))))*(Tabla1[Línea2]=IFERROR(VLOOKUP(Upload!N111&amp;"*",CAT_Procesos!D:D,1,FALSE),"")))),_xlpm.cantidad,ROWS(_xlpm.resultados),IF(ISERROR(_xlpm.cantidad),"Combinación no existente",IF(_xlpm.cantidad=1,INDEX(_xlpm.resultados,1),"(seleccione)")))</f>
        <v>Combinación no existente</v>
      </c>
      <c r="V111" s="55" t="s">
        <v>73</v>
      </c>
      <c r="W111" s="56" t="s">
        <v>73</v>
      </c>
      <c r="X111" s="57" t="str">
        <f t="shared" si="4"/>
        <v/>
      </c>
      <c r="Y111" s="58" t="s">
        <v>73</v>
      </c>
      <c r="Z111" s="57" t="str">
        <f t="shared" si="5"/>
        <v/>
      </c>
      <c r="AA111" s="58" t="s">
        <v>73</v>
      </c>
      <c r="AB111" s="57" t="str">
        <f t="shared" si="6"/>
        <v/>
      </c>
      <c r="AC111" s="58" t="s">
        <v>73</v>
      </c>
      <c r="AD111" s="57" t="str">
        <f t="shared" si="7"/>
        <v/>
      </c>
      <c r="AE111" s="59"/>
      <c r="AF111" s="59"/>
      <c r="AG111" s="59"/>
      <c r="AH111" s="59"/>
      <c r="AI111" s="59" t="s">
        <v>73</v>
      </c>
      <c r="AJ111" s="59"/>
      <c r="AK111" s="59" t="s">
        <v>73</v>
      </c>
      <c r="AL111" s="59"/>
      <c r="AM111" s="59" t="s">
        <v>73</v>
      </c>
      <c r="AN111" s="59"/>
      <c r="AO111" s="59" t="s">
        <v>73</v>
      </c>
      <c r="AP111" s="59"/>
      <c r="AQ111" s="59" t="s">
        <v>73</v>
      </c>
      <c r="AR111" s="59"/>
      <c r="AS111" s="59" t="s">
        <v>72</v>
      </c>
      <c r="AT111" s="59"/>
      <c r="AU111" s="59"/>
      <c r="AV111" s="59"/>
      <c r="AW111" s="59"/>
      <c r="AX111" s="59"/>
      <c r="AY111" s="60" t="str">
        <f>IF('Cálculo MP'!K121="","",'Cálculo MP'!K121)</f>
        <v/>
      </c>
      <c r="AZ111" s="60" t="str">
        <f>IF('Cálculo MP'!L121="","",'Cálculo MP'!L121)</f>
        <v/>
      </c>
      <c r="BA111" s="60" t="str">
        <f>IF('Cálculo MP'!M121="","",'Cálculo MP'!M121)</f>
        <v/>
      </c>
      <c r="BB111" s="60" t="str">
        <f>IF('Cálculo MP'!N121="","",'Cálculo MP'!N121)</f>
        <v/>
      </c>
      <c r="BC111" s="60" t="str">
        <f>IF('Cálculo MP'!O121="","",'Cálculo MP'!O121)</f>
        <v/>
      </c>
      <c r="BD111" s="60" t="str">
        <f>IF('Cálculo MP'!P121="","",'Cálculo MP'!P121)</f>
        <v/>
      </c>
      <c r="BE111" s="60" t="str">
        <f>IF('Cálculo MP'!Q121="","",'Cálculo MP'!Q121)</f>
        <v/>
      </c>
      <c r="BF111" s="60" t="str">
        <f>IF('Cálculo MP'!R121="","",'Cálculo MP'!R121)</f>
        <v/>
      </c>
      <c r="BG111" s="60" t="str">
        <f>IF('Cálculo MP'!S121="","",'Cálculo MP'!S121)</f>
        <v/>
      </c>
      <c r="BH111" s="59"/>
      <c r="BI111" s="59"/>
      <c r="BJ111" s="59"/>
      <c r="BK111" s="59"/>
      <c r="BL111" s="59"/>
      <c r="BM111" s="59"/>
      <c r="BN111" s="59"/>
      <c r="BO111" s="59"/>
    </row>
    <row r="112" spans="1:67" ht="19.5" customHeight="1" x14ac:dyDescent="0.2">
      <c r="A112" s="114" t="s">
        <v>1789</v>
      </c>
      <c r="B112" s="113" t="s">
        <v>1787</v>
      </c>
      <c r="C112" s="122"/>
      <c r="D112" s="48" t="s">
        <v>73</v>
      </c>
      <c r="E112" s="49"/>
      <c r="F112" s="50"/>
      <c r="G112" s="62"/>
      <c r="H112" s="48" t="s">
        <v>72</v>
      </c>
      <c r="I112" s="52">
        <v>1</v>
      </c>
      <c r="J112" s="52"/>
      <c r="K112" s="52" t="s">
        <v>73</v>
      </c>
      <c r="L112" s="52" t="s">
        <v>74</v>
      </c>
      <c r="M112" s="53" t="s">
        <v>917</v>
      </c>
      <c r="N112" s="58" t="s">
        <v>73</v>
      </c>
      <c r="O112" s="48" t="s">
        <v>72</v>
      </c>
      <c r="P112" s="48" t="s">
        <v>73</v>
      </c>
      <c r="Q112" s="54" t="s">
        <v>73</v>
      </c>
      <c r="R112" s="55" t="s">
        <v>73</v>
      </c>
      <c r="S112" s="48" t="s">
        <v>73</v>
      </c>
      <c r="T112" s="121" t="str" cm="1">
        <f t="array" ref="T112">IF(ISNUMBER(SEARCH("SCHNEIDER",D112)),_xlfn.IFS(ISNUMBER(SEARCH("2 Querétaro",D112)),"SQ2",ISNUMBER(SEARCH("Xicohténcatl",D112)),"SXC",ISNUMBER(SEARCH("Rojo Gómez",D112)),"SRG",ISNUMBER(SEARCH("Tlaxcala",D112)),"STX",ISNUMBER(SEARCH("Monterrey",D112)),"SMY",ISNUMBER(SEARCH("Querétaro",D112)),"SQ1",ISNUMBER(SEARCH("CDMX",D112)),"SCM",TRUE,""),"")</f>
        <v/>
      </c>
      <c r="U112" s="48" t="str" cm="1">
        <f t="array" ref="U112">_xlfn.LET(_xlpm.resultados,_xlfn.UNIQUE(_xlfn._xlws.FILTER(Tabla1[Proceso],(Tabla1[Metal Base]=O112)*(Tabla1[Etiquetas]=_xlfn.TEXTJOIN(" + ",TRUE,IF((TRIM(Upload!P112:S112)="")+(LOWER(TRIM(Upload!P112:S112))="(seleccione)"),"",PROPER(TRIM(Upload!P112:S112)))))*(Tabla1[Línea2]=IFERROR(VLOOKUP(Upload!N112&amp;"*",CAT_Procesos!D:D,1,FALSE),"")))),_xlpm.cantidad,ROWS(_xlpm.resultados),IF(ISERROR(_xlpm.cantidad),"Combinación no existente",IF(_xlpm.cantidad=1,INDEX(_xlpm.resultados,1),"(seleccione)")))</f>
        <v>Combinación no existente</v>
      </c>
      <c r="V112" s="55" t="s">
        <v>73</v>
      </c>
      <c r="W112" s="56" t="s">
        <v>73</v>
      </c>
      <c r="X112" s="57" t="str">
        <f t="shared" si="4"/>
        <v/>
      </c>
      <c r="Y112" s="58" t="s">
        <v>73</v>
      </c>
      <c r="Z112" s="57" t="str">
        <f t="shared" si="5"/>
        <v/>
      </c>
      <c r="AA112" s="58" t="s">
        <v>73</v>
      </c>
      <c r="AB112" s="57" t="str">
        <f t="shared" si="6"/>
        <v/>
      </c>
      <c r="AC112" s="58" t="s">
        <v>73</v>
      </c>
      <c r="AD112" s="57" t="str">
        <f t="shared" si="7"/>
        <v/>
      </c>
      <c r="AE112" s="59"/>
      <c r="AF112" s="59"/>
      <c r="AG112" s="59"/>
      <c r="AH112" s="59"/>
      <c r="AI112" s="59" t="s">
        <v>73</v>
      </c>
      <c r="AJ112" s="59"/>
      <c r="AK112" s="59" t="s">
        <v>73</v>
      </c>
      <c r="AL112" s="59"/>
      <c r="AM112" s="59" t="s">
        <v>73</v>
      </c>
      <c r="AN112" s="59"/>
      <c r="AO112" s="59" t="s">
        <v>73</v>
      </c>
      <c r="AP112" s="59"/>
      <c r="AQ112" s="59" t="s">
        <v>73</v>
      </c>
      <c r="AR112" s="59"/>
      <c r="AS112" s="59" t="s">
        <v>72</v>
      </c>
      <c r="AT112" s="59"/>
      <c r="AU112" s="59"/>
      <c r="AV112" s="59"/>
      <c r="AW112" s="59"/>
      <c r="AX112" s="59"/>
      <c r="AY112" s="60" t="str">
        <f>IF('Cálculo MP'!K122="","",'Cálculo MP'!K122)</f>
        <v/>
      </c>
      <c r="AZ112" s="60" t="str">
        <f>IF('Cálculo MP'!L122="","",'Cálculo MP'!L122)</f>
        <v/>
      </c>
      <c r="BA112" s="60" t="str">
        <f>IF('Cálculo MP'!M122="","",'Cálculo MP'!M122)</f>
        <v/>
      </c>
      <c r="BB112" s="60" t="str">
        <f>IF('Cálculo MP'!N122="","",'Cálculo MP'!N122)</f>
        <v/>
      </c>
      <c r="BC112" s="60" t="str">
        <f>IF('Cálculo MP'!O122="","",'Cálculo MP'!O122)</f>
        <v/>
      </c>
      <c r="BD112" s="60" t="str">
        <f>IF('Cálculo MP'!P122="","",'Cálculo MP'!P122)</f>
        <v/>
      </c>
      <c r="BE112" s="60" t="str">
        <f>IF('Cálculo MP'!Q122="","",'Cálculo MP'!Q122)</f>
        <v/>
      </c>
      <c r="BF112" s="60" t="str">
        <f>IF('Cálculo MP'!R122="","",'Cálculo MP'!R122)</f>
        <v/>
      </c>
      <c r="BG112" s="60" t="str">
        <f>IF('Cálculo MP'!S122="","",'Cálculo MP'!S122)</f>
        <v/>
      </c>
      <c r="BH112" s="59"/>
      <c r="BI112" s="59"/>
      <c r="BJ112" s="59"/>
      <c r="BK112" s="59"/>
      <c r="BL112" s="59"/>
      <c r="BM112" s="59"/>
      <c r="BN112" s="59"/>
      <c r="BO112" s="59"/>
    </row>
    <row r="113" spans="1:67" ht="19.5" customHeight="1" x14ac:dyDescent="0.2">
      <c r="A113" s="114" t="s">
        <v>1789</v>
      </c>
      <c r="B113" s="113" t="s">
        <v>1787</v>
      </c>
      <c r="C113" s="122"/>
      <c r="D113" s="48" t="s">
        <v>73</v>
      </c>
      <c r="E113" s="49"/>
      <c r="F113" s="50"/>
      <c r="G113" s="62"/>
      <c r="H113" s="48" t="s">
        <v>72</v>
      </c>
      <c r="I113" s="52">
        <v>1</v>
      </c>
      <c r="J113" s="52"/>
      <c r="K113" s="52" t="s">
        <v>73</v>
      </c>
      <c r="L113" s="52" t="s">
        <v>74</v>
      </c>
      <c r="M113" s="53" t="s">
        <v>917</v>
      </c>
      <c r="N113" s="58" t="s">
        <v>73</v>
      </c>
      <c r="O113" s="48" t="s">
        <v>72</v>
      </c>
      <c r="P113" s="48" t="s">
        <v>73</v>
      </c>
      <c r="Q113" s="54" t="s">
        <v>73</v>
      </c>
      <c r="R113" s="55" t="s">
        <v>73</v>
      </c>
      <c r="S113" s="48" t="s">
        <v>73</v>
      </c>
      <c r="T113" s="121" t="str" cm="1">
        <f t="array" ref="T113">IF(ISNUMBER(SEARCH("SCHNEIDER",D113)),_xlfn.IFS(ISNUMBER(SEARCH("2 Querétaro",D113)),"SQ2",ISNUMBER(SEARCH("Xicohténcatl",D113)),"SXC",ISNUMBER(SEARCH("Rojo Gómez",D113)),"SRG",ISNUMBER(SEARCH("Tlaxcala",D113)),"STX",ISNUMBER(SEARCH("Monterrey",D113)),"SMY",ISNUMBER(SEARCH("Querétaro",D113)),"SQ1",ISNUMBER(SEARCH("CDMX",D113)),"SCM",TRUE,""),"")</f>
        <v/>
      </c>
      <c r="U113" s="48" t="str" cm="1">
        <f t="array" ref="U113">_xlfn.LET(_xlpm.resultados,_xlfn.UNIQUE(_xlfn._xlws.FILTER(Tabla1[Proceso],(Tabla1[Metal Base]=O113)*(Tabla1[Etiquetas]=_xlfn.TEXTJOIN(" + ",TRUE,IF((TRIM(Upload!P113:S113)="")+(LOWER(TRIM(Upload!P113:S113))="(seleccione)"),"",PROPER(TRIM(Upload!P113:S113)))))*(Tabla1[Línea2]=IFERROR(VLOOKUP(Upload!N113&amp;"*",CAT_Procesos!D:D,1,FALSE),"")))),_xlpm.cantidad,ROWS(_xlpm.resultados),IF(ISERROR(_xlpm.cantidad),"Combinación no existente",IF(_xlpm.cantidad=1,INDEX(_xlpm.resultados,1),"(seleccione)")))</f>
        <v>Combinación no existente</v>
      </c>
      <c r="V113" s="55" t="s">
        <v>73</v>
      </c>
      <c r="W113" s="56" t="s">
        <v>73</v>
      </c>
      <c r="X113" s="57" t="str">
        <f t="shared" si="4"/>
        <v/>
      </c>
      <c r="Y113" s="58" t="s">
        <v>73</v>
      </c>
      <c r="Z113" s="57" t="str">
        <f t="shared" si="5"/>
        <v/>
      </c>
      <c r="AA113" s="58" t="s">
        <v>73</v>
      </c>
      <c r="AB113" s="57" t="str">
        <f t="shared" si="6"/>
        <v/>
      </c>
      <c r="AC113" s="58" t="s">
        <v>73</v>
      </c>
      <c r="AD113" s="57" t="str">
        <f t="shared" si="7"/>
        <v/>
      </c>
      <c r="AE113" s="59"/>
      <c r="AF113" s="59"/>
      <c r="AG113" s="59"/>
      <c r="AH113" s="59"/>
      <c r="AI113" s="59" t="s">
        <v>73</v>
      </c>
      <c r="AJ113" s="59"/>
      <c r="AK113" s="59" t="s">
        <v>73</v>
      </c>
      <c r="AL113" s="59"/>
      <c r="AM113" s="59" t="s">
        <v>73</v>
      </c>
      <c r="AN113" s="59"/>
      <c r="AO113" s="59" t="s">
        <v>73</v>
      </c>
      <c r="AP113" s="59"/>
      <c r="AQ113" s="59" t="s">
        <v>73</v>
      </c>
      <c r="AR113" s="59"/>
      <c r="AS113" s="59" t="s">
        <v>72</v>
      </c>
      <c r="AT113" s="59"/>
      <c r="AU113" s="59"/>
      <c r="AV113" s="59"/>
      <c r="AW113" s="59"/>
      <c r="AX113" s="59"/>
      <c r="AY113" s="60" t="str">
        <f>IF('Cálculo MP'!K123="","",'Cálculo MP'!K123)</f>
        <v/>
      </c>
      <c r="AZ113" s="60" t="str">
        <f>IF('Cálculo MP'!L123="","",'Cálculo MP'!L123)</f>
        <v/>
      </c>
      <c r="BA113" s="60" t="str">
        <f>IF('Cálculo MP'!M123="","",'Cálculo MP'!M123)</f>
        <v/>
      </c>
      <c r="BB113" s="60" t="str">
        <f>IF('Cálculo MP'!N123="","",'Cálculo MP'!N123)</f>
        <v/>
      </c>
      <c r="BC113" s="60" t="str">
        <f>IF('Cálculo MP'!O123="","",'Cálculo MP'!O123)</f>
        <v/>
      </c>
      <c r="BD113" s="60" t="str">
        <f>IF('Cálculo MP'!P123="","",'Cálculo MP'!P123)</f>
        <v/>
      </c>
      <c r="BE113" s="60" t="str">
        <f>IF('Cálculo MP'!Q123="","",'Cálculo MP'!Q123)</f>
        <v/>
      </c>
      <c r="BF113" s="60" t="str">
        <f>IF('Cálculo MP'!R123="","",'Cálculo MP'!R123)</f>
        <v/>
      </c>
      <c r="BG113" s="60" t="str">
        <f>IF('Cálculo MP'!S123="","",'Cálculo MP'!S123)</f>
        <v/>
      </c>
      <c r="BH113" s="59"/>
      <c r="BI113" s="59"/>
      <c r="BJ113" s="59"/>
      <c r="BK113" s="59"/>
      <c r="BL113" s="59"/>
      <c r="BM113" s="59"/>
      <c r="BN113" s="59"/>
      <c r="BO113" s="59"/>
    </row>
    <row r="114" spans="1:67" ht="19.5" customHeight="1" x14ac:dyDescent="0.2">
      <c r="A114" s="114" t="s">
        <v>1789</v>
      </c>
      <c r="B114" s="113" t="s">
        <v>1787</v>
      </c>
      <c r="C114" s="122"/>
      <c r="D114" s="48" t="s">
        <v>73</v>
      </c>
      <c r="E114" s="49"/>
      <c r="F114" s="50"/>
      <c r="G114" s="62"/>
      <c r="H114" s="48" t="s">
        <v>72</v>
      </c>
      <c r="I114" s="52">
        <v>1</v>
      </c>
      <c r="J114" s="52"/>
      <c r="K114" s="52" t="s">
        <v>73</v>
      </c>
      <c r="L114" s="52" t="s">
        <v>74</v>
      </c>
      <c r="M114" s="53" t="s">
        <v>917</v>
      </c>
      <c r="N114" s="58" t="s">
        <v>73</v>
      </c>
      <c r="O114" s="48" t="s">
        <v>72</v>
      </c>
      <c r="P114" s="48" t="s">
        <v>73</v>
      </c>
      <c r="Q114" s="54" t="s">
        <v>73</v>
      </c>
      <c r="R114" s="55" t="s">
        <v>73</v>
      </c>
      <c r="S114" s="48" t="s">
        <v>73</v>
      </c>
      <c r="T114" s="121" t="str" cm="1">
        <f t="array" ref="T114">IF(ISNUMBER(SEARCH("SCHNEIDER",D114)),_xlfn.IFS(ISNUMBER(SEARCH("2 Querétaro",D114)),"SQ2",ISNUMBER(SEARCH("Xicohténcatl",D114)),"SXC",ISNUMBER(SEARCH("Rojo Gómez",D114)),"SRG",ISNUMBER(SEARCH("Tlaxcala",D114)),"STX",ISNUMBER(SEARCH("Monterrey",D114)),"SMY",ISNUMBER(SEARCH("Querétaro",D114)),"SQ1",ISNUMBER(SEARCH("CDMX",D114)),"SCM",TRUE,""),"")</f>
        <v/>
      </c>
      <c r="U114" s="48" t="str" cm="1">
        <f t="array" ref="U114">_xlfn.LET(_xlpm.resultados,_xlfn.UNIQUE(_xlfn._xlws.FILTER(Tabla1[Proceso],(Tabla1[Metal Base]=O114)*(Tabla1[Etiquetas]=_xlfn.TEXTJOIN(" + ",TRUE,IF((TRIM(Upload!P114:S114)="")+(LOWER(TRIM(Upload!P114:S114))="(seleccione)"),"",PROPER(TRIM(Upload!P114:S114)))))*(Tabla1[Línea2]=IFERROR(VLOOKUP(Upload!N114&amp;"*",CAT_Procesos!D:D,1,FALSE),"")))),_xlpm.cantidad,ROWS(_xlpm.resultados),IF(ISERROR(_xlpm.cantidad),"Combinación no existente",IF(_xlpm.cantidad=1,INDEX(_xlpm.resultados,1),"(seleccione)")))</f>
        <v>Combinación no existente</v>
      </c>
      <c r="V114" s="55" t="s">
        <v>73</v>
      </c>
      <c r="W114" s="56" t="s">
        <v>73</v>
      </c>
      <c r="X114" s="57" t="str">
        <f t="shared" si="4"/>
        <v/>
      </c>
      <c r="Y114" s="58" t="s">
        <v>73</v>
      </c>
      <c r="Z114" s="57" t="str">
        <f t="shared" si="5"/>
        <v/>
      </c>
      <c r="AA114" s="58" t="s">
        <v>73</v>
      </c>
      <c r="AB114" s="57" t="str">
        <f t="shared" si="6"/>
        <v/>
      </c>
      <c r="AC114" s="58" t="s">
        <v>73</v>
      </c>
      <c r="AD114" s="57" t="str">
        <f t="shared" si="7"/>
        <v/>
      </c>
      <c r="AE114" s="59"/>
      <c r="AF114" s="59"/>
      <c r="AG114" s="59"/>
      <c r="AH114" s="59"/>
      <c r="AI114" s="59" t="s">
        <v>73</v>
      </c>
      <c r="AJ114" s="59"/>
      <c r="AK114" s="59" t="s">
        <v>73</v>
      </c>
      <c r="AL114" s="59"/>
      <c r="AM114" s="59" t="s">
        <v>73</v>
      </c>
      <c r="AN114" s="59"/>
      <c r="AO114" s="59" t="s">
        <v>73</v>
      </c>
      <c r="AP114" s="59"/>
      <c r="AQ114" s="59" t="s">
        <v>73</v>
      </c>
      <c r="AR114" s="59"/>
      <c r="AS114" s="59" t="s">
        <v>72</v>
      </c>
      <c r="AT114" s="59"/>
      <c r="AU114" s="59"/>
      <c r="AV114" s="59"/>
      <c r="AW114" s="59"/>
      <c r="AX114" s="59"/>
      <c r="AY114" s="60" t="str">
        <f>IF('Cálculo MP'!K124="","",'Cálculo MP'!K124)</f>
        <v/>
      </c>
      <c r="AZ114" s="60" t="str">
        <f>IF('Cálculo MP'!L124="","",'Cálculo MP'!L124)</f>
        <v/>
      </c>
      <c r="BA114" s="60" t="str">
        <f>IF('Cálculo MP'!M124="","",'Cálculo MP'!M124)</f>
        <v/>
      </c>
      <c r="BB114" s="60" t="str">
        <f>IF('Cálculo MP'!N124="","",'Cálculo MP'!N124)</f>
        <v/>
      </c>
      <c r="BC114" s="60" t="str">
        <f>IF('Cálculo MP'!O124="","",'Cálculo MP'!O124)</f>
        <v/>
      </c>
      <c r="BD114" s="60" t="str">
        <f>IF('Cálculo MP'!P124="","",'Cálculo MP'!P124)</f>
        <v/>
      </c>
      <c r="BE114" s="60" t="str">
        <f>IF('Cálculo MP'!Q124="","",'Cálculo MP'!Q124)</f>
        <v/>
      </c>
      <c r="BF114" s="60" t="str">
        <f>IF('Cálculo MP'!R124="","",'Cálculo MP'!R124)</f>
        <v/>
      </c>
      <c r="BG114" s="60" t="str">
        <f>IF('Cálculo MP'!S124="","",'Cálculo MP'!S124)</f>
        <v/>
      </c>
      <c r="BH114" s="59"/>
      <c r="BI114" s="59"/>
      <c r="BJ114" s="59"/>
      <c r="BK114" s="59"/>
      <c r="BL114" s="59"/>
      <c r="BM114" s="59"/>
      <c r="BN114" s="59"/>
      <c r="BO114" s="59"/>
    </row>
    <row r="115" spans="1:67" ht="19.5" customHeight="1" x14ac:dyDescent="0.2">
      <c r="A115" s="114" t="s">
        <v>1789</v>
      </c>
      <c r="B115" s="113" t="s">
        <v>1787</v>
      </c>
      <c r="C115" s="122"/>
      <c r="D115" s="48" t="s">
        <v>73</v>
      </c>
      <c r="E115" s="49"/>
      <c r="F115" s="50"/>
      <c r="G115" s="62"/>
      <c r="H115" s="48" t="s">
        <v>72</v>
      </c>
      <c r="I115" s="52">
        <v>1</v>
      </c>
      <c r="J115" s="52"/>
      <c r="K115" s="52" t="s">
        <v>73</v>
      </c>
      <c r="L115" s="52" t="s">
        <v>74</v>
      </c>
      <c r="M115" s="53" t="s">
        <v>917</v>
      </c>
      <c r="N115" s="58" t="s">
        <v>73</v>
      </c>
      <c r="O115" s="48" t="s">
        <v>72</v>
      </c>
      <c r="P115" s="48" t="s">
        <v>73</v>
      </c>
      <c r="Q115" s="54" t="s">
        <v>73</v>
      </c>
      <c r="R115" s="55" t="s">
        <v>73</v>
      </c>
      <c r="S115" s="48" t="s">
        <v>73</v>
      </c>
      <c r="T115" s="121" t="str" cm="1">
        <f t="array" ref="T115">IF(ISNUMBER(SEARCH("SCHNEIDER",D115)),_xlfn.IFS(ISNUMBER(SEARCH("2 Querétaro",D115)),"SQ2",ISNUMBER(SEARCH("Xicohténcatl",D115)),"SXC",ISNUMBER(SEARCH("Rojo Gómez",D115)),"SRG",ISNUMBER(SEARCH("Tlaxcala",D115)),"STX",ISNUMBER(SEARCH("Monterrey",D115)),"SMY",ISNUMBER(SEARCH("Querétaro",D115)),"SQ1",ISNUMBER(SEARCH("CDMX",D115)),"SCM",TRUE,""),"")</f>
        <v/>
      </c>
      <c r="U115" s="48" t="str" cm="1">
        <f t="array" ref="U115">_xlfn.LET(_xlpm.resultados,_xlfn.UNIQUE(_xlfn._xlws.FILTER(Tabla1[Proceso],(Tabla1[Metal Base]=O115)*(Tabla1[Etiquetas]=_xlfn.TEXTJOIN(" + ",TRUE,IF((TRIM(Upload!P115:S115)="")+(LOWER(TRIM(Upload!P115:S115))="(seleccione)"),"",PROPER(TRIM(Upload!P115:S115)))))*(Tabla1[Línea2]=IFERROR(VLOOKUP(Upload!N115&amp;"*",CAT_Procesos!D:D,1,FALSE),"")))),_xlpm.cantidad,ROWS(_xlpm.resultados),IF(ISERROR(_xlpm.cantidad),"Combinación no existente",IF(_xlpm.cantidad=1,INDEX(_xlpm.resultados,1),"(seleccione)")))</f>
        <v>Combinación no existente</v>
      </c>
      <c r="V115" s="55" t="s">
        <v>73</v>
      </c>
      <c r="W115" s="56" t="s">
        <v>73</v>
      </c>
      <c r="X115" s="57" t="str">
        <f t="shared" si="4"/>
        <v/>
      </c>
      <c r="Y115" s="58" t="s">
        <v>73</v>
      </c>
      <c r="Z115" s="57" t="str">
        <f t="shared" si="5"/>
        <v/>
      </c>
      <c r="AA115" s="58" t="s">
        <v>73</v>
      </c>
      <c r="AB115" s="57" t="str">
        <f t="shared" si="6"/>
        <v/>
      </c>
      <c r="AC115" s="58" t="s">
        <v>73</v>
      </c>
      <c r="AD115" s="57" t="str">
        <f t="shared" si="7"/>
        <v/>
      </c>
      <c r="AE115" s="59"/>
      <c r="AF115" s="59"/>
      <c r="AG115" s="59"/>
      <c r="AH115" s="59"/>
      <c r="AI115" s="59" t="s">
        <v>73</v>
      </c>
      <c r="AJ115" s="59"/>
      <c r="AK115" s="59" t="s">
        <v>73</v>
      </c>
      <c r="AL115" s="59"/>
      <c r="AM115" s="59" t="s">
        <v>73</v>
      </c>
      <c r="AN115" s="59"/>
      <c r="AO115" s="59" t="s">
        <v>73</v>
      </c>
      <c r="AP115" s="59"/>
      <c r="AQ115" s="59" t="s">
        <v>73</v>
      </c>
      <c r="AR115" s="59"/>
      <c r="AS115" s="59" t="s">
        <v>72</v>
      </c>
      <c r="AT115" s="59"/>
      <c r="AU115" s="59"/>
      <c r="AV115" s="59"/>
      <c r="AW115" s="59"/>
      <c r="AX115" s="59"/>
      <c r="AY115" s="60" t="str">
        <f>IF('Cálculo MP'!K125="","",'Cálculo MP'!K125)</f>
        <v/>
      </c>
      <c r="AZ115" s="60" t="str">
        <f>IF('Cálculo MP'!L125="","",'Cálculo MP'!L125)</f>
        <v/>
      </c>
      <c r="BA115" s="60" t="str">
        <f>IF('Cálculo MP'!M125="","",'Cálculo MP'!M125)</f>
        <v/>
      </c>
      <c r="BB115" s="60" t="str">
        <f>IF('Cálculo MP'!N125="","",'Cálculo MP'!N125)</f>
        <v/>
      </c>
      <c r="BC115" s="60" t="str">
        <f>IF('Cálculo MP'!O125="","",'Cálculo MP'!O125)</f>
        <v/>
      </c>
      <c r="BD115" s="60" t="str">
        <f>IF('Cálculo MP'!P125="","",'Cálculo MP'!P125)</f>
        <v/>
      </c>
      <c r="BE115" s="60" t="str">
        <f>IF('Cálculo MP'!Q125="","",'Cálculo MP'!Q125)</f>
        <v/>
      </c>
      <c r="BF115" s="60" t="str">
        <f>IF('Cálculo MP'!R125="","",'Cálculo MP'!R125)</f>
        <v/>
      </c>
      <c r="BG115" s="60" t="str">
        <f>IF('Cálculo MP'!S125="","",'Cálculo MP'!S125)</f>
        <v/>
      </c>
      <c r="BH115" s="59"/>
      <c r="BI115" s="59"/>
      <c r="BJ115" s="59"/>
      <c r="BK115" s="59"/>
      <c r="BL115" s="59"/>
      <c r="BM115" s="59"/>
      <c r="BN115" s="59"/>
      <c r="BO115" s="59"/>
    </row>
    <row r="116" spans="1:67" ht="19.5" customHeight="1" x14ac:dyDescent="0.2">
      <c r="A116" s="114" t="s">
        <v>1789</v>
      </c>
      <c r="B116" s="113" t="s">
        <v>1787</v>
      </c>
      <c r="C116" s="122"/>
      <c r="D116" s="48" t="s">
        <v>73</v>
      </c>
      <c r="E116" s="49"/>
      <c r="F116" s="50"/>
      <c r="G116" s="62"/>
      <c r="H116" s="48" t="s">
        <v>72</v>
      </c>
      <c r="I116" s="52">
        <v>1</v>
      </c>
      <c r="J116" s="52"/>
      <c r="K116" s="52" t="s">
        <v>73</v>
      </c>
      <c r="L116" s="52" t="s">
        <v>74</v>
      </c>
      <c r="M116" s="53" t="s">
        <v>917</v>
      </c>
      <c r="N116" s="58" t="s">
        <v>73</v>
      </c>
      <c r="O116" s="48" t="s">
        <v>72</v>
      </c>
      <c r="P116" s="48" t="s">
        <v>73</v>
      </c>
      <c r="Q116" s="54" t="s">
        <v>73</v>
      </c>
      <c r="R116" s="55" t="s">
        <v>73</v>
      </c>
      <c r="S116" s="48" t="s">
        <v>73</v>
      </c>
      <c r="T116" s="121" t="str" cm="1">
        <f t="array" ref="T116">IF(ISNUMBER(SEARCH("SCHNEIDER",D116)),_xlfn.IFS(ISNUMBER(SEARCH("2 Querétaro",D116)),"SQ2",ISNUMBER(SEARCH("Xicohténcatl",D116)),"SXC",ISNUMBER(SEARCH("Rojo Gómez",D116)),"SRG",ISNUMBER(SEARCH("Tlaxcala",D116)),"STX",ISNUMBER(SEARCH("Monterrey",D116)),"SMY",ISNUMBER(SEARCH("Querétaro",D116)),"SQ1",ISNUMBER(SEARCH("CDMX",D116)),"SCM",TRUE,""),"")</f>
        <v/>
      </c>
      <c r="U116" s="48" t="str" cm="1">
        <f t="array" ref="U116">_xlfn.LET(_xlpm.resultados,_xlfn.UNIQUE(_xlfn._xlws.FILTER(Tabla1[Proceso],(Tabla1[Metal Base]=O116)*(Tabla1[Etiquetas]=_xlfn.TEXTJOIN(" + ",TRUE,IF((TRIM(Upload!P116:S116)="")+(LOWER(TRIM(Upload!P116:S116))="(seleccione)"),"",PROPER(TRIM(Upload!P116:S116)))))*(Tabla1[Línea2]=IFERROR(VLOOKUP(Upload!N116&amp;"*",CAT_Procesos!D:D,1,FALSE),"")))),_xlpm.cantidad,ROWS(_xlpm.resultados),IF(ISERROR(_xlpm.cantidad),"Combinación no existente",IF(_xlpm.cantidad=1,INDEX(_xlpm.resultados,1),"(seleccione)")))</f>
        <v>Combinación no existente</v>
      </c>
      <c r="V116" s="55" t="s">
        <v>73</v>
      </c>
      <c r="W116" s="56" t="s">
        <v>73</v>
      </c>
      <c r="X116" s="57" t="str">
        <f t="shared" si="4"/>
        <v/>
      </c>
      <c r="Y116" s="58" t="s">
        <v>73</v>
      </c>
      <c r="Z116" s="57" t="str">
        <f t="shared" si="5"/>
        <v/>
      </c>
      <c r="AA116" s="58" t="s">
        <v>73</v>
      </c>
      <c r="AB116" s="57" t="str">
        <f t="shared" si="6"/>
        <v/>
      </c>
      <c r="AC116" s="58" t="s">
        <v>73</v>
      </c>
      <c r="AD116" s="57" t="str">
        <f t="shared" si="7"/>
        <v/>
      </c>
      <c r="AE116" s="59"/>
      <c r="AF116" s="59"/>
      <c r="AG116" s="59"/>
      <c r="AH116" s="59"/>
      <c r="AI116" s="59" t="s">
        <v>73</v>
      </c>
      <c r="AJ116" s="59"/>
      <c r="AK116" s="59" t="s">
        <v>73</v>
      </c>
      <c r="AL116" s="59"/>
      <c r="AM116" s="59" t="s">
        <v>73</v>
      </c>
      <c r="AN116" s="59"/>
      <c r="AO116" s="59" t="s">
        <v>73</v>
      </c>
      <c r="AP116" s="59"/>
      <c r="AQ116" s="59" t="s">
        <v>73</v>
      </c>
      <c r="AR116" s="59"/>
      <c r="AS116" s="59" t="s">
        <v>72</v>
      </c>
      <c r="AT116" s="59"/>
      <c r="AU116" s="59"/>
      <c r="AV116" s="59"/>
      <c r="AW116" s="59"/>
      <c r="AX116" s="59"/>
      <c r="AY116" s="60" t="str">
        <f>IF('Cálculo MP'!K126="","",'Cálculo MP'!K126)</f>
        <v/>
      </c>
      <c r="AZ116" s="60" t="str">
        <f>IF('Cálculo MP'!L126="","",'Cálculo MP'!L126)</f>
        <v/>
      </c>
      <c r="BA116" s="60" t="str">
        <f>IF('Cálculo MP'!M126="","",'Cálculo MP'!M126)</f>
        <v/>
      </c>
      <c r="BB116" s="60" t="str">
        <f>IF('Cálculo MP'!N126="","",'Cálculo MP'!N126)</f>
        <v/>
      </c>
      <c r="BC116" s="60" t="str">
        <f>IF('Cálculo MP'!O126="","",'Cálculo MP'!O126)</f>
        <v/>
      </c>
      <c r="BD116" s="60" t="str">
        <f>IF('Cálculo MP'!P126="","",'Cálculo MP'!P126)</f>
        <v/>
      </c>
      <c r="BE116" s="60" t="str">
        <f>IF('Cálculo MP'!Q126="","",'Cálculo MP'!Q126)</f>
        <v/>
      </c>
      <c r="BF116" s="60" t="str">
        <f>IF('Cálculo MP'!R126="","",'Cálculo MP'!R126)</f>
        <v/>
      </c>
      <c r="BG116" s="60" t="str">
        <f>IF('Cálculo MP'!S126="","",'Cálculo MP'!S126)</f>
        <v/>
      </c>
      <c r="BH116" s="59"/>
      <c r="BI116" s="59"/>
      <c r="BJ116" s="59"/>
      <c r="BK116" s="59"/>
      <c r="BL116" s="59"/>
      <c r="BM116" s="59"/>
      <c r="BN116" s="59"/>
      <c r="BO116" s="59"/>
    </row>
    <row r="117" spans="1:67" ht="19.5" customHeight="1" x14ac:dyDescent="0.2">
      <c r="A117" s="114" t="s">
        <v>1789</v>
      </c>
      <c r="B117" s="113" t="s">
        <v>1787</v>
      </c>
      <c r="C117" s="122"/>
      <c r="D117" s="48" t="s">
        <v>73</v>
      </c>
      <c r="E117" s="49"/>
      <c r="F117" s="50"/>
      <c r="G117" s="62"/>
      <c r="H117" s="48" t="s">
        <v>72</v>
      </c>
      <c r="I117" s="52">
        <v>1</v>
      </c>
      <c r="J117" s="52"/>
      <c r="K117" s="52" t="s">
        <v>73</v>
      </c>
      <c r="L117" s="52" t="s">
        <v>74</v>
      </c>
      <c r="M117" s="53" t="s">
        <v>917</v>
      </c>
      <c r="N117" s="58" t="s">
        <v>73</v>
      </c>
      <c r="O117" s="48" t="s">
        <v>72</v>
      </c>
      <c r="P117" s="48" t="s">
        <v>73</v>
      </c>
      <c r="Q117" s="54" t="s">
        <v>73</v>
      </c>
      <c r="R117" s="55" t="s">
        <v>73</v>
      </c>
      <c r="S117" s="48" t="s">
        <v>73</v>
      </c>
      <c r="T117" s="121" t="str" cm="1">
        <f t="array" ref="T117">IF(ISNUMBER(SEARCH("SCHNEIDER",D117)),_xlfn.IFS(ISNUMBER(SEARCH("2 Querétaro",D117)),"SQ2",ISNUMBER(SEARCH("Xicohténcatl",D117)),"SXC",ISNUMBER(SEARCH("Rojo Gómez",D117)),"SRG",ISNUMBER(SEARCH("Tlaxcala",D117)),"STX",ISNUMBER(SEARCH("Monterrey",D117)),"SMY",ISNUMBER(SEARCH("Querétaro",D117)),"SQ1",ISNUMBER(SEARCH("CDMX",D117)),"SCM",TRUE,""),"")</f>
        <v/>
      </c>
      <c r="U117" s="48" t="str" cm="1">
        <f t="array" ref="U117">_xlfn.LET(_xlpm.resultados,_xlfn.UNIQUE(_xlfn._xlws.FILTER(Tabla1[Proceso],(Tabla1[Metal Base]=O117)*(Tabla1[Etiquetas]=_xlfn.TEXTJOIN(" + ",TRUE,IF((TRIM(Upload!P117:S117)="")+(LOWER(TRIM(Upload!P117:S117))="(seleccione)"),"",PROPER(TRIM(Upload!P117:S117)))))*(Tabla1[Línea2]=IFERROR(VLOOKUP(Upload!N117&amp;"*",CAT_Procesos!D:D,1,FALSE),"")))),_xlpm.cantidad,ROWS(_xlpm.resultados),IF(ISERROR(_xlpm.cantidad),"Combinación no existente",IF(_xlpm.cantidad=1,INDEX(_xlpm.resultados,1),"(seleccione)")))</f>
        <v>Combinación no existente</v>
      </c>
      <c r="V117" s="55" t="s">
        <v>73</v>
      </c>
      <c r="W117" s="56" t="s">
        <v>73</v>
      </c>
      <c r="X117" s="57" t="str">
        <f t="shared" si="4"/>
        <v/>
      </c>
      <c r="Y117" s="58" t="s">
        <v>73</v>
      </c>
      <c r="Z117" s="57" t="str">
        <f t="shared" si="5"/>
        <v/>
      </c>
      <c r="AA117" s="58" t="s">
        <v>73</v>
      </c>
      <c r="AB117" s="57" t="str">
        <f t="shared" si="6"/>
        <v/>
      </c>
      <c r="AC117" s="58" t="s">
        <v>73</v>
      </c>
      <c r="AD117" s="57" t="str">
        <f t="shared" si="7"/>
        <v/>
      </c>
      <c r="AE117" s="59"/>
      <c r="AF117" s="59"/>
      <c r="AG117" s="59"/>
      <c r="AH117" s="59"/>
      <c r="AI117" s="59" t="s">
        <v>73</v>
      </c>
      <c r="AJ117" s="59"/>
      <c r="AK117" s="59" t="s">
        <v>73</v>
      </c>
      <c r="AL117" s="59"/>
      <c r="AM117" s="59" t="s">
        <v>73</v>
      </c>
      <c r="AN117" s="59"/>
      <c r="AO117" s="59" t="s">
        <v>73</v>
      </c>
      <c r="AP117" s="59"/>
      <c r="AQ117" s="59" t="s">
        <v>73</v>
      </c>
      <c r="AR117" s="59"/>
      <c r="AS117" s="59" t="s">
        <v>72</v>
      </c>
      <c r="AT117" s="59"/>
      <c r="AU117" s="59"/>
      <c r="AV117" s="59"/>
      <c r="AW117" s="59"/>
      <c r="AX117" s="59"/>
      <c r="AY117" s="60" t="str">
        <f>IF('Cálculo MP'!K127="","",'Cálculo MP'!K127)</f>
        <v/>
      </c>
      <c r="AZ117" s="60" t="str">
        <f>IF('Cálculo MP'!L127="","",'Cálculo MP'!L127)</f>
        <v/>
      </c>
      <c r="BA117" s="60" t="str">
        <f>IF('Cálculo MP'!M127="","",'Cálculo MP'!M127)</f>
        <v/>
      </c>
      <c r="BB117" s="60" t="str">
        <f>IF('Cálculo MP'!N127="","",'Cálculo MP'!N127)</f>
        <v/>
      </c>
      <c r="BC117" s="60" t="str">
        <f>IF('Cálculo MP'!O127="","",'Cálculo MP'!O127)</f>
        <v/>
      </c>
      <c r="BD117" s="60" t="str">
        <f>IF('Cálculo MP'!P127="","",'Cálculo MP'!P127)</f>
        <v/>
      </c>
      <c r="BE117" s="60" t="str">
        <f>IF('Cálculo MP'!Q127="","",'Cálculo MP'!Q127)</f>
        <v/>
      </c>
      <c r="BF117" s="60" t="str">
        <f>IF('Cálculo MP'!R127="","",'Cálculo MP'!R127)</f>
        <v/>
      </c>
      <c r="BG117" s="60" t="str">
        <f>IF('Cálculo MP'!S127="","",'Cálculo MP'!S127)</f>
        <v/>
      </c>
      <c r="BH117" s="59"/>
      <c r="BI117" s="59"/>
      <c r="BJ117" s="59"/>
      <c r="BK117" s="59"/>
      <c r="BL117" s="59"/>
      <c r="BM117" s="59"/>
      <c r="BN117" s="59"/>
      <c r="BO117" s="59"/>
    </row>
    <row r="118" spans="1:67" ht="19.5" customHeight="1" x14ac:dyDescent="0.2">
      <c r="A118" s="114" t="s">
        <v>1789</v>
      </c>
      <c r="B118" s="113" t="s">
        <v>1787</v>
      </c>
      <c r="C118" s="122"/>
      <c r="D118" s="48" t="s">
        <v>73</v>
      </c>
      <c r="E118" s="49"/>
      <c r="F118" s="50"/>
      <c r="G118" s="62"/>
      <c r="H118" s="48" t="s">
        <v>72</v>
      </c>
      <c r="I118" s="52">
        <v>1</v>
      </c>
      <c r="J118" s="52"/>
      <c r="K118" s="52" t="s">
        <v>73</v>
      </c>
      <c r="L118" s="52" t="s">
        <v>74</v>
      </c>
      <c r="M118" s="53" t="s">
        <v>917</v>
      </c>
      <c r="N118" s="58" t="s">
        <v>73</v>
      </c>
      <c r="O118" s="48" t="s">
        <v>72</v>
      </c>
      <c r="P118" s="48" t="s">
        <v>73</v>
      </c>
      <c r="Q118" s="54" t="s">
        <v>73</v>
      </c>
      <c r="R118" s="55" t="s">
        <v>73</v>
      </c>
      <c r="S118" s="48" t="s">
        <v>73</v>
      </c>
      <c r="T118" s="121" t="str" cm="1">
        <f t="array" ref="T118">IF(ISNUMBER(SEARCH("SCHNEIDER",D118)),_xlfn.IFS(ISNUMBER(SEARCH("2 Querétaro",D118)),"SQ2",ISNUMBER(SEARCH("Xicohténcatl",D118)),"SXC",ISNUMBER(SEARCH("Rojo Gómez",D118)),"SRG",ISNUMBER(SEARCH("Tlaxcala",D118)),"STX",ISNUMBER(SEARCH("Monterrey",D118)),"SMY",ISNUMBER(SEARCH("Querétaro",D118)),"SQ1",ISNUMBER(SEARCH("CDMX",D118)),"SCM",TRUE,""),"")</f>
        <v/>
      </c>
      <c r="U118" s="48" t="str" cm="1">
        <f t="array" ref="U118">_xlfn.LET(_xlpm.resultados,_xlfn.UNIQUE(_xlfn._xlws.FILTER(Tabla1[Proceso],(Tabla1[Metal Base]=O118)*(Tabla1[Etiquetas]=_xlfn.TEXTJOIN(" + ",TRUE,IF((TRIM(Upload!P118:S118)="")+(LOWER(TRIM(Upload!P118:S118))="(seleccione)"),"",PROPER(TRIM(Upload!P118:S118)))))*(Tabla1[Línea2]=IFERROR(VLOOKUP(Upload!N118&amp;"*",CAT_Procesos!D:D,1,FALSE),"")))),_xlpm.cantidad,ROWS(_xlpm.resultados),IF(ISERROR(_xlpm.cantidad),"Combinación no existente",IF(_xlpm.cantidad=1,INDEX(_xlpm.resultados,1),"(seleccione)")))</f>
        <v>Combinación no existente</v>
      </c>
      <c r="V118" s="55" t="s">
        <v>73</v>
      </c>
      <c r="W118" s="56" t="s">
        <v>73</v>
      </c>
      <c r="X118" s="57" t="str">
        <f t="shared" si="4"/>
        <v/>
      </c>
      <c r="Y118" s="58" t="s">
        <v>73</v>
      </c>
      <c r="Z118" s="57" t="str">
        <f t="shared" si="5"/>
        <v/>
      </c>
      <c r="AA118" s="58" t="s">
        <v>73</v>
      </c>
      <c r="AB118" s="57" t="str">
        <f t="shared" si="6"/>
        <v/>
      </c>
      <c r="AC118" s="58" t="s">
        <v>73</v>
      </c>
      <c r="AD118" s="57" t="str">
        <f t="shared" si="7"/>
        <v/>
      </c>
      <c r="AE118" s="59"/>
      <c r="AF118" s="59"/>
      <c r="AG118" s="59"/>
      <c r="AH118" s="59"/>
      <c r="AI118" s="59" t="s">
        <v>73</v>
      </c>
      <c r="AJ118" s="59"/>
      <c r="AK118" s="59" t="s">
        <v>73</v>
      </c>
      <c r="AL118" s="59"/>
      <c r="AM118" s="59" t="s">
        <v>73</v>
      </c>
      <c r="AN118" s="59"/>
      <c r="AO118" s="59" t="s">
        <v>73</v>
      </c>
      <c r="AP118" s="59"/>
      <c r="AQ118" s="59" t="s">
        <v>73</v>
      </c>
      <c r="AR118" s="59"/>
      <c r="AS118" s="59" t="s">
        <v>72</v>
      </c>
      <c r="AT118" s="59"/>
      <c r="AU118" s="59"/>
      <c r="AV118" s="59"/>
      <c r="AW118" s="59"/>
      <c r="AX118" s="59"/>
      <c r="AY118" s="60" t="str">
        <f>IF('Cálculo MP'!K128="","",'Cálculo MP'!K128)</f>
        <v/>
      </c>
      <c r="AZ118" s="60" t="str">
        <f>IF('Cálculo MP'!L128="","",'Cálculo MP'!L128)</f>
        <v/>
      </c>
      <c r="BA118" s="60" t="str">
        <f>IF('Cálculo MP'!M128="","",'Cálculo MP'!M128)</f>
        <v/>
      </c>
      <c r="BB118" s="60" t="str">
        <f>IF('Cálculo MP'!N128="","",'Cálculo MP'!N128)</f>
        <v/>
      </c>
      <c r="BC118" s="60" t="str">
        <f>IF('Cálculo MP'!O128="","",'Cálculo MP'!O128)</f>
        <v/>
      </c>
      <c r="BD118" s="60" t="str">
        <f>IF('Cálculo MP'!P128="","",'Cálculo MP'!P128)</f>
        <v/>
      </c>
      <c r="BE118" s="60" t="str">
        <f>IF('Cálculo MP'!Q128="","",'Cálculo MP'!Q128)</f>
        <v/>
      </c>
      <c r="BF118" s="60" t="str">
        <f>IF('Cálculo MP'!R128="","",'Cálculo MP'!R128)</f>
        <v/>
      </c>
      <c r="BG118" s="60" t="str">
        <f>IF('Cálculo MP'!S128="","",'Cálculo MP'!S128)</f>
        <v/>
      </c>
      <c r="BH118" s="59"/>
      <c r="BI118" s="59"/>
      <c r="BJ118" s="59"/>
      <c r="BK118" s="59"/>
      <c r="BL118" s="59"/>
      <c r="BM118" s="59"/>
      <c r="BN118" s="59"/>
      <c r="BO118" s="59"/>
    </row>
    <row r="119" spans="1:67" ht="19.5" customHeight="1" x14ac:dyDescent="0.2">
      <c r="A119" s="114" t="s">
        <v>1789</v>
      </c>
      <c r="B119" s="113" t="s">
        <v>1787</v>
      </c>
      <c r="C119" s="122"/>
      <c r="D119" s="48" t="s">
        <v>73</v>
      </c>
      <c r="E119" s="49"/>
      <c r="F119" s="50"/>
      <c r="G119" s="62"/>
      <c r="H119" s="48" t="s">
        <v>72</v>
      </c>
      <c r="I119" s="52">
        <v>1</v>
      </c>
      <c r="J119" s="52"/>
      <c r="K119" s="52" t="s">
        <v>73</v>
      </c>
      <c r="L119" s="52" t="s">
        <v>74</v>
      </c>
      <c r="M119" s="53" t="s">
        <v>917</v>
      </c>
      <c r="N119" s="58" t="s">
        <v>73</v>
      </c>
      <c r="O119" s="48" t="s">
        <v>72</v>
      </c>
      <c r="P119" s="48" t="s">
        <v>73</v>
      </c>
      <c r="Q119" s="54" t="s">
        <v>73</v>
      </c>
      <c r="R119" s="55" t="s">
        <v>73</v>
      </c>
      <c r="S119" s="48" t="s">
        <v>73</v>
      </c>
      <c r="T119" s="121" t="str" cm="1">
        <f t="array" ref="T119">IF(ISNUMBER(SEARCH("SCHNEIDER",D119)),_xlfn.IFS(ISNUMBER(SEARCH("2 Querétaro",D119)),"SQ2",ISNUMBER(SEARCH("Xicohténcatl",D119)),"SXC",ISNUMBER(SEARCH("Rojo Gómez",D119)),"SRG",ISNUMBER(SEARCH("Tlaxcala",D119)),"STX",ISNUMBER(SEARCH("Monterrey",D119)),"SMY",ISNUMBER(SEARCH("Querétaro",D119)),"SQ1",ISNUMBER(SEARCH("CDMX",D119)),"SCM",TRUE,""),"")</f>
        <v/>
      </c>
      <c r="U119" s="48" t="str" cm="1">
        <f t="array" ref="U119">_xlfn.LET(_xlpm.resultados,_xlfn.UNIQUE(_xlfn._xlws.FILTER(Tabla1[Proceso],(Tabla1[Metal Base]=O119)*(Tabla1[Etiquetas]=_xlfn.TEXTJOIN(" + ",TRUE,IF((TRIM(Upload!P119:S119)="")+(LOWER(TRIM(Upload!P119:S119))="(seleccione)"),"",PROPER(TRIM(Upload!P119:S119)))))*(Tabla1[Línea2]=IFERROR(VLOOKUP(Upload!N119&amp;"*",CAT_Procesos!D:D,1,FALSE),"")))),_xlpm.cantidad,ROWS(_xlpm.resultados),IF(ISERROR(_xlpm.cantidad),"Combinación no existente",IF(_xlpm.cantidad=1,INDEX(_xlpm.resultados,1),"(seleccione)")))</f>
        <v>Combinación no existente</v>
      </c>
      <c r="V119" s="55" t="s">
        <v>73</v>
      </c>
      <c r="W119" s="56" t="s">
        <v>73</v>
      </c>
      <c r="X119" s="57" t="str">
        <f t="shared" si="4"/>
        <v/>
      </c>
      <c r="Y119" s="58" t="s">
        <v>73</v>
      </c>
      <c r="Z119" s="57" t="str">
        <f t="shared" si="5"/>
        <v/>
      </c>
      <c r="AA119" s="58" t="s">
        <v>73</v>
      </c>
      <c r="AB119" s="57" t="str">
        <f t="shared" si="6"/>
        <v/>
      </c>
      <c r="AC119" s="58" t="s">
        <v>73</v>
      </c>
      <c r="AD119" s="57" t="str">
        <f t="shared" si="7"/>
        <v/>
      </c>
      <c r="AE119" s="59"/>
      <c r="AF119" s="59"/>
      <c r="AG119" s="59"/>
      <c r="AH119" s="59"/>
      <c r="AI119" s="59" t="s">
        <v>73</v>
      </c>
      <c r="AJ119" s="59"/>
      <c r="AK119" s="59" t="s">
        <v>73</v>
      </c>
      <c r="AL119" s="59"/>
      <c r="AM119" s="59" t="s">
        <v>73</v>
      </c>
      <c r="AN119" s="59"/>
      <c r="AO119" s="59" t="s">
        <v>73</v>
      </c>
      <c r="AP119" s="59"/>
      <c r="AQ119" s="59" t="s">
        <v>73</v>
      </c>
      <c r="AR119" s="59"/>
      <c r="AS119" s="59" t="s">
        <v>72</v>
      </c>
      <c r="AT119" s="59"/>
      <c r="AU119" s="59"/>
      <c r="AV119" s="59"/>
      <c r="AW119" s="59"/>
      <c r="AX119" s="59"/>
      <c r="AY119" s="60" t="str">
        <f>IF('Cálculo MP'!K129="","",'Cálculo MP'!K129)</f>
        <v/>
      </c>
      <c r="AZ119" s="60" t="str">
        <f>IF('Cálculo MP'!L129="","",'Cálculo MP'!L129)</f>
        <v/>
      </c>
      <c r="BA119" s="60" t="str">
        <f>IF('Cálculo MP'!M129="","",'Cálculo MP'!M129)</f>
        <v/>
      </c>
      <c r="BB119" s="60" t="str">
        <f>IF('Cálculo MP'!N129="","",'Cálculo MP'!N129)</f>
        <v/>
      </c>
      <c r="BC119" s="60" t="str">
        <f>IF('Cálculo MP'!O129="","",'Cálculo MP'!O129)</f>
        <v/>
      </c>
      <c r="BD119" s="60" t="str">
        <f>IF('Cálculo MP'!P129="","",'Cálculo MP'!P129)</f>
        <v/>
      </c>
      <c r="BE119" s="60" t="str">
        <f>IF('Cálculo MP'!Q129="","",'Cálculo MP'!Q129)</f>
        <v/>
      </c>
      <c r="BF119" s="60" t="str">
        <f>IF('Cálculo MP'!R129="","",'Cálculo MP'!R129)</f>
        <v/>
      </c>
      <c r="BG119" s="60" t="str">
        <f>IF('Cálculo MP'!S129="","",'Cálculo MP'!S129)</f>
        <v/>
      </c>
      <c r="BH119" s="59"/>
      <c r="BI119" s="59"/>
      <c r="BJ119" s="59"/>
      <c r="BK119" s="59"/>
      <c r="BL119" s="59"/>
      <c r="BM119" s="59"/>
      <c r="BN119" s="59"/>
      <c r="BO119" s="59"/>
    </row>
    <row r="120" spans="1:67" ht="19.5" customHeight="1" x14ac:dyDescent="0.2">
      <c r="A120" s="114" t="s">
        <v>1789</v>
      </c>
      <c r="B120" s="113" t="s">
        <v>1787</v>
      </c>
      <c r="C120" s="122"/>
      <c r="D120" s="48" t="s">
        <v>73</v>
      </c>
      <c r="E120" s="49"/>
      <c r="F120" s="50"/>
      <c r="G120" s="62"/>
      <c r="H120" s="48" t="s">
        <v>72</v>
      </c>
      <c r="I120" s="52">
        <v>1</v>
      </c>
      <c r="J120" s="52"/>
      <c r="K120" s="52" t="s">
        <v>73</v>
      </c>
      <c r="L120" s="52" t="s">
        <v>74</v>
      </c>
      <c r="M120" s="53" t="s">
        <v>917</v>
      </c>
      <c r="N120" s="58" t="s">
        <v>73</v>
      </c>
      <c r="O120" s="48" t="s">
        <v>72</v>
      </c>
      <c r="P120" s="48" t="s">
        <v>73</v>
      </c>
      <c r="Q120" s="54" t="s">
        <v>73</v>
      </c>
      <c r="R120" s="55" t="s">
        <v>73</v>
      </c>
      <c r="S120" s="48" t="s">
        <v>73</v>
      </c>
      <c r="T120" s="121" t="str" cm="1">
        <f t="array" ref="T120">IF(ISNUMBER(SEARCH("SCHNEIDER",D120)),_xlfn.IFS(ISNUMBER(SEARCH("2 Querétaro",D120)),"SQ2",ISNUMBER(SEARCH("Xicohténcatl",D120)),"SXC",ISNUMBER(SEARCH("Rojo Gómez",D120)),"SRG",ISNUMBER(SEARCH("Tlaxcala",D120)),"STX",ISNUMBER(SEARCH("Monterrey",D120)),"SMY",ISNUMBER(SEARCH("Querétaro",D120)),"SQ1",ISNUMBER(SEARCH("CDMX",D120)),"SCM",TRUE,""),"")</f>
        <v/>
      </c>
      <c r="U120" s="48" t="str" cm="1">
        <f t="array" ref="U120">_xlfn.LET(_xlpm.resultados,_xlfn.UNIQUE(_xlfn._xlws.FILTER(Tabla1[Proceso],(Tabla1[Metal Base]=O120)*(Tabla1[Etiquetas]=_xlfn.TEXTJOIN(" + ",TRUE,IF((TRIM(Upload!P120:S120)="")+(LOWER(TRIM(Upload!P120:S120))="(seleccione)"),"",PROPER(TRIM(Upload!P120:S120)))))*(Tabla1[Línea2]=IFERROR(VLOOKUP(Upload!N120&amp;"*",CAT_Procesos!D:D,1,FALSE),"")))),_xlpm.cantidad,ROWS(_xlpm.resultados),IF(ISERROR(_xlpm.cantidad),"Combinación no existente",IF(_xlpm.cantidad=1,INDEX(_xlpm.resultados,1),"(seleccione)")))</f>
        <v>Combinación no existente</v>
      </c>
      <c r="V120" s="55" t="s">
        <v>73</v>
      </c>
      <c r="W120" s="56" t="s">
        <v>73</v>
      </c>
      <c r="X120" s="57" t="str">
        <f t="shared" si="4"/>
        <v/>
      </c>
      <c r="Y120" s="58" t="s">
        <v>73</v>
      </c>
      <c r="Z120" s="57" t="str">
        <f t="shared" si="5"/>
        <v/>
      </c>
      <c r="AA120" s="58" t="s">
        <v>73</v>
      </c>
      <c r="AB120" s="57" t="str">
        <f t="shared" si="6"/>
        <v/>
      </c>
      <c r="AC120" s="58" t="s">
        <v>73</v>
      </c>
      <c r="AD120" s="57" t="str">
        <f t="shared" si="7"/>
        <v/>
      </c>
      <c r="AE120" s="59"/>
      <c r="AF120" s="59"/>
      <c r="AG120" s="59"/>
      <c r="AH120" s="59"/>
      <c r="AI120" s="59" t="s">
        <v>73</v>
      </c>
      <c r="AJ120" s="59"/>
      <c r="AK120" s="59" t="s">
        <v>73</v>
      </c>
      <c r="AL120" s="59"/>
      <c r="AM120" s="59" t="s">
        <v>73</v>
      </c>
      <c r="AN120" s="59"/>
      <c r="AO120" s="59" t="s">
        <v>73</v>
      </c>
      <c r="AP120" s="59"/>
      <c r="AQ120" s="59" t="s">
        <v>73</v>
      </c>
      <c r="AR120" s="59"/>
      <c r="AS120" s="59" t="s">
        <v>72</v>
      </c>
      <c r="AT120" s="59"/>
      <c r="AU120" s="59"/>
      <c r="AV120" s="59"/>
      <c r="AW120" s="59"/>
      <c r="AX120" s="59"/>
      <c r="AY120" s="60" t="str">
        <f>IF('Cálculo MP'!K130="","",'Cálculo MP'!K130)</f>
        <v/>
      </c>
      <c r="AZ120" s="60" t="str">
        <f>IF('Cálculo MP'!L130="","",'Cálculo MP'!L130)</f>
        <v/>
      </c>
      <c r="BA120" s="60" t="str">
        <f>IF('Cálculo MP'!M130="","",'Cálculo MP'!M130)</f>
        <v/>
      </c>
      <c r="BB120" s="60" t="str">
        <f>IF('Cálculo MP'!N130="","",'Cálculo MP'!N130)</f>
        <v/>
      </c>
      <c r="BC120" s="60" t="str">
        <f>IF('Cálculo MP'!O130="","",'Cálculo MP'!O130)</f>
        <v/>
      </c>
      <c r="BD120" s="60" t="str">
        <f>IF('Cálculo MP'!P130="","",'Cálculo MP'!P130)</f>
        <v/>
      </c>
      <c r="BE120" s="60" t="str">
        <f>IF('Cálculo MP'!Q130="","",'Cálculo MP'!Q130)</f>
        <v/>
      </c>
      <c r="BF120" s="60" t="str">
        <f>IF('Cálculo MP'!R130="","",'Cálculo MP'!R130)</f>
        <v/>
      </c>
      <c r="BG120" s="60" t="str">
        <f>IF('Cálculo MP'!S130="","",'Cálculo MP'!S130)</f>
        <v/>
      </c>
      <c r="BH120" s="59"/>
      <c r="BI120" s="59"/>
      <c r="BJ120" s="59"/>
      <c r="BK120" s="59"/>
      <c r="BL120" s="59"/>
      <c r="BM120" s="59"/>
      <c r="BN120" s="59"/>
      <c r="BO120" s="59"/>
    </row>
    <row r="121" spans="1:67" ht="19.5" customHeight="1" x14ac:dyDescent="0.2">
      <c r="A121" s="114" t="s">
        <v>1789</v>
      </c>
      <c r="B121" s="113" t="s">
        <v>1787</v>
      </c>
      <c r="C121" s="122"/>
      <c r="D121" s="48" t="s">
        <v>73</v>
      </c>
      <c r="E121" s="49"/>
      <c r="F121" s="50"/>
      <c r="G121" s="62"/>
      <c r="H121" s="48" t="s">
        <v>72</v>
      </c>
      <c r="I121" s="52">
        <v>1</v>
      </c>
      <c r="J121" s="52"/>
      <c r="K121" s="52" t="s">
        <v>73</v>
      </c>
      <c r="L121" s="52" t="s">
        <v>74</v>
      </c>
      <c r="M121" s="53" t="s">
        <v>917</v>
      </c>
      <c r="N121" s="58" t="s">
        <v>73</v>
      </c>
      <c r="O121" s="48" t="s">
        <v>72</v>
      </c>
      <c r="P121" s="48" t="s">
        <v>73</v>
      </c>
      <c r="Q121" s="54" t="s">
        <v>73</v>
      </c>
      <c r="R121" s="55" t="s">
        <v>73</v>
      </c>
      <c r="S121" s="48" t="s">
        <v>73</v>
      </c>
      <c r="T121" s="121" t="str" cm="1">
        <f t="array" ref="T121">IF(ISNUMBER(SEARCH("SCHNEIDER",D121)),_xlfn.IFS(ISNUMBER(SEARCH("2 Querétaro",D121)),"SQ2",ISNUMBER(SEARCH("Xicohténcatl",D121)),"SXC",ISNUMBER(SEARCH("Rojo Gómez",D121)),"SRG",ISNUMBER(SEARCH("Tlaxcala",D121)),"STX",ISNUMBER(SEARCH("Monterrey",D121)),"SMY",ISNUMBER(SEARCH("Querétaro",D121)),"SQ1",ISNUMBER(SEARCH("CDMX",D121)),"SCM",TRUE,""),"")</f>
        <v/>
      </c>
      <c r="U121" s="48" t="str" cm="1">
        <f t="array" ref="U121">_xlfn.LET(_xlpm.resultados,_xlfn.UNIQUE(_xlfn._xlws.FILTER(Tabla1[Proceso],(Tabla1[Metal Base]=O121)*(Tabla1[Etiquetas]=_xlfn.TEXTJOIN(" + ",TRUE,IF((TRIM(Upload!P121:S121)="")+(LOWER(TRIM(Upload!P121:S121))="(seleccione)"),"",PROPER(TRIM(Upload!P121:S121)))))*(Tabla1[Línea2]=IFERROR(VLOOKUP(Upload!N121&amp;"*",CAT_Procesos!D:D,1,FALSE),"")))),_xlpm.cantidad,ROWS(_xlpm.resultados),IF(ISERROR(_xlpm.cantidad),"Combinación no existente",IF(_xlpm.cantidad=1,INDEX(_xlpm.resultados,1),"(seleccione)")))</f>
        <v>Combinación no existente</v>
      </c>
      <c r="V121" s="55" t="s">
        <v>73</v>
      </c>
      <c r="W121" s="56" t="s">
        <v>73</v>
      </c>
      <c r="X121" s="57" t="str">
        <f t="shared" si="4"/>
        <v/>
      </c>
      <c r="Y121" s="58" t="s">
        <v>73</v>
      </c>
      <c r="Z121" s="57" t="str">
        <f t="shared" si="5"/>
        <v/>
      </c>
      <c r="AA121" s="58" t="s">
        <v>73</v>
      </c>
      <c r="AB121" s="57" t="str">
        <f t="shared" si="6"/>
        <v/>
      </c>
      <c r="AC121" s="58" t="s">
        <v>73</v>
      </c>
      <c r="AD121" s="57" t="str">
        <f t="shared" si="7"/>
        <v/>
      </c>
      <c r="AE121" s="59"/>
      <c r="AF121" s="59"/>
      <c r="AG121" s="59"/>
      <c r="AH121" s="59"/>
      <c r="AI121" s="59" t="s">
        <v>73</v>
      </c>
      <c r="AJ121" s="59"/>
      <c r="AK121" s="59" t="s">
        <v>73</v>
      </c>
      <c r="AL121" s="59"/>
      <c r="AM121" s="59" t="s">
        <v>73</v>
      </c>
      <c r="AN121" s="59"/>
      <c r="AO121" s="59" t="s">
        <v>73</v>
      </c>
      <c r="AP121" s="59"/>
      <c r="AQ121" s="59" t="s">
        <v>73</v>
      </c>
      <c r="AR121" s="59"/>
      <c r="AS121" s="59" t="s">
        <v>72</v>
      </c>
      <c r="AT121" s="59"/>
      <c r="AU121" s="59"/>
      <c r="AV121" s="59"/>
      <c r="AW121" s="59"/>
      <c r="AX121" s="59"/>
      <c r="AY121" s="60" t="str">
        <f>IF('Cálculo MP'!K131="","",'Cálculo MP'!K131)</f>
        <v/>
      </c>
      <c r="AZ121" s="60" t="str">
        <f>IF('Cálculo MP'!L131="","",'Cálculo MP'!L131)</f>
        <v/>
      </c>
      <c r="BA121" s="60" t="str">
        <f>IF('Cálculo MP'!M131="","",'Cálculo MP'!M131)</f>
        <v/>
      </c>
      <c r="BB121" s="60" t="str">
        <f>IF('Cálculo MP'!N131="","",'Cálculo MP'!N131)</f>
        <v/>
      </c>
      <c r="BC121" s="60" t="str">
        <f>IF('Cálculo MP'!O131="","",'Cálculo MP'!O131)</f>
        <v/>
      </c>
      <c r="BD121" s="60" t="str">
        <f>IF('Cálculo MP'!P131="","",'Cálculo MP'!P131)</f>
        <v/>
      </c>
      <c r="BE121" s="60" t="str">
        <f>IF('Cálculo MP'!Q131="","",'Cálculo MP'!Q131)</f>
        <v/>
      </c>
      <c r="BF121" s="60" t="str">
        <f>IF('Cálculo MP'!R131="","",'Cálculo MP'!R131)</f>
        <v/>
      </c>
      <c r="BG121" s="60" t="str">
        <f>IF('Cálculo MP'!S131="","",'Cálculo MP'!S131)</f>
        <v/>
      </c>
      <c r="BH121" s="59"/>
      <c r="BI121" s="59"/>
      <c r="BJ121" s="59"/>
      <c r="BK121" s="59"/>
      <c r="BL121" s="59"/>
      <c r="BM121" s="59"/>
      <c r="BN121" s="59"/>
      <c r="BO121" s="59"/>
    </row>
    <row r="122" spans="1:67" ht="19.5" customHeight="1" x14ac:dyDescent="0.2">
      <c r="A122" s="114" t="s">
        <v>1789</v>
      </c>
      <c r="B122" s="113" t="s">
        <v>1787</v>
      </c>
      <c r="C122" s="122"/>
      <c r="D122" s="48" t="s">
        <v>73</v>
      </c>
      <c r="E122" s="49"/>
      <c r="F122" s="50"/>
      <c r="G122" s="62"/>
      <c r="H122" s="48" t="s">
        <v>72</v>
      </c>
      <c r="I122" s="52">
        <v>1</v>
      </c>
      <c r="J122" s="52"/>
      <c r="K122" s="52" t="s">
        <v>73</v>
      </c>
      <c r="L122" s="52" t="s">
        <v>74</v>
      </c>
      <c r="M122" s="53" t="s">
        <v>917</v>
      </c>
      <c r="N122" s="58" t="s">
        <v>73</v>
      </c>
      <c r="O122" s="48" t="s">
        <v>72</v>
      </c>
      <c r="P122" s="48" t="s">
        <v>73</v>
      </c>
      <c r="Q122" s="54" t="s">
        <v>73</v>
      </c>
      <c r="R122" s="55" t="s">
        <v>73</v>
      </c>
      <c r="S122" s="48" t="s">
        <v>73</v>
      </c>
      <c r="T122" s="121" t="str" cm="1">
        <f t="array" ref="T122">IF(ISNUMBER(SEARCH("SCHNEIDER",D122)),_xlfn.IFS(ISNUMBER(SEARCH("2 Querétaro",D122)),"SQ2",ISNUMBER(SEARCH("Xicohténcatl",D122)),"SXC",ISNUMBER(SEARCH("Rojo Gómez",D122)),"SRG",ISNUMBER(SEARCH("Tlaxcala",D122)),"STX",ISNUMBER(SEARCH("Monterrey",D122)),"SMY",ISNUMBER(SEARCH("Querétaro",D122)),"SQ1",ISNUMBER(SEARCH("CDMX",D122)),"SCM",TRUE,""),"")</f>
        <v/>
      </c>
      <c r="U122" s="48" t="str" cm="1">
        <f t="array" ref="U122">_xlfn.LET(_xlpm.resultados,_xlfn.UNIQUE(_xlfn._xlws.FILTER(Tabla1[Proceso],(Tabla1[Metal Base]=O122)*(Tabla1[Etiquetas]=_xlfn.TEXTJOIN(" + ",TRUE,IF((TRIM(Upload!P122:S122)="")+(LOWER(TRIM(Upload!P122:S122))="(seleccione)"),"",PROPER(TRIM(Upload!P122:S122)))))*(Tabla1[Línea2]=IFERROR(VLOOKUP(Upload!N122&amp;"*",CAT_Procesos!D:D,1,FALSE),"")))),_xlpm.cantidad,ROWS(_xlpm.resultados),IF(ISERROR(_xlpm.cantidad),"Combinación no existente",IF(_xlpm.cantidad=1,INDEX(_xlpm.resultados,1),"(seleccione)")))</f>
        <v>Combinación no existente</v>
      </c>
      <c r="V122" s="55" t="s">
        <v>73</v>
      </c>
      <c r="W122" s="56" t="s">
        <v>73</v>
      </c>
      <c r="X122" s="57" t="str">
        <f t="shared" si="4"/>
        <v/>
      </c>
      <c r="Y122" s="58" t="s">
        <v>73</v>
      </c>
      <c r="Z122" s="57" t="str">
        <f t="shared" si="5"/>
        <v/>
      </c>
      <c r="AA122" s="58" t="s">
        <v>73</v>
      </c>
      <c r="AB122" s="57" t="str">
        <f t="shared" si="6"/>
        <v/>
      </c>
      <c r="AC122" s="58" t="s">
        <v>73</v>
      </c>
      <c r="AD122" s="57" t="str">
        <f t="shared" si="7"/>
        <v/>
      </c>
      <c r="AE122" s="59"/>
      <c r="AF122" s="59"/>
      <c r="AG122" s="59"/>
      <c r="AH122" s="59"/>
      <c r="AI122" s="59" t="s">
        <v>73</v>
      </c>
      <c r="AJ122" s="59"/>
      <c r="AK122" s="59" t="s">
        <v>73</v>
      </c>
      <c r="AL122" s="59"/>
      <c r="AM122" s="59" t="s">
        <v>73</v>
      </c>
      <c r="AN122" s="59"/>
      <c r="AO122" s="59" t="s">
        <v>73</v>
      </c>
      <c r="AP122" s="59"/>
      <c r="AQ122" s="59" t="s">
        <v>73</v>
      </c>
      <c r="AR122" s="59"/>
      <c r="AS122" s="59" t="s">
        <v>72</v>
      </c>
      <c r="AT122" s="59"/>
      <c r="AU122" s="59"/>
      <c r="AV122" s="59"/>
      <c r="AW122" s="59"/>
      <c r="AX122" s="59"/>
      <c r="AY122" s="60" t="str">
        <f>IF('Cálculo MP'!K132="","",'Cálculo MP'!K132)</f>
        <v/>
      </c>
      <c r="AZ122" s="60" t="str">
        <f>IF('Cálculo MP'!L132="","",'Cálculo MP'!L132)</f>
        <v/>
      </c>
      <c r="BA122" s="60" t="str">
        <f>IF('Cálculo MP'!M132="","",'Cálculo MP'!M132)</f>
        <v/>
      </c>
      <c r="BB122" s="60" t="str">
        <f>IF('Cálculo MP'!N132="","",'Cálculo MP'!N132)</f>
        <v/>
      </c>
      <c r="BC122" s="60" t="str">
        <f>IF('Cálculo MP'!O132="","",'Cálculo MP'!O132)</f>
        <v/>
      </c>
      <c r="BD122" s="60" t="str">
        <f>IF('Cálculo MP'!P132="","",'Cálculo MP'!P132)</f>
        <v/>
      </c>
      <c r="BE122" s="60" t="str">
        <f>IF('Cálculo MP'!Q132="","",'Cálculo MP'!Q132)</f>
        <v/>
      </c>
      <c r="BF122" s="60" t="str">
        <f>IF('Cálculo MP'!R132="","",'Cálculo MP'!R132)</f>
        <v/>
      </c>
      <c r="BG122" s="60" t="str">
        <f>IF('Cálculo MP'!S132="","",'Cálculo MP'!S132)</f>
        <v/>
      </c>
      <c r="BH122" s="59"/>
      <c r="BI122" s="59"/>
      <c r="BJ122" s="59"/>
      <c r="BK122" s="59"/>
      <c r="BL122" s="59"/>
      <c r="BM122" s="59"/>
      <c r="BN122" s="59"/>
      <c r="BO122" s="59"/>
    </row>
    <row r="123" spans="1:67" ht="19.5" customHeight="1" x14ac:dyDescent="0.2">
      <c r="A123" s="114" t="s">
        <v>1789</v>
      </c>
      <c r="B123" s="113" t="s">
        <v>1787</v>
      </c>
      <c r="C123" s="122"/>
      <c r="D123" s="48" t="s">
        <v>73</v>
      </c>
      <c r="E123" s="49"/>
      <c r="F123" s="50"/>
      <c r="G123" s="62"/>
      <c r="H123" s="48" t="s">
        <v>72</v>
      </c>
      <c r="I123" s="52">
        <v>1</v>
      </c>
      <c r="J123" s="52"/>
      <c r="K123" s="52" t="s">
        <v>73</v>
      </c>
      <c r="L123" s="52" t="s">
        <v>74</v>
      </c>
      <c r="M123" s="53" t="s">
        <v>917</v>
      </c>
      <c r="N123" s="58" t="s">
        <v>73</v>
      </c>
      <c r="O123" s="48" t="s">
        <v>72</v>
      </c>
      <c r="P123" s="48" t="s">
        <v>73</v>
      </c>
      <c r="Q123" s="54" t="s">
        <v>73</v>
      </c>
      <c r="R123" s="55" t="s">
        <v>73</v>
      </c>
      <c r="S123" s="48" t="s">
        <v>73</v>
      </c>
      <c r="T123" s="121" t="str" cm="1">
        <f t="array" ref="T123">IF(ISNUMBER(SEARCH("SCHNEIDER",D123)),_xlfn.IFS(ISNUMBER(SEARCH("2 Querétaro",D123)),"SQ2",ISNUMBER(SEARCH("Xicohténcatl",D123)),"SXC",ISNUMBER(SEARCH("Rojo Gómez",D123)),"SRG",ISNUMBER(SEARCH("Tlaxcala",D123)),"STX",ISNUMBER(SEARCH("Monterrey",D123)),"SMY",ISNUMBER(SEARCH("Querétaro",D123)),"SQ1",ISNUMBER(SEARCH("CDMX",D123)),"SCM",TRUE,""),"")</f>
        <v/>
      </c>
      <c r="U123" s="48" t="str" cm="1">
        <f t="array" ref="U123">_xlfn.LET(_xlpm.resultados,_xlfn.UNIQUE(_xlfn._xlws.FILTER(Tabla1[Proceso],(Tabla1[Metal Base]=O123)*(Tabla1[Etiquetas]=_xlfn.TEXTJOIN(" + ",TRUE,IF((TRIM(Upload!P123:S123)="")+(LOWER(TRIM(Upload!P123:S123))="(seleccione)"),"",PROPER(TRIM(Upload!P123:S123)))))*(Tabla1[Línea2]=IFERROR(VLOOKUP(Upload!N123&amp;"*",CAT_Procesos!D:D,1,FALSE),"")))),_xlpm.cantidad,ROWS(_xlpm.resultados),IF(ISERROR(_xlpm.cantidad),"Combinación no existente",IF(_xlpm.cantidad=1,INDEX(_xlpm.resultados,1),"(seleccione)")))</f>
        <v>Combinación no existente</v>
      </c>
      <c r="V123" s="55" t="s">
        <v>73</v>
      </c>
      <c r="W123" s="56" t="s">
        <v>73</v>
      </c>
      <c r="X123" s="57" t="str">
        <f t="shared" si="4"/>
        <v/>
      </c>
      <c r="Y123" s="58" t="s">
        <v>73</v>
      </c>
      <c r="Z123" s="57" t="str">
        <f t="shared" si="5"/>
        <v/>
      </c>
      <c r="AA123" s="58" t="s">
        <v>73</v>
      </c>
      <c r="AB123" s="57" t="str">
        <f t="shared" si="6"/>
        <v/>
      </c>
      <c r="AC123" s="58" t="s">
        <v>73</v>
      </c>
      <c r="AD123" s="57" t="str">
        <f t="shared" si="7"/>
        <v/>
      </c>
      <c r="AE123" s="59"/>
      <c r="AF123" s="59"/>
      <c r="AG123" s="59"/>
      <c r="AH123" s="59"/>
      <c r="AI123" s="59" t="s">
        <v>73</v>
      </c>
      <c r="AJ123" s="59"/>
      <c r="AK123" s="59" t="s">
        <v>73</v>
      </c>
      <c r="AL123" s="59"/>
      <c r="AM123" s="59" t="s">
        <v>73</v>
      </c>
      <c r="AN123" s="59"/>
      <c r="AO123" s="59" t="s">
        <v>73</v>
      </c>
      <c r="AP123" s="59"/>
      <c r="AQ123" s="59" t="s">
        <v>73</v>
      </c>
      <c r="AR123" s="59"/>
      <c r="AS123" s="59" t="s">
        <v>72</v>
      </c>
      <c r="AT123" s="59"/>
      <c r="AU123" s="59"/>
      <c r="AV123" s="59"/>
      <c r="AW123" s="59"/>
      <c r="AX123" s="59"/>
      <c r="AY123" s="60" t="str">
        <f>IF('Cálculo MP'!K133="","",'Cálculo MP'!K133)</f>
        <v/>
      </c>
      <c r="AZ123" s="60" t="str">
        <f>IF('Cálculo MP'!L133="","",'Cálculo MP'!L133)</f>
        <v/>
      </c>
      <c r="BA123" s="60" t="str">
        <f>IF('Cálculo MP'!M133="","",'Cálculo MP'!M133)</f>
        <v/>
      </c>
      <c r="BB123" s="60" t="str">
        <f>IF('Cálculo MP'!N133="","",'Cálculo MP'!N133)</f>
        <v/>
      </c>
      <c r="BC123" s="60" t="str">
        <f>IF('Cálculo MP'!O133="","",'Cálculo MP'!O133)</f>
        <v/>
      </c>
      <c r="BD123" s="60" t="str">
        <f>IF('Cálculo MP'!P133="","",'Cálculo MP'!P133)</f>
        <v/>
      </c>
      <c r="BE123" s="60" t="str">
        <f>IF('Cálculo MP'!Q133="","",'Cálculo MP'!Q133)</f>
        <v/>
      </c>
      <c r="BF123" s="60" t="str">
        <f>IF('Cálculo MP'!R133="","",'Cálculo MP'!R133)</f>
        <v/>
      </c>
      <c r="BG123" s="60" t="str">
        <f>IF('Cálculo MP'!S133="","",'Cálculo MP'!S133)</f>
        <v/>
      </c>
      <c r="BH123" s="59"/>
      <c r="BI123" s="59"/>
      <c r="BJ123" s="59"/>
      <c r="BK123" s="59"/>
      <c r="BL123" s="59"/>
      <c r="BM123" s="59"/>
      <c r="BN123" s="59"/>
      <c r="BO123" s="59"/>
    </row>
    <row r="124" spans="1:67" ht="19.5" customHeight="1" x14ac:dyDescent="0.2">
      <c r="A124" s="114" t="s">
        <v>1789</v>
      </c>
      <c r="B124" s="113" t="s">
        <v>1787</v>
      </c>
      <c r="C124" s="122"/>
      <c r="D124" s="48" t="s">
        <v>73</v>
      </c>
      <c r="E124" s="49"/>
      <c r="F124" s="50"/>
      <c r="G124" s="62"/>
      <c r="H124" s="48" t="s">
        <v>72</v>
      </c>
      <c r="I124" s="52">
        <v>1</v>
      </c>
      <c r="J124" s="52"/>
      <c r="K124" s="52" t="s">
        <v>73</v>
      </c>
      <c r="L124" s="52" t="s">
        <v>74</v>
      </c>
      <c r="M124" s="53" t="s">
        <v>917</v>
      </c>
      <c r="N124" s="58" t="s">
        <v>73</v>
      </c>
      <c r="O124" s="48" t="s">
        <v>72</v>
      </c>
      <c r="P124" s="48" t="s">
        <v>73</v>
      </c>
      <c r="Q124" s="54" t="s">
        <v>73</v>
      </c>
      <c r="R124" s="55" t="s">
        <v>73</v>
      </c>
      <c r="S124" s="48" t="s">
        <v>73</v>
      </c>
      <c r="T124" s="121" t="str" cm="1">
        <f t="array" ref="T124">IF(ISNUMBER(SEARCH("SCHNEIDER",D124)),_xlfn.IFS(ISNUMBER(SEARCH("2 Querétaro",D124)),"SQ2",ISNUMBER(SEARCH("Xicohténcatl",D124)),"SXC",ISNUMBER(SEARCH("Rojo Gómez",D124)),"SRG",ISNUMBER(SEARCH("Tlaxcala",D124)),"STX",ISNUMBER(SEARCH("Monterrey",D124)),"SMY",ISNUMBER(SEARCH("Querétaro",D124)),"SQ1",ISNUMBER(SEARCH("CDMX",D124)),"SCM",TRUE,""),"")</f>
        <v/>
      </c>
      <c r="U124" s="48" t="str" cm="1">
        <f t="array" ref="U124">_xlfn.LET(_xlpm.resultados,_xlfn.UNIQUE(_xlfn._xlws.FILTER(Tabla1[Proceso],(Tabla1[Metal Base]=O124)*(Tabla1[Etiquetas]=_xlfn.TEXTJOIN(" + ",TRUE,IF((TRIM(Upload!P124:S124)="")+(LOWER(TRIM(Upload!P124:S124))="(seleccione)"),"",PROPER(TRIM(Upload!P124:S124)))))*(Tabla1[Línea2]=IFERROR(VLOOKUP(Upload!N124&amp;"*",CAT_Procesos!D:D,1,FALSE),"")))),_xlpm.cantidad,ROWS(_xlpm.resultados),IF(ISERROR(_xlpm.cantidad),"Combinación no existente",IF(_xlpm.cantidad=1,INDEX(_xlpm.resultados,1),"(seleccione)")))</f>
        <v>Combinación no existente</v>
      </c>
      <c r="V124" s="55" t="s">
        <v>73</v>
      </c>
      <c r="W124" s="56" t="s">
        <v>73</v>
      </c>
      <c r="X124" s="57" t="str">
        <f t="shared" si="4"/>
        <v/>
      </c>
      <c r="Y124" s="58" t="s">
        <v>73</v>
      </c>
      <c r="Z124" s="57" t="str">
        <f t="shared" si="5"/>
        <v/>
      </c>
      <c r="AA124" s="58" t="s">
        <v>73</v>
      </c>
      <c r="AB124" s="57" t="str">
        <f t="shared" si="6"/>
        <v/>
      </c>
      <c r="AC124" s="58" t="s">
        <v>73</v>
      </c>
      <c r="AD124" s="57" t="str">
        <f t="shared" si="7"/>
        <v/>
      </c>
      <c r="AE124" s="59"/>
      <c r="AF124" s="59"/>
      <c r="AG124" s="59"/>
      <c r="AH124" s="59"/>
      <c r="AI124" s="59" t="s">
        <v>73</v>
      </c>
      <c r="AJ124" s="59"/>
      <c r="AK124" s="59" t="s">
        <v>73</v>
      </c>
      <c r="AL124" s="59"/>
      <c r="AM124" s="59" t="s">
        <v>73</v>
      </c>
      <c r="AN124" s="59"/>
      <c r="AO124" s="59" t="s">
        <v>73</v>
      </c>
      <c r="AP124" s="59"/>
      <c r="AQ124" s="59" t="s">
        <v>73</v>
      </c>
      <c r="AR124" s="59"/>
      <c r="AS124" s="59" t="s">
        <v>72</v>
      </c>
      <c r="AT124" s="59"/>
      <c r="AU124" s="59"/>
      <c r="AV124" s="59"/>
      <c r="AW124" s="59"/>
      <c r="AX124" s="59"/>
      <c r="AY124" s="60" t="str">
        <f>IF('Cálculo MP'!K134="","",'Cálculo MP'!K134)</f>
        <v/>
      </c>
      <c r="AZ124" s="60" t="str">
        <f>IF('Cálculo MP'!L134="","",'Cálculo MP'!L134)</f>
        <v/>
      </c>
      <c r="BA124" s="60" t="str">
        <f>IF('Cálculo MP'!M134="","",'Cálculo MP'!M134)</f>
        <v/>
      </c>
      <c r="BB124" s="60" t="str">
        <f>IF('Cálculo MP'!N134="","",'Cálculo MP'!N134)</f>
        <v/>
      </c>
      <c r="BC124" s="60" t="str">
        <f>IF('Cálculo MP'!O134="","",'Cálculo MP'!O134)</f>
        <v/>
      </c>
      <c r="BD124" s="60" t="str">
        <f>IF('Cálculo MP'!P134="","",'Cálculo MP'!P134)</f>
        <v/>
      </c>
      <c r="BE124" s="60" t="str">
        <f>IF('Cálculo MP'!Q134="","",'Cálculo MP'!Q134)</f>
        <v/>
      </c>
      <c r="BF124" s="60" t="str">
        <f>IF('Cálculo MP'!R134="","",'Cálculo MP'!R134)</f>
        <v/>
      </c>
      <c r="BG124" s="60" t="str">
        <f>IF('Cálculo MP'!S134="","",'Cálculo MP'!S134)</f>
        <v/>
      </c>
      <c r="BH124" s="59"/>
      <c r="BI124" s="59"/>
      <c r="BJ124" s="59"/>
      <c r="BK124" s="59"/>
      <c r="BL124" s="59"/>
      <c r="BM124" s="59"/>
      <c r="BN124" s="59"/>
      <c r="BO124" s="59"/>
    </row>
    <row r="125" spans="1:67" ht="19.5" customHeight="1" x14ac:dyDescent="0.2">
      <c r="A125" s="114" t="s">
        <v>1789</v>
      </c>
      <c r="B125" s="113" t="s">
        <v>1787</v>
      </c>
      <c r="C125" s="122"/>
      <c r="D125" s="48" t="s">
        <v>73</v>
      </c>
      <c r="E125" s="49"/>
      <c r="F125" s="50"/>
      <c r="G125" s="62"/>
      <c r="H125" s="48" t="s">
        <v>72</v>
      </c>
      <c r="I125" s="52">
        <v>1</v>
      </c>
      <c r="J125" s="52"/>
      <c r="K125" s="52" t="s">
        <v>73</v>
      </c>
      <c r="L125" s="52" t="s">
        <v>74</v>
      </c>
      <c r="M125" s="53" t="s">
        <v>917</v>
      </c>
      <c r="N125" s="58" t="s">
        <v>73</v>
      </c>
      <c r="O125" s="48" t="s">
        <v>72</v>
      </c>
      <c r="P125" s="48" t="s">
        <v>73</v>
      </c>
      <c r="Q125" s="54" t="s">
        <v>73</v>
      </c>
      <c r="R125" s="55" t="s">
        <v>73</v>
      </c>
      <c r="S125" s="48" t="s">
        <v>73</v>
      </c>
      <c r="T125" s="121" t="str" cm="1">
        <f t="array" ref="T125">IF(ISNUMBER(SEARCH("SCHNEIDER",D125)),_xlfn.IFS(ISNUMBER(SEARCH("2 Querétaro",D125)),"SQ2",ISNUMBER(SEARCH("Xicohténcatl",D125)),"SXC",ISNUMBER(SEARCH("Rojo Gómez",D125)),"SRG",ISNUMBER(SEARCH("Tlaxcala",D125)),"STX",ISNUMBER(SEARCH("Monterrey",D125)),"SMY",ISNUMBER(SEARCH("Querétaro",D125)),"SQ1",ISNUMBER(SEARCH("CDMX",D125)),"SCM",TRUE,""),"")</f>
        <v/>
      </c>
      <c r="U125" s="48" t="str" cm="1">
        <f t="array" ref="U125">_xlfn.LET(_xlpm.resultados,_xlfn.UNIQUE(_xlfn._xlws.FILTER(Tabla1[Proceso],(Tabla1[Metal Base]=O125)*(Tabla1[Etiquetas]=_xlfn.TEXTJOIN(" + ",TRUE,IF((TRIM(Upload!P125:S125)="")+(LOWER(TRIM(Upload!P125:S125))="(seleccione)"),"",PROPER(TRIM(Upload!P125:S125)))))*(Tabla1[Línea2]=IFERROR(VLOOKUP(Upload!N125&amp;"*",CAT_Procesos!D:D,1,FALSE),"")))),_xlpm.cantidad,ROWS(_xlpm.resultados),IF(ISERROR(_xlpm.cantidad),"Combinación no existente",IF(_xlpm.cantidad=1,INDEX(_xlpm.resultados,1),"(seleccione)")))</f>
        <v>Combinación no existente</v>
      </c>
      <c r="V125" s="55" t="s">
        <v>73</v>
      </c>
      <c r="W125" s="56" t="s">
        <v>73</v>
      </c>
      <c r="X125" s="57" t="str">
        <f t="shared" si="4"/>
        <v/>
      </c>
      <c r="Y125" s="58" t="s">
        <v>73</v>
      </c>
      <c r="Z125" s="57" t="str">
        <f t="shared" si="5"/>
        <v/>
      </c>
      <c r="AA125" s="58" t="s">
        <v>73</v>
      </c>
      <c r="AB125" s="57" t="str">
        <f t="shared" si="6"/>
        <v/>
      </c>
      <c r="AC125" s="58" t="s">
        <v>73</v>
      </c>
      <c r="AD125" s="57" t="str">
        <f t="shared" si="7"/>
        <v/>
      </c>
      <c r="AE125" s="59"/>
      <c r="AF125" s="59"/>
      <c r="AG125" s="59"/>
      <c r="AH125" s="59"/>
      <c r="AI125" s="59" t="s">
        <v>73</v>
      </c>
      <c r="AJ125" s="59"/>
      <c r="AK125" s="59" t="s">
        <v>73</v>
      </c>
      <c r="AL125" s="59"/>
      <c r="AM125" s="59" t="s">
        <v>73</v>
      </c>
      <c r="AN125" s="59"/>
      <c r="AO125" s="59" t="s">
        <v>73</v>
      </c>
      <c r="AP125" s="59"/>
      <c r="AQ125" s="59" t="s">
        <v>73</v>
      </c>
      <c r="AR125" s="59"/>
      <c r="AS125" s="59" t="s">
        <v>72</v>
      </c>
      <c r="AT125" s="59"/>
      <c r="AU125" s="59"/>
      <c r="AV125" s="59"/>
      <c r="AW125" s="59"/>
      <c r="AX125" s="59"/>
      <c r="AY125" s="60" t="str">
        <f>IF('Cálculo MP'!K135="","",'Cálculo MP'!K135)</f>
        <v/>
      </c>
      <c r="AZ125" s="60" t="str">
        <f>IF('Cálculo MP'!L135="","",'Cálculo MP'!L135)</f>
        <v/>
      </c>
      <c r="BA125" s="60" t="str">
        <f>IF('Cálculo MP'!M135="","",'Cálculo MP'!M135)</f>
        <v/>
      </c>
      <c r="BB125" s="60" t="str">
        <f>IF('Cálculo MP'!N135="","",'Cálculo MP'!N135)</f>
        <v/>
      </c>
      <c r="BC125" s="60" t="str">
        <f>IF('Cálculo MP'!O135="","",'Cálculo MP'!O135)</f>
        <v/>
      </c>
      <c r="BD125" s="60" t="str">
        <f>IF('Cálculo MP'!P135="","",'Cálculo MP'!P135)</f>
        <v/>
      </c>
      <c r="BE125" s="60" t="str">
        <f>IF('Cálculo MP'!Q135="","",'Cálculo MP'!Q135)</f>
        <v/>
      </c>
      <c r="BF125" s="60" t="str">
        <f>IF('Cálculo MP'!R135="","",'Cálculo MP'!R135)</f>
        <v/>
      </c>
      <c r="BG125" s="60" t="str">
        <f>IF('Cálculo MP'!S135="","",'Cálculo MP'!S135)</f>
        <v/>
      </c>
      <c r="BH125" s="59"/>
      <c r="BI125" s="59"/>
      <c r="BJ125" s="59"/>
      <c r="BK125" s="59"/>
      <c r="BL125" s="59"/>
      <c r="BM125" s="59"/>
      <c r="BN125" s="59"/>
      <c r="BO125" s="59"/>
    </row>
    <row r="126" spans="1:67" ht="19.5" customHeight="1" x14ac:dyDescent="0.2">
      <c r="A126" s="114" t="s">
        <v>1789</v>
      </c>
      <c r="B126" s="113" t="s">
        <v>1787</v>
      </c>
      <c r="C126" s="122"/>
      <c r="D126" s="48" t="s">
        <v>73</v>
      </c>
      <c r="E126" s="49"/>
      <c r="F126" s="50"/>
      <c r="G126" s="62"/>
      <c r="H126" s="48" t="s">
        <v>72</v>
      </c>
      <c r="I126" s="52">
        <v>1</v>
      </c>
      <c r="J126" s="52"/>
      <c r="K126" s="52" t="s">
        <v>73</v>
      </c>
      <c r="L126" s="52" t="s">
        <v>74</v>
      </c>
      <c r="M126" s="53" t="s">
        <v>917</v>
      </c>
      <c r="N126" s="58" t="s">
        <v>73</v>
      </c>
      <c r="O126" s="48" t="s">
        <v>72</v>
      </c>
      <c r="P126" s="48" t="s">
        <v>73</v>
      </c>
      <c r="Q126" s="54" t="s">
        <v>73</v>
      </c>
      <c r="R126" s="55" t="s">
        <v>73</v>
      </c>
      <c r="S126" s="48" t="s">
        <v>73</v>
      </c>
      <c r="T126" s="121" t="str" cm="1">
        <f t="array" ref="T126">IF(ISNUMBER(SEARCH("SCHNEIDER",D126)),_xlfn.IFS(ISNUMBER(SEARCH("2 Querétaro",D126)),"SQ2",ISNUMBER(SEARCH("Xicohténcatl",D126)),"SXC",ISNUMBER(SEARCH("Rojo Gómez",D126)),"SRG",ISNUMBER(SEARCH("Tlaxcala",D126)),"STX",ISNUMBER(SEARCH("Monterrey",D126)),"SMY",ISNUMBER(SEARCH("Querétaro",D126)),"SQ1",ISNUMBER(SEARCH("CDMX",D126)),"SCM",TRUE,""),"")</f>
        <v/>
      </c>
      <c r="U126" s="48" t="str" cm="1">
        <f t="array" ref="U126">_xlfn.LET(_xlpm.resultados,_xlfn.UNIQUE(_xlfn._xlws.FILTER(Tabla1[Proceso],(Tabla1[Metal Base]=O126)*(Tabla1[Etiquetas]=_xlfn.TEXTJOIN(" + ",TRUE,IF((TRIM(Upload!P126:S126)="")+(LOWER(TRIM(Upload!P126:S126))="(seleccione)"),"",PROPER(TRIM(Upload!P126:S126)))))*(Tabla1[Línea2]=IFERROR(VLOOKUP(Upload!N126&amp;"*",CAT_Procesos!D:D,1,FALSE),"")))),_xlpm.cantidad,ROWS(_xlpm.resultados),IF(ISERROR(_xlpm.cantidad),"Combinación no existente",IF(_xlpm.cantidad=1,INDEX(_xlpm.resultados,1),"(seleccione)")))</f>
        <v>Combinación no existente</v>
      </c>
      <c r="V126" s="55" t="s">
        <v>73</v>
      </c>
      <c r="W126" s="56" t="s">
        <v>73</v>
      </c>
      <c r="X126" s="57" t="str">
        <f t="shared" si="4"/>
        <v/>
      </c>
      <c r="Y126" s="58" t="s">
        <v>73</v>
      </c>
      <c r="Z126" s="57" t="str">
        <f t="shared" si="5"/>
        <v/>
      </c>
      <c r="AA126" s="58" t="s">
        <v>73</v>
      </c>
      <c r="AB126" s="57" t="str">
        <f t="shared" si="6"/>
        <v/>
      </c>
      <c r="AC126" s="58" t="s">
        <v>73</v>
      </c>
      <c r="AD126" s="57" t="str">
        <f t="shared" si="7"/>
        <v/>
      </c>
      <c r="AE126" s="59"/>
      <c r="AF126" s="59"/>
      <c r="AG126" s="59"/>
      <c r="AH126" s="59"/>
      <c r="AI126" s="59" t="s">
        <v>73</v>
      </c>
      <c r="AJ126" s="59"/>
      <c r="AK126" s="59" t="s">
        <v>73</v>
      </c>
      <c r="AL126" s="59"/>
      <c r="AM126" s="59" t="s">
        <v>73</v>
      </c>
      <c r="AN126" s="59"/>
      <c r="AO126" s="59" t="s">
        <v>73</v>
      </c>
      <c r="AP126" s="59"/>
      <c r="AQ126" s="59" t="s">
        <v>73</v>
      </c>
      <c r="AR126" s="59"/>
      <c r="AS126" s="59" t="s">
        <v>72</v>
      </c>
      <c r="AT126" s="59"/>
      <c r="AU126" s="59"/>
      <c r="AV126" s="59"/>
      <c r="AW126" s="59"/>
      <c r="AX126" s="59"/>
      <c r="AY126" s="60" t="str">
        <f>IF('Cálculo MP'!K136="","",'Cálculo MP'!K136)</f>
        <v/>
      </c>
      <c r="AZ126" s="60" t="str">
        <f>IF('Cálculo MP'!L136="","",'Cálculo MP'!L136)</f>
        <v/>
      </c>
      <c r="BA126" s="60" t="str">
        <f>IF('Cálculo MP'!M136="","",'Cálculo MP'!M136)</f>
        <v/>
      </c>
      <c r="BB126" s="60" t="str">
        <f>IF('Cálculo MP'!N136="","",'Cálculo MP'!N136)</f>
        <v/>
      </c>
      <c r="BC126" s="60" t="str">
        <f>IF('Cálculo MP'!O136="","",'Cálculo MP'!O136)</f>
        <v/>
      </c>
      <c r="BD126" s="60" t="str">
        <f>IF('Cálculo MP'!P136="","",'Cálculo MP'!P136)</f>
        <v/>
      </c>
      <c r="BE126" s="60" t="str">
        <f>IF('Cálculo MP'!Q136="","",'Cálculo MP'!Q136)</f>
        <v/>
      </c>
      <c r="BF126" s="60" t="str">
        <f>IF('Cálculo MP'!R136="","",'Cálculo MP'!R136)</f>
        <v/>
      </c>
      <c r="BG126" s="60" t="str">
        <f>IF('Cálculo MP'!S136="","",'Cálculo MP'!S136)</f>
        <v/>
      </c>
      <c r="BH126" s="59"/>
      <c r="BI126" s="59"/>
      <c r="BJ126" s="59"/>
      <c r="BK126" s="59"/>
      <c r="BL126" s="59"/>
      <c r="BM126" s="59"/>
      <c r="BN126" s="59"/>
      <c r="BO126" s="59"/>
    </row>
    <row r="127" spans="1:67" ht="19.5" customHeight="1" x14ac:dyDescent="0.2">
      <c r="A127" s="114" t="s">
        <v>1789</v>
      </c>
      <c r="B127" s="113" t="s">
        <v>1787</v>
      </c>
      <c r="C127" s="122"/>
      <c r="D127" s="48" t="s">
        <v>73</v>
      </c>
      <c r="E127" s="49"/>
      <c r="F127" s="50"/>
      <c r="G127" s="62"/>
      <c r="H127" s="48" t="s">
        <v>72</v>
      </c>
      <c r="I127" s="52">
        <v>1</v>
      </c>
      <c r="J127" s="52"/>
      <c r="K127" s="52" t="s">
        <v>73</v>
      </c>
      <c r="L127" s="52" t="s">
        <v>74</v>
      </c>
      <c r="M127" s="53" t="s">
        <v>917</v>
      </c>
      <c r="N127" s="58" t="s">
        <v>73</v>
      </c>
      <c r="O127" s="48" t="s">
        <v>72</v>
      </c>
      <c r="P127" s="48" t="s">
        <v>73</v>
      </c>
      <c r="Q127" s="54" t="s">
        <v>73</v>
      </c>
      <c r="R127" s="55" t="s">
        <v>73</v>
      </c>
      <c r="S127" s="48" t="s">
        <v>73</v>
      </c>
      <c r="T127" s="121" t="str" cm="1">
        <f t="array" ref="T127">IF(ISNUMBER(SEARCH("SCHNEIDER",D127)),_xlfn.IFS(ISNUMBER(SEARCH("2 Querétaro",D127)),"SQ2",ISNUMBER(SEARCH("Xicohténcatl",D127)),"SXC",ISNUMBER(SEARCH("Rojo Gómez",D127)),"SRG",ISNUMBER(SEARCH("Tlaxcala",D127)),"STX",ISNUMBER(SEARCH("Monterrey",D127)),"SMY",ISNUMBER(SEARCH("Querétaro",D127)),"SQ1",ISNUMBER(SEARCH("CDMX",D127)),"SCM",TRUE,""),"")</f>
        <v/>
      </c>
      <c r="U127" s="48" t="str" cm="1">
        <f t="array" ref="U127">_xlfn.LET(_xlpm.resultados,_xlfn.UNIQUE(_xlfn._xlws.FILTER(Tabla1[Proceso],(Tabla1[Metal Base]=O127)*(Tabla1[Etiquetas]=_xlfn.TEXTJOIN(" + ",TRUE,IF((TRIM(Upload!P127:S127)="")+(LOWER(TRIM(Upload!P127:S127))="(seleccione)"),"",PROPER(TRIM(Upload!P127:S127)))))*(Tabla1[Línea2]=IFERROR(VLOOKUP(Upload!N127&amp;"*",CAT_Procesos!D:D,1,FALSE),"")))),_xlpm.cantidad,ROWS(_xlpm.resultados),IF(ISERROR(_xlpm.cantidad),"Combinación no existente",IF(_xlpm.cantidad=1,INDEX(_xlpm.resultados,1),"(seleccione)")))</f>
        <v>Combinación no existente</v>
      </c>
      <c r="V127" s="55" t="s">
        <v>73</v>
      </c>
      <c r="W127" s="56" t="s">
        <v>73</v>
      </c>
      <c r="X127" s="57" t="str">
        <f t="shared" si="4"/>
        <v/>
      </c>
      <c r="Y127" s="58" t="s">
        <v>73</v>
      </c>
      <c r="Z127" s="57" t="str">
        <f t="shared" si="5"/>
        <v/>
      </c>
      <c r="AA127" s="58" t="s">
        <v>73</v>
      </c>
      <c r="AB127" s="57" t="str">
        <f t="shared" si="6"/>
        <v/>
      </c>
      <c r="AC127" s="58" t="s">
        <v>73</v>
      </c>
      <c r="AD127" s="57" t="str">
        <f t="shared" si="7"/>
        <v/>
      </c>
      <c r="AE127" s="59"/>
      <c r="AF127" s="59"/>
      <c r="AG127" s="59"/>
      <c r="AH127" s="59"/>
      <c r="AI127" s="59" t="s">
        <v>73</v>
      </c>
      <c r="AJ127" s="59"/>
      <c r="AK127" s="59" t="s">
        <v>73</v>
      </c>
      <c r="AL127" s="59"/>
      <c r="AM127" s="59" t="s">
        <v>73</v>
      </c>
      <c r="AN127" s="59"/>
      <c r="AO127" s="59" t="s">
        <v>73</v>
      </c>
      <c r="AP127" s="59"/>
      <c r="AQ127" s="59" t="s">
        <v>73</v>
      </c>
      <c r="AR127" s="59"/>
      <c r="AS127" s="59" t="s">
        <v>72</v>
      </c>
      <c r="AT127" s="59"/>
      <c r="AU127" s="59"/>
      <c r="AV127" s="59"/>
      <c r="AW127" s="59"/>
      <c r="AX127" s="59"/>
      <c r="AY127" s="60" t="str">
        <f>IF('Cálculo MP'!K137="","",'Cálculo MP'!K137)</f>
        <v/>
      </c>
      <c r="AZ127" s="60" t="str">
        <f>IF('Cálculo MP'!L137="","",'Cálculo MP'!L137)</f>
        <v/>
      </c>
      <c r="BA127" s="60" t="str">
        <f>IF('Cálculo MP'!M137="","",'Cálculo MP'!M137)</f>
        <v/>
      </c>
      <c r="BB127" s="60" t="str">
        <f>IF('Cálculo MP'!N137="","",'Cálculo MP'!N137)</f>
        <v/>
      </c>
      <c r="BC127" s="60" t="str">
        <f>IF('Cálculo MP'!O137="","",'Cálculo MP'!O137)</f>
        <v/>
      </c>
      <c r="BD127" s="60" t="str">
        <f>IF('Cálculo MP'!P137="","",'Cálculo MP'!P137)</f>
        <v/>
      </c>
      <c r="BE127" s="60" t="str">
        <f>IF('Cálculo MP'!Q137="","",'Cálculo MP'!Q137)</f>
        <v/>
      </c>
      <c r="BF127" s="60" t="str">
        <f>IF('Cálculo MP'!R137="","",'Cálculo MP'!R137)</f>
        <v/>
      </c>
      <c r="BG127" s="60" t="str">
        <f>IF('Cálculo MP'!S137="","",'Cálculo MP'!S137)</f>
        <v/>
      </c>
      <c r="BH127" s="59"/>
      <c r="BI127" s="59"/>
      <c r="BJ127" s="59"/>
      <c r="BK127" s="59"/>
      <c r="BL127" s="59"/>
      <c r="BM127" s="59"/>
      <c r="BN127" s="59"/>
      <c r="BO127" s="59"/>
    </row>
    <row r="128" spans="1:67" ht="19.5" customHeight="1" x14ac:dyDescent="0.2">
      <c r="A128" s="114" t="s">
        <v>1789</v>
      </c>
      <c r="B128" s="113" t="s">
        <v>1787</v>
      </c>
      <c r="C128" s="122"/>
      <c r="D128" s="48" t="s">
        <v>73</v>
      </c>
      <c r="E128" s="49"/>
      <c r="F128" s="50"/>
      <c r="G128" s="62"/>
      <c r="H128" s="48" t="s">
        <v>72</v>
      </c>
      <c r="I128" s="52">
        <v>1</v>
      </c>
      <c r="J128" s="52"/>
      <c r="K128" s="52" t="s">
        <v>73</v>
      </c>
      <c r="L128" s="52" t="s">
        <v>74</v>
      </c>
      <c r="M128" s="53" t="s">
        <v>917</v>
      </c>
      <c r="N128" s="58" t="s">
        <v>73</v>
      </c>
      <c r="O128" s="48" t="s">
        <v>72</v>
      </c>
      <c r="P128" s="48" t="s">
        <v>73</v>
      </c>
      <c r="Q128" s="54" t="s">
        <v>73</v>
      </c>
      <c r="R128" s="55" t="s">
        <v>73</v>
      </c>
      <c r="S128" s="48" t="s">
        <v>73</v>
      </c>
      <c r="T128" s="121" t="str" cm="1">
        <f t="array" ref="T128">IF(ISNUMBER(SEARCH("SCHNEIDER",D128)),_xlfn.IFS(ISNUMBER(SEARCH("2 Querétaro",D128)),"SQ2",ISNUMBER(SEARCH("Xicohténcatl",D128)),"SXC",ISNUMBER(SEARCH("Rojo Gómez",D128)),"SRG",ISNUMBER(SEARCH("Tlaxcala",D128)),"STX",ISNUMBER(SEARCH("Monterrey",D128)),"SMY",ISNUMBER(SEARCH("Querétaro",D128)),"SQ1",ISNUMBER(SEARCH("CDMX",D128)),"SCM",TRUE,""),"")</f>
        <v/>
      </c>
      <c r="U128" s="48" t="str" cm="1">
        <f t="array" ref="U128">_xlfn.LET(_xlpm.resultados,_xlfn.UNIQUE(_xlfn._xlws.FILTER(Tabla1[Proceso],(Tabla1[Metal Base]=O128)*(Tabla1[Etiquetas]=_xlfn.TEXTJOIN(" + ",TRUE,IF((TRIM(Upload!P128:S128)="")+(LOWER(TRIM(Upload!P128:S128))="(seleccione)"),"",PROPER(TRIM(Upload!P128:S128)))))*(Tabla1[Línea2]=IFERROR(VLOOKUP(Upload!N128&amp;"*",CAT_Procesos!D:D,1,FALSE),"")))),_xlpm.cantidad,ROWS(_xlpm.resultados),IF(ISERROR(_xlpm.cantidad),"Combinación no existente",IF(_xlpm.cantidad=1,INDEX(_xlpm.resultados,1),"(seleccione)")))</f>
        <v>Combinación no existente</v>
      </c>
      <c r="V128" s="55" t="s">
        <v>73</v>
      </c>
      <c r="W128" s="56" t="s">
        <v>73</v>
      </c>
      <c r="X128" s="57" t="str">
        <f t="shared" si="4"/>
        <v/>
      </c>
      <c r="Y128" s="58" t="s">
        <v>73</v>
      </c>
      <c r="Z128" s="57" t="str">
        <f t="shared" si="5"/>
        <v/>
      </c>
      <c r="AA128" s="58" t="s">
        <v>73</v>
      </c>
      <c r="AB128" s="57" t="str">
        <f t="shared" si="6"/>
        <v/>
      </c>
      <c r="AC128" s="58" t="s">
        <v>73</v>
      </c>
      <c r="AD128" s="57" t="str">
        <f t="shared" si="7"/>
        <v/>
      </c>
      <c r="AE128" s="59"/>
      <c r="AF128" s="59"/>
      <c r="AG128" s="59"/>
      <c r="AH128" s="59"/>
      <c r="AI128" s="59" t="s">
        <v>73</v>
      </c>
      <c r="AJ128" s="59"/>
      <c r="AK128" s="59" t="s">
        <v>73</v>
      </c>
      <c r="AL128" s="59"/>
      <c r="AM128" s="59" t="s">
        <v>73</v>
      </c>
      <c r="AN128" s="59"/>
      <c r="AO128" s="59" t="s">
        <v>73</v>
      </c>
      <c r="AP128" s="59"/>
      <c r="AQ128" s="59" t="s">
        <v>73</v>
      </c>
      <c r="AR128" s="59"/>
      <c r="AS128" s="59" t="s">
        <v>72</v>
      </c>
      <c r="AT128" s="59"/>
      <c r="AU128" s="59"/>
      <c r="AV128" s="59"/>
      <c r="AW128" s="59"/>
      <c r="AX128" s="59"/>
      <c r="AY128" s="60" t="str">
        <f>IF('Cálculo MP'!K138="","",'Cálculo MP'!K138)</f>
        <v/>
      </c>
      <c r="AZ128" s="60" t="str">
        <f>IF('Cálculo MP'!L138="","",'Cálculo MP'!L138)</f>
        <v/>
      </c>
      <c r="BA128" s="60" t="str">
        <f>IF('Cálculo MP'!M138="","",'Cálculo MP'!M138)</f>
        <v/>
      </c>
      <c r="BB128" s="60" t="str">
        <f>IF('Cálculo MP'!N138="","",'Cálculo MP'!N138)</f>
        <v/>
      </c>
      <c r="BC128" s="60" t="str">
        <f>IF('Cálculo MP'!O138="","",'Cálculo MP'!O138)</f>
        <v/>
      </c>
      <c r="BD128" s="60" t="str">
        <f>IF('Cálculo MP'!P138="","",'Cálculo MP'!P138)</f>
        <v/>
      </c>
      <c r="BE128" s="60" t="str">
        <f>IF('Cálculo MP'!Q138="","",'Cálculo MP'!Q138)</f>
        <v/>
      </c>
      <c r="BF128" s="60" t="str">
        <f>IF('Cálculo MP'!R138="","",'Cálculo MP'!R138)</f>
        <v/>
      </c>
      <c r="BG128" s="60" t="str">
        <f>IF('Cálculo MP'!S138="","",'Cálculo MP'!S138)</f>
        <v/>
      </c>
      <c r="BH128" s="59"/>
      <c r="BI128" s="59"/>
      <c r="BJ128" s="59"/>
      <c r="BK128" s="59"/>
      <c r="BL128" s="59"/>
      <c r="BM128" s="59"/>
      <c r="BN128" s="59"/>
      <c r="BO128" s="59"/>
    </row>
    <row r="129" spans="1:67" ht="19.5" customHeight="1" x14ac:dyDescent="0.2">
      <c r="A129" s="114" t="s">
        <v>1789</v>
      </c>
      <c r="B129" s="113" t="s">
        <v>1787</v>
      </c>
      <c r="C129" s="122"/>
      <c r="D129" s="48" t="s">
        <v>73</v>
      </c>
      <c r="E129" s="49"/>
      <c r="F129" s="50"/>
      <c r="G129" s="62"/>
      <c r="H129" s="48" t="s">
        <v>72</v>
      </c>
      <c r="I129" s="52">
        <v>1</v>
      </c>
      <c r="J129" s="52"/>
      <c r="K129" s="52" t="s">
        <v>73</v>
      </c>
      <c r="L129" s="52" t="s">
        <v>74</v>
      </c>
      <c r="M129" s="53" t="s">
        <v>917</v>
      </c>
      <c r="N129" s="58" t="s">
        <v>73</v>
      </c>
      <c r="O129" s="48" t="s">
        <v>72</v>
      </c>
      <c r="P129" s="48" t="s">
        <v>73</v>
      </c>
      <c r="Q129" s="54" t="s">
        <v>73</v>
      </c>
      <c r="R129" s="55" t="s">
        <v>73</v>
      </c>
      <c r="S129" s="48" t="s">
        <v>73</v>
      </c>
      <c r="T129" s="121" t="str" cm="1">
        <f t="array" ref="T129">IF(ISNUMBER(SEARCH("SCHNEIDER",D129)),_xlfn.IFS(ISNUMBER(SEARCH("2 Querétaro",D129)),"SQ2",ISNUMBER(SEARCH("Xicohténcatl",D129)),"SXC",ISNUMBER(SEARCH("Rojo Gómez",D129)),"SRG",ISNUMBER(SEARCH("Tlaxcala",D129)),"STX",ISNUMBER(SEARCH("Monterrey",D129)),"SMY",ISNUMBER(SEARCH("Querétaro",D129)),"SQ1",ISNUMBER(SEARCH("CDMX",D129)),"SCM",TRUE,""),"")</f>
        <v/>
      </c>
      <c r="U129" s="48" t="str" cm="1">
        <f t="array" ref="U129">_xlfn.LET(_xlpm.resultados,_xlfn.UNIQUE(_xlfn._xlws.FILTER(Tabla1[Proceso],(Tabla1[Metal Base]=O129)*(Tabla1[Etiquetas]=_xlfn.TEXTJOIN(" + ",TRUE,IF((TRIM(Upload!P129:S129)="")+(LOWER(TRIM(Upload!P129:S129))="(seleccione)"),"",PROPER(TRIM(Upload!P129:S129)))))*(Tabla1[Línea2]=IFERROR(VLOOKUP(Upload!N129&amp;"*",CAT_Procesos!D:D,1,FALSE),"")))),_xlpm.cantidad,ROWS(_xlpm.resultados),IF(ISERROR(_xlpm.cantidad),"Combinación no existente",IF(_xlpm.cantidad=1,INDEX(_xlpm.resultados,1),"(seleccione)")))</f>
        <v>Combinación no existente</v>
      </c>
      <c r="V129" s="55" t="s">
        <v>73</v>
      </c>
      <c r="W129" s="56" t="s">
        <v>73</v>
      </c>
      <c r="X129" s="57" t="str">
        <f t="shared" si="4"/>
        <v/>
      </c>
      <c r="Y129" s="58" t="s">
        <v>73</v>
      </c>
      <c r="Z129" s="57" t="str">
        <f t="shared" si="5"/>
        <v/>
      </c>
      <c r="AA129" s="58" t="s">
        <v>73</v>
      </c>
      <c r="AB129" s="57" t="str">
        <f t="shared" si="6"/>
        <v/>
      </c>
      <c r="AC129" s="58" t="s">
        <v>73</v>
      </c>
      <c r="AD129" s="57" t="str">
        <f t="shared" si="7"/>
        <v/>
      </c>
      <c r="AE129" s="59"/>
      <c r="AF129" s="59"/>
      <c r="AG129" s="59"/>
      <c r="AH129" s="59"/>
      <c r="AI129" s="59" t="s">
        <v>73</v>
      </c>
      <c r="AJ129" s="59"/>
      <c r="AK129" s="59" t="s">
        <v>73</v>
      </c>
      <c r="AL129" s="59"/>
      <c r="AM129" s="59" t="s">
        <v>73</v>
      </c>
      <c r="AN129" s="59"/>
      <c r="AO129" s="59" t="s">
        <v>73</v>
      </c>
      <c r="AP129" s="59"/>
      <c r="AQ129" s="59" t="s">
        <v>73</v>
      </c>
      <c r="AR129" s="59"/>
      <c r="AS129" s="59" t="s">
        <v>72</v>
      </c>
      <c r="AT129" s="59"/>
      <c r="AU129" s="59"/>
      <c r="AV129" s="59"/>
      <c r="AW129" s="59"/>
      <c r="AX129" s="59"/>
      <c r="AY129" s="60" t="str">
        <f>IF('Cálculo MP'!K139="","",'Cálculo MP'!K139)</f>
        <v/>
      </c>
      <c r="AZ129" s="60" t="str">
        <f>IF('Cálculo MP'!L139="","",'Cálculo MP'!L139)</f>
        <v/>
      </c>
      <c r="BA129" s="60" t="str">
        <f>IF('Cálculo MP'!M139="","",'Cálculo MP'!M139)</f>
        <v/>
      </c>
      <c r="BB129" s="60" t="str">
        <f>IF('Cálculo MP'!N139="","",'Cálculo MP'!N139)</f>
        <v/>
      </c>
      <c r="BC129" s="60" t="str">
        <f>IF('Cálculo MP'!O139="","",'Cálculo MP'!O139)</f>
        <v/>
      </c>
      <c r="BD129" s="60" t="str">
        <f>IF('Cálculo MP'!P139="","",'Cálculo MP'!P139)</f>
        <v/>
      </c>
      <c r="BE129" s="60" t="str">
        <f>IF('Cálculo MP'!Q139="","",'Cálculo MP'!Q139)</f>
        <v/>
      </c>
      <c r="BF129" s="60" t="str">
        <f>IF('Cálculo MP'!R139="","",'Cálculo MP'!R139)</f>
        <v/>
      </c>
      <c r="BG129" s="60" t="str">
        <f>IF('Cálculo MP'!S139="","",'Cálculo MP'!S139)</f>
        <v/>
      </c>
      <c r="BH129" s="59"/>
      <c r="BI129" s="59"/>
      <c r="BJ129" s="59"/>
      <c r="BK129" s="59"/>
      <c r="BL129" s="59"/>
      <c r="BM129" s="59"/>
      <c r="BN129" s="59"/>
      <c r="BO129" s="59"/>
    </row>
    <row r="130" spans="1:67" ht="19.5" customHeight="1" x14ac:dyDescent="0.2">
      <c r="A130" s="114" t="s">
        <v>1789</v>
      </c>
      <c r="B130" s="113" t="s">
        <v>1787</v>
      </c>
      <c r="C130" s="122"/>
      <c r="D130" s="48" t="s">
        <v>73</v>
      </c>
      <c r="E130" s="49"/>
      <c r="F130" s="50"/>
      <c r="G130" s="62"/>
      <c r="H130" s="48" t="s">
        <v>72</v>
      </c>
      <c r="I130" s="52">
        <v>1</v>
      </c>
      <c r="J130" s="52"/>
      <c r="K130" s="52" t="s">
        <v>73</v>
      </c>
      <c r="L130" s="52" t="s">
        <v>74</v>
      </c>
      <c r="M130" s="53" t="s">
        <v>917</v>
      </c>
      <c r="N130" s="58" t="s">
        <v>73</v>
      </c>
      <c r="O130" s="48" t="s">
        <v>72</v>
      </c>
      <c r="P130" s="48" t="s">
        <v>73</v>
      </c>
      <c r="Q130" s="54" t="s">
        <v>73</v>
      </c>
      <c r="R130" s="55" t="s">
        <v>73</v>
      </c>
      <c r="S130" s="48" t="s">
        <v>73</v>
      </c>
      <c r="T130" s="121" t="str" cm="1">
        <f t="array" ref="T130">IF(ISNUMBER(SEARCH("SCHNEIDER",D130)),_xlfn.IFS(ISNUMBER(SEARCH("2 Querétaro",D130)),"SQ2",ISNUMBER(SEARCH("Xicohténcatl",D130)),"SXC",ISNUMBER(SEARCH("Rojo Gómez",D130)),"SRG",ISNUMBER(SEARCH("Tlaxcala",D130)),"STX",ISNUMBER(SEARCH("Monterrey",D130)),"SMY",ISNUMBER(SEARCH("Querétaro",D130)),"SQ1",ISNUMBER(SEARCH("CDMX",D130)),"SCM",TRUE,""),"")</f>
        <v/>
      </c>
      <c r="U130" s="48" t="str" cm="1">
        <f t="array" ref="U130">_xlfn.LET(_xlpm.resultados,_xlfn.UNIQUE(_xlfn._xlws.FILTER(Tabla1[Proceso],(Tabla1[Metal Base]=O130)*(Tabla1[Etiquetas]=_xlfn.TEXTJOIN(" + ",TRUE,IF((TRIM(Upload!P130:S130)="")+(LOWER(TRIM(Upload!P130:S130))="(seleccione)"),"",PROPER(TRIM(Upload!P130:S130)))))*(Tabla1[Línea2]=IFERROR(VLOOKUP(Upload!N130&amp;"*",CAT_Procesos!D:D,1,FALSE),"")))),_xlpm.cantidad,ROWS(_xlpm.resultados),IF(ISERROR(_xlpm.cantidad),"Combinación no existente",IF(_xlpm.cantidad=1,INDEX(_xlpm.resultados,1),"(seleccione)")))</f>
        <v>Combinación no existente</v>
      </c>
      <c r="V130" s="55" t="s">
        <v>73</v>
      </c>
      <c r="W130" s="56" t="s">
        <v>73</v>
      </c>
      <c r="X130" s="57" t="str">
        <f t="shared" si="4"/>
        <v/>
      </c>
      <c r="Y130" s="58" t="s">
        <v>73</v>
      </c>
      <c r="Z130" s="57" t="str">
        <f t="shared" si="5"/>
        <v/>
      </c>
      <c r="AA130" s="58" t="s">
        <v>73</v>
      </c>
      <c r="AB130" s="57" t="str">
        <f t="shared" si="6"/>
        <v/>
      </c>
      <c r="AC130" s="58" t="s">
        <v>73</v>
      </c>
      <c r="AD130" s="57" t="str">
        <f t="shared" si="7"/>
        <v/>
      </c>
      <c r="AE130" s="59"/>
      <c r="AF130" s="59"/>
      <c r="AG130" s="59"/>
      <c r="AH130" s="59"/>
      <c r="AI130" s="59" t="s">
        <v>73</v>
      </c>
      <c r="AJ130" s="59"/>
      <c r="AK130" s="59" t="s">
        <v>73</v>
      </c>
      <c r="AL130" s="59"/>
      <c r="AM130" s="59" t="s">
        <v>73</v>
      </c>
      <c r="AN130" s="59"/>
      <c r="AO130" s="59" t="s">
        <v>73</v>
      </c>
      <c r="AP130" s="59"/>
      <c r="AQ130" s="59" t="s">
        <v>73</v>
      </c>
      <c r="AR130" s="59"/>
      <c r="AS130" s="59" t="s">
        <v>72</v>
      </c>
      <c r="AT130" s="59"/>
      <c r="AU130" s="59"/>
      <c r="AV130" s="59"/>
      <c r="AW130" s="59"/>
      <c r="AX130" s="59"/>
      <c r="AY130" s="60" t="str">
        <f>IF('Cálculo MP'!K140="","",'Cálculo MP'!K140)</f>
        <v/>
      </c>
      <c r="AZ130" s="60" t="str">
        <f>IF('Cálculo MP'!L140="","",'Cálculo MP'!L140)</f>
        <v/>
      </c>
      <c r="BA130" s="60" t="str">
        <f>IF('Cálculo MP'!M140="","",'Cálculo MP'!M140)</f>
        <v/>
      </c>
      <c r="BB130" s="60" t="str">
        <f>IF('Cálculo MP'!N140="","",'Cálculo MP'!N140)</f>
        <v/>
      </c>
      <c r="BC130" s="60" t="str">
        <f>IF('Cálculo MP'!O140="","",'Cálculo MP'!O140)</f>
        <v/>
      </c>
      <c r="BD130" s="60" t="str">
        <f>IF('Cálculo MP'!P140="","",'Cálculo MP'!P140)</f>
        <v/>
      </c>
      <c r="BE130" s="60" t="str">
        <f>IF('Cálculo MP'!Q140="","",'Cálculo MP'!Q140)</f>
        <v/>
      </c>
      <c r="BF130" s="60" t="str">
        <f>IF('Cálculo MP'!R140="","",'Cálculo MP'!R140)</f>
        <v/>
      </c>
      <c r="BG130" s="60" t="str">
        <f>IF('Cálculo MP'!S140="","",'Cálculo MP'!S140)</f>
        <v/>
      </c>
      <c r="BH130" s="59"/>
      <c r="BI130" s="59"/>
      <c r="BJ130" s="59"/>
      <c r="BK130" s="59"/>
      <c r="BL130" s="59"/>
      <c r="BM130" s="59"/>
      <c r="BN130" s="59"/>
      <c r="BO130" s="59"/>
    </row>
    <row r="131" spans="1:67" ht="19.5" customHeight="1" x14ac:dyDescent="0.2">
      <c r="A131" s="114" t="s">
        <v>1789</v>
      </c>
      <c r="B131" s="113" t="s">
        <v>1787</v>
      </c>
      <c r="C131" s="122"/>
      <c r="D131" s="48" t="s">
        <v>73</v>
      </c>
      <c r="E131" s="49"/>
      <c r="F131" s="50"/>
      <c r="G131" s="62"/>
      <c r="H131" s="48" t="s">
        <v>72</v>
      </c>
      <c r="I131" s="52">
        <v>1</v>
      </c>
      <c r="J131" s="52"/>
      <c r="K131" s="52" t="s">
        <v>73</v>
      </c>
      <c r="L131" s="52" t="s">
        <v>74</v>
      </c>
      <c r="M131" s="53" t="s">
        <v>917</v>
      </c>
      <c r="N131" s="58" t="s">
        <v>73</v>
      </c>
      <c r="O131" s="48" t="s">
        <v>72</v>
      </c>
      <c r="P131" s="48" t="s">
        <v>73</v>
      </c>
      <c r="Q131" s="54" t="s">
        <v>73</v>
      </c>
      <c r="R131" s="55" t="s">
        <v>73</v>
      </c>
      <c r="S131" s="48" t="s">
        <v>73</v>
      </c>
      <c r="T131" s="121" t="str" cm="1">
        <f t="array" ref="T131">IF(ISNUMBER(SEARCH("SCHNEIDER",D131)),_xlfn.IFS(ISNUMBER(SEARCH("2 Querétaro",D131)),"SQ2",ISNUMBER(SEARCH("Xicohténcatl",D131)),"SXC",ISNUMBER(SEARCH("Rojo Gómez",D131)),"SRG",ISNUMBER(SEARCH("Tlaxcala",D131)),"STX",ISNUMBER(SEARCH("Monterrey",D131)),"SMY",ISNUMBER(SEARCH("Querétaro",D131)),"SQ1",ISNUMBER(SEARCH("CDMX",D131)),"SCM",TRUE,""),"")</f>
        <v/>
      </c>
      <c r="U131" s="48" t="str" cm="1">
        <f t="array" ref="U131">_xlfn.LET(_xlpm.resultados,_xlfn.UNIQUE(_xlfn._xlws.FILTER(Tabla1[Proceso],(Tabla1[Metal Base]=O131)*(Tabla1[Etiquetas]=_xlfn.TEXTJOIN(" + ",TRUE,IF((TRIM(Upload!P131:S131)="")+(LOWER(TRIM(Upload!P131:S131))="(seleccione)"),"",PROPER(TRIM(Upload!P131:S131)))))*(Tabla1[Línea2]=IFERROR(VLOOKUP(Upload!N131&amp;"*",CAT_Procesos!D:D,1,FALSE),"")))),_xlpm.cantidad,ROWS(_xlpm.resultados),IF(ISERROR(_xlpm.cantidad),"Combinación no existente",IF(_xlpm.cantidad=1,INDEX(_xlpm.resultados,1),"(seleccione)")))</f>
        <v>Combinación no existente</v>
      </c>
      <c r="V131" s="55" t="s">
        <v>73</v>
      </c>
      <c r="W131" s="56" t="s">
        <v>73</v>
      </c>
      <c r="X131" s="57" t="str">
        <f t="shared" si="4"/>
        <v/>
      </c>
      <c r="Y131" s="58" t="s">
        <v>73</v>
      </c>
      <c r="Z131" s="57" t="str">
        <f t="shared" si="5"/>
        <v/>
      </c>
      <c r="AA131" s="58" t="s">
        <v>73</v>
      </c>
      <c r="AB131" s="57" t="str">
        <f t="shared" si="6"/>
        <v/>
      </c>
      <c r="AC131" s="58" t="s">
        <v>73</v>
      </c>
      <c r="AD131" s="57" t="str">
        <f t="shared" si="7"/>
        <v/>
      </c>
      <c r="AE131" s="59"/>
      <c r="AF131" s="59"/>
      <c r="AG131" s="59"/>
      <c r="AH131" s="59"/>
      <c r="AI131" s="59" t="s">
        <v>73</v>
      </c>
      <c r="AJ131" s="59"/>
      <c r="AK131" s="59" t="s">
        <v>73</v>
      </c>
      <c r="AL131" s="59"/>
      <c r="AM131" s="59" t="s">
        <v>73</v>
      </c>
      <c r="AN131" s="59"/>
      <c r="AO131" s="59" t="s">
        <v>73</v>
      </c>
      <c r="AP131" s="59"/>
      <c r="AQ131" s="59" t="s">
        <v>73</v>
      </c>
      <c r="AR131" s="59"/>
      <c r="AS131" s="59" t="s">
        <v>72</v>
      </c>
      <c r="AT131" s="59"/>
      <c r="AU131" s="59"/>
      <c r="AV131" s="59"/>
      <c r="AW131" s="59"/>
      <c r="AX131" s="59"/>
      <c r="AY131" s="60" t="str">
        <f>IF('Cálculo MP'!K141="","",'Cálculo MP'!K141)</f>
        <v/>
      </c>
      <c r="AZ131" s="60" t="str">
        <f>IF('Cálculo MP'!L141="","",'Cálculo MP'!L141)</f>
        <v/>
      </c>
      <c r="BA131" s="60" t="str">
        <f>IF('Cálculo MP'!M141="","",'Cálculo MP'!M141)</f>
        <v/>
      </c>
      <c r="BB131" s="60" t="str">
        <f>IF('Cálculo MP'!N141="","",'Cálculo MP'!N141)</f>
        <v/>
      </c>
      <c r="BC131" s="60" t="str">
        <f>IF('Cálculo MP'!O141="","",'Cálculo MP'!O141)</f>
        <v/>
      </c>
      <c r="BD131" s="60" t="str">
        <f>IF('Cálculo MP'!P141="","",'Cálculo MP'!P141)</f>
        <v/>
      </c>
      <c r="BE131" s="60" t="str">
        <f>IF('Cálculo MP'!Q141="","",'Cálculo MP'!Q141)</f>
        <v/>
      </c>
      <c r="BF131" s="60" t="str">
        <f>IF('Cálculo MP'!R141="","",'Cálculo MP'!R141)</f>
        <v/>
      </c>
      <c r="BG131" s="60" t="str">
        <f>IF('Cálculo MP'!S141="","",'Cálculo MP'!S141)</f>
        <v/>
      </c>
      <c r="BH131" s="59"/>
      <c r="BI131" s="59"/>
      <c r="BJ131" s="59"/>
      <c r="BK131" s="59"/>
      <c r="BL131" s="59"/>
      <c r="BM131" s="59"/>
      <c r="BN131" s="59"/>
      <c r="BO131" s="59"/>
    </row>
    <row r="132" spans="1:67" ht="19.5" customHeight="1" x14ac:dyDescent="0.2">
      <c r="A132" s="114" t="s">
        <v>1789</v>
      </c>
      <c r="B132" s="113" t="s">
        <v>1787</v>
      </c>
      <c r="C132" s="122"/>
      <c r="D132" s="48" t="s">
        <v>73</v>
      </c>
      <c r="E132" s="49"/>
      <c r="F132" s="50"/>
      <c r="G132" s="62"/>
      <c r="H132" s="48" t="s">
        <v>72</v>
      </c>
      <c r="I132" s="52">
        <v>1</v>
      </c>
      <c r="J132" s="52"/>
      <c r="K132" s="52" t="s">
        <v>73</v>
      </c>
      <c r="L132" s="52" t="s">
        <v>74</v>
      </c>
      <c r="M132" s="53" t="s">
        <v>917</v>
      </c>
      <c r="N132" s="58" t="s">
        <v>73</v>
      </c>
      <c r="O132" s="48" t="s">
        <v>72</v>
      </c>
      <c r="P132" s="48" t="s">
        <v>73</v>
      </c>
      <c r="Q132" s="54" t="s">
        <v>73</v>
      </c>
      <c r="R132" s="55" t="s">
        <v>73</v>
      </c>
      <c r="S132" s="48" t="s">
        <v>73</v>
      </c>
      <c r="T132" s="121" t="str" cm="1">
        <f t="array" ref="T132">IF(ISNUMBER(SEARCH("SCHNEIDER",D132)),_xlfn.IFS(ISNUMBER(SEARCH("2 Querétaro",D132)),"SQ2",ISNUMBER(SEARCH("Xicohténcatl",D132)),"SXC",ISNUMBER(SEARCH("Rojo Gómez",D132)),"SRG",ISNUMBER(SEARCH("Tlaxcala",D132)),"STX",ISNUMBER(SEARCH("Monterrey",D132)),"SMY",ISNUMBER(SEARCH("Querétaro",D132)),"SQ1",ISNUMBER(SEARCH("CDMX",D132)),"SCM",TRUE,""),"")</f>
        <v/>
      </c>
      <c r="U132" s="48" t="str" cm="1">
        <f t="array" ref="U132">_xlfn.LET(_xlpm.resultados,_xlfn.UNIQUE(_xlfn._xlws.FILTER(Tabla1[Proceso],(Tabla1[Metal Base]=O132)*(Tabla1[Etiquetas]=_xlfn.TEXTJOIN(" + ",TRUE,IF((TRIM(Upload!P132:S132)="")+(LOWER(TRIM(Upload!P132:S132))="(seleccione)"),"",PROPER(TRIM(Upload!P132:S132)))))*(Tabla1[Línea2]=IFERROR(VLOOKUP(Upload!N132&amp;"*",CAT_Procesos!D:D,1,FALSE),"")))),_xlpm.cantidad,ROWS(_xlpm.resultados),IF(ISERROR(_xlpm.cantidad),"Combinación no existente",IF(_xlpm.cantidad=1,INDEX(_xlpm.resultados,1),"(seleccione)")))</f>
        <v>Combinación no existente</v>
      </c>
      <c r="V132" s="55" t="s">
        <v>73</v>
      </c>
      <c r="W132" s="56" t="s">
        <v>73</v>
      </c>
      <c r="X132" s="57" t="str">
        <f t="shared" si="4"/>
        <v/>
      </c>
      <c r="Y132" s="58" t="s">
        <v>73</v>
      </c>
      <c r="Z132" s="57" t="str">
        <f t="shared" si="5"/>
        <v/>
      </c>
      <c r="AA132" s="58" t="s">
        <v>73</v>
      </c>
      <c r="AB132" s="57" t="str">
        <f t="shared" si="6"/>
        <v/>
      </c>
      <c r="AC132" s="58" t="s">
        <v>73</v>
      </c>
      <c r="AD132" s="57" t="str">
        <f t="shared" si="7"/>
        <v/>
      </c>
      <c r="AE132" s="59"/>
      <c r="AF132" s="59"/>
      <c r="AG132" s="59"/>
      <c r="AH132" s="59"/>
      <c r="AI132" s="59" t="s">
        <v>73</v>
      </c>
      <c r="AJ132" s="59"/>
      <c r="AK132" s="59" t="s">
        <v>73</v>
      </c>
      <c r="AL132" s="59"/>
      <c r="AM132" s="59" t="s">
        <v>73</v>
      </c>
      <c r="AN132" s="59"/>
      <c r="AO132" s="59" t="s">
        <v>73</v>
      </c>
      <c r="AP132" s="59"/>
      <c r="AQ132" s="59" t="s">
        <v>73</v>
      </c>
      <c r="AR132" s="59"/>
      <c r="AS132" s="59" t="s">
        <v>72</v>
      </c>
      <c r="AT132" s="59"/>
      <c r="AU132" s="59"/>
      <c r="AV132" s="59"/>
      <c r="AW132" s="59"/>
      <c r="AX132" s="59"/>
      <c r="AY132" s="60" t="str">
        <f>IF('Cálculo MP'!K142="","",'Cálculo MP'!K142)</f>
        <v/>
      </c>
      <c r="AZ132" s="60" t="str">
        <f>IF('Cálculo MP'!L142="","",'Cálculo MP'!L142)</f>
        <v/>
      </c>
      <c r="BA132" s="60" t="str">
        <f>IF('Cálculo MP'!M142="","",'Cálculo MP'!M142)</f>
        <v/>
      </c>
      <c r="BB132" s="60" t="str">
        <f>IF('Cálculo MP'!N142="","",'Cálculo MP'!N142)</f>
        <v/>
      </c>
      <c r="BC132" s="60" t="str">
        <f>IF('Cálculo MP'!O142="","",'Cálculo MP'!O142)</f>
        <v/>
      </c>
      <c r="BD132" s="60" t="str">
        <f>IF('Cálculo MP'!P142="","",'Cálculo MP'!P142)</f>
        <v/>
      </c>
      <c r="BE132" s="60" t="str">
        <f>IF('Cálculo MP'!Q142="","",'Cálculo MP'!Q142)</f>
        <v/>
      </c>
      <c r="BF132" s="60" t="str">
        <f>IF('Cálculo MP'!R142="","",'Cálculo MP'!R142)</f>
        <v/>
      </c>
      <c r="BG132" s="60" t="str">
        <f>IF('Cálculo MP'!S142="","",'Cálculo MP'!S142)</f>
        <v/>
      </c>
      <c r="BH132" s="59"/>
      <c r="BI132" s="59"/>
      <c r="BJ132" s="59"/>
      <c r="BK132" s="59"/>
      <c r="BL132" s="59"/>
      <c r="BM132" s="59"/>
      <c r="BN132" s="59"/>
      <c r="BO132" s="59"/>
    </row>
    <row r="133" spans="1:67" ht="19.5" customHeight="1" x14ac:dyDescent="0.2">
      <c r="A133" s="114" t="s">
        <v>1789</v>
      </c>
      <c r="B133" s="113" t="s">
        <v>1787</v>
      </c>
      <c r="C133" s="122"/>
      <c r="D133" s="48" t="s">
        <v>73</v>
      </c>
      <c r="E133" s="49"/>
      <c r="F133" s="50"/>
      <c r="G133" s="62"/>
      <c r="H133" s="48" t="s">
        <v>72</v>
      </c>
      <c r="I133" s="52">
        <v>1</v>
      </c>
      <c r="J133" s="52"/>
      <c r="K133" s="52" t="s">
        <v>73</v>
      </c>
      <c r="L133" s="52" t="s">
        <v>74</v>
      </c>
      <c r="M133" s="53" t="s">
        <v>917</v>
      </c>
      <c r="N133" s="58" t="s">
        <v>73</v>
      </c>
      <c r="O133" s="48" t="s">
        <v>72</v>
      </c>
      <c r="P133" s="48" t="s">
        <v>73</v>
      </c>
      <c r="Q133" s="54" t="s">
        <v>73</v>
      </c>
      <c r="R133" s="55" t="s">
        <v>73</v>
      </c>
      <c r="S133" s="48" t="s">
        <v>73</v>
      </c>
      <c r="T133" s="121" t="str" cm="1">
        <f t="array" ref="T133">IF(ISNUMBER(SEARCH("SCHNEIDER",D133)),_xlfn.IFS(ISNUMBER(SEARCH("2 Querétaro",D133)),"SQ2",ISNUMBER(SEARCH("Xicohténcatl",D133)),"SXC",ISNUMBER(SEARCH("Rojo Gómez",D133)),"SRG",ISNUMBER(SEARCH("Tlaxcala",D133)),"STX",ISNUMBER(SEARCH("Monterrey",D133)),"SMY",ISNUMBER(SEARCH("Querétaro",D133)),"SQ1",ISNUMBER(SEARCH("CDMX",D133)),"SCM",TRUE,""),"")</f>
        <v/>
      </c>
      <c r="U133" s="48" t="str" cm="1">
        <f t="array" ref="U133">_xlfn.LET(_xlpm.resultados,_xlfn.UNIQUE(_xlfn._xlws.FILTER(Tabla1[Proceso],(Tabla1[Metal Base]=O133)*(Tabla1[Etiquetas]=_xlfn.TEXTJOIN(" + ",TRUE,IF((TRIM(Upload!P133:S133)="")+(LOWER(TRIM(Upload!P133:S133))="(seleccione)"),"",PROPER(TRIM(Upload!P133:S133)))))*(Tabla1[Línea2]=IFERROR(VLOOKUP(Upload!N133&amp;"*",CAT_Procesos!D:D,1,FALSE),"")))),_xlpm.cantidad,ROWS(_xlpm.resultados),IF(ISERROR(_xlpm.cantidad),"Combinación no existente",IF(_xlpm.cantidad=1,INDEX(_xlpm.resultados,1),"(seleccione)")))</f>
        <v>Combinación no existente</v>
      </c>
      <c r="V133" s="55" t="s">
        <v>73</v>
      </c>
      <c r="W133" s="56" t="s">
        <v>73</v>
      </c>
      <c r="X133" s="57" t="str">
        <f t="shared" si="4"/>
        <v/>
      </c>
      <c r="Y133" s="58" t="s">
        <v>73</v>
      </c>
      <c r="Z133" s="57" t="str">
        <f t="shared" si="5"/>
        <v/>
      </c>
      <c r="AA133" s="58" t="s">
        <v>73</v>
      </c>
      <c r="AB133" s="57" t="str">
        <f t="shared" si="6"/>
        <v/>
      </c>
      <c r="AC133" s="58" t="s">
        <v>73</v>
      </c>
      <c r="AD133" s="57" t="str">
        <f t="shared" si="7"/>
        <v/>
      </c>
      <c r="AE133" s="59"/>
      <c r="AF133" s="59"/>
      <c r="AG133" s="59"/>
      <c r="AH133" s="59"/>
      <c r="AI133" s="59" t="s">
        <v>73</v>
      </c>
      <c r="AJ133" s="59"/>
      <c r="AK133" s="59" t="s">
        <v>73</v>
      </c>
      <c r="AL133" s="59"/>
      <c r="AM133" s="59" t="s">
        <v>73</v>
      </c>
      <c r="AN133" s="59"/>
      <c r="AO133" s="59" t="s">
        <v>73</v>
      </c>
      <c r="AP133" s="59"/>
      <c r="AQ133" s="59" t="s">
        <v>73</v>
      </c>
      <c r="AR133" s="59"/>
      <c r="AS133" s="59" t="s">
        <v>72</v>
      </c>
      <c r="AT133" s="59"/>
      <c r="AU133" s="59"/>
      <c r="AV133" s="59"/>
      <c r="AW133" s="59"/>
      <c r="AX133" s="59"/>
      <c r="AY133" s="60" t="str">
        <f>IF('Cálculo MP'!K143="","",'Cálculo MP'!K143)</f>
        <v/>
      </c>
      <c r="AZ133" s="60" t="str">
        <f>IF('Cálculo MP'!L143="","",'Cálculo MP'!L143)</f>
        <v/>
      </c>
      <c r="BA133" s="60" t="str">
        <f>IF('Cálculo MP'!M143="","",'Cálculo MP'!M143)</f>
        <v/>
      </c>
      <c r="BB133" s="60" t="str">
        <f>IF('Cálculo MP'!N143="","",'Cálculo MP'!N143)</f>
        <v/>
      </c>
      <c r="BC133" s="60" t="str">
        <f>IF('Cálculo MP'!O143="","",'Cálculo MP'!O143)</f>
        <v/>
      </c>
      <c r="BD133" s="60" t="str">
        <f>IF('Cálculo MP'!P143="","",'Cálculo MP'!P143)</f>
        <v/>
      </c>
      <c r="BE133" s="60" t="str">
        <f>IF('Cálculo MP'!Q143="","",'Cálculo MP'!Q143)</f>
        <v/>
      </c>
      <c r="BF133" s="60" t="str">
        <f>IF('Cálculo MP'!R143="","",'Cálculo MP'!R143)</f>
        <v/>
      </c>
      <c r="BG133" s="60" t="str">
        <f>IF('Cálculo MP'!S143="","",'Cálculo MP'!S143)</f>
        <v/>
      </c>
      <c r="BH133" s="59"/>
      <c r="BI133" s="59"/>
      <c r="BJ133" s="59"/>
      <c r="BK133" s="59"/>
      <c r="BL133" s="59"/>
      <c r="BM133" s="59"/>
      <c r="BN133" s="59"/>
      <c r="BO133" s="59"/>
    </row>
    <row r="134" spans="1:67" ht="19.5" customHeight="1" x14ac:dyDescent="0.2">
      <c r="A134" s="114" t="s">
        <v>1789</v>
      </c>
      <c r="B134" s="113" t="s">
        <v>1787</v>
      </c>
      <c r="C134" s="122"/>
      <c r="D134" s="48" t="s">
        <v>73</v>
      </c>
      <c r="E134" s="49"/>
      <c r="F134" s="50"/>
      <c r="G134" s="62"/>
      <c r="H134" s="48" t="s">
        <v>72</v>
      </c>
      <c r="I134" s="52">
        <v>1</v>
      </c>
      <c r="J134" s="52"/>
      <c r="K134" s="52" t="s">
        <v>73</v>
      </c>
      <c r="L134" s="52" t="s">
        <v>74</v>
      </c>
      <c r="M134" s="53" t="s">
        <v>917</v>
      </c>
      <c r="N134" s="58" t="s">
        <v>73</v>
      </c>
      <c r="O134" s="48" t="s">
        <v>72</v>
      </c>
      <c r="P134" s="48" t="s">
        <v>73</v>
      </c>
      <c r="Q134" s="54" t="s">
        <v>73</v>
      </c>
      <c r="R134" s="55" t="s">
        <v>73</v>
      </c>
      <c r="S134" s="48" t="s">
        <v>73</v>
      </c>
      <c r="T134" s="121" t="str" cm="1">
        <f t="array" ref="T134">IF(ISNUMBER(SEARCH("SCHNEIDER",D134)),_xlfn.IFS(ISNUMBER(SEARCH("2 Querétaro",D134)),"SQ2",ISNUMBER(SEARCH("Xicohténcatl",D134)),"SXC",ISNUMBER(SEARCH("Rojo Gómez",D134)),"SRG",ISNUMBER(SEARCH("Tlaxcala",D134)),"STX",ISNUMBER(SEARCH("Monterrey",D134)),"SMY",ISNUMBER(SEARCH("Querétaro",D134)),"SQ1",ISNUMBER(SEARCH("CDMX",D134)),"SCM",TRUE,""),"")</f>
        <v/>
      </c>
      <c r="U134" s="48" t="str" cm="1">
        <f t="array" ref="U134">_xlfn.LET(_xlpm.resultados,_xlfn.UNIQUE(_xlfn._xlws.FILTER(Tabla1[Proceso],(Tabla1[Metal Base]=O134)*(Tabla1[Etiquetas]=_xlfn.TEXTJOIN(" + ",TRUE,IF((TRIM(Upload!P134:S134)="")+(LOWER(TRIM(Upload!P134:S134))="(seleccione)"),"",PROPER(TRIM(Upload!P134:S134)))))*(Tabla1[Línea2]=IFERROR(VLOOKUP(Upload!N134&amp;"*",CAT_Procesos!D:D,1,FALSE),"")))),_xlpm.cantidad,ROWS(_xlpm.resultados),IF(ISERROR(_xlpm.cantidad),"Combinación no existente",IF(_xlpm.cantidad=1,INDEX(_xlpm.resultados,1),"(seleccione)")))</f>
        <v>Combinación no existente</v>
      </c>
      <c r="V134" s="55" t="s">
        <v>73</v>
      </c>
      <c r="W134" s="56" t="s">
        <v>73</v>
      </c>
      <c r="X134" s="57" t="str">
        <f t="shared" si="4"/>
        <v/>
      </c>
      <c r="Y134" s="58" t="s">
        <v>73</v>
      </c>
      <c r="Z134" s="57" t="str">
        <f t="shared" si="5"/>
        <v/>
      </c>
      <c r="AA134" s="58" t="s">
        <v>73</v>
      </c>
      <c r="AB134" s="57" t="str">
        <f t="shared" si="6"/>
        <v/>
      </c>
      <c r="AC134" s="58" t="s">
        <v>73</v>
      </c>
      <c r="AD134" s="57" t="str">
        <f t="shared" si="7"/>
        <v/>
      </c>
      <c r="AE134" s="59"/>
      <c r="AF134" s="59"/>
      <c r="AG134" s="59"/>
      <c r="AH134" s="59"/>
      <c r="AI134" s="59" t="s">
        <v>73</v>
      </c>
      <c r="AJ134" s="59"/>
      <c r="AK134" s="59" t="s">
        <v>73</v>
      </c>
      <c r="AL134" s="59"/>
      <c r="AM134" s="59" t="s">
        <v>73</v>
      </c>
      <c r="AN134" s="59"/>
      <c r="AO134" s="59" t="s">
        <v>73</v>
      </c>
      <c r="AP134" s="59"/>
      <c r="AQ134" s="59" t="s">
        <v>73</v>
      </c>
      <c r="AR134" s="59"/>
      <c r="AS134" s="59" t="s">
        <v>72</v>
      </c>
      <c r="AT134" s="59"/>
      <c r="AU134" s="59"/>
      <c r="AV134" s="59"/>
      <c r="AW134" s="59"/>
      <c r="AX134" s="59"/>
      <c r="AY134" s="60" t="str">
        <f>IF('Cálculo MP'!K144="","",'Cálculo MP'!K144)</f>
        <v/>
      </c>
      <c r="AZ134" s="60" t="str">
        <f>IF('Cálculo MP'!L144="","",'Cálculo MP'!L144)</f>
        <v/>
      </c>
      <c r="BA134" s="60" t="str">
        <f>IF('Cálculo MP'!M144="","",'Cálculo MP'!M144)</f>
        <v/>
      </c>
      <c r="BB134" s="60" t="str">
        <f>IF('Cálculo MP'!N144="","",'Cálculo MP'!N144)</f>
        <v/>
      </c>
      <c r="BC134" s="60" t="str">
        <f>IF('Cálculo MP'!O144="","",'Cálculo MP'!O144)</f>
        <v/>
      </c>
      <c r="BD134" s="60" t="str">
        <f>IF('Cálculo MP'!P144="","",'Cálculo MP'!P144)</f>
        <v/>
      </c>
      <c r="BE134" s="60" t="str">
        <f>IF('Cálculo MP'!Q144="","",'Cálculo MP'!Q144)</f>
        <v/>
      </c>
      <c r="BF134" s="60" t="str">
        <f>IF('Cálculo MP'!R144="","",'Cálculo MP'!R144)</f>
        <v/>
      </c>
      <c r="BG134" s="60" t="str">
        <f>IF('Cálculo MP'!S144="","",'Cálculo MP'!S144)</f>
        <v/>
      </c>
      <c r="BH134" s="59"/>
      <c r="BI134" s="59"/>
      <c r="BJ134" s="59"/>
      <c r="BK134" s="59"/>
      <c r="BL134" s="59"/>
      <c r="BM134" s="59"/>
      <c r="BN134" s="59"/>
      <c r="BO134" s="59"/>
    </row>
    <row r="135" spans="1:67" ht="19.5" customHeight="1" x14ac:dyDescent="0.2">
      <c r="A135" s="114" t="s">
        <v>1789</v>
      </c>
      <c r="B135" s="113" t="s">
        <v>1787</v>
      </c>
      <c r="C135" s="122"/>
      <c r="D135" s="48" t="s">
        <v>73</v>
      </c>
      <c r="E135" s="49"/>
      <c r="F135" s="50"/>
      <c r="G135" s="62"/>
      <c r="H135" s="48" t="s">
        <v>72</v>
      </c>
      <c r="I135" s="52">
        <v>1</v>
      </c>
      <c r="J135" s="52"/>
      <c r="K135" s="52" t="s">
        <v>73</v>
      </c>
      <c r="L135" s="52" t="s">
        <v>74</v>
      </c>
      <c r="M135" s="53" t="s">
        <v>917</v>
      </c>
      <c r="N135" s="58" t="s">
        <v>73</v>
      </c>
      <c r="O135" s="48" t="s">
        <v>72</v>
      </c>
      <c r="P135" s="48" t="s">
        <v>73</v>
      </c>
      <c r="Q135" s="54" t="s">
        <v>73</v>
      </c>
      <c r="R135" s="55" t="s">
        <v>73</v>
      </c>
      <c r="S135" s="48" t="s">
        <v>73</v>
      </c>
      <c r="T135" s="121" t="str" cm="1">
        <f t="array" ref="T135">IF(ISNUMBER(SEARCH("SCHNEIDER",D135)),_xlfn.IFS(ISNUMBER(SEARCH("2 Querétaro",D135)),"SQ2",ISNUMBER(SEARCH("Xicohténcatl",D135)),"SXC",ISNUMBER(SEARCH("Rojo Gómez",D135)),"SRG",ISNUMBER(SEARCH("Tlaxcala",D135)),"STX",ISNUMBER(SEARCH("Monterrey",D135)),"SMY",ISNUMBER(SEARCH("Querétaro",D135)),"SQ1",ISNUMBER(SEARCH("CDMX",D135)),"SCM",TRUE,""),"")</f>
        <v/>
      </c>
      <c r="U135" s="48" t="str" cm="1">
        <f t="array" ref="U135">_xlfn.LET(_xlpm.resultados,_xlfn.UNIQUE(_xlfn._xlws.FILTER(Tabla1[Proceso],(Tabla1[Metal Base]=O135)*(Tabla1[Etiquetas]=_xlfn.TEXTJOIN(" + ",TRUE,IF((TRIM(Upload!P135:S135)="")+(LOWER(TRIM(Upload!P135:S135))="(seleccione)"),"",PROPER(TRIM(Upload!P135:S135)))))*(Tabla1[Línea2]=IFERROR(VLOOKUP(Upload!N135&amp;"*",CAT_Procesos!D:D,1,FALSE),"")))),_xlpm.cantidad,ROWS(_xlpm.resultados),IF(ISERROR(_xlpm.cantidad),"Combinación no existente",IF(_xlpm.cantidad=1,INDEX(_xlpm.resultados,1),"(seleccione)")))</f>
        <v>Combinación no existente</v>
      </c>
      <c r="V135" s="55" t="s">
        <v>73</v>
      </c>
      <c r="W135" s="56" t="s">
        <v>73</v>
      </c>
      <c r="X135" s="57" t="str">
        <f t="shared" si="4"/>
        <v/>
      </c>
      <c r="Y135" s="58" t="s">
        <v>73</v>
      </c>
      <c r="Z135" s="57" t="str">
        <f t="shared" si="5"/>
        <v/>
      </c>
      <c r="AA135" s="58" t="s">
        <v>73</v>
      </c>
      <c r="AB135" s="57" t="str">
        <f t="shared" si="6"/>
        <v/>
      </c>
      <c r="AC135" s="58" t="s">
        <v>73</v>
      </c>
      <c r="AD135" s="57" t="str">
        <f t="shared" si="7"/>
        <v/>
      </c>
      <c r="AE135" s="59"/>
      <c r="AF135" s="59"/>
      <c r="AG135" s="59"/>
      <c r="AH135" s="59"/>
      <c r="AI135" s="59" t="s">
        <v>73</v>
      </c>
      <c r="AJ135" s="59"/>
      <c r="AK135" s="59" t="s">
        <v>73</v>
      </c>
      <c r="AL135" s="59"/>
      <c r="AM135" s="59" t="s">
        <v>73</v>
      </c>
      <c r="AN135" s="59"/>
      <c r="AO135" s="59" t="s">
        <v>73</v>
      </c>
      <c r="AP135" s="59"/>
      <c r="AQ135" s="59" t="s">
        <v>73</v>
      </c>
      <c r="AR135" s="59"/>
      <c r="AS135" s="59" t="s">
        <v>72</v>
      </c>
      <c r="AT135" s="59"/>
      <c r="AU135" s="59"/>
      <c r="AV135" s="59"/>
      <c r="AW135" s="59"/>
      <c r="AX135" s="59"/>
      <c r="AY135" s="60" t="str">
        <f>IF('Cálculo MP'!K145="","",'Cálculo MP'!K145)</f>
        <v/>
      </c>
      <c r="AZ135" s="60" t="str">
        <f>IF('Cálculo MP'!L145="","",'Cálculo MP'!L145)</f>
        <v/>
      </c>
      <c r="BA135" s="60" t="str">
        <f>IF('Cálculo MP'!M145="","",'Cálculo MP'!M145)</f>
        <v/>
      </c>
      <c r="BB135" s="60" t="str">
        <f>IF('Cálculo MP'!N145="","",'Cálculo MP'!N145)</f>
        <v/>
      </c>
      <c r="BC135" s="60" t="str">
        <f>IF('Cálculo MP'!O145="","",'Cálculo MP'!O145)</f>
        <v/>
      </c>
      <c r="BD135" s="60" t="str">
        <f>IF('Cálculo MP'!P145="","",'Cálculo MP'!P145)</f>
        <v/>
      </c>
      <c r="BE135" s="60" t="str">
        <f>IF('Cálculo MP'!Q145="","",'Cálculo MP'!Q145)</f>
        <v/>
      </c>
      <c r="BF135" s="60" t="str">
        <f>IF('Cálculo MP'!R145="","",'Cálculo MP'!R145)</f>
        <v/>
      </c>
      <c r="BG135" s="60" t="str">
        <f>IF('Cálculo MP'!S145="","",'Cálculo MP'!S145)</f>
        <v/>
      </c>
      <c r="BH135" s="59"/>
      <c r="BI135" s="59"/>
      <c r="BJ135" s="59"/>
      <c r="BK135" s="59"/>
      <c r="BL135" s="59"/>
      <c r="BM135" s="59"/>
      <c r="BN135" s="59"/>
      <c r="BO135" s="59"/>
    </row>
    <row r="136" spans="1:67" ht="19.5" customHeight="1" x14ac:dyDescent="0.2">
      <c r="A136" s="114" t="s">
        <v>1789</v>
      </c>
      <c r="B136" s="113" t="s">
        <v>1787</v>
      </c>
      <c r="C136" s="122"/>
      <c r="D136" s="48" t="s">
        <v>73</v>
      </c>
      <c r="E136" s="49"/>
      <c r="F136" s="50"/>
      <c r="G136" s="62"/>
      <c r="H136" s="48" t="s">
        <v>72</v>
      </c>
      <c r="I136" s="52">
        <v>1</v>
      </c>
      <c r="J136" s="52"/>
      <c r="K136" s="52" t="s">
        <v>73</v>
      </c>
      <c r="L136" s="52" t="s">
        <v>74</v>
      </c>
      <c r="M136" s="53" t="s">
        <v>917</v>
      </c>
      <c r="N136" s="58" t="s">
        <v>73</v>
      </c>
      <c r="O136" s="48" t="s">
        <v>72</v>
      </c>
      <c r="P136" s="48" t="s">
        <v>73</v>
      </c>
      <c r="Q136" s="54" t="s">
        <v>73</v>
      </c>
      <c r="R136" s="55" t="s">
        <v>73</v>
      </c>
      <c r="S136" s="48" t="s">
        <v>73</v>
      </c>
      <c r="T136" s="121" t="str" cm="1">
        <f t="array" ref="T136">IF(ISNUMBER(SEARCH("SCHNEIDER",D136)),_xlfn.IFS(ISNUMBER(SEARCH("2 Querétaro",D136)),"SQ2",ISNUMBER(SEARCH("Xicohténcatl",D136)),"SXC",ISNUMBER(SEARCH("Rojo Gómez",D136)),"SRG",ISNUMBER(SEARCH("Tlaxcala",D136)),"STX",ISNUMBER(SEARCH("Monterrey",D136)),"SMY",ISNUMBER(SEARCH("Querétaro",D136)),"SQ1",ISNUMBER(SEARCH("CDMX",D136)),"SCM",TRUE,""),"")</f>
        <v/>
      </c>
      <c r="U136" s="48" t="str" cm="1">
        <f t="array" ref="U136">_xlfn.LET(_xlpm.resultados,_xlfn.UNIQUE(_xlfn._xlws.FILTER(Tabla1[Proceso],(Tabla1[Metal Base]=O136)*(Tabla1[Etiquetas]=_xlfn.TEXTJOIN(" + ",TRUE,IF((TRIM(Upload!P136:S136)="")+(LOWER(TRIM(Upload!P136:S136))="(seleccione)"),"",PROPER(TRIM(Upload!P136:S136)))))*(Tabla1[Línea2]=IFERROR(VLOOKUP(Upload!N136&amp;"*",CAT_Procesos!D:D,1,FALSE),"")))),_xlpm.cantidad,ROWS(_xlpm.resultados),IF(ISERROR(_xlpm.cantidad),"Combinación no existente",IF(_xlpm.cantidad=1,INDEX(_xlpm.resultados,1),"(seleccione)")))</f>
        <v>Combinación no existente</v>
      </c>
      <c r="V136" s="55" t="s">
        <v>73</v>
      </c>
      <c r="W136" s="56" t="s">
        <v>73</v>
      </c>
      <c r="X136" s="57" t="str">
        <f t="shared" si="4"/>
        <v/>
      </c>
      <c r="Y136" s="58" t="s">
        <v>73</v>
      </c>
      <c r="Z136" s="57" t="str">
        <f t="shared" si="5"/>
        <v/>
      </c>
      <c r="AA136" s="58" t="s">
        <v>73</v>
      </c>
      <c r="AB136" s="57" t="str">
        <f t="shared" si="6"/>
        <v/>
      </c>
      <c r="AC136" s="58" t="s">
        <v>73</v>
      </c>
      <c r="AD136" s="57" t="str">
        <f t="shared" si="7"/>
        <v/>
      </c>
      <c r="AE136" s="59"/>
      <c r="AF136" s="59"/>
      <c r="AG136" s="59"/>
      <c r="AH136" s="59"/>
      <c r="AI136" s="59" t="s">
        <v>73</v>
      </c>
      <c r="AJ136" s="59"/>
      <c r="AK136" s="59" t="s">
        <v>73</v>
      </c>
      <c r="AL136" s="59"/>
      <c r="AM136" s="59" t="s">
        <v>73</v>
      </c>
      <c r="AN136" s="59"/>
      <c r="AO136" s="59" t="s">
        <v>73</v>
      </c>
      <c r="AP136" s="59"/>
      <c r="AQ136" s="59" t="s">
        <v>73</v>
      </c>
      <c r="AR136" s="59"/>
      <c r="AS136" s="59" t="s">
        <v>72</v>
      </c>
      <c r="AT136" s="59"/>
      <c r="AU136" s="59"/>
      <c r="AV136" s="59"/>
      <c r="AW136" s="59"/>
      <c r="AX136" s="59"/>
      <c r="AY136" s="60" t="str">
        <f>IF('Cálculo MP'!K146="","",'Cálculo MP'!K146)</f>
        <v/>
      </c>
      <c r="AZ136" s="60" t="str">
        <f>IF('Cálculo MP'!L146="","",'Cálculo MP'!L146)</f>
        <v/>
      </c>
      <c r="BA136" s="60" t="str">
        <f>IF('Cálculo MP'!M146="","",'Cálculo MP'!M146)</f>
        <v/>
      </c>
      <c r="BB136" s="60" t="str">
        <f>IF('Cálculo MP'!N146="","",'Cálculo MP'!N146)</f>
        <v/>
      </c>
      <c r="BC136" s="60" t="str">
        <f>IF('Cálculo MP'!O146="","",'Cálculo MP'!O146)</f>
        <v/>
      </c>
      <c r="BD136" s="60" t="str">
        <f>IF('Cálculo MP'!P146="","",'Cálculo MP'!P146)</f>
        <v/>
      </c>
      <c r="BE136" s="60" t="str">
        <f>IF('Cálculo MP'!Q146="","",'Cálculo MP'!Q146)</f>
        <v/>
      </c>
      <c r="BF136" s="60" t="str">
        <f>IF('Cálculo MP'!R146="","",'Cálculo MP'!R146)</f>
        <v/>
      </c>
      <c r="BG136" s="60" t="str">
        <f>IF('Cálculo MP'!S146="","",'Cálculo MP'!S146)</f>
        <v/>
      </c>
      <c r="BH136" s="59"/>
      <c r="BI136" s="59"/>
      <c r="BJ136" s="59"/>
      <c r="BK136" s="59"/>
      <c r="BL136" s="59"/>
      <c r="BM136" s="59"/>
      <c r="BN136" s="59"/>
      <c r="BO136" s="59"/>
    </row>
    <row r="137" spans="1:67" ht="19.5" customHeight="1" x14ac:dyDescent="0.2">
      <c r="A137" s="114" t="s">
        <v>1789</v>
      </c>
      <c r="B137" s="113" t="s">
        <v>1787</v>
      </c>
      <c r="C137" s="122"/>
      <c r="D137" s="48" t="s">
        <v>73</v>
      </c>
      <c r="E137" s="49"/>
      <c r="F137" s="50"/>
      <c r="G137" s="62"/>
      <c r="H137" s="48" t="s">
        <v>72</v>
      </c>
      <c r="I137" s="52">
        <v>1</v>
      </c>
      <c r="J137" s="52"/>
      <c r="K137" s="52" t="s">
        <v>73</v>
      </c>
      <c r="L137" s="52" t="s">
        <v>74</v>
      </c>
      <c r="M137" s="53" t="s">
        <v>917</v>
      </c>
      <c r="N137" s="58" t="s">
        <v>73</v>
      </c>
      <c r="O137" s="48" t="s">
        <v>72</v>
      </c>
      <c r="P137" s="48" t="s">
        <v>73</v>
      </c>
      <c r="Q137" s="54" t="s">
        <v>73</v>
      </c>
      <c r="R137" s="55" t="s">
        <v>73</v>
      </c>
      <c r="S137" s="48" t="s">
        <v>73</v>
      </c>
      <c r="T137" s="121" t="str" cm="1">
        <f t="array" ref="T137">IF(ISNUMBER(SEARCH("SCHNEIDER",D137)),_xlfn.IFS(ISNUMBER(SEARCH("2 Querétaro",D137)),"SQ2",ISNUMBER(SEARCH("Xicohténcatl",D137)),"SXC",ISNUMBER(SEARCH("Rojo Gómez",D137)),"SRG",ISNUMBER(SEARCH("Tlaxcala",D137)),"STX",ISNUMBER(SEARCH("Monterrey",D137)),"SMY",ISNUMBER(SEARCH("Querétaro",D137)),"SQ1",ISNUMBER(SEARCH("CDMX",D137)),"SCM",TRUE,""),"")</f>
        <v/>
      </c>
      <c r="U137" s="48" t="str" cm="1">
        <f t="array" ref="U137">_xlfn.LET(_xlpm.resultados,_xlfn.UNIQUE(_xlfn._xlws.FILTER(Tabla1[Proceso],(Tabla1[Metal Base]=O137)*(Tabla1[Etiquetas]=_xlfn.TEXTJOIN(" + ",TRUE,IF((TRIM(Upload!P137:S137)="")+(LOWER(TRIM(Upload!P137:S137))="(seleccione)"),"",PROPER(TRIM(Upload!P137:S137)))))*(Tabla1[Línea2]=IFERROR(VLOOKUP(Upload!N137&amp;"*",CAT_Procesos!D:D,1,FALSE),"")))),_xlpm.cantidad,ROWS(_xlpm.resultados),IF(ISERROR(_xlpm.cantidad),"Combinación no existente",IF(_xlpm.cantidad=1,INDEX(_xlpm.resultados,1),"(seleccione)")))</f>
        <v>Combinación no existente</v>
      </c>
      <c r="V137" s="55" t="s">
        <v>73</v>
      </c>
      <c r="W137" s="56" t="s">
        <v>73</v>
      </c>
      <c r="X137" s="57" t="str">
        <f t="shared" ref="X137:X200" si="8">IFERROR(((VALUE(TRIM(LEFT(MID(W137,FIND("|",W137)+1,99),FIND("-",MID(W137,FIND("|",W137)+1,99))-1)))+VALUE(TRIM(SUBSTITUTE(SUBSTITUTE(SUBSTITUTE(SUBSTITUTE(SUBSTITUTE(MID(MID(W137,FIND("|",W137)+1,99),FIND("-",MID(W137,FIND("|",W137)+1,99))+1,20),"µm",""),"μm",""),"mils",""),"mil",""),"",""))))/2)*IF(ISNUMBER(SEARCH("mil",MID(W137,FIND("|",W137)+1,99))),25.4,1),"")</f>
        <v/>
      </c>
      <c r="Y137" s="58" t="s">
        <v>73</v>
      </c>
      <c r="Z137" s="57" t="str">
        <f t="shared" ref="Z137:Z200" si="9">IFERROR(((VALUE(TRIM(LEFT(MID(Y137,FIND("|",Y137)+1,99),FIND("-",MID(Y137,FIND("|",Y137)+1,99))-1)))+VALUE(TRIM(SUBSTITUTE(SUBSTITUTE(SUBSTITUTE(SUBSTITUTE(SUBSTITUTE(MID(MID(Y137,FIND("|",Y137)+1,99),FIND("-",MID(Y137,FIND("|",Y137)+1,99))+1,20),"µm",""),"μm",""),"mils",""),"mil",""),"",""))))/2)*IF(ISNUMBER(SEARCH("mil",MID(Y137,FIND("|",Y137)+1,99))),25.4,1),"")</f>
        <v/>
      </c>
      <c r="AA137" s="58" t="s">
        <v>73</v>
      </c>
      <c r="AB137" s="57" t="str">
        <f t="shared" ref="AB137:AB200" si="10">IFERROR(((VALUE(TRIM(LEFT(MID(AA137,FIND("|",AA137)+1,99),FIND("-",MID(AA137,FIND("|",AA137)+1,99))-1)))+VALUE(TRIM(SUBSTITUTE(SUBSTITUTE(SUBSTITUTE(SUBSTITUTE(SUBSTITUTE(MID(MID(AA137,FIND("|",AA137)+1,99),FIND("-",MID(AA137,FIND("|",AA137)+1,99))+1,20),"µm",""),"μm",""),"mils",""),"mil",""),"",""))))/2)*IF(ISNUMBER(SEARCH("mil",MID(AA137,FIND("|",AA137)+1,99))),25.4,1),"")</f>
        <v/>
      </c>
      <c r="AC137" s="58" t="s">
        <v>73</v>
      </c>
      <c r="AD137" s="57" t="str">
        <f t="shared" ref="AD137:AD200" si="11">IFERROR(((VALUE(TRIM(LEFT(MID(AC137,FIND("|",AC137)+1,99),FIND("-",MID(AC137,FIND("|",AC137)+1,99))-1)))+VALUE(TRIM(SUBSTITUTE(SUBSTITUTE(SUBSTITUTE(SUBSTITUTE(SUBSTITUTE(MID(MID(AC137,FIND("|",AC137)+1,99),FIND("-",MID(AC137,FIND("|",AC137)+1,99))+1,20),"µm",""),"μm",""),"mils",""),"mil",""),"",""))))/2)*IF(ISNUMBER(SEARCH("mil",MID(AC137,FIND("|",AC137)+1,99))),25.4,1),"")</f>
        <v/>
      </c>
      <c r="AE137" s="59"/>
      <c r="AF137" s="59"/>
      <c r="AG137" s="59"/>
      <c r="AH137" s="59"/>
      <c r="AI137" s="59" t="s">
        <v>73</v>
      </c>
      <c r="AJ137" s="59"/>
      <c r="AK137" s="59" t="s">
        <v>73</v>
      </c>
      <c r="AL137" s="59"/>
      <c r="AM137" s="59" t="s">
        <v>73</v>
      </c>
      <c r="AN137" s="59"/>
      <c r="AO137" s="59" t="s">
        <v>73</v>
      </c>
      <c r="AP137" s="59"/>
      <c r="AQ137" s="59" t="s">
        <v>73</v>
      </c>
      <c r="AR137" s="59"/>
      <c r="AS137" s="59" t="s">
        <v>72</v>
      </c>
      <c r="AT137" s="59"/>
      <c r="AU137" s="59"/>
      <c r="AV137" s="59"/>
      <c r="AW137" s="59"/>
      <c r="AX137" s="59"/>
      <c r="AY137" s="60" t="str">
        <f>IF('Cálculo MP'!K147="","",'Cálculo MP'!K147)</f>
        <v/>
      </c>
      <c r="AZ137" s="60" t="str">
        <f>IF('Cálculo MP'!L147="","",'Cálculo MP'!L147)</f>
        <v/>
      </c>
      <c r="BA137" s="60" t="str">
        <f>IF('Cálculo MP'!M147="","",'Cálculo MP'!M147)</f>
        <v/>
      </c>
      <c r="BB137" s="60" t="str">
        <f>IF('Cálculo MP'!N147="","",'Cálculo MP'!N147)</f>
        <v/>
      </c>
      <c r="BC137" s="60" t="str">
        <f>IF('Cálculo MP'!O147="","",'Cálculo MP'!O147)</f>
        <v/>
      </c>
      <c r="BD137" s="60" t="str">
        <f>IF('Cálculo MP'!P147="","",'Cálculo MP'!P147)</f>
        <v/>
      </c>
      <c r="BE137" s="60" t="str">
        <f>IF('Cálculo MP'!Q147="","",'Cálculo MP'!Q147)</f>
        <v/>
      </c>
      <c r="BF137" s="60" t="str">
        <f>IF('Cálculo MP'!R147="","",'Cálculo MP'!R147)</f>
        <v/>
      </c>
      <c r="BG137" s="60" t="str">
        <f>IF('Cálculo MP'!S147="","",'Cálculo MP'!S147)</f>
        <v/>
      </c>
      <c r="BH137" s="59"/>
      <c r="BI137" s="59"/>
      <c r="BJ137" s="59"/>
      <c r="BK137" s="59"/>
      <c r="BL137" s="59"/>
      <c r="BM137" s="59"/>
      <c r="BN137" s="59"/>
      <c r="BO137" s="59"/>
    </row>
    <row r="138" spans="1:67" ht="19.5" customHeight="1" x14ac:dyDescent="0.2">
      <c r="A138" s="114" t="s">
        <v>1789</v>
      </c>
      <c r="B138" s="113" t="s">
        <v>1787</v>
      </c>
      <c r="C138" s="122"/>
      <c r="D138" s="48" t="s">
        <v>73</v>
      </c>
      <c r="E138" s="49"/>
      <c r="F138" s="50"/>
      <c r="G138" s="62"/>
      <c r="H138" s="48" t="s">
        <v>72</v>
      </c>
      <c r="I138" s="52">
        <v>1</v>
      </c>
      <c r="J138" s="52"/>
      <c r="K138" s="52" t="s">
        <v>73</v>
      </c>
      <c r="L138" s="52" t="s">
        <v>74</v>
      </c>
      <c r="M138" s="53" t="s">
        <v>917</v>
      </c>
      <c r="N138" s="58" t="s">
        <v>73</v>
      </c>
      <c r="O138" s="48" t="s">
        <v>72</v>
      </c>
      <c r="P138" s="48" t="s">
        <v>73</v>
      </c>
      <c r="Q138" s="54" t="s">
        <v>73</v>
      </c>
      <c r="R138" s="55" t="s">
        <v>73</v>
      </c>
      <c r="S138" s="48" t="s">
        <v>73</v>
      </c>
      <c r="T138" s="121" t="str" cm="1">
        <f t="array" ref="T138">IF(ISNUMBER(SEARCH("SCHNEIDER",D138)),_xlfn.IFS(ISNUMBER(SEARCH("2 Querétaro",D138)),"SQ2",ISNUMBER(SEARCH("Xicohténcatl",D138)),"SXC",ISNUMBER(SEARCH("Rojo Gómez",D138)),"SRG",ISNUMBER(SEARCH("Tlaxcala",D138)),"STX",ISNUMBER(SEARCH("Monterrey",D138)),"SMY",ISNUMBER(SEARCH("Querétaro",D138)),"SQ1",ISNUMBER(SEARCH("CDMX",D138)),"SCM",TRUE,""),"")</f>
        <v/>
      </c>
      <c r="U138" s="48" t="str" cm="1">
        <f t="array" ref="U138">_xlfn.LET(_xlpm.resultados,_xlfn.UNIQUE(_xlfn._xlws.FILTER(Tabla1[Proceso],(Tabla1[Metal Base]=O138)*(Tabla1[Etiquetas]=_xlfn.TEXTJOIN(" + ",TRUE,IF((TRIM(Upload!P138:S138)="")+(LOWER(TRIM(Upload!P138:S138))="(seleccione)"),"",PROPER(TRIM(Upload!P138:S138)))))*(Tabla1[Línea2]=IFERROR(VLOOKUP(Upload!N138&amp;"*",CAT_Procesos!D:D,1,FALSE),"")))),_xlpm.cantidad,ROWS(_xlpm.resultados),IF(ISERROR(_xlpm.cantidad),"Combinación no existente",IF(_xlpm.cantidad=1,INDEX(_xlpm.resultados,1),"(seleccione)")))</f>
        <v>Combinación no existente</v>
      </c>
      <c r="V138" s="55" t="s">
        <v>73</v>
      </c>
      <c r="W138" s="56" t="s">
        <v>73</v>
      </c>
      <c r="X138" s="57" t="str">
        <f t="shared" si="8"/>
        <v/>
      </c>
      <c r="Y138" s="58" t="s">
        <v>73</v>
      </c>
      <c r="Z138" s="57" t="str">
        <f t="shared" si="9"/>
        <v/>
      </c>
      <c r="AA138" s="58" t="s">
        <v>73</v>
      </c>
      <c r="AB138" s="57" t="str">
        <f t="shared" si="10"/>
        <v/>
      </c>
      <c r="AC138" s="58" t="s">
        <v>73</v>
      </c>
      <c r="AD138" s="57" t="str">
        <f t="shared" si="11"/>
        <v/>
      </c>
      <c r="AE138" s="59"/>
      <c r="AF138" s="59"/>
      <c r="AG138" s="59"/>
      <c r="AH138" s="59"/>
      <c r="AI138" s="59" t="s">
        <v>73</v>
      </c>
      <c r="AJ138" s="59"/>
      <c r="AK138" s="59" t="s">
        <v>73</v>
      </c>
      <c r="AL138" s="59"/>
      <c r="AM138" s="59" t="s">
        <v>73</v>
      </c>
      <c r="AN138" s="59"/>
      <c r="AO138" s="59" t="s">
        <v>73</v>
      </c>
      <c r="AP138" s="59"/>
      <c r="AQ138" s="59" t="s">
        <v>73</v>
      </c>
      <c r="AR138" s="59"/>
      <c r="AS138" s="59" t="s">
        <v>72</v>
      </c>
      <c r="AT138" s="59"/>
      <c r="AU138" s="59"/>
      <c r="AV138" s="59"/>
      <c r="AW138" s="59"/>
      <c r="AX138" s="59"/>
      <c r="AY138" s="60" t="str">
        <f>IF('Cálculo MP'!K148="","",'Cálculo MP'!K148)</f>
        <v/>
      </c>
      <c r="AZ138" s="60" t="str">
        <f>IF('Cálculo MP'!L148="","",'Cálculo MP'!L148)</f>
        <v/>
      </c>
      <c r="BA138" s="60" t="str">
        <f>IF('Cálculo MP'!M148="","",'Cálculo MP'!M148)</f>
        <v/>
      </c>
      <c r="BB138" s="60" t="str">
        <f>IF('Cálculo MP'!N148="","",'Cálculo MP'!N148)</f>
        <v/>
      </c>
      <c r="BC138" s="60" t="str">
        <f>IF('Cálculo MP'!O148="","",'Cálculo MP'!O148)</f>
        <v/>
      </c>
      <c r="BD138" s="60" t="str">
        <f>IF('Cálculo MP'!P148="","",'Cálculo MP'!P148)</f>
        <v/>
      </c>
      <c r="BE138" s="60" t="str">
        <f>IF('Cálculo MP'!Q148="","",'Cálculo MP'!Q148)</f>
        <v/>
      </c>
      <c r="BF138" s="60" t="str">
        <f>IF('Cálculo MP'!R148="","",'Cálculo MP'!R148)</f>
        <v/>
      </c>
      <c r="BG138" s="60" t="str">
        <f>IF('Cálculo MP'!S148="","",'Cálculo MP'!S148)</f>
        <v/>
      </c>
      <c r="BH138" s="59"/>
      <c r="BI138" s="59"/>
      <c r="BJ138" s="59"/>
      <c r="BK138" s="59"/>
      <c r="BL138" s="59"/>
      <c r="BM138" s="59"/>
      <c r="BN138" s="59"/>
      <c r="BO138" s="59"/>
    </row>
    <row r="139" spans="1:67" ht="19.5" customHeight="1" x14ac:dyDescent="0.2">
      <c r="A139" s="114" t="s">
        <v>1789</v>
      </c>
      <c r="B139" s="113" t="s">
        <v>1787</v>
      </c>
      <c r="C139" s="122"/>
      <c r="D139" s="48" t="s">
        <v>73</v>
      </c>
      <c r="E139" s="49"/>
      <c r="F139" s="50"/>
      <c r="G139" s="62"/>
      <c r="H139" s="48" t="s">
        <v>72</v>
      </c>
      <c r="I139" s="52">
        <v>1</v>
      </c>
      <c r="J139" s="52"/>
      <c r="K139" s="52" t="s">
        <v>73</v>
      </c>
      <c r="L139" s="52" t="s">
        <v>74</v>
      </c>
      <c r="M139" s="53" t="s">
        <v>917</v>
      </c>
      <c r="N139" s="58" t="s">
        <v>73</v>
      </c>
      <c r="O139" s="48" t="s">
        <v>72</v>
      </c>
      <c r="P139" s="48" t="s">
        <v>73</v>
      </c>
      <c r="Q139" s="54" t="s">
        <v>73</v>
      </c>
      <c r="R139" s="55" t="s">
        <v>73</v>
      </c>
      <c r="S139" s="48" t="s">
        <v>73</v>
      </c>
      <c r="T139" s="121" t="str" cm="1">
        <f t="array" ref="T139">IF(ISNUMBER(SEARCH("SCHNEIDER",D139)),_xlfn.IFS(ISNUMBER(SEARCH("2 Querétaro",D139)),"SQ2",ISNUMBER(SEARCH("Xicohténcatl",D139)),"SXC",ISNUMBER(SEARCH("Rojo Gómez",D139)),"SRG",ISNUMBER(SEARCH("Tlaxcala",D139)),"STX",ISNUMBER(SEARCH("Monterrey",D139)),"SMY",ISNUMBER(SEARCH("Querétaro",D139)),"SQ1",ISNUMBER(SEARCH("CDMX",D139)),"SCM",TRUE,""),"")</f>
        <v/>
      </c>
      <c r="U139" s="48" t="str" cm="1">
        <f t="array" ref="U139">_xlfn.LET(_xlpm.resultados,_xlfn.UNIQUE(_xlfn._xlws.FILTER(Tabla1[Proceso],(Tabla1[Metal Base]=O139)*(Tabla1[Etiquetas]=_xlfn.TEXTJOIN(" + ",TRUE,IF((TRIM(Upload!P139:S139)="")+(LOWER(TRIM(Upload!P139:S139))="(seleccione)"),"",PROPER(TRIM(Upload!P139:S139)))))*(Tabla1[Línea2]=IFERROR(VLOOKUP(Upload!N139&amp;"*",CAT_Procesos!D:D,1,FALSE),"")))),_xlpm.cantidad,ROWS(_xlpm.resultados),IF(ISERROR(_xlpm.cantidad),"Combinación no existente",IF(_xlpm.cantidad=1,INDEX(_xlpm.resultados,1),"(seleccione)")))</f>
        <v>Combinación no existente</v>
      </c>
      <c r="V139" s="55" t="s">
        <v>73</v>
      </c>
      <c r="W139" s="56" t="s">
        <v>73</v>
      </c>
      <c r="X139" s="57" t="str">
        <f t="shared" si="8"/>
        <v/>
      </c>
      <c r="Y139" s="58" t="s">
        <v>73</v>
      </c>
      <c r="Z139" s="57" t="str">
        <f t="shared" si="9"/>
        <v/>
      </c>
      <c r="AA139" s="58" t="s">
        <v>73</v>
      </c>
      <c r="AB139" s="57" t="str">
        <f t="shared" si="10"/>
        <v/>
      </c>
      <c r="AC139" s="58" t="s">
        <v>73</v>
      </c>
      <c r="AD139" s="57" t="str">
        <f t="shared" si="11"/>
        <v/>
      </c>
      <c r="AE139" s="59"/>
      <c r="AF139" s="59"/>
      <c r="AG139" s="59"/>
      <c r="AH139" s="59"/>
      <c r="AI139" s="59" t="s">
        <v>73</v>
      </c>
      <c r="AJ139" s="59"/>
      <c r="AK139" s="59" t="s">
        <v>73</v>
      </c>
      <c r="AL139" s="59"/>
      <c r="AM139" s="59" t="s">
        <v>73</v>
      </c>
      <c r="AN139" s="59"/>
      <c r="AO139" s="59" t="s">
        <v>73</v>
      </c>
      <c r="AP139" s="59"/>
      <c r="AQ139" s="59" t="s">
        <v>73</v>
      </c>
      <c r="AR139" s="59"/>
      <c r="AS139" s="59" t="s">
        <v>72</v>
      </c>
      <c r="AT139" s="59"/>
      <c r="AU139" s="59"/>
      <c r="AV139" s="59"/>
      <c r="AW139" s="59"/>
      <c r="AX139" s="59"/>
      <c r="AY139" s="60" t="str">
        <f>IF('Cálculo MP'!K149="","",'Cálculo MP'!K149)</f>
        <v/>
      </c>
      <c r="AZ139" s="60" t="str">
        <f>IF('Cálculo MP'!L149="","",'Cálculo MP'!L149)</f>
        <v/>
      </c>
      <c r="BA139" s="60" t="str">
        <f>IF('Cálculo MP'!M149="","",'Cálculo MP'!M149)</f>
        <v/>
      </c>
      <c r="BB139" s="60" t="str">
        <f>IF('Cálculo MP'!N149="","",'Cálculo MP'!N149)</f>
        <v/>
      </c>
      <c r="BC139" s="60" t="str">
        <f>IF('Cálculo MP'!O149="","",'Cálculo MP'!O149)</f>
        <v/>
      </c>
      <c r="BD139" s="60" t="str">
        <f>IF('Cálculo MP'!P149="","",'Cálculo MP'!P149)</f>
        <v/>
      </c>
      <c r="BE139" s="60" t="str">
        <f>IF('Cálculo MP'!Q149="","",'Cálculo MP'!Q149)</f>
        <v/>
      </c>
      <c r="BF139" s="60" t="str">
        <f>IF('Cálculo MP'!R149="","",'Cálculo MP'!R149)</f>
        <v/>
      </c>
      <c r="BG139" s="60" t="str">
        <f>IF('Cálculo MP'!S149="","",'Cálculo MP'!S149)</f>
        <v/>
      </c>
      <c r="BH139" s="59"/>
      <c r="BI139" s="59"/>
      <c r="BJ139" s="59"/>
      <c r="BK139" s="59"/>
      <c r="BL139" s="59"/>
      <c r="BM139" s="59"/>
      <c r="BN139" s="59"/>
      <c r="BO139" s="59"/>
    </row>
    <row r="140" spans="1:67" ht="19.5" customHeight="1" x14ac:dyDescent="0.2">
      <c r="A140" s="114" t="s">
        <v>1789</v>
      </c>
      <c r="B140" s="113" t="s">
        <v>1787</v>
      </c>
      <c r="C140" s="122"/>
      <c r="D140" s="48" t="s">
        <v>73</v>
      </c>
      <c r="E140" s="49"/>
      <c r="F140" s="50"/>
      <c r="G140" s="62"/>
      <c r="H140" s="48" t="s">
        <v>72</v>
      </c>
      <c r="I140" s="52">
        <v>1</v>
      </c>
      <c r="J140" s="52"/>
      <c r="K140" s="52" t="s">
        <v>73</v>
      </c>
      <c r="L140" s="52" t="s">
        <v>74</v>
      </c>
      <c r="M140" s="53" t="s">
        <v>917</v>
      </c>
      <c r="N140" s="58" t="s">
        <v>73</v>
      </c>
      <c r="O140" s="48" t="s">
        <v>72</v>
      </c>
      <c r="P140" s="48" t="s">
        <v>73</v>
      </c>
      <c r="Q140" s="54" t="s">
        <v>73</v>
      </c>
      <c r="R140" s="55" t="s">
        <v>73</v>
      </c>
      <c r="S140" s="48" t="s">
        <v>73</v>
      </c>
      <c r="T140" s="121" t="str" cm="1">
        <f t="array" ref="T140">IF(ISNUMBER(SEARCH("SCHNEIDER",D140)),_xlfn.IFS(ISNUMBER(SEARCH("2 Querétaro",D140)),"SQ2",ISNUMBER(SEARCH("Xicohténcatl",D140)),"SXC",ISNUMBER(SEARCH("Rojo Gómez",D140)),"SRG",ISNUMBER(SEARCH("Tlaxcala",D140)),"STX",ISNUMBER(SEARCH("Monterrey",D140)),"SMY",ISNUMBER(SEARCH("Querétaro",D140)),"SQ1",ISNUMBER(SEARCH("CDMX",D140)),"SCM",TRUE,""),"")</f>
        <v/>
      </c>
      <c r="U140" s="48" t="str" cm="1">
        <f t="array" ref="U140">_xlfn.LET(_xlpm.resultados,_xlfn.UNIQUE(_xlfn._xlws.FILTER(Tabla1[Proceso],(Tabla1[Metal Base]=O140)*(Tabla1[Etiquetas]=_xlfn.TEXTJOIN(" + ",TRUE,IF((TRIM(Upload!P140:S140)="")+(LOWER(TRIM(Upload!P140:S140))="(seleccione)"),"",PROPER(TRIM(Upload!P140:S140)))))*(Tabla1[Línea2]=IFERROR(VLOOKUP(Upload!N140&amp;"*",CAT_Procesos!D:D,1,FALSE),"")))),_xlpm.cantidad,ROWS(_xlpm.resultados),IF(ISERROR(_xlpm.cantidad),"Combinación no existente",IF(_xlpm.cantidad=1,INDEX(_xlpm.resultados,1),"(seleccione)")))</f>
        <v>Combinación no existente</v>
      </c>
      <c r="V140" s="55" t="s">
        <v>73</v>
      </c>
      <c r="W140" s="56" t="s">
        <v>73</v>
      </c>
      <c r="X140" s="57" t="str">
        <f t="shared" si="8"/>
        <v/>
      </c>
      <c r="Y140" s="58" t="s">
        <v>73</v>
      </c>
      <c r="Z140" s="57" t="str">
        <f t="shared" si="9"/>
        <v/>
      </c>
      <c r="AA140" s="58" t="s">
        <v>73</v>
      </c>
      <c r="AB140" s="57" t="str">
        <f t="shared" si="10"/>
        <v/>
      </c>
      <c r="AC140" s="58" t="s">
        <v>73</v>
      </c>
      <c r="AD140" s="57" t="str">
        <f t="shared" si="11"/>
        <v/>
      </c>
      <c r="AE140" s="59"/>
      <c r="AF140" s="59"/>
      <c r="AG140" s="59"/>
      <c r="AH140" s="59"/>
      <c r="AI140" s="59" t="s">
        <v>73</v>
      </c>
      <c r="AJ140" s="59"/>
      <c r="AK140" s="59" t="s">
        <v>73</v>
      </c>
      <c r="AL140" s="59"/>
      <c r="AM140" s="59" t="s">
        <v>73</v>
      </c>
      <c r="AN140" s="59"/>
      <c r="AO140" s="59" t="s">
        <v>73</v>
      </c>
      <c r="AP140" s="59"/>
      <c r="AQ140" s="59" t="s">
        <v>73</v>
      </c>
      <c r="AR140" s="59"/>
      <c r="AS140" s="59" t="s">
        <v>72</v>
      </c>
      <c r="AT140" s="59"/>
      <c r="AU140" s="59"/>
      <c r="AV140" s="59"/>
      <c r="AW140" s="59"/>
      <c r="AX140" s="59"/>
      <c r="AY140" s="60" t="str">
        <f>IF('Cálculo MP'!K150="","",'Cálculo MP'!K150)</f>
        <v/>
      </c>
      <c r="AZ140" s="60" t="str">
        <f>IF('Cálculo MP'!L150="","",'Cálculo MP'!L150)</f>
        <v/>
      </c>
      <c r="BA140" s="60" t="str">
        <f>IF('Cálculo MP'!M150="","",'Cálculo MP'!M150)</f>
        <v/>
      </c>
      <c r="BB140" s="60" t="str">
        <f>IF('Cálculo MP'!N150="","",'Cálculo MP'!N150)</f>
        <v/>
      </c>
      <c r="BC140" s="60" t="str">
        <f>IF('Cálculo MP'!O150="","",'Cálculo MP'!O150)</f>
        <v/>
      </c>
      <c r="BD140" s="60" t="str">
        <f>IF('Cálculo MP'!P150="","",'Cálculo MP'!P150)</f>
        <v/>
      </c>
      <c r="BE140" s="60" t="str">
        <f>IF('Cálculo MP'!Q150="","",'Cálculo MP'!Q150)</f>
        <v/>
      </c>
      <c r="BF140" s="60" t="str">
        <f>IF('Cálculo MP'!R150="","",'Cálculo MP'!R150)</f>
        <v/>
      </c>
      <c r="BG140" s="60" t="str">
        <f>IF('Cálculo MP'!S150="","",'Cálculo MP'!S150)</f>
        <v/>
      </c>
      <c r="BH140" s="59"/>
      <c r="BI140" s="59"/>
      <c r="BJ140" s="59"/>
      <c r="BK140" s="59"/>
      <c r="BL140" s="59"/>
      <c r="BM140" s="59"/>
      <c r="BN140" s="59"/>
      <c r="BO140" s="59"/>
    </row>
    <row r="141" spans="1:67" ht="19.5" customHeight="1" x14ac:dyDescent="0.2">
      <c r="A141" s="114" t="s">
        <v>1789</v>
      </c>
      <c r="B141" s="113" t="s">
        <v>1787</v>
      </c>
      <c r="C141" s="122"/>
      <c r="D141" s="48" t="s">
        <v>73</v>
      </c>
      <c r="E141" s="49"/>
      <c r="F141" s="50"/>
      <c r="G141" s="62"/>
      <c r="H141" s="48" t="s">
        <v>72</v>
      </c>
      <c r="I141" s="52">
        <v>1</v>
      </c>
      <c r="J141" s="52"/>
      <c r="K141" s="52" t="s">
        <v>73</v>
      </c>
      <c r="L141" s="52" t="s">
        <v>74</v>
      </c>
      <c r="M141" s="53" t="s">
        <v>917</v>
      </c>
      <c r="N141" s="58" t="s">
        <v>73</v>
      </c>
      <c r="O141" s="48" t="s">
        <v>72</v>
      </c>
      <c r="P141" s="48" t="s">
        <v>73</v>
      </c>
      <c r="Q141" s="54" t="s">
        <v>73</v>
      </c>
      <c r="R141" s="55" t="s">
        <v>73</v>
      </c>
      <c r="S141" s="48" t="s">
        <v>73</v>
      </c>
      <c r="T141" s="121" t="str" cm="1">
        <f t="array" ref="T141">IF(ISNUMBER(SEARCH("SCHNEIDER",D141)),_xlfn.IFS(ISNUMBER(SEARCH("2 Querétaro",D141)),"SQ2",ISNUMBER(SEARCH("Xicohténcatl",D141)),"SXC",ISNUMBER(SEARCH("Rojo Gómez",D141)),"SRG",ISNUMBER(SEARCH("Tlaxcala",D141)),"STX",ISNUMBER(SEARCH("Monterrey",D141)),"SMY",ISNUMBER(SEARCH("Querétaro",D141)),"SQ1",ISNUMBER(SEARCH("CDMX",D141)),"SCM",TRUE,""),"")</f>
        <v/>
      </c>
      <c r="U141" s="48" t="str" cm="1">
        <f t="array" ref="U141">_xlfn.LET(_xlpm.resultados,_xlfn.UNIQUE(_xlfn._xlws.FILTER(Tabla1[Proceso],(Tabla1[Metal Base]=O141)*(Tabla1[Etiquetas]=_xlfn.TEXTJOIN(" + ",TRUE,IF((TRIM(Upload!P141:S141)="")+(LOWER(TRIM(Upload!P141:S141))="(seleccione)"),"",PROPER(TRIM(Upload!P141:S141)))))*(Tabla1[Línea2]=IFERROR(VLOOKUP(Upload!N141&amp;"*",CAT_Procesos!D:D,1,FALSE),"")))),_xlpm.cantidad,ROWS(_xlpm.resultados),IF(ISERROR(_xlpm.cantidad),"Combinación no existente",IF(_xlpm.cantidad=1,INDEX(_xlpm.resultados,1),"(seleccione)")))</f>
        <v>Combinación no existente</v>
      </c>
      <c r="V141" s="55" t="s">
        <v>73</v>
      </c>
      <c r="W141" s="56" t="s">
        <v>73</v>
      </c>
      <c r="X141" s="57" t="str">
        <f t="shared" si="8"/>
        <v/>
      </c>
      <c r="Y141" s="58" t="s">
        <v>73</v>
      </c>
      <c r="Z141" s="57" t="str">
        <f t="shared" si="9"/>
        <v/>
      </c>
      <c r="AA141" s="58" t="s">
        <v>73</v>
      </c>
      <c r="AB141" s="57" t="str">
        <f t="shared" si="10"/>
        <v/>
      </c>
      <c r="AC141" s="58" t="s">
        <v>73</v>
      </c>
      <c r="AD141" s="57" t="str">
        <f t="shared" si="11"/>
        <v/>
      </c>
      <c r="AE141" s="59"/>
      <c r="AF141" s="59"/>
      <c r="AG141" s="59"/>
      <c r="AH141" s="59"/>
      <c r="AI141" s="59" t="s">
        <v>73</v>
      </c>
      <c r="AJ141" s="59"/>
      <c r="AK141" s="59" t="s">
        <v>73</v>
      </c>
      <c r="AL141" s="59"/>
      <c r="AM141" s="59" t="s">
        <v>73</v>
      </c>
      <c r="AN141" s="59"/>
      <c r="AO141" s="59" t="s">
        <v>73</v>
      </c>
      <c r="AP141" s="59"/>
      <c r="AQ141" s="59" t="s">
        <v>73</v>
      </c>
      <c r="AR141" s="59"/>
      <c r="AS141" s="59" t="s">
        <v>72</v>
      </c>
      <c r="AT141" s="59"/>
      <c r="AU141" s="59"/>
      <c r="AV141" s="59"/>
      <c r="AW141" s="59"/>
      <c r="AX141" s="59"/>
      <c r="AY141" s="60" t="str">
        <f>IF('Cálculo MP'!K151="","",'Cálculo MP'!K151)</f>
        <v/>
      </c>
      <c r="AZ141" s="60" t="str">
        <f>IF('Cálculo MP'!L151="","",'Cálculo MP'!L151)</f>
        <v/>
      </c>
      <c r="BA141" s="60" t="str">
        <f>IF('Cálculo MP'!M151="","",'Cálculo MP'!M151)</f>
        <v/>
      </c>
      <c r="BB141" s="60" t="str">
        <f>IF('Cálculo MP'!N151="","",'Cálculo MP'!N151)</f>
        <v/>
      </c>
      <c r="BC141" s="60" t="str">
        <f>IF('Cálculo MP'!O151="","",'Cálculo MP'!O151)</f>
        <v/>
      </c>
      <c r="BD141" s="60" t="str">
        <f>IF('Cálculo MP'!P151="","",'Cálculo MP'!P151)</f>
        <v/>
      </c>
      <c r="BE141" s="60" t="str">
        <f>IF('Cálculo MP'!Q151="","",'Cálculo MP'!Q151)</f>
        <v/>
      </c>
      <c r="BF141" s="60" t="str">
        <f>IF('Cálculo MP'!R151="","",'Cálculo MP'!R151)</f>
        <v/>
      </c>
      <c r="BG141" s="60" t="str">
        <f>IF('Cálculo MP'!S151="","",'Cálculo MP'!S151)</f>
        <v/>
      </c>
      <c r="BH141" s="59"/>
      <c r="BI141" s="59"/>
      <c r="BJ141" s="59"/>
      <c r="BK141" s="59"/>
      <c r="BL141" s="59"/>
      <c r="BM141" s="59"/>
      <c r="BN141" s="59"/>
      <c r="BO141" s="59"/>
    </row>
    <row r="142" spans="1:67" ht="19.5" customHeight="1" x14ac:dyDescent="0.2">
      <c r="A142" s="114" t="s">
        <v>1789</v>
      </c>
      <c r="B142" s="113" t="s">
        <v>1787</v>
      </c>
      <c r="C142" s="122"/>
      <c r="D142" s="48" t="s">
        <v>73</v>
      </c>
      <c r="E142" s="49"/>
      <c r="F142" s="50"/>
      <c r="G142" s="62"/>
      <c r="H142" s="48" t="s">
        <v>72</v>
      </c>
      <c r="I142" s="52">
        <v>1</v>
      </c>
      <c r="J142" s="52"/>
      <c r="K142" s="52" t="s">
        <v>73</v>
      </c>
      <c r="L142" s="52" t="s">
        <v>74</v>
      </c>
      <c r="M142" s="53" t="s">
        <v>917</v>
      </c>
      <c r="N142" s="58" t="s">
        <v>73</v>
      </c>
      <c r="O142" s="48" t="s">
        <v>72</v>
      </c>
      <c r="P142" s="48" t="s">
        <v>73</v>
      </c>
      <c r="Q142" s="54" t="s">
        <v>73</v>
      </c>
      <c r="R142" s="55" t="s">
        <v>73</v>
      </c>
      <c r="S142" s="48" t="s">
        <v>73</v>
      </c>
      <c r="T142" s="121" t="str" cm="1">
        <f t="array" ref="T142">IF(ISNUMBER(SEARCH("SCHNEIDER",D142)),_xlfn.IFS(ISNUMBER(SEARCH("2 Querétaro",D142)),"SQ2",ISNUMBER(SEARCH("Xicohténcatl",D142)),"SXC",ISNUMBER(SEARCH("Rojo Gómez",D142)),"SRG",ISNUMBER(SEARCH("Tlaxcala",D142)),"STX",ISNUMBER(SEARCH("Monterrey",D142)),"SMY",ISNUMBER(SEARCH("Querétaro",D142)),"SQ1",ISNUMBER(SEARCH("CDMX",D142)),"SCM",TRUE,""),"")</f>
        <v/>
      </c>
      <c r="U142" s="48" t="str" cm="1">
        <f t="array" ref="U142">_xlfn.LET(_xlpm.resultados,_xlfn.UNIQUE(_xlfn._xlws.FILTER(Tabla1[Proceso],(Tabla1[Metal Base]=O142)*(Tabla1[Etiquetas]=_xlfn.TEXTJOIN(" + ",TRUE,IF((TRIM(Upload!P142:S142)="")+(LOWER(TRIM(Upload!P142:S142))="(seleccione)"),"",PROPER(TRIM(Upload!P142:S142)))))*(Tabla1[Línea2]=IFERROR(VLOOKUP(Upload!N142&amp;"*",CAT_Procesos!D:D,1,FALSE),"")))),_xlpm.cantidad,ROWS(_xlpm.resultados),IF(ISERROR(_xlpm.cantidad),"Combinación no existente",IF(_xlpm.cantidad=1,INDEX(_xlpm.resultados,1),"(seleccione)")))</f>
        <v>Combinación no existente</v>
      </c>
      <c r="V142" s="55" t="s">
        <v>73</v>
      </c>
      <c r="W142" s="56" t="s">
        <v>73</v>
      </c>
      <c r="X142" s="57" t="str">
        <f t="shared" si="8"/>
        <v/>
      </c>
      <c r="Y142" s="58" t="s">
        <v>73</v>
      </c>
      <c r="Z142" s="57" t="str">
        <f t="shared" si="9"/>
        <v/>
      </c>
      <c r="AA142" s="58" t="s">
        <v>73</v>
      </c>
      <c r="AB142" s="57" t="str">
        <f t="shared" si="10"/>
        <v/>
      </c>
      <c r="AC142" s="58" t="s">
        <v>73</v>
      </c>
      <c r="AD142" s="57" t="str">
        <f t="shared" si="11"/>
        <v/>
      </c>
      <c r="AE142" s="59"/>
      <c r="AF142" s="59"/>
      <c r="AG142" s="59"/>
      <c r="AH142" s="59"/>
      <c r="AI142" s="59" t="s">
        <v>73</v>
      </c>
      <c r="AJ142" s="59"/>
      <c r="AK142" s="59" t="s">
        <v>73</v>
      </c>
      <c r="AL142" s="59"/>
      <c r="AM142" s="59" t="s">
        <v>73</v>
      </c>
      <c r="AN142" s="59"/>
      <c r="AO142" s="59" t="s">
        <v>73</v>
      </c>
      <c r="AP142" s="59"/>
      <c r="AQ142" s="59" t="s">
        <v>73</v>
      </c>
      <c r="AR142" s="59"/>
      <c r="AS142" s="59" t="s">
        <v>72</v>
      </c>
      <c r="AT142" s="59"/>
      <c r="AU142" s="59"/>
      <c r="AV142" s="59"/>
      <c r="AW142" s="59"/>
      <c r="AX142" s="59"/>
      <c r="AY142" s="60" t="str">
        <f>IF('Cálculo MP'!K152="","",'Cálculo MP'!K152)</f>
        <v/>
      </c>
      <c r="AZ142" s="60" t="str">
        <f>IF('Cálculo MP'!L152="","",'Cálculo MP'!L152)</f>
        <v/>
      </c>
      <c r="BA142" s="60" t="str">
        <f>IF('Cálculo MP'!M152="","",'Cálculo MP'!M152)</f>
        <v/>
      </c>
      <c r="BB142" s="60" t="str">
        <f>IF('Cálculo MP'!N152="","",'Cálculo MP'!N152)</f>
        <v/>
      </c>
      <c r="BC142" s="60" t="str">
        <f>IF('Cálculo MP'!O152="","",'Cálculo MP'!O152)</f>
        <v/>
      </c>
      <c r="BD142" s="60" t="str">
        <f>IF('Cálculo MP'!P152="","",'Cálculo MP'!P152)</f>
        <v/>
      </c>
      <c r="BE142" s="60" t="str">
        <f>IF('Cálculo MP'!Q152="","",'Cálculo MP'!Q152)</f>
        <v/>
      </c>
      <c r="BF142" s="60" t="str">
        <f>IF('Cálculo MP'!R152="","",'Cálculo MP'!R152)</f>
        <v/>
      </c>
      <c r="BG142" s="60" t="str">
        <f>IF('Cálculo MP'!S152="","",'Cálculo MP'!S152)</f>
        <v/>
      </c>
      <c r="BH142" s="59"/>
      <c r="BI142" s="59"/>
      <c r="BJ142" s="59"/>
      <c r="BK142" s="59"/>
      <c r="BL142" s="59"/>
      <c r="BM142" s="59"/>
      <c r="BN142" s="59"/>
      <c r="BO142" s="59"/>
    </row>
    <row r="143" spans="1:67" ht="19.5" customHeight="1" x14ac:dyDescent="0.2">
      <c r="A143" s="114" t="s">
        <v>1789</v>
      </c>
      <c r="B143" s="113" t="s">
        <v>1787</v>
      </c>
      <c r="C143" s="122"/>
      <c r="D143" s="48" t="s">
        <v>73</v>
      </c>
      <c r="E143" s="49"/>
      <c r="F143" s="50"/>
      <c r="G143" s="62"/>
      <c r="H143" s="48" t="s">
        <v>72</v>
      </c>
      <c r="I143" s="52">
        <v>1</v>
      </c>
      <c r="J143" s="52"/>
      <c r="K143" s="52" t="s">
        <v>73</v>
      </c>
      <c r="L143" s="52" t="s">
        <v>74</v>
      </c>
      <c r="M143" s="53" t="s">
        <v>917</v>
      </c>
      <c r="N143" s="58" t="s">
        <v>73</v>
      </c>
      <c r="O143" s="48" t="s">
        <v>72</v>
      </c>
      <c r="P143" s="48" t="s">
        <v>73</v>
      </c>
      <c r="Q143" s="54" t="s">
        <v>73</v>
      </c>
      <c r="R143" s="55" t="s">
        <v>73</v>
      </c>
      <c r="S143" s="48" t="s">
        <v>73</v>
      </c>
      <c r="T143" s="121" t="str" cm="1">
        <f t="array" ref="T143">IF(ISNUMBER(SEARCH("SCHNEIDER",D143)),_xlfn.IFS(ISNUMBER(SEARCH("2 Querétaro",D143)),"SQ2",ISNUMBER(SEARCH("Xicohténcatl",D143)),"SXC",ISNUMBER(SEARCH("Rojo Gómez",D143)),"SRG",ISNUMBER(SEARCH("Tlaxcala",D143)),"STX",ISNUMBER(SEARCH("Monterrey",D143)),"SMY",ISNUMBER(SEARCH("Querétaro",D143)),"SQ1",ISNUMBER(SEARCH("CDMX",D143)),"SCM",TRUE,""),"")</f>
        <v/>
      </c>
      <c r="U143" s="48" t="str" cm="1">
        <f t="array" ref="U143">_xlfn.LET(_xlpm.resultados,_xlfn.UNIQUE(_xlfn._xlws.FILTER(Tabla1[Proceso],(Tabla1[Metal Base]=O143)*(Tabla1[Etiquetas]=_xlfn.TEXTJOIN(" + ",TRUE,IF((TRIM(Upload!P143:S143)="")+(LOWER(TRIM(Upload!P143:S143))="(seleccione)"),"",PROPER(TRIM(Upload!P143:S143)))))*(Tabla1[Línea2]=IFERROR(VLOOKUP(Upload!N143&amp;"*",CAT_Procesos!D:D,1,FALSE),"")))),_xlpm.cantidad,ROWS(_xlpm.resultados),IF(ISERROR(_xlpm.cantidad),"Combinación no existente",IF(_xlpm.cantidad=1,INDEX(_xlpm.resultados,1),"(seleccione)")))</f>
        <v>Combinación no existente</v>
      </c>
      <c r="V143" s="55" t="s">
        <v>73</v>
      </c>
      <c r="W143" s="56" t="s">
        <v>73</v>
      </c>
      <c r="X143" s="57" t="str">
        <f t="shared" si="8"/>
        <v/>
      </c>
      <c r="Y143" s="58" t="s">
        <v>73</v>
      </c>
      <c r="Z143" s="57" t="str">
        <f t="shared" si="9"/>
        <v/>
      </c>
      <c r="AA143" s="58" t="s">
        <v>73</v>
      </c>
      <c r="AB143" s="57" t="str">
        <f t="shared" si="10"/>
        <v/>
      </c>
      <c r="AC143" s="58" t="s">
        <v>73</v>
      </c>
      <c r="AD143" s="57" t="str">
        <f t="shared" si="11"/>
        <v/>
      </c>
      <c r="AE143" s="59"/>
      <c r="AF143" s="59"/>
      <c r="AG143" s="59"/>
      <c r="AH143" s="59"/>
      <c r="AI143" s="59" t="s">
        <v>73</v>
      </c>
      <c r="AJ143" s="59"/>
      <c r="AK143" s="59" t="s">
        <v>73</v>
      </c>
      <c r="AL143" s="59"/>
      <c r="AM143" s="59" t="s">
        <v>73</v>
      </c>
      <c r="AN143" s="59"/>
      <c r="AO143" s="59" t="s">
        <v>73</v>
      </c>
      <c r="AP143" s="59"/>
      <c r="AQ143" s="59" t="s">
        <v>73</v>
      </c>
      <c r="AR143" s="59"/>
      <c r="AS143" s="59" t="s">
        <v>72</v>
      </c>
      <c r="AT143" s="59"/>
      <c r="AU143" s="59"/>
      <c r="AV143" s="59"/>
      <c r="AW143" s="59"/>
      <c r="AX143" s="59"/>
      <c r="AY143" s="60" t="str">
        <f>IF('Cálculo MP'!K153="","",'Cálculo MP'!K153)</f>
        <v/>
      </c>
      <c r="AZ143" s="60" t="str">
        <f>IF('Cálculo MP'!L153="","",'Cálculo MP'!L153)</f>
        <v/>
      </c>
      <c r="BA143" s="60" t="str">
        <f>IF('Cálculo MP'!M153="","",'Cálculo MP'!M153)</f>
        <v/>
      </c>
      <c r="BB143" s="60" t="str">
        <f>IF('Cálculo MP'!N153="","",'Cálculo MP'!N153)</f>
        <v/>
      </c>
      <c r="BC143" s="60" t="str">
        <f>IF('Cálculo MP'!O153="","",'Cálculo MP'!O153)</f>
        <v/>
      </c>
      <c r="BD143" s="60" t="str">
        <f>IF('Cálculo MP'!P153="","",'Cálculo MP'!P153)</f>
        <v/>
      </c>
      <c r="BE143" s="60" t="str">
        <f>IF('Cálculo MP'!Q153="","",'Cálculo MP'!Q153)</f>
        <v/>
      </c>
      <c r="BF143" s="60" t="str">
        <f>IF('Cálculo MP'!R153="","",'Cálculo MP'!R153)</f>
        <v/>
      </c>
      <c r="BG143" s="60" t="str">
        <f>IF('Cálculo MP'!S153="","",'Cálculo MP'!S153)</f>
        <v/>
      </c>
      <c r="BH143" s="59"/>
      <c r="BI143" s="59"/>
      <c r="BJ143" s="59"/>
      <c r="BK143" s="59"/>
      <c r="BL143" s="59"/>
      <c r="BM143" s="59"/>
      <c r="BN143" s="59"/>
      <c r="BO143" s="59"/>
    </row>
    <row r="144" spans="1:67" ht="19.5" customHeight="1" x14ac:dyDescent="0.2">
      <c r="A144" s="114" t="s">
        <v>1789</v>
      </c>
      <c r="B144" s="113" t="s">
        <v>1787</v>
      </c>
      <c r="C144" s="122"/>
      <c r="D144" s="48" t="s">
        <v>73</v>
      </c>
      <c r="E144" s="49"/>
      <c r="F144" s="50"/>
      <c r="G144" s="62"/>
      <c r="H144" s="48" t="s">
        <v>72</v>
      </c>
      <c r="I144" s="52">
        <v>1</v>
      </c>
      <c r="J144" s="52"/>
      <c r="K144" s="52" t="s">
        <v>73</v>
      </c>
      <c r="L144" s="52" t="s">
        <v>74</v>
      </c>
      <c r="M144" s="53" t="s">
        <v>917</v>
      </c>
      <c r="N144" s="58" t="s">
        <v>73</v>
      </c>
      <c r="O144" s="48" t="s">
        <v>72</v>
      </c>
      <c r="P144" s="48" t="s">
        <v>73</v>
      </c>
      <c r="Q144" s="54" t="s">
        <v>73</v>
      </c>
      <c r="R144" s="55" t="s">
        <v>73</v>
      </c>
      <c r="S144" s="48" t="s">
        <v>73</v>
      </c>
      <c r="T144" s="121" t="str" cm="1">
        <f t="array" ref="T144">IF(ISNUMBER(SEARCH("SCHNEIDER",D144)),_xlfn.IFS(ISNUMBER(SEARCH("2 Querétaro",D144)),"SQ2",ISNUMBER(SEARCH("Xicohténcatl",D144)),"SXC",ISNUMBER(SEARCH("Rojo Gómez",D144)),"SRG",ISNUMBER(SEARCH("Tlaxcala",D144)),"STX",ISNUMBER(SEARCH("Monterrey",D144)),"SMY",ISNUMBER(SEARCH("Querétaro",D144)),"SQ1",ISNUMBER(SEARCH("CDMX",D144)),"SCM",TRUE,""),"")</f>
        <v/>
      </c>
      <c r="U144" s="48" t="str" cm="1">
        <f t="array" ref="U144">_xlfn.LET(_xlpm.resultados,_xlfn.UNIQUE(_xlfn._xlws.FILTER(Tabla1[Proceso],(Tabla1[Metal Base]=O144)*(Tabla1[Etiquetas]=_xlfn.TEXTJOIN(" + ",TRUE,IF((TRIM(Upload!P144:S144)="")+(LOWER(TRIM(Upload!P144:S144))="(seleccione)"),"",PROPER(TRIM(Upload!P144:S144)))))*(Tabla1[Línea2]=IFERROR(VLOOKUP(Upload!N144&amp;"*",CAT_Procesos!D:D,1,FALSE),"")))),_xlpm.cantidad,ROWS(_xlpm.resultados),IF(ISERROR(_xlpm.cantidad),"Combinación no existente",IF(_xlpm.cantidad=1,INDEX(_xlpm.resultados,1),"(seleccione)")))</f>
        <v>Combinación no existente</v>
      </c>
      <c r="V144" s="55" t="s">
        <v>73</v>
      </c>
      <c r="W144" s="56" t="s">
        <v>73</v>
      </c>
      <c r="X144" s="57" t="str">
        <f t="shared" si="8"/>
        <v/>
      </c>
      <c r="Y144" s="58" t="s">
        <v>73</v>
      </c>
      <c r="Z144" s="57" t="str">
        <f t="shared" si="9"/>
        <v/>
      </c>
      <c r="AA144" s="58" t="s">
        <v>73</v>
      </c>
      <c r="AB144" s="57" t="str">
        <f t="shared" si="10"/>
        <v/>
      </c>
      <c r="AC144" s="58" t="s">
        <v>73</v>
      </c>
      <c r="AD144" s="57" t="str">
        <f t="shared" si="11"/>
        <v/>
      </c>
      <c r="AE144" s="59"/>
      <c r="AF144" s="59"/>
      <c r="AG144" s="59"/>
      <c r="AH144" s="59"/>
      <c r="AI144" s="59" t="s">
        <v>73</v>
      </c>
      <c r="AJ144" s="59"/>
      <c r="AK144" s="59" t="s">
        <v>73</v>
      </c>
      <c r="AL144" s="59"/>
      <c r="AM144" s="59" t="s">
        <v>73</v>
      </c>
      <c r="AN144" s="59"/>
      <c r="AO144" s="59" t="s">
        <v>73</v>
      </c>
      <c r="AP144" s="59"/>
      <c r="AQ144" s="59" t="s">
        <v>73</v>
      </c>
      <c r="AR144" s="59"/>
      <c r="AS144" s="59" t="s">
        <v>72</v>
      </c>
      <c r="AT144" s="59"/>
      <c r="AU144" s="59"/>
      <c r="AV144" s="59"/>
      <c r="AW144" s="59"/>
      <c r="AX144" s="59"/>
      <c r="AY144" s="60" t="str">
        <f>IF('Cálculo MP'!K154="","",'Cálculo MP'!K154)</f>
        <v/>
      </c>
      <c r="AZ144" s="60" t="str">
        <f>IF('Cálculo MP'!L154="","",'Cálculo MP'!L154)</f>
        <v/>
      </c>
      <c r="BA144" s="60" t="str">
        <f>IF('Cálculo MP'!M154="","",'Cálculo MP'!M154)</f>
        <v/>
      </c>
      <c r="BB144" s="60" t="str">
        <f>IF('Cálculo MP'!N154="","",'Cálculo MP'!N154)</f>
        <v/>
      </c>
      <c r="BC144" s="60" t="str">
        <f>IF('Cálculo MP'!O154="","",'Cálculo MP'!O154)</f>
        <v/>
      </c>
      <c r="BD144" s="60" t="str">
        <f>IF('Cálculo MP'!P154="","",'Cálculo MP'!P154)</f>
        <v/>
      </c>
      <c r="BE144" s="60" t="str">
        <f>IF('Cálculo MP'!Q154="","",'Cálculo MP'!Q154)</f>
        <v/>
      </c>
      <c r="BF144" s="60" t="str">
        <f>IF('Cálculo MP'!R154="","",'Cálculo MP'!R154)</f>
        <v/>
      </c>
      <c r="BG144" s="60" t="str">
        <f>IF('Cálculo MP'!S154="","",'Cálculo MP'!S154)</f>
        <v/>
      </c>
      <c r="BH144" s="59"/>
      <c r="BI144" s="59"/>
      <c r="BJ144" s="59"/>
      <c r="BK144" s="59"/>
      <c r="BL144" s="59"/>
      <c r="BM144" s="59"/>
      <c r="BN144" s="59"/>
      <c r="BO144" s="59"/>
    </row>
    <row r="145" spans="1:67" ht="19.5" customHeight="1" x14ac:dyDescent="0.2">
      <c r="A145" s="114" t="s">
        <v>1789</v>
      </c>
      <c r="B145" s="113" t="s">
        <v>1787</v>
      </c>
      <c r="C145" s="122"/>
      <c r="D145" s="48" t="s">
        <v>73</v>
      </c>
      <c r="E145" s="49"/>
      <c r="F145" s="50"/>
      <c r="G145" s="62"/>
      <c r="H145" s="48" t="s">
        <v>72</v>
      </c>
      <c r="I145" s="52">
        <v>1</v>
      </c>
      <c r="J145" s="52"/>
      <c r="K145" s="52" t="s">
        <v>73</v>
      </c>
      <c r="L145" s="52" t="s">
        <v>74</v>
      </c>
      <c r="M145" s="53" t="s">
        <v>917</v>
      </c>
      <c r="N145" s="58" t="s">
        <v>73</v>
      </c>
      <c r="O145" s="48" t="s">
        <v>72</v>
      </c>
      <c r="P145" s="48" t="s">
        <v>73</v>
      </c>
      <c r="Q145" s="54" t="s">
        <v>73</v>
      </c>
      <c r="R145" s="55" t="s">
        <v>73</v>
      </c>
      <c r="S145" s="48" t="s">
        <v>73</v>
      </c>
      <c r="T145" s="121" t="str" cm="1">
        <f t="array" ref="T145">IF(ISNUMBER(SEARCH("SCHNEIDER",D145)),_xlfn.IFS(ISNUMBER(SEARCH("2 Querétaro",D145)),"SQ2",ISNUMBER(SEARCH("Xicohténcatl",D145)),"SXC",ISNUMBER(SEARCH("Rojo Gómez",D145)),"SRG",ISNUMBER(SEARCH("Tlaxcala",D145)),"STX",ISNUMBER(SEARCH("Monterrey",D145)),"SMY",ISNUMBER(SEARCH("Querétaro",D145)),"SQ1",ISNUMBER(SEARCH("CDMX",D145)),"SCM",TRUE,""),"")</f>
        <v/>
      </c>
      <c r="U145" s="48" t="str" cm="1">
        <f t="array" ref="U145">_xlfn.LET(_xlpm.resultados,_xlfn.UNIQUE(_xlfn._xlws.FILTER(Tabla1[Proceso],(Tabla1[Metal Base]=O145)*(Tabla1[Etiquetas]=_xlfn.TEXTJOIN(" + ",TRUE,IF((TRIM(Upload!P145:S145)="")+(LOWER(TRIM(Upload!P145:S145))="(seleccione)"),"",PROPER(TRIM(Upload!P145:S145)))))*(Tabla1[Línea2]=IFERROR(VLOOKUP(Upload!N145&amp;"*",CAT_Procesos!D:D,1,FALSE),"")))),_xlpm.cantidad,ROWS(_xlpm.resultados),IF(ISERROR(_xlpm.cantidad),"Combinación no existente",IF(_xlpm.cantidad=1,INDEX(_xlpm.resultados,1),"(seleccione)")))</f>
        <v>Combinación no existente</v>
      </c>
      <c r="V145" s="55" t="s">
        <v>73</v>
      </c>
      <c r="W145" s="56" t="s">
        <v>73</v>
      </c>
      <c r="X145" s="57" t="str">
        <f t="shared" si="8"/>
        <v/>
      </c>
      <c r="Y145" s="58" t="s">
        <v>73</v>
      </c>
      <c r="Z145" s="57" t="str">
        <f t="shared" si="9"/>
        <v/>
      </c>
      <c r="AA145" s="58" t="s">
        <v>73</v>
      </c>
      <c r="AB145" s="57" t="str">
        <f t="shared" si="10"/>
        <v/>
      </c>
      <c r="AC145" s="58" t="s">
        <v>73</v>
      </c>
      <c r="AD145" s="57" t="str">
        <f t="shared" si="11"/>
        <v/>
      </c>
      <c r="AE145" s="59"/>
      <c r="AF145" s="59"/>
      <c r="AG145" s="59"/>
      <c r="AH145" s="59"/>
      <c r="AI145" s="59" t="s">
        <v>73</v>
      </c>
      <c r="AJ145" s="59"/>
      <c r="AK145" s="59" t="s">
        <v>73</v>
      </c>
      <c r="AL145" s="59"/>
      <c r="AM145" s="59" t="s">
        <v>73</v>
      </c>
      <c r="AN145" s="59"/>
      <c r="AO145" s="59" t="s">
        <v>73</v>
      </c>
      <c r="AP145" s="59"/>
      <c r="AQ145" s="59" t="s">
        <v>73</v>
      </c>
      <c r="AR145" s="59"/>
      <c r="AS145" s="59" t="s">
        <v>72</v>
      </c>
      <c r="AT145" s="59"/>
      <c r="AU145" s="59"/>
      <c r="AV145" s="59"/>
      <c r="AW145" s="59"/>
      <c r="AX145" s="59"/>
      <c r="AY145" s="60" t="str">
        <f>IF('Cálculo MP'!K155="","",'Cálculo MP'!K155)</f>
        <v/>
      </c>
      <c r="AZ145" s="60" t="str">
        <f>IF('Cálculo MP'!L155="","",'Cálculo MP'!L155)</f>
        <v/>
      </c>
      <c r="BA145" s="60" t="str">
        <f>IF('Cálculo MP'!M155="","",'Cálculo MP'!M155)</f>
        <v/>
      </c>
      <c r="BB145" s="60" t="str">
        <f>IF('Cálculo MP'!N155="","",'Cálculo MP'!N155)</f>
        <v/>
      </c>
      <c r="BC145" s="60" t="str">
        <f>IF('Cálculo MP'!O155="","",'Cálculo MP'!O155)</f>
        <v/>
      </c>
      <c r="BD145" s="60" t="str">
        <f>IF('Cálculo MP'!P155="","",'Cálculo MP'!P155)</f>
        <v/>
      </c>
      <c r="BE145" s="60" t="str">
        <f>IF('Cálculo MP'!Q155="","",'Cálculo MP'!Q155)</f>
        <v/>
      </c>
      <c r="BF145" s="60" t="str">
        <f>IF('Cálculo MP'!R155="","",'Cálculo MP'!R155)</f>
        <v/>
      </c>
      <c r="BG145" s="60" t="str">
        <f>IF('Cálculo MP'!S155="","",'Cálculo MP'!S155)</f>
        <v/>
      </c>
      <c r="BH145" s="59"/>
      <c r="BI145" s="59"/>
      <c r="BJ145" s="59"/>
      <c r="BK145" s="59"/>
      <c r="BL145" s="59"/>
      <c r="BM145" s="59"/>
      <c r="BN145" s="59"/>
      <c r="BO145" s="59"/>
    </row>
    <row r="146" spans="1:67" ht="19.5" customHeight="1" x14ac:dyDescent="0.2">
      <c r="A146" s="114" t="s">
        <v>1789</v>
      </c>
      <c r="B146" s="113" t="s">
        <v>1787</v>
      </c>
      <c r="C146" s="122"/>
      <c r="D146" s="48" t="s">
        <v>73</v>
      </c>
      <c r="E146" s="49"/>
      <c r="F146" s="50"/>
      <c r="G146" s="62"/>
      <c r="H146" s="48" t="s">
        <v>72</v>
      </c>
      <c r="I146" s="52">
        <v>1</v>
      </c>
      <c r="J146" s="52"/>
      <c r="K146" s="52" t="s">
        <v>73</v>
      </c>
      <c r="L146" s="52" t="s">
        <v>74</v>
      </c>
      <c r="M146" s="53" t="s">
        <v>917</v>
      </c>
      <c r="N146" s="58" t="s">
        <v>73</v>
      </c>
      <c r="O146" s="48" t="s">
        <v>72</v>
      </c>
      <c r="P146" s="48" t="s">
        <v>73</v>
      </c>
      <c r="Q146" s="54" t="s">
        <v>73</v>
      </c>
      <c r="R146" s="55" t="s">
        <v>73</v>
      </c>
      <c r="S146" s="48" t="s">
        <v>73</v>
      </c>
      <c r="T146" s="121" t="str" cm="1">
        <f t="array" ref="T146">IF(ISNUMBER(SEARCH("SCHNEIDER",D146)),_xlfn.IFS(ISNUMBER(SEARCH("2 Querétaro",D146)),"SQ2",ISNUMBER(SEARCH("Xicohténcatl",D146)),"SXC",ISNUMBER(SEARCH("Rojo Gómez",D146)),"SRG",ISNUMBER(SEARCH("Tlaxcala",D146)),"STX",ISNUMBER(SEARCH("Monterrey",D146)),"SMY",ISNUMBER(SEARCH("Querétaro",D146)),"SQ1",ISNUMBER(SEARCH("CDMX",D146)),"SCM",TRUE,""),"")</f>
        <v/>
      </c>
      <c r="U146" s="48" t="str" cm="1">
        <f t="array" ref="U146">_xlfn.LET(_xlpm.resultados,_xlfn.UNIQUE(_xlfn._xlws.FILTER(Tabla1[Proceso],(Tabla1[Metal Base]=O146)*(Tabla1[Etiquetas]=_xlfn.TEXTJOIN(" + ",TRUE,IF((TRIM(Upload!P146:S146)="")+(LOWER(TRIM(Upload!P146:S146))="(seleccione)"),"",PROPER(TRIM(Upload!P146:S146)))))*(Tabla1[Línea2]=IFERROR(VLOOKUP(Upload!N146&amp;"*",CAT_Procesos!D:D,1,FALSE),"")))),_xlpm.cantidad,ROWS(_xlpm.resultados),IF(ISERROR(_xlpm.cantidad),"Combinación no existente",IF(_xlpm.cantidad=1,INDEX(_xlpm.resultados,1),"(seleccione)")))</f>
        <v>Combinación no existente</v>
      </c>
      <c r="V146" s="55" t="s">
        <v>73</v>
      </c>
      <c r="W146" s="56" t="s">
        <v>73</v>
      </c>
      <c r="X146" s="57" t="str">
        <f t="shared" si="8"/>
        <v/>
      </c>
      <c r="Y146" s="58" t="s">
        <v>73</v>
      </c>
      <c r="Z146" s="57" t="str">
        <f t="shared" si="9"/>
        <v/>
      </c>
      <c r="AA146" s="58" t="s">
        <v>73</v>
      </c>
      <c r="AB146" s="57" t="str">
        <f t="shared" si="10"/>
        <v/>
      </c>
      <c r="AC146" s="58" t="s">
        <v>73</v>
      </c>
      <c r="AD146" s="57" t="str">
        <f t="shared" si="11"/>
        <v/>
      </c>
      <c r="AE146" s="59"/>
      <c r="AF146" s="59"/>
      <c r="AG146" s="59"/>
      <c r="AH146" s="59"/>
      <c r="AI146" s="59" t="s">
        <v>73</v>
      </c>
      <c r="AJ146" s="59"/>
      <c r="AK146" s="59" t="s">
        <v>73</v>
      </c>
      <c r="AL146" s="59"/>
      <c r="AM146" s="59" t="s">
        <v>73</v>
      </c>
      <c r="AN146" s="59"/>
      <c r="AO146" s="59" t="s">
        <v>73</v>
      </c>
      <c r="AP146" s="59"/>
      <c r="AQ146" s="59" t="s">
        <v>73</v>
      </c>
      <c r="AR146" s="59"/>
      <c r="AS146" s="59" t="s">
        <v>72</v>
      </c>
      <c r="AT146" s="59"/>
      <c r="AU146" s="59"/>
      <c r="AV146" s="59"/>
      <c r="AW146" s="59"/>
      <c r="AX146" s="59"/>
      <c r="AY146" s="60" t="str">
        <f>IF('Cálculo MP'!K156="","",'Cálculo MP'!K156)</f>
        <v/>
      </c>
      <c r="AZ146" s="60" t="str">
        <f>IF('Cálculo MP'!L156="","",'Cálculo MP'!L156)</f>
        <v/>
      </c>
      <c r="BA146" s="60" t="str">
        <f>IF('Cálculo MP'!M156="","",'Cálculo MP'!M156)</f>
        <v/>
      </c>
      <c r="BB146" s="60" t="str">
        <f>IF('Cálculo MP'!N156="","",'Cálculo MP'!N156)</f>
        <v/>
      </c>
      <c r="BC146" s="60" t="str">
        <f>IF('Cálculo MP'!O156="","",'Cálculo MP'!O156)</f>
        <v/>
      </c>
      <c r="BD146" s="60" t="str">
        <f>IF('Cálculo MP'!P156="","",'Cálculo MP'!P156)</f>
        <v/>
      </c>
      <c r="BE146" s="60" t="str">
        <f>IF('Cálculo MP'!Q156="","",'Cálculo MP'!Q156)</f>
        <v/>
      </c>
      <c r="BF146" s="60" t="str">
        <f>IF('Cálculo MP'!R156="","",'Cálculo MP'!R156)</f>
        <v/>
      </c>
      <c r="BG146" s="60" t="str">
        <f>IF('Cálculo MP'!S156="","",'Cálculo MP'!S156)</f>
        <v/>
      </c>
      <c r="BH146" s="59"/>
      <c r="BI146" s="59"/>
      <c r="BJ146" s="59"/>
      <c r="BK146" s="59"/>
      <c r="BL146" s="59"/>
      <c r="BM146" s="59"/>
      <c r="BN146" s="59"/>
      <c r="BO146" s="59"/>
    </row>
    <row r="147" spans="1:67" ht="19.5" customHeight="1" x14ac:dyDescent="0.2">
      <c r="A147" s="114" t="s">
        <v>1789</v>
      </c>
      <c r="B147" s="113" t="s">
        <v>1787</v>
      </c>
      <c r="C147" s="122"/>
      <c r="D147" s="48" t="s">
        <v>73</v>
      </c>
      <c r="E147" s="49"/>
      <c r="F147" s="50"/>
      <c r="G147" s="62"/>
      <c r="H147" s="48" t="s">
        <v>72</v>
      </c>
      <c r="I147" s="52">
        <v>1</v>
      </c>
      <c r="J147" s="52"/>
      <c r="K147" s="52" t="s">
        <v>73</v>
      </c>
      <c r="L147" s="52" t="s">
        <v>74</v>
      </c>
      <c r="M147" s="53" t="s">
        <v>917</v>
      </c>
      <c r="N147" s="58" t="s">
        <v>73</v>
      </c>
      <c r="O147" s="48" t="s">
        <v>72</v>
      </c>
      <c r="P147" s="48" t="s">
        <v>73</v>
      </c>
      <c r="Q147" s="54" t="s">
        <v>73</v>
      </c>
      <c r="R147" s="55" t="s">
        <v>73</v>
      </c>
      <c r="S147" s="48" t="s">
        <v>73</v>
      </c>
      <c r="T147" s="121" t="str" cm="1">
        <f t="array" ref="T147">IF(ISNUMBER(SEARCH("SCHNEIDER",D147)),_xlfn.IFS(ISNUMBER(SEARCH("2 Querétaro",D147)),"SQ2",ISNUMBER(SEARCH("Xicohténcatl",D147)),"SXC",ISNUMBER(SEARCH("Rojo Gómez",D147)),"SRG",ISNUMBER(SEARCH("Tlaxcala",D147)),"STX",ISNUMBER(SEARCH("Monterrey",D147)),"SMY",ISNUMBER(SEARCH("Querétaro",D147)),"SQ1",ISNUMBER(SEARCH("CDMX",D147)),"SCM",TRUE,""),"")</f>
        <v/>
      </c>
      <c r="U147" s="48" t="str" cm="1">
        <f t="array" ref="U147">_xlfn.LET(_xlpm.resultados,_xlfn.UNIQUE(_xlfn._xlws.FILTER(Tabla1[Proceso],(Tabla1[Metal Base]=O147)*(Tabla1[Etiquetas]=_xlfn.TEXTJOIN(" + ",TRUE,IF((TRIM(Upload!P147:S147)="")+(LOWER(TRIM(Upload!P147:S147))="(seleccione)"),"",PROPER(TRIM(Upload!P147:S147)))))*(Tabla1[Línea2]=IFERROR(VLOOKUP(Upload!N147&amp;"*",CAT_Procesos!D:D,1,FALSE),"")))),_xlpm.cantidad,ROWS(_xlpm.resultados),IF(ISERROR(_xlpm.cantidad),"Combinación no existente",IF(_xlpm.cantidad=1,INDEX(_xlpm.resultados,1),"(seleccione)")))</f>
        <v>Combinación no existente</v>
      </c>
      <c r="V147" s="55" t="s">
        <v>73</v>
      </c>
      <c r="W147" s="56" t="s">
        <v>73</v>
      </c>
      <c r="X147" s="57" t="str">
        <f t="shared" si="8"/>
        <v/>
      </c>
      <c r="Y147" s="58" t="s">
        <v>73</v>
      </c>
      <c r="Z147" s="57" t="str">
        <f t="shared" si="9"/>
        <v/>
      </c>
      <c r="AA147" s="58" t="s">
        <v>73</v>
      </c>
      <c r="AB147" s="57" t="str">
        <f t="shared" si="10"/>
        <v/>
      </c>
      <c r="AC147" s="58" t="s">
        <v>73</v>
      </c>
      <c r="AD147" s="57" t="str">
        <f t="shared" si="11"/>
        <v/>
      </c>
      <c r="AE147" s="59"/>
      <c r="AF147" s="59"/>
      <c r="AG147" s="59"/>
      <c r="AH147" s="59"/>
      <c r="AI147" s="59" t="s">
        <v>73</v>
      </c>
      <c r="AJ147" s="59"/>
      <c r="AK147" s="59" t="s">
        <v>73</v>
      </c>
      <c r="AL147" s="59"/>
      <c r="AM147" s="59" t="s">
        <v>73</v>
      </c>
      <c r="AN147" s="59"/>
      <c r="AO147" s="59" t="s">
        <v>73</v>
      </c>
      <c r="AP147" s="59"/>
      <c r="AQ147" s="59" t="s">
        <v>73</v>
      </c>
      <c r="AR147" s="59"/>
      <c r="AS147" s="59" t="s">
        <v>72</v>
      </c>
      <c r="AT147" s="59"/>
      <c r="AU147" s="59"/>
      <c r="AV147" s="59"/>
      <c r="AW147" s="59"/>
      <c r="AX147" s="59"/>
      <c r="AY147" s="60" t="str">
        <f>IF('Cálculo MP'!K157="","",'Cálculo MP'!K157)</f>
        <v/>
      </c>
      <c r="AZ147" s="60" t="str">
        <f>IF('Cálculo MP'!L157="","",'Cálculo MP'!L157)</f>
        <v/>
      </c>
      <c r="BA147" s="60" t="str">
        <f>IF('Cálculo MP'!M157="","",'Cálculo MP'!M157)</f>
        <v/>
      </c>
      <c r="BB147" s="60" t="str">
        <f>IF('Cálculo MP'!N157="","",'Cálculo MP'!N157)</f>
        <v/>
      </c>
      <c r="BC147" s="60" t="str">
        <f>IF('Cálculo MP'!O157="","",'Cálculo MP'!O157)</f>
        <v/>
      </c>
      <c r="BD147" s="60" t="str">
        <f>IF('Cálculo MP'!P157="","",'Cálculo MP'!P157)</f>
        <v/>
      </c>
      <c r="BE147" s="60" t="str">
        <f>IF('Cálculo MP'!Q157="","",'Cálculo MP'!Q157)</f>
        <v/>
      </c>
      <c r="BF147" s="60" t="str">
        <f>IF('Cálculo MP'!R157="","",'Cálculo MP'!R157)</f>
        <v/>
      </c>
      <c r="BG147" s="60" t="str">
        <f>IF('Cálculo MP'!S157="","",'Cálculo MP'!S157)</f>
        <v/>
      </c>
      <c r="BH147" s="59"/>
      <c r="BI147" s="59"/>
      <c r="BJ147" s="59"/>
      <c r="BK147" s="59"/>
      <c r="BL147" s="59"/>
      <c r="BM147" s="59"/>
      <c r="BN147" s="59"/>
      <c r="BO147" s="59"/>
    </row>
    <row r="148" spans="1:67" ht="19.5" customHeight="1" x14ac:dyDescent="0.2">
      <c r="A148" s="114" t="s">
        <v>1789</v>
      </c>
      <c r="B148" s="113" t="s">
        <v>1787</v>
      </c>
      <c r="C148" s="122"/>
      <c r="D148" s="48" t="s">
        <v>73</v>
      </c>
      <c r="E148" s="49"/>
      <c r="F148" s="50"/>
      <c r="G148" s="62"/>
      <c r="H148" s="48" t="s">
        <v>72</v>
      </c>
      <c r="I148" s="52">
        <v>1</v>
      </c>
      <c r="J148" s="52"/>
      <c r="K148" s="52" t="s">
        <v>73</v>
      </c>
      <c r="L148" s="52" t="s">
        <v>74</v>
      </c>
      <c r="M148" s="53" t="s">
        <v>917</v>
      </c>
      <c r="N148" s="58" t="s">
        <v>73</v>
      </c>
      <c r="O148" s="48" t="s">
        <v>72</v>
      </c>
      <c r="P148" s="48" t="s">
        <v>73</v>
      </c>
      <c r="Q148" s="54" t="s">
        <v>73</v>
      </c>
      <c r="R148" s="55" t="s">
        <v>73</v>
      </c>
      <c r="S148" s="48" t="s">
        <v>73</v>
      </c>
      <c r="T148" s="121" t="str" cm="1">
        <f t="array" ref="T148">IF(ISNUMBER(SEARCH("SCHNEIDER",D148)),_xlfn.IFS(ISNUMBER(SEARCH("2 Querétaro",D148)),"SQ2",ISNUMBER(SEARCH("Xicohténcatl",D148)),"SXC",ISNUMBER(SEARCH("Rojo Gómez",D148)),"SRG",ISNUMBER(SEARCH("Tlaxcala",D148)),"STX",ISNUMBER(SEARCH("Monterrey",D148)),"SMY",ISNUMBER(SEARCH("Querétaro",D148)),"SQ1",ISNUMBER(SEARCH("CDMX",D148)),"SCM",TRUE,""),"")</f>
        <v/>
      </c>
      <c r="U148" s="48" t="str" cm="1">
        <f t="array" ref="U148">_xlfn.LET(_xlpm.resultados,_xlfn.UNIQUE(_xlfn._xlws.FILTER(Tabla1[Proceso],(Tabla1[Metal Base]=O148)*(Tabla1[Etiquetas]=_xlfn.TEXTJOIN(" + ",TRUE,IF((TRIM(Upload!P148:S148)="")+(LOWER(TRIM(Upload!P148:S148))="(seleccione)"),"",PROPER(TRIM(Upload!P148:S148)))))*(Tabla1[Línea2]=IFERROR(VLOOKUP(Upload!N148&amp;"*",CAT_Procesos!D:D,1,FALSE),"")))),_xlpm.cantidad,ROWS(_xlpm.resultados),IF(ISERROR(_xlpm.cantidad),"Combinación no existente",IF(_xlpm.cantidad=1,INDEX(_xlpm.resultados,1),"(seleccione)")))</f>
        <v>Combinación no existente</v>
      </c>
      <c r="V148" s="55" t="s">
        <v>73</v>
      </c>
      <c r="W148" s="56" t="s">
        <v>73</v>
      </c>
      <c r="X148" s="57" t="str">
        <f t="shared" si="8"/>
        <v/>
      </c>
      <c r="Y148" s="58" t="s">
        <v>73</v>
      </c>
      <c r="Z148" s="57" t="str">
        <f t="shared" si="9"/>
        <v/>
      </c>
      <c r="AA148" s="58" t="s">
        <v>73</v>
      </c>
      <c r="AB148" s="57" t="str">
        <f t="shared" si="10"/>
        <v/>
      </c>
      <c r="AC148" s="58" t="s">
        <v>73</v>
      </c>
      <c r="AD148" s="57" t="str">
        <f t="shared" si="11"/>
        <v/>
      </c>
      <c r="AE148" s="59"/>
      <c r="AF148" s="59"/>
      <c r="AG148" s="59"/>
      <c r="AH148" s="59"/>
      <c r="AI148" s="59" t="s">
        <v>73</v>
      </c>
      <c r="AJ148" s="59"/>
      <c r="AK148" s="59" t="s">
        <v>73</v>
      </c>
      <c r="AL148" s="59"/>
      <c r="AM148" s="59" t="s">
        <v>73</v>
      </c>
      <c r="AN148" s="59"/>
      <c r="AO148" s="59" t="s">
        <v>73</v>
      </c>
      <c r="AP148" s="59"/>
      <c r="AQ148" s="59" t="s">
        <v>73</v>
      </c>
      <c r="AR148" s="59"/>
      <c r="AS148" s="59" t="s">
        <v>72</v>
      </c>
      <c r="AT148" s="59"/>
      <c r="AU148" s="59"/>
      <c r="AV148" s="59"/>
      <c r="AW148" s="59"/>
      <c r="AX148" s="59"/>
      <c r="AY148" s="60" t="str">
        <f>IF('Cálculo MP'!K158="","",'Cálculo MP'!K158)</f>
        <v/>
      </c>
      <c r="AZ148" s="60" t="str">
        <f>IF('Cálculo MP'!L158="","",'Cálculo MP'!L158)</f>
        <v/>
      </c>
      <c r="BA148" s="60" t="str">
        <f>IF('Cálculo MP'!M158="","",'Cálculo MP'!M158)</f>
        <v/>
      </c>
      <c r="BB148" s="60" t="str">
        <f>IF('Cálculo MP'!N158="","",'Cálculo MP'!N158)</f>
        <v/>
      </c>
      <c r="BC148" s="60" t="str">
        <f>IF('Cálculo MP'!O158="","",'Cálculo MP'!O158)</f>
        <v/>
      </c>
      <c r="BD148" s="60" t="str">
        <f>IF('Cálculo MP'!P158="","",'Cálculo MP'!P158)</f>
        <v/>
      </c>
      <c r="BE148" s="60" t="str">
        <f>IF('Cálculo MP'!Q158="","",'Cálculo MP'!Q158)</f>
        <v/>
      </c>
      <c r="BF148" s="60" t="str">
        <f>IF('Cálculo MP'!R158="","",'Cálculo MP'!R158)</f>
        <v/>
      </c>
      <c r="BG148" s="60" t="str">
        <f>IF('Cálculo MP'!S158="","",'Cálculo MP'!S158)</f>
        <v/>
      </c>
      <c r="BH148" s="59"/>
      <c r="BI148" s="59"/>
      <c r="BJ148" s="59"/>
      <c r="BK148" s="59"/>
      <c r="BL148" s="59"/>
      <c r="BM148" s="59"/>
      <c r="BN148" s="59"/>
      <c r="BO148" s="59"/>
    </row>
    <row r="149" spans="1:67" ht="19.5" customHeight="1" x14ac:dyDescent="0.2">
      <c r="A149" s="114" t="s">
        <v>1789</v>
      </c>
      <c r="B149" s="113" t="s">
        <v>1787</v>
      </c>
      <c r="C149" s="122"/>
      <c r="D149" s="48" t="s">
        <v>73</v>
      </c>
      <c r="E149" s="49"/>
      <c r="F149" s="50"/>
      <c r="G149" s="62"/>
      <c r="H149" s="48" t="s">
        <v>72</v>
      </c>
      <c r="I149" s="52">
        <v>1</v>
      </c>
      <c r="J149" s="52"/>
      <c r="K149" s="52" t="s">
        <v>73</v>
      </c>
      <c r="L149" s="52" t="s">
        <v>74</v>
      </c>
      <c r="M149" s="53" t="s">
        <v>917</v>
      </c>
      <c r="N149" s="58" t="s">
        <v>73</v>
      </c>
      <c r="O149" s="48" t="s">
        <v>72</v>
      </c>
      <c r="P149" s="48" t="s">
        <v>73</v>
      </c>
      <c r="Q149" s="54" t="s">
        <v>73</v>
      </c>
      <c r="R149" s="55" t="s">
        <v>73</v>
      </c>
      <c r="S149" s="48" t="s">
        <v>73</v>
      </c>
      <c r="T149" s="121" t="str" cm="1">
        <f t="array" ref="T149">IF(ISNUMBER(SEARCH("SCHNEIDER",D149)),_xlfn.IFS(ISNUMBER(SEARCH("2 Querétaro",D149)),"SQ2",ISNUMBER(SEARCH("Xicohténcatl",D149)),"SXC",ISNUMBER(SEARCH("Rojo Gómez",D149)),"SRG",ISNUMBER(SEARCH("Tlaxcala",D149)),"STX",ISNUMBER(SEARCH("Monterrey",D149)),"SMY",ISNUMBER(SEARCH("Querétaro",D149)),"SQ1",ISNUMBER(SEARCH("CDMX",D149)),"SCM",TRUE,""),"")</f>
        <v/>
      </c>
      <c r="U149" s="48" t="str" cm="1">
        <f t="array" ref="U149">_xlfn.LET(_xlpm.resultados,_xlfn.UNIQUE(_xlfn._xlws.FILTER(Tabla1[Proceso],(Tabla1[Metal Base]=O149)*(Tabla1[Etiquetas]=_xlfn.TEXTJOIN(" + ",TRUE,IF((TRIM(Upload!P149:S149)="")+(LOWER(TRIM(Upload!P149:S149))="(seleccione)"),"",PROPER(TRIM(Upload!P149:S149)))))*(Tabla1[Línea2]=IFERROR(VLOOKUP(Upload!N149&amp;"*",CAT_Procesos!D:D,1,FALSE),"")))),_xlpm.cantidad,ROWS(_xlpm.resultados),IF(ISERROR(_xlpm.cantidad),"Combinación no existente",IF(_xlpm.cantidad=1,INDEX(_xlpm.resultados,1),"(seleccione)")))</f>
        <v>Combinación no existente</v>
      </c>
      <c r="V149" s="55" t="s">
        <v>73</v>
      </c>
      <c r="W149" s="56" t="s">
        <v>73</v>
      </c>
      <c r="X149" s="57" t="str">
        <f t="shared" si="8"/>
        <v/>
      </c>
      <c r="Y149" s="58" t="s">
        <v>73</v>
      </c>
      <c r="Z149" s="57" t="str">
        <f t="shared" si="9"/>
        <v/>
      </c>
      <c r="AA149" s="58" t="s">
        <v>73</v>
      </c>
      <c r="AB149" s="57" t="str">
        <f t="shared" si="10"/>
        <v/>
      </c>
      <c r="AC149" s="58" t="s">
        <v>73</v>
      </c>
      <c r="AD149" s="57" t="str">
        <f t="shared" si="11"/>
        <v/>
      </c>
      <c r="AE149" s="59"/>
      <c r="AF149" s="59"/>
      <c r="AG149" s="59"/>
      <c r="AH149" s="59"/>
      <c r="AI149" s="59" t="s">
        <v>73</v>
      </c>
      <c r="AJ149" s="59"/>
      <c r="AK149" s="59" t="s">
        <v>73</v>
      </c>
      <c r="AL149" s="59"/>
      <c r="AM149" s="59" t="s">
        <v>73</v>
      </c>
      <c r="AN149" s="59"/>
      <c r="AO149" s="59" t="s">
        <v>73</v>
      </c>
      <c r="AP149" s="59"/>
      <c r="AQ149" s="59" t="s">
        <v>73</v>
      </c>
      <c r="AR149" s="59"/>
      <c r="AS149" s="59" t="s">
        <v>72</v>
      </c>
      <c r="AT149" s="59"/>
      <c r="AU149" s="59"/>
      <c r="AV149" s="59"/>
      <c r="AW149" s="59"/>
      <c r="AX149" s="59"/>
      <c r="AY149" s="60" t="str">
        <f>IF('Cálculo MP'!K159="","",'Cálculo MP'!K159)</f>
        <v/>
      </c>
      <c r="AZ149" s="60" t="str">
        <f>IF('Cálculo MP'!L159="","",'Cálculo MP'!L159)</f>
        <v/>
      </c>
      <c r="BA149" s="60" t="str">
        <f>IF('Cálculo MP'!M159="","",'Cálculo MP'!M159)</f>
        <v/>
      </c>
      <c r="BB149" s="60" t="str">
        <f>IF('Cálculo MP'!N159="","",'Cálculo MP'!N159)</f>
        <v/>
      </c>
      <c r="BC149" s="60" t="str">
        <f>IF('Cálculo MP'!O159="","",'Cálculo MP'!O159)</f>
        <v/>
      </c>
      <c r="BD149" s="60" t="str">
        <f>IF('Cálculo MP'!P159="","",'Cálculo MP'!P159)</f>
        <v/>
      </c>
      <c r="BE149" s="60" t="str">
        <f>IF('Cálculo MP'!Q159="","",'Cálculo MP'!Q159)</f>
        <v/>
      </c>
      <c r="BF149" s="60" t="str">
        <f>IF('Cálculo MP'!R159="","",'Cálculo MP'!R159)</f>
        <v/>
      </c>
      <c r="BG149" s="60" t="str">
        <f>IF('Cálculo MP'!S159="","",'Cálculo MP'!S159)</f>
        <v/>
      </c>
      <c r="BH149" s="59"/>
      <c r="BI149" s="59"/>
      <c r="BJ149" s="59"/>
      <c r="BK149" s="59"/>
      <c r="BL149" s="59"/>
      <c r="BM149" s="59"/>
      <c r="BN149" s="59"/>
      <c r="BO149" s="59"/>
    </row>
    <row r="150" spans="1:67" ht="19.5" customHeight="1" x14ac:dyDescent="0.2">
      <c r="A150" s="114" t="s">
        <v>1789</v>
      </c>
      <c r="B150" s="113" t="s">
        <v>1787</v>
      </c>
      <c r="C150" s="122"/>
      <c r="D150" s="48" t="s">
        <v>73</v>
      </c>
      <c r="E150" s="49"/>
      <c r="F150" s="50"/>
      <c r="G150" s="62"/>
      <c r="H150" s="48" t="s">
        <v>72</v>
      </c>
      <c r="I150" s="52">
        <v>1</v>
      </c>
      <c r="J150" s="52"/>
      <c r="K150" s="52" t="s">
        <v>73</v>
      </c>
      <c r="L150" s="52" t="s">
        <v>74</v>
      </c>
      <c r="M150" s="53" t="s">
        <v>917</v>
      </c>
      <c r="N150" s="58" t="s">
        <v>73</v>
      </c>
      <c r="O150" s="48" t="s">
        <v>72</v>
      </c>
      <c r="P150" s="48" t="s">
        <v>73</v>
      </c>
      <c r="Q150" s="54" t="s">
        <v>73</v>
      </c>
      <c r="R150" s="55" t="s">
        <v>73</v>
      </c>
      <c r="S150" s="48" t="s">
        <v>73</v>
      </c>
      <c r="T150" s="121" t="str" cm="1">
        <f t="array" ref="T150">IF(ISNUMBER(SEARCH("SCHNEIDER",D150)),_xlfn.IFS(ISNUMBER(SEARCH("2 Querétaro",D150)),"SQ2",ISNUMBER(SEARCH("Xicohténcatl",D150)),"SXC",ISNUMBER(SEARCH("Rojo Gómez",D150)),"SRG",ISNUMBER(SEARCH("Tlaxcala",D150)),"STX",ISNUMBER(SEARCH("Monterrey",D150)),"SMY",ISNUMBER(SEARCH("Querétaro",D150)),"SQ1",ISNUMBER(SEARCH("CDMX",D150)),"SCM",TRUE,""),"")</f>
        <v/>
      </c>
      <c r="U150" s="48" t="str" cm="1">
        <f t="array" ref="U150">_xlfn.LET(_xlpm.resultados,_xlfn.UNIQUE(_xlfn._xlws.FILTER(Tabla1[Proceso],(Tabla1[Metal Base]=O150)*(Tabla1[Etiquetas]=_xlfn.TEXTJOIN(" + ",TRUE,IF((TRIM(Upload!P150:S150)="")+(LOWER(TRIM(Upload!P150:S150))="(seleccione)"),"",PROPER(TRIM(Upload!P150:S150)))))*(Tabla1[Línea2]=IFERROR(VLOOKUP(Upload!N150&amp;"*",CAT_Procesos!D:D,1,FALSE),"")))),_xlpm.cantidad,ROWS(_xlpm.resultados),IF(ISERROR(_xlpm.cantidad),"Combinación no existente",IF(_xlpm.cantidad=1,INDEX(_xlpm.resultados,1),"(seleccione)")))</f>
        <v>Combinación no existente</v>
      </c>
      <c r="V150" s="55" t="s">
        <v>73</v>
      </c>
      <c r="W150" s="56" t="s">
        <v>73</v>
      </c>
      <c r="X150" s="57" t="str">
        <f t="shared" si="8"/>
        <v/>
      </c>
      <c r="Y150" s="58" t="s">
        <v>73</v>
      </c>
      <c r="Z150" s="57" t="str">
        <f t="shared" si="9"/>
        <v/>
      </c>
      <c r="AA150" s="58" t="s">
        <v>73</v>
      </c>
      <c r="AB150" s="57" t="str">
        <f t="shared" si="10"/>
        <v/>
      </c>
      <c r="AC150" s="58" t="s">
        <v>73</v>
      </c>
      <c r="AD150" s="57" t="str">
        <f t="shared" si="11"/>
        <v/>
      </c>
      <c r="AE150" s="59"/>
      <c r="AF150" s="59"/>
      <c r="AG150" s="59"/>
      <c r="AH150" s="59"/>
      <c r="AI150" s="59" t="s">
        <v>73</v>
      </c>
      <c r="AJ150" s="59"/>
      <c r="AK150" s="59" t="s">
        <v>73</v>
      </c>
      <c r="AL150" s="59"/>
      <c r="AM150" s="59" t="s">
        <v>73</v>
      </c>
      <c r="AN150" s="59"/>
      <c r="AO150" s="59" t="s">
        <v>73</v>
      </c>
      <c r="AP150" s="59"/>
      <c r="AQ150" s="59" t="s">
        <v>73</v>
      </c>
      <c r="AR150" s="59"/>
      <c r="AS150" s="59" t="s">
        <v>72</v>
      </c>
      <c r="AT150" s="59"/>
      <c r="AU150" s="59"/>
      <c r="AV150" s="59"/>
      <c r="AW150" s="59"/>
      <c r="AX150" s="59"/>
      <c r="AY150" s="60" t="str">
        <f>IF('Cálculo MP'!K160="","",'Cálculo MP'!K160)</f>
        <v/>
      </c>
      <c r="AZ150" s="60" t="str">
        <f>IF('Cálculo MP'!L160="","",'Cálculo MP'!L160)</f>
        <v/>
      </c>
      <c r="BA150" s="60" t="str">
        <f>IF('Cálculo MP'!M160="","",'Cálculo MP'!M160)</f>
        <v/>
      </c>
      <c r="BB150" s="60" t="str">
        <f>IF('Cálculo MP'!N160="","",'Cálculo MP'!N160)</f>
        <v/>
      </c>
      <c r="BC150" s="60" t="str">
        <f>IF('Cálculo MP'!O160="","",'Cálculo MP'!O160)</f>
        <v/>
      </c>
      <c r="BD150" s="60" t="str">
        <f>IF('Cálculo MP'!P160="","",'Cálculo MP'!P160)</f>
        <v/>
      </c>
      <c r="BE150" s="60" t="str">
        <f>IF('Cálculo MP'!Q160="","",'Cálculo MP'!Q160)</f>
        <v/>
      </c>
      <c r="BF150" s="60" t="str">
        <f>IF('Cálculo MP'!R160="","",'Cálculo MP'!R160)</f>
        <v/>
      </c>
      <c r="BG150" s="60" t="str">
        <f>IF('Cálculo MP'!S160="","",'Cálculo MP'!S160)</f>
        <v/>
      </c>
      <c r="BH150" s="59"/>
      <c r="BI150" s="59"/>
      <c r="BJ150" s="59"/>
      <c r="BK150" s="59"/>
      <c r="BL150" s="59"/>
      <c r="BM150" s="59"/>
      <c r="BN150" s="59"/>
      <c r="BO150" s="59"/>
    </row>
    <row r="151" spans="1:67" ht="19.5" customHeight="1" x14ac:dyDescent="0.2">
      <c r="A151" s="114" t="s">
        <v>1789</v>
      </c>
      <c r="B151" s="113" t="s">
        <v>1787</v>
      </c>
      <c r="C151" s="122"/>
      <c r="D151" s="48" t="s">
        <v>73</v>
      </c>
      <c r="E151" s="49"/>
      <c r="F151" s="50"/>
      <c r="G151" s="62"/>
      <c r="H151" s="48" t="s">
        <v>72</v>
      </c>
      <c r="I151" s="52">
        <v>1</v>
      </c>
      <c r="J151" s="52"/>
      <c r="K151" s="52" t="s">
        <v>73</v>
      </c>
      <c r="L151" s="52" t="s">
        <v>74</v>
      </c>
      <c r="M151" s="53" t="s">
        <v>917</v>
      </c>
      <c r="N151" s="58" t="s">
        <v>73</v>
      </c>
      <c r="O151" s="48" t="s">
        <v>72</v>
      </c>
      <c r="P151" s="48" t="s">
        <v>73</v>
      </c>
      <c r="Q151" s="54" t="s">
        <v>73</v>
      </c>
      <c r="R151" s="55" t="s">
        <v>73</v>
      </c>
      <c r="S151" s="48" t="s">
        <v>73</v>
      </c>
      <c r="T151" s="121" t="str" cm="1">
        <f t="array" ref="T151">IF(ISNUMBER(SEARCH("SCHNEIDER",D151)),_xlfn.IFS(ISNUMBER(SEARCH("2 Querétaro",D151)),"SQ2",ISNUMBER(SEARCH("Xicohténcatl",D151)),"SXC",ISNUMBER(SEARCH("Rojo Gómez",D151)),"SRG",ISNUMBER(SEARCH("Tlaxcala",D151)),"STX",ISNUMBER(SEARCH("Monterrey",D151)),"SMY",ISNUMBER(SEARCH("Querétaro",D151)),"SQ1",ISNUMBER(SEARCH("CDMX",D151)),"SCM",TRUE,""),"")</f>
        <v/>
      </c>
      <c r="U151" s="48" t="str" cm="1">
        <f t="array" ref="U151">_xlfn.LET(_xlpm.resultados,_xlfn.UNIQUE(_xlfn._xlws.FILTER(Tabla1[Proceso],(Tabla1[Metal Base]=O151)*(Tabla1[Etiquetas]=_xlfn.TEXTJOIN(" + ",TRUE,IF((TRIM(Upload!P151:S151)="")+(LOWER(TRIM(Upload!P151:S151))="(seleccione)"),"",PROPER(TRIM(Upload!P151:S151)))))*(Tabla1[Línea2]=IFERROR(VLOOKUP(Upload!N151&amp;"*",CAT_Procesos!D:D,1,FALSE),"")))),_xlpm.cantidad,ROWS(_xlpm.resultados),IF(ISERROR(_xlpm.cantidad),"Combinación no existente",IF(_xlpm.cantidad=1,INDEX(_xlpm.resultados,1),"(seleccione)")))</f>
        <v>Combinación no existente</v>
      </c>
      <c r="V151" s="55" t="s">
        <v>73</v>
      </c>
      <c r="W151" s="56" t="s">
        <v>73</v>
      </c>
      <c r="X151" s="57" t="str">
        <f t="shared" si="8"/>
        <v/>
      </c>
      <c r="Y151" s="58" t="s">
        <v>73</v>
      </c>
      <c r="Z151" s="57" t="str">
        <f t="shared" si="9"/>
        <v/>
      </c>
      <c r="AA151" s="58" t="s">
        <v>73</v>
      </c>
      <c r="AB151" s="57" t="str">
        <f t="shared" si="10"/>
        <v/>
      </c>
      <c r="AC151" s="58" t="s">
        <v>73</v>
      </c>
      <c r="AD151" s="57" t="str">
        <f t="shared" si="11"/>
        <v/>
      </c>
      <c r="AE151" s="59"/>
      <c r="AF151" s="59"/>
      <c r="AG151" s="59"/>
      <c r="AH151" s="59"/>
      <c r="AI151" s="59" t="s">
        <v>73</v>
      </c>
      <c r="AJ151" s="59"/>
      <c r="AK151" s="59" t="s">
        <v>73</v>
      </c>
      <c r="AL151" s="59"/>
      <c r="AM151" s="59" t="s">
        <v>73</v>
      </c>
      <c r="AN151" s="59"/>
      <c r="AO151" s="59" t="s">
        <v>73</v>
      </c>
      <c r="AP151" s="59"/>
      <c r="AQ151" s="59" t="s">
        <v>73</v>
      </c>
      <c r="AR151" s="59"/>
      <c r="AS151" s="59" t="s">
        <v>72</v>
      </c>
      <c r="AT151" s="59"/>
      <c r="AU151" s="59"/>
      <c r="AV151" s="59"/>
      <c r="AW151" s="59"/>
      <c r="AX151" s="59"/>
      <c r="AY151" s="60" t="str">
        <f>IF('Cálculo MP'!K161="","",'Cálculo MP'!K161)</f>
        <v/>
      </c>
      <c r="AZ151" s="60" t="str">
        <f>IF('Cálculo MP'!L161="","",'Cálculo MP'!L161)</f>
        <v/>
      </c>
      <c r="BA151" s="60" t="str">
        <f>IF('Cálculo MP'!M161="","",'Cálculo MP'!M161)</f>
        <v/>
      </c>
      <c r="BB151" s="60" t="str">
        <f>IF('Cálculo MP'!N161="","",'Cálculo MP'!N161)</f>
        <v/>
      </c>
      <c r="BC151" s="60" t="str">
        <f>IF('Cálculo MP'!O161="","",'Cálculo MP'!O161)</f>
        <v/>
      </c>
      <c r="BD151" s="60" t="str">
        <f>IF('Cálculo MP'!P161="","",'Cálculo MP'!P161)</f>
        <v/>
      </c>
      <c r="BE151" s="60" t="str">
        <f>IF('Cálculo MP'!Q161="","",'Cálculo MP'!Q161)</f>
        <v/>
      </c>
      <c r="BF151" s="60" t="str">
        <f>IF('Cálculo MP'!R161="","",'Cálculo MP'!R161)</f>
        <v/>
      </c>
      <c r="BG151" s="60" t="str">
        <f>IF('Cálculo MP'!S161="","",'Cálculo MP'!S161)</f>
        <v/>
      </c>
      <c r="BH151" s="59"/>
      <c r="BI151" s="59"/>
      <c r="BJ151" s="59"/>
      <c r="BK151" s="59"/>
      <c r="BL151" s="59"/>
      <c r="BM151" s="59"/>
      <c r="BN151" s="59"/>
      <c r="BO151" s="59"/>
    </row>
    <row r="152" spans="1:67" ht="19.5" customHeight="1" x14ac:dyDescent="0.2">
      <c r="A152" s="114" t="s">
        <v>1789</v>
      </c>
      <c r="B152" s="113" t="s">
        <v>1787</v>
      </c>
      <c r="C152" s="122"/>
      <c r="D152" s="48" t="s">
        <v>73</v>
      </c>
      <c r="E152" s="49"/>
      <c r="F152" s="50"/>
      <c r="G152" s="62"/>
      <c r="H152" s="48" t="s">
        <v>72</v>
      </c>
      <c r="I152" s="52">
        <v>1</v>
      </c>
      <c r="J152" s="52"/>
      <c r="K152" s="52" t="s">
        <v>73</v>
      </c>
      <c r="L152" s="52" t="s">
        <v>74</v>
      </c>
      <c r="M152" s="53" t="s">
        <v>917</v>
      </c>
      <c r="N152" s="58" t="s">
        <v>73</v>
      </c>
      <c r="O152" s="48" t="s">
        <v>72</v>
      </c>
      <c r="P152" s="48" t="s">
        <v>73</v>
      </c>
      <c r="Q152" s="54" t="s">
        <v>73</v>
      </c>
      <c r="R152" s="55" t="s">
        <v>73</v>
      </c>
      <c r="S152" s="48" t="s">
        <v>73</v>
      </c>
      <c r="T152" s="121" t="str" cm="1">
        <f t="array" ref="T152">IF(ISNUMBER(SEARCH("SCHNEIDER",D152)),_xlfn.IFS(ISNUMBER(SEARCH("2 Querétaro",D152)),"SQ2",ISNUMBER(SEARCH("Xicohténcatl",D152)),"SXC",ISNUMBER(SEARCH("Rojo Gómez",D152)),"SRG",ISNUMBER(SEARCH("Tlaxcala",D152)),"STX",ISNUMBER(SEARCH("Monterrey",D152)),"SMY",ISNUMBER(SEARCH("Querétaro",D152)),"SQ1",ISNUMBER(SEARCH("CDMX",D152)),"SCM",TRUE,""),"")</f>
        <v/>
      </c>
      <c r="U152" s="48" t="str" cm="1">
        <f t="array" ref="U152">_xlfn.LET(_xlpm.resultados,_xlfn.UNIQUE(_xlfn._xlws.FILTER(Tabla1[Proceso],(Tabla1[Metal Base]=O152)*(Tabla1[Etiquetas]=_xlfn.TEXTJOIN(" + ",TRUE,IF((TRIM(Upload!P152:S152)="")+(LOWER(TRIM(Upload!P152:S152))="(seleccione)"),"",PROPER(TRIM(Upload!P152:S152)))))*(Tabla1[Línea2]=IFERROR(VLOOKUP(Upload!N152&amp;"*",CAT_Procesos!D:D,1,FALSE),"")))),_xlpm.cantidad,ROWS(_xlpm.resultados),IF(ISERROR(_xlpm.cantidad),"Combinación no existente",IF(_xlpm.cantidad=1,INDEX(_xlpm.resultados,1),"(seleccione)")))</f>
        <v>Combinación no existente</v>
      </c>
      <c r="V152" s="55" t="s">
        <v>73</v>
      </c>
      <c r="W152" s="56" t="s">
        <v>73</v>
      </c>
      <c r="X152" s="57" t="str">
        <f t="shared" si="8"/>
        <v/>
      </c>
      <c r="Y152" s="58" t="s">
        <v>73</v>
      </c>
      <c r="Z152" s="57" t="str">
        <f t="shared" si="9"/>
        <v/>
      </c>
      <c r="AA152" s="58" t="s">
        <v>73</v>
      </c>
      <c r="AB152" s="57" t="str">
        <f t="shared" si="10"/>
        <v/>
      </c>
      <c r="AC152" s="58" t="s">
        <v>73</v>
      </c>
      <c r="AD152" s="57" t="str">
        <f t="shared" si="11"/>
        <v/>
      </c>
      <c r="AE152" s="59"/>
      <c r="AF152" s="59"/>
      <c r="AG152" s="59"/>
      <c r="AH152" s="59"/>
      <c r="AI152" s="59" t="s">
        <v>73</v>
      </c>
      <c r="AJ152" s="59"/>
      <c r="AK152" s="59" t="s">
        <v>73</v>
      </c>
      <c r="AL152" s="59"/>
      <c r="AM152" s="59" t="s">
        <v>73</v>
      </c>
      <c r="AN152" s="59"/>
      <c r="AO152" s="59" t="s">
        <v>73</v>
      </c>
      <c r="AP152" s="59"/>
      <c r="AQ152" s="59" t="s">
        <v>73</v>
      </c>
      <c r="AR152" s="59"/>
      <c r="AS152" s="59" t="s">
        <v>72</v>
      </c>
      <c r="AT152" s="59"/>
      <c r="AU152" s="59"/>
      <c r="AV152" s="59"/>
      <c r="AW152" s="59"/>
      <c r="AX152" s="59"/>
      <c r="AY152" s="60" t="str">
        <f>IF('Cálculo MP'!K162="","",'Cálculo MP'!K162)</f>
        <v/>
      </c>
      <c r="AZ152" s="60" t="str">
        <f>IF('Cálculo MP'!L162="","",'Cálculo MP'!L162)</f>
        <v/>
      </c>
      <c r="BA152" s="60" t="str">
        <f>IF('Cálculo MP'!M162="","",'Cálculo MP'!M162)</f>
        <v/>
      </c>
      <c r="BB152" s="60" t="str">
        <f>IF('Cálculo MP'!N162="","",'Cálculo MP'!N162)</f>
        <v/>
      </c>
      <c r="BC152" s="60" t="str">
        <f>IF('Cálculo MP'!O162="","",'Cálculo MP'!O162)</f>
        <v/>
      </c>
      <c r="BD152" s="60" t="str">
        <f>IF('Cálculo MP'!P162="","",'Cálculo MP'!P162)</f>
        <v/>
      </c>
      <c r="BE152" s="60" t="str">
        <f>IF('Cálculo MP'!Q162="","",'Cálculo MP'!Q162)</f>
        <v/>
      </c>
      <c r="BF152" s="60" t="str">
        <f>IF('Cálculo MP'!R162="","",'Cálculo MP'!R162)</f>
        <v/>
      </c>
      <c r="BG152" s="60" t="str">
        <f>IF('Cálculo MP'!S162="","",'Cálculo MP'!S162)</f>
        <v/>
      </c>
      <c r="BH152" s="59"/>
      <c r="BI152" s="59"/>
      <c r="BJ152" s="59"/>
      <c r="BK152" s="59"/>
      <c r="BL152" s="59"/>
      <c r="BM152" s="59"/>
      <c r="BN152" s="59"/>
      <c r="BO152" s="59"/>
    </row>
    <row r="153" spans="1:67" ht="19.5" customHeight="1" x14ac:dyDescent="0.2">
      <c r="A153" s="114" t="s">
        <v>1789</v>
      </c>
      <c r="B153" s="113" t="s">
        <v>1787</v>
      </c>
      <c r="C153" s="122"/>
      <c r="D153" s="48" t="s">
        <v>73</v>
      </c>
      <c r="E153" s="49"/>
      <c r="F153" s="50"/>
      <c r="G153" s="62"/>
      <c r="H153" s="48" t="s">
        <v>72</v>
      </c>
      <c r="I153" s="52">
        <v>1</v>
      </c>
      <c r="J153" s="52"/>
      <c r="K153" s="52" t="s">
        <v>73</v>
      </c>
      <c r="L153" s="52" t="s">
        <v>74</v>
      </c>
      <c r="M153" s="53" t="s">
        <v>917</v>
      </c>
      <c r="N153" s="58" t="s">
        <v>73</v>
      </c>
      <c r="O153" s="48" t="s">
        <v>72</v>
      </c>
      <c r="P153" s="48" t="s">
        <v>73</v>
      </c>
      <c r="Q153" s="54" t="s">
        <v>73</v>
      </c>
      <c r="R153" s="55" t="s">
        <v>73</v>
      </c>
      <c r="S153" s="48" t="s">
        <v>73</v>
      </c>
      <c r="T153" s="121" t="str" cm="1">
        <f t="array" ref="T153">IF(ISNUMBER(SEARCH("SCHNEIDER",D153)),_xlfn.IFS(ISNUMBER(SEARCH("2 Querétaro",D153)),"SQ2",ISNUMBER(SEARCH("Xicohténcatl",D153)),"SXC",ISNUMBER(SEARCH("Rojo Gómez",D153)),"SRG",ISNUMBER(SEARCH("Tlaxcala",D153)),"STX",ISNUMBER(SEARCH("Monterrey",D153)),"SMY",ISNUMBER(SEARCH("Querétaro",D153)),"SQ1",ISNUMBER(SEARCH("CDMX",D153)),"SCM",TRUE,""),"")</f>
        <v/>
      </c>
      <c r="U153" s="48" t="str" cm="1">
        <f t="array" ref="U153">_xlfn.LET(_xlpm.resultados,_xlfn.UNIQUE(_xlfn._xlws.FILTER(Tabla1[Proceso],(Tabla1[Metal Base]=O153)*(Tabla1[Etiquetas]=_xlfn.TEXTJOIN(" + ",TRUE,IF((TRIM(Upload!P153:S153)="")+(LOWER(TRIM(Upload!P153:S153))="(seleccione)"),"",PROPER(TRIM(Upload!P153:S153)))))*(Tabla1[Línea2]=IFERROR(VLOOKUP(Upload!N153&amp;"*",CAT_Procesos!D:D,1,FALSE),"")))),_xlpm.cantidad,ROWS(_xlpm.resultados),IF(ISERROR(_xlpm.cantidad),"Combinación no existente",IF(_xlpm.cantidad=1,INDEX(_xlpm.resultados,1),"(seleccione)")))</f>
        <v>Combinación no existente</v>
      </c>
      <c r="V153" s="55" t="s">
        <v>73</v>
      </c>
      <c r="W153" s="56" t="s">
        <v>73</v>
      </c>
      <c r="X153" s="57" t="str">
        <f t="shared" si="8"/>
        <v/>
      </c>
      <c r="Y153" s="58" t="s">
        <v>73</v>
      </c>
      <c r="Z153" s="57" t="str">
        <f t="shared" si="9"/>
        <v/>
      </c>
      <c r="AA153" s="58" t="s">
        <v>73</v>
      </c>
      <c r="AB153" s="57" t="str">
        <f t="shared" si="10"/>
        <v/>
      </c>
      <c r="AC153" s="58" t="s">
        <v>73</v>
      </c>
      <c r="AD153" s="57" t="str">
        <f t="shared" si="11"/>
        <v/>
      </c>
      <c r="AE153" s="59"/>
      <c r="AF153" s="59"/>
      <c r="AG153" s="59"/>
      <c r="AH153" s="59"/>
      <c r="AI153" s="59" t="s">
        <v>73</v>
      </c>
      <c r="AJ153" s="59"/>
      <c r="AK153" s="59" t="s">
        <v>73</v>
      </c>
      <c r="AL153" s="59"/>
      <c r="AM153" s="59" t="s">
        <v>73</v>
      </c>
      <c r="AN153" s="59"/>
      <c r="AO153" s="59" t="s">
        <v>73</v>
      </c>
      <c r="AP153" s="59"/>
      <c r="AQ153" s="59" t="s">
        <v>73</v>
      </c>
      <c r="AR153" s="59"/>
      <c r="AS153" s="59" t="s">
        <v>72</v>
      </c>
      <c r="AT153" s="59"/>
      <c r="AU153" s="59"/>
      <c r="AV153" s="59"/>
      <c r="AW153" s="59"/>
      <c r="AX153" s="59"/>
      <c r="AY153" s="60" t="str">
        <f>IF('Cálculo MP'!K163="","",'Cálculo MP'!K163)</f>
        <v/>
      </c>
      <c r="AZ153" s="60" t="str">
        <f>IF('Cálculo MP'!L163="","",'Cálculo MP'!L163)</f>
        <v/>
      </c>
      <c r="BA153" s="60" t="str">
        <f>IF('Cálculo MP'!M163="","",'Cálculo MP'!M163)</f>
        <v/>
      </c>
      <c r="BB153" s="60" t="str">
        <f>IF('Cálculo MP'!N163="","",'Cálculo MP'!N163)</f>
        <v/>
      </c>
      <c r="BC153" s="60" t="str">
        <f>IF('Cálculo MP'!O163="","",'Cálculo MP'!O163)</f>
        <v/>
      </c>
      <c r="BD153" s="60" t="str">
        <f>IF('Cálculo MP'!P163="","",'Cálculo MP'!P163)</f>
        <v/>
      </c>
      <c r="BE153" s="60" t="str">
        <f>IF('Cálculo MP'!Q163="","",'Cálculo MP'!Q163)</f>
        <v/>
      </c>
      <c r="BF153" s="60" t="str">
        <f>IF('Cálculo MP'!R163="","",'Cálculo MP'!R163)</f>
        <v/>
      </c>
      <c r="BG153" s="60" t="str">
        <f>IF('Cálculo MP'!S163="","",'Cálculo MP'!S163)</f>
        <v/>
      </c>
      <c r="BH153" s="59"/>
      <c r="BI153" s="59"/>
      <c r="BJ153" s="59"/>
      <c r="BK153" s="59"/>
      <c r="BL153" s="59"/>
      <c r="BM153" s="59"/>
      <c r="BN153" s="59"/>
      <c r="BO153" s="59"/>
    </row>
    <row r="154" spans="1:67" ht="19.5" customHeight="1" x14ac:dyDescent="0.2">
      <c r="A154" s="114" t="s">
        <v>1789</v>
      </c>
      <c r="B154" s="113" t="s">
        <v>1787</v>
      </c>
      <c r="C154" s="122"/>
      <c r="D154" s="48" t="s">
        <v>73</v>
      </c>
      <c r="E154" s="49"/>
      <c r="F154" s="50"/>
      <c r="G154" s="62"/>
      <c r="H154" s="48" t="s">
        <v>72</v>
      </c>
      <c r="I154" s="52">
        <v>1</v>
      </c>
      <c r="J154" s="52"/>
      <c r="K154" s="52" t="s">
        <v>73</v>
      </c>
      <c r="L154" s="52" t="s">
        <v>74</v>
      </c>
      <c r="M154" s="53" t="s">
        <v>917</v>
      </c>
      <c r="N154" s="58" t="s">
        <v>73</v>
      </c>
      <c r="O154" s="48" t="s">
        <v>72</v>
      </c>
      <c r="P154" s="48" t="s">
        <v>73</v>
      </c>
      <c r="Q154" s="54" t="s">
        <v>73</v>
      </c>
      <c r="R154" s="55" t="s">
        <v>73</v>
      </c>
      <c r="S154" s="48" t="s">
        <v>73</v>
      </c>
      <c r="T154" s="121" t="str" cm="1">
        <f t="array" ref="T154">IF(ISNUMBER(SEARCH("SCHNEIDER",D154)),_xlfn.IFS(ISNUMBER(SEARCH("2 Querétaro",D154)),"SQ2",ISNUMBER(SEARCH("Xicohténcatl",D154)),"SXC",ISNUMBER(SEARCH("Rojo Gómez",D154)),"SRG",ISNUMBER(SEARCH("Tlaxcala",D154)),"STX",ISNUMBER(SEARCH("Monterrey",D154)),"SMY",ISNUMBER(SEARCH("Querétaro",D154)),"SQ1",ISNUMBER(SEARCH("CDMX",D154)),"SCM",TRUE,""),"")</f>
        <v/>
      </c>
      <c r="U154" s="48" t="str" cm="1">
        <f t="array" ref="U154">_xlfn.LET(_xlpm.resultados,_xlfn.UNIQUE(_xlfn._xlws.FILTER(Tabla1[Proceso],(Tabla1[Metal Base]=O154)*(Tabla1[Etiquetas]=_xlfn.TEXTJOIN(" + ",TRUE,IF((TRIM(Upload!P154:S154)="")+(LOWER(TRIM(Upload!P154:S154))="(seleccione)"),"",PROPER(TRIM(Upload!P154:S154)))))*(Tabla1[Línea2]=IFERROR(VLOOKUP(Upload!N154&amp;"*",CAT_Procesos!D:D,1,FALSE),"")))),_xlpm.cantidad,ROWS(_xlpm.resultados),IF(ISERROR(_xlpm.cantidad),"Combinación no existente",IF(_xlpm.cantidad=1,INDEX(_xlpm.resultados,1),"(seleccione)")))</f>
        <v>Combinación no existente</v>
      </c>
      <c r="V154" s="55" t="s">
        <v>73</v>
      </c>
      <c r="W154" s="56" t="s">
        <v>73</v>
      </c>
      <c r="X154" s="57" t="str">
        <f t="shared" si="8"/>
        <v/>
      </c>
      <c r="Y154" s="58" t="s">
        <v>73</v>
      </c>
      <c r="Z154" s="57" t="str">
        <f t="shared" si="9"/>
        <v/>
      </c>
      <c r="AA154" s="58" t="s">
        <v>73</v>
      </c>
      <c r="AB154" s="57" t="str">
        <f t="shared" si="10"/>
        <v/>
      </c>
      <c r="AC154" s="58" t="s">
        <v>73</v>
      </c>
      <c r="AD154" s="57" t="str">
        <f t="shared" si="11"/>
        <v/>
      </c>
      <c r="AE154" s="59"/>
      <c r="AF154" s="59"/>
      <c r="AG154" s="59"/>
      <c r="AH154" s="59"/>
      <c r="AI154" s="59" t="s">
        <v>73</v>
      </c>
      <c r="AJ154" s="59"/>
      <c r="AK154" s="59" t="s">
        <v>73</v>
      </c>
      <c r="AL154" s="59"/>
      <c r="AM154" s="59" t="s">
        <v>73</v>
      </c>
      <c r="AN154" s="59"/>
      <c r="AO154" s="59" t="s">
        <v>73</v>
      </c>
      <c r="AP154" s="59"/>
      <c r="AQ154" s="59" t="s">
        <v>73</v>
      </c>
      <c r="AR154" s="59"/>
      <c r="AS154" s="59" t="s">
        <v>72</v>
      </c>
      <c r="AT154" s="59"/>
      <c r="AU154" s="59"/>
      <c r="AV154" s="59"/>
      <c r="AW154" s="59"/>
      <c r="AX154" s="59"/>
      <c r="AY154" s="60" t="str">
        <f>IF('Cálculo MP'!K164="","",'Cálculo MP'!K164)</f>
        <v/>
      </c>
      <c r="AZ154" s="60" t="str">
        <f>IF('Cálculo MP'!L164="","",'Cálculo MP'!L164)</f>
        <v/>
      </c>
      <c r="BA154" s="60" t="str">
        <f>IF('Cálculo MP'!M164="","",'Cálculo MP'!M164)</f>
        <v/>
      </c>
      <c r="BB154" s="60" t="str">
        <f>IF('Cálculo MP'!N164="","",'Cálculo MP'!N164)</f>
        <v/>
      </c>
      <c r="BC154" s="60" t="str">
        <f>IF('Cálculo MP'!O164="","",'Cálculo MP'!O164)</f>
        <v/>
      </c>
      <c r="BD154" s="60" t="str">
        <f>IF('Cálculo MP'!P164="","",'Cálculo MP'!P164)</f>
        <v/>
      </c>
      <c r="BE154" s="60" t="str">
        <f>IF('Cálculo MP'!Q164="","",'Cálculo MP'!Q164)</f>
        <v/>
      </c>
      <c r="BF154" s="60" t="str">
        <f>IF('Cálculo MP'!R164="","",'Cálculo MP'!R164)</f>
        <v/>
      </c>
      <c r="BG154" s="60" t="str">
        <f>IF('Cálculo MP'!S164="","",'Cálculo MP'!S164)</f>
        <v/>
      </c>
      <c r="BH154" s="59"/>
      <c r="BI154" s="59"/>
      <c r="BJ154" s="59"/>
      <c r="BK154" s="59"/>
      <c r="BL154" s="59"/>
      <c r="BM154" s="59"/>
      <c r="BN154" s="59"/>
      <c r="BO154" s="59"/>
    </row>
    <row r="155" spans="1:67" ht="19.5" customHeight="1" x14ac:dyDescent="0.2">
      <c r="A155" s="114" t="s">
        <v>1789</v>
      </c>
      <c r="B155" s="113" t="s">
        <v>1787</v>
      </c>
      <c r="C155" s="122"/>
      <c r="D155" s="48" t="s">
        <v>73</v>
      </c>
      <c r="E155" s="49"/>
      <c r="F155" s="50"/>
      <c r="G155" s="62"/>
      <c r="H155" s="48" t="s">
        <v>72</v>
      </c>
      <c r="I155" s="52">
        <v>1</v>
      </c>
      <c r="J155" s="52"/>
      <c r="K155" s="52" t="s">
        <v>73</v>
      </c>
      <c r="L155" s="52" t="s">
        <v>74</v>
      </c>
      <c r="M155" s="53" t="s">
        <v>917</v>
      </c>
      <c r="N155" s="58" t="s">
        <v>73</v>
      </c>
      <c r="O155" s="48" t="s">
        <v>72</v>
      </c>
      <c r="P155" s="48" t="s">
        <v>73</v>
      </c>
      <c r="Q155" s="54" t="s">
        <v>73</v>
      </c>
      <c r="R155" s="55" t="s">
        <v>73</v>
      </c>
      <c r="S155" s="48" t="s">
        <v>73</v>
      </c>
      <c r="T155" s="121" t="str" cm="1">
        <f t="array" ref="T155">IF(ISNUMBER(SEARCH("SCHNEIDER",D155)),_xlfn.IFS(ISNUMBER(SEARCH("2 Querétaro",D155)),"SQ2",ISNUMBER(SEARCH("Xicohténcatl",D155)),"SXC",ISNUMBER(SEARCH("Rojo Gómez",D155)),"SRG",ISNUMBER(SEARCH("Tlaxcala",D155)),"STX",ISNUMBER(SEARCH("Monterrey",D155)),"SMY",ISNUMBER(SEARCH("Querétaro",D155)),"SQ1",ISNUMBER(SEARCH("CDMX",D155)),"SCM",TRUE,""),"")</f>
        <v/>
      </c>
      <c r="U155" s="48" t="str" cm="1">
        <f t="array" ref="U155">_xlfn.LET(_xlpm.resultados,_xlfn.UNIQUE(_xlfn._xlws.FILTER(Tabla1[Proceso],(Tabla1[Metal Base]=O155)*(Tabla1[Etiquetas]=_xlfn.TEXTJOIN(" + ",TRUE,IF((TRIM(Upload!P155:S155)="")+(LOWER(TRIM(Upload!P155:S155))="(seleccione)"),"",PROPER(TRIM(Upload!P155:S155)))))*(Tabla1[Línea2]=IFERROR(VLOOKUP(Upload!N155&amp;"*",CAT_Procesos!D:D,1,FALSE),"")))),_xlpm.cantidad,ROWS(_xlpm.resultados),IF(ISERROR(_xlpm.cantidad),"Combinación no existente",IF(_xlpm.cantidad=1,INDEX(_xlpm.resultados,1),"(seleccione)")))</f>
        <v>Combinación no existente</v>
      </c>
      <c r="V155" s="55" t="s">
        <v>73</v>
      </c>
      <c r="W155" s="56" t="s">
        <v>73</v>
      </c>
      <c r="X155" s="57" t="str">
        <f t="shared" si="8"/>
        <v/>
      </c>
      <c r="Y155" s="58" t="s">
        <v>73</v>
      </c>
      <c r="Z155" s="57" t="str">
        <f t="shared" si="9"/>
        <v/>
      </c>
      <c r="AA155" s="58" t="s">
        <v>73</v>
      </c>
      <c r="AB155" s="57" t="str">
        <f t="shared" si="10"/>
        <v/>
      </c>
      <c r="AC155" s="58" t="s">
        <v>73</v>
      </c>
      <c r="AD155" s="57" t="str">
        <f t="shared" si="11"/>
        <v/>
      </c>
      <c r="AE155" s="59"/>
      <c r="AF155" s="59"/>
      <c r="AG155" s="59"/>
      <c r="AH155" s="59"/>
      <c r="AI155" s="59" t="s">
        <v>73</v>
      </c>
      <c r="AJ155" s="59"/>
      <c r="AK155" s="59" t="s">
        <v>73</v>
      </c>
      <c r="AL155" s="59"/>
      <c r="AM155" s="59" t="s">
        <v>73</v>
      </c>
      <c r="AN155" s="59"/>
      <c r="AO155" s="59" t="s">
        <v>73</v>
      </c>
      <c r="AP155" s="59"/>
      <c r="AQ155" s="59" t="s">
        <v>73</v>
      </c>
      <c r="AR155" s="59"/>
      <c r="AS155" s="59" t="s">
        <v>72</v>
      </c>
      <c r="AT155" s="59"/>
      <c r="AU155" s="59"/>
      <c r="AV155" s="59"/>
      <c r="AW155" s="59"/>
      <c r="AX155" s="59"/>
      <c r="AY155" s="60" t="str">
        <f>IF('Cálculo MP'!K165="","",'Cálculo MP'!K165)</f>
        <v/>
      </c>
      <c r="AZ155" s="60" t="str">
        <f>IF('Cálculo MP'!L165="","",'Cálculo MP'!L165)</f>
        <v/>
      </c>
      <c r="BA155" s="60" t="str">
        <f>IF('Cálculo MP'!M165="","",'Cálculo MP'!M165)</f>
        <v/>
      </c>
      <c r="BB155" s="60" t="str">
        <f>IF('Cálculo MP'!N165="","",'Cálculo MP'!N165)</f>
        <v/>
      </c>
      <c r="BC155" s="60" t="str">
        <f>IF('Cálculo MP'!O165="","",'Cálculo MP'!O165)</f>
        <v/>
      </c>
      <c r="BD155" s="60" t="str">
        <f>IF('Cálculo MP'!P165="","",'Cálculo MP'!P165)</f>
        <v/>
      </c>
      <c r="BE155" s="60" t="str">
        <f>IF('Cálculo MP'!Q165="","",'Cálculo MP'!Q165)</f>
        <v/>
      </c>
      <c r="BF155" s="60" t="str">
        <f>IF('Cálculo MP'!R165="","",'Cálculo MP'!R165)</f>
        <v/>
      </c>
      <c r="BG155" s="60" t="str">
        <f>IF('Cálculo MP'!S165="","",'Cálculo MP'!S165)</f>
        <v/>
      </c>
      <c r="BH155" s="59"/>
      <c r="BI155" s="59"/>
      <c r="BJ155" s="59"/>
      <c r="BK155" s="59"/>
      <c r="BL155" s="59"/>
      <c r="BM155" s="59"/>
      <c r="BN155" s="59"/>
      <c r="BO155" s="59"/>
    </row>
    <row r="156" spans="1:67" ht="19.5" customHeight="1" x14ac:dyDescent="0.2">
      <c r="A156" s="114" t="s">
        <v>1789</v>
      </c>
      <c r="B156" s="113" t="s">
        <v>1787</v>
      </c>
      <c r="C156" s="122"/>
      <c r="D156" s="48" t="s">
        <v>73</v>
      </c>
      <c r="E156" s="49"/>
      <c r="F156" s="50"/>
      <c r="G156" s="62"/>
      <c r="H156" s="48" t="s">
        <v>72</v>
      </c>
      <c r="I156" s="52">
        <v>1</v>
      </c>
      <c r="J156" s="52"/>
      <c r="K156" s="52" t="s">
        <v>73</v>
      </c>
      <c r="L156" s="52" t="s">
        <v>74</v>
      </c>
      <c r="M156" s="53" t="s">
        <v>917</v>
      </c>
      <c r="N156" s="58" t="s">
        <v>73</v>
      </c>
      <c r="O156" s="48" t="s">
        <v>72</v>
      </c>
      <c r="P156" s="48" t="s">
        <v>73</v>
      </c>
      <c r="Q156" s="54" t="s">
        <v>73</v>
      </c>
      <c r="R156" s="55" t="s">
        <v>73</v>
      </c>
      <c r="S156" s="48" t="s">
        <v>73</v>
      </c>
      <c r="T156" s="121" t="str" cm="1">
        <f t="array" ref="T156">IF(ISNUMBER(SEARCH("SCHNEIDER",D156)),_xlfn.IFS(ISNUMBER(SEARCH("2 Querétaro",D156)),"SQ2",ISNUMBER(SEARCH("Xicohténcatl",D156)),"SXC",ISNUMBER(SEARCH("Rojo Gómez",D156)),"SRG",ISNUMBER(SEARCH("Tlaxcala",D156)),"STX",ISNUMBER(SEARCH("Monterrey",D156)),"SMY",ISNUMBER(SEARCH("Querétaro",D156)),"SQ1",ISNUMBER(SEARCH("CDMX",D156)),"SCM",TRUE,""),"")</f>
        <v/>
      </c>
      <c r="U156" s="48" t="str" cm="1">
        <f t="array" ref="U156">_xlfn.LET(_xlpm.resultados,_xlfn.UNIQUE(_xlfn._xlws.FILTER(Tabla1[Proceso],(Tabla1[Metal Base]=O156)*(Tabla1[Etiquetas]=_xlfn.TEXTJOIN(" + ",TRUE,IF((TRIM(Upload!P156:S156)="")+(LOWER(TRIM(Upload!P156:S156))="(seleccione)"),"",PROPER(TRIM(Upload!P156:S156)))))*(Tabla1[Línea2]=IFERROR(VLOOKUP(Upload!N156&amp;"*",CAT_Procesos!D:D,1,FALSE),"")))),_xlpm.cantidad,ROWS(_xlpm.resultados),IF(ISERROR(_xlpm.cantidad),"Combinación no existente",IF(_xlpm.cantidad=1,INDEX(_xlpm.resultados,1),"(seleccione)")))</f>
        <v>Combinación no existente</v>
      </c>
      <c r="V156" s="55" t="s">
        <v>73</v>
      </c>
      <c r="W156" s="56" t="s">
        <v>73</v>
      </c>
      <c r="X156" s="57" t="str">
        <f t="shared" si="8"/>
        <v/>
      </c>
      <c r="Y156" s="58" t="s">
        <v>73</v>
      </c>
      <c r="Z156" s="57" t="str">
        <f t="shared" si="9"/>
        <v/>
      </c>
      <c r="AA156" s="58" t="s">
        <v>73</v>
      </c>
      <c r="AB156" s="57" t="str">
        <f t="shared" si="10"/>
        <v/>
      </c>
      <c r="AC156" s="58" t="s">
        <v>73</v>
      </c>
      <c r="AD156" s="57" t="str">
        <f t="shared" si="11"/>
        <v/>
      </c>
      <c r="AE156" s="59"/>
      <c r="AF156" s="59"/>
      <c r="AG156" s="59"/>
      <c r="AH156" s="59"/>
      <c r="AI156" s="59" t="s">
        <v>73</v>
      </c>
      <c r="AJ156" s="59"/>
      <c r="AK156" s="59" t="s">
        <v>73</v>
      </c>
      <c r="AL156" s="59"/>
      <c r="AM156" s="59" t="s">
        <v>73</v>
      </c>
      <c r="AN156" s="59"/>
      <c r="AO156" s="59" t="s">
        <v>73</v>
      </c>
      <c r="AP156" s="59"/>
      <c r="AQ156" s="59" t="s">
        <v>73</v>
      </c>
      <c r="AR156" s="59"/>
      <c r="AS156" s="59" t="s">
        <v>72</v>
      </c>
      <c r="AT156" s="59"/>
      <c r="AU156" s="59"/>
      <c r="AV156" s="59"/>
      <c r="AW156" s="59"/>
      <c r="AX156" s="59"/>
      <c r="AY156" s="60" t="str">
        <f>IF('Cálculo MP'!K166="","",'Cálculo MP'!K166)</f>
        <v/>
      </c>
      <c r="AZ156" s="60" t="str">
        <f>IF('Cálculo MP'!L166="","",'Cálculo MP'!L166)</f>
        <v/>
      </c>
      <c r="BA156" s="60" t="str">
        <f>IF('Cálculo MP'!M166="","",'Cálculo MP'!M166)</f>
        <v/>
      </c>
      <c r="BB156" s="60" t="str">
        <f>IF('Cálculo MP'!N166="","",'Cálculo MP'!N166)</f>
        <v/>
      </c>
      <c r="BC156" s="60" t="str">
        <f>IF('Cálculo MP'!O166="","",'Cálculo MP'!O166)</f>
        <v/>
      </c>
      <c r="BD156" s="60" t="str">
        <f>IF('Cálculo MP'!P166="","",'Cálculo MP'!P166)</f>
        <v/>
      </c>
      <c r="BE156" s="60" t="str">
        <f>IF('Cálculo MP'!Q166="","",'Cálculo MP'!Q166)</f>
        <v/>
      </c>
      <c r="BF156" s="60" t="str">
        <f>IF('Cálculo MP'!R166="","",'Cálculo MP'!R166)</f>
        <v/>
      </c>
      <c r="BG156" s="60" t="str">
        <f>IF('Cálculo MP'!S166="","",'Cálculo MP'!S166)</f>
        <v/>
      </c>
      <c r="BH156" s="59"/>
      <c r="BI156" s="59"/>
      <c r="BJ156" s="59"/>
      <c r="BK156" s="59"/>
      <c r="BL156" s="59"/>
      <c r="BM156" s="59"/>
      <c r="BN156" s="59"/>
      <c r="BO156" s="59"/>
    </row>
    <row r="157" spans="1:67" ht="19.5" customHeight="1" x14ac:dyDescent="0.2">
      <c r="A157" s="114" t="s">
        <v>1789</v>
      </c>
      <c r="B157" s="113" t="s">
        <v>1787</v>
      </c>
      <c r="C157" s="122"/>
      <c r="D157" s="48" t="s">
        <v>73</v>
      </c>
      <c r="E157" s="49"/>
      <c r="F157" s="50"/>
      <c r="G157" s="62"/>
      <c r="H157" s="48" t="s">
        <v>72</v>
      </c>
      <c r="I157" s="52">
        <v>1</v>
      </c>
      <c r="J157" s="52"/>
      <c r="K157" s="52" t="s">
        <v>73</v>
      </c>
      <c r="L157" s="52" t="s">
        <v>74</v>
      </c>
      <c r="M157" s="53" t="s">
        <v>917</v>
      </c>
      <c r="N157" s="58" t="s">
        <v>73</v>
      </c>
      <c r="O157" s="48" t="s">
        <v>72</v>
      </c>
      <c r="P157" s="48" t="s">
        <v>73</v>
      </c>
      <c r="Q157" s="54" t="s">
        <v>73</v>
      </c>
      <c r="R157" s="55" t="s">
        <v>73</v>
      </c>
      <c r="S157" s="48" t="s">
        <v>73</v>
      </c>
      <c r="T157" s="121" t="str" cm="1">
        <f t="array" ref="T157">IF(ISNUMBER(SEARCH("SCHNEIDER",D157)),_xlfn.IFS(ISNUMBER(SEARCH("2 Querétaro",D157)),"SQ2",ISNUMBER(SEARCH("Xicohténcatl",D157)),"SXC",ISNUMBER(SEARCH("Rojo Gómez",D157)),"SRG",ISNUMBER(SEARCH("Tlaxcala",D157)),"STX",ISNUMBER(SEARCH("Monterrey",D157)),"SMY",ISNUMBER(SEARCH("Querétaro",D157)),"SQ1",ISNUMBER(SEARCH("CDMX",D157)),"SCM",TRUE,""),"")</f>
        <v/>
      </c>
      <c r="U157" s="48" t="str" cm="1">
        <f t="array" ref="U157">_xlfn.LET(_xlpm.resultados,_xlfn.UNIQUE(_xlfn._xlws.FILTER(Tabla1[Proceso],(Tabla1[Metal Base]=O157)*(Tabla1[Etiquetas]=_xlfn.TEXTJOIN(" + ",TRUE,IF((TRIM(Upload!P157:S157)="")+(LOWER(TRIM(Upload!P157:S157))="(seleccione)"),"",PROPER(TRIM(Upload!P157:S157)))))*(Tabla1[Línea2]=IFERROR(VLOOKUP(Upload!N157&amp;"*",CAT_Procesos!D:D,1,FALSE),"")))),_xlpm.cantidad,ROWS(_xlpm.resultados),IF(ISERROR(_xlpm.cantidad),"Combinación no existente",IF(_xlpm.cantidad=1,INDEX(_xlpm.resultados,1),"(seleccione)")))</f>
        <v>Combinación no existente</v>
      </c>
      <c r="V157" s="55" t="s">
        <v>73</v>
      </c>
      <c r="W157" s="56" t="s">
        <v>73</v>
      </c>
      <c r="X157" s="57" t="str">
        <f t="shared" si="8"/>
        <v/>
      </c>
      <c r="Y157" s="58" t="s">
        <v>73</v>
      </c>
      <c r="Z157" s="57" t="str">
        <f t="shared" si="9"/>
        <v/>
      </c>
      <c r="AA157" s="58" t="s">
        <v>73</v>
      </c>
      <c r="AB157" s="57" t="str">
        <f t="shared" si="10"/>
        <v/>
      </c>
      <c r="AC157" s="58" t="s">
        <v>73</v>
      </c>
      <c r="AD157" s="57" t="str">
        <f t="shared" si="11"/>
        <v/>
      </c>
      <c r="AE157" s="59"/>
      <c r="AF157" s="59"/>
      <c r="AG157" s="59"/>
      <c r="AH157" s="59"/>
      <c r="AI157" s="59" t="s">
        <v>73</v>
      </c>
      <c r="AJ157" s="59"/>
      <c r="AK157" s="59" t="s">
        <v>73</v>
      </c>
      <c r="AL157" s="59"/>
      <c r="AM157" s="59" t="s">
        <v>73</v>
      </c>
      <c r="AN157" s="59"/>
      <c r="AO157" s="59" t="s">
        <v>73</v>
      </c>
      <c r="AP157" s="59"/>
      <c r="AQ157" s="59" t="s">
        <v>73</v>
      </c>
      <c r="AR157" s="59"/>
      <c r="AS157" s="59" t="s">
        <v>72</v>
      </c>
      <c r="AT157" s="59"/>
      <c r="AU157" s="59"/>
      <c r="AV157" s="59"/>
      <c r="AW157" s="59"/>
      <c r="AX157" s="59"/>
      <c r="AY157" s="60" t="str">
        <f>IF('Cálculo MP'!K167="","",'Cálculo MP'!K167)</f>
        <v/>
      </c>
      <c r="AZ157" s="60" t="str">
        <f>IF('Cálculo MP'!L167="","",'Cálculo MP'!L167)</f>
        <v/>
      </c>
      <c r="BA157" s="60" t="str">
        <f>IF('Cálculo MP'!M167="","",'Cálculo MP'!M167)</f>
        <v/>
      </c>
      <c r="BB157" s="60" t="str">
        <f>IF('Cálculo MP'!N167="","",'Cálculo MP'!N167)</f>
        <v/>
      </c>
      <c r="BC157" s="60" t="str">
        <f>IF('Cálculo MP'!O167="","",'Cálculo MP'!O167)</f>
        <v/>
      </c>
      <c r="BD157" s="60" t="str">
        <f>IF('Cálculo MP'!P167="","",'Cálculo MP'!P167)</f>
        <v/>
      </c>
      <c r="BE157" s="60" t="str">
        <f>IF('Cálculo MP'!Q167="","",'Cálculo MP'!Q167)</f>
        <v/>
      </c>
      <c r="BF157" s="60" t="str">
        <f>IF('Cálculo MP'!R167="","",'Cálculo MP'!R167)</f>
        <v/>
      </c>
      <c r="BG157" s="60" t="str">
        <f>IF('Cálculo MP'!S167="","",'Cálculo MP'!S167)</f>
        <v/>
      </c>
      <c r="BH157" s="59"/>
      <c r="BI157" s="59"/>
      <c r="BJ157" s="59"/>
      <c r="BK157" s="59"/>
      <c r="BL157" s="59"/>
      <c r="BM157" s="59"/>
      <c r="BN157" s="59"/>
      <c r="BO157" s="59"/>
    </row>
    <row r="158" spans="1:67" ht="19.5" customHeight="1" x14ac:dyDescent="0.2">
      <c r="A158" s="114" t="s">
        <v>1789</v>
      </c>
      <c r="B158" s="113" t="s">
        <v>1787</v>
      </c>
      <c r="C158" s="122"/>
      <c r="D158" s="48" t="s">
        <v>73</v>
      </c>
      <c r="E158" s="49"/>
      <c r="F158" s="50"/>
      <c r="G158" s="62"/>
      <c r="H158" s="48" t="s">
        <v>72</v>
      </c>
      <c r="I158" s="52">
        <v>1</v>
      </c>
      <c r="J158" s="52"/>
      <c r="K158" s="52" t="s">
        <v>73</v>
      </c>
      <c r="L158" s="52" t="s">
        <v>74</v>
      </c>
      <c r="M158" s="53" t="s">
        <v>917</v>
      </c>
      <c r="N158" s="58" t="s">
        <v>73</v>
      </c>
      <c r="O158" s="48" t="s">
        <v>72</v>
      </c>
      <c r="P158" s="48" t="s">
        <v>73</v>
      </c>
      <c r="Q158" s="54" t="s">
        <v>73</v>
      </c>
      <c r="R158" s="55" t="s">
        <v>73</v>
      </c>
      <c r="S158" s="48" t="s">
        <v>73</v>
      </c>
      <c r="T158" s="121" t="str" cm="1">
        <f t="array" ref="T158">IF(ISNUMBER(SEARCH("SCHNEIDER",D158)),_xlfn.IFS(ISNUMBER(SEARCH("2 Querétaro",D158)),"SQ2",ISNUMBER(SEARCH("Xicohténcatl",D158)),"SXC",ISNUMBER(SEARCH("Rojo Gómez",D158)),"SRG",ISNUMBER(SEARCH("Tlaxcala",D158)),"STX",ISNUMBER(SEARCH("Monterrey",D158)),"SMY",ISNUMBER(SEARCH("Querétaro",D158)),"SQ1",ISNUMBER(SEARCH("CDMX",D158)),"SCM",TRUE,""),"")</f>
        <v/>
      </c>
      <c r="U158" s="48" t="str" cm="1">
        <f t="array" ref="U158">_xlfn.LET(_xlpm.resultados,_xlfn.UNIQUE(_xlfn._xlws.FILTER(Tabla1[Proceso],(Tabla1[Metal Base]=O158)*(Tabla1[Etiquetas]=_xlfn.TEXTJOIN(" + ",TRUE,IF((TRIM(Upload!P158:S158)="")+(LOWER(TRIM(Upload!P158:S158))="(seleccione)"),"",PROPER(TRIM(Upload!P158:S158)))))*(Tabla1[Línea2]=IFERROR(VLOOKUP(Upload!N158&amp;"*",CAT_Procesos!D:D,1,FALSE),"")))),_xlpm.cantidad,ROWS(_xlpm.resultados),IF(ISERROR(_xlpm.cantidad),"Combinación no existente",IF(_xlpm.cantidad=1,INDEX(_xlpm.resultados,1),"(seleccione)")))</f>
        <v>Combinación no existente</v>
      </c>
      <c r="V158" s="55" t="s">
        <v>73</v>
      </c>
      <c r="W158" s="56" t="s">
        <v>73</v>
      </c>
      <c r="X158" s="57" t="str">
        <f t="shared" si="8"/>
        <v/>
      </c>
      <c r="Y158" s="58" t="s">
        <v>73</v>
      </c>
      <c r="Z158" s="57" t="str">
        <f t="shared" si="9"/>
        <v/>
      </c>
      <c r="AA158" s="58" t="s">
        <v>73</v>
      </c>
      <c r="AB158" s="57" t="str">
        <f t="shared" si="10"/>
        <v/>
      </c>
      <c r="AC158" s="58" t="s">
        <v>73</v>
      </c>
      <c r="AD158" s="57" t="str">
        <f t="shared" si="11"/>
        <v/>
      </c>
      <c r="AE158" s="59"/>
      <c r="AF158" s="59"/>
      <c r="AG158" s="59"/>
      <c r="AH158" s="59"/>
      <c r="AI158" s="59" t="s">
        <v>73</v>
      </c>
      <c r="AJ158" s="59"/>
      <c r="AK158" s="59" t="s">
        <v>73</v>
      </c>
      <c r="AL158" s="59"/>
      <c r="AM158" s="59" t="s">
        <v>73</v>
      </c>
      <c r="AN158" s="59"/>
      <c r="AO158" s="59" t="s">
        <v>73</v>
      </c>
      <c r="AP158" s="59"/>
      <c r="AQ158" s="59" t="s">
        <v>73</v>
      </c>
      <c r="AR158" s="59"/>
      <c r="AS158" s="59" t="s">
        <v>72</v>
      </c>
      <c r="AT158" s="59"/>
      <c r="AU158" s="59"/>
      <c r="AV158" s="59"/>
      <c r="AW158" s="59"/>
      <c r="AX158" s="59"/>
      <c r="AY158" s="60" t="str">
        <f>IF('Cálculo MP'!K168="","",'Cálculo MP'!K168)</f>
        <v/>
      </c>
      <c r="AZ158" s="60" t="str">
        <f>IF('Cálculo MP'!L168="","",'Cálculo MP'!L168)</f>
        <v/>
      </c>
      <c r="BA158" s="60" t="str">
        <f>IF('Cálculo MP'!M168="","",'Cálculo MP'!M168)</f>
        <v/>
      </c>
      <c r="BB158" s="60" t="str">
        <f>IF('Cálculo MP'!N168="","",'Cálculo MP'!N168)</f>
        <v/>
      </c>
      <c r="BC158" s="60" t="str">
        <f>IF('Cálculo MP'!O168="","",'Cálculo MP'!O168)</f>
        <v/>
      </c>
      <c r="BD158" s="60" t="str">
        <f>IF('Cálculo MP'!P168="","",'Cálculo MP'!P168)</f>
        <v/>
      </c>
      <c r="BE158" s="60" t="str">
        <f>IF('Cálculo MP'!Q168="","",'Cálculo MP'!Q168)</f>
        <v/>
      </c>
      <c r="BF158" s="60" t="str">
        <f>IF('Cálculo MP'!R168="","",'Cálculo MP'!R168)</f>
        <v/>
      </c>
      <c r="BG158" s="60" t="str">
        <f>IF('Cálculo MP'!S168="","",'Cálculo MP'!S168)</f>
        <v/>
      </c>
      <c r="BH158" s="59"/>
      <c r="BI158" s="59"/>
      <c r="BJ158" s="59"/>
      <c r="BK158" s="59"/>
      <c r="BL158" s="59"/>
      <c r="BM158" s="59"/>
      <c r="BN158" s="59"/>
      <c r="BO158" s="59"/>
    </row>
    <row r="159" spans="1:67" ht="19.5" customHeight="1" x14ac:dyDescent="0.2">
      <c r="A159" s="114" t="s">
        <v>1789</v>
      </c>
      <c r="B159" s="113" t="s">
        <v>1787</v>
      </c>
      <c r="C159" s="122"/>
      <c r="D159" s="48" t="s">
        <v>73</v>
      </c>
      <c r="E159" s="49"/>
      <c r="F159" s="50"/>
      <c r="G159" s="62"/>
      <c r="H159" s="48" t="s">
        <v>72</v>
      </c>
      <c r="I159" s="52">
        <v>1</v>
      </c>
      <c r="J159" s="52"/>
      <c r="K159" s="52" t="s">
        <v>73</v>
      </c>
      <c r="L159" s="52" t="s">
        <v>74</v>
      </c>
      <c r="M159" s="53" t="s">
        <v>917</v>
      </c>
      <c r="N159" s="58" t="s">
        <v>73</v>
      </c>
      <c r="O159" s="48" t="s">
        <v>72</v>
      </c>
      <c r="P159" s="48" t="s">
        <v>73</v>
      </c>
      <c r="Q159" s="54" t="s">
        <v>73</v>
      </c>
      <c r="R159" s="55" t="s">
        <v>73</v>
      </c>
      <c r="S159" s="48" t="s">
        <v>73</v>
      </c>
      <c r="T159" s="121" t="str" cm="1">
        <f t="array" ref="T159">IF(ISNUMBER(SEARCH("SCHNEIDER",D159)),_xlfn.IFS(ISNUMBER(SEARCH("2 Querétaro",D159)),"SQ2",ISNUMBER(SEARCH("Xicohténcatl",D159)),"SXC",ISNUMBER(SEARCH("Rojo Gómez",D159)),"SRG",ISNUMBER(SEARCH("Tlaxcala",D159)),"STX",ISNUMBER(SEARCH("Monterrey",D159)),"SMY",ISNUMBER(SEARCH("Querétaro",D159)),"SQ1",ISNUMBER(SEARCH("CDMX",D159)),"SCM",TRUE,""),"")</f>
        <v/>
      </c>
      <c r="U159" s="48" t="str" cm="1">
        <f t="array" ref="U159">_xlfn.LET(_xlpm.resultados,_xlfn.UNIQUE(_xlfn._xlws.FILTER(Tabla1[Proceso],(Tabla1[Metal Base]=O159)*(Tabla1[Etiquetas]=_xlfn.TEXTJOIN(" + ",TRUE,IF((TRIM(Upload!P159:S159)="")+(LOWER(TRIM(Upload!P159:S159))="(seleccione)"),"",PROPER(TRIM(Upload!P159:S159)))))*(Tabla1[Línea2]=IFERROR(VLOOKUP(Upload!N159&amp;"*",CAT_Procesos!D:D,1,FALSE),"")))),_xlpm.cantidad,ROWS(_xlpm.resultados),IF(ISERROR(_xlpm.cantidad),"Combinación no existente",IF(_xlpm.cantidad=1,INDEX(_xlpm.resultados,1),"(seleccione)")))</f>
        <v>Combinación no existente</v>
      </c>
      <c r="V159" s="55" t="s">
        <v>73</v>
      </c>
      <c r="W159" s="56" t="s">
        <v>73</v>
      </c>
      <c r="X159" s="57" t="str">
        <f t="shared" si="8"/>
        <v/>
      </c>
      <c r="Y159" s="58" t="s">
        <v>73</v>
      </c>
      <c r="Z159" s="57" t="str">
        <f t="shared" si="9"/>
        <v/>
      </c>
      <c r="AA159" s="58" t="s">
        <v>73</v>
      </c>
      <c r="AB159" s="57" t="str">
        <f t="shared" si="10"/>
        <v/>
      </c>
      <c r="AC159" s="58" t="s">
        <v>73</v>
      </c>
      <c r="AD159" s="57" t="str">
        <f t="shared" si="11"/>
        <v/>
      </c>
      <c r="AE159" s="59"/>
      <c r="AF159" s="59"/>
      <c r="AG159" s="59"/>
      <c r="AH159" s="59"/>
      <c r="AI159" s="59" t="s">
        <v>73</v>
      </c>
      <c r="AJ159" s="59"/>
      <c r="AK159" s="59" t="s">
        <v>73</v>
      </c>
      <c r="AL159" s="59"/>
      <c r="AM159" s="59" t="s">
        <v>73</v>
      </c>
      <c r="AN159" s="59"/>
      <c r="AO159" s="59" t="s">
        <v>73</v>
      </c>
      <c r="AP159" s="59"/>
      <c r="AQ159" s="59" t="s">
        <v>73</v>
      </c>
      <c r="AR159" s="59"/>
      <c r="AS159" s="59" t="s">
        <v>72</v>
      </c>
      <c r="AT159" s="59"/>
      <c r="AU159" s="59"/>
      <c r="AV159" s="59"/>
      <c r="AW159" s="59"/>
      <c r="AX159" s="59"/>
      <c r="AY159" s="60" t="str">
        <f>IF('Cálculo MP'!K169="","",'Cálculo MP'!K169)</f>
        <v/>
      </c>
      <c r="AZ159" s="60" t="str">
        <f>IF('Cálculo MP'!L169="","",'Cálculo MP'!L169)</f>
        <v/>
      </c>
      <c r="BA159" s="60" t="str">
        <f>IF('Cálculo MP'!M169="","",'Cálculo MP'!M169)</f>
        <v/>
      </c>
      <c r="BB159" s="60" t="str">
        <f>IF('Cálculo MP'!N169="","",'Cálculo MP'!N169)</f>
        <v/>
      </c>
      <c r="BC159" s="60" t="str">
        <f>IF('Cálculo MP'!O169="","",'Cálculo MP'!O169)</f>
        <v/>
      </c>
      <c r="BD159" s="60" t="str">
        <f>IF('Cálculo MP'!P169="","",'Cálculo MP'!P169)</f>
        <v/>
      </c>
      <c r="BE159" s="60" t="str">
        <f>IF('Cálculo MP'!Q169="","",'Cálculo MP'!Q169)</f>
        <v/>
      </c>
      <c r="BF159" s="60" t="str">
        <f>IF('Cálculo MP'!R169="","",'Cálculo MP'!R169)</f>
        <v/>
      </c>
      <c r="BG159" s="60" t="str">
        <f>IF('Cálculo MP'!S169="","",'Cálculo MP'!S169)</f>
        <v/>
      </c>
      <c r="BH159" s="59"/>
      <c r="BI159" s="59"/>
      <c r="BJ159" s="59"/>
      <c r="BK159" s="59"/>
      <c r="BL159" s="59"/>
      <c r="BM159" s="59"/>
      <c r="BN159" s="59"/>
      <c r="BO159" s="59"/>
    </row>
    <row r="160" spans="1:67" ht="19.5" customHeight="1" x14ac:dyDescent="0.2">
      <c r="A160" s="114" t="s">
        <v>1789</v>
      </c>
      <c r="B160" s="113" t="s">
        <v>1787</v>
      </c>
      <c r="C160" s="122"/>
      <c r="D160" s="48" t="s">
        <v>73</v>
      </c>
      <c r="E160" s="49"/>
      <c r="F160" s="50"/>
      <c r="G160" s="62"/>
      <c r="H160" s="48" t="s">
        <v>72</v>
      </c>
      <c r="I160" s="52">
        <v>1</v>
      </c>
      <c r="J160" s="52"/>
      <c r="K160" s="52" t="s">
        <v>73</v>
      </c>
      <c r="L160" s="52" t="s">
        <v>74</v>
      </c>
      <c r="M160" s="53" t="s">
        <v>917</v>
      </c>
      <c r="N160" s="58" t="s">
        <v>73</v>
      </c>
      <c r="O160" s="48" t="s">
        <v>72</v>
      </c>
      <c r="P160" s="48" t="s">
        <v>73</v>
      </c>
      <c r="Q160" s="54" t="s">
        <v>73</v>
      </c>
      <c r="R160" s="55" t="s">
        <v>73</v>
      </c>
      <c r="S160" s="48" t="s">
        <v>73</v>
      </c>
      <c r="T160" s="121" t="str" cm="1">
        <f t="array" ref="T160">IF(ISNUMBER(SEARCH("SCHNEIDER",D160)),_xlfn.IFS(ISNUMBER(SEARCH("2 Querétaro",D160)),"SQ2",ISNUMBER(SEARCH("Xicohténcatl",D160)),"SXC",ISNUMBER(SEARCH("Rojo Gómez",D160)),"SRG",ISNUMBER(SEARCH("Tlaxcala",D160)),"STX",ISNUMBER(SEARCH("Monterrey",D160)),"SMY",ISNUMBER(SEARCH("Querétaro",D160)),"SQ1",ISNUMBER(SEARCH("CDMX",D160)),"SCM",TRUE,""),"")</f>
        <v/>
      </c>
      <c r="U160" s="48" t="str" cm="1">
        <f t="array" ref="U160">_xlfn.LET(_xlpm.resultados,_xlfn.UNIQUE(_xlfn._xlws.FILTER(Tabla1[Proceso],(Tabla1[Metal Base]=O160)*(Tabla1[Etiquetas]=_xlfn.TEXTJOIN(" + ",TRUE,IF((TRIM(Upload!P160:S160)="")+(LOWER(TRIM(Upload!P160:S160))="(seleccione)"),"",PROPER(TRIM(Upload!P160:S160)))))*(Tabla1[Línea2]=IFERROR(VLOOKUP(Upload!N160&amp;"*",CAT_Procesos!D:D,1,FALSE),"")))),_xlpm.cantidad,ROWS(_xlpm.resultados),IF(ISERROR(_xlpm.cantidad),"Combinación no existente",IF(_xlpm.cantidad=1,INDEX(_xlpm.resultados,1),"(seleccione)")))</f>
        <v>Combinación no existente</v>
      </c>
      <c r="V160" s="55" t="s">
        <v>73</v>
      </c>
      <c r="W160" s="56" t="s">
        <v>73</v>
      </c>
      <c r="X160" s="57" t="str">
        <f t="shared" si="8"/>
        <v/>
      </c>
      <c r="Y160" s="58" t="s">
        <v>73</v>
      </c>
      <c r="Z160" s="57" t="str">
        <f t="shared" si="9"/>
        <v/>
      </c>
      <c r="AA160" s="58" t="s">
        <v>73</v>
      </c>
      <c r="AB160" s="57" t="str">
        <f t="shared" si="10"/>
        <v/>
      </c>
      <c r="AC160" s="58" t="s">
        <v>73</v>
      </c>
      <c r="AD160" s="57" t="str">
        <f t="shared" si="11"/>
        <v/>
      </c>
      <c r="AE160" s="59"/>
      <c r="AF160" s="59"/>
      <c r="AG160" s="59"/>
      <c r="AH160" s="59"/>
      <c r="AI160" s="59" t="s">
        <v>73</v>
      </c>
      <c r="AJ160" s="59"/>
      <c r="AK160" s="59" t="s">
        <v>73</v>
      </c>
      <c r="AL160" s="59"/>
      <c r="AM160" s="59" t="s">
        <v>73</v>
      </c>
      <c r="AN160" s="59"/>
      <c r="AO160" s="59" t="s">
        <v>73</v>
      </c>
      <c r="AP160" s="59"/>
      <c r="AQ160" s="59" t="s">
        <v>73</v>
      </c>
      <c r="AR160" s="59"/>
      <c r="AS160" s="59" t="s">
        <v>72</v>
      </c>
      <c r="AT160" s="59"/>
      <c r="AU160" s="59"/>
      <c r="AV160" s="59"/>
      <c r="AW160" s="59"/>
      <c r="AX160" s="59"/>
      <c r="AY160" s="60" t="str">
        <f>IF('Cálculo MP'!K170="","",'Cálculo MP'!K170)</f>
        <v/>
      </c>
      <c r="AZ160" s="60" t="str">
        <f>IF('Cálculo MP'!L170="","",'Cálculo MP'!L170)</f>
        <v/>
      </c>
      <c r="BA160" s="60" t="str">
        <f>IF('Cálculo MP'!M170="","",'Cálculo MP'!M170)</f>
        <v/>
      </c>
      <c r="BB160" s="60" t="str">
        <f>IF('Cálculo MP'!N170="","",'Cálculo MP'!N170)</f>
        <v/>
      </c>
      <c r="BC160" s="60" t="str">
        <f>IF('Cálculo MP'!O170="","",'Cálculo MP'!O170)</f>
        <v/>
      </c>
      <c r="BD160" s="60" t="str">
        <f>IF('Cálculo MP'!P170="","",'Cálculo MP'!P170)</f>
        <v/>
      </c>
      <c r="BE160" s="60" t="str">
        <f>IF('Cálculo MP'!Q170="","",'Cálculo MP'!Q170)</f>
        <v/>
      </c>
      <c r="BF160" s="60" t="str">
        <f>IF('Cálculo MP'!R170="","",'Cálculo MP'!R170)</f>
        <v/>
      </c>
      <c r="BG160" s="60" t="str">
        <f>IF('Cálculo MP'!S170="","",'Cálculo MP'!S170)</f>
        <v/>
      </c>
      <c r="BH160" s="59"/>
      <c r="BI160" s="59"/>
      <c r="BJ160" s="59"/>
      <c r="BK160" s="59"/>
      <c r="BL160" s="59"/>
      <c r="BM160" s="59"/>
      <c r="BN160" s="59"/>
      <c r="BO160" s="59"/>
    </row>
    <row r="161" spans="1:67" ht="19.5" customHeight="1" x14ac:dyDescent="0.2">
      <c r="A161" s="114" t="s">
        <v>1789</v>
      </c>
      <c r="B161" s="113" t="s">
        <v>1787</v>
      </c>
      <c r="C161" s="122"/>
      <c r="D161" s="48" t="s">
        <v>73</v>
      </c>
      <c r="E161" s="49"/>
      <c r="F161" s="50"/>
      <c r="G161" s="62"/>
      <c r="H161" s="48" t="s">
        <v>72</v>
      </c>
      <c r="I161" s="52">
        <v>1</v>
      </c>
      <c r="J161" s="52"/>
      <c r="K161" s="52" t="s">
        <v>73</v>
      </c>
      <c r="L161" s="52" t="s">
        <v>74</v>
      </c>
      <c r="M161" s="53" t="s">
        <v>917</v>
      </c>
      <c r="N161" s="58" t="s">
        <v>73</v>
      </c>
      <c r="O161" s="48" t="s">
        <v>72</v>
      </c>
      <c r="P161" s="48" t="s">
        <v>73</v>
      </c>
      <c r="Q161" s="54" t="s">
        <v>73</v>
      </c>
      <c r="R161" s="55" t="s">
        <v>73</v>
      </c>
      <c r="S161" s="48" t="s">
        <v>73</v>
      </c>
      <c r="T161" s="121" t="str" cm="1">
        <f t="array" ref="T161">IF(ISNUMBER(SEARCH("SCHNEIDER",D161)),_xlfn.IFS(ISNUMBER(SEARCH("2 Querétaro",D161)),"SQ2",ISNUMBER(SEARCH("Xicohténcatl",D161)),"SXC",ISNUMBER(SEARCH("Rojo Gómez",D161)),"SRG",ISNUMBER(SEARCH("Tlaxcala",D161)),"STX",ISNUMBER(SEARCH("Monterrey",D161)),"SMY",ISNUMBER(SEARCH("Querétaro",D161)),"SQ1",ISNUMBER(SEARCH("CDMX",D161)),"SCM",TRUE,""),"")</f>
        <v/>
      </c>
      <c r="U161" s="48" t="str" cm="1">
        <f t="array" ref="U161">_xlfn.LET(_xlpm.resultados,_xlfn.UNIQUE(_xlfn._xlws.FILTER(Tabla1[Proceso],(Tabla1[Metal Base]=O161)*(Tabla1[Etiquetas]=_xlfn.TEXTJOIN(" + ",TRUE,IF((TRIM(Upload!P161:S161)="")+(LOWER(TRIM(Upload!P161:S161))="(seleccione)"),"",PROPER(TRIM(Upload!P161:S161)))))*(Tabla1[Línea2]=IFERROR(VLOOKUP(Upload!N161&amp;"*",CAT_Procesos!D:D,1,FALSE),"")))),_xlpm.cantidad,ROWS(_xlpm.resultados),IF(ISERROR(_xlpm.cantidad),"Combinación no existente",IF(_xlpm.cantidad=1,INDEX(_xlpm.resultados,1),"(seleccione)")))</f>
        <v>Combinación no existente</v>
      </c>
      <c r="V161" s="55" t="s">
        <v>73</v>
      </c>
      <c r="W161" s="56" t="s">
        <v>73</v>
      </c>
      <c r="X161" s="57" t="str">
        <f t="shared" si="8"/>
        <v/>
      </c>
      <c r="Y161" s="58" t="s">
        <v>73</v>
      </c>
      <c r="Z161" s="57" t="str">
        <f t="shared" si="9"/>
        <v/>
      </c>
      <c r="AA161" s="58" t="s">
        <v>73</v>
      </c>
      <c r="AB161" s="57" t="str">
        <f t="shared" si="10"/>
        <v/>
      </c>
      <c r="AC161" s="58" t="s">
        <v>73</v>
      </c>
      <c r="AD161" s="57" t="str">
        <f t="shared" si="11"/>
        <v/>
      </c>
      <c r="AE161" s="59"/>
      <c r="AF161" s="59"/>
      <c r="AG161" s="59"/>
      <c r="AH161" s="59"/>
      <c r="AI161" s="59" t="s">
        <v>73</v>
      </c>
      <c r="AJ161" s="59"/>
      <c r="AK161" s="59" t="s">
        <v>73</v>
      </c>
      <c r="AL161" s="59"/>
      <c r="AM161" s="59" t="s">
        <v>73</v>
      </c>
      <c r="AN161" s="59"/>
      <c r="AO161" s="59" t="s">
        <v>73</v>
      </c>
      <c r="AP161" s="59"/>
      <c r="AQ161" s="59" t="s">
        <v>73</v>
      </c>
      <c r="AR161" s="59"/>
      <c r="AS161" s="59" t="s">
        <v>72</v>
      </c>
      <c r="AT161" s="59"/>
      <c r="AU161" s="59"/>
      <c r="AV161" s="59"/>
      <c r="AW161" s="59"/>
      <c r="AX161" s="59"/>
      <c r="AY161" s="60" t="str">
        <f>IF('Cálculo MP'!K171="","",'Cálculo MP'!K171)</f>
        <v/>
      </c>
      <c r="AZ161" s="60" t="str">
        <f>IF('Cálculo MP'!L171="","",'Cálculo MP'!L171)</f>
        <v/>
      </c>
      <c r="BA161" s="60" t="str">
        <f>IF('Cálculo MP'!M171="","",'Cálculo MP'!M171)</f>
        <v/>
      </c>
      <c r="BB161" s="60" t="str">
        <f>IF('Cálculo MP'!N171="","",'Cálculo MP'!N171)</f>
        <v/>
      </c>
      <c r="BC161" s="60" t="str">
        <f>IF('Cálculo MP'!O171="","",'Cálculo MP'!O171)</f>
        <v/>
      </c>
      <c r="BD161" s="60" t="str">
        <f>IF('Cálculo MP'!P171="","",'Cálculo MP'!P171)</f>
        <v/>
      </c>
      <c r="BE161" s="60" t="str">
        <f>IF('Cálculo MP'!Q171="","",'Cálculo MP'!Q171)</f>
        <v/>
      </c>
      <c r="BF161" s="60" t="str">
        <f>IF('Cálculo MP'!R171="","",'Cálculo MP'!R171)</f>
        <v/>
      </c>
      <c r="BG161" s="60" t="str">
        <f>IF('Cálculo MP'!S171="","",'Cálculo MP'!S171)</f>
        <v/>
      </c>
      <c r="BH161" s="59"/>
      <c r="BI161" s="59"/>
      <c r="BJ161" s="59"/>
      <c r="BK161" s="59"/>
      <c r="BL161" s="59"/>
      <c r="BM161" s="59"/>
      <c r="BN161" s="59"/>
      <c r="BO161" s="59"/>
    </row>
    <row r="162" spans="1:67" ht="19.5" customHeight="1" x14ac:dyDescent="0.2">
      <c r="A162" s="114" t="s">
        <v>1789</v>
      </c>
      <c r="B162" s="113" t="s">
        <v>1787</v>
      </c>
      <c r="C162" s="122"/>
      <c r="D162" s="48" t="s">
        <v>73</v>
      </c>
      <c r="E162" s="49"/>
      <c r="F162" s="50"/>
      <c r="G162" s="62"/>
      <c r="H162" s="48" t="s">
        <v>72</v>
      </c>
      <c r="I162" s="52">
        <v>1</v>
      </c>
      <c r="J162" s="52"/>
      <c r="K162" s="52" t="s">
        <v>73</v>
      </c>
      <c r="L162" s="52" t="s">
        <v>74</v>
      </c>
      <c r="M162" s="53" t="s">
        <v>917</v>
      </c>
      <c r="N162" s="58" t="s">
        <v>73</v>
      </c>
      <c r="O162" s="48" t="s">
        <v>72</v>
      </c>
      <c r="P162" s="48" t="s">
        <v>73</v>
      </c>
      <c r="Q162" s="54" t="s">
        <v>73</v>
      </c>
      <c r="R162" s="55" t="s">
        <v>73</v>
      </c>
      <c r="S162" s="48" t="s">
        <v>73</v>
      </c>
      <c r="T162" s="121" t="str" cm="1">
        <f t="array" ref="T162">IF(ISNUMBER(SEARCH("SCHNEIDER",D162)),_xlfn.IFS(ISNUMBER(SEARCH("2 Querétaro",D162)),"SQ2",ISNUMBER(SEARCH("Xicohténcatl",D162)),"SXC",ISNUMBER(SEARCH("Rojo Gómez",D162)),"SRG",ISNUMBER(SEARCH("Tlaxcala",D162)),"STX",ISNUMBER(SEARCH("Monterrey",D162)),"SMY",ISNUMBER(SEARCH("Querétaro",D162)),"SQ1",ISNUMBER(SEARCH("CDMX",D162)),"SCM",TRUE,""),"")</f>
        <v/>
      </c>
      <c r="U162" s="48" t="str" cm="1">
        <f t="array" ref="U162">_xlfn.LET(_xlpm.resultados,_xlfn.UNIQUE(_xlfn._xlws.FILTER(Tabla1[Proceso],(Tabla1[Metal Base]=O162)*(Tabla1[Etiquetas]=_xlfn.TEXTJOIN(" + ",TRUE,IF((TRIM(Upload!P162:S162)="")+(LOWER(TRIM(Upload!P162:S162))="(seleccione)"),"",PROPER(TRIM(Upload!P162:S162)))))*(Tabla1[Línea2]=IFERROR(VLOOKUP(Upload!N162&amp;"*",CAT_Procesos!D:D,1,FALSE),"")))),_xlpm.cantidad,ROWS(_xlpm.resultados),IF(ISERROR(_xlpm.cantidad),"Combinación no existente",IF(_xlpm.cantidad=1,INDEX(_xlpm.resultados,1),"(seleccione)")))</f>
        <v>Combinación no existente</v>
      </c>
      <c r="V162" s="55" t="s">
        <v>73</v>
      </c>
      <c r="W162" s="56" t="s">
        <v>73</v>
      </c>
      <c r="X162" s="57" t="str">
        <f t="shared" si="8"/>
        <v/>
      </c>
      <c r="Y162" s="58" t="s">
        <v>73</v>
      </c>
      <c r="Z162" s="57" t="str">
        <f t="shared" si="9"/>
        <v/>
      </c>
      <c r="AA162" s="58" t="s">
        <v>73</v>
      </c>
      <c r="AB162" s="57" t="str">
        <f t="shared" si="10"/>
        <v/>
      </c>
      <c r="AC162" s="58" t="s">
        <v>73</v>
      </c>
      <c r="AD162" s="57" t="str">
        <f t="shared" si="11"/>
        <v/>
      </c>
      <c r="AE162" s="59"/>
      <c r="AF162" s="59"/>
      <c r="AG162" s="59"/>
      <c r="AH162" s="59"/>
      <c r="AI162" s="59" t="s">
        <v>73</v>
      </c>
      <c r="AJ162" s="59"/>
      <c r="AK162" s="59" t="s">
        <v>73</v>
      </c>
      <c r="AL162" s="59"/>
      <c r="AM162" s="59" t="s">
        <v>73</v>
      </c>
      <c r="AN162" s="59"/>
      <c r="AO162" s="59" t="s">
        <v>73</v>
      </c>
      <c r="AP162" s="59"/>
      <c r="AQ162" s="59" t="s">
        <v>73</v>
      </c>
      <c r="AR162" s="59"/>
      <c r="AS162" s="59" t="s">
        <v>72</v>
      </c>
      <c r="AT162" s="59"/>
      <c r="AU162" s="59"/>
      <c r="AV162" s="59"/>
      <c r="AW162" s="59"/>
      <c r="AX162" s="59"/>
      <c r="AY162" s="60" t="str">
        <f>IF('Cálculo MP'!K172="","",'Cálculo MP'!K172)</f>
        <v/>
      </c>
      <c r="AZ162" s="60" t="str">
        <f>IF('Cálculo MP'!L172="","",'Cálculo MP'!L172)</f>
        <v/>
      </c>
      <c r="BA162" s="60" t="str">
        <f>IF('Cálculo MP'!M172="","",'Cálculo MP'!M172)</f>
        <v/>
      </c>
      <c r="BB162" s="60" t="str">
        <f>IF('Cálculo MP'!N172="","",'Cálculo MP'!N172)</f>
        <v/>
      </c>
      <c r="BC162" s="60" t="str">
        <f>IF('Cálculo MP'!O172="","",'Cálculo MP'!O172)</f>
        <v/>
      </c>
      <c r="BD162" s="60" t="str">
        <f>IF('Cálculo MP'!P172="","",'Cálculo MP'!P172)</f>
        <v/>
      </c>
      <c r="BE162" s="60" t="str">
        <f>IF('Cálculo MP'!Q172="","",'Cálculo MP'!Q172)</f>
        <v/>
      </c>
      <c r="BF162" s="60" t="str">
        <f>IF('Cálculo MP'!R172="","",'Cálculo MP'!R172)</f>
        <v/>
      </c>
      <c r="BG162" s="60" t="str">
        <f>IF('Cálculo MP'!S172="","",'Cálculo MP'!S172)</f>
        <v/>
      </c>
      <c r="BH162" s="59"/>
      <c r="BI162" s="59"/>
      <c r="BJ162" s="59"/>
      <c r="BK162" s="59"/>
      <c r="BL162" s="59"/>
      <c r="BM162" s="59"/>
      <c r="BN162" s="59"/>
      <c r="BO162" s="59"/>
    </row>
    <row r="163" spans="1:67" ht="19.5" customHeight="1" x14ac:dyDescent="0.2">
      <c r="A163" s="114" t="s">
        <v>1789</v>
      </c>
      <c r="B163" s="113" t="s">
        <v>1787</v>
      </c>
      <c r="C163" s="122"/>
      <c r="D163" s="48" t="s">
        <v>73</v>
      </c>
      <c r="E163" s="49"/>
      <c r="F163" s="50"/>
      <c r="G163" s="62"/>
      <c r="H163" s="48" t="s">
        <v>72</v>
      </c>
      <c r="I163" s="52">
        <v>1</v>
      </c>
      <c r="J163" s="52"/>
      <c r="K163" s="52" t="s">
        <v>73</v>
      </c>
      <c r="L163" s="52" t="s">
        <v>74</v>
      </c>
      <c r="M163" s="53" t="s">
        <v>917</v>
      </c>
      <c r="N163" s="58" t="s">
        <v>73</v>
      </c>
      <c r="O163" s="48" t="s">
        <v>72</v>
      </c>
      <c r="P163" s="48" t="s">
        <v>73</v>
      </c>
      <c r="Q163" s="54" t="s">
        <v>73</v>
      </c>
      <c r="R163" s="55" t="s">
        <v>73</v>
      </c>
      <c r="S163" s="48" t="s">
        <v>73</v>
      </c>
      <c r="T163" s="121" t="str" cm="1">
        <f t="array" ref="T163">IF(ISNUMBER(SEARCH("SCHNEIDER",D163)),_xlfn.IFS(ISNUMBER(SEARCH("2 Querétaro",D163)),"SQ2",ISNUMBER(SEARCH("Xicohténcatl",D163)),"SXC",ISNUMBER(SEARCH("Rojo Gómez",D163)),"SRG",ISNUMBER(SEARCH("Tlaxcala",D163)),"STX",ISNUMBER(SEARCH("Monterrey",D163)),"SMY",ISNUMBER(SEARCH("Querétaro",D163)),"SQ1",ISNUMBER(SEARCH("CDMX",D163)),"SCM",TRUE,""),"")</f>
        <v/>
      </c>
      <c r="U163" s="48" t="str" cm="1">
        <f t="array" ref="U163">_xlfn.LET(_xlpm.resultados,_xlfn.UNIQUE(_xlfn._xlws.FILTER(Tabla1[Proceso],(Tabla1[Metal Base]=O163)*(Tabla1[Etiquetas]=_xlfn.TEXTJOIN(" + ",TRUE,IF((TRIM(Upload!P163:S163)="")+(LOWER(TRIM(Upload!P163:S163))="(seleccione)"),"",PROPER(TRIM(Upload!P163:S163)))))*(Tabla1[Línea2]=IFERROR(VLOOKUP(Upload!N163&amp;"*",CAT_Procesos!D:D,1,FALSE),"")))),_xlpm.cantidad,ROWS(_xlpm.resultados),IF(ISERROR(_xlpm.cantidad),"Combinación no existente",IF(_xlpm.cantidad=1,INDEX(_xlpm.resultados,1),"(seleccione)")))</f>
        <v>Combinación no existente</v>
      </c>
      <c r="V163" s="55" t="s">
        <v>73</v>
      </c>
      <c r="W163" s="56" t="s">
        <v>73</v>
      </c>
      <c r="X163" s="57" t="str">
        <f t="shared" si="8"/>
        <v/>
      </c>
      <c r="Y163" s="58" t="s">
        <v>73</v>
      </c>
      <c r="Z163" s="57" t="str">
        <f t="shared" si="9"/>
        <v/>
      </c>
      <c r="AA163" s="58" t="s">
        <v>73</v>
      </c>
      <c r="AB163" s="57" t="str">
        <f t="shared" si="10"/>
        <v/>
      </c>
      <c r="AC163" s="58" t="s">
        <v>73</v>
      </c>
      <c r="AD163" s="57" t="str">
        <f t="shared" si="11"/>
        <v/>
      </c>
      <c r="AE163" s="59"/>
      <c r="AF163" s="59"/>
      <c r="AG163" s="59"/>
      <c r="AH163" s="59"/>
      <c r="AI163" s="59" t="s">
        <v>73</v>
      </c>
      <c r="AJ163" s="59"/>
      <c r="AK163" s="59" t="s">
        <v>73</v>
      </c>
      <c r="AL163" s="59"/>
      <c r="AM163" s="59" t="s">
        <v>73</v>
      </c>
      <c r="AN163" s="59"/>
      <c r="AO163" s="59" t="s">
        <v>73</v>
      </c>
      <c r="AP163" s="59"/>
      <c r="AQ163" s="59" t="s">
        <v>73</v>
      </c>
      <c r="AR163" s="59"/>
      <c r="AS163" s="59" t="s">
        <v>72</v>
      </c>
      <c r="AT163" s="59"/>
      <c r="AU163" s="59"/>
      <c r="AV163" s="59"/>
      <c r="AW163" s="59"/>
      <c r="AX163" s="59"/>
      <c r="AY163" s="60" t="str">
        <f>IF('Cálculo MP'!K173="","",'Cálculo MP'!K173)</f>
        <v/>
      </c>
      <c r="AZ163" s="60" t="str">
        <f>IF('Cálculo MP'!L173="","",'Cálculo MP'!L173)</f>
        <v/>
      </c>
      <c r="BA163" s="60" t="str">
        <f>IF('Cálculo MP'!M173="","",'Cálculo MP'!M173)</f>
        <v/>
      </c>
      <c r="BB163" s="60" t="str">
        <f>IF('Cálculo MP'!N173="","",'Cálculo MP'!N173)</f>
        <v/>
      </c>
      <c r="BC163" s="60" t="str">
        <f>IF('Cálculo MP'!O173="","",'Cálculo MP'!O173)</f>
        <v/>
      </c>
      <c r="BD163" s="60" t="str">
        <f>IF('Cálculo MP'!P173="","",'Cálculo MP'!P173)</f>
        <v/>
      </c>
      <c r="BE163" s="60" t="str">
        <f>IF('Cálculo MP'!Q173="","",'Cálculo MP'!Q173)</f>
        <v/>
      </c>
      <c r="BF163" s="60" t="str">
        <f>IF('Cálculo MP'!R173="","",'Cálculo MP'!R173)</f>
        <v/>
      </c>
      <c r="BG163" s="60" t="str">
        <f>IF('Cálculo MP'!S173="","",'Cálculo MP'!S173)</f>
        <v/>
      </c>
      <c r="BH163" s="59"/>
      <c r="BI163" s="59"/>
      <c r="BJ163" s="59"/>
      <c r="BK163" s="59"/>
      <c r="BL163" s="59"/>
      <c r="BM163" s="59"/>
      <c r="BN163" s="59"/>
      <c r="BO163" s="59"/>
    </row>
    <row r="164" spans="1:67" ht="19.5" customHeight="1" x14ac:dyDescent="0.2">
      <c r="A164" s="114" t="s">
        <v>1789</v>
      </c>
      <c r="B164" s="113" t="s">
        <v>1787</v>
      </c>
      <c r="C164" s="122"/>
      <c r="D164" s="48" t="s">
        <v>73</v>
      </c>
      <c r="E164" s="49"/>
      <c r="F164" s="50"/>
      <c r="G164" s="62"/>
      <c r="H164" s="48" t="s">
        <v>72</v>
      </c>
      <c r="I164" s="52">
        <v>1</v>
      </c>
      <c r="J164" s="52"/>
      <c r="K164" s="52" t="s">
        <v>73</v>
      </c>
      <c r="L164" s="52" t="s">
        <v>74</v>
      </c>
      <c r="M164" s="53" t="s">
        <v>917</v>
      </c>
      <c r="N164" s="58" t="s">
        <v>73</v>
      </c>
      <c r="O164" s="48" t="s">
        <v>72</v>
      </c>
      <c r="P164" s="48" t="s">
        <v>73</v>
      </c>
      <c r="Q164" s="54" t="s">
        <v>73</v>
      </c>
      <c r="R164" s="55" t="s">
        <v>73</v>
      </c>
      <c r="S164" s="48" t="s">
        <v>73</v>
      </c>
      <c r="T164" s="121" t="str" cm="1">
        <f t="array" ref="T164">IF(ISNUMBER(SEARCH("SCHNEIDER",D164)),_xlfn.IFS(ISNUMBER(SEARCH("2 Querétaro",D164)),"SQ2",ISNUMBER(SEARCH("Xicohténcatl",D164)),"SXC",ISNUMBER(SEARCH("Rojo Gómez",D164)),"SRG",ISNUMBER(SEARCH("Tlaxcala",D164)),"STX",ISNUMBER(SEARCH("Monterrey",D164)),"SMY",ISNUMBER(SEARCH("Querétaro",D164)),"SQ1",ISNUMBER(SEARCH("CDMX",D164)),"SCM",TRUE,""),"")</f>
        <v/>
      </c>
      <c r="U164" s="48" t="str" cm="1">
        <f t="array" ref="U164">_xlfn.LET(_xlpm.resultados,_xlfn.UNIQUE(_xlfn._xlws.FILTER(Tabla1[Proceso],(Tabla1[Metal Base]=O164)*(Tabla1[Etiquetas]=_xlfn.TEXTJOIN(" + ",TRUE,IF((TRIM(Upload!P164:S164)="")+(LOWER(TRIM(Upload!P164:S164))="(seleccione)"),"",PROPER(TRIM(Upload!P164:S164)))))*(Tabla1[Línea2]=IFERROR(VLOOKUP(Upload!N164&amp;"*",CAT_Procesos!D:D,1,FALSE),"")))),_xlpm.cantidad,ROWS(_xlpm.resultados),IF(ISERROR(_xlpm.cantidad),"Combinación no existente",IF(_xlpm.cantidad=1,INDEX(_xlpm.resultados,1),"(seleccione)")))</f>
        <v>Combinación no existente</v>
      </c>
      <c r="V164" s="55" t="s">
        <v>73</v>
      </c>
      <c r="W164" s="56" t="s">
        <v>73</v>
      </c>
      <c r="X164" s="57" t="str">
        <f t="shared" si="8"/>
        <v/>
      </c>
      <c r="Y164" s="58" t="s">
        <v>73</v>
      </c>
      <c r="Z164" s="57" t="str">
        <f t="shared" si="9"/>
        <v/>
      </c>
      <c r="AA164" s="58" t="s">
        <v>73</v>
      </c>
      <c r="AB164" s="57" t="str">
        <f t="shared" si="10"/>
        <v/>
      </c>
      <c r="AC164" s="58" t="s">
        <v>73</v>
      </c>
      <c r="AD164" s="57" t="str">
        <f t="shared" si="11"/>
        <v/>
      </c>
      <c r="AE164" s="59"/>
      <c r="AF164" s="59"/>
      <c r="AG164" s="59"/>
      <c r="AH164" s="59"/>
      <c r="AI164" s="59" t="s">
        <v>73</v>
      </c>
      <c r="AJ164" s="59"/>
      <c r="AK164" s="59" t="s">
        <v>73</v>
      </c>
      <c r="AL164" s="59"/>
      <c r="AM164" s="59" t="s">
        <v>73</v>
      </c>
      <c r="AN164" s="59"/>
      <c r="AO164" s="59" t="s">
        <v>73</v>
      </c>
      <c r="AP164" s="59"/>
      <c r="AQ164" s="59" t="s">
        <v>73</v>
      </c>
      <c r="AR164" s="59"/>
      <c r="AS164" s="59" t="s">
        <v>72</v>
      </c>
      <c r="AT164" s="59"/>
      <c r="AU164" s="59"/>
      <c r="AV164" s="59"/>
      <c r="AW164" s="59"/>
      <c r="AX164" s="59"/>
      <c r="AY164" s="60" t="str">
        <f>IF('Cálculo MP'!K174="","",'Cálculo MP'!K174)</f>
        <v/>
      </c>
      <c r="AZ164" s="60" t="str">
        <f>IF('Cálculo MP'!L174="","",'Cálculo MP'!L174)</f>
        <v/>
      </c>
      <c r="BA164" s="60" t="str">
        <f>IF('Cálculo MP'!M174="","",'Cálculo MP'!M174)</f>
        <v/>
      </c>
      <c r="BB164" s="60" t="str">
        <f>IF('Cálculo MP'!N174="","",'Cálculo MP'!N174)</f>
        <v/>
      </c>
      <c r="BC164" s="60" t="str">
        <f>IF('Cálculo MP'!O174="","",'Cálculo MP'!O174)</f>
        <v/>
      </c>
      <c r="BD164" s="60" t="str">
        <f>IF('Cálculo MP'!P174="","",'Cálculo MP'!P174)</f>
        <v/>
      </c>
      <c r="BE164" s="60" t="str">
        <f>IF('Cálculo MP'!Q174="","",'Cálculo MP'!Q174)</f>
        <v/>
      </c>
      <c r="BF164" s="60" t="str">
        <f>IF('Cálculo MP'!R174="","",'Cálculo MP'!R174)</f>
        <v/>
      </c>
      <c r="BG164" s="60" t="str">
        <f>IF('Cálculo MP'!S174="","",'Cálculo MP'!S174)</f>
        <v/>
      </c>
      <c r="BH164" s="59"/>
      <c r="BI164" s="59"/>
      <c r="BJ164" s="59"/>
      <c r="BK164" s="59"/>
      <c r="BL164" s="59"/>
      <c r="BM164" s="59"/>
      <c r="BN164" s="59"/>
      <c r="BO164" s="59"/>
    </row>
    <row r="165" spans="1:67" ht="19.5" customHeight="1" x14ac:dyDescent="0.2">
      <c r="A165" s="114" t="s">
        <v>1789</v>
      </c>
      <c r="B165" s="113" t="s">
        <v>1787</v>
      </c>
      <c r="C165" s="122"/>
      <c r="D165" s="48" t="s">
        <v>73</v>
      </c>
      <c r="E165" s="49"/>
      <c r="F165" s="50"/>
      <c r="G165" s="62"/>
      <c r="H165" s="48" t="s">
        <v>72</v>
      </c>
      <c r="I165" s="52">
        <v>1</v>
      </c>
      <c r="J165" s="52"/>
      <c r="K165" s="52" t="s">
        <v>73</v>
      </c>
      <c r="L165" s="52" t="s">
        <v>74</v>
      </c>
      <c r="M165" s="53" t="s">
        <v>917</v>
      </c>
      <c r="N165" s="58" t="s">
        <v>73</v>
      </c>
      <c r="O165" s="48" t="s">
        <v>72</v>
      </c>
      <c r="P165" s="48" t="s">
        <v>73</v>
      </c>
      <c r="Q165" s="54" t="s">
        <v>73</v>
      </c>
      <c r="R165" s="55" t="s">
        <v>73</v>
      </c>
      <c r="S165" s="48" t="s">
        <v>73</v>
      </c>
      <c r="T165" s="121" t="str" cm="1">
        <f t="array" ref="T165">IF(ISNUMBER(SEARCH("SCHNEIDER",D165)),_xlfn.IFS(ISNUMBER(SEARCH("2 Querétaro",D165)),"SQ2",ISNUMBER(SEARCH("Xicohténcatl",D165)),"SXC",ISNUMBER(SEARCH("Rojo Gómez",D165)),"SRG",ISNUMBER(SEARCH("Tlaxcala",D165)),"STX",ISNUMBER(SEARCH("Monterrey",D165)),"SMY",ISNUMBER(SEARCH("Querétaro",D165)),"SQ1",ISNUMBER(SEARCH("CDMX",D165)),"SCM",TRUE,""),"")</f>
        <v/>
      </c>
      <c r="U165" s="48" t="str" cm="1">
        <f t="array" ref="U165">_xlfn.LET(_xlpm.resultados,_xlfn.UNIQUE(_xlfn._xlws.FILTER(Tabla1[Proceso],(Tabla1[Metal Base]=O165)*(Tabla1[Etiquetas]=_xlfn.TEXTJOIN(" + ",TRUE,IF((TRIM(Upload!P165:S165)="")+(LOWER(TRIM(Upload!P165:S165))="(seleccione)"),"",PROPER(TRIM(Upload!P165:S165)))))*(Tabla1[Línea2]=IFERROR(VLOOKUP(Upload!N165&amp;"*",CAT_Procesos!D:D,1,FALSE),"")))),_xlpm.cantidad,ROWS(_xlpm.resultados),IF(ISERROR(_xlpm.cantidad),"Combinación no existente",IF(_xlpm.cantidad=1,INDEX(_xlpm.resultados,1),"(seleccione)")))</f>
        <v>Combinación no existente</v>
      </c>
      <c r="V165" s="55" t="s">
        <v>73</v>
      </c>
      <c r="W165" s="56" t="s">
        <v>73</v>
      </c>
      <c r="X165" s="57" t="str">
        <f t="shared" si="8"/>
        <v/>
      </c>
      <c r="Y165" s="58" t="s">
        <v>73</v>
      </c>
      <c r="Z165" s="57" t="str">
        <f t="shared" si="9"/>
        <v/>
      </c>
      <c r="AA165" s="58" t="s">
        <v>73</v>
      </c>
      <c r="AB165" s="57" t="str">
        <f t="shared" si="10"/>
        <v/>
      </c>
      <c r="AC165" s="58" t="s">
        <v>73</v>
      </c>
      <c r="AD165" s="57" t="str">
        <f t="shared" si="11"/>
        <v/>
      </c>
      <c r="AE165" s="59"/>
      <c r="AF165" s="59"/>
      <c r="AG165" s="59"/>
      <c r="AH165" s="59"/>
      <c r="AI165" s="59" t="s">
        <v>73</v>
      </c>
      <c r="AJ165" s="59"/>
      <c r="AK165" s="59" t="s">
        <v>73</v>
      </c>
      <c r="AL165" s="59"/>
      <c r="AM165" s="59" t="s">
        <v>73</v>
      </c>
      <c r="AN165" s="59"/>
      <c r="AO165" s="59" t="s">
        <v>73</v>
      </c>
      <c r="AP165" s="59"/>
      <c r="AQ165" s="59" t="s">
        <v>73</v>
      </c>
      <c r="AR165" s="59"/>
      <c r="AS165" s="59" t="s">
        <v>72</v>
      </c>
      <c r="AT165" s="59"/>
      <c r="AU165" s="59"/>
      <c r="AV165" s="59"/>
      <c r="AW165" s="59"/>
      <c r="AX165" s="59"/>
      <c r="AY165" s="60" t="str">
        <f>IF('Cálculo MP'!K175="","",'Cálculo MP'!K175)</f>
        <v/>
      </c>
      <c r="AZ165" s="60" t="str">
        <f>IF('Cálculo MP'!L175="","",'Cálculo MP'!L175)</f>
        <v/>
      </c>
      <c r="BA165" s="60" t="str">
        <f>IF('Cálculo MP'!M175="","",'Cálculo MP'!M175)</f>
        <v/>
      </c>
      <c r="BB165" s="60" t="str">
        <f>IF('Cálculo MP'!N175="","",'Cálculo MP'!N175)</f>
        <v/>
      </c>
      <c r="BC165" s="60" t="str">
        <f>IF('Cálculo MP'!O175="","",'Cálculo MP'!O175)</f>
        <v/>
      </c>
      <c r="BD165" s="60" t="str">
        <f>IF('Cálculo MP'!P175="","",'Cálculo MP'!P175)</f>
        <v/>
      </c>
      <c r="BE165" s="60" t="str">
        <f>IF('Cálculo MP'!Q175="","",'Cálculo MP'!Q175)</f>
        <v/>
      </c>
      <c r="BF165" s="60" t="str">
        <f>IF('Cálculo MP'!R175="","",'Cálculo MP'!R175)</f>
        <v/>
      </c>
      <c r="BG165" s="60" t="str">
        <f>IF('Cálculo MP'!S175="","",'Cálculo MP'!S175)</f>
        <v/>
      </c>
      <c r="BH165" s="59"/>
      <c r="BI165" s="59"/>
      <c r="BJ165" s="59"/>
      <c r="BK165" s="59"/>
      <c r="BL165" s="59"/>
      <c r="BM165" s="59"/>
      <c r="BN165" s="59"/>
      <c r="BO165" s="59"/>
    </row>
    <row r="166" spans="1:67" ht="19.5" customHeight="1" x14ac:dyDescent="0.2">
      <c r="A166" s="114" t="s">
        <v>1789</v>
      </c>
      <c r="B166" s="113" t="s">
        <v>1787</v>
      </c>
      <c r="C166" s="122"/>
      <c r="D166" s="48" t="s">
        <v>73</v>
      </c>
      <c r="E166" s="49"/>
      <c r="F166" s="50"/>
      <c r="G166" s="62"/>
      <c r="H166" s="48" t="s">
        <v>72</v>
      </c>
      <c r="I166" s="52">
        <v>1</v>
      </c>
      <c r="J166" s="52"/>
      <c r="K166" s="52" t="s">
        <v>73</v>
      </c>
      <c r="L166" s="52" t="s">
        <v>74</v>
      </c>
      <c r="M166" s="53" t="s">
        <v>917</v>
      </c>
      <c r="N166" s="58" t="s">
        <v>73</v>
      </c>
      <c r="O166" s="48" t="s">
        <v>72</v>
      </c>
      <c r="P166" s="48" t="s">
        <v>73</v>
      </c>
      <c r="Q166" s="54" t="s">
        <v>73</v>
      </c>
      <c r="R166" s="55" t="s">
        <v>73</v>
      </c>
      <c r="S166" s="48" t="s">
        <v>73</v>
      </c>
      <c r="T166" s="121" t="str" cm="1">
        <f t="array" ref="T166">IF(ISNUMBER(SEARCH("SCHNEIDER",D166)),_xlfn.IFS(ISNUMBER(SEARCH("2 Querétaro",D166)),"SQ2",ISNUMBER(SEARCH("Xicohténcatl",D166)),"SXC",ISNUMBER(SEARCH("Rojo Gómez",D166)),"SRG",ISNUMBER(SEARCH("Tlaxcala",D166)),"STX",ISNUMBER(SEARCH("Monterrey",D166)),"SMY",ISNUMBER(SEARCH("Querétaro",D166)),"SQ1",ISNUMBER(SEARCH("CDMX",D166)),"SCM",TRUE,""),"")</f>
        <v/>
      </c>
      <c r="U166" s="48" t="str" cm="1">
        <f t="array" ref="U166">_xlfn.LET(_xlpm.resultados,_xlfn.UNIQUE(_xlfn._xlws.FILTER(Tabla1[Proceso],(Tabla1[Metal Base]=O166)*(Tabla1[Etiquetas]=_xlfn.TEXTJOIN(" + ",TRUE,IF((TRIM(Upload!P166:S166)="")+(LOWER(TRIM(Upload!P166:S166))="(seleccione)"),"",PROPER(TRIM(Upload!P166:S166)))))*(Tabla1[Línea2]=IFERROR(VLOOKUP(Upload!N166&amp;"*",CAT_Procesos!D:D,1,FALSE),"")))),_xlpm.cantidad,ROWS(_xlpm.resultados),IF(ISERROR(_xlpm.cantidad),"Combinación no existente",IF(_xlpm.cantidad=1,INDEX(_xlpm.resultados,1),"(seleccione)")))</f>
        <v>Combinación no existente</v>
      </c>
      <c r="V166" s="55" t="s">
        <v>73</v>
      </c>
      <c r="W166" s="56" t="s">
        <v>73</v>
      </c>
      <c r="X166" s="57" t="str">
        <f t="shared" si="8"/>
        <v/>
      </c>
      <c r="Y166" s="58" t="s">
        <v>73</v>
      </c>
      <c r="Z166" s="57" t="str">
        <f t="shared" si="9"/>
        <v/>
      </c>
      <c r="AA166" s="58" t="s">
        <v>73</v>
      </c>
      <c r="AB166" s="57" t="str">
        <f t="shared" si="10"/>
        <v/>
      </c>
      <c r="AC166" s="58" t="s">
        <v>73</v>
      </c>
      <c r="AD166" s="57" t="str">
        <f t="shared" si="11"/>
        <v/>
      </c>
      <c r="AE166" s="59"/>
      <c r="AF166" s="59"/>
      <c r="AG166" s="59"/>
      <c r="AH166" s="59"/>
      <c r="AI166" s="59" t="s">
        <v>73</v>
      </c>
      <c r="AJ166" s="59"/>
      <c r="AK166" s="59" t="s">
        <v>73</v>
      </c>
      <c r="AL166" s="59"/>
      <c r="AM166" s="59" t="s">
        <v>73</v>
      </c>
      <c r="AN166" s="59"/>
      <c r="AO166" s="59" t="s">
        <v>73</v>
      </c>
      <c r="AP166" s="59"/>
      <c r="AQ166" s="59" t="s">
        <v>73</v>
      </c>
      <c r="AR166" s="59"/>
      <c r="AS166" s="59" t="s">
        <v>72</v>
      </c>
      <c r="AT166" s="59"/>
      <c r="AU166" s="59"/>
      <c r="AV166" s="59"/>
      <c r="AW166" s="59"/>
      <c r="AX166" s="59"/>
      <c r="AY166" s="60" t="str">
        <f>IF('Cálculo MP'!K176="","",'Cálculo MP'!K176)</f>
        <v/>
      </c>
      <c r="AZ166" s="60" t="str">
        <f>IF('Cálculo MP'!L176="","",'Cálculo MP'!L176)</f>
        <v/>
      </c>
      <c r="BA166" s="60" t="str">
        <f>IF('Cálculo MP'!M176="","",'Cálculo MP'!M176)</f>
        <v/>
      </c>
      <c r="BB166" s="60" t="str">
        <f>IF('Cálculo MP'!N176="","",'Cálculo MP'!N176)</f>
        <v/>
      </c>
      <c r="BC166" s="60" t="str">
        <f>IF('Cálculo MP'!O176="","",'Cálculo MP'!O176)</f>
        <v/>
      </c>
      <c r="BD166" s="60" t="str">
        <f>IF('Cálculo MP'!P176="","",'Cálculo MP'!P176)</f>
        <v/>
      </c>
      <c r="BE166" s="60" t="str">
        <f>IF('Cálculo MP'!Q176="","",'Cálculo MP'!Q176)</f>
        <v/>
      </c>
      <c r="BF166" s="60" t="str">
        <f>IF('Cálculo MP'!R176="","",'Cálculo MP'!R176)</f>
        <v/>
      </c>
      <c r="BG166" s="60" t="str">
        <f>IF('Cálculo MP'!S176="","",'Cálculo MP'!S176)</f>
        <v/>
      </c>
      <c r="BH166" s="59"/>
      <c r="BI166" s="59"/>
      <c r="BJ166" s="59"/>
      <c r="BK166" s="59"/>
      <c r="BL166" s="59"/>
      <c r="BM166" s="59"/>
      <c r="BN166" s="59"/>
      <c r="BO166" s="59"/>
    </row>
    <row r="167" spans="1:67" ht="19.5" customHeight="1" x14ac:dyDescent="0.2">
      <c r="A167" s="114" t="s">
        <v>1789</v>
      </c>
      <c r="B167" s="113" t="s">
        <v>1787</v>
      </c>
      <c r="C167" s="122"/>
      <c r="D167" s="48" t="s">
        <v>73</v>
      </c>
      <c r="E167" s="49"/>
      <c r="F167" s="50"/>
      <c r="G167" s="62"/>
      <c r="H167" s="48" t="s">
        <v>72</v>
      </c>
      <c r="I167" s="52">
        <v>1</v>
      </c>
      <c r="J167" s="52"/>
      <c r="K167" s="52" t="s">
        <v>73</v>
      </c>
      <c r="L167" s="52" t="s">
        <v>74</v>
      </c>
      <c r="M167" s="53" t="s">
        <v>917</v>
      </c>
      <c r="N167" s="58" t="s">
        <v>73</v>
      </c>
      <c r="O167" s="48" t="s">
        <v>72</v>
      </c>
      <c r="P167" s="48" t="s">
        <v>73</v>
      </c>
      <c r="Q167" s="54" t="s">
        <v>73</v>
      </c>
      <c r="R167" s="55" t="s">
        <v>73</v>
      </c>
      <c r="S167" s="48" t="s">
        <v>73</v>
      </c>
      <c r="T167" s="121" t="str" cm="1">
        <f t="array" ref="T167">IF(ISNUMBER(SEARCH("SCHNEIDER",D167)),_xlfn.IFS(ISNUMBER(SEARCH("2 Querétaro",D167)),"SQ2",ISNUMBER(SEARCH("Xicohténcatl",D167)),"SXC",ISNUMBER(SEARCH("Rojo Gómez",D167)),"SRG",ISNUMBER(SEARCH("Tlaxcala",D167)),"STX",ISNUMBER(SEARCH("Monterrey",D167)),"SMY",ISNUMBER(SEARCH("Querétaro",D167)),"SQ1",ISNUMBER(SEARCH("CDMX",D167)),"SCM",TRUE,""),"")</f>
        <v/>
      </c>
      <c r="U167" s="48" t="str" cm="1">
        <f t="array" ref="U167">_xlfn.LET(_xlpm.resultados,_xlfn.UNIQUE(_xlfn._xlws.FILTER(Tabla1[Proceso],(Tabla1[Metal Base]=O167)*(Tabla1[Etiquetas]=_xlfn.TEXTJOIN(" + ",TRUE,IF((TRIM(Upload!P167:S167)="")+(LOWER(TRIM(Upload!P167:S167))="(seleccione)"),"",PROPER(TRIM(Upload!P167:S167)))))*(Tabla1[Línea2]=IFERROR(VLOOKUP(Upload!N167&amp;"*",CAT_Procesos!D:D,1,FALSE),"")))),_xlpm.cantidad,ROWS(_xlpm.resultados),IF(ISERROR(_xlpm.cantidad),"Combinación no existente",IF(_xlpm.cantidad=1,INDEX(_xlpm.resultados,1),"(seleccione)")))</f>
        <v>Combinación no existente</v>
      </c>
      <c r="V167" s="55" t="s">
        <v>73</v>
      </c>
      <c r="W167" s="56" t="s">
        <v>73</v>
      </c>
      <c r="X167" s="57" t="str">
        <f t="shared" si="8"/>
        <v/>
      </c>
      <c r="Y167" s="58" t="s">
        <v>73</v>
      </c>
      <c r="Z167" s="57" t="str">
        <f t="shared" si="9"/>
        <v/>
      </c>
      <c r="AA167" s="58" t="s">
        <v>73</v>
      </c>
      <c r="AB167" s="57" t="str">
        <f t="shared" si="10"/>
        <v/>
      </c>
      <c r="AC167" s="58" t="s">
        <v>73</v>
      </c>
      <c r="AD167" s="57" t="str">
        <f t="shared" si="11"/>
        <v/>
      </c>
      <c r="AE167" s="59"/>
      <c r="AF167" s="59"/>
      <c r="AG167" s="59"/>
      <c r="AH167" s="59"/>
      <c r="AI167" s="59" t="s">
        <v>73</v>
      </c>
      <c r="AJ167" s="59"/>
      <c r="AK167" s="59" t="s">
        <v>73</v>
      </c>
      <c r="AL167" s="59"/>
      <c r="AM167" s="59" t="s">
        <v>73</v>
      </c>
      <c r="AN167" s="59"/>
      <c r="AO167" s="59" t="s">
        <v>73</v>
      </c>
      <c r="AP167" s="59"/>
      <c r="AQ167" s="59" t="s">
        <v>73</v>
      </c>
      <c r="AR167" s="59"/>
      <c r="AS167" s="59" t="s">
        <v>72</v>
      </c>
      <c r="AT167" s="59"/>
      <c r="AU167" s="59"/>
      <c r="AV167" s="59"/>
      <c r="AW167" s="59"/>
      <c r="AX167" s="59"/>
      <c r="AY167" s="60" t="str">
        <f>IF('Cálculo MP'!K177="","",'Cálculo MP'!K177)</f>
        <v/>
      </c>
      <c r="AZ167" s="60" t="str">
        <f>IF('Cálculo MP'!L177="","",'Cálculo MP'!L177)</f>
        <v/>
      </c>
      <c r="BA167" s="60" t="str">
        <f>IF('Cálculo MP'!M177="","",'Cálculo MP'!M177)</f>
        <v/>
      </c>
      <c r="BB167" s="60" t="str">
        <f>IF('Cálculo MP'!N177="","",'Cálculo MP'!N177)</f>
        <v/>
      </c>
      <c r="BC167" s="60" t="str">
        <f>IF('Cálculo MP'!O177="","",'Cálculo MP'!O177)</f>
        <v/>
      </c>
      <c r="BD167" s="60" t="str">
        <f>IF('Cálculo MP'!P177="","",'Cálculo MP'!P177)</f>
        <v/>
      </c>
      <c r="BE167" s="60" t="str">
        <f>IF('Cálculo MP'!Q177="","",'Cálculo MP'!Q177)</f>
        <v/>
      </c>
      <c r="BF167" s="60" t="str">
        <f>IF('Cálculo MP'!R177="","",'Cálculo MP'!R177)</f>
        <v/>
      </c>
      <c r="BG167" s="60" t="str">
        <f>IF('Cálculo MP'!S177="","",'Cálculo MP'!S177)</f>
        <v/>
      </c>
      <c r="BH167" s="59"/>
      <c r="BI167" s="59"/>
      <c r="BJ167" s="59"/>
      <c r="BK167" s="59"/>
      <c r="BL167" s="59"/>
      <c r="BM167" s="59"/>
      <c r="BN167" s="59"/>
      <c r="BO167" s="59"/>
    </row>
    <row r="168" spans="1:67" ht="19.5" customHeight="1" x14ac:dyDescent="0.2">
      <c r="A168" s="114" t="s">
        <v>1789</v>
      </c>
      <c r="B168" s="113" t="s">
        <v>1787</v>
      </c>
      <c r="C168" s="122"/>
      <c r="D168" s="48" t="s">
        <v>73</v>
      </c>
      <c r="E168" s="49"/>
      <c r="F168" s="50"/>
      <c r="G168" s="62"/>
      <c r="H168" s="48" t="s">
        <v>72</v>
      </c>
      <c r="I168" s="52">
        <v>1</v>
      </c>
      <c r="J168" s="52"/>
      <c r="K168" s="52" t="s">
        <v>73</v>
      </c>
      <c r="L168" s="52" t="s">
        <v>74</v>
      </c>
      <c r="M168" s="53" t="s">
        <v>917</v>
      </c>
      <c r="N168" s="58" t="s">
        <v>73</v>
      </c>
      <c r="O168" s="48" t="s">
        <v>72</v>
      </c>
      <c r="P168" s="48" t="s">
        <v>73</v>
      </c>
      <c r="Q168" s="54" t="s">
        <v>73</v>
      </c>
      <c r="R168" s="55" t="s">
        <v>73</v>
      </c>
      <c r="S168" s="48" t="s">
        <v>73</v>
      </c>
      <c r="T168" s="121" t="str" cm="1">
        <f t="array" ref="T168">IF(ISNUMBER(SEARCH("SCHNEIDER",D168)),_xlfn.IFS(ISNUMBER(SEARCH("2 Querétaro",D168)),"SQ2",ISNUMBER(SEARCH("Xicohténcatl",D168)),"SXC",ISNUMBER(SEARCH("Rojo Gómez",D168)),"SRG",ISNUMBER(SEARCH("Tlaxcala",D168)),"STX",ISNUMBER(SEARCH("Monterrey",D168)),"SMY",ISNUMBER(SEARCH("Querétaro",D168)),"SQ1",ISNUMBER(SEARCH("CDMX",D168)),"SCM",TRUE,""),"")</f>
        <v/>
      </c>
      <c r="U168" s="48" t="str" cm="1">
        <f t="array" ref="U168">_xlfn.LET(_xlpm.resultados,_xlfn.UNIQUE(_xlfn._xlws.FILTER(Tabla1[Proceso],(Tabla1[Metal Base]=O168)*(Tabla1[Etiquetas]=_xlfn.TEXTJOIN(" + ",TRUE,IF((TRIM(Upload!P168:S168)="")+(LOWER(TRIM(Upload!P168:S168))="(seleccione)"),"",PROPER(TRIM(Upload!P168:S168)))))*(Tabla1[Línea2]=IFERROR(VLOOKUP(Upload!N168&amp;"*",CAT_Procesos!D:D,1,FALSE),"")))),_xlpm.cantidad,ROWS(_xlpm.resultados),IF(ISERROR(_xlpm.cantidad),"Combinación no existente",IF(_xlpm.cantidad=1,INDEX(_xlpm.resultados,1),"(seleccione)")))</f>
        <v>Combinación no existente</v>
      </c>
      <c r="V168" s="55" t="s">
        <v>73</v>
      </c>
      <c r="W168" s="56" t="s">
        <v>73</v>
      </c>
      <c r="X168" s="57" t="str">
        <f t="shared" si="8"/>
        <v/>
      </c>
      <c r="Y168" s="58" t="s">
        <v>73</v>
      </c>
      <c r="Z168" s="57" t="str">
        <f t="shared" si="9"/>
        <v/>
      </c>
      <c r="AA168" s="58" t="s">
        <v>73</v>
      </c>
      <c r="AB168" s="57" t="str">
        <f t="shared" si="10"/>
        <v/>
      </c>
      <c r="AC168" s="58" t="s">
        <v>73</v>
      </c>
      <c r="AD168" s="57" t="str">
        <f t="shared" si="11"/>
        <v/>
      </c>
      <c r="AE168" s="59"/>
      <c r="AF168" s="59"/>
      <c r="AG168" s="59"/>
      <c r="AH168" s="59"/>
      <c r="AI168" s="59" t="s">
        <v>73</v>
      </c>
      <c r="AJ168" s="59"/>
      <c r="AK168" s="59" t="s">
        <v>73</v>
      </c>
      <c r="AL168" s="59"/>
      <c r="AM168" s="59" t="s">
        <v>73</v>
      </c>
      <c r="AN168" s="59"/>
      <c r="AO168" s="59" t="s">
        <v>73</v>
      </c>
      <c r="AP168" s="59"/>
      <c r="AQ168" s="59" t="s">
        <v>73</v>
      </c>
      <c r="AR168" s="59"/>
      <c r="AS168" s="59" t="s">
        <v>72</v>
      </c>
      <c r="AT168" s="59"/>
      <c r="AU168" s="59"/>
      <c r="AV168" s="59"/>
      <c r="AW168" s="59"/>
      <c r="AX168" s="59"/>
      <c r="AY168" s="60" t="str">
        <f>IF('Cálculo MP'!K178="","",'Cálculo MP'!K178)</f>
        <v/>
      </c>
      <c r="AZ168" s="60" t="str">
        <f>IF('Cálculo MP'!L178="","",'Cálculo MP'!L178)</f>
        <v/>
      </c>
      <c r="BA168" s="60" t="str">
        <f>IF('Cálculo MP'!M178="","",'Cálculo MP'!M178)</f>
        <v/>
      </c>
      <c r="BB168" s="60" t="str">
        <f>IF('Cálculo MP'!N178="","",'Cálculo MP'!N178)</f>
        <v/>
      </c>
      <c r="BC168" s="60" t="str">
        <f>IF('Cálculo MP'!O178="","",'Cálculo MP'!O178)</f>
        <v/>
      </c>
      <c r="BD168" s="60" t="str">
        <f>IF('Cálculo MP'!P178="","",'Cálculo MP'!P178)</f>
        <v/>
      </c>
      <c r="BE168" s="60" t="str">
        <f>IF('Cálculo MP'!Q178="","",'Cálculo MP'!Q178)</f>
        <v/>
      </c>
      <c r="BF168" s="60" t="str">
        <f>IF('Cálculo MP'!R178="","",'Cálculo MP'!R178)</f>
        <v/>
      </c>
      <c r="BG168" s="60" t="str">
        <f>IF('Cálculo MP'!S178="","",'Cálculo MP'!S178)</f>
        <v/>
      </c>
      <c r="BH168" s="59"/>
      <c r="BI168" s="59"/>
      <c r="BJ168" s="59"/>
      <c r="BK168" s="59"/>
      <c r="BL168" s="59"/>
      <c r="BM168" s="59"/>
      <c r="BN168" s="59"/>
      <c r="BO168" s="59"/>
    </row>
    <row r="169" spans="1:67" ht="19.5" customHeight="1" x14ac:dyDescent="0.2">
      <c r="A169" s="114" t="s">
        <v>1789</v>
      </c>
      <c r="B169" s="113" t="s">
        <v>1787</v>
      </c>
      <c r="C169" s="122"/>
      <c r="D169" s="48" t="s">
        <v>73</v>
      </c>
      <c r="E169" s="49"/>
      <c r="F169" s="50"/>
      <c r="G169" s="62"/>
      <c r="H169" s="48" t="s">
        <v>72</v>
      </c>
      <c r="I169" s="52">
        <v>1</v>
      </c>
      <c r="J169" s="52"/>
      <c r="K169" s="52" t="s">
        <v>73</v>
      </c>
      <c r="L169" s="52" t="s">
        <v>74</v>
      </c>
      <c r="M169" s="53" t="s">
        <v>917</v>
      </c>
      <c r="N169" s="58" t="s">
        <v>73</v>
      </c>
      <c r="O169" s="48" t="s">
        <v>72</v>
      </c>
      <c r="P169" s="48" t="s">
        <v>73</v>
      </c>
      <c r="Q169" s="54" t="s">
        <v>73</v>
      </c>
      <c r="R169" s="55" t="s">
        <v>73</v>
      </c>
      <c r="S169" s="48" t="s">
        <v>73</v>
      </c>
      <c r="T169" s="121" t="str" cm="1">
        <f t="array" ref="T169">IF(ISNUMBER(SEARCH("SCHNEIDER",D169)),_xlfn.IFS(ISNUMBER(SEARCH("2 Querétaro",D169)),"SQ2",ISNUMBER(SEARCH("Xicohténcatl",D169)),"SXC",ISNUMBER(SEARCH("Rojo Gómez",D169)),"SRG",ISNUMBER(SEARCH("Tlaxcala",D169)),"STX",ISNUMBER(SEARCH("Monterrey",D169)),"SMY",ISNUMBER(SEARCH("Querétaro",D169)),"SQ1",ISNUMBER(SEARCH("CDMX",D169)),"SCM",TRUE,""),"")</f>
        <v/>
      </c>
      <c r="U169" s="48" t="str" cm="1">
        <f t="array" ref="U169">_xlfn.LET(_xlpm.resultados,_xlfn.UNIQUE(_xlfn._xlws.FILTER(Tabla1[Proceso],(Tabla1[Metal Base]=O169)*(Tabla1[Etiquetas]=_xlfn.TEXTJOIN(" + ",TRUE,IF((TRIM(Upload!P169:S169)="")+(LOWER(TRIM(Upload!P169:S169))="(seleccione)"),"",PROPER(TRIM(Upload!P169:S169)))))*(Tabla1[Línea2]=IFERROR(VLOOKUP(Upload!N169&amp;"*",CAT_Procesos!D:D,1,FALSE),"")))),_xlpm.cantidad,ROWS(_xlpm.resultados),IF(ISERROR(_xlpm.cantidad),"Combinación no existente",IF(_xlpm.cantidad=1,INDEX(_xlpm.resultados,1),"(seleccione)")))</f>
        <v>Combinación no existente</v>
      </c>
      <c r="V169" s="55" t="s">
        <v>73</v>
      </c>
      <c r="W169" s="56" t="s">
        <v>73</v>
      </c>
      <c r="X169" s="57" t="str">
        <f t="shared" si="8"/>
        <v/>
      </c>
      <c r="Y169" s="58" t="s">
        <v>73</v>
      </c>
      <c r="Z169" s="57" t="str">
        <f t="shared" si="9"/>
        <v/>
      </c>
      <c r="AA169" s="58" t="s">
        <v>73</v>
      </c>
      <c r="AB169" s="57" t="str">
        <f t="shared" si="10"/>
        <v/>
      </c>
      <c r="AC169" s="58" t="s">
        <v>73</v>
      </c>
      <c r="AD169" s="57" t="str">
        <f t="shared" si="11"/>
        <v/>
      </c>
      <c r="AE169" s="59"/>
      <c r="AF169" s="59"/>
      <c r="AG169" s="59"/>
      <c r="AH169" s="59"/>
      <c r="AI169" s="59" t="s">
        <v>73</v>
      </c>
      <c r="AJ169" s="59"/>
      <c r="AK169" s="59" t="s">
        <v>73</v>
      </c>
      <c r="AL169" s="59"/>
      <c r="AM169" s="59" t="s">
        <v>73</v>
      </c>
      <c r="AN169" s="59"/>
      <c r="AO169" s="59" t="s">
        <v>73</v>
      </c>
      <c r="AP169" s="59"/>
      <c r="AQ169" s="59" t="s">
        <v>73</v>
      </c>
      <c r="AR169" s="59"/>
      <c r="AS169" s="59" t="s">
        <v>72</v>
      </c>
      <c r="AT169" s="59"/>
      <c r="AU169" s="59"/>
      <c r="AV169" s="59"/>
      <c r="AW169" s="59"/>
      <c r="AX169" s="59"/>
      <c r="AY169" s="60" t="str">
        <f>IF('Cálculo MP'!K179="","",'Cálculo MP'!K179)</f>
        <v/>
      </c>
      <c r="AZ169" s="60" t="str">
        <f>IF('Cálculo MP'!L179="","",'Cálculo MP'!L179)</f>
        <v/>
      </c>
      <c r="BA169" s="60" t="str">
        <f>IF('Cálculo MP'!M179="","",'Cálculo MP'!M179)</f>
        <v/>
      </c>
      <c r="BB169" s="60" t="str">
        <f>IF('Cálculo MP'!N179="","",'Cálculo MP'!N179)</f>
        <v/>
      </c>
      <c r="BC169" s="60" t="str">
        <f>IF('Cálculo MP'!O179="","",'Cálculo MP'!O179)</f>
        <v/>
      </c>
      <c r="BD169" s="60" t="str">
        <f>IF('Cálculo MP'!P179="","",'Cálculo MP'!P179)</f>
        <v/>
      </c>
      <c r="BE169" s="60" t="str">
        <f>IF('Cálculo MP'!Q179="","",'Cálculo MP'!Q179)</f>
        <v/>
      </c>
      <c r="BF169" s="60" t="str">
        <f>IF('Cálculo MP'!R179="","",'Cálculo MP'!R179)</f>
        <v/>
      </c>
      <c r="BG169" s="60" t="str">
        <f>IF('Cálculo MP'!S179="","",'Cálculo MP'!S179)</f>
        <v/>
      </c>
      <c r="BH169" s="59"/>
      <c r="BI169" s="59"/>
      <c r="BJ169" s="59"/>
      <c r="BK169" s="59"/>
      <c r="BL169" s="59"/>
      <c r="BM169" s="59"/>
      <c r="BN169" s="59"/>
      <c r="BO169" s="59"/>
    </row>
    <row r="170" spans="1:67" ht="19.5" customHeight="1" x14ac:dyDescent="0.2">
      <c r="A170" s="114" t="s">
        <v>1789</v>
      </c>
      <c r="B170" s="113" t="s">
        <v>1787</v>
      </c>
      <c r="C170" s="122"/>
      <c r="D170" s="48" t="s">
        <v>73</v>
      </c>
      <c r="E170" s="49"/>
      <c r="F170" s="50"/>
      <c r="G170" s="62"/>
      <c r="H170" s="48" t="s">
        <v>72</v>
      </c>
      <c r="I170" s="52">
        <v>1</v>
      </c>
      <c r="J170" s="52"/>
      <c r="K170" s="52" t="s">
        <v>73</v>
      </c>
      <c r="L170" s="52" t="s">
        <v>74</v>
      </c>
      <c r="M170" s="53" t="s">
        <v>917</v>
      </c>
      <c r="N170" s="58" t="s">
        <v>73</v>
      </c>
      <c r="O170" s="48" t="s">
        <v>72</v>
      </c>
      <c r="P170" s="48" t="s">
        <v>73</v>
      </c>
      <c r="Q170" s="54" t="s">
        <v>73</v>
      </c>
      <c r="R170" s="55" t="s">
        <v>73</v>
      </c>
      <c r="S170" s="48" t="s">
        <v>73</v>
      </c>
      <c r="T170" s="121" t="str" cm="1">
        <f t="array" ref="T170">IF(ISNUMBER(SEARCH("SCHNEIDER",D170)),_xlfn.IFS(ISNUMBER(SEARCH("2 Querétaro",D170)),"SQ2",ISNUMBER(SEARCH("Xicohténcatl",D170)),"SXC",ISNUMBER(SEARCH("Rojo Gómez",D170)),"SRG",ISNUMBER(SEARCH("Tlaxcala",D170)),"STX",ISNUMBER(SEARCH("Monterrey",D170)),"SMY",ISNUMBER(SEARCH("Querétaro",D170)),"SQ1",ISNUMBER(SEARCH("CDMX",D170)),"SCM",TRUE,""),"")</f>
        <v/>
      </c>
      <c r="U170" s="48" t="str" cm="1">
        <f t="array" ref="U170">_xlfn.LET(_xlpm.resultados,_xlfn.UNIQUE(_xlfn._xlws.FILTER(Tabla1[Proceso],(Tabla1[Metal Base]=O170)*(Tabla1[Etiquetas]=_xlfn.TEXTJOIN(" + ",TRUE,IF((TRIM(Upload!P170:S170)="")+(LOWER(TRIM(Upload!P170:S170))="(seleccione)"),"",PROPER(TRIM(Upload!P170:S170)))))*(Tabla1[Línea2]=IFERROR(VLOOKUP(Upload!N170&amp;"*",CAT_Procesos!D:D,1,FALSE),"")))),_xlpm.cantidad,ROWS(_xlpm.resultados),IF(ISERROR(_xlpm.cantidad),"Combinación no existente",IF(_xlpm.cantidad=1,INDEX(_xlpm.resultados,1),"(seleccione)")))</f>
        <v>Combinación no existente</v>
      </c>
      <c r="V170" s="55" t="s">
        <v>73</v>
      </c>
      <c r="W170" s="56" t="s">
        <v>73</v>
      </c>
      <c r="X170" s="57" t="str">
        <f t="shared" si="8"/>
        <v/>
      </c>
      <c r="Y170" s="58" t="s">
        <v>73</v>
      </c>
      <c r="Z170" s="57" t="str">
        <f t="shared" si="9"/>
        <v/>
      </c>
      <c r="AA170" s="58" t="s">
        <v>73</v>
      </c>
      <c r="AB170" s="57" t="str">
        <f t="shared" si="10"/>
        <v/>
      </c>
      <c r="AC170" s="58" t="s">
        <v>73</v>
      </c>
      <c r="AD170" s="57" t="str">
        <f t="shared" si="11"/>
        <v/>
      </c>
      <c r="AE170" s="59"/>
      <c r="AF170" s="59"/>
      <c r="AG170" s="59"/>
      <c r="AH170" s="59"/>
      <c r="AI170" s="59" t="s">
        <v>73</v>
      </c>
      <c r="AJ170" s="59"/>
      <c r="AK170" s="59" t="s">
        <v>73</v>
      </c>
      <c r="AL170" s="59"/>
      <c r="AM170" s="59" t="s">
        <v>73</v>
      </c>
      <c r="AN170" s="59"/>
      <c r="AO170" s="59" t="s">
        <v>73</v>
      </c>
      <c r="AP170" s="59"/>
      <c r="AQ170" s="59" t="s">
        <v>73</v>
      </c>
      <c r="AR170" s="59"/>
      <c r="AS170" s="59" t="s">
        <v>72</v>
      </c>
      <c r="AT170" s="59"/>
      <c r="AU170" s="59"/>
      <c r="AV170" s="59"/>
      <c r="AW170" s="59"/>
      <c r="AX170" s="59"/>
      <c r="AY170" s="60" t="str">
        <f>IF('Cálculo MP'!K180="","",'Cálculo MP'!K180)</f>
        <v/>
      </c>
      <c r="AZ170" s="60" t="str">
        <f>IF('Cálculo MP'!L180="","",'Cálculo MP'!L180)</f>
        <v/>
      </c>
      <c r="BA170" s="60" t="str">
        <f>IF('Cálculo MP'!M180="","",'Cálculo MP'!M180)</f>
        <v/>
      </c>
      <c r="BB170" s="60" t="str">
        <f>IF('Cálculo MP'!N180="","",'Cálculo MP'!N180)</f>
        <v/>
      </c>
      <c r="BC170" s="60" t="str">
        <f>IF('Cálculo MP'!O180="","",'Cálculo MP'!O180)</f>
        <v/>
      </c>
      <c r="BD170" s="60" t="str">
        <f>IF('Cálculo MP'!P180="","",'Cálculo MP'!P180)</f>
        <v/>
      </c>
      <c r="BE170" s="60" t="str">
        <f>IF('Cálculo MP'!Q180="","",'Cálculo MP'!Q180)</f>
        <v/>
      </c>
      <c r="BF170" s="60" t="str">
        <f>IF('Cálculo MP'!R180="","",'Cálculo MP'!R180)</f>
        <v/>
      </c>
      <c r="BG170" s="60" t="str">
        <f>IF('Cálculo MP'!S180="","",'Cálculo MP'!S180)</f>
        <v/>
      </c>
      <c r="BH170" s="59"/>
      <c r="BI170" s="59"/>
      <c r="BJ170" s="59"/>
      <c r="BK170" s="59"/>
      <c r="BL170" s="59"/>
      <c r="BM170" s="59"/>
      <c r="BN170" s="59"/>
      <c r="BO170" s="59"/>
    </row>
    <row r="171" spans="1:67" ht="19.5" customHeight="1" x14ac:dyDescent="0.2">
      <c r="A171" s="114" t="s">
        <v>1789</v>
      </c>
      <c r="B171" s="113" t="s">
        <v>1787</v>
      </c>
      <c r="C171" s="122"/>
      <c r="D171" s="48" t="s">
        <v>73</v>
      </c>
      <c r="E171" s="49"/>
      <c r="F171" s="50"/>
      <c r="G171" s="62"/>
      <c r="H171" s="48" t="s">
        <v>72</v>
      </c>
      <c r="I171" s="52">
        <v>1</v>
      </c>
      <c r="J171" s="52"/>
      <c r="K171" s="52" t="s">
        <v>73</v>
      </c>
      <c r="L171" s="52" t="s">
        <v>74</v>
      </c>
      <c r="M171" s="53" t="s">
        <v>917</v>
      </c>
      <c r="N171" s="58" t="s">
        <v>73</v>
      </c>
      <c r="O171" s="48" t="s">
        <v>72</v>
      </c>
      <c r="P171" s="48" t="s">
        <v>73</v>
      </c>
      <c r="Q171" s="54" t="s">
        <v>73</v>
      </c>
      <c r="R171" s="55" t="s">
        <v>73</v>
      </c>
      <c r="S171" s="48" t="s">
        <v>73</v>
      </c>
      <c r="T171" s="121" t="str" cm="1">
        <f t="array" ref="T171">IF(ISNUMBER(SEARCH("SCHNEIDER",D171)),_xlfn.IFS(ISNUMBER(SEARCH("2 Querétaro",D171)),"SQ2",ISNUMBER(SEARCH("Xicohténcatl",D171)),"SXC",ISNUMBER(SEARCH("Rojo Gómez",D171)),"SRG",ISNUMBER(SEARCH("Tlaxcala",D171)),"STX",ISNUMBER(SEARCH("Monterrey",D171)),"SMY",ISNUMBER(SEARCH("Querétaro",D171)),"SQ1",ISNUMBER(SEARCH("CDMX",D171)),"SCM",TRUE,""),"")</f>
        <v/>
      </c>
      <c r="U171" s="48" t="str" cm="1">
        <f t="array" ref="U171">_xlfn.LET(_xlpm.resultados,_xlfn.UNIQUE(_xlfn._xlws.FILTER(Tabla1[Proceso],(Tabla1[Metal Base]=O171)*(Tabla1[Etiquetas]=_xlfn.TEXTJOIN(" + ",TRUE,IF((TRIM(Upload!P171:S171)="")+(LOWER(TRIM(Upload!P171:S171))="(seleccione)"),"",PROPER(TRIM(Upload!P171:S171)))))*(Tabla1[Línea2]=IFERROR(VLOOKUP(Upload!N171&amp;"*",CAT_Procesos!D:D,1,FALSE),"")))),_xlpm.cantidad,ROWS(_xlpm.resultados),IF(ISERROR(_xlpm.cantidad),"Combinación no existente",IF(_xlpm.cantidad=1,INDEX(_xlpm.resultados,1),"(seleccione)")))</f>
        <v>Combinación no existente</v>
      </c>
      <c r="V171" s="55" t="s">
        <v>73</v>
      </c>
      <c r="W171" s="56" t="s">
        <v>73</v>
      </c>
      <c r="X171" s="57" t="str">
        <f t="shared" si="8"/>
        <v/>
      </c>
      <c r="Y171" s="58" t="s">
        <v>73</v>
      </c>
      <c r="Z171" s="57" t="str">
        <f t="shared" si="9"/>
        <v/>
      </c>
      <c r="AA171" s="58" t="s">
        <v>73</v>
      </c>
      <c r="AB171" s="57" t="str">
        <f t="shared" si="10"/>
        <v/>
      </c>
      <c r="AC171" s="58" t="s">
        <v>73</v>
      </c>
      <c r="AD171" s="57" t="str">
        <f t="shared" si="11"/>
        <v/>
      </c>
      <c r="AE171" s="59"/>
      <c r="AF171" s="59"/>
      <c r="AG171" s="59"/>
      <c r="AH171" s="59"/>
      <c r="AI171" s="59" t="s">
        <v>73</v>
      </c>
      <c r="AJ171" s="59"/>
      <c r="AK171" s="59" t="s">
        <v>73</v>
      </c>
      <c r="AL171" s="59"/>
      <c r="AM171" s="59" t="s">
        <v>73</v>
      </c>
      <c r="AN171" s="59"/>
      <c r="AO171" s="59" t="s">
        <v>73</v>
      </c>
      <c r="AP171" s="59"/>
      <c r="AQ171" s="59" t="s">
        <v>73</v>
      </c>
      <c r="AR171" s="59"/>
      <c r="AS171" s="59" t="s">
        <v>72</v>
      </c>
      <c r="AT171" s="59"/>
      <c r="AU171" s="59"/>
      <c r="AV171" s="59"/>
      <c r="AW171" s="59"/>
      <c r="AX171" s="59"/>
      <c r="AY171" s="60" t="str">
        <f>IF('Cálculo MP'!K181="","",'Cálculo MP'!K181)</f>
        <v/>
      </c>
      <c r="AZ171" s="60" t="str">
        <f>IF('Cálculo MP'!L181="","",'Cálculo MP'!L181)</f>
        <v/>
      </c>
      <c r="BA171" s="60" t="str">
        <f>IF('Cálculo MP'!M181="","",'Cálculo MP'!M181)</f>
        <v/>
      </c>
      <c r="BB171" s="60" t="str">
        <f>IF('Cálculo MP'!N181="","",'Cálculo MP'!N181)</f>
        <v/>
      </c>
      <c r="BC171" s="60" t="str">
        <f>IF('Cálculo MP'!O181="","",'Cálculo MP'!O181)</f>
        <v/>
      </c>
      <c r="BD171" s="60" t="str">
        <f>IF('Cálculo MP'!P181="","",'Cálculo MP'!P181)</f>
        <v/>
      </c>
      <c r="BE171" s="60" t="str">
        <f>IF('Cálculo MP'!Q181="","",'Cálculo MP'!Q181)</f>
        <v/>
      </c>
      <c r="BF171" s="60" t="str">
        <f>IF('Cálculo MP'!R181="","",'Cálculo MP'!R181)</f>
        <v/>
      </c>
      <c r="BG171" s="60" t="str">
        <f>IF('Cálculo MP'!S181="","",'Cálculo MP'!S181)</f>
        <v/>
      </c>
      <c r="BH171" s="59"/>
      <c r="BI171" s="59"/>
      <c r="BJ171" s="59"/>
      <c r="BK171" s="59"/>
      <c r="BL171" s="59"/>
      <c r="BM171" s="59"/>
      <c r="BN171" s="59"/>
      <c r="BO171" s="59"/>
    </row>
    <row r="172" spans="1:67" ht="19.5" customHeight="1" x14ac:dyDescent="0.2">
      <c r="A172" s="114" t="s">
        <v>1789</v>
      </c>
      <c r="B172" s="113" t="s">
        <v>1787</v>
      </c>
      <c r="C172" s="122"/>
      <c r="D172" s="48" t="s">
        <v>73</v>
      </c>
      <c r="E172" s="49"/>
      <c r="F172" s="50"/>
      <c r="G172" s="62"/>
      <c r="H172" s="48" t="s">
        <v>72</v>
      </c>
      <c r="I172" s="52">
        <v>1</v>
      </c>
      <c r="J172" s="52"/>
      <c r="K172" s="52" t="s">
        <v>73</v>
      </c>
      <c r="L172" s="52" t="s">
        <v>74</v>
      </c>
      <c r="M172" s="53" t="s">
        <v>917</v>
      </c>
      <c r="N172" s="58" t="s">
        <v>73</v>
      </c>
      <c r="O172" s="48" t="s">
        <v>72</v>
      </c>
      <c r="P172" s="48" t="s">
        <v>73</v>
      </c>
      <c r="Q172" s="54" t="s">
        <v>73</v>
      </c>
      <c r="R172" s="55" t="s">
        <v>73</v>
      </c>
      <c r="S172" s="48" t="s">
        <v>73</v>
      </c>
      <c r="T172" s="121" t="str" cm="1">
        <f t="array" ref="T172">IF(ISNUMBER(SEARCH("SCHNEIDER",D172)),_xlfn.IFS(ISNUMBER(SEARCH("2 Querétaro",D172)),"SQ2",ISNUMBER(SEARCH("Xicohténcatl",D172)),"SXC",ISNUMBER(SEARCH("Rojo Gómez",D172)),"SRG",ISNUMBER(SEARCH("Tlaxcala",D172)),"STX",ISNUMBER(SEARCH("Monterrey",D172)),"SMY",ISNUMBER(SEARCH("Querétaro",D172)),"SQ1",ISNUMBER(SEARCH("CDMX",D172)),"SCM",TRUE,""),"")</f>
        <v/>
      </c>
      <c r="U172" s="48" t="str" cm="1">
        <f t="array" ref="U172">_xlfn.LET(_xlpm.resultados,_xlfn.UNIQUE(_xlfn._xlws.FILTER(Tabla1[Proceso],(Tabla1[Metal Base]=O172)*(Tabla1[Etiquetas]=_xlfn.TEXTJOIN(" + ",TRUE,IF((TRIM(Upload!P172:S172)="")+(LOWER(TRIM(Upload!P172:S172))="(seleccione)"),"",PROPER(TRIM(Upload!P172:S172)))))*(Tabla1[Línea2]=IFERROR(VLOOKUP(Upload!N172&amp;"*",CAT_Procesos!D:D,1,FALSE),"")))),_xlpm.cantidad,ROWS(_xlpm.resultados),IF(ISERROR(_xlpm.cantidad),"Combinación no existente",IF(_xlpm.cantidad=1,INDEX(_xlpm.resultados,1),"(seleccione)")))</f>
        <v>Combinación no existente</v>
      </c>
      <c r="V172" s="55" t="s">
        <v>73</v>
      </c>
      <c r="W172" s="56" t="s">
        <v>73</v>
      </c>
      <c r="X172" s="57" t="str">
        <f t="shared" si="8"/>
        <v/>
      </c>
      <c r="Y172" s="58" t="s">
        <v>73</v>
      </c>
      <c r="Z172" s="57" t="str">
        <f t="shared" si="9"/>
        <v/>
      </c>
      <c r="AA172" s="58" t="s">
        <v>73</v>
      </c>
      <c r="AB172" s="57" t="str">
        <f t="shared" si="10"/>
        <v/>
      </c>
      <c r="AC172" s="58" t="s">
        <v>73</v>
      </c>
      <c r="AD172" s="57" t="str">
        <f t="shared" si="11"/>
        <v/>
      </c>
      <c r="AE172" s="59"/>
      <c r="AF172" s="59"/>
      <c r="AG172" s="59"/>
      <c r="AH172" s="59"/>
      <c r="AI172" s="59" t="s">
        <v>73</v>
      </c>
      <c r="AJ172" s="59"/>
      <c r="AK172" s="59" t="s">
        <v>73</v>
      </c>
      <c r="AL172" s="59"/>
      <c r="AM172" s="59" t="s">
        <v>73</v>
      </c>
      <c r="AN172" s="59"/>
      <c r="AO172" s="59" t="s">
        <v>73</v>
      </c>
      <c r="AP172" s="59"/>
      <c r="AQ172" s="59" t="s">
        <v>73</v>
      </c>
      <c r="AR172" s="59"/>
      <c r="AS172" s="59" t="s">
        <v>72</v>
      </c>
      <c r="AT172" s="59"/>
      <c r="AU172" s="59"/>
      <c r="AV172" s="59"/>
      <c r="AW172" s="59"/>
      <c r="AX172" s="59"/>
      <c r="AY172" s="60" t="str">
        <f>IF('Cálculo MP'!K182="","",'Cálculo MP'!K182)</f>
        <v/>
      </c>
      <c r="AZ172" s="60" t="str">
        <f>IF('Cálculo MP'!L182="","",'Cálculo MP'!L182)</f>
        <v/>
      </c>
      <c r="BA172" s="60" t="str">
        <f>IF('Cálculo MP'!M182="","",'Cálculo MP'!M182)</f>
        <v/>
      </c>
      <c r="BB172" s="60" t="str">
        <f>IF('Cálculo MP'!N182="","",'Cálculo MP'!N182)</f>
        <v/>
      </c>
      <c r="BC172" s="60" t="str">
        <f>IF('Cálculo MP'!O182="","",'Cálculo MP'!O182)</f>
        <v/>
      </c>
      <c r="BD172" s="60" t="str">
        <f>IF('Cálculo MP'!P182="","",'Cálculo MP'!P182)</f>
        <v/>
      </c>
      <c r="BE172" s="60" t="str">
        <f>IF('Cálculo MP'!Q182="","",'Cálculo MP'!Q182)</f>
        <v/>
      </c>
      <c r="BF172" s="60" t="str">
        <f>IF('Cálculo MP'!R182="","",'Cálculo MP'!R182)</f>
        <v/>
      </c>
      <c r="BG172" s="60" t="str">
        <f>IF('Cálculo MP'!S182="","",'Cálculo MP'!S182)</f>
        <v/>
      </c>
      <c r="BH172" s="59"/>
      <c r="BI172" s="59"/>
      <c r="BJ172" s="59"/>
      <c r="BK172" s="59"/>
      <c r="BL172" s="59"/>
      <c r="BM172" s="59"/>
      <c r="BN172" s="59"/>
      <c r="BO172" s="59"/>
    </row>
    <row r="173" spans="1:67" ht="19.5" customHeight="1" x14ac:dyDescent="0.2">
      <c r="A173" s="114" t="s">
        <v>1789</v>
      </c>
      <c r="B173" s="113" t="s">
        <v>1787</v>
      </c>
      <c r="C173" s="122"/>
      <c r="D173" s="48" t="s">
        <v>73</v>
      </c>
      <c r="E173" s="49"/>
      <c r="F173" s="50"/>
      <c r="G173" s="62"/>
      <c r="H173" s="48" t="s">
        <v>72</v>
      </c>
      <c r="I173" s="52">
        <v>1</v>
      </c>
      <c r="J173" s="52"/>
      <c r="K173" s="52" t="s">
        <v>73</v>
      </c>
      <c r="L173" s="52" t="s">
        <v>74</v>
      </c>
      <c r="M173" s="53" t="s">
        <v>917</v>
      </c>
      <c r="N173" s="58" t="s">
        <v>73</v>
      </c>
      <c r="O173" s="48" t="s">
        <v>72</v>
      </c>
      <c r="P173" s="48" t="s">
        <v>73</v>
      </c>
      <c r="Q173" s="54" t="s">
        <v>73</v>
      </c>
      <c r="R173" s="55" t="s">
        <v>73</v>
      </c>
      <c r="S173" s="48" t="s">
        <v>73</v>
      </c>
      <c r="T173" s="121" t="str" cm="1">
        <f t="array" ref="T173">IF(ISNUMBER(SEARCH("SCHNEIDER",D173)),_xlfn.IFS(ISNUMBER(SEARCH("2 Querétaro",D173)),"SQ2",ISNUMBER(SEARCH("Xicohténcatl",D173)),"SXC",ISNUMBER(SEARCH("Rojo Gómez",D173)),"SRG",ISNUMBER(SEARCH("Tlaxcala",D173)),"STX",ISNUMBER(SEARCH("Monterrey",D173)),"SMY",ISNUMBER(SEARCH("Querétaro",D173)),"SQ1",ISNUMBER(SEARCH("CDMX",D173)),"SCM",TRUE,""),"")</f>
        <v/>
      </c>
      <c r="U173" s="48" t="str" cm="1">
        <f t="array" ref="U173">_xlfn.LET(_xlpm.resultados,_xlfn.UNIQUE(_xlfn._xlws.FILTER(Tabla1[Proceso],(Tabla1[Metal Base]=O173)*(Tabla1[Etiquetas]=_xlfn.TEXTJOIN(" + ",TRUE,IF((TRIM(Upload!P173:S173)="")+(LOWER(TRIM(Upload!P173:S173))="(seleccione)"),"",PROPER(TRIM(Upload!P173:S173)))))*(Tabla1[Línea2]=IFERROR(VLOOKUP(Upload!N173&amp;"*",CAT_Procesos!D:D,1,FALSE),"")))),_xlpm.cantidad,ROWS(_xlpm.resultados),IF(ISERROR(_xlpm.cantidad),"Combinación no existente",IF(_xlpm.cantidad=1,INDEX(_xlpm.resultados,1),"(seleccione)")))</f>
        <v>Combinación no existente</v>
      </c>
      <c r="V173" s="55" t="s">
        <v>73</v>
      </c>
      <c r="W173" s="56" t="s">
        <v>73</v>
      </c>
      <c r="X173" s="57" t="str">
        <f t="shared" si="8"/>
        <v/>
      </c>
      <c r="Y173" s="58" t="s">
        <v>73</v>
      </c>
      <c r="Z173" s="57" t="str">
        <f t="shared" si="9"/>
        <v/>
      </c>
      <c r="AA173" s="58" t="s">
        <v>73</v>
      </c>
      <c r="AB173" s="57" t="str">
        <f t="shared" si="10"/>
        <v/>
      </c>
      <c r="AC173" s="58" t="s">
        <v>73</v>
      </c>
      <c r="AD173" s="57" t="str">
        <f t="shared" si="11"/>
        <v/>
      </c>
      <c r="AE173" s="59"/>
      <c r="AF173" s="59"/>
      <c r="AG173" s="59"/>
      <c r="AH173" s="59"/>
      <c r="AI173" s="59" t="s">
        <v>73</v>
      </c>
      <c r="AJ173" s="59"/>
      <c r="AK173" s="59" t="s">
        <v>73</v>
      </c>
      <c r="AL173" s="59"/>
      <c r="AM173" s="59" t="s">
        <v>73</v>
      </c>
      <c r="AN173" s="59"/>
      <c r="AO173" s="59" t="s">
        <v>73</v>
      </c>
      <c r="AP173" s="59"/>
      <c r="AQ173" s="59" t="s">
        <v>73</v>
      </c>
      <c r="AR173" s="59"/>
      <c r="AS173" s="59" t="s">
        <v>72</v>
      </c>
      <c r="AT173" s="59"/>
      <c r="AU173" s="59"/>
      <c r="AV173" s="59"/>
      <c r="AW173" s="59"/>
      <c r="AX173" s="59"/>
      <c r="AY173" s="60" t="str">
        <f>IF('Cálculo MP'!K183="","",'Cálculo MP'!K183)</f>
        <v/>
      </c>
      <c r="AZ173" s="60" t="str">
        <f>IF('Cálculo MP'!L183="","",'Cálculo MP'!L183)</f>
        <v/>
      </c>
      <c r="BA173" s="60" t="str">
        <f>IF('Cálculo MP'!M183="","",'Cálculo MP'!M183)</f>
        <v/>
      </c>
      <c r="BB173" s="60" t="str">
        <f>IF('Cálculo MP'!N183="","",'Cálculo MP'!N183)</f>
        <v/>
      </c>
      <c r="BC173" s="60" t="str">
        <f>IF('Cálculo MP'!O183="","",'Cálculo MP'!O183)</f>
        <v/>
      </c>
      <c r="BD173" s="60" t="str">
        <f>IF('Cálculo MP'!P183="","",'Cálculo MP'!P183)</f>
        <v/>
      </c>
      <c r="BE173" s="60" t="str">
        <f>IF('Cálculo MP'!Q183="","",'Cálculo MP'!Q183)</f>
        <v/>
      </c>
      <c r="BF173" s="60" t="str">
        <f>IF('Cálculo MP'!R183="","",'Cálculo MP'!R183)</f>
        <v/>
      </c>
      <c r="BG173" s="60" t="str">
        <f>IF('Cálculo MP'!S183="","",'Cálculo MP'!S183)</f>
        <v/>
      </c>
      <c r="BH173" s="59"/>
      <c r="BI173" s="59"/>
      <c r="BJ173" s="59"/>
      <c r="BK173" s="59"/>
      <c r="BL173" s="59"/>
      <c r="BM173" s="59"/>
      <c r="BN173" s="59"/>
      <c r="BO173" s="59"/>
    </row>
    <row r="174" spans="1:67" ht="19.5" customHeight="1" x14ac:dyDescent="0.2">
      <c r="A174" s="114" t="s">
        <v>1789</v>
      </c>
      <c r="B174" s="113" t="s">
        <v>1787</v>
      </c>
      <c r="C174" s="122"/>
      <c r="D174" s="48" t="s">
        <v>73</v>
      </c>
      <c r="E174" s="49"/>
      <c r="F174" s="50"/>
      <c r="G174" s="62"/>
      <c r="H174" s="48" t="s">
        <v>72</v>
      </c>
      <c r="I174" s="52">
        <v>1</v>
      </c>
      <c r="J174" s="52"/>
      <c r="K174" s="52" t="s">
        <v>73</v>
      </c>
      <c r="L174" s="52" t="s">
        <v>74</v>
      </c>
      <c r="M174" s="53" t="s">
        <v>917</v>
      </c>
      <c r="N174" s="58" t="s">
        <v>73</v>
      </c>
      <c r="O174" s="48" t="s">
        <v>72</v>
      </c>
      <c r="P174" s="48" t="s">
        <v>73</v>
      </c>
      <c r="Q174" s="54" t="s">
        <v>73</v>
      </c>
      <c r="R174" s="55" t="s">
        <v>73</v>
      </c>
      <c r="S174" s="48" t="s">
        <v>73</v>
      </c>
      <c r="T174" s="121" t="str" cm="1">
        <f t="array" ref="T174">IF(ISNUMBER(SEARCH("SCHNEIDER",D174)),_xlfn.IFS(ISNUMBER(SEARCH("2 Querétaro",D174)),"SQ2",ISNUMBER(SEARCH("Xicohténcatl",D174)),"SXC",ISNUMBER(SEARCH("Rojo Gómez",D174)),"SRG",ISNUMBER(SEARCH("Tlaxcala",D174)),"STX",ISNUMBER(SEARCH("Monterrey",D174)),"SMY",ISNUMBER(SEARCH("Querétaro",D174)),"SQ1",ISNUMBER(SEARCH("CDMX",D174)),"SCM",TRUE,""),"")</f>
        <v/>
      </c>
      <c r="U174" s="48" t="str" cm="1">
        <f t="array" ref="U174">_xlfn.LET(_xlpm.resultados,_xlfn.UNIQUE(_xlfn._xlws.FILTER(Tabla1[Proceso],(Tabla1[Metal Base]=O174)*(Tabla1[Etiquetas]=_xlfn.TEXTJOIN(" + ",TRUE,IF((TRIM(Upload!P174:S174)="")+(LOWER(TRIM(Upload!P174:S174))="(seleccione)"),"",PROPER(TRIM(Upload!P174:S174)))))*(Tabla1[Línea2]=IFERROR(VLOOKUP(Upload!N174&amp;"*",CAT_Procesos!D:D,1,FALSE),"")))),_xlpm.cantidad,ROWS(_xlpm.resultados),IF(ISERROR(_xlpm.cantidad),"Combinación no existente",IF(_xlpm.cantidad=1,INDEX(_xlpm.resultados,1),"(seleccione)")))</f>
        <v>Combinación no existente</v>
      </c>
      <c r="V174" s="55" t="s">
        <v>73</v>
      </c>
      <c r="W174" s="56" t="s">
        <v>73</v>
      </c>
      <c r="X174" s="57" t="str">
        <f t="shared" si="8"/>
        <v/>
      </c>
      <c r="Y174" s="58" t="s">
        <v>73</v>
      </c>
      <c r="Z174" s="57" t="str">
        <f t="shared" si="9"/>
        <v/>
      </c>
      <c r="AA174" s="58" t="s">
        <v>73</v>
      </c>
      <c r="AB174" s="57" t="str">
        <f t="shared" si="10"/>
        <v/>
      </c>
      <c r="AC174" s="58" t="s">
        <v>73</v>
      </c>
      <c r="AD174" s="57" t="str">
        <f t="shared" si="11"/>
        <v/>
      </c>
      <c r="AE174" s="59"/>
      <c r="AF174" s="59"/>
      <c r="AG174" s="59"/>
      <c r="AH174" s="59"/>
      <c r="AI174" s="59" t="s">
        <v>73</v>
      </c>
      <c r="AJ174" s="59"/>
      <c r="AK174" s="59" t="s">
        <v>73</v>
      </c>
      <c r="AL174" s="59"/>
      <c r="AM174" s="59" t="s">
        <v>73</v>
      </c>
      <c r="AN174" s="59"/>
      <c r="AO174" s="59" t="s">
        <v>73</v>
      </c>
      <c r="AP174" s="59"/>
      <c r="AQ174" s="59" t="s">
        <v>73</v>
      </c>
      <c r="AR174" s="59"/>
      <c r="AS174" s="59" t="s">
        <v>72</v>
      </c>
      <c r="AT174" s="59"/>
      <c r="AU174" s="59"/>
      <c r="AV174" s="59"/>
      <c r="AW174" s="59"/>
      <c r="AX174" s="59"/>
      <c r="AY174" s="60" t="str">
        <f>IF('Cálculo MP'!K184="","",'Cálculo MP'!K184)</f>
        <v/>
      </c>
      <c r="AZ174" s="60" t="str">
        <f>IF('Cálculo MP'!L184="","",'Cálculo MP'!L184)</f>
        <v/>
      </c>
      <c r="BA174" s="60" t="str">
        <f>IF('Cálculo MP'!M184="","",'Cálculo MP'!M184)</f>
        <v/>
      </c>
      <c r="BB174" s="60" t="str">
        <f>IF('Cálculo MP'!N184="","",'Cálculo MP'!N184)</f>
        <v/>
      </c>
      <c r="BC174" s="60" t="str">
        <f>IF('Cálculo MP'!O184="","",'Cálculo MP'!O184)</f>
        <v/>
      </c>
      <c r="BD174" s="60" t="str">
        <f>IF('Cálculo MP'!P184="","",'Cálculo MP'!P184)</f>
        <v/>
      </c>
      <c r="BE174" s="60" t="str">
        <f>IF('Cálculo MP'!Q184="","",'Cálculo MP'!Q184)</f>
        <v/>
      </c>
      <c r="BF174" s="60" t="str">
        <f>IF('Cálculo MP'!R184="","",'Cálculo MP'!R184)</f>
        <v/>
      </c>
      <c r="BG174" s="60" t="str">
        <f>IF('Cálculo MP'!S184="","",'Cálculo MP'!S184)</f>
        <v/>
      </c>
      <c r="BH174" s="59"/>
      <c r="BI174" s="59"/>
      <c r="BJ174" s="59"/>
      <c r="BK174" s="59"/>
      <c r="BL174" s="59"/>
      <c r="BM174" s="59"/>
      <c r="BN174" s="59"/>
      <c r="BO174" s="59"/>
    </row>
    <row r="175" spans="1:67" ht="19.5" customHeight="1" x14ac:dyDescent="0.2">
      <c r="A175" s="114" t="s">
        <v>1789</v>
      </c>
      <c r="B175" s="113" t="s">
        <v>1787</v>
      </c>
      <c r="C175" s="122"/>
      <c r="D175" s="48" t="s">
        <v>73</v>
      </c>
      <c r="E175" s="49"/>
      <c r="F175" s="50"/>
      <c r="G175" s="62"/>
      <c r="H175" s="48" t="s">
        <v>72</v>
      </c>
      <c r="I175" s="52">
        <v>1</v>
      </c>
      <c r="J175" s="52"/>
      <c r="K175" s="52" t="s">
        <v>73</v>
      </c>
      <c r="L175" s="52" t="s">
        <v>74</v>
      </c>
      <c r="M175" s="53" t="s">
        <v>917</v>
      </c>
      <c r="N175" s="58" t="s">
        <v>73</v>
      </c>
      <c r="O175" s="48" t="s">
        <v>72</v>
      </c>
      <c r="P175" s="48" t="s">
        <v>73</v>
      </c>
      <c r="Q175" s="54" t="s">
        <v>73</v>
      </c>
      <c r="R175" s="55" t="s">
        <v>73</v>
      </c>
      <c r="S175" s="48" t="s">
        <v>73</v>
      </c>
      <c r="T175" s="121" t="str" cm="1">
        <f t="array" ref="T175">IF(ISNUMBER(SEARCH("SCHNEIDER",D175)),_xlfn.IFS(ISNUMBER(SEARCH("2 Querétaro",D175)),"SQ2",ISNUMBER(SEARCH("Xicohténcatl",D175)),"SXC",ISNUMBER(SEARCH("Rojo Gómez",D175)),"SRG",ISNUMBER(SEARCH("Tlaxcala",D175)),"STX",ISNUMBER(SEARCH("Monterrey",D175)),"SMY",ISNUMBER(SEARCH("Querétaro",D175)),"SQ1",ISNUMBER(SEARCH("CDMX",D175)),"SCM",TRUE,""),"")</f>
        <v/>
      </c>
      <c r="U175" s="48" t="str" cm="1">
        <f t="array" ref="U175">_xlfn.LET(_xlpm.resultados,_xlfn.UNIQUE(_xlfn._xlws.FILTER(Tabla1[Proceso],(Tabla1[Metal Base]=O175)*(Tabla1[Etiquetas]=_xlfn.TEXTJOIN(" + ",TRUE,IF((TRIM(Upload!P175:S175)="")+(LOWER(TRIM(Upload!P175:S175))="(seleccione)"),"",PROPER(TRIM(Upload!P175:S175)))))*(Tabla1[Línea2]=IFERROR(VLOOKUP(Upload!N175&amp;"*",CAT_Procesos!D:D,1,FALSE),"")))),_xlpm.cantidad,ROWS(_xlpm.resultados),IF(ISERROR(_xlpm.cantidad),"Combinación no existente",IF(_xlpm.cantidad=1,INDEX(_xlpm.resultados,1),"(seleccione)")))</f>
        <v>Combinación no existente</v>
      </c>
      <c r="V175" s="55" t="s">
        <v>73</v>
      </c>
      <c r="W175" s="56" t="s">
        <v>73</v>
      </c>
      <c r="X175" s="57" t="str">
        <f t="shared" si="8"/>
        <v/>
      </c>
      <c r="Y175" s="58" t="s">
        <v>73</v>
      </c>
      <c r="Z175" s="57" t="str">
        <f t="shared" si="9"/>
        <v/>
      </c>
      <c r="AA175" s="58" t="s">
        <v>73</v>
      </c>
      <c r="AB175" s="57" t="str">
        <f t="shared" si="10"/>
        <v/>
      </c>
      <c r="AC175" s="58" t="s">
        <v>73</v>
      </c>
      <c r="AD175" s="57" t="str">
        <f t="shared" si="11"/>
        <v/>
      </c>
      <c r="AE175" s="59"/>
      <c r="AF175" s="59"/>
      <c r="AG175" s="59"/>
      <c r="AH175" s="59"/>
      <c r="AI175" s="59" t="s">
        <v>73</v>
      </c>
      <c r="AJ175" s="59"/>
      <c r="AK175" s="59" t="s">
        <v>73</v>
      </c>
      <c r="AL175" s="59"/>
      <c r="AM175" s="59" t="s">
        <v>73</v>
      </c>
      <c r="AN175" s="59"/>
      <c r="AO175" s="59" t="s">
        <v>73</v>
      </c>
      <c r="AP175" s="59"/>
      <c r="AQ175" s="59" t="s">
        <v>73</v>
      </c>
      <c r="AR175" s="59"/>
      <c r="AS175" s="59" t="s">
        <v>72</v>
      </c>
      <c r="AT175" s="59"/>
      <c r="AU175" s="59"/>
      <c r="AV175" s="59"/>
      <c r="AW175" s="59"/>
      <c r="AX175" s="59"/>
      <c r="AY175" s="60" t="str">
        <f>IF('Cálculo MP'!K185="","",'Cálculo MP'!K185)</f>
        <v/>
      </c>
      <c r="AZ175" s="60" t="str">
        <f>IF('Cálculo MP'!L185="","",'Cálculo MP'!L185)</f>
        <v/>
      </c>
      <c r="BA175" s="60" t="str">
        <f>IF('Cálculo MP'!M185="","",'Cálculo MP'!M185)</f>
        <v/>
      </c>
      <c r="BB175" s="60" t="str">
        <f>IF('Cálculo MP'!N185="","",'Cálculo MP'!N185)</f>
        <v/>
      </c>
      <c r="BC175" s="60" t="str">
        <f>IF('Cálculo MP'!O185="","",'Cálculo MP'!O185)</f>
        <v/>
      </c>
      <c r="BD175" s="60" t="str">
        <f>IF('Cálculo MP'!P185="","",'Cálculo MP'!P185)</f>
        <v/>
      </c>
      <c r="BE175" s="60" t="str">
        <f>IF('Cálculo MP'!Q185="","",'Cálculo MP'!Q185)</f>
        <v/>
      </c>
      <c r="BF175" s="60" t="str">
        <f>IF('Cálculo MP'!R185="","",'Cálculo MP'!R185)</f>
        <v/>
      </c>
      <c r="BG175" s="60" t="str">
        <f>IF('Cálculo MP'!S185="","",'Cálculo MP'!S185)</f>
        <v/>
      </c>
      <c r="BH175" s="59"/>
      <c r="BI175" s="59"/>
      <c r="BJ175" s="59"/>
      <c r="BK175" s="59"/>
      <c r="BL175" s="59"/>
      <c r="BM175" s="59"/>
      <c r="BN175" s="59"/>
      <c r="BO175" s="59"/>
    </row>
    <row r="176" spans="1:67" ht="19.5" customHeight="1" x14ac:dyDescent="0.2">
      <c r="A176" s="114" t="s">
        <v>1789</v>
      </c>
      <c r="B176" s="113" t="s">
        <v>1787</v>
      </c>
      <c r="C176" s="122"/>
      <c r="D176" s="48" t="s">
        <v>73</v>
      </c>
      <c r="E176" s="49"/>
      <c r="F176" s="50"/>
      <c r="G176" s="62"/>
      <c r="H176" s="48" t="s">
        <v>72</v>
      </c>
      <c r="I176" s="52">
        <v>1</v>
      </c>
      <c r="J176" s="52"/>
      <c r="K176" s="52" t="s">
        <v>73</v>
      </c>
      <c r="L176" s="52" t="s">
        <v>74</v>
      </c>
      <c r="M176" s="53" t="s">
        <v>917</v>
      </c>
      <c r="N176" s="58" t="s">
        <v>73</v>
      </c>
      <c r="O176" s="48" t="s">
        <v>72</v>
      </c>
      <c r="P176" s="48" t="s">
        <v>73</v>
      </c>
      <c r="Q176" s="54" t="s">
        <v>73</v>
      </c>
      <c r="R176" s="55" t="s">
        <v>73</v>
      </c>
      <c r="S176" s="48" t="s">
        <v>73</v>
      </c>
      <c r="T176" s="121" t="str" cm="1">
        <f t="array" ref="T176">IF(ISNUMBER(SEARCH("SCHNEIDER",D176)),_xlfn.IFS(ISNUMBER(SEARCH("2 Querétaro",D176)),"SQ2",ISNUMBER(SEARCH("Xicohténcatl",D176)),"SXC",ISNUMBER(SEARCH("Rojo Gómez",D176)),"SRG",ISNUMBER(SEARCH("Tlaxcala",D176)),"STX",ISNUMBER(SEARCH("Monterrey",D176)),"SMY",ISNUMBER(SEARCH("Querétaro",D176)),"SQ1",ISNUMBER(SEARCH("CDMX",D176)),"SCM",TRUE,""),"")</f>
        <v/>
      </c>
      <c r="U176" s="48" t="str" cm="1">
        <f t="array" ref="U176">_xlfn.LET(_xlpm.resultados,_xlfn.UNIQUE(_xlfn._xlws.FILTER(Tabla1[Proceso],(Tabla1[Metal Base]=O176)*(Tabla1[Etiquetas]=_xlfn.TEXTJOIN(" + ",TRUE,IF((TRIM(Upload!P176:S176)="")+(LOWER(TRIM(Upload!P176:S176))="(seleccione)"),"",PROPER(TRIM(Upload!P176:S176)))))*(Tabla1[Línea2]=IFERROR(VLOOKUP(Upload!N176&amp;"*",CAT_Procesos!D:D,1,FALSE),"")))),_xlpm.cantidad,ROWS(_xlpm.resultados),IF(ISERROR(_xlpm.cantidad),"Combinación no existente",IF(_xlpm.cantidad=1,INDEX(_xlpm.resultados,1),"(seleccione)")))</f>
        <v>Combinación no existente</v>
      </c>
      <c r="V176" s="55" t="s">
        <v>73</v>
      </c>
      <c r="W176" s="56" t="s">
        <v>73</v>
      </c>
      <c r="X176" s="57" t="str">
        <f t="shared" si="8"/>
        <v/>
      </c>
      <c r="Y176" s="58" t="s">
        <v>73</v>
      </c>
      <c r="Z176" s="57" t="str">
        <f t="shared" si="9"/>
        <v/>
      </c>
      <c r="AA176" s="58" t="s">
        <v>73</v>
      </c>
      <c r="AB176" s="57" t="str">
        <f t="shared" si="10"/>
        <v/>
      </c>
      <c r="AC176" s="58" t="s">
        <v>73</v>
      </c>
      <c r="AD176" s="57" t="str">
        <f t="shared" si="11"/>
        <v/>
      </c>
      <c r="AE176" s="59"/>
      <c r="AF176" s="59"/>
      <c r="AG176" s="59"/>
      <c r="AH176" s="59"/>
      <c r="AI176" s="59" t="s">
        <v>73</v>
      </c>
      <c r="AJ176" s="59"/>
      <c r="AK176" s="59" t="s">
        <v>73</v>
      </c>
      <c r="AL176" s="59"/>
      <c r="AM176" s="59" t="s">
        <v>73</v>
      </c>
      <c r="AN176" s="59"/>
      <c r="AO176" s="59" t="s">
        <v>73</v>
      </c>
      <c r="AP176" s="59"/>
      <c r="AQ176" s="59" t="s">
        <v>73</v>
      </c>
      <c r="AR176" s="59"/>
      <c r="AS176" s="59" t="s">
        <v>72</v>
      </c>
      <c r="AT176" s="59"/>
      <c r="AU176" s="59"/>
      <c r="AV176" s="59"/>
      <c r="AW176" s="59"/>
      <c r="AX176" s="59"/>
      <c r="AY176" s="60" t="str">
        <f>IF('Cálculo MP'!K186="","",'Cálculo MP'!K186)</f>
        <v/>
      </c>
      <c r="AZ176" s="60" t="str">
        <f>IF('Cálculo MP'!L186="","",'Cálculo MP'!L186)</f>
        <v/>
      </c>
      <c r="BA176" s="60" t="str">
        <f>IF('Cálculo MP'!M186="","",'Cálculo MP'!M186)</f>
        <v/>
      </c>
      <c r="BB176" s="60" t="str">
        <f>IF('Cálculo MP'!N186="","",'Cálculo MP'!N186)</f>
        <v/>
      </c>
      <c r="BC176" s="60" t="str">
        <f>IF('Cálculo MP'!O186="","",'Cálculo MP'!O186)</f>
        <v/>
      </c>
      <c r="BD176" s="60" t="str">
        <f>IF('Cálculo MP'!P186="","",'Cálculo MP'!P186)</f>
        <v/>
      </c>
      <c r="BE176" s="60" t="str">
        <f>IF('Cálculo MP'!Q186="","",'Cálculo MP'!Q186)</f>
        <v/>
      </c>
      <c r="BF176" s="60" t="str">
        <f>IF('Cálculo MP'!R186="","",'Cálculo MP'!R186)</f>
        <v/>
      </c>
      <c r="BG176" s="60" t="str">
        <f>IF('Cálculo MP'!S186="","",'Cálculo MP'!S186)</f>
        <v/>
      </c>
      <c r="BH176" s="59"/>
      <c r="BI176" s="59"/>
      <c r="BJ176" s="59"/>
      <c r="BK176" s="59"/>
      <c r="BL176" s="59"/>
      <c r="BM176" s="59"/>
      <c r="BN176" s="59"/>
      <c r="BO176" s="59"/>
    </row>
    <row r="177" spans="1:67" ht="19.5" customHeight="1" x14ac:dyDescent="0.2">
      <c r="A177" s="114" t="s">
        <v>1789</v>
      </c>
      <c r="B177" s="113" t="s">
        <v>1787</v>
      </c>
      <c r="C177" s="122"/>
      <c r="D177" s="48" t="s">
        <v>73</v>
      </c>
      <c r="E177" s="49"/>
      <c r="F177" s="50"/>
      <c r="G177" s="62"/>
      <c r="H177" s="48" t="s">
        <v>72</v>
      </c>
      <c r="I177" s="52">
        <v>1</v>
      </c>
      <c r="J177" s="52"/>
      <c r="K177" s="52" t="s">
        <v>73</v>
      </c>
      <c r="L177" s="52" t="s">
        <v>74</v>
      </c>
      <c r="M177" s="53" t="s">
        <v>917</v>
      </c>
      <c r="N177" s="58" t="s">
        <v>73</v>
      </c>
      <c r="O177" s="48" t="s">
        <v>72</v>
      </c>
      <c r="P177" s="48" t="s">
        <v>73</v>
      </c>
      <c r="Q177" s="54" t="s">
        <v>73</v>
      </c>
      <c r="R177" s="55" t="s">
        <v>73</v>
      </c>
      <c r="S177" s="48" t="s">
        <v>73</v>
      </c>
      <c r="T177" s="121" t="str" cm="1">
        <f t="array" ref="T177">IF(ISNUMBER(SEARCH("SCHNEIDER",D177)),_xlfn.IFS(ISNUMBER(SEARCH("2 Querétaro",D177)),"SQ2",ISNUMBER(SEARCH("Xicohténcatl",D177)),"SXC",ISNUMBER(SEARCH("Rojo Gómez",D177)),"SRG",ISNUMBER(SEARCH("Tlaxcala",D177)),"STX",ISNUMBER(SEARCH("Monterrey",D177)),"SMY",ISNUMBER(SEARCH("Querétaro",D177)),"SQ1",ISNUMBER(SEARCH("CDMX",D177)),"SCM",TRUE,""),"")</f>
        <v/>
      </c>
      <c r="U177" s="48" t="str" cm="1">
        <f t="array" ref="U177">_xlfn.LET(_xlpm.resultados,_xlfn.UNIQUE(_xlfn._xlws.FILTER(Tabla1[Proceso],(Tabla1[Metal Base]=O177)*(Tabla1[Etiquetas]=_xlfn.TEXTJOIN(" + ",TRUE,IF((TRIM(Upload!P177:S177)="")+(LOWER(TRIM(Upload!P177:S177))="(seleccione)"),"",PROPER(TRIM(Upload!P177:S177)))))*(Tabla1[Línea2]=IFERROR(VLOOKUP(Upload!N177&amp;"*",CAT_Procesos!D:D,1,FALSE),"")))),_xlpm.cantidad,ROWS(_xlpm.resultados),IF(ISERROR(_xlpm.cantidad),"Combinación no existente",IF(_xlpm.cantidad=1,INDEX(_xlpm.resultados,1),"(seleccione)")))</f>
        <v>Combinación no existente</v>
      </c>
      <c r="V177" s="55" t="s">
        <v>73</v>
      </c>
      <c r="W177" s="56" t="s">
        <v>73</v>
      </c>
      <c r="X177" s="57" t="str">
        <f t="shared" si="8"/>
        <v/>
      </c>
      <c r="Y177" s="58" t="s">
        <v>73</v>
      </c>
      <c r="Z177" s="57" t="str">
        <f t="shared" si="9"/>
        <v/>
      </c>
      <c r="AA177" s="58" t="s">
        <v>73</v>
      </c>
      <c r="AB177" s="57" t="str">
        <f t="shared" si="10"/>
        <v/>
      </c>
      <c r="AC177" s="58" t="s">
        <v>73</v>
      </c>
      <c r="AD177" s="57" t="str">
        <f t="shared" si="11"/>
        <v/>
      </c>
      <c r="AE177" s="59"/>
      <c r="AF177" s="59"/>
      <c r="AG177" s="59"/>
      <c r="AH177" s="59"/>
      <c r="AI177" s="59" t="s">
        <v>73</v>
      </c>
      <c r="AJ177" s="59"/>
      <c r="AK177" s="59" t="s">
        <v>73</v>
      </c>
      <c r="AL177" s="59"/>
      <c r="AM177" s="59" t="s">
        <v>73</v>
      </c>
      <c r="AN177" s="59"/>
      <c r="AO177" s="59" t="s">
        <v>73</v>
      </c>
      <c r="AP177" s="59"/>
      <c r="AQ177" s="59" t="s">
        <v>73</v>
      </c>
      <c r="AR177" s="59"/>
      <c r="AS177" s="59" t="s">
        <v>72</v>
      </c>
      <c r="AT177" s="59"/>
      <c r="AU177" s="59"/>
      <c r="AV177" s="59"/>
      <c r="AW177" s="59"/>
      <c r="AX177" s="59"/>
      <c r="AY177" s="60" t="str">
        <f>IF('Cálculo MP'!K187="","",'Cálculo MP'!K187)</f>
        <v/>
      </c>
      <c r="AZ177" s="60" t="str">
        <f>IF('Cálculo MP'!L187="","",'Cálculo MP'!L187)</f>
        <v/>
      </c>
      <c r="BA177" s="60" t="str">
        <f>IF('Cálculo MP'!M187="","",'Cálculo MP'!M187)</f>
        <v/>
      </c>
      <c r="BB177" s="60" t="str">
        <f>IF('Cálculo MP'!N187="","",'Cálculo MP'!N187)</f>
        <v/>
      </c>
      <c r="BC177" s="60" t="str">
        <f>IF('Cálculo MP'!O187="","",'Cálculo MP'!O187)</f>
        <v/>
      </c>
      <c r="BD177" s="60" t="str">
        <f>IF('Cálculo MP'!P187="","",'Cálculo MP'!P187)</f>
        <v/>
      </c>
      <c r="BE177" s="60" t="str">
        <f>IF('Cálculo MP'!Q187="","",'Cálculo MP'!Q187)</f>
        <v/>
      </c>
      <c r="BF177" s="60" t="str">
        <f>IF('Cálculo MP'!R187="","",'Cálculo MP'!R187)</f>
        <v/>
      </c>
      <c r="BG177" s="60" t="str">
        <f>IF('Cálculo MP'!S187="","",'Cálculo MP'!S187)</f>
        <v/>
      </c>
      <c r="BH177" s="59"/>
      <c r="BI177" s="59"/>
      <c r="BJ177" s="59"/>
      <c r="BK177" s="59"/>
      <c r="BL177" s="59"/>
      <c r="BM177" s="59"/>
      <c r="BN177" s="59"/>
      <c r="BO177" s="59"/>
    </row>
    <row r="178" spans="1:67" ht="19.5" customHeight="1" x14ac:dyDescent="0.2">
      <c r="A178" s="114" t="s">
        <v>1789</v>
      </c>
      <c r="B178" s="113" t="s">
        <v>1787</v>
      </c>
      <c r="C178" s="122"/>
      <c r="D178" s="48" t="s">
        <v>73</v>
      </c>
      <c r="E178" s="49"/>
      <c r="F178" s="50"/>
      <c r="G178" s="62"/>
      <c r="H178" s="48" t="s">
        <v>72</v>
      </c>
      <c r="I178" s="52">
        <v>1</v>
      </c>
      <c r="J178" s="52"/>
      <c r="K178" s="52" t="s">
        <v>73</v>
      </c>
      <c r="L178" s="52" t="s">
        <v>74</v>
      </c>
      <c r="M178" s="53" t="s">
        <v>917</v>
      </c>
      <c r="N178" s="58" t="s">
        <v>73</v>
      </c>
      <c r="O178" s="48" t="s">
        <v>72</v>
      </c>
      <c r="P178" s="48" t="s">
        <v>73</v>
      </c>
      <c r="Q178" s="54" t="s">
        <v>73</v>
      </c>
      <c r="R178" s="55" t="s">
        <v>73</v>
      </c>
      <c r="S178" s="48" t="s">
        <v>73</v>
      </c>
      <c r="T178" s="121" t="str" cm="1">
        <f t="array" ref="T178">IF(ISNUMBER(SEARCH("SCHNEIDER",D178)),_xlfn.IFS(ISNUMBER(SEARCH("2 Querétaro",D178)),"SQ2",ISNUMBER(SEARCH("Xicohténcatl",D178)),"SXC",ISNUMBER(SEARCH("Rojo Gómez",D178)),"SRG",ISNUMBER(SEARCH("Tlaxcala",D178)),"STX",ISNUMBER(SEARCH("Monterrey",D178)),"SMY",ISNUMBER(SEARCH("Querétaro",D178)),"SQ1",ISNUMBER(SEARCH("CDMX",D178)),"SCM",TRUE,""),"")</f>
        <v/>
      </c>
      <c r="U178" s="48" t="str" cm="1">
        <f t="array" ref="U178">_xlfn.LET(_xlpm.resultados,_xlfn.UNIQUE(_xlfn._xlws.FILTER(Tabla1[Proceso],(Tabla1[Metal Base]=O178)*(Tabla1[Etiquetas]=_xlfn.TEXTJOIN(" + ",TRUE,IF((TRIM(Upload!P178:S178)="")+(LOWER(TRIM(Upload!P178:S178))="(seleccione)"),"",PROPER(TRIM(Upload!P178:S178)))))*(Tabla1[Línea2]=IFERROR(VLOOKUP(Upload!N178&amp;"*",CAT_Procesos!D:D,1,FALSE),"")))),_xlpm.cantidad,ROWS(_xlpm.resultados),IF(ISERROR(_xlpm.cantidad),"Combinación no existente",IF(_xlpm.cantidad=1,INDEX(_xlpm.resultados,1),"(seleccione)")))</f>
        <v>Combinación no existente</v>
      </c>
      <c r="V178" s="55" t="s">
        <v>73</v>
      </c>
      <c r="W178" s="56" t="s">
        <v>73</v>
      </c>
      <c r="X178" s="57" t="str">
        <f t="shared" si="8"/>
        <v/>
      </c>
      <c r="Y178" s="58" t="s">
        <v>73</v>
      </c>
      <c r="Z178" s="57" t="str">
        <f t="shared" si="9"/>
        <v/>
      </c>
      <c r="AA178" s="58" t="s">
        <v>73</v>
      </c>
      <c r="AB178" s="57" t="str">
        <f t="shared" si="10"/>
        <v/>
      </c>
      <c r="AC178" s="58" t="s">
        <v>73</v>
      </c>
      <c r="AD178" s="57" t="str">
        <f t="shared" si="11"/>
        <v/>
      </c>
      <c r="AE178" s="59"/>
      <c r="AF178" s="59"/>
      <c r="AG178" s="59"/>
      <c r="AH178" s="59"/>
      <c r="AI178" s="59" t="s">
        <v>73</v>
      </c>
      <c r="AJ178" s="59"/>
      <c r="AK178" s="59" t="s">
        <v>73</v>
      </c>
      <c r="AL178" s="59"/>
      <c r="AM178" s="59" t="s">
        <v>73</v>
      </c>
      <c r="AN178" s="59"/>
      <c r="AO178" s="59" t="s">
        <v>73</v>
      </c>
      <c r="AP178" s="59"/>
      <c r="AQ178" s="59" t="s">
        <v>73</v>
      </c>
      <c r="AR178" s="59"/>
      <c r="AS178" s="59" t="s">
        <v>72</v>
      </c>
      <c r="AT178" s="59"/>
      <c r="AU178" s="59"/>
      <c r="AV178" s="59"/>
      <c r="AW178" s="59"/>
      <c r="AX178" s="59"/>
      <c r="AY178" s="60" t="str">
        <f>IF('Cálculo MP'!K188="","",'Cálculo MP'!K188)</f>
        <v/>
      </c>
      <c r="AZ178" s="60" t="str">
        <f>IF('Cálculo MP'!L188="","",'Cálculo MP'!L188)</f>
        <v/>
      </c>
      <c r="BA178" s="60" t="str">
        <f>IF('Cálculo MP'!M188="","",'Cálculo MP'!M188)</f>
        <v/>
      </c>
      <c r="BB178" s="60" t="str">
        <f>IF('Cálculo MP'!N188="","",'Cálculo MP'!N188)</f>
        <v/>
      </c>
      <c r="BC178" s="60" t="str">
        <f>IF('Cálculo MP'!O188="","",'Cálculo MP'!O188)</f>
        <v/>
      </c>
      <c r="BD178" s="60" t="str">
        <f>IF('Cálculo MP'!P188="","",'Cálculo MP'!P188)</f>
        <v/>
      </c>
      <c r="BE178" s="60" t="str">
        <f>IF('Cálculo MP'!Q188="","",'Cálculo MP'!Q188)</f>
        <v/>
      </c>
      <c r="BF178" s="60" t="str">
        <f>IF('Cálculo MP'!R188="","",'Cálculo MP'!R188)</f>
        <v/>
      </c>
      <c r="BG178" s="60" t="str">
        <f>IF('Cálculo MP'!S188="","",'Cálculo MP'!S188)</f>
        <v/>
      </c>
      <c r="BH178" s="59"/>
      <c r="BI178" s="59"/>
      <c r="BJ178" s="59"/>
      <c r="BK178" s="59"/>
      <c r="BL178" s="59"/>
      <c r="BM178" s="59"/>
      <c r="BN178" s="59"/>
      <c r="BO178" s="59"/>
    </row>
    <row r="179" spans="1:67" ht="19.5" customHeight="1" x14ac:dyDescent="0.2">
      <c r="A179" s="114" t="s">
        <v>1789</v>
      </c>
      <c r="B179" s="113" t="s">
        <v>1787</v>
      </c>
      <c r="C179" s="122"/>
      <c r="D179" s="48" t="s">
        <v>73</v>
      </c>
      <c r="E179" s="49"/>
      <c r="F179" s="50"/>
      <c r="G179" s="62"/>
      <c r="H179" s="48" t="s">
        <v>72</v>
      </c>
      <c r="I179" s="52">
        <v>1</v>
      </c>
      <c r="J179" s="52"/>
      <c r="K179" s="52" t="s">
        <v>73</v>
      </c>
      <c r="L179" s="52" t="s">
        <v>74</v>
      </c>
      <c r="M179" s="53" t="s">
        <v>917</v>
      </c>
      <c r="N179" s="58" t="s">
        <v>73</v>
      </c>
      <c r="O179" s="48" t="s">
        <v>72</v>
      </c>
      <c r="P179" s="48" t="s">
        <v>73</v>
      </c>
      <c r="Q179" s="54" t="s">
        <v>73</v>
      </c>
      <c r="R179" s="55" t="s">
        <v>73</v>
      </c>
      <c r="S179" s="48" t="s">
        <v>73</v>
      </c>
      <c r="T179" s="121" t="str" cm="1">
        <f t="array" ref="T179">IF(ISNUMBER(SEARCH("SCHNEIDER",D179)),_xlfn.IFS(ISNUMBER(SEARCH("2 Querétaro",D179)),"SQ2",ISNUMBER(SEARCH("Xicohténcatl",D179)),"SXC",ISNUMBER(SEARCH("Rojo Gómez",D179)),"SRG",ISNUMBER(SEARCH("Tlaxcala",D179)),"STX",ISNUMBER(SEARCH("Monterrey",D179)),"SMY",ISNUMBER(SEARCH("Querétaro",D179)),"SQ1",ISNUMBER(SEARCH("CDMX",D179)),"SCM",TRUE,""),"")</f>
        <v/>
      </c>
      <c r="U179" s="48" t="str" cm="1">
        <f t="array" ref="U179">_xlfn.LET(_xlpm.resultados,_xlfn.UNIQUE(_xlfn._xlws.FILTER(Tabla1[Proceso],(Tabla1[Metal Base]=O179)*(Tabla1[Etiquetas]=_xlfn.TEXTJOIN(" + ",TRUE,IF((TRIM(Upload!P179:S179)="")+(LOWER(TRIM(Upload!P179:S179))="(seleccione)"),"",PROPER(TRIM(Upload!P179:S179)))))*(Tabla1[Línea2]=IFERROR(VLOOKUP(Upload!N179&amp;"*",CAT_Procesos!D:D,1,FALSE),"")))),_xlpm.cantidad,ROWS(_xlpm.resultados),IF(ISERROR(_xlpm.cantidad),"Combinación no existente",IF(_xlpm.cantidad=1,INDEX(_xlpm.resultados,1),"(seleccione)")))</f>
        <v>Combinación no existente</v>
      </c>
      <c r="V179" s="55" t="s">
        <v>73</v>
      </c>
      <c r="W179" s="56" t="s">
        <v>73</v>
      </c>
      <c r="X179" s="57" t="str">
        <f t="shared" si="8"/>
        <v/>
      </c>
      <c r="Y179" s="58" t="s">
        <v>73</v>
      </c>
      <c r="Z179" s="57" t="str">
        <f t="shared" si="9"/>
        <v/>
      </c>
      <c r="AA179" s="58" t="s">
        <v>73</v>
      </c>
      <c r="AB179" s="57" t="str">
        <f t="shared" si="10"/>
        <v/>
      </c>
      <c r="AC179" s="58" t="s">
        <v>73</v>
      </c>
      <c r="AD179" s="57" t="str">
        <f t="shared" si="11"/>
        <v/>
      </c>
      <c r="AE179" s="59"/>
      <c r="AF179" s="59"/>
      <c r="AG179" s="59"/>
      <c r="AH179" s="59"/>
      <c r="AI179" s="59" t="s">
        <v>73</v>
      </c>
      <c r="AJ179" s="59"/>
      <c r="AK179" s="59" t="s">
        <v>73</v>
      </c>
      <c r="AL179" s="59"/>
      <c r="AM179" s="59" t="s">
        <v>73</v>
      </c>
      <c r="AN179" s="59"/>
      <c r="AO179" s="59" t="s">
        <v>73</v>
      </c>
      <c r="AP179" s="59"/>
      <c r="AQ179" s="59" t="s">
        <v>73</v>
      </c>
      <c r="AR179" s="59"/>
      <c r="AS179" s="59" t="s">
        <v>72</v>
      </c>
      <c r="AT179" s="59"/>
      <c r="AU179" s="59"/>
      <c r="AV179" s="59"/>
      <c r="AW179" s="59"/>
      <c r="AX179" s="59"/>
      <c r="AY179" s="60" t="str">
        <f>IF('Cálculo MP'!K189="","",'Cálculo MP'!K189)</f>
        <v/>
      </c>
      <c r="AZ179" s="60" t="str">
        <f>IF('Cálculo MP'!L189="","",'Cálculo MP'!L189)</f>
        <v/>
      </c>
      <c r="BA179" s="60" t="str">
        <f>IF('Cálculo MP'!M189="","",'Cálculo MP'!M189)</f>
        <v/>
      </c>
      <c r="BB179" s="60" t="str">
        <f>IF('Cálculo MP'!N189="","",'Cálculo MP'!N189)</f>
        <v/>
      </c>
      <c r="BC179" s="60" t="str">
        <f>IF('Cálculo MP'!O189="","",'Cálculo MP'!O189)</f>
        <v/>
      </c>
      <c r="BD179" s="60" t="str">
        <f>IF('Cálculo MP'!P189="","",'Cálculo MP'!P189)</f>
        <v/>
      </c>
      <c r="BE179" s="60" t="str">
        <f>IF('Cálculo MP'!Q189="","",'Cálculo MP'!Q189)</f>
        <v/>
      </c>
      <c r="BF179" s="60" t="str">
        <f>IF('Cálculo MP'!R189="","",'Cálculo MP'!R189)</f>
        <v/>
      </c>
      <c r="BG179" s="60" t="str">
        <f>IF('Cálculo MP'!S189="","",'Cálculo MP'!S189)</f>
        <v/>
      </c>
      <c r="BH179" s="59"/>
      <c r="BI179" s="59"/>
      <c r="BJ179" s="59"/>
      <c r="BK179" s="59"/>
      <c r="BL179" s="59"/>
      <c r="BM179" s="59"/>
      <c r="BN179" s="59"/>
      <c r="BO179" s="59"/>
    </row>
    <row r="180" spans="1:67" ht="19.5" customHeight="1" x14ac:dyDescent="0.2">
      <c r="A180" s="114" t="s">
        <v>1789</v>
      </c>
      <c r="B180" s="113" t="s">
        <v>1787</v>
      </c>
      <c r="C180" s="122"/>
      <c r="D180" s="48" t="s">
        <v>73</v>
      </c>
      <c r="E180" s="49"/>
      <c r="F180" s="50"/>
      <c r="G180" s="62"/>
      <c r="H180" s="48" t="s">
        <v>72</v>
      </c>
      <c r="I180" s="52">
        <v>1</v>
      </c>
      <c r="J180" s="52"/>
      <c r="K180" s="52" t="s">
        <v>73</v>
      </c>
      <c r="L180" s="52" t="s">
        <v>74</v>
      </c>
      <c r="M180" s="53" t="s">
        <v>917</v>
      </c>
      <c r="N180" s="58" t="s">
        <v>73</v>
      </c>
      <c r="O180" s="48" t="s">
        <v>72</v>
      </c>
      <c r="P180" s="48" t="s">
        <v>73</v>
      </c>
      <c r="Q180" s="54" t="s">
        <v>73</v>
      </c>
      <c r="R180" s="55" t="s">
        <v>73</v>
      </c>
      <c r="S180" s="48" t="s">
        <v>73</v>
      </c>
      <c r="T180" s="121" t="str" cm="1">
        <f t="array" ref="T180">IF(ISNUMBER(SEARCH("SCHNEIDER",D180)),_xlfn.IFS(ISNUMBER(SEARCH("2 Querétaro",D180)),"SQ2",ISNUMBER(SEARCH("Xicohténcatl",D180)),"SXC",ISNUMBER(SEARCH("Rojo Gómez",D180)),"SRG",ISNUMBER(SEARCH("Tlaxcala",D180)),"STX",ISNUMBER(SEARCH("Monterrey",D180)),"SMY",ISNUMBER(SEARCH("Querétaro",D180)),"SQ1",ISNUMBER(SEARCH("CDMX",D180)),"SCM",TRUE,""),"")</f>
        <v/>
      </c>
      <c r="U180" s="48" t="str" cm="1">
        <f t="array" ref="U180">_xlfn.LET(_xlpm.resultados,_xlfn.UNIQUE(_xlfn._xlws.FILTER(Tabla1[Proceso],(Tabla1[Metal Base]=O180)*(Tabla1[Etiquetas]=_xlfn.TEXTJOIN(" + ",TRUE,IF((TRIM(Upload!P180:S180)="")+(LOWER(TRIM(Upload!P180:S180))="(seleccione)"),"",PROPER(TRIM(Upload!P180:S180)))))*(Tabla1[Línea2]=IFERROR(VLOOKUP(Upload!N180&amp;"*",CAT_Procesos!D:D,1,FALSE),"")))),_xlpm.cantidad,ROWS(_xlpm.resultados),IF(ISERROR(_xlpm.cantidad),"Combinación no existente",IF(_xlpm.cantidad=1,INDEX(_xlpm.resultados,1),"(seleccione)")))</f>
        <v>Combinación no existente</v>
      </c>
      <c r="V180" s="55" t="s">
        <v>73</v>
      </c>
      <c r="W180" s="56" t="s">
        <v>73</v>
      </c>
      <c r="X180" s="57" t="str">
        <f t="shared" si="8"/>
        <v/>
      </c>
      <c r="Y180" s="58" t="s">
        <v>73</v>
      </c>
      <c r="Z180" s="57" t="str">
        <f t="shared" si="9"/>
        <v/>
      </c>
      <c r="AA180" s="58" t="s">
        <v>73</v>
      </c>
      <c r="AB180" s="57" t="str">
        <f t="shared" si="10"/>
        <v/>
      </c>
      <c r="AC180" s="58" t="s">
        <v>73</v>
      </c>
      <c r="AD180" s="57" t="str">
        <f t="shared" si="11"/>
        <v/>
      </c>
      <c r="AE180" s="59"/>
      <c r="AF180" s="59"/>
      <c r="AG180" s="59"/>
      <c r="AH180" s="59"/>
      <c r="AI180" s="59" t="s">
        <v>73</v>
      </c>
      <c r="AJ180" s="59"/>
      <c r="AK180" s="59" t="s">
        <v>73</v>
      </c>
      <c r="AL180" s="59"/>
      <c r="AM180" s="59" t="s">
        <v>73</v>
      </c>
      <c r="AN180" s="59"/>
      <c r="AO180" s="59" t="s">
        <v>73</v>
      </c>
      <c r="AP180" s="59"/>
      <c r="AQ180" s="59" t="s">
        <v>73</v>
      </c>
      <c r="AR180" s="59"/>
      <c r="AS180" s="59" t="s">
        <v>72</v>
      </c>
      <c r="AT180" s="59"/>
      <c r="AU180" s="59"/>
      <c r="AV180" s="59"/>
      <c r="AW180" s="59"/>
      <c r="AX180" s="59"/>
      <c r="AY180" s="60" t="str">
        <f>IF('Cálculo MP'!K190="","",'Cálculo MP'!K190)</f>
        <v/>
      </c>
      <c r="AZ180" s="60" t="str">
        <f>IF('Cálculo MP'!L190="","",'Cálculo MP'!L190)</f>
        <v/>
      </c>
      <c r="BA180" s="60" t="str">
        <f>IF('Cálculo MP'!M190="","",'Cálculo MP'!M190)</f>
        <v/>
      </c>
      <c r="BB180" s="60" t="str">
        <f>IF('Cálculo MP'!N190="","",'Cálculo MP'!N190)</f>
        <v/>
      </c>
      <c r="BC180" s="60" t="str">
        <f>IF('Cálculo MP'!O190="","",'Cálculo MP'!O190)</f>
        <v/>
      </c>
      <c r="BD180" s="60" t="str">
        <f>IF('Cálculo MP'!P190="","",'Cálculo MP'!P190)</f>
        <v/>
      </c>
      <c r="BE180" s="60" t="str">
        <f>IF('Cálculo MP'!Q190="","",'Cálculo MP'!Q190)</f>
        <v/>
      </c>
      <c r="BF180" s="60" t="str">
        <f>IF('Cálculo MP'!R190="","",'Cálculo MP'!R190)</f>
        <v/>
      </c>
      <c r="BG180" s="60" t="str">
        <f>IF('Cálculo MP'!S190="","",'Cálculo MP'!S190)</f>
        <v/>
      </c>
      <c r="BH180" s="59"/>
      <c r="BI180" s="59"/>
      <c r="BJ180" s="59"/>
      <c r="BK180" s="59"/>
      <c r="BL180" s="59"/>
      <c r="BM180" s="59"/>
      <c r="BN180" s="59"/>
      <c r="BO180" s="59"/>
    </row>
    <row r="181" spans="1:67" ht="19.5" customHeight="1" x14ac:dyDescent="0.2">
      <c r="A181" s="114" t="s">
        <v>1789</v>
      </c>
      <c r="B181" s="113" t="s">
        <v>1787</v>
      </c>
      <c r="C181" s="122"/>
      <c r="D181" s="48" t="s">
        <v>73</v>
      </c>
      <c r="E181" s="49"/>
      <c r="F181" s="50"/>
      <c r="G181" s="62"/>
      <c r="H181" s="48" t="s">
        <v>72</v>
      </c>
      <c r="I181" s="52">
        <v>1</v>
      </c>
      <c r="J181" s="52"/>
      <c r="K181" s="52" t="s">
        <v>73</v>
      </c>
      <c r="L181" s="52" t="s">
        <v>74</v>
      </c>
      <c r="M181" s="53" t="s">
        <v>917</v>
      </c>
      <c r="N181" s="58" t="s">
        <v>73</v>
      </c>
      <c r="O181" s="48" t="s">
        <v>72</v>
      </c>
      <c r="P181" s="48" t="s">
        <v>73</v>
      </c>
      <c r="Q181" s="54" t="s">
        <v>73</v>
      </c>
      <c r="R181" s="55" t="s">
        <v>73</v>
      </c>
      <c r="S181" s="48" t="s">
        <v>73</v>
      </c>
      <c r="T181" s="121" t="str" cm="1">
        <f t="array" ref="T181">IF(ISNUMBER(SEARCH("SCHNEIDER",D181)),_xlfn.IFS(ISNUMBER(SEARCH("2 Querétaro",D181)),"SQ2",ISNUMBER(SEARCH("Xicohténcatl",D181)),"SXC",ISNUMBER(SEARCH("Rojo Gómez",D181)),"SRG",ISNUMBER(SEARCH("Tlaxcala",D181)),"STX",ISNUMBER(SEARCH("Monterrey",D181)),"SMY",ISNUMBER(SEARCH("Querétaro",D181)),"SQ1",ISNUMBER(SEARCH("CDMX",D181)),"SCM",TRUE,""),"")</f>
        <v/>
      </c>
      <c r="U181" s="48" t="str" cm="1">
        <f t="array" ref="U181">_xlfn.LET(_xlpm.resultados,_xlfn.UNIQUE(_xlfn._xlws.FILTER(Tabla1[Proceso],(Tabla1[Metal Base]=O181)*(Tabla1[Etiquetas]=_xlfn.TEXTJOIN(" + ",TRUE,IF((TRIM(Upload!P181:S181)="")+(LOWER(TRIM(Upload!P181:S181))="(seleccione)"),"",PROPER(TRIM(Upload!P181:S181)))))*(Tabla1[Línea2]=IFERROR(VLOOKUP(Upload!N181&amp;"*",CAT_Procesos!D:D,1,FALSE),"")))),_xlpm.cantidad,ROWS(_xlpm.resultados),IF(ISERROR(_xlpm.cantidad),"Combinación no existente",IF(_xlpm.cantidad=1,INDEX(_xlpm.resultados,1),"(seleccione)")))</f>
        <v>Combinación no existente</v>
      </c>
      <c r="V181" s="55" t="s">
        <v>73</v>
      </c>
      <c r="W181" s="56" t="s">
        <v>73</v>
      </c>
      <c r="X181" s="57" t="str">
        <f t="shared" si="8"/>
        <v/>
      </c>
      <c r="Y181" s="58" t="s">
        <v>73</v>
      </c>
      <c r="Z181" s="57" t="str">
        <f t="shared" si="9"/>
        <v/>
      </c>
      <c r="AA181" s="58" t="s">
        <v>73</v>
      </c>
      <c r="AB181" s="57" t="str">
        <f t="shared" si="10"/>
        <v/>
      </c>
      <c r="AC181" s="58" t="s">
        <v>73</v>
      </c>
      <c r="AD181" s="57" t="str">
        <f t="shared" si="11"/>
        <v/>
      </c>
      <c r="AE181" s="59"/>
      <c r="AF181" s="59"/>
      <c r="AG181" s="59"/>
      <c r="AH181" s="59"/>
      <c r="AI181" s="59" t="s">
        <v>73</v>
      </c>
      <c r="AJ181" s="59"/>
      <c r="AK181" s="59" t="s">
        <v>73</v>
      </c>
      <c r="AL181" s="59"/>
      <c r="AM181" s="59" t="s">
        <v>73</v>
      </c>
      <c r="AN181" s="59"/>
      <c r="AO181" s="59" t="s">
        <v>73</v>
      </c>
      <c r="AP181" s="59"/>
      <c r="AQ181" s="59" t="s">
        <v>73</v>
      </c>
      <c r="AR181" s="59"/>
      <c r="AS181" s="59" t="s">
        <v>72</v>
      </c>
      <c r="AT181" s="59"/>
      <c r="AU181" s="59"/>
      <c r="AV181" s="59"/>
      <c r="AW181" s="59"/>
      <c r="AX181" s="59"/>
      <c r="AY181" s="60" t="str">
        <f>IF('Cálculo MP'!K191="","",'Cálculo MP'!K191)</f>
        <v/>
      </c>
      <c r="AZ181" s="60" t="str">
        <f>IF('Cálculo MP'!L191="","",'Cálculo MP'!L191)</f>
        <v/>
      </c>
      <c r="BA181" s="60" t="str">
        <f>IF('Cálculo MP'!M191="","",'Cálculo MP'!M191)</f>
        <v/>
      </c>
      <c r="BB181" s="60" t="str">
        <f>IF('Cálculo MP'!N191="","",'Cálculo MP'!N191)</f>
        <v/>
      </c>
      <c r="BC181" s="60" t="str">
        <f>IF('Cálculo MP'!O191="","",'Cálculo MP'!O191)</f>
        <v/>
      </c>
      <c r="BD181" s="60" t="str">
        <f>IF('Cálculo MP'!P191="","",'Cálculo MP'!P191)</f>
        <v/>
      </c>
      <c r="BE181" s="60" t="str">
        <f>IF('Cálculo MP'!Q191="","",'Cálculo MP'!Q191)</f>
        <v/>
      </c>
      <c r="BF181" s="60" t="str">
        <f>IF('Cálculo MP'!R191="","",'Cálculo MP'!R191)</f>
        <v/>
      </c>
      <c r="BG181" s="60" t="str">
        <f>IF('Cálculo MP'!S191="","",'Cálculo MP'!S191)</f>
        <v/>
      </c>
      <c r="BH181" s="59"/>
      <c r="BI181" s="59"/>
      <c r="BJ181" s="59"/>
      <c r="BK181" s="59"/>
      <c r="BL181" s="59"/>
      <c r="BM181" s="59"/>
      <c r="BN181" s="59"/>
      <c r="BO181" s="59"/>
    </row>
    <row r="182" spans="1:67" ht="19.5" customHeight="1" x14ac:dyDescent="0.2">
      <c r="A182" s="114" t="s">
        <v>1789</v>
      </c>
      <c r="B182" s="113" t="s">
        <v>1787</v>
      </c>
      <c r="C182" s="122"/>
      <c r="D182" s="48" t="s">
        <v>73</v>
      </c>
      <c r="E182" s="49"/>
      <c r="F182" s="50"/>
      <c r="G182" s="62"/>
      <c r="H182" s="48" t="s">
        <v>72</v>
      </c>
      <c r="I182" s="52">
        <v>1</v>
      </c>
      <c r="J182" s="52"/>
      <c r="K182" s="52" t="s">
        <v>73</v>
      </c>
      <c r="L182" s="52" t="s">
        <v>74</v>
      </c>
      <c r="M182" s="53" t="s">
        <v>917</v>
      </c>
      <c r="N182" s="58" t="s">
        <v>73</v>
      </c>
      <c r="O182" s="48" t="s">
        <v>72</v>
      </c>
      <c r="P182" s="48" t="s">
        <v>73</v>
      </c>
      <c r="Q182" s="54" t="s">
        <v>73</v>
      </c>
      <c r="R182" s="55" t="s">
        <v>73</v>
      </c>
      <c r="S182" s="48" t="s">
        <v>73</v>
      </c>
      <c r="T182" s="121" t="str" cm="1">
        <f t="array" ref="T182">IF(ISNUMBER(SEARCH("SCHNEIDER",D182)),_xlfn.IFS(ISNUMBER(SEARCH("2 Querétaro",D182)),"SQ2",ISNUMBER(SEARCH("Xicohténcatl",D182)),"SXC",ISNUMBER(SEARCH("Rojo Gómez",D182)),"SRG",ISNUMBER(SEARCH("Tlaxcala",D182)),"STX",ISNUMBER(SEARCH("Monterrey",D182)),"SMY",ISNUMBER(SEARCH("Querétaro",D182)),"SQ1",ISNUMBER(SEARCH("CDMX",D182)),"SCM",TRUE,""),"")</f>
        <v/>
      </c>
      <c r="U182" s="48" t="str" cm="1">
        <f t="array" ref="U182">_xlfn.LET(_xlpm.resultados,_xlfn.UNIQUE(_xlfn._xlws.FILTER(Tabla1[Proceso],(Tabla1[Metal Base]=O182)*(Tabla1[Etiquetas]=_xlfn.TEXTJOIN(" + ",TRUE,IF((TRIM(Upload!P182:S182)="")+(LOWER(TRIM(Upload!P182:S182))="(seleccione)"),"",PROPER(TRIM(Upload!P182:S182)))))*(Tabla1[Línea2]=IFERROR(VLOOKUP(Upload!N182&amp;"*",CAT_Procesos!D:D,1,FALSE),"")))),_xlpm.cantidad,ROWS(_xlpm.resultados),IF(ISERROR(_xlpm.cantidad),"Combinación no existente",IF(_xlpm.cantidad=1,INDEX(_xlpm.resultados,1),"(seleccione)")))</f>
        <v>Combinación no existente</v>
      </c>
      <c r="V182" s="55" t="s">
        <v>73</v>
      </c>
      <c r="W182" s="56" t="s">
        <v>73</v>
      </c>
      <c r="X182" s="57" t="str">
        <f t="shared" si="8"/>
        <v/>
      </c>
      <c r="Y182" s="58" t="s">
        <v>73</v>
      </c>
      <c r="Z182" s="57" t="str">
        <f t="shared" si="9"/>
        <v/>
      </c>
      <c r="AA182" s="58" t="s">
        <v>73</v>
      </c>
      <c r="AB182" s="57" t="str">
        <f t="shared" si="10"/>
        <v/>
      </c>
      <c r="AC182" s="58" t="s">
        <v>73</v>
      </c>
      <c r="AD182" s="57" t="str">
        <f t="shared" si="11"/>
        <v/>
      </c>
      <c r="AE182" s="59"/>
      <c r="AF182" s="59"/>
      <c r="AG182" s="59"/>
      <c r="AH182" s="59"/>
      <c r="AI182" s="59" t="s">
        <v>73</v>
      </c>
      <c r="AJ182" s="59"/>
      <c r="AK182" s="59" t="s">
        <v>73</v>
      </c>
      <c r="AL182" s="59"/>
      <c r="AM182" s="59" t="s">
        <v>73</v>
      </c>
      <c r="AN182" s="59"/>
      <c r="AO182" s="59" t="s">
        <v>73</v>
      </c>
      <c r="AP182" s="59"/>
      <c r="AQ182" s="59" t="s">
        <v>73</v>
      </c>
      <c r="AR182" s="59"/>
      <c r="AS182" s="59" t="s">
        <v>72</v>
      </c>
      <c r="AT182" s="59"/>
      <c r="AU182" s="59"/>
      <c r="AV182" s="59"/>
      <c r="AW182" s="59"/>
      <c r="AX182" s="59"/>
      <c r="AY182" s="60" t="str">
        <f>IF('Cálculo MP'!K192="","",'Cálculo MP'!K192)</f>
        <v/>
      </c>
      <c r="AZ182" s="60" t="str">
        <f>IF('Cálculo MP'!L192="","",'Cálculo MP'!L192)</f>
        <v/>
      </c>
      <c r="BA182" s="60" t="str">
        <f>IF('Cálculo MP'!M192="","",'Cálculo MP'!M192)</f>
        <v/>
      </c>
      <c r="BB182" s="60" t="str">
        <f>IF('Cálculo MP'!N192="","",'Cálculo MP'!N192)</f>
        <v/>
      </c>
      <c r="BC182" s="60" t="str">
        <f>IF('Cálculo MP'!O192="","",'Cálculo MP'!O192)</f>
        <v/>
      </c>
      <c r="BD182" s="60" t="str">
        <f>IF('Cálculo MP'!P192="","",'Cálculo MP'!P192)</f>
        <v/>
      </c>
      <c r="BE182" s="60" t="str">
        <f>IF('Cálculo MP'!Q192="","",'Cálculo MP'!Q192)</f>
        <v/>
      </c>
      <c r="BF182" s="60" t="str">
        <f>IF('Cálculo MP'!R192="","",'Cálculo MP'!R192)</f>
        <v/>
      </c>
      <c r="BG182" s="60" t="str">
        <f>IF('Cálculo MP'!S192="","",'Cálculo MP'!S192)</f>
        <v/>
      </c>
      <c r="BH182" s="59"/>
      <c r="BI182" s="59"/>
      <c r="BJ182" s="59"/>
      <c r="BK182" s="59"/>
      <c r="BL182" s="59"/>
      <c r="BM182" s="59"/>
      <c r="BN182" s="59"/>
      <c r="BO182" s="59"/>
    </row>
    <row r="183" spans="1:67" ht="19.5" customHeight="1" x14ac:dyDescent="0.2">
      <c r="A183" s="114" t="s">
        <v>1789</v>
      </c>
      <c r="B183" s="113" t="s">
        <v>1787</v>
      </c>
      <c r="C183" s="122"/>
      <c r="D183" s="48" t="s">
        <v>73</v>
      </c>
      <c r="E183" s="49"/>
      <c r="F183" s="50"/>
      <c r="G183" s="62"/>
      <c r="H183" s="48" t="s">
        <v>72</v>
      </c>
      <c r="I183" s="52">
        <v>1</v>
      </c>
      <c r="J183" s="52"/>
      <c r="K183" s="52" t="s">
        <v>73</v>
      </c>
      <c r="L183" s="52" t="s">
        <v>74</v>
      </c>
      <c r="M183" s="53" t="s">
        <v>917</v>
      </c>
      <c r="N183" s="58" t="s">
        <v>73</v>
      </c>
      <c r="O183" s="48" t="s">
        <v>72</v>
      </c>
      <c r="P183" s="48" t="s">
        <v>73</v>
      </c>
      <c r="Q183" s="54" t="s">
        <v>73</v>
      </c>
      <c r="R183" s="55" t="s">
        <v>73</v>
      </c>
      <c r="S183" s="48" t="s">
        <v>73</v>
      </c>
      <c r="T183" s="121" t="str" cm="1">
        <f t="array" ref="T183">IF(ISNUMBER(SEARCH("SCHNEIDER",D183)),_xlfn.IFS(ISNUMBER(SEARCH("2 Querétaro",D183)),"SQ2",ISNUMBER(SEARCH("Xicohténcatl",D183)),"SXC",ISNUMBER(SEARCH("Rojo Gómez",D183)),"SRG",ISNUMBER(SEARCH("Tlaxcala",D183)),"STX",ISNUMBER(SEARCH("Monterrey",D183)),"SMY",ISNUMBER(SEARCH("Querétaro",D183)),"SQ1",ISNUMBER(SEARCH("CDMX",D183)),"SCM",TRUE,""),"")</f>
        <v/>
      </c>
      <c r="U183" s="48" t="str" cm="1">
        <f t="array" ref="U183">_xlfn.LET(_xlpm.resultados,_xlfn.UNIQUE(_xlfn._xlws.FILTER(Tabla1[Proceso],(Tabla1[Metal Base]=O183)*(Tabla1[Etiquetas]=_xlfn.TEXTJOIN(" + ",TRUE,IF((TRIM(Upload!P183:S183)="")+(LOWER(TRIM(Upload!P183:S183))="(seleccione)"),"",PROPER(TRIM(Upload!P183:S183)))))*(Tabla1[Línea2]=IFERROR(VLOOKUP(Upload!N183&amp;"*",CAT_Procesos!D:D,1,FALSE),"")))),_xlpm.cantidad,ROWS(_xlpm.resultados),IF(ISERROR(_xlpm.cantidad),"Combinación no existente",IF(_xlpm.cantidad=1,INDEX(_xlpm.resultados,1),"(seleccione)")))</f>
        <v>Combinación no existente</v>
      </c>
      <c r="V183" s="55" t="s">
        <v>73</v>
      </c>
      <c r="W183" s="56" t="s">
        <v>73</v>
      </c>
      <c r="X183" s="57" t="str">
        <f t="shared" si="8"/>
        <v/>
      </c>
      <c r="Y183" s="58" t="s">
        <v>73</v>
      </c>
      <c r="Z183" s="57" t="str">
        <f t="shared" si="9"/>
        <v/>
      </c>
      <c r="AA183" s="58" t="s">
        <v>73</v>
      </c>
      <c r="AB183" s="57" t="str">
        <f t="shared" si="10"/>
        <v/>
      </c>
      <c r="AC183" s="58" t="s">
        <v>73</v>
      </c>
      <c r="AD183" s="57" t="str">
        <f t="shared" si="11"/>
        <v/>
      </c>
      <c r="AE183" s="59"/>
      <c r="AF183" s="59"/>
      <c r="AG183" s="59"/>
      <c r="AH183" s="59"/>
      <c r="AI183" s="59" t="s">
        <v>73</v>
      </c>
      <c r="AJ183" s="59"/>
      <c r="AK183" s="59" t="s">
        <v>73</v>
      </c>
      <c r="AL183" s="59"/>
      <c r="AM183" s="59" t="s">
        <v>73</v>
      </c>
      <c r="AN183" s="59"/>
      <c r="AO183" s="59" t="s">
        <v>73</v>
      </c>
      <c r="AP183" s="59"/>
      <c r="AQ183" s="59" t="s">
        <v>73</v>
      </c>
      <c r="AR183" s="59"/>
      <c r="AS183" s="59" t="s">
        <v>72</v>
      </c>
      <c r="AT183" s="59"/>
      <c r="AU183" s="59"/>
      <c r="AV183" s="59"/>
      <c r="AW183" s="59"/>
      <c r="AX183" s="59"/>
      <c r="AY183" s="60" t="str">
        <f>IF('Cálculo MP'!K193="","",'Cálculo MP'!K193)</f>
        <v/>
      </c>
      <c r="AZ183" s="60" t="str">
        <f>IF('Cálculo MP'!L193="","",'Cálculo MP'!L193)</f>
        <v/>
      </c>
      <c r="BA183" s="60" t="str">
        <f>IF('Cálculo MP'!M193="","",'Cálculo MP'!M193)</f>
        <v/>
      </c>
      <c r="BB183" s="60" t="str">
        <f>IF('Cálculo MP'!N193="","",'Cálculo MP'!N193)</f>
        <v/>
      </c>
      <c r="BC183" s="60" t="str">
        <f>IF('Cálculo MP'!O193="","",'Cálculo MP'!O193)</f>
        <v/>
      </c>
      <c r="BD183" s="60" t="str">
        <f>IF('Cálculo MP'!P193="","",'Cálculo MP'!P193)</f>
        <v/>
      </c>
      <c r="BE183" s="60" t="str">
        <f>IF('Cálculo MP'!Q193="","",'Cálculo MP'!Q193)</f>
        <v/>
      </c>
      <c r="BF183" s="60" t="str">
        <f>IF('Cálculo MP'!R193="","",'Cálculo MP'!R193)</f>
        <v/>
      </c>
      <c r="BG183" s="60" t="str">
        <f>IF('Cálculo MP'!S193="","",'Cálculo MP'!S193)</f>
        <v/>
      </c>
      <c r="BH183" s="59"/>
      <c r="BI183" s="59"/>
      <c r="BJ183" s="59"/>
      <c r="BK183" s="59"/>
      <c r="BL183" s="59"/>
      <c r="BM183" s="59"/>
      <c r="BN183" s="59"/>
      <c r="BO183" s="59"/>
    </row>
    <row r="184" spans="1:67" ht="19.5" customHeight="1" x14ac:dyDescent="0.2">
      <c r="A184" s="114" t="s">
        <v>1789</v>
      </c>
      <c r="B184" s="113" t="s">
        <v>1787</v>
      </c>
      <c r="C184" s="122"/>
      <c r="D184" s="48" t="s">
        <v>73</v>
      </c>
      <c r="E184" s="49"/>
      <c r="F184" s="50"/>
      <c r="G184" s="62"/>
      <c r="H184" s="48" t="s">
        <v>72</v>
      </c>
      <c r="I184" s="52">
        <v>1</v>
      </c>
      <c r="J184" s="52"/>
      <c r="K184" s="52" t="s">
        <v>73</v>
      </c>
      <c r="L184" s="52" t="s">
        <v>74</v>
      </c>
      <c r="M184" s="53" t="s">
        <v>917</v>
      </c>
      <c r="N184" s="58" t="s">
        <v>73</v>
      </c>
      <c r="O184" s="48" t="s">
        <v>72</v>
      </c>
      <c r="P184" s="48" t="s">
        <v>73</v>
      </c>
      <c r="Q184" s="54" t="s">
        <v>73</v>
      </c>
      <c r="R184" s="55" t="s">
        <v>73</v>
      </c>
      <c r="S184" s="48" t="s">
        <v>73</v>
      </c>
      <c r="T184" s="121" t="str" cm="1">
        <f t="array" ref="T184">IF(ISNUMBER(SEARCH("SCHNEIDER",D184)),_xlfn.IFS(ISNUMBER(SEARCH("2 Querétaro",D184)),"SQ2",ISNUMBER(SEARCH("Xicohténcatl",D184)),"SXC",ISNUMBER(SEARCH("Rojo Gómez",D184)),"SRG",ISNUMBER(SEARCH("Tlaxcala",D184)),"STX",ISNUMBER(SEARCH("Monterrey",D184)),"SMY",ISNUMBER(SEARCH("Querétaro",D184)),"SQ1",ISNUMBER(SEARCH("CDMX",D184)),"SCM",TRUE,""),"")</f>
        <v/>
      </c>
      <c r="U184" s="48" t="str" cm="1">
        <f t="array" ref="U184">_xlfn.LET(_xlpm.resultados,_xlfn.UNIQUE(_xlfn._xlws.FILTER(Tabla1[Proceso],(Tabla1[Metal Base]=O184)*(Tabla1[Etiquetas]=_xlfn.TEXTJOIN(" + ",TRUE,IF((TRIM(Upload!P184:S184)="")+(LOWER(TRIM(Upload!P184:S184))="(seleccione)"),"",PROPER(TRIM(Upload!P184:S184)))))*(Tabla1[Línea2]=IFERROR(VLOOKUP(Upload!N184&amp;"*",CAT_Procesos!D:D,1,FALSE),"")))),_xlpm.cantidad,ROWS(_xlpm.resultados),IF(ISERROR(_xlpm.cantidad),"Combinación no existente",IF(_xlpm.cantidad=1,INDEX(_xlpm.resultados,1),"(seleccione)")))</f>
        <v>Combinación no existente</v>
      </c>
      <c r="V184" s="55" t="s">
        <v>73</v>
      </c>
      <c r="W184" s="56" t="s">
        <v>73</v>
      </c>
      <c r="X184" s="57" t="str">
        <f t="shared" si="8"/>
        <v/>
      </c>
      <c r="Y184" s="58" t="s">
        <v>73</v>
      </c>
      <c r="Z184" s="57" t="str">
        <f t="shared" si="9"/>
        <v/>
      </c>
      <c r="AA184" s="58" t="s">
        <v>73</v>
      </c>
      <c r="AB184" s="57" t="str">
        <f t="shared" si="10"/>
        <v/>
      </c>
      <c r="AC184" s="58" t="s">
        <v>73</v>
      </c>
      <c r="AD184" s="57" t="str">
        <f t="shared" si="11"/>
        <v/>
      </c>
      <c r="AE184" s="59"/>
      <c r="AF184" s="59"/>
      <c r="AG184" s="59"/>
      <c r="AH184" s="59"/>
      <c r="AI184" s="59" t="s">
        <v>73</v>
      </c>
      <c r="AJ184" s="59"/>
      <c r="AK184" s="59" t="s">
        <v>73</v>
      </c>
      <c r="AL184" s="59"/>
      <c r="AM184" s="59" t="s">
        <v>73</v>
      </c>
      <c r="AN184" s="59"/>
      <c r="AO184" s="59" t="s">
        <v>73</v>
      </c>
      <c r="AP184" s="59"/>
      <c r="AQ184" s="59" t="s">
        <v>73</v>
      </c>
      <c r="AR184" s="59"/>
      <c r="AS184" s="59" t="s">
        <v>72</v>
      </c>
      <c r="AT184" s="59"/>
      <c r="AU184" s="59"/>
      <c r="AV184" s="59"/>
      <c r="AW184" s="59"/>
      <c r="AX184" s="59"/>
      <c r="AY184" s="60" t="str">
        <f>IF('Cálculo MP'!K194="","",'Cálculo MP'!K194)</f>
        <v/>
      </c>
      <c r="AZ184" s="60" t="str">
        <f>IF('Cálculo MP'!L194="","",'Cálculo MP'!L194)</f>
        <v/>
      </c>
      <c r="BA184" s="60" t="str">
        <f>IF('Cálculo MP'!M194="","",'Cálculo MP'!M194)</f>
        <v/>
      </c>
      <c r="BB184" s="60" t="str">
        <f>IF('Cálculo MP'!N194="","",'Cálculo MP'!N194)</f>
        <v/>
      </c>
      <c r="BC184" s="60" t="str">
        <f>IF('Cálculo MP'!O194="","",'Cálculo MP'!O194)</f>
        <v/>
      </c>
      <c r="BD184" s="60" t="str">
        <f>IF('Cálculo MP'!P194="","",'Cálculo MP'!P194)</f>
        <v/>
      </c>
      <c r="BE184" s="60" t="str">
        <f>IF('Cálculo MP'!Q194="","",'Cálculo MP'!Q194)</f>
        <v/>
      </c>
      <c r="BF184" s="60" t="str">
        <f>IF('Cálculo MP'!R194="","",'Cálculo MP'!R194)</f>
        <v/>
      </c>
      <c r="BG184" s="60" t="str">
        <f>IF('Cálculo MP'!S194="","",'Cálculo MP'!S194)</f>
        <v/>
      </c>
      <c r="BH184" s="59"/>
      <c r="BI184" s="59"/>
      <c r="BJ184" s="59"/>
      <c r="BK184" s="59"/>
      <c r="BL184" s="59"/>
      <c r="BM184" s="59"/>
      <c r="BN184" s="59"/>
      <c r="BO184" s="59"/>
    </row>
    <row r="185" spans="1:67" ht="19.5" customHeight="1" x14ac:dyDescent="0.2">
      <c r="A185" s="114" t="s">
        <v>1789</v>
      </c>
      <c r="B185" s="113" t="s">
        <v>1787</v>
      </c>
      <c r="C185" s="122"/>
      <c r="D185" s="48" t="s">
        <v>73</v>
      </c>
      <c r="E185" s="49"/>
      <c r="F185" s="50"/>
      <c r="G185" s="62"/>
      <c r="H185" s="48" t="s">
        <v>72</v>
      </c>
      <c r="I185" s="52">
        <v>1</v>
      </c>
      <c r="J185" s="52"/>
      <c r="K185" s="52" t="s">
        <v>73</v>
      </c>
      <c r="L185" s="52" t="s">
        <v>74</v>
      </c>
      <c r="M185" s="53" t="s">
        <v>917</v>
      </c>
      <c r="N185" s="58" t="s">
        <v>73</v>
      </c>
      <c r="O185" s="48" t="s">
        <v>72</v>
      </c>
      <c r="P185" s="48" t="s">
        <v>73</v>
      </c>
      <c r="Q185" s="54" t="s">
        <v>73</v>
      </c>
      <c r="R185" s="55" t="s">
        <v>73</v>
      </c>
      <c r="S185" s="48" t="s">
        <v>73</v>
      </c>
      <c r="T185" s="121" t="str" cm="1">
        <f t="array" ref="T185">IF(ISNUMBER(SEARCH("SCHNEIDER",D185)),_xlfn.IFS(ISNUMBER(SEARCH("2 Querétaro",D185)),"SQ2",ISNUMBER(SEARCH("Xicohténcatl",D185)),"SXC",ISNUMBER(SEARCH("Rojo Gómez",D185)),"SRG",ISNUMBER(SEARCH("Tlaxcala",D185)),"STX",ISNUMBER(SEARCH("Monterrey",D185)),"SMY",ISNUMBER(SEARCH("Querétaro",D185)),"SQ1",ISNUMBER(SEARCH("CDMX",D185)),"SCM",TRUE,""),"")</f>
        <v/>
      </c>
      <c r="U185" s="48" t="str" cm="1">
        <f t="array" ref="U185">_xlfn.LET(_xlpm.resultados,_xlfn.UNIQUE(_xlfn._xlws.FILTER(Tabla1[Proceso],(Tabla1[Metal Base]=O185)*(Tabla1[Etiquetas]=_xlfn.TEXTJOIN(" + ",TRUE,IF((TRIM(Upload!P185:S185)="")+(LOWER(TRIM(Upload!P185:S185))="(seleccione)"),"",PROPER(TRIM(Upload!P185:S185)))))*(Tabla1[Línea2]=IFERROR(VLOOKUP(Upload!N185&amp;"*",CAT_Procesos!D:D,1,FALSE),"")))),_xlpm.cantidad,ROWS(_xlpm.resultados),IF(ISERROR(_xlpm.cantidad),"Combinación no existente",IF(_xlpm.cantidad=1,INDEX(_xlpm.resultados,1),"(seleccione)")))</f>
        <v>Combinación no existente</v>
      </c>
      <c r="V185" s="55" t="s">
        <v>73</v>
      </c>
      <c r="W185" s="56" t="s">
        <v>73</v>
      </c>
      <c r="X185" s="57" t="str">
        <f t="shared" si="8"/>
        <v/>
      </c>
      <c r="Y185" s="58" t="s">
        <v>73</v>
      </c>
      <c r="Z185" s="57" t="str">
        <f t="shared" si="9"/>
        <v/>
      </c>
      <c r="AA185" s="58" t="s">
        <v>73</v>
      </c>
      <c r="AB185" s="57" t="str">
        <f t="shared" si="10"/>
        <v/>
      </c>
      <c r="AC185" s="58" t="s">
        <v>73</v>
      </c>
      <c r="AD185" s="57" t="str">
        <f t="shared" si="11"/>
        <v/>
      </c>
      <c r="AE185" s="59"/>
      <c r="AF185" s="59"/>
      <c r="AG185" s="59"/>
      <c r="AH185" s="59"/>
      <c r="AI185" s="59" t="s">
        <v>73</v>
      </c>
      <c r="AJ185" s="59"/>
      <c r="AK185" s="59" t="s">
        <v>73</v>
      </c>
      <c r="AL185" s="59"/>
      <c r="AM185" s="59" t="s">
        <v>73</v>
      </c>
      <c r="AN185" s="59"/>
      <c r="AO185" s="59" t="s">
        <v>73</v>
      </c>
      <c r="AP185" s="59"/>
      <c r="AQ185" s="59" t="s">
        <v>73</v>
      </c>
      <c r="AR185" s="59"/>
      <c r="AS185" s="59" t="s">
        <v>72</v>
      </c>
      <c r="AT185" s="59"/>
      <c r="AU185" s="59"/>
      <c r="AV185" s="59"/>
      <c r="AW185" s="59"/>
      <c r="AX185" s="59"/>
      <c r="AY185" s="60" t="str">
        <f>IF('Cálculo MP'!K195="","",'Cálculo MP'!K195)</f>
        <v/>
      </c>
      <c r="AZ185" s="60" t="str">
        <f>IF('Cálculo MP'!L195="","",'Cálculo MP'!L195)</f>
        <v/>
      </c>
      <c r="BA185" s="60" t="str">
        <f>IF('Cálculo MP'!M195="","",'Cálculo MP'!M195)</f>
        <v/>
      </c>
      <c r="BB185" s="60" t="str">
        <f>IF('Cálculo MP'!N195="","",'Cálculo MP'!N195)</f>
        <v/>
      </c>
      <c r="BC185" s="60" t="str">
        <f>IF('Cálculo MP'!O195="","",'Cálculo MP'!O195)</f>
        <v/>
      </c>
      <c r="BD185" s="60" t="str">
        <f>IF('Cálculo MP'!P195="","",'Cálculo MP'!P195)</f>
        <v/>
      </c>
      <c r="BE185" s="60" t="str">
        <f>IF('Cálculo MP'!Q195="","",'Cálculo MP'!Q195)</f>
        <v/>
      </c>
      <c r="BF185" s="60" t="str">
        <f>IF('Cálculo MP'!R195="","",'Cálculo MP'!R195)</f>
        <v/>
      </c>
      <c r="BG185" s="60" t="str">
        <f>IF('Cálculo MP'!S195="","",'Cálculo MP'!S195)</f>
        <v/>
      </c>
      <c r="BH185" s="59"/>
      <c r="BI185" s="59"/>
      <c r="BJ185" s="59"/>
      <c r="BK185" s="59"/>
      <c r="BL185" s="59"/>
      <c r="BM185" s="59"/>
      <c r="BN185" s="59"/>
      <c r="BO185" s="59"/>
    </row>
    <row r="186" spans="1:67" ht="19.5" customHeight="1" x14ac:dyDescent="0.2">
      <c r="A186" s="114" t="s">
        <v>1789</v>
      </c>
      <c r="B186" s="113" t="s">
        <v>1787</v>
      </c>
      <c r="C186" s="122"/>
      <c r="D186" s="48" t="s">
        <v>73</v>
      </c>
      <c r="E186" s="49"/>
      <c r="F186" s="50"/>
      <c r="G186" s="62"/>
      <c r="H186" s="48" t="s">
        <v>72</v>
      </c>
      <c r="I186" s="52">
        <v>1</v>
      </c>
      <c r="J186" s="52"/>
      <c r="K186" s="52" t="s">
        <v>73</v>
      </c>
      <c r="L186" s="52" t="s">
        <v>74</v>
      </c>
      <c r="M186" s="53" t="s">
        <v>917</v>
      </c>
      <c r="N186" s="58" t="s">
        <v>73</v>
      </c>
      <c r="O186" s="48" t="s">
        <v>72</v>
      </c>
      <c r="P186" s="48" t="s">
        <v>73</v>
      </c>
      <c r="Q186" s="54" t="s">
        <v>73</v>
      </c>
      <c r="R186" s="55" t="s">
        <v>73</v>
      </c>
      <c r="S186" s="48" t="s">
        <v>73</v>
      </c>
      <c r="T186" s="121" t="str" cm="1">
        <f t="array" ref="T186">IF(ISNUMBER(SEARCH("SCHNEIDER",D186)),_xlfn.IFS(ISNUMBER(SEARCH("2 Querétaro",D186)),"SQ2",ISNUMBER(SEARCH("Xicohténcatl",D186)),"SXC",ISNUMBER(SEARCH("Rojo Gómez",D186)),"SRG",ISNUMBER(SEARCH("Tlaxcala",D186)),"STX",ISNUMBER(SEARCH("Monterrey",D186)),"SMY",ISNUMBER(SEARCH("Querétaro",D186)),"SQ1",ISNUMBER(SEARCH("CDMX",D186)),"SCM",TRUE,""),"")</f>
        <v/>
      </c>
      <c r="U186" s="48" t="str" cm="1">
        <f t="array" ref="U186">_xlfn.LET(_xlpm.resultados,_xlfn.UNIQUE(_xlfn._xlws.FILTER(Tabla1[Proceso],(Tabla1[Metal Base]=O186)*(Tabla1[Etiquetas]=_xlfn.TEXTJOIN(" + ",TRUE,IF((TRIM(Upload!P186:S186)="")+(LOWER(TRIM(Upload!P186:S186))="(seleccione)"),"",PROPER(TRIM(Upload!P186:S186)))))*(Tabla1[Línea2]=IFERROR(VLOOKUP(Upload!N186&amp;"*",CAT_Procesos!D:D,1,FALSE),"")))),_xlpm.cantidad,ROWS(_xlpm.resultados),IF(ISERROR(_xlpm.cantidad),"Combinación no existente",IF(_xlpm.cantidad=1,INDEX(_xlpm.resultados,1),"(seleccione)")))</f>
        <v>Combinación no existente</v>
      </c>
      <c r="V186" s="55" t="s">
        <v>73</v>
      </c>
      <c r="W186" s="56" t="s">
        <v>73</v>
      </c>
      <c r="X186" s="57" t="str">
        <f t="shared" si="8"/>
        <v/>
      </c>
      <c r="Y186" s="58" t="s">
        <v>73</v>
      </c>
      <c r="Z186" s="57" t="str">
        <f t="shared" si="9"/>
        <v/>
      </c>
      <c r="AA186" s="58" t="s">
        <v>73</v>
      </c>
      <c r="AB186" s="57" t="str">
        <f t="shared" si="10"/>
        <v/>
      </c>
      <c r="AC186" s="58" t="s">
        <v>73</v>
      </c>
      <c r="AD186" s="57" t="str">
        <f t="shared" si="11"/>
        <v/>
      </c>
      <c r="AE186" s="59"/>
      <c r="AF186" s="59"/>
      <c r="AG186" s="59"/>
      <c r="AH186" s="59"/>
      <c r="AI186" s="59" t="s">
        <v>73</v>
      </c>
      <c r="AJ186" s="59"/>
      <c r="AK186" s="59" t="s">
        <v>73</v>
      </c>
      <c r="AL186" s="59"/>
      <c r="AM186" s="59" t="s">
        <v>73</v>
      </c>
      <c r="AN186" s="59"/>
      <c r="AO186" s="59" t="s">
        <v>73</v>
      </c>
      <c r="AP186" s="59"/>
      <c r="AQ186" s="59" t="s">
        <v>73</v>
      </c>
      <c r="AR186" s="59"/>
      <c r="AS186" s="59" t="s">
        <v>72</v>
      </c>
      <c r="AT186" s="59"/>
      <c r="AU186" s="59"/>
      <c r="AV186" s="59"/>
      <c r="AW186" s="59"/>
      <c r="AX186" s="59"/>
      <c r="AY186" s="60" t="str">
        <f>IF('Cálculo MP'!K196="","",'Cálculo MP'!K196)</f>
        <v/>
      </c>
      <c r="AZ186" s="60" t="str">
        <f>IF('Cálculo MP'!L196="","",'Cálculo MP'!L196)</f>
        <v/>
      </c>
      <c r="BA186" s="60" t="str">
        <f>IF('Cálculo MP'!M196="","",'Cálculo MP'!M196)</f>
        <v/>
      </c>
      <c r="BB186" s="60" t="str">
        <f>IF('Cálculo MP'!N196="","",'Cálculo MP'!N196)</f>
        <v/>
      </c>
      <c r="BC186" s="60" t="str">
        <f>IF('Cálculo MP'!O196="","",'Cálculo MP'!O196)</f>
        <v/>
      </c>
      <c r="BD186" s="60" t="str">
        <f>IF('Cálculo MP'!P196="","",'Cálculo MP'!P196)</f>
        <v/>
      </c>
      <c r="BE186" s="60" t="str">
        <f>IF('Cálculo MP'!Q196="","",'Cálculo MP'!Q196)</f>
        <v/>
      </c>
      <c r="BF186" s="60" t="str">
        <f>IF('Cálculo MP'!R196="","",'Cálculo MP'!R196)</f>
        <v/>
      </c>
      <c r="BG186" s="60" t="str">
        <f>IF('Cálculo MP'!S196="","",'Cálculo MP'!S196)</f>
        <v/>
      </c>
      <c r="BH186" s="59"/>
      <c r="BI186" s="59"/>
      <c r="BJ186" s="59"/>
      <c r="BK186" s="59"/>
      <c r="BL186" s="59"/>
      <c r="BM186" s="59"/>
      <c r="BN186" s="59"/>
      <c r="BO186" s="59"/>
    </row>
    <row r="187" spans="1:67" ht="19.5" customHeight="1" x14ac:dyDescent="0.2">
      <c r="A187" s="114" t="s">
        <v>1789</v>
      </c>
      <c r="B187" s="113" t="s">
        <v>1787</v>
      </c>
      <c r="C187" s="122"/>
      <c r="D187" s="48" t="s">
        <v>73</v>
      </c>
      <c r="E187" s="49"/>
      <c r="F187" s="50"/>
      <c r="G187" s="62"/>
      <c r="H187" s="48" t="s">
        <v>72</v>
      </c>
      <c r="I187" s="52">
        <v>1</v>
      </c>
      <c r="J187" s="52"/>
      <c r="K187" s="52" t="s">
        <v>73</v>
      </c>
      <c r="L187" s="52" t="s">
        <v>74</v>
      </c>
      <c r="M187" s="53" t="s">
        <v>917</v>
      </c>
      <c r="N187" s="58" t="s">
        <v>73</v>
      </c>
      <c r="O187" s="48" t="s">
        <v>72</v>
      </c>
      <c r="P187" s="48" t="s">
        <v>73</v>
      </c>
      <c r="Q187" s="54" t="s">
        <v>73</v>
      </c>
      <c r="R187" s="55" t="s">
        <v>73</v>
      </c>
      <c r="S187" s="48" t="s">
        <v>73</v>
      </c>
      <c r="T187" s="121" t="str" cm="1">
        <f t="array" ref="T187">IF(ISNUMBER(SEARCH("SCHNEIDER",D187)),_xlfn.IFS(ISNUMBER(SEARCH("2 Querétaro",D187)),"SQ2",ISNUMBER(SEARCH("Xicohténcatl",D187)),"SXC",ISNUMBER(SEARCH("Rojo Gómez",D187)),"SRG",ISNUMBER(SEARCH("Tlaxcala",D187)),"STX",ISNUMBER(SEARCH("Monterrey",D187)),"SMY",ISNUMBER(SEARCH("Querétaro",D187)),"SQ1",ISNUMBER(SEARCH("CDMX",D187)),"SCM",TRUE,""),"")</f>
        <v/>
      </c>
      <c r="U187" s="48" t="str" cm="1">
        <f t="array" ref="U187">_xlfn.LET(_xlpm.resultados,_xlfn.UNIQUE(_xlfn._xlws.FILTER(Tabla1[Proceso],(Tabla1[Metal Base]=O187)*(Tabla1[Etiquetas]=_xlfn.TEXTJOIN(" + ",TRUE,IF((TRIM(Upload!P187:S187)="")+(LOWER(TRIM(Upload!P187:S187))="(seleccione)"),"",PROPER(TRIM(Upload!P187:S187)))))*(Tabla1[Línea2]=IFERROR(VLOOKUP(Upload!N187&amp;"*",CAT_Procesos!D:D,1,FALSE),"")))),_xlpm.cantidad,ROWS(_xlpm.resultados),IF(ISERROR(_xlpm.cantidad),"Combinación no existente",IF(_xlpm.cantidad=1,INDEX(_xlpm.resultados,1),"(seleccione)")))</f>
        <v>Combinación no existente</v>
      </c>
      <c r="V187" s="55" t="s">
        <v>73</v>
      </c>
      <c r="W187" s="56" t="s">
        <v>73</v>
      </c>
      <c r="X187" s="57" t="str">
        <f t="shared" si="8"/>
        <v/>
      </c>
      <c r="Y187" s="58" t="s">
        <v>73</v>
      </c>
      <c r="Z187" s="57" t="str">
        <f t="shared" si="9"/>
        <v/>
      </c>
      <c r="AA187" s="58" t="s">
        <v>73</v>
      </c>
      <c r="AB187" s="57" t="str">
        <f t="shared" si="10"/>
        <v/>
      </c>
      <c r="AC187" s="58" t="s">
        <v>73</v>
      </c>
      <c r="AD187" s="57" t="str">
        <f t="shared" si="11"/>
        <v/>
      </c>
      <c r="AE187" s="59"/>
      <c r="AF187" s="59"/>
      <c r="AG187" s="59"/>
      <c r="AH187" s="59"/>
      <c r="AI187" s="59" t="s">
        <v>73</v>
      </c>
      <c r="AJ187" s="59"/>
      <c r="AK187" s="59" t="s">
        <v>73</v>
      </c>
      <c r="AL187" s="59"/>
      <c r="AM187" s="59" t="s">
        <v>73</v>
      </c>
      <c r="AN187" s="59"/>
      <c r="AO187" s="59" t="s">
        <v>73</v>
      </c>
      <c r="AP187" s="59"/>
      <c r="AQ187" s="59" t="s">
        <v>73</v>
      </c>
      <c r="AR187" s="59"/>
      <c r="AS187" s="59" t="s">
        <v>72</v>
      </c>
      <c r="AT187" s="59"/>
      <c r="AU187" s="59"/>
      <c r="AV187" s="59"/>
      <c r="AW187" s="59"/>
      <c r="AX187" s="59"/>
      <c r="AY187" s="60" t="str">
        <f>IF('Cálculo MP'!K197="","",'Cálculo MP'!K197)</f>
        <v/>
      </c>
      <c r="AZ187" s="60" t="str">
        <f>IF('Cálculo MP'!L197="","",'Cálculo MP'!L197)</f>
        <v/>
      </c>
      <c r="BA187" s="60" t="str">
        <f>IF('Cálculo MP'!M197="","",'Cálculo MP'!M197)</f>
        <v/>
      </c>
      <c r="BB187" s="60" t="str">
        <f>IF('Cálculo MP'!N197="","",'Cálculo MP'!N197)</f>
        <v/>
      </c>
      <c r="BC187" s="60" t="str">
        <f>IF('Cálculo MP'!O197="","",'Cálculo MP'!O197)</f>
        <v/>
      </c>
      <c r="BD187" s="60" t="str">
        <f>IF('Cálculo MP'!P197="","",'Cálculo MP'!P197)</f>
        <v/>
      </c>
      <c r="BE187" s="60" t="str">
        <f>IF('Cálculo MP'!Q197="","",'Cálculo MP'!Q197)</f>
        <v/>
      </c>
      <c r="BF187" s="60" t="str">
        <f>IF('Cálculo MP'!R197="","",'Cálculo MP'!R197)</f>
        <v/>
      </c>
      <c r="BG187" s="60" t="str">
        <f>IF('Cálculo MP'!S197="","",'Cálculo MP'!S197)</f>
        <v/>
      </c>
      <c r="BH187" s="59"/>
      <c r="BI187" s="59"/>
      <c r="BJ187" s="59"/>
      <c r="BK187" s="59"/>
      <c r="BL187" s="59"/>
      <c r="BM187" s="59"/>
      <c r="BN187" s="59"/>
      <c r="BO187" s="59"/>
    </row>
    <row r="188" spans="1:67" ht="19.5" customHeight="1" x14ac:dyDescent="0.2">
      <c r="A188" s="114" t="s">
        <v>1789</v>
      </c>
      <c r="B188" s="113" t="s">
        <v>1787</v>
      </c>
      <c r="C188" s="122"/>
      <c r="D188" s="48" t="s">
        <v>73</v>
      </c>
      <c r="E188" s="49"/>
      <c r="F188" s="50"/>
      <c r="G188" s="62"/>
      <c r="H188" s="48" t="s">
        <v>72</v>
      </c>
      <c r="I188" s="52">
        <v>1</v>
      </c>
      <c r="J188" s="52"/>
      <c r="K188" s="52" t="s">
        <v>73</v>
      </c>
      <c r="L188" s="52" t="s">
        <v>74</v>
      </c>
      <c r="M188" s="53" t="s">
        <v>917</v>
      </c>
      <c r="N188" s="58" t="s">
        <v>73</v>
      </c>
      <c r="O188" s="48" t="s">
        <v>72</v>
      </c>
      <c r="P188" s="48" t="s">
        <v>73</v>
      </c>
      <c r="Q188" s="54" t="s">
        <v>73</v>
      </c>
      <c r="R188" s="55" t="s">
        <v>73</v>
      </c>
      <c r="S188" s="48" t="s">
        <v>73</v>
      </c>
      <c r="T188" s="121" t="str" cm="1">
        <f t="array" ref="T188">IF(ISNUMBER(SEARCH("SCHNEIDER",D188)),_xlfn.IFS(ISNUMBER(SEARCH("2 Querétaro",D188)),"SQ2",ISNUMBER(SEARCH("Xicohténcatl",D188)),"SXC",ISNUMBER(SEARCH("Rojo Gómez",D188)),"SRG",ISNUMBER(SEARCH("Tlaxcala",D188)),"STX",ISNUMBER(SEARCH("Monterrey",D188)),"SMY",ISNUMBER(SEARCH("Querétaro",D188)),"SQ1",ISNUMBER(SEARCH("CDMX",D188)),"SCM",TRUE,""),"")</f>
        <v/>
      </c>
      <c r="U188" s="48" t="str" cm="1">
        <f t="array" ref="U188">_xlfn.LET(_xlpm.resultados,_xlfn.UNIQUE(_xlfn._xlws.FILTER(Tabla1[Proceso],(Tabla1[Metal Base]=O188)*(Tabla1[Etiquetas]=_xlfn.TEXTJOIN(" + ",TRUE,IF((TRIM(Upload!P188:S188)="")+(LOWER(TRIM(Upload!P188:S188))="(seleccione)"),"",PROPER(TRIM(Upload!P188:S188)))))*(Tabla1[Línea2]=IFERROR(VLOOKUP(Upload!N188&amp;"*",CAT_Procesos!D:D,1,FALSE),"")))),_xlpm.cantidad,ROWS(_xlpm.resultados),IF(ISERROR(_xlpm.cantidad),"Combinación no existente",IF(_xlpm.cantidad=1,INDEX(_xlpm.resultados,1),"(seleccione)")))</f>
        <v>Combinación no existente</v>
      </c>
      <c r="V188" s="55" t="s">
        <v>73</v>
      </c>
      <c r="W188" s="56" t="s">
        <v>73</v>
      </c>
      <c r="X188" s="57" t="str">
        <f t="shared" si="8"/>
        <v/>
      </c>
      <c r="Y188" s="58" t="s">
        <v>73</v>
      </c>
      <c r="Z188" s="57" t="str">
        <f t="shared" si="9"/>
        <v/>
      </c>
      <c r="AA188" s="58" t="s">
        <v>73</v>
      </c>
      <c r="AB188" s="57" t="str">
        <f t="shared" si="10"/>
        <v/>
      </c>
      <c r="AC188" s="58" t="s">
        <v>73</v>
      </c>
      <c r="AD188" s="57" t="str">
        <f t="shared" si="11"/>
        <v/>
      </c>
      <c r="AE188" s="59"/>
      <c r="AF188" s="59"/>
      <c r="AG188" s="59"/>
      <c r="AH188" s="59"/>
      <c r="AI188" s="59" t="s">
        <v>73</v>
      </c>
      <c r="AJ188" s="59"/>
      <c r="AK188" s="59" t="s">
        <v>73</v>
      </c>
      <c r="AL188" s="59"/>
      <c r="AM188" s="59" t="s">
        <v>73</v>
      </c>
      <c r="AN188" s="59"/>
      <c r="AO188" s="59" t="s">
        <v>73</v>
      </c>
      <c r="AP188" s="59"/>
      <c r="AQ188" s="59" t="s">
        <v>73</v>
      </c>
      <c r="AR188" s="59"/>
      <c r="AS188" s="59" t="s">
        <v>72</v>
      </c>
      <c r="AT188" s="59"/>
      <c r="AU188" s="59"/>
      <c r="AV188" s="59"/>
      <c r="AW188" s="59"/>
      <c r="AX188" s="59"/>
      <c r="AY188" s="60" t="str">
        <f>IF('Cálculo MP'!K198="","",'Cálculo MP'!K198)</f>
        <v/>
      </c>
      <c r="AZ188" s="60" t="str">
        <f>IF('Cálculo MP'!L198="","",'Cálculo MP'!L198)</f>
        <v/>
      </c>
      <c r="BA188" s="60" t="str">
        <f>IF('Cálculo MP'!M198="","",'Cálculo MP'!M198)</f>
        <v/>
      </c>
      <c r="BB188" s="60" t="str">
        <f>IF('Cálculo MP'!N198="","",'Cálculo MP'!N198)</f>
        <v/>
      </c>
      <c r="BC188" s="60" t="str">
        <f>IF('Cálculo MP'!O198="","",'Cálculo MP'!O198)</f>
        <v/>
      </c>
      <c r="BD188" s="60" t="str">
        <f>IF('Cálculo MP'!P198="","",'Cálculo MP'!P198)</f>
        <v/>
      </c>
      <c r="BE188" s="60" t="str">
        <f>IF('Cálculo MP'!Q198="","",'Cálculo MP'!Q198)</f>
        <v/>
      </c>
      <c r="BF188" s="60" t="str">
        <f>IF('Cálculo MP'!R198="","",'Cálculo MP'!R198)</f>
        <v/>
      </c>
      <c r="BG188" s="60" t="str">
        <f>IF('Cálculo MP'!S198="","",'Cálculo MP'!S198)</f>
        <v/>
      </c>
      <c r="BH188" s="59"/>
      <c r="BI188" s="59"/>
      <c r="BJ188" s="59"/>
      <c r="BK188" s="59"/>
      <c r="BL188" s="59"/>
      <c r="BM188" s="59"/>
      <c r="BN188" s="59"/>
      <c r="BO188" s="59"/>
    </row>
    <row r="189" spans="1:67" ht="19.5" customHeight="1" x14ac:dyDescent="0.2">
      <c r="A189" s="114" t="s">
        <v>1789</v>
      </c>
      <c r="B189" s="113" t="s">
        <v>1787</v>
      </c>
      <c r="C189" s="122"/>
      <c r="D189" s="48" t="s">
        <v>73</v>
      </c>
      <c r="E189" s="49"/>
      <c r="F189" s="50"/>
      <c r="G189" s="62"/>
      <c r="H189" s="48" t="s">
        <v>72</v>
      </c>
      <c r="I189" s="52">
        <v>1</v>
      </c>
      <c r="J189" s="52"/>
      <c r="K189" s="52" t="s">
        <v>73</v>
      </c>
      <c r="L189" s="52" t="s">
        <v>74</v>
      </c>
      <c r="M189" s="53" t="s">
        <v>917</v>
      </c>
      <c r="N189" s="58" t="s">
        <v>73</v>
      </c>
      <c r="O189" s="48" t="s">
        <v>72</v>
      </c>
      <c r="P189" s="48" t="s">
        <v>73</v>
      </c>
      <c r="Q189" s="54" t="s">
        <v>73</v>
      </c>
      <c r="R189" s="55" t="s">
        <v>73</v>
      </c>
      <c r="S189" s="48" t="s">
        <v>73</v>
      </c>
      <c r="T189" s="121" t="str" cm="1">
        <f t="array" ref="T189">IF(ISNUMBER(SEARCH("SCHNEIDER",D189)),_xlfn.IFS(ISNUMBER(SEARCH("2 Querétaro",D189)),"SQ2",ISNUMBER(SEARCH("Xicohténcatl",D189)),"SXC",ISNUMBER(SEARCH("Rojo Gómez",D189)),"SRG",ISNUMBER(SEARCH("Tlaxcala",D189)),"STX",ISNUMBER(SEARCH("Monterrey",D189)),"SMY",ISNUMBER(SEARCH("Querétaro",D189)),"SQ1",ISNUMBER(SEARCH("CDMX",D189)),"SCM",TRUE,""),"")</f>
        <v/>
      </c>
      <c r="U189" s="48" t="str" cm="1">
        <f t="array" ref="U189">_xlfn.LET(_xlpm.resultados,_xlfn.UNIQUE(_xlfn._xlws.FILTER(Tabla1[Proceso],(Tabla1[Metal Base]=O189)*(Tabla1[Etiquetas]=_xlfn.TEXTJOIN(" + ",TRUE,IF((TRIM(Upload!P189:S189)="")+(LOWER(TRIM(Upload!P189:S189))="(seleccione)"),"",PROPER(TRIM(Upload!P189:S189)))))*(Tabla1[Línea2]=IFERROR(VLOOKUP(Upload!N189&amp;"*",CAT_Procesos!D:D,1,FALSE),"")))),_xlpm.cantidad,ROWS(_xlpm.resultados),IF(ISERROR(_xlpm.cantidad),"Combinación no existente",IF(_xlpm.cantidad=1,INDEX(_xlpm.resultados,1),"(seleccione)")))</f>
        <v>Combinación no existente</v>
      </c>
      <c r="V189" s="55" t="s">
        <v>73</v>
      </c>
      <c r="W189" s="56" t="s">
        <v>73</v>
      </c>
      <c r="X189" s="57" t="str">
        <f t="shared" si="8"/>
        <v/>
      </c>
      <c r="Y189" s="58" t="s">
        <v>73</v>
      </c>
      <c r="Z189" s="57" t="str">
        <f t="shared" si="9"/>
        <v/>
      </c>
      <c r="AA189" s="58" t="s">
        <v>73</v>
      </c>
      <c r="AB189" s="57" t="str">
        <f t="shared" si="10"/>
        <v/>
      </c>
      <c r="AC189" s="58" t="s">
        <v>73</v>
      </c>
      <c r="AD189" s="57" t="str">
        <f t="shared" si="11"/>
        <v/>
      </c>
      <c r="AE189" s="59"/>
      <c r="AF189" s="59"/>
      <c r="AG189" s="59"/>
      <c r="AH189" s="59"/>
      <c r="AI189" s="59" t="s">
        <v>73</v>
      </c>
      <c r="AJ189" s="59"/>
      <c r="AK189" s="59" t="s">
        <v>73</v>
      </c>
      <c r="AL189" s="59"/>
      <c r="AM189" s="59" t="s">
        <v>73</v>
      </c>
      <c r="AN189" s="59"/>
      <c r="AO189" s="59" t="s">
        <v>73</v>
      </c>
      <c r="AP189" s="59"/>
      <c r="AQ189" s="59" t="s">
        <v>73</v>
      </c>
      <c r="AR189" s="59"/>
      <c r="AS189" s="59" t="s">
        <v>72</v>
      </c>
      <c r="AT189" s="59"/>
      <c r="AU189" s="59"/>
      <c r="AV189" s="59"/>
      <c r="AW189" s="59"/>
      <c r="AX189" s="59"/>
      <c r="AY189" s="60" t="str">
        <f>IF('Cálculo MP'!K199="","",'Cálculo MP'!K199)</f>
        <v/>
      </c>
      <c r="AZ189" s="60" t="str">
        <f>IF('Cálculo MP'!L199="","",'Cálculo MP'!L199)</f>
        <v/>
      </c>
      <c r="BA189" s="60" t="str">
        <f>IF('Cálculo MP'!M199="","",'Cálculo MP'!M199)</f>
        <v/>
      </c>
      <c r="BB189" s="60" t="str">
        <f>IF('Cálculo MP'!N199="","",'Cálculo MP'!N199)</f>
        <v/>
      </c>
      <c r="BC189" s="60" t="str">
        <f>IF('Cálculo MP'!O199="","",'Cálculo MP'!O199)</f>
        <v/>
      </c>
      <c r="BD189" s="60" t="str">
        <f>IF('Cálculo MP'!P199="","",'Cálculo MP'!P199)</f>
        <v/>
      </c>
      <c r="BE189" s="60" t="str">
        <f>IF('Cálculo MP'!Q199="","",'Cálculo MP'!Q199)</f>
        <v/>
      </c>
      <c r="BF189" s="60" t="str">
        <f>IF('Cálculo MP'!R199="","",'Cálculo MP'!R199)</f>
        <v/>
      </c>
      <c r="BG189" s="60" t="str">
        <f>IF('Cálculo MP'!S199="","",'Cálculo MP'!S199)</f>
        <v/>
      </c>
      <c r="BH189" s="59"/>
      <c r="BI189" s="59"/>
      <c r="BJ189" s="59"/>
      <c r="BK189" s="59"/>
      <c r="BL189" s="59"/>
      <c r="BM189" s="59"/>
      <c r="BN189" s="59"/>
      <c r="BO189" s="59"/>
    </row>
    <row r="190" spans="1:67" ht="19.5" customHeight="1" x14ac:dyDescent="0.2">
      <c r="A190" s="114" t="s">
        <v>1789</v>
      </c>
      <c r="B190" s="113" t="s">
        <v>1787</v>
      </c>
      <c r="C190" s="122"/>
      <c r="D190" s="48" t="s">
        <v>73</v>
      </c>
      <c r="E190" s="49"/>
      <c r="F190" s="50"/>
      <c r="G190" s="62"/>
      <c r="H190" s="48" t="s">
        <v>72</v>
      </c>
      <c r="I190" s="52">
        <v>1</v>
      </c>
      <c r="J190" s="52"/>
      <c r="K190" s="52" t="s">
        <v>73</v>
      </c>
      <c r="L190" s="52" t="s">
        <v>74</v>
      </c>
      <c r="M190" s="53" t="s">
        <v>917</v>
      </c>
      <c r="N190" s="58" t="s">
        <v>73</v>
      </c>
      <c r="O190" s="48" t="s">
        <v>72</v>
      </c>
      <c r="P190" s="48" t="s">
        <v>73</v>
      </c>
      <c r="Q190" s="54" t="s">
        <v>73</v>
      </c>
      <c r="R190" s="55" t="s">
        <v>73</v>
      </c>
      <c r="S190" s="48" t="s">
        <v>73</v>
      </c>
      <c r="T190" s="121" t="str" cm="1">
        <f t="array" ref="T190">IF(ISNUMBER(SEARCH("SCHNEIDER",D190)),_xlfn.IFS(ISNUMBER(SEARCH("2 Querétaro",D190)),"SQ2",ISNUMBER(SEARCH("Xicohténcatl",D190)),"SXC",ISNUMBER(SEARCH("Rojo Gómez",D190)),"SRG",ISNUMBER(SEARCH("Tlaxcala",D190)),"STX",ISNUMBER(SEARCH("Monterrey",D190)),"SMY",ISNUMBER(SEARCH("Querétaro",D190)),"SQ1",ISNUMBER(SEARCH("CDMX",D190)),"SCM",TRUE,""),"")</f>
        <v/>
      </c>
      <c r="U190" s="48" t="str" cm="1">
        <f t="array" ref="U190">_xlfn.LET(_xlpm.resultados,_xlfn.UNIQUE(_xlfn._xlws.FILTER(Tabla1[Proceso],(Tabla1[Metal Base]=O190)*(Tabla1[Etiquetas]=_xlfn.TEXTJOIN(" + ",TRUE,IF((TRIM(Upload!P190:S190)="")+(LOWER(TRIM(Upload!P190:S190))="(seleccione)"),"",PROPER(TRIM(Upload!P190:S190)))))*(Tabla1[Línea2]=IFERROR(VLOOKUP(Upload!N190&amp;"*",CAT_Procesos!D:D,1,FALSE),"")))),_xlpm.cantidad,ROWS(_xlpm.resultados),IF(ISERROR(_xlpm.cantidad),"Combinación no existente",IF(_xlpm.cantidad=1,INDEX(_xlpm.resultados,1),"(seleccione)")))</f>
        <v>Combinación no existente</v>
      </c>
      <c r="V190" s="55" t="s">
        <v>73</v>
      </c>
      <c r="W190" s="56" t="s">
        <v>73</v>
      </c>
      <c r="X190" s="57" t="str">
        <f t="shared" si="8"/>
        <v/>
      </c>
      <c r="Y190" s="58" t="s">
        <v>73</v>
      </c>
      <c r="Z190" s="57" t="str">
        <f t="shared" si="9"/>
        <v/>
      </c>
      <c r="AA190" s="58" t="s">
        <v>73</v>
      </c>
      <c r="AB190" s="57" t="str">
        <f t="shared" si="10"/>
        <v/>
      </c>
      <c r="AC190" s="58" t="s">
        <v>73</v>
      </c>
      <c r="AD190" s="57" t="str">
        <f t="shared" si="11"/>
        <v/>
      </c>
      <c r="AE190" s="59"/>
      <c r="AF190" s="59"/>
      <c r="AG190" s="59"/>
      <c r="AH190" s="59"/>
      <c r="AI190" s="59" t="s">
        <v>73</v>
      </c>
      <c r="AJ190" s="59"/>
      <c r="AK190" s="59" t="s">
        <v>73</v>
      </c>
      <c r="AL190" s="59"/>
      <c r="AM190" s="59" t="s">
        <v>73</v>
      </c>
      <c r="AN190" s="59"/>
      <c r="AO190" s="59" t="s">
        <v>73</v>
      </c>
      <c r="AP190" s="59"/>
      <c r="AQ190" s="59" t="s">
        <v>73</v>
      </c>
      <c r="AR190" s="59"/>
      <c r="AS190" s="59" t="s">
        <v>72</v>
      </c>
      <c r="AT190" s="59"/>
      <c r="AU190" s="59"/>
      <c r="AV190" s="59"/>
      <c r="AW190" s="59"/>
      <c r="AX190" s="59"/>
      <c r="AY190" s="60" t="str">
        <f>IF('Cálculo MP'!K200="","",'Cálculo MP'!K200)</f>
        <v/>
      </c>
      <c r="AZ190" s="60" t="str">
        <f>IF('Cálculo MP'!L200="","",'Cálculo MP'!L200)</f>
        <v/>
      </c>
      <c r="BA190" s="60" t="str">
        <f>IF('Cálculo MP'!M200="","",'Cálculo MP'!M200)</f>
        <v/>
      </c>
      <c r="BB190" s="60" t="str">
        <f>IF('Cálculo MP'!N200="","",'Cálculo MP'!N200)</f>
        <v/>
      </c>
      <c r="BC190" s="60" t="str">
        <f>IF('Cálculo MP'!O200="","",'Cálculo MP'!O200)</f>
        <v/>
      </c>
      <c r="BD190" s="60" t="str">
        <f>IF('Cálculo MP'!P200="","",'Cálculo MP'!P200)</f>
        <v/>
      </c>
      <c r="BE190" s="60" t="str">
        <f>IF('Cálculo MP'!Q200="","",'Cálculo MP'!Q200)</f>
        <v/>
      </c>
      <c r="BF190" s="60" t="str">
        <f>IF('Cálculo MP'!R200="","",'Cálculo MP'!R200)</f>
        <v/>
      </c>
      <c r="BG190" s="60" t="str">
        <f>IF('Cálculo MP'!S200="","",'Cálculo MP'!S200)</f>
        <v/>
      </c>
      <c r="BH190" s="59"/>
      <c r="BI190" s="59"/>
      <c r="BJ190" s="59"/>
      <c r="BK190" s="59"/>
      <c r="BL190" s="59"/>
      <c r="BM190" s="59"/>
      <c r="BN190" s="59"/>
      <c r="BO190" s="59"/>
    </row>
    <row r="191" spans="1:67" ht="19.5" customHeight="1" x14ac:dyDescent="0.2">
      <c r="A191" s="114" t="s">
        <v>1789</v>
      </c>
      <c r="B191" s="113" t="s">
        <v>1787</v>
      </c>
      <c r="C191" s="122"/>
      <c r="D191" s="48" t="s">
        <v>73</v>
      </c>
      <c r="E191" s="49"/>
      <c r="F191" s="50"/>
      <c r="G191" s="62"/>
      <c r="H191" s="48" t="s">
        <v>72</v>
      </c>
      <c r="I191" s="52">
        <v>1</v>
      </c>
      <c r="J191" s="52"/>
      <c r="K191" s="52" t="s">
        <v>73</v>
      </c>
      <c r="L191" s="52" t="s">
        <v>74</v>
      </c>
      <c r="M191" s="53" t="s">
        <v>917</v>
      </c>
      <c r="N191" s="58" t="s">
        <v>73</v>
      </c>
      <c r="O191" s="48" t="s">
        <v>72</v>
      </c>
      <c r="P191" s="48" t="s">
        <v>73</v>
      </c>
      <c r="Q191" s="54" t="s">
        <v>73</v>
      </c>
      <c r="R191" s="55" t="s">
        <v>73</v>
      </c>
      <c r="S191" s="48" t="s">
        <v>73</v>
      </c>
      <c r="T191" s="121" t="str" cm="1">
        <f t="array" ref="T191">IF(ISNUMBER(SEARCH("SCHNEIDER",D191)),_xlfn.IFS(ISNUMBER(SEARCH("2 Querétaro",D191)),"SQ2",ISNUMBER(SEARCH("Xicohténcatl",D191)),"SXC",ISNUMBER(SEARCH("Rojo Gómez",D191)),"SRG",ISNUMBER(SEARCH("Tlaxcala",D191)),"STX",ISNUMBER(SEARCH("Monterrey",D191)),"SMY",ISNUMBER(SEARCH("Querétaro",D191)),"SQ1",ISNUMBER(SEARCH("CDMX",D191)),"SCM",TRUE,""),"")</f>
        <v/>
      </c>
      <c r="U191" s="48" t="str" cm="1">
        <f t="array" ref="U191">_xlfn.LET(_xlpm.resultados,_xlfn.UNIQUE(_xlfn._xlws.FILTER(Tabla1[Proceso],(Tabla1[Metal Base]=O191)*(Tabla1[Etiquetas]=_xlfn.TEXTJOIN(" + ",TRUE,IF((TRIM(Upload!P191:S191)="")+(LOWER(TRIM(Upload!P191:S191))="(seleccione)"),"",PROPER(TRIM(Upload!P191:S191)))))*(Tabla1[Línea2]=IFERROR(VLOOKUP(Upload!N191&amp;"*",CAT_Procesos!D:D,1,FALSE),"")))),_xlpm.cantidad,ROWS(_xlpm.resultados),IF(ISERROR(_xlpm.cantidad),"Combinación no existente",IF(_xlpm.cantidad=1,INDEX(_xlpm.resultados,1),"(seleccione)")))</f>
        <v>Combinación no existente</v>
      </c>
      <c r="V191" s="55" t="s">
        <v>73</v>
      </c>
      <c r="W191" s="56" t="s">
        <v>73</v>
      </c>
      <c r="X191" s="57" t="str">
        <f t="shared" si="8"/>
        <v/>
      </c>
      <c r="Y191" s="58" t="s">
        <v>73</v>
      </c>
      <c r="Z191" s="57" t="str">
        <f t="shared" si="9"/>
        <v/>
      </c>
      <c r="AA191" s="58" t="s">
        <v>73</v>
      </c>
      <c r="AB191" s="57" t="str">
        <f t="shared" si="10"/>
        <v/>
      </c>
      <c r="AC191" s="58" t="s">
        <v>73</v>
      </c>
      <c r="AD191" s="57" t="str">
        <f t="shared" si="11"/>
        <v/>
      </c>
      <c r="AE191" s="59"/>
      <c r="AF191" s="59"/>
      <c r="AG191" s="59"/>
      <c r="AH191" s="59"/>
      <c r="AI191" s="59" t="s">
        <v>73</v>
      </c>
      <c r="AJ191" s="59"/>
      <c r="AK191" s="59" t="s">
        <v>73</v>
      </c>
      <c r="AL191" s="59"/>
      <c r="AM191" s="59" t="s">
        <v>73</v>
      </c>
      <c r="AN191" s="59"/>
      <c r="AO191" s="59" t="s">
        <v>73</v>
      </c>
      <c r="AP191" s="59"/>
      <c r="AQ191" s="59" t="s">
        <v>73</v>
      </c>
      <c r="AR191" s="59"/>
      <c r="AS191" s="59" t="s">
        <v>72</v>
      </c>
      <c r="AT191" s="59"/>
      <c r="AU191" s="59"/>
      <c r="AV191" s="59"/>
      <c r="AW191" s="59"/>
      <c r="AX191" s="59"/>
      <c r="AY191" s="60" t="str">
        <f>IF('Cálculo MP'!K201="","",'Cálculo MP'!K201)</f>
        <v/>
      </c>
      <c r="AZ191" s="60" t="str">
        <f>IF('Cálculo MP'!L201="","",'Cálculo MP'!L201)</f>
        <v/>
      </c>
      <c r="BA191" s="60" t="str">
        <f>IF('Cálculo MP'!M201="","",'Cálculo MP'!M201)</f>
        <v/>
      </c>
      <c r="BB191" s="60" t="str">
        <f>IF('Cálculo MP'!N201="","",'Cálculo MP'!N201)</f>
        <v/>
      </c>
      <c r="BC191" s="60" t="str">
        <f>IF('Cálculo MP'!O201="","",'Cálculo MP'!O201)</f>
        <v/>
      </c>
      <c r="BD191" s="60" t="str">
        <f>IF('Cálculo MP'!P201="","",'Cálculo MP'!P201)</f>
        <v/>
      </c>
      <c r="BE191" s="60" t="str">
        <f>IF('Cálculo MP'!Q201="","",'Cálculo MP'!Q201)</f>
        <v/>
      </c>
      <c r="BF191" s="60" t="str">
        <f>IF('Cálculo MP'!R201="","",'Cálculo MP'!R201)</f>
        <v/>
      </c>
      <c r="BG191" s="60" t="str">
        <f>IF('Cálculo MP'!S201="","",'Cálculo MP'!S201)</f>
        <v/>
      </c>
      <c r="BH191" s="59"/>
      <c r="BI191" s="59"/>
      <c r="BJ191" s="59"/>
      <c r="BK191" s="59"/>
      <c r="BL191" s="59"/>
      <c r="BM191" s="59"/>
      <c r="BN191" s="59"/>
      <c r="BO191" s="59"/>
    </row>
    <row r="192" spans="1:67" ht="19.5" customHeight="1" x14ac:dyDescent="0.2">
      <c r="A192" s="114" t="s">
        <v>1789</v>
      </c>
      <c r="B192" s="113" t="s">
        <v>1787</v>
      </c>
      <c r="C192" s="122"/>
      <c r="D192" s="48" t="s">
        <v>73</v>
      </c>
      <c r="E192" s="49"/>
      <c r="F192" s="50"/>
      <c r="G192" s="62"/>
      <c r="H192" s="48" t="s">
        <v>72</v>
      </c>
      <c r="I192" s="52">
        <v>1</v>
      </c>
      <c r="J192" s="52"/>
      <c r="K192" s="52" t="s">
        <v>73</v>
      </c>
      <c r="L192" s="52" t="s">
        <v>74</v>
      </c>
      <c r="M192" s="53" t="s">
        <v>917</v>
      </c>
      <c r="N192" s="58" t="s">
        <v>73</v>
      </c>
      <c r="O192" s="48" t="s">
        <v>72</v>
      </c>
      <c r="P192" s="48" t="s">
        <v>73</v>
      </c>
      <c r="Q192" s="54" t="s">
        <v>73</v>
      </c>
      <c r="R192" s="55" t="s">
        <v>73</v>
      </c>
      <c r="S192" s="48" t="s">
        <v>73</v>
      </c>
      <c r="T192" s="121" t="str" cm="1">
        <f t="array" ref="T192">IF(ISNUMBER(SEARCH("SCHNEIDER",D192)),_xlfn.IFS(ISNUMBER(SEARCH("2 Querétaro",D192)),"SQ2",ISNUMBER(SEARCH("Xicohténcatl",D192)),"SXC",ISNUMBER(SEARCH("Rojo Gómez",D192)),"SRG",ISNUMBER(SEARCH("Tlaxcala",D192)),"STX",ISNUMBER(SEARCH("Monterrey",D192)),"SMY",ISNUMBER(SEARCH("Querétaro",D192)),"SQ1",ISNUMBER(SEARCH("CDMX",D192)),"SCM",TRUE,""),"")</f>
        <v/>
      </c>
      <c r="U192" s="48" t="str" cm="1">
        <f t="array" ref="U192">_xlfn.LET(_xlpm.resultados,_xlfn.UNIQUE(_xlfn._xlws.FILTER(Tabla1[Proceso],(Tabla1[Metal Base]=O192)*(Tabla1[Etiquetas]=_xlfn.TEXTJOIN(" + ",TRUE,IF((TRIM(Upload!P192:S192)="")+(LOWER(TRIM(Upload!P192:S192))="(seleccione)"),"",PROPER(TRIM(Upload!P192:S192)))))*(Tabla1[Línea2]=IFERROR(VLOOKUP(Upload!N192&amp;"*",CAT_Procesos!D:D,1,FALSE),"")))),_xlpm.cantidad,ROWS(_xlpm.resultados),IF(ISERROR(_xlpm.cantidad),"Combinación no existente",IF(_xlpm.cantidad=1,INDEX(_xlpm.resultados,1),"(seleccione)")))</f>
        <v>Combinación no existente</v>
      </c>
      <c r="V192" s="55" t="s">
        <v>73</v>
      </c>
      <c r="W192" s="56" t="s">
        <v>73</v>
      </c>
      <c r="X192" s="57" t="str">
        <f t="shared" si="8"/>
        <v/>
      </c>
      <c r="Y192" s="58" t="s">
        <v>73</v>
      </c>
      <c r="Z192" s="57" t="str">
        <f t="shared" si="9"/>
        <v/>
      </c>
      <c r="AA192" s="58" t="s">
        <v>73</v>
      </c>
      <c r="AB192" s="57" t="str">
        <f t="shared" si="10"/>
        <v/>
      </c>
      <c r="AC192" s="58" t="s">
        <v>73</v>
      </c>
      <c r="AD192" s="57" t="str">
        <f t="shared" si="11"/>
        <v/>
      </c>
      <c r="AE192" s="59"/>
      <c r="AF192" s="59"/>
      <c r="AG192" s="59"/>
      <c r="AH192" s="59"/>
      <c r="AI192" s="59" t="s">
        <v>73</v>
      </c>
      <c r="AJ192" s="59"/>
      <c r="AK192" s="59" t="s">
        <v>73</v>
      </c>
      <c r="AL192" s="59"/>
      <c r="AM192" s="59" t="s">
        <v>73</v>
      </c>
      <c r="AN192" s="59"/>
      <c r="AO192" s="59" t="s">
        <v>73</v>
      </c>
      <c r="AP192" s="59"/>
      <c r="AQ192" s="59" t="s">
        <v>73</v>
      </c>
      <c r="AR192" s="59"/>
      <c r="AS192" s="59" t="s">
        <v>72</v>
      </c>
      <c r="AT192" s="59"/>
      <c r="AU192" s="59"/>
      <c r="AV192" s="59"/>
      <c r="AW192" s="59"/>
      <c r="AX192" s="59"/>
      <c r="AY192" s="60" t="str">
        <f>IF('Cálculo MP'!K202="","",'Cálculo MP'!K202)</f>
        <v/>
      </c>
      <c r="AZ192" s="60" t="str">
        <f>IF('Cálculo MP'!L202="","",'Cálculo MP'!L202)</f>
        <v/>
      </c>
      <c r="BA192" s="60" t="str">
        <f>IF('Cálculo MP'!M202="","",'Cálculo MP'!M202)</f>
        <v/>
      </c>
      <c r="BB192" s="60" t="str">
        <f>IF('Cálculo MP'!N202="","",'Cálculo MP'!N202)</f>
        <v/>
      </c>
      <c r="BC192" s="60" t="str">
        <f>IF('Cálculo MP'!O202="","",'Cálculo MP'!O202)</f>
        <v/>
      </c>
      <c r="BD192" s="60" t="str">
        <f>IF('Cálculo MP'!P202="","",'Cálculo MP'!P202)</f>
        <v/>
      </c>
      <c r="BE192" s="60" t="str">
        <f>IF('Cálculo MP'!Q202="","",'Cálculo MP'!Q202)</f>
        <v/>
      </c>
      <c r="BF192" s="60" t="str">
        <f>IF('Cálculo MP'!R202="","",'Cálculo MP'!R202)</f>
        <v/>
      </c>
      <c r="BG192" s="60" t="str">
        <f>IF('Cálculo MP'!S202="","",'Cálculo MP'!S202)</f>
        <v/>
      </c>
      <c r="BH192" s="59"/>
      <c r="BI192" s="59"/>
      <c r="BJ192" s="59"/>
      <c r="BK192" s="59"/>
      <c r="BL192" s="59"/>
      <c r="BM192" s="59"/>
      <c r="BN192" s="59"/>
      <c r="BO192" s="59"/>
    </row>
    <row r="193" spans="1:67" ht="19.5" customHeight="1" x14ac:dyDescent="0.2">
      <c r="A193" s="114" t="s">
        <v>1789</v>
      </c>
      <c r="B193" s="113" t="s">
        <v>1787</v>
      </c>
      <c r="C193" s="122"/>
      <c r="D193" s="48" t="s">
        <v>73</v>
      </c>
      <c r="E193" s="49"/>
      <c r="F193" s="50"/>
      <c r="G193" s="62"/>
      <c r="H193" s="48" t="s">
        <v>72</v>
      </c>
      <c r="I193" s="52">
        <v>1</v>
      </c>
      <c r="J193" s="52"/>
      <c r="K193" s="52" t="s">
        <v>73</v>
      </c>
      <c r="L193" s="52" t="s">
        <v>74</v>
      </c>
      <c r="M193" s="53" t="s">
        <v>917</v>
      </c>
      <c r="N193" s="58" t="s">
        <v>73</v>
      </c>
      <c r="O193" s="48" t="s">
        <v>72</v>
      </c>
      <c r="P193" s="48" t="s">
        <v>73</v>
      </c>
      <c r="Q193" s="54" t="s">
        <v>73</v>
      </c>
      <c r="R193" s="55" t="s">
        <v>73</v>
      </c>
      <c r="S193" s="48" t="s">
        <v>73</v>
      </c>
      <c r="T193" s="121" t="str" cm="1">
        <f t="array" ref="T193">IF(ISNUMBER(SEARCH("SCHNEIDER",D193)),_xlfn.IFS(ISNUMBER(SEARCH("2 Querétaro",D193)),"SQ2",ISNUMBER(SEARCH("Xicohténcatl",D193)),"SXC",ISNUMBER(SEARCH("Rojo Gómez",D193)),"SRG",ISNUMBER(SEARCH("Tlaxcala",D193)),"STX",ISNUMBER(SEARCH("Monterrey",D193)),"SMY",ISNUMBER(SEARCH("Querétaro",D193)),"SQ1",ISNUMBER(SEARCH("CDMX",D193)),"SCM",TRUE,""),"")</f>
        <v/>
      </c>
      <c r="U193" s="48" t="str" cm="1">
        <f t="array" ref="U193">_xlfn.LET(_xlpm.resultados,_xlfn.UNIQUE(_xlfn._xlws.FILTER(Tabla1[Proceso],(Tabla1[Metal Base]=O193)*(Tabla1[Etiquetas]=_xlfn.TEXTJOIN(" + ",TRUE,IF((TRIM(Upload!P193:S193)="")+(LOWER(TRIM(Upload!P193:S193))="(seleccione)"),"",PROPER(TRIM(Upload!P193:S193)))))*(Tabla1[Línea2]=IFERROR(VLOOKUP(Upload!N193&amp;"*",CAT_Procesos!D:D,1,FALSE),"")))),_xlpm.cantidad,ROWS(_xlpm.resultados),IF(ISERROR(_xlpm.cantidad),"Combinación no existente",IF(_xlpm.cantidad=1,INDEX(_xlpm.resultados,1),"(seleccione)")))</f>
        <v>Combinación no existente</v>
      </c>
      <c r="V193" s="55" t="s">
        <v>73</v>
      </c>
      <c r="W193" s="56" t="s">
        <v>73</v>
      </c>
      <c r="X193" s="57" t="str">
        <f t="shared" si="8"/>
        <v/>
      </c>
      <c r="Y193" s="58" t="s">
        <v>73</v>
      </c>
      <c r="Z193" s="57" t="str">
        <f t="shared" si="9"/>
        <v/>
      </c>
      <c r="AA193" s="58" t="s">
        <v>73</v>
      </c>
      <c r="AB193" s="57" t="str">
        <f t="shared" si="10"/>
        <v/>
      </c>
      <c r="AC193" s="58" t="s">
        <v>73</v>
      </c>
      <c r="AD193" s="57" t="str">
        <f t="shared" si="11"/>
        <v/>
      </c>
      <c r="AE193" s="59"/>
      <c r="AF193" s="59"/>
      <c r="AG193" s="59"/>
      <c r="AH193" s="59"/>
      <c r="AI193" s="59" t="s">
        <v>73</v>
      </c>
      <c r="AJ193" s="59"/>
      <c r="AK193" s="59" t="s">
        <v>73</v>
      </c>
      <c r="AL193" s="59"/>
      <c r="AM193" s="59" t="s">
        <v>73</v>
      </c>
      <c r="AN193" s="59"/>
      <c r="AO193" s="59" t="s">
        <v>73</v>
      </c>
      <c r="AP193" s="59"/>
      <c r="AQ193" s="59" t="s">
        <v>73</v>
      </c>
      <c r="AR193" s="59"/>
      <c r="AS193" s="59" t="s">
        <v>72</v>
      </c>
      <c r="AT193" s="59"/>
      <c r="AU193" s="59"/>
      <c r="AV193" s="59"/>
      <c r="AW193" s="59"/>
      <c r="AX193" s="59"/>
      <c r="AY193" s="60" t="str">
        <f>IF('Cálculo MP'!K203="","",'Cálculo MP'!K203)</f>
        <v/>
      </c>
      <c r="AZ193" s="60" t="str">
        <f>IF('Cálculo MP'!L203="","",'Cálculo MP'!L203)</f>
        <v/>
      </c>
      <c r="BA193" s="60" t="str">
        <f>IF('Cálculo MP'!M203="","",'Cálculo MP'!M203)</f>
        <v/>
      </c>
      <c r="BB193" s="60" t="str">
        <f>IF('Cálculo MP'!N203="","",'Cálculo MP'!N203)</f>
        <v/>
      </c>
      <c r="BC193" s="60" t="str">
        <f>IF('Cálculo MP'!O203="","",'Cálculo MP'!O203)</f>
        <v/>
      </c>
      <c r="BD193" s="60" t="str">
        <f>IF('Cálculo MP'!P203="","",'Cálculo MP'!P203)</f>
        <v/>
      </c>
      <c r="BE193" s="60" t="str">
        <f>IF('Cálculo MP'!Q203="","",'Cálculo MP'!Q203)</f>
        <v/>
      </c>
      <c r="BF193" s="60" t="str">
        <f>IF('Cálculo MP'!R203="","",'Cálculo MP'!R203)</f>
        <v/>
      </c>
      <c r="BG193" s="60" t="str">
        <f>IF('Cálculo MP'!S203="","",'Cálculo MP'!S203)</f>
        <v/>
      </c>
      <c r="BH193" s="59"/>
      <c r="BI193" s="59"/>
      <c r="BJ193" s="59"/>
      <c r="BK193" s="59"/>
      <c r="BL193" s="59"/>
      <c r="BM193" s="59"/>
      <c r="BN193" s="59"/>
      <c r="BO193" s="59"/>
    </row>
    <row r="194" spans="1:67" ht="19.5" customHeight="1" x14ac:dyDescent="0.2">
      <c r="A194" s="114" t="s">
        <v>1789</v>
      </c>
      <c r="B194" s="113" t="s">
        <v>1787</v>
      </c>
      <c r="C194" s="122"/>
      <c r="D194" s="48" t="s">
        <v>73</v>
      </c>
      <c r="E194" s="49"/>
      <c r="F194" s="50"/>
      <c r="G194" s="62"/>
      <c r="H194" s="48" t="s">
        <v>72</v>
      </c>
      <c r="I194" s="52">
        <v>1</v>
      </c>
      <c r="J194" s="52"/>
      <c r="K194" s="52" t="s">
        <v>73</v>
      </c>
      <c r="L194" s="52" t="s">
        <v>74</v>
      </c>
      <c r="M194" s="53" t="s">
        <v>917</v>
      </c>
      <c r="N194" s="58" t="s">
        <v>73</v>
      </c>
      <c r="O194" s="48" t="s">
        <v>72</v>
      </c>
      <c r="P194" s="48" t="s">
        <v>73</v>
      </c>
      <c r="Q194" s="54" t="s">
        <v>73</v>
      </c>
      <c r="R194" s="55" t="s">
        <v>73</v>
      </c>
      <c r="S194" s="48" t="s">
        <v>73</v>
      </c>
      <c r="T194" s="121" t="str" cm="1">
        <f t="array" ref="T194">IF(ISNUMBER(SEARCH("SCHNEIDER",D194)),_xlfn.IFS(ISNUMBER(SEARCH("2 Querétaro",D194)),"SQ2",ISNUMBER(SEARCH("Xicohténcatl",D194)),"SXC",ISNUMBER(SEARCH("Rojo Gómez",D194)),"SRG",ISNUMBER(SEARCH("Tlaxcala",D194)),"STX",ISNUMBER(SEARCH("Monterrey",D194)),"SMY",ISNUMBER(SEARCH("Querétaro",D194)),"SQ1",ISNUMBER(SEARCH("CDMX",D194)),"SCM",TRUE,""),"")</f>
        <v/>
      </c>
      <c r="U194" s="48" t="str" cm="1">
        <f t="array" ref="U194">_xlfn.LET(_xlpm.resultados,_xlfn.UNIQUE(_xlfn._xlws.FILTER(Tabla1[Proceso],(Tabla1[Metal Base]=O194)*(Tabla1[Etiquetas]=_xlfn.TEXTJOIN(" + ",TRUE,IF((TRIM(Upload!P194:S194)="")+(LOWER(TRIM(Upload!P194:S194))="(seleccione)"),"",PROPER(TRIM(Upload!P194:S194)))))*(Tabla1[Línea2]=IFERROR(VLOOKUP(Upload!N194&amp;"*",CAT_Procesos!D:D,1,FALSE),"")))),_xlpm.cantidad,ROWS(_xlpm.resultados),IF(ISERROR(_xlpm.cantidad),"Combinación no existente",IF(_xlpm.cantidad=1,INDEX(_xlpm.resultados,1),"(seleccione)")))</f>
        <v>Combinación no existente</v>
      </c>
      <c r="V194" s="55" t="s">
        <v>73</v>
      </c>
      <c r="W194" s="56" t="s">
        <v>73</v>
      </c>
      <c r="X194" s="57" t="str">
        <f t="shared" si="8"/>
        <v/>
      </c>
      <c r="Y194" s="58" t="s">
        <v>73</v>
      </c>
      <c r="Z194" s="57" t="str">
        <f t="shared" si="9"/>
        <v/>
      </c>
      <c r="AA194" s="58" t="s">
        <v>73</v>
      </c>
      <c r="AB194" s="57" t="str">
        <f t="shared" si="10"/>
        <v/>
      </c>
      <c r="AC194" s="58" t="s">
        <v>73</v>
      </c>
      <c r="AD194" s="57" t="str">
        <f t="shared" si="11"/>
        <v/>
      </c>
      <c r="AE194" s="59"/>
      <c r="AF194" s="59"/>
      <c r="AG194" s="59"/>
      <c r="AH194" s="59"/>
      <c r="AI194" s="59" t="s">
        <v>73</v>
      </c>
      <c r="AJ194" s="59"/>
      <c r="AK194" s="59" t="s">
        <v>73</v>
      </c>
      <c r="AL194" s="59"/>
      <c r="AM194" s="59" t="s">
        <v>73</v>
      </c>
      <c r="AN194" s="59"/>
      <c r="AO194" s="59" t="s">
        <v>73</v>
      </c>
      <c r="AP194" s="59"/>
      <c r="AQ194" s="59" t="s">
        <v>73</v>
      </c>
      <c r="AR194" s="59"/>
      <c r="AS194" s="59" t="s">
        <v>72</v>
      </c>
      <c r="AT194" s="59"/>
      <c r="AU194" s="59"/>
      <c r="AV194" s="59"/>
      <c r="AW194" s="59"/>
      <c r="AX194" s="59"/>
      <c r="AY194" s="60" t="str">
        <f>IF('Cálculo MP'!K204="","",'Cálculo MP'!K204)</f>
        <v/>
      </c>
      <c r="AZ194" s="60" t="str">
        <f>IF('Cálculo MP'!L204="","",'Cálculo MP'!L204)</f>
        <v/>
      </c>
      <c r="BA194" s="60" t="str">
        <f>IF('Cálculo MP'!M204="","",'Cálculo MP'!M204)</f>
        <v/>
      </c>
      <c r="BB194" s="60" t="str">
        <f>IF('Cálculo MP'!N204="","",'Cálculo MP'!N204)</f>
        <v/>
      </c>
      <c r="BC194" s="60" t="str">
        <f>IF('Cálculo MP'!O204="","",'Cálculo MP'!O204)</f>
        <v/>
      </c>
      <c r="BD194" s="60" t="str">
        <f>IF('Cálculo MP'!P204="","",'Cálculo MP'!P204)</f>
        <v/>
      </c>
      <c r="BE194" s="60" t="str">
        <f>IF('Cálculo MP'!Q204="","",'Cálculo MP'!Q204)</f>
        <v/>
      </c>
      <c r="BF194" s="60" t="str">
        <f>IF('Cálculo MP'!R204="","",'Cálculo MP'!R204)</f>
        <v/>
      </c>
      <c r="BG194" s="60" t="str">
        <f>IF('Cálculo MP'!S204="","",'Cálculo MP'!S204)</f>
        <v/>
      </c>
      <c r="BH194" s="59"/>
      <c r="BI194" s="59"/>
      <c r="BJ194" s="59"/>
      <c r="BK194" s="59"/>
      <c r="BL194" s="59"/>
      <c r="BM194" s="59"/>
      <c r="BN194" s="59"/>
      <c r="BO194" s="59"/>
    </row>
    <row r="195" spans="1:67" ht="19.5" customHeight="1" x14ac:dyDescent="0.2">
      <c r="A195" s="114" t="s">
        <v>1789</v>
      </c>
      <c r="B195" s="113" t="s">
        <v>1787</v>
      </c>
      <c r="C195" s="122"/>
      <c r="D195" s="48" t="s">
        <v>73</v>
      </c>
      <c r="E195" s="49"/>
      <c r="F195" s="50"/>
      <c r="G195" s="62"/>
      <c r="H195" s="48" t="s">
        <v>72</v>
      </c>
      <c r="I195" s="52">
        <v>1</v>
      </c>
      <c r="J195" s="52"/>
      <c r="K195" s="52" t="s">
        <v>73</v>
      </c>
      <c r="L195" s="52" t="s">
        <v>74</v>
      </c>
      <c r="M195" s="53" t="s">
        <v>917</v>
      </c>
      <c r="N195" s="58" t="s">
        <v>73</v>
      </c>
      <c r="O195" s="48" t="s">
        <v>72</v>
      </c>
      <c r="P195" s="48" t="s">
        <v>73</v>
      </c>
      <c r="Q195" s="54" t="s">
        <v>73</v>
      </c>
      <c r="R195" s="55" t="s">
        <v>73</v>
      </c>
      <c r="S195" s="48" t="s">
        <v>73</v>
      </c>
      <c r="T195" s="121" t="str" cm="1">
        <f t="array" ref="T195">IF(ISNUMBER(SEARCH("SCHNEIDER",D195)),_xlfn.IFS(ISNUMBER(SEARCH("2 Querétaro",D195)),"SQ2",ISNUMBER(SEARCH("Xicohténcatl",D195)),"SXC",ISNUMBER(SEARCH("Rojo Gómez",D195)),"SRG",ISNUMBER(SEARCH("Tlaxcala",D195)),"STX",ISNUMBER(SEARCH("Monterrey",D195)),"SMY",ISNUMBER(SEARCH("Querétaro",D195)),"SQ1",ISNUMBER(SEARCH("CDMX",D195)),"SCM",TRUE,""),"")</f>
        <v/>
      </c>
      <c r="U195" s="48" t="str" cm="1">
        <f t="array" ref="U195">_xlfn.LET(_xlpm.resultados,_xlfn.UNIQUE(_xlfn._xlws.FILTER(Tabla1[Proceso],(Tabla1[Metal Base]=O195)*(Tabla1[Etiquetas]=_xlfn.TEXTJOIN(" + ",TRUE,IF((TRIM(Upload!P195:S195)="")+(LOWER(TRIM(Upload!P195:S195))="(seleccione)"),"",PROPER(TRIM(Upload!P195:S195)))))*(Tabla1[Línea2]=IFERROR(VLOOKUP(Upload!N195&amp;"*",CAT_Procesos!D:D,1,FALSE),"")))),_xlpm.cantidad,ROWS(_xlpm.resultados),IF(ISERROR(_xlpm.cantidad),"Combinación no existente",IF(_xlpm.cantidad=1,INDEX(_xlpm.resultados,1),"(seleccione)")))</f>
        <v>Combinación no existente</v>
      </c>
      <c r="V195" s="55" t="s">
        <v>73</v>
      </c>
      <c r="W195" s="56" t="s">
        <v>73</v>
      </c>
      <c r="X195" s="57" t="str">
        <f t="shared" si="8"/>
        <v/>
      </c>
      <c r="Y195" s="58" t="s">
        <v>73</v>
      </c>
      <c r="Z195" s="57" t="str">
        <f t="shared" si="9"/>
        <v/>
      </c>
      <c r="AA195" s="58" t="s">
        <v>73</v>
      </c>
      <c r="AB195" s="57" t="str">
        <f t="shared" si="10"/>
        <v/>
      </c>
      <c r="AC195" s="58" t="s">
        <v>73</v>
      </c>
      <c r="AD195" s="57" t="str">
        <f t="shared" si="11"/>
        <v/>
      </c>
      <c r="AE195" s="59"/>
      <c r="AF195" s="59"/>
      <c r="AG195" s="59"/>
      <c r="AH195" s="59"/>
      <c r="AI195" s="59" t="s">
        <v>73</v>
      </c>
      <c r="AJ195" s="59"/>
      <c r="AK195" s="59" t="s">
        <v>73</v>
      </c>
      <c r="AL195" s="59"/>
      <c r="AM195" s="59" t="s">
        <v>73</v>
      </c>
      <c r="AN195" s="59"/>
      <c r="AO195" s="59" t="s">
        <v>73</v>
      </c>
      <c r="AP195" s="59"/>
      <c r="AQ195" s="59" t="s">
        <v>73</v>
      </c>
      <c r="AR195" s="59"/>
      <c r="AS195" s="59" t="s">
        <v>72</v>
      </c>
      <c r="AT195" s="59"/>
      <c r="AU195" s="59"/>
      <c r="AV195" s="59"/>
      <c r="AW195" s="59"/>
      <c r="AX195" s="59"/>
      <c r="AY195" s="60" t="str">
        <f>IF('Cálculo MP'!K205="","",'Cálculo MP'!K205)</f>
        <v/>
      </c>
      <c r="AZ195" s="60" t="str">
        <f>IF('Cálculo MP'!L205="","",'Cálculo MP'!L205)</f>
        <v/>
      </c>
      <c r="BA195" s="60" t="str">
        <f>IF('Cálculo MP'!M205="","",'Cálculo MP'!M205)</f>
        <v/>
      </c>
      <c r="BB195" s="60" t="str">
        <f>IF('Cálculo MP'!N205="","",'Cálculo MP'!N205)</f>
        <v/>
      </c>
      <c r="BC195" s="60" t="str">
        <f>IF('Cálculo MP'!O205="","",'Cálculo MP'!O205)</f>
        <v/>
      </c>
      <c r="BD195" s="60" t="str">
        <f>IF('Cálculo MP'!P205="","",'Cálculo MP'!P205)</f>
        <v/>
      </c>
      <c r="BE195" s="60" t="str">
        <f>IF('Cálculo MP'!Q205="","",'Cálculo MP'!Q205)</f>
        <v/>
      </c>
      <c r="BF195" s="60" t="str">
        <f>IF('Cálculo MP'!R205="","",'Cálculo MP'!R205)</f>
        <v/>
      </c>
      <c r="BG195" s="60" t="str">
        <f>IF('Cálculo MP'!S205="","",'Cálculo MP'!S205)</f>
        <v/>
      </c>
      <c r="BH195" s="59"/>
      <c r="BI195" s="59"/>
      <c r="BJ195" s="59"/>
      <c r="BK195" s="59"/>
      <c r="BL195" s="59"/>
      <c r="BM195" s="59"/>
      <c r="BN195" s="59"/>
      <c r="BO195" s="59"/>
    </row>
    <row r="196" spans="1:67" ht="19.5" customHeight="1" x14ac:dyDescent="0.2">
      <c r="A196" s="114" t="s">
        <v>1789</v>
      </c>
      <c r="B196" s="113" t="s">
        <v>1787</v>
      </c>
      <c r="C196" s="122"/>
      <c r="D196" s="48" t="s">
        <v>73</v>
      </c>
      <c r="E196" s="49"/>
      <c r="F196" s="50"/>
      <c r="G196" s="62"/>
      <c r="H196" s="48" t="s">
        <v>72</v>
      </c>
      <c r="I196" s="52">
        <v>1</v>
      </c>
      <c r="J196" s="52"/>
      <c r="K196" s="52" t="s">
        <v>73</v>
      </c>
      <c r="L196" s="52" t="s">
        <v>74</v>
      </c>
      <c r="M196" s="53" t="s">
        <v>917</v>
      </c>
      <c r="N196" s="58" t="s">
        <v>73</v>
      </c>
      <c r="O196" s="48" t="s">
        <v>72</v>
      </c>
      <c r="P196" s="48" t="s">
        <v>73</v>
      </c>
      <c r="Q196" s="54" t="s">
        <v>73</v>
      </c>
      <c r="R196" s="55" t="s">
        <v>73</v>
      </c>
      <c r="S196" s="48" t="s">
        <v>73</v>
      </c>
      <c r="T196" s="121" t="str" cm="1">
        <f t="array" ref="T196">IF(ISNUMBER(SEARCH("SCHNEIDER",D196)),_xlfn.IFS(ISNUMBER(SEARCH("2 Querétaro",D196)),"SQ2",ISNUMBER(SEARCH("Xicohténcatl",D196)),"SXC",ISNUMBER(SEARCH("Rojo Gómez",D196)),"SRG",ISNUMBER(SEARCH("Tlaxcala",D196)),"STX",ISNUMBER(SEARCH("Monterrey",D196)),"SMY",ISNUMBER(SEARCH("Querétaro",D196)),"SQ1",ISNUMBER(SEARCH("CDMX",D196)),"SCM",TRUE,""),"")</f>
        <v/>
      </c>
      <c r="U196" s="48" t="str" cm="1">
        <f t="array" ref="U196">_xlfn.LET(_xlpm.resultados,_xlfn.UNIQUE(_xlfn._xlws.FILTER(Tabla1[Proceso],(Tabla1[Metal Base]=O196)*(Tabla1[Etiquetas]=_xlfn.TEXTJOIN(" + ",TRUE,IF((TRIM(Upload!P196:S196)="")+(LOWER(TRIM(Upload!P196:S196))="(seleccione)"),"",PROPER(TRIM(Upload!P196:S196)))))*(Tabla1[Línea2]=IFERROR(VLOOKUP(Upload!N196&amp;"*",CAT_Procesos!D:D,1,FALSE),"")))),_xlpm.cantidad,ROWS(_xlpm.resultados),IF(ISERROR(_xlpm.cantidad),"Combinación no existente",IF(_xlpm.cantidad=1,INDEX(_xlpm.resultados,1),"(seleccione)")))</f>
        <v>Combinación no existente</v>
      </c>
      <c r="V196" s="55" t="s">
        <v>73</v>
      </c>
      <c r="W196" s="56" t="s">
        <v>73</v>
      </c>
      <c r="X196" s="57" t="str">
        <f t="shared" si="8"/>
        <v/>
      </c>
      <c r="Y196" s="58" t="s">
        <v>73</v>
      </c>
      <c r="Z196" s="57" t="str">
        <f t="shared" si="9"/>
        <v/>
      </c>
      <c r="AA196" s="58" t="s">
        <v>73</v>
      </c>
      <c r="AB196" s="57" t="str">
        <f t="shared" si="10"/>
        <v/>
      </c>
      <c r="AC196" s="58" t="s">
        <v>73</v>
      </c>
      <c r="AD196" s="57" t="str">
        <f t="shared" si="11"/>
        <v/>
      </c>
      <c r="AE196" s="59"/>
      <c r="AF196" s="59"/>
      <c r="AG196" s="59"/>
      <c r="AH196" s="59"/>
      <c r="AI196" s="59" t="s">
        <v>73</v>
      </c>
      <c r="AJ196" s="59"/>
      <c r="AK196" s="59" t="s">
        <v>73</v>
      </c>
      <c r="AL196" s="59"/>
      <c r="AM196" s="59" t="s">
        <v>73</v>
      </c>
      <c r="AN196" s="59"/>
      <c r="AO196" s="59" t="s">
        <v>73</v>
      </c>
      <c r="AP196" s="59"/>
      <c r="AQ196" s="59" t="s">
        <v>73</v>
      </c>
      <c r="AR196" s="59"/>
      <c r="AS196" s="59" t="s">
        <v>72</v>
      </c>
      <c r="AT196" s="59"/>
      <c r="AU196" s="59"/>
      <c r="AV196" s="59"/>
      <c r="AW196" s="59"/>
      <c r="AX196" s="59"/>
      <c r="AY196" s="60" t="str">
        <f>IF('Cálculo MP'!K206="","",'Cálculo MP'!K206)</f>
        <v/>
      </c>
      <c r="AZ196" s="60" t="str">
        <f>IF('Cálculo MP'!L206="","",'Cálculo MP'!L206)</f>
        <v/>
      </c>
      <c r="BA196" s="60" t="str">
        <f>IF('Cálculo MP'!M206="","",'Cálculo MP'!M206)</f>
        <v/>
      </c>
      <c r="BB196" s="60" t="str">
        <f>IF('Cálculo MP'!N206="","",'Cálculo MP'!N206)</f>
        <v/>
      </c>
      <c r="BC196" s="60" t="str">
        <f>IF('Cálculo MP'!O206="","",'Cálculo MP'!O206)</f>
        <v/>
      </c>
      <c r="BD196" s="60" t="str">
        <f>IF('Cálculo MP'!P206="","",'Cálculo MP'!P206)</f>
        <v/>
      </c>
      <c r="BE196" s="60" t="str">
        <f>IF('Cálculo MP'!Q206="","",'Cálculo MP'!Q206)</f>
        <v/>
      </c>
      <c r="BF196" s="60" t="str">
        <f>IF('Cálculo MP'!R206="","",'Cálculo MP'!R206)</f>
        <v/>
      </c>
      <c r="BG196" s="60" t="str">
        <f>IF('Cálculo MP'!S206="","",'Cálculo MP'!S206)</f>
        <v/>
      </c>
      <c r="BH196" s="59"/>
      <c r="BI196" s="59"/>
      <c r="BJ196" s="59"/>
      <c r="BK196" s="59"/>
      <c r="BL196" s="59"/>
      <c r="BM196" s="59"/>
      <c r="BN196" s="59"/>
      <c r="BO196" s="59"/>
    </row>
    <row r="197" spans="1:67" ht="19.5" customHeight="1" x14ac:dyDescent="0.2">
      <c r="A197" s="114" t="s">
        <v>1789</v>
      </c>
      <c r="B197" s="113" t="s">
        <v>1787</v>
      </c>
      <c r="C197" s="122"/>
      <c r="D197" s="48" t="s">
        <v>73</v>
      </c>
      <c r="E197" s="49"/>
      <c r="F197" s="50"/>
      <c r="G197" s="62"/>
      <c r="H197" s="48" t="s">
        <v>72</v>
      </c>
      <c r="I197" s="52">
        <v>1</v>
      </c>
      <c r="J197" s="52"/>
      <c r="K197" s="52" t="s">
        <v>73</v>
      </c>
      <c r="L197" s="52" t="s">
        <v>74</v>
      </c>
      <c r="M197" s="53" t="s">
        <v>917</v>
      </c>
      <c r="N197" s="58" t="s">
        <v>73</v>
      </c>
      <c r="O197" s="48" t="s">
        <v>72</v>
      </c>
      <c r="P197" s="48" t="s">
        <v>73</v>
      </c>
      <c r="Q197" s="54" t="s">
        <v>73</v>
      </c>
      <c r="R197" s="55" t="s">
        <v>73</v>
      </c>
      <c r="S197" s="48" t="s">
        <v>73</v>
      </c>
      <c r="T197" s="121" t="str" cm="1">
        <f t="array" ref="T197">IF(ISNUMBER(SEARCH("SCHNEIDER",D197)),_xlfn.IFS(ISNUMBER(SEARCH("2 Querétaro",D197)),"SQ2",ISNUMBER(SEARCH("Xicohténcatl",D197)),"SXC",ISNUMBER(SEARCH("Rojo Gómez",D197)),"SRG",ISNUMBER(SEARCH("Tlaxcala",D197)),"STX",ISNUMBER(SEARCH("Monterrey",D197)),"SMY",ISNUMBER(SEARCH("Querétaro",D197)),"SQ1",ISNUMBER(SEARCH("CDMX",D197)),"SCM",TRUE,""),"")</f>
        <v/>
      </c>
      <c r="U197" s="48" t="str" cm="1">
        <f t="array" ref="U197">_xlfn.LET(_xlpm.resultados,_xlfn.UNIQUE(_xlfn._xlws.FILTER(Tabla1[Proceso],(Tabla1[Metal Base]=O197)*(Tabla1[Etiquetas]=_xlfn.TEXTJOIN(" + ",TRUE,IF((TRIM(Upload!P197:S197)="")+(LOWER(TRIM(Upload!P197:S197))="(seleccione)"),"",PROPER(TRIM(Upload!P197:S197)))))*(Tabla1[Línea2]=IFERROR(VLOOKUP(Upload!N197&amp;"*",CAT_Procesos!D:D,1,FALSE),"")))),_xlpm.cantidad,ROWS(_xlpm.resultados),IF(ISERROR(_xlpm.cantidad),"Combinación no existente",IF(_xlpm.cantidad=1,INDEX(_xlpm.resultados,1),"(seleccione)")))</f>
        <v>Combinación no existente</v>
      </c>
      <c r="V197" s="55" t="s">
        <v>73</v>
      </c>
      <c r="W197" s="56" t="s">
        <v>73</v>
      </c>
      <c r="X197" s="57" t="str">
        <f t="shared" si="8"/>
        <v/>
      </c>
      <c r="Y197" s="58" t="s">
        <v>73</v>
      </c>
      <c r="Z197" s="57" t="str">
        <f t="shared" si="9"/>
        <v/>
      </c>
      <c r="AA197" s="58" t="s">
        <v>73</v>
      </c>
      <c r="AB197" s="57" t="str">
        <f t="shared" si="10"/>
        <v/>
      </c>
      <c r="AC197" s="58" t="s">
        <v>73</v>
      </c>
      <c r="AD197" s="57" t="str">
        <f t="shared" si="11"/>
        <v/>
      </c>
      <c r="AE197" s="59"/>
      <c r="AF197" s="59"/>
      <c r="AG197" s="59"/>
      <c r="AH197" s="59"/>
      <c r="AI197" s="59" t="s">
        <v>73</v>
      </c>
      <c r="AJ197" s="59"/>
      <c r="AK197" s="59" t="s">
        <v>73</v>
      </c>
      <c r="AL197" s="59"/>
      <c r="AM197" s="59" t="s">
        <v>73</v>
      </c>
      <c r="AN197" s="59"/>
      <c r="AO197" s="59" t="s">
        <v>73</v>
      </c>
      <c r="AP197" s="59"/>
      <c r="AQ197" s="59" t="s">
        <v>73</v>
      </c>
      <c r="AR197" s="59"/>
      <c r="AS197" s="59" t="s">
        <v>72</v>
      </c>
      <c r="AT197" s="59"/>
      <c r="AU197" s="59"/>
      <c r="AV197" s="59"/>
      <c r="AW197" s="59"/>
      <c r="AX197" s="59"/>
      <c r="AY197" s="60" t="str">
        <f>IF('Cálculo MP'!K207="","",'Cálculo MP'!K207)</f>
        <v/>
      </c>
      <c r="AZ197" s="60" t="str">
        <f>IF('Cálculo MP'!L207="","",'Cálculo MP'!L207)</f>
        <v/>
      </c>
      <c r="BA197" s="60" t="str">
        <f>IF('Cálculo MP'!M207="","",'Cálculo MP'!M207)</f>
        <v/>
      </c>
      <c r="BB197" s="60" t="str">
        <f>IF('Cálculo MP'!N207="","",'Cálculo MP'!N207)</f>
        <v/>
      </c>
      <c r="BC197" s="60" t="str">
        <f>IF('Cálculo MP'!O207="","",'Cálculo MP'!O207)</f>
        <v/>
      </c>
      <c r="BD197" s="60" t="str">
        <f>IF('Cálculo MP'!P207="","",'Cálculo MP'!P207)</f>
        <v/>
      </c>
      <c r="BE197" s="60" t="str">
        <f>IF('Cálculo MP'!Q207="","",'Cálculo MP'!Q207)</f>
        <v/>
      </c>
      <c r="BF197" s="60" t="str">
        <f>IF('Cálculo MP'!R207="","",'Cálculo MP'!R207)</f>
        <v/>
      </c>
      <c r="BG197" s="60" t="str">
        <f>IF('Cálculo MP'!S207="","",'Cálculo MP'!S207)</f>
        <v/>
      </c>
      <c r="BH197" s="59"/>
      <c r="BI197" s="59"/>
      <c r="BJ197" s="59"/>
      <c r="BK197" s="59"/>
      <c r="BL197" s="59"/>
      <c r="BM197" s="59"/>
      <c r="BN197" s="59"/>
      <c r="BO197" s="59"/>
    </row>
    <row r="198" spans="1:67" ht="19.5" customHeight="1" x14ac:dyDescent="0.2">
      <c r="A198" s="114" t="s">
        <v>1789</v>
      </c>
      <c r="B198" s="113" t="s">
        <v>1787</v>
      </c>
      <c r="C198" s="122"/>
      <c r="D198" s="48" t="s">
        <v>73</v>
      </c>
      <c r="E198" s="49"/>
      <c r="F198" s="50"/>
      <c r="G198" s="62"/>
      <c r="H198" s="48" t="s">
        <v>72</v>
      </c>
      <c r="I198" s="52">
        <v>1</v>
      </c>
      <c r="J198" s="52"/>
      <c r="K198" s="52" t="s">
        <v>73</v>
      </c>
      <c r="L198" s="52" t="s">
        <v>74</v>
      </c>
      <c r="M198" s="53" t="s">
        <v>917</v>
      </c>
      <c r="N198" s="58" t="s">
        <v>73</v>
      </c>
      <c r="O198" s="48" t="s">
        <v>72</v>
      </c>
      <c r="P198" s="48" t="s">
        <v>73</v>
      </c>
      <c r="Q198" s="54" t="s">
        <v>73</v>
      </c>
      <c r="R198" s="55" t="s">
        <v>73</v>
      </c>
      <c r="S198" s="48" t="s">
        <v>73</v>
      </c>
      <c r="T198" s="121" t="str" cm="1">
        <f t="array" ref="T198">IF(ISNUMBER(SEARCH("SCHNEIDER",D198)),_xlfn.IFS(ISNUMBER(SEARCH("2 Querétaro",D198)),"SQ2",ISNUMBER(SEARCH("Xicohténcatl",D198)),"SXC",ISNUMBER(SEARCH("Rojo Gómez",D198)),"SRG",ISNUMBER(SEARCH("Tlaxcala",D198)),"STX",ISNUMBER(SEARCH("Monterrey",D198)),"SMY",ISNUMBER(SEARCH("Querétaro",D198)),"SQ1",ISNUMBER(SEARCH("CDMX",D198)),"SCM",TRUE,""),"")</f>
        <v/>
      </c>
      <c r="U198" s="48" t="str" cm="1">
        <f t="array" ref="U198">_xlfn.LET(_xlpm.resultados,_xlfn.UNIQUE(_xlfn._xlws.FILTER(Tabla1[Proceso],(Tabla1[Metal Base]=O198)*(Tabla1[Etiquetas]=_xlfn.TEXTJOIN(" + ",TRUE,IF((TRIM(Upload!P198:S198)="")+(LOWER(TRIM(Upload!P198:S198))="(seleccione)"),"",PROPER(TRIM(Upload!P198:S198)))))*(Tabla1[Línea2]=IFERROR(VLOOKUP(Upload!N198&amp;"*",CAT_Procesos!D:D,1,FALSE),"")))),_xlpm.cantidad,ROWS(_xlpm.resultados),IF(ISERROR(_xlpm.cantidad),"Combinación no existente",IF(_xlpm.cantidad=1,INDEX(_xlpm.resultados,1),"(seleccione)")))</f>
        <v>Combinación no existente</v>
      </c>
      <c r="V198" s="55" t="s">
        <v>73</v>
      </c>
      <c r="W198" s="56" t="s">
        <v>73</v>
      </c>
      <c r="X198" s="57" t="str">
        <f t="shared" si="8"/>
        <v/>
      </c>
      <c r="Y198" s="58" t="s">
        <v>73</v>
      </c>
      <c r="Z198" s="57" t="str">
        <f t="shared" si="9"/>
        <v/>
      </c>
      <c r="AA198" s="58" t="s">
        <v>73</v>
      </c>
      <c r="AB198" s="57" t="str">
        <f t="shared" si="10"/>
        <v/>
      </c>
      <c r="AC198" s="58" t="s">
        <v>73</v>
      </c>
      <c r="AD198" s="57" t="str">
        <f t="shared" si="11"/>
        <v/>
      </c>
      <c r="AE198" s="59"/>
      <c r="AF198" s="59"/>
      <c r="AG198" s="59"/>
      <c r="AH198" s="59"/>
      <c r="AI198" s="59" t="s">
        <v>73</v>
      </c>
      <c r="AJ198" s="59"/>
      <c r="AK198" s="59" t="s">
        <v>73</v>
      </c>
      <c r="AL198" s="59"/>
      <c r="AM198" s="59" t="s">
        <v>73</v>
      </c>
      <c r="AN198" s="59"/>
      <c r="AO198" s="59" t="s">
        <v>73</v>
      </c>
      <c r="AP198" s="59"/>
      <c r="AQ198" s="59" t="s">
        <v>73</v>
      </c>
      <c r="AR198" s="59"/>
      <c r="AS198" s="59" t="s">
        <v>72</v>
      </c>
      <c r="AT198" s="59"/>
      <c r="AU198" s="59"/>
      <c r="AV198" s="59"/>
      <c r="AW198" s="59"/>
      <c r="AX198" s="59"/>
      <c r="AY198" s="60" t="str">
        <f>IF('Cálculo MP'!K208="","",'Cálculo MP'!K208)</f>
        <v/>
      </c>
      <c r="AZ198" s="60" t="str">
        <f>IF('Cálculo MP'!L208="","",'Cálculo MP'!L208)</f>
        <v/>
      </c>
      <c r="BA198" s="60" t="str">
        <f>IF('Cálculo MP'!M208="","",'Cálculo MP'!M208)</f>
        <v/>
      </c>
      <c r="BB198" s="60" t="str">
        <f>IF('Cálculo MP'!N208="","",'Cálculo MP'!N208)</f>
        <v/>
      </c>
      <c r="BC198" s="60" t="str">
        <f>IF('Cálculo MP'!O208="","",'Cálculo MP'!O208)</f>
        <v/>
      </c>
      <c r="BD198" s="60" t="str">
        <f>IF('Cálculo MP'!P208="","",'Cálculo MP'!P208)</f>
        <v/>
      </c>
      <c r="BE198" s="60" t="str">
        <f>IF('Cálculo MP'!Q208="","",'Cálculo MP'!Q208)</f>
        <v/>
      </c>
      <c r="BF198" s="60" t="str">
        <f>IF('Cálculo MP'!R208="","",'Cálculo MP'!R208)</f>
        <v/>
      </c>
      <c r="BG198" s="60" t="str">
        <f>IF('Cálculo MP'!S208="","",'Cálculo MP'!S208)</f>
        <v/>
      </c>
      <c r="BH198" s="59"/>
      <c r="BI198" s="59"/>
      <c r="BJ198" s="59"/>
      <c r="BK198" s="59"/>
      <c r="BL198" s="59"/>
      <c r="BM198" s="59"/>
      <c r="BN198" s="59"/>
      <c r="BO198" s="59"/>
    </row>
    <row r="199" spans="1:67" ht="19.5" customHeight="1" x14ac:dyDescent="0.2">
      <c r="A199" s="114" t="s">
        <v>1789</v>
      </c>
      <c r="B199" s="113" t="s">
        <v>1787</v>
      </c>
      <c r="C199" s="122"/>
      <c r="D199" s="48" t="s">
        <v>73</v>
      </c>
      <c r="E199" s="49"/>
      <c r="F199" s="50"/>
      <c r="G199" s="62"/>
      <c r="H199" s="48" t="s">
        <v>72</v>
      </c>
      <c r="I199" s="52">
        <v>1</v>
      </c>
      <c r="J199" s="52"/>
      <c r="K199" s="52" t="s">
        <v>73</v>
      </c>
      <c r="L199" s="52" t="s">
        <v>74</v>
      </c>
      <c r="M199" s="53" t="s">
        <v>917</v>
      </c>
      <c r="N199" s="58" t="s">
        <v>73</v>
      </c>
      <c r="O199" s="48" t="s">
        <v>72</v>
      </c>
      <c r="P199" s="48" t="s">
        <v>73</v>
      </c>
      <c r="Q199" s="54" t="s">
        <v>73</v>
      </c>
      <c r="R199" s="55" t="s">
        <v>73</v>
      </c>
      <c r="S199" s="48" t="s">
        <v>73</v>
      </c>
      <c r="T199" s="121" t="str" cm="1">
        <f t="array" ref="T199">IF(ISNUMBER(SEARCH("SCHNEIDER",D199)),_xlfn.IFS(ISNUMBER(SEARCH("2 Querétaro",D199)),"SQ2",ISNUMBER(SEARCH("Xicohténcatl",D199)),"SXC",ISNUMBER(SEARCH("Rojo Gómez",D199)),"SRG",ISNUMBER(SEARCH("Tlaxcala",D199)),"STX",ISNUMBER(SEARCH("Monterrey",D199)),"SMY",ISNUMBER(SEARCH("Querétaro",D199)),"SQ1",ISNUMBER(SEARCH("CDMX",D199)),"SCM",TRUE,""),"")</f>
        <v/>
      </c>
      <c r="U199" s="48" t="str" cm="1">
        <f t="array" ref="U199">_xlfn.LET(_xlpm.resultados,_xlfn.UNIQUE(_xlfn._xlws.FILTER(Tabla1[Proceso],(Tabla1[Metal Base]=O199)*(Tabla1[Etiquetas]=_xlfn.TEXTJOIN(" + ",TRUE,IF((TRIM(Upload!P199:S199)="")+(LOWER(TRIM(Upload!P199:S199))="(seleccione)"),"",PROPER(TRIM(Upload!P199:S199)))))*(Tabla1[Línea2]=IFERROR(VLOOKUP(Upload!N199&amp;"*",CAT_Procesos!D:D,1,FALSE),"")))),_xlpm.cantidad,ROWS(_xlpm.resultados),IF(ISERROR(_xlpm.cantidad),"Combinación no existente",IF(_xlpm.cantidad=1,INDEX(_xlpm.resultados,1),"(seleccione)")))</f>
        <v>Combinación no existente</v>
      </c>
      <c r="V199" s="55" t="s">
        <v>73</v>
      </c>
      <c r="W199" s="56" t="s">
        <v>73</v>
      </c>
      <c r="X199" s="57" t="str">
        <f t="shared" si="8"/>
        <v/>
      </c>
      <c r="Y199" s="58" t="s">
        <v>73</v>
      </c>
      <c r="Z199" s="57" t="str">
        <f t="shared" si="9"/>
        <v/>
      </c>
      <c r="AA199" s="58" t="s">
        <v>73</v>
      </c>
      <c r="AB199" s="57" t="str">
        <f t="shared" si="10"/>
        <v/>
      </c>
      <c r="AC199" s="58" t="s">
        <v>73</v>
      </c>
      <c r="AD199" s="57" t="str">
        <f t="shared" si="11"/>
        <v/>
      </c>
      <c r="AE199" s="59"/>
      <c r="AF199" s="59"/>
      <c r="AG199" s="59"/>
      <c r="AH199" s="59"/>
      <c r="AI199" s="59" t="s">
        <v>73</v>
      </c>
      <c r="AJ199" s="59"/>
      <c r="AK199" s="59" t="s">
        <v>73</v>
      </c>
      <c r="AL199" s="59"/>
      <c r="AM199" s="59" t="s">
        <v>73</v>
      </c>
      <c r="AN199" s="59"/>
      <c r="AO199" s="59" t="s">
        <v>73</v>
      </c>
      <c r="AP199" s="59"/>
      <c r="AQ199" s="59" t="s">
        <v>73</v>
      </c>
      <c r="AR199" s="59"/>
      <c r="AS199" s="59" t="s">
        <v>72</v>
      </c>
      <c r="AT199" s="59"/>
      <c r="AU199" s="59"/>
      <c r="AV199" s="59"/>
      <c r="AW199" s="59"/>
      <c r="AX199" s="59"/>
      <c r="AY199" s="60" t="str">
        <f>IF('Cálculo MP'!K209="","",'Cálculo MP'!K209)</f>
        <v/>
      </c>
      <c r="AZ199" s="60" t="str">
        <f>IF('Cálculo MP'!L209="","",'Cálculo MP'!L209)</f>
        <v/>
      </c>
      <c r="BA199" s="60" t="str">
        <f>IF('Cálculo MP'!M209="","",'Cálculo MP'!M209)</f>
        <v/>
      </c>
      <c r="BB199" s="60" t="str">
        <f>IF('Cálculo MP'!N209="","",'Cálculo MP'!N209)</f>
        <v/>
      </c>
      <c r="BC199" s="60" t="str">
        <f>IF('Cálculo MP'!O209="","",'Cálculo MP'!O209)</f>
        <v/>
      </c>
      <c r="BD199" s="60" t="str">
        <f>IF('Cálculo MP'!P209="","",'Cálculo MP'!P209)</f>
        <v/>
      </c>
      <c r="BE199" s="60" t="str">
        <f>IF('Cálculo MP'!Q209="","",'Cálculo MP'!Q209)</f>
        <v/>
      </c>
      <c r="BF199" s="60" t="str">
        <f>IF('Cálculo MP'!R209="","",'Cálculo MP'!R209)</f>
        <v/>
      </c>
      <c r="BG199" s="60" t="str">
        <f>IF('Cálculo MP'!S209="","",'Cálculo MP'!S209)</f>
        <v/>
      </c>
      <c r="BH199" s="59"/>
      <c r="BI199" s="59"/>
      <c r="BJ199" s="59"/>
      <c r="BK199" s="59"/>
      <c r="BL199" s="59"/>
      <c r="BM199" s="59"/>
      <c r="BN199" s="59"/>
      <c r="BO199" s="59"/>
    </row>
    <row r="200" spans="1:67" ht="19.5" customHeight="1" x14ac:dyDescent="0.2">
      <c r="A200" s="114" t="s">
        <v>1789</v>
      </c>
      <c r="B200" s="113" t="s">
        <v>1787</v>
      </c>
      <c r="C200" s="122"/>
      <c r="D200" s="48" t="s">
        <v>73</v>
      </c>
      <c r="E200" s="49"/>
      <c r="F200" s="50"/>
      <c r="G200" s="62"/>
      <c r="H200" s="48" t="s">
        <v>72</v>
      </c>
      <c r="I200" s="52">
        <v>1</v>
      </c>
      <c r="J200" s="52"/>
      <c r="K200" s="52" t="s">
        <v>73</v>
      </c>
      <c r="L200" s="52" t="s">
        <v>74</v>
      </c>
      <c r="M200" s="53" t="s">
        <v>917</v>
      </c>
      <c r="N200" s="58" t="s">
        <v>73</v>
      </c>
      <c r="O200" s="48" t="s">
        <v>72</v>
      </c>
      <c r="P200" s="48" t="s">
        <v>73</v>
      </c>
      <c r="Q200" s="54" t="s">
        <v>73</v>
      </c>
      <c r="R200" s="55" t="s">
        <v>73</v>
      </c>
      <c r="S200" s="48" t="s">
        <v>73</v>
      </c>
      <c r="T200" s="121" t="str" cm="1">
        <f t="array" ref="T200">IF(ISNUMBER(SEARCH("SCHNEIDER",D200)),_xlfn.IFS(ISNUMBER(SEARCH("2 Querétaro",D200)),"SQ2",ISNUMBER(SEARCH("Xicohténcatl",D200)),"SXC",ISNUMBER(SEARCH("Rojo Gómez",D200)),"SRG",ISNUMBER(SEARCH("Tlaxcala",D200)),"STX",ISNUMBER(SEARCH("Monterrey",D200)),"SMY",ISNUMBER(SEARCH("Querétaro",D200)),"SQ1",ISNUMBER(SEARCH("CDMX",D200)),"SCM",TRUE,""),"")</f>
        <v/>
      </c>
      <c r="U200" s="48" t="str" cm="1">
        <f t="array" ref="U200">_xlfn.LET(_xlpm.resultados,_xlfn.UNIQUE(_xlfn._xlws.FILTER(Tabla1[Proceso],(Tabla1[Metal Base]=O200)*(Tabla1[Etiquetas]=_xlfn.TEXTJOIN(" + ",TRUE,IF((TRIM(Upload!P200:S200)="")+(LOWER(TRIM(Upload!P200:S200))="(seleccione)"),"",PROPER(TRIM(Upload!P200:S200)))))*(Tabla1[Línea2]=IFERROR(VLOOKUP(Upload!N200&amp;"*",CAT_Procesos!D:D,1,FALSE),"")))),_xlpm.cantidad,ROWS(_xlpm.resultados),IF(ISERROR(_xlpm.cantidad),"Combinación no existente",IF(_xlpm.cantidad=1,INDEX(_xlpm.resultados,1),"(seleccione)")))</f>
        <v>Combinación no existente</v>
      </c>
      <c r="V200" s="55" t="s">
        <v>73</v>
      </c>
      <c r="W200" s="56" t="s">
        <v>73</v>
      </c>
      <c r="X200" s="57" t="str">
        <f t="shared" si="8"/>
        <v/>
      </c>
      <c r="Y200" s="58" t="s">
        <v>73</v>
      </c>
      <c r="Z200" s="57" t="str">
        <f t="shared" si="9"/>
        <v/>
      </c>
      <c r="AA200" s="58" t="s">
        <v>73</v>
      </c>
      <c r="AB200" s="57" t="str">
        <f t="shared" si="10"/>
        <v/>
      </c>
      <c r="AC200" s="58" t="s">
        <v>73</v>
      </c>
      <c r="AD200" s="57" t="str">
        <f t="shared" si="11"/>
        <v/>
      </c>
      <c r="AE200" s="59"/>
      <c r="AF200" s="59"/>
      <c r="AG200" s="59"/>
      <c r="AH200" s="59"/>
      <c r="AI200" s="59" t="s">
        <v>73</v>
      </c>
      <c r="AJ200" s="59"/>
      <c r="AK200" s="59" t="s">
        <v>73</v>
      </c>
      <c r="AL200" s="59"/>
      <c r="AM200" s="59" t="s">
        <v>73</v>
      </c>
      <c r="AN200" s="59"/>
      <c r="AO200" s="59" t="s">
        <v>73</v>
      </c>
      <c r="AP200" s="59"/>
      <c r="AQ200" s="59" t="s">
        <v>73</v>
      </c>
      <c r="AR200" s="59"/>
      <c r="AS200" s="59" t="s">
        <v>72</v>
      </c>
      <c r="AT200" s="59"/>
      <c r="AU200" s="59"/>
      <c r="AV200" s="59"/>
      <c r="AW200" s="59"/>
      <c r="AX200" s="59"/>
      <c r="AY200" s="60" t="str">
        <f>IF('Cálculo MP'!K210="","",'Cálculo MP'!K210)</f>
        <v/>
      </c>
      <c r="AZ200" s="60" t="str">
        <f>IF('Cálculo MP'!L210="","",'Cálculo MP'!L210)</f>
        <v/>
      </c>
      <c r="BA200" s="60" t="str">
        <f>IF('Cálculo MP'!M210="","",'Cálculo MP'!M210)</f>
        <v/>
      </c>
      <c r="BB200" s="60" t="str">
        <f>IF('Cálculo MP'!N210="","",'Cálculo MP'!N210)</f>
        <v/>
      </c>
      <c r="BC200" s="60" t="str">
        <f>IF('Cálculo MP'!O210="","",'Cálculo MP'!O210)</f>
        <v/>
      </c>
      <c r="BD200" s="60" t="str">
        <f>IF('Cálculo MP'!P210="","",'Cálculo MP'!P210)</f>
        <v/>
      </c>
      <c r="BE200" s="60" t="str">
        <f>IF('Cálculo MP'!Q210="","",'Cálculo MP'!Q210)</f>
        <v/>
      </c>
      <c r="BF200" s="60" t="str">
        <f>IF('Cálculo MP'!R210="","",'Cálculo MP'!R210)</f>
        <v/>
      </c>
      <c r="BG200" s="60" t="str">
        <f>IF('Cálculo MP'!S210="","",'Cálculo MP'!S210)</f>
        <v/>
      </c>
      <c r="BH200" s="59"/>
      <c r="BI200" s="59"/>
      <c r="BJ200" s="59"/>
      <c r="BK200" s="59"/>
      <c r="BL200" s="59"/>
      <c r="BM200" s="59"/>
      <c r="BN200" s="59"/>
      <c r="BO200" s="59"/>
    </row>
    <row r="201" spans="1:67" ht="19.5" customHeight="1" x14ac:dyDescent="0.2">
      <c r="A201" s="114" t="s">
        <v>1789</v>
      </c>
      <c r="B201" s="113" t="s">
        <v>1787</v>
      </c>
      <c r="C201" s="122"/>
      <c r="D201" s="48" t="s">
        <v>73</v>
      </c>
      <c r="E201" s="49"/>
      <c r="F201" s="50"/>
      <c r="G201" s="62"/>
      <c r="H201" s="48" t="s">
        <v>72</v>
      </c>
      <c r="I201" s="52">
        <v>1</v>
      </c>
      <c r="J201" s="52"/>
      <c r="K201" s="52" t="s">
        <v>73</v>
      </c>
      <c r="L201" s="52" t="s">
        <v>74</v>
      </c>
      <c r="M201" s="53" t="s">
        <v>917</v>
      </c>
      <c r="N201" s="58" t="s">
        <v>73</v>
      </c>
      <c r="O201" s="48" t="s">
        <v>72</v>
      </c>
      <c r="P201" s="48" t="s">
        <v>73</v>
      </c>
      <c r="Q201" s="54" t="s">
        <v>73</v>
      </c>
      <c r="R201" s="55" t="s">
        <v>73</v>
      </c>
      <c r="S201" s="48" t="s">
        <v>73</v>
      </c>
      <c r="T201" s="121" t="str" cm="1">
        <f t="array" ref="T201">IF(ISNUMBER(SEARCH("SCHNEIDER",D201)),_xlfn.IFS(ISNUMBER(SEARCH("2 Querétaro",D201)),"SQ2",ISNUMBER(SEARCH("Xicohténcatl",D201)),"SXC",ISNUMBER(SEARCH("Rojo Gómez",D201)),"SRG",ISNUMBER(SEARCH("Tlaxcala",D201)),"STX",ISNUMBER(SEARCH("Monterrey",D201)),"SMY",ISNUMBER(SEARCH("Querétaro",D201)),"SQ1",ISNUMBER(SEARCH("CDMX",D201)),"SCM",TRUE,""),"")</f>
        <v/>
      </c>
      <c r="U201" s="48" t="str" cm="1">
        <f t="array" ref="U201">_xlfn.LET(_xlpm.resultados,_xlfn.UNIQUE(_xlfn._xlws.FILTER(Tabla1[Proceso],(Tabla1[Metal Base]=O201)*(Tabla1[Etiquetas]=_xlfn.TEXTJOIN(" + ",TRUE,IF((TRIM(Upload!P201:S201)="")+(LOWER(TRIM(Upload!P201:S201))="(seleccione)"),"",PROPER(TRIM(Upload!P201:S201)))))*(Tabla1[Línea2]=IFERROR(VLOOKUP(Upload!N201&amp;"*",CAT_Procesos!D:D,1,FALSE),"")))),_xlpm.cantidad,ROWS(_xlpm.resultados),IF(ISERROR(_xlpm.cantidad),"Combinación no existente",IF(_xlpm.cantidad=1,INDEX(_xlpm.resultados,1),"(seleccione)")))</f>
        <v>Combinación no existente</v>
      </c>
      <c r="V201" s="55" t="s">
        <v>73</v>
      </c>
      <c r="W201" s="56" t="s">
        <v>73</v>
      </c>
      <c r="X201" s="57" t="str">
        <f t="shared" ref="X201:X264" si="12">IFERROR(((VALUE(TRIM(LEFT(MID(W201,FIND("|",W201)+1,99),FIND("-",MID(W201,FIND("|",W201)+1,99))-1)))+VALUE(TRIM(SUBSTITUTE(SUBSTITUTE(SUBSTITUTE(SUBSTITUTE(SUBSTITUTE(MID(MID(W201,FIND("|",W201)+1,99),FIND("-",MID(W201,FIND("|",W201)+1,99))+1,20),"µm",""),"μm",""),"mils",""),"mil",""),"",""))))/2)*IF(ISNUMBER(SEARCH("mil",MID(W201,FIND("|",W201)+1,99))),25.4,1),"")</f>
        <v/>
      </c>
      <c r="Y201" s="58" t="s">
        <v>73</v>
      </c>
      <c r="Z201" s="57" t="str">
        <f t="shared" ref="Z201:Z264" si="13">IFERROR(((VALUE(TRIM(LEFT(MID(Y201,FIND("|",Y201)+1,99),FIND("-",MID(Y201,FIND("|",Y201)+1,99))-1)))+VALUE(TRIM(SUBSTITUTE(SUBSTITUTE(SUBSTITUTE(SUBSTITUTE(SUBSTITUTE(MID(MID(Y201,FIND("|",Y201)+1,99),FIND("-",MID(Y201,FIND("|",Y201)+1,99))+1,20),"µm",""),"μm",""),"mils",""),"mil",""),"",""))))/2)*IF(ISNUMBER(SEARCH("mil",MID(Y201,FIND("|",Y201)+1,99))),25.4,1),"")</f>
        <v/>
      </c>
      <c r="AA201" s="58" t="s">
        <v>73</v>
      </c>
      <c r="AB201" s="57" t="str">
        <f t="shared" ref="AB201:AB264" si="14">IFERROR(((VALUE(TRIM(LEFT(MID(AA201,FIND("|",AA201)+1,99),FIND("-",MID(AA201,FIND("|",AA201)+1,99))-1)))+VALUE(TRIM(SUBSTITUTE(SUBSTITUTE(SUBSTITUTE(SUBSTITUTE(SUBSTITUTE(MID(MID(AA201,FIND("|",AA201)+1,99),FIND("-",MID(AA201,FIND("|",AA201)+1,99))+1,20),"µm",""),"μm",""),"mils",""),"mil",""),"",""))))/2)*IF(ISNUMBER(SEARCH("mil",MID(AA201,FIND("|",AA201)+1,99))),25.4,1),"")</f>
        <v/>
      </c>
      <c r="AC201" s="58" t="s">
        <v>73</v>
      </c>
      <c r="AD201" s="57" t="str">
        <f t="shared" ref="AD201:AD264" si="15">IFERROR(((VALUE(TRIM(LEFT(MID(AC201,FIND("|",AC201)+1,99),FIND("-",MID(AC201,FIND("|",AC201)+1,99))-1)))+VALUE(TRIM(SUBSTITUTE(SUBSTITUTE(SUBSTITUTE(SUBSTITUTE(SUBSTITUTE(MID(MID(AC201,FIND("|",AC201)+1,99),FIND("-",MID(AC201,FIND("|",AC201)+1,99))+1,20),"µm",""),"μm",""),"mils",""),"mil",""),"",""))))/2)*IF(ISNUMBER(SEARCH("mil",MID(AC201,FIND("|",AC201)+1,99))),25.4,1),"")</f>
        <v/>
      </c>
      <c r="AE201" s="59"/>
      <c r="AF201" s="59"/>
      <c r="AG201" s="59"/>
      <c r="AH201" s="59"/>
      <c r="AI201" s="59" t="s">
        <v>73</v>
      </c>
      <c r="AJ201" s="59"/>
      <c r="AK201" s="59" t="s">
        <v>73</v>
      </c>
      <c r="AL201" s="59"/>
      <c r="AM201" s="59" t="s">
        <v>73</v>
      </c>
      <c r="AN201" s="59"/>
      <c r="AO201" s="59" t="s">
        <v>73</v>
      </c>
      <c r="AP201" s="59"/>
      <c r="AQ201" s="59" t="s">
        <v>73</v>
      </c>
      <c r="AR201" s="59"/>
      <c r="AS201" s="59" t="s">
        <v>72</v>
      </c>
      <c r="AT201" s="59"/>
      <c r="AU201" s="59"/>
      <c r="AV201" s="59"/>
      <c r="AW201" s="59"/>
      <c r="AX201" s="59"/>
      <c r="AY201" s="60" t="str">
        <f>IF('Cálculo MP'!K211="","",'Cálculo MP'!K211)</f>
        <v/>
      </c>
      <c r="AZ201" s="60" t="str">
        <f>IF('Cálculo MP'!L211="","",'Cálculo MP'!L211)</f>
        <v/>
      </c>
      <c r="BA201" s="60" t="str">
        <f>IF('Cálculo MP'!M211="","",'Cálculo MP'!M211)</f>
        <v/>
      </c>
      <c r="BB201" s="60" t="str">
        <f>IF('Cálculo MP'!N211="","",'Cálculo MP'!N211)</f>
        <v/>
      </c>
      <c r="BC201" s="60" t="str">
        <f>IF('Cálculo MP'!O211="","",'Cálculo MP'!O211)</f>
        <v/>
      </c>
      <c r="BD201" s="60" t="str">
        <f>IF('Cálculo MP'!P211="","",'Cálculo MP'!P211)</f>
        <v/>
      </c>
      <c r="BE201" s="60" t="str">
        <f>IF('Cálculo MP'!Q211="","",'Cálculo MP'!Q211)</f>
        <v/>
      </c>
      <c r="BF201" s="60" t="str">
        <f>IF('Cálculo MP'!R211="","",'Cálculo MP'!R211)</f>
        <v/>
      </c>
      <c r="BG201" s="60" t="str">
        <f>IF('Cálculo MP'!S211="","",'Cálculo MP'!S211)</f>
        <v/>
      </c>
      <c r="BH201" s="59"/>
      <c r="BI201" s="59"/>
      <c r="BJ201" s="59"/>
      <c r="BK201" s="59"/>
      <c r="BL201" s="59"/>
      <c r="BM201" s="59"/>
      <c r="BN201" s="59"/>
      <c r="BO201" s="59"/>
    </row>
    <row r="202" spans="1:67" ht="19.5" customHeight="1" x14ac:dyDescent="0.2">
      <c r="A202" s="114" t="s">
        <v>1789</v>
      </c>
      <c r="B202" s="113" t="s">
        <v>1787</v>
      </c>
      <c r="C202" s="122"/>
      <c r="D202" s="48" t="s">
        <v>73</v>
      </c>
      <c r="E202" s="49"/>
      <c r="F202" s="50"/>
      <c r="G202" s="62"/>
      <c r="H202" s="48" t="s">
        <v>72</v>
      </c>
      <c r="I202" s="52">
        <v>1</v>
      </c>
      <c r="J202" s="52"/>
      <c r="K202" s="52" t="s">
        <v>73</v>
      </c>
      <c r="L202" s="52" t="s">
        <v>74</v>
      </c>
      <c r="M202" s="53" t="s">
        <v>917</v>
      </c>
      <c r="N202" s="58" t="s">
        <v>73</v>
      </c>
      <c r="O202" s="48" t="s">
        <v>72</v>
      </c>
      <c r="P202" s="48" t="s">
        <v>73</v>
      </c>
      <c r="Q202" s="54" t="s">
        <v>73</v>
      </c>
      <c r="R202" s="55" t="s">
        <v>73</v>
      </c>
      <c r="S202" s="48" t="s">
        <v>73</v>
      </c>
      <c r="T202" s="121" t="str" cm="1">
        <f t="array" ref="T202">IF(ISNUMBER(SEARCH("SCHNEIDER",D202)),_xlfn.IFS(ISNUMBER(SEARCH("2 Querétaro",D202)),"SQ2",ISNUMBER(SEARCH("Xicohténcatl",D202)),"SXC",ISNUMBER(SEARCH("Rojo Gómez",D202)),"SRG",ISNUMBER(SEARCH("Tlaxcala",D202)),"STX",ISNUMBER(SEARCH("Monterrey",D202)),"SMY",ISNUMBER(SEARCH("Querétaro",D202)),"SQ1",ISNUMBER(SEARCH("CDMX",D202)),"SCM",TRUE,""),"")</f>
        <v/>
      </c>
      <c r="U202" s="48" t="str" cm="1">
        <f t="array" ref="U202">_xlfn.LET(_xlpm.resultados,_xlfn.UNIQUE(_xlfn._xlws.FILTER(Tabla1[Proceso],(Tabla1[Metal Base]=O202)*(Tabla1[Etiquetas]=_xlfn.TEXTJOIN(" + ",TRUE,IF((TRIM(Upload!P202:S202)="")+(LOWER(TRIM(Upload!P202:S202))="(seleccione)"),"",PROPER(TRIM(Upload!P202:S202)))))*(Tabla1[Línea2]=IFERROR(VLOOKUP(Upload!N202&amp;"*",CAT_Procesos!D:D,1,FALSE),"")))),_xlpm.cantidad,ROWS(_xlpm.resultados),IF(ISERROR(_xlpm.cantidad),"Combinación no existente",IF(_xlpm.cantidad=1,INDEX(_xlpm.resultados,1),"(seleccione)")))</f>
        <v>Combinación no existente</v>
      </c>
      <c r="V202" s="55" t="s">
        <v>73</v>
      </c>
      <c r="W202" s="56" t="s">
        <v>73</v>
      </c>
      <c r="X202" s="57" t="str">
        <f t="shared" si="12"/>
        <v/>
      </c>
      <c r="Y202" s="58" t="s">
        <v>73</v>
      </c>
      <c r="Z202" s="57" t="str">
        <f t="shared" si="13"/>
        <v/>
      </c>
      <c r="AA202" s="58" t="s">
        <v>73</v>
      </c>
      <c r="AB202" s="57" t="str">
        <f t="shared" si="14"/>
        <v/>
      </c>
      <c r="AC202" s="58" t="s">
        <v>73</v>
      </c>
      <c r="AD202" s="57" t="str">
        <f t="shared" si="15"/>
        <v/>
      </c>
      <c r="AE202" s="59"/>
      <c r="AF202" s="59"/>
      <c r="AG202" s="59"/>
      <c r="AH202" s="59"/>
      <c r="AI202" s="59" t="s">
        <v>73</v>
      </c>
      <c r="AJ202" s="59"/>
      <c r="AK202" s="59" t="s">
        <v>73</v>
      </c>
      <c r="AL202" s="59"/>
      <c r="AM202" s="59" t="s">
        <v>73</v>
      </c>
      <c r="AN202" s="59"/>
      <c r="AO202" s="59" t="s">
        <v>73</v>
      </c>
      <c r="AP202" s="59"/>
      <c r="AQ202" s="59" t="s">
        <v>73</v>
      </c>
      <c r="AR202" s="59"/>
      <c r="AS202" s="59" t="s">
        <v>72</v>
      </c>
      <c r="AT202" s="59"/>
      <c r="AU202" s="59"/>
      <c r="AV202" s="59"/>
      <c r="AW202" s="59"/>
      <c r="AX202" s="59"/>
      <c r="AY202" s="60" t="str">
        <f>IF('Cálculo MP'!K212="","",'Cálculo MP'!K212)</f>
        <v/>
      </c>
      <c r="AZ202" s="60" t="str">
        <f>IF('Cálculo MP'!L212="","",'Cálculo MP'!L212)</f>
        <v/>
      </c>
      <c r="BA202" s="60" t="str">
        <f>IF('Cálculo MP'!M212="","",'Cálculo MP'!M212)</f>
        <v/>
      </c>
      <c r="BB202" s="60" t="str">
        <f>IF('Cálculo MP'!N212="","",'Cálculo MP'!N212)</f>
        <v/>
      </c>
      <c r="BC202" s="60" t="str">
        <f>IF('Cálculo MP'!O212="","",'Cálculo MP'!O212)</f>
        <v/>
      </c>
      <c r="BD202" s="60" t="str">
        <f>IF('Cálculo MP'!P212="","",'Cálculo MP'!P212)</f>
        <v/>
      </c>
      <c r="BE202" s="60" t="str">
        <f>IF('Cálculo MP'!Q212="","",'Cálculo MP'!Q212)</f>
        <v/>
      </c>
      <c r="BF202" s="60" t="str">
        <f>IF('Cálculo MP'!R212="","",'Cálculo MP'!R212)</f>
        <v/>
      </c>
      <c r="BG202" s="60" t="str">
        <f>IF('Cálculo MP'!S212="","",'Cálculo MP'!S212)</f>
        <v/>
      </c>
      <c r="BH202" s="59"/>
      <c r="BI202" s="59"/>
      <c r="BJ202" s="59"/>
      <c r="BK202" s="59"/>
      <c r="BL202" s="59"/>
      <c r="BM202" s="59"/>
      <c r="BN202" s="59"/>
      <c r="BO202" s="59"/>
    </row>
    <row r="203" spans="1:67" ht="19.5" customHeight="1" x14ac:dyDescent="0.2">
      <c r="A203" s="114" t="s">
        <v>1789</v>
      </c>
      <c r="B203" s="113" t="s">
        <v>1787</v>
      </c>
      <c r="C203" s="122"/>
      <c r="D203" s="48" t="s">
        <v>73</v>
      </c>
      <c r="E203" s="49"/>
      <c r="F203" s="50"/>
      <c r="G203" s="62"/>
      <c r="H203" s="48" t="s">
        <v>72</v>
      </c>
      <c r="I203" s="52">
        <v>1</v>
      </c>
      <c r="J203" s="52"/>
      <c r="K203" s="52" t="s">
        <v>73</v>
      </c>
      <c r="L203" s="52" t="s">
        <v>74</v>
      </c>
      <c r="M203" s="53" t="s">
        <v>917</v>
      </c>
      <c r="N203" s="58" t="s">
        <v>73</v>
      </c>
      <c r="O203" s="48" t="s">
        <v>72</v>
      </c>
      <c r="P203" s="48" t="s">
        <v>73</v>
      </c>
      <c r="Q203" s="54" t="s">
        <v>73</v>
      </c>
      <c r="R203" s="55" t="s">
        <v>73</v>
      </c>
      <c r="S203" s="48" t="s">
        <v>73</v>
      </c>
      <c r="T203" s="121" t="str" cm="1">
        <f t="array" ref="T203">IF(ISNUMBER(SEARCH("SCHNEIDER",D203)),_xlfn.IFS(ISNUMBER(SEARCH("2 Querétaro",D203)),"SQ2",ISNUMBER(SEARCH("Xicohténcatl",D203)),"SXC",ISNUMBER(SEARCH("Rojo Gómez",D203)),"SRG",ISNUMBER(SEARCH("Tlaxcala",D203)),"STX",ISNUMBER(SEARCH("Monterrey",D203)),"SMY",ISNUMBER(SEARCH("Querétaro",D203)),"SQ1",ISNUMBER(SEARCH("CDMX",D203)),"SCM",TRUE,""),"")</f>
        <v/>
      </c>
      <c r="U203" s="48" t="str" cm="1">
        <f t="array" ref="U203">_xlfn.LET(_xlpm.resultados,_xlfn.UNIQUE(_xlfn._xlws.FILTER(Tabla1[Proceso],(Tabla1[Metal Base]=O203)*(Tabla1[Etiquetas]=_xlfn.TEXTJOIN(" + ",TRUE,IF((TRIM(Upload!P203:S203)="")+(LOWER(TRIM(Upload!P203:S203))="(seleccione)"),"",PROPER(TRIM(Upload!P203:S203)))))*(Tabla1[Línea2]=IFERROR(VLOOKUP(Upload!N203&amp;"*",CAT_Procesos!D:D,1,FALSE),"")))),_xlpm.cantidad,ROWS(_xlpm.resultados),IF(ISERROR(_xlpm.cantidad),"Combinación no existente",IF(_xlpm.cantidad=1,INDEX(_xlpm.resultados,1),"(seleccione)")))</f>
        <v>Combinación no existente</v>
      </c>
      <c r="V203" s="55" t="s">
        <v>73</v>
      </c>
      <c r="W203" s="56" t="s">
        <v>73</v>
      </c>
      <c r="X203" s="57" t="str">
        <f t="shared" si="12"/>
        <v/>
      </c>
      <c r="Y203" s="58" t="s">
        <v>73</v>
      </c>
      <c r="Z203" s="57" t="str">
        <f t="shared" si="13"/>
        <v/>
      </c>
      <c r="AA203" s="58" t="s">
        <v>73</v>
      </c>
      <c r="AB203" s="57" t="str">
        <f t="shared" si="14"/>
        <v/>
      </c>
      <c r="AC203" s="58" t="s">
        <v>73</v>
      </c>
      <c r="AD203" s="57" t="str">
        <f t="shared" si="15"/>
        <v/>
      </c>
      <c r="AE203" s="59"/>
      <c r="AF203" s="59"/>
      <c r="AG203" s="59"/>
      <c r="AH203" s="59"/>
      <c r="AI203" s="59" t="s">
        <v>73</v>
      </c>
      <c r="AJ203" s="59"/>
      <c r="AK203" s="59" t="s">
        <v>73</v>
      </c>
      <c r="AL203" s="59"/>
      <c r="AM203" s="59" t="s">
        <v>73</v>
      </c>
      <c r="AN203" s="59"/>
      <c r="AO203" s="59" t="s">
        <v>73</v>
      </c>
      <c r="AP203" s="59"/>
      <c r="AQ203" s="59" t="s">
        <v>73</v>
      </c>
      <c r="AR203" s="59"/>
      <c r="AS203" s="59" t="s">
        <v>72</v>
      </c>
      <c r="AT203" s="59"/>
      <c r="AU203" s="59"/>
      <c r="AV203" s="59"/>
      <c r="AW203" s="59"/>
      <c r="AX203" s="59"/>
      <c r="AY203" s="60" t="str">
        <f>IF('Cálculo MP'!K213="","",'Cálculo MP'!K213)</f>
        <v/>
      </c>
      <c r="AZ203" s="60" t="str">
        <f>IF('Cálculo MP'!L213="","",'Cálculo MP'!L213)</f>
        <v/>
      </c>
      <c r="BA203" s="60" t="str">
        <f>IF('Cálculo MP'!M213="","",'Cálculo MP'!M213)</f>
        <v/>
      </c>
      <c r="BB203" s="60" t="str">
        <f>IF('Cálculo MP'!N213="","",'Cálculo MP'!N213)</f>
        <v/>
      </c>
      <c r="BC203" s="60" t="str">
        <f>IF('Cálculo MP'!O213="","",'Cálculo MP'!O213)</f>
        <v/>
      </c>
      <c r="BD203" s="60" t="str">
        <f>IF('Cálculo MP'!P213="","",'Cálculo MP'!P213)</f>
        <v/>
      </c>
      <c r="BE203" s="60" t="str">
        <f>IF('Cálculo MP'!Q213="","",'Cálculo MP'!Q213)</f>
        <v/>
      </c>
      <c r="BF203" s="60" t="str">
        <f>IF('Cálculo MP'!R213="","",'Cálculo MP'!R213)</f>
        <v/>
      </c>
      <c r="BG203" s="60" t="str">
        <f>IF('Cálculo MP'!S213="","",'Cálculo MP'!S213)</f>
        <v/>
      </c>
      <c r="BH203" s="59"/>
      <c r="BI203" s="59"/>
      <c r="BJ203" s="59"/>
      <c r="BK203" s="59"/>
      <c r="BL203" s="59"/>
      <c r="BM203" s="59"/>
      <c r="BN203" s="59"/>
      <c r="BO203" s="59"/>
    </row>
    <row r="204" spans="1:67" ht="19.5" customHeight="1" x14ac:dyDescent="0.2">
      <c r="A204" s="114" t="s">
        <v>1789</v>
      </c>
      <c r="B204" s="113" t="s">
        <v>1787</v>
      </c>
      <c r="C204" s="122"/>
      <c r="D204" s="48" t="s">
        <v>73</v>
      </c>
      <c r="E204" s="49"/>
      <c r="F204" s="50"/>
      <c r="G204" s="62"/>
      <c r="H204" s="48" t="s">
        <v>72</v>
      </c>
      <c r="I204" s="52">
        <v>1</v>
      </c>
      <c r="J204" s="52"/>
      <c r="K204" s="52" t="s">
        <v>73</v>
      </c>
      <c r="L204" s="52" t="s">
        <v>74</v>
      </c>
      <c r="M204" s="53" t="s">
        <v>917</v>
      </c>
      <c r="N204" s="58" t="s">
        <v>73</v>
      </c>
      <c r="O204" s="48" t="s">
        <v>72</v>
      </c>
      <c r="P204" s="48" t="s">
        <v>73</v>
      </c>
      <c r="Q204" s="54" t="s">
        <v>73</v>
      </c>
      <c r="R204" s="55" t="s">
        <v>73</v>
      </c>
      <c r="S204" s="48" t="s">
        <v>73</v>
      </c>
      <c r="T204" s="121" t="str" cm="1">
        <f t="array" ref="T204">IF(ISNUMBER(SEARCH("SCHNEIDER",D204)),_xlfn.IFS(ISNUMBER(SEARCH("2 Querétaro",D204)),"SQ2",ISNUMBER(SEARCH("Xicohténcatl",D204)),"SXC",ISNUMBER(SEARCH("Rojo Gómez",D204)),"SRG",ISNUMBER(SEARCH("Tlaxcala",D204)),"STX",ISNUMBER(SEARCH("Monterrey",D204)),"SMY",ISNUMBER(SEARCH("Querétaro",D204)),"SQ1",ISNUMBER(SEARCH("CDMX",D204)),"SCM",TRUE,""),"")</f>
        <v/>
      </c>
      <c r="U204" s="48" t="str" cm="1">
        <f t="array" ref="U204">_xlfn.LET(_xlpm.resultados,_xlfn.UNIQUE(_xlfn._xlws.FILTER(Tabla1[Proceso],(Tabla1[Metal Base]=O204)*(Tabla1[Etiquetas]=_xlfn.TEXTJOIN(" + ",TRUE,IF((TRIM(Upload!P204:S204)="")+(LOWER(TRIM(Upload!P204:S204))="(seleccione)"),"",PROPER(TRIM(Upload!P204:S204)))))*(Tabla1[Línea2]=IFERROR(VLOOKUP(Upload!N204&amp;"*",CAT_Procesos!D:D,1,FALSE),"")))),_xlpm.cantidad,ROWS(_xlpm.resultados),IF(ISERROR(_xlpm.cantidad),"Combinación no existente",IF(_xlpm.cantidad=1,INDEX(_xlpm.resultados,1),"(seleccione)")))</f>
        <v>Combinación no existente</v>
      </c>
      <c r="V204" s="55" t="s">
        <v>73</v>
      </c>
      <c r="W204" s="56" t="s">
        <v>73</v>
      </c>
      <c r="X204" s="57" t="str">
        <f t="shared" si="12"/>
        <v/>
      </c>
      <c r="Y204" s="58" t="s">
        <v>73</v>
      </c>
      <c r="Z204" s="57" t="str">
        <f t="shared" si="13"/>
        <v/>
      </c>
      <c r="AA204" s="58" t="s">
        <v>73</v>
      </c>
      <c r="AB204" s="57" t="str">
        <f t="shared" si="14"/>
        <v/>
      </c>
      <c r="AC204" s="58" t="s">
        <v>73</v>
      </c>
      <c r="AD204" s="57" t="str">
        <f t="shared" si="15"/>
        <v/>
      </c>
      <c r="AE204" s="59"/>
      <c r="AF204" s="59"/>
      <c r="AG204" s="59"/>
      <c r="AH204" s="59"/>
      <c r="AI204" s="59" t="s">
        <v>73</v>
      </c>
      <c r="AJ204" s="59"/>
      <c r="AK204" s="59" t="s">
        <v>73</v>
      </c>
      <c r="AL204" s="59"/>
      <c r="AM204" s="59" t="s">
        <v>73</v>
      </c>
      <c r="AN204" s="59"/>
      <c r="AO204" s="59" t="s">
        <v>73</v>
      </c>
      <c r="AP204" s="59"/>
      <c r="AQ204" s="59" t="s">
        <v>73</v>
      </c>
      <c r="AR204" s="59"/>
      <c r="AS204" s="59" t="s">
        <v>72</v>
      </c>
      <c r="AT204" s="59"/>
      <c r="AU204" s="59"/>
      <c r="AV204" s="59"/>
      <c r="AW204" s="59"/>
      <c r="AX204" s="59"/>
      <c r="AY204" s="60" t="str">
        <f>IF('Cálculo MP'!K214="","",'Cálculo MP'!K214)</f>
        <v/>
      </c>
      <c r="AZ204" s="60" t="str">
        <f>IF('Cálculo MP'!L214="","",'Cálculo MP'!L214)</f>
        <v/>
      </c>
      <c r="BA204" s="60" t="str">
        <f>IF('Cálculo MP'!M214="","",'Cálculo MP'!M214)</f>
        <v/>
      </c>
      <c r="BB204" s="60" t="str">
        <f>IF('Cálculo MP'!N214="","",'Cálculo MP'!N214)</f>
        <v/>
      </c>
      <c r="BC204" s="60" t="str">
        <f>IF('Cálculo MP'!O214="","",'Cálculo MP'!O214)</f>
        <v/>
      </c>
      <c r="BD204" s="60" t="str">
        <f>IF('Cálculo MP'!P214="","",'Cálculo MP'!P214)</f>
        <v/>
      </c>
      <c r="BE204" s="60" t="str">
        <f>IF('Cálculo MP'!Q214="","",'Cálculo MP'!Q214)</f>
        <v/>
      </c>
      <c r="BF204" s="60" t="str">
        <f>IF('Cálculo MP'!R214="","",'Cálculo MP'!R214)</f>
        <v/>
      </c>
      <c r="BG204" s="60" t="str">
        <f>IF('Cálculo MP'!S214="","",'Cálculo MP'!S214)</f>
        <v/>
      </c>
      <c r="BH204" s="59"/>
      <c r="BI204" s="59"/>
      <c r="BJ204" s="59"/>
      <c r="BK204" s="59"/>
      <c r="BL204" s="59"/>
      <c r="BM204" s="59"/>
      <c r="BN204" s="59"/>
      <c r="BO204" s="59"/>
    </row>
    <row r="205" spans="1:67" ht="19.5" customHeight="1" x14ac:dyDescent="0.2">
      <c r="A205" s="114" t="s">
        <v>1789</v>
      </c>
      <c r="B205" s="113" t="s">
        <v>1787</v>
      </c>
      <c r="C205" s="122"/>
      <c r="D205" s="48" t="s">
        <v>73</v>
      </c>
      <c r="E205" s="49"/>
      <c r="F205" s="50"/>
      <c r="G205" s="62"/>
      <c r="H205" s="48" t="s">
        <v>72</v>
      </c>
      <c r="I205" s="52">
        <v>1</v>
      </c>
      <c r="J205" s="52"/>
      <c r="K205" s="52" t="s">
        <v>73</v>
      </c>
      <c r="L205" s="52" t="s">
        <v>74</v>
      </c>
      <c r="M205" s="53" t="s">
        <v>917</v>
      </c>
      <c r="N205" s="58" t="s">
        <v>73</v>
      </c>
      <c r="O205" s="48" t="s">
        <v>72</v>
      </c>
      <c r="P205" s="48" t="s">
        <v>73</v>
      </c>
      <c r="Q205" s="54" t="s">
        <v>73</v>
      </c>
      <c r="R205" s="55" t="s">
        <v>73</v>
      </c>
      <c r="S205" s="48" t="s">
        <v>73</v>
      </c>
      <c r="T205" s="121" t="str" cm="1">
        <f t="array" ref="T205">IF(ISNUMBER(SEARCH("SCHNEIDER",D205)),_xlfn.IFS(ISNUMBER(SEARCH("2 Querétaro",D205)),"SQ2",ISNUMBER(SEARCH("Xicohténcatl",D205)),"SXC",ISNUMBER(SEARCH("Rojo Gómez",D205)),"SRG",ISNUMBER(SEARCH("Tlaxcala",D205)),"STX",ISNUMBER(SEARCH("Monterrey",D205)),"SMY",ISNUMBER(SEARCH("Querétaro",D205)),"SQ1",ISNUMBER(SEARCH("CDMX",D205)),"SCM",TRUE,""),"")</f>
        <v/>
      </c>
      <c r="U205" s="48" t="str" cm="1">
        <f t="array" ref="U205">_xlfn.LET(_xlpm.resultados,_xlfn.UNIQUE(_xlfn._xlws.FILTER(Tabla1[Proceso],(Tabla1[Metal Base]=O205)*(Tabla1[Etiquetas]=_xlfn.TEXTJOIN(" + ",TRUE,IF((TRIM(Upload!P205:S205)="")+(LOWER(TRIM(Upload!P205:S205))="(seleccione)"),"",PROPER(TRIM(Upload!P205:S205)))))*(Tabla1[Línea2]=IFERROR(VLOOKUP(Upload!N205&amp;"*",CAT_Procesos!D:D,1,FALSE),"")))),_xlpm.cantidad,ROWS(_xlpm.resultados),IF(ISERROR(_xlpm.cantidad),"Combinación no existente",IF(_xlpm.cantidad=1,INDEX(_xlpm.resultados,1),"(seleccione)")))</f>
        <v>Combinación no existente</v>
      </c>
      <c r="V205" s="55" t="s">
        <v>73</v>
      </c>
      <c r="W205" s="56" t="s">
        <v>73</v>
      </c>
      <c r="X205" s="57" t="str">
        <f t="shared" si="12"/>
        <v/>
      </c>
      <c r="Y205" s="58" t="s">
        <v>73</v>
      </c>
      <c r="Z205" s="57" t="str">
        <f t="shared" si="13"/>
        <v/>
      </c>
      <c r="AA205" s="58" t="s">
        <v>73</v>
      </c>
      <c r="AB205" s="57" t="str">
        <f t="shared" si="14"/>
        <v/>
      </c>
      <c r="AC205" s="58" t="s">
        <v>73</v>
      </c>
      <c r="AD205" s="57" t="str">
        <f t="shared" si="15"/>
        <v/>
      </c>
      <c r="AE205" s="59"/>
      <c r="AF205" s="59"/>
      <c r="AG205" s="59"/>
      <c r="AH205" s="59"/>
      <c r="AI205" s="59" t="s">
        <v>73</v>
      </c>
      <c r="AJ205" s="59"/>
      <c r="AK205" s="59" t="s">
        <v>73</v>
      </c>
      <c r="AL205" s="59"/>
      <c r="AM205" s="59" t="s">
        <v>73</v>
      </c>
      <c r="AN205" s="59"/>
      <c r="AO205" s="59" t="s">
        <v>73</v>
      </c>
      <c r="AP205" s="59"/>
      <c r="AQ205" s="59" t="s">
        <v>73</v>
      </c>
      <c r="AR205" s="59"/>
      <c r="AS205" s="59" t="s">
        <v>72</v>
      </c>
      <c r="AT205" s="59"/>
      <c r="AU205" s="59"/>
      <c r="AV205" s="59"/>
      <c r="AW205" s="59"/>
      <c r="AX205" s="59"/>
      <c r="AY205" s="60" t="str">
        <f>IF('Cálculo MP'!K215="","",'Cálculo MP'!K215)</f>
        <v/>
      </c>
      <c r="AZ205" s="60" t="str">
        <f>IF('Cálculo MP'!L215="","",'Cálculo MP'!L215)</f>
        <v/>
      </c>
      <c r="BA205" s="60" t="str">
        <f>IF('Cálculo MP'!M215="","",'Cálculo MP'!M215)</f>
        <v/>
      </c>
      <c r="BB205" s="60" t="str">
        <f>IF('Cálculo MP'!N215="","",'Cálculo MP'!N215)</f>
        <v/>
      </c>
      <c r="BC205" s="60" t="str">
        <f>IF('Cálculo MP'!O215="","",'Cálculo MP'!O215)</f>
        <v/>
      </c>
      <c r="BD205" s="60" t="str">
        <f>IF('Cálculo MP'!P215="","",'Cálculo MP'!P215)</f>
        <v/>
      </c>
      <c r="BE205" s="60" t="str">
        <f>IF('Cálculo MP'!Q215="","",'Cálculo MP'!Q215)</f>
        <v/>
      </c>
      <c r="BF205" s="60" t="str">
        <f>IF('Cálculo MP'!R215="","",'Cálculo MP'!R215)</f>
        <v/>
      </c>
      <c r="BG205" s="60" t="str">
        <f>IF('Cálculo MP'!S215="","",'Cálculo MP'!S215)</f>
        <v/>
      </c>
      <c r="BH205" s="59"/>
      <c r="BI205" s="59"/>
      <c r="BJ205" s="59"/>
      <c r="BK205" s="59"/>
      <c r="BL205" s="59"/>
      <c r="BM205" s="59"/>
      <c r="BN205" s="59"/>
      <c r="BO205" s="59"/>
    </row>
    <row r="206" spans="1:67" ht="19.5" customHeight="1" x14ac:dyDescent="0.2">
      <c r="A206" s="114" t="s">
        <v>1789</v>
      </c>
      <c r="B206" s="113" t="s">
        <v>1787</v>
      </c>
      <c r="C206" s="122"/>
      <c r="D206" s="48" t="s">
        <v>73</v>
      </c>
      <c r="E206" s="49"/>
      <c r="F206" s="50"/>
      <c r="G206" s="62"/>
      <c r="H206" s="48" t="s">
        <v>72</v>
      </c>
      <c r="I206" s="52">
        <v>1</v>
      </c>
      <c r="J206" s="52"/>
      <c r="K206" s="52" t="s">
        <v>73</v>
      </c>
      <c r="L206" s="52" t="s">
        <v>74</v>
      </c>
      <c r="M206" s="53" t="s">
        <v>917</v>
      </c>
      <c r="N206" s="58" t="s">
        <v>73</v>
      </c>
      <c r="O206" s="48" t="s">
        <v>72</v>
      </c>
      <c r="P206" s="48" t="s">
        <v>73</v>
      </c>
      <c r="Q206" s="54" t="s">
        <v>73</v>
      </c>
      <c r="R206" s="55" t="s">
        <v>73</v>
      </c>
      <c r="S206" s="48" t="s">
        <v>73</v>
      </c>
      <c r="T206" s="121" t="str" cm="1">
        <f t="array" ref="T206">IF(ISNUMBER(SEARCH("SCHNEIDER",D206)),_xlfn.IFS(ISNUMBER(SEARCH("2 Querétaro",D206)),"SQ2",ISNUMBER(SEARCH("Xicohténcatl",D206)),"SXC",ISNUMBER(SEARCH("Rojo Gómez",D206)),"SRG",ISNUMBER(SEARCH("Tlaxcala",D206)),"STX",ISNUMBER(SEARCH("Monterrey",D206)),"SMY",ISNUMBER(SEARCH("Querétaro",D206)),"SQ1",ISNUMBER(SEARCH("CDMX",D206)),"SCM",TRUE,""),"")</f>
        <v/>
      </c>
      <c r="U206" s="48" t="str" cm="1">
        <f t="array" ref="U206">_xlfn.LET(_xlpm.resultados,_xlfn.UNIQUE(_xlfn._xlws.FILTER(Tabla1[Proceso],(Tabla1[Metal Base]=O206)*(Tabla1[Etiquetas]=_xlfn.TEXTJOIN(" + ",TRUE,IF((TRIM(Upload!P206:S206)="")+(LOWER(TRIM(Upload!P206:S206))="(seleccione)"),"",PROPER(TRIM(Upload!P206:S206)))))*(Tabla1[Línea2]=IFERROR(VLOOKUP(Upload!N206&amp;"*",CAT_Procesos!D:D,1,FALSE),"")))),_xlpm.cantidad,ROWS(_xlpm.resultados),IF(ISERROR(_xlpm.cantidad),"Combinación no existente",IF(_xlpm.cantidad=1,INDEX(_xlpm.resultados,1),"(seleccione)")))</f>
        <v>Combinación no existente</v>
      </c>
      <c r="V206" s="55" t="s">
        <v>73</v>
      </c>
      <c r="W206" s="56" t="s">
        <v>73</v>
      </c>
      <c r="X206" s="57" t="str">
        <f t="shared" si="12"/>
        <v/>
      </c>
      <c r="Y206" s="58" t="s">
        <v>73</v>
      </c>
      <c r="Z206" s="57" t="str">
        <f t="shared" si="13"/>
        <v/>
      </c>
      <c r="AA206" s="58" t="s">
        <v>73</v>
      </c>
      <c r="AB206" s="57" t="str">
        <f t="shared" si="14"/>
        <v/>
      </c>
      <c r="AC206" s="58" t="s">
        <v>73</v>
      </c>
      <c r="AD206" s="57" t="str">
        <f t="shared" si="15"/>
        <v/>
      </c>
      <c r="AE206" s="59"/>
      <c r="AF206" s="59"/>
      <c r="AG206" s="59"/>
      <c r="AH206" s="59"/>
      <c r="AI206" s="59" t="s">
        <v>73</v>
      </c>
      <c r="AJ206" s="59"/>
      <c r="AK206" s="59" t="s">
        <v>73</v>
      </c>
      <c r="AL206" s="59"/>
      <c r="AM206" s="59" t="s">
        <v>73</v>
      </c>
      <c r="AN206" s="59"/>
      <c r="AO206" s="59" t="s">
        <v>73</v>
      </c>
      <c r="AP206" s="59"/>
      <c r="AQ206" s="59" t="s">
        <v>73</v>
      </c>
      <c r="AR206" s="59"/>
      <c r="AS206" s="59" t="s">
        <v>72</v>
      </c>
      <c r="AT206" s="59"/>
      <c r="AU206" s="59"/>
      <c r="AV206" s="59"/>
      <c r="AW206" s="59"/>
      <c r="AX206" s="59"/>
      <c r="AY206" s="60" t="str">
        <f>IF('Cálculo MP'!K216="","",'Cálculo MP'!K216)</f>
        <v/>
      </c>
      <c r="AZ206" s="60" t="str">
        <f>IF('Cálculo MP'!L216="","",'Cálculo MP'!L216)</f>
        <v/>
      </c>
      <c r="BA206" s="60" t="str">
        <f>IF('Cálculo MP'!M216="","",'Cálculo MP'!M216)</f>
        <v/>
      </c>
      <c r="BB206" s="60" t="str">
        <f>IF('Cálculo MP'!N216="","",'Cálculo MP'!N216)</f>
        <v/>
      </c>
      <c r="BC206" s="60" t="str">
        <f>IF('Cálculo MP'!O216="","",'Cálculo MP'!O216)</f>
        <v/>
      </c>
      <c r="BD206" s="60" t="str">
        <f>IF('Cálculo MP'!P216="","",'Cálculo MP'!P216)</f>
        <v/>
      </c>
      <c r="BE206" s="60" t="str">
        <f>IF('Cálculo MP'!Q216="","",'Cálculo MP'!Q216)</f>
        <v/>
      </c>
      <c r="BF206" s="60" t="str">
        <f>IF('Cálculo MP'!R216="","",'Cálculo MP'!R216)</f>
        <v/>
      </c>
      <c r="BG206" s="60" t="str">
        <f>IF('Cálculo MP'!S216="","",'Cálculo MP'!S216)</f>
        <v/>
      </c>
      <c r="BH206" s="59"/>
      <c r="BI206" s="59"/>
      <c r="BJ206" s="59"/>
      <c r="BK206" s="59"/>
      <c r="BL206" s="59"/>
      <c r="BM206" s="59"/>
      <c r="BN206" s="59"/>
      <c r="BO206" s="59"/>
    </row>
    <row r="207" spans="1:67" ht="19.5" customHeight="1" x14ac:dyDescent="0.2">
      <c r="A207" s="114" t="s">
        <v>1789</v>
      </c>
      <c r="B207" s="113" t="s">
        <v>1787</v>
      </c>
      <c r="C207" s="122"/>
      <c r="D207" s="48" t="s">
        <v>73</v>
      </c>
      <c r="E207" s="49"/>
      <c r="F207" s="50"/>
      <c r="G207" s="62"/>
      <c r="H207" s="48" t="s">
        <v>72</v>
      </c>
      <c r="I207" s="52">
        <v>1</v>
      </c>
      <c r="J207" s="52"/>
      <c r="K207" s="52" t="s">
        <v>73</v>
      </c>
      <c r="L207" s="52" t="s">
        <v>74</v>
      </c>
      <c r="M207" s="53" t="s">
        <v>917</v>
      </c>
      <c r="N207" s="58" t="s">
        <v>73</v>
      </c>
      <c r="O207" s="48" t="s">
        <v>72</v>
      </c>
      <c r="P207" s="48" t="s">
        <v>73</v>
      </c>
      <c r="Q207" s="54" t="s">
        <v>73</v>
      </c>
      <c r="R207" s="55" t="s">
        <v>73</v>
      </c>
      <c r="S207" s="48" t="s">
        <v>73</v>
      </c>
      <c r="T207" s="121" t="str" cm="1">
        <f t="array" ref="T207">IF(ISNUMBER(SEARCH("SCHNEIDER",D207)),_xlfn.IFS(ISNUMBER(SEARCH("2 Querétaro",D207)),"SQ2",ISNUMBER(SEARCH("Xicohténcatl",D207)),"SXC",ISNUMBER(SEARCH("Rojo Gómez",D207)),"SRG",ISNUMBER(SEARCH("Tlaxcala",D207)),"STX",ISNUMBER(SEARCH("Monterrey",D207)),"SMY",ISNUMBER(SEARCH("Querétaro",D207)),"SQ1",ISNUMBER(SEARCH("CDMX",D207)),"SCM",TRUE,""),"")</f>
        <v/>
      </c>
      <c r="U207" s="48" t="str" cm="1">
        <f t="array" ref="U207">_xlfn.LET(_xlpm.resultados,_xlfn.UNIQUE(_xlfn._xlws.FILTER(Tabla1[Proceso],(Tabla1[Metal Base]=O207)*(Tabla1[Etiquetas]=_xlfn.TEXTJOIN(" + ",TRUE,IF((TRIM(Upload!P207:S207)="")+(LOWER(TRIM(Upload!P207:S207))="(seleccione)"),"",PROPER(TRIM(Upload!P207:S207)))))*(Tabla1[Línea2]=IFERROR(VLOOKUP(Upload!N207&amp;"*",CAT_Procesos!D:D,1,FALSE),"")))),_xlpm.cantidad,ROWS(_xlpm.resultados),IF(ISERROR(_xlpm.cantidad),"Combinación no existente",IF(_xlpm.cantidad=1,INDEX(_xlpm.resultados,1),"(seleccione)")))</f>
        <v>Combinación no existente</v>
      </c>
      <c r="V207" s="55" t="s">
        <v>73</v>
      </c>
      <c r="W207" s="56" t="s">
        <v>73</v>
      </c>
      <c r="X207" s="57" t="str">
        <f t="shared" si="12"/>
        <v/>
      </c>
      <c r="Y207" s="58" t="s">
        <v>73</v>
      </c>
      <c r="Z207" s="57" t="str">
        <f t="shared" si="13"/>
        <v/>
      </c>
      <c r="AA207" s="58" t="s">
        <v>73</v>
      </c>
      <c r="AB207" s="57" t="str">
        <f t="shared" si="14"/>
        <v/>
      </c>
      <c r="AC207" s="58" t="s">
        <v>73</v>
      </c>
      <c r="AD207" s="57" t="str">
        <f t="shared" si="15"/>
        <v/>
      </c>
      <c r="AE207" s="59"/>
      <c r="AF207" s="59"/>
      <c r="AG207" s="59"/>
      <c r="AH207" s="59"/>
      <c r="AI207" s="59" t="s">
        <v>73</v>
      </c>
      <c r="AJ207" s="59"/>
      <c r="AK207" s="59" t="s">
        <v>73</v>
      </c>
      <c r="AL207" s="59"/>
      <c r="AM207" s="59" t="s">
        <v>73</v>
      </c>
      <c r="AN207" s="59"/>
      <c r="AO207" s="59" t="s">
        <v>73</v>
      </c>
      <c r="AP207" s="59"/>
      <c r="AQ207" s="59" t="s">
        <v>73</v>
      </c>
      <c r="AR207" s="59"/>
      <c r="AS207" s="59" t="s">
        <v>72</v>
      </c>
      <c r="AT207" s="59"/>
      <c r="AU207" s="59"/>
      <c r="AV207" s="59"/>
      <c r="AW207" s="59"/>
      <c r="AX207" s="59"/>
      <c r="AY207" s="60" t="str">
        <f>IF('Cálculo MP'!K217="","",'Cálculo MP'!K217)</f>
        <v/>
      </c>
      <c r="AZ207" s="60" t="str">
        <f>IF('Cálculo MP'!L217="","",'Cálculo MP'!L217)</f>
        <v/>
      </c>
      <c r="BA207" s="60" t="str">
        <f>IF('Cálculo MP'!M217="","",'Cálculo MP'!M217)</f>
        <v/>
      </c>
      <c r="BB207" s="60" t="str">
        <f>IF('Cálculo MP'!N217="","",'Cálculo MP'!N217)</f>
        <v/>
      </c>
      <c r="BC207" s="60" t="str">
        <f>IF('Cálculo MP'!O217="","",'Cálculo MP'!O217)</f>
        <v/>
      </c>
      <c r="BD207" s="60" t="str">
        <f>IF('Cálculo MP'!P217="","",'Cálculo MP'!P217)</f>
        <v/>
      </c>
      <c r="BE207" s="60" t="str">
        <f>IF('Cálculo MP'!Q217="","",'Cálculo MP'!Q217)</f>
        <v/>
      </c>
      <c r="BF207" s="60" t="str">
        <f>IF('Cálculo MP'!R217="","",'Cálculo MP'!R217)</f>
        <v/>
      </c>
      <c r="BG207" s="60" t="str">
        <f>IF('Cálculo MP'!S217="","",'Cálculo MP'!S217)</f>
        <v/>
      </c>
      <c r="BH207" s="59"/>
      <c r="BI207" s="59"/>
      <c r="BJ207" s="59"/>
      <c r="BK207" s="59"/>
      <c r="BL207" s="59"/>
      <c r="BM207" s="59"/>
      <c r="BN207" s="59"/>
      <c r="BO207" s="59"/>
    </row>
    <row r="208" spans="1:67" ht="19.5" customHeight="1" x14ac:dyDescent="0.2">
      <c r="A208" s="114" t="s">
        <v>1789</v>
      </c>
      <c r="B208" s="113" t="s">
        <v>1787</v>
      </c>
      <c r="C208" s="122"/>
      <c r="D208" s="48" t="s">
        <v>73</v>
      </c>
      <c r="E208" s="49"/>
      <c r="F208" s="50"/>
      <c r="G208" s="62"/>
      <c r="H208" s="48" t="s">
        <v>72</v>
      </c>
      <c r="I208" s="52">
        <v>1</v>
      </c>
      <c r="J208" s="52"/>
      <c r="K208" s="52" t="s">
        <v>73</v>
      </c>
      <c r="L208" s="52" t="s">
        <v>74</v>
      </c>
      <c r="M208" s="53" t="s">
        <v>917</v>
      </c>
      <c r="N208" s="58" t="s">
        <v>73</v>
      </c>
      <c r="O208" s="48" t="s">
        <v>72</v>
      </c>
      <c r="P208" s="48" t="s">
        <v>73</v>
      </c>
      <c r="Q208" s="54" t="s">
        <v>73</v>
      </c>
      <c r="R208" s="55" t="s">
        <v>73</v>
      </c>
      <c r="S208" s="48" t="s">
        <v>73</v>
      </c>
      <c r="T208" s="121" t="str" cm="1">
        <f t="array" ref="T208">IF(ISNUMBER(SEARCH("SCHNEIDER",D208)),_xlfn.IFS(ISNUMBER(SEARCH("2 Querétaro",D208)),"SQ2",ISNUMBER(SEARCH("Xicohténcatl",D208)),"SXC",ISNUMBER(SEARCH("Rojo Gómez",D208)),"SRG",ISNUMBER(SEARCH("Tlaxcala",D208)),"STX",ISNUMBER(SEARCH("Monterrey",D208)),"SMY",ISNUMBER(SEARCH("Querétaro",D208)),"SQ1",ISNUMBER(SEARCH("CDMX",D208)),"SCM",TRUE,""),"")</f>
        <v/>
      </c>
      <c r="U208" s="48" t="str" cm="1">
        <f t="array" ref="U208">_xlfn.LET(_xlpm.resultados,_xlfn.UNIQUE(_xlfn._xlws.FILTER(Tabla1[Proceso],(Tabla1[Metal Base]=O208)*(Tabla1[Etiquetas]=_xlfn.TEXTJOIN(" + ",TRUE,IF((TRIM(Upload!P208:S208)="")+(LOWER(TRIM(Upload!P208:S208))="(seleccione)"),"",PROPER(TRIM(Upload!P208:S208)))))*(Tabla1[Línea2]=IFERROR(VLOOKUP(Upload!N208&amp;"*",CAT_Procesos!D:D,1,FALSE),"")))),_xlpm.cantidad,ROWS(_xlpm.resultados),IF(ISERROR(_xlpm.cantidad),"Combinación no existente",IF(_xlpm.cantidad=1,INDEX(_xlpm.resultados,1),"(seleccione)")))</f>
        <v>Combinación no existente</v>
      </c>
      <c r="V208" s="55" t="s">
        <v>73</v>
      </c>
      <c r="W208" s="56" t="s">
        <v>73</v>
      </c>
      <c r="X208" s="57" t="str">
        <f t="shared" si="12"/>
        <v/>
      </c>
      <c r="Y208" s="58" t="s">
        <v>73</v>
      </c>
      <c r="Z208" s="57" t="str">
        <f t="shared" si="13"/>
        <v/>
      </c>
      <c r="AA208" s="58" t="s">
        <v>73</v>
      </c>
      <c r="AB208" s="57" t="str">
        <f t="shared" si="14"/>
        <v/>
      </c>
      <c r="AC208" s="58" t="s">
        <v>73</v>
      </c>
      <c r="AD208" s="57" t="str">
        <f t="shared" si="15"/>
        <v/>
      </c>
      <c r="AE208" s="59"/>
      <c r="AF208" s="59"/>
      <c r="AG208" s="59"/>
      <c r="AH208" s="59"/>
      <c r="AI208" s="59" t="s">
        <v>73</v>
      </c>
      <c r="AJ208" s="59"/>
      <c r="AK208" s="59" t="s">
        <v>73</v>
      </c>
      <c r="AL208" s="59"/>
      <c r="AM208" s="59" t="s">
        <v>73</v>
      </c>
      <c r="AN208" s="59"/>
      <c r="AO208" s="59" t="s">
        <v>73</v>
      </c>
      <c r="AP208" s="59"/>
      <c r="AQ208" s="59" t="s">
        <v>73</v>
      </c>
      <c r="AR208" s="59"/>
      <c r="AS208" s="59" t="s">
        <v>72</v>
      </c>
      <c r="AT208" s="59"/>
      <c r="AU208" s="59"/>
      <c r="AV208" s="59"/>
      <c r="AW208" s="59"/>
      <c r="AX208" s="59"/>
      <c r="AY208" s="60" t="str">
        <f>IF('Cálculo MP'!K218="","",'Cálculo MP'!K218)</f>
        <v/>
      </c>
      <c r="AZ208" s="60" t="str">
        <f>IF('Cálculo MP'!L218="","",'Cálculo MP'!L218)</f>
        <v/>
      </c>
      <c r="BA208" s="60" t="str">
        <f>IF('Cálculo MP'!M218="","",'Cálculo MP'!M218)</f>
        <v/>
      </c>
      <c r="BB208" s="60" t="str">
        <f>IF('Cálculo MP'!N218="","",'Cálculo MP'!N218)</f>
        <v/>
      </c>
      <c r="BC208" s="60" t="str">
        <f>IF('Cálculo MP'!O218="","",'Cálculo MP'!O218)</f>
        <v/>
      </c>
      <c r="BD208" s="60" t="str">
        <f>IF('Cálculo MP'!P218="","",'Cálculo MP'!P218)</f>
        <v/>
      </c>
      <c r="BE208" s="60" t="str">
        <f>IF('Cálculo MP'!Q218="","",'Cálculo MP'!Q218)</f>
        <v/>
      </c>
      <c r="BF208" s="60" t="str">
        <f>IF('Cálculo MP'!R218="","",'Cálculo MP'!R218)</f>
        <v/>
      </c>
      <c r="BG208" s="60" t="str">
        <f>IF('Cálculo MP'!S218="","",'Cálculo MP'!S218)</f>
        <v/>
      </c>
      <c r="BH208" s="59"/>
      <c r="BI208" s="59"/>
      <c r="BJ208" s="59"/>
      <c r="BK208" s="59"/>
      <c r="BL208" s="59"/>
      <c r="BM208" s="59"/>
      <c r="BN208" s="59"/>
      <c r="BO208" s="59"/>
    </row>
    <row r="209" spans="1:67" ht="19.5" customHeight="1" x14ac:dyDescent="0.2">
      <c r="A209" s="114" t="s">
        <v>1789</v>
      </c>
      <c r="B209" s="113" t="s">
        <v>1787</v>
      </c>
      <c r="C209" s="122"/>
      <c r="D209" s="48" t="s">
        <v>73</v>
      </c>
      <c r="E209" s="49"/>
      <c r="F209" s="50"/>
      <c r="G209" s="62"/>
      <c r="H209" s="48" t="s">
        <v>72</v>
      </c>
      <c r="I209" s="52">
        <v>1</v>
      </c>
      <c r="J209" s="52"/>
      <c r="K209" s="52" t="s">
        <v>73</v>
      </c>
      <c r="L209" s="52" t="s">
        <v>74</v>
      </c>
      <c r="M209" s="53" t="s">
        <v>917</v>
      </c>
      <c r="N209" s="58" t="s">
        <v>73</v>
      </c>
      <c r="O209" s="48" t="s">
        <v>72</v>
      </c>
      <c r="P209" s="48" t="s">
        <v>73</v>
      </c>
      <c r="Q209" s="54" t="s">
        <v>73</v>
      </c>
      <c r="R209" s="55" t="s">
        <v>73</v>
      </c>
      <c r="S209" s="48" t="s">
        <v>73</v>
      </c>
      <c r="T209" s="121" t="str" cm="1">
        <f t="array" ref="T209">IF(ISNUMBER(SEARCH("SCHNEIDER",D209)),_xlfn.IFS(ISNUMBER(SEARCH("2 Querétaro",D209)),"SQ2",ISNUMBER(SEARCH("Xicohténcatl",D209)),"SXC",ISNUMBER(SEARCH("Rojo Gómez",D209)),"SRG",ISNUMBER(SEARCH("Tlaxcala",D209)),"STX",ISNUMBER(SEARCH("Monterrey",D209)),"SMY",ISNUMBER(SEARCH("Querétaro",D209)),"SQ1",ISNUMBER(SEARCH("CDMX",D209)),"SCM",TRUE,""),"")</f>
        <v/>
      </c>
      <c r="U209" s="48" t="str" cm="1">
        <f t="array" ref="U209">_xlfn.LET(_xlpm.resultados,_xlfn.UNIQUE(_xlfn._xlws.FILTER(Tabla1[Proceso],(Tabla1[Metal Base]=O209)*(Tabla1[Etiquetas]=_xlfn.TEXTJOIN(" + ",TRUE,IF((TRIM(Upload!P209:S209)="")+(LOWER(TRIM(Upload!P209:S209))="(seleccione)"),"",PROPER(TRIM(Upload!P209:S209)))))*(Tabla1[Línea2]=IFERROR(VLOOKUP(Upload!N209&amp;"*",CAT_Procesos!D:D,1,FALSE),"")))),_xlpm.cantidad,ROWS(_xlpm.resultados),IF(ISERROR(_xlpm.cantidad),"Combinación no existente",IF(_xlpm.cantidad=1,INDEX(_xlpm.resultados,1),"(seleccione)")))</f>
        <v>Combinación no existente</v>
      </c>
      <c r="V209" s="55" t="s">
        <v>73</v>
      </c>
      <c r="W209" s="56" t="s">
        <v>73</v>
      </c>
      <c r="X209" s="57" t="str">
        <f t="shared" si="12"/>
        <v/>
      </c>
      <c r="Y209" s="58" t="s">
        <v>73</v>
      </c>
      <c r="Z209" s="57" t="str">
        <f t="shared" si="13"/>
        <v/>
      </c>
      <c r="AA209" s="58" t="s">
        <v>73</v>
      </c>
      <c r="AB209" s="57" t="str">
        <f t="shared" si="14"/>
        <v/>
      </c>
      <c r="AC209" s="58" t="s">
        <v>73</v>
      </c>
      <c r="AD209" s="57" t="str">
        <f t="shared" si="15"/>
        <v/>
      </c>
      <c r="AE209" s="59"/>
      <c r="AF209" s="59"/>
      <c r="AG209" s="59"/>
      <c r="AH209" s="59"/>
      <c r="AI209" s="59" t="s">
        <v>73</v>
      </c>
      <c r="AJ209" s="59"/>
      <c r="AK209" s="59" t="s">
        <v>73</v>
      </c>
      <c r="AL209" s="59"/>
      <c r="AM209" s="59" t="s">
        <v>73</v>
      </c>
      <c r="AN209" s="59"/>
      <c r="AO209" s="59" t="s">
        <v>73</v>
      </c>
      <c r="AP209" s="59"/>
      <c r="AQ209" s="59" t="s">
        <v>73</v>
      </c>
      <c r="AR209" s="59"/>
      <c r="AS209" s="59" t="s">
        <v>72</v>
      </c>
      <c r="AT209" s="59"/>
      <c r="AU209" s="59"/>
      <c r="AV209" s="59"/>
      <c r="AW209" s="59"/>
      <c r="AX209" s="59"/>
      <c r="AY209" s="60" t="str">
        <f>IF('Cálculo MP'!K219="","",'Cálculo MP'!K219)</f>
        <v/>
      </c>
      <c r="AZ209" s="60" t="str">
        <f>IF('Cálculo MP'!L219="","",'Cálculo MP'!L219)</f>
        <v/>
      </c>
      <c r="BA209" s="60" t="str">
        <f>IF('Cálculo MP'!M219="","",'Cálculo MP'!M219)</f>
        <v/>
      </c>
      <c r="BB209" s="60" t="str">
        <f>IF('Cálculo MP'!N219="","",'Cálculo MP'!N219)</f>
        <v/>
      </c>
      <c r="BC209" s="60" t="str">
        <f>IF('Cálculo MP'!O219="","",'Cálculo MP'!O219)</f>
        <v/>
      </c>
      <c r="BD209" s="60" t="str">
        <f>IF('Cálculo MP'!P219="","",'Cálculo MP'!P219)</f>
        <v/>
      </c>
      <c r="BE209" s="60" t="str">
        <f>IF('Cálculo MP'!Q219="","",'Cálculo MP'!Q219)</f>
        <v/>
      </c>
      <c r="BF209" s="60" t="str">
        <f>IF('Cálculo MP'!R219="","",'Cálculo MP'!R219)</f>
        <v/>
      </c>
      <c r="BG209" s="60" t="str">
        <f>IF('Cálculo MP'!S219="","",'Cálculo MP'!S219)</f>
        <v/>
      </c>
      <c r="BH209" s="59"/>
      <c r="BI209" s="59"/>
      <c r="BJ209" s="59"/>
      <c r="BK209" s="59"/>
      <c r="BL209" s="59"/>
      <c r="BM209" s="59"/>
      <c r="BN209" s="59"/>
      <c r="BO209" s="59"/>
    </row>
    <row r="210" spans="1:67" ht="19.5" customHeight="1" x14ac:dyDescent="0.2">
      <c r="A210" s="114" t="s">
        <v>1789</v>
      </c>
      <c r="B210" s="113" t="s">
        <v>1787</v>
      </c>
      <c r="C210" s="122"/>
      <c r="D210" s="48" t="s">
        <v>73</v>
      </c>
      <c r="E210" s="49"/>
      <c r="F210" s="50"/>
      <c r="G210" s="62"/>
      <c r="H210" s="48" t="s">
        <v>72</v>
      </c>
      <c r="I210" s="52">
        <v>1</v>
      </c>
      <c r="J210" s="52"/>
      <c r="K210" s="52" t="s">
        <v>73</v>
      </c>
      <c r="L210" s="52" t="s">
        <v>74</v>
      </c>
      <c r="M210" s="53" t="s">
        <v>917</v>
      </c>
      <c r="N210" s="58" t="s">
        <v>73</v>
      </c>
      <c r="O210" s="48" t="s">
        <v>72</v>
      </c>
      <c r="P210" s="48" t="s">
        <v>73</v>
      </c>
      <c r="Q210" s="54" t="s">
        <v>73</v>
      </c>
      <c r="R210" s="55" t="s">
        <v>73</v>
      </c>
      <c r="S210" s="48" t="s">
        <v>73</v>
      </c>
      <c r="T210" s="121" t="str" cm="1">
        <f t="array" ref="T210">IF(ISNUMBER(SEARCH("SCHNEIDER",D210)),_xlfn.IFS(ISNUMBER(SEARCH("2 Querétaro",D210)),"SQ2",ISNUMBER(SEARCH("Xicohténcatl",D210)),"SXC",ISNUMBER(SEARCH("Rojo Gómez",D210)),"SRG",ISNUMBER(SEARCH("Tlaxcala",D210)),"STX",ISNUMBER(SEARCH("Monterrey",D210)),"SMY",ISNUMBER(SEARCH("Querétaro",D210)),"SQ1",ISNUMBER(SEARCH("CDMX",D210)),"SCM",TRUE,""),"")</f>
        <v/>
      </c>
      <c r="U210" s="48" t="str" cm="1">
        <f t="array" ref="U210">_xlfn.LET(_xlpm.resultados,_xlfn.UNIQUE(_xlfn._xlws.FILTER(Tabla1[Proceso],(Tabla1[Metal Base]=O210)*(Tabla1[Etiquetas]=_xlfn.TEXTJOIN(" + ",TRUE,IF((TRIM(Upload!P210:S210)="")+(LOWER(TRIM(Upload!P210:S210))="(seleccione)"),"",PROPER(TRIM(Upload!P210:S210)))))*(Tabla1[Línea2]=IFERROR(VLOOKUP(Upload!N210&amp;"*",CAT_Procesos!D:D,1,FALSE),"")))),_xlpm.cantidad,ROWS(_xlpm.resultados),IF(ISERROR(_xlpm.cantidad),"Combinación no existente",IF(_xlpm.cantidad=1,INDEX(_xlpm.resultados,1),"(seleccione)")))</f>
        <v>Combinación no existente</v>
      </c>
      <c r="V210" s="55" t="s">
        <v>73</v>
      </c>
      <c r="W210" s="56" t="s">
        <v>73</v>
      </c>
      <c r="X210" s="57" t="str">
        <f t="shared" si="12"/>
        <v/>
      </c>
      <c r="Y210" s="58" t="s">
        <v>73</v>
      </c>
      <c r="Z210" s="57" t="str">
        <f t="shared" si="13"/>
        <v/>
      </c>
      <c r="AA210" s="58" t="s">
        <v>73</v>
      </c>
      <c r="AB210" s="57" t="str">
        <f t="shared" si="14"/>
        <v/>
      </c>
      <c r="AC210" s="58" t="s">
        <v>73</v>
      </c>
      <c r="AD210" s="57" t="str">
        <f t="shared" si="15"/>
        <v/>
      </c>
      <c r="AE210" s="59"/>
      <c r="AF210" s="59"/>
      <c r="AG210" s="59"/>
      <c r="AH210" s="59"/>
      <c r="AI210" s="59" t="s">
        <v>73</v>
      </c>
      <c r="AJ210" s="59"/>
      <c r="AK210" s="59" t="s">
        <v>73</v>
      </c>
      <c r="AL210" s="59"/>
      <c r="AM210" s="59" t="s">
        <v>73</v>
      </c>
      <c r="AN210" s="59"/>
      <c r="AO210" s="59" t="s">
        <v>73</v>
      </c>
      <c r="AP210" s="59"/>
      <c r="AQ210" s="59" t="s">
        <v>73</v>
      </c>
      <c r="AR210" s="59"/>
      <c r="AS210" s="59" t="s">
        <v>72</v>
      </c>
      <c r="AT210" s="59"/>
      <c r="AU210" s="59"/>
      <c r="AV210" s="59"/>
      <c r="AW210" s="59"/>
      <c r="AX210" s="59"/>
      <c r="AY210" s="60" t="str">
        <f>IF('Cálculo MP'!K220="","",'Cálculo MP'!K220)</f>
        <v/>
      </c>
      <c r="AZ210" s="60" t="str">
        <f>IF('Cálculo MP'!L220="","",'Cálculo MP'!L220)</f>
        <v/>
      </c>
      <c r="BA210" s="60" t="str">
        <f>IF('Cálculo MP'!M220="","",'Cálculo MP'!M220)</f>
        <v/>
      </c>
      <c r="BB210" s="60" t="str">
        <f>IF('Cálculo MP'!N220="","",'Cálculo MP'!N220)</f>
        <v/>
      </c>
      <c r="BC210" s="60" t="str">
        <f>IF('Cálculo MP'!O220="","",'Cálculo MP'!O220)</f>
        <v/>
      </c>
      <c r="BD210" s="60" t="str">
        <f>IF('Cálculo MP'!P220="","",'Cálculo MP'!P220)</f>
        <v/>
      </c>
      <c r="BE210" s="60" t="str">
        <f>IF('Cálculo MP'!Q220="","",'Cálculo MP'!Q220)</f>
        <v/>
      </c>
      <c r="BF210" s="60" t="str">
        <f>IF('Cálculo MP'!R220="","",'Cálculo MP'!R220)</f>
        <v/>
      </c>
      <c r="BG210" s="60" t="str">
        <f>IF('Cálculo MP'!S220="","",'Cálculo MP'!S220)</f>
        <v/>
      </c>
      <c r="BH210" s="59"/>
      <c r="BI210" s="59"/>
      <c r="BJ210" s="59"/>
      <c r="BK210" s="59"/>
      <c r="BL210" s="59"/>
      <c r="BM210" s="59"/>
      <c r="BN210" s="59"/>
      <c r="BO210" s="59"/>
    </row>
    <row r="211" spans="1:67" ht="19.5" customHeight="1" x14ac:dyDescent="0.2">
      <c r="A211" s="114" t="s">
        <v>1789</v>
      </c>
      <c r="B211" s="113" t="s">
        <v>1787</v>
      </c>
      <c r="C211" s="122"/>
      <c r="D211" s="48" t="s">
        <v>73</v>
      </c>
      <c r="E211" s="49"/>
      <c r="F211" s="50"/>
      <c r="G211" s="62"/>
      <c r="H211" s="48" t="s">
        <v>72</v>
      </c>
      <c r="I211" s="52">
        <v>1</v>
      </c>
      <c r="J211" s="52"/>
      <c r="K211" s="52" t="s">
        <v>73</v>
      </c>
      <c r="L211" s="52" t="s">
        <v>74</v>
      </c>
      <c r="M211" s="53" t="s">
        <v>917</v>
      </c>
      <c r="N211" s="58" t="s">
        <v>73</v>
      </c>
      <c r="O211" s="48" t="s">
        <v>72</v>
      </c>
      <c r="P211" s="48" t="s">
        <v>73</v>
      </c>
      <c r="Q211" s="54" t="s">
        <v>73</v>
      </c>
      <c r="R211" s="55" t="s">
        <v>73</v>
      </c>
      <c r="S211" s="48" t="s">
        <v>73</v>
      </c>
      <c r="T211" s="121" t="str" cm="1">
        <f t="array" ref="T211">IF(ISNUMBER(SEARCH("SCHNEIDER",D211)),_xlfn.IFS(ISNUMBER(SEARCH("2 Querétaro",D211)),"SQ2",ISNUMBER(SEARCH("Xicohténcatl",D211)),"SXC",ISNUMBER(SEARCH("Rojo Gómez",D211)),"SRG",ISNUMBER(SEARCH("Tlaxcala",D211)),"STX",ISNUMBER(SEARCH("Monterrey",D211)),"SMY",ISNUMBER(SEARCH("Querétaro",D211)),"SQ1",ISNUMBER(SEARCH("CDMX",D211)),"SCM",TRUE,""),"")</f>
        <v/>
      </c>
      <c r="U211" s="48" t="str" cm="1">
        <f t="array" ref="U211">_xlfn.LET(_xlpm.resultados,_xlfn.UNIQUE(_xlfn._xlws.FILTER(Tabla1[Proceso],(Tabla1[Metal Base]=O211)*(Tabla1[Etiquetas]=_xlfn.TEXTJOIN(" + ",TRUE,IF((TRIM(Upload!P211:S211)="")+(LOWER(TRIM(Upload!P211:S211))="(seleccione)"),"",PROPER(TRIM(Upload!P211:S211)))))*(Tabla1[Línea2]=IFERROR(VLOOKUP(Upload!N211&amp;"*",CAT_Procesos!D:D,1,FALSE),"")))),_xlpm.cantidad,ROWS(_xlpm.resultados),IF(ISERROR(_xlpm.cantidad),"Combinación no existente",IF(_xlpm.cantidad=1,INDEX(_xlpm.resultados,1),"(seleccione)")))</f>
        <v>Combinación no existente</v>
      </c>
      <c r="V211" s="55" t="s">
        <v>73</v>
      </c>
      <c r="W211" s="56" t="s">
        <v>73</v>
      </c>
      <c r="X211" s="57" t="str">
        <f t="shared" si="12"/>
        <v/>
      </c>
      <c r="Y211" s="58" t="s">
        <v>73</v>
      </c>
      <c r="Z211" s="57" t="str">
        <f t="shared" si="13"/>
        <v/>
      </c>
      <c r="AA211" s="58" t="s">
        <v>73</v>
      </c>
      <c r="AB211" s="57" t="str">
        <f t="shared" si="14"/>
        <v/>
      </c>
      <c r="AC211" s="58" t="s">
        <v>73</v>
      </c>
      <c r="AD211" s="57" t="str">
        <f t="shared" si="15"/>
        <v/>
      </c>
      <c r="AE211" s="59"/>
      <c r="AF211" s="59"/>
      <c r="AG211" s="59"/>
      <c r="AH211" s="59"/>
      <c r="AI211" s="59" t="s">
        <v>73</v>
      </c>
      <c r="AJ211" s="59"/>
      <c r="AK211" s="59" t="s">
        <v>73</v>
      </c>
      <c r="AL211" s="59"/>
      <c r="AM211" s="59" t="s">
        <v>73</v>
      </c>
      <c r="AN211" s="59"/>
      <c r="AO211" s="59" t="s">
        <v>73</v>
      </c>
      <c r="AP211" s="59"/>
      <c r="AQ211" s="59" t="s">
        <v>73</v>
      </c>
      <c r="AR211" s="59"/>
      <c r="AS211" s="59" t="s">
        <v>72</v>
      </c>
      <c r="AT211" s="59"/>
      <c r="AU211" s="59"/>
      <c r="AV211" s="59"/>
      <c r="AW211" s="59"/>
      <c r="AX211" s="59"/>
      <c r="AY211" s="60" t="str">
        <f>IF('Cálculo MP'!K221="","",'Cálculo MP'!K221)</f>
        <v/>
      </c>
      <c r="AZ211" s="60" t="str">
        <f>IF('Cálculo MP'!L221="","",'Cálculo MP'!L221)</f>
        <v/>
      </c>
      <c r="BA211" s="60" t="str">
        <f>IF('Cálculo MP'!M221="","",'Cálculo MP'!M221)</f>
        <v/>
      </c>
      <c r="BB211" s="60" t="str">
        <f>IF('Cálculo MP'!N221="","",'Cálculo MP'!N221)</f>
        <v/>
      </c>
      <c r="BC211" s="60" t="str">
        <f>IF('Cálculo MP'!O221="","",'Cálculo MP'!O221)</f>
        <v/>
      </c>
      <c r="BD211" s="60" t="str">
        <f>IF('Cálculo MP'!P221="","",'Cálculo MP'!P221)</f>
        <v/>
      </c>
      <c r="BE211" s="60" t="str">
        <f>IF('Cálculo MP'!Q221="","",'Cálculo MP'!Q221)</f>
        <v/>
      </c>
      <c r="BF211" s="60" t="str">
        <f>IF('Cálculo MP'!R221="","",'Cálculo MP'!R221)</f>
        <v/>
      </c>
      <c r="BG211" s="60" t="str">
        <f>IF('Cálculo MP'!S221="","",'Cálculo MP'!S221)</f>
        <v/>
      </c>
      <c r="BH211" s="59"/>
      <c r="BI211" s="59"/>
      <c r="BJ211" s="59"/>
      <c r="BK211" s="59"/>
      <c r="BL211" s="59"/>
      <c r="BM211" s="59"/>
      <c r="BN211" s="59"/>
      <c r="BO211" s="59"/>
    </row>
    <row r="212" spans="1:67" ht="19.5" customHeight="1" x14ac:dyDescent="0.2">
      <c r="A212" s="114" t="s">
        <v>1789</v>
      </c>
      <c r="B212" s="113" t="s">
        <v>1787</v>
      </c>
      <c r="C212" s="122"/>
      <c r="D212" s="48" t="s">
        <v>73</v>
      </c>
      <c r="E212" s="49"/>
      <c r="F212" s="50"/>
      <c r="G212" s="62"/>
      <c r="H212" s="48" t="s">
        <v>72</v>
      </c>
      <c r="I212" s="52">
        <v>1</v>
      </c>
      <c r="J212" s="52"/>
      <c r="K212" s="52" t="s">
        <v>73</v>
      </c>
      <c r="L212" s="52" t="s">
        <v>74</v>
      </c>
      <c r="M212" s="53" t="s">
        <v>917</v>
      </c>
      <c r="N212" s="58" t="s">
        <v>73</v>
      </c>
      <c r="O212" s="48" t="s">
        <v>72</v>
      </c>
      <c r="P212" s="48" t="s">
        <v>73</v>
      </c>
      <c r="Q212" s="54" t="s">
        <v>73</v>
      </c>
      <c r="R212" s="55" t="s">
        <v>73</v>
      </c>
      <c r="S212" s="48" t="s">
        <v>73</v>
      </c>
      <c r="T212" s="121" t="str" cm="1">
        <f t="array" ref="T212">IF(ISNUMBER(SEARCH("SCHNEIDER",D212)),_xlfn.IFS(ISNUMBER(SEARCH("2 Querétaro",D212)),"SQ2",ISNUMBER(SEARCH("Xicohténcatl",D212)),"SXC",ISNUMBER(SEARCH("Rojo Gómez",D212)),"SRG",ISNUMBER(SEARCH("Tlaxcala",D212)),"STX",ISNUMBER(SEARCH("Monterrey",D212)),"SMY",ISNUMBER(SEARCH("Querétaro",D212)),"SQ1",ISNUMBER(SEARCH("CDMX",D212)),"SCM",TRUE,""),"")</f>
        <v/>
      </c>
      <c r="U212" s="48" t="str" cm="1">
        <f t="array" ref="U212">_xlfn.LET(_xlpm.resultados,_xlfn.UNIQUE(_xlfn._xlws.FILTER(Tabla1[Proceso],(Tabla1[Metal Base]=O212)*(Tabla1[Etiquetas]=_xlfn.TEXTJOIN(" + ",TRUE,IF((TRIM(Upload!P212:S212)="")+(LOWER(TRIM(Upload!P212:S212))="(seleccione)"),"",PROPER(TRIM(Upload!P212:S212)))))*(Tabla1[Línea2]=IFERROR(VLOOKUP(Upload!N212&amp;"*",CAT_Procesos!D:D,1,FALSE),"")))),_xlpm.cantidad,ROWS(_xlpm.resultados),IF(ISERROR(_xlpm.cantidad),"Combinación no existente",IF(_xlpm.cantidad=1,INDEX(_xlpm.resultados,1),"(seleccione)")))</f>
        <v>Combinación no existente</v>
      </c>
      <c r="V212" s="55" t="s">
        <v>73</v>
      </c>
      <c r="W212" s="56" t="s">
        <v>73</v>
      </c>
      <c r="X212" s="57" t="str">
        <f t="shared" si="12"/>
        <v/>
      </c>
      <c r="Y212" s="58" t="s">
        <v>73</v>
      </c>
      <c r="Z212" s="57" t="str">
        <f t="shared" si="13"/>
        <v/>
      </c>
      <c r="AA212" s="58" t="s">
        <v>73</v>
      </c>
      <c r="AB212" s="57" t="str">
        <f t="shared" si="14"/>
        <v/>
      </c>
      <c r="AC212" s="58" t="s">
        <v>73</v>
      </c>
      <c r="AD212" s="57" t="str">
        <f t="shared" si="15"/>
        <v/>
      </c>
      <c r="AE212" s="59"/>
      <c r="AF212" s="59"/>
      <c r="AG212" s="59"/>
      <c r="AH212" s="59"/>
      <c r="AI212" s="59" t="s">
        <v>73</v>
      </c>
      <c r="AJ212" s="59"/>
      <c r="AK212" s="59" t="s">
        <v>73</v>
      </c>
      <c r="AL212" s="59"/>
      <c r="AM212" s="59" t="s">
        <v>73</v>
      </c>
      <c r="AN212" s="59"/>
      <c r="AO212" s="59" t="s">
        <v>73</v>
      </c>
      <c r="AP212" s="59"/>
      <c r="AQ212" s="59" t="s">
        <v>73</v>
      </c>
      <c r="AR212" s="59"/>
      <c r="AS212" s="59" t="s">
        <v>72</v>
      </c>
      <c r="AT212" s="59"/>
      <c r="AU212" s="59"/>
      <c r="AV212" s="59"/>
      <c r="AW212" s="59"/>
      <c r="AX212" s="59"/>
      <c r="AY212" s="60" t="str">
        <f>IF('Cálculo MP'!K222="","",'Cálculo MP'!K222)</f>
        <v/>
      </c>
      <c r="AZ212" s="60" t="str">
        <f>IF('Cálculo MP'!L222="","",'Cálculo MP'!L222)</f>
        <v/>
      </c>
      <c r="BA212" s="60" t="str">
        <f>IF('Cálculo MP'!M222="","",'Cálculo MP'!M222)</f>
        <v/>
      </c>
      <c r="BB212" s="60" t="str">
        <f>IF('Cálculo MP'!N222="","",'Cálculo MP'!N222)</f>
        <v/>
      </c>
      <c r="BC212" s="60" t="str">
        <f>IF('Cálculo MP'!O222="","",'Cálculo MP'!O222)</f>
        <v/>
      </c>
      <c r="BD212" s="60" t="str">
        <f>IF('Cálculo MP'!P222="","",'Cálculo MP'!P222)</f>
        <v/>
      </c>
      <c r="BE212" s="60" t="str">
        <f>IF('Cálculo MP'!Q222="","",'Cálculo MP'!Q222)</f>
        <v/>
      </c>
      <c r="BF212" s="60" t="str">
        <f>IF('Cálculo MP'!R222="","",'Cálculo MP'!R222)</f>
        <v/>
      </c>
      <c r="BG212" s="60" t="str">
        <f>IF('Cálculo MP'!S222="","",'Cálculo MP'!S222)</f>
        <v/>
      </c>
      <c r="BH212" s="59"/>
      <c r="BI212" s="59"/>
      <c r="BJ212" s="59"/>
      <c r="BK212" s="59"/>
      <c r="BL212" s="59"/>
      <c r="BM212" s="59"/>
      <c r="BN212" s="59"/>
      <c r="BO212" s="59"/>
    </row>
    <row r="213" spans="1:67" ht="19.5" customHeight="1" x14ac:dyDescent="0.2">
      <c r="A213" s="114" t="s">
        <v>1789</v>
      </c>
      <c r="B213" s="113" t="s">
        <v>1787</v>
      </c>
      <c r="C213" s="122"/>
      <c r="D213" s="48" t="s">
        <v>73</v>
      </c>
      <c r="E213" s="49"/>
      <c r="F213" s="50"/>
      <c r="G213" s="62"/>
      <c r="H213" s="48" t="s">
        <v>72</v>
      </c>
      <c r="I213" s="52">
        <v>1</v>
      </c>
      <c r="J213" s="52"/>
      <c r="K213" s="52" t="s">
        <v>73</v>
      </c>
      <c r="L213" s="52" t="s">
        <v>74</v>
      </c>
      <c r="M213" s="53" t="s">
        <v>917</v>
      </c>
      <c r="N213" s="58" t="s">
        <v>73</v>
      </c>
      <c r="O213" s="48" t="s">
        <v>72</v>
      </c>
      <c r="P213" s="48" t="s">
        <v>73</v>
      </c>
      <c r="Q213" s="54" t="s">
        <v>73</v>
      </c>
      <c r="R213" s="55" t="s">
        <v>73</v>
      </c>
      <c r="S213" s="48" t="s">
        <v>73</v>
      </c>
      <c r="T213" s="121" t="str" cm="1">
        <f t="array" ref="T213">IF(ISNUMBER(SEARCH("SCHNEIDER",D213)),_xlfn.IFS(ISNUMBER(SEARCH("2 Querétaro",D213)),"SQ2",ISNUMBER(SEARCH("Xicohténcatl",D213)),"SXC",ISNUMBER(SEARCH("Rojo Gómez",D213)),"SRG",ISNUMBER(SEARCH("Tlaxcala",D213)),"STX",ISNUMBER(SEARCH("Monterrey",D213)),"SMY",ISNUMBER(SEARCH("Querétaro",D213)),"SQ1",ISNUMBER(SEARCH("CDMX",D213)),"SCM",TRUE,""),"")</f>
        <v/>
      </c>
      <c r="U213" s="48" t="str" cm="1">
        <f t="array" ref="U213">_xlfn.LET(_xlpm.resultados,_xlfn.UNIQUE(_xlfn._xlws.FILTER(Tabla1[Proceso],(Tabla1[Metal Base]=O213)*(Tabla1[Etiquetas]=_xlfn.TEXTJOIN(" + ",TRUE,IF((TRIM(Upload!P213:S213)="")+(LOWER(TRIM(Upload!P213:S213))="(seleccione)"),"",PROPER(TRIM(Upload!P213:S213)))))*(Tabla1[Línea2]=IFERROR(VLOOKUP(Upload!N213&amp;"*",CAT_Procesos!D:D,1,FALSE),"")))),_xlpm.cantidad,ROWS(_xlpm.resultados),IF(ISERROR(_xlpm.cantidad),"Combinación no existente",IF(_xlpm.cantidad=1,INDEX(_xlpm.resultados,1),"(seleccione)")))</f>
        <v>Combinación no existente</v>
      </c>
      <c r="V213" s="55" t="s">
        <v>73</v>
      </c>
      <c r="W213" s="56" t="s">
        <v>73</v>
      </c>
      <c r="X213" s="57" t="str">
        <f t="shared" si="12"/>
        <v/>
      </c>
      <c r="Y213" s="58" t="s">
        <v>73</v>
      </c>
      <c r="Z213" s="57" t="str">
        <f t="shared" si="13"/>
        <v/>
      </c>
      <c r="AA213" s="58" t="s">
        <v>73</v>
      </c>
      <c r="AB213" s="57" t="str">
        <f t="shared" si="14"/>
        <v/>
      </c>
      <c r="AC213" s="58" t="s">
        <v>73</v>
      </c>
      <c r="AD213" s="57" t="str">
        <f t="shared" si="15"/>
        <v/>
      </c>
      <c r="AE213" s="59"/>
      <c r="AF213" s="59"/>
      <c r="AG213" s="59"/>
      <c r="AH213" s="59"/>
      <c r="AI213" s="59" t="s">
        <v>73</v>
      </c>
      <c r="AJ213" s="59"/>
      <c r="AK213" s="59" t="s">
        <v>73</v>
      </c>
      <c r="AL213" s="59"/>
      <c r="AM213" s="59" t="s">
        <v>73</v>
      </c>
      <c r="AN213" s="59"/>
      <c r="AO213" s="59" t="s">
        <v>73</v>
      </c>
      <c r="AP213" s="59"/>
      <c r="AQ213" s="59" t="s">
        <v>73</v>
      </c>
      <c r="AR213" s="59"/>
      <c r="AS213" s="59" t="s">
        <v>72</v>
      </c>
      <c r="AT213" s="59"/>
      <c r="AU213" s="59"/>
      <c r="AV213" s="59"/>
      <c r="AW213" s="59"/>
      <c r="AX213" s="59"/>
      <c r="AY213" s="60" t="str">
        <f>IF('Cálculo MP'!K223="","",'Cálculo MP'!K223)</f>
        <v/>
      </c>
      <c r="AZ213" s="60" t="str">
        <f>IF('Cálculo MP'!L223="","",'Cálculo MP'!L223)</f>
        <v/>
      </c>
      <c r="BA213" s="60" t="str">
        <f>IF('Cálculo MP'!M223="","",'Cálculo MP'!M223)</f>
        <v/>
      </c>
      <c r="BB213" s="60" t="str">
        <f>IF('Cálculo MP'!N223="","",'Cálculo MP'!N223)</f>
        <v/>
      </c>
      <c r="BC213" s="60" t="str">
        <f>IF('Cálculo MP'!O223="","",'Cálculo MP'!O223)</f>
        <v/>
      </c>
      <c r="BD213" s="60" t="str">
        <f>IF('Cálculo MP'!P223="","",'Cálculo MP'!P223)</f>
        <v/>
      </c>
      <c r="BE213" s="60" t="str">
        <f>IF('Cálculo MP'!Q223="","",'Cálculo MP'!Q223)</f>
        <v/>
      </c>
      <c r="BF213" s="60" t="str">
        <f>IF('Cálculo MP'!R223="","",'Cálculo MP'!R223)</f>
        <v/>
      </c>
      <c r="BG213" s="60" t="str">
        <f>IF('Cálculo MP'!S223="","",'Cálculo MP'!S223)</f>
        <v/>
      </c>
      <c r="BH213" s="59"/>
      <c r="BI213" s="59"/>
      <c r="BJ213" s="59"/>
      <c r="BK213" s="59"/>
      <c r="BL213" s="59"/>
      <c r="BM213" s="59"/>
      <c r="BN213" s="59"/>
      <c r="BO213" s="59"/>
    </row>
    <row r="214" spans="1:67" ht="19.5" customHeight="1" x14ac:dyDescent="0.2">
      <c r="A214" s="114" t="s">
        <v>1789</v>
      </c>
      <c r="B214" s="113" t="s">
        <v>1787</v>
      </c>
      <c r="C214" s="122"/>
      <c r="D214" s="48" t="s">
        <v>73</v>
      </c>
      <c r="E214" s="49"/>
      <c r="F214" s="50"/>
      <c r="G214" s="62"/>
      <c r="H214" s="48" t="s">
        <v>72</v>
      </c>
      <c r="I214" s="52">
        <v>1</v>
      </c>
      <c r="J214" s="52"/>
      <c r="K214" s="52" t="s">
        <v>73</v>
      </c>
      <c r="L214" s="52" t="s">
        <v>74</v>
      </c>
      <c r="M214" s="53" t="s">
        <v>917</v>
      </c>
      <c r="N214" s="58" t="s">
        <v>73</v>
      </c>
      <c r="O214" s="48" t="s">
        <v>72</v>
      </c>
      <c r="P214" s="48" t="s">
        <v>73</v>
      </c>
      <c r="Q214" s="54" t="s">
        <v>73</v>
      </c>
      <c r="R214" s="55" t="s">
        <v>73</v>
      </c>
      <c r="S214" s="48" t="s">
        <v>73</v>
      </c>
      <c r="T214" s="121" t="str" cm="1">
        <f t="array" ref="T214">IF(ISNUMBER(SEARCH("SCHNEIDER",D214)),_xlfn.IFS(ISNUMBER(SEARCH("2 Querétaro",D214)),"SQ2",ISNUMBER(SEARCH("Xicohténcatl",D214)),"SXC",ISNUMBER(SEARCH("Rojo Gómez",D214)),"SRG",ISNUMBER(SEARCH("Tlaxcala",D214)),"STX",ISNUMBER(SEARCH("Monterrey",D214)),"SMY",ISNUMBER(SEARCH("Querétaro",D214)),"SQ1",ISNUMBER(SEARCH("CDMX",D214)),"SCM",TRUE,""),"")</f>
        <v/>
      </c>
      <c r="U214" s="48" t="str" cm="1">
        <f t="array" ref="U214">_xlfn.LET(_xlpm.resultados,_xlfn.UNIQUE(_xlfn._xlws.FILTER(Tabla1[Proceso],(Tabla1[Metal Base]=O214)*(Tabla1[Etiquetas]=_xlfn.TEXTJOIN(" + ",TRUE,IF((TRIM(Upload!P214:S214)="")+(LOWER(TRIM(Upload!P214:S214))="(seleccione)"),"",PROPER(TRIM(Upload!P214:S214)))))*(Tabla1[Línea2]=IFERROR(VLOOKUP(Upload!N214&amp;"*",CAT_Procesos!D:D,1,FALSE),"")))),_xlpm.cantidad,ROWS(_xlpm.resultados),IF(ISERROR(_xlpm.cantidad),"Combinación no existente",IF(_xlpm.cantidad=1,INDEX(_xlpm.resultados,1),"(seleccione)")))</f>
        <v>Combinación no existente</v>
      </c>
      <c r="V214" s="55" t="s">
        <v>73</v>
      </c>
      <c r="W214" s="56" t="s">
        <v>73</v>
      </c>
      <c r="X214" s="57" t="str">
        <f t="shared" si="12"/>
        <v/>
      </c>
      <c r="Y214" s="58" t="s">
        <v>73</v>
      </c>
      <c r="Z214" s="57" t="str">
        <f t="shared" si="13"/>
        <v/>
      </c>
      <c r="AA214" s="58" t="s">
        <v>73</v>
      </c>
      <c r="AB214" s="57" t="str">
        <f t="shared" si="14"/>
        <v/>
      </c>
      <c r="AC214" s="58" t="s">
        <v>73</v>
      </c>
      <c r="AD214" s="57" t="str">
        <f t="shared" si="15"/>
        <v/>
      </c>
      <c r="AE214" s="59"/>
      <c r="AF214" s="59"/>
      <c r="AG214" s="59"/>
      <c r="AH214" s="59"/>
      <c r="AI214" s="59" t="s">
        <v>73</v>
      </c>
      <c r="AJ214" s="59"/>
      <c r="AK214" s="59" t="s">
        <v>73</v>
      </c>
      <c r="AL214" s="59"/>
      <c r="AM214" s="59" t="s">
        <v>73</v>
      </c>
      <c r="AN214" s="59"/>
      <c r="AO214" s="59" t="s">
        <v>73</v>
      </c>
      <c r="AP214" s="59"/>
      <c r="AQ214" s="59" t="s">
        <v>73</v>
      </c>
      <c r="AR214" s="59"/>
      <c r="AS214" s="59" t="s">
        <v>72</v>
      </c>
      <c r="AT214" s="59"/>
      <c r="AU214" s="59"/>
      <c r="AV214" s="59"/>
      <c r="AW214" s="59"/>
      <c r="AX214" s="59"/>
      <c r="AY214" s="60" t="str">
        <f>IF('Cálculo MP'!K224="","",'Cálculo MP'!K224)</f>
        <v/>
      </c>
      <c r="AZ214" s="60" t="str">
        <f>IF('Cálculo MP'!L224="","",'Cálculo MP'!L224)</f>
        <v/>
      </c>
      <c r="BA214" s="60" t="str">
        <f>IF('Cálculo MP'!M224="","",'Cálculo MP'!M224)</f>
        <v/>
      </c>
      <c r="BB214" s="60" t="str">
        <f>IF('Cálculo MP'!N224="","",'Cálculo MP'!N224)</f>
        <v/>
      </c>
      <c r="BC214" s="60" t="str">
        <f>IF('Cálculo MP'!O224="","",'Cálculo MP'!O224)</f>
        <v/>
      </c>
      <c r="BD214" s="60" t="str">
        <f>IF('Cálculo MP'!P224="","",'Cálculo MP'!P224)</f>
        <v/>
      </c>
      <c r="BE214" s="60" t="str">
        <f>IF('Cálculo MP'!Q224="","",'Cálculo MP'!Q224)</f>
        <v/>
      </c>
      <c r="BF214" s="60" t="str">
        <f>IF('Cálculo MP'!R224="","",'Cálculo MP'!R224)</f>
        <v/>
      </c>
      <c r="BG214" s="60" t="str">
        <f>IF('Cálculo MP'!S224="","",'Cálculo MP'!S224)</f>
        <v/>
      </c>
      <c r="BH214" s="59"/>
      <c r="BI214" s="59"/>
      <c r="BJ214" s="59"/>
      <c r="BK214" s="59"/>
      <c r="BL214" s="59"/>
      <c r="BM214" s="59"/>
      <c r="BN214" s="59"/>
      <c r="BO214" s="59"/>
    </row>
    <row r="215" spans="1:67" ht="19.5" customHeight="1" x14ac:dyDescent="0.2">
      <c r="A215" s="114" t="s">
        <v>1789</v>
      </c>
      <c r="B215" s="113" t="s">
        <v>1787</v>
      </c>
      <c r="C215" s="122"/>
      <c r="D215" s="48" t="s">
        <v>73</v>
      </c>
      <c r="E215" s="49"/>
      <c r="F215" s="50"/>
      <c r="G215" s="62"/>
      <c r="H215" s="48" t="s">
        <v>72</v>
      </c>
      <c r="I215" s="52">
        <v>1</v>
      </c>
      <c r="J215" s="52"/>
      <c r="K215" s="52" t="s">
        <v>73</v>
      </c>
      <c r="L215" s="52" t="s">
        <v>74</v>
      </c>
      <c r="M215" s="53" t="s">
        <v>917</v>
      </c>
      <c r="N215" s="58" t="s">
        <v>73</v>
      </c>
      <c r="O215" s="48" t="s">
        <v>72</v>
      </c>
      <c r="P215" s="48" t="s">
        <v>73</v>
      </c>
      <c r="Q215" s="54" t="s">
        <v>73</v>
      </c>
      <c r="R215" s="55" t="s">
        <v>73</v>
      </c>
      <c r="S215" s="48" t="s">
        <v>73</v>
      </c>
      <c r="T215" s="121" t="str" cm="1">
        <f t="array" ref="T215">IF(ISNUMBER(SEARCH("SCHNEIDER",D215)),_xlfn.IFS(ISNUMBER(SEARCH("2 Querétaro",D215)),"SQ2",ISNUMBER(SEARCH("Xicohténcatl",D215)),"SXC",ISNUMBER(SEARCH("Rojo Gómez",D215)),"SRG",ISNUMBER(SEARCH("Tlaxcala",D215)),"STX",ISNUMBER(SEARCH("Monterrey",D215)),"SMY",ISNUMBER(SEARCH("Querétaro",D215)),"SQ1",ISNUMBER(SEARCH("CDMX",D215)),"SCM",TRUE,""),"")</f>
        <v/>
      </c>
      <c r="U215" s="48" t="str" cm="1">
        <f t="array" ref="U215">_xlfn.LET(_xlpm.resultados,_xlfn.UNIQUE(_xlfn._xlws.FILTER(Tabla1[Proceso],(Tabla1[Metal Base]=O215)*(Tabla1[Etiquetas]=_xlfn.TEXTJOIN(" + ",TRUE,IF((TRIM(Upload!P215:S215)="")+(LOWER(TRIM(Upload!P215:S215))="(seleccione)"),"",PROPER(TRIM(Upload!P215:S215)))))*(Tabla1[Línea2]=IFERROR(VLOOKUP(Upload!N215&amp;"*",CAT_Procesos!D:D,1,FALSE),"")))),_xlpm.cantidad,ROWS(_xlpm.resultados),IF(ISERROR(_xlpm.cantidad),"Combinación no existente",IF(_xlpm.cantidad=1,INDEX(_xlpm.resultados,1),"(seleccione)")))</f>
        <v>Combinación no existente</v>
      </c>
      <c r="V215" s="55" t="s">
        <v>73</v>
      </c>
      <c r="W215" s="56" t="s">
        <v>73</v>
      </c>
      <c r="X215" s="57" t="str">
        <f t="shared" si="12"/>
        <v/>
      </c>
      <c r="Y215" s="58" t="s">
        <v>73</v>
      </c>
      <c r="Z215" s="57" t="str">
        <f t="shared" si="13"/>
        <v/>
      </c>
      <c r="AA215" s="58" t="s">
        <v>73</v>
      </c>
      <c r="AB215" s="57" t="str">
        <f t="shared" si="14"/>
        <v/>
      </c>
      <c r="AC215" s="58" t="s">
        <v>73</v>
      </c>
      <c r="AD215" s="57" t="str">
        <f t="shared" si="15"/>
        <v/>
      </c>
      <c r="AE215" s="59"/>
      <c r="AF215" s="59"/>
      <c r="AG215" s="59"/>
      <c r="AH215" s="59"/>
      <c r="AI215" s="59" t="s">
        <v>73</v>
      </c>
      <c r="AJ215" s="59"/>
      <c r="AK215" s="59" t="s">
        <v>73</v>
      </c>
      <c r="AL215" s="59"/>
      <c r="AM215" s="59" t="s">
        <v>73</v>
      </c>
      <c r="AN215" s="59"/>
      <c r="AO215" s="59" t="s">
        <v>73</v>
      </c>
      <c r="AP215" s="59"/>
      <c r="AQ215" s="59" t="s">
        <v>73</v>
      </c>
      <c r="AR215" s="59"/>
      <c r="AS215" s="59" t="s">
        <v>72</v>
      </c>
      <c r="AT215" s="59"/>
      <c r="AU215" s="59"/>
      <c r="AV215" s="59"/>
      <c r="AW215" s="59"/>
      <c r="AX215" s="59"/>
      <c r="AY215" s="60" t="str">
        <f>IF('Cálculo MP'!K225="","",'Cálculo MP'!K225)</f>
        <v/>
      </c>
      <c r="AZ215" s="60" t="str">
        <f>IF('Cálculo MP'!L225="","",'Cálculo MP'!L225)</f>
        <v/>
      </c>
      <c r="BA215" s="60" t="str">
        <f>IF('Cálculo MP'!M225="","",'Cálculo MP'!M225)</f>
        <v/>
      </c>
      <c r="BB215" s="60" t="str">
        <f>IF('Cálculo MP'!N225="","",'Cálculo MP'!N225)</f>
        <v/>
      </c>
      <c r="BC215" s="60" t="str">
        <f>IF('Cálculo MP'!O225="","",'Cálculo MP'!O225)</f>
        <v/>
      </c>
      <c r="BD215" s="60" t="str">
        <f>IF('Cálculo MP'!P225="","",'Cálculo MP'!P225)</f>
        <v/>
      </c>
      <c r="BE215" s="60" t="str">
        <f>IF('Cálculo MP'!Q225="","",'Cálculo MP'!Q225)</f>
        <v/>
      </c>
      <c r="BF215" s="60" t="str">
        <f>IF('Cálculo MP'!R225="","",'Cálculo MP'!R225)</f>
        <v/>
      </c>
      <c r="BG215" s="60" t="str">
        <f>IF('Cálculo MP'!S225="","",'Cálculo MP'!S225)</f>
        <v/>
      </c>
      <c r="BH215" s="59"/>
      <c r="BI215" s="59"/>
      <c r="BJ215" s="59"/>
      <c r="BK215" s="59"/>
      <c r="BL215" s="59"/>
      <c r="BM215" s="59"/>
      <c r="BN215" s="59"/>
      <c r="BO215" s="59"/>
    </row>
    <row r="216" spans="1:67" ht="19.5" customHeight="1" x14ac:dyDescent="0.2">
      <c r="A216" s="114" t="s">
        <v>1789</v>
      </c>
      <c r="B216" s="113" t="s">
        <v>1787</v>
      </c>
      <c r="C216" s="122"/>
      <c r="D216" s="48" t="s">
        <v>73</v>
      </c>
      <c r="E216" s="49"/>
      <c r="F216" s="50"/>
      <c r="G216" s="62"/>
      <c r="H216" s="48" t="s">
        <v>72</v>
      </c>
      <c r="I216" s="52">
        <v>1</v>
      </c>
      <c r="J216" s="52"/>
      <c r="K216" s="52" t="s">
        <v>73</v>
      </c>
      <c r="L216" s="52" t="s">
        <v>74</v>
      </c>
      <c r="M216" s="53" t="s">
        <v>917</v>
      </c>
      <c r="N216" s="58" t="s">
        <v>73</v>
      </c>
      <c r="O216" s="48" t="s">
        <v>72</v>
      </c>
      <c r="P216" s="48" t="s">
        <v>73</v>
      </c>
      <c r="Q216" s="54" t="s">
        <v>73</v>
      </c>
      <c r="R216" s="55" t="s">
        <v>73</v>
      </c>
      <c r="S216" s="48" t="s">
        <v>73</v>
      </c>
      <c r="T216" s="121" t="str" cm="1">
        <f t="array" ref="T216">IF(ISNUMBER(SEARCH("SCHNEIDER",D216)),_xlfn.IFS(ISNUMBER(SEARCH("2 Querétaro",D216)),"SQ2",ISNUMBER(SEARCH("Xicohténcatl",D216)),"SXC",ISNUMBER(SEARCH("Rojo Gómez",D216)),"SRG",ISNUMBER(SEARCH("Tlaxcala",D216)),"STX",ISNUMBER(SEARCH("Monterrey",D216)),"SMY",ISNUMBER(SEARCH("Querétaro",D216)),"SQ1",ISNUMBER(SEARCH("CDMX",D216)),"SCM",TRUE,""),"")</f>
        <v/>
      </c>
      <c r="U216" s="48" t="str" cm="1">
        <f t="array" ref="U216">_xlfn.LET(_xlpm.resultados,_xlfn.UNIQUE(_xlfn._xlws.FILTER(Tabla1[Proceso],(Tabla1[Metal Base]=O216)*(Tabla1[Etiquetas]=_xlfn.TEXTJOIN(" + ",TRUE,IF((TRIM(Upload!P216:S216)="")+(LOWER(TRIM(Upload!P216:S216))="(seleccione)"),"",PROPER(TRIM(Upload!P216:S216)))))*(Tabla1[Línea2]=IFERROR(VLOOKUP(Upload!N216&amp;"*",CAT_Procesos!D:D,1,FALSE),"")))),_xlpm.cantidad,ROWS(_xlpm.resultados),IF(ISERROR(_xlpm.cantidad),"Combinación no existente",IF(_xlpm.cantidad=1,INDEX(_xlpm.resultados,1),"(seleccione)")))</f>
        <v>Combinación no existente</v>
      </c>
      <c r="V216" s="55" t="s">
        <v>73</v>
      </c>
      <c r="W216" s="56" t="s">
        <v>73</v>
      </c>
      <c r="X216" s="57" t="str">
        <f t="shared" si="12"/>
        <v/>
      </c>
      <c r="Y216" s="58" t="s">
        <v>73</v>
      </c>
      <c r="Z216" s="57" t="str">
        <f t="shared" si="13"/>
        <v/>
      </c>
      <c r="AA216" s="58" t="s">
        <v>73</v>
      </c>
      <c r="AB216" s="57" t="str">
        <f t="shared" si="14"/>
        <v/>
      </c>
      <c r="AC216" s="58" t="s">
        <v>73</v>
      </c>
      <c r="AD216" s="57" t="str">
        <f t="shared" si="15"/>
        <v/>
      </c>
      <c r="AE216" s="59"/>
      <c r="AF216" s="59"/>
      <c r="AG216" s="59"/>
      <c r="AH216" s="59"/>
      <c r="AI216" s="59" t="s">
        <v>73</v>
      </c>
      <c r="AJ216" s="59"/>
      <c r="AK216" s="59" t="s">
        <v>73</v>
      </c>
      <c r="AL216" s="59"/>
      <c r="AM216" s="59" t="s">
        <v>73</v>
      </c>
      <c r="AN216" s="59"/>
      <c r="AO216" s="59" t="s">
        <v>73</v>
      </c>
      <c r="AP216" s="59"/>
      <c r="AQ216" s="59" t="s">
        <v>73</v>
      </c>
      <c r="AR216" s="59"/>
      <c r="AS216" s="59" t="s">
        <v>72</v>
      </c>
      <c r="AT216" s="59"/>
      <c r="AU216" s="59"/>
      <c r="AV216" s="59"/>
      <c r="AW216" s="59"/>
      <c r="AX216" s="59"/>
      <c r="AY216" s="60" t="str">
        <f>IF('Cálculo MP'!K226="","",'Cálculo MP'!K226)</f>
        <v/>
      </c>
      <c r="AZ216" s="60" t="str">
        <f>IF('Cálculo MP'!L226="","",'Cálculo MP'!L226)</f>
        <v/>
      </c>
      <c r="BA216" s="60" t="str">
        <f>IF('Cálculo MP'!M226="","",'Cálculo MP'!M226)</f>
        <v/>
      </c>
      <c r="BB216" s="60" t="str">
        <f>IF('Cálculo MP'!N226="","",'Cálculo MP'!N226)</f>
        <v/>
      </c>
      <c r="BC216" s="60" t="str">
        <f>IF('Cálculo MP'!O226="","",'Cálculo MP'!O226)</f>
        <v/>
      </c>
      <c r="BD216" s="60" t="str">
        <f>IF('Cálculo MP'!P226="","",'Cálculo MP'!P226)</f>
        <v/>
      </c>
      <c r="BE216" s="60" t="str">
        <f>IF('Cálculo MP'!Q226="","",'Cálculo MP'!Q226)</f>
        <v/>
      </c>
      <c r="BF216" s="60" t="str">
        <f>IF('Cálculo MP'!R226="","",'Cálculo MP'!R226)</f>
        <v/>
      </c>
      <c r="BG216" s="60" t="str">
        <f>IF('Cálculo MP'!S226="","",'Cálculo MP'!S226)</f>
        <v/>
      </c>
      <c r="BH216" s="59"/>
      <c r="BI216" s="59"/>
      <c r="BJ216" s="59"/>
      <c r="BK216" s="59"/>
      <c r="BL216" s="59"/>
      <c r="BM216" s="59"/>
      <c r="BN216" s="59"/>
      <c r="BO216" s="59"/>
    </row>
    <row r="217" spans="1:67" ht="19.5" customHeight="1" x14ac:dyDescent="0.2">
      <c r="A217" s="114" t="s">
        <v>1789</v>
      </c>
      <c r="B217" s="113" t="s">
        <v>1787</v>
      </c>
      <c r="C217" s="122"/>
      <c r="D217" s="48" t="s">
        <v>73</v>
      </c>
      <c r="E217" s="49"/>
      <c r="F217" s="50"/>
      <c r="G217" s="62"/>
      <c r="H217" s="48" t="s">
        <v>72</v>
      </c>
      <c r="I217" s="52">
        <v>1</v>
      </c>
      <c r="J217" s="52"/>
      <c r="K217" s="52" t="s">
        <v>73</v>
      </c>
      <c r="L217" s="52" t="s">
        <v>74</v>
      </c>
      <c r="M217" s="53" t="s">
        <v>917</v>
      </c>
      <c r="N217" s="58" t="s">
        <v>73</v>
      </c>
      <c r="O217" s="48" t="s">
        <v>72</v>
      </c>
      <c r="P217" s="48" t="s">
        <v>73</v>
      </c>
      <c r="Q217" s="54" t="s">
        <v>73</v>
      </c>
      <c r="R217" s="55" t="s">
        <v>73</v>
      </c>
      <c r="S217" s="48" t="s">
        <v>73</v>
      </c>
      <c r="T217" s="121" t="str" cm="1">
        <f t="array" ref="T217">IF(ISNUMBER(SEARCH("SCHNEIDER",D217)),_xlfn.IFS(ISNUMBER(SEARCH("2 Querétaro",D217)),"SQ2",ISNUMBER(SEARCH("Xicohténcatl",D217)),"SXC",ISNUMBER(SEARCH("Rojo Gómez",D217)),"SRG",ISNUMBER(SEARCH("Tlaxcala",D217)),"STX",ISNUMBER(SEARCH("Monterrey",D217)),"SMY",ISNUMBER(SEARCH("Querétaro",D217)),"SQ1",ISNUMBER(SEARCH("CDMX",D217)),"SCM",TRUE,""),"")</f>
        <v/>
      </c>
      <c r="U217" s="48" t="str" cm="1">
        <f t="array" ref="U217">_xlfn.LET(_xlpm.resultados,_xlfn.UNIQUE(_xlfn._xlws.FILTER(Tabla1[Proceso],(Tabla1[Metal Base]=O217)*(Tabla1[Etiquetas]=_xlfn.TEXTJOIN(" + ",TRUE,IF((TRIM(Upload!P217:S217)="")+(LOWER(TRIM(Upload!P217:S217))="(seleccione)"),"",PROPER(TRIM(Upload!P217:S217)))))*(Tabla1[Línea2]=IFERROR(VLOOKUP(Upload!N217&amp;"*",CAT_Procesos!D:D,1,FALSE),"")))),_xlpm.cantidad,ROWS(_xlpm.resultados),IF(ISERROR(_xlpm.cantidad),"Combinación no existente",IF(_xlpm.cantidad=1,INDEX(_xlpm.resultados,1),"(seleccione)")))</f>
        <v>Combinación no existente</v>
      </c>
      <c r="V217" s="55" t="s">
        <v>73</v>
      </c>
      <c r="W217" s="56" t="s">
        <v>73</v>
      </c>
      <c r="X217" s="57" t="str">
        <f t="shared" si="12"/>
        <v/>
      </c>
      <c r="Y217" s="58" t="s">
        <v>73</v>
      </c>
      <c r="Z217" s="57" t="str">
        <f t="shared" si="13"/>
        <v/>
      </c>
      <c r="AA217" s="58" t="s">
        <v>73</v>
      </c>
      <c r="AB217" s="57" t="str">
        <f t="shared" si="14"/>
        <v/>
      </c>
      <c r="AC217" s="58" t="s">
        <v>73</v>
      </c>
      <c r="AD217" s="57" t="str">
        <f t="shared" si="15"/>
        <v/>
      </c>
      <c r="AE217" s="59"/>
      <c r="AF217" s="59"/>
      <c r="AG217" s="59"/>
      <c r="AH217" s="59"/>
      <c r="AI217" s="59" t="s">
        <v>73</v>
      </c>
      <c r="AJ217" s="59"/>
      <c r="AK217" s="59" t="s">
        <v>73</v>
      </c>
      <c r="AL217" s="59"/>
      <c r="AM217" s="59" t="s">
        <v>73</v>
      </c>
      <c r="AN217" s="59"/>
      <c r="AO217" s="59" t="s">
        <v>73</v>
      </c>
      <c r="AP217" s="59"/>
      <c r="AQ217" s="59" t="s">
        <v>73</v>
      </c>
      <c r="AR217" s="59"/>
      <c r="AS217" s="59" t="s">
        <v>72</v>
      </c>
      <c r="AT217" s="59"/>
      <c r="AU217" s="59"/>
      <c r="AV217" s="59"/>
      <c r="AW217" s="59"/>
      <c r="AX217" s="59"/>
      <c r="AY217" s="60" t="str">
        <f>IF('Cálculo MP'!K227="","",'Cálculo MP'!K227)</f>
        <v/>
      </c>
      <c r="AZ217" s="60" t="str">
        <f>IF('Cálculo MP'!L227="","",'Cálculo MP'!L227)</f>
        <v/>
      </c>
      <c r="BA217" s="60" t="str">
        <f>IF('Cálculo MP'!M227="","",'Cálculo MP'!M227)</f>
        <v/>
      </c>
      <c r="BB217" s="60" t="str">
        <f>IF('Cálculo MP'!N227="","",'Cálculo MP'!N227)</f>
        <v/>
      </c>
      <c r="BC217" s="60" t="str">
        <f>IF('Cálculo MP'!O227="","",'Cálculo MP'!O227)</f>
        <v/>
      </c>
      <c r="BD217" s="60" t="str">
        <f>IF('Cálculo MP'!P227="","",'Cálculo MP'!P227)</f>
        <v/>
      </c>
      <c r="BE217" s="60" t="str">
        <f>IF('Cálculo MP'!Q227="","",'Cálculo MP'!Q227)</f>
        <v/>
      </c>
      <c r="BF217" s="60" t="str">
        <f>IF('Cálculo MP'!R227="","",'Cálculo MP'!R227)</f>
        <v/>
      </c>
      <c r="BG217" s="60" t="str">
        <f>IF('Cálculo MP'!S227="","",'Cálculo MP'!S227)</f>
        <v/>
      </c>
      <c r="BH217" s="59"/>
      <c r="BI217" s="59"/>
      <c r="BJ217" s="59"/>
      <c r="BK217" s="59"/>
      <c r="BL217" s="59"/>
      <c r="BM217" s="59"/>
      <c r="BN217" s="59"/>
      <c r="BO217" s="59"/>
    </row>
    <row r="218" spans="1:67" ht="19.5" customHeight="1" x14ac:dyDescent="0.2">
      <c r="A218" s="114" t="s">
        <v>1789</v>
      </c>
      <c r="B218" s="113" t="s">
        <v>1787</v>
      </c>
      <c r="C218" s="122"/>
      <c r="D218" s="48" t="s">
        <v>73</v>
      </c>
      <c r="E218" s="49"/>
      <c r="F218" s="50"/>
      <c r="G218" s="62"/>
      <c r="H218" s="48" t="s">
        <v>72</v>
      </c>
      <c r="I218" s="52">
        <v>1</v>
      </c>
      <c r="J218" s="52"/>
      <c r="K218" s="52" t="s">
        <v>73</v>
      </c>
      <c r="L218" s="52" t="s">
        <v>74</v>
      </c>
      <c r="M218" s="53" t="s">
        <v>917</v>
      </c>
      <c r="N218" s="58" t="s">
        <v>73</v>
      </c>
      <c r="O218" s="48" t="s">
        <v>72</v>
      </c>
      <c r="P218" s="48" t="s">
        <v>73</v>
      </c>
      <c r="Q218" s="54" t="s">
        <v>73</v>
      </c>
      <c r="R218" s="55" t="s">
        <v>73</v>
      </c>
      <c r="S218" s="48" t="s">
        <v>73</v>
      </c>
      <c r="T218" s="121" t="str" cm="1">
        <f t="array" ref="T218">IF(ISNUMBER(SEARCH("SCHNEIDER",D218)),_xlfn.IFS(ISNUMBER(SEARCH("2 Querétaro",D218)),"SQ2",ISNUMBER(SEARCH("Xicohténcatl",D218)),"SXC",ISNUMBER(SEARCH("Rojo Gómez",D218)),"SRG",ISNUMBER(SEARCH("Tlaxcala",D218)),"STX",ISNUMBER(SEARCH("Monterrey",D218)),"SMY",ISNUMBER(SEARCH("Querétaro",D218)),"SQ1",ISNUMBER(SEARCH("CDMX",D218)),"SCM",TRUE,""),"")</f>
        <v/>
      </c>
      <c r="U218" s="48" t="str" cm="1">
        <f t="array" ref="U218">_xlfn.LET(_xlpm.resultados,_xlfn.UNIQUE(_xlfn._xlws.FILTER(Tabla1[Proceso],(Tabla1[Metal Base]=O218)*(Tabla1[Etiquetas]=_xlfn.TEXTJOIN(" + ",TRUE,IF((TRIM(Upload!P218:S218)="")+(LOWER(TRIM(Upload!P218:S218))="(seleccione)"),"",PROPER(TRIM(Upload!P218:S218)))))*(Tabla1[Línea2]=IFERROR(VLOOKUP(Upload!N218&amp;"*",CAT_Procesos!D:D,1,FALSE),"")))),_xlpm.cantidad,ROWS(_xlpm.resultados),IF(ISERROR(_xlpm.cantidad),"Combinación no existente",IF(_xlpm.cantidad=1,INDEX(_xlpm.resultados,1),"(seleccione)")))</f>
        <v>Combinación no existente</v>
      </c>
      <c r="V218" s="55" t="s">
        <v>73</v>
      </c>
      <c r="W218" s="56" t="s">
        <v>73</v>
      </c>
      <c r="X218" s="57" t="str">
        <f t="shared" si="12"/>
        <v/>
      </c>
      <c r="Y218" s="58" t="s">
        <v>73</v>
      </c>
      <c r="Z218" s="57" t="str">
        <f t="shared" si="13"/>
        <v/>
      </c>
      <c r="AA218" s="58" t="s">
        <v>73</v>
      </c>
      <c r="AB218" s="57" t="str">
        <f t="shared" si="14"/>
        <v/>
      </c>
      <c r="AC218" s="58" t="s">
        <v>73</v>
      </c>
      <c r="AD218" s="57" t="str">
        <f t="shared" si="15"/>
        <v/>
      </c>
      <c r="AE218" s="59"/>
      <c r="AF218" s="59"/>
      <c r="AG218" s="59"/>
      <c r="AH218" s="59"/>
      <c r="AI218" s="59" t="s">
        <v>73</v>
      </c>
      <c r="AJ218" s="59"/>
      <c r="AK218" s="59" t="s">
        <v>73</v>
      </c>
      <c r="AL218" s="59"/>
      <c r="AM218" s="59" t="s">
        <v>73</v>
      </c>
      <c r="AN218" s="59"/>
      <c r="AO218" s="59" t="s">
        <v>73</v>
      </c>
      <c r="AP218" s="59"/>
      <c r="AQ218" s="59" t="s">
        <v>73</v>
      </c>
      <c r="AR218" s="59"/>
      <c r="AS218" s="59" t="s">
        <v>72</v>
      </c>
      <c r="AT218" s="59"/>
      <c r="AU218" s="59"/>
      <c r="AV218" s="59"/>
      <c r="AW218" s="59"/>
      <c r="AX218" s="59"/>
      <c r="AY218" s="60" t="str">
        <f>IF('Cálculo MP'!K228="","",'Cálculo MP'!K228)</f>
        <v/>
      </c>
      <c r="AZ218" s="60" t="str">
        <f>IF('Cálculo MP'!L228="","",'Cálculo MP'!L228)</f>
        <v/>
      </c>
      <c r="BA218" s="60" t="str">
        <f>IF('Cálculo MP'!M228="","",'Cálculo MP'!M228)</f>
        <v/>
      </c>
      <c r="BB218" s="60" t="str">
        <f>IF('Cálculo MP'!N228="","",'Cálculo MP'!N228)</f>
        <v/>
      </c>
      <c r="BC218" s="60" t="str">
        <f>IF('Cálculo MP'!O228="","",'Cálculo MP'!O228)</f>
        <v/>
      </c>
      <c r="BD218" s="60" t="str">
        <f>IF('Cálculo MP'!P228="","",'Cálculo MP'!P228)</f>
        <v/>
      </c>
      <c r="BE218" s="60" t="str">
        <f>IF('Cálculo MP'!Q228="","",'Cálculo MP'!Q228)</f>
        <v/>
      </c>
      <c r="BF218" s="60" t="str">
        <f>IF('Cálculo MP'!R228="","",'Cálculo MP'!R228)</f>
        <v/>
      </c>
      <c r="BG218" s="60" t="str">
        <f>IF('Cálculo MP'!S228="","",'Cálculo MP'!S228)</f>
        <v/>
      </c>
      <c r="BH218" s="59"/>
      <c r="BI218" s="59"/>
      <c r="BJ218" s="59"/>
      <c r="BK218" s="59"/>
      <c r="BL218" s="59"/>
      <c r="BM218" s="59"/>
      <c r="BN218" s="59"/>
      <c r="BO218" s="59"/>
    </row>
    <row r="219" spans="1:67" ht="19.5" customHeight="1" x14ac:dyDescent="0.2">
      <c r="A219" s="114" t="s">
        <v>1789</v>
      </c>
      <c r="B219" s="113" t="s">
        <v>1787</v>
      </c>
      <c r="C219" s="122"/>
      <c r="D219" s="48" t="s">
        <v>73</v>
      </c>
      <c r="E219" s="49"/>
      <c r="F219" s="50"/>
      <c r="G219" s="62"/>
      <c r="H219" s="48" t="s">
        <v>72</v>
      </c>
      <c r="I219" s="52">
        <v>1</v>
      </c>
      <c r="J219" s="52"/>
      <c r="K219" s="52" t="s">
        <v>73</v>
      </c>
      <c r="L219" s="52" t="s">
        <v>74</v>
      </c>
      <c r="M219" s="53" t="s">
        <v>917</v>
      </c>
      <c r="N219" s="58" t="s">
        <v>73</v>
      </c>
      <c r="O219" s="48" t="s">
        <v>72</v>
      </c>
      <c r="P219" s="48" t="s">
        <v>73</v>
      </c>
      <c r="Q219" s="54" t="s">
        <v>73</v>
      </c>
      <c r="R219" s="55" t="s">
        <v>73</v>
      </c>
      <c r="S219" s="48" t="s">
        <v>73</v>
      </c>
      <c r="T219" s="121" t="str" cm="1">
        <f t="array" ref="T219">IF(ISNUMBER(SEARCH("SCHNEIDER",D219)),_xlfn.IFS(ISNUMBER(SEARCH("2 Querétaro",D219)),"SQ2",ISNUMBER(SEARCH("Xicohténcatl",D219)),"SXC",ISNUMBER(SEARCH("Rojo Gómez",D219)),"SRG",ISNUMBER(SEARCH("Tlaxcala",D219)),"STX",ISNUMBER(SEARCH("Monterrey",D219)),"SMY",ISNUMBER(SEARCH("Querétaro",D219)),"SQ1",ISNUMBER(SEARCH("CDMX",D219)),"SCM",TRUE,""),"")</f>
        <v/>
      </c>
      <c r="U219" s="48" t="str" cm="1">
        <f t="array" ref="U219">_xlfn.LET(_xlpm.resultados,_xlfn.UNIQUE(_xlfn._xlws.FILTER(Tabla1[Proceso],(Tabla1[Metal Base]=O219)*(Tabla1[Etiquetas]=_xlfn.TEXTJOIN(" + ",TRUE,IF((TRIM(Upload!P219:S219)="")+(LOWER(TRIM(Upload!P219:S219))="(seleccione)"),"",PROPER(TRIM(Upload!P219:S219)))))*(Tabla1[Línea2]=IFERROR(VLOOKUP(Upload!N219&amp;"*",CAT_Procesos!D:D,1,FALSE),"")))),_xlpm.cantidad,ROWS(_xlpm.resultados),IF(ISERROR(_xlpm.cantidad),"Combinación no existente",IF(_xlpm.cantidad=1,INDEX(_xlpm.resultados,1),"(seleccione)")))</f>
        <v>Combinación no existente</v>
      </c>
      <c r="V219" s="55" t="s">
        <v>73</v>
      </c>
      <c r="W219" s="56" t="s">
        <v>73</v>
      </c>
      <c r="X219" s="57" t="str">
        <f t="shared" si="12"/>
        <v/>
      </c>
      <c r="Y219" s="58" t="s">
        <v>73</v>
      </c>
      <c r="Z219" s="57" t="str">
        <f t="shared" si="13"/>
        <v/>
      </c>
      <c r="AA219" s="58" t="s">
        <v>73</v>
      </c>
      <c r="AB219" s="57" t="str">
        <f t="shared" si="14"/>
        <v/>
      </c>
      <c r="AC219" s="58" t="s">
        <v>73</v>
      </c>
      <c r="AD219" s="57" t="str">
        <f t="shared" si="15"/>
        <v/>
      </c>
      <c r="AE219" s="59"/>
      <c r="AF219" s="59"/>
      <c r="AG219" s="59"/>
      <c r="AH219" s="59"/>
      <c r="AI219" s="59" t="s">
        <v>73</v>
      </c>
      <c r="AJ219" s="59"/>
      <c r="AK219" s="59" t="s">
        <v>73</v>
      </c>
      <c r="AL219" s="59"/>
      <c r="AM219" s="59" t="s">
        <v>73</v>
      </c>
      <c r="AN219" s="59"/>
      <c r="AO219" s="59" t="s">
        <v>73</v>
      </c>
      <c r="AP219" s="59"/>
      <c r="AQ219" s="59" t="s">
        <v>73</v>
      </c>
      <c r="AR219" s="59"/>
      <c r="AS219" s="59" t="s">
        <v>72</v>
      </c>
      <c r="AT219" s="59"/>
      <c r="AU219" s="59"/>
      <c r="AV219" s="59"/>
      <c r="AW219" s="59"/>
      <c r="AX219" s="59"/>
      <c r="AY219" s="60" t="str">
        <f>IF('Cálculo MP'!K229="","",'Cálculo MP'!K229)</f>
        <v/>
      </c>
      <c r="AZ219" s="60" t="str">
        <f>IF('Cálculo MP'!L229="","",'Cálculo MP'!L229)</f>
        <v/>
      </c>
      <c r="BA219" s="60" t="str">
        <f>IF('Cálculo MP'!M229="","",'Cálculo MP'!M229)</f>
        <v/>
      </c>
      <c r="BB219" s="60" t="str">
        <f>IF('Cálculo MP'!N229="","",'Cálculo MP'!N229)</f>
        <v/>
      </c>
      <c r="BC219" s="60" t="str">
        <f>IF('Cálculo MP'!O229="","",'Cálculo MP'!O229)</f>
        <v/>
      </c>
      <c r="BD219" s="60" t="str">
        <f>IF('Cálculo MP'!P229="","",'Cálculo MP'!P229)</f>
        <v/>
      </c>
      <c r="BE219" s="60" t="str">
        <f>IF('Cálculo MP'!Q229="","",'Cálculo MP'!Q229)</f>
        <v/>
      </c>
      <c r="BF219" s="60" t="str">
        <f>IF('Cálculo MP'!R229="","",'Cálculo MP'!R229)</f>
        <v/>
      </c>
      <c r="BG219" s="60" t="str">
        <f>IF('Cálculo MP'!S229="","",'Cálculo MP'!S229)</f>
        <v/>
      </c>
      <c r="BH219" s="59"/>
      <c r="BI219" s="59"/>
      <c r="BJ219" s="59"/>
      <c r="BK219" s="59"/>
      <c r="BL219" s="59"/>
      <c r="BM219" s="59"/>
      <c r="BN219" s="59"/>
      <c r="BO219" s="59"/>
    </row>
    <row r="220" spans="1:67" ht="19.5" customHeight="1" x14ac:dyDescent="0.2">
      <c r="A220" s="114" t="s">
        <v>1789</v>
      </c>
      <c r="B220" s="113" t="s">
        <v>1787</v>
      </c>
      <c r="C220" s="122"/>
      <c r="D220" s="48" t="s">
        <v>73</v>
      </c>
      <c r="E220" s="49"/>
      <c r="F220" s="50"/>
      <c r="G220" s="62"/>
      <c r="H220" s="48" t="s">
        <v>72</v>
      </c>
      <c r="I220" s="52">
        <v>1</v>
      </c>
      <c r="J220" s="52"/>
      <c r="K220" s="52" t="s">
        <v>73</v>
      </c>
      <c r="L220" s="52" t="s">
        <v>74</v>
      </c>
      <c r="M220" s="53" t="s">
        <v>917</v>
      </c>
      <c r="N220" s="58" t="s">
        <v>73</v>
      </c>
      <c r="O220" s="48" t="s">
        <v>72</v>
      </c>
      <c r="P220" s="48" t="s">
        <v>73</v>
      </c>
      <c r="Q220" s="54" t="s">
        <v>73</v>
      </c>
      <c r="R220" s="55" t="s">
        <v>73</v>
      </c>
      <c r="S220" s="48" t="s">
        <v>73</v>
      </c>
      <c r="T220" s="121" t="str" cm="1">
        <f t="array" ref="T220">IF(ISNUMBER(SEARCH("SCHNEIDER",D220)),_xlfn.IFS(ISNUMBER(SEARCH("2 Querétaro",D220)),"SQ2",ISNUMBER(SEARCH("Xicohténcatl",D220)),"SXC",ISNUMBER(SEARCH("Rojo Gómez",D220)),"SRG",ISNUMBER(SEARCH("Tlaxcala",D220)),"STX",ISNUMBER(SEARCH("Monterrey",D220)),"SMY",ISNUMBER(SEARCH("Querétaro",D220)),"SQ1",ISNUMBER(SEARCH("CDMX",D220)),"SCM",TRUE,""),"")</f>
        <v/>
      </c>
      <c r="U220" s="48" t="str" cm="1">
        <f t="array" ref="U220">_xlfn.LET(_xlpm.resultados,_xlfn.UNIQUE(_xlfn._xlws.FILTER(Tabla1[Proceso],(Tabla1[Metal Base]=O220)*(Tabla1[Etiquetas]=_xlfn.TEXTJOIN(" + ",TRUE,IF((TRIM(Upload!P220:S220)="")+(LOWER(TRIM(Upload!P220:S220))="(seleccione)"),"",PROPER(TRIM(Upload!P220:S220)))))*(Tabla1[Línea2]=IFERROR(VLOOKUP(Upload!N220&amp;"*",CAT_Procesos!D:D,1,FALSE),"")))),_xlpm.cantidad,ROWS(_xlpm.resultados),IF(ISERROR(_xlpm.cantidad),"Combinación no existente",IF(_xlpm.cantidad=1,INDEX(_xlpm.resultados,1),"(seleccione)")))</f>
        <v>Combinación no existente</v>
      </c>
      <c r="V220" s="55" t="s">
        <v>73</v>
      </c>
      <c r="W220" s="56" t="s">
        <v>73</v>
      </c>
      <c r="X220" s="57" t="str">
        <f t="shared" si="12"/>
        <v/>
      </c>
      <c r="Y220" s="58" t="s">
        <v>73</v>
      </c>
      <c r="Z220" s="57" t="str">
        <f t="shared" si="13"/>
        <v/>
      </c>
      <c r="AA220" s="58" t="s">
        <v>73</v>
      </c>
      <c r="AB220" s="57" t="str">
        <f t="shared" si="14"/>
        <v/>
      </c>
      <c r="AC220" s="58" t="s">
        <v>73</v>
      </c>
      <c r="AD220" s="57" t="str">
        <f t="shared" si="15"/>
        <v/>
      </c>
      <c r="AE220" s="59"/>
      <c r="AF220" s="59"/>
      <c r="AG220" s="59"/>
      <c r="AH220" s="59"/>
      <c r="AI220" s="59" t="s">
        <v>73</v>
      </c>
      <c r="AJ220" s="59"/>
      <c r="AK220" s="59" t="s">
        <v>73</v>
      </c>
      <c r="AL220" s="59"/>
      <c r="AM220" s="59" t="s">
        <v>73</v>
      </c>
      <c r="AN220" s="59"/>
      <c r="AO220" s="59" t="s">
        <v>73</v>
      </c>
      <c r="AP220" s="59"/>
      <c r="AQ220" s="59" t="s">
        <v>73</v>
      </c>
      <c r="AR220" s="59"/>
      <c r="AS220" s="59" t="s">
        <v>72</v>
      </c>
      <c r="AT220" s="59"/>
      <c r="AU220" s="59"/>
      <c r="AV220" s="59"/>
      <c r="AW220" s="59"/>
      <c r="AX220" s="59"/>
      <c r="AY220" s="60" t="str">
        <f>IF('Cálculo MP'!K230="","",'Cálculo MP'!K230)</f>
        <v/>
      </c>
      <c r="AZ220" s="60" t="str">
        <f>IF('Cálculo MP'!L230="","",'Cálculo MP'!L230)</f>
        <v/>
      </c>
      <c r="BA220" s="60" t="str">
        <f>IF('Cálculo MP'!M230="","",'Cálculo MP'!M230)</f>
        <v/>
      </c>
      <c r="BB220" s="60" t="str">
        <f>IF('Cálculo MP'!N230="","",'Cálculo MP'!N230)</f>
        <v/>
      </c>
      <c r="BC220" s="60" t="str">
        <f>IF('Cálculo MP'!O230="","",'Cálculo MP'!O230)</f>
        <v/>
      </c>
      <c r="BD220" s="60" t="str">
        <f>IF('Cálculo MP'!P230="","",'Cálculo MP'!P230)</f>
        <v/>
      </c>
      <c r="BE220" s="60" t="str">
        <f>IF('Cálculo MP'!Q230="","",'Cálculo MP'!Q230)</f>
        <v/>
      </c>
      <c r="BF220" s="60" t="str">
        <f>IF('Cálculo MP'!R230="","",'Cálculo MP'!R230)</f>
        <v/>
      </c>
      <c r="BG220" s="60" t="str">
        <f>IF('Cálculo MP'!S230="","",'Cálculo MP'!S230)</f>
        <v/>
      </c>
      <c r="BH220" s="59"/>
      <c r="BI220" s="59"/>
      <c r="BJ220" s="59"/>
      <c r="BK220" s="59"/>
      <c r="BL220" s="59"/>
      <c r="BM220" s="59"/>
      <c r="BN220" s="59"/>
      <c r="BO220" s="59"/>
    </row>
    <row r="221" spans="1:67" ht="19.5" customHeight="1" x14ac:dyDescent="0.2">
      <c r="A221" s="114" t="s">
        <v>1789</v>
      </c>
      <c r="B221" s="113" t="s">
        <v>1787</v>
      </c>
      <c r="C221" s="122"/>
      <c r="D221" s="48" t="s">
        <v>73</v>
      </c>
      <c r="E221" s="49"/>
      <c r="F221" s="50"/>
      <c r="G221" s="62"/>
      <c r="H221" s="48" t="s">
        <v>72</v>
      </c>
      <c r="I221" s="52">
        <v>1</v>
      </c>
      <c r="J221" s="52"/>
      <c r="K221" s="52" t="s">
        <v>73</v>
      </c>
      <c r="L221" s="52" t="s">
        <v>74</v>
      </c>
      <c r="M221" s="53" t="s">
        <v>917</v>
      </c>
      <c r="N221" s="58" t="s">
        <v>73</v>
      </c>
      <c r="O221" s="48" t="s">
        <v>72</v>
      </c>
      <c r="P221" s="48" t="s">
        <v>73</v>
      </c>
      <c r="Q221" s="54" t="s">
        <v>73</v>
      </c>
      <c r="R221" s="55" t="s">
        <v>73</v>
      </c>
      <c r="S221" s="48" t="s">
        <v>73</v>
      </c>
      <c r="T221" s="121" t="str" cm="1">
        <f t="array" ref="T221">IF(ISNUMBER(SEARCH("SCHNEIDER",D221)),_xlfn.IFS(ISNUMBER(SEARCH("2 Querétaro",D221)),"SQ2",ISNUMBER(SEARCH("Xicohténcatl",D221)),"SXC",ISNUMBER(SEARCH("Rojo Gómez",D221)),"SRG",ISNUMBER(SEARCH("Tlaxcala",D221)),"STX",ISNUMBER(SEARCH("Monterrey",D221)),"SMY",ISNUMBER(SEARCH("Querétaro",D221)),"SQ1",ISNUMBER(SEARCH("CDMX",D221)),"SCM",TRUE,""),"")</f>
        <v/>
      </c>
      <c r="U221" s="48" t="str" cm="1">
        <f t="array" ref="U221">_xlfn.LET(_xlpm.resultados,_xlfn.UNIQUE(_xlfn._xlws.FILTER(Tabla1[Proceso],(Tabla1[Metal Base]=O221)*(Tabla1[Etiquetas]=_xlfn.TEXTJOIN(" + ",TRUE,IF((TRIM(Upload!P221:S221)="")+(LOWER(TRIM(Upload!P221:S221))="(seleccione)"),"",PROPER(TRIM(Upload!P221:S221)))))*(Tabla1[Línea2]=IFERROR(VLOOKUP(Upload!N221&amp;"*",CAT_Procesos!D:D,1,FALSE),"")))),_xlpm.cantidad,ROWS(_xlpm.resultados),IF(ISERROR(_xlpm.cantidad),"Combinación no existente",IF(_xlpm.cantidad=1,INDEX(_xlpm.resultados,1),"(seleccione)")))</f>
        <v>Combinación no existente</v>
      </c>
      <c r="V221" s="55" t="s">
        <v>73</v>
      </c>
      <c r="W221" s="56" t="s">
        <v>73</v>
      </c>
      <c r="X221" s="57" t="str">
        <f t="shared" si="12"/>
        <v/>
      </c>
      <c r="Y221" s="58" t="s">
        <v>73</v>
      </c>
      <c r="Z221" s="57" t="str">
        <f t="shared" si="13"/>
        <v/>
      </c>
      <c r="AA221" s="58" t="s">
        <v>73</v>
      </c>
      <c r="AB221" s="57" t="str">
        <f t="shared" si="14"/>
        <v/>
      </c>
      <c r="AC221" s="58" t="s">
        <v>73</v>
      </c>
      <c r="AD221" s="57" t="str">
        <f t="shared" si="15"/>
        <v/>
      </c>
      <c r="AE221" s="59"/>
      <c r="AF221" s="59"/>
      <c r="AG221" s="59"/>
      <c r="AH221" s="59"/>
      <c r="AI221" s="59" t="s">
        <v>73</v>
      </c>
      <c r="AJ221" s="59"/>
      <c r="AK221" s="59" t="s">
        <v>73</v>
      </c>
      <c r="AL221" s="59"/>
      <c r="AM221" s="59" t="s">
        <v>73</v>
      </c>
      <c r="AN221" s="59"/>
      <c r="AO221" s="59" t="s">
        <v>73</v>
      </c>
      <c r="AP221" s="59"/>
      <c r="AQ221" s="59" t="s">
        <v>73</v>
      </c>
      <c r="AR221" s="59"/>
      <c r="AS221" s="59" t="s">
        <v>72</v>
      </c>
      <c r="AT221" s="59"/>
      <c r="AU221" s="59"/>
      <c r="AV221" s="59"/>
      <c r="AW221" s="59"/>
      <c r="AX221" s="59"/>
      <c r="AY221" s="60" t="str">
        <f>IF('Cálculo MP'!K231="","",'Cálculo MP'!K231)</f>
        <v/>
      </c>
      <c r="AZ221" s="60" t="str">
        <f>IF('Cálculo MP'!L231="","",'Cálculo MP'!L231)</f>
        <v/>
      </c>
      <c r="BA221" s="60" t="str">
        <f>IF('Cálculo MP'!M231="","",'Cálculo MP'!M231)</f>
        <v/>
      </c>
      <c r="BB221" s="60" t="str">
        <f>IF('Cálculo MP'!N231="","",'Cálculo MP'!N231)</f>
        <v/>
      </c>
      <c r="BC221" s="60" t="str">
        <f>IF('Cálculo MP'!O231="","",'Cálculo MP'!O231)</f>
        <v/>
      </c>
      <c r="BD221" s="60" t="str">
        <f>IF('Cálculo MP'!P231="","",'Cálculo MP'!P231)</f>
        <v/>
      </c>
      <c r="BE221" s="60" t="str">
        <f>IF('Cálculo MP'!Q231="","",'Cálculo MP'!Q231)</f>
        <v/>
      </c>
      <c r="BF221" s="60" t="str">
        <f>IF('Cálculo MP'!R231="","",'Cálculo MP'!R231)</f>
        <v/>
      </c>
      <c r="BG221" s="60" t="str">
        <f>IF('Cálculo MP'!S231="","",'Cálculo MP'!S231)</f>
        <v/>
      </c>
      <c r="BH221" s="59"/>
      <c r="BI221" s="59"/>
      <c r="BJ221" s="59"/>
      <c r="BK221" s="59"/>
      <c r="BL221" s="59"/>
      <c r="BM221" s="59"/>
      <c r="BN221" s="59"/>
      <c r="BO221" s="59"/>
    </row>
    <row r="222" spans="1:67" ht="19.5" customHeight="1" x14ac:dyDescent="0.2">
      <c r="A222" s="114" t="s">
        <v>1789</v>
      </c>
      <c r="B222" s="113" t="s">
        <v>1787</v>
      </c>
      <c r="C222" s="122"/>
      <c r="D222" s="48" t="s">
        <v>73</v>
      </c>
      <c r="E222" s="49"/>
      <c r="F222" s="50"/>
      <c r="G222" s="62"/>
      <c r="H222" s="48" t="s">
        <v>72</v>
      </c>
      <c r="I222" s="52">
        <v>1</v>
      </c>
      <c r="J222" s="52"/>
      <c r="K222" s="52" t="s">
        <v>73</v>
      </c>
      <c r="L222" s="52" t="s">
        <v>74</v>
      </c>
      <c r="M222" s="53" t="s">
        <v>917</v>
      </c>
      <c r="N222" s="58" t="s">
        <v>73</v>
      </c>
      <c r="O222" s="48" t="s">
        <v>72</v>
      </c>
      <c r="P222" s="48" t="s">
        <v>73</v>
      </c>
      <c r="Q222" s="54" t="s">
        <v>73</v>
      </c>
      <c r="R222" s="55" t="s">
        <v>73</v>
      </c>
      <c r="S222" s="48" t="s">
        <v>73</v>
      </c>
      <c r="T222" s="121" t="str" cm="1">
        <f t="array" ref="T222">IF(ISNUMBER(SEARCH("SCHNEIDER",D222)),_xlfn.IFS(ISNUMBER(SEARCH("2 Querétaro",D222)),"SQ2",ISNUMBER(SEARCH("Xicohténcatl",D222)),"SXC",ISNUMBER(SEARCH("Rojo Gómez",D222)),"SRG",ISNUMBER(SEARCH("Tlaxcala",D222)),"STX",ISNUMBER(SEARCH("Monterrey",D222)),"SMY",ISNUMBER(SEARCH("Querétaro",D222)),"SQ1",ISNUMBER(SEARCH("CDMX",D222)),"SCM",TRUE,""),"")</f>
        <v/>
      </c>
      <c r="U222" s="48" t="str" cm="1">
        <f t="array" ref="U222">_xlfn.LET(_xlpm.resultados,_xlfn.UNIQUE(_xlfn._xlws.FILTER(Tabla1[Proceso],(Tabla1[Metal Base]=O222)*(Tabla1[Etiquetas]=_xlfn.TEXTJOIN(" + ",TRUE,IF((TRIM(Upload!P222:S222)="")+(LOWER(TRIM(Upload!P222:S222))="(seleccione)"),"",PROPER(TRIM(Upload!P222:S222)))))*(Tabla1[Línea2]=IFERROR(VLOOKUP(Upload!N222&amp;"*",CAT_Procesos!D:D,1,FALSE),"")))),_xlpm.cantidad,ROWS(_xlpm.resultados),IF(ISERROR(_xlpm.cantidad),"Combinación no existente",IF(_xlpm.cantidad=1,INDEX(_xlpm.resultados,1),"(seleccione)")))</f>
        <v>Combinación no existente</v>
      </c>
      <c r="V222" s="55" t="s">
        <v>73</v>
      </c>
      <c r="W222" s="56" t="s">
        <v>73</v>
      </c>
      <c r="X222" s="57" t="str">
        <f t="shared" si="12"/>
        <v/>
      </c>
      <c r="Y222" s="58" t="s">
        <v>73</v>
      </c>
      <c r="Z222" s="57" t="str">
        <f t="shared" si="13"/>
        <v/>
      </c>
      <c r="AA222" s="58" t="s">
        <v>73</v>
      </c>
      <c r="AB222" s="57" t="str">
        <f t="shared" si="14"/>
        <v/>
      </c>
      <c r="AC222" s="58" t="s">
        <v>73</v>
      </c>
      <c r="AD222" s="57" t="str">
        <f t="shared" si="15"/>
        <v/>
      </c>
      <c r="AE222" s="59"/>
      <c r="AF222" s="59"/>
      <c r="AG222" s="59"/>
      <c r="AH222" s="59"/>
      <c r="AI222" s="59" t="s">
        <v>73</v>
      </c>
      <c r="AJ222" s="59"/>
      <c r="AK222" s="59" t="s">
        <v>73</v>
      </c>
      <c r="AL222" s="59"/>
      <c r="AM222" s="59" t="s">
        <v>73</v>
      </c>
      <c r="AN222" s="59"/>
      <c r="AO222" s="59" t="s">
        <v>73</v>
      </c>
      <c r="AP222" s="59"/>
      <c r="AQ222" s="59" t="s">
        <v>73</v>
      </c>
      <c r="AR222" s="59"/>
      <c r="AS222" s="59" t="s">
        <v>72</v>
      </c>
      <c r="AT222" s="59"/>
      <c r="AU222" s="59"/>
      <c r="AV222" s="59"/>
      <c r="AW222" s="59"/>
      <c r="AX222" s="59"/>
      <c r="AY222" s="60" t="str">
        <f>IF('Cálculo MP'!K232="","",'Cálculo MP'!K232)</f>
        <v/>
      </c>
      <c r="AZ222" s="60" t="str">
        <f>IF('Cálculo MP'!L232="","",'Cálculo MP'!L232)</f>
        <v/>
      </c>
      <c r="BA222" s="60" t="str">
        <f>IF('Cálculo MP'!M232="","",'Cálculo MP'!M232)</f>
        <v/>
      </c>
      <c r="BB222" s="60" t="str">
        <f>IF('Cálculo MP'!N232="","",'Cálculo MP'!N232)</f>
        <v/>
      </c>
      <c r="BC222" s="60" t="str">
        <f>IF('Cálculo MP'!O232="","",'Cálculo MP'!O232)</f>
        <v/>
      </c>
      <c r="BD222" s="60" t="str">
        <f>IF('Cálculo MP'!P232="","",'Cálculo MP'!P232)</f>
        <v/>
      </c>
      <c r="BE222" s="60" t="str">
        <f>IF('Cálculo MP'!Q232="","",'Cálculo MP'!Q232)</f>
        <v/>
      </c>
      <c r="BF222" s="60" t="str">
        <f>IF('Cálculo MP'!R232="","",'Cálculo MP'!R232)</f>
        <v/>
      </c>
      <c r="BG222" s="60" t="str">
        <f>IF('Cálculo MP'!S232="","",'Cálculo MP'!S232)</f>
        <v/>
      </c>
      <c r="BH222" s="59"/>
      <c r="BI222" s="59"/>
      <c r="BJ222" s="59"/>
      <c r="BK222" s="59"/>
      <c r="BL222" s="59"/>
      <c r="BM222" s="59"/>
      <c r="BN222" s="59"/>
      <c r="BO222" s="59"/>
    </row>
    <row r="223" spans="1:67" ht="19.5" customHeight="1" x14ac:dyDescent="0.2">
      <c r="A223" s="114" t="s">
        <v>1789</v>
      </c>
      <c r="B223" s="113" t="s">
        <v>1787</v>
      </c>
      <c r="C223" s="122"/>
      <c r="D223" s="48" t="s">
        <v>73</v>
      </c>
      <c r="E223" s="49"/>
      <c r="F223" s="50"/>
      <c r="G223" s="62"/>
      <c r="H223" s="48" t="s">
        <v>72</v>
      </c>
      <c r="I223" s="52">
        <v>1</v>
      </c>
      <c r="J223" s="52"/>
      <c r="K223" s="52" t="s">
        <v>73</v>
      </c>
      <c r="L223" s="52" t="s">
        <v>74</v>
      </c>
      <c r="M223" s="53" t="s">
        <v>917</v>
      </c>
      <c r="N223" s="58" t="s">
        <v>73</v>
      </c>
      <c r="O223" s="48" t="s">
        <v>72</v>
      </c>
      <c r="P223" s="48" t="s">
        <v>73</v>
      </c>
      <c r="Q223" s="54" t="s">
        <v>73</v>
      </c>
      <c r="R223" s="55" t="s">
        <v>73</v>
      </c>
      <c r="S223" s="48" t="s">
        <v>73</v>
      </c>
      <c r="T223" s="121" t="str" cm="1">
        <f t="array" ref="T223">IF(ISNUMBER(SEARCH("SCHNEIDER",D223)),_xlfn.IFS(ISNUMBER(SEARCH("2 Querétaro",D223)),"SQ2",ISNUMBER(SEARCH("Xicohténcatl",D223)),"SXC",ISNUMBER(SEARCH("Rojo Gómez",D223)),"SRG",ISNUMBER(SEARCH("Tlaxcala",D223)),"STX",ISNUMBER(SEARCH("Monterrey",D223)),"SMY",ISNUMBER(SEARCH("Querétaro",D223)),"SQ1",ISNUMBER(SEARCH("CDMX",D223)),"SCM",TRUE,""),"")</f>
        <v/>
      </c>
      <c r="U223" s="48" t="str" cm="1">
        <f t="array" ref="U223">_xlfn.LET(_xlpm.resultados,_xlfn.UNIQUE(_xlfn._xlws.FILTER(Tabla1[Proceso],(Tabla1[Metal Base]=O223)*(Tabla1[Etiquetas]=_xlfn.TEXTJOIN(" + ",TRUE,IF((TRIM(Upload!P223:S223)="")+(LOWER(TRIM(Upload!P223:S223))="(seleccione)"),"",PROPER(TRIM(Upload!P223:S223)))))*(Tabla1[Línea2]=IFERROR(VLOOKUP(Upload!N223&amp;"*",CAT_Procesos!D:D,1,FALSE),"")))),_xlpm.cantidad,ROWS(_xlpm.resultados),IF(ISERROR(_xlpm.cantidad),"Combinación no existente",IF(_xlpm.cantidad=1,INDEX(_xlpm.resultados,1),"(seleccione)")))</f>
        <v>Combinación no existente</v>
      </c>
      <c r="V223" s="55" t="s">
        <v>73</v>
      </c>
      <c r="W223" s="56" t="s">
        <v>73</v>
      </c>
      <c r="X223" s="57" t="str">
        <f t="shared" si="12"/>
        <v/>
      </c>
      <c r="Y223" s="58" t="s">
        <v>73</v>
      </c>
      <c r="Z223" s="57" t="str">
        <f t="shared" si="13"/>
        <v/>
      </c>
      <c r="AA223" s="58" t="s">
        <v>73</v>
      </c>
      <c r="AB223" s="57" t="str">
        <f t="shared" si="14"/>
        <v/>
      </c>
      <c r="AC223" s="58" t="s">
        <v>73</v>
      </c>
      <c r="AD223" s="57" t="str">
        <f t="shared" si="15"/>
        <v/>
      </c>
      <c r="AE223" s="59"/>
      <c r="AF223" s="59"/>
      <c r="AG223" s="59"/>
      <c r="AH223" s="59"/>
      <c r="AI223" s="59" t="s">
        <v>73</v>
      </c>
      <c r="AJ223" s="59"/>
      <c r="AK223" s="59" t="s">
        <v>73</v>
      </c>
      <c r="AL223" s="59"/>
      <c r="AM223" s="59" t="s">
        <v>73</v>
      </c>
      <c r="AN223" s="59"/>
      <c r="AO223" s="59" t="s">
        <v>73</v>
      </c>
      <c r="AP223" s="59"/>
      <c r="AQ223" s="59" t="s">
        <v>73</v>
      </c>
      <c r="AR223" s="59"/>
      <c r="AS223" s="59" t="s">
        <v>72</v>
      </c>
      <c r="AT223" s="59"/>
      <c r="AU223" s="59"/>
      <c r="AV223" s="59"/>
      <c r="AW223" s="59"/>
      <c r="AX223" s="59"/>
      <c r="AY223" s="60" t="str">
        <f>IF('Cálculo MP'!K233="","",'Cálculo MP'!K233)</f>
        <v/>
      </c>
      <c r="AZ223" s="60" t="str">
        <f>IF('Cálculo MP'!L233="","",'Cálculo MP'!L233)</f>
        <v/>
      </c>
      <c r="BA223" s="60" t="str">
        <f>IF('Cálculo MP'!M233="","",'Cálculo MP'!M233)</f>
        <v/>
      </c>
      <c r="BB223" s="60" t="str">
        <f>IF('Cálculo MP'!N233="","",'Cálculo MP'!N233)</f>
        <v/>
      </c>
      <c r="BC223" s="60" t="str">
        <f>IF('Cálculo MP'!O233="","",'Cálculo MP'!O233)</f>
        <v/>
      </c>
      <c r="BD223" s="60" t="str">
        <f>IF('Cálculo MP'!P233="","",'Cálculo MP'!P233)</f>
        <v/>
      </c>
      <c r="BE223" s="60" t="str">
        <f>IF('Cálculo MP'!Q233="","",'Cálculo MP'!Q233)</f>
        <v/>
      </c>
      <c r="BF223" s="60" t="str">
        <f>IF('Cálculo MP'!R233="","",'Cálculo MP'!R233)</f>
        <v/>
      </c>
      <c r="BG223" s="60" t="str">
        <f>IF('Cálculo MP'!S233="","",'Cálculo MP'!S233)</f>
        <v/>
      </c>
      <c r="BH223" s="59"/>
      <c r="BI223" s="59"/>
      <c r="BJ223" s="59"/>
      <c r="BK223" s="59"/>
      <c r="BL223" s="59"/>
      <c r="BM223" s="59"/>
      <c r="BN223" s="59"/>
      <c r="BO223" s="59"/>
    </row>
    <row r="224" spans="1:67" ht="19.5" customHeight="1" x14ac:dyDescent="0.2">
      <c r="A224" s="114" t="s">
        <v>1789</v>
      </c>
      <c r="B224" s="113" t="s">
        <v>1787</v>
      </c>
      <c r="C224" s="122"/>
      <c r="D224" s="48" t="s">
        <v>73</v>
      </c>
      <c r="E224" s="49"/>
      <c r="F224" s="50"/>
      <c r="G224" s="62"/>
      <c r="H224" s="48" t="s">
        <v>72</v>
      </c>
      <c r="I224" s="52">
        <v>1</v>
      </c>
      <c r="J224" s="52"/>
      <c r="K224" s="52" t="s">
        <v>73</v>
      </c>
      <c r="L224" s="52" t="s">
        <v>74</v>
      </c>
      <c r="M224" s="53" t="s">
        <v>917</v>
      </c>
      <c r="N224" s="58" t="s">
        <v>73</v>
      </c>
      <c r="O224" s="48" t="s">
        <v>72</v>
      </c>
      <c r="P224" s="48" t="s">
        <v>73</v>
      </c>
      <c r="Q224" s="54" t="s">
        <v>73</v>
      </c>
      <c r="R224" s="55" t="s">
        <v>73</v>
      </c>
      <c r="S224" s="48" t="s">
        <v>73</v>
      </c>
      <c r="T224" s="121" t="str" cm="1">
        <f t="array" ref="T224">IF(ISNUMBER(SEARCH("SCHNEIDER",D224)),_xlfn.IFS(ISNUMBER(SEARCH("2 Querétaro",D224)),"SQ2",ISNUMBER(SEARCH("Xicohténcatl",D224)),"SXC",ISNUMBER(SEARCH("Rojo Gómez",D224)),"SRG",ISNUMBER(SEARCH("Tlaxcala",D224)),"STX",ISNUMBER(SEARCH("Monterrey",D224)),"SMY",ISNUMBER(SEARCH("Querétaro",D224)),"SQ1",ISNUMBER(SEARCH("CDMX",D224)),"SCM",TRUE,""),"")</f>
        <v/>
      </c>
      <c r="U224" s="48" t="str" cm="1">
        <f t="array" ref="U224">_xlfn.LET(_xlpm.resultados,_xlfn.UNIQUE(_xlfn._xlws.FILTER(Tabla1[Proceso],(Tabla1[Metal Base]=O224)*(Tabla1[Etiquetas]=_xlfn.TEXTJOIN(" + ",TRUE,IF((TRIM(Upload!P224:S224)="")+(LOWER(TRIM(Upload!P224:S224))="(seleccione)"),"",PROPER(TRIM(Upload!P224:S224)))))*(Tabla1[Línea2]=IFERROR(VLOOKUP(Upload!N224&amp;"*",CAT_Procesos!D:D,1,FALSE),"")))),_xlpm.cantidad,ROWS(_xlpm.resultados),IF(ISERROR(_xlpm.cantidad),"Combinación no existente",IF(_xlpm.cantidad=1,INDEX(_xlpm.resultados,1),"(seleccione)")))</f>
        <v>Combinación no existente</v>
      </c>
      <c r="V224" s="55" t="s">
        <v>73</v>
      </c>
      <c r="W224" s="56" t="s">
        <v>73</v>
      </c>
      <c r="X224" s="57" t="str">
        <f t="shared" si="12"/>
        <v/>
      </c>
      <c r="Y224" s="58" t="s">
        <v>73</v>
      </c>
      <c r="Z224" s="57" t="str">
        <f t="shared" si="13"/>
        <v/>
      </c>
      <c r="AA224" s="58" t="s">
        <v>73</v>
      </c>
      <c r="AB224" s="57" t="str">
        <f t="shared" si="14"/>
        <v/>
      </c>
      <c r="AC224" s="58" t="s">
        <v>73</v>
      </c>
      <c r="AD224" s="57" t="str">
        <f t="shared" si="15"/>
        <v/>
      </c>
      <c r="AE224" s="59"/>
      <c r="AF224" s="59"/>
      <c r="AG224" s="59"/>
      <c r="AH224" s="59"/>
      <c r="AI224" s="59" t="s">
        <v>73</v>
      </c>
      <c r="AJ224" s="59"/>
      <c r="AK224" s="59" t="s">
        <v>73</v>
      </c>
      <c r="AL224" s="59"/>
      <c r="AM224" s="59" t="s">
        <v>73</v>
      </c>
      <c r="AN224" s="59"/>
      <c r="AO224" s="59" t="s">
        <v>73</v>
      </c>
      <c r="AP224" s="59"/>
      <c r="AQ224" s="59" t="s">
        <v>73</v>
      </c>
      <c r="AR224" s="59"/>
      <c r="AS224" s="59" t="s">
        <v>72</v>
      </c>
      <c r="AT224" s="59"/>
      <c r="AU224" s="59"/>
      <c r="AV224" s="59"/>
      <c r="AW224" s="59"/>
      <c r="AX224" s="59"/>
      <c r="AY224" s="60" t="str">
        <f>IF('Cálculo MP'!K234="","",'Cálculo MP'!K234)</f>
        <v/>
      </c>
      <c r="AZ224" s="60" t="str">
        <f>IF('Cálculo MP'!L234="","",'Cálculo MP'!L234)</f>
        <v/>
      </c>
      <c r="BA224" s="60" t="str">
        <f>IF('Cálculo MP'!M234="","",'Cálculo MP'!M234)</f>
        <v/>
      </c>
      <c r="BB224" s="60" t="str">
        <f>IF('Cálculo MP'!N234="","",'Cálculo MP'!N234)</f>
        <v/>
      </c>
      <c r="BC224" s="60" t="str">
        <f>IF('Cálculo MP'!O234="","",'Cálculo MP'!O234)</f>
        <v/>
      </c>
      <c r="BD224" s="60" t="str">
        <f>IF('Cálculo MP'!P234="","",'Cálculo MP'!P234)</f>
        <v/>
      </c>
      <c r="BE224" s="60" t="str">
        <f>IF('Cálculo MP'!Q234="","",'Cálculo MP'!Q234)</f>
        <v/>
      </c>
      <c r="BF224" s="60" t="str">
        <f>IF('Cálculo MP'!R234="","",'Cálculo MP'!R234)</f>
        <v/>
      </c>
      <c r="BG224" s="60" t="str">
        <f>IF('Cálculo MP'!S234="","",'Cálculo MP'!S234)</f>
        <v/>
      </c>
      <c r="BH224" s="59"/>
      <c r="BI224" s="59"/>
      <c r="BJ224" s="59"/>
      <c r="BK224" s="59"/>
      <c r="BL224" s="59"/>
      <c r="BM224" s="59"/>
      <c r="BN224" s="59"/>
      <c r="BO224" s="59"/>
    </row>
    <row r="225" spans="1:67" ht="19.5" customHeight="1" x14ac:dyDescent="0.2">
      <c r="A225" s="114" t="s">
        <v>1789</v>
      </c>
      <c r="B225" s="113" t="s">
        <v>1787</v>
      </c>
      <c r="C225" s="122"/>
      <c r="D225" s="48" t="s">
        <v>73</v>
      </c>
      <c r="E225" s="49"/>
      <c r="F225" s="50"/>
      <c r="G225" s="62"/>
      <c r="H225" s="48" t="s">
        <v>72</v>
      </c>
      <c r="I225" s="52">
        <v>1</v>
      </c>
      <c r="J225" s="52"/>
      <c r="K225" s="52" t="s">
        <v>73</v>
      </c>
      <c r="L225" s="52" t="s">
        <v>74</v>
      </c>
      <c r="M225" s="53" t="s">
        <v>917</v>
      </c>
      <c r="N225" s="58" t="s">
        <v>73</v>
      </c>
      <c r="O225" s="48" t="s">
        <v>72</v>
      </c>
      <c r="P225" s="48" t="s">
        <v>73</v>
      </c>
      <c r="Q225" s="54" t="s">
        <v>73</v>
      </c>
      <c r="R225" s="55" t="s">
        <v>73</v>
      </c>
      <c r="S225" s="48" t="s">
        <v>73</v>
      </c>
      <c r="T225" s="121" t="str" cm="1">
        <f t="array" ref="T225">IF(ISNUMBER(SEARCH("SCHNEIDER",D225)),_xlfn.IFS(ISNUMBER(SEARCH("2 Querétaro",D225)),"SQ2",ISNUMBER(SEARCH("Xicohténcatl",D225)),"SXC",ISNUMBER(SEARCH("Rojo Gómez",D225)),"SRG",ISNUMBER(SEARCH("Tlaxcala",D225)),"STX",ISNUMBER(SEARCH("Monterrey",D225)),"SMY",ISNUMBER(SEARCH("Querétaro",D225)),"SQ1",ISNUMBER(SEARCH("CDMX",D225)),"SCM",TRUE,""),"")</f>
        <v/>
      </c>
      <c r="U225" s="48" t="str" cm="1">
        <f t="array" ref="U225">_xlfn.LET(_xlpm.resultados,_xlfn.UNIQUE(_xlfn._xlws.FILTER(Tabla1[Proceso],(Tabla1[Metal Base]=O225)*(Tabla1[Etiquetas]=_xlfn.TEXTJOIN(" + ",TRUE,IF((TRIM(Upload!P225:S225)="")+(LOWER(TRIM(Upload!P225:S225))="(seleccione)"),"",PROPER(TRIM(Upload!P225:S225)))))*(Tabla1[Línea2]=IFERROR(VLOOKUP(Upload!N225&amp;"*",CAT_Procesos!D:D,1,FALSE),"")))),_xlpm.cantidad,ROWS(_xlpm.resultados),IF(ISERROR(_xlpm.cantidad),"Combinación no existente",IF(_xlpm.cantidad=1,INDEX(_xlpm.resultados,1),"(seleccione)")))</f>
        <v>Combinación no existente</v>
      </c>
      <c r="V225" s="55" t="s">
        <v>73</v>
      </c>
      <c r="W225" s="56" t="s">
        <v>73</v>
      </c>
      <c r="X225" s="57" t="str">
        <f t="shared" si="12"/>
        <v/>
      </c>
      <c r="Y225" s="58" t="s">
        <v>73</v>
      </c>
      <c r="Z225" s="57" t="str">
        <f t="shared" si="13"/>
        <v/>
      </c>
      <c r="AA225" s="58" t="s">
        <v>73</v>
      </c>
      <c r="AB225" s="57" t="str">
        <f t="shared" si="14"/>
        <v/>
      </c>
      <c r="AC225" s="58" t="s">
        <v>73</v>
      </c>
      <c r="AD225" s="57" t="str">
        <f t="shared" si="15"/>
        <v/>
      </c>
      <c r="AE225" s="59"/>
      <c r="AF225" s="59"/>
      <c r="AG225" s="59"/>
      <c r="AH225" s="59"/>
      <c r="AI225" s="59" t="s">
        <v>73</v>
      </c>
      <c r="AJ225" s="59"/>
      <c r="AK225" s="59" t="s">
        <v>73</v>
      </c>
      <c r="AL225" s="59"/>
      <c r="AM225" s="59" t="s">
        <v>73</v>
      </c>
      <c r="AN225" s="59"/>
      <c r="AO225" s="59" t="s">
        <v>73</v>
      </c>
      <c r="AP225" s="59"/>
      <c r="AQ225" s="59" t="s">
        <v>73</v>
      </c>
      <c r="AR225" s="59"/>
      <c r="AS225" s="59" t="s">
        <v>72</v>
      </c>
      <c r="AT225" s="59"/>
      <c r="AU225" s="59"/>
      <c r="AV225" s="59"/>
      <c r="AW225" s="59"/>
      <c r="AX225" s="59"/>
      <c r="AY225" s="60" t="str">
        <f>IF('Cálculo MP'!K235="","",'Cálculo MP'!K235)</f>
        <v/>
      </c>
      <c r="AZ225" s="60" t="str">
        <f>IF('Cálculo MP'!L235="","",'Cálculo MP'!L235)</f>
        <v/>
      </c>
      <c r="BA225" s="60" t="str">
        <f>IF('Cálculo MP'!M235="","",'Cálculo MP'!M235)</f>
        <v/>
      </c>
      <c r="BB225" s="60" t="str">
        <f>IF('Cálculo MP'!N235="","",'Cálculo MP'!N235)</f>
        <v/>
      </c>
      <c r="BC225" s="60" t="str">
        <f>IF('Cálculo MP'!O235="","",'Cálculo MP'!O235)</f>
        <v/>
      </c>
      <c r="BD225" s="60" t="str">
        <f>IF('Cálculo MP'!P235="","",'Cálculo MP'!P235)</f>
        <v/>
      </c>
      <c r="BE225" s="60" t="str">
        <f>IF('Cálculo MP'!Q235="","",'Cálculo MP'!Q235)</f>
        <v/>
      </c>
      <c r="BF225" s="60" t="str">
        <f>IF('Cálculo MP'!R235="","",'Cálculo MP'!R235)</f>
        <v/>
      </c>
      <c r="BG225" s="60" t="str">
        <f>IF('Cálculo MP'!S235="","",'Cálculo MP'!S235)</f>
        <v/>
      </c>
      <c r="BH225" s="59"/>
      <c r="BI225" s="59"/>
      <c r="BJ225" s="59"/>
      <c r="BK225" s="59"/>
      <c r="BL225" s="59"/>
      <c r="BM225" s="59"/>
      <c r="BN225" s="59"/>
      <c r="BO225" s="59"/>
    </row>
    <row r="226" spans="1:67" ht="19.5" customHeight="1" x14ac:dyDescent="0.2">
      <c r="A226" s="114" t="s">
        <v>1789</v>
      </c>
      <c r="B226" s="113" t="s">
        <v>1787</v>
      </c>
      <c r="C226" s="122"/>
      <c r="D226" s="48" t="s">
        <v>73</v>
      </c>
      <c r="E226" s="49"/>
      <c r="F226" s="50"/>
      <c r="G226" s="62"/>
      <c r="H226" s="48" t="s">
        <v>72</v>
      </c>
      <c r="I226" s="52">
        <v>1</v>
      </c>
      <c r="J226" s="52"/>
      <c r="K226" s="52" t="s">
        <v>73</v>
      </c>
      <c r="L226" s="52" t="s">
        <v>74</v>
      </c>
      <c r="M226" s="53" t="s">
        <v>917</v>
      </c>
      <c r="N226" s="58" t="s">
        <v>73</v>
      </c>
      <c r="O226" s="48" t="s">
        <v>72</v>
      </c>
      <c r="P226" s="48" t="s">
        <v>73</v>
      </c>
      <c r="Q226" s="54" t="s">
        <v>73</v>
      </c>
      <c r="R226" s="55" t="s">
        <v>73</v>
      </c>
      <c r="S226" s="48" t="s">
        <v>73</v>
      </c>
      <c r="T226" s="121" t="str" cm="1">
        <f t="array" ref="T226">IF(ISNUMBER(SEARCH("SCHNEIDER",D226)),_xlfn.IFS(ISNUMBER(SEARCH("2 Querétaro",D226)),"SQ2",ISNUMBER(SEARCH("Xicohténcatl",D226)),"SXC",ISNUMBER(SEARCH("Rojo Gómez",D226)),"SRG",ISNUMBER(SEARCH("Tlaxcala",D226)),"STX",ISNUMBER(SEARCH("Monterrey",D226)),"SMY",ISNUMBER(SEARCH("Querétaro",D226)),"SQ1",ISNUMBER(SEARCH("CDMX",D226)),"SCM",TRUE,""),"")</f>
        <v/>
      </c>
      <c r="U226" s="48" t="str" cm="1">
        <f t="array" ref="U226">_xlfn.LET(_xlpm.resultados,_xlfn.UNIQUE(_xlfn._xlws.FILTER(Tabla1[Proceso],(Tabla1[Metal Base]=O226)*(Tabla1[Etiquetas]=_xlfn.TEXTJOIN(" + ",TRUE,IF((TRIM(Upload!P226:S226)="")+(LOWER(TRIM(Upload!P226:S226))="(seleccione)"),"",PROPER(TRIM(Upload!P226:S226)))))*(Tabla1[Línea2]=IFERROR(VLOOKUP(Upload!N226&amp;"*",CAT_Procesos!D:D,1,FALSE),"")))),_xlpm.cantidad,ROWS(_xlpm.resultados),IF(ISERROR(_xlpm.cantidad),"Combinación no existente",IF(_xlpm.cantidad=1,INDEX(_xlpm.resultados,1),"(seleccione)")))</f>
        <v>Combinación no existente</v>
      </c>
      <c r="V226" s="55" t="s">
        <v>73</v>
      </c>
      <c r="W226" s="56" t="s">
        <v>73</v>
      </c>
      <c r="X226" s="57" t="str">
        <f t="shared" si="12"/>
        <v/>
      </c>
      <c r="Y226" s="58" t="s">
        <v>73</v>
      </c>
      <c r="Z226" s="57" t="str">
        <f t="shared" si="13"/>
        <v/>
      </c>
      <c r="AA226" s="58" t="s">
        <v>73</v>
      </c>
      <c r="AB226" s="57" t="str">
        <f t="shared" si="14"/>
        <v/>
      </c>
      <c r="AC226" s="58" t="s">
        <v>73</v>
      </c>
      <c r="AD226" s="57" t="str">
        <f t="shared" si="15"/>
        <v/>
      </c>
      <c r="AE226" s="59"/>
      <c r="AF226" s="59"/>
      <c r="AG226" s="59"/>
      <c r="AH226" s="59"/>
      <c r="AI226" s="59" t="s">
        <v>73</v>
      </c>
      <c r="AJ226" s="59"/>
      <c r="AK226" s="59" t="s">
        <v>73</v>
      </c>
      <c r="AL226" s="59"/>
      <c r="AM226" s="59" t="s">
        <v>73</v>
      </c>
      <c r="AN226" s="59"/>
      <c r="AO226" s="59" t="s">
        <v>73</v>
      </c>
      <c r="AP226" s="59"/>
      <c r="AQ226" s="59" t="s">
        <v>73</v>
      </c>
      <c r="AR226" s="59"/>
      <c r="AS226" s="59" t="s">
        <v>72</v>
      </c>
      <c r="AT226" s="59"/>
      <c r="AU226" s="59"/>
      <c r="AV226" s="59"/>
      <c r="AW226" s="59"/>
      <c r="AX226" s="59"/>
      <c r="AY226" s="60" t="str">
        <f>IF('Cálculo MP'!K236="","",'Cálculo MP'!K236)</f>
        <v/>
      </c>
      <c r="AZ226" s="60" t="str">
        <f>IF('Cálculo MP'!L236="","",'Cálculo MP'!L236)</f>
        <v/>
      </c>
      <c r="BA226" s="60" t="str">
        <f>IF('Cálculo MP'!M236="","",'Cálculo MP'!M236)</f>
        <v/>
      </c>
      <c r="BB226" s="60" t="str">
        <f>IF('Cálculo MP'!N236="","",'Cálculo MP'!N236)</f>
        <v/>
      </c>
      <c r="BC226" s="60" t="str">
        <f>IF('Cálculo MP'!O236="","",'Cálculo MP'!O236)</f>
        <v/>
      </c>
      <c r="BD226" s="60" t="str">
        <f>IF('Cálculo MP'!P236="","",'Cálculo MP'!P236)</f>
        <v/>
      </c>
      <c r="BE226" s="60" t="str">
        <f>IF('Cálculo MP'!Q236="","",'Cálculo MP'!Q236)</f>
        <v/>
      </c>
      <c r="BF226" s="60" t="str">
        <f>IF('Cálculo MP'!R236="","",'Cálculo MP'!R236)</f>
        <v/>
      </c>
      <c r="BG226" s="60" t="str">
        <f>IF('Cálculo MP'!S236="","",'Cálculo MP'!S236)</f>
        <v/>
      </c>
      <c r="BH226" s="59"/>
      <c r="BI226" s="59"/>
      <c r="BJ226" s="59"/>
      <c r="BK226" s="59"/>
      <c r="BL226" s="59"/>
      <c r="BM226" s="59"/>
      <c r="BN226" s="59"/>
      <c r="BO226" s="59"/>
    </row>
    <row r="227" spans="1:67" ht="19.5" customHeight="1" x14ac:dyDescent="0.2">
      <c r="A227" s="114" t="s">
        <v>1789</v>
      </c>
      <c r="B227" s="113" t="s">
        <v>1787</v>
      </c>
      <c r="C227" s="122"/>
      <c r="D227" s="48" t="s">
        <v>73</v>
      </c>
      <c r="E227" s="49"/>
      <c r="F227" s="50"/>
      <c r="G227" s="62"/>
      <c r="H227" s="48" t="s">
        <v>72</v>
      </c>
      <c r="I227" s="52">
        <v>1</v>
      </c>
      <c r="J227" s="52"/>
      <c r="K227" s="52" t="s">
        <v>73</v>
      </c>
      <c r="L227" s="52" t="s">
        <v>74</v>
      </c>
      <c r="M227" s="53" t="s">
        <v>917</v>
      </c>
      <c r="N227" s="58" t="s">
        <v>73</v>
      </c>
      <c r="O227" s="48" t="s">
        <v>72</v>
      </c>
      <c r="P227" s="48" t="s">
        <v>73</v>
      </c>
      <c r="Q227" s="54" t="s">
        <v>73</v>
      </c>
      <c r="R227" s="55" t="s">
        <v>73</v>
      </c>
      <c r="S227" s="48" t="s">
        <v>73</v>
      </c>
      <c r="T227" s="121" t="str" cm="1">
        <f t="array" ref="T227">IF(ISNUMBER(SEARCH("SCHNEIDER",D227)),_xlfn.IFS(ISNUMBER(SEARCH("2 Querétaro",D227)),"SQ2",ISNUMBER(SEARCH("Xicohténcatl",D227)),"SXC",ISNUMBER(SEARCH("Rojo Gómez",D227)),"SRG",ISNUMBER(SEARCH("Tlaxcala",D227)),"STX",ISNUMBER(SEARCH("Monterrey",D227)),"SMY",ISNUMBER(SEARCH("Querétaro",D227)),"SQ1",ISNUMBER(SEARCH("CDMX",D227)),"SCM",TRUE,""),"")</f>
        <v/>
      </c>
      <c r="U227" s="48" t="str" cm="1">
        <f t="array" ref="U227">_xlfn.LET(_xlpm.resultados,_xlfn.UNIQUE(_xlfn._xlws.FILTER(Tabla1[Proceso],(Tabla1[Metal Base]=O227)*(Tabla1[Etiquetas]=_xlfn.TEXTJOIN(" + ",TRUE,IF((TRIM(Upload!P227:S227)="")+(LOWER(TRIM(Upload!P227:S227))="(seleccione)"),"",PROPER(TRIM(Upload!P227:S227)))))*(Tabla1[Línea2]=IFERROR(VLOOKUP(Upload!N227&amp;"*",CAT_Procesos!D:D,1,FALSE),"")))),_xlpm.cantidad,ROWS(_xlpm.resultados),IF(ISERROR(_xlpm.cantidad),"Combinación no existente",IF(_xlpm.cantidad=1,INDEX(_xlpm.resultados,1),"(seleccione)")))</f>
        <v>Combinación no existente</v>
      </c>
      <c r="V227" s="55" t="s">
        <v>73</v>
      </c>
      <c r="W227" s="56" t="s">
        <v>73</v>
      </c>
      <c r="X227" s="57" t="str">
        <f t="shared" si="12"/>
        <v/>
      </c>
      <c r="Y227" s="58" t="s">
        <v>73</v>
      </c>
      <c r="Z227" s="57" t="str">
        <f t="shared" si="13"/>
        <v/>
      </c>
      <c r="AA227" s="58" t="s">
        <v>73</v>
      </c>
      <c r="AB227" s="57" t="str">
        <f t="shared" si="14"/>
        <v/>
      </c>
      <c r="AC227" s="58" t="s">
        <v>73</v>
      </c>
      <c r="AD227" s="57" t="str">
        <f t="shared" si="15"/>
        <v/>
      </c>
      <c r="AE227" s="59"/>
      <c r="AF227" s="59"/>
      <c r="AG227" s="59"/>
      <c r="AH227" s="59"/>
      <c r="AI227" s="59" t="s">
        <v>73</v>
      </c>
      <c r="AJ227" s="59"/>
      <c r="AK227" s="59" t="s">
        <v>73</v>
      </c>
      <c r="AL227" s="59"/>
      <c r="AM227" s="59" t="s">
        <v>73</v>
      </c>
      <c r="AN227" s="59"/>
      <c r="AO227" s="59" t="s">
        <v>73</v>
      </c>
      <c r="AP227" s="59"/>
      <c r="AQ227" s="59" t="s">
        <v>73</v>
      </c>
      <c r="AR227" s="59"/>
      <c r="AS227" s="59" t="s">
        <v>72</v>
      </c>
      <c r="AT227" s="59"/>
      <c r="AU227" s="59"/>
      <c r="AV227" s="59"/>
      <c r="AW227" s="59"/>
      <c r="AX227" s="59"/>
      <c r="AY227" s="60" t="str">
        <f>IF('Cálculo MP'!K237="","",'Cálculo MP'!K237)</f>
        <v/>
      </c>
      <c r="AZ227" s="60" t="str">
        <f>IF('Cálculo MP'!L237="","",'Cálculo MP'!L237)</f>
        <v/>
      </c>
      <c r="BA227" s="60" t="str">
        <f>IF('Cálculo MP'!M237="","",'Cálculo MP'!M237)</f>
        <v/>
      </c>
      <c r="BB227" s="60" t="str">
        <f>IF('Cálculo MP'!N237="","",'Cálculo MP'!N237)</f>
        <v/>
      </c>
      <c r="BC227" s="60" t="str">
        <f>IF('Cálculo MP'!O237="","",'Cálculo MP'!O237)</f>
        <v/>
      </c>
      <c r="BD227" s="60" t="str">
        <f>IF('Cálculo MP'!P237="","",'Cálculo MP'!P237)</f>
        <v/>
      </c>
      <c r="BE227" s="60" t="str">
        <f>IF('Cálculo MP'!Q237="","",'Cálculo MP'!Q237)</f>
        <v/>
      </c>
      <c r="BF227" s="60" t="str">
        <f>IF('Cálculo MP'!R237="","",'Cálculo MP'!R237)</f>
        <v/>
      </c>
      <c r="BG227" s="60" t="str">
        <f>IF('Cálculo MP'!S237="","",'Cálculo MP'!S237)</f>
        <v/>
      </c>
      <c r="BH227" s="59"/>
      <c r="BI227" s="59"/>
      <c r="BJ227" s="59"/>
      <c r="BK227" s="59"/>
      <c r="BL227" s="59"/>
      <c r="BM227" s="59"/>
      <c r="BN227" s="59"/>
      <c r="BO227" s="59"/>
    </row>
    <row r="228" spans="1:67" ht="19.5" customHeight="1" x14ac:dyDescent="0.2">
      <c r="A228" s="114" t="s">
        <v>1789</v>
      </c>
      <c r="B228" s="113" t="s">
        <v>1787</v>
      </c>
      <c r="C228" s="122"/>
      <c r="D228" s="48" t="s">
        <v>73</v>
      </c>
      <c r="E228" s="49"/>
      <c r="F228" s="50"/>
      <c r="G228" s="62"/>
      <c r="H228" s="48" t="s">
        <v>72</v>
      </c>
      <c r="I228" s="52">
        <v>1</v>
      </c>
      <c r="J228" s="52"/>
      <c r="K228" s="52" t="s">
        <v>73</v>
      </c>
      <c r="L228" s="52" t="s">
        <v>74</v>
      </c>
      <c r="M228" s="53" t="s">
        <v>917</v>
      </c>
      <c r="N228" s="58" t="s">
        <v>73</v>
      </c>
      <c r="O228" s="48" t="s">
        <v>72</v>
      </c>
      <c r="P228" s="48" t="s">
        <v>73</v>
      </c>
      <c r="Q228" s="54" t="s">
        <v>73</v>
      </c>
      <c r="R228" s="55" t="s">
        <v>73</v>
      </c>
      <c r="S228" s="48" t="s">
        <v>73</v>
      </c>
      <c r="T228" s="121" t="str" cm="1">
        <f t="array" ref="T228">IF(ISNUMBER(SEARCH("SCHNEIDER",D228)),_xlfn.IFS(ISNUMBER(SEARCH("2 Querétaro",D228)),"SQ2",ISNUMBER(SEARCH("Xicohténcatl",D228)),"SXC",ISNUMBER(SEARCH("Rojo Gómez",D228)),"SRG",ISNUMBER(SEARCH("Tlaxcala",D228)),"STX",ISNUMBER(SEARCH("Monterrey",D228)),"SMY",ISNUMBER(SEARCH("Querétaro",D228)),"SQ1",ISNUMBER(SEARCH("CDMX",D228)),"SCM",TRUE,""),"")</f>
        <v/>
      </c>
      <c r="U228" s="48" t="str" cm="1">
        <f t="array" ref="U228">_xlfn.LET(_xlpm.resultados,_xlfn.UNIQUE(_xlfn._xlws.FILTER(Tabla1[Proceso],(Tabla1[Metal Base]=O228)*(Tabla1[Etiquetas]=_xlfn.TEXTJOIN(" + ",TRUE,IF((TRIM(Upload!P228:S228)="")+(LOWER(TRIM(Upload!P228:S228))="(seleccione)"),"",PROPER(TRIM(Upload!P228:S228)))))*(Tabla1[Línea2]=IFERROR(VLOOKUP(Upload!N228&amp;"*",CAT_Procesos!D:D,1,FALSE),"")))),_xlpm.cantidad,ROWS(_xlpm.resultados),IF(ISERROR(_xlpm.cantidad),"Combinación no existente",IF(_xlpm.cantidad=1,INDEX(_xlpm.resultados,1),"(seleccione)")))</f>
        <v>Combinación no existente</v>
      </c>
      <c r="V228" s="55" t="s">
        <v>73</v>
      </c>
      <c r="W228" s="56" t="s">
        <v>73</v>
      </c>
      <c r="X228" s="57" t="str">
        <f t="shared" si="12"/>
        <v/>
      </c>
      <c r="Y228" s="58" t="s">
        <v>73</v>
      </c>
      <c r="Z228" s="57" t="str">
        <f t="shared" si="13"/>
        <v/>
      </c>
      <c r="AA228" s="58" t="s">
        <v>73</v>
      </c>
      <c r="AB228" s="57" t="str">
        <f t="shared" si="14"/>
        <v/>
      </c>
      <c r="AC228" s="58" t="s">
        <v>73</v>
      </c>
      <c r="AD228" s="57" t="str">
        <f t="shared" si="15"/>
        <v/>
      </c>
      <c r="AE228" s="59"/>
      <c r="AF228" s="59"/>
      <c r="AG228" s="59"/>
      <c r="AH228" s="59"/>
      <c r="AI228" s="59" t="s">
        <v>73</v>
      </c>
      <c r="AJ228" s="59"/>
      <c r="AK228" s="59" t="s">
        <v>73</v>
      </c>
      <c r="AL228" s="59"/>
      <c r="AM228" s="59" t="s">
        <v>73</v>
      </c>
      <c r="AN228" s="59"/>
      <c r="AO228" s="59" t="s">
        <v>73</v>
      </c>
      <c r="AP228" s="59"/>
      <c r="AQ228" s="59" t="s">
        <v>73</v>
      </c>
      <c r="AR228" s="59"/>
      <c r="AS228" s="59" t="s">
        <v>72</v>
      </c>
      <c r="AT228" s="59"/>
      <c r="AU228" s="59"/>
      <c r="AV228" s="59"/>
      <c r="AW228" s="59"/>
      <c r="AX228" s="59"/>
      <c r="AY228" s="60" t="str">
        <f>IF('Cálculo MP'!K238="","",'Cálculo MP'!K238)</f>
        <v/>
      </c>
      <c r="AZ228" s="60" t="str">
        <f>IF('Cálculo MP'!L238="","",'Cálculo MP'!L238)</f>
        <v/>
      </c>
      <c r="BA228" s="60" t="str">
        <f>IF('Cálculo MP'!M238="","",'Cálculo MP'!M238)</f>
        <v/>
      </c>
      <c r="BB228" s="60" t="str">
        <f>IF('Cálculo MP'!N238="","",'Cálculo MP'!N238)</f>
        <v/>
      </c>
      <c r="BC228" s="60" t="str">
        <f>IF('Cálculo MP'!O238="","",'Cálculo MP'!O238)</f>
        <v/>
      </c>
      <c r="BD228" s="60" t="str">
        <f>IF('Cálculo MP'!P238="","",'Cálculo MP'!P238)</f>
        <v/>
      </c>
      <c r="BE228" s="60" t="str">
        <f>IF('Cálculo MP'!Q238="","",'Cálculo MP'!Q238)</f>
        <v/>
      </c>
      <c r="BF228" s="60" t="str">
        <f>IF('Cálculo MP'!R238="","",'Cálculo MP'!R238)</f>
        <v/>
      </c>
      <c r="BG228" s="60" t="str">
        <f>IF('Cálculo MP'!S238="","",'Cálculo MP'!S238)</f>
        <v/>
      </c>
      <c r="BH228" s="59"/>
      <c r="BI228" s="59"/>
      <c r="BJ228" s="59"/>
      <c r="BK228" s="59"/>
      <c r="BL228" s="59"/>
      <c r="BM228" s="59"/>
      <c r="BN228" s="59"/>
      <c r="BO228" s="59"/>
    </row>
    <row r="229" spans="1:67" ht="19.5" customHeight="1" x14ac:dyDescent="0.2">
      <c r="A229" s="114" t="s">
        <v>1789</v>
      </c>
      <c r="B229" s="113" t="s">
        <v>1787</v>
      </c>
      <c r="C229" s="122"/>
      <c r="D229" s="48" t="s">
        <v>73</v>
      </c>
      <c r="E229" s="49"/>
      <c r="F229" s="50"/>
      <c r="G229" s="62"/>
      <c r="H229" s="48" t="s">
        <v>72</v>
      </c>
      <c r="I229" s="52">
        <v>1</v>
      </c>
      <c r="J229" s="52"/>
      <c r="K229" s="52" t="s">
        <v>73</v>
      </c>
      <c r="L229" s="52" t="s">
        <v>74</v>
      </c>
      <c r="M229" s="53" t="s">
        <v>917</v>
      </c>
      <c r="N229" s="58" t="s">
        <v>73</v>
      </c>
      <c r="O229" s="48" t="s">
        <v>72</v>
      </c>
      <c r="P229" s="48" t="s">
        <v>73</v>
      </c>
      <c r="Q229" s="54" t="s">
        <v>73</v>
      </c>
      <c r="R229" s="55" t="s">
        <v>73</v>
      </c>
      <c r="S229" s="48" t="s">
        <v>73</v>
      </c>
      <c r="T229" s="121" t="str" cm="1">
        <f t="array" ref="T229">IF(ISNUMBER(SEARCH("SCHNEIDER",D229)),_xlfn.IFS(ISNUMBER(SEARCH("2 Querétaro",D229)),"SQ2",ISNUMBER(SEARCH("Xicohténcatl",D229)),"SXC",ISNUMBER(SEARCH("Rojo Gómez",D229)),"SRG",ISNUMBER(SEARCH("Tlaxcala",D229)),"STX",ISNUMBER(SEARCH("Monterrey",D229)),"SMY",ISNUMBER(SEARCH("Querétaro",D229)),"SQ1",ISNUMBER(SEARCH("CDMX",D229)),"SCM",TRUE,""),"")</f>
        <v/>
      </c>
      <c r="U229" s="48" t="str" cm="1">
        <f t="array" ref="U229">_xlfn.LET(_xlpm.resultados,_xlfn.UNIQUE(_xlfn._xlws.FILTER(Tabla1[Proceso],(Tabla1[Metal Base]=O229)*(Tabla1[Etiquetas]=_xlfn.TEXTJOIN(" + ",TRUE,IF((TRIM(Upload!P229:S229)="")+(LOWER(TRIM(Upload!P229:S229))="(seleccione)"),"",PROPER(TRIM(Upload!P229:S229)))))*(Tabla1[Línea2]=IFERROR(VLOOKUP(Upload!N229&amp;"*",CAT_Procesos!D:D,1,FALSE),"")))),_xlpm.cantidad,ROWS(_xlpm.resultados),IF(ISERROR(_xlpm.cantidad),"Combinación no existente",IF(_xlpm.cantidad=1,INDEX(_xlpm.resultados,1),"(seleccione)")))</f>
        <v>Combinación no existente</v>
      </c>
      <c r="V229" s="55" t="s">
        <v>73</v>
      </c>
      <c r="W229" s="56" t="s">
        <v>73</v>
      </c>
      <c r="X229" s="57" t="str">
        <f t="shared" si="12"/>
        <v/>
      </c>
      <c r="Y229" s="58" t="s">
        <v>73</v>
      </c>
      <c r="Z229" s="57" t="str">
        <f t="shared" si="13"/>
        <v/>
      </c>
      <c r="AA229" s="58" t="s">
        <v>73</v>
      </c>
      <c r="AB229" s="57" t="str">
        <f t="shared" si="14"/>
        <v/>
      </c>
      <c r="AC229" s="58" t="s">
        <v>73</v>
      </c>
      <c r="AD229" s="57" t="str">
        <f t="shared" si="15"/>
        <v/>
      </c>
      <c r="AE229" s="59"/>
      <c r="AF229" s="59"/>
      <c r="AG229" s="59"/>
      <c r="AH229" s="59"/>
      <c r="AI229" s="59" t="s">
        <v>73</v>
      </c>
      <c r="AJ229" s="59"/>
      <c r="AK229" s="59" t="s">
        <v>73</v>
      </c>
      <c r="AL229" s="59"/>
      <c r="AM229" s="59" t="s">
        <v>73</v>
      </c>
      <c r="AN229" s="59"/>
      <c r="AO229" s="59" t="s">
        <v>73</v>
      </c>
      <c r="AP229" s="59"/>
      <c r="AQ229" s="59" t="s">
        <v>73</v>
      </c>
      <c r="AR229" s="59"/>
      <c r="AS229" s="59" t="s">
        <v>72</v>
      </c>
      <c r="AT229" s="59"/>
      <c r="AU229" s="59"/>
      <c r="AV229" s="59"/>
      <c r="AW229" s="59"/>
      <c r="AX229" s="59"/>
      <c r="AY229" s="60" t="str">
        <f>IF('Cálculo MP'!K239="","",'Cálculo MP'!K239)</f>
        <v/>
      </c>
      <c r="AZ229" s="60" t="str">
        <f>IF('Cálculo MP'!L239="","",'Cálculo MP'!L239)</f>
        <v/>
      </c>
      <c r="BA229" s="60" t="str">
        <f>IF('Cálculo MP'!M239="","",'Cálculo MP'!M239)</f>
        <v/>
      </c>
      <c r="BB229" s="60" t="str">
        <f>IF('Cálculo MP'!N239="","",'Cálculo MP'!N239)</f>
        <v/>
      </c>
      <c r="BC229" s="60" t="str">
        <f>IF('Cálculo MP'!O239="","",'Cálculo MP'!O239)</f>
        <v/>
      </c>
      <c r="BD229" s="60" t="str">
        <f>IF('Cálculo MP'!P239="","",'Cálculo MP'!P239)</f>
        <v/>
      </c>
      <c r="BE229" s="60" t="str">
        <f>IF('Cálculo MP'!Q239="","",'Cálculo MP'!Q239)</f>
        <v/>
      </c>
      <c r="BF229" s="60" t="str">
        <f>IF('Cálculo MP'!R239="","",'Cálculo MP'!R239)</f>
        <v/>
      </c>
      <c r="BG229" s="60" t="str">
        <f>IF('Cálculo MP'!S239="","",'Cálculo MP'!S239)</f>
        <v/>
      </c>
      <c r="BH229" s="59"/>
      <c r="BI229" s="59"/>
      <c r="BJ229" s="59"/>
      <c r="BK229" s="59"/>
      <c r="BL229" s="59"/>
      <c r="BM229" s="59"/>
      <c r="BN229" s="59"/>
      <c r="BO229" s="59"/>
    </row>
    <row r="230" spans="1:67" ht="19.5" customHeight="1" x14ac:dyDescent="0.2">
      <c r="A230" s="114" t="s">
        <v>1789</v>
      </c>
      <c r="B230" s="113" t="s">
        <v>1787</v>
      </c>
      <c r="C230" s="122"/>
      <c r="D230" s="48" t="s">
        <v>73</v>
      </c>
      <c r="E230" s="49"/>
      <c r="F230" s="50"/>
      <c r="G230" s="62"/>
      <c r="H230" s="48" t="s">
        <v>72</v>
      </c>
      <c r="I230" s="52">
        <v>1</v>
      </c>
      <c r="J230" s="52"/>
      <c r="K230" s="52" t="s">
        <v>73</v>
      </c>
      <c r="L230" s="52" t="s">
        <v>74</v>
      </c>
      <c r="M230" s="53" t="s">
        <v>917</v>
      </c>
      <c r="N230" s="58" t="s">
        <v>73</v>
      </c>
      <c r="O230" s="48" t="s">
        <v>72</v>
      </c>
      <c r="P230" s="48" t="s">
        <v>73</v>
      </c>
      <c r="Q230" s="54" t="s">
        <v>73</v>
      </c>
      <c r="R230" s="55" t="s">
        <v>73</v>
      </c>
      <c r="S230" s="48" t="s">
        <v>73</v>
      </c>
      <c r="T230" s="121" t="str" cm="1">
        <f t="array" ref="T230">IF(ISNUMBER(SEARCH("SCHNEIDER",D230)),_xlfn.IFS(ISNUMBER(SEARCH("2 Querétaro",D230)),"SQ2",ISNUMBER(SEARCH("Xicohténcatl",D230)),"SXC",ISNUMBER(SEARCH("Rojo Gómez",D230)),"SRG",ISNUMBER(SEARCH("Tlaxcala",D230)),"STX",ISNUMBER(SEARCH("Monterrey",D230)),"SMY",ISNUMBER(SEARCH("Querétaro",D230)),"SQ1",ISNUMBER(SEARCH("CDMX",D230)),"SCM",TRUE,""),"")</f>
        <v/>
      </c>
      <c r="U230" s="48" t="str" cm="1">
        <f t="array" ref="U230">_xlfn.LET(_xlpm.resultados,_xlfn.UNIQUE(_xlfn._xlws.FILTER(Tabla1[Proceso],(Tabla1[Metal Base]=O230)*(Tabla1[Etiquetas]=_xlfn.TEXTJOIN(" + ",TRUE,IF((TRIM(Upload!P230:S230)="")+(LOWER(TRIM(Upload!P230:S230))="(seleccione)"),"",PROPER(TRIM(Upload!P230:S230)))))*(Tabla1[Línea2]=IFERROR(VLOOKUP(Upload!N230&amp;"*",CAT_Procesos!D:D,1,FALSE),"")))),_xlpm.cantidad,ROWS(_xlpm.resultados),IF(ISERROR(_xlpm.cantidad),"Combinación no existente",IF(_xlpm.cantidad=1,INDEX(_xlpm.resultados,1),"(seleccione)")))</f>
        <v>Combinación no existente</v>
      </c>
      <c r="V230" s="55" t="s">
        <v>73</v>
      </c>
      <c r="W230" s="56" t="s">
        <v>73</v>
      </c>
      <c r="X230" s="57" t="str">
        <f t="shared" si="12"/>
        <v/>
      </c>
      <c r="Y230" s="58" t="s">
        <v>73</v>
      </c>
      <c r="Z230" s="57" t="str">
        <f t="shared" si="13"/>
        <v/>
      </c>
      <c r="AA230" s="58" t="s">
        <v>73</v>
      </c>
      <c r="AB230" s="57" t="str">
        <f t="shared" si="14"/>
        <v/>
      </c>
      <c r="AC230" s="58" t="s">
        <v>73</v>
      </c>
      <c r="AD230" s="57" t="str">
        <f t="shared" si="15"/>
        <v/>
      </c>
      <c r="AE230" s="59"/>
      <c r="AF230" s="59"/>
      <c r="AG230" s="59"/>
      <c r="AH230" s="59"/>
      <c r="AI230" s="59" t="s">
        <v>73</v>
      </c>
      <c r="AJ230" s="59"/>
      <c r="AK230" s="59" t="s">
        <v>73</v>
      </c>
      <c r="AL230" s="59"/>
      <c r="AM230" s="59" t="s">
        <v>73</v>
      </c>
      <c r="AN230" s="59"/>
      <c r="AO230" s="59" t="s">
        <v>73</v>
      </c>
      <c r="AP230" s="59"/>
      <c r="AQ230" s="59" t="s">
        <v>73</v>
      </c>
      <c r="AR230" s="59"/>
      <c r="AS230" s="59" t="s">
        <v>72</v>
      </c>
      <c r="AT230" s="59"/>
      <c r="AU230" s="59"/>
      <c r="AV230" s="59"/>
      <c r="AW230" s="59"/>
      <c r="AX230" s="59"/>
      <c r="AY230" s="60" t="str">
        <f>IF('Cálculo MP'!K240="","",'Cálculo MP'!K240)</f>
        <v/>
      </c>
      <c r="AZ230" s="60" t="str">
        <f>IF('Cálculo MP'!L240="","",'Cálculo MP'!L240)</f>
        <v/>
      </c>
      <c r="BA230" s="60" t="str">
        <f>IF('Cálculo MP'!M240="","",'Cálculo MP'!M240)</f>
        <v/>
      </c>
      <c r="BB230" s="60" t="str">
        <f>IF('Cálculo MP'!N240="","",'Cálculo MP'!N240)</f>
        <v/>
      </c>
      <c r="BC230" s="60" t="str">
        <f>IF('Cálculo MP'!O240="","",'Cálculo MP'!O240)</f>
        <v/>
      </c>
      <c r="BD230" s="60" t="str">
        <f>IF('Cálculo MP'!P240="","",'Cálculo MP'!P240)</f>
        <v/>
      </c>
      <c r="BE230" s="60" t="str">
        <f>IF('Cálculo MP'!Q240="","",'Cálculo MP'!Q240)</f>
        <v/>
      </c>
      <c r="BF230" s="60" t="str">
        <f>IF('Cálculo MP'!R240="","",'Cálculo MP'!R240)</f>
        <v/>
      </c>
      <c r="BG230" s="60" t="str">
        <f>IF('Cálculo MP'!S240="","",'Cálculo MP'!S240)</f>
        <v/>
      </c>
      <c r="BH230" s="59"/>
      <c r="BI230" s="59"/>
      <c r="BJ230" s="59"/>
      <c r="BK230" s="59"/>
      <c r="BL230" s="59"/>
      <c r="BM230" s="59"/>
      <c r="BN230" s="59"/>
      <c r="BO230" s="59"/>
    </row>
    <row r="231" spans="1:67" ht="19.5" customHeight="1" x14ac:dyDescent="0.2">
      <c r="A231" s="114" t="s">
        <v>1789</v>
      </c>
      <c r="B231" s="113" t="s">
        <v>1787</v>
      </c>
      <c r="C231" s="122"/>
      <c r="D231" s="48" t="s">
        <v>73</v>
      </c>
      <c r="E231" s="49"/>
      <c r="F231" s="50"/>
      <c r="G231" s="62"/>
      <c r="H231" s="48" t="s">
        <v>72</v>
      </c>
      <c r="I231" s="52">
        <v>1</v>
      </c>
      <c r="J231" s="52"/>
      <c r="K231" s="52" t="s">
        <v>73</v>
      </c>
      <c r="L231" s="52" t="s">
        <v>74</v>
      </c>
      <c r="M231" s="53" t="s">
        <v>917</v>
      </c>
      <c r="N231" s="58" t="s">
        <v>73</v>
      </c>
      <c r="O231" s="48" t="s">
        <v>72</v>
      </c>
      <c r="P231" s="48" t="s">
        <v>73</v>
      </c>
      <c r="Q231" s="54" t="s">
        <v>73</v>
      </c>
      <c r="R231" s="55" t="s">
        <v>73</v>
      </c>
      <c r="S231" s="48" t="s">
        <v>73</v>
      </c>
      <c r="T231" s="121" t="str" cm="1">
        <f t="array" ref="T231">IF(ISNUMBER(SEARCH("SCHNEIDER",D231)),_xlfn.IFS(ISNUMBER(SEARCH("2 Querétaro",D231)),"SQ2",ISNUMBER(SEARCH("Xicohténcatl",D231)),"SXC",ISNUMBER(SEARCH("Rojo Gómez",D231)),"SRG",ISNUMBER(SEARCH("Tlaxcala",D231)),"STX",ISNUMBER(SEARCH("Monterrey",D231)),"SMY",ISNUMBER(SEARCH("Querétaro",D231)),"SQ1",ISNUMBER(SEARCH("CDMX",D231)),"SCM",TRUE,""),"")</f>
        <v/>
      </c>
      <c r="U231" s="48" t="str" cm="1">
        <f t="array" ref="U231">_xlfn.LET(_xlpm.resultados,_xlfn.UNIQUE(_xlfn._xlws.FILTER(Tabla1[Proceso],(Tabla1[Metal Base]=O231)*(Tabla1[Etiquetas]=_xlfn.TEXTJOIN(" + ",TRUE,IF((TRIM(Upload!P231:S231)="")+(LOWER(TRIM(Upload!P231:S231))="(seleccione)"),"",PROPER(TRIM(Upload!P231:S231)))))*(Tabla1[Línea2]=IFERROR(VLOOKUP(Upload!N231&amp;"*",CAT_Procesos!D:D,1,FALSE),"")))),_xlpm.cantidad,ROWS(_xlpm.resultados),IF(ISERROR(_xlpm.cantidad),"Combinación no existente",IF(_xlpm.cantidad=1,INDEX(_xlpm.resultados,1),"(seleccione)")))</f>
        <v>Combinación no existente</v>
      </c>
      <c r="V231" s="55" t="s">
        <v>73</v>
      </c>
      <c r="W231" s="56" t="s">
        <v>73</v>
      </c>
      <c r="X231" s="57" t="str">
        <f t="shared" si="12"/>
        <v/>
      </c>
      <c r="Y231" s="58" t="s">
        <v>73</v>
      </c>
      <c r="Z231" s="57" t="str">
        <f t="shared" si="13"/>
        <v/>
      </c>
      <c r="AA231" s="58" t="s">
        <v>73</v>
      </c>
      <c r="AB231" s="57" t="str">
        <f t="shared" si="14"/>
        <v/>
      </c>
      <c r="AC231" s="58" t="s">
        <v>73</v>
      </c>
      <c r="AD231" s="57" t="str">
        <f t="shared" si="15"/>
        <v/>
      </c>
      <c r="AE231" s="59"/>
      <c r="AF231" s="59"/>
      <c r="AG231" s="59"/>
      <c r="AH231" s="59"/>
      <c r="AI231" s="59" t="s">
        <v>73</v>
      </c>
      <c r="AJ231" s="59"/>
      <c r="AK231" s="59" t="s">
        <v>73</v>
      </c>
      <c r="AL231" s="59"/>
      <c r="AM231" s="59" t="s">
        <v>73</v>
      </c>
      <c r="AN231" s="59"/>
      <c r="AO231" s="59" t="s">
        <v>73</v>
      </c>
      <c r="AP231" s="59"/>
      <c r="AQ231" s="59" t="s">
        <v>73</v>
      </c>
      <c r="AR231" s="59"/>
      <c r="AS231" s="59" t="s">
        <v>72</v>
      </c>
      <c r="AT231" s="59"/>
      <c r="AU231" s="59"/>
      <c r="AV231" s="59"/>
      <c r="AW231" s="59"/>
      <c r="AX231" s="59"/>
      <c r="AY231" s="60" t="str">
        <f>IF('Cálculo MP'!K241="","",'Cálculo MP'!K241)</f>
        <v/>
      </c>
      <c r="AZ231" s="60" t="str">
        <f>IF('Cálculo MP'!L241="","",'Cálculo MP'!L241)</f>
        <v/>
      </c>
      <c r="BA231" s="60" t="str">
        <f>IF('Cálculo MP'!M241="","",'Cálculo MP'!M241)</f>
        <v/>
      </c>
      <c r="BB231" s="60" t="str">
        <f>IF('Cálculo MP'!N241="","",'Cálculo MP'!N241)</f>
        <v/>
      </c>
      <c r="BC231" s="60" t="str">
        <f>IF('Cálculo MP'!O241="","",'Cálculo MP'!O241)</f>
        <v/>
      </c>
      <c r="BD231" s="60" t="str">
        <f>IF('Cálculo MP'!P241="","",'Cálculo MP'!P241)</f>
        <v/>
      </c>
      <c r="BE231" s="60" t="str">
        <f>IF('Cálculo MP'!Q241="","",'Cálculo MP'!Q241)</f>
        <v/>
      </c>
      <c r="BF231" s="60" t="str">
        <f>IF('Cálculo MP'!R241="","",'Cálculo MP'!R241)</f>
        <v/>
      </c>
      <c r="BG231" s="60" t="str">
        <f>IF('Cálculo MP'!S241="","",'Cálculo MP'!S241)</f>
        <v/>
      </c>
      <c r="BH231" s="59"/>
      <c r="BI231" s="59"/>
      <c r="BJ231" s="59"/>
      <c r="BK231" s="59"/>
      <c r="BL231" s="59"/>
      <c r="BM231" s="59"/>
      <c r="BN231" s="59"/>
      <c r="BO231" s="59"/>
    </row>
    <row r="232" spans="1:67" ht="19.5" customHeight="1" x14ac:dyDescent="0.2">
      <c r="A232" s="114" t="s">
        <v>1789</v>
      </c>
      <c r="B232" s="113" t="s">
        <v>1787</v>
      </c>
      <c r="C232" s="122"/>
      <c r="D232" s="48" t="s">
        <v>73</v>
      </c>
      <c r="E232" s="49"/>
      <c r="F232" s="50"/>
      <c r="G232" s="62"/>
      <c r="H232" s="48" t="s">
        <v>72</v>
      </c>
      <c r="I232" s="52">
        <v>1</v>
      </c>
      <c r="J232" s="52"/>
      <c r="K232" s="52" t="s">
        <v>73</v>
      </c>
      <c r="L232" s="52" t="s">
        <v>74</v>
      </c>
      <c r="M232" s="53" t="s">
        <v>917</v>
      </c>
      <c r="N232" s="58" t="s">
        <v>73</v>
      </c>
      <c r="O232" s="48" t="s">
        <v>72</v>
      </c>
      <c r="P232" s="48" t="s">
        <v>73</v>
      </c>
      <c r="Q232" s="54" t="s">
        <v>73</v>
      </c>
      <c r="R232" s="55" t="s">
        <v>73</v>
      </c>
      <c r="S232" s="48" t="s">
        <v>73</v>
      </c>
      <c r="T232" s="121" t="str" cm="1">
        <f t="array" ref="T232">IF(ISNUMBER(SEARCH("SCHNEIDER",D232)),_xlfn.IFS(ISNUMBER(SEARCH("2 Querétaro",D232)),"SQ2",ISNUMBER(SEARCH("Xicohténcatl",D232)),"SXC",ISNUMBER(SEARCH("Rojo Gómez",D232)),"SRG",ISNUMBER(SEARCH("Tlaxcala",D232)),"STX",ISNUMBER(SEARCH("Monterrey",D232)),"SMY",ISNUMBER(SEARCH("Querétaro",D232)),"SQ1",ISNUMBER(SEARCH("CDMX",D232)),"SCM",TRUE,""),"")</f>
        <v/>
      </c>
      <c r="U232" s="48" t="str" cm="1">
        <f t="array" ref="U232">_xlfn.LET(_xlpm.resultados,_xlfn.UNIQUE(_xlfn._xlws.FILTER(Tabla1[Proceso],(Tabla1[Metal Base]=O232)*(Tabla1[Etiquetas]=_xlfn.TEXTJOIN(" + ",TRUE,IF((TRIM(Upload!P232:S232)="")+(LOWER(TRIM(Upload!P232:S232))="(seleccione)"),"",PROPER(TRIM(Upload!P232:S232)))))*(Tabla1[Línea2]=IFERROR(VLOOKUP(Upload!N232&amp;"*",CAT_Procesos!D:D,1,FALSE),"")))),_xlpm.cantidad,ROWS(_xlpm.resultados),IF(ISERROR(_xlpm.cantidad),"Combinación no existente",IF(_xlpm.cantidad=1,INDEX(_xlpm.resultados,1),"(seleccione)")))</f>
        <v>Combinación no existente</v>
      </c>
      <c r="V232" s="55" t="s">
        <v>73</v>
      </c>
      <c r="W232" s="56" t="s">
        <v>73</v>
      </c>
      <c r="X232" s="57" t="str">
        <f t="shared" si="12"/>
        <v/>
      </c>
      <c r="Y232" s="58" t="s">
        <v>73</v>
      </c>
      <c r="Z232" s="57" t="str">
        <f t="shared" si="13"/>
        <v/>
      </c>
      <c r="AA232" s="58" t="s">
        <v>73</v>
      </c>
      <c r="AB232" s="57" t="str">
        <f t="shared" si="14"/>
        <v/>
      </c>
      <c r="AC232" s="58" t="s">
        <v>73</v>
      </c>
      <c r="AD232" s="57" t="str">
        <f t="shared" si="15"/>
        <v/>
      </c>
      <c r="AE232" s="59"/>
      <c r="AF232" s="59"/>
      <c r="AG232" s="59"/>
      <c r="AH232" s="59"/>
      <c r="AI232" s="59" t="s">
        <v>73</v>
      </c>
      <c r="AJ232" s="59"/>
      <c r="AK232" s="59" t="s">
        <v>73</v>
      </c>
      <c r="AL232" s="59"/>
      <c r="AM232" s="59" t="s">
        <v>73</v>
      </c>
      <c r="AN232" s="59"/>
      <c r="AO232" s="59" t="s">
        <v>73</v>
      </c>
      <c r="AP232" s="59"/>
      <c r="AQ232" s="59" t="s">
        <v>73</v>
      </c>
      <c r="AR232" s="59"/>
      <c r="AS232" s="59" t="s">
        <v>72</v>
      </c>
      <c r="AT232" s="59"/>
      <c r="AU232" s="59"/>
      <c r="AV232" s="59"/>
      <c r="AW232" s="59"/>
      <c r="AX232" s="59"/>
      <c r="AY232" s="60" t="str">
        <f>IF('Cálculo MP'!K242="","",'Cálculo MP'!K242)</f>
        <v/>
      </c>
      <c r="AZ232" s="60" t="str">
        <f>IF('Cálculo MP'!L242="","",'Cálculo MP'!L242)</f>
        <v/>
      </c>
      <c r="BA232" s="60" t="str">
        <f>IF('Cálculo MP'!M242="","",'Cálculo MP'!M242)</f>
        <v/>
      </c>
      <c r="BB232" s="60" t="str">
        <f>IF('Cálculo MP'!N242="","",'Cálculo MP'!N242)</f>
        <v/>
      </c>
      <c r="BC232" s="60" t="str">
        <f>IF('Cálculo MP'!O242="","",'Cálculo MP'!O242)</f>
        <v/>
      </c>
      <c r="BD232" s="60" t="str">
        <f>IF('Cálculo MP'!P242="","",'Cálculo MP'!P242)</f>
        <v/>
      </c>
      <c r="BE232" s="60" t="str">
        <f>IF('Cálculo MP'!Q242="","",'Cálculo MP'!Q242)</f>
        <v/>
      </c>
      <c r="BF232" s="60" t="str">
        <f>IF('Cálculo MP'!R242="","",'Cálculo MP'!R242)</f>
        <v/>
      </c>
      <c r="BG232" s="60" t="str">
        <f>IF('Cálculo MP'!S242="","",'Cálculo MP'!S242)</f>
        <v/>
      </c>
      <c r="BH232" s="59"/>
      <c r="BI232" s="59"/>
      <c r="BJ232" s="59"/>
      <c r="BK232" s="59"/>
      <c r="BL232" s="59"/>
      <c r="BM232" s="59"/>
      <c r="BN232" s="59"/>
      <c r="BO232" s="59"/>
    </row>
    <row r="233" spans="1:67" ht="19.5" customHeight="1" x14ac:dyDescent="0.2">
      <c r="A233" s="114" t="s">
        <v>1789</v>
      </c>
      <c r="B233" s="113" t="s">
        <v>1787</v>
      </c>
      <c r="C233" s="122"/>
      <c r="D233" s="48" t="s">
        <v>73</v>
      </c>
      <c r="E233" s="49"/>
      <c r="F233" s="50"/>
      <c r="G233" s="62"/>
      <c r="H233" s="48" t="s">
        <v>72</v>
      </c>
      <c r="I233" s="52">
        <v>1</v>
      </c>
      <c r="J233" s="52"/>
      <c r="K233" s="52" t="s">
        <v>73</v>
      </c>
      <c r="L233" s="52" t="s">
        <v>74</v>
      </c>
      <c r="M233" s="53" t="s">
        <v>917</v>
      </c>
      <c r="N233" s="58" t="s">
        <v>73</v>
      </c>
      <c r="O233" s="48" t="s">
        <v>72</v>
      </c>
      <c r="P233" s="48" t="s">
        <v>73</v>
      </c>
      <c r="Q233" s="54" t="s">
        <v>73</v>
      </c>
      <c r="R233" s="55" t="s">
        <v>73</v>
      </c>
      <c r="S233" s="48" t="s">
        <v>73</v>
      </c>
      <c r="T233" s="121" t="str" cm="1">
        <f t="array" ref="T233">IF(ISNUMBER(SEARCH("SCHNEIDER",D233)),_xlfn.IFS(ISNUMBER(SEARCH("2 Querétaro",D233)),"SQ2",ISNUMBER(SEARCH("Xicohténcatl",D233)),"SXC",ISNUMBER(SEARCH("Rojo Gómez",D233)),"SRG",ISNUMBER(SEARCH("Tlaxcala",D233)),"STX",ISNUMBER(SEARCH("Monterrey",D233)),"SMY",ISNUMBER(SEARCH("Querétaro",D233)),"SQ1",ISNUMBER(SEARCH("CDMX",D233)),"SCM",TRUE,""),"")</f>
        <v/>
      </c>
      <c r="U233" s="48" t="str" cm="1">
        <f t="array" ref="U233">_xlfn.LET(_xlpm.resultados,_xlfn.UNIQUE(_xlfn._xlws.FILTER(Tabla1[Proceso],(Tabla1[Metal Base]=O233)*(Tabla1[Etiquetas]=_xlfn.TEXTJOIN(" + ",TRUE,IF((TRIM(Upload!P233:S233)="")+(LOWER(TRIM(Upload!P233:S233))="(seleccione)"),"",PROPER(TRIM(Upload!P233:S233)))))*(Tabla1[Línea2]=IFERROR(VLOOKUP(Upload!N233&amp;"*",CAT_Procesos!D:D,1,FALSE),"")))),_xlpm.cantidad,ROWS(_xlpm.resultados),IF(ISERROR(_xlpm.cantidad),"Combinación no existente",IF(_xlpm.cantidad=1,INDEX(_xlpm.resultados,1),"(seleccione)")))</f>
        <v>Combinación no existente</v>
      </c>
      <c r="V233" s="55" t="s">
        <v>73</v>
      </c>
      <c r="W233" s="56" t="s">
        <v>73</v>
      </c>
      <c r="X233" s="57" t="str">
        <f t="shared" si="12"/>
        <v/>
      </c>
      <c r="Y233" s="58" t="s">
        <v>73</v>
      </c>
      <c r="Z233" s="57" t="str">
        <f t="shared" si="13"/>
        <v/>
      </c>
      <c r="AA233" s="58" t="s">
        <v>73</v>
      </c>
      <c r="AB233" s="57" t="str">
        <f t="shared" si="14"/>
        <v/>
      </c>
      <c r="AC233" s="58" t="s">
        <v>73</v>
      </c>
      <c r="AD233" s="57" t="str">
        <f t="shared" si="15"/>
        <v/>
      </c>
      <c r="AE233" s="59"/>
      <c r="AF233" s="59"/>
      <c r="AG233" s="59"/>
      <c r="AH233" s="59"/>
      <c r="AI233" s="59" t="s">
        <v>73</v>
      </c>
      <c r="AJ233" s="59"/>
      <c r="AK233" s="59" t="s">
        <v>73</v>
      </c>
      <c r="AL233" s="59"/>
      <c r="AM233" s="59" t="s">
        <v>73</v>
      </c>
      <c r="AN233" s="59"/>
      <c r="AO233" s="59" t="s">
        <v>73</v>
      </c>
      <c r="AP233" s="59"/>
      <c r="AQ233" s="59" t="s">
        <v>73</v>
      </c>
      <c r="AR233" s="59"/>
      <c r="AS233" s="59" t="s">
        <v>72</v>
      </c>
      <c r="AT233" s="59"/>
      <c r="AU233" s="59"/>
      <c r="AV233" s="59"/>
      <c r="AW233" s="59"/>
      <c r="AX233" s="59"/>
      <c r="AY233" s="60" t="str">
        <f>IF('Cálculo MP'!K243="","",'Cálculo MP'!K243)</f>
        <v/>
      </c>
      <c r="AZ233" s="60" t="str">
        <f>IF('Cálculo MP'!L243="","",'Cálculo MP'!L243)</f>
        <v/>
      </c>
      <c r="BA233" s="60" t="str">
        <f>IF('Cálculo MP'!M243="","",'Cálculo MP'!M243)</f>
        <v/>
      </c>
      <c r="BB233" s="60" t="str">
        <f>IF('Cálculo MP'!N243="","",'Cálculo MP'!N243)</f>
        <v/>
      </c>
      <c r="BC233" s="60" t="str">
        <f>IF('Cálculo MP'!O243="","",'Cálculo MP'!O243)</f>
        <v/>
      </c>
      <c r="BD233" s="60" t="str">
        <f>IF('Cálculo MP'!P243="","",'Cálculo MP'!P243)</f>
        <v/>
      </c>
      <c r="BE233" s="60" t="str">
        <f>IF('Cálculo MP'!Q243="","",'Cálculo MP'!Q243)</f>
        <v/>
      </c>
      <c r="BF233" s="60" t="str">
        <f>IF('Cálculo MP'!R243="","",'Cálculo MP'!R243)</f>
        <v/>
      </c>
      <c r="BG233" s="60" t="str">
        <f>IF('Cálculo MP'!S243="","",'Cálculo MP'!S243)</f>
        <v/>
      </c>
      <c r="BH233" s="59"/>
      <c r="BI233" s="59"/>
      <c r="BJ233" s="59"/>
      <c r="BK233" s="59"/>
      <c r="BL233" s="59"/>
      <c r="BM233" s="59"/>
      <c r="BN233" s="59"/>
      <c r="BO233" s="59"/>
    </row>
    <row r="234" spans="1:67" ht="19.5" customHeight="1" x14ac:dyDescent="0.2">
      <c r="A234" s="114" t="s">
        <v>1789</v>
      </c>
      <c r="B234" s="113" t="s">
        <v>1787</v>
      </c>
      <c r="C234" s="122"/>
      <c r="D234" s="48" t="s">
        <v>73</v>
      </c>
      <c r="E234" s="49"/>
      <c r="F234" s="50"/>
      <c r="G234" s="62"/>
      <c r="H234" s="48" t="s">
        <v>72</v>
      </c>
      <c r="I234" s="52">
        <v>1</v>
      </c>
      <c r="J234" s="52"/>
      <c r="K234" s="52" t="s">
        <v>73</v>
      </c>
      <c r="L234" s="52" t="s">
        <v>74</v>
      </c>
      <c r="M234" s="53" t="s">
        <v>917</v>
      </c>
      <c r="N234" s="58" t="s">
        <v>73</v>
      </c>
      <c r="O234" s="48" t="s">
        <v>72</v>
      </c>
      <c r="P234" s="48" t="s">
        <v>73</v>
      </c>
      <c r="Q234" s="54" t="s">
        <v>73</v>
      </c>
      <c r="R234" s="55" t="s">
        <v>73</v>
      </c>
      <c r="S234" s="48" t="s">
        <v>73</v>
      </c>
      <c r="T234" s="121" t="str" cm="1">
        <f t="array" ref="T234">IF(ISNUMBER(SEARCH("SCHNEIDER",D234)),_xlfn.IFS(ISNUMBER(SEARCH("2 Querétaro",D234)),"SQ2",ISNUMBER(SEARCH("Xicohténcatl",D234)),"SXC",ISNUMBER(SEARCH("Rojo Gómez",D234)),"SRG",ISNUMBER(SEARCH("Tlaxcala",D234)),"STX",ISNUMBER(SEARCH("Monterrey",D234)),"SMY",ISNUMBER(SEARCH("Querétaro",D234)),"SQ1",ISNUMBER(SEARCH("CDMX",D234)),"SCM",TRUE,""),"")</f>
        <v/>
      </c>
      <c r="U234" s="48" t="str" cm="1">
        <f t="array" ref="U234">_xlfn.LET(_xlpm.resultados,_xlfn.UNIQUE(_xlfn._xlws.FILTER(Tabla1[Proceso],(Tabla1[Metal Base]=O234)*(Tabla1[Etiquetas]=_xlfn.TEXTJOIN(" + ",TRUE,IF((TRIM(Upload!P234:S234)="")+(LOWER(TRIM(Upload!P234:S234))="(seleccione)"),"",PROPER(TRIM(Upload!P234:S234)))))*(Tabla1[Línea2]=IFERROR(VLOOKUP(Upload!N234&amp;"*",CAT_Procesos!D:D,1,FALSE),"")))),_xlpm.cantidad,ROWS(_xlpm.resultados),IF(ISERROR(_xlpm.cantidad),"Combinación no existente",IF(_xlpm.cantidad=1,INDEX(_xlpm.resultados,1),"(seleccione)")))</f>
        <v>Combinación no existente</v>
      </c>
      <c r="V234" s="55" t="s">
        <v>73</v>
      </c>
      <c r="W234" s="56" t="s">
        <v>73</v>
      </c>
      <c r="X234" s="57" t="str">
        <f t="shared" si="12"/>
        <v/>
      </c>
      <c r="Y234" s="58" t="s">
        <v>73</v>
      </c>
      <c r="Z234" s="57" t="str">
        <f t="shared" si="13"/>
        <v/>
      </c>
      <c r="AA234" s="58" t="s">
        <v>73</v>
      </c>
      <c r="AB234" s="57" t="str">
        <f t="shared" si="14"/>
        <v/>
      </c>
      <c r="AC234" s="58" t="s">
        <v>73</v>
      </c>
      <c r="AD234" s="57" t="str">
        <f t="shared" si="15"/>
        <v/>
      </c>
      <c r="AE234" s="59"/>
      <c r="AF234" s="59"/>
      <c r="AG234" s="59"/>
      <c r="AH234" s="59"/>
      <c r="AI234" s="59" t="s">
        <v>73</v>
      </c>
      <c r="AJ234" s="59"/>
      <c r="AK234" s="59" t="s">
        <v>73</v>
      </c>
      <c r="AL234" s="59"/>
      <c r="AM234" s="59" t="s">
        <v>73</v>
      </c>
      <c r="AN234" s="59"/>
      <c r="AO234" s="59" t="s">
        <v>73</v>
      </c>
      <c r="AP234" s="59"/>
      <c r="AQ234" s="59" t="s">
        <v>73</v>
      </c>
      <c r="AR234" s="59"/>
      <c r="AS234" s="59" t="s">
        <v>72</v>
      </c>
      <c r="AT234" s="59"/>
      <c r="AU234" s="59"/>
      <c r="AV234" s="59"/>
      <c r="AW234" s="59"/>
      <c r="AX234" s="59"/>
      <c r="AY234" s="60" t="str">
        <f>IF('Cálculo MP'!K244="","",'Cálculo MP'!K244)</f>
        <v/>
      </c>
      <c r="AZ234" s="60" t="str">
        <f>IF('Cálculo MP'!L244="","",'Cálculo MP'!L244)</f>
        <v/>
      </c>
      <c r="BA234" s="60" t="str">
        <f>IF('Cálculo MP'!M244="","",'Cálculo MP'!M244)</f>
        <v/>
      </c>
      <c r="BB234" s="60" t="str">
        <f>IF('Cálculo MP'!N244="","",'Cálculo MP'!N244)</f>
        <v/>
      </c>
      <c r="BC234" s="60" t="str">
        <f>IF('Cálculo MP'!O244="","",'Cálculo MP'!O244)</f>
        <v/>
      </c>
      <c r="BD234" s="60" t="str">
        <f>IF('Cálculo MP'!P244="","",'Cálculo MP'!P244)</f>
        <v/>
      </c>
      <c r="BE234" s="60" t="str">
        <f>IF('Cálculo MP'!Q244="","",'Cálculo MP'!Q244)</f>
        <v/>
      </c>
      <c r="BF234" s="60" t="str">
        <f>IF('Cálculo MP'!R244="","",'Cálculo MP'!R244)</f>
        <v/>
      </c>
      <c r="BG234" s="60" t="str">
        <f>IF('Cálculo MP'!S244="","",'Cálculo MP'!S244)</f>
        <v/>
      </c>
      <c r="BH234" s="59"/>
      <c r="BI234" s="59"/>
      <c r="BJ234" s="59"/>
      <c r="BK234" s="59"/>
      <c r="BL234" s="59"/>
      <c r="BM234" s="59"/>
      <c r="BN234" s="59"/>
      <c r="BO234" s="59"/>
    </row>
    <row r="235" spans="1:67" ht="19.5" customHeight="1" x14ac:dyDescent="0.2">
      <c r="A235" s="114" t="s">
        <v>1789</v>
      </c>
      <c r="B235" s="113" t="s">
        <v>1787</v>
      </c>
      <c r="C235" s="122"/>
      <c r="D235" s="48" t="s">
        <v>73</v>
      </c>
      <c r="E235" s="49"/>
      <c r="F235" s="50"/>
      <c r="G235" s="62"/>
      <c r="H235" s="48" t="s">
        <v>72</v>
      </c>
      <c r="I235" s="52">
        <v>1</v>
      </c>
      <c r="J235" s="52"/>
      <c r="K235" s="52" t="s">
        <v>73</v>
      </c>
      <c r="L235" s="52" t="s">
        <v>74</v>
      </c>
      <c r="M235" s="53" t="s">
        <v>917</v>
      </c>
      <c r="N235" s="58" t="s">
        <v>73</v>
      </c>
      <c r="O235" s="48" t="s">
        <v>72</v>
      </c>
      <c r="P235" s="48" t="s">
        <v>73</v>
      </c>
      <c r="Q235" s="54" t="s">
        <v>73</v>
      </c>
      <c r="R235" s="55" t="s">
        <v>73</v>
      </c>
      <c r="S235" s="48" t="s">
        <v>73</v>
      </c>
      <c r="T235" s="121" t="str" cm="1">
        <f t="array" ref="T235">IF(ISNUMBER(SEARCH("SCHNEIDER",D235)),_xlfn.IFS(ISNUMBER(SEARCH("2 Querétaro",D235)),"SQ2",ISNUMBER(SEARCH("Xicohténcatl",D235)),"SXC",ISNUMBER(SEARCH("Rojo Gómez",D235)),"SRG",ISNUMBER(SEARCH("Tlaxcala",D235)),"STX",ISNUMBER(SEARCH("Monterrey",D235)),"SMY",ISNUMBER(SEARCH("Querétaro",D235)),"SQ1",ISNUMBER(SEARCH("CDMX",D235)),"SCM",TRUE,""),"")</f>
        <v/>
      </c>
      <c r="U235" s="48" t="str" cm="1">
        <f t="array" ref="U235">_xlfn.LET(_xlpm.resultados,_xlfn.UNIQUE(_xlfn._xlws.FILTER(Tabla1[Proceso],(Tabla1[Metal Base]=O235)*(Tabla1[Etiquetas]=_xlfn.TEXTJOIN(" + ",TRUE,IF((TRIM(Upload!P235:S235)="")+(LOWER(TRIM(Upload!P235:S235))="(seleccione)"),"",PROPER(TRIM(Upload!P235:S235)))))*(Tabla1[Línea2]=IFERROR(VLOOKUP(Upload!N235&amp;"*",CAT_Procesos!D:D,1,FALSE),"")))),_xlpm.cantidad,ROWS(_xlpm.resultados),IF(ISERROR(_xlpm.cantidad),"Combinación no existente",IF(_xlpm.cantidad=1,INDEX(_xlpm.resultados,1),"(seleccione)")))</f>
        <v>Combinación no existente</v>
      </c>
      <c r="V235" s="55" t="s">
        <v>73</v>
      </c>
      <c r="W235" s="56" t="s">
        <v>73</v>
      </c>
      <c r="X235" s="57" t="str">
        <f t="shared" si="12"/>
        <v/>
      </c>
      <c r="Y235" s="58" t="s">
        <v>73</v>
      </c>
      <c r="Z235" s="57" t="str">
        <f t="shared" si="13"/>
        <v/>
      </c>
      <c r="AA235" s="58" t="s">
        <v>73</v>
      </c>
      <c r="AB235" s="57" t="str">
        <f t="shared" si="14"/>
        <v/>
      </c>
      <c r="AC235" s="58" t="s">
        <v>73</v>
      </c>
      <c r="AD235" s="57" t="str">
        <f t="shared" si="15"/>
        <v/>
      </c>
      <c r="AE235" s="59"/>
      <c r="AF235" s="59"/>
      <c r="AG235" s="59"/>
      <c r="AH235" s="59"/>
      <c r="AI235" s="59" t="s">
        <v>73</v>
      </c>
      <c r="AJ235" s="59"/>
      <c r="AK235" s="59" t="s">
        <v>73</v>
      </c>
      <c r="AL235" s="59"/>
      <c r="AM235" s="59" t="s">
        <v>73</v>
      </c>
      <c r="AN235" s="59"/>
      <c r="AO235" s="59" t="s">
        <v>73</v>
      </c>
      <c r="AP235" s="59"/>
      <c r="AQ235" s="59" t="s">
        <v>73</v>
      </c>
      <c r="AR235" s="59"/>
      <c r="AS235" s="59" t="s">
        <v>72</v>
      </c>
      <c r="AT235" s="59"/>
      <c r="AU235" s="59"/>
      <c r="AV235" s="59"/>
      <c r="AW235" s="59"/>
      <c r="AX235" s="59"/>
      <c r="AY235" s="60" t="str">
        <f>IF('Cálculo MP'!K245="","",'Cálculo MP'!K245)</f>
        <v/>
      </c>
      <c r="AZ235" s="60" t="str">
        <f>IF('Cálculo MP'!L245="","",'Cálculo MP'!L245)</f>
        <v/>
      </c>
      <c r="BA235" s="60" t="str">
        <f>IF('Cálculo MP'!M245="","",'Cálculo MP'!M245)</f>
        <v/>
      </c>
      <c r="BB235" s="60" t="str">
        <f>IF('Cálculo MP'!N245="","",'Cálculo MP'!N245)</f>
        <v/>
      </c>
      <c r="BC235" s="60" t="str">
        <f>IF('Cálculo MP'!O245="","",'Cálculo MP'!O245)</f>
        <v/>
      </c>
      <c r="BD235" s="60" t="str">
        <f>IF('Cálculo MP'!P245="","",'Cálculo MP'!P245)</f>
        <v/>
      </c>
      <c r="BE235" s="60" t="str">
        <f>IF('Cálculo MP'!Q245="","",'Cálculo MP'!Q245)</f>
        <v/>
      </c>
      <c r="BF235" s="60" t="str">
        <f>IF('Cálculo MP'!R245="","",'Cálculo MP'!R245)</f>
        <v/>
      </c>
      <c r="BG235" s="60" t="str">
        <f>IF('Cálculo MP'!S245="","",'Cálculo MP'!S245)</f>
        <v/>
      </c>
      <c r="BH235" s="59"/>
      <c r="BI235" s="59"/>
      <c r="BJ235" s="59"/>
      <c r="BK235" s="59"/>
      <c r="BL235" s="59"/>
      <c r="BM235" s="59"/>
      <c r="BN235" s="59"/>
      <c r="BO235" s="59"/>
    </row>
    <row r="236" spans="1:67" ht="19.5" customHeight="1" x14ac:dyDescent="0.2">
      <c r="A236" s="114" t="s">
        <v>1789</v>
      </c>
      <c r="B236" s="113" t="s">
        <v>1787</v>
      </c>
      <c r="C236" s="122"/>
      <c r="D236" s="48" t="s">
        <v>73</v>
      </c>
      <c r="E236" s="49"/>
      <c r="F236" s="50"/>
      <c r="G236" s="62"/>
      <c r="H236" s="48" t="s">
        <v>72</v>
      </c>
      <c r="I236" s="52">
        <v>1</v>
      </c>
      <c r="J236" s="52"/>
      <c r="K236" s="52" t="s">
        <v>73</v>
      </c>
      <c r="L236" s="52" t="s">
        <v>74</v>
      </c>
      <c r="M236" s="53" t="s">
        <v>917</v>
      </c>
      <c r="N236" s="58" t="s">
        <v>73</v>
      </c>
      <c r="O236" s="48" t="s">
        <v>72</v>
      </c>
      <c r="P236" s="48" t="s">
        <v>73</v>
      </c>
      <c r="Q236" s="54" t="s">
        <v>73</v>
      </c>
      <c r="R236" s="55" t="s">
        <v>73</v>
      </c>
      <c r="S236" s="48" t="s">
        <v>73</v>
      </c>
      <c r="T236" s="121" t="str" cm="1">
        <f t="array" ref="T236">IF(ISNUMBER(SEARCH("SCHNEIDER",D236)),_xlfn.IFS(ISNUMBER(SEARCH("2 Querétaro",D236)),"SQ2",ISNUMBER(SEARCH("Xicohténcatl",D236)),"SXC",ISNUMBER(SEARCH("Rojo Gómez",D236)),"SRG",ISNUMBER(SEARCH("Tlaxcala",D236)),"STX",ISNUMBER(SEARCH("Monterrey",D236)),"SMY",ISNUMBER(SEARCH("Querétaro",D236)),"SQ1",ISNUMBER(SEARCH("CDMX",D236)),"SCM",TRUE,""),"")</f>
        <v/>
      </c>
      <c r="U236" s="48" t="str" cm="1">
        <f t="array" ref="U236">_xlfn.LET(_xlpm.resultados,_xlfn.UNIQUE(_xlfn._xlws.FILTER(Tabla1[Proceso],(Tabla1[Metal Base]=O236)*(Tabla1[Etiquetas]=_xlfn.TEXTJOIN(" + ",TRUE,IF((TRIM(Upload!P236:S236)="")+(LOWER(TRIM(Upload!P236:S236))="(seleccione)"),"",PROPER(TRIM(Upload!P236:S236)))))*(Tabla1[Línea2]=IFERROR(VLOOKUP(Upload!N236&amp;"*",CAT_Procesos!D:D,1,FALSE),"")))),_xlpm.cantidad,ROWS(_xlpm.resultados),IF(ISERROR(_xlpm.cantidad),"Combinación no existente",IF(_xlpm.cantidad=1,INDEX(_xlpm.resultados,1),"(seleccione)")))</f>
        <v>Combinación no existente</v>
      </c>
      <c r="V236" s="55" t="s">
        <v>73</v>
      </c>
      <c r="W236" s="56" t="s">
        <v>73</v>
      </c>
      <c r="X236" s="57" t="str">
        <f t="shared" si="12"/>
        <v/>
      </c>
      <c r="Y236" s="58" t="s">
        <v>73</v>
      </c>
      <c r="Z236" s="57" t="str">
        <f t="shared" si="13"/>
        <v/>
      </c>
      <c r="AA236" s="58" t="s">
        <v>73</v>
      </c>
      <c r="AB236" s="57" t="str">
        <f t="shared" si="14"/>
        <v/>
      </c>
      <c r="AC236" s="58" t="s">
        <v>73</v>
      </c>
      <c r="AD236" s="57" t="str">
        <f t="shared" si="15"/>
        <v/>
      </c>
      <c r="AE236" s="59"/>
      <c r="AF236" s="59"/>
      <c r="AG236" s="59"/>
      <c r="AH236" s="59"/>
      <c r="AI236" s="59" t="s">
        <v>73</v>
      </c>
      <c r="AJ236" s="59"/>
      <c r="AK236" s="59" t="s">
        <v>73</v>
      </c>
      <c r="AL236" s="59"/>
      <c r="AM236" s="59" t="s">
        <v>73</v>
      </c>
      <c r="AN236" s="59"/>
      <c r="AO236" s="59" t="s">
        <v>73</v>
      </c>
      <c r="AP236" s="59"/>
      <c r="AQ236" s="59" t="s">
        <v>73</v>
      </c>
      <c r="AR236" s="59"/>
      <c r="AS236" s="59" t="s">
        <v>72</v>
      </c>
      <c r="AT236" s="59"/>
      <c r="AU236" s="59"/>
      <c r="AV236" s="59"/>
      <c r="AW236" s="59"/>
      <c r="AX236" s="59"/>
      <c r="AY236" s="60" t="str">
        <f>IF('Cálculo MP'!K246="","",'Cálculo MP'!K246)</f>
        <v/>
      </c>
      <c r="AZ236" s="60" t="str">
        <f>IF('Cálculo MP'!L246="","",'Cálculo MP'!L246)</f>
        <v/>
      </c>
      <c r="BA236" s="60" t="str">
        <f>IF('Cálculo MP'!M246="","",'Cálculo MP'!M246)</f>
        <v/>
      </c>
      <c r="BB236" s="60" t="str">
        <f>IF('Cálculo MP'!N246="","",'Cálculo MP'!N246)</f>
        <v/>
      </c>
      <c r="BC236" s="60" t="str">
        <f>IF('Cálculo MP'!O246="","",'Cálculo MP'!O246)</f>
        <v/>
      </c>
      <c r="BD236" s="60" t="str">
        <f>IF('Cálculo MP'!P246="","",'Cálculo MP'!P246)</f>
        <v/>
      </c>
      <c r="BE236" s="60" t="str">
        <f>IF('Cálculo MP'!Q246="","",'Cálculo MP'!Q246)</f>
        <v/>
      </c>
      <c r="BF236" s="60" t="str">
        <f>IF('Cálculo MP'!R246="","",'Cálculo MP'!R246)</f>
        <v/>
      </c>
      <c r="BG236" s="60" t="str">
        <f>IF('Cálculo MP'!S246="","",'Cálculo MP'!S246)</f>
        <v/>
      </c>
      <c r="BH236" s="59"/>
      <c r="BI236" s="59"/>
      <c r="BJ236" s="59"/>
      <c r="BK236" s="59"/>
      <c r="BL236" s="59"/>
      <c r="BM236" s="59"/>
      <c r="BN236" s="59"/>
      <c r="BO236" s="59"/>
    </row>
    <row r="237" spans="1:67" ht="19.5" customHeight="1" x14ac:dyDescent="0.2">
      <c r="A237" s="114" t="s">
        <v>1789</v>
      </c>
      <c r="B237" s="113" t="s">
        <v>1787</v>
      </c>
      <c r="C237" s="122"/>
      <c r="D237" s="48" t="s">
        <v>73</v>
      </c>
      <c r="E237" s="49"/>
      <c r="F237" s="50"/>
      <c r="G237" s="62"/>
      <c r="H237" s="48" t="s">
        <v>72</v>
      </c>
      <c r="I237" s="52">
        <v>1</v>
      </c>
      <c r="J237" s="52"/>
      <c r="K237" s="52" t="s">
        <v>73</v>
      </c>
      <c r="L237" s="52" t="s">
        <v>74</v>
      </c>
      <c r="M237" s="53" t="s">
        <v>917</v>
      </c>
      <c r="N237" s="58" t="s">
        <v>73</v>
      </c>
      <c r="O237" s="48" t="s">
        <v>72</v>
      </c>
      <c r="P237" s="48" t="s">
        <v>73</v>
      </c>
      <c r="Q237" s="54" t="s">
        <v>73</v>
      </c>
      <c r="R237" s="55" t="s">
        <v>73</v>
      </c>
      <c r="S237" s="48" t="s">
        <v>73</v>
      </c>
      <c r="T237" s="121" t="str" cm="1">
        <f t="array" ref="T237">IF(ISNUMBER(SEARCH("SCHNEIDER",D237)),_xlfn.IFS(ISNUMBER(SEARCH("2 Querétaro",D237)),"SQ2",ISNUMBER(SEARCH("Xicohténcatl",D237)),"SXC",ISNUMBER(SEARCH("Rojo Gómez",D237)),"SRG",ISNUMBER(SEARCH("Tlaxcala",D237)),"STX",ISNUMBER(SEARCH("Monterrey",D237)),"SMY",ISNUMBER(SEARCH("Querétaro",D237)),"SQ1",ISNUMBER(SEARCH("CDMX",D237)),"SCM",TRUE,""),"")</f>
        <v/>
      </c>
      <c r="U237" s="48" t="str" cm="1">
        <f t="array" ref="U237">_xlfn.LET(_xlpm.resultados,_xlfn.UNIQUE(_xlfn._xlws.FILTER(Tabla1[Proceso],(Tabla1[Metal Base]=O237)*(Tabla1[Etiquetas]=_xlfn.TEXTJOIN(" + ",TRUE,IF((TRIM(Upload!P237:S237)="")+(LOWER(TRIM(Upload!P237:S237))="(seleccione)"),"",PROPER(TRIM(Upload!P237:S237)))))*(Tabla1[Línea2]=IFERROR(VLOOKUP(Upload!N237&amp;"*",CAT_Procesos!D:D,1,FALSE),"")))),_xlpm.cantidad,ROWS(_xlpm.resultados),IF(ISERROR(_xlpm.cantidad),"Combinación no existente",IF(_xlpm.cantidad=1,INDEX(_xlpm.resultados,1),"(seleccione)")))</f>
        <v>Combinación no existente</v>
      </c>
      <c r="V237" s="55" t="s">
        <v>73</v>
      </c>
      <c r="W237" s="56" t="s">
        <v>73</v>
      </c>
      <c r="X237" s="57" t="str">
        <f t="shared" si="12"/>
        <v/>
      </c>
      <c r="Y237" s="58" t="s">
        <v>73</v>
      </c>
      <c r="Z237" s="57" t="str">
        <f t="shared" si="13"/>
        <v/>
      </c>
      <c r="AA237" s="58" t="s">
        <v>73</v>
      </c>
      <c r="AB237" s="57" t="str">
        <f t="shared" si="14"/>
        <v/>
      </c>
      <c r="AC237" s="58" t="s">
        <v>73</v>
      </c>
      <c r="AD237" s="57" t="str">
        <f t="shared" si="15"/>
        <v/>
      </c>
      <c r="AE237" s="59"/>
      <c r="AF237" s="59"/>
      <c r="AG237" s="59"/>
      <c r="AH237" s="59"/>
      <c r="AI237" s="59" t="s">
        <v>73</v>
      </c>
      <c r="AJ237" s="59"/>
      <c r="AK237" s="59" t="s">
        <v>73</v>
      </c>
      <c r="AL237" s="59"/>
      <c r="AM237" s="59" t="s">
        <v>73</v>
      </c>
      <c r="AN237" s="59"/>
      <c r="AO237" s="59" t="s">
        <v>73</v>
      </c>
      <c r="AP237" s="59"/>
      <c r="AQ237" s="59" t="s">
        <v>73</v>
      </c>
      <c r="AR237" s="59"/>
      <c r="AS237" s="59" t="s">
        <v>72</v>
      </c>
      <c r="AT237" s="59"/>
      <c r="AU237" s="59"/>
      <c r="AV237" s="59"/>
      <c r="AW237" s="59"/>
      <c r="AX237" s="59"/>
      <c r="AY237" s="60" t="str">
        <f>IF('Cálculo MP'!K247="","",'Cálculo MP'!K247)</f>
        <v/>
      </c>
      <c r="AZ237" s="60" t="str">
        <f>IF('Cálculo MP'!L247="","",'Cálculo MP'!L247)</f>
        <v/>
      </c>
      <c r="BA237" s="60" t="str">
        <f>IF('Cálculo MP'!M247="","",'Cálculo MP'!M247)</f>
        <v/>
      </c>
      <c r="BB237" s="60" t="str">
        <f>IF('Cálculo MP'!N247="","",'Cálculo MP'!N247)</f>
        <v/>
      </c>
      <c r="BC237" s="60" t="str">
        <f>IF('Cálculo MP'!O247="","",'Cálculo MP'!O247)</f>
        <v/>
      </c>
      <c r="BD237" s="60" t="str">
        <f>IF('Cálculo MP'!P247="","",'Cálculo MP'!P247)</f>
        <v/>
      </c>
      <c r="BE237" s="60" t="str">
        <f>IF('Cálculo MP'!Q247="","",'Cálculo MP'!Q247)</f>
        <v/>
      </c>
      <c r="BF237" s="60" t="str">
        <f>IF('Cálculo MP'!R247="","",'Cálculo MP'!R247)</f>
        <v/>
      </c>
      <c r="BG237" s="60" t="str">
        <f>IF('Cálculo MP'!S247="","",'Cálculo MP'!S247)</f>
        <v/>
      </c>
      <c r="BH237" s="59"/>
      <c r="BI237" s="59"/>
      <c r="BJ237" s="59"/>
      <c r="BK237" s="59"/>
      <c r="BL237" s="59"/>
      <c r="BM237" s="59"/>
      <c r="BN237" s="59"/>
      <c r="BO237" s="59"/>
    </row>
    <row r="238" spans="1:67" ht="19.5" customHeight="1" x14ac:dyDescent="0.2">
      <c r="A238" s="114" t="s">
        <v>1789</v>
      </c>
      <c r="B238" s="113" t="s">
        <v>1787</v>
      </c>
      <c r="C238" s="122"/>
      <c r="D238" s="48" t="s">
        <v>73</v>
      </c>
      <c r="E238" s="49"/>
      <c r="F238" s="50"/>
      <c r="G238" s="62"/>
      <c r="H238" s="48" t="s">
        <v>72</v>
      </c>
      <c r="I238" s="52">
        <v>1</v>
      </c>
      <c r="J238" s="52"/>
      <c r="K238" s="52" t="s">
        <v>73</v>
      </c>
      <c r="L238" s="52" t="s">
        <v>74</v>
      </c>
      <c r="M238" s="53" t="s">
        <v>917</v>
      </c>
      <c r="N238" s="58" t="s">
        <v>73</v>
      </c>
      <c r="O238" s="48" t="s">
        <v>72</v>
      </c>
      <c r="P238" s="48" t="s">
        <v>73</v>
      </c>
      <c r="Q238" s="54" t="s">
        <v>73</v>
      </c>
      <c r="R238" s="55" t="s">
        <v>73</v>
      </c>
      <c r="S238" s="48" t="s">
        <v>73</v>
      </c>
      <c r="T238" s="121" t="str" cm="1">
        <f t="array" ref="T238">IF(ISNUMBER(SEARCH("SCHNEIDER",D238)),_xlfn.IFS(ISNUMBER(SEARCH("2 Querétaro",D238)),"SQ2",ISNUMBER(SEARCH("Xicohténcatl",D238)),"SXC",ISNUMBER(SEARCH("Rojo Gómez",D238)),"SRG",ISNUMBER(SEARCH("Tlaxcala",D238)),"STX",ISNUMBER(SEARCH("Monterrey",D238)),"SMY",ISNUMBER(SEARCH("Querétaro",D238)),"SQ1",ISNUMBER(SEARCH("CDMX",D238)),"SCM",TRUE,""),"")</f>
        <v/>
      </c>
      <c r="U238" s="48" t="str" cm="1">
        <f t="array" ref="U238">_xlfn.LET(_xlpm.resultados,_xlfn.UNIQUE(_xlfn._xlws.FILTER(Tabla1[Proceso],(Tabla1[Metal Base]=O238)*(Tabla1[Etiquetas]=_xlfn.TEXTJOIN(" + ",TRUE,IF((TRIM(Upload!P238:S238)="")+(LOWER(TRIM(Upload!P238:S238))="(seleccione)"),"",PROPER(TRIM(Upload!P238:S238)))))*(Tabla1[Línea2]=IFERROR(VLOOKUP(Upload!N238&amp;"*",CAT_Procesos!D:D,1,FALSE),"")))),_xlpm.cantidad,ROWS(_xlpm.resultados),IF(ISERROR(_xlpm.cantidad),"Combinación no existente",IF(_xlpm.cantidad=1,INDEX(_xlpm.resultados,1),"(seleccione)")))</f>
        <v>Combinación no existente</v>
      </c>
      <c r="V238" s="55" t="s">
        <v>73</v>
      </c>
      <c r="W238" s="56" t="s">
        <v>73</v>
      </c>
      <c r="X238" s="57" t="str">
        <f t="shared" si="12"/>
        <v/>
      </c>
      <c r="Y238" s="58" t="s">
        <v>73</v>
      </c>
      <c r="Z238" s="57" t="str">
        <f t="shared" si="13"/>
        <v/>
      </c>
      <c r="AA238" s="58" t="s">
        <v>73</v>
      </c>
      <c r="AB238" s="57" t="str">
        <f t="shared" si="14"/>
        <v/>
      </c>
      <c r="AC238" s="58" t="s">
        <v>73</v>
      </c>
      <c r="AD238" s="57" t="str">
        <f t="shared" si="15"/>
        <v/>
      </c>
      <c r="AE238" s="59"/>
      <c r="AF238" s="59"/>
      <c r="AG238" s="59"/>
      <c r="AH238" s="59"/>
      <c r="AI238" s="59" t="s">
        <v>73</v>
      </c>
      <c r="AJ238" s="59"/>
      <c r="AK238" s="59" t="s">
        <v>73</v>
      </c>
      <c r="AL238" s="59"/>
      <c r="AM238" s="59" t="s">
        <v>73</v>
      </c>
      <c r="AN238" s="59"/>
      <c r="AO238" s="59" t="s">
        <v>73</v>
      </c>
      <c r="AP238" s="59"/>
      <c r="AQ238" s="59" t="s">
        <v>73</v>
      </c>
      <c r="AR238" s="59"/>
      <c r="AS238" s="59" t="s">
        <v>72</v>
      </c>
      <c r="AT238" s="59"/>
      <c r="AU238" s="59"/>
      <c r="AV238" s="59"/>
      <c r="AW238" s="59"/>
      <c r="AX238" s="59"/>
      <c r="AY238" s="60" t="str">
        <f>IF('Cálculo MP'!K248="","",'Cálculo MP'!K248)</f>
        <v/>
      </c>
      <c r="AZ238" s="60" t="str">
        <f>IF('Cálculo MP'!L248="","",'Cálculo MP'!L248)</f>
        <v/>
      </c>
      <c r="BA238" s="60" t="str">
        <f>IF('Cálculo MP'!M248="","",'Cálculo MP'!M248)</f>
        <v/>
      </c>
      <c r="BB238" s="60" t="str">
        <f>IF('Cálculo MP'!N248="","",'Cálculo MP'!N248)</f>
        <v/>
      </c>
      <c r="BC238" s="60" t="str">
        <f>IF('Cálculo MP'!O248="","",'Cálculo MP'!O248)</f>
        <v/>
      </c>
      <c r="BD238" s="60" t="str">
        <f>IF('Cálculo MP'!P248="","",'Cálculo MP'!P248)</f>
        <v/>
      </c>
      <c r="BE238" s="60" t="str">
        <f>IF('Cálculo MP'!Q248="","",'Cálculo MP'!Q248)</f>
        <v/>
      </c>
      <c r="BF238" s="60" t="str">
        <f>IF('Cálculo MP'!R248="","",'Cálculo MP'!R248)</f>
        <v/>
      </c>
      <c r="BG238" s="60" t="str">
        <f>IF('Cálculo MP'!S248="","",'Cálculo MP'!S248)</f>
        <v/>
      </c>
      <c r="BH238" s="59"/>
      <c r="BI238" s="59"/>
      <c r="BJ238" s="59"/>
      <c r="BK238" s="59"/>
      <c r="BL238" s="59"/>
      <c r="BM238" s="59"/>
      <c r="BN238" s="59"/>
      <c r="BO238" s="59"/>
    </row>
    <row r="239" spans="1:67" ht="19.5" customHeight="1" x14ac:dyDescent="0.2">
      <c r="A239" s="114" t="s">
        <v>1789</v>
      </c>
      <c r="B239" s="113" t="s">
        <v>1787</v>
      </c>
      <c r="C239" s="122"/>
      <c r="D239" s="48" t="s">
        <v>73</v>
      </c>
      <c r="E239" s="49"/>
      <c r="F239" s="50"/>
      <c r="G239" s="62"/>
      <c r="H239" s="48" t="s">
        <v>72</v>
      </c>
      <c r="I239" s="52">
        <v>1</v>
      </c>
      <c r="J239" s="52"/>
      <c r="K239" s="52" t="s">
        <v>73</v>
      </c>
      <c r="L239" s="52" t="s">
        <v>74</v>
      </c>
      <c r="M239" s="53" t="s">
        <v>917</v>
      </c>
      <c r="N239" s="58" t="s">
        <v>73</v>
      </c>
      <c r="O239" s="48" t="s">
        <v>72</v>
      </c>
      <c r="P239" s="48" t="s">
        <v>73</v>
      </c>
      <c r="Q239" s="54" t="s">
        <v>73</v>
      </c>
      <c r="R239" s="55" t="s">
        <v>73</v>
      </c>
      <c r="S239" s="48" t="s">
        <v>73</v>
      </c>
      <c r="T239" s="121" t="str" cm="1">
        <f t="array" ref="T239">IF(ISNUMBER(SEARCH("SCHNEIDER",D239)),_xlfn.IFS(ISNUMBER(SEARCH("2 Querétaro",D239)),"SQ2",ISNUMBER(SEARCH("Xicohténcatl",D239)),"SXC",ISNUMBER(SEARCH("Rojo Gómez",D239)),"SRG",ISNUMBER(SEARCH("Tlaxcala",D239)),"STX",ISNUMBER(SEARCH("Monterrey",D239)),"SMY",ISNUMBER(SEARCH("Querétaro",D239)),"SQ1",ISNUMBER(SEARCH("CDMX",D239)),"SCM",TRUE,""),"")</f>
        <v/>
      </c>
      <c r="U239" s="48" t="str" cm="1">
        <f t="array" ref="U239">_xlfn.LET(_xlpm.resultados,_xlfn.UNIQUE(_xlfn._xlws.FILTER(Tabla1[Proceso],(Tabla1[Metal Base]=O239)*(Tabla1[Etiquetas]=_xlfn.TEXTJOIN(" + ",TRUE,IF((TRIM(Upload!P239:S239)="")+(LOWER(TRIM(Upload!P239:S239))="(seleccione)"),"",PROPER(TRIM(Upload!P239:S239)))))*(Tabla1[Línea2]=IFERROR(VLOOKUP(Upload!N239&amp;"*",CAT_Procesos!D:D,1,FALSE),"")))),_xlpm.cantidad,ROWS(_xlpm.resultados),IF(ISERROR(_xlpm.cantidad),"Combinación no existente",IF(_xlpm.cantidad=1,INDEX(_xlpm.resultados,1),"(seleccione)")))</f>
        <v>Combinación no existente</v>
      </c>
      <c r="V239" s="55" t="s">
        <v>73</v>
      </c>
      <c r="W239" s="56" t="s">
        <v>73</v>
      </c>
      <c r="X239" s="57" t="str">
        <f t="shared" si="12"/>
        <v/>
      </c>
      <c r="Y239" s="58" t="s">
        <v>73</v>
      </c>
      <c r="Z239" s="57" t="str">
        <f t="shared" si="13"/>
        <v/>
      </c>
      <c r="AA239" s="58" t="s">
        <v>73</v>
      </c>
      <c r="AB239" s="57" t="str">
        <f t="shared" si="14"/>
        <v/>
      </c>
      <c r="AC239" s="58" t="s">
        <v>73</v>
      </c>
      <c r="AD239" s="57" t="str">
        <f t="shared" si="15"/>
        <v/>
      </c>
      <c r="AE239" s="59"/>
      <c r="AF239" s="59"/>
      <c r="AG239" s="59"/>
      <c r="AH239" s="59"/>
      <c r="AI239" s="59" t="s">
        <v>73</v>
      </c>
      <c r="AJ239" s="59"/>
      <c r="AK239" s="59" t="s">
        <v>73</v>
      </c>
      <c r="AL239" s="59"/>
      <c r="AM239" s="59" t="s">
        <v>73</v>
      </c>
      <c r="AN239" s="59"/>
      <c r="AO239" s="59" t="s">
        <v>73</v>
      </c>
      <c r="AP239" s="59"/>
      <c r="AQ239" s="59" t="s">
        <v>73</v>
      </c>
      <c r="AR239" s="59"/>
      <c r="AS239" s="59" t="s">
        <v>72</v>
      </c>
      <c r="AT239" s="59"/>
      <c r="AU239" s="59"/>
      <c r="AV239" s="59"/>
      <c r="AW239" s="59"/>
      <c r="AX239" s="59"/>
      <c r="AY239" s="60" t="str">
        <f>IF('Cálculo MP'!K249="","",'Cálculo MP'!K249)</f>
        <v/>
      </c>
      <c r="AZ239" s="60" t="str">
        <f>IF('Cálculo MP'!L249="","",'Cálculo MP'!L249)</f>
        <v/>
      </c>
      <c r="BA239" s="60" t="str">
        <f>IF('Cálculo MP'!M249="","",'Cálculo MP'!M249)</f>
        <v/>
      </c>
      <c r="BB239" s="60" t="str">
        <f>IF('Cálculo MP'!N249="","",'Cálculo MP'!N249)</f>
        <v/>
      </c>
      <c r="BC239" s="60" t="str">
        <f>IF('Cálculo MP'!O249="","",'Cálculo MP'!O249)</f>
        <v/>
      </c>
      <c r="BD239" s="60" t="str">
        <f>IF('Cálculo MP'!P249="","",'Cálculo MP'!P249)</f>
        <v/>
      </c>
      <c r="BE239" s="60" t="str">
        <f>IF('Cálculo MP'!Q249="","",'Cálculo MP'!Q249)</f>
        <v/>
      </c>
      <c r="BF239" s="60" t="str">
        <f>IF('Cálculo MP'!R249="","",'Cálculo MP'!R249)</f>
        <v/>
      </c>
      <c r="BG239" s="60" t="str">
        <f>IF('Cálculo MP'!S249="","",'Cálculo MP'!S249)</f>
        <v/>
      </c>
      <c r="BH239" s="59"/>
      <c r="BI239" s="59"/>
      <c r="BJ239" s="59"/>
      <c r="BK239" s="59"/>
      <c r="BL239" s="59"/>
      <c r="BM239" s="59"/>
      <c r="BN239" s="59"/>
      <c r="BO239" s="59"/>
    </row>
    <row r="240" spans="1:67" ht="19.5" customHeight="1" x14ac:dyDescent="0.2">
      <c r="A240" s="114" t="s">
        <v>1789</v>
      </c>
      <c r="B240" s="113" t="s">
        <v>1787</v>
      </c>
      <c r="C240" s="122"/>
      <c r="D240" s="48" t="s">
        <v>73</v>
      </c>
      <c r="E240" s="49"/>
      <c r="F240" s="50"/>
      <c r="G240" s="62"/>
      <c r="H240" s="48" t="s">
        <v>72</v>
      </c>
      <c r="I240" s="52">
        <v>1</v>
      </c>
      <c r="J240" s="52"/>
      <c r="K240" s="52" t="s">
        <v>73</v>
      </c>
      <c r="L240" s="52" t="s">
        <v>74</v>
      </c>
      <c r="M240" s="53" t="s">
        <v>917</v>
      </c>
      <c r="N240" s="58" t="s">
        <v>73</v>
      </c>
      <c r="O240" s="48" t="s">
        <v>72</v>
      </c>
      <c r="P240" s="48" t="s">
        <v>73</v>
      </c>
      <c r="Q240" s="54" t="s">
        <v>73</v>
      </c>
      <c r="R240" s="55" t="s">
        <v>73</v>
      </c>
      <c r="S240" s="48" t="s">
        <v>73</v>
      </c>
      <c r="T240" s="121" t="str" cm="1">
        <f t="array" ref="T240">IF(ISNUMBER(SEARCH("SCHNEIDER",D240)),_xlfn.IFS(ISNUMBER(SEARCH("2 Querétaro",D240)),"SQ2",ISNUMBER(SEARCH("Xicohténcatl",D240)),"SXC",ISNUMBER(SEARCH("Rojo Gómez",D240)),"SRG",ISNUMBER(SEARCH("Tlaxcala",D240)),"STX",ISNUMBER(SEARCH("Monterrey",D240)),"SMY",ISNUMBER(SEARCH("Querétaro",D240)),"SQ1",ISNUMBER(SEARCH("CDMX",D240)),"SCM",TRUE,""),"")</f>
        <v/>
      </c>
      <c r="U240" s="48" t="str" cm="1">
        <f t="array" ref="U240">_xlfn.LET(_xlpm.resultados,_xlfn.UNIQUE(_xlfn._xlws.FILTER(Tabla1[Proceso],(Tabla1[Metal Base]=O240)*(Tabla1[Etiquetas]=_xlfn.TEXTJOIN(" + ",TRUE,IF((TRIM(Upload!P240:S240)="")+(LOWER(TRIM(Upload!P240:S240))="(seleccione)"),"",PROPER(TRIM(Upload!P240:S240)))))*(Tabla1[Línea2]=IFERROR(VLOOKUP(Upload!N240&amp;"*",CAT_Procesos!D:D,1,FALSE),"")))),_xlpm.cantidad,ROWS(_xlpm.resultados),IF(ISERROR(_xlpm.cantidad),"Combinación no existente",IF(_xlpm.cantidad=1,INDEX(_xlpm.resultados,1),"(seleccione)")))</f>
        <v>Combinación no existente</v>
      </c>
      <c r="V240" s="55" t="s">
        <v>73</v>
      </c>
      <c r="W240" s="56" t="s">
        <v>73</v>
      </c>
      <c r="X240" s="57" t="str">
        <f t="shared" si="12"/>
        <v/>
      </c>
      <c r="Y240" s="58" t="s">
        <v>73</v>
      </c>
      <c r="Z240" s="57" t="str">
        <f t="shared" si="13"/>
        <v/>
      </c>
      <c r="AA240" s="58" t="s">
        <v>73</v>
      </c>
      <c r="AB240" s="57" t="str">
        <f t="shared" si="14"/>
        <v/>
      </c>
      <c r="AC240" s="58" t="s">
        <v>73</v>
      </c>
      <c r="AD240" s="57" t="str">
        <f t="shared" si="15"/>
        <v/>
      </c>
      <c r="AE240" s="59"/>
      <c r="AF240" s="59"/>
      <c r="AG240" s="59"/>
      <c r="AH240" s="59"/>
      <c r="AI240" s="59" t="s">
        <v>73</v>
      </c>
      <c r="AJ240" s="59"/>
      <c r="AK240" s="59" t="s">
        <v>73</v>
      </c>
      <c r="AL240" s="59"/>
      <c r="AM240" s="59" t="s">
        <v>73</v>
      </c>
      <c r="AN240" s="59"/>
      <c r="AO240" s="59" t="s">
        <v>73</v>
      </c>
      <c r="AP240" s="59"/>
      <c r="AQ240" s="59" t="s">
        <v>73</v>
      </c>
      <c r="AR240" s="59"/>
      <c r="AS240" s="59" t="s">
        <v>72</v>
      </c>
      <c r="AT240" s="59"/>
      <c r="AU240" s="59"/>
      <c r="AV240" s="59"/>
      <c r="AW240" s="59"/>
      <c r="AX240" s="59"/>
      <c r="AY240" s="60" t="str">
        <f>IF('Cálculo MP'!K250="","",'Cálculo MP'!K250)</f>
        <v/>
      </c>
      <c r="AZ240" s="60" t="str">
        <f>IF('Cálculo MP'!L250="","",'Cálculo MP'!L250)</f>
        <v/>
      </c>
      <c r="BA240" s="60" t="str">
        <f>IF('Cálculo MP'!M250="","",'Cálculo MP'!M250)</f>
        <v/>
      </c>
      <c r="BB240" s="60" t="str">
        <f>IF('Cálculo MP'!N250="","",'Cálculo MP'!N250)</f>
        <v/>
      </c>
      <c r="BC240" s="60" t="str">
        <f>IF('Cálculo MP'!O250="","",'Cálculo MP'!O250)</f>
        <v/>
      </c>
      <c r="BD240" s="60" t="str">
        <f>IF('Cálculo MP'!P250="","",'Cálculo MP'!P250)</f>
        <v/>
      </c>
      <c r="BE240" s="60" t="str">
        <f>IF('Cálculo MP'!Q250="","",'Cálculo MP'!Q250)</f>
        <v/>
      </c>
      <c r="BF240" s="60" t="str">
        <f>IF('Cálculo MP'!R250="","",'Cálculo MP'!R250)</f>
        <v/>
      </c>
      <c r="BG240" s="60" t="str">
        <f>IF('Cálculo MP'!S250="","",'Cálculo MP'!S250)</f>
        <v/>
      </c>
      <c r="BH240" s="59"/>
      <c r="BI240" s="59"/>
      <c r="BJ240" s="59"/>
      <c r="BK240" s="59"/>
      <c r="BL240" s="59"/>
      <c r="BM240" s="59"/>
      <c r="BN240" s="59"/>
      <c r="BO240" s="59"/>
    </row>
    <row r="241" spans="1:67" ht="19.5" customHeight="1" x14ac:dyDescent="0.2">
      <c r="A241" s="114" t="s">
        <v>1789</v>
      </c>
      <c r="B241" s="113" t="s">
        <v>1787</v>
      </c>
      <c r="C241" s="122"/>
      <c r="D241" s="48" t="s">
        <v>73</v>
      </c>
      <c r="E241" s="49"/>
      <c r="F241" s="50"/>
      <c r="G241" s="62"/>
      <c r="H241" s="48" t="s">
        <v>72</v>
      </c>
      <c r="I241" s="52">
        <v>1</v>
      </c>
      <c r="J241" s="52"/>
      <c r="K241" s="52" t="s">
        <v>73</v>
      </c>
      <c r="L241" s="52" t="s">
        <v>74</v>
      </c>
      <c r="M241" s="53" t="s">
        <v>917</v>
      </c>
      <c r="N241" s="58" t="s">
        <v>73</v>
      </c>
      <c r="O241" s="48" t="s">
        <v>72</v>
      </c>
      <c r="P241" s="48" t="s">
        <v>73</v>
      </c>
      <c r="Q241" s="54" t="s">
        <v>73</v>
      </c>
      <c r="R241" s="55" t="s">
        <v>73</v>
      </c>
      <c r="S241" s="48" t="s">
        <v>73</v>
      </c>
      <c r="T241" s="121" t="str" cm="1">
        <f t="array" ref="T241">IF(ISNUMBER(SEARCH("SCHNEIDER",D241)),_xlfn.IFS(ISNUMBER(SEARCH("2 Querétaro",D241)),"SQ2",ISNUMBER(SEARCH("Xicohténcatl",D241)),"SXC",ISNUMBER(SEARCH("Rojo Gómez",D241)),"SRG",ISNUMBER(SEARCH("Tlaxcala",D241)),"STX",ISNUMBER(SEARCH("Monterrey",D241)),"SMY",ISNUMBER(SEARCH("Querétaro",D241)),"SQ1",ISNUMBER(SEARCH("CDMX",D241)),"SCM",TRUE,""),"")</f>
        <v/>
      </c>
      <c r="U241" s="48" t="str" cm="1">
        <f t="array" ref="U241">_xlfn.LET(_xlpm.resultados,_xlfn.UNIQUE(_xlfn._xlws.FILTER(Tabla1[Proceso],(Tabla1[Metal Base]=O241)*(Tabla1[Etiquetas]=_xlfn.TEXTJOIN(" + ",TRUE,IF((TRIM(Upload!P241:S241)="")+(LOWER(TRIM(Upload!P241:S241))="(seleccione)"),"",PROPER(TRIM(Upload!P241:S241)))))*(Tabla1[Línea2]=IFERROR(VLOOKUP(Upload!N241&amp;"*",CAT_Procesos!D:D,1,FALSE),"")))),_xlpm.cantidad,ROWS(_xlpm.resultados),IF(ISERROR(_xlpm.cantidad),"Combinación no existente",IF(_xlpm.cantidad=1,INDEX(_xlpm.resultados,1),"(seleccione)")))</f>
        <v>Combinación no existente</v>
      </c>
      <c r="V241" s="55" t="s">
        <v>73</v>
      </c>
      <c r="W241" s="56" t="s">
        <v>73</v>
      </c>
      <c r="X241" s="57" t="str">
        <f t="shared" si="12"/>
        <v/>
      </c>
      <c r="Y241" s="58" t="s">
        <v>73</v>
      </c>
      <c r="Z241" s="57" t="str">
        <f t="shared" si="13"/>
        <v/>
      </c>
      <c r="AA241" s="58" t="s">
        <v>73</v>
      </c>
      <c r="AB241" s="57" t="str">
        <f t="shared" si="14"/>
        <v/>
      </c>
      <c r="AC241" s="58" t="s">
        <v>73</v>
      </c>
      <c r="AD241" s="57" t="str">
        <f t="shared" si="15"/>
        <v/>
      </c>
      <c r="AE241" s="59"/>
      <c r="AF241" s="59"/>
      <c r="AG241" s="59"/>
      <c r="AH241" s="59"/>
      <c r="AI241" s="59" t="s">
        <v>73</v>
      </c>
      <c r="AJ241" s="59"/>
      <c r="AK241" s="59" t="s">
        <v>73</v>
      </c>
      <c r="AL241" s="59"/>
      <c r="AM241" s="59" t="s">
        <v>73</v>
      </c>
      <c r="AN241" s="59"/>
      <c r="AO241" s="59" t="s">
        <v>73</v>
      </c>
      <c r="AP241" s="59"/>
      <c r="AQ241" s="59" t="s">
        <v>73</v>
      </c>
      <c r="AR241" s="59"/>
      <c r="AS241" s="59" t="s">
        <v>72</v>
      </c>
      <c r="AT241" s="59"/>
      <c r="AU241" s="59"/>
      <c r="AV241" s="59"/>
      <c r="AW241" s="59"/>
      <c r="AX241" s="59"/>
      <c r="AY241" s="60" t="str">
        <f>IF('Cálculo MP'!K251="","",'Cálculo MP'!K251)</f>
        <v/>
      </c>
      <c r="AZ241" s="60" t="str">
        <f>IF('Cálculo MP'!L251="","",'Cálculo MP'!L251)</f>
        <v/>
      </c>
      <c r="BA241" s="60" t="str">
        <f>IF('Cálculo MP'!M251="","",'Cálculo MP'!M251)</f>
        <v/>
      </c>
      <c r="BB241" s="60" t="str">
        <f>IF('Cálculo MP'!N251="","",'Cálculo MP'!N251)</f>
        <v/>
      </c>
      <c r="BC241" s="60" t="str">
        <f>IF('Cálculo MP'!O251="","",'Cálculo MP'!O251)</f>
        <v/>
      </c>
      <c r="BD241" s="60" t="str">
        <f>IF('Cálculo MP'!P251="","",'Cálculo MP'!P251)</f>
        <v/>
      </c>
      <c r="BE241" s="60" t="str">
        <f>IF('Cálculo MP'!Q251="","",'Cálculo MP'!Q251)</f>
        <v/>
      </c>
      <c r="BF241" s="60" t="str">
        <f>IF('Cálculo MP'!R251="","",'Cálculo MP'!R251)</f>
        <v/>
      </c>
      <c r="BG241" s="60" t="str">
        <f>IF('Cálculo MP'!S251="","",'Cálculo MP'!S251)</f>
        <v/>
      </c>
      <c r="BH241" s="59"/>
      <c r="BI241" s="59"/>
      <c r="BJ241" s="59"/>
      <c r="BK241" s="59"/>
      <c r="BL241" s="59"/>
      <c r="BM241" s="59"/>
      <c r="BN241" s="59"/>
      <c r="BO241" s="59"/>
    </row>
    <row r="242" spans="1:67" ht="19.5" customHeight="1" x14ac:dyDescent="0.2">
      <c r="A242" s="114" t="s">
        <v>1789</v>
      </c>
      <c r="B242" s="113" t="s">
        <v>1787</v>
      </c>
      <c r="C242" s="122"/>
      <c r="D242" s="48" t="s">
        <v>73</v>
      </c>
      <c r="E242" s="49"/>
      <c r="F242" s="50"/>
      <c r="G242" s="62"/>
      <c r="H242" s="48" t="s">
        <v>72</v>
      </c>
      <c r="I242" s="52">
        <v>1</v>
      </c>
      <c r="J242" s="52"/>
      <c r="K242" s="52" t="s">
        <v>73</v>
      </c>
      <c r="L242" s="52" t="s">
        <v>74</v>
      </c>
      <c r="M242" s="53" t="s">
        <v>917</v>
      </c>
      <c r="N242" s="58" t="s">
        <v>73</v>
      </c>
      <c r="O242" s="48" t="s">
        <v>72</v>
      </c>
      <c r="P242" s="48" t="s">
        <v>73</v>
      </c>
      <c r="Q242" s="54" t="s">
        <v>73</v>
      </c>
      <c r="R242" s="55" t="s">
        <v>73</v>
      </c>
      <c r="S242" s="48" t="s">
        <v>73</v>
      </c>
      <c r="T242" s="121" t="str" cm="1">
        <f t="array" ref="T242">IF(ISNUMBER(SEARCH("SCHNEIDER",D242)),_xlfn.IFS(ISNUMBER(SEARCH("2 Querétaro",D242)),"SQ2",ISNUMBER(SEARCH("Xicohténcatl",D242)),"SXC",ISNUMBER(SEARCH("Rojo Gómez",D242)),"SRG",ISNUMBER(SEARCH("Tlaxcala",D242)),"STX",ISNUMBER(SEARCH("Monterrey",D242)),"SMY",ISNUMBER(SEARCH("Querétaro",D242)),"SQ1",ISNUMBER(SEARCH("CDMX",D242)),"SCM",TRUE,""),"")</f>
        <v/>
      </c>
      <c r="U242" s="48" t="str" cm="1">
        <f t="array" ref="U242">_xlfn.LET(_xlpm.resultados,_xlfn.UNIQUE(_xlfn._xlws.FILTER(Tabla1[Proceso],(Tabla1[Metal Base]=O242)*(Tabla1[Etiquetas]=_xlfn.TEXTJOIN(" + ",TRUE,IF((TRIM(Upload!P242:S242)="")+(LOWER(TRIM(Upload!P242:S242))="(seleccione)"),"",PROPER(TRIM(Upload!P242:S242)))))*(Tabla1[Línea2]=IFERROR(VLOOKUP(Upload!N242&amp;"*",CAT_Procesos!D:D,1,FALSE),"")))),_xlpm.cantidad,ROWS(_xlpm.resultados),IF(ISERROR(_xlpm.cantidad),"Combinación no existente",IF(_xlpm.cantidad=1,INDEX(_xlpm.resultados,1),"(seleccione)")))</f>
        <v>Combinación no existente</v>
      </c>
      <c r="V242" s="55" t="s">
        <v>73</v>
      </c>
      <c r="W242" s="56" t="s">
        <v>73</v>
      </c>
      <c r="X242" s="57" t="str">
        <f t="shared" si="12"/>
        <v/>
      </c>
      <c r="Y242" s="58" t="s">
        <v>73</v>
      </c>
      <c r="Z242" s="57" t="str">
        <f t="shared" si="13"/>
        <v/>
      </c>
      <c r="AA242" s="58" t="s">
        <v>73</v>
      </c>
      <c r="AB242" s="57" t="str">
        <f t="shared" si="14"/>
        <v/>
      </c>
      <c r="AC242" s="58" t="s">
        <v>73</v>
      </c>
      <c r="AD242" s="57" t="str">
        <f t="shared" si="15"/>
        <v/>
      </c>
      <c r="AE242" s="59"/>
      <c r="AF242" s="59"/>
      <c r="AG242" s="59"/>
      <c r="AH242" s="59"/>
      <c r="AI242" s="59" t="s">
        <v>73</v>
      </c>
      <c r="AJ242" s="59"/>
      <c r="AK242" s="59" t="s">
        <v>73</v>
      </c>
      <c r="AL242" s="59"/>
      <c r="AM242" s="59" t="s">
        <v>73</v>
      </c>
      <c r="AN242" s="59"/>
      <c r="AO242" s="59" t="s">
        <v>73</v>
      </c>
      <c r="AP242" s="59"/>
      <c r="AQ242" s="59" t="s">
        <v>73</v>
      </c>
      <c r="AR242" s="59"/>
      <c r="AS242" s="59" t="s">
        <v>72</v>
      </c>
      <c r="AT242" s="59"/>
      <c r="AU242" s="59"/>
      <c r="AV242" s="59"/>
      <c r="AW242" s="59"/>
      <c r="AX242" s="59"/>
      <c r="AY242" s="60" t="str">
        <f>IF('Cálculo MP'!K252="","",'Cálculo MP'!K252)</f>
        <v/>
      </c>
      <c r="AZ242" s="60" t="str">
        <f>IF('Cálculo MP'!L252="","",'Cálculo MP'!L252)</f>
        <v/>
      </c>
      <c r="BA242" s="60" t="str">
        <f>IF('Cálculo MP'!M252="","",'Cálculo MP'!M252)</f>
        <v/>
      </c>
      <c r="BB242" s="60" t="str">
        <f>IF('Cálculo MP'!N252="","",'Cálculo MP'!N252)</f>
        <v/>
      </c>
      <c r="BC242" s="60" t="str">
        <f>IF('Cálculo MP'!O252="","",'Cálculo MP'!O252)</f>
        <v/>
      </c>
      <c r="BD242" s="60" t="str">
        <f>IF('Cálculo MP'!P252="","",'Cálculo MP'!P252)</f>
        <v/>
      </c>
      <c r="BE242" s="60" t="str">
        <f>IF('Cálculo MP'!Q252="","",'Cálculo MP'!Q252)</f>
        <v/>
      </c>
      <c r="BF242" s="60" t="str">
        <f>IF('Cálculo MP'!R252="","",'Cálculo MP'!R252)</f>
        <v/>
      </c>
      <c r="BG242" s="60" t="str">
        <f>IF('Cálculo MP'!S252="","",'Cálculo MP'!S252)</f>
        <v/>
      </c>
      <c r="BH242" s="59"/>
      <c r="BI242" s="59"/>
      <c r="BJ242" s="59"/>
      <c r="BK242" s="59"/>
      <c r="BL242" s="59"/>
      <c r="BM242" s="59"/>
      <c r="BN242" s="59"/>
      <c r="BO242" s="59"/>
    </row>
    <row r="243" spans="1:67" ht="19.5" customHeight="1" x14ac:dyDescent="0.2">
      <c r="A243" s="114" t="s">
        <v>1789</v>
      </c>
      <c r="B243" s="113" t="s">
        <v>1787</v>
      </c>
      <c r="C243" s="122"/>
      <c r="D243" s="48" t="s">
        <v>73</v>
      </c>
      <c r="E243" s="49"/>
      <c r="F243" s="50"/>
      <c r="G243" s="62"/>
      <c r="H243" s="48" t="s">
        <v>72</v>
      </c>
      <c r="I243" s="52">
        <v>1</v>
      </c>
      <c r="J243" s="52"/>
      <c r="K243" s="52" t="s">
        <v>73</v>
      </c>
      <c r="L243" s="52" t="s">
        <v>74</v>
      </c>
      <c r="M243" s="53" t="s">
        <v>917</v>
      </c>
      <c r="N243" s="58" t="s">
        <v>73</v>
      </c>
      <c r="O243" s="48" t="s">
        <v>72</v>
      </c>
      <c r="P243" s="48" t="s">
        <v>73</v>
      </c>
      <c r="Q243" s="54" t="s">
        <v>73</v>
      </c>
      <c r="R243" s="55" t="s">
        <v>73</v>
      </c>
      <c r="S243" s="48" t="s">
        <v>73</v>
      </c>
      <c r="T243" s="121" t="str" cm="1">
        <f t="array" ref="T243">IF(ISNUMBER(SEARCH("SCHNEIDER",D243)),_xlfn.IFS(ISNUMBER(SEARCH("2 Querétaro",D243)),"SQ2",ISNUMBER(SEARCH("Xicohténcatl",D243)),"SXC",ISNUMBER(SEARCH("Rojo Gómez",D243)),"SRG",ISNUMBER(SEARCH("Tlaxcala",D243)),"STX",ISNUMBER(SEARCH("Monterrey",D243)),"SMY",ISNUMBER(SEARCH("Querétaro",D243)),"SQ1",ISNUMBER(SEARCH("CDMX",D243)),"SCM",TRUE,""),"")</f>
        <v/>
      </c>
      <c r="U243" s="48" t="str" cm="1">
        <f t="array" ref="U243">_xlfn.LET(_xlpm.resultados,_xlfn.UNIQUE(_xlfn._xlws.FILTER(Tabla1[Proceso],(Tabla1[Metal Base]=O243)*(Tabla1[Etiquetas]=_xlfn.TEXTJOIN(" + ",TRUE,IF((TRIM(Upload!P243:S243)="")+(LOWER(TRIM(Upload!P243:S243))="(seleccione)"),"",PROPER(TRIM(Upload!P243:S243)))))*(Tabla1[Línea2]=IFERROR(VLOOKUP(Upload!N243&amp;"*",CAT_Procesos!D:D,1,FALSE),"")))),_xlpm.cantidad,ROWS(_xlpm.resultados),IF(ISERROR(_xlpm.cantidad),"Combinación no existente",IF(_xlpm.cantidad=1,INDEX(_xlpm.resultados,1),"(seleccione)")))</f>
        <v>Combinación no existente</v>
      </c>
      <c r="V243" s="55" t="s">
        <v>73</v>
      </c>
      <c r="W243" s="56" t="s">
        <v>73</v>
      </c>
      <c r="X243" s="57" t="str">
        <f t="shared" si="12"/>
        <v/>
      </c>
      <c r="Y243" s="58" t="s">
        <v>73</v>
      </c>
      <c r="Z243" s="57" t="str">
        <f t="shared" si="13"/>
        <v/>
      </c>
      <c r="AA243" s="58" t="s">
        <v>73</v>
      </c>
      <c r="AB243" s="57" t="str">
        <f t="shared" si="14"/>
        <v/>
      </c>
      <c r="AC243" s="58" t="s">
        <v>73</v>
      </c>
      <c r="AD243" s="57" t="str">
        <f t="shared" si="15"/>
        <v/>
      </c>
      <c r="AE243" s="59"/>
      <c r="AF243" s="59"/>
      <c r="AG243" s="59"/>
      <c r="AH243" s="59"/>
      <c r="AI243" s="59" t="s">
        <v>73</v>
      </c>
      <c r="AJ243" s="59"/>
      <c r="AK243" s="59" t="s">
        <v>73</v>
      </c>
      <c r="AL243" s="59"/>
      <c r="AM243" s="59" t="s">
        <v>73</v>
      </c>
      <c r="AN243" s="59"/>
      <c r="AO243" s="59" t="s">
        <v>73</v>
      </c>
      <c r="AP243" s="59"/>
      <c r="AQ243" s="59" t="s">
        <v>73</v>
      </c>
      <c r="AR243" s="59"/>
      <c r="AS243" s="59" t="s">
        <v>72</v>
      </c>
      <c r="AT243" s="59"/>
      <c r="AU243" s="59"/>
      <c r="AV243" s="59"/>
      <c r="AW243" s="59"/>
      <c r="AX243" s="59"/>
      <c r="AY243" s="60" t="str">
        <f>IF('Cálculo MP'!K253="","",'Cálculo MP'!K253)</f>
        <v/>
      </c>
      <c r="AZ243" s="60" t="str">
        <f>IF('Cálculo MP'!L253="","",'Cálculo MP'!L253)</f>
        <v/>
      </c>
      <c r="BA243" s="60" t="str">
        <f>IF('Cálculo MP'!M253="","",'Cálculo MP'!M253)</f>
        <v/>
      </c>
      <c r="BB243" s="60" t="str">
        <f>IF('Cálculo MP'!N253="","",'Cálculo MP'!N253)</f>
        <v/>
      </c>
      <c r="BC243" s="60" t="str">
        <f>IF('Cálculo MP'!O253="","",'Cálculo MP'!O253)</f>
        <v/>
      </c>
      <c r="BD243" s="60" t="str">
        <f>IF('Cálculo MP'!P253="","",'Cálculo MP'!P253)</f>
        <v/>
      </c>
      <c r="BE243" s="60" t="str">
        <f>IF('Cálculo MP'!Q253="","",'Cálculo MP'!Q253)</f>
        <v/>
      </c>
      <c r="BF243" s="60" t="str">
        <f>IF('Cálculo MP'!R253="","",'Cálculo MP'!R253)</f>
        <v/>
      </c>
      <c r="BG243" s="60" t="str">
        <f>IF('Cálculo MP'!S253="","",'Cálculo MP'!S253)</f>
        <v/>
      </c>
      <c r="BH243" s="59"/>
      <c r="BI243" s="59"/>
      <c r="BJ243" s="59"/>
      <c r="BK243" s="59"/>
      <c r="BL243" s="59"/>
      <c r="BM243" s="59"/>
      <c r="BN243" s="59"/>
      <c r="BO243" s="59"/>
    </row>
    <row r="244" spans="1:67" ht="19.5" customHeight="1" x14ac:dyDescent="0.2">
      <c r="A244" s="114" t="s">
        <v>1789</v>
      </c>
      <c r="B244" s="113" t="s">
        <v>1787</v>
      </c>
      <c r="C244" s="122"/>
      <c r="D244" s="48" t="s">
        <v>73</v>
      </c>
      <c r="E244" s="49"/>
      <c r="F244" s="50"/>
      <c r="G244" s="62"/>
      <c r="H244" s="48" t="s">
        <v>72</v>
      </c>
      <c r="I244" s="52">
        <v>1</v>
      </c>
      <c r="J244" s="52"/>
      <c r="K244" s="52" t="s">
        <v>73</v>
      </c>
      <c r="L244" s="52" t="s">
        <v>74</v>
      </c>
      <c r="M244" s="53" t="s">
        <v>917</v>
      </c>
      <c r="N244" s="58" t="s">
        <v>73</v>
      </c>
      <c r="O244" s="48" t="s">
        <v>72</v>
      </c>
      <c r="P244" s="48" t="s">
        <v>73</v>
      </c>
      <c r="Q244" s="54" t="s">
        <v>73</v>
      </c>
      <c r="R244" s="55" t="s">
        <v>73</v>
      </c>
      <c r="S244" s="48" t="s">
        <v>73</v>
      </c>
      <c r="T244" s="121" t="str" cm="1">
        <f t="array" ref="T244">IF(ISNUMBER(SEARCH("SCHNEIDER",D244)),_xlfn.IFS(ISNUMBER(SEARCH("2 Querétaro",D244)),"SQ2",ISNUMBER(SEARCH("Xicohténcatl",D244)),"SXC",ISNUMBER(SEARCH("Rojo Gómez",D244)),"SRG",ISNUMBER(SEARCH("Tlaxcala",D244)),"STX",ISNUMBER(SEARCH("Monterrey",D244)),"SMY",ISNUMBER(SEARCH("Querétaro",D244)),"SQ1",ISNUMBER(SEARCH("CDMX",D244)),"SCM",TRUE,""),"")</f>
        <v/>
      </c>
      <c r="U244" s="48" t="str" cm="1">
        <f t="array" ref="U244">_xlfn.LET(_xlpm.resultados,_xlfn.UNIQUE(_xlfn._xlws.FILTER(Tabla1[Proceso],(Tabla1[Metal Base]=O244)*(Tabla1[Etiquetas]=_xlfn.TEXTJOIN(" + ",TRUE,IF((TRIM(Upload!P244:S244)="")+(LOWER(TRIM(Upload!P244:S244))="(seleccione)"),"",PROPER(TRIM(Upload!P244:S244)))))*(Tabla1[Línea2]=IFERROR(VLOOKUP(Upload!N244&amp;"*",CAT_Procesos!D:D,1,FALSE),"")))),_xlpm.cantidad,ROWS(_xlpm.resultados),IF(ISERROR(_xlpm.cantidad),"Combinación no existente",IF(_xlpm.cantidad=1,INDEX(_xlpm.resultados,1),"(seleccione)")))</f>
        <v>Combinación no existente</v>
      </c>
      <c r="V244" s="55" t="s">
        <v>73</v>
      </c>
      <c r="W244" s="56" t="s">
        <v>73</v>
      </c>
      <c r="X244" s="57" t="str">
        <f t="shared" si="12"/>
        <v/>
      </c>
      <c r="Y244" s="58" t="s">
        <v>73</v>
      </c>
      <c r="Z244" s="57" t="str">
        <f t="shared" si="13"/>
        <v/>
      </c>
      <c r="AA244" s="58" t="s">
        <v>73</v>
      </c>
      <c r="AB244" s="57" t="str">
        <f t="shared" si="14"/>
        <v/>
      </c>
      <c r="AC244" s="58" t="s">
        <v>73</v>
      </c>
      <c r="AD244" s="57" t="str">
        <f t="shared" si="15"/>
        <v/>
      </c>
      <c r="AE244" s="59"/>
      <c r="AF244" s="59"/>
      <c r="AG244" s="59"/>
      <c r="AH244" s="59"/>
      <c r="AI244" s="59" t="s">
        <v>73</v>
      </c>
      <c r="AJ244" s="59"/>
      <c r="AK244" s="59" t="s">
        <v>73</v>
      </c>
      <c r="AL244" s="59"/>
      <c r="AM244" s="59" t="s">
        <v>73</v>
      </c>
      <c r="AN244" s="59"/>
      <c r="AO244" s="59" t="s">
        <v>73</v>
      </c>
      <c r="AP244" s="59"/>
      <c r="AQ244" s="59" t="s">
        <v>73</v>
      </c>
      <c r="AR244" s="59"/>
      <c r="AS244" s="59" t="s">
        <v>72</v>
      </c>
      <c r="AT244" s="59"/>
      <c r="AU244" s="59"/>
      <c r="AV244" s="59"/>
      <c r="AW244" s="59"/>
      <c r="AX244" s="59"/>
      <c r="AY244" s="60" t="str">
        <f>IF('Cálculo MP'!K254="","",'Cálculo MP'!K254)</f>
        <v/>
      </c>
      <c r="AZ244" s="60" t="str">
        <f>IF('Cálculo MP'!L254="","",'Cálculo MP'!L254)</f>
        <v/>
      </c>
      <c r="BA244" s="60" t="str">
        <f>IF('Cálculo MP'!M254="","",'Cálculo MP'!M254)</f>
        <v/>
      </c>
      <c r="BB244" s="60" t="str">
        <f>IF('Cálculo MP'!N254="","",'Cálculo MP'!N254)</f>
        <v/>
      </c>
      <c r="BC244" s="60" t="str">
        <f>IF('Cálculo MP'!O254="","",'Cálculo MP'!O254)</f>
        <v/>
      </c>
      <c r="BD244" s="60" t="str">
        <f>IF('Cálculo MP'!P254="","",'Cálculo MP'!P254)</f>
        <v/>
      </c>
      <c r="BE244" s="60" t="str">
        <f>IF('Cálculo MP'!Q254="","",'Cálculo MP'!Q254)</f>
        <v/>
      </c>
      <c r="BF244" s="60" t="str">
        <f>IF('Cálculo MP'!R254="","",'Cálculo MP'!R254)</f>
        <v/>
      </c>
      <c r="BG244" s="60" t="str">
        <f>IF('Cálculo MP'!S254="","",'Cálculo MP'!S254)</f>
        <v/>
      </c>
      <c r="BH244" s="59"/>
      <c r="BI244" s="59"/>
      <c r="BJ244" s="59"/>
      <c r="BK244" s="59"/>
      <c r="BL244" s="59"/>
      <c r="BM244" s="59"/>
      <c r="BN244" s="59"/>
      <c r="BO244" s="59"/>
    </row>
    <row r="245" spans="1:67" ht="19.5" customHeight="1" x14ac:dyDescent="0.2">
      <c r="A245" s="114" t="s">
        <v>1789</v>
      </c>
      <c r="B245" s="113" t="s">
        <v>1787</v>
      </c>
      <c r="C245" s="122"/>
      <c r="D245" s="48" t="s">
        <v>73</v>
      </c>
      <c r="E245" s="49"/>
      <c r="F245" s="50"/>
      <c r="G245" s="62"/>
      <c r="H245" s="48" t="s">
        <v>72</v>
      </c>
      <c r="I245" s="52">
        <v>1</v>
      </c>
      <c r="J245" s="52"/>
      <c r="K245" s="52" t="s">
        <v>73</v>
      </c>
      <c r="L245" s="52" t="s">
        <v>74</v>
      </c>
      <c r="M245" s="53" t="s">
        <v>917</v>
      </c>
      <c r="N245" s="58" t="s">
        <v>73</v>
      </c>
      <c r="O245" s="48" t="s">
        <v>72</v>
      </c>
      <c r="P245" s="48" t="s">
        <v>73</v>
      </c>
      <c r="Q245" s="54" t="s">
        <v>73</v>
      </c>
      <c r="R245" s="55" t="s">
        <v>73</v>
      </c>
      <c r="S245" s="48" t="s">
        <v>73</v>
      </c>
      <c r="T245" s="121" t="str" cm="1">
        <f t="array" ref="T245">IF(ISNUMBER(SEARCH("SCHNEIDER",D245)),_xlfn.IFS(ISNUMBER(SEARCH("2 Querétaro",D245)),"SQ2",ISNUMBER(SEARCH("Xicohténcatl",D245)),"SXC",ISNUMBER(SEARCH("Rojo Gómez",D245)),"SRG",ISNUMBER(SEARCH("Tlaxcala",D245)),"STX",ISNUMBER(SEARCH("Monterrey",D245)),"SMY",ISNUMBER(SEARCH("Querétaro",D245)),"SQ1",ISNUMBER(SEARCH("CDMX",D245)),"SCM",TRUE,""),"")</f>
        <v/>
      </c>
      <c r="U245" s="48" t="str" cm="1">
        <f t="array" ref="U245">_xlfn.LET(_xlpm.resultados,_xlfn.UNIQUE(_xlfn._xlws.FILTER(Tabla1[Proceso],(Tabla1[Metal Base]=O245)*(Tabla1[Etiquetas]=_xlfn.TEXTJOIN(" + ",TRUE,IF((TRIM(Upload!P245:S245)="")+(LOWER(TRIM(Upload!P245:S245))="(seleccione)"),"",PROPER(TRIM(Upload!P245:S245)))))*(Tabla1[Línea2]=IFERROR(VLOOKUP(Upload!N245&amp;"*",CAT_Procesos!D:D,1,FALSE),"")))),_xlpm.cantidad,ROWS(_xlpm.resultados),IF(ISERROR(_xlpm.cantidad),"Combinación no existente",IF(_xlpm.cantidad=1,INDEX(_xlpm.resultados,1),"(seleccione)")))</f>
        <v>Combinación no existente</v>
      </c>
      <c r="V245" s="55" t="s">
        <v>73</v>
      </c>
      <c r="W245" s="56" t="s">
        <v>73</v>
      </c>
      <c r="X245" s="57" t="str">
        <f t="shared" si="12"/>
        <v/>
      </c>
      <c r="Y245" s="58" t="s">
        <v>73</v>
      </c>
      <c r="Z245" s="57" t="str">
        <f t="shared" si="13"/>
        <v/>
      </c>
      <c r="AA245" s="58" t="s">
        <v>73</v>
      </c>
      <c r="AB245" s="57" t="str">
        <f t="shared" si="14"/>
        <v/>
      </c>
      <c r="AC245" s="58" t="s">
        <v>73</v>
      </c>
      <c r="AD245" s="57" t="str">
        <f t="shared" si="15"/>
        <v/>
      </c>
      <c r="AE245" s="59"/>
      <c r="AF245" s="59"/>
      <c r="AG245" s="59"/>
      <c r="AH245" s="59"/>
      <c r="AI245" s="59" t="s">
        <v>73</v>
      </c>
      <c r="AJ245" s="59"/>
      <c r="AK245" s="59" t="s">
        <v>73</v>
      </c>
      <c r="AL245" s="59"/>
      <c r="AM245" s="59" t="s">
        <v>73</v>
      </c>
      <c r="AN245" s="59"/>
      <c r="AO245" s="59" t="s">
        <v>73</v>
      </c>
      <c r="AP245" s="59"/>
      <c r="AQ245" s="59" t="s">
        <v>73</v>
      </c>
      <c r="AR245" s="59"/>
      <c r="AS245" s="59" t="s">
        <v>72</v>
      </c>
      <c r="AT245" s="59"/>
      <c r="AU245" s="59"/>
      <c r="AV245" s="59"/>
      <c r="AW245" s="59"/>
      <c r="AX245" s="59"/>
      <c r="AY245" s="60" t="str">
        <f>IF('Cálculo MP'!K255="","",'Cálculo MP'!K255)</f>
        <v/>
      </c>
      <c r="AZ245" s="60" t="str">
        <f>IF('Cálculo MP'!L255="","",'Cálculo MP'!L255)</f>
        <v/>
      </c>
      <c r="BA245" s="60" t="str">
        <f>IF('Cálculo MP'!M255="","",'Cálculo MP'!M255)</f>
        <v/>
      </c>
      <c r="BB245" s="60" t="str">
        <f>IF('Cálculo MP'!N255="","",'Cálculo MP'!N255)</f>
        <v/>
      </c>
      <c r="BC245" s="60" t="str">
        <f>IF('Cálculo MP'!O255="","",'Cálculo MP'!O255)</f>
        <v/>
      </c>
      <c r="BD245" s="60" t="str">
        <f>IF('Cálculo MP'!P255="","",'Cálculo MP'!P255)</f>
        <v/>
      </c>
      <c r="BE245" s="60" t="str">
        <f>IF('Cálculo MP'!Q255="","",'Cálculo MP'!Q255)</f>
        <v/>
      </c>
      <c r="BF245" s="60" t="str">
        <f>IF('Cálculo MP'!R255="","",'Cálculo MP'!R255)</f>
        <v/>
      </c>
      <c r="BG245" s="60" t="str">
        <f>IF('Cálculo MP'!S255="","",'Cálculo MP'!S255)</f>
        <v/>
      </c>
      <c r="BH245" s="59"/>
      <c r="BI245" s="59"/>
      <c r="BJ245" s="59"/>
      <c r="BK245" s="59"/>
      <c r="BL245" s="59"/>
      <c r="BM245" s="59"/>
      <c r="BN245" s="59"/>
      <c r="BO245" s="59"/>
    </row>
    <row r="246" spans="1:67" ht="19.5" customHeight="1" x14ac:dyDescent="0.2">
      <c r="A246" s="114" t="s">
        <v>1789</v>
      </c>
      <c r="B246" s="113" t="s">
        <v>1787</v>
      </c>
      <c r="C246" s="122"/>
      <c r="D246" s="48" t="s">
        <v>73</v>
      </c>
      <c r="E246" s="49"/>
      <c r="F246" s="50"/>
      <c r="G246" s="62"/>
      <c r="H246" s="48" t="s">
        <v>72</v>
      </c>
      <c r="I246" s="52">
        <v>1</v>
      </c>
      <c r="J246" s="52"/>
      <c r="K246" s="52" t="s">
        <v>73</v>
      </c>
      <c r="L246" s="52" t="s">
        <v>74</v>
      </c>
      <c r="M246" s="53" t="s">
        <v>917</v>
      </c>
      <c r="N246" s="58" t="s">
        <v>73</v>
      </c>
      <c r="O246" s="48" t="s">
        <v>72</v>
      </c>
      <c r="P246" s="48" t="s">
        <v>73</v>
      </c>
      <c r="Q246" s="54" t="s">
        <v>73</v>
      </c>
      <c r="R246" s="55" t="s">
        <v>73</v>
      </c>
      <c r="S246" s="48" t="s">
        <v>73</v>
      </c>
      <c r="T246" s="121" t="str" cm="1">
        <f t="array" ref="T246">IF(ISNUMBER(SEARCH("SCHNEIDER",D246)),_xlfn.IFS(ISNUMBER(SEARCH("2 Querétaro",D246)),"SQ2",ISNUMBER(SEARCH("Xicohténcatl",D246)),"SXC",ISNUMBER(SEARCH("Rojo Gómez",D246)),"SRG",ISNUMBER(SEARCH("Tlaxcala",D246)),"STX",ISNUMBER(SEARCH("Monterrey",D246)),"SMY",ISNUMBER(SEARCH("Querétaro",D246)),"SQ1",ISNUMBER(SEARCH("CDMX",D246)),"SCM",TRUE,""),"")</f>
        <v/>
      </c>
      <c r="U246" s="48" t="str" cm="1">
        <f t="array" ref="U246">_xlfn.LET(_xlpm.resultados,_xlfn.UNIQUE(_xlfn._xlws.FILTER(Tabla1[Proceso],(Tabla1[Metal Base]=O246)*(Tabla1[Etiquetas]=_xlfn.TEXTJOIN(" + ",TRUE,IF((TRIM(Upload!P246:S246)="")+(LOWER(TRIM(Upload!P246:S246))="(seleccione)"),"",PROPER(TRIM(Upload!P246:S246)))))*(Tabla1[Línea2]=IFERROR(VLOOKUP(Upload!N246&amp;"*",CAT_Procesos!D:D,1,FALSE),"")))),_xlpm.cantidad,ROWS(_xlpm.resultados),IF(ISERROR(_xlpm.cantidad),"Combinación no existente",IF(_xlpm.cantidad=1,INDEX(_xlpm.resultados,1),"(seleccione)")))</f>
        <v>Combinación no existente</v>
      </c>
      <c r="V246" s="55" t="s">
        <v>73</v>
      </c>
      <c r="W246" s="56" t="s">
        <v>73</v>
      </c>
      <c r="X246" s="57" t="str">
        <f t="shared" si="12"/>
        <v/>
      </c>
      <c r="Y246" s="58" t="s">
        <v>73</v>
      </c>
      <c r="Z246" s="57" t="str">
        <f t="shared" si="13"/>
        <v/>
      </c>
      <c r="AA246" s="58" t="s">
        <v>73</v>
      </c>
      <c r="AB246" s="57" t="str">
        <f t="shared" si="14"/>
        <v/>
      </c>
      <c r="AC246" s="58" t="s">
        <v>73</v>
      </c>
      <c r="AD246" s="57" t="str">
        <f t="shared" si="15"/>
        <v/>
      </c>
      <c r="AE246" s="59"/>
      <c r="AF246" s="59"/>
      <c r="AG246" s="59"/>
      <c r="AH246" s="59"/>
      <c r="AI246" s="59" t="s">
        <v>73</v>
      </c>
      <c r="AJ246" s="59"/>
      <c r="AK246" s="59" t="s">
        <v>73</v>
      </c>
      <c r="AL246" s="59"/>
      <c r="AM246" s="59" t="s">
        <v>73</v>
      </c>
      <c r="AN246" s="59"/>
      <c r="AO246" s="59" t="s">
        <v>73</v>
      </c>
      <c r="AP246" s="59"/>
      <c r="AQ246" s="59" t="s">
        <v>73</v>
      </c>
      <c r="AR246" s="59"/>
      <c r="AS246" s="59" t="s">
        <v>72</v>
      </c>
      <c r="AT246" s="59"/>
      <c r="AU246" s="59"/>
      <c r="AV246" s="59"/>
      <c r="AW246" s="59"/>
      <c r="AX246" s="59"/>
      <c r="AY246" s="60" t="str">
        <f>IF('Cálculo MP'!K256="","",'Cálculo MP'!K256)</f>
        <v/>
      </c>
      <c r="AZ246" s="60" t="str">
        <f>IF('Cálculo MP'!L256="","",'Cálculo MP'!L256)</f>
        <v/>
      </c>
      <c r="BA246" s="60" t="str">
        <f>IF('Cálculo MP'!M256="","",'Cálculo MP'!M256)</f>
        <v/>
      </c>
      <c r="BB246" s="60" t="str">
        <f>IF('Cálculo MP'!N256="","",'Cálculo MP'!N256)</f>
        <v/>
      </c>
      <c r="BC246" s="60" t="str">
        <f>IF('Cálculo MP'!O256="","",'Cálculo MP'!O256)</f>
        <v/>
      </c>
      <c r="BD246" s="60" t="str">
        <f>IF('Cálculo MP'!P256="","",'Cálculo MP'!P256)</f>
        <v/>
      </c>
      <c r="BE246" s="60" t="str">
        <f>IF('Cálculo MP'!Q256="","",'Cálculo MP'!Q256)</f>
        <v/>
      </c>
      <c r="BF246" s="60" t="str">
        <f>IF('Cálculo MP'!R256="","",'Cálculo MP'!R256)</f>
        <v/>
      </c>
      <c r="BG246" s="60" t="str">
        <f>IF('Cálculo MP'!S256="","",'Cálculo MP'!S256)</f>
        <v/>
      </c>
      <c r="BH246" s="59"/>
      <c r="BI246" s="59"/>
      <c r="BJ246" s="59"/>
      <c r="BK246" s="59"/>
      <c r="BL246" s="59"/>
      <c r="BM246" s="59"/>
      <c r="BN246" s="59"/>
      <c r="BO246" s="59"/>
    </row>
    <row r="247" spans="1:67" ht="19.5" customHeight="1" x14ac:dyDescent="0.2">
      <c r="A247" s="114" t="s">
        <v>1789</v>
      </c>
      <c r="B247" s="113" t="s">
        <v>1787</v>
      </c>
      <c r="C247" s="122"/>
      <c r="D247" s="48" t="s">
        <v>73</v>
      </c>
      <c r="E247" s="49"/>
      <c r="F247" s="50"/>
      <c r="G247" s="62"/>
      <c r="H247" s="48" t="s">
        <v>72</v>
      </c>
      <c r="I247" s="52">
        <v>1</v>
      </c>
      <c r="J247" s="52"/>
      <c r="K247" s="52" t="s">
        <v>73</v>
      </c>
      <c r="L247" s="52" t="s">
        <v>74</v>
      </c>
      <c r="M247" s="53" t="s">
        <v>917</v>
      </c>
      <c r="N247" s="58" t="s">
        <v>73</v>
      </c>
      <c r="O247" s="48" t="s">
        <v>72</v>
      </c>
      <c r="P247" s="48" t="s">
        <v>73</v>
      </c>
      <c r="Q247" s="54" t="s">
        <v>73</v>
      </c>
      <c r="R247" s="55" t="s">
        <v>73</v>
      </c>
      <c r="S247" s="48" t="s">
        <v>73</v>
      </c>
      <c r="T247" s="121" t="str" cm="1">
        <f t="array" ref="T247">IF(ISNUMBER(SEARCH("SCHNEIDER",D247)),_xlfn.IFS(ISNUMBER(SEARCH("2 Querétaro",D247)),"SQ2",ISNUMBER(SEARCH("Xicohténcatl",D247)),"SXC",ISNUMBER(SEARCH("Rojo Gómez",D247)),"SRG",ISNUMBER(SEARCH("Tlaxcala",D247)),"STX",ISNUMBER(SEARCH("Monterrey",D247)),"SMY",ISNUMBER(SEARCH("Querétaro",D247)),"SQ1",ISNUMBER(SEARCH("CDMX",D247)),"SCM",TRUE,""),"")</f>
        <v/>
      </c>
      <c r="U247" s="48" t="str" cm="1">
        <f t="array" ref="U247">_xlfn.LET(_xlpm.resultados,_xlfn.UNIQUE(_xlfn._xlws.FILTER(Tabla1[Proceso],(Tabla1[Metal Base]=O247)*(Tabla1[Etiquetas]=_xlfn.TEXTJOIN(" + ",TRUE,IF((TRIM(Upload!P247:S247)="")+(LOWER(TRIM(Upload!P247:S247))="(seleccione)"),"",PROPER(TRIM(Upload!P247:S247)))))*(Tabla1[Línea2]=IFERROR(VLOOKUP(Upload!N247&amp;"*",CAT_Procesos!D:D,1,FALSE),"")))),_xlpm.cantidad,ROWS(_xlpm.resultados),IF(ISERROR(_xlpm.cantidad),"Combinación no existente",IF(_xlpm.cantidad=1,INDEX(_xlpm.resultados,1),"(seleccione)")))</f>
        <v>Combinación no existente</v>
      </c>
      <c r="V247" s="55" t="s">
        <v>73</v>
      </c>
      <c r="W247" s="56" t="s">
        <v>73</v>
      </c>
      <c r="X247" s="57" t="str">
        <f t="shared" si="12"/>
        <v/>
      </c>
      <c r="Y247" s="58" t="s">
        <v>73</v>
      </c>
      <c r="Z247" s="57" t="str">
        <f t="shared" si="13"/>
        <v/>
      </c>
      <c r="AA247" s="58" t="s">
        <v>73</v>
      </c>
      <c r="AB247" s="57" t="str">
        <f t="shared" si="14"/>
        <v/>
      </c>
      <c r="AC247" s="58" t="s">
        <v>73</v>
      </c>
      <c r="AD247" s="57" t="str">
        <f t="shared" si="15"/>
        <v/>
      </c>
      <c r="AE247" s="59"/>
      <c r="AF247" s="59"/>
      <c r="AG247" s="59"/>
      <c r="AH247" s="59"/>
      <c r="AI247" s="59" t="s">
        <v>73</v>
      </c>
      <c r="AJ247" s="59"/>
      <c r="AK247" s="59" t="s">
        <v>73</v>
      </c>
      <c r="AL247" s="59"/>
      <c r="AM247" s="59" t="s">
        <v>73</v>
      </c>
      <c r="AN247" s="59"/>
      <c r="AO247" s="59" t="s">
        <v>73</v>
      </c>
      <c r="AP247" s="59"/>
      <c r="AQ247" s="59" t="s">
        <v>73</v>
      </c>
      <c r="AR247" s="59"/>
      <c r="AS247" s="59" t="s">
        <v>72</v>
      </c>
      <c r="AT247" s="59"/>
      <c r="AU247" s="59"/>
      <c r="AV247" s="59"/>
      <c r="AW247" s="59"/>
      <c r="AX247" s="59"/>
      <c r="AY247" s="60" t="str">
        <f>IF('Cálculo MP'!K257="","",'Cálculo MP'!K257)</f>
        <v/>
      </c>
      <c r="AZ247" s="60" t="str">
        <f>IF('Cálculo MP'!L257="","",'Cálculo MP'!L257)</f>
        <v/>
      </c>
      <c r="BA247" s="60" t="str">
        <f>IF('Cálculo MP'!M257="","",'Cálculo MP'!M257)</f>
        <v/>
      </c>
      <c r="BB247" s="60" t="str">
        <f>IF('Cálculo MP'!N257="","",'Cálculo MP'!N257)</f>
        <v/>
      </c>
      <c r="BC247" s="60" t="str">
        <f>IF('Cálculo MP'!O257="","",'Cálculo MP'!O257)</f>
        <v/>
      </c>
      <c r="BD247" s="60" t="str">
        <f>IF('Cálculo MP'!P257="","",'Cálculo MP'!P257)</f>
        <v/>
      </c>
      <c r="BE247" s="60" t="str">
        <f>IF('Cálculo MP'!Q257="","",'Cálculo MP'!Q257)</f>
        <v/>
      </c>
      <c r="BF247" s="60" t="str">
        <f>IF('Cálculo MP'!R257="","",'Cálculo MP'!R257)</f>
        <v/>
      </c>
      <c r="BG247" s="60" t="str">
        <f>IF('Cálculo MP'!S257="","",'Cálculo MP'!S257)</f>
        <v/>
      </c>
      <c r="BH247" s="59"/>
      <c r="BI247" s="59"/>
      <c r="BJ247" s="59"/>
      <c r="BK247" s="59"/>
      <c r="BL247" s="59"/>
      <c r="BM247" s="59"/>
      <c r="BN247" s="59"/>
      <c r="BO247" s="59"/>
    </row>
    <row r="248" spans="1:67" ht="19.5" customHeight="1" x14ac:dyDescent="0.2">
      <c r="A248" s="114" t="s">
        <v>1789</v>
      </c>
      <c r="B248" s="113" t="s">
        <v>1787</v>
      </c>
      <c r="C248" s="122"/>
      <c r="D248" s="48" t="s">
        <v>73</v>
      </c>
      <c r="E248" s="49"/>
      <c r="F248" s="50"/>
      <c r="G248" s="62"/>
      <c r="H248" s="48" t="s">
        <v>72</v>
      </c>
      <c r="I248" s="52">
        <v>1</v>
      </c>
      <c r="J248" s="52"/>
      <c r="K248" s="52" t="s">
        <v>73</v>
      </c>
      <c r="L248" s="52" t="s">
        <v>74</v>
      </c>
      <c r="M248" s="53" t="s">
        <v>917</v>
      </c>
      <c r="N248" s="58" t="s">
        <v>73</v>
      </c>
      <c r="O248" s="48" t="s">
        <v>72</v>
      </c>
      <c r="P248" s="48" t="s">
        <v>73</v>
      </c>
      <c r="Q248" s="54" t="s">
        <v>73</v>
      </c>
      <c r="R248" s="55" t="s">
        <v>73</v>
      </c>
      <c r="S248" s="48" t="s">
        <v>73</v>
      </c>
      <c r="T248" s="121" t="str" cm="1">
        <f t="array" ref="T248">IF(ISNUMBER(SEARCH("SCHNEIDER",D248)),_xlfn.IFS(ISNUMBER(SEARCH("2 Querétaro",D248)),"SQ2",ISNUMBER(SEARCH("Xicohténcatl",D248)),"SXC",ISNUMBER(SEARCH("Rojo Gómez",D248)),"SRG",ISNUMBER(SEARCH("Tlaxcala",D248)),"STX",ISNUMBER(SEARCH("Monterrey",D248)),"SMY",ISNUMBER(SEARCH("Querétaro",D248)),"SQ1",ISNUMBER(SEARCH("CDMX",D248)),"SCM",TRUE,""),"")</f>
        <v/>
      </c>
      <c r="U248" s="48" t="str" cm="1">
        <f t="array" ref="U248">_xlfn.LET(_xlpm.resultados,_xlfn.UNIQUE(_xlfn._xlws.FILTER(Tabla1[Proceso],(Tabla1[Metal Base]=O248)*(Tabla1[Etiquetas]=_xlfn.TEXTJOIN(" + ",TRUE,IF((TRIM(Upload!P248:S248)="")+(LOWER(TRIM(Upload!P248:S248))="(seleccione)"),"",PROPER(TRIM(Upload!P248:S248)))))*(Tabla1[Línea2]=IFERROR(VLOOKUP(Upload!N248&amp;"*",CAT_Procesos!D:D,1,FALSE),"")))),_xlpm.cantidad,ROWS(_xlpm.resultados),IF(ISERROR(_xlpm.cantidad),"Combinación no existente",IF(_xlpm.cantidad=1,INDEX(_xlpm.resultados,1),"(seleccione)")))</f>
        <v>Combinación no existente</v>
      </c>
      <c r="V248" s="55" t="s">
        <v>73</v>
      </c>
      <c r="W248" s="56" t="s">
        <v>73</v>
      </c>
      <c r="X248" s="57" t="str">
        <f t="shared" si="12"/>
        <v/>
      </c>
      <c r="Y248" s="58" t="s">
        <v>73</v>
      </c>
      <c r="Z248" s="57" t="str">
        <f t="shared" si="13"/>
        <v/>
      </c>
      <c r="AA248" s="58" t="s">
        <v>73</v>
      </c>
      <c r="AB248" s="57" t="str">
        <f t="shared" si="14"/>
        <v/>
      </c>
      <c r="AC248" s="58" t="s">
        <v>73</v>
      </c>
      <c r="AD248" s="57" t="str">
        <f t="shared" si="15"/>
        <v/>
      </c>
      <c r="AE248" s="59"/>
      <c r="AF248" s="59"/>
      <c r="AG248" s="59"/>
      <c r="AH248" s="59"/>
      <c r="AI248" s="59" t="s">
        <v>73</v>
      </c>
      <c r="AJ248" s="59"/>
      <c r="AK248" s="59" t="s">
        <v>73</v>
      </c>
      <c r="AL248" s="59"/>
      <c r="AM248" s="59" t="s">
        <v>73</v>
      </c>
      <c r="AN248" s="59"/>
      <c r="AO248" s="59" t="s">
        <v>73</v>
      </c>
      <c r="AP248" s="59"/>
      <c r="AQ248" s="59" t="s">
        <v>73</v>
      </c>
      <c r="AR248" s="59"/>
      <c r="AS248" s="59" t="s">
        <v>72</v>
      </c>
      <c r="AT248" s="59"/>
      <c r="AU248" s="59"/>
      <c r="AV248" s="59"/>
      <c r="AW248" s="59"/>
      <c r="AX248" s="59"/>
      <c r="AY248" s="60" t="str">
        <f>IF('Cálculo MP'!K258="","",'Cálculo MP'!K258)</f>
        <v/>
      </c>
      <c r="AZ248" s="60" t="str">
        <f>IF('Cálculo MP'!L258="","",'Cálculo MP'!L258)</f>
        <v/>
      </c>
      <c r="BA248" s="60" t="str">
        <f>IF('Cálculo MP'!M258="","",'Cálculo MP'!M258)</f>
        <v/>
      </c>
      <c r="BB248" s="60" t="str">
        <f>IF('Cálculo MP'!N258="","",'Cálculo MP'!N258)</f>
        <v/>
      </c>
      <c r="BC248" s="60" t="str">
        <f>IF('Cálculo MP'!O258="","",'Cálculo MP'!O258)</f>
        <v/>
      </c>
      <c r="BD248" s="60" t="str">
        <f>IF('Cálculo MP'!P258="","",'Cálculo MP'!P258)</f>
        <v/>
      </c>
      <c r="BE248" s="60" t="str">
        <f>IF('Cálculo MP'!Q258="","",'Cálculo MP'!Q258)</f>
        <v/>
      </c>
      <c r="BF248" s="60" t="str">
        <f>IF('Cálculo MP'!R258="","",'Cálculo MP'!R258)</f>
        <v/>
      </c>
      <c r="BG248" s="60" t="str">
        <f>IF('Cálculo MP'!S258="","",'Cálculo MP'!S258)</f>
        <v/>
      </c>
      <c r="BH248" s="59"/>
      <c r="BI248" s="59"/>
      <c r="BJ248" s="59"/>
      <c r="BK248" s="59"/>
      <c r="BL248" s="59"/>
      <c r="BM248" s="59"/>
      <c r="BN248" s="59"/>
      <c r="BO248" s="59"/>
    </row>
    <row r="249" spans="1:67" ht="19.5" customHeight="1" x14ac:dyDescent="0.2">
      <c r="A249" s="114" t="s">
        <v>1789</v>
      </c>
      <c r="B249" s="113" t="s">
        <v>1787</v>
      </c>
      <c r="C249" s="122"/>
      <c r="D249" s="48" t="s">
        <v>73</v>
      </c>
      <c r="E249" s="49"/>
      <c r="F249" s="50"/>
      <c r="G249" s="62"/>
      <c r="H249" s="48" t="s">
        <v>72</v>
      </c>
      <c r="I249" s="52">
        <v>1</v>
      </c>
      <c r="J249" s="52"/>
      <c r="K249" s="52" t="s">
        <v>73</v>
      </c>
      <c r="L249" s="52" t="s">
        <v>74</v>
      </c>
      <c r="M249" s="53" t="s">
        <v>917</v>
      </c>
      <c r="N249" s="58" t="s">
        <v>73</v>
      </c>
      <c r="O249" s="48" t="s">
        <v>72</v>
      </c>
      <c r="P249" s="48" t="s">
        <v>73</v>
      </c>
      <c r="Q249" s="54" t="s">
        <v>73</v>
      </c>
      <c r="R249" s="55" t="s">
        <v>73</v>
      </c>
      <c r="S249" s="48" t="s">
        <v>73</v>
      </c>
      <c r="T249" s="121" t="str" cm="1">
        <f t="array" ref="T249">IF(ISNUMBER(SEARCH("SCHNEIDER",D249)),_xlfn.IFS(ISNUMBER(SEARCH("2 Querétaro",D249)),"SQ2",ISNUMBER(SEARCH("Xicohténcatl",D249)),"SXC",ISNUMBER(SEARCH("Rojo Gómez",D249)),"SRG",ISNUMBER(SEARCH("Tlaxcala",D249)),"STX",ISNUMBER(SEARCH("Monterrey",D249)),"SMY",ISNUMBER(SEARCH("Querétaro",D249)),"SQ1",ISNUMBER(SEARCH("CDMX",D249)),"SCM",TRUE,""),"")</f>
        <v/>
      </c>
      <c r="U249" s="48" t="str" cm="1">
        <f t="array" ref="U249">_xlfn.LET(_xlpm.resultados,_xlfn.UNIQUE(_xlfn._xlws.FILTER(Tabla1[Proceso],(Tabla1[Metal Base]=O249)*(Tabla1[Etiquetas]=_xlfn.TEXTJOIN(" + ",TRUE,IF((TRIM(Upload!P249:S249)="")+(LOWER(TRIM(Upload!P249:S249))="(seleccione)"),"",PROPER(TRIM(Upload!P249:S249)))))*(Tabla1[Línea2]=IFERROR(VLOOKUP(Upload!N249&amp;"*",CAT_Procesos!D:D,1,FALSE),"")))),_xlpm.cantidad,ROWS(_xlpm.resultados),IF(ISERROR(_xlpm.cantidad),"Combinación no existente",IF(_xlpm.cantidad=1,INDEX(_xlpm.resultados,1),"(seleccione)")))</f>
        <v>Combinación no existente</v>
      </c>
      <c r="V249" s="55" t="s">
        <v>73</v>
      </c>
      <c r="W249" s="56" t="s">
        <v>73</v>
      </c>
      <c r="X249" s="57" t="str">
        <f t="shared" si="12"/>
        <v/>
      </c>
      <c r="Y249" s="58" t="s">
        <v>73</v>
      </c>
      <c r="Z249" s="57" t="str">
        <f t="shared" si="13"/>
        <v/>
      </c>
      <c r="AA249" s="58" t="s">
        <v>73</v>
      </c>
      <c r="AB249" s="57" t="str">
        <f t="shared" si="14"/>
        <v/>
      </c>
      <c r="AC249" s="58" t="s">
        <v>73</v>
      </c>
      <c r="AD249" s="57" t="str">
        <f t="shared" si="15"/>
        <v/>
      </c>
      <c r="AE249" s="59"/>
      <c r="AF249" s="59"/>
      <c r="AG249" s="59"/>
      <c r="AH249" s="59"/>
      <c r="AI249" s="59" t="s">
        <v>73</v>
      </c>
      <c r="AJ249" s="59"/>
      <c r="AK249" s="59" t="s">
        <v>73</v>
      </c>
      <c r="AL249" s="59"/>
      <c r="AM249" s="59" t="s">
        <v>73</v>
      </c>
      <c r="AN249" s="59"/>
      <c r="AO249" s="59" t="s">
        <v>73</v>
      </c>
      <c r="AP249" s="59"/>
      <c r="AQ249" s="59" t="s">
        <v>73</v>
      </c>
      <c r="AR249" s="59"/>
      <c r="AS249" s="59" t="s">
        <v>72</v>
      </c>
      <c r="AT249" s="59"/>
      <c r="AU249" s="59"/>
      <c r="AV249" s="59"/>
      <c r="AW249" s="59"/>
      <c r="AX249" s="59"/>
      <c r="AY249" s="60" t="str">
        <f>IF('Cálculo MP'!K259="","",'Cálculo MP'!K259)</f>
        <v/>
      </c>
      <c r="AZ249" s="60" t="str">
        <f>IF('Cálculo MP'!L259="","",'Cálculo MP'!L259)</f>
        <v/>
      </c>
      <c r="BA249" s="60" t="str">
        <f>IF('Cálculo MP'!M259="","",'Cálculo MP'!M259)</f>
        <v/>
      </c>
      <c r="BB249" s="60" t="str">
        <f>IF('Cálculo MP'!N259="","",'Cálculo MP'!N259)</f>
        <v/>
      </c>
      <c r="BC249" s="60" t="str">
        <f>IF('Cálculo MP'!O259="","",'Cálculo MP'!O259)</f>
        <v/>
      </c>
      <c r="BD249" s="60" t="str">
        <f>IF('Cálculo MP'!P259="","",'Cálculo MP'!P259)</f>
        <v/>
      </c>
      <c r="BE249" s="60" t="str">
        <f>IF('Cálculo MP'!Q259="","",'Cálculo MP'!Q259)</f>
        <v/>
      </c>
      <c r="BF249" s="60" t="str">
        <f>IF('Cálculo MP'!R259="","",'Cálculo MP'!R259)</f>
        <v/>
      </c>
      <c r="BG249" s="60" t="str">
        <f>IF('Cálculo MP'!S259="","",'Cálculo MP'!S259)</f>
        <v/>
      </c>
      <c r="BH249" s="59"/>
      <c r="BI249" s="59"/>
      <c r="BJ249" s="59"/>
      <c r="BK249" s="59"/>
      <c r="BL249" s="59"/>
      <c r="BM249" s="59"/>
      <c r="BN249" s="59"/>
      <c r="BO249" s="59"/>
    </row>
    <row r="250" spans="1:67" ht="19.5" customHeight="1" x14ac:dyDescent="0.2">
      <c r="A250" s="114" t="s">
        <v>1789</v>
      </c>
      <c r="B250" s="113" t="s">
        <v>1787</v>
      </c>
      <c r="C250" s="122"/>
      <c r="D250" s="48" t="s">
        <v>73</v>
      </c>
      <c r="E250" s="49"/>
      <c r="F250" s="50"/>
      <c r="G250" s="62"/>
      <c r="H250" s="48" t="s">
        <v>72</v>
      </c>
      <c r="I250" s="52">
        <v>1</v>
      </c>
      <c r="J250" s="52"/>
      <c r="K250" s="52" t="s">
        <v>73</v>
      </c>
      <c r="L250" s="52" t="s">
        <v>74</v>
      </c>
      <c r="M250" s="53" t="s">
        <v>917</v>
      </c>
      <c r="N250" s="58" t="s">
        <v>73</v>
      </c>
      <c r="O250" s="48" t="s">
        <v>72</v>
      </c>
      <c r="P250" s="48" t="s">
        <v>73</v>
      </c>
      <c r="Q250" s="54" t="s">
        <v>73</v>
      </c>
      <c r="R250" s="55" t="s">
        <v>73</v>
      </c>
      <c r="S250" s="48" t="s">
        <v>73</v>
      </c>
      <c r="T250" s="121" t="str" cm="1">
        <f t="array" ref="T250">IF(ISNUMBER(SEARCH("SCHNEIDER",D250)),_xlfn.IFS(ISNUMBER(SEARCH("2 Querétaro",D250)),"SQ2",ISNUMBER(SEARCH("Xicohténcatl",D250)),"SXC",ISNUMBER(SEARCH("Rojo Gómez",D250)),"SRG",ISNUMBER(SEARCH("Tlaxcala",D250)),"STX",ISNUMBER(SEARCH("Monterrey",D250)),"SMY",ISNUMBER(SEARCH("Querétaro",D250)),"SQ1",ISNUMBER(SEARCH("CDMX",D250)),"SCM",TRUE,""),"")</f>
        <v/>
      </c>
      <c r="U250" s="48" t="str" cm="1">
        <f t="array" ref="U250">_xlfn.LET(_xlpm.resultados,_xlfn.UNIQUE(_xlfn._xlws.FILTER(Tabla1[Proceso],(Tabla1[Metal Base]=O250)*(Tabla1[Etiquetas]=_xlfn.TEXTJOIN(" + ",TRUE,IF((TRIM(Upload!P250:S250)="")+(LOWER(TRIM(Upload!P250:S250))="(seleccione)"),"",PROPER(TRIM(Upload!P250:S250)))))*(Tabla1[Línea2]=IFERROR(VLOOKUP(Upload!N250&amp;"*",CAT_Procesos!D:D,1,FALSE),"")))),_xlpm.cantidad,ROWS(_xlpm.resultados),IF(ISERROR(_xlpm.cantidad),"Combinación no existente",IF(_xlpm.cantidad=1,INDEX(_xlpm.resultados,1),"(seleccione)")))</f>
        <v>Combinación no existente</v>
      </c>
      <c r="V250" s="55" t="s">
        <v>73</v>
      </c>
      <c r="W250" s="56" t="s">
        <v>73</v>
      </c>
      <c r="X250" s="57" t="str">
        <f t="shared" si="12"/>
        <v/>
      </c>
      <c r="Y250" s="58" t="s">
        <v>73</v>
      </c>
      <c r="Z250" s="57" t="str">
        <f t="shared" si="13"/>
        <v/>
      </c>
      <c r="AA250" s="58" t="s">
        <v>73</v>
      </c>
      <c r="AB250" s="57" t="str">
        <f t="shared" si="14"/>
        <v/>
      </c>
      <c r="AC250" s="58" t="s">
        <v>73</v>
      </c>
      <c r="AD250" s="57" t="str">
        <f t="shared" si="15"/>
        <v/>
      </c>
      <c r="AE250" s="59"/>
      <c r="AF250" s="59"/>
      <c r="AG250" s="59"/>
      <c r="AH250" s="59"/>
      <c r="AI250" s="59" t="s">
        <v>73</v>
      </c>
      <c r="AJ250" s="59"/>
      <c r="AK250" s="59" t="s">
        <v>73</v>
      </c>
      <c r="AL250" s="59"/>
      <c r="AM250" s="59" t="s">
        <v>73</v>
      </c>
      <c r="AN250" s="59"/>
      <c r="AO250" s="59" t="s">
        <v>73</v>
      </c>
      <c r="AP250" s="59"/>
      <c r="AQ250" s="59" t="s">
        <v>73</v>
      </c>
      <c r="AR250" s="59"/>
      <c r="AS250" s="59" t="s">
        <v>72</v>
      </c>
      <c r="AT250" s="59"/>
      <c r="AU250" s="59"/>
      <c r="AV250" s="59"/>
      <c r="AW250" s="59"/>
      <c r="AX250" s="59"/>
      <c r="AY250" s="60" t="str">
        <f>IF('Cálculo MP'!K260="","",'Cálculo MP'!K260)</f>
        <v/>
      </c>
      <c r="AZ250" s="60" t="str">
        <f>IF('Cálculo MP'!L260="","",'Cálculo MP'!L260)</f>
        <v/>
      </c>
      <c r="BA250" s="60" t="str">
        <f>IF('Cálculo MP'!M260="","",'Cálculo MP'!M260)</f>
        <v/>
      </c>
      <c r="BB250" s="60" t="str">
        <f>IF('Cálculo MP'!N260="","",'Cálculo MP'!N260)</f>
        <v/>
      </c>
      <c r="BC250" s="60" t="str">
        <f>IF('Cálculo MP'!O260="","",'Cálculo MP'!O260)</f>
        <v/>
      </c>
      <c r="BD250" s="60" t="str">
        <f>IF('Cálculo MP'!P260="","",'Cálculo MP'!P260)</f>
        <v/>
      </c>
      <c r="BE250" s="60" t="str">
        <f>IF('Cálculo MP'!Q260="","",'Cálculo MP'!Q260)</f>
        <v/>
      </c>
      <c r="BF250" s="60" t="str">
        <f>IF('Cálculo MP'!R260="","",'Cálculo MP'!R260)</f>
        <v/>
      </c>
      <c r="BG250" s="60" t="str">
        <f>IF('Cálculo MP'!S260="","",'Cálculo MP'!S260)</f>
        <v/>
      </c>
      <c r="BH250" s="59"/>
      <c r="BI250" s="59"/>
      <c r="BJ250" s="59"/>
      <c r="BK250" s="59"/>
      <c r="BL250" s="59"/>
      <c r="BM250" s="59"/>
      <c r="BN250" s="59"/>
      <c r="BO250" s="59"/>
    </row>
    <row r="251" spans="1:67" ht="19.5" customHeight="1" x14ac:dyDescent="0.2">
      <c r="A251" s="114" t="s">
        <v>1789</v>
      </c>
      <c r="B251" s="113" t="s">
        <v>1787</v>
      </c>
      <c r="C251" s="122"/>
      <c r="D251" s="48" t="s">
        <v>73</v>
      </c>
      <c r="E251" s="49"/>
      <c r="F251" s="50"/>
      <c r="G251" s="62"/>
      <c r="H251" s="48" t="s">
        <v>72</v>
      </c>
      <c r="I251" s="52">
        <v>1</v>
      </c>
      <c r="J251" s="52"/>
      <c r="K251" s="52" t="s">
        <v>73</v>
      </c>
      <c r="L251" s="52" t="s">
        <v>74</v>
      </c>
      <c r="M251" s="53" t="s">
        <v>917</v>
      </c>
      <c r="N251" s="58" t="s">
        <v>73</v>
      </c>
      <c r="O251" s="48" t="s">
        <v>72</v>
      </c>
      <c r="P251" s="48" t="s">
        <v>73</v>
      </c>
      <c r="Q251" s="54" t="s">
        <v>73</v>
      </c>
      <c r="R251" s="55" t="s">
        <v>73</v>
      </c>
      <c r="S251" s="48" t="s">
        <v>73</v>
      </c>
      <c r="T251" s="121" t="str" cm="1">
        <f t="array" ref="T251">IF(ISNUMBER(SEARCH("SCHNEIDER",D251)),_xlfn.IFS(ISNUMBER(SEARCH("2 Querétaro",D251)),"SQ2",ISNUMBER(SEARCH("Xicohténcatl",D251)),"SXC",ISNUMBER(SEARCH("Rojo Gómez",D251)),"SRG",ISNUMBER(SEARCH("Tlaxcala",D251)),"STX",ISNUMBER(SEARCH("Monterrey",D251)),"SMY",ISNUMBER(SEARCH("Querétaro",D251)),"SQ1",ISNUMBER(SEARCH("CDMX",D251)),"SCM",TRUE,""),"")</f>
        <v/>
      </c>
      <c r="U251" s="48" t="str" cm="1">
        <f t="array" ref="U251">_xlfn.LET(_xlpm.resultados,_xlfn.UNIQUE(_xlfn._xlws.FILTER(Tabla1[Proceso],(Tabla1[Metal Base]=O251)*(Tabla1[Etiquetas]=_xlfn.TEXTJOIN(" + ",TRUE,IF((TRIM(Upload!P251:S251)="")+(LOWER(TRIM(Upload!P251:S251))="(seleccione)"),"",PROPER(TRIM(Upload!P251:S251)))))*(Tabla1[Línea2]=IFERROR(VLOOKUP(Upload!N251&amp;"*",CAT_Procesos!D:D,1,FALSE),"")))),_xlpm.cantidad,ROWS(_xlpm.resultados),IF(ISERROR(_xlpm.cantidad),"Combinación no existente",IF(_xlpm.cantidad=1,INDEX(_xlpm.resultados,1),"(seleccione)")))</f>
        <v>Combinación no existente</v>
      </c>
      <c r="V251" s="55" t="s">
        <v>73</v>
      </c>
      <c r="W251" s="56" t="s">
        <v>73</v>
      </c>
      <c r="X251" s="57" t="str">
        <f t="shared" si="12"/>
        <v/>
      </c>
      <c r="Y251" s="58" t="s">
        <v>73</v>
      </c>
      <c r="Z251" s="57" t="str">
        <f t="shared" si="13"/>
        <v/>
      </c>
      <c r="AA251" s="58" t="s">
        <v>73</v>
      </c>
      <c r="AB251" s="57" t="str">
        <f t="shared" si="14"/>
        <v/>
      </c>
      <c r="AC251" s="58" t="s">
        <v>73</v>
      </c>
      <c r="AD251" s="57" t="str">
        <f t="shared" si="15"/>
        <v/>
      </c>
      <c r="AE251" s="59"/>
      <c r="AF251" s="59"/>
      <c r="AG251" s="59"/>
      <c r="AH251" s="59"/>
      <c r="AI251" s="59" t="s">
        <v>73</v>
      </c>
      <c r="AJ251" s="59"/>
      <c r="AK251" s="59" t="s">
        <v>73</v>
      </c>
      <c r="AL251" s="59"/>
      <c r="AM251" s="59" t="s">
        <v>73</v>
      </c>
      <c r="AN251" s="59"/>
      <c r="AO251" s="59" t="s">
        <v>73</v>
      </c>
      <c r="AP251" s="59"/>
      <c r="AQ251" s="59" t="s">
        <v>73</v>
      </c>
      <c r="AR251" s="59"/>
      <c r="AS251" s="59" t="s">
        <v>72</v>
      </c>
      <c r="AT251" s="59"/>
      <c r="AU251" s="59"/>
      <c r="AV251" s="59"/>
      <c r="AW251" s="59"/>
      <c r="AX251" s="59"/>
      <c r="AY251" s="60" t="str">
        <f>IF('Cálculo MP'!K261="","",'Cálculo MP'!K261)</f>
        <v/>
      </c>
      <c r="AZ251" s="60" t="str">
        <f>IF('Cálculo MP'!L261="","",'Cálculo MP'!L261)</f>
        <v/>
      </c>
      <c r="BA251" s="60" t="str">
        <f>IF('Cálculo MP'!M261="","",'Cálculo MP'!M261)</f>
        <v/>
      </c>
      <c r="BB251" s="60" t="str">
        <f>IF('Cálculo MP'!N261="","",'Cálculo MP'!N261)</f>
        <v/>
      </c>
      <c r="BC251" s="60" t="str">
        <f>IF('Cálculo MP'!O261="","",'Cálculo MP'!O261)</f>
        <v/>
      </c>
      <c r="BD251" s="60" t="str">
        <f>IF('Cálculo MP'!P261="","",'Cálculo MP'!P261)</f>
        <v/>
      </c>
      <c r="BE251" s="60" t="str">
        <f>IF('Cálculo MP'!Q261="","",'Cálculo MP'!Q261)</f>
        <v/>
      </c>
      <c r="BF251" s="60" t="str">
        <f>IF('Cálculo MP'!R261="","",'Cálculo MP'!R261)</f>
        <v/>
      </c>
      <c r="BG251" s="60" t="str">
        <f>IF('Cálculo MP'!S261="","",'Cálculo MP'!S261)</f>
        <v/>
      </c>
      <c r="BH251" s="59"/>
      <c r="BI251" s="59"/>
      <c r="BJ251" s="59"/>
      <c r="BK251" s="59"/>
      <c r="BL251" s="59"/>
      <c r="BM251" s="59"/>
      <c r="BN251" s="59"/>
      <c r="BO251" s="59"/>
    </row>
    <row r="252" spans="1:67" ht="19.5" customHeight="1" x14ac:dyDescent="0.2">
      <c r="A252" s="114" t="s">
        <v>1789</v>
      </c>
      <c r="B252" s="113" t="s">
        <v>1787</v>
      </c>
      <c r="C252" s="122"/>
      <c r="D252" s="48" t="s">
        <v>73</v>
      </c>
      <c r="E252" s="49"/>
      <c r="F252" s="50"/>
      <c r="G252" s="62"/>
      <c r="H252" s="48" t="s">
        <v>72</v>
      </c>
      <c r="I252" s="52">
        <v>1</v>
      </c>
      <c r="J252" s="52"/>
      <c r="K252" s="52" t="s">
        <v>73</v>
      </c>
      <c r="L252" s="52" t="s">
        <v>74</v>
      </c>
      <c r="M252" s="53" t="s">
        <v>917</v>
      </c>
      <c r="N252" s="58" t="s">
        <v>73</v>
      </c>
      <c r="O252" s="48" t="s">
        <v>72</v>
      </c>
      <c r="P252" s="48" t="s">
        <v>73</v>
      </c>
      <c r="Q252" s="54" t="s">
        <v>73</v>
      </c>
      <c r="R252" s="55" t="s">
        <v>73</v>
      </c>
      <c r="S252" s="48" t="s">
        <v>73</v>
      </c>
      <c r="T252" s="121" t="str" cm="1">
        <f t="array" ref="T252">IF(ISNUMBER(SEARCH("SCHNEIDER",D252)),_xlfn.IFS(ISNUMBER(SEARCH("2 Querétaro",D252)),"SQ2",ISNUMBER(SEARCH("Xicohténcatl",D252)),"SXC",ISNUMBER(SEARCH("Rojo Gómez",D252)),"SRG",ISNUMBER(SEARCH("Tlaxcala",D252)),"STX",ISNUMBER(SEARCH("Monterrey",D252)),"SMY",ISNUMBER(SEARCH("Querétaro",D252)),"SQ1",ISNUMBER(SEARCH("CDMX",D252)),"SCM",TRUE,""),"")</f>
        <v/>
      </c>
      <c r="U252" s="48" t="str" cm="1">
        <f t="array" ref="U252">_xlfn.LET(_xlpm.resultados,_xlfn.UNIQUE(_xlfn._xlws.FILTER(Tabla1[Proceso],(Tabla1[Metal Base]=O252)*(Tabla1[Etiquetas]=_xlfn.TEXTJOIN(" + ",TRUE,IF((TRIM(Upload!P252:S252)="")+(LOWER(TRIM(Upload!P252:S252))="(seleccione)"),"",PROPER(TRIM(Upload!P252:S252)))))*(Tabla1[Línea2]=IFERROR(VLOOKUP(Upload!N252&amp;"*",CAT_Procesos!D:D,1,FALSE),"")))),_xlpm.cantidad,ROWS(_xlpm.resultados),IF(ISERROR(_xlpm.cantidad),"Combinación no existente",IF(_xlpm.cantidad=1,INDEX(_xlpm.resultados,1),"(seleccione)")))</f>
        <v>Combinación no existente</v>
      </c>
      <c r="V252" s="55" t="s">
        <v>73</v>
      </c>
      <c r="W252" s="56" t="s">
        <v>73</v>
      </c>
      <c r="X252" s="57" t="str">
        <f t="shared" si="12"/>
        <v/>
      </c>
      <c r="Y252" s="58" t="s">
        <v>73</v>
      </c>
      <c r="Z252" s="57" t="str">
        <f t="shared" si="13"/>
        <v/>
      </c>
      <c r="AA252" s="58" t="s">
        <v>73</v>
      </c>
      <c r="AB252" s="57" t="str">
        <f t="shared" si="14"/>
        <v/>
      </c>
      <c r="AC252" s="58" t="s">
        <v>73</v>
      </c>
      <c r="AD252" s="57" t="str">
        <f t="shared" si="15"/>
        <v/>
      </c>
      <c r="AE252" s="59"/>
      <c r="AF252" s="59"/>
      <c r="AG252" s="59"/>
      <c r="AH252" s="59"/>
      <c r="AI252" s="59" t="s">
        <v>73</v>
      </c>
      <c r="AJ252" s="59"/>
      <c r="AK252" s="59" t="s">
        <v>73</v>
      </c>
      <c r="AL252" s="59"/>
      <c r="AM252" s="59" t="s">
        <v>73</v>
      </c>
      <c r="AN252" s="59"/>
      <c r="AO252" s="59" t="s">
        <v>73</v>
      </c>
      <c r="AP252" s="59"/>
      <c r="AQ252" s="59" t="s">
        <v>73</v>
      </c>
      <c r="AR252" s="59"/>
      <c r="AS252" s="59" t="s">
        <v>72</v>
      </c>
      <c r="AT252" s="59"/>
      <c r="AU252" s="59"/>
      <c r="AV252" s="59"/>
      <c r="AW252" s="59"/>
      <c r="AX252" s="59"/>
      <c r="AY252" s="60" t="str">
        <f>IF('Cálculo MP'!K262="","",'Cálculo MP'!K262)</f>
        <v/>
      </c>
      <c r="AZ252" s="60" t="str">
        <f>IF('Cálculo MP'!L262="","",'Cálculo MP'!L262)</f>
        <v/>
      </c>
      <c r="BA252" s="60" t="str">
        <f>IF('Cálculo MP'!M262="","",'Cálculo MP'!M262)</f>
        <v/>
      </c>
      <c r="BB252" s="60" t="str">
        <f>IF('Cálculo MP'!N262="","",'Cálculo MP'!N262)</f>
        <v/>
      </c>
      <c r="BC252" s="60" t="str">
        <f>IF('Cálculo MP'!O262="","",'Cálculo MP'!O262)</f>
        <v/>
      </c>
      <c r="BD252" s="60" t="str">
        <f>IF('Cálculo MP'!P262="","",'Cálculo MP'!P262)</f>
        <v/>
      </c>
      <c r="BE252" s="60" t="str">
        <f>IF('Cálculo MP'!Q262="","",'Cálculo MP'!Q262)</f>
        <v/>
      </c>
      <c r="BF252" s="60" t="str">
        <f>IF('Cálculo MP'!R262="","",'Cálculo MP'!R262)</f>
        <v/>
      </c>
      <c r="BG252" s="60" t="str">
        <f>IF('Cálculo MP'!S262="","",'Cálculo MP'!S262)</f>
        <v/>
      </c>
      <c r="BH252" s="59"/>
      <c r="BI252" s="59"/>
      <c r="BJ252" s="59"/>
      <c r="BK252" s="59"/>
      <c r="BL252" s="59"/>
      <c r="BM252" s="59"/>
      <c r="BN252" s="59"/>
      <c r="BO252" s="59"/>
    </row>
    <row r="253" spans="1:67" ht="19.5" customHeight="1" x14ac:dyDescent="0.2">
      <c r="A253" s="114" t="s">
        <v>1789</v>
      </c>
      <c r="B253" s="113" t="s">
        <v>1787</v>
      </c>
      <c r="C253" s="122"/>
      <c r="D253" s="48" t="s">
        <v>73</v>
      </c>
      <c r="E253" s="49"/>
      <c r="F253" s="50"/>
      <c r="G253" s="62"/>
      <c r="H253" s="48" t="s">
        <v>72</v>
      </c>
      <c r="I253" s="52">
        <v>1</v>
      </c>
      <c r="J253" s="52"/>
      <c r="K253" s="52" t="s">
        <v>73</v>
      </c>
      <c r="L253" s="52" t="s">
        <v>74</v>
      </c>
      <c r="M253" s="53" t="s">
        <v>917</v>
      </c>
      <c r="N253" s="58" t="s">
        <v>73</v>
      </c>
      <c r="O253" s="48" t="s">
        <v>72</v>
      </c>
      <c r="P253" s="48" t="s">
        <v>73</v>
      </c>
      <c r="Q253" s="54" t="s">
        <v>73</v>
      </c>
      <c r="R253" s="55" t="s">
        <v>73</v>
      </c>
      <c r="S253" s="48" t="s">
        <v>73</v>
      </c>
      <c r="T253" s="121" t="str" cm="1">
        <f t="array" ref="T253">IF(ISNUMBER(SEARCH("SCHNEIDER",D253)),_xlfn.IFS(ISNUMBER(SEARCH("2 Querétaro",D253)),"SQ2",ISNUMBER(SEARCH("Xicohténcatl",D253)),"SXC",ISNUMBER(SEARCH("Rojo Gómez",D253)),"SRG",ISNUMBER(SEARCH("Tlaxcala",D253)),"STX",ISNUMBER(SEARCH("Monterrey",D253)),"SMY",ISNUMBER(SEARCH("Querétaro",D253)),"SQ1",ISNUMBER(SEARCH("CDMX",D253)),"SCM",TRUE,""),"")</f>
        <v/>
      </c>
      <c r="U253" s="48" t="str" cm="1">
        <f t="array" ref="U253">_xlfn.LET(_xlpm.resultados,_xlfn.UNIQUE(_xlfn._xlws.FILTER(Tabla1[Proceso],(Tabla1[Metal Base]=O253)*(Tabla1[Etiquetas]=_xlfn.TEXTJOIN(" + ",TRUE,IF((TRIM(Upload!P253:S253)="")+(LOWER(TRIM(Upload!P253:S253))="(seleccione)"),"",PROPER(TRIM(Upload!P253:S253)))))*(Tabla1[Línea2]=IFERROR(VLOOKUP(Upload!N253&amp;"*",CAT_Procesos!D:D,1,FALSE),"")))),_xlpm.cantidad,ROWS(_xlpm.resultados),IF(ISERROR(_xlpm.cantidad),"Combinación no existente",IF(_xlpm.cantidad=1,INDEX(_xlpm.resultados,1),"(seleccione)")))</f>
        <v>Combinación no existente</v>
      </c>
      <c r="V253" s="55" t="s">
        <v>73</v>
      </c>
      <c r="W253" s="56" t="s">
        <v>73</v>
      </c>
      <c r="X253" s="57" t="str">
        <f t="shared" si="12"/>
        <v/>
      </c>
      <c r="Y253" s="58" t="s">
        <v>73</v>
      </c>
      <c r="Z253" s="57" t="str">
        <f t="shared" si="13"/>
        <v/>
      </c>
      <c r="AA253" s="58" t="s">
        <v>73</v>
      </c>
      <c r="AB253" s="57" t="str">
        <f t="shared" si="14"/>
        <v/>
      </c>
      <c r="AC253" s="58" t="s">
        <v>73</v>
      </c>
      <c r="AD253" s="57" t="str">
        <f t="shared" si="15"/>
        <v/>
      </c>
      <c r="AE253" s="59"/>
      <c r="AF253" s="59"/>
      <c r="AG253" s="59"/>
      <c r="AH253" s="59"/>
      <c r="AI253" s="59" t="s">
        <v>73</v>
      </c>
      <c r="AJ253" s="59"/>
      <c r="AK253" s="59" t="s">
        <v>73</v>
      </c>
      <c r="AL253" s="59"/>
      <c r="AM253" s="59" t="s">
        <v>73</v>
      </c>
      <c r="AN253" s="59"/>
      <c r="AO253" s="59" t="s">
        <v>73</v>
      </c>
      <c r="AP253" s="59"/>
      <c r="AQ253" s="59" t="s">
        <v>73</v>
      </c>
      <c r="AR253" s="59"/>
      <c r="AS253" s="59" t="s">
        <v>72</v>
      </c>
      <c r="AT253" s="59"/>
      <c r="AU253" s="59"/>
      <c r="AV253" s="59"/>
      <c r="AW253" s="59"/>
      <c r="AX253" s="59"/>
      <c r="AY253" s="60" t="str">
        <f>IF('Cálculo MP'!K263="","",'Cálculo MP'!K263)</f>
        <v/>
      </c>
      <c r="AZ253" s="60" t="str">
        <f>IF('Cálculo MP'!L263="","",'Cálculo MP'!L263)</f>
        <v/>
      </c>
      <c r="BA253" s="60" t="str">
        <f>IF('Cálculo MP'!M263="","",'Cálculo MP'!M263)</f>
        <v/>
      </c>
      <c r="BB253" s="60" t="str">
        <f>IF('Cálculo MP'!N263="","",'Cálculo MP'!N263)</f>
        <v/>
      </c>
      <c r="BC253" s="60" t="str">
        <f>IF('Cálculo MP'!O263="","",'Cálculo MP'!O263)</f>
        <v/>
      </c>
      <c r="BD253" s="60" t="str">
        <f>IF('Cálculo MP'!P263="","",'Cálculo MP'!P263)</f>
        <v/>
      </c>
      <c r="BE253" s="60" t="str">
        <f>IF('Cálculo MP'!Q263="","",'Cálculo MP'!Q263)</f>
        <v/>
      </c>
      <c r="BF253" s="60" t="str">
        <f>IF('Cálculo MP'!R263="","",'Cálculo MP'!R263)</f>
        <v/>
      </c>
      <c r="BG253" s="60" t="str">
        <f>IF('Cálculo MP'!S263="","",'Cálculo MP'!S263)</f>
        <v/>
      </c>
      <c r="BH253" s="59"/>
      <c r="BI253" s="59"/>
      <c r="BJ253" s="59"/>
      <c r="BK253" s="59"/>
      <c r="BL253" s="59"/>
      <c r="BM253" s="59"/>
      <c r="BN253" s="59"/>
      <c r="BO253" s="59"/>
    </row>
    <row r="254" spans="1:67" ht="19.5" customHeight="1" x14ac:dyDescent="0.2">
      <c r="A254" s="114" t="s">
        <v>1789</v>
      </c>
      <c r="B254" s="113" t="s">
        <v>1787</v>
      </c>
      <c r="C254" s="122"/>
      <c r="D254" s="48" t="s">
        <v>73</v>
      </c>
      <c r="E254" s="49"/>
      <c r="F254" s="50"/>
      <c r="G254" s="62"/>
      <c r="H254" s="48" t="s">
        <v>72</v>
      </c>
      <c r="I254" s="52">
        <v>1</v>
      </c>
      <c r="J254" s="52"/>
      <c r="K254" s="52" t="s">
        <v>73</v>
      </c>
      <c r="L254" s="52" t="s">
        <v>74</v>
      </c>
      <c r="M254" s="53" t="s">
        <v>917</v>
      </c>
      <c r="N254" s="58" t="s">
        <v>73</v>
      </c>
      <c r="O254" s="48" t="s">
        <v>72</v>
      </c>
      <c r="P254" s="48" t="s">
        <v>73</v>
      </c>
      <c r="Q254" s="54" t="s">
        <v>73</v>
      </c>
      <c r="R254" s="55" t="s">
        <v>73</v>
      </c>
      <c r="S254" s="48" t="s">
        <v>73</v>
      </c>
      <c r="T254" s="121" t="str" cm="1">
        <f t="array" ref="T254">IF(ISNUMBER(SEARCH("SCHNEIDER",D254)),_xlfn.IFS(ISNUMBER(SEARCH("2 Querétaro",D254)),"SQ2",ISNUMBER(SEARCH("Xicohténcatl",D254)),"SXC",ISNUMBER(SEARCH("Rojo Gómez",D254)),"SRG",ISNUMBER(SEARCH("Tlaxcala",D254)),"STX",ISNUMBER(SEARCH("Monterrey",D254)),"SMY",ISNUMBER(SEARCH("Querétaro",D254)),"SQ1",ISNUMBER(SEARCH("CDMX",D254)),"SCM",TRUE,""),"")</f>
        <v/>
      </c>
      <c r="U254" s="48" t="str" cm="1">
        <f t="array" ref="U254">_xlfn.LET(_xlpm.resultados,_xlfn.UNIQUE(_xlfn._xlws.FILTER(Tabla1[Proceso],(Tabla1[Metal Base]=O254)*(Tabla1[Etiquetas]=_xlfn.TEXTJOIN(" + ",TRUE,IF((TRIM(Upload!P254:S254)="")+(LOWER(TRIM(Upload!P254:S254))="(seleccione)"),"",PROPER(TRIM(Upload!P254:S254)))))*(Tabla1[Línea2]=IFERROR(VLOOKUP(Upload!N254&amp;"*",CAT_Procesos!D:D,1,FALSE),"")))),_xlpm.cantidad,ROWS(_xlpm.resultados),IF(ISERROR(_xlpm.cantidad),"Combinación no existente",IF(_xlpm.cantidad=1,INDEX(_xlpm.resultados,1),"(seleccione)")))</f>
        <v>Combinación no existente</v>
      </c>
      <c r="V254" s="55" t="s">
        <v>73</v>
      </c>
      <c r="W254" s="56" t="s">
        <v>73</v>
      </c>
      <c r="X254" s="57" t="str">
        <f t="shared" si="12"/>
        <v/>
      </c>
      <c r="Y254" s="58" t="s">
        <v>73</v>
      </c>
      <c r="Z254" s="57" t="str">
        <f t="shared" si="13"/>
        <v/>
      </c>
      <c r="AA254" s="58" t="s">
        <v>73</v>
      </c>
      <c r="AB254" s="57" t="str">
        <f t="shared" si="14"/>
        <v/>
      </c>
      <c r="AC254" s="58" t="s">
        <v>73</v>
      </c>
      <c r="AD254" s="57" t="str">
        <f t="shared" si="15"/>
        <v/>
      </c>
      <c r="AE254" s="59"/>
      <c r="AF254" s="59"/>
      <c r="AG254" s="59"/>
      <c r="AH254" s="59"/>
      <c r="AI254" s="59" t="s">
        <v>73</v>
      </c>
      <c r="AJ254" s="59"/>
      <c r="AK254" s="59" t="s">
        <v>73</v>
      </c>
      <c r="AL254" s="59"/>
      <c r="AM254" s="59" t="s">
        <v>73</v>
      </c>
      <c r="AN254" s="59"/>
      <c r="AO254" s="59" t="s">
        <v>73</v>
      </c>
      <c r="AP254" s="59"/>
      <c r="AQ254" s="59" t="s">
        <v>73</v>
      </c>
      <c r="AR254" s="59"/>
      <c r="AS254" s="59" t="s">
        <v>72</v>
      </c>
      <c r="AT254" s="59"/>
      <c r="AU254" s="59"/>
      <c r="AV254" s="59"/>
      <c r="AW254" s="59"/>
      <c r="AX254" s="59"/>
      <c r="AY254" s="60" t="str">
        <f>IF('Cálculo MP'!K264="","",'Cálculo MP'!K264)</f>
        <v/>
      </c>
      <c r="AZ254" s="60" t="str">
        <f>IF('Cálculo MP'!L264="","",'Cálculo MP'!L264)</f>
        <v/>
      </c>
      <c r="BA254" s="60" t="str">
        <f>IF('Cálculo MP'!M264="","",'Cálculo MP'!M264)</f>
        <v/>
      </c>
      <c r="BB254" s="60" t="str">
        <f>IF('Cálculo MP'!N264="","",'Cálculo MP'!N264)</f>
        <v/>
      </c>
      <c r="BC254" s="60" t="str">
        <f>IF('Cálculo MP'!O264="","",'Cálculo MP'!O264)</f>
        <v/>
      </c>
      <c r="BD254" s="60" t="str">
        <f>IF('Cálculo MP'!P264="","",'Cálculo MP'!P264)</f>
        <v/>
      </c>
      <c r="BE254" s="60" t="str">
        <f>IF('Cálculo MP'!Q264="","",'Cálculo MP'!Q264)</f>
        <v/>
      </c>
      <c r="BF254" s="60" t="str">
        <f>IF('Cálculo MP'!R264="","",'Cálculo MP'!R264)</f>
        <v/>
      </c>
      <c r="BG254" s="60" t="str">
        <f>IF('Cálculo MP'!S264="","",'Cálculo MP'!S264)</f>
        <v/>
      </c>
      <c r="BH254" s="59"/>
      <c r="BI254" s="59"/>
      <c r="BJ254" s="59"/>
      <c r="BK254" s="59"/>
      <c r="BL254" s="59"/>
      <c r="BM254" s="59"/>
      <c r="BN254" s="59"/>
      <c r="BO254" s="59"/>
    </row>
    <row r="255" spans="1:67" ht="19.5" customHeight="1" x14ac:dyDescent="0.2">
      <c r="A255" s="114" t="s">
        <v>1789</v>
      </c>
      <c r="B255" s="113" t="s">
        <v>1787</v>
      </c>
      <c r="C255" s="122"/>
      <c r="D255" s="48" t="s">
        <v>73</v>
      </c>
      <c r="E255" s="49"/>
      <c r="F255" s="50"/>
      <c r="G255" s="62"/>
      <c r="H255" s="48" t="s">
        <v>72</v>
      </c>
      <c r="I255" s="52">
        <v>1</v>
      </c>
      <c r="J255" s="52"/>
      <c r="K255" s="52" t="s">
        <v>73</v>
      </c>
      <c r="L255" s="52" t="s">
        <v>74</v>
      </c>
      <c r="M255" s="53" t="s">
        <v>917</v>
      </c>
      <c r="N255" s="58" t="s">
        <v>73</v>
      </c>
      <c r="O255" s="48" t="s">
        <v>72</v>
      </c>
      <c r="P255" s="48" t="s">
        <v>73</v>
      </c>
      <c r="Q255" s="54" t="s">
        <v>73</v>
      </c>
      <c r="R255" s="55" t="s">
        <v>73</v>
      </c>
      <c r="S255" s="48" t="s">
        <v>73</v>
      </c>
      <c r="T255" s="121" t="str" cm="1">
        <f t="array" ref="T255">IF(ISNUMBER(SEARCH("SCHNEIDER",D255)),_xlfn.IFS(ISNUMBER(SEARCH("2 Querétaro",D255)),"SQ2",ISNUMBER(SEARCH("Xicohténcatl",D255)),"SXC",ISNUMBER(SEARCH("Rojo Gómez",D255)),"SRG",ISNUMBER(SEARCH("Tlaxcala",D255)),"STX",ISNUMBER(SEARCH("Monterrey",D255)),"SMY",ISNUMBER(SEARCH("Querétaro",D255)),"SQ1",ISNUMBER(SEARCH("CDMX",D255)),"SCM",TRUE,""),"")</f>
        <v/>
      </c>
      <c r="U255" s="48" t="str" cm="1">
        <f t="array" ref="U255">_xlfn.LET(_xlpm.resultados,_xlfn.UNIQUE(_xlfn._xlws.FILTER(Tabla1[Proceso],(Tabla1[Metal Base]=O255)*(Tabla1[Etiquetas]=_xlfn.TEXTJOIN(" + ",TRUE,IF((TRIM(Upload!P255:S255)="")+(LOWER(TRIM(Upload!P255:S255))="(seleccione)"),"",PROPER(TRIM(Upload!P255:S255)))))*(Tabla1[Línea2]=IFERROR(VLOOKUP(Upload!N255&amp;"*",CAT_Procesos!D:D,1,FALSE),"")))),_xlpm.cantidad,ROWS(_xlpm.resultados),IF(ISERROR(_xlpm.cantidad),"Combinación no existente",IF(_xlpm.cantidad=1,INDEX(_xlpm.resultados,1),"(seleccione)")))</f>
        <v>Combinación no existente</v>
      </c>
      <c r="V255" s="55" t="s">
        <v>73</v>
      </c>
      <c r="W255" s="56" t="s">
        <v>73</v>
      </c>
      <c r="X255" s="57" t="str">
        <f t="shared" si="12"/>
        <v/>
      </c>
      <c r="Y255" s="58" t="s">
        <v>73</v>
      </c>
      <c r="Z255" s="57" t="str">
        <f t="shared" si="13"/>
        <v/>
      </c>
      <c r="AA255" s="58" t="s">
        <v>73</v>
      </c>
      <c r="AB255" s="57" t="str">
        <f t="shared" si="14"/>
        <v/>
      </c>
      <c r="AC255" s="58" t="s">
        <v>73</v>
      </c>
      <c r="AD255" s="57" t="str">
        <f t="shared" si="15"/>
        <v/>
      </c>
      <c r="AE255" s="59"/>
      <c r="AF255" s="59"/>
      <c r="AG255" s="59"/>
      <c r="AH255" s="59"/>
      <c r="AI255" s="59" t="s">
        <v>73</v>
      </c>
      <c r="AJ255" s="59"/>
      <c r="AK255" s="59" t="s">
        <v>73</v>
      </c>
      <c r="AL255" s="59"/>
      <c r="AM255" s="59" t="s">
        <v>73</v>
      </c>
      <c r="AN255" s="59"/>
      <c r="AO255" s="59" t="s">
        <v>73</v>
      </c>
      <c r="AP255" s="59"/>
      <c r="AQ255" s="59" t="s">
        <v>73</v>
      </c>
      <c r="AR255" s="59"/>
      <c r="AS255" s="59" t="s">
        <v>72</v>
      </c>
      <c r="AT255" s="59"/>
      <c r="AU255" s="59"/>
      <c r="AV255" s="59"/>
      <c r="AW255" s="59"/>
      <c r="AX255" s="59"/>
      <c r="AY255" s="60" t="str">
        <f>IF('Cálculo MP'!K265="","",'Cálculo MP'!K265)</f>
        <v/>
      </c>
      <c r="AZ255" s="60" t="str">
        <f>IF('Cálculo MP'!L265="","",'Cálculo MP'!L265)</f>
        <v/>
      </c>
      <c r="BA255" s="60" t="str">
        <f>IF('Cálculo MP'!M265="","",'Cálculo MP'!M265)</f>
        <v/>
      </c>
      <c r="BB255" s="60" t="str">
        <f>IF('Cálculo MP'!N265="","",'Cálculo MP'!N265)</f>
        <v/>
      </c>
      <c r="BC255" s="60" t="str">
        <f>IF('Cálculo MP'!O265="","",'Cálculo MP'!O265)</f>
        <v/>
      </c>
      <c r="BD255" s="60" t="str">
        <f>IF('Cálculo MP'!P265="","",'Cálculo MP'!P265)</f>
        <v/>
      </c>
      <c r="BE255" s="60" t="str">
        <f>IF('Cálculo MP'!Q265="","",'Cálculo MP'!Q265)</f>
        <v/>
      </c>
      <c r="BF255" s="60" t="str">
        <f>IF('Cálculo MP'!R265="","",'Cálculo MP'!R265)</f>
        <v/>
      </c>
      <c r="BG255" s="60" t="str">
        <f>IF('Cálculo MP'!S265="","",'Cálculo MP'!S265)</f>
        <v/>
      </c>
      <c r="BH255" s="59"/>
      <c r="BI255" s="59"/>
      <c r="BJ255" s="59"/>
      <c r="BK255" s="59"/>
      <c r="BL255" s="59"/>
      <c r="BM255" s="59"/>
      <c r="BN255" s="59"/>
      <c r="BO255" s="59"/>
    </row>
    <row r="256" spans="1:67" ht="19.5" customHeight="1" x14ac:dyDescent="0.2">
      <c r="A256" s="114" t="s">
        <v>1789</v>
      </c>
      <c r="B256" s="113" t="s">
        <v>1787</v>
      </c>
      <c r="C256" s="122"/>
      <c r="D256" s="48" t="s">
        <v>73</v>
      </c>
      <c r="E256" s="49"/>
      <c r="F256" s="50"/>
      <c r="G256" s="62"/>
      <c r="H256" s="48" t="s">
        <v>72</v>
      </c>
      <c r="I256" s="52">
        <v>1</v>
      </c>
      <c r="J256" s="52"/>
      <c r="K256" s="52" t="s">
        <v>73</v>
      </c>
      <c r="L256" s="52" t="s">
        <v>74</v>
      </c>
      <c r="M256" s="53" t="s">
        <v>917</v>
      </c>
      <c r="N256" s="58" t="s">
        <v>73</v>
      </c>
      <c r="O256" s="48" t="s">
        <v>72</v>
      </c>
      <c r="P256" s="48" t="s">
        <v>73</v>
      </c>
      <c r="Q256" s="54" t="s">
        <v>73</v>
      </c>
      <c r="R256" s="55" t="s">
        <v>73</v>
      </c>
      <c r="S256" s="48" t="s">
        <v>73</v>
      </c>
      <c r="T256" s="121" t="str" cm="1">
        <f t="array" ref="T256">IF(ISNUMBER(SEARCH("SCHNEIDER",D256)),_xlfn.IFS(ISNUMBER(SEARCH("2 Querétaro",D256)),"SQ2",ISNUMBER(SEARCH("Xicohténcatl",D256)),"SXC",ISNUMBER(SEARCH("Rojo Gómez",D256)),"SRG",ISNUMBER(SEARCH("Tlaxcala",D256)),"STX",ISNUMBER(SEARCH("Monterrey",D256)),"SMY",ISNUMBER(SEARCH("Querétaro",D256)),"SQ1",ISNUMBER(SEARCH("CDMX",D256)),"SCM",TRUE,""),"")</f>
        <v/>
      </c>
      <c r="U256" s="48" t="str" cm="1">
        <f t="array" ref="U256">_xlfn.LET(_xlpm.resultados,_xlfn.UNIQUE(_xlfn._xlws.FILTER(Tabla1[Proceso],(Tabla1[Metal Base]=O256)*(Tabla1[Etiquetas]=_xlfn.TEXTJOIN(" + ",TRUE,IF((TRIM(Upload!P256:S256)="")+(LOWER(TRIM(Upload!P256:S256))="(seleccione)"),"",PROPER(TRIM(Upload!P256:S256)))))*(Tabla1[Línea2]=IFERROR(VLOOKUP(Upload!N256&amp;"*",CAT_Procesos!D:D,1,FALSE),"")))),_xlpm.cantidad,ROWS(_xlpm.resultados),IF(ISERROR(_xlpm.cantidad),"Combinación no existente",IF(_xlpm.cantidad=1,INDEX(_xlpm.resultados,1),"(seleccione)")))</f>
        <v>Combinación no existente</v>
      </c>
      <c r="V256" s="55" t="s">
        <v>73</v>
      </c>
      <c r="W256" s="56" t="s">
        <v>73</v>
      </c>
      <c r="X256" s="57" t="str">
        <f t="shared" si="12"/>
        <v/>
      </c>
      <c r="Y256" s="58" t="s">
        <v>73</v>
      </c>
      <c r="Z256" s="57" t="str">
        <f t="shared" si="13"/>
        <v/>
      </c>
      <c r="AA256" s="58" t="s">
        <v>73</v>
      </c>
      <c r="AB256" s="57" t="str">
        <f t="shared" si="14"/>
        <v/>
      </c>
      <c r="AC256" s="58" t="s">
        <v>73</v>
      </c>
      <c r="AD256" s="57" t="str">
        <f t="shared" si="15"/>
        <v/>
      </c>
      <c r="AE256" s="59"/>
      <c r="AF256" s="59"/>
      <c r="AG256" s="59"/>
      <c r="AH256" s="59"/>
      <c r="AI256" s="59" t="s">
        <v>73</v>
      </c>
      <c r="AJ256" s="59"/>
      <c r="AK256" s="59" t="s">
        <v>73</v>
      </c>
      <c r="AL256" s="59"/>
      <c r="AM256" s="59" t="s">
        <v>73</v>
      </c>
      <c r="AN256" s="59"/>
      <c r="AO256" s="59" t="s">
        <v>73</v>
      </c>
      <c r="AP256" s="59"/>
      <c r="AQ256" s="59" t="s">
        <v>73</v>
      </c>
      <c r="AR256" s="59"/>
      <c r="AS256" s="59" t="s">
        <v>72</v>
      </c>
      <c r="AT256" s="59"/>
      <c r="AU256" s="59"/>
      <c r="AV256" s="59"/>
      <c r="AW256" s="59"/>
      <c r="AX256" s="59"/>
      <c r="AY256" s="60" t="str">
        <f>IF('Cálculo MP'!K266="","",'Cálculo MP'!K266)</f>
        <v/>
      </c>
      <c r="AZ256" s="60" t="str">
        <f>IF('Cálculo MP'!L266="","",'Cálculo MP'!L266)</f>
        <v/>
      </c>
      <c r="BA256" s="60" t="str">
        <f>IF('Cálculo MP'!M266="","",'Cálculo MP'!M266)</f>
        <v/>
      </c>
      <c r="BB256" s="60" t="str">
        <f>IF('Cálculo MP'!N266="","",'Cálculo MP'!N266)</f>
        <v/>
      </c>
      <c r="BC256" s="60" t="str">
        <f>IF('Cálculo MP'!O266="","",'Cálculo MP'!O266)</f>
        <v/>
      </c>
      <c r="BD256" s="60" t="str">
        <f>IF('Cálculo MP'!P266="","",'Cálculo MP'!P266)</f>
        <v/>
      </c>
      <c r="BE256" s="60" t="str">
        <f>IF('Cálculo MP'!Q266="","",'Cálculo MP'!Q266)</f>
        <v/>
      </c>
      <c r="BF256" s="60" t="str">
        <f>IF('Cálculo MP'!R266="","",'Cálculo MP'!R266)</f>
        <v/>
      </c>
      <c r="BG256" s="60" t="str">
        <f>IF('Cálculo MP'!S266="","",'Cálculo MP'!S266)</f>
        <v/>
      </c>
      <c r="BH256" s="59"/>
      <c r="BI256" s="59"/>
      <c r="BJ256" s="59"/>
      <c r="BK256" s="59"/>
      <c r="BL256" s="59"/>
      <c r="BM256" s="59"/>
      <c r="BN256" s="59"/>
      <c r="BO256" s="59"/>
    </row>
    <row r="257" spans="1:67" ht="19.5" customHeight="1" x14ac:dyDescent="0.2">
      <c r="A257" s="114" t="s">
        <v>1789</v>
      </c>
      <c r="B257" s="113" t="s">
        <v>1787</v>
      </c>
      <c r="C257" s="122"/>
      <c r="D257" s="48" t="s">
        <v>73</v>
      </c>
      <c r="E257" s="49"/>
      <c r="F257" s="50"/>
      <c r="G257" s="62"/>
      <c r="H257" s="48" t="s">
        <v>72</v>
      </c>
      <c r="I257" s="52">
        <v>1</v>
      </c>
      <c r="J257" s="52"/>
      <c r="K257" s="52" t="s">
        <v>73</v>
      </c>
      <c r="L257" s="52" t="s">
        <v>74</v>
      </c>
      <c r="M257" s="53" t="s">
        <v>917</v>
      </c>
      <c r="N257" s="58" t="s">
        <v>73</v>
      </c>
      <c r="O257" s="48" t="s">
        <v>72</v>
      </c>
      <c r="P257" s="48" t="s">
        <v>73</v>
      </c>
      <c r="Q257" s="54" t="s">
        <v>73</v>
      </c>
      <c r="R257" s="55" t="s">
        <v>73</v>
      </c>
      <c r="S257" s="48" t="s">
        <v>73</v>
      </c>
      <c r="T257" s="121" t="str" cm="1">
        <f t="array" ref="T257">IF(ISNUMBER(SEARCH("SCHNEIDER",D257)),_xlfn.IFS(ISNUMBER(SEARCH("2 Querétaro",D257)),"SQ2",ISNUMBER(SEARCH("Xicohténcatl",D257)),"SXC",ISNUMBER(SEARCH("Rojo Gómez",D257)),"SRG",ISNUMBER(SEARCH("Tlaxcala",D257)),"STX",ISNUMBER(SEARCH("Monterrey",D257)),"SMY",ISNUMBER(SEARCH("Querétaro",D257)),"SQ1",ISNUMBER(SEARCH("CDMX",D257)),"SCM",TRUE,""),"")</f>
        <v/>
      </c>
      <c r="U257" s="48" t="str" cm="1">
        <f t="array" ref="U257">_xlfn.LET(_xlpm.resultados,_xlfn.UNIQUE(_xlfn._xlws.FILTER(Tabla1[Proceso],(Tabla1[Metal Base]=O257)*(Tabla1[Etiquetas]=_xlfn.TEXTJOIN(" + ",TRUE,IF((TRIM(Upload!P257:S257)="")+(LOWER(TRIM(Upload!P257:S257))="(seleccione)"),"",PROPER(TRIM(Upload!P257:S257)))))*(Tabla1[Línea2]=IFERROR(VLOOKUP(Upload!N257&amp;"*",CAT_Procesos!D:D,1,FALSE),"")))),_xlpm.cantidad,ROWS(_xlpm.resultados),IF(ISERROR(_xlpm.cantidad),"Combinación no existente",IF(_xlpm.cantidad=1,INDEX(_xlpm.resultados,1),"(seleccione)")))</f>
        <v>Combinación no existente</v>
      </c>
      <c r="V257" s="55" t="s">
        <v>73</v>
      </c>
      <c r="W257" s="56" t="s">
        <v>73</v>
      </c>
      <c r="X257" s="57" t="str">
        <f t="shared" si="12"/>
        <v/>
      </c>
      <c r="Y257" s="58" t="s">
        <v>73</v>
      </c>
      <c r="Z257" s="57" t="str">
        <f t="shared" si="13"/>
        <v/>
      </c>
      <c r="AA257" s="58" t="s">
        <v>73</v>
      </c>
      <c r="AB257" s="57" t="str">
        <f t="shared" si="14"/>
        <v/>
      </c>
      <c r="AC257" s="58" t="s">
        <v>73</v>
      </c>
      <c r="AD257" s="57" t="str">
        <f t="shared" si="15"/>
        <v/>
      </c>
      <c r="AE257" s="59"/>
      <c r="AF257" s="59"/>
      <c r="AG257" s="59"/>
      <c r="AH257" s="59"/>
      <c r="AI257" s="59" t="s">
        <v>73</v>
      </c>
      <c r="AJ257" s="59"/>
      <c r="AK257" s="59" t="s">
        <v>73</v>
      </c>
      <c r="AL257" s="59"/>
      <c r="AM257" s="59" t="s">
        <v>73</v>
      </c>
      <c r="AN257" s="59"/>
      <c r="AO257" s="59" t="s">
        <v>73</v>
      </c>
      <c r="AP257" s="59"/>
      <c r="AQ257" s="59" t="s">
        <v>73</v>
      </c>
      <c r="AR257" s="59"/>
      <c r="AS257" s="59" t="s">
        <v>72</v>
      </c>
      <c r="AT257" s="59"/>
      <c r="AU257" s="59"/>
      <c r="AV257" s="59"/>
      <c r="AW257" s="59"/>
      <c r="AX257" s="59"/>
      <c r="AY257" s="60" t="str">
        <f>IF('Cálculo MP'!K267="","",'Cálculo MP'!K267)</f>
        <v/>
      </c>
      <c r="AZ257" s="60" t="str">
        <f>IF('Cálculo MP'!L267="","",'Cálculo MP'!L267)</f>
        <v/>
      </c>
      <c r="BA257" s="60" t="str">
        <f>IF('Cálculo MP'!M267="","",'Cálculo MP'!M267)</f>
        <v/>
      </c>
      <c r="BB257" s="60" t="str">
        <f>IF('Cálculo MP'!N267="","",'Cálculo MP'!N267)</f>
        <v/>
      </c>
      <c r="BC257" s="60" t="str">
        <f>IF('Cálculo MP'!O267="","",'Cálculo MP'!O267)</f>
        <v/>
      </c>
      <c r="BD257" s="60" t="str">
        <f>IF('Cálculo MP'!P267="","",'Cálculo MP'!P267)</f>
        <v/>
      </c>
      <c r="BE257" s="60" t="str">
        <f>IF('Cálculo MP'!Q267="","",'Cálculo MP'!Q267)</f>
        <v/>
      </c>
      <c r="BF257" s="60" t="str">
        <f>IF('Cálculo MP'!R267="","",'Cálculo MP'!R267)</f>
        <v/>
      </c>
      <c r="BG257" s="60" t="str">
        <f>IF('Cálculo MP'!S267="","",'Cálculo MP'!S267)</f>
        <v/>
      </c>
      <c r="BH257" s="59"/>
      <c r="BI257" s="59"/>
      <c r="BJ257" s="59"/>
      <c r="BK257" s="59"/>
      <c r="BL257" s="59"/>
      <c r="BM257" s="59"/>
      <c r="BN257" s="59"/>
      <c r="BO257" s="59"/>
    </row>
    <row r="258" spans="1:67" ht="19.5" customHeight="1" x14ac:dyDescent="0.2">
      <c r="A258" s="114" t="s">
        <v>1789</v>
      </c>
      <c r="B258" s="113" t="s">
        <v>1787</v>
      </c>
      <c r="C258" s="122"/>
      <c r="D258" s="48" t="s">
        <v>73</v>
      </c>
      <c r="E258" s="49"/>
      <c r="F258" s="50"/>
      <c r="G258" s="62"/>
      <c r="H258" s="48" t="s">
        <v>72</v>
      </c>
      <c r="I258" s="52">
        <v>1</v>
      </c>
      <c r="J258" s="52"/>
      <c r="K258" s="52" t="s">
        <v>73</v>
      </c>
      <c r="L258" s="52" t="s">
        <v>74</v>
      </c>
      <c r="M258" s="53" t="s">
        <v>917</v>
      </c>
      <c r="N258" s="58" t="s">
        <v>73</v>
      </c>
      <c r="O258" s="48" t="s">
        <v>72</v>
      </c>
      <c r="P258" s="48" t="s">
        <v>73</v>
      </c>
      <c r="Q258" s="54" t="s">
        <v>73</v>
      </c>
      <c r="R258" s="55" t="s">
        <v>73</v>
      </c>
      <c r="S258" s="48" t="s">
        <v>73</v>
      </c>
      <c r="T258" s="121" t="str" cm="1">
        <f t="array" ref="T258">IF(ISNUMBER(SEARCH("SCHNEIDER",D258)),_xlfn.IFS(ISNUMBER(SEARCH("2 Querétaro",D258)),"SQ2",ISNUMBER(SEARCH("Xicohténcatl",D258)),"SXC",ISNUMBER(SEARCH("Rojo Gómez",D258)),"SRG",ISNUMBER(SEARCH("Tlaxcala",D258)),"STX",ISNUMBER(SEARCH("Monterrey",D258)),"SMY",ISNUMBER(SEARCH("Querétaro",D258)),"SQ1",ISNUMBER(SEARCH("CDMX",D258)),"SCM",TRUE,""),"")</f>
        <v/>
      </c>
      <c r="U258" s="48" t="str" cm="1">
        <f t="array" ref="U258">_xlfn.LET(_xlpm.resultados,_xlfn.UNIQUE(_xlfn._xlws.FILTER(Tabla1[Proceso],(Tabla1[Metal Base]=O258)*(Tabla1[Etiquetas]=_xlfn.TEXTJOIN(" + ",TRUE,IF((TRIM(Upload!P258:S258)="")+(LOWER(TRIM(Upload!P258:S258))="(seleccione)"),"",PROPER(TRIM(Upload!P258:S258)))))*(Tabla1[Línea2]=IFERROR(VLOOKUP(Upload!N258&amp;"*",CAT_Procesos!D:D,1,FALSE),"")))),_xlpm.cantidad,ROWS(_xlpm.resultados),IF(ISERROR(_xlpm.cantidad),"Combinación no existente",IF(_xlpm.cantidad=1,INDEX(_xlpm.resultados,1),"(seleccione)")))</f>
        <v>Combinación no existente</v>
      </c>
      <c r="V258" s="55" t="s">
        <v>73</v>
      </c>
      <c r="W258" s="56" t="s">
        <v>73</v>
      </c>
      <c r="X258" s="57" t="str">
        <f t="shared" si="12"/>
        <v/>
      </c>
      <c r="Y258" s="58" t="s">
        <v>73</v>
      </c>
      <c r="Z258" s="57" t="str">
        <f t="shared" si="13"/>
        <v/>
      </c>
      <c r="AA258" s="58" t="s">
        <v>73</v>
      </c>
      <c r="AB258" s="57" t="str">
        <f t="shared" si="14"/>
        <v/>
      </c>
      <c r="AC258" s="58" t="s">
        <v>73</v>
      </c>
      <c r="AD258" s="57" t="str">
        <f t="shared" si="15"/>
        <v/>
      </c>
      <c r="AE258" s="59"/>
      <c r="AF258" s="59"/>
      <c r="AG258" s="59"/>
      <c r="AH258" s="59"/>
      <c r="AI258" s="59" t="s">
        <v>73</v>
      </c>
      <c r="AJ258" s="59"/>
      <c r="AK258" s="59" t="s">
        <v>73</v>
      </c>
      <c r="AL258" s="59"/>
      <c r="AM258" s="59" t="s">
        <v>73</v>
      </c>
      <c r="AN258" s="59"/>
      <c r="AO258" s="59" t="s">
        <v>73</v>
      </c>
      <c r="AP258" s="59"/>
      <c r="AQ258" s="59" t="s">
        <v>73</v>
      </c>
      <c r="AR258" s="59"/>
      <c r="AS258" s="59" t="s">
        <v>72</v>
      </c>
      <c r="AT258" s="59"/>
      <c r="AU258" s="59"/>
      <c r="AV258" s="59"/>
      <c r="AW258" s="59"/>
      <c r="AX258" s="59"/>
      <c r="AY258" s="60" t="str">
        <f>IF('Cálculo MP'!K268="","",'Cálculo MP'!K268)</f>
        <v/>
      </c>
      <c r="AZ258" s="60" t="str">
        <f>IF('Cálculo MP'!L268="","",'Cálculo MP'!L268)</f>
        <v/>
      </c>
      <c r="BA258" s="60" t="str">
        <f>IF('Cálculo MP'!M268="","",'Cálculo MP'!M268)</f>
        <v/>
      </c>
      <c r="BB258" s="60" t="str">
        <f>IF('Cálculo MP'!N268="","",'Cálculo MP'!N268)</f>
        <v/>
      </c>
      <c r="BC258" s="60" t="str">
        <f>IF('Cálculo MP'!O268="","",'Cálculo MP'!O268)</f>
        <v/>
      </c>
      <c r="BD258" s="60" t="str">
        <f>IF('Cálculo MP'!P268="","",'Cálculo MP'!P268)</f>
        <v/>
      </c>
      <c r="BE258" s="60" t="str">
        <f>IF('Cálculo MP'!Q268="","",'Cálculo MP'!Q268)</f>
        <v/>
      </c>
      <c r="BF258" s="60" t="str">
        <f>IF('Cálculo MP'!R268="","",'Cálculo MP'!R268)</f>
        <v/>
      </c>
      <c r="BG258" s="60" t="str">
        <f>IF('Cálculo MP'!S268="","",'Cálculo MP'!S268)</f>
        <v/>
      </c>
      <c r="BH258" s="59"/>
      <c r="BI258" s="59"/>
      <c r="BJ258" s="59"/>
      <c r="BK258" s="59"/>
      <c r="BL258" s="59"/>
      <c r="BM258" s="59"/>
      <c r="BN258" s="59"/>
      <c r="BO258" s="59"/>
    </row>
    <row r="259" spans="1:67" ht="19.5" customHeight="1" x14ac:dyDescent="0.2">
      <c r="A259" s="114" t="s">
        <v>1789</v>
      </c>
      <c r="B259" s="113" t="s">
        <v>1787</v>
      </c>
      <c r="C259" s="122"/>
      <c r="D259" s="48" t="s">
        <v>73</v>
      </c>
      <c r="E259" s="49"/>
      <c r="F259" s="50"/>
      <c r="G259" s="62"/>
      <c r="H259" s="48" t="s">
        <v>72</v>
      </c>
      <c r="I259" s="52">
        <v>1</v>
      </c>
      <c r="J259" s="52"/>
      <c r="K259" s="52" t="s">
        <v>73</v>
      </c>
      <c r="L259" s="52" t="s">
        <v>74</v>
      </c>
      <c r="M259" s="53" t="s">
        <v>917</v>
      </c>
      <c r="N259" s="58" t="s">
        <v>73</v>
      </c>
      <c r="O259" s="48" t="s">
        <v>72</v>
      </c>
      <c r="P259" s="48" t="s">
        <v>73</v>
      </c>
      <c r="Q259" s="54" t="s">
        <v>73</v>
      </c>
      <c r="R259" s="55" t="s">
        <v>73</v>
      </c>
      <c r="S259" s="48" t="s">
        <v>73</v>
      </c>
      <c r="T259" s="121" t="str" cm="1">
        <f t="array" ref="T259">IF(ISNUMBER(SEARCH("SCHNEIDER",D259)),_xlfn.IFS(ISNUMBER(SEARCH("2 Querétaro",D259)),"SQ2",ISNUMBER(SEARCH("Xicohténcatl",D259)),"SXC",ISNUMBER(SEARCH("Rojo Gómez",D259)),"SRG",ISNUMBER(SEARCH("Tlaxcala",D259)),"STX",ISNUMBER(SEARCH("Monterrey",D259)),"SMY",ISNUMBER(SEARCH("Querétaro",D259)),"SQ1",ISNUMBER(SEARCH("CDMX",D259)),"SCM",TRUE,""),"")</f>
        <v/>
      </c>
      <c r="U259" s="48" t="str" cm="1">
        <f t="array" ref="U259">_xlfn.LET(_xlpm.resultados,_xlfn.UNIQUE(_xlfn._xlws.FILTER(Tabla1[Proceso],(Tabla1[Metal Base]=O259)*(Tabla1[Etiquetas]=_xlfn.TEXTJOIN(" + ",TRUE,IF((TRIM(Upload!P259:S259)="")+(LOWER(TRIM(Upload!P259:S259))="(seleccione)"),"",PROPER(TRIM(Upload!P259:S259)))))*(Tabla1[Línea2]=IFERROR(VLOOKUP(Upload!N259&amp;"*",CAT_Procesos!D:D,1,FALSE),"")))),_xlpm.cantidad,ROWS(_xlpm.resultados),IF(ISERROR(_xlpm.cantidad),"Combinación no existente",IF(_xlpm.cantidad=1,INDEX(_xlpm.resultados,1),"(seleccione)")))</f>
        <v>Combinación no existente</v>
      </c>
      <c r="V259" s="55" t="s">
        <v>73</v>
      </c>
      <c r="W259" s="56" t="s">
        <v>73</v>
      </c>
      <c r="X259" s="57" t="str">
        <f t="shared" si="12"/>
        <v/>
      </c>
      <c r="Y259" s="58" t="s">
        <v>73</v>
      </c>
      <c r="Z259" s="57" t="str">
        <f t="shared" si="13"/>
        <v/>
      </c>
      <c r="AA259" s="58" t="s">
        <v>73</v>
      </c>
      <c r="AB259" s="57" t="str">
        <f t="shared" si="14"/>
        <v/>
      </c>
      <c r="AC259" s="58" t="s">
        <v>73</v>
      </c>
      <c r="AD259" s="57" t="str">
        <f t="shared" si="15"/>
        <v/>
      </c>
      <c r="AE259" s="59"/>
      <c r="AF259" s="59"/>
      <c r="AG259" s="59"/>
      <c r="AH259" s="59"/>
      <c r="AI259" s="59" t="s">
        <v>73</v>
      </c>
      <c r="AJ259" s="59"/>
      <c r="AK259" s="59" t="s">
        <v>73</v>
      </c>
      <c r="AL259" s="59"/>
      <c r="AM259" s="59" t="s">
        <v>73</v>
      </c>
      <c r="AN259" s="59"/>
      <c r="AO259" s="59" t="s">
        <v>73</v>
      </c>
      <c r="AP259" s="59"/>
      <c r="AQ259" s="59" t="s">
        <v>73</v>
      </c>
      <c r="AR259" s="59"/>
      <c r="AS259" s="59" t="s">
        <v>72</v>
      </c>
      <c r="AT259" s="59"/>
      <c r="AU259" s="59"/>
      <c r="AV259" s="59"/>
      <c r="AW259" s="59"/>
      <c r="AX259" s="59"/>
      <c r="AY259" s="60" t="str">
        <f>IF('Cálculo MP'!K269="","",'Cálculo MP'!K269)</f>
        <v/>
      </c>
      <c r="AZ259" s="60" t="str">
        <f>IF('Cálculo MP'!L269="","",'Cálculo MP'!L269)</f>
        <v/>
      </c>
      <c r="BA259" s="60" t="str">
        <f>IF('Cálculo MP'!M269="","",'Cálculo MP'!M269)</f>
        <v/>
      </c>
      <c r="BB259" s="60" t="str">
        <f>IF('Cálculo MP'!N269="","",'Cálculo MP'!N269)</f>
        <v/>
      </c>
      <c r="BC259" s="60" t="str">
        <f>IF('Cálculo MP'!O269="","",'Cálculo MP'!O269)</f>
        <v/>
      </c>
      <c r="BD259" s="60" t="str">
        <f>IF('Cálculo MP'!P269="","",'Cálculo MP'!P269)</f>
        <v/>
      </c>
      <c r="BE259" s="60" t="str">
        <f>IF('Cálculo MP'!Q269="","",'Cálculo MP'!Q269)</f>
        <v/>
      </c>
      <c r="BF259" s="60" t="str">
        <f>IF('Cálculo MP'!R269="","",'Cálculo MP'!R269)</f>
        <v/>
      </c>
      <c r="BG259" s="60" t="str">
        <f>IF('Cálculo MP'!S269="","",'Cálculo MP'!S269)</f>
        <v/>
      </c>
      <c r="BH259" s="59"/>
      <c r="BI259" s="59"/>
      <c r="BJ259" s="59"/>
      <c r="BK259" s="59"/>
      <c r="BL259" s="59"/>
      <c r="BM259" s="59"/>
      <c r="BN259" s="59"/>
      <c r="BO259" s="59"/>
    </row>
    <row r="260" spans="1:67" ht="19.5" customHeight="1" x14ac:dyDescent="0.2">
      <c r="A260" s="114" t="s">
        <v>1789</v>
      </c>
      <c r="B260" s="113" t="s">
        <v>1787</v>
      </c>
      <c r="C260" s="122"/>
      <c r="D260" s="48" t="s">
        <v>73</v>
      </c>
      <c r="E260" s="49"/>
      <c r="F260" s="50"/>
      <c r="G260" s="62"/>
      <c r="H260" s="48" t="s">
        <v>72</v>
      </c>
      <c r="I260" s="52">
        <v>1</v>
      </c>
      <c r="J260" s="52"/>
      <c r="K260" s="52" t="s">
        <v>73</v>
      </c>
      <c r="L260" s="52" t="s">
        <v>74</v>
      </c>
      <c r="M260" s="53" t="s">
        <v>917</v>
      </c>
      <c r="N260" s="58" t="s">
        <v>73</v>
      </c>
      <c r="O260" s="48" t="s">
        <v>72</v>
      </c>
      <c r="P260" s="48" t="s">
        <v>73</v>
      </c>
      <c r="Q260" s="54" t="s">
        <v>73</v>
      </c>
      <c r="R260" s="55" t="s">
        <v>73</v>
      </c>
      <c r="S260" s="48" t="s">
        <v>73</v>
      </c>
      <c r="T260" s="121" t="str" cm="1">
        <f t="array" ref="T260">IF(ISNUMBER(SEARCH("SCHNEIDER",D260)),_xlfn.IFS(ISNUMBER(SEARCH("2 Querétaro",D260)),"SQ2",ISNUMBER(SEARCH("Xicohténcatl",D260)),"SXC",ISNUMBER(SEARCH("Rojo Gómez",D260)),"SRG",ISNUMBER(SEARCH("Tlaxcala",D260)),"STX",ISNUMBER(SEARCH("Monterrey",D260)),"SMY",ISNUMBER(SEARCH("Querétaro",D260)),"SQ1",ISNUMBER(SEARCH("CDMX",D260)),"SCM",TRUE,""),"")</f>
        <v/>
      </c>
      <c r="U260" s="48" t="str" cm="1">
        <f t="array" ref="U260">_xlfn.LET(_xlpm.resultados,_xlfn.UNIQUE(_xlfn._xlws.FILTER(Tabla1[Proceso],(Tabla1[Metal Base]=O260)*(Tabla1[Etiquetas]=_xlfn.TEXTJOIN(" + ",TRUE,IF((TRIM(Upload!P260:S260)="")+(LOWER(TRIM(Upload!P260:S260))="(seleccione)"),"",PROPER(TRIM(Upload!P260:S260)))))*(Tabla1[Línea2]=IFERROR(VLOOKUP(Upload!N260&amp;"*",CAT_Procesos!D:D,1,FALSE),"")))),_xlpm.cantidad,ROWS(_xlpm.resultados),IF(ISERROR(_xlpm.cantidad),"Combinación no existente",IF(_xlpm.cantidad=1,INDEX(_xlpm.resultados,1),"(seleccione)")))</f>
        <v>Combinación no existente</v>
      </c>
      <c r="V260" s="55" t="s">
        <v>73</v>
      </c>
      <c r="W260" s="56" t="s">
        <v>73</v>
      </c>
      <c r="X260" s="57" t="str">
        <f t="shared" si="12"/>
        <v/>
      </c>
      <c r="Y260" s="58" t="s">
        <v>73</v>
      </c>
      <c r="Z260" s="57" t="str">
        <f t="shared" si="13"/>
        <v/>
      </c>
      <c r="AA260" s="58" t="s">
        <v>73</v>
      </c>
      <c r="AB260" s="57" t="str">
        <f t="shared" si="14"/>
        <v/>
      </c>
      <c r="AC260" s="58" t="s">
        <v>73</v>
      </c>
      <c r="AD260" s="57" t="str">
        <f t="shared" si="15"/>
        <v/>
      </c>
      <c r="AE260" s="59"/>
      <c r="AF260" s="59"/>
      <c r="AG260" s="59"/>
      <c r="AH260" s="59"/>
      <c r="AI260" s="59" t="s">
        <v>73</v>
      </c>
      <c r="AJ260" s="59"/>
      <c r="AK260" s="59" t="s">
        <v>73</v>
      </c>
      <c r="AL260" s="59"/>
      <c r="AM260" s="59" t="s">
        <v>73</v>
      </c>
      <c r="AN260" s="59"/>
      <c r="AO260" s="59" t="s">
        <v>73</v>
      </c>
      <c r="AP260" s="59"/>
      <c r="AQ260" s="59" t="s">
        <v>73</v>
      </c>
      <c r="AR260" s="59"/>
      <c r="AS260" s="59" t="s">
        <v>72</v>
      </c>
      <c r="AT260" s="59"/>
      <c r="AU260" s="59"/>
      <c r="AV260" s="59"/>
      <c r="AW260" s="59"/>
      <c r="AX260" s="59"/>
      <c r="AY260" s="60" t="str">
        <f>IF('Cálculo MP'!K270="","",'Cálculo MP'!K270)</f>
        <v/>
      </c>
      <c r="AZ260" s="60" t="str">
        <f>IF('Cálculo MP'!L270="","",'Cálculo MP'!L270)</f>
        <v/>
      </c>
      <c r="BA260" s="60" t="str">
        <f>IF('Cálculo MP'!M270="","",'Cálculo MP'!M270)</f>
        <v/>
      </c>
      <c r="BB260" s="60" t="str">
        <f>IF('Cálculo MP'!N270="","",'Cálculo MP'!N270)</f>
        <v/>
      </c>
      <c r="BC260" s="60" t="str">
        <f>IF('Cálculo MP'!O270="","",'Cálculo MP'!O270)</f>
        <v/>
      </c>
      <c r="BD260" s="60" t="str">
        <f>IF('Cálculo MP'!P270="","",'Cálculo MP'!P270)</f>
        <v/>
      </c>
      <c r="BE260" s="60" t="str">
        <f>IF('Cálculo MP'!Q270="","",'Cálculo MP'!Q270)</f>
        <v/>
      </c>
      <c r="BF260" s="60" t="str">
        <f>IF('Cálculo MP'!R270="","",'Cálculo MP'!R270)</f>
        <v/>
      </c>
      <c r="BG260" s="60" t="str">
        <f>IF('Cálculo MP'!S270="","",'Cálculo MP'!S270)</f>
        <v/>
      </c>
      <c r="BH260" s="59"/>
      <c r="BI260" s="59"/>
      <c r="BJ260" s="59"/>
      <c r="BK260" s="59"/>
      <c r="BL260" s="59"/>
      <c r="BM260" s="59"/>
      <c r="BN260" s="59"/>
      <c r="BO260" s="59"/>
    </row>
    <row r="261" spans="1:67" ht="19.5" customHeight="1" x14ac:dyDescent="0.2">
      <c r="A261" s="114" t="s">
        <v>1789</v>
      </c>
      <c r="B261" s="113" t="s">
        <v>1787</v>
      </c>
      <c r="C261" s="122"/>
      <c r="D261" s="48" t="s">
        <v>73</v>
      </c>
      <c r="E261" s="49"/>
      <c r="F261" s="50"/>
      <c r="G261" s="62"/>
      <c r="H261" s="48" t="s">
        <v>72</v>
      </c>
      <c r="I261" s="52">
        <v>1</v>
      </c>
      <c r="J261" s="52"/>
      <c r="K261" s="52" t="s">
        <v>73</v>
      </c>
      <c r="L261" s="52" t="s">
        <v>74</v>
      </c>
      <c r="M261" s="53" t="s">
        <v>917</v>
      </c>
      <c r="N261" s="58" t="s">
        <v>73</v>
      </c>
      <c r="O261" s="48" t="s">
        <v>72</v>
      </c>
      <c r="P261" s="48" t="s">
        <v>73</v>
      </c>
      <c r="Q261" s="54" t="s">
        <v>73</v>
      </c>
      <c r="R261" s="55" t="s">
        <v>73</v>
      </c>
      <c r="S261" s="48" t="s">
        <v>73</v>
      </c>
      <c r="T261" s="121" t="str" cm="1">
        <f t="array" ref="T261">IF(ISNUMBER(SEARCH("SCHNEIDER",D261)),_xlfn.IFS(ISNUMBER(SEARCH("2 Querétaro",D261)),"SQ2",ISNUMBER(SEARCH("Xicohténcatl",D261)),"SXC",ISNUMBER(SEARCH("Rojo Gómez",D261)),"SRG",ISNUMBER(SEARCH("Tlaxcala",D261)),"STX",ISNUMBER(SEARCH("Monterrey",D261)),"SMY",ISNUMBER(SEARCH("Querétaro",D261)),"SQ1",ISNUMBER(SEARCH("CDMX",D261)),"SCM",TRUE,""),"")</f>
        <v/>
      </c>
      <c r="U261" s="48" t="str" cm="1">
        <f t="array" ref="U261">_xlfn.LET(_xlpm.resultados,_xlfn.UNIQUE(_xlfn._xlws.FILTER(Tabla1[Proceso],(Tabla1[Metal Base]=O261)*(Tabla1[Etiquetas]=_xlfn.TEXTJOIN(" + ",TRUE,IF((TRIM(Upload!P261:S261)="")+(LOWER(TRIM(Upload!P261:S261))="(seleccione)"),"",PROPER(TRIM(Upload!P261:S261)))))*(Tabla1[Línea2]=IFERROR(VLOOKUP(Upload!N261&amp;"*",CAT_Procesos!D:D,1,FALSE),"")))),_xlpm.cantidad,ROWS(_xlpm.resultados),IF(ISERROR(_xlpm.cantidad),"Combinación no existente",IF(_xlpm.cantidad=1,INDEX(_xlpm.resultados,1),"(seleccione)")))</f>
        <v>Combinación no existente</v>
      </c>
      <c r="V261" s="55" t="s">
        <v>73</v>
      </c>
      <c r="W261" s="56" t="s">
        <v>73</v>
      </c>
      <c r="X261" s="57" t="str">
        <f t="shared" si="12"/>
        <v/>
      </c>
      <c r="Y261" s="58" t="s">
        <v>73</v>
      </c>
      <c r="Z261" s="57" t="str">
        <f t="shared" si="13"/>
        <v/>
      </c>
      <c r="AA261" s="58" t="s">
        <v>73</v>
      </c>
      <c r="AB261" s="57" t="str">
        <f t="shared" si="14"/>
        <v/>
      </c>
      <c r="AC261" s="58" t="s">
        <v>73</v>
      </c>
      <c r="AD261" s="57" t="str">
        <f t="shared" si="15"/>
        <v/>
      </c>
      <c r="AE261" s="59"/>
      <c r="AF261" s="59"/>
      <c r="AG261" s="59"/>
      <c r="AH261" s="59"/>
      <c r="AI261" s="59" t="s">
        <v>73</v>
      </c>
      <c r="AJ261" s="59"/>
      <c r="AK261" s="59" t="s">
        <v>73</v>
      </c>
      <c r="AL261" s="59"/>
      <c r="AM261" s="59" t="s">
        <v>73</v>
      </c>
      <c r="AN261" s="59"/>
      <c r="AO261" s="59" t="s">
        <v>73</v>
      </c>
      <c r="AP261" s="59"/>
      <c r="AQ261" s="59" t="s">
        <v>73</v>
      </c>
      <c r="AR261" s="59"/>
      <c r="AS261" s="59" t="s">
        <v>72</v>
      </c>
      <c r="AT261" s="59"/>
      <c r="AU261" s="59"/>
      <c r="AV261" s="59"/>
      <c r="AW261" s="59"/>
      <c r="AX261" s="59"/>
      <c r="AY261" s="60" t="str">
        <f>IF('Cálculo MP'!K271="","",'Cálculo MP'!K271)</f>
        <v/>
      </c>
      <c r="AZ261" s="60" t="str">
        <f>IF('Cálculo MP'!L271="","",'Cálculo MP'!L271)</f>
        <v/>
      </c>
      <c r="BA261" s="60" t="str">
        <f>IF('Cálculo MP'!M271="","",'Cálculo MP'!M271)</f>
        <v/>
      </c>
      <c r="BB261" s="60" t="str">
        <f>IF('Cálculo MP'!N271="","",'Cálculo MP'!N271)</f>
        <v/>
      </c>
      <c r="BC261" s="60" t="str">
        <f>IF('Cálculo MP'!O271="","",'Cálculo MP'!O271)</f>
        <v/>
      </c>
      <c r="BD261" s="60" t="str">
        <f>IF('Cálculo MP'!P271="","",'Cálculo MP'!P271)</f>
        <v/>
      </c>
      <c r="BE261" s="60" t="str">
        <f>IF('Cálculo MP'!Q271="","",'Cálculo MP'!Q271)</f>
        <v/>
      </c>
      <c r="BF261" s="60" t="str">
        <f>IF('Cálculo MP'!R271="","",'Cálculo MP'!R271)</f>
        <v/>
      </c>
      <c r="BG261" s="60" t="str">
        <f>IF('Cálculo MP'!S271="","",'Cálculo MP'!S271)</f>
        <v/>
      </c>
      <c r="BH261" s="59"/>
      <c r="BI261" s="59"/>
      <c r="BJ261" s="59"/>
      <c r="BK261" s="59"/>
      <c r="BL261" s="59"/>
      <c r="BM261" s="59"/>
      <c r="BN261" s="59"/>
      <c r="BO261" s="59"/>
    </row>
    <row r="262" spans="1:67" ht="19.5" customHeight="1" x14ac:dyDescent="0.2">
      <c r="A262" s="114" t="s">
        <v>1789</v>
      </c>
      <c r="B262" s="113" t="s">
        <v>1787</v>
      </c>
      <c r="C262" s="122"/>
      <c r="D262" s="48" t="s">
        <v>73</v>
      </c>
      <c r="E262" s="49"/>
      <c r="F262" s="50"/>
      <c r="G262" s="62"/>
      <c r="H262" s="48" t="s">
        <v>72</v>
      </c>
      <c r="I262" s="52">
        <v>1</v>
      </c>
      <c r="J262" s="52"/>
      <c r="K262" s="52" t="s">
        <v>73</v>
      </c>
      <c r="L262" s="52" t="s">
        <v>74</v>
      </c>
      <c r="M262" s="53" t="s">
        <v>917</v>
      </c>
      <c r="N262" s="58" t="s">
        <v>73</v>
      </c>
      <c r="O262" s="48" t="s">
        <v>72</v>
      </c>
      <c r="P262" s="48" t="s">
        <v>73</v>
      </c>
      <c r="Q262" s="54" t="s">
        <v>73</v>
      </c>
      <c r="R262" s="55" t="s">
        <v>73</v>
      </c>
      <c r="S262" s="48" t="s">
        <v>73</v>
      </c>
      <c r="T262" s="121" t="str" cm="1">
        <f t="array" ref="T262">IF(ISNUMBER(SEARCH("SCHNEIDER",D262)),_xlfn.IFS(ISNUMBER(SEARCH("2 Querétaro",D262)),"SQ2",ISNUMBER(SEARCH("Xicohténcatl",D262)),"SXC",ISNUMBER(SEARCH("Rojo Gómez",D262)),"SRG",ISNUMBER(SEARCH("Tlaxcala",D262)),"STX",ISNUMBER(SEARCH("Monterrey",D262)),"SMY",ISNUMBER(SEARCH("Querétaro",D262)),"SQ1",ISNUMBER(SEARCH("CDMX",D262)),"SCM",TRUE,""),"")</f>
        <v/>
      </c>
      <c r="U262" s="48" t="str" cm="1">
        <f t="array" ref="U262">_xlfn.LET(_xlpm.resultados,_xlfn.UNIQUE(_xlfn._xlws.FILTER(Tabla1[Proceso],(Tabla1[Metal Base]=O262)*(Tabla1[Etiquetas]=_xlfn.TEXTJOIN(" + ",TRUE,IF((TRIM(Upload!P262:S262)="")+(LOWER(TRIM(Upload!P262:S262))="(seleccione)"),"",PROPER(TRIM(Upload!P262:S262)))))*(Tabla1[Línea2]=IFERROR(VLOOKUP(Upload!N262&amp;"*",CAT_Procesos!D:D,1,FALSE),"")))),_xlpm.cantidad,ROWS(_xlpm.resultados),IF(ISERROR(_xlpm.cantidad),"Combinación no existente",IF(_xlpm.cantidad=1,INDEX(_xlpm.resultados,1),"(seleccione)")))</f>
        <v>Combinación no existente</v>
      </c>
      <c r="V262" s="55" t="s">
        <v>73</v>
      </c>
      <c r="W262" s="56" t="s">
        <v>73</v>
      </c>
      <c r="X262" s="57" t="str">
        <f t="shared" si="12"/>
        <v/>
      </c>
      <c r="Y262" s="58" t="s">
        <v>73</v>
      </c>
      <c r="Z262" s="57" t="str">
        <f t="shared" si="13"/>
        <v/>
      </c>
      <c r="AA262" s="58" t="s">
        <v>73</v>
      </c>
      <c r="AB262" s="57" t="str">
        <f t="shared" si="14"/>
        <v/>
      </c>
      <c r="AC262" s="58" t="s">
        <v>73</v>
      </c>
      <c r="AD262" s="57" t="str">
        <f t="shared" si="15"/>
        <v/>
      </c>
      <c r="AE262" s="59"/>
      <c r="AF262" s="59"/>
      <c r="AG262" s="59"/>
      <c r="AH262" s="59"/>
      <c r="AI262" s="59" t="s">
        <v>73</v>
      </c>
      <c r="AJ262" s="59"/>
      <c r="AK262" s="59" t="s">
        <v>73</v>
      </c>
      <c r="AL262" s="59"/>
      <c r="AM262" s="59" t="s">
        <v>73</v>
      </c>
      <c r="AN262" s="59"/>
      <c r="AO262" s="59" t="s">
        <v>73</v>
      </c>
      <c r="AP262" s="59"/>
      <c r="AQ262" s="59" t="s">
        <v>73</v>
      </c>
      <c r="AR262" s="59"/>
      <c r="AS262" s="59" t="s">
        <v>72</v>
      </c>
      <c r="AT262" s="59"/>
      <c r="AU262" s="59"/>
      <c r="AV262" s="59"/>
      <c r="AW262" s="59"/>
      <c r="AX262" s="59"/>
      <c r="AY262" s="60" t="str">
        <f>IF('Cálculo MP'!K272="","",'Cálculo MP'!K272)</f>
        <v/>
      </c>
      <c r="AZ262" s="60" t="str">
        <f>IF('Cálculo MP'!L272="","",'Cálculo MP'!L272)</f>
        <v/>
      </c>
      <c r="BA262" s="60" t="str">
        <f>IF('Cálculo MP'!M272="","",'Cálculo MP'!M272)</f>
        <v/>
      </c>
      <c r="BB262" s="60" t="str">
        <f>IF('Cálculo MP'!N272="","",'Cálculo MP'!N272)</f>
        <v/>
      </c>
      <c r="BC262" s="60" t="str">
        <f>IF('Cálculo MP'!O272="","",'Cálculo MP'!O272)</f>
        <v/>
      </c>
      <c r="BD262" s="60" t="str">
        <f>IF('Cálculo MP'!P272="","",'Cálculo MP'!P272)</f>
        <v/>
      </c>
      <c r="BE262" s="60" t="str">
        <f>IF('Cálculo MP'!Q272="","",'Cálculo MP'!Q272)</f>
        <v/>
      </c>
      <c r="BF262" s="60" t="str">
        <f>IF('Cálculo MP'!R272="","",'Cálculo MP'!R272)</f>
        <v/>
      </c>
      <c r="BG262" s="60" t="str">
        <f>IF('Cálculo MP'!S272="","",'Cálculo MP'!S272)</f>
        <v/>
      </c>
      <c r="BH262" s="59"/>
      <c r="BI262" s="59"/>
      <c r="BJ262" s="59"/>
      <c r="BK262" s="59"/>
      <c r="BL262" s="59"/>
      <c r="BM262" s="59"/>
      <c r="BN262" s="59"/>
      <c r="BO262" s="59"/>
    </row>
    <row r="263" spans="1:67" ht="19.5" customHeight="1" x14ac:dyDescent="0.2">
      <c r="A263" s="114" t="s">
        <v>1789</v>
      </c>
      <c r="B263" s="113" t="s">
        <v>1787</v>
      </c>
      <c r="C263" s="122"/>
      <c r="D263" s="48" t="s">
        <v>73</v>
      </c>
      <c r="E263" s="49"/>
      <c r="F263" s="50"/>
      <c r="G263" s="62"/>
      <c r="H263" s="48" t="s">
        <v>72</v>
      </c>
      <c r="I263" s="52">
        <v>1</v>
      </c>
      <c r="J263" s="52"/>
      <c r="K263" s="52" t="s">
        <v>73</v>
      </c>
      <c r="L263" s="52" t="s">
        <v>74</v>
      </c>
      <c r="M263" s="53" t="s">
        <v>917</v>
      </c>
      <c r="N263" s="58" t="s">
        <v>73</v>
      </c>
      <c r="O263" s="48" t="s">
        <v>72</v>
      </c>
      <c r="P263" s="48" t="s">
        <v>73</v>
      </c>
      <c r="Q263" s="54" t="s">
        <v>73</v>
      </c>
      <c r="R263" s="55" t="s">
        <v>73</v>
      </c>
      <c r="S263" s="48" t="s">
        <v>73</v>
      </c>
      <c r="T263" s="121" t="str" cm="1">
        <f t="array" ref="T263">IF(ISNUMBER(SEARCH("SCHNEIDER",D263)),_xlfn.IFS(ISNUMBER(SEARCH("2 Querétaro",D263)),"SQ2",ISNUMBER(SEARCH("Xicohténcatl",D263)),"SXC",ISNUMBER(SEARCH("Rojo Gómez",D263)),"SRG",ISNUMBER(SEARCH("Tlaxcala",D263)),"STX",ISNUMBER(SEARCH("Monterrey",D263)),"SMY",ISNUMBER(SEARCH("Querétaro",D263)),"SQ1",ISNUMBER(SEARCH("CDMX",D263)),"SCM",TRUE,""),"")</f>
        <v/>
      </c>
      <c r="U263" s="48" t="str" cm="1">
        <f t="array" ref="U263">_xlfn.LET(_xlpm.resultados,_xlfn.UNIQUE(_xlfn._xlws.FILTER(Tabla1[Proceso],(Tabla1[Metal Base]=O263)*(Tabla1[Etiquetas]=_xlfn.TEXTJOIN(" + ",TRUE,IF((TRIM(Upload!P263:S263)="")+(LOWER(TRIM(Upload!P263:S263))="(seleccione)"),"",PROPER(TRIM(Upload!P263:S263)))))*(Tabla1[Línea2]=IFERROR(VLOOKUP(Upload!N263&amp;"*",CAT_Procesos!D:D,1,FALSE),"")))),_xlpm.cantidad,ROWS(_xlpm.resultados),IF(ISERROR(_xlpm.cantidad),"Combinación no existente",IF(_xlpm.cantidad=1,INDEX(_xlpm.resultados,1),"(seleccione)")))</f>
        <v>Combinación no existente</v>
      </c>
      <c r="V263" s="55" t="s">
        <v>73</v>
      </c>
      <c r="W263" s="56" t="s">
        <v>73</v>
      </c>
      <c r="X263" s="57" t="str">
        <f t="shared" si="12"/>
        <v/>
      </c>
      <c r="Y263" s="58" t="s">
        <v>73</v>
      </c>
      <c r="Z263" s="57" t="str">
        <f t="shared" si="13"/>
        <v/>
      </c>
      <c r="AA263" s="58" t="s">
        <v>73</v>
      </c>
      <c r="AB263" s="57" t="str">
        <f t="shared" si="14"/>
        <v/>
      </c>
      <c r="AC263" s="58" t="s">
        <v>73</v>
      </c>
      <c r="AD263" s="57" t="str">
        <f t="shared" si="15"/>
        <v/>
      </c>
      <c r="AE263" s="59"/>
      <c r="AF263" s="59"/>
      <c r="AG263" s="59"/>
      <c r="AH263" s="59"/>
      <c r="AI263" s="59" t="s">
        <v>73</v>
      </c>
      <c r="AJ263" s="59"/>
      <c r="AK263" s="59" t="s">
        <v>73</v>
      </c>
      <c r="AL263" s="59"/>
      <c r="AM263" s="59" t="s">
        <v>73</v>
      </c>
      <c r="AN263" s="59"/>
      <c r="AO263" s="59" t="s">
        <v>73</v>
      </c>
      <c r="AP263" s="59"/>
      <c r="AQ263" s="59" t="s">
        <v>73</v>
      </c>
      <c r="AR263" s="59"/>
      <c r="AS263" s="59" t="s">
        <v>72</v>
      </c>
      <c r="AT263" s="59"/>
      <c r="AU263" s="59"/>
      <c r="AV263" s="59"/>
      <c r="AW263" s="59"/>
      <c r="AX263" s="59"/>
      <c r="AY263" s="60" t="str">
        <f>IF('Cálculo MP'!K273="","",'Cálculo MP'!K273)</f>
        <v/>
      </c>
      <c r="AZ263" s="60" t="str">
        <f>IF('Cálculo MP'!L273="","",'Cálculo MP'!L273)</f>
        <v/>
      </c>
      <c r="BA263" s="60" t="str">
        <f>IF('Cálculo MP'!M273="","",'Cálculo MP'!M273)</f>
        <v/>
      </c>
      <c r="BB263" s="60" t="str">
        <f>IF('Cálculo MP'!N273="","",'Cálculo MP'!N273)</f>
        <v/>
      </c>
      <c r="BC263" s="60" t="str">
        <f>IF('Cálculo MP'!O273="","",'Cálculo MP'!O273)</f>
        <v/>
      </c>
      <c r="BD263" s="60" t="str">
        <f>IF('Cálculo MP'!P273="","",'Cálculo MP'!P273)</f>
        <v/>
      </c>
      <c r="BE263" s="60" t="str">
        <f>IF('Cálculo MP'!Q273="","",'Cálculo MP'!Q273)</f>
        <v/>
      </c>
      <c r="BF263" s="60" t="str">
        <f>IF('Cálculo MP'!R273="","",'Cálculo MP'!R273)</f>
        <v/>
      </c>
      <c r="BG263" s="60" t="str">
        <f>IF('Cálculo MP'!S273="","",'Cálculo MP'!S273)</f>
        <v/>
      </c>
      <c r="BH263" s="59"/>
      <c r="BI263" s="59"/>
      <c r="BJ263" s="59"/>
      <c r="BK263" s="59"/>
      <c r="BL263" s="59"/>
      <c r="BM263" s="59"/>
      <c r="BN263" s="59"/>
      <c r="BO263" s="59"/>
    </row>
    <row r="264" spans="1:67" ht="19.5" customHeight="1" x14ac:dyDescent="0.2">
      <c r="A264" s="114" t="s">
        <v>1789</v>
      </c>
      <c r="B264" s="113" t="s">
        <v>1787</v>
      </c>
      <c r="C264" s="122"/>
      <c r="D264" s="48" t="s">
        <v>73</v>
      </c>
      <c r="E264" s="49"/>
      <c r="F264" s="50"/>
      <c r="G264" s="62"/>
      <c r="H264" s="48" t="s">
        <v>72</v>
      </c>
      <c r="I264" s="52">
        <v>1</v>
      </c>
      <c r="J264" s="52"/>
      <c r="K264" s="52" t="s">
        <v>73</v>
      </c>
      <c r="L264" s="52" t="s">
        <v>74</v>
      </c>
      <c r="M264" s="53" t="s">
        <v>917</v>
      </c>
      <c r="N264" s="58" t="s">
        <v>73</v>
      </c>
      <c r="O264" s="48" t="s">
        <v>72</v>
      </c>
      <c r="P264" s="48" t="s">
        <v>73</v>
      </c>
      <c r="Q264" s="54" t="s">
        <v>73</v>
      </c>
      <c r="R264" s="55" t="s">
        <v>73</v>
      </c>
      <c r="S264" s="48" t="s">
        <v>73</v>
      </c>
      <c r="T264" s="121" t="str" cm="1">
        <f t="array" ref="T264">IF(ISNUMBER(SEARCH("SCHNEIDER",D264)),_xlfn.IFS(ISNUMBER(SEARCH("2 Querétaro",D264)),"SQ2",ISNUMBER(SEARCH("Xicohténcatl",D264)),"SXC",ISNUMBER(SEARCH("Rojo Gómez",D264)),"SRG",ISNUMBER(SEARCH("Tlaxcala",D264)),"STX",ISNUMBER(SEARCH("Monterrey",D264)),"SMY",ISNUMBER(SEARCH("Querétaro",D264)),"SQ1",ISNUMBER(SEARCH("CDMX",D264)),"SCM",TRUE,""),"")</f>
        <v/>
      </c>
      <c r="U264" s="48" t="str" cm="1">
        <f t="array" ref="U264">_xlfn.LET(_xlpm.resultados,_xlfn.UNIQUE(_xlfn._xlws.FILTER(Tabla1[Proceso],(Tabla1[Metal Base]=O264)*(Tabla1[Etiquetas]=_xlfn.TEXTJOIN(" + ",TRUE,IF((TRIM(Upload!P264:S264)="")+(LOWER(TRIM(Upload!P264:S264))="(seleccione)"),"",PROPER(TRIM(Upload!P264:S264)))))*(Tabla1[Línea2]=IFERROR(VLOOKUP(Upload!N264&amp;"*",CAT_Procesos!D:D,1,FALSE),"")))),_xlpm.cantidad,ROWS(_xlpm.resultados),IF(ISERROR(_xlpm.cantidad),"Combinación no existente",IF(_xlpm.cantidad=1,INDEX(_xlpm.resultados,1),"(seleccione)")))</f>
        <v>Combinación no existente</v>
      </c>
      <c r="V264" s="55" t="s">
        <v>73</v>
      </c>
      <c r="W264" s="56" t="s">
        <v>73</v>
      </c>
      <c r="X264" s="57" t="str">
        <f t="shared" si="12"/>
        <v/>
      </c>
      <c r="Y264" s="58" t="s">
        <v>73</v>
      </c>
      <c r="Z264" s="57" t="str">
        <f t="shared" si="13"/>
        <v/>
      </c>
      <c r="AA264" s="58" t="s">
        <v>73</v>
      </c>
      <c r="AB264" s="57" t="str">
        <f t="shared" si="14"/>
        <v/>
      </c>
      <c r="AC264" s="58" t="s">
        <v>73</v>
      </c>
      <c r="AD264" s="57" t="str">
        <f t="shared" si="15"/>
        <v/>
      </c>
      <c r="AE264" s="59"/>
      <c r="AF264" s="59"/>
      <c r="AG264" s="59"/>
      <c r="AH264" s="59"/>
      <c r="AI264" s="59" t="s">
        <v>73</v>
      </c>
      <c r="AJ264" s="59"/>
      <c r="AK264" s="59" t="s">
        <v>73</v>
      </c>
      <c r="AL264" s="59"/>
      <c r="AM264" s="59" t="s">
        <v>73</v>
      </c>
      <c r="AN264" s="59"/>
      <c r="AO264" s="59" t="s">
        <v>73</v>
      </c>
      <c r="AP264" s="59"/>
      <c r="AQ264" s="59" t="s">
        <v>73</v>
      </c>
      <c r="AR264" s="59"/>
      <c r="AS264" s="59" t="s">
        <v>72</v>
      </c>
      <c r="AT264" s="59"/>
      <c r="AU264" s="59"/>
      <c r="AV264" s="59"/>
      <c r="AW264" s="59"/>
      <c r="AX264" s="59"/>
      <c r="AY264" s="60" t="str">
        <f>IF('Cálculo MP'!K274="","",'Cálculo MP'!K274)</f>
        <v/>
      </c>
      <c r="AZ264" s="60" t="str">
        <f>IF('Cálculo MP'!L274="","",'Cálculo MP'!L274)</f>
        <v/>
      </c>
      <c r="BA264" s="60" t="str">
        <f>IF('Cálculo MP'!M274="","",'Cálculo MP'!M274)</f>
        <v/>
      </c>
      <c r="BB264" s="60" t="str">
        <f>IF('Cálculo MP'!N274="","",'Cálculo MP'!N274)</f>
        <v/>
      </c>
      <c r="BC264" s="60" t="str">
        <f>IF('Cálculo MP'!O274="","",'Cálculo MP'!O274)</f>
        <v/>
      </c>
      <c r="BD264" s="60" t="str">
        <f>IF('Cálculo MP'!P274="","",'Cálculo MP'!P274)</f>
        <v/>
      </c>
      <c r="BE264" s="60" t="str">
        <f>IF('Cálculo MP'!Q274="","",'Cálculo MP'!Q274)</f>
        <v/>
      </c>
      <c r="BF264" s="60" t="str">
        <f>IF('Cálculo MP'!R274="","",'Cálculo MP'!R274)</f>
        <v/>
      </c>
      <c r="BG264" s="60" t="str">
        <f>IF('Cálculo MP'!S274="","",'Cálculo MP'!S274)</f>
        <v/>
      </c>
      <c r="BH264" s="59"/>
      <c r="BI264" s="59"/>
      <c r="BJ264" s="59"/>
      <c r="BK264" s="59"/>
      <c r="BL264" s="59"/>
      <c r="BM264" s="59"/>
      <c r="BN264" s="59"/>
      <c r="BO264" s="59"/>
    </row>
    <row r="265" spans="1:67" ht="19.5" customHeight="1" x14ac:dyDescent="0.2">
      <c r="A265" s="114" t="s">
        <v>1789</v>
      </c>
      <c r="B265" s="113" t="s">
        <v>1787</v>
      </c>
      <c r="C265" s="122"/>
      <c r="D265" s="48" t="s">
        <v>73</v>
      </c>
      <c r="E265" s="49"/>
      <c r="F265" s="50"/>
      <c r="G265" s="62"/>
      <c r="H265" s="48" t="s">
        <v>72</v>
      </c>
      <c r="I265" s="52">
        <v>1</v>
      </c>
      <c r="J265" s="52"/>
      <c r="K265" s="52" t="s">
        <v>73</v>
      </c>
      <c r="L265" s="52" t="s">
        <v>74</v>
      </c>
      <c r="M265" s="53" t="s">
        <v>917</v>
      </c>
      <c r="N265" s="58" t="s">
        <v>73</v>
      </c>
      <c r="O265" s="48" t="s">
        <v>72</v>
      </c>
      <c r="P265" s="48" t="s">
        <v>73</v>
      </c>
      <c r="Q265" s="54" t="s">
        <v>73</v>
      </c>
      <c r="R265" s="55" t="s">
        <v>73</v>
      </c>
      <c r="S265" s="48" t="s">
        <v>73</v>
      </c>
      <c r="T265" s="121" t="str" cm="1">
        <f t="array" ref="T265">IF(ISNUMBER(SEARCH("SCHNEIDER",D265)),_xlfn.IFS(ISNUMBER(SEARCH("2 Querétaro",D265)),"SQ2",ISNUMBER(SEARCH("Xicohténcatl",D265)),"SXC",ISNUMBER(SEARCH("Rojo Gómez",D265)),"SRG",ISNUMBER(SEARCH("Tlaxcala",D265)),"STX",ISNUMBER(SEARCH("Monterrey",D265)),"SMY",ISNUMBER(SEARCH("Querétaro",D265)),"SQ1",ISNUMBER(SEARCH("CDMX",D265)),"SCM",TRUE,""),"")</f>
        <v/>
      </c>
      <c r="U265" s="48" t="str" cm="1">
        <f t="array" ref="U265">_xlfn.LET(_xlpm.resultados,_xlfn.UNIQUE(_xlfn._xlws.FILTER(Tabla1[Proceso],(Tabla1[Metal Base]=O265)*(Tabla1[Etiquetas]=_xlfn.TEXTJOIN(" + ",TRUE,IF((TRIM(Upload!P265:S265)="")+(LOWER(TRIM(Upload!P265:S265))="(seleccione)"),"",PROPER(TRIM(Upload!P265:S265)))))*(Tabla1[Línea2]=IFERROR(VLOOKUP(Upload!N265&amp;"*",CAT_Procesos!D:D,1,FALSE),"")))),_xlpm.cantidad,ROWS(_xlpm.resultados),IF(ISERROR(_xlpm.cantidad),"Combinación no existente",IF(_xlpm.cantidad=1,INDEX(_xlpm.resultados,1),"(seleccione)")))</f>
        <v>Combinación no existente</v>
      </c>
      <c r="V265" s="55" t="s">
        <v>73</v>
      </c>
      <c r="W265" s="56" t="s">
        <v>73</v>
      </c>
      <c r="X265" s="57" t="str">
        <f t="shared" ref="X265:X328" si="16">IFERROR(((VALUE(TRIM(LEFT(MID(W265,FIND("|",W265)+1,99),FIND("-",MID(W265,FIND("|",W265)+1,99))-1)))+VALUE(TRIM(SUBSTITUTE(SUBSTITUTE(SUBSTITUTE(SUBSTITUTE(SUBSTITUTE(MID(MID(W265,FIND("|",W265)+1,99),FIND("-",MID(W265,FIND("|",W265)+1,99))+1,20),"µm",""),"μm",""),"mils",""),"mil",""),"",""))))/2)*IF(ISNUMBER(SEARCH("mil",MID(W265,FIND("|",W265)+1,99))),25.4,1),"")</f>
        <v/>
      </c>
      <c r="Y265" s="58" t="s">
        <v>73</v>
      </c>
      <c r="Z265" s="57" t="str">
        <f t="shared" ref="Z265:Z328" si="17">IFERROR(((VALUE(TRIM(LEFT(MID(Y265,FIND("|",Y265)+1,99),FIND("-",MID(Y265,FIND("|",Y265)+1,99))-1)))+VALUE(TRIM(SUBSTITUTE(SUBSTITUTE(SUBSTITUTE(SUBSTITUTE(SUBSTITUTE(MID(MID(Y265,FIND("|",Y265)+1,99),FIND("-",MID(Y265,FIND("|",Y265)+1,99))+1,20),"µm",""),"μm",""),"mils",""),"mil",""),"",""))))/2)*IF(ISNUMBER(SEARCH("mil",MID(Y265,FIND("|",Y265)+1,99))),25.4,1),"")</f>
        <v/>
      </c>
      <c r="AA265" s="58" t="s">
        <v>73</v>
      </c>
      <c r="AB265" s="57" t="str">
        <f t="shared" ref="AB265:AB328" si="18">IFERROR(((VALUE(TRIM(LEFT(MID(AA265,FIND("|",AA265)+1,99),FIND("-",MID(AA265,FIND("|",AA265)+1,99))-1)))+VALUE(TRIM(SUBSTITUTE(SUBSTITUTE(SUBSTITUTE(SUBSTITUTE(SUBSTITUTE(MID(MID(AA265,FIND("|",AA265)+1,99),FIND("-",MID(AA265,FIND("|",AA265)+1,99))+1,20),"µm",""),"μm",""),"mils",""),"mil",""),"",""))))/2)*IF(ISNUMBER(SEARCH("mil",MID(AA265,FIND("|",AA265)+1,99))),25.4,1),"")</f>
        <v/>
      </c>
      <c r="AC265" s="58" t="s">
        <v>73</v>
      </c>
      <c r="AD265" s="57" t="str">
        <f t="shared" ref="AD265:AD328" si="19">IFERROR(((VALUE(TRIM(LEFT(MID(AC265,FIND("|",AC265)+1,99),FIND("-",MID(AC265,FIND("|",AC265)+1,99))-1)))+VALUE(TRIM(SUBSTITUTE(SUBSTITUTE(SUBSTITUTE(SUBSTITUTE(SUBSTITUTE(MID(MID(AC265,FIND("|",AC265)+1,99),FIND("-",MID(AC265,FIND("|",AC265)+1,99))+1,20),"µm",""),"μm",""),"mils",""),"mil",""),"",""))))/2)*IF(ISNUMBER(SEARCH("mil",MID(AC265,FIND("|",AC265)+1,99))),25.4,1),"")</f>
        <v/>
      </c>
      <c r="AE265" s="59"/>
      <c r="AF265" s="59"/>
      <c r="AG265" s="59"/>
      <c r="AH265" s="59"/>
      <c r="AI265" s="59" t="s">
        <v>73</v>
      </c>
      <c r="AJ265" s="59"/>
      <c r="AK265" s="59" t="s">
        <v>73</v>
      </c>
      <c r="AL265" s="59"/>
      <c r="AM265" s="59" t="s">
        <v>73</v>
      </c>
      <c r="AN265" s="59"/>
      <c r="AO265" s="59" t="s">
        <v>73</v>
      </c>
      <c r="AP265" s="59"/>
      <c r="AQ265" s="59" t="s">
        <v>73</v>
      </c>
      <c r="AR265" s="59"/>
      <c r="AS265" s="59" t="s">
        <v>72</v>
      </c>
      <c r="AT265" s="59"/>
      <c r="AU265" s="59"/>
      <c r="AV265" s="59"/>
      <c r="AW265" s="59"/>
      <c r="AX265" s="59"/>
      <c r="AY265" s="60" t="str">
        <f>IF('Cálculo MP'!K275="","",'Cálculo MP'!K275)</f>
        <v/>
      </c>
      <c r="AZ265" s="60" t="str">
        <f>IF('Cálculo MP'!L275="","",'Cálculo MP'!L275)</f>
        <v/>
      </c>
      <c r="BA265" s="60" t="str">
        <f>IF('Cálculo MP'!M275="","",'Cálculo MP'!M275)</f>
        <v/>
      </c>
      <c r="BB265" s="60" t="str">
        <f>IF('Cálculo MP'!N275="","",'Cálculo MP'!N275)</f>
        <v/>
      </c>
      <c r="BC265" s="60" t="str">
        <f>IF('Cálculo MP'!O275="","",'Cálculo MP'!O275)</f>
        <v/>
      </c>
      <c r="BD265" s="60" t="str">
        <f>IF('Cálculo MP'!P275="","",'Cálculo MP'!P275)</f>
        <v/>
      </c>
      <c r="BE265" s="60" t="str">
        <f>IF('Cálculo MP'!Q275="","",'Cálculo MP'!Q275)</f>
        <v/>
      </c>
      <c r="BF265" s="60" t="str">
        <f>IF('Cálculo MP'!R275="","",'Cálculo MP'!R275)</f>
        <v/>
      </c>
      <c r="BG265" s="60" t="str">
        <f>IF('Cálculo MP'!S275="","",'Cálculo MP'!S275)</f>
        <v/>
      </c>
      <c r="BH265" s="59"/>
      <c r="BI265" s="59"/>
      <c r="BJ265" s="59"/>
      <c r="BK265" s="59"/>
      <c r="BL265" s="59"/>
      <c r="BM265" s="59"/>
      <c r="BN265" s="59"/>
      <c r="BO265" s="59"/>
    </row>
    <row r="266" spans="1:67" ht="19.5" customHeight="1" x14ac:dyDescent="0.2">
      <c r="A266" s="114" t="s">
        <v>1789</v>
      </c>
      <c r="B266" s="113" t="s">
        <v>1787</v>
      </c>
      <c r="C266" s="122"/>
      <c r="D266" s="48" t="s">
        <v>73</v>
      </c>
      <c r="E266" s="49"/>
      <c r="F266" s="50"/>
      <c r="G266" s="62"/>
      <c r="H266" s="48" t="s">
        <v>72</v>
      </c>
      <c r="I266" s="52">
        <v>1</v>
      </c>
      <c r="J266" s="52"/>
      <c r="K266" s="52" t="s">
        <v>73</v>
      </c>
      <c r="L266" s="52" t="s">
        <v>74</v>
      </c>
      <c r="M266" s="53" t="s">
        <v>917</v>
      </c>
      <c r="N266" s="58" t="s">
        <v>73</v>
      </c>
      <c r="O266" s="48" t="s">
        <v>72</v>
      </c>
      <c r="P266" s="48" t="s">
        <v>73</v>
      </c>
      <c r="Q266" s="54" t="s">
        <v>73</v>
      </c>
      <c r="R266" s="55" t="s">
        <v>73</v>
      </c>
      <c r="S266" s="48" t="s">
        <v>73</v>
      </c>
      <c r="T266" s="121" t="str" cm="1">
        <f t="array" ref="T266">IF(ISNUMBER(SEARCH("SCHNEIDER",D266)),_xlfn.IFS(ISNUMBER(SEARCH("2 Querétaro",D266)),"SQ2",ISNUMBER(SEARCH("Xicohténcatl",D266)),"SXC",ISNUMBER(SEARCH("Rojo Gómez",D266)),"SRG",ISNUMBER(SEARCH("Tlaxcala",D266)),"STX",ISNUMBER(SEARCH("Monterrey",D266)),"SMY",ISNUMBER(SEARCH("Querétaro",D266)),"SQ1",ISNUMBER(SEARCH("CDMX",D266)),"SCM",TRUE,""),"")</f>
        <v/>
      </c>
      <c r="U266" s="48" t="str" cm="1">
        <f t="array" ref="U266">_xlfn.LET(_xlpm.resultados,_xlfn.UNIQUE(_xlfn._xlws.FILTER(Tabla1[Proceso],(Tabla1[Metal Base]=O266)*(Tabla1[Etiquetas]=_xlfn.TEXTJOIN(" + ",TRUE,IF((TRIM(Upload!P266:S266)="")+(LOWER(TRIM(Upload!P266:S266))="(seleccione)"),"",PROPER(TRIM(Upload!P266:S266)))))*(Tabla1[Línea2]=IFERROR(VLOOKUP(Upload!N266&amp;"*",CAT_Procesos!D:D,1,FALSE),"")))),_xlpm.cantidad,ROWS(_xlpm.resultados),IF(ISERROR(_xlpm.cantidad),"Combinación no existente",IF(_xlpm.cantidad=1,INDEX(_xlpm.resultados,1),"(seleccione)")))</f>
        <v>Combinación no existente</v>
      </c>
      <c r="V266" s="55" t="s">
        <v>73</v>
      </c>
      <c r="W266" s="56" t="s">
        <v>73</v>
      </c>
      <c r="X266" s="57" t="str">
        <f t="shared" si="16"/>
        <v/>
      </c>
      <c r="Y266" s="58" t="s">
        <v>73</v>
      </c>
      <c r="Z266" s="57" t="str">
        <f t="shared" si="17"/>
        <v/>
      </c>
      <c r="AA266" s="58" t="s">
        <v>73</v>
      </c>
      <c r="AB266" s="57" t="str">
        <f t="shared" si="18"/>
        <v/>
      </c>
      <c r="AC266" s="58" t="s">
        <v>73</v>
      </c>
      <c r="AD266" s="57" t="str">
        <f t="shared" si="19"/>
        <v/>
      </c>
      <c r="AE266" s="59"/>
      <c r="AF266" s="59"/>
      <c r="AG266" s="59"/>
      <c r="AH266" s="59"/>
      <c r="AI266" s="59" t="s">
        <v>73</v>
      </c>
      <c r="AJ266" s="59"/>
      <c r="AK266" s="59" t="s">
        <v>73</v>
      </c>
      <c r="AL266" s="59"/>
      <c r="AM266" s="59" t="s">
        <v>73</v>
      </c>
      <c r="AN266" s="59"/>
      <c r="AO266" s="59" t="s">
        <v>73</v>
      </c>
      <c r="AP266" s="59"/>
      <c r="AQ266" s="59" t="s">
        <v>73</v>
      </c>
      <c r="AR266" s="59"/>
      <c r="AS266" s="59" t="s">
        <v>72</v>
      </c>
      <c r="AT266" s="59"/>
      <c r="AU266" s="59"/>
      <c r="AV266" s="59"/>
      <c r="AW266" s="59"/>
      <c r="AX266" s="59"/>
      <c r="AY266" s="60" t="str">
        <f>IF('Cálculo MP'!K276="","",'Cálculo MP'!K276)</f>
        <v/>
      </c>
      <c r="AZ266" s="60" t="str">
        <f>IF('Cálculo MP'!L276="","",'Cálculo MP'!L276)</f>
        <v/>
      </c>
      <c r="BA266" s="60" t="str">
        <f>IF('Cálculo MP'!M276="","",'Cálculo MP'!M276)</f>
        <v/>
      </c>
      <c r="BB266" s="60" t="str">
        <f>IF('Cálculo MP'!N276="","",'Cálculo MP'!N276)</f>
        <v/>
      </c>
      <c r="BC266" s="60" t="str">
        <f>IF('Cálculo MP'!O276="","",'Cálculo MP'!O276)</f>
        <v/>
      </c>
      <c r="BD266" s="60" t="str">
        <f>IF('Cálculo MP'!P276="","",'Cálculo MP'!P276)</f>
        <v/>
      </c>
      <c r="BE266" s="60" t="str">
        <f>IF('Cálculo MP'!Q276="","",'Cálculo MP'!Q276)</f>
        <v/>
      </c>
      <c r="BF266" s="60" t="str">
        <f>IF('Cálculo MP'!R276="","",'Cálculo MP'!R276)</f>
        <v/>
      </c>
      <c r="BG266" s="60" t="str">
        <f>IF('Cálculo MP'!S276="","",'Cálculo MP'!S276)</f>
        <v/>
      </c>
      <c r="BH266" s="59"/>
      <c r="BI266" s="59"/>
      <c r="BJ266" s="59"/>
      <c r="BK266" s="59"/>
      <c r="BL266" s="59"/>
      <c r="BM266" s="59"/>
      <c r="BN266" s="59"/>
      <c r="BO266" s="59"/>
    </row>
    <row r="267" spans="1:67" ht="19.5" customHeight="1" x14ac:dyDescent="0.2">
      <c r="A267" s="114" t="s">
        <v>1789</v>
      </c>
      <c r="B267" s="113" t="s">
        <v>1787</v>
      </c>
      <c r="C267" s="122"/>
      <c r="D267" s="48" t="s">
        <v>73</v>
      </c>
      <c r="E267" s="49"/>
      <c r="F267" s="50"/>
      <c r="G267" s="62"/>
      <c r="H267" s="48" t="s">
        <v>72</v>
      </c>
      <c r="I267" s="52">
        <v>1</v>
      </c>
      <c r="J267" s="52"/>
      <c r="K267" s="52" t="s">
        <v>73</v>
      </c>
      <c r="L267" s="52" t="s">
        <v>74</v>
      </c>
      <c r="M267" s="53" t="s">
        <v>917</v>
      </c>
      <c r="N267" s="58" t="s">
        <v>73</v>
      </c>
      <c r="O267" s="48" t="s">
        <v>72</v>
      </c>
      <c r="P267" s="48" t="s">
        <v>73</v>
      </c>
      <c r="Q267" s="54" t="s">
        <v>73</v>
      </c>
      <c r="R267" s="55" t="s">
        <v>73</v>
      </c>
      <c r="S267" s="48" t="s">
        <v>73</v>
      </c>
      <c r="T267" s="121" t="str" cm="1">
        <f t="array" ref="T267">IF(ISNUMBER(SEARCH("SCHNEIDER",D267)),_xlfn.IFS(ISNUMBER(SEARCH("2 Querétaro",D267)),"SQ2",ISNUMBER(SEARCH("Xicohténcatl",D267)),"SXC",ISNUMBER(SEARCH("Rojo Gómez",D267)),"SRG",ISNUMBER(SEARCH("Tlaxcala",D267)),"STX",ISNUMBER(SEARCH("Monterrey",D267)),"SMY",ISNUMBER(SEARCH("Querétaro",D267)),"SQ1",ISNUMBER(SEARCH("CDMX",D267)),"SCM",TRUE,""),"")</f>
        <v/>
      </c>
      <c r="U267" s="48" t="str" cm="1">
        <f t="array" ref="U267">_xlfn.LET(_xlpm.resultados,_xlfn.UNIQUE(_xlfn._xlws.FILTER(Tabla1[Proceso],(Tabla1[Metal Base]=O267)*(Tabla1[Etiquetas]=_xlfn.TEXTJOIN(" + ",TRUE,IF((TRIM(Upload!P267:S267)="")+(LOWER(TRIM(Upload!P267:S267))="(seleccione)"),"",PROPER(TRIM(Upload!P267:S267)))))*(Tabla1[Línea2]=IFERROR(VLOOKUP(Upload!N267&amp;"*",CAT_Procesos!D:D,1,FALSE),"")))),_xlpm.cantidad,ROWS(_xlpm.resultados),IF(ISERROR(_xlpm.cantidad),"Combinación no existente",IF(_xlpm.cantidad=1,INDEX(_xlpm.resultados,1),"(seleccione)")))</f>
        <v>Combinación no existente</v>
      </c>
      <c r="V267" s="55" t="s">
        <v>73</v>
      </c>
      <c r="W267" s="56" t="s">
        <v>73</v>
      </c>
      <c r="X267" s="57" t="str">
        <f t="shared" si="16"/>
        <v/>
      </c>
      <c r="Y267" s="58" t="s">
        <v>73</v>
      </c>
      <c r="Z267" s="57" t="str">
        <f t="shared" si="17"/>
        <v/>
      </c>
      <c r="AA267" s="58" t="s">
        <v>73</v>
      </c>
      <c r="AB267" s="57" t="str">
        <f t="shared" si="18"/>
        <v/>
      </c>
      <c r="AC267" s="58" t="s">
        <v>73</v>
      </c>
      <c r="AD267" s="57" t="str">
        <f t="shared" si="19"/>
        <v/>
      </c>
      <c r="AE267" s="59"/>
      <c r="AF267" s="59"/>
      <c r="AG267" s="59"/>
      <c r="AH267" s="59"/>
      <c r="AI267" s="59" t="s">
        <v>73</v>
      </c>
      <c r="AJ267" s="59"/>
      <c r="AK267" s="59" t="s">
        <v>73</v>
      </c>
      <c r="AL267" s="59"/>
      <c r="AM267" s="59" t="s">
        <v>73</v>
      </c>
      <c r="AN267" s="59"/>
      <c r="AO267" s="59" t="s">
        <v>73</v>
      </c>
      <c r="AP267" s="59"/>
      <c r="AQ267" s="59" t="s">
        <v>73</v>
      </c>
      <c r="AR267" s="59"/>
      <c r="AS267" s="59" t="s">
        <v>72</v>
      </c>
      <c r="AT267" s="59"/>
      <c r="AU267" s="59"/>
      <c r="AV267" s="59"/>
      <c r="AW267" s="59"/>
      <c r="AX267" s="59"/>
      <c r="AY267" s="60" t="str">
        <f>IF('Cálculo MP'!K277="","",'Cálculo MP'!K277)</f>
        <v/>
      </c>
      <c r="AZ267" s="60" t="str">
        <f>IF('Cálculo MP'!L277="","",'Cálculo MP'!L277)</f>
        <v/>
      </c>
      <c r="BA267" s="60" t="str">
        <f>IF('Cálculo MP'!M277="","",'Cálculo MP'!M277)</f>
        <v/>
      </c>
      <c r="BB267" s="60" t="str">
        <f>IF('Cálculo MP'!N277="","",'Cálculo MP'!N277)</f>
        <v/>
      </c>
      <c r="BC267" s="60" t="str">
        <f>IF('Cálculo MP'!O277="","",'Cálculo MP'!O277)</f>
        <v/>
      </c>
      <c r="BD267" s="60" t="str">
        <f>IF('Cálculo MP'!P277="","",'Cálculo MP'!P277)</f>
        <v/>
      </c>
      <c r="BE267" s="60" t="str">
        <f>IF('Cálculo MP'!Q277="","",'Cálculo MP'!Q277)</f>
        <v/>
      </c>
      <c r="BF267" s="60" t="str">
        <f>IF('Cálculo MP'!R277="","",'Cálculo MP'!R277)</f>
        <v/>
      </c>
      <c r="BG267" s="60" t="str">
        <f>IF('Cálculo MP'!S277="","",'Cálculo MP'!S277)</f>
        <v/>
      </c>
      <c r="BH267" s="59"/>
      <c r="BI267" s="59"/>
      <c r="BJ267" s="59"/>
      <c r="BK267" s="59"/>
      <c r="BL267" s="59"/>
      <c r="BM267" s="59"/>
      <c r="BN267" s="59"/>
      <c r="BO267" s="59"/>
    </row>
    <row r="268" spans="1:67" ht="19.5" customHeight="1" x14ac:dyDescent="0.2">
      <c r="A268" s="114" t="s">
        <v>1789</v>
      </c>
      <c r="B268" s="113" t="s">
        <v>1787</v>
      </c>
      <c r="C268" s="122"/>
      <c r="D268" s="48" t="s">
        <v>73</v>
      </c>
      <c r="E268" s="49"/>
      <c r="F268" s="50"/>
      <c r="G268" s="62"/>
      <c r="H268" s="48" t="s">
        <v>72</v>
      </c>
      <c r="I268" s="52">
        <v>1</v>
      </c>
      <c r="J268" s="52"/>
      <c r="K268" s="52" t="s">
        <v>73</v>
      </c>
      <c r="L268" s="52" t="s">
        <v>74</v>
      </c>
      <c r="M268" s="53" t="s">
        <v>917</v>
      </c>
      <c r="N268" s="58" t="s">
        <v>73</v>
      </c>
      <c r="O268" s="48" t="s">
        <v>72</v>
      </c>
      <c r="P268" s="48" t="s">
        <v>73</v>
      </c>
      <c r="Q268" s="54" t="s">
        <v>73</v>
      </c>
      <c r="R268" s="55" t="s">
        <v>73</v>
      </c>
      <c r="S268" s="48" t="s">
        <v>73</v>
      </c>
      <c r="T268" s="121" t="str" cm="1">
        <f t="array" ref="T268">IF(ISNUMBER(SEARCH("SCHNEIDER",D268)),_xlfn.IFS(ISNUMBER(SEARCH("2 Querétaro",D268)),"SQ2",ISNUMBER(SEARCH("Xicohténcatl",D268)),"SXC",ISNUMBER(SEARCH("Rojo Gómez",D268)),"SRG",ISNUMBER(SEARCH("Tlaxcala",D268)),"STX",ISNUMBER(SEARCH("Monterrey",D268)),"SMY",ISNUMBER(SEARCH("Querétaro",D268)),"SQ1",ISNUMBER(SEARCH("CDMX",D268)),"SCM",TRUE,""),"")</f>
        <v/>
      </c>
      <c r="U268" s="48" t="str" cm="1">
        <f t="array" ref="U268">_xlfn.LET(_xlpm.resultados,_xlfn.UNIQUE(_xlfn._xlws.FILTER(Tabla1[Proceso],(Tabla1[Metal Base]=O268)*(Tabla1[Etiquetas]=_xlfn.TEXTJOIN(" + ",TRUE,IF((TRIM(Upload!P268:S268)="")+(LOWER(TRIM(Upload!P268:S268))="(seleccione)"),"",PROPER(TRIM(Upload!P268:S268)))))*(Tabla1[Línea2]=IFERROR(VLOOKUP(Upload!N268&amp;"*",CAT_Procesos!D:D,1,FALSE),"")))),_xlpm.cantidad,ROWS(_xlpm.resultados),IF(ISERROR(_xlpm.cantidad),"Combinación no existente",IF(_xlpm.cantidad=1,INDEX(_xlpm.resultados,1),"(seleccione)")))</f>
        <v>Combinación no existente</v>
      </c>
      <c r="V268" s="55" t="s">
        <v>73</v>
      </c>
      <c r="W268" s="56" t="s">
        <v>73</v>
      </c>
      <c r="X268" s="57" t="str">
        <f t="shared" si="16"/>
        <v/>
      </c>
      <c r="Y268" s="58" t="s">
        <v>73</v>
      </c>
      <c r="Z268" s="57" t="str">
        <f t="shared" si="17"/>
        <v/>
      </c>
      <c r="AA268" s="58" t="s">
        <v>73</v>
      </c>
      <c r="AB268" s="57" t="str">
        <f t="shared" si="18"/>
        <v/>
      </c>
      <c r="AC268" s="58" t="s">
        <v>73</v>
      </c>
      <c r="AD268" s="57" t="str">
        <f t="shared" si="19"/>
        <v/>
      </c>
      <c r="AE268" s="59"/>
      <c r="AF268" s="59"/>
      <c r="AG268" s="59"/>
      <c r="AH268" s="59"/>
      <c r="AI268" s="59" t="s">
        <v>73</v>
      </c>
      <c r="AJ268" s="59"/>
      <c r="AK268" s="59" t="s">
        <v>73</v>
      </c>
      <c r="AL268" s="59"/>
      <c r="AM268" s="59" t="s">
        <v>73</v>
      </c>
      <c r="AN268" s="59"/>
      <c r="AO268" s="59" t="s">
        <v>73</v>
      </c>
      <c r="AP268" s="59"/>
      <c r="AQ268" s="59" t="s">
        <v>73</v>
      </c>
      <c r="AR268" s="59"/>
      <c r="AS268" s="59" t="s">
        <v>72</v>
      </c>
      <c r="AT268" s="59"/>
      <c r="AU268" s="59"/>
      <c r="AV268" s="59"/>
      <c r="AW268" s="59"/>
      <c r="AX268" s="59"/>
      <c r="AY268" s="60" t="str">
        <f>IF('Cálculo MP'!K278="","",'Cálculo MP'!K278)</f>
        <v/>
      </c>
      <c r="AZ268" s="60" t="str">
        <f>IF('Cálculo MP'!L278="","",'Cálculo MP'!L278)</f>
        <v/>
      </c>
      <c r="BA268" s="60" t="str">
        <f>IF('Cálculo MP'!M278="","",'Cálculo MP'!M278)</f>
        <v/>
      </c>
      <c r="BB268" s="60" t="str">
        <f>IF('Cálculo MP'!N278="","",'Cálculo MP'!N278)</f>
        <v/>
      </c>
      <c r="BC268" s="60" t="str">
        <f>IF('Cálculo MP'!O278="","",'Cálculo MP'!O278)</f>
        <v/>
      </c>
      <c r="BD268" s="60" t="str">
        <f>IF('Cálculo MP'!P278="","",'Cálculo MP'!P278)</f>
        <v/>
      </c>
      <c r="BE268" s="60" t="str">
        <f>IF('Cálculo MP'!Q278="","",'Cálculo MP'!Q278)</f>
        <v/>
      </c>
      <c r="BF268" s="60" t="str">
        <f>IF('Cálculo MP'!R278="","",'Cálculo MP'!R278)</f>
        <v/>
      </c>
      <c r="BG268" s="60" t="str">
        <f>IF('Cálculo MP'!S278="","",'Cálculo MP'!S278)</f>
        <v/>
      </c>
      <c r="BH268" s="59"/>
      <c r="BI268" s="59"/>
      <c r="BJ268" s="59"/>
      <c r="BK268" s="59"/>
      <c r="BL268" s="59"/>
      <c r="BM268" s="59"/>
      <c r="BN268" s="59"/>
      <c r="BO268" s="59"/>
    </row>
    <row r="269" spans="1:67" ht="19.5" customHeight="1" x14ac:dyDescent="0.2">
      <c r="A269" s="114" t="s">
        <v>1789</v>
      </c>
      <c r="B269" s="113" t="s">
        <v>1787</v>
      </c>
      <c r="C269" s="122"/>
      <c r="D269" s="48" t="s">
        <v>73</v>
      </c>
      <c r="E269" s="49"/>
      <c r="F269" s="50"/>
      <c r="G269" s="62"/>
      <c r="H269" s="48" t="s">
        <v>72</v>
      </c>
      <c r="I269" s="52">
        <v>1</v>
      </c>
      <c r="J269" s="52"/>
      <c r="K269" s="52" t="s">
        <v>73</v>
      </c>
      <c r="L269" s="52" t="s">
        <v>74</v>
      </c>
      <c r="M269" s="53" t="s">
        <v>917</v>
      </c>
      <c r="N269" s="58" t="s">
        <v>73</v>
      </c>
      <c r="O269" s="48" t="s">
        <v>72</v>
      </c>
      <c r="P269" s="48" t="s">
        <v>73</v>
      </c>
      <c r="Q269" s="54" t="s">
        <v>73</v>
      </c>
      <c r="R269" s="55" t="s">
        <v>73</v>
      </c>
      <c r="S269" s="48" t="s">
        <v>73</v>
      </c>
      <c r="T269" s="121" t="str" cm="1">
        <f t="array" ref="T269">IF(ISNUMBER(SEARCH("SCHNEIDER",D269)),_xlfn.IFS(ISNUMBER(SEARCH("2 Querétaro",D269)),"SQ2",ISNUMBER(SEARCH("Xicohténcatl",D269)),"SXC",ISNUMBER(SEARCH("Rojo Gómez",D269)),"SRG",ISNUMBER(SEARCH("Tlaxcala",D269)),"STX",ISNUMBER(SEARCH("Monterrey",D269)),"SMY",ISNUMBER(SEARCH("Querétaro",D269)),"SQ1",ISNUMBER(SEARCH("CDMX",D269)),"SCM",TRUE,""),"")</f>
        <v/>
      </c>
      <c r="U269" s="48" t="str" cm="1">
        <f t="array" ref="U269">_xlfn.LET(_xlpm.resultados,_xlfn.UNIQUE(_xlfn._xlws.FILTER(Tabla1[Proceso],(Tabla1[Metal Base]=O269)*(Tabla1[Etiquetas]=_xlfn.TEXTJOIN(" + ",TRUE,IF((TRIM(Upload!P269:S269)="")+(LOWER(TRIM(Upload!P269:S269))="(seleccione)"),"",PROPER(TRIM(Upload!P269:S269)))))*(Tabla1[Línea2]=IFERROR(VLOOKUP(Upload!N269&amp;"*",CAT_Procesos!D:D,1,FALSE),"")))),_xlpm.cantidad,ROWS(_xlpm.resultados),IF(ISERROR(_xlpm.cantidad),"Combinación no existente",IF(_xlpm.cantidad=1,INDEX(_xlpm.resultados,1),"(seleccione)")))</f>
        <v>Combinación no existente</v>
      </c>
      <c r="V269" s="55" t="s">
        <v>73</v>
      </c>
      <c r="W269" s="56" t="s">
        <v>73</v>
      </c>
      <c r="X269" s="57" t="str">
        <f t="shared" si="16"/>
        <v/>
      </c>
      <c r="Y269" s="58" t="s">
        <v>73</v>
      </c>
      <c r="Z269" s="57" t="str">
        <f t="shared" si="17"/>
        <v/>
      </c>
      <c r="AA269" s="58" t="s">
        <v>73</v>
      </c>
      <c r="AB269" s="57" t="str">
        <f t="shared" si="18"/>
        <v/>
      </c>
      <c r="AC269" s="58" t="s">
        <v>73</v>
      </c>
      <c r="AD269" s="57" t="str">
        <f t="shared" si="19"/>
        <v/>
      </c>
      <c r="AE269" s="59"/>
      <c r="AF269" s="59"/>
      <c r="AG269" s="59"/>
      <c r="AH269" s="59"/>
      <c r="AI269" s="59" t="s">
        <v>73</v>
      </c>
      <c r="AJ269" s="59"/>
      <c r="AK269" s="59" t="s">
        <v>73</v>
      </c>
      <c r="AL269" s="59"/>
      <c r="AM269" s="59" t="s">
        <v>73</v>
      </c>
      <c r="AN269" s="59"/>
      <c r="AO269" s="59" t="s">
        <v>73</v>
      </c>
      <c r="AP269" s="59"/>
      <c r="AQ269" s="59" t="s">
        <v>73</v>
      </c>
      <c r="AR269" s="59"/>
      <c r="AS269" s="59" t="s">
        <v>72</v>
      </c>
      <c r="AT269" s="59"/>
      <c r="AU269" s="59"/>
      <c r="AV269" s="59"/>
      <c r="AW269" s="59"/>
      <c r="AX269" s="59"/>
      <c r="AY269" s="60" t="str">
        <f>IF('Cálculo MP'!K279="","",'Cálculo MP'!K279)</f>
        <v/>
      </c>
      <c r="AZ269" s="60" t="str">
        <f>IF('Cálculo MP'!L279="","",'Cálculo MP'!L279)</f>
        <v/>
      </c>
      <c r="BA269" s="60" t="str">
        <f>IF('Cálculo MP'!M279="","",'Cálculo MP'!M279)</f>
        <v/>
      </c>
      <c r="BB269" s="60" t="str">
        <f>IF('Cálculo MP'!N279="","",'Cálculo MP'!N279)</f>
        <v/>
      </c>
      <c r="BC269" s="60" t="str">
        <f>IF('Cálculo MP'!O279="","",'Cálculo MP'!O279)</f>
        <v/>
      </c>
      <c r="BD269" s="60" t="str">
        <f>IF('Cálculo MP'!P279="","",'Cálculo MP'!P279)</f>
        <v/>
      </c>
      <c r="BE269" s="60" t="str">
        <f>IF('Cálculo MP'!Q279="","",'Cálculo MP'!Q279)</f>
        <v/>
      </c>
      <c r="BF269" s="60" t="str">
        <f>IF('Cálculo MP'!R279="","",'Cálculo MP'!R279)</f>
        <v/>
      </c>
      <c r="BG269" s="60" t="str">
        <f>IF('Cálculo MP'!S279="","",'Cálculo MP'!S279)</f>
        <v/>
      </c>
      <c r="BH269" s="59"/>
      <c r="BI269" s="59"/>
      <c r="BJ269" s="59"/>
      <c r="BK269" s="59"/>
      <c r="BL269" s="59"/>
      <c r="BM269" s="59"/>
      <c r="BN269" s="59"/>
      <c r="BO269" s="59"/>
    </row>
    <row r="270" spans="1:67" ht="19.5" customHeight="1" x14ac:dyDescent="0.2">
      <c r="A270" s="114" t="s">
        <v>1789</v>
      </c>
      <c r="B270" s="113" t="s">
        <v>1787</v>
      </c>
      <c r="C270" s="122"/>
      <c r="D270" s="48" t="s">
        <v>73</v>
      </c>
      <c r="E270" s="49"/>
      <c r="F270" s="50"/>
      <c r="G270" s="62"/>
      <c r="H270" s="48" t="s">
        <v>72</v>
      </c>
      <c r="I270" s="52">
        <v>1</v>
      </c>
      <c r="J270" s="52"/>
      <c r="K270" s="52" t="s">
        <v>73</v>
      </c>
      <c r="L270" s="52" t="s">
        <v>74</v>
      </c>
      <c r="M270" s="53" t="s">
        <v>917</v>
      </c>
      <c r="N270" s="58" t="s">
        <v>73</v>
      </c>
      <c r="O270" s="48" t="s">
        <v>72</v>
      </c>
      <c r="P270" s="48" t="s">
        <v>73</v>
      </c>
      <c r="Q270" s="54" t="s">
        <v>73</v>
      </c>
      <c r="R270" s="55" t="s">
        <v>73</v>
      </c>
      <c r="S270" s="48" t="s">
        <v>73</v>
      </c>
      <c r="T270" s="121" t="str" cm="1">
        <f t="array" ref="T270">IF(ISNUMBER(SEARCH("SCHNEIDER",D270)),_xlfn.IFS(ISNUMBER(SEARCH("2 Querétaro",D270)),"SQ2",ISNUMBER(SEARCH("Xicohténcatl",D270)),"SXC",ISNUMBER(SEARCH("Rojo Gómez",D270)),"SRG",ISNUMBER(SEARCH("Tlaxcala",D270)),"STX",ISNUMBER(SEARCH("Monterrey",D270)),"SMY",ISNUMBER(SEARCH("Querétaro",D270)),"SQ1",ISNUMBER(SEARCH("CDMX",D270)),"SCM",TRUE,""),"")</f>
        <v/>
      </c>
      <c r="U270" s="48" t="str" cm="1">
        <f t="array" ref="U270">_xlfn.LET(_xlpm.resultados,_xlfn.UNIQUE(_xlfn._xlws.FILTER(Tabla1[Proceso],(Tabla1[Metal Base]=O270)*(Tabla1[Etiquetas]=_xlfn.TEXTJOIN(" + ",TRUE,IF((TRIM(Upload!P270:S270)="")+(LOWER(TRIM(Upload!P270:S270))="(seleccione)"),"",PROPER(TRIM(Upload!P270:S270)))))*(Tabla1[Línea2]=IFERROR(VLOOKUP(Upload!N270&amp;"*",CAT_Procesos!D:D,1,FALSE),"")))),_xlpm.cantidad,ROWS(_xlpm.resultados),IF(ISERROR(_xlpm.cantidad),"Combinación no existente",IF(_xlpm.cantidad=1,INDEX(_xlpm.resultados,1),"(seleccione)")))</f>
        <v>Combinación no existente</v>
      </c>
      <c r="V270" s="55" t="s">
        <v>73</v>
      </c>
      <c r="W270" s="56" t="s">
        <v>73</v>
      </c>
      <c r="X270" s="57" t="str">
        <f t="shared" si="16"/>
        <v/>
      </c>
      <c r="Y270" s="58" t="s">
        <v>73</v>
      </c>
      <c r="Z270" s="57" t="str">
        <f t="shared" si="17"/>
        <v/>
      </c>
      <c r="AA270" s="58" t="s">
        <v>73</v>
      </c>
      <c r="AB270" s="57" t="str">
        <f t="shared" si="18"/>
        <v/>
      </c>
      <c r="AC270" s="58" t="s">
        <v>73</v>
      </c>
      <c r="AD270" s="57" t="str">
        <f t="shared" si="19"/>
        <v/>
      </c>
      <c r="AE270" s="59"/>
      <c r="AF270" s="59"/>
      <c r="AG270" s="59"/>
      <c r="AH270" s="59"/>
      <c r="AI270" s="59" t="s">
        <v>73</v>
      </c>
      <c r="AJ270" s="59"/>
      <c r="AK270" s="59" t="s">
        <v>73</v>
      </c>
      <c r="AL270" s="59"/>
      <c r="AM270" s="59" t="s">
        <v>73</v>
      </c>
      <c r="AN270" s="59"/>
      <c r="AO270" s="59" t="s">
        <v>73</v>
      </c>
      <c r="AP270" s="59"/>
      <c r="AQ270" s="59" t="s">
        <v>73</v>
      </c>
      <c r="AR270" s="59"/>
      <c r="AS270" s="59" t="s">
        <v>72</v>
      </c>
      <c r="AT270" s="59"/>
      <c r="AU270" s="59"/>
      <c r="AV270" s="59"/>
      <c r="AW270" s="59"/>
      <c r="AX270" s="59"/>
      <c r="AY270" s="60" t="str">
        <f>IF('Cálculo MP'!K280="","",'Cálculo MP'!K280)</f>
        <v/>
      </c>
      <c r="AZ270" s="60" t="str">
        <f>IF('Cálculo MP'!L280="","",'Cálculo MP'!L280)</f>
        <v/>
      </c>
      <c r="BA270" s="60" t="str">
        <f>IF('Cálculo MP'!M280="","",'Cálculo MP'!M280)</f>
        <v/>
      </c>
      <c r="BB270" s="60" t="str">
        <f>IF('Cálculo MP'!N280="","",'Cálculo MP'!N280)</f>
        <v/>
      </c>
      <c r="BC270" s="60" t="str">
        <f>IF('Cálculo MP'!O280="","",'Cálculo MP'!O280)</f>
        <v/>
      </c>
      <c r="BD270" s="60" t="str">
        <f>IF('Cálculo MP'!P280="","",'Cálculo MP'!P280)</f>
        <v/>
      </c>
      <c r="BE270" s="60" t="str">
        <f>IF('Cálculo MP'!Q280="","",'Cálculo MP'!Q280)</f>
        <v/>
      </c>
      <c r="BF270" s="60" t="str">
        <f>IF('Cálculo MP'!R280="","",'Cálculo MP'!R280)</f>
        <v/>
      </c>
      <c r="BG270" s="60" t="str">
        <f>IF('Cálculo MP'!S280="","",'Cálculo MP'!S280)</f>
        <v/>
      </c>
      <c r="BH270" s="59"/>
      <c r="BI270" s="59"/>
      <c r="BJ270" s="59"/>
      <c r="BK270" s="59"/>
      <c r="BL270" s="59"/>
      <c r="BM270" s="59"/>
      <c r="BN270" s="59"/>
      <c r="BO270" s="59"/>
    </row>
    <row r="271" spans="1:67" ht="19.5" customHeight="1" x14ac:dyDescent="0.2">
      <c r="A271" s="114" t="s">
        <v>1789</v>
      </c>
      <c r="B271" s="113" t="s">
        <v>1787</v>
      </c>
      <c r="C271" s="122"/>
      <c r="D271" s="48" t="s">
        <v>73</v>
      </c>
      <c r="E271" s="49"/>
      <c r="F271" s="50"/>
      <c r="G271" s="62"/>
      <c r="H271" s="48" t="s">
        <v>72</v>
      </c>
      <c r="I271" s="52">
        <v>1</v>
      </c>
      <c r="J271" s="52"/>
      <c r="K271" s="52" t="s">
        <v>73</v>
      </c>
      <c r="L271" s="52" t="s">
        <v>74</v>
      </c>
      <c r="M271" s="53" t="s">
        <v>917</v>
      </c>
      <c r="N271" s="58" t="s">
        <v>73</v>
      </c>
      <c r="O271" s="48" t="s">
        <v>72</v>
      </c>
      <c r="P271" s="48" t="s">
        <v>73</v>
      </c>
      <c r="Q271" s="54" t="s">
        <v>73</v>
      </c>
      <c r="R271" s="55" t="s">
        <v>73</v>
      </c>
      <c r="S271" s="48" t="s">
        <v>73</v>
      </c>
      <c r="T271" s="121" t="str" cm="1">
        <f t="array" ref="T271">IF(ISNUMBER(SEARCH("SCHNEIDER",D271)),_xlfn.IFS(ISNUMBER(SEARCH("2 Querétaro",D271)),"SQ2",ISNUMBER(SEARCH("Xicohténcatl",D271)),"SXC",ISNUMBER(SEARCH("Rojo Gómez",D271)),"SRG",ISNUMBER(SEARCH("Tlaxcala",D271)),"STX",ISNUMBER(SEARCH("Monterrey",D271)),"SMY",ISNUMBER(SEARCH("Querétaro",D271)),"SQ1",ISNUMBER(SEARCH("CDMX",D271)),"SCM",TRUE,""),"")</f>
        <v/>
      </c>
      <c r="U271" s="48" t="str" cm="1">
        <f t="array" ref="U271">_xlfn.LET(_xlpm.resultados,_xlfn.UNIQUE(_xlfn._xlws.FILTER(Tabla1[Proceso],(Tabla1[Metal Base]=O271)*(Tabla1[Etiquetas]=_xlfn.TEXTJOIN(" + ",TRUE,IF((TRIM(Upload!P271:S271)="")+(LOWER(TRIM(Upload!P271:S271))="(seleccione)"),"",PROPER(TRIM(Upload!P271:S271)))))*(Tabla1[Línea2]=IFERROR(VLOOKUP(Upload!N271&amp;"*",CAT_Procesos!D:D,1,FALSE),"")))),_xlpm.cantidad,ROWS(_xlpm.resultados),IF(ISERROR(_xlpm.cantidad),"Combinación no existente",IF(_xlpm.cantidad=1,INDEX(_xlpm.resultados,1),"(seleccione)")))</f>
        <v>Combinación no existente</v>
      </c>
      <c r="V271" s="55" t="s">
        <v>73</v>
      </c>
      <c r="W271" s="56" t="s">
        <v>73</v>
      </c>
      <c r="X271" s="57" t="str">
        <f t="shared" si="16"/>
        <v/>
      </c>
      <c r="Y271" s="58" t="s">
        <v>73</v>
      </c>
      <c r="Z271" s="57" t="str">
        <f t="shared" si="17"/>
        <v/>
      </c>
      <c r="AA271" s="58" t="s">
        <v>73</v>
      </c>
      <c r="AB271" s="57" t="str">
        <f t="shared" si="18"/>
        <v/>
      </c>
      <c r="AC271" s="58" t="s">
        <v>73</v>
      </c>
      <c r="AD271" s="57" t="str">
        <f t="shared" si="19"/>
        <v/>
      </c>
      <c r="AE271" s="59"/>
      <c r="AF271" s="59"/>
      <c r="AG271" s="59"/>
      <c r="AH271" s="59"/>
      <c r="AI271" s="59" t="s">
        <v>73</v>
      </c>
      <c r="AJ271" s="59"/>
      <c r="AK271" s="59" t="s">
        <v>73</v>
      </c>
      <c r="AL271" s="59"/>
      <c r="AM271" s="59" t="s">
        <v>73</v>
      </c>
      <c r="AN271" s="59"/>
      <c r="AO271" s="59" t="s">
        <v>73</v>
      </c>
      <c r="AP271" s="59"/>
      <c r="AQ271" s="59" t="s">
        <v>73</v>
      </c>
      <c r="AR271" s="59"/>
      <c r="AS271" s="59" t="s">
        <v>72</v>
      </c>
      <c r="AT271" s="59"/>
      <c r="AU271" s="59"/>
      <c r="AV271" s="59"/>
      <c r="AW271" s="59"/>
      <c r="AX271" s="59"/>
      <c r="AY271" s="60" t="str">
        <f>IF('Cálculo MP'!K281="","",'Cálculo MP'!K281)</f>
        <v/>
      </c>
      <c r="AZ271" s="60" t="str">
        <f>IF('Cálculo MP'!L281="","",'Cálculo MP'!L281)</f>
        <v/>
      </c>
      <c r="BA271" s="60" t="str">
        <f>IF('Cálculo MP'!M281="","",'Cálculo MP'!M281)</f>
        <v/>
      </c>
      <c r="BB271" s="60" t="str">
        <f>IF('Cálculo MP'!N281="","",'Cálculo MP'!N281)</f>
        <v/>
      </c>
      <c r="BC271" s="60" t="str">
        <f>IF('Cálculo MP'!O281="","",'Cálculo MP'!O281)</f>
        <v/>
      </c>
      <c r="BD271" s="60" t="str">
        <f>IF('Cálculo MP'!P281="","",'Cálculo MP'!P281)</f>
        <v/>
      </c>
      <c r="BE271" s="60" t="str">
        <f>IF('Cálculo MP'!Q281="","",'Cálculo MP'!Q281)</f>
        <v/>
      </c>
      <c r="BF271" s="60" t="str">
        <f>IF('Cálculo MP'!R281="","",'Cálculo MP'!R281)</f>
        <v/>
      </c>
      <c r="BG271" s="60" t="str">
        <f>IF('Cálculo MP'!S281="","",'Cálculo MP'!S281)</f>
        <v/>
      </c>
      <c r="BH271" s="59"/>
      <c r="BI271" s="59"/>
      <c r="BJ271" s="59"/>
      <c r="BK271" s="59"/>
      <c r="BL271" s="59"/>
      <c r="BM271" s="59"/>
      <c r="BN271" s="59"/>
      <c r="BO271" s="59"/>
    </row>
    <row r="272" spans="1:67" ht="19.5" customHeight="1" x14ac:dyDescent="0.2">
      <c r="A272" s="114" t="s">
        <v>1789</v>
      </c>
      <c r="B272" s="113" t="s">
        <v>1787</v>
      </c>
      <c r="C272" s="122"/>
      <c r="D272" s="48" t="s">
        <v>73</v>
      </c>
      <c r="E272" s="49"/>
      <c r="F272" s="50"/>
      <c r="G272" s="62"/>
      <c r="H272" s="48" t="s">
        <v>72</v>
      </c>
      <c r="I272" s="52">
        <v>1</v>
      </c>
      <c r="J272" s="52"/>
      <c r="K272" s="52" t="s">
        <v>73</v>
      </c>
      <c r="L272" s="52" t="s">
        <v>74</v>
      </c>
      <c r="M272" s="53" t="s">
        <v>917</v>
      </c>
      <c r="N272" s="58" t="s">
        <v>73</v>
      </c>
      <c r="O272" s="48" t="s">
        <v>72</v>
      </c>
      <c r="P272" s="48" t="s">
        <v>73</v>
      </c>
      <c r="Q272" s="54" t="s">
        <v>73</v>
      </c>
      <c r="R272" s="55" t="s">
        <v>73</v>
      </c>
      <c r="S272" s="48" t="s">
        <v>73</v>
      </c>
      <c r="T272" s="121" t="str" cm="1">
        <f t="array" ref="T272">IF(ISNUMBER(SEARCH("SCHNEIDER",D272)),_xlfn.IFS(ISNUMBER(SEARCH("2 Querétaro",D272)),"SQ2",ISNUMBER(SEARCH("Xicohténcatl",D272)),"SXC",ISNUMBER(SEARCH("Rojo Gómez",D272)),"SRG",ISNUMBER(SEARCH("Tlaxcala",D272)),"STX",ISNUMBER(SEARCH("Monterrey",D272)),"SMY",ISNUMBER(SEARCH("Querétaro",D272)),"SQ1",ISNUMBER(SEARCH("CDMX",D272)),"SCM",TRUE,""),"")</f>
        <v/>
      </c>
      <c r="U272" s="48" t="str" cm="1">
        <f t="array" ref="U272">_xlfn.LET(_xlpm.resultados,_xlfn.UNIQUE(_xlfn._xlws.FILTER(Tabla1[Proceso],(Tabla1[Metal Base]=O272)*(Tabla1[Etiquetas]=_xlfn.TEXTJOIN(" + ",TRUE,IF((TRIM(Upload!P272:S272)="")+(LOWER(TRIM(Upload!P272:S272))="(seleccione)"),"",PROPER(TRIM(Upload!P272:S272)))))*(Tabla1[Línea2]=IFERROR(VLOOKUP(Upload!N272&amp;"*",CAT_Procesos!D:D,1,FALSE),"")))),_xlpm.cantidad,ROWS(_xlpm.resultados),IF(ISERROR(_xlpm.cantidad),"Combinación no existente",IF(_xlpm.cantidad=1,INDEX(_xlpm.resultados,1),"(seleccione)")))</f>
        <v>Combinación no existente</v>
      </c>
      <c r="V272" s="55" t="s">
        <v>73</v>
      </c>
      <c r="W272" s="56" t="s">
        <v>73</v>
      </c>
      <c r="X272" s="57" t="str">
        <f t="shared" si="16"/>
        <v/>
      </c>
      <c r="Y272" s="58" t="s">
        <v>73</v>
      </c>
      <c r="Z272" s="57" t="str">
        <f t="shared" si="17"/>
        <v/>
      </c>
      <c r="AA272" s="58" t="s">
        <v>73</v>
      </c>
      <c r="AB272" s="57" t="str">
        <f t="shared" si="18"/>
        <v/>
      </c>
      <c r="AC272" s="58" t="s">
        <v>73</v>
      </c>
      <c r="AD272" s="57" t="str">
        <f t="shared" si="19"/>
        <v/>
      </c>
      <c r="AE272" s="59"/>
      <c r="AF272" s="59"/>
      <c r="AG272" s="59"/>
      <c r="AH272" s="59"/>
      <c r="AI272" s="59" t="s">
        <v>73</v>
      </c>
      <c r="AJ272" s="59"/>
      <c r="AK272" s="59" t="s">
        <v>73</v>
      </c>
      <c r="AL272" s="59"/>
      <c r="AM272" s="59" t="s">
        <v>73</v>
      </c>
      <c r="AN272" s="59"/>
      <c r="AO272" s="59" t="s">
        <v>73</v>
      </c>
      <c r="AP272" s="59"/>
      <c r="AQ272" s="59" t="s">
        <v>73</v>
      </c>
      <c r="AR272" s="59"/>
      <c r="AS272" s="59" t="s">
        <v>72</v>
      </c>
      <c r="AT272" s="59"/>
      <c r="AU272" s="59"/>
      <c r="AV272" s="59"/>
      <c r="AW272" s="59"/>
      <c r="AX272" s="59"/>
      <c r="AY272" s="60" t="str">
        <f>IF('Cálculo MP'!K282="","",'Cálculo MP'!K282)</f>
        <v/>
      </c>
      <c r="AZ272" s="60" t="str">
        <f>IF('Cálculo MP'!L282="","",'Cálculo MP'!L282)</f>
        <v/>
      </c>
      <c r="BA272" s="60" t="str">
        <f>IF('Cálculo MP'!M282="","",'Cálculo MP'!M282)</f>
        <v/>
      </c>
      <c r="BB272" s="60" t="str">
        <f>IF('Cálculo MP'!N282="","",'Cálculo MP'!N282)</f>
        <v/>
      </c>
      <c r="BC272" s="60" t="str">
        <f>IF('Cálculo MP'!O282="","",'Cálculo MP'!O282)</f>
        <v/>
      </c>
      <c r="BD272" s="60" t="str">
        <f>IF('Cálculo MP'!P282="","",'Cálculo MP'!P282)</f>
        <v/>
      </c>
      <c r="BE272" s="60" t="str">
        <f>IF('Cálculo MP'!Q282="","",'Cálculo MP'!Q282)</f>
        <v/>
      </c>
      <c r="BF272" s="60" t="str">
        <f>IF('Cálculo MP'!R282="","",'Cálculo MP'!R282)</f>
        <v/>
      </c>
      <c r="BG272" s="60" t="str">
        <f>IF('Cálculo MP'!S282="","",'Cálculo MP'!S282)</f>
        <v/>
      </c>
      <c r="BH272" s="59"/>
      <c r="BI272" s="59"/>
      <c r="BJ272" s="59"/>
      <c r="BK272" s="59"/>
      <c r="BL272" s="59"/>
      <c r="BM272" s="59"/>
      <c r="BN272" s="59"/>
      <c r="BO272" s="59"/>
    </row>
    <row r="273" spans="1:67" ht="19.5" customHeight="1" x14ac:dyDescent="0.2">
      <c r="A273" s="114" t="s">
        <v>1789</v>
      </c>
      <c r="B273" s="113" t="s">
        <v>1787</v>
      </c>
      <c r="C273" s="122"/>
      <c r="D273" s="48" t="s">
        <v>73</v>
      </c>
      <c r="E273" s="49"/>
      <c r="F273" s="50"/>
      <c r="G273" s="62"/>
      <c r="H273" s="48" t="s">
        <v>72</v>
      </c>
      <c r="I273" s="52">
        <v>1</v>
      </c>
      <c r="J273" s="52"/>
      <c r="K273" s="52" t="s">
        <v>73</v>
      </c>
      <c r="L273" s="52" t="s">
        <v>74</v>
      </c>
      <c r="M273" s="53" t="s">
        <v>917</v>
      </c>
      <c r="N273" s="58" t="s">
        <v>73</v>
      </c>
      <c r="O273" s="48" t="s">
        <v>72</v>
      </c>
      <c r="P273" s="48" t="s">
        <v>73</v>
      </c>
      <c r="Q273" s="54" t="s">
        <v>73</v>
      </c>
      <c r="R273" s="55" t="s">
        <v>73</v>
      </c>
      <c r="S273" s="48" t="s">
        <v>73</v>
      </c>
      <c r="T273" s="121" t="str" cm="1">
        <f t="array" ref="T273">IF(ISNUMBER(SEARCH("SCHNEIDER",D273)),_xlfn.IFS(ISNUMBER(SEARCH("2 Querétaro",D273)),"SQ2",ISNUMBER(SEARCH("Xicohténcatl",D273)),"SXC",ISNUMBER(SEARCH("Rojo Gómez",D273)),"SRG",ISNUMBER(SEARCH("Tlaxcala",D273)),"STX",ISNUMBER(SEARCH("Monterrey",D273)),"SMY",ISNUMBER(SEARCH("Querétaro",D273)),"SQ1",ISNUMBER(SEARCH("CDMX",D273)),"SCM",TRUE,""),"")</f>
        <v/>
      </c>
      <c r="U273" s="48" t="str" cm="1">
        <f t="array" ref="U273">_xlfn.LET(_xlpm.resultados,_xlfn.UNIQUE(_xlfn._xlws.FILTER(Tabla1[Proceso],(Tabla1[Metal Base]=O273)*(Tabla1[Etiquetas]=_xlfn.TEXTJOIN(" + ",TRUE,IF((TRIM(Upload!P273:S273)="")+(LOWER(TRIM(Upload!P273:S273))="(seleccione)"),"",PROPER(TRIM(Upload!P273:S273)))))*(Tabla1[Línea2]=IFERROR(VLOOKUP(Upload!N273&amp;"*",CAT_Procesos!D:D,1,FALSE),"")))),_xlpm.cantidad,ROWS(_xlpm.resultados),IF(ISERROR(_xlpm.cantidad),"Combinación no existente",IF(_xlpm.cantidad=1,INDEX(_xlpm.resultados,1),"(seleccione)")))</f>
        <v>Combinación no existente</v>
      </c>
      <c r="V273" s="55" t="s">
        <v>73</v>
      </c>
      <c r="W273" s="56" t="s">
        <v>73</v>
      </c>
      <c r="X273" s="57" t="str">
        <f t="shared" si="16"/>
        <v/>
      </c>
      <c r="Y273" s="58" t="s">
        <v>73</v>
      </c>
      <c r="Z273" s="57" t="str">
        <f t="shared" si="17"/>
        <v/>
      </c>
      <c r="AA273" s="58" t="s">
        <v>73</v>
      </c>
      <c r="AB273" s="57" t="str">
        <f t="shared" si="18"/>
        <v/>
      </c>
      <c r="AC273" s="58" t="s">
        <v>73</v>
      </c>
      <c r="AD273" s="57" t="str">
        <f t="shared" si="19"/>
        <v/>
      </c>
      <c r="AE273" s="59"/>
      <c r="AF273" s="59"/>
      <c r="AG273" s="59"/>
      <c r="AH273" s="59"/>
      <c r="AI273" s="59" t="s">
        <v>73</v>
      </c>
      <c r="AJ273" s="59"/>
      <c r="AK273" s="59" t="s">
        <v>73</v>
      </c>
      <c r="AL273" s="59"/>
      <c r="AM273" s="59" t="s">
        <v>73</v>
      </c>
      <c r="AN273" s="59"/>
      <c r="AO273" s="59" t="s">
        <v>73</v>
      </c>
      <c r="AP273" s="59"/>
      <c r="AQ273" s="59" t="s">
        <v>73</v>
      </c>
      <c r="AR273" s="59"/>
      <c r="AS273" s="59" t="s">
        <v>72</v>
      </c>
      <c r="AT273" s="59"/>
      <c r="AU273" s="59"/>
      <c r="AV273" s="59"/>
      <c r="AW273" s="59"/>
      <c r="AX273" s="59"/>
      <c r="AY273" s="60" t="str">
        <f>IF('Cálculo MP'!K283="","",'Cálculo MP'!K283)</f>
        <v/>
      </c>
      <c r="AZ273" s="60" t="str">
        <f>IF('Cálculo MP'!L283="","",'Cálculo MP'!L283)</f>
        <v/>
      </c>
      <c r="BA273" s="60" t="str">
        <f>IF('Cálculo MP'!M283="","",'Cálculo MP'!M283)</f>
        <v/>
      </c>
      <c r="BB273" s="60" t="str">
        <f>IF('Cálculo MP'!N283="","",'Cálculo MP'!N283)</f>
        <v/>
      </c>
      <c r="BC273" s="60" t="str">
        <f>IF('Cálculo MP'!O283="","",'Cálculo MP'!O283)</f>
        <v/>
      </c>
      <c r="BD273" s="60" t="str">
        <f>IF('Cálculo MP'!P283="","",'Cálculo MP'!P283)</f>
        <v/>
      </c>
      <c r="BE273" s="60" t="str">
        <f>IF('Cálculo MP'!Q283="","",'Cálculo MP'!Q283)</f>
        <v/>
      </c>
      <c r="BF273" s="60" t="str">
        <f>IF('Cálculo MP'!R283="","",'Cálculo MP'!R283)</f>
        <v/>
      </c>
      <c r="BG273" s="60" t="str">
        <f>IF('Cálculo MP'!S283="","",'Cálculo MP'!S283)</f>
        <v/>
      </c>
      <c r="BH273" s="59"/>
      <c r="BI273" s="59"/>
      <c r="BJ273" s="59"/>
      <c r="BK273" s="59"/>
      <c r="BL273" s="59"/>
      <c r="BM273" s="59"/>
      <c r="BN273" s="59"/>
      <c r="BO273" s="59"/>
    </row>
    <row r="274" spans="1:67" ht="19.5" customHeight="1" x14ac:dyDescent="0.2">
      <c r="A274" s="114" t="s">
        <v>1789</v>
      </c>
      <c r="B274" s="113" t="s">
        <v>1787</v>
      </c>
      <c r="C274" s="122"/>
      <c r="D274" s="48" t="s">
        <v>73</v>
      </c>
      <c r="E274" s="49"/>
      <c r="F274" s="50"/>
      <c r="G274" s="62"/>
      <c r="H274" s="48" t="s">
        <v>72</v>
      </c>
      <c r="I274" s="52">
        <v>1</v>
      </c>
      <c r="J274" s="52"/>
      <c r="K274" s="52" t="s">
        <v>73</v>
      </c>
      <c r="L274" s="52" t="s">
        <v>74</v>
      </c>
      <c r="M274" s="53" t="s">
        <v>917</v>
      </c>
      <c r="N274" s="58" t="s">
        <v>73</v>
      </c>
      <c r="O274" s="48" t="s">
        <v>72</v>
      </c>
      <c r="P274" s="48" t="s">
        <v>73</v>
      </c>
      <c r="Q274" s="54" t="s">
        <v>73</v>
      </c>
      <c r="R274" s="55" t="s">
        <v>73</v>
      </c>
      <c r="S274" s="48" t="s">
        <v>73</v>
      </c>
      <c r="T274" s="121" t="str" cm="1">
        <f t="array" ref="T274">IF(ISNUMBER(SEARCH("SCHNEIDER",D274)),_xlfn.IFS(ISNUMBER(SEARCH("2 Querétaro",D274)),"SQ2",ISNUMBER(SEARCH("Xicohténcatl",D274)),"SXC",ISNUMBER(SEARCH("Rojo Gómez",D274)),"SRG",ISNUMBER(SEARCH("Tlaxcala",D274)),"STX",ISNUMBER(SEARCH("Monterrey",D274)),"SMY",ISNUMBER(SEARCH("Querétaro",D274)),"SQ1",ISNUMBER(SEARCH("CDMX",D274)),"SCM",TRUE,""),"")</f>
        <v/>
      </c>
      <c r="U274" s="48" t="str" cm="1">
        <f t="array" ref="U274">_xlfn.LET(_xlpm.resultados,_xlfn.UNIQUE(_xlfn._xlws.FILTER(Tabla1[Proceso],(Tabla1[Metal Base]=O274)*(Tabla1[Etiquetas]=_xlfn.TEXTJOIN(" + ",TRUE,IF((TRIM(Upload!P274:S274)="")+(LOWER(TRIM(Upload!P274:S274))="(seleccione)"),"",PROPER(TRIM(Upload!P274:S274)))))*(Tabla1[Línea2]=IFERROR(VLOOKUP(Upload!N274&amp;"*",CAT_Procesos!D:D,1,FALSE),"")))),_xlpm.cantidad,ROWS(_xlpm.resultados),IF(ISERROR(_xlpm.cantidad),"Combinación no existente",IF(_xlpm.cantidad=1,INDEX(_xlpm.resultados,1),"(seleccione)")))</f>
        <v>Combinación no existente</v>
      </c>
      <c r="V274" s="55" t="s">
        <v>73</v>
      </c>
      <c r="W274" s="56" t="s">
        <v>73</v>
      </c>
      <c r="X274" s="57" t="str">
        <f t="shared" si="16"/>
        <v/>
      </c>
      <c r="Y274" s="58" t="s">
        <v>73</v>
      </c>
      <c r="Z274" s="57" t="str">
        <f t="shared" si="17"/>
        <v/>
      </c>
      <c r="AA274" s="58" t="s">
        <v>73</v>
      </c>
      <c r="AB274" s="57" t="str">
        <f t="shared" si="18"/>
        <v/>
      </c>
      <c r="AC274" s="58" t="s">
        <v>73</v>
      </c>
      <c r="AD274" s="57" t="str">
        <f t="shared" si="19"/>
        <v/>
      </c>
      <c r="AE274" s="59"/>
      <c r="AF274" s="59"/>
      <c r="AG274" s="59"/>
      <c r="AH274" s="59"/>
      <c r="AI274" s="59" t="s">
        <v>73</v>
      </c>
      <c r="AJ274" s="59"/>
      <c r="AK274" s="59" t="s">
        <v>73</v>
      </c>
      <c r="AL274" s="59"/>
      <c r="AM274" s="59" t="s">
        <v>73</v>
      </c>
      <c r="AN274" s="59"/>
      <c r="AO274" s="59" t="s">
        <v>73</v>
      </c>
      <c r="AP274" s="59"/>
      <c r="AQ274" s="59" t="s">
        <v>73</v>
      </c>
      <c r="AR274" s="59"/>
      <c r="AS274" s="59" t="s">
        <v>72</v>
      </c>
      <c r="AT274" s="59"/>
      <c r="AU274" s="59"/>
      <c r="AV274" s="59"/>
      <c r="AW274" s="59"/>
      <c r="AX274" s="59"/>
      <c r="AY274" s="60" t="str">
        <f>IF('Cálculo MP'!K284="","",'Cálculo MP'!K284)</f>
        <v/>
      </c>
      <c r="AZ274" s="60" t="str">
        <f>IF('Cálculo MP'!L284="","",'Cálculo MP'!L284)</f>
        <v/>
      </c>
      <c r="BA274" s="60" t="str">
        <f>IF('Cálculo MP'!M284="","",'Cálculo MP'!M284)</f>
        <v/>
      </c>
      <c r="BB274" s="60" t="str">
        <f>IF('Cálculo MP'!N284="","",'Cálculo MP'!N284)</f>
        <v/>
      </c>
      <c r="BC274" s="60" t="str">
        <f>IF('Cálculo MP'!O284="","",'Cálculo MP'!O284)</f>
        <v/>
      </c>
      <c r="BD274" s="60" t="str">
        <f>IF('Cálculo MP'!P284="","",'Cálculo MP'!P284)</f>
        <v/>
      </c>
      <c r="BE274" s="60" t="str">
        <f>IF('Cálculo MP'!Q284="","",'Cálculo MP'!Q284)</f>
        <v/>
      </c>
      <c r="BF274" s="60" t="str">
        <f>IF('Cálculo MP'!R284="","",'Cálculo MP'!R284)</f>
        <v/>
      </c>
      <c r="BG274" s="60" t="str">
        <f>IF('Cálculo MP'!S284="","",'Cálculo MP'!S284)</f>
        <v/>
      </c>
      <c r="BH274" s="59"/>
      <c r="BI274" s="59"/>
      <c r="BJ274" s="59"/>
      <c r="BK274" s="59"/>
      <c r="BL274" s="59"/>
      <c r="BM274" s="59"/>
      <c r="BN274" s="59"/>
      <c r="BO274" s="59"/>
    </row>
    <row r="275" spans="1:67" ht="19.5" customHeight="1" x14ac:dyDescent="0.2">
      <c r="A275" s="114" t="s">
        <v>1789</v>
      </c>
      <c r="B275" s="113" t="s">
        <v>1787</v>
      </c>
      <c r="C275" s="122"/>
      <c r="D275" s="48" t="s">
        <v>73</v>
      </c>
      <c r="E275" s="49"/>
      <c r="F275" s="50"/>
      <c r="G275" s="62"/>
      <c r="H275" s="48" t="s">
        <v>72</v>
      </c>
      <c r="I275" s="52">
        <v>1</v>
      </c>
      <c r="J275" s="52"/>
      <c r="K275" s="52" t="s">
        <v>73</v>
      </c>
      <c r="L275" s="52" t="s">
        <v>74</v>
      </c>
      <c r="M275" s="53" t="s">
        <v>917</v>
      </c>
      <c r="N275" s="58" t="s">
        <v>73</v>
      </c>
      <c r="O275" s="48" t="s">
        <v>72</v>
      </c>
      <c r="P275" s="48" t="s">
        <v>73</v>
      </c>
      <c r="Q275" s="54" t="s">
        <v>73</v>
      </c>
      <c r="R275" s="55" t="s">
        <v>73</v>
      </c>
      <c r="S275" s="48" t="s">
        <v>73</v>
      </c>
      <c r="T275" s="121" t="str" cm="1">
        <f t="array" ref="T275">IF(ISNUMBER(SEARCH("SCHNEIDER",D275)),_xlfn.IFS(ISNUMBER(SEARCH("2 Querétaro",D275)),"SQ2",ISNUMBER(SEARCH("Xicohténcatl",D275)),"SXC",ISNUMBER(SEARCH("Rojo Gómez",D275)),"SRG",ISNUMBER(SEARCH("Tlaxcala",D275)),"STX",ISNUMBER(SEARCH("Monterrey",D275)),"SMY",ISNUMBER(SEARCH("Querétaro",D275)),"SQ1",ISNUMBER(SEARCH("CDMX",D275)),"SCM",TRUE,""),"")</f>
        <v/>
      </c>
      <c r="U275" s="48" t="str" cm="1">
        <f t="array" ref="U275">_xlfn.LET(_xlpm.resultados,_xlfn.UNIQUE(_xlfn._xlws.FILTER(Tabla1[Proceso],(Tabla1[Metal Base]=O275)*(Tabla1[Etiquetas]=_xlfn.TEXTJOIN(" + ",TRUE,IF((TRIM(Upload!P275:S275)="")+(LOWER(TRIM(Upload!P275:S275))="(seleccione)"),"",PROPER(TRIM(Upload!P275:S275)))))*(Tabla1[Línea2]=IFERROR(VLOOKUP(Upload!N275&amp;"*",CAT_Procesos!D:D,1,FALSE),"")))),_xlpm.cantidad,ROWS(_xlpm.resultados),IF(ISERROR(_xlpm.cantidad),"Combinación no existente",IF(_xlpm.cantidad=1,INDEX(_xlpm.resultados,1),"(seleccione)")))</f>
        <v>Combinación no existente</v>
      </c>
      <c r="V275" s="55" t="s">
        <v>73</v>
      </c>
      <c r="W275" s="56" t="s">
        <v>73</v>
      </c>
      <c r="X275" s="57" t="str">
        <f t="shared" si="16"/>
        <v/>
      </c>
      <c r="Y275" s="58" t="s">
        <v>73</v>
      </c>
      <c r="Z275" s="57" t="str">
        <f t="shared" si="17"/>
        <v/>
      </c>
      <c r="AA275" s="58" t="s">
        <v>73</v>
      </c>
      <c r="AB275" s="57" t="str">
        <f t="shared" si="18"/>
        <v/>
      </c>
      <c r="AC275" s="58" t="s">
        <v>73</v>
      </c>
      <c r="AD275" s="57" t="str">
        <f t="shared" si="19"/>
        <v/>
      </c>
      <c r="AE275" s="59"/>
      <c r="AF275" s="59"/>
      <c r="AG275" s="59"/>
      <c r="AH275" s="59"/>
      <c r="AI275" s="59" t="s">
        <v>73</v>
      </c>
      <c r="AJ275" s="59"/>
      <c r="AK275" s="59" t="s">
        <v>73</v>
      </c>
      <c r="AL275" s="59"/>
      <c r="AM275" s="59" t="s">
        <v>73</v>
      </c>
      <c r="AN275" s="59"/>
      <c r="AO275" s="59" t="s">
        <v>73</v>
      </c>
      <c r="AP275" s="59"/>
      <c r="AQ275" s="59" t="s">
        <v>73</v>
      </c>
      <c r="AR275" s="59"/>
      <c r="AS275" s="59" t="s">
        <v>72</v>
      </c>
      <c r="AT275" s="59"/>
      <c r="AU275" s="59"/>
      <c r="AV275" s="59"/>
      <c r="AW275" s="59"/>
      <c r="AX275" s="59"/>
      <c r="AY275" s="60" t="str">
        <f>IF('Cálculo MP'!K285="","",'Cálculo MP'!K285)</f>
        <v/>
      </c>
      <c r="AZ275" s="60" t="str">
        <f>IF('Cálculo MP'!L285="","",'Cálculo MP'!L285)</f>
        <v/>
      </c>
      <c r="BA275" s="60" t="str">
        <f>IF('Cálculo MP'!M285="","",'Cálculo MP'!M285)</f>
        <v/>
      </c>
      <c r="BB275" s="60" t="str">
        <f>IF('Cálculo MP'!N285="","",'Cálculo MP'!N285)</f>
        <v/>
      </c>
      <c r="BC275" s="60" t="str">
        <f>IF('Cálculo MP'!O285="","",'Cálculo MP'!O285)</f>
        <v/>
      </c>
      <c r="BD275" s="60" t="str">
        <f>IF('Cálculo MP'!P285="","",'Cálculo MP'!P285)</f>
        <v/>
      </c>
      <c r="BE275" s="60" t="str">
        <f>IF('Cálculo MP'!Q285="","",'Cálculo MP'!Q285)</f>
        <v/>
      </c>
      <c r="BF275" s="60" t="str">
        <f>IF('Cálculo MP'!R285="","",'Cálculo MP'!R285)</f>
        <v/>
      </c>
      <c r="BG275" s="60" t="str">
        <f>IF('Cálculo MP'!S285="","",'Cálculo MP'!S285)</f>
        <v/>
      </c>
      <c r="BH275" s="59"/>
      <c r="BI275" s="59"/>
      <c r="BJ275" s="59"/>
      <c r="BK275" s="59"/>
      <c r="BL275" s="59"/>
      <c r="BM275" s="59"/>
      <c r="BN275" s="59"/>
      <c r="BO275" s="59"/>
    </row>
    <row r="276" spans="1:67" ht="19.5" customHeight="1" x14ac:dyDescent="0.2">
      <c r="A276" s="114" t="s">
        <v>1789</v>
      </c>
      <c r="B276" s="113" t="s">
        <v>1787</v>
      </c>
      <c r="C276" s="122"/>
      <c r="D276" s="48" t="s">
        <v>73</v>
      </c>
      <c r="E276" s="49"/>
      <c r="F276" s="50"/>
      <c r="G276" s="62"/>
      <c r="H276" s="48" t="s">
        <v>72</v>
      </c>
      <c r="I276" s="52">
        <v>1</v>
      </c>
      <c r="J276" s="52"/>
      <c r="K276" s="52" t="s">
        <v>73</v>
      </c>
      <c r="L276" s="52" t="s">
        <v>74</v>
      </c>
      <c r="M276" s="53" t="s">
        <v>917</v>
      </c>
      <c r="N276" s="58" t="s">
        <v>73</v>
      </c>
      <c r="O276" s="48" t="s">
        <v>72</v>
      </c>
      <c r="P276" s="48" t="s">
        <v>73</v>
      </c>
      <c r="Q276" s="54" t="s">
        <v>73</v>
      </c>
      <c r="R276" s="55" t="s">
        <v>73</v>
      </c>
      <c r="S276" s="48" t="s">
        <v>73</v>
      </c>
      <c r="T276" s="121" t="str" cm="1">
        <f t="array" ref="T276">IF(ISNUMBER(SEARCH("SCHNEIDER",D276)),_xlfn.IFS(ISNUMBER(SEARCH("2 Querétaro",D276)),"SQ2",ISNUMBER(SEARCH("Xicohténcatl",D276)),"SXC",ISNUMBER(SEARCH("Rojo Gómez",D276)),"SRG",ISNUMBER(SEARCH("Tlaxcala",D276)),"STX",ISNUMBER(SEARCH("Monterrey",D276)),"SMY",ISNUMBER(SEARCH("Querétaro",D276)),"SQ1",ISNUMBER(SEARCH("CDMX",D276)),"SCM",TRUE,""),"")</f>
        <v/>
      </c>
      <c r="U276" s="48" t="str" cm="1">
        <f t="array" ref="U276">_xlfn.LET(_xlpm.resultados,_xlfn.UNIQUE(_xlfn._xlws.FILTER(Tabla1[Proceso],(Tabla1[Metal Base]=O276)*(Tabla1[Etiquetas]=_xlfn.TEXTJOIN(" + ",TRUE,IF((TRIM(Upload!P276:S276)="")+(LOWER(TRIM(Upload!P276:S276))="(seleccione)"),"",PROPER(TRIM(Upload!P276:S276)))))*(Tabla1[Línea2]=IFERROR(VLOOKUP(Upload!N276&amp;"*",CAT_Procesos!D:D,1,FALSE),"")))),_xlpm.cantidad,ROWS(_xlpm.resultados),IF(ISERROR(_xlpm.cantidad),"Combinación no existente",IF(_xlpm.cantidad=1,INDEX(_xlpm.resultados,1),"(seleccione)")))</f>
        <v>Combinación no existente</v>
      </c>
      <c r="V276" s="55" t="s">
        <v>73</v>
      </c>
      <c r="W276" s="56" t="s">
        <v>73</v>
      </c>
      <c r="X276" s="57" t="str">
        <f t="shared" si="16"/>
        <v/>
      </c>
      <c r="Y276" s="58" t="s">
        <v>73</v>
      </c>
      <c r="Z276" s="57" t="str">
        <f t="shared" si="17"/>
        <v/>
      </c>
      <c r="AA276" s="58" t="s">
        <v>73</v>
      </c>
      <c r="AB276" s="57" t="str">
        <f t="shared" si="18"/>
        <v/>
      </c>
      <c r="AC276" s="58" t="s">
        <v>73</v>
      </c>
      <c r="AD276" s="57" t="str">
        <f t="shared" si="19"/>
        <v/>
      </c>
      <c r="AE276" s="59"/>
      <c r="AF276" s="59"/>
      <c r="AG276" s="59"/>
      <c r="AH276" s="59"/>
      <c r="AI276" s="59" t="s">
        <v>73</v>
      </c>
      <c r="AJ276" s="59"/>
      <c r="AK276" s="59" t="s">
        <v>73</v>
      </c>
      <c r="AL276" s="59"/>
      <c r="AM276" s="59" t="s">
        <v>73</v>
      </c>
      <c r="AN276" s="59"/>
      <c r="AO276" s="59" t="s">
        <v>73</v>
      </c>
      <c r="AP276" s="59"/>
      <c r="AQ276" s="59" t="s">
        <v>73</v>
      </c>
      <c r="AR276" s="59"/>
      <c r="AS276" s="59" t="s">
        <v>72</v>
      </c>
      <c r="AT276" s="59"/>
      <c r="AU276" s="59"/>
      <c r="AV276" s="59"/>
      <c r="AW276" s="59"/>
      <c r="AX276" s="59"/>
      <c r="AY276" s="60" t="str">
        <f>IF('Cálculo MP'!K286="","",'Cálculo MP'!K286)</f>
        <v/>
      </c>
      <c r="AZ276" s="60" t="str">
        <f>IF('Cálculo MP'!L286="","",'Cálculo MP'!L286)</f>
        <v/>
      </c>
      <c r="BA276" s="60" t="str">
        <f>IF('Cálculo MP'!M286="","",'Cálculo MP'!M286)</f>
        <v/>
      </c>
      <c r="BB276" s="60" t="str">
        <f>IF('Cálculo MP'!N286="","",'Cálculo MP'!N286)</f>
        <v/>
      </c>
      <c r="BC276" s="60" t="str">
        <f>IF('Cálculo MP'!O286="","",'Cálculo MP'!O286)</f>
        <v/>
      </c>
      <c r="BD276" s="60" t="str">
        <f>IF('Cálculo MP'!P286="","",'Cálculo MP'!P286)</f>
        <v/>
      </c>
      <c r="BE276" s="60" t="str">
        <f>IF('Cálculo MP'!Q286="","",'Cálculo MP'!Q286)</f>
        <v/>
      </c>
      <c r="BF276" s="60" t="str">
        <f>IF('Cálculo MP'!R286="","",'Cálculo MP'!R286)</f>
        <v/>
      </c>
      <c r="BG276" s="60" t="str">
        <f>IF('Cálculo MP'!S286="","",'Cálculo MP'!S286)</f>
        <v/>
      </c>
      <c r="BH276" s="59"/>
      <c r="BI276" s="59"/>
      <c r="BJ276" s="59"/>
      <c r="BK276" s="59"/>
      <c r="BL276" s="59"/>
      <c r="BM276" s="59"/>
      <c r="BN276" s="59"/>
      <c r="BO276" s="59"/>
    </row>
    <row r="277" spans="1:67" ht="19.5" customHeight="1" x14ac:dyDescent="0.2">
      <c r="A277" s="114" t="s">
        <v>1789</v>
      </c>
      <c r="B277" s="113" t="s">
        <v>1787</v>
      </c>
      <c r="C277" s="122"/>
      <c r="D277" s="48" t="s">
        <v>73</v>
      </c>
      <c r="E277" s="49"/>
      <c r="F277" s="50"/>
      <c r="G277" s="62"/>
      <c r="H277" s="48" t="s">
        <v>72</v>
      </c>
      <c r="I277" s="52">
        <v>1</v>
      </c>
      <c r="J277" s="52"/>
      <c r="K277" s="52" t="s">
        <v>73</v>
      </c>
      <c r="L277" s="52" t="s">
        <v>74</v>
      </c>
      <c r="M277" s="53" t="s">
        <v>917</v>
      </c>
      <c r="N277" s="58" t="s">
        <v>73</v>
      </c>
      <c r="O277" s="48" t="s">
        <v>72</v>
      </c>
      <c r="P277" s="48" t="s">
        <v>73</v>
      </c>
      <c r="Q277" s="54" t="s">
        <v>73</v>
      </c>
      <c r="R277" s="55" t="s">
        <v>73</v>
      </c>
      <c r="S277" s="48" t="s">
        <v>73</v>
      </c>
      <c r="T277" s="121" t="str" cm="1">
        <f t="array" ref="T277">IF(ISNUMBER(SEARCH("SCHNEIDER",D277)),_xlfn.IFS(ISNUMBER(SEARCH("2 Querétaro",D277)),"SQ2",ISNUMBER(SEARCH("Xicohténcatl",D277)),"SXC",ISNUMBER(SEARCH("Rojo Gómez",D277)),"SRG",ISNUMBER(SEARCH("Tlaxcala",D277)),"STX",ISNUMBER(SEARCH("Monterrey",D277)),"SMY",ISNUMBER(SEARCH("Querétaro",D277)),"SQ1",ISNUMBER(SEARCH("CDMX",D277)),"SCM",TRUE,""),"")</f>
        <v/>
      </c>
      <c r="U277" s="48" t="str" cm="1">
        <f t="array" ref="U277">_xlfn.LET(_xlpm.resultados,_xlfn.UNIQUE(_xlfn._xlws.FILTER(Tabla1[Proceso],(Tabla1[Metal Base]=O277)*(Tabla1[Etiquetas]=_xlfn.TEXTJOIN(" + ",TRUE,IF((TRIM(Upload!P277:S277)="")+(LOWER(TRIM(Upload!P277:S277))="(seleccione)"),"",PROPER(TRIM(Upload!P277:S277)))))*(Tabla1[Línea2]=IFERROR(VLOOKUP(Upload!N277&amp;"*",CAT_Procesos!D:D,1,FALSE),"")))),_xlpm.cantidad,ROWS(_xlpm.resultados),IF(ISERROR(_xlpm.cantidad),"Combinación no existente",IF(_xlpm.cantidad=1,INDEX(_xlpm.resultados,1),"(seleccione)")))</f>
        <v>Combinación no existente</v>
      </c>
      <c r="V277" s="55" t="s">
        <v>73</v>
      </c>
      <c r="W277" s="56" t="s">
        <v>73</v>
      </c>
      <c r="X277" s="57" t="str">
        <f t="shared" si="16"/>
        <v/>
      </c>
      <c r="Y277" s="58" t="s">
        <v>73</v>
      </c>
      <c r="Z277" s="57" t="str">
        <f t="shared" si="17"/>
        <v/>
      </c>
      <c r="AA277" s="58" t="s">
        <v>73</v>
      </c>
      <c r="AB277" s="57" t="str">
        <f t="shared" si="18"/>
        <v/>
      </c>
      <c r="AC277" s="58" t="s">
        <v>73</v>
      </c>
      <c r="AD277" s="57" t="str">
        <f t="shared" si="19"/>
        <v/>
      </c>
      <c r="AE277" s="59"/>
      <c r="AF277" s="59"/>
      <c r="AG277" s="59"/>
      <c r="AH277" s="59"/>
      <c r="AI277" s="59" t="s">
        <v>73</v>
      </c>
      <c r="AJ277" s="59"/>
      <c r="AK277" s="59" t="s">
        <v>73</v>
      </c>
      <c r="AL277" s="59"/>
      <c r="AM277" s="59" t="s">
        <v>73</v>
      </c>
      <c r="AN277" s="59"/>
      <c r="AO277" s="59" t="s">
        <v>73</v>
      </c>
      <c r="AP277" s="59"/>
      <c r="AQ277" s="59" t="s">
        <v>73</v>
      </c>
      <c r="AR277" s="59"/>
      <c r="AS277" s="59" t="s">
        <v>72</v>
      </c>
      <c r="AT277" s="59"/>
      <c r="AU277" s="59"/>
      <c r="AV277" s="59"/>
      <c r="AW277" s="59"/>
      <c r="AX277" s="59"/>
      <c r="AY277" s="60" t="str">
        <f>IF('Cálculo MP'!K287="","",'Cálculo MP'!K287)</f>
        <v/>
      </c>
      <c r="AZ277" s="60" t="str">
        <f>IF('Cálculo MP'!L287="","",'Cálculo MP'!L287)</f>
        <v/>
      </c>
      <c r="BA277" s="60" t="str">
        <f>IF('Cálculo MP'!M287="","",'Cálculo MP'!M287)</f>
        <v/>
      </c>
      <c r="BB277" s="60" t="str">
        <f>IF('Cálculo MP'!N287="","",'Cálculo MP'!N287)</f>
        <v/>
      </c>
      <c r="BC277" s="60" t="str">
        <f>IF('Cálculo MP'!O287="","",'Cálculo MP'!O287)</f>
        <v/>
      </c>
      <c r="BD277" s="60" t="str">
        <f>IF('Cálculo MP'!P287="","",'Cálculo MP'!P287)</f>
        <v/>
      </c>
      <c r="BE277" s="60" t="str">
        <f>IF('Cálculo MP'!Q287="","",'Cálculo MP'!Q287)</f>
        <v/>
      </c>
      <c r="BF277" s="60" t="str">
        <f>IF('Cálculo MP'!R287="","",'Cálculo MP'!R287)</f>
        <v/>
      </c>
      <c r="BG277" s="60" t="str">
        <f>IF('Cálculo MP'!S287="","",'Cálculo MP'!S287)</f>
        <v/>
      </c>
      <c r="BH277" s="59"/>
      <c r="BI277" s="59"/>
      <c r="BJ277" s="59"/>
      <c r="BK277" s="59"/>
      <c r="BL277" s="59"/>
      <c r="BM277" s="59"/>
      <c r="BN277" s="59"/>
      <c r="BO277" s="59"/>
    </row>
    <row r="278" spans="1:67" ht="19.5" customHeight="1" x14ac:dyDescent="0.2">
      <c r="A278" s="114" t="s">
        <v>1789</v>
      </c>
      <c r="B278" s="113" t="s">
        <v>1787</v>
      </c>
      <c r="C278" s="122"/>
      <c r="D278" s="48" t="s">
        <v>73</v>
      </c>
      <c r="E278" s="49"/>
      <c r="F278" s="50"/>
      <c r="G278" s="62"/>
      <c r="H278" s="48" t="s">
        <v>72</v>
      </c>
      <c r="I278" s="52">
        <v>1</v>
      </c>
      <c r="J278" s="52"/>
      <c r="K278" s="52" t="s">
        <v>73</v>
      </c>
      <c r="L278" s="52" t="s">
        <v>74</v>
      </c>
      <c r="M278" s="53" t="s">
        <v>917</v>
      </c>
      <c r="N278" s="58" t="s">
        <v>73</v>
      </c>
      <c r="O278" s="48" t="s">
        <v>72</v>
      </c>
      <c r="P278" s="48" t="s">
        <v>73</v>
      </c>
      <c r="Q278" s="54" t="s">
        <v>73</v>
      </c>
      <c r="R278" s="55" t="s">
        <v>73</v>
      </c>
      <c r="S278" s="48" t="s">
        <v>73</v>
      </c>
      <c r="T278" s="121" t="str" cm="1">
        <f t="array" ref="T278">IF(ISNUMBER(SEARCH("SCHNEIDER",D278)),_xlfn.IFS(ISNUMBER(SEARCH("2 Querétaro",D278)),"SQ2",ISNUMBER(SEARCH("Xicohténcatl",D278)),"SXC",ISNUMBER(SEARCH("Rojo Gómez",D278)),"SRG",ISNUMBER(SEARCH("Tlaxcala",D278)),"STX",ISNUMBER(SEARCH("Monterrey",D278)),"SMY",ISNUMBER(SEARCH("Querétaro",D278)),"SQ1",ISNUMBER(SEARCH("CDMX",D278)),"SCM",TRUE,""),"")</f>
        <v/>
      </c>
      <c r="U278" s="48" t="str" cm="1">
        <f t="array" ref="U278">_xlfn.LET(_xlpm.resultados,_xlfn.UNIQUE(_xlfn._xlws.FILTER(Tabla1[Proceso],(Tabla1[Metal Base]=O278)*(Tabla1[Etiquetas]=_xlfn.TEXTJOIN(" + ",TRUE,IF((TRIM(Upload!P278:S278)="")+(LOWER(TRIM(Upload!P278:S278))="(seleccione)"),"",PROPER(TRIM(Upload!P278:S278)))))*(Tabla1[Línea2]=IFERROR(VLOOKUP(Upload!N278&amp;"*",CAT_Procesos!D:D,1,FALSE),"")))),_xlpm.cantidad,ROWS(_xlpm.resultados),IF(ISERROR(_xlpm.cantidad),"Combinación no existente",IF(_xlpm.cantidad=1,INDEX(_xlpm.resultados,1),"(seleccione)")))</f>
        <v>Combinación no existente</v>
      </c>
      <c r="V278" s="55" t="s">
        <v>73</v>
      </c>
      <c r="W278" s="56" t="s">
        <v>73</v>
      </c>
      <c r="X278" s="57" t="str">
        <f t="shared" si="16"/>
        <v/>
      </c>
      <c r="Y278" s="58" t="s">
        <v>73</v>
      </c>
      <c r="Z278" s="57" t="str">
        <f t="shared" si="17"/>
        <v/>
      </c>
      <c r="AA278" s="58" t="s">
        <v>73</v>
      </c>
      <c r="AB278" s="57" t="str">
        <f t="shared" si="18"/>
        <v/>
      </c>
      <c r="AC278" s="58" t="s">
        <v>73</v>
      </c>
      <c r="AD278" s="57" t="str">
        <f t="shared" si="19"/>
        <v/>
      </c>
      <c r="AE278" s="59"/>
      <c r="AF278" s="59"/>
      <c r="AG278" s="59"/>
      <c r="AH278" s="59"/>
      <c r="AI278" s="59" t="s">
        <v>73</v>
      </c>
      <c r="AJ278" s="59"/>
      <c r="AK278" s="59" t="s">
        <v>73</v>
      </c>
      <c r="AL278" s="59"/>
      <c r="AM278" s="59" t="s">
        <v>73</v>
      </c>
      <c r="AN278" s="59"/>
      <c r="AO278" s="59" t="s">
        <v>73</v>
      </c>
      <c r="AP278" s="59"/>
      <c r="AQ278" s="59" t="s">
        <v>73</v>
      </c>
      <c r="AR278" s="59"/>
      <c r="AS278" s="59" t="s">
        <v>72</v>
      </c>
      <c r="AT278" s="59"/>
      <c r="AU278" s="59"/>
      <c r="AV278" s="59"/>
      <c r="AW278" s="59"/>
      <c r="AX278" s="59"/>
      <c r="AY278" s="60" t="str">
        <f>IF('Cálculo MP'!K288="","",'Cálculo MP'!K288)</f>
        <v/>
      </c>
      <c r="AZ278" s="60" t="str">
        <f>IF('Cálculo MP'!L288="","",'Cálculo MP'!L288)</f>
        <v/>
      </c>
      <c r="BA278" s="60" t="str">
        <f>IF('Cálculo MP'!M288="","",'Cálculo MP'!M288)</f>
        <v/>
      </c>
      <c r="BB278" s="60" t="str">
        <f>IF('Cálculo MP'!N288="","",'Cálculo MP'!N288)</f>
        <v/>
      </c>
      <c r="BC278" s="60" t="str">
        <f>IF('Cálculo MP'!O288="","",'Cálculo MP'!O288)</f>
        <v/>
      </c>
      <c r="BD278" s="60" t="str">
        <f>IF('Cálculo MP'!P288="","",'Cálculo MP'!P288)</f>
        <v/>
      </c>
      <c r="BE278" s="60" t="str">
        <f>IF('Cálculo MP'!Q288="","",'Cálculo MP'!Q288)</f>
        <v/>
      </c>
      <c r="BF278" s="60" t="str">
        <f>IF('Cálculo MP'!R288="","",'Cálculo MP'!R288)</f>
        <v/>
      </c>
      <c r="BG278" s="60" t="str">
        <f>IF('Cálculo MP'!S288="","",'Cálculo MP'!S288)</f>
        <v/>
      </c>
      <c r="BH278" s="59"/>
      <c r="BI278" s="59"/>
      <c r="BJ278" s="59"/>
      <c r="BK278" s="59"/>
      <c r="BL278" s="59"/>
      <c r="BM278" s="59"/>
      <c r="BN278" s="59"/>
      <c r="BO278" s="59"/>
    </row>
    <row r="279" spans="1:67" ht="19.5" customHeight="1" x14ac:dyDescent="0.2">
      <c r="A279" s="114" t="s">
        <v>1789</v>
      </c>
      <c r="B279" s="113" t="s">
        <v>1787</v>
      </c>
      <c r="C279" s="122"/>
      <c r="D279" s="48" t="s">
        <v>73</v>
      </c>
      <c r="E279" s="49"/>
      <c r="F279" s="50"/>
      <c r="G279" s="62"/>
      <c r="H279" s="48" t="s">
        <v>72</v>
      </c>
      <c r="I279" s="52">
        <v>1</v>
      </c>
      <c r="J279" s="52"/>
      <c r="K279" s="52" t="s">
        <v>73</v>
      </c>
      <c r="L279" s="52" t="s">
        <v>74</v>
      </c>
      <c r="M279" s="53" t="s">
        <v>917</v>
      </c>
      <c r="N279" s="58" t="s">
        <v>73</v>
      </c>
      <c r="O279" s="48" t="s">
        <v>72</v>
      </c>
      <c r="P279" s="48" t="s">
        <v>73</v>
      </c>
      <c r="Q279" s="54" t="s">
        <v>73</v>
      </c>
      <c r="R279" s="55" t="s">
        <v>73</v>
      </c>
      <c r="S279" s="48" t="s">
        <v>73</v>
      </c>
      <c r="T279" s="121" t="str" cm="1">
        <f t="array" ref="T279">IF(ISNUMBER(SEARCH("SCHNEIDER",D279)),_xlfn.IFS(ISNUMBER(SEARCH("2 Querétaro",D279)),"SQ2",ISNUMBER(SEARCH("Xicohténcatl",D279)),"SXC",ISNUMBER(SEARCH("Rojo Gómez",D279)),"SRG",ISNUMBER(SEARCH("Tlaxcala",D279)),"STX",ISNUMBER(SEARCH("Monterrey",D279)),"SMY",ISNUMBER(SEARCH("Querétaro",D279)),"SQ1",ISNUMBER(SEARCH("CDMX",D279)),"SCM",TRUE,""),"")</f>
        <v/>
      </c>
      <c r="U279" s="48" t="str" cm="1">
        <f t="array" ref="U279">_xlfn.LET(_xlpm.resultados,_xlfn.UNIQUE(_xlfn._xlws.FILTER(Tabla1[Proceso],(Tabla1[Metal Base]=O279)*(Tabla1[Etiquetas]=_xlfn.TEXTJOIN(" + ",TRUE,IF((TRIM(Upload!P279:S279)="")+(LOWER(TRIM(Upload!P279:S279))="(seleccione)"),"",PROPER(TRIM(Upload!P279:S279)))))*(Tabla1[Línea2]=IFERROR(VLOOKUP(Upload!N279&amp;"*",CAT_Procesos!D:D,1,FALSE),"")))),_xlpm.cantidad,ROWS(_xlpm.resultados),IF(ISERROR(_xlpm.cantidad),"Combinación no existente",IF(_xlpm.cantidad=1,INDEX(_xlpm.resultados,1),"(seleccione)")))</f>
        <v>Combinación no existente</v>
      </c>
      <c r="V279" s="55" t="s">
        <v>73</v>
      </c>
      <c r="W279" s="56" t="s">
        <v>73</v>
      </c>
      <c r="X279" s="57" t="str">
        <f t="shared" si="16"/>
        <v/>
      </c>
      <c r="Y279" s="58" t="s">
        <v>73</v>
      </c>
      <c r="Z279" s="57" t="str">
        <f t="shared" si="17"/>
        <v/>
      </c>
      <c r="AA279" s="58" t="s">
        <v>73</v>
      </c>
      <c r="AB279" s="57" t="str">
        <f t="shared" si="18"/>
        <v/>
      </c>
      <c r="AC279" s="58" t="s">
        <v>73</v>
      </c>
      <c r="AD279" s="57" t="str">
        <f t="shared" si="19"/>
        <v/>
      </c>
      <c r="AE279" s="59"/>
      <c r="AF279" s="59"/>
      <c r="AG279" s="59"/>
      <c r="AH279" s="59"/>
      <c r="AI279" s="59" t="s">
        <v>73</v>
      </c>
      <c r="AJ279" s="59"/>
      <c r="AK279" s="59" t="s">
        <v>73</v>
      </c>
      <c r="AL279" s="59"/>
      <c r="AM279" s="59" t="s">
        <v>73</v>
      </c>
      <c r="AN279" s="59"/>
      <c r="AO279" s="59" t="s">
        <v>73</v>
      </c>
      <c r="AP279" s="59"/>
      <c r="AQ279" s="59" t="s">
        <v>73</v>
      </c>
      <c r="AR279" s="59"/>
      <c r="AS279" s="59" t="s">
        <v>72</v>
      </c>
      <c r="AT279" s="59"/>
      <c r="AU279" s="59"/>
      <c r="AV279" s="59"/>
      <c r="AW279" s="59"/>
      <c r="AX279" s="59"/>
      <c r="AY279" s="60" t="str">
        <f>IF('Cálculo MP'!K289="","",'Cálculo MP'!K289)</f>
        <v/>
      </c>
      <c r="AZ279" s="60" t="str">
        <f>IF('Cálculo MP'!L289="","",'Cálculo MP'!L289)</f>
        <v/>
      </c>
      <c r="BA279" s="60" t="str">
        <f>IF('Cálculo MP'!M289="","",'Cálculo MP'!M289)</f>
        <v/>
      </c>
      <c r="BB279" s="60" t="str">
        <f>IF('Cálculo MP'!N289="","",'Cálculo MP'!N289)</f>
        <v/>
      </c>
      <c r="BC279" s="60" t="str">
        <f>IF('Cálculo MP'!O289="","",'Cálculo MP'!O289)</f>
        <v/>
      </c>
      <c r="BD279" s="60" t="str">
        <f>IF('Cálculo MP'!P289="","",'Cálculo MP'!P289)</f>
        <v/>
      </c>
      <c r="BE279" s="60" t="str">
        <f>IF('Cálculo MP'!Q289="","",'Cálculo MP'!Q289)</f>
        <v/>
      </c>
      <c r="BF279" s="60" t="str">
        <f>IF('Cálculo MP'!R289="","",'Cálculo MP'!R289)</f>
        <v/>
      </c>
      <c r="BG279" s="60" t="str">
        <f>IF('Cálculo MP'!S289="","",'Cálculo MP'!S289)</f>
        <v/>
      </c>
      <c r="BH279" s="59"/>
      <c r="BI279" s="59"/>
      <c r="BJ279" s="59"/>
      <c r="BK279" s="59"/>
      <c r="BL279" s="59"/>
      <c r="BM279" s="59"/>
      <c r="BN279" s="59"/>
      <c r="BO279" s="59"/>
    </row>
    <row r="280" spans="1:67" ht="19.5" customHeight="1" x14ac:dyDescent="0.2">
      <c r="A280" s="114" t="s">
        <v>1789</v>
      </c>
      <c r="B280" s="113" t="s">
        <v>1787</v>
      </c>
      <c r="C280" s="122"/>
      <c r="D280" s="48" t="s">
        <v>73</v>
      </c>
      <c r="E280" s="49"/>
      <c r="F280" s="50"/>
      <c r="G280" s="62"/>
      <c r="H280" s="48" t="s">
        <v>72</v>
      </c>
      <c r="I280" s="52">
        <v>1</v>
      </c>
      <c r="J280" s="52"/>
      <c r="K280" s="52" t="s">
        <v>73</v>
      </c>
      <c r="L280" s="52" t="s">
        <v>74</v>
      </c>
      <c r="M280" s="53" t="s">
        <v>917</v>
      </c>
      <c r="N280" s="58" t="s">
        <v>73</v>
      </c>
      <c r="O280" s="48" t="s">
        <v>72</v>
      </c>
      <c r="P280" s="48" t="s">
        <v>73</v>
      </c>
      <c r="Q280" s="54" t="s">
        <v>73</v>
      </c>
      <c r="R280" s="55" t="s">
        <v>73</v>
      </c>
      <c r="S280" s="48" t="s">
        <v>73</v>
      </c>
      <c r="T280" s="121" t="str" cm="1">
        <f t="array" ref="T280">IF(ISNUMBER(SEARCH("SCHNEIDER",D280)),_xlfn.IFS(ISNUMBER(SEARCH("2 Querétaro",D280)),"SQ2",ISNUMBER(SEARCH("Xicohténcatl",D280)),"SXC",ISNUMBER(SEARCH("Rojo Gómez",D280)),"SRG",ISNUMBER(SEARCH("Tlaxcala",D280)),"STX",ISNUMBER(SEARCH("Monterrey",D280)),"SMY",ISNUMBER(SEARCH("Querétaro",D280)),"SQ1",ISNUMBER(SEARCH("CDMX",D280)),"SCM",TRUE,""),"")</f>
        <v/>
      </c>
      <c r="U280" s="48" t="str" cm="1">
        <f t="array" ref="U280">_xlfn.LET(_xlpm.resultados,_xlfn.UNIQUE(_xlfn._xlws.FILTER(Tabla1[Proceso],(Tabla1[Metal Base]=O280)*(Tabla1[Etiquetas]=_xlfn.TEXTJOIN(" + ",TRUE,IF((TRIM(Upload!P280:S280)="")+(LOWER(TRIM(Upload!P280:S280))="(seleccione)"),"",PROPER(TRIM(Upload!P280:S280)))))*(Tabla1[Línea2]=IFERROR(VLOOKUP(Upload!N280&amp;"*",CAT_Procesos!D:D,1,FALSE),"")))),_xlpm.cantidad,ROWS(_xlpm.resultados),IF(ISERROR(_xlpm.cantidad),"Combinación no existente",IF(_xlpm.cantidad=1,INDEX(_xlpm.resultados,1),"(seleccione)")))</f>
        <v>Combinación no existente</v>
      </c>
      <c r="V280" s="55" t="s">
        <v>73</v>
      </c>
      <c r="W280" s="56" t="s">
        <v>73</v>
      </c>
      <c r="X280" s="57" t="str">
        <f t="shared" si="16"/>
        <v/>
      </c>
      <c r="Y280" s="58" t="s">
        <v>73</v>
      </c>
      <c r="Z280" s="57" t="str">
        <f t="shared" si="17"/>
        <v/>
      </c>
      <c r="AA280" s="58" t="s">
        <v>73</v>
      </c>
      <c r="AB280" s="57" t="str">
        <f t="shared" si="18"/>
        <v/>
      </c>
      <c r="AC280" s="58" t="s">
        <v>73</v>
      </c>
      <c r="AD280" s="57" t="str">
        <f t="shared" si="19"/>
        <v/>
      </c>
      <c r="AE280" s="59"/>
      <c r="AF280" s="59"/>
      <c r="AG280" s="59"/>
      <c r="AH280" s="59"/>
      <c r="AI280" s="59" t="s">
        <v>73</v>
      </c>
      <c r="AJ280" s="59"/>
      <c r="AK280" s="59" t="s">
        <v>73</v>
      </c>
      <c r="AL280" s="59"/>
      <c r="AM280" s="59" t="s">
        <v>73</v>
      </c>
      <c r="AN280" s="59"/>
      <c r="AO280" s="59" t="s">
        <v>73</v>
      </c>
      <c r="AP280" s="59"/>
      <c r="AQ280" s="59" t="s">
        <v>73</v>
      </c>
      <c r="AR280" s="59"/>
      <c r="AS280" s="59" t="s">
        <v>72</v>
      </c>
      <c r="AT280" s="59"/>
      <c r="AU280" s="59"/>
      <c r="AV280" s="59"/>
      <c r="AW280" s="59"/>
      <c r="AX280" s="59"/>
      <c r="AY280" s="60" t="str">
        <f>IF('Cálculo MP'!K290="","",'Cálculo MP'!K290)</f>
        <v/>
      </c>
      <c r="AZ280" s="60" t="str">
        <f>IF('Cálculo MP'!L290="","",'Cálculo MP'!L290)</f>
        <v/>
      </c>
      <c r="BA280" s="60" t="str">
        <f>IF('Cálculo MP'!M290="","",'Cálculo MP'!M290)</f>
        <v/>
      </c>
      <c r="BB280" s="60" t="str">
        <f>IF('Cálculo MP'!N290="","",'Cálculo MP'!N290)</f>
        <v/>
      </c>
      <c r="BC280" s="60" t="str">
        <f>IF('Cálculo MP'!O290="","",'Cálculo MP'!O290)</f>
        <v/>
      </c>
      <c r="BD280" s="60" t="str">
        <f>IF('Cálculo MP'!P290="","",'Cálculo MP'!P290)</f>
        <v/>
      </c>
      <c r="BE280" s="60" t="str">
        <f>IF('Cálculo MP'!Q290="","",'Cálculo MP'!Q290)</f>
        <v/>
      </c>
      <c r="BF280" s="60" t="str">
        <f>IF('Cálculo MP'!R290="","",'Cálculo MP'!R290)</f>
        <v/>
      </c>
      <c r="BG280" s="60" t="str">
        <f>IF('Cálculo MP'!S290="","",'Cálculo MP'!S290)</f>
        <v/>
      </c>
      <c r="BH280" s="59"/>
      <c r="BI280" s="59"/>
      <c r="BJ280" s="59"/>
      <c r="BK280" s="59"/>
      <c r="BL280" s="59"/>
      <c r="BM280" s="59"/>
      <c r="BN280" s="59"/>
      <c r="BO280" s="59"/>
    </row>
    <row r="281" spans="1:67" ht="19.5" customHeight="1" x14ac:dyDescent="0.2">
      <c r="A281" s="114" t="s">
        <v>1789</v>
      </c>
      <c r="B281" s="113" t="s">
        <v>1787</v>
      </c>
      <c r="C281" s="122"/>
      <c r="D281" s="48" t="s">
        <v>73</v>
      </c>
      <c r="E281" s="49"/>
      <c r="F281" s="50"/>
      <c r="G281" s="62"/>
      <c r="H281" s="48" t="s">
        <v>72</v>
      </c>
      <c r="I281" s="52">
        <v>1</v>
      </c>
      <c r="J281" s="52"/>
      <c r="K281" s="52" t="s">
        <v>73</v>
      </c>
      <c r="L281" s="52" t="s">
        <v>74</v>
      </c>
      <c r="M281" s="53" t="s">
        <v>917</v>
      </c>
      <c r="N281" s="58" t="s">
        <v>73</v>
      </c>
      <c r="O281" s="48" t="s">
        <v>72</v>
      </c>
      <c r="P281" s="48" t="s">
        <v>73</v>
      </c>
      <c r="Q281" s="54" t="s">
        <v>73</v>
      </c>
      <c r="R281" s="55" t="s">
        <v>73</v>
      </c>
      <c r="S281" s="48" t="s">
        <v>73</v>
      </c>
      <c r="T281" s="121" t="str" cm="1">
        <f t="array" ref="T281">IF(ISNUMBER(SEARCH("SCHNEIDER",D281)),_xlfn.IFS(ISNUMBER(SEARCH("2 Querétaro",D281)),"SQ2",ISNUMBER(SEARCH("Xicohténcatl",D281)),"SXC",ISNUMBER(SEARCH("Rojo Gómez",D281)),"SRG",ISNUMBER(SEARCH("Tlaxcala",D281)),"STX",ISNUMBER(SEARCH("Monterrey",D281)),"SMY",ISNUMBER(SEARCH("Querétaro",D281)),"SQ1",ISNUMBER(SEARCH("CDMX",D281)),"SCM",TRUE,""),"")</f>
        <v/>
      </c>
      <c r="U281" s="48" t="str" cm="1">
        <f t="array" ref="U281">_xlfn.LET(_xlpm.resultados,_xlfn.UNIQUE(_xlfn._xlws.FILTER(Tabla1[Proceso],(Tabla1[Metal Base]=O281)*(Tabla1[Etiquetas]=_xlfn.TEXTJOIN(" + ",TRUE,IF((TRIM(Upload!P281:S281)="")+(LOWER(TRIM(Upload!P281:S281))="(seleccione)"),"",PROPER(TRIM(Upload!P281:S281)))))*(Tabla1[Línea2]=IFERROR(VLOOKUP(Upload!N281&amp;"*",CAT_Procesos!D:D,1,FALSE),"")))),_xlpm.cantidad,ROWS(_xlpm.resultados),IF(ISERROR(_xlpm.cantidad),"Combinación no existente",IF(_xlpm.cantidad=1,INDEX(_xlpm.resultados,1),"(seleccione)")))</f>
        <v>Combinación no existente</v>
      </c>
      <c r="V281" s="55" t="s">
        <v>73</v>
      </c>
      <c r="W281" s="56" t="s">
        <v>73</v>
      </c>
      <c r="X281" s="57" t="str">
        <f t="shared" si="16"/>
        <v/>
      </c>
      <c r="Y281" s="58" t="s">
        <v>73</v>
      </c>
      <c r="Z281" s="57" t="str">
        <f t="shared" si="17"/>
        <v/>
      </c>
      <c r="AA281" s="58" t="s">
        <v>73</v>
      </c>
      <c r="AB281" s="57" t="str">
        <f t="shared" si="18"/>
        <v/>
      </c>
      <c r="AC281" s="58" t="s">
        <v>73</v>
      </c>
      <c r="AD281" s="57" t="str">
        <f t="shared" si="19"/>
        <v/>
      </c>
      <c r="AE281" s="59"/>
      <c r="AF281" s="59"/>
      <c r="AG281" s="59"/>
      <c r="AH281" s="59"/>
      <c r="AI281" s="59" t="s">
        <v>73</v>
      </c>
      <c r="AJ281" s="59"/>
      <c r="AK281" s="59" t="s">
        <v>73</v>
      </c>
      <c r="AL281" s="59"/>
      <c r="AM281" s="59" t="s">
        <v>73</v>
      </c>
      <c r="AN281" s="59"/>
      <c r="AO281" s="59" t="s">
        <v>73</v>
      </c>
      <c r="AP281" s="59"/>
      <c r="AQ281" s="59" t="s">
        <v>73</v>
      </c>
      <c r="AR281" s="59"/>
      <c r="AS281" s="59" t="s">
        <v>72</v>
      </c>
      <c r="AT281" s="59"/>
      <c r="AU281" s="59"/>
      <c r="AV281" s="59"/>
      <c r="AW281" s="59"/>
      <c r="AX281" s="59"/>
      <c r="AY281" s="60" t="str">
        <f>IF('Cálculo MP'!K291="","",'Cálculo MP'!K291)</f>
        <v/>
      </c>
      <c r="AZ281" s="60" t="str">
        <f>IF('Cálculo MP'!L291="","",'Cálculo MP'!L291)</f>
        <v/>
      </c>
      <c r="BA281" s="60" t="str">
        <f>IF('Cálculo MP'!M291="","",'Cálculo MP'!M291)</f>
        <v/>
      </c>
      <c r="BB281" s="60" t="str">
        <f>IF('Cálculo MP'!N291="","",'Cálculo MP'!N291)</f>
        <v/>
      </c>
      <c r="BC281" s="60" t="str">
        <f>IF('Cálculo MP'!O291="","",'Cálculo MP'!O291)</f>
        <v/>
      </c>
      <c r="BD281" s="60" t="str">
        <f>IF('Cálculo MP'!P291="","",'Cálculo MP'!P291)</f>
        <v/>
      </c>
      <c r="BE281" s="60" t="str">
        <f>IF('Cálculo MP'!Q291="","",'Cálculo MP'!Q291)</f>
        <v/>
      </c>
      <c r="BF281" s="60" t="str">
        <f>IF('Cálculo MP'!R291="","",'Cálculo MP'!R291)</f>
        <v/>
      </c>
      <c r="BG281" s="60" t="str">
        <f>IF('Cálculo MP'!S291="","",'Cálculo MP'!S291)</f>
        <v/>
      </c>
      <c r="BH281" s="59"/>
      <c r="BI281" s="59"/>
      <c r="BJ281" s="59"/>
      <c r="BK281" s="59"/>
      <c r="BL281" s="59"/>
      <c r="BM281" s="59"/>
      <c r="BN281" s="59"/>
      <c r="BO281" s="59"/>
    </row>
    <row r="282" spans="1:67" ht="19.5" customHeight="1" x14ac:dyDescent="0.2">
      <c r="A282" s="114" t="s">
        <v>1789</v>
      </c>
      <c r="B282" s="113" t="s">
        <v>1787</v>
      </c>
      <c r="C282" s="122"/>
      <c r="D282" s="48" t="s">
        <v>73</v>
      </c>
      <c r="E282" s="49"/>
      <c r="F282" s="50"/>
      <c r="G282" s="62"/>
      <c r="H282" s="48" t="s">
        <v>72</v>
      </c>
      <c r="I282" s="52">
        <v>1</v>
      </c>
      <c r="J282" s="52"/>
      <c r="K282" s="52" t="s">
        <v>73</v>
      </c>
      <c r="L282" s="52" t="s">
        <v>74</v>
      </c>
      <c r="M282" s="53" t="s">
        <v>917</v>
      </c>
      <c r="N282" s="58" t="s">
        <v>73</v>
      </c>
      <c r="O282" s="48" t="s">
        <v>72</v>
      </c>
      <c r="P282" s="48" t="s">
        <v>73</v>
      </c>
      <c r="Q282" s="54" t="s">
        <v>73</v>
      </c>
      <c r="R282" s="55" t="s">
        <v>73</v>
      </c>
      <c r="S282" s="48" t="s">
        <v>73</v>
      </c>
      <c r="T282" s="121" t="str" cm="1">
        <f t="array" ref="T282">IF(ISNUMBER(SEARCH("SCHNEIDER",D282)),_xlfn.IFS(ISNUMBER(SEARCH("2 Querétaro",D282)),"SQ2",ISNUMBER(SEARCH("Xicohténcatl",D282)),"SXC",ISNUMBER(SEARCH("Rojo Gómez",D282)),"SRG",ISNUMBER(SEARCH("Tlaxcala",D282)),"STX",ISNUMBER(SEARCH("Monterrey",D282)),"SMY",ISNUMBER(SEARCH("Querétaro",D282)),"SQ1",ISNUMBER(SEARCH("CDMX",D282)),"SCM",TRUE,""),"")</f>
        <v/>
      </c>
      <c r="U282" s="48" t="str" cm="1">
        <f t="array" ref="U282">_xlfn.LET(_xlpm.resultados,_xlfn.UNIQUE(_xlfn._xlws.FILTER(Tabla1[Proceso],(Tabla1[Metal Base]=O282)*(Tabla1[Etiquetas]=_xlfn.TEXTJOIN(" + ",TRUE,IF((TRIM(Upload!P282:S282)="")+(LOWER(TRIM(Upload!P282:S282))="(seleccione)"),"",PROPER(TRIM(Upload!P282:S282)))))*(Tabla1[Línea2]=IFERROR(VLOOKUP(Upload!N282&amp;"*",CAT_Procesos!D:D,1,FALSE),"")))),_xlpm.cantidad,ROWS(_xlpm.resultados),IF(ISERROR(_xlpm.cantidad),"Combinación no existente",IF(_xlpm.cantidad=1,INDEX(_xlpm.resultados,1),"(seleccione)")))</f>
        <v>Combinación no existente</v>
      </c>
      <c r="V282" s="55" t="s">
        <v>73</v>
      </c>
      <c r="W282" s="56" t="s">
        <v>73</v>
      </c>
      <c r="X282" s="57" t="str">
        <f t="shared" si="16"/>
        <v/>
      </c>
      <c r="Y282" s="58" t="s">
        <v>73</v>
      </c>
      <c r="Z282" s="57" t="str">
        <f t="shared" si="17"/>
        <v/>
      </c>
      <c r="AA282" s="58" t="s">
        <v>73</v>
      </c>
      <c r="AB282" s="57" t="str">
        <f t="shared" si="18"/>
        <v/>
      </c>
      <c r="AC282" s="58" t="s">
        <v>73</v>
      </c>
      <c r="AD282" s="57" t="str">
        <f t="shared" si="19"/>
        <v/>
      </c>
      <c r="AE282" s="59"/>
      <c r="AF282" s="59"/>
      <c r="AG282" s="59"/>
      <c r="AH282" s="59"/>
      <c r="AI282" s="59" t="s">
        <v>73</v>
      </c>
      <c r="AJ282" s="59"/>
      <c r="AK282" s="59" t="s">
        <v>73</v>
      </c>
      <c r="AL282" s="59"/>
      <c r="AM282" s="59" t="s">
        <v>73</v>
      </c>
      <c r="AN282" s="59"/>
      <c r="AO282" s="59" t="s">
        <v>73</v>
      </c>
      <c r="AP282" s="59"/>
      <c r="AQ282" s="59" t="s">
        <v>73</v>
      </c>
      <c r="AR282" s="59"/>
      <c r="AS282" s="59" t="s">
        <v>72</v>
      </c>
      <c r="AT282" s="59"/>
      <c r="AU282" s="59"/>
      <c r="AV282" s="59"/>
      <c r="AW282" s="59"/>
      <c r="AX282" s="59"/>
      <c r="AY282" s="60" t="str">
        <f>IF('Cálculo MP'!K292="","",'Cálculo MP'!K292)</f>
        <v/>
      </c>
      <c r="AZ282" s="60" t="str">
        <f>IF('Cálculo MP'!L292="","",'Cálculo MP'!L292)</f>
        <v/>
      </c>
      <c r="BA282" s="60" t="str">
        <f>IF('Cálculo MP'!M292="","",'Cálculo MP'!M292)</f>
        <v/>
      </c>
      <c r="BB282" s="60" t="str">
        <f>IF('Cálculo MP'!N292="","",'Cálculo MP'!N292)</f>
        <v/>
      </c>
      <c r="BC282" s="60" t="str">
        <f>IF('Cálculo MP'!O292="","",'Cálculo MP'!O292)</f>
        <v/>
      </c>
      <c r="BD282" s="60" t="str">
        <f>IF('Cálculo MP'!P292="","",'Cálculo MP'!P292)</f>
        <v/>
      </c>
      <c r="BE282" s="60" t="str">
        <f>IF('Cálculo MP'!Q292="","",'Cálculo MP'!Q292)</f>
        <v/>
      </c>
      <c r="BF282" s="60" t="str">
        <f>IF('Cálculo MP'!R292="","",'Cálculo MP'!R292)</f>
        <v/>
      </c>
      <c r="BG282" s="60" t="str">
        <f>IF('Cálculo MP'!S292="","",'Cálculo MP'!S292)</f>
        <v/>
      </c>
      <c r="BH282" s="59"/>
      <c r="BI282" s="59"/>
      <c r="BJ282" s="59"/>
      <c r="BK282" s="59"/>
      <c r="BL282" s="59"/>
      <c r="BM282" s="59"/>
      <c r="BN282" s="59"/>
      <c r="BO282" s="59"/>
    </row>
    <row r="283" spans="1:67" ht="19.5" customHeight="1" x14ac:dyDescent="0.2">
      <c r="A283" s="114" t="s">
        <v>1789</v>
      </c>
      <c r="B283" s="113" t="s">
        <v>1787</v>
      </c>
      <c r="C283" s="122"/>
      <c r="D283" s="48" t="s">
        <v>73</v>
      </c>
      <c r="E283" s="49"/>
      <c r="F283" s="50"/>
      <c r="G283" s="62"/>
      <c r="H283" s="48" t="s">
        <v>72</v>
      </c>
      <c r="I283" s="52">
        <v>1</v>
      </c>
      <c r="J283" s="52"/>
      <c r="K283" s="52" t="s">
        <v>73</v>
      </c>
      <c r="L283" s="52" t="s">
        <v>74</v>
      </c>
      <c r="M283" s="53" t="s">
        <v>917</v>
      </c>
      <c r="N283" s="58" t="s">
        <v>73</v>
      </c>
      <c r="O283" s="48" t="s">
        <v>72</v>
      </c>
      <c r="P283" s="48" t="s">
        <v>73</v>
      </c>
      <c r="Q283" s="54" t="s">
        <v>73</v>
      </c>
      <c r="R283" s="55" t="s">
        <v>73</v>
      </c>
      <c r="S283" s="48" t="s">
        <v>73</v>
      </c>
      <c r="T283" s="121" t="str" cm="1">
        <f t="array" ref="T283">IF(ISNUMBER(SEARCH("SCHNEIDER",D283)),_xlfn.IFS(ISNUMBER(SEARCH("2 Querétaro",D283)),"SQ2",ISNUMBER(SEARCH("Xicohténcatl",D283)),"SXC",ISNUMBER(SEARCH("Rojo Gómez",D283)),"SRG",ISNUMBER(SEARCH("Tlaxcala",D283)),"STX",ISNUMBER(SEARCH("Monterrey",D283)),"SMY",ISNUMBER(SEARCH("Querétaro",D283)),"SQ1",ISNUMBER(SEARCH("CDMX",D283)),"SCM",TRUE,""),"")</f>
        <v/>
      </c>
      <c r="U283" s="48" t="str" cm="1">
        <f t="array" ref="U283">_xlfn.LET(_xlpm.resultados,_xlfn.UNIQUE(_xlfn._xlws.FILTER(Tabla1[Proceso],(Tabla1[Metal Base]=O283)*(Tabla1[Etiquetas]=_xlfn.TEXTJOIN(" + ",TRUE,IF((TRIM(Upload!P283:S283)="")+(LOWER(TRIM(Upload!P283:S283))="(seleccione)"),"",PROPER(TRIM(Upload!P283:S283)))))*(Tabla1[Línea2]=IFERROR(VLOOKUP(Upload!N283&amp;"*",CAT_Procesos!D:D,1,FALSE),"")))),_xlpm.cantidad,ROWS(_xlpm.resultados),IF(ISERROR(_xlpm.cantidad),"Combinación no existente",IF(_xlpm.cantidad=1,INDEX(_xlpm.resultados,1),"(seleccione)")))</f>
        <v>Combinación no existente</v>
      </c>
      <c r="V283" s="55" t="s">
        <v>73</v>
      </c>
      <c r="W283" s="56" t="s">
        <v>73</v>
      </c>
      <c r="X283" s="57" t="str">
        <f t="shared" si="16"/>
        <v/>
      </c>
      <c r="Y283" s="58" t="s">
        <v>73</v>
      </c>
      <c r="Z283" s="57" t="str">
        <f t="shared" si="17"/>
        <v/>
      </c>
      <c r="AA283" s="58" t="s">
        <v>73</v>
      </c>
      <c r="AB283" s="57" t="str">
        <f t="shared" si="18"/>
        <v/>
      </c>
      <c r="AC283" s="58" t="s">
        <v>73</v>
      </c>
      <c r="AD283" s="57" t="str">
        <f t="shared" si="19"/>
        <v/>
      </c>
      <c r="AE283" s="59"/>
      <c r="AF283" s="59"/>
      <c r="AG283" s="59"/>
      <c r="AH283" s="59"/>
      <c r="AI283" s="59" t="s">
        <v>73</v>
      </c>
      <c r="AJ283" s="59"/>
      <c r="AK283" s="59" t="s">
        <v>73</v>
      </c>
      <c r="AL283" s="59"/>
      <c r="AM283" s="59" t="s">
        <v>73</v>
      </c>
      <c r="AN283" s="59"/>
      <c r="AO283" s="59" t="s">
        <v>73</v>
      </c>
      <c r="AP283" s="59"/>
      <c r="AQ283" s="59" t="s">
        <v>73</v>
      </c>
      <c r="AR283" s="59"/>
      <c r="AS283" s="59" t="s">
        <v>72</v>
      </c>
      <c r="AT283" s="59"/>
      <c r="AU283" s="59"/>
      <c r="AV283" s="59"/>
      <c r="AW283" s="59"/>
      <c r="AX283" s="59"/>
      <c r="AY283" s="60" t="str">
        <f>IF('Cálculo MP'!K293="","",'Cálculo MP'!K293)</f>
        <v/>
      </c>
      <c r="AZ283" s="60" t="str">
        <f>IF('Cálculo MP'!L293="","",'Cálculo MP'!L293)</f>
        <v/>
      </c>
      <c r="BA283" s="60" t="str">
        <f>IF('Cálculo MP'!M293="","",'Cálculo MP'!M293)</f>
        <v/>
      </c>
      <c r="BB283" s="60" t="str">
        <f>IF('Cálculo MP'!N293="","",'Cálculo MP'!N293)</f>
        <v/>
      </c>
      <c r="BC283" s="60" t="str">
        <f>IF('Cálculo MP'!O293="","",'Cálculo MP'!O293)</f>
        <v/>
      </c>
      <c r="BD283" s="60" t="str">
        <f>IF('Cálculo MP'!P293="","",'Cálculo MP'!P293)</f>
        <v/>
      </c>
      <c r="BE283" s="60" t="str">
        <f>IF('Cálculo MP'!Q293="","",'Cálculo MP'!Q293)</f>
        <v/>
      </c>
      <c r="BF283" s="60" t="str">
        <f>IF('Cálculo MP'!R293="","",'Cálculo MP'!R293)</f>
        <v/>
      </c>
      <c r="BG283" s="60" t="str">
        <f>IF('Cálculo MP'!S293="","",'Cálculo MP'!S293)</f>
        <v/>
      </c>
      <c r="BH283" s="59"/>
      <c r="BI283" s="59"/>
      <c r="BJ283" s="59"/>
      <c r="BK283" s="59"/>
      <c r="BL283" s="59"/>
      <c r="BM283" s="59"/>
      <c r="BN283" s="59"/>
      <c r="BO283" s="59"/>
    </row>
    <row r="284" spans="1:67" ht="19.5" customHeight="1" x14ac:dyDescent="0.2">
      <c r="A284" s="114" t="s">
        <v>1789</v>
      </c>
      <c r="B284" s="113" t="s">
        <v>1787</v>
      </c>
      <c r="C284" s="122"/>
      <c r="D284" s="48" t="s">
        <v>73</v>
      </c>
      <c r="E284" s="49"/>
      <c r="F284" s="50"/>
      <c r="G284" s="62"/>
      <c r="H284" s="48" t="s">
        <v>72</v>
      </c>
      <c r="I284" s="52">
        <v>1</v>
      </c>
      <c r="J284" s="52"/>
      <c r="K284" s="52" t="s">
        <v>73</v>
      </c>
      <c r="L284" s="52" t="s">
        <v>74</v>
      </c>
      <c r="M284" s="53" t="s">
        <v>917</v>
      </c>
      <c r="N284" s="58" t="s">
        <v>73</v>
      </c>
      <c r="O284" s="48" t="s">
        <v>72</v>
      </c>
      <c r="P284" s="48" t="s">
        <v>73</v>
      </c>
      <c r="Q284" s="54" t="s">
        <v>73</v>
      </c>
      <c r="R284" s="55" t="s">
        <v>73</v>
      </c>
      <c r="S284" s="48" t="s">
        <v>73</v>
      </c>
      <c r="T284" s="121" t="str" cm="1">
        <f t="array" ref="T284">IF(ISNUMBER(SEARCH("SCHNEIDER",D284)),_xlfn.IFS(ISNUMBER(SEARCH("2 Querétaro",D284)),"SQ2",ISNUMBER(SEARCH("Xicohténcatl",D284)),"SXC",ISNUMBER(SEARCH("Rojo Gómez",D284)),"SRG",ISNUMBER(SEARCH("Tlaxcala",D284)),"STX",ISNUMBER(SEARCH("Monterrey",D284)),"SMY",ISNUMBER(SEARCH("Querétaro",D284)),"SQ1",ISNUMBER(SEARCH("CDMX",D284)),"SCM",TRUE,""),"")</f>
        <v/>
      </c>
      <c r="U284" s="48" t="str" cm="1">
        <f t="array" ref="U284">_xlfn.LET(_xlpm.resultados,_xlfn.UNIQUE(_xlfn._xlws.FILTER(Tabla1[Proceso],(Tabla1[Metal Base]=O284)*(Tabla1[Etiquetas]=_xlfn.TEXTJOIN(" + ",TRUE,IF((TRIM(Upload!P284:S284)="")+(LOWER(TRIM(Upload!P284:S284))="(seleccione)"),"",PROPER(TRIM(Upload!P284:S284)))))*(Tabla1[Línea2]=IFERROR(VLOOKUP(Upload!N284&amp;"*",CAT_Procesos!D:D,1,FALSE),"")))),_xlpm.cantidad,ROWS(_xlpm.resultados),IF(ISERROR(_xlpm.cantidad),"Combinación no existente",IF(_xlpm.cantidad=1,INDEX(_xlpm.resultados,1),"(seleccione)")))</f>
        <v>Combinación no existente</v>
      </c>
      <c r="V284" s="55" t="s">
        <v>73</v>
      </c>
      <c r="W284" s="56" t="s">
        <v>73</v>
      </c>
      <c r="X284" s="57" t="str">
        <f t="shared" si="16"/>
        <v/>
      </c>
      <c r="Y284" s="58" t="s">
        <v>73</v>
      </c>
      <c r="Z284" s="57" t="str">
        <f t="shared" si="17"/>
        <v/>
      </c>
      <c r="AA284" s="58" t="s">
        <v>73</v>
      </c>
      <c r="AB284" s="57" t="str">
        <f t="shared" si="18"/>
        <v/>
      </c>
      <c r="AC284" s="58" t="s">
        <v>73</v>
      </c>
      <c r="AD284" s="57" t="str">
        <f t="shared" si="19"/>
        <v/>
      </c>
      <c r="AE284" s="59"/>
      <c r="AF284" s="59"/>
      <c r="AG284" s="59"/>
      <c r="AH284" s="59"/>
      <c r="AI284" s="59" t="s">
        <v>73</v>
      </c>
      <c r="AJ284" s="59"/>
      <c r="AK284" s="59" t="s">
        <v>73</v>
      </c>
      <c r="AL284" s="59"/>
      <c r="AM284" s="59" t="s">
        <v>73</v>
      </c>
      <c r="AN284" s="59"/>
      <c r="AO284" s="59" t="s">
        <v>73</v>
      </c>
      <c r="AP284" s="59"/>
      <c r="AQ284" s="59" t="s">
        <v>73</v>
      </c>
      <c r="AR284" s="59"/>
      <c r="AS284" s="59" t="s">
        <v>72</v>
      </c>
      <c r="AT284" s="59"/>
      <c r="AU284" s="59"/>
      <c r="AV284" s="59"/>
      <c r="AW284" s="59"/>
      <c r="AX284" s="59"/>
      <c r="AY284" s="60" t="str">
        <f>IF('Cálculo MP'!K294="","",'Cálculo MP'!K294)</f>
        <v/>
      </c>
      <c r="AZ284" s="60" t="str">
        <f>IF('Cálculo MP'!L294="","",'Cálculo MP'!L294)</f>
        <v/>
      </c>
      <c r="BA284" s="60" t="str">
        <f>IF('Cálculo MP'!M294="","",'Cálculo MP'!M294)</f>
        <v/>
      </c>
      <c r="BB284" s="60" t="str">
        <f>IF('Cálculo MP'!N294="","",'Cálculo MP'!N294)</f>
        <v/>
      </c>
      <c r="BC284" s="60" t="str">
        <f>IF('Cálculo MP'!O294="","",'Cálculo MP'!O294)</f>
        <v/>
      </c>
      <c r="BD284" s="60" t="str">
        <f>IF('Cálculo MP'!P294="","",'Cálculo MP'!P294)</f>
        <v/>
      </c>
      <c r="BE284" s="60" t="str">
        <f>IF('Cálculo MP'!Q294="","",'Cálculo MP'!Q294)</f>
        <v/>
      </c>
      <c r="BF284" s="60" t="str">
        <f>IF('Cálculo MP'!R294="","",'Cálculo MP'!R294)</f>
        <v/>
      </c>
      <c r="BG284" s="60" t="str">
        <f>IF('Cálculo MP'!S294="","",'Cálculo MP'!S294)</f>
        <v/>
      </c>
      <c r="BH284" s="59"/>
      <c r="BI284" s="59"/>
      <c r="BJ284" s="59"/>
      <c r="BK284" s="59"/>
      <c r="BL284" s="59"/>
      <c r="BM284" s="59"/>
      <c r="BN284" s="59"/>
      <c r="BO284" s="59"/>
    </row>
    <row r="285" spans="1:67" ht="19.5" customHeight="1" x14ac:dyDescent="0.2">
      <c r="A285" s="114" t="s">
        <v>1789</v>
      </c>
      <c r="B285" s="113" t="s">
        <v>1787</v>
      </c>
      <c r="C285" s="122"/>
      <c r="D285" s="48" t="s">
        <v>73</v>
      </c>
      <c r="E285" s="49"/>
      <c r="F285" s="50"/>
      <c r="G285" s="62"/>
      <c r="H285" s="48" t="s">
        <v>72</v>
      </c>
      <c r="I285" s="52">
        <v>1</v>
      </c>
      <c r="J285" s="52"/>
      <c r="K285" s="52" t="s">
        <v>73</v>
      </c>
      <c r="L285" s="52" t="s">
        <v>74</v>
      </c>
      <c r="M285" s="53" t="s">
        <v>917</v>
      </c>
      <c r="N285" s="58" t="s">
        <v>73</v>
      </c>
      <c r="O285" s="48" t="s">
        <v>72</v>
      </c>
      <c r="P285" s="48" t="s">
        <v>73</v>
      </c>
      <c r="Q285" s="54" t="s">
        <v>73</v>
      </c>
      <c r="R285" s="55" t="s">
        <v>73</v>
      </c>
      <c r="S285" s="48" t="s">
        <v>73</v>
      </c>
      <c r="T285" s="121" t="str" cm="1">
        <f t="array" ref="T285">IF(ISNUMBER(SEARCH("SCHNEIDER",D285)),_xlfn.IFS(ISNUMBER(SEARCH("2 Querétaro",D285)),"SQ2",ISNUMBER(SEARCH("Xicohténcatl",D285)),"SXC",ISNUMBER(SEARCH("Rojo Gómez",D285)),"SRG",ISNUMBER(SEARCH("Tlaxcala",D285)),"STX",ISNUMBER(SEARCH("Monterrey",D285)),"SMY",ISNUMBER(SEARCH("Querétaro",D285)),"SQ1",ISNUMBER(SEARCH("CDMX",D285)),"SCM",TRUE,""),"")</f>
        <v/>
      </c>
      <c r="U285" s="48" t="str" cm="1">
        <f t="array" ref="U285">_xlfn.LET(_xlpm.resultados,_xlfn.UNIQUE(_xlfn._xlws.FILTER(Tabla1[Proceso],(Tabla1[Metal Base]=O285)*(Tabla1[Etiquetas]=_xlfn.TEXTJOIN(" + ",TRUE,IF((TRIM(Upload!P285:S285)="")+(LOWER(TRIM(Upload!P285:S285))="(seleccione)"),"",PROPER(TRIM(Upload!P285:S285)))))*(Tabla1[Línea2]=IFERROR(VLOOKUP(Upload!N285&amp;"*",CAT_Procesos!D:D,1,FALSE),"")))),_xlpm.cantidad,ROWS(_xlpm.resultados),IF(ISERROR(_xlpm.cantidad),"Combinación no existente",IF(_xlpm.cantidad=1,INDEX(_xlpm.resultados,1),"(seleccione)")))</f>
        <v>Combinación no existente</v>
      </c>
      <c r="V285" s="55" t="s">
        <v>73</v>
      </c>
      <c r="W285" s="56" t="s">
        <v>73</v>
      </c>
      <c r="X285" s="57" t="str">
        <f t="shared" si="16"/>
        <v/>
      </c>
      <c r="Y285" s="58" t="s">
        <v>73</v>
      </c>
      <c r="Z285" s="57" t="str">
        <f t="shared" si="17"/>
        <v/>
      </c>
      <c r="AA285" s="58" t="s">
        <v>73</v>
      </c>
      <c r="AB285" s="57" t="str">
        <f t="shared" si="18"/>
        <v/>
      </c>
      <c r="AC285" s="58" t="s">
        <v>73</v>
      </c>
      <c r="AD285" s="57" t="str">
        <f t="shared" si="19"/>
        <v/>
      </c>
      <c r="AE285" s="59"/>
      <c r="AF285" s="59"/>
      <c r="AG285" s="59"/>
      <c r="AH285" s="59"/>
      <c r="AI285" s="59" t="s">
        <v>73</v>
      </c>
      <c r="AJ285" s="59"/>
      <c r="AK285" s="59" t="s">
        <v>73</v>
      </c>
      <c r="AL285" s="59"/>
      <c r="AM285" s="59" t="s">
        <v>73</v>
      </c>
      <c r="AN285" s="59"/>
      <c r="AO285" s="59" t="s">
        <v>73</v>
      </c>
      <c r="AP285" s="59"/>
      <c r="AQ285" s="59" t="s">
        <v>73</v>
      </c>
      <c r="AR285" s="59"/>
      <c r="AS285" s="59" t="s">
        <v>72</v>
      </c>
      <c r="AT285" s="59"/>
      <c r="AU285" s="59"/>
      <c r="AV285" s="59"/>
      <c r="AW285" s="59"/>
      <c r="AX285" s="59"/>
      <c r="AY285" s="60" t="str">
        <f>IF('Cálculo MP'!K295="","",'Cálculo MP'!K295)</f>
        <v/>
      </c>
      <c r="AZ285" s="60" t="str">
        <f>IF('Cálculo MP'!L295="","",'Cálculo MP'!L295)</f>
        <v/>
      </c>
      <c r="BA285" s="60" t="str">
        <f>IF('Cálculo MP'!M295="","",'Cálculo MP'!M295)</f>
        <v/>
      </c>
      <c r="BB285" s="60" t="str">
        <f>IF('Cálculo MP'!N295="","",'Cálculo MP'!N295)</f>
        <v/>
      </c>
      <c r="BC285" s="60" t="str">
        <f>IF('Cálculo MP'!O295="","",'Cálculo MP'!O295)</f>
        <v/>
      </c>
      <c r="BD285" s="60" t="str">
        <f>IF('Cálculo MP'!P295="","",'Cálculo MP'!P295)</f>
        <v/>
      </c>
      <c r="BE285" s="60" t="str">
        <f>IF('Cálculo MP'!Q295="","",'Cálculo MP'!Q295)</f>
        <v/>
      </c>
      <c r="BF285" s="60" t="str">
        <f>IF('Cálculo MP'!R295="","",'Cálculo MP'!R295)</f>
        <v/>
      </c>
      <c r="BG285" s="60" t="str">
        <f>IF('Cálculo MP'!S295="","",'Cálculo MP'!S295)</f>
        <v/>
      </c>
      <c r="BH285" s="59"/>
      <c r="BI285" s="59"/>
      <c r="BJ285" s="59"/>
      <c r="BK285" s="59"/>
      <c r="BL285" s="59"/>
      <c r="BM285" s="59"/>
      <c r="BN285" s="59"/>
      <c r="BO285" s="59"/>
    </row>
    <row r="286" spans="1:67" ht="19.5" customHeight="1" x14ac:dyDescent="0.2">
      <c r="A286" s="114" t="s">
        <v>1789</v>
      </c>
      <c r="B286" s="113" t="s">
        <v>1787</v>
      </c>
      <c r="C286" s="122"/>
      <c r="D286" s="48" t="s">
        <v>73</v>
      </c>
      <c r="E286" s="49"/>
      <c r="F286" s="50"/>
      <c r="G286" s="62"/>
      <c r="H286" s="48" t="s">
        <v>72</v>
      </c>
      <c r="I286" s="52">
        <v>1</v>
      </c>
      <c r="J286" s="52"/>
      <c r="K286" s="52" t="s">
        <v>73</v>
      </c>
      <c r="L286" s="52" t="s">
        <v>74</v>
      </c>
      <c r="M286" s="53" t="s">
        <v>917</v>
      </c>
      <c r="N286" s="58" t="s">
        <v>73</v>
      </c>
      <c r="O286" s="48" t="s">
        <v>72</v>
      </c>
      <c r="P286" s="48" t="s">
        <v>73</v>
      </c>
      <c r="Q286" s="54" t="s">
        <v>73</v>
      </c>
      <c r="R286" s="55" t="s">
        <v>73</v>
      </c>
      <c r="S286" s="48" t="s">
        <v>73</v>
      </c>
      <c r="T286" s="121" t="str" cm="1">
        <f t="array" ref="T286">IF(ISNUMBER(SEARCH("SCHNEIDER",D286)),_xlfn.IFS(ISNUMBER(SEARCH("2 Querétaro",D286)),"SQ2",ISNUMBER(SEARCH("Xicohténcatl",D286)),"SXC",ISNUMBER(SEARCH("Rojo Gómez",D286)),"SRG",ISNUMBER(SEARCH("Tlaxcala",D286)),"STX",ISNUMBER(SEARCH("Monterrey",D286)),"SMY",ISNUMBER(SEARCH("Querétaro",D286)),"SQ1",ISNUMBER(SEARCH("CDMX",D286)),"SCM",TRUE,""),"")</f>
        <v/>
      </c>
      <c r="U286" s="48" t="str" cm="1">
        <f t="array" ref="U286">_xlfn.LET(_xlpm.resultados,_xlfn.UNIQUE(_xlfn._xlws.FILTER(Tabla1[Proceso],(Tabla1[Metal Base]=O286)*(Tabla1[Etiquetas]=_xlfn.TEXTJOIN(" + ",TRUE,IF((TRIM(Upload!P286:S286)="")+(LOWER(TRIM(Upload!P286:S286))="(seleccione)"),"",PROPER(TRIM(Upload!P286:S286)))))*(Tabla1[Línea2]=IFERROR(VLOOKUP(Upload!N286&amp;"*",CAT_Procesos!D:D,1,FALSE),"")))),_xlpm.cantidad,ROWS(_xlpm.resultados),IF(ISERROR(_xlpm.cantidad),"Combinación no existente",IF(_xlpm.cantidad=1,INDEX(_xlpm.resultados,1),"(seleccione)")))</f>
        <v>Combinación no existente</v>
      </c>
      <c r="V286" s="55" t="s">
        <v>73</v>
      </c>
      <c r="W286" s="56" t="s">
        <v>73</v>
      </c>
      <c r="X286" s="57" t="str">
        <f t="shared" si="16"/>
        <v/>
      </c>
      <c r="Y286" s="58" t="s">
        <v>73</v>
      </c>
      <c r="Z286" s="57" t="str">
        <f t="shared" si="17"/>
        <v/>
      </c>
      <c r="AA286" s="58" t="s">
        <v>73</v>
      </c>
      <c r="AB286" s="57" t="str">
        <f t="shared" si="18"/>
        <v/>
      </c>
      <c r="AC286" s="58" t="s">
        <v>73</v>
      </c>
      <c r="AD286" s="57" t="str">
        <f t="shared" si="19"/>
        <v/>
      </c>
      <c r="AE286" s="59"/>
      <c r="AF286" s="59"/>
      <c r="AG286" s="59"/>
      <c r="AH286" s="59"/>
      <c r="AI286" s="59" t="s">
        <v>73</v>
      </c>
      <c r="AJ286" s="59"/>
      <c r="AK286" s="59" t="s">
        <v>73</v>
      </c>
      <c r="AL286" s="59"/>
      <c r="AM286" s="59" t="s">
        <v>73</v>
      </c>
      <c r="AN286" s="59"/>
      <c r="AO286" s="59" t="s">
        <v>73</v>
      </c>
      <c r="AP286" s="59"/>
      <c r="AQ286" s="59" t="s">
        <v>73</v>
      </c>
      <c r="AR286" s="59"/>
      <c r="AS286" s="59" t="s">
        <v>72</v>
      </c>
      <c r="AT286" s="59"/>
      <c r="AU286" s="59"/>
      <c r="AV286" s="59"/>
      <c r="AW286" s="59"/>
      <c r="AX286" s="59"/>
      <c r="AY286" s="60" t="str">
        <f>IF('Cálculo MP'!K296="","",'Cálculo MP'!K296)</f>
        <v/>
      </c>
      <c r="AZ286" s="60" t="str">
        <f>IF('Cálculo MP'!L296="","",'Cálculo MP'!L296)</f>
        <v/>
      </c>
      <c r="BA286" s="60" t="str">
        <f>IF('Cálculo MP'!M296="","",'Cálculo MP'!M296)</f>
        <v/>
      </c>
      <c r="BB286" s="60" t="str">
        <f>IF('Cálculo MP'!N296="","",'Cálculo MP'!N296)</f>
        <v/>
      </c>
      <c r="BC286" s="60" t="str">
        <f>IF('Cálculo MP'!O296="","",'Cálculo MP'!O296)</f>
        <v/>
      </c>
      <c r="BD286" s="60" t="str">
        <f>IF('Cálculo MP'!P296="","",'Cálculo MP'!P296)</f>
        <v/>
      </c>
      <c r="BE286" s="60" t="str">
        <f>IF('Cálculo MP'!Q296="","",'Cálculo MP'!Q296)</f>
        <v/>
      </c>
      <c r="BF286" s="60" t="str">
        <f>IF('Cálculo MP'!R296="","",'Cálculo MP'!R296)</f>
        <v/>
      </c>
      <c r="BG286" s="60" t="str">
        <f>IF('Cálculo MP'!S296="","",'Cálculo MP'!S296)</f>
        <v/>
      </c>
      <c r="BH286" s="59"/>
      <c r="BI286" s="59"/>
      <c r="BJ286" s="59"/>
      <c r="BK286" s="59"/>
      <c r="BL286" s="59"/>
      <c r="BM286" s="59"/>
      <c r="BN286" s="59"/>
      <c r="BO286" s="59"/>
    </row>
    <row r="287" spans="1:67" ht="19.5" customHeight="1" x14ac:dyDescent="0.2">
      <c r="A287" s="114" t="s">
        <v>1789</v>
      </c>
      <c r="B287" s="113" t="s">
        <v>1787</v>
      </c>
      <c r="C287" s="122"/>
      <c r="D287" s="48" t="s">
        <v>73</v>
      </c>
      <c r="E287" s="49"/>
      <c r="F287" s="50"/>
      <c r="G287" s="62"/>
      <c r="H287" s="48" t="s">
        <v>72</v>
      </c>
      <c r="I287" s="52">
        <v>1</v>
      </c>
      <c r="J287" s="52"/>
      <c r="K287" s="52" t="s">
        <v>73</v>
      </c>
      <c r="L287" s="52" t="s">
        <v>74</v>
      </c>
      <c r="M287" s="53" t="s">
        <v>917</v>
      </c>
      <c r="N287" s="58" t="s">
        <v>73</v>
      </c>
      <c r="O287" s="48" t="s">
        <v>72</v>
      </c>
      <c r="P287" s="48" t="s">
        <v>73</v>
      </c>
      <c r="Q287" s="54" t="s">
        <v>73</v>
      </c>
      <c r="R287" s="55" t="s">
        <v>73</v>
      </c>
      <c r="S287" s="48" t="s">
        <v>73</v>
      </c>
      <c r="T287" s="121" t="str" cm="1">
        <f t="array" ref="T287">IF(ISNUMBER(SEARCH("SCHNEIDER",D287)),_xlfn.IFS(ISNUMBER(SEARCH("2 Querétaro",D287)),"SQ2",ISNUMBER(SEARCH("Xicohténcatl",D287)),"SXC",ISNUMBER(SEARCH("Rojo Gómez",D287)),"SRG",ISNUMBER(SEARCH("Tlaxcala",D287)),"STX",ISNUMBER(SEARCH("Monterrey",D287)),"SMY",ISNUMBER(SEARCH("Querétaro",D287)),"SQ1",ISNUMBER(SEARCH("CDMX",D287)),"SCM",TRUE,""),"")</f>
        <v/>
      </c>
      <c r="U287" s="48" t="str" cm="1">
        <f t="array" ref="U287">_xlfn.LET(_xlpm.resultados,_xlfn.UNIQUE(_xlfn._xlws.FILTER(Tabla1[Proceso],(Tabla1[Metal Base]=O287)*(Tabla1[Etiquetas]=_xlfn.TEXTJOIN(" + ",TRUE,IF((TRIM(Upload!P287:S287)="")+(LOWER(TRIM(Upload!P287:S287))="(seleccione)"),"",PROPER(TRIM(Upload!P287:S287)))))*(Tabla1[Línea2]=IFERROR(VLOOKUP(Upload!N287&amp;"*",CAT_Procesos!D:D,1,FALSE),"")))),_xlpm.cantidad,ROWS(_xlpm.resultados),IF(ISERROR(_xlpm.cantidad),"Combinación no existente",IF(_xlpm.cantidad=1,INDEX(_xlpm.resultados,1),"(seleccione)")))</f>
        <v>Combinación no existente</v>
      </c>
      <c r="V287" s="55" t="s">
        <v>73</v>
      </c>
      <c r="W287" s="56" t="s">
        <v>73</v>
      </c>
      <c r="X287" s="57" t="str">
        <f t="shared" si="16"/>
        <v/>
      </c>
      <c r="Y287" s="58" t="s">
        <v>73</v>
      </c>
      <c r="Z287" s="57" t="str">
        <f t="shared" si="17"/>
        <v/>
      </c>
      <c r="AA287" s="58" t="s">
        <v>73</v>
      </c>
      <c r="AB287" s="57" t="str">
        <f t="shared" si="18"/>
        <v/>
      </c>
      <c r="AC287" s="58" t="s">
        <v>73</v>
      </c>
      <c r="AD287" s="57" t="str">
        <f t="shared" si="19"/>
        <v/>
      </c>
      <c r="AE287" s="59"/>
      <c r="AF287" s="59"/>
      <c r="AG287" s="59"/>
      <c r="AH287" s="59"/>
      <c r="AI287" s="59" t="s">
        <v>73</v>
      </c>
      <c r="AJ287" s="59"/>
      <c r="AK287" s="59" t="s">
        <v>73</v>
      </c>
      <c r="AL287" s="59"/>
      <c r="AM287" s="59" t="s">
        <v>73</v>
      </c>
      <c r="AN287" s="59"/>
      <c r="AO287" s="59" t="s">
        <v>73</v>
      </c>
      <c r="AP287" s="59"/>
      <c r="AQ287" s="59" t="s">
        <v>73</v>
      </c>
      <c r="AR287" s="59"/>
      <c r="AS287" s="59" t="s">
        <v>72</v>
      </c>
      <c r="AT287" s="59"/>
      <c r="AU287" s="59"/>
      <c r="AV287" s="59"/>
      <c r="AW287" s="59"/>
      <c r="AX287" s="59"/>
      <c r="AY287" s="60" t="str">
        <f>IF('Cálculo MP'!K297="","",'Cálculo MP'!K297)</f>
        <v/>
      </c>
      <c r="AZ287" s="60" t="str">
        <f>IF('Cálculo MP'!L297="","",'Cálculo MP'!L297)</f>
        <v/>
      </c>
      <c r="BA287" s="60" t="str">
        <f>IF('Cálculo MP'!M297="","",'Cálculo MP'!M297)</f>
        <v/>
      </c>
      <c r="BB287" s="60" t="str">
        <f>IF('Cálculo MP'!N297="","",'Cálculo MP'!N297)</f>
        <v/>
      </c>
      <c r="BC287" s="60" t="str">
        <f>IF('Cálculo MP'!O297="","",'Cálculo MP'!O297)</f>
        <v/>
      </c>
      <c r="BD287" s="60" t="str">
        <f>IF('Cálculo MP'!P297="","",'Cálculo MP'!P297)</f>
        <v/>
      </c>
      <c r="BE287" s="60" t="str">
        <f>IF('Cálculo MP'!Q297="","",'Cálculo MP'!Q297)</f>
        <v/>
      </c>
      <c r="BF287" s="60" t="str">
        <f>IF('Cálculo MP'!R297="","",'Cálculo MP'!R297)</f>
        <v/>
      </c>
      <c r="BG287" s="60" t="str">
        <f>IF('Cálculo MP'!S297="","",'Cálculo MP'!S297)</f>
        <v/>
      </c>
      <c r="BH287" s="59"/>
      <c r="BI287" s="59"/>
      <c r="BJ287" s="59"/>
      <c r="BK287" s="59"/>
      <c r="BL287" s="59"/>
      <c r="BM287" s="59"/>
      <c r="BN287" s="59"/>
      <c r="BO287" s="59"/>
    </row>
    <row r="288" spans="1:67" ht="19.5" customHeight="1" x14ac:dyDescent="0.2">
      <c r="A288" s="114" t="s">
        <v>1789</v>
      </c>
      <c r="B288" s="113" t="s">
        <v>1787</v>
      </c>
      <c r="C288" s="122"/>
      <c r="D288" s="48" t="s">
        <v>73</v>
      </c>
      <c r="E288" s="49"/>
      <c r="F288" s="50"/>
      <c r="G288" s="62"/>
      <c r="H288" s="48" t="s">
        <v>72</v>
      </c>
      <c r="I288" s="52">
        <v>1</v>
      </c>
      <c r="J288" s="52"/>
      <c r="K288" s="52" t="s">
        <v>73</v>
      </c>
      <c r="L288" s="52" t="s">
        <v>74</v>
      </c>
      <c r="M288" s="53" t="s">
        <v>917</v>
      </c>
      <c r="N288" s="58" t="s">
        <v>73</v>
      </c>
      <c r="O288" s="48" t="s">
        <v>72</v>
      </c>
      <c r="P288" s="48" t="s">
        <v>73</v>
      </c>
      <c r="Q288" s="54" t="s">
        <v>73</v>
      </c>
      <c r="R288" s="55" t="s">
        <v>73</v>
      </c>
      <c r="S288" s="48" t="s">
        <v>73</v>
      </c>
      <c r="T288" s="121" t="str" cm="1">
        <f t="array" ref="T288">IF(ISNUMBER(SEARCH("SCHNEIDER",D288)),_xlfn.IFS(ISNUMBER(SEARCH("2 Querétaro",D288)),"SQ2",ISNUMBER(SEARCH("Xicohténcatl",D288)),"SXC",ISNUMBER(SEARCH("Rojo Gómez",D288)),"SRG",ISNUMBER(SEARCH("Tlaxcala",D288)),"STX",ISNUMBER(SEARCH("Monterrey",D288)),"SMY",ISNUMBER(SEARCH("Querétaro",D288)),"SQ1",ISNUMBER(SEARCH("CDMX",D288)),"SCM",TRUE,""),"")</f>
        <v/>
      </c>
      <c r="U288" s="48" t="str" cm="1">
        <f t="array" ref="U288">_xlfn.LET(_xlpm.resultados,_xlfn.UNIQUE(_xlfn._xlws.FILTER(Tabla1[Proceso],(Tabla1[Metal Base]=O288)*(Tabla1[Etiquetas]=_xlfn.TEXTJOIN(" + ",TRUE,IF((TRIM(Upload!P288:S288)="")+(LOWER(TRIM(Upload!P288:S288))="(seleccione)"),"",PROPER(TRIM(Upload!P288:S288)))))*(Tabla1[Línea2]=IFERROR(VLOOKUP(Upload!N288&amp;"*",CAT_Procesos!D:D,1,FALSE),"")))),_xlpm.cantidad,ROWS(_xlpm.resultados),IF(ISERROR(_xlpm.cantidad),"Combinación no existente",IF(_xlpm.cantidad=1,INDEX(_xlpm.resultados,1),"(seleccione)")))</f>
        <v>Combinación no existente</v>
      </c>
      <c r="V288" s="55" t="s">
        <v>73</v>
      </c>
      <c r="W288" s="56" t="s">
        <v>73</v>
      </c>
      <c r="X288" s="57" t="str">
        <f t="shared" si="16"/>
        <v/>
      </c>
      <c r="Y288" s="58" t="s">
        <v>73</v>
      </c>
      <c r="Z288" s="57" t="str">
        <f t="shared" si="17"/>
        <v/>
      </c>
      <c r="AA288" s="58" t="s">
        <v>73</v>
      </c>
      <c r="AB288" s="57" t="str">
        <f t="shared" si="18"/>
        <v/>
      </c>
      <c r="AC288" s="58" t="s">
        <v>73</v>
      </c>
      <c r="AD288" s="57" t="str">
        <f t="shared" si="19"/>
        <v/>
      </c>
      <c r="AE288" s="59"/>
      <c r="AF288" s="59"/>
      <c r="AG288" s="59"/>
      <c r="AH288" s="59"/>
      <c r="AI288" s="59" t="s">
        <v>73</v>
      </c>
      <c r="AJ288" s="59"/>
      <c r="AK288" s="59" t="s">
        <v>73</v>
      </c>
      <c r="AL288" s="59"/>
      <c r="AM288" s="59" t="s">
        <v>73</v>
      </c>
      <c r="AN288" s="59"/>
      <c r="AO288" s="59" t="s">
        <v>73</v>
      </c>
      <c r="AP288" s="59"/>
      <c r="AQ288" s="59" t="s">
        <v>73</v>
      </c>
      <c r="AR288" s="59"/>
      <c r="AS288" s="59" t="s">
        <v>72</v>
      </c>
      <c r="AT288" s="59"/>
      <c r="AU288" s="59"/>
      <c r="AV288" s="59"/>
      <c r="AW288" s="59"/>
      <c r="AX288" s="59"/>
      <c r="AY288" s="60" t="str">
        <f>IF('Cálculo MP'!K298="","",'Cálculo MP'!K298)</f>
        <v/>
      </c>
      <c r="AZ288" s="60" t="str">
        <f>IF('Cálculo MP'!L298="","",'Cálculo MP'!L298)</f>
        <v/>
      </c>
      <c r="BA288" s="60" t="str">
        <f>IF('Cálculo MP'!M298="","",'Cálculo MP'!M298)</f>
        <v/>
      </c>
      <c r="BB288" s="60" t="str">
        <f>IF('Cálculo MP'!N298="","",'Cálculo MP'!N298)</f>
        <v/>
      </c>
      <c r="BC288" s="60" t="str">
        <f>IF('Cálculo MP'!O298="","",'Cálculo MP'!O298)</f>
        <v/>
      </c>
      <c r="BD288" s="60" t="str">
        <f>IF('Cálculo MP'!P298="","",'Cálculo MP'!P298)</f>
        <v/>
      </c>
      <c r="BE288" s="60" t="str">
        <f>IF('Cálculo MP'!Q298="","",'Cálculo MP'!Q298)</f>
        <v/>
      </c>
      <c r="BF288" s="60" t="str">
        <f>IF('Cálculo MP'!R298="","",'Cálculo MP'!R298)</f>
        <v/>
      </c>
      <c r="BG288" s="60" t="str">
        <f>IF('Cálculo MP'!S298="","",'Cálculo MP'!S298)</f>
        <v/>
      </c>
      <c r="BH288" s="59"/>
      <c r="BI288" s="59"/>
      <c r="BJ288" s="59"/>
      <c r="BK288" s="59"/>
      <c r="BL288" s="59"/>
      <c r="BM288" s="59"/>
      <c r="BN288" s="59"/>
      <c r="BO288" s="59"/>
    </row>
    <row r="289" spans="1:67" ht="19.5" customHeight="1" x14ac:dyDescent="0.2">
      <c r="A289" s="114" t="s">
        <v>1789</v>
      </c>
      <c r="B289" s="113" t="s">
        <v>1787</v>
      </c>
      <c r="C289" s="122"/>
      <c r="D289" s="48" t="s">
        <v>73</v>
      </c>
      <c r="E289" s="49"/>
      <c r="F289" s="50"/>
      <c r="G289" s="62"/>
      <c r="H289" s="48" t="s">
        <v>72</v>
      </c>
      <c r="I289" s="52">
        <v>1</v>
      </c>
      <c r="J289" s="52"/>
      <c r="K289" s="52" t="s">
        <v>73</v>
      </c>
      <c r="L289" s="52" t="s">
        <v>74</v>
      </c>
      <c r="M289" s="53" t="s">
        <v>917</v>
      </c>
      <c r="N289" s="58" t="s">
        <v>73</v>
      </c>
      <c r="O289" s="48" t="s">
        <v>72</v>
      </c>
      <c r="P289" s="48" t="s">
        <v>73</v>
      </c>
      <c r="Q289" s="54" t="s">
        <v>73</v>
      </c>
      <c r="R289" s="55" t="s">
        <v>73</v>
      </c>
      <c r="S289" s="48" t="s">
        <v>73</v>
      </c>
      <c r="T289" s="121" t="str" cm="1">
        <f t="array" ref="T289">IF(ISNUMBER(SEARCH("SCHNEIDER",D289)),_xlfn.IFS(ISNUMBER(SEARCH("2 Querétaro",D289)),"SQ2",ISNUMBER(SEARCH("Xicohténcatl",D289)),"SXC",ISNUMBER(SEARCH("Rojo Gómez",D289)),"SRG",ISNUMBER(SEARCH("Tlaxcala",D289)),"STX",ISNUMBER(SEARCH("Monterrey",D289)),"SMY",ISNUMBER(SEARCH("Querétaro",D289)),"SQ1",ISNUMBER(SEARCH("CDMX",D289)),"SCM",TRUE,""),"")</f>
        <v/>
      </c>
      <c r="U289" s="48" t="str" cm="1">
        <f t="array" ref="U289">_xlfn.LET(_xlpm.resultados,_xlfn.UNIQUE(_xlfn._xlws.FILTER(Tabla1[Proceso],(Tabla1[Metal Base]=O289)*(Tabla1[Etiquetas]=_xlfn.TEXTJOIN(" + ",TRUE,IF((TRIM(Upload!P289:S289)="")+(LOWER(TRIM(Upload!P289:S289))="(seleccione)"),"",PROPER(TRIM(Upload!P289:S289)))))*(Tabla1[Línea2]=IFERROR(VLOOKUP(Upload!N289&amp;"*",CAT_Procesos!D:D,1,FALSE),"")))),_xlpm.cantidad,ROWS(_xlpm.resultados),IF(ISERROR(_xlpm.cantidad),"Combinación no existente",IF(_xlpm.cantidad=1,INDEX(_xlpm.resultados,1),"(seleccione)")))</f>
        <v>Combinación no existente</v>
      </c>
      <c r="V289" s="55" t="s">
        <v>73</v>
      </c>
      <c r="W289" s="56" t="s">
        <v>73</v>
      </c>
      <c r="X289" s="57" t="str">
        <f t="shared" si="16"/>
        <v/>
      </c>
      <c r="Y289" s="58" t="s">
        <v>73</v>
      </c>
      <c r="Z289" s="57" t="str">
        <f t="shared" si="17"/>
        <v/>
      </c>
      <c r="AA289" s="58" t="s">
        <v>73</v>
      </c>
      <c r="AB289" s="57" t="str">
        <f t="shared" si="18"/>
        <v/>
      </c>
      <c r="AC289" s="58" t="s">
        <v>73</v>
      </c>
      <c r="AD289" s="57" t="str">
        <f t="shared" si="19"/>
        <v/>
      </c>
      <c r="AE289" s="59"/>
      <c r="AF289" s="59"/>
      <c r="AG289" s="59"/>
      <c r="AH289" s="59"/>
      <c r="AI289" s="59" t="s">
        <v>73</v>
      </c>
      <c r="AJ289" s="59"/>
      <c r="AK289" s="59" t="s">
        <v>73</v>
      </c>
      <c r="AL289" s="59"/>
      <c r="AM289" s="59" t="s">
        <v>73</v>
      </c>
      <c r="AN289" s="59"/>
      <c r="AO289" s="59" t="s">
        <v>73</v>
      </c>
      <c r="AP289" s="59"/>
      <c r="AQ289" s="59" t="s">
        <v>73</v>
      </c>
      <c r="AR289" s="59"/>
      <c r="AS289" s="59" t="s">
        <v>72</v>
      </c>
      <c r="AT289" s="59"/>
      <c r="AU289" s="59"/>
      <c r="AV289" s="59"/>
      <c r="AW289" s="59"/>
      <c r="AX289" s="59"/>
      <c r="AY289" s="60" t="str">
        <f>IF('Cálculo MP'!K299="","",'Cálculo MP'!K299)</f>
        <v/>
      </c>
      <c r="AZ289" s="60" t="str">
        <f>IF('Cálculo MP'!L299="","",'Cálculo MP'!L299)</f>
        <v/>
      </c>
      <c r="BA289" s="60" t="str">
        <f>IF('Cálculo MP'!M299="","",'Cálculo MP'!M299)</f>
        <v/>
      </c>
      <c r="BB289" s="60" t="str">
        <f>IF('Cálculo MP'!N299="","",'Cálculo MP'!N299)</f>
        <v/>
      </c>
      <c r="BC289" s="60" t="str">
        <f>IF('Cálculo MP'!O299="","",'Cálculo MP'!O299)</f>
        <v/>
      </c>
      <c r="BD289" s="60" t="str">
        <f>IF('Cálculo MP'!P299="","",'Cálculo MP'!P299)</f>
        <v/>
      </c>
      <c r="BE289" s="60" t="str">
        <f>IF('Cálculo MP'!Q299="","",'Cálculo MP'!Q299)</f>
        <v/>
      </c>
      <c r="BF289" s="60" t="str">
        <f>IF('Cálculo MP'!R299="","",'Cálculo MP'!R299)</f>
        <v/>
      </c>
      <c r="BG289" s="60" t="str">
        <f>IF('Cálculo MP'!S299="","",'Cálculo MP'!S299)</f>
        <v/>
      </c>
      <c r="BH289" s="59"/>
      <c r="BI289" s="59"/>
      <c r="BJ289" s="59"/>
      <c r="BK289" s="59"/>
      <c r="BL289" s="59"/>
      <c r="BM289" s="59"/>
      <c r="BN289" s="59"/>
      <c r="BO289" s="59"/>
    </row>
    <row r="290" spans="1:67" ht="19.5" customHeight="1" x14ac:dyDescent="0.2">
      <c r="A290" s="114" t="s">
        <v>1789</v>
      </c>
      <c r="B290" s="113" t="s">
        <v>1787</v>
      </c>
      <c r="C290" s="122"/>
      <c r="D290" s="48" t="s">
        <v>73</v>
      </c>
      <c r="E290" s="49"/>
      <c r="F290" s="50"/>
      <c r="G290" s="62"/>
      <c r="H290" s="48" t="s">
        <v>72</v>
      </c>
      <c r="I290" s="52">
        <v>1</v>
      </c>
      <c r="J290" s="52"/>
      <c r="K290" s="52" t="s">
        <v>73</v>
      </c>
      <c r="L290" s="52" t="s">
        <v>74</v>
      </c>
      <c r="M290" s="53" t="s">
        <v>917</v>
      </c>
      <c r="N290" s="58" t="s">
        <v>73</v>
      </c>
      <c r="O290" s="48" t="s">
        <v>72</v>
      </c>
      <c r="P290" s="48" t="s">
        <v>73</v>
      </c>
      <c r="Q290" s="54" t="s">
        <v>73</v>
      </c>
      <c r="R290" s="55" t="s">
        <v>73</v>
      </c>
      <c r="S290" s="48" t="s">
        <v>73</v>
      </c>
      <c r="T290" s="121" t="str" cm="1">
        <f t="array" ref="T290">IF(ISNUMBER(SEARCH("SCHNEIDER",D290)),_xlfn.IFS(ISNUMBER(SEARCH("2 Querétaro",D290)),"SQ2",ISNUMBER(SEARCH("Xicohténcatl",D290)),"SXC",ISNUMBER(SEARCH("Rojo Gómez",D290)),"SRG",ISNUMBER(SEARCH("Tlaxcala",D290)),"STX",ISNUMBER(SEARCH("Monterrey",D290)),"SMY",ISNUMBER(SEARCH("Querétaro",D290)),"SQ1",ISNUMBER(SEARCH("CDMX",D290)),"SCM",TRUE,""),"")</f>
        <v/>
      </c>
      <c r="U290" s="48" t="str" cm="1">
        <f t="array" ref="U290">_xlfn.LET(_xlpm.resultados,_xlfn.UNIQUE(_xlfn._xlws.FILTER(Tabla1[Proceso],(Tabla1[Metal Base]=O290)*(Tabla1[Etiquetas]=_xlfn.TEXTJOIN(" + ",TRUE,IF((TRIM(Upload!P290:S290)="")+(LOWER(TRIM(Upload!P290:S290))="(seleccione)"),"",PROPER(TRIM(Upload!P290:S290)))))*(Tabla1[Línea2]=IFERROR(VLOOKUP(Upload!N290&amp;"*",CAT_Procesos!D:D,1,FALSE),"")))),_xlpm.cantidad,ROWS(_xlpm.resultados),IF(ISERROR(_xlpm.cantidad),"Combinación no existente",IF(_xlpm.cantidad=1,INDEX(_xlpm.resultados,1),"(seleccione)")))</f>
        <v>Combinación no existente</v>
      </c>
      <c r="V290" s="55" t="s">
        <v>73</v>
      </c>
      <c r="W290" s="56" t="s">
        <v>73</v>
      </c>
      <c r="X290" s="57" t="str">
        <f t="shared" si="16"/>
        <v/>
      </c>
      <c r="Y290" s="58" t="s">
        <v>73</v>
      </c>
      <c r="Z290" s="57" t="str">
        <f t="shared" si="17"/>
        <v/>
      </c>
      <c r="AA290" s="58" t="s">
        <v>73</v>
      </c>
      <c r="AB290" s="57" t="str">
        <f t="shared" si="18"/>
        <v/>
      </c>
      <c r="AC290" s="58" t="s">
        <v>73</v>
      </c>
      <c r="AD290" s="57" t="str">
        <f t="shared" si="19"/>
        <v/>
      </c>
      <c r="AE290" s="59"/>
      <c r="AF290" s="59"/>
      <c r="AG290" s="59"/>
      <c r="AH290" s="59"/>
      <c r="AI290" s="59" t="s">
        <v>73</v>
      </c>
      <c r="AJ290" s="59"/>
      <c r="AK290" s="59" t="s">
        <v>73</v>
      </c>
      <c r="AL290" s="59"/>
      <c r="AM290" s="59" t="s">
        <v>73</v>
      </c>
      <c r="AN290" s="59"/>
      <c r="AO290" s="59" t="s">
        <v>73</v>
      </c>
      <c r="AP290" s="59"/>
      <c r="AQ290" s="59" t="s">
        <v>73</v>
      </c>
      <c r="AR290" s="59"/>
      <c r="AS290" s="59" t="s">
        <v>72</v>
      </c>
      <c r="AT290" s="59"/>
      <c r="AU290" s="59"/>
      <c r="AV290" s="59"/>
      <c r="AW290" s="59"/>
      <c r="AX290" s="59"/>
      <c r="AY290" s="60" t="str">
        <f>IF('Cálculo MP'!K300="","",'Cálculo MP'!K300)</f>
        <v/>
      </c>
      <c r="AZ290" s="60" t="str">
        <f>IF('Cálculo MP'!L300="","",'Cálculo MP'!L300)</f>
        <v/>
      </c>
      <c r="BA290" s="60" t="str">
        <f>IF('Cálculo MP'!M300="","",'Cálculo MP'!M300)</f>
        <v/>
      </c>
      <c r="BB290" s="60" t="str">
        <f>IF('Cálculo MP'!N300="","",'Cálculo MP'!N300)</f>
        <v/>
      </c>
      <c r="BC290" s="60" t="str">
        <f>IF('Cálculo MP'!O300="","",'Cálculo MP'!O300)</f>
        <v/>
      </c>
      <c r="BD290" s="60" t="str">
        <f>IF('Cálculo MP'!P300="","",'Cálculo MP'!P300)</f>
        <v/>
      </c>
      <c r="BE290" s="60" t="str">
        <f>IF('Cálculo MP'!Q300="","",'Cálculo MP'!Q300)</f>
        <v/>
      </c>
      <c r="BF290" s="60" t="str">
        <f>IF('Cálculo MP'!R300="","",'Cálculo MP'!R300)</f>
        <v/>
      </c>
      <c r="BG290" s="60" t="str">
        <f>IF('Cálculo MP'!S300="","",'Cálculo MP'!S300)</f>
        <v/>
      </c>
      <c r="BH290" s="59"/>
      <c r="BI290" s="59"/>
      <c r="BJ290" s="59"/>
      <c r="BK290" s="59"/>
      <c r="BL290" s="59"/>
      <c r="BM290" s="59"/>
      <c r="BN290" s="59"/>
      <c r="BO290" s="59"/>
    </row>
    <row r="291" spans="1:67" ht="19.5" customHeight="1" x14ac:dyDescent="0.2">
      <c r="A291" s="114" t="s">
        <v>1789</v>
      </c>
      <c r="B291" s="113" t="s">
        <v>1787</v>
      </c>
      <c r="C291" s="122"/>
      <c r="D291" s="48" t="s">
        <v>73</v>
      </c>
      <c r="E291" s="49"/>
      <c r="F291" s="50"/>
      <c r="G291" s="62"/>
      <c r="H291" s="48" t="s">
        <v>72</v>
      </c>
      <c r="I291" s="52">
        <v>1</v>
      </c>
      <c r="J291" s="52"/>
      <c r="K291" s="52" t="s">
        <v>73</v>
      </c>
      <c r="L291" s="52" t="s">
        <v>74</v>
      </c>
      <c r="M291" s="53" t="s">
        <v>917</v>
      </c>
      <c r="N291" s="58" t="s">
        <v>73</v>
      </c>
      <c r="O291" s="48" t="s">
        <v>72</v>
      </c>
      <c r="P291" s="48" t="s">
        <v>73</v>
      </c>
      <c r="Q291" s="54" t="s">
        <v>73</v>
      </c>
      <c r="R291" s="55" t="s">
        <v>73</v>
      </c>
      <c r="S291" s="48" t="s">
        <v>73</v>
      </c>
      <c r="T291" s="121" t="str" cm="1">
        <f t="array" ref="T291">IF(ISNUMBER(SEARCH("SCHNEIDER",D291)),_xlfn.IFS(ISNUMBER(SEARCH("2 Querétaro",D291)),"SQ2",ISNUMBER(SEARCH("Xicohténcatl",D291)),"SXC",ISNUMBER(SEARCH("Rojo Gómez",D291)),"SRG",ISNUMBER(SEARCH("Tlaxcala",D291)),"STX",ISNUMBER(SEARCH("Monterrey",D291)),"SMY",ISNUMBER(SEARCH("Querétaro",D291)),"SQ1",ISNUMBER(SEARCH("CDMX",D291)),"SCM",TRUE,""),"")</f>
        <v/>
      </c>
      <c r="U291" s="48" t="str" cm="1">
        <f t="array" ref="U291">_xlfn.LET(_xlpm.resultados,_xlfn.UNIQUE(_xlfn._xlws.FILTER(Tabla1[Proceso],(Tabla1[Metal Base]=O291)*(Tabla1[Etiquetas]=_xlfn.TEXTJOIN(" + ",TRUE,IF((TRIM(Upload!P291:S291)="")+(LOWER(TRIM(Upload!P291:S291))="(seleccione)"),"",PROPER(TRIM(Upload!P291:S291)))))*(Tabla1[Línea2]=IFERROR(VLOOKUP(Upload!N291&amp;"*",CAT_Procesos!D:D,1,FALSE),"")))),_xlpm.cantidad,ROWS(_xlpm.resultados),IF(ISERROR(_xlpm.cantidad),"Combinación no existente",IF(_xlpm.cantidad=1,INDEX(_xlpm.resultados,1),"(seleccione)")))</f>
        <v>Combinación no existente</v>
      </c>
      <c r="V291" s="55" t="s">
        <v>73</v>
      </c>
      <c r="W291" s="56" t="s">
        <v>73</v>
      </c>
      <c r="X291" s="57" t="str">
        <f t="shared" si="16"/>
        <v/>
      </c>
      <c r="Y291" s="58" t="s">
        <v>73</v>
      </c>
      <c r="Z291" s="57" t="str">
        <f t="shared" si="17"/>
        <v/>
      </c>
      <c r="AA291" s="58" t="s">
        <v>73</v>
      </c>
      <c r="AB291" s="57" t="str">
        <f t="shared" si="18"/>
        <v/>
      </c>
      <c r="AC291" s="58" t="s">
        <v>73</v>
      </c>
      <c r="AD291" s="57" t="str">
        <f t="shared" si="19"/>
        <v/>
      </c>
      <c r="AE291" s="59"/>
      <c r="AF291" s="59"/>
      <c r="AG291" s="59"/>
      <c r="AH291" s="59"/>
      <c r="AI291" s="59" t="s">
        <v>73</v>
      </c>
      <c r="AJ291" s="59"/>
      <c r="AK291" s="59" t="s">
        <v>73</v>
      </c>
      <c r="AL291" s="59"/>
      <c r="AM291" s="59" t="s">
        <v>73</v>
      </c>
      <c r="AN291" s="59"/>
      <c r="AO291" s="59" t="s">
        <v>73</v>
      </c>
      <c r="AP291" s="59"/>
      <c r="AQ291" s="59" t="s">
        <v>73</v>
      </c>
      <c r="AR291" s="59"/>
      <c r="AS291" s="59" t="s">
        <v>72</v>
      </c>
      <c r="AT291" s="59"/>
      <c r="AU291" s="59"/>
      <c r="AV291" s="59"/>
      <c r="AW291" s="59"/>
      <c r="AX291" s="59"/>
      <c r="AY291" s="60" t="str">
        <f>IF('Cálculo MP'!K301="","",'Cálculo MP'!K301)</f>
        <v/>
      </c>
      <c r="AZ291" s="60" t="str">
        <f>IF('Cálculo MP'!L301="","",'Cálculo MP'!L301)</f>
        <v/>
      </c>
      <c r="BA291" s="60" t="str">
        <f>IF('Cálculo MP'!M301="","",'Cálculo MP'!M301)</f>
        <v/>
      </c>
      <c r="BB291" s="60" t="str">
        <f>IF('Cálculo MP'!N301="","",'Cálculo MP'!N301)</f>
        <v/>
      </c>
      <c r="BC291" s="60" t="str">
        <f>IF('Cálculo MP'!O301="","",'Cálculo MP'!O301)</f>
        <v/>
      </c>
      <c r="BD291" s="60" t="str">
        <f>IF('Cálculo MP'!P301="","",'Cálculo MP'!P301)</f>
        <v/>
      </c>
      <c r="BE291" s="60" t="str">
        <f>IF('Cálculo MP'!Q301="","",'Cálculo MP'!Q301)</f>
        <v/>
      </c>
      <c r="BF291" s="60" t="str">
        <f>IF('Cálculo MP'!R301="","",'Cálculo MP'!R301)</f>
        <v/>
      </c>
      <c r="BG291" s="60" t="str">
        <f>IF('Cálculo MP'!S301="","",'Cálculo MP'!S301)</f>
        <v/>
      </c>
      <c r="BH291" s="59"/>
      <c r="BI291" s="59"/>
      <c r="BJ291" s="59"/>
      <c r="BK291" s="59"/>
      <c r="BL291" s="59"/>
      <c r="BM291" s="59"/>
      <c r="BN291" s="59"/>
      <c r="BO291" s="59"/>
    </row>
    <row r="292" spans="1:67" ht="19.5" customHeight="1" x14ac:dyDescent="0.2">
      <c r="A292" s="114" t="s">
        <v>1789</v>
      </c>
      <c r="B292" s="113" t="s">
        <v>1787</v>
      </c>
      <c r="C292" s="122"/>
      <c r="D292" s="48" t="s">
        <v>73</v>
      </c>
      <c r="E292" s="49"/>
      <c r="F292" s="50"/>
      <c r="G292" s="62"/>
      <c r="H292" s="48" t="s">
        <v>72</v>
      </c>
      <c r="I292" s="52">
        <v>1</v>
      </c>
      <c r="J292" s="52"/>
      <c r="K292" s="52" t="s">
        <v>73</v>
      </c>
      <c r="L292" s="52" t="s">
        <v>74</v>
      </c>
      <c r="M292" s="53" t="s">
        <v>917</v>
      </c>
      <c r="N292" s="58" t="s">
        <v>73</v>
      </c>
      <c r="O292" s="48" t="s">
        <v>72</v>
      </c>
      <c r="P292" s="48" t="s">
        <v>73</v>
      </c>
      <c r="Q292" s="54" t="s">
        <v>73</v>
      </c>
      <c r="R292" s="55" t="s">
        <v>73</v>
      </c>
      <c r="S292" s="48" t="s">
        <v>73</v>
      </c>
      <c r="T292" s="121" t="str" cm="1">
        <f t="array" ref="T292">IF(ISNUMBER(SEARCH("SCHNEIDER",D292)),_xlfn.IFS(ISNUMBER(SEARCH("2 Querétaro",D292)),"SQ2",ISNUMBER(SEARCH("Xicohténcatl",D292)),"SXC",ISNUMBER(SEARCH("Rojo Gómez",D292)),"SRG",ISNUMBER(SEARCH("Tlaxcala",D292)),"STX",ISNUMBER(SEARCH("Monterrey",D292)),"SMY",ISNUMBER(SEARCH("Querétaro",D292)),"SQ1",ISNUMBER(SEARCH("CDMX",D292)),"SCM",TRUE,""),"")</f>
        <v/>
      </c>
      <c r="U292" s="48" t="str" cm="1">
        <f t="array" ref="U292">_xlfn.LET(_xlpm.resultados,_xlfn.UNIQUE(_xlfn._xlws.FILTER(Tabla1[Proceso],(Tabla1[Metal Base]=O292)*(Tabla1[Etiquetas]=_xlfn.TEXTJOIN(" + ",TRUE,IF((TRIM(Upload!P292:S292)="")+(LOWER(TRIM(Upload!P292:S292))="(seleccione)"),"",PROPER(TRIM(Upload!P292:S292)))))*(Tabla1[Línea2]=IFERROR(VLOOKUP(Upload!N292&amp;"*",CAT_Procesos!D:D,1,FALSE),"")))),_xlpm.cantidad,ROWS(_xlpm.resultados),IF(ISERROR(_xlpm.cantidad),"Combinación no existente",IF(_xlpm.cantidad=1,INDEX(_xlpm.resultados,1),"(seleccione)")))</f>
        <v>Combinación no existente</v>
      </c>
      <c r="V292" s="55" t="s">
        <v>73</v>
      </c>
      <c r="W292" s="56" t="s">
        <v>73</v>
      </c>
      <c r="X292" s="57" t="str">
        <f t="shared" si="16"/>
        <v/>
      </c>
      <c r="Y292" s="58" t="s">
        <v>73</v>
      </c>
      <c r="Z292" s="57" t="str">
        <f t="shared" si="17"/>
        <v/>
      </c>
      <c r="AA292" s="58" t="s">
        <v>73</v>
      </c>
      <c r="AB292" s="57" t="str">
        <f t="shared" si="18"/>
        <v/>
      </c>
      <c r="AC292" s="58" t="s">
        <v>73</v>
      </c>
      <c r="AD292" s="57" t="str">
        <f t="shared" si="19"/>
        <v/>
      </c>
      <c r="AE292" s="59"/>
      <c r="AF292" s="59"/>
      <c r="AG292" s="59"/>
      <c r="AH292" s="59"/>
      <c r="AI292" s="59" t="s">
        <v>73</v>
      </c>
      <c r="AJ292" s="59"/>
      <c r="AK292" s="59" t="s">
        <v>73</v>
      </c>
      <c r="AL292" s="59"/>
      <c r="AM292" s="59" t="s">
        <v>73</v>
      </c>
      <c r="AN292" s="59"/>
      <c r="AO292" s="59" t="s">
        <v>73</v>
      </c>
      <c r="AP292" s="59"/>
      <c r="AQ292" s="59" t="s">
        <v>73</v>
      </c>
      <c r="AR292" s="59"/>
      <c r="AS292" s="59" t="s">
        <v>72</v>
      </c>
      <c r="AT292" s="59"/>
      <c r="AU292" s="59"/>
      <c r="AV292" s="59"/>
      <c r="AW292" s="59"/>
      <c r="AX292" s="59"/>
      <c r="AY292" s="60" t="str">
        <f>IF('Cálculo MP'!K302="","",'Cálculo MP'!K302)</f>
        <v/>
      </c>
      <c r="AZ292" s="60" t="str">
        <f>IF('Cálculo MP'!L302="","",'Cálculo MP'!L302)</f>
        <v/>
      </c>
      <c r="BA292" s="60" t="str">
        <f>IF('Cálculo MP'!M302="","",'Cálculo MP'!M302)</f>
        <v/>
      </c>
      <c r="BB292" s="60" t="str">
        <f>IF('Cálculo MP'!N302="","",'Cálculo MP'!N302)</f>
        <v/>
      </c>
      <c r="BC292" s="60" t="str">
        <f>IF('Cálculo MP'!O302="","",'Cálculo MP'!O302)</f>
        <v/>
      </c>
      <c r="BD292" s="60" t="str">
        <f>IF('Cálculo MP'!P302="","",'Cálculo MP'!P302)</f>
        <v/>
      </c>
      <c r="BE292" s="60" t="str">
        <f>IF('Cálculo MP'!Q302="","",'Cálculo MP'!Q302)</f>
        <v/>
      </c>
      <c r="BF292" s="60" t="str">
        <f>IF('Cálculo MP'!R302="","",'Cálculo MP'!R302)</f>
        <v/>
      </c>
      <c r="BG292" s="60" t="str">
        <f>IF('Cálculo MP'!S302="","",'Cálculo MP'!S302)</f>
        <v/>
      </c>
      <c r="BH292" s="59"/>
      <c r="BI292" s="59"/>
      <c r="BJ292" s="59"/>
      <c r="BK292" s="59"/>
      <c r="BL292" s="59"/>
      <c r="BM292" s="59"/>
      <c r="BN292" s="59"/>
      <c r="BO292" s="59"/>
    </row>
    <row r="293" spans="1:67" ht="19.5" customHeight="1" x14ac:dyDescent="0.2">
      <c r="A293" s="114" t="s">
        <v>1789</v>
      </c>
      <c r="B293" s="113" t="s">
        <v>1787</v>
      </c>
      <c r="C293" s="122"/>
      <c r="D293" s="48" t="s">
        <v>73</v>
      </c>
      <c r="E293" s="49"/>
      <c r="F293" s="50"/>
      <c r="G293" s="62"/>
      <c r="H293" s="48" t="s">
        <v>72</v>
      </c>
      <c r="I293" s="52">
        <v>1</v>
      </c>
      <c r="J293" s="52"/>
      <c r="K293" s="52" t="s">
        <v>73</v>
      </c>
      <c r="L293" s="52" t="s">
        <v>74</v>
      </c>
      <c r="M293" s="53" t="s">
        <v>917</v>
      </c>
      <c r="N293" s="58" t="s">
        <v>73</v>
      </c>
      <c r="O293" s="48" t="s">
        <v>72</v>
      </c>
      <c r="P293" s="48" t="s">
        <v>73</v>
      </c>
      <c r="Q293" s="54" t="s">
        <v>73</v>
      </c>
      <c r="R293" s="55" t="s">
        <v>73</v>
      </c>
      <c r="S293" s="48" t="s">
        <v>73</v>
      </c>
      <c r="T293" s="121" t="str" cm="1">
        <f t="array" ref="T293">IF(ISNUMBER(SEARCH("SCHNEIDER",D293)),_xlfn.IFS(ISNUMBER(SEARCH("2 Querétaro",D293)),"SQ2",ISNUMBER(SEARCH("Xicohténcatl",D293)),"SXC",ISNUMBER(SEARCH("Rojo Gómez",D293)),"SRG",ISNUMBER(SEARCH("Tlaxcala",D293)),"STX",ISNUMBER(SEARCH("Monterrey",D293)),"SMY",ISNUMBER(SEARCH("Querétaro",D293)),"SQ1",ISNUMBER(SEARCH("CDMX",D293)),"SCM",TRUE,""),"")</f>
        <v/>
      </c>
      <c r="U293" s="48" t="str" cm="1">
        <f t="array" ref="U293">_xlfn.LET(_xlpm.resultados,_xlfn.UNIQUE(_xlfn._xlws.FILTER(Tabla1[Proceso],(Tabla1[Metal Base]=O293)*(Tabla1[Etiquetas]=_xlfn.TEXTJOIN(" + ",TRUE,IF((TRIM(Upload!P293:S293)="")+(LOWER(TRIM(Upload!P293:S293))="(seleccione)"),"",PROPER(TRIM(Upload!P293:S293)))))*(Tabla1[Línea2]=IFERROR(VLOOKUP(Upload!N293&amp;"*",CAT_Procesos!D:D,1,FALSE),"")))),_xlpm.cantidad,ROWS(_xlpm.resultados),IF(ISERROR(_xlpm.cantidad),"Combinación no existente",IF(_xlpm.cantidad=1,INDEX(_xlpm.resultados,1),"(seleccione)")))</f>
        <v>Combinación no existente</v>
      </c>
      <c r="V293" s="55" t="s">
        <v>73</v>
      </c>
      <c r="W293" s="56" t="s">
        <v>73</v>
      </c>
      <c r="X293" s="57" t="str">
        <f t="shared" si="16"/>
        <v/>
      </c>
      <c r="Y293" s="58" t="s">
        <v>73</v>
      </c>
      <c r="Z293" s="57" t="str">
        <f t="shared" si="17"/>
        <v/>
      </c>
      <c r="AA293" s="58" t="s">
        <v>73</v>
      </c>
      <c r="AB293" s="57" t="str">
        <f t="shared" si="18"/>
        <v/>
      </c>
      <c r="AC293" s="58" t="s">
        <v>73</v>
      </c>
      <c r="AD293" s="57" t="str">
        <f t="shared" si="19"/>
        <v/>
      </c>
      <c r="AE293" s="59"/>
      <c r="AF293" s="59"/>
      <c r="AG293" s="59"/>
      <c r="AH293" s="59"/>
      <c r="AI293" s="59" t="s">
        <v>73</v>
      </c>
      <c r="AJ293" s="59"/>
      <c r="AK293" s="59" t="s">
        <v>73</v>
      </c>
      <c r="AL293" s="59"/>
      <c r="AM293" s="59" t="s">
        <v>73</v>
      </c>
      <c r="AN293" s="59"/>
      <c r="AO293" s="59" t="s">
        <v>73</v>
      </c>
      <c r="AP293" s="59"/>
      <c r="AQ293" s="59" t="s">
        <v>73</v>
      </c>
      <c r="AR293" s="59"/>
      <c r="AS293" s="59" t="s">
        <v>72</v>
      </c>
      <c r="AT293" s="59"/>
      <c r="AU293" s="59"/>
      <c r="AV293" s="59"/>
      <c r="AW293" s="59"/>
      <c r="AX293" s="59"/>
      <c r="AY293" s="60" t="str">
        <f>IF('Cálculo MP'!K303="","",'Cálculo MP'!K303)</f>
        <v/>
      </c>
      <c r="AZ293" s="60" t="str">
        <f>IF('Cálculo MP'!L303="","",'Cálculo MP'!L303)</f>
        <v/>
      </c>
      <c r="BA293" s="60" t="str">
        <f>IF('Cálculo MP'!M303="","",'Cálculo MP'!M303)</f>
        <v/>
      </c>
      <c r="BB293" s="60" t="str">
        <f>IF('Cálculo MP'!N303="","",'Cálculo MP'!N303)</f>
        <v/>
      </c>
      <c r="BC293" s="60" t="str">
        <f>IF('Cálculo MP'!O303="","",'Cálculo MP'!O303)</f>
        <v/>
      </c>
      <c r="BD293" s="60" t="str">
        <f>IF('Cálculo MP'!P303="","",'Cálculo MP'!P303)</f>
        <v/>
      </c>
      <c r="BE293" s="60" t="str">
        <f>IF('Cálculo MP'!Q303="","",'Cálculo MP'!Q303)</f>
        <v/>
      </c>
      <c r="BF293" s="60" t="str">
        <f>IF('Cálculo MP'!R303="","",'Cálculo MP'!R303)</f>
        <v/>
      </c>
      <c r="BG293" s="60" t="str">
        <f>IF('Cálculo MP'!S303="","",'Cálculo MP'!S303)</f>
        <v/>
      </c>
      <c r="BH293" s="59"/>
      <c r="BI293" s="59"/>
      <c r="BJ293" s="59"/>
      <c r="BK293" s="59"/>
      <c r="BL293" s="59"/>
      <c r="BM293" s="59"/>
      <c r="BN293" s="59"/>
      <c r="BO293" s="59"/>
    </row>
    <row r="294" spans="1:67" ht="19.5" customHeight="1" x14ac:dyDescent="0.2">
      <c r="A294" s="114" t="s">
        <v>1789</v>
      </c>
      <c r="B294" s="113" t="s">
        <v>1787</v>
      </c>
      <c r="C294" s="122"/>
      <c r="D294" s="48" t="s">
        <v>73</v>
      </c>
      <c r="E294" s="49"/>
      <c r="F294" s="50"/>
      <c r="G294" s="62"/>
      <c r="H294" s="48" t="s">
        <v>72</v>
      </c>
      <c r="I294" s="52">
        <v>1</v>
      </c>
      <c r="J294" s="52"/>
      <c r="K294" s="52" t="s">
        <v>73</v>
      </c>
      <c r="L294" s="52" t="s">
        <v>74</v>
      </c>
      <c r="M294" s="53" t="s">
        <v>917</v>
      </c>
      <c r="N294" s="58" t="s">
        <v>73</v>
      </c>
      <c r="O294" s="48" t="s">
        <v>72</v>
      </c>
      <c r="P294" s="48" t="s">
        <v>73</v>
      </c>
      <c r="Q294" s="54" t="s">
        <v>73</v>
      </c>
      <c r="R294" s="55" t="s">
        <v>73</v>
      </c>
      <c r="S294" s="48" t="s">
        <v>73</v>
      </c>
      <c r="T294" s="121" t="str" cm="1">
        <f t="array" ref="T294">IF(ISNUMBER(SEARCH("SCHNEIDER",D294)),_xlfn.IFS(ISNUMBER(SEARCH("2 Querétaro",D294)),"SQ2",ISNUMBER(SEARCH("Xicohténcatl",D294)),"SXC",ISNUMBER(SEARCH("Rojo Gómez",D294)),"SRG",ISNUMBER(SEARCH("Tlaxcala",D294)),"STX",ISNUMBER(SEARCH("Monterrey",D294)),"SMY",ISNUMBER(SEARCH("Querétaro",D294)),"SQ1",ISNUMBER(SEARCH("CDMX",D294)),"SCM",TRUE,""),"")</f>
        <v/>
      </c>
      <c r="U294" s="48" t="str" cm="1">
        <f t="array" ref="U294">_xlfn.LET(_xlpm.resultados,_xlfn.UNIQUE(_xlfn._xlws.FILTER(Tabla1[Proceso],(Tabla1[Metal Base]=O294)*(Tabla1[Etiquetas]=_xlfn.TEXTJOIN(" + ",TRUE,IF((TRIM(Upload!P294:S294)="")+(LOWER(TRIM(Upload!P294:S294))="(seleccione)"),"",PROPER(TRIM(Upload!P294:S294)))))*(Tabla1[Línea2]=IFERROR(VLOOKUP(Upload!N294&amp;"*",CAT_Procesos!D:D,1,FALSE),"")))),_xlpm.cantidad,ROWS(_xlpm.resultados),IF(ISERROR(_xlpm.cantidad),"Combinación no existente",IF(_xlpm.cantidad=1,INDEX(_xlpm.resultados,1),"(seleccione)")))</f>
        <v>Combinación no existente</v>
      </c>
      <c r="V294" s="55" t="s">
        <v>73</v>
      </c>
      <c r="W294" s="56" t="s">
        <v>73</v>
      </c>
      <c r="X294" s="57" t="str">
        <f t="shared" si="16"/>
        <v/>
      </c>
      <c r="Y294" s="58" t="s">
        <v>73</v>
      </c>
      <c r="Z294" s="57" t="str">
        <f t="shared" si="17"/>
        <v/>
      </c>
      <c r="AA294" s="58" t="s">
        <v>73</v>
      </c>
      <c r="AB294" s="57" t="str">
        <f t="shared" si="18"/>
        <v/>
      </c>
      <c r="AC294" s="58" t="s">
        <v>73</v>
      </c>
      <c r="AD294" s="57" t="str">
        <f t="shared" si="19"/>
        <v/>
      </c>
      <c r="AE294" s="59"/>
      <c r="AF294" s="59"/>
      <c r="AG294" s="59"/>
      <c r="AH294" s="59"/>
      <c r="AI294" s="59" t="s">
        <v>73</v>
      </c>
      <c r="AJ294" s="59"/>
      <c r="AK294" s="59" t="s">
        <v>73</v>
      </c>
      <c r="AL294" s="59"/>
      <c r="AM294" s="59" t="s">
        <v>73</v>
      </c>
      <c r="AN294" s="59"/>
      <c r="AO294" s="59" t="s">
        <v>73</v>
      </c>
      <c r="AP294" s="59"/>
      <c r="AQ294" s="59" t="s">
        <v>73</v>
      </c>
      <c r="AR294" s="59"/>
      <c r="AS294" s="59" t="s">
        <v>72</v>
      </c>
      <c r="AT294" s="59"/>
      <c r="AU294" s="59"/>
      <c r="AV294" s="59"/>
      <c r="AW294" s="59"/>
      <c r="AX294" s="59"/>
      <c r="AY294" s="60" t="str">
        <f>IF('Cálculo MP'!K304="","",'Cálculo MP'!K304)</f>
        <v/>
      </c>
      <c r="AZ294" s="60" t="str">
        <f>IF('Cálculo MP'!L304="","",'Cálculo MP'!L304)</f>
        <v/>
      </c>
      <c r="BA294" s="60" t="str">
        <f>IF('Cálculo MP'!M304="","",'Cálculo MP'!M304)</f>
        <v/>
      </c>
      <c r="BB294" s="60" t="str">
        <f>IF('Cálculo MP'!N304="","",'Cálculo MP'!N304)</f>
        <v/>
      </c>
      <c r="BC294" s="60" t="str">
        <f>IF('Cálculo MP'!O304="","",'Cálculo MP'!O304)</f>
        <v/>
      </c>
      <c r="BD294" s="60" t="str">
        <f>IF('Cálculo MP'!P304="","",'Cálculo MP'!P304)</f>
        <v/>
      </c>
      <c r="BE294" s="60" t="str">
        <f>IF('Cálculo MP'!Q304="","",'Cálculo MP'!Q304)</f>
        <v/>
      </c>
      <c r="BF294" s="60" t="str">
        <f>IF('Cálculo MP'!R304="","",'Cálculo MP'!R304)</f>
        <v/>
      </c>
      <c r="BG294" s="60" t="str">
        <f>IF('Cálculo MP'!S304="","",'Cálculo MP'!S304)</f>
        <v/>
      </c>
      <c r="BH294" s="59"/>
      <c r="BI294" s="59"/>
      <c r="BJ294" s="59"/>
      <c r="BK294" s="59"/>
      <c r="BL294" s="59"/>
      <c r="BM294" s="59"/>
      <c r="BN294" s="59"/>
      <c r="BO294" s="59"/>
    </row>
    <row r="295" spans="1:67" ht="19.5" customHeight="1" x14ac:dyDescent="0.2">
      <c r="A295" s="114" t="s">
        <v>1789</v>
      </c>
      <c r="B295" s="113" t="s">
        <v>1787</v>
      </c>
      <c r="C295" s="122"/>
      <c r="D295" s="48" t="s">
        <v>73</v>
      </c>
      <c r="E295" s="49"/>
      <c r="F295" s="50"/>
      <c r="G295" s="62"/>
      <c r="H295" s="48" t="s">
        <v>72</v>
      </c>
      <c r="I295" s="52">
        <v>1</v>
      </c>
      <c r="J295" s="52"/>
      <c r="K295" s="52" t="s">
        <v>73</v>
      </c>
      <c r="L295" s="52" t="s">
        <v>74</v>
      </c>
      <c r="M295" s="53" t="s">
        <v>917</v>
      </c>
      <c r="N295" s="58" t="s">
        <v>73</v>
      </c>
      <c r="O295" s="48" t="s">
        <v>72</v>
      </c>
      <c r="P295" s="48" t="s">
        <v>73</v>
      </c>
      <c r="Q295" s="54" t="s">
        <v>73</v>
      </c>
      <c r="R295" s="55" t="s">
        <v>73</v>
      </c>
      <c r="S295" s="48" t="s">
        <v>73</v>
      </c>
      <c r="T295" s="121" t="str" cm="1">
        <f t="array" ref="T295">IF(ISNUMBER(SEARCH("SCHNEIDER",D295)),_xlfn.IFS(ISNUMBER(SEARCH("2 Querétaro",D295)),"SQ2",ISNUMBER(SEARCH("Xicohténcatl",D295)),"SXC",ISNUMBER(SEARCH("Rojo Gómez",D295)),"SRG",ISNUMBER(SEARCH("Tlaxcala",D295)),"STX",ISNUMBER(SEARCH("Monterrey",D295)),"SMY",ISNUMBER(SEARCH("Querétaro",D295)),"SQ1",ISNUMBER(SEARCH("CDMX",D295)),"SCM",TRUE,""),"")</f>
        <v/>
      </c>
      <c r="U295" s="48" t="str" cm="1">
        <f t="array" ref="U295">_xlfn.LET(_xlpm.resultados,_xlfn.UNIQUE(_xlfn._xlws.FILTER(Tabla1[Proceso],(Tabla1[Metal Base]=O295)*(Tabla1[Etiquetas]=_xlfn.TEXTJOIN(" + ",TRUE,IF((TRIM(Upload!P295:S295)="")+(LOWER(TRIM(Upload!P295:S295))="(seleccione)"),"",PROPER(TRIM(Upload!P295:S295)))))*(Tabla1[Línea2]=IFERROR(VLOOKUP(Upload!N295&amp;"*",CAT_Procesos!D:D,1,FALSE),"")))),_xlpm.cantidad,ROWS(_xlpm.resultados),IF(ISERROR(_xlpm.cantidad),"Combinación no existente",IF(_xlpm.cantidad=1,INDEX(_xlpm.resultados,1),"(seleccione)")))</f>
        <v>Combinación no existente</v>
      </c>
      <c r="V295" s="55" t="s">
        <v>73</v>
      </c>
      <c r="W295" s="56" t="s">
        <v>73</v>
      </c>
      <c r="X295" s="57" t="str">
        <f t="shared" si="16"/>
        <v/>
      </c>
      <c r="Y295" s="58" t="s">
        <v>73</v>
      </c>
      <c r="Z295" s="57" t="str">
        <f t="shared" si="17"/>
        <v/>
      </c>
      <c r="AA295" s="58" t="s">
        <v>73</v>
      </c>
      <c r="AB295" s="57" t="str">
        <f t="shared" si="18"/>
        <v/>
      </c>
      <c r="AC295" s="58" t="s">
        <v>73</v>
      </c>
      <c r="AD295" s="57" t="str">
        <f t="shared" si="19"/>
        <v/>
      </c>
      <c r="AE295" s="59"/>
      <c r="AF295" s="59"/>
      <c r="AG295" s="59"/>
      <c r="AH295" s="59"/>
      <c r="AI295" s="59" t="s">
        <v>73</v>
      </c>
      <c r="AJ295" s="59"/>
      <c r="AK295" s="59" t="s">
        <v>73</v>
      </c>
      <c r="AL295" s="59"/>
      <c r="AM295" s="59" t="s">
        <v>73</v>
      </c>
      <c r="AN295" s="59"/>
      <c r="AO295" s="59" t="s">
        <v>73</v>
      </c>
      <c r="AP295" s="59"/>
      <c r="AQ295" s="59" t="s">
        <v>73</v>
      </c>
      <c r="AR295" s="59"/>
      <c r="AS295" s="59" t="s">
        <v>72</v>
      </c>
      <c r="AT295" s="59"/>
      <c r="AU295" s="59"/>
      <c r="AV295" s="59"/>
      <c r="AW295" s="59"/>
      <c r="AX295" s="59"/>
      <c r="AY295" s="60" t="str">
        <f>IF('Cálculo MP'!K305="","",'Cálculo MP'!K305)</f>
        <v/>
      </c>
      <c r="AZ295" s="60" t="str">
        <f>IF('Cálculo MP'!L305="","",'Cálculo MP'!L305)</f>
        <v/>
      </c>
      <c r="BA295" s="60" t="str">
        <f>IF('Cálculo MP'!M305="","",'Cálculo MP'!M305)</f>
        <v/>
      </c>
      <c r="BB295" s="60" t="str">
        <f>IF('Cálculo MP'!N305="","",'Cálculo MP'!N305)</f>
        <v/>
      </c>
      <c r="BC295" s="60" t="str">
        <f>IF('Cálculo MP'!O305="","",'Cálculo MP'!O305)</f>
        <v/>
      </c>
      <c r="BD295" s="60" t="str">
        <f>IF('Cálculo MP'!P305="","",'Cálculo MP'!P305)</f>
        <v/>
      </c>
      <c r="BE295" s="60" t="str">
        <f>IF('Cálculo MP'!Q305="","",'Cálculo MP'!Q305)</f>
        <v/>
      </c>
      <c r="BF295" s="60" t="str">
        <f>IF('Cálculo MP'!R305="","",'Cálculo MP'!R305)</f>
        <v/>
      </c>
      <c r="BG295" s="60" t="str">
        <f>IF('Cálculo MP'!S305="","",'Cálculo MP'!S305)</f>
        <v/>
      </c>
      <c r="BH295" s="59"/>
      <c r="BI295" s="59"/>
      <c r="BJ295" s="59"/>
      <c r="BK295" s="59"/>
      <c r="BL295" s="59"/>
      <c r="BM295" s="59"/>
      <c r="BN295" s="59"/>
      <c r="BO295" s="59"/>
    </row>
    <row r="296" spans="1:67" ht="19.5" customHeight="1" x14ac:dyDescent="0.2">
      <c r="A296" s="114" t="s">
        <v>1789</v>
      </c>
      <c r="B296" s="113" t="s">
        <v>1787</v>
      </c>
      <c r="C296" s="122"/>
      <c r="D296" s="48" t="s">
        <v>73</v>
      </c>
      <c r="E296" s="49"/>
      <c r="F296" s="50"/>
      <c r="G296" s="62"/>
      <c r="H296" s="48" t="s">
        <v>72</v>
      </c>
      <c r="I296" s="52">
        <v>1</v>
      </c>
      <c r="J296" s="52"/>
      <c r="K296" s="52" t="s">
        <v>73</v>
      </c>
      <c r="L296" s="52" t="s">
        <v>74</v>
      </c>
      <c r="M296" s="53" t="s">
        <v>917</v>
      </c>
      <c r="N296" s="58" t="s">
        <v>73</v>
      </c>
      <c r="O296" s="48" t="s">
        <v>72</v>
      </c>
      <c r="P296" s="48" t="s">
        <v>73</v>
      </c>
      <c r="Q296" s="54" t="s">
        <v>73</v>
      </c>
      <c r="R296" s="55" t="s">
        <v>73</v>
      </c>
      <c r="S296" s="48" t="s">
        <v>73</v>
      </c>
      <c r="T296" s="121" t="str" cm="1">
        <f t="array" ref="T296">IF(ISNUMBER(SEARCH("SCHNEIDER",D296)),_xlfn.IFS(ISNUMBER(SEARCH("2 Querétaro",D296)),"SQ2",ISNUMBER(SEARCH("Xicohténcatl",D296)),"SXC",ISNUMBER(SEARCH("Rojo Gómez",D296)),"SRG",ISNUMBER(SEARCH("Tlaxcala",D296)),"STX",ISNUMBER(SEARCH("Monterrey",D296)),"SMY",ISNUMBER(SEARCH("Querétaro",D296)),"SQ1",ISNUMBER(SEARCH("CDMX",D296)),"SCM",TRUE,""),"")</f>
        <v/>
      </c>
      <c r="U296" s="48" t="str" cm="1">
        <f t="array" ref="U296">_xlfn.LET(_xlpm.resultados,_xlfn.UNIQUE(_xlfn._xlws.FILTER(Tabla1[Proceso],(Tabla1[Metal Base]=O296)*(Tabla1[Etiquetas]=_xlfn.TEXTJOIN(" + ",TRUE,IF((TRIM(Upload!P296:S296)="")+(LOWER(TRIM(Upload!P296:S296))="(seleccione)"),"",PROPER(TRIM(Upload!P296:S296)))))*(Tabla1[Línea2]=IFERROR(VLOOKUP(Upload!N296&amp;"*",CAT_Procesos!D:D,1,FALSE),"")))),_xlpm.cantidad,ROWS(_xlpm.resultados),IF(ISERROR(_xlpm.cantidad),"Combinación no existente",IF(_xlpm.cantidad=1,INDEX(_xlpm.resultados,1),"(seleccione)")))</f>
        <v>Combinación no existente</v>
      </c>
      <c r="V296" s="55" t="s">
        <v>73</v>
      </c>
      <c r="W296" s="56" t="s">
        <v>73</v>
      </c>
      <c r="X296" s="57" t="str">
        <f t="shared" si="16"/>
        <v/>
      </c>
      <c r="Y296" s="58" t="s">
        <v>73</v>
      </c>
      <c r="Z296" s="57" t="str">
        <f t="shared" si="17"/>
        <v/>
      </c>
      <c r="AA296" s="58" t="s">
        <v>73</v>
      </c>
      <c r="AB296" s="57" t="str">
        <f t="shared" si="18"/>
        <v/>
      </c>
      <c r="AC296" s="58" t="s">
        <v>73</v>
      </c>
      <c r="AD296" s="57" t="str">
        <f t="shared" si="19"/>
        <v/>
      </c>
      <c r="AE296" s="59"/>
      <c r="AF296" s="59"/>
      <c r="AG296" s="59"/>
      <c r="AH296" s="59"/>
      <c r="AI296" s="59" t="s">
        <v>73</v>
      </c>
      <c r="AJ296" s="59"/>
      <c r="AK296" s="59" t="s">
        <v>73</v>
      </c>
      <c r="AL296" s="59"/>
      <c r="AM296" s="59" t="s">
        <v>73</v>
      </c>
      <c r="AN296" s="59"/>
      <c r="AO296" s="59" t="s">
        <v>73</v>
      </c>
      <c r="AP296" s="59"/>
      <c r="AQ296" s="59" t="s">
        <v>73</v>
      </c>
      <c r="AR296" s="59"/>
      <c r="AS296" s="59" t="s">
        <v>72</v>
      </c>
      <c r="AT296" s="59"/>
      <c r="AU296" s="59"/>
      <c r="AV296" s="59"/>
      <c r="AW296" s="59"/>
      <c r="AX296" s="59"/>
      <c r="AY296" s="60" t="str">
        <f>IF('Cálculo MP'!K306="","",'Cálculo MP'!K306)</f>
        <v/>
      </c>
      <c r="AZ296" s="60" t="str">
        <f>IF('Cálculo MP'!L306="","",'Cálculo MP'!L306)</f>
        <v/>
      </c>
      <c r="BA296" s="60" t="str">
        <f>IF('Cálculo MP'!M306="","",'Cálculo MP'!M306)</f>
        <v/>
      </c>
      <c r="BB296" s="60" t="str">
        <f>IF('Cálculo MP'!N306="","",'Cálculo MP'!N306)</f>
        <v/>
      </c>
      <c r="BC296" s="60" t="str">
        <f>IF('Cálculo MP'!O306="","",'Cálculo MP'!O306)</f>
        <v/>
      </c>
      <c r="BD296" s="60" t="str">
        <f>IF('Cálculo MP'!P306="","",'Cálculo MP'!P306)</f>
        <v/>
      </c>
      <c r="BE296" s="60" t="str">
        <f>IF('Cálculo MP'!Q306="","",'Cálculo MP'!Q306)</f>
        <v/>
      </c>
      <c r="BF296" s="60" t="str">
        <f>IF('Cálculo MP'!R306="","",'Cálculo MP'!R306)</f>
        <v/>
      </c>
      <c r="BG296" s="60" t="str">
        <f>IF('Cálculo MP'!S306="","",'Cálculo MP'!S306)</f>
        <v/>
      </c>
      <c r="BH296" s="59"/>
      <c r="BI296" s="59"/>
      <c r="BJ296" s="59"/>
      <c r="BK296" s="59"/>
      <c r="BL296" s="59"/>
      <c r="BM296" s="59"/>
      <c r="BN296" s="59"/>
      <c r="BO296" s="59"/>
    </row>
    <row r="297" spans="1:67" ht="19.5" customHeight="1" x14ac:dyDescent="0.2">
      <c r="A297" s="114" t="s">
        <v>1789</v>
      </c>
      <c r="B297" s="113" t="s">
        <v>1787</v>
      </c>
      <c r="C297" s="122"/>
      <c r="D297" s="48" t="s">
        <v>73</v>
      </c>
      <c r="E297" s="49"/>
      <c r="F297" s="50"/>
      <c r="G297" s="62"/>
      <c r="H297" s="48" t="s">
        <v>72</v>
      </c>
      <c r="I297" s="52">
        <v>1</v>
      </c>
      <c r="J297" s="52"/>
      <c r="K297" s="52" t="s">
        <v>73</v>
      </c>
      <c r="L297" s="52" t="s">
        <v>74</v>
      </c>
      <c r="M297" s="53" t="s">
        <v>917</v>
      </c>
      <c r="N297" s="58" t="s">
        <v>73</v>
      </c>
      <c r="O297" s="48" t="s">
        <v>72</v>
      </c>
      <c r="P297" s="48" t="s">
        <v>73</v>
      </c>
      <c r="Q297" s="54" t="s">
        <v>73</v>
      </c>
      <c r="R297" s="55" t="s">
        <v>73</v>
      </c>
      <c r="S297" s="48" t="s">
        <v>73</v>
      </c>
      <c r="T297" s="121" t="str" cm="1">
        <f t="array" ref="T297">IF(ISNUMBER(SEARCH("SCHNEIDER",D297)),_xlfn.IFS(ISNUMBER(SEARCH("2 Querétaro",D297)),"SQ2",ISNUMBER(SEARCH("Xicohténcatl",D297)),"SXC",ISNUMBER(SEARCH("Rojo Gómez",D297)),"SRG",ISNUMBER(SEARCH("Tlaxcala",D297)),"STX",ISNUMBER(SEARCH("Monterrey",D297)),"SMY",ISNUMBER(SEARCH("Querétaro",D297)),"SQ1",ISNUMBER(SEARCH("CDMX",D297)),"SCM",TRUE,""),"")</f>
        <v/>
      </c>
      <c r="U297" s="48" t="str" cm="1">
        <f t="array" ref="U297">_xlfn.LET(_xlpm.resultados,_xlfn.UNIQUE(_xlfn._xlws.FILTER(Tabla1[Proceso],(Tabla1[Metal Base]=O297)*(Tabla1[Etiquetas]=_xlfn.TEXTJOIN(" + ",TRUE,IF((TRIM(Upload!P297:S297)="")+(LOWER(TRIM(Upload!P297:S297))="(seleccione)"),"",PROPER(TRIM(Upload!P297:S297)))))*(Tabla1[Línea2]=IFERROR(VLOOKUP(Upload!N297&amp;"*",CAT_Procesos!D:D,1,FALSE),"")))),_xlpm.cantidad,ROWS(_xlpm.resultados),IF(ISERROR(_xlpm.cantidad),"Combinación no existente",IF(_xlpm.cantidad=1,INDEX(_xlpm.resultados,1),"(seleccione)")))</f>
        <v>Combinación no existente</v>
      </c>
      <c r="V297" s="55" t="s">
        <v>73</v>
      </c>
      <c r="W297" s="56" t="s">
        <v>73</v>
      </c>
      <c r="X297" s="57" t="str">
        <f t="shared" si="16"/>
        <v/>
      </c>
      <c r="Y297" s="58" t="s">
        <v>73</v>
      </c>
      <c r="Z297" s="57" t="str">
        <f t="shared" si="17"/>
        <v/>
      </c>
      <c r="AA297" s="58" t="s">
        <v>73</v>
      </c>
      <c r="AB297" s="57" t="str">
        <f t="shared" si="18"/>
        <v/>
      </c>
      <c r="AC297" s="58" t="s">
        <v>73</v>
      </c>
      <c r="AD297" s="57" t="str">
        <f t="shared" si="19"/>
        <v/>
      </c>
      <c r="AE297" s="59"/>
      <c r="AF297" s="59"/>
      <c r="AG297" s="59"/>
      <c r="AH297" s="59"/>
      <c r="AI297" s="59" t="s">
        <v>73</v>
      </c>
      <c r="AJ297" s="59"/>
      <c r="AK297" s="59" t="s">
        <v>73</v>
      </c>
      <c r="AL297" s="59"/>
      <c r="AM297" s="59" t="s">
        <v>73</v>
      </c>
      <c r="AN297" s="59"/>
      <c r="AO297" s="59" t="s">
        <v>73</v>
      </c>
      <c r="AP297" s="59"/>
      <c r="AQ297" s="59" t="s">
        <v>73</v>
      </c>
      <c r="AR297" s="59"/>
      <c r="AS297" s="59" t="s">
        <v>72</v>
      </c>
      <c r="AT297" s="59"/>
      <c r="AU297" s="59"/>
      <c r="AV297" s="59"/>
      <c r="AW297" s="59"/>
      <c r="AX297" s="59"/>
      <c r="AY297" s="60" t="str">
        <f>IF('Cálculo MP'!K307="","",'Cálculo MP'!K307)</f>
        <v/>
      </c>
      <c r="AZ297" s="60" t="str">
        <f>IF('Cálculo MP'!L307="","",'Cálculo MP'!L307)</f>
        <v/>
      </c>
      <c r="BA297" s="60" t="str">
        <f>IF('Cálculo MP'!M307="","",'Cálculo MP'!M307)</f>
        <v/>
      </c>
      <c r="BB297" s="60" t="str">
        <f>IF('Cálculo MP'!N307="","",'Cálculo MP'!N307)</f>
        <v/>
      </c>
      <c r="BC297" s="60" t="str">
        <f>IF('Cálculo MP'!O307="","",'Cálculo MP'!O307)</f>
        <v/>
      </c>
      <c r="BD297" s="60" t="str">
        <f>IF('Cálculo MP'!P307="","",'Cálculo MP'!P307)</f>
        <v/>
      </c>
      <c r="BE297" s="60" t="str">
        <f>IF('Cálculo MP'!Q307="","",'Cálculo MP'!Q307)</f>
        <v/>
      </c>
      <c r="BF297" s="60" t="str">
        <f>IF('Cálculo MP'!R307="","",'Cálculo MP'!R307)</f>
        <v/>
      </c>
      <c r="BG297" s="60" t="str">
        <f>IF('Cálculo MP'!S307="","",'Cálculo MP'!S307)</f>
        <v/>
      </c>
      <c r="BH297" s="59"/>
      <c r="BI297" s="59"/>
      <c r="BJ297" s="59"/>
      <c r="BK297" s="59"/>
      <c r="BL297" s="59"/>
      <c r="BM297" s="59"/>
      <c r="BN297" s="59"/>
      <c r="BO297" s="59"/>
    </row>
    <row r="298" spans="1:67" ht="19.5" customHeight="1" x14ac:dyDescent="0.2">
      <c r="A298" s="114" t="s">
        <v>1789</v>
      </c>
      <c r="B298" s="113" t="s">
        <v>1787</v>
      </c>
      <c r="C298" s="122"/>
      <c r="D298" s="48" t="s">
        <v>73</v>
      </c>
      <c r="E298" s="49"/>
      <c r="F298" s="50"/>
      <c r="G298" s="62"/>
      <c r="H298" s="48" t="s">
        <v>72</v>
      </c>
      <c r="I298" s="52">
        <v>1</v>
      </c>
      <c r="J298" s="52"/>
      <c r="K298" s="52" t="s">
        <v>73</v>
      </c>
      <c r="L298" s="52" t="s">
        <v>74</v>
      </c>
      <c r="M298" s="53" t="s">
        <v>917</v>
      </c>
      <c r="N298" s="58" t="s">
        <v>73</v>
      </c>
      <c r="O298" s="48" t="s">
        <v>72</v>
      </c>
      <c r="P298" s="48" t="s">
        <v>73</v>
      </c>
      <c r="Q298" s="54" t="s">
        <v>73</v>
      </c>
      <c r="R298" s="55" t="s">
        <v>73</v>
      </c>
      <c r="S298" s="48" t="s">
        <v>73</v>
      </c>
      <c r="T298" s="121" t="str" cm="1">
        <f t="array" ref="T298">IF(ISNUMBER(SEARCH("SCHNEIDER",D298)),_xlfn.IFS(ISNUMBER(SEARCH("2 Querétaro",D298)),"SQ2",ISNUMBER(SEARCH("Xicohténcatl",D298)),"SXC",ISNUMBER(SEARCH("Rojo Gómez",D298)),"SRG",ISNUMBER(SEARCH("Tlaxcala",D298)),"STX",ISNUMBER(SEARCH("Monterrey",D298)),"SMY",ISNUMBER(SEARCH("Querétaro",D298)),"SQ1",ISNUMBER(SEARCH("CDMX",D298)),"SCM",TRUE,""),"")</f>
        <v/>
      </c>
      <c r="U298" s="48" t="str" cm="1">
        <f t="array" ref="U298">_xlfn.LET(_xlpm.resultados,_xlfn.UNIQUE(_xlfn._xlws.FILTER(Tabla1[Proceso],(Tabla1[Metal Base]=O298)*(Tabla1[Etiquetas]=_xlfn.TEXTJOIN(" + ",TRUE,IF((TRIM(Upload!P298:S298)="")+(LOWER(TRIM(Upload!P298:S298))="(seleccione)"),"",PROPER(TRIM(Upload!P298:S298)))))*(Tabla1[Línea2]=IFERROR(VLOOKUP(Upload!N298&amp;"*",CAT_Procesos!D:D,1,FALSE),"")))),_xlpm.cantidad,ROWS(_xlpm.resultados),IF(ISERROR(_xlpm.cantidad),"Combinación no existente",IF(_xlpm.cantidad=1,INDEX(_xlpm.resultados,1),"(seleccione)")))</f>
        <v>Combinación no existente</v>
      </c>
      <c r="V298" s="55" t="s">
        <v>73</v>
      </c>
      <c r="W298" s="56" t="s">
        <v>73</v>
      </c>
      <c r="X298" s="57" t="str">
        <f t="shared" si="16"/>
        <v/>
      </c>
      <c r="Y298" s="58" t="s">
        <v>73</v>
      </c>
      <c r="Z298" s="57" t="str">
        <f t="shared" si="17"/>
        <v/>
      </c>
      <c r="AA298" s="58" t="s">
        <v>73</v>
      </c>
      <c r="AB298" s="57" t="str">
        <f t="shared" si="18"/>
        <v/>
      </c>
      <c r="AC298" s="58" t="s">
        <v>73</v>
      </c>
      <c r="AD298" s="57" t="str">
        <f t="shared" si="19"/>
        <v/>
      </c>
      <c r="AE298" s="59"/>
      <c r="AF298" s="59"/>
      <c r="AG298" s="59"/>
      <c r="AH298" s="59"/>
      <c r="AI298" s="59" t="s">
        <v>73</v>
      </c>
      <c r="AJ298" s="59"/>
      <c r="AK298" s="59" t="s">
        <v>73</v>
      </c>
      <c r="AL298" s="59"/>
      <c r="AM298" s="59" t="s">
        <v>73</v>
      </c>
      <c r="AN298" s="59"/>
      <c r="AO298" s="59" t="s">
        <v>73</v>
      </c>
      <c r="AP298" s="59"/>
      <c r="AQ298" s="59" t="s">
        <v>73</v>
      </c>
      <c r="AR298" s="59"/>
      <c r="AS298" s="59" t="s">
        <v>72</v>
      </c>
      <c r="AT298" s="59"/>
      <c r="AU298" s="59"/>
      <c r="AV298" s="59"/>
      <c r="AW298" s="59"/>
      <c r="AX298" s="59"/>
      <c r="AY298" s="60" t="str">
        <f>IF('Cálculo MP'!K308="","",'Cálculo MP'!K308)</f>
        <v/>
      </c>
      <c r="AZ298" s="60" t="str">
        <f>IF('Cálculo MP'!L308="","",'Cálculo MP'!L308)</f>
        <v/>
      </c>
      <c r="BA298" s="60" t="str">
        <f>IF('Cálculo MP'!M308="","",'Cálculo MP'!M308)</f>
        <v/>
      </c>
      <c r="BB298" s="60" t="str">
        <f>IF('Cálculo MP'!N308="","",'Cálculo MP'!N308)</f>
        <v/>
      </c>
      <c r="BC298" s="60" t="str">
        <f>IF('Cálculo MP'!O308="","",'Cálculo MP'!O308)</f>
        <v/>
      </c>
      <c r="BD298" s="60" t="str">
        <f>IF('Cálculo MP'!P308="","",'Cálculo MP'!P308)</f>
        <v/>
      </c>
      <c r="BE298" s="60" t="str">
        <f>IF('Cálculo MP'!Q308="","",'Cálculo MP'!Q308)</f>
        <v/>
      </c>
      <c r="BF298" s="60" t="str">
        <f>IF('Cálculo MP'!R308="","",'Cálculo MP'!R308)</f>
        <v/>
      </c>
      <c r="BG298" s="60" t="str">
        <f>IF('Cálculo MP'!S308="","",'Cálculo MP'!S308)</f>
        <v/>
      </c>
      <c r="BH298" s="59"/>
      <c r="BI298" s="59"/>
      <c r="BJ298" s="59"/>
      <c r="BK298" s="59"/>
      <c r="BL298" s="59"/>
      <c r="BM298" s="59"/>
      <c r="BN298" s="59"/>
      <c r="BO298" s="59"/>
    </row>
    <row r="299" spans="1:67" ht="19.5" customHeight="1" x14ac:dyDescent="0.2">
      <c r="A299" s="114" t="s">
        <v>1789</v>
      </c>
      <c r="B299" s="113" t="s">
        <v>1787</v>
      </c>
      <c r="C299" s="122"/>
      <c r="D299" s="48" t="s">
        <v>73</v>
      </c>
      <c r="E299" s="49"/>
      <c r="F299" s="50"/>
      <c r="G299" s="62"/>
      <c r="H299" s="48" t="s">
        <v>72</v>
      </c>
      <c r="I299" s="52">
        <v>1</v>
      </c>
      <c r="J299" s="52"/>
      <c r="K299" s="52" t="s">
        <v>73</v>
      </c>
      <c r="L299" s="52" t="s">
        <v>74</v>
      </c>
      <c r="M299" s="53" t="s">
        <v>917</v>
      </c>
      <c r="N299" s="58" t="s">
        <v>73</v>
      </c>
      <c r="O299" s="48" t="s">
        <v>72</v>
      </c>
      <c r="P299" s="48" t="s">
        <v>73</v>
      </c>
      <c r="Q299" s="54" t="s">
        <v>73</v>
      </c>
      <c r="R299" s="55" t="s">
        <v>73</v>
      </c>
      <c r="S299" s="48" t="s">
        <v>73</v>
      </c>
      <c r="T299" s="121" t="str" cm="1">
        <f t="array" ref="T299">IF(ISNUMBER(SEARCH("SCHNEIDER",D299)),_xlfn.IFS(ISNUMBER(SEARCH("2 Querétaro",D299)),"SQ2",ISNUMBER(SEARCH("Xicohténcatl",D299)),"SXC",ISNUMBER(SEARCH("Rojo Gómez",D299)),"SRG",ISNUMBER(SEARCH("Tlaxcala",D299)),"STX",ISNUMBER(SEARCH("Monterrey",D299)),"SMY",ISNUMBER(SEARCH("Querétaro",D299)),"SQ1",ISNUMBER(SEARCH("CDMX",D299)),"SCM",TRUE,""),"")</f>
        <v/>
      </c>
      <c r="U299" s="48" t="str" cm="1">
        <f t="array" ref="U299">_xlfn.LET(_xlpm.resultados,_xlfn.UNIQUE(_xlfn._xlws.FILTER(Tabla1[Proceso],(Tabla1[Metal Base]=O299)*(Tabla1[Etiquetas]=_xlfn.TEXTJOIN(" + ",TRUE,IF((TRIM(Upload!P299:S299)="")+(LOWER(TRIM(Upload!P299:S299))="(seleccione)"),"",PROPER(TRIM(Upload!P299:S299)))))*(Tabla1[Línea2]=IFERROR(VLOOKUP(Upload!N299&amp;"*",CAT_Procesos!D:D,1,FALSE),"")))),_xlpm.cantidad,ROWS(_xlpm.resultados),IF(ISERROR(_xlpm.cantidad),"Combinación no existente",IF(_xlpm.cantidad=1,INDEX(_xlpm.resultados,1),"(seleccione)")))</f>
        <v>Combinación no existente</v>
      </c>
      <c r="V299" s="55" t="s">
        <v>73</v>
      </c>
      <c r="W299" s="56" t="s">
        <v>73</v>
      </c>
      <c r="X299" s="57" t="str">
        <f t="shared" si="16"/>
        <v/>
      </c>
      <c r="Y299" s="58" t="s">
        <v>73</v>
      </c>
      <c r="Z299" s="57" t="str">
        <f t="shared" si="17"/>
        <v/>
      </c>
      <c r="AA299" s="58" t="s">
        <v>73</v>
      </c>
      <c r="AB299" s="57" t="str">
        <f t="shared" si="18"/>
        <v/>
      </c>
      <c r="AC299" s="58" t="s">
        <v>73</v>
      </c>
      <c r="AD299" s="57" t="str">
        <f t="shared" si="19"/>
        <v/>
      </c>
      <c r="AE299" s="59"/>
      <c r="AF299" s="59"/>
      <c r="AG299" s="59"/>
      <c r="AH299" s="59"/>
      <c r="AI299" s="59" t="s">
        <v>73</v>
      </c>
      <c r="AJ299" s="59"/>
      <c r="AK299" s="59" t="s">
        <v>73</v>
      </c>
      <c r="AL299" s="59"/>
      <c r="AM299" s="59" t="s">
        <v>73</v>
      </c>
      <c r="AN299" s="59"/>
      <c r="AO299" s="59" t="s">
        <v>73</v>
      </c>
      <c r="AP299" s="59"/>
      <c r="AQ299" s="59" t="s">
        <v>73</v>
      </c>
      <c r="AR299" s="59"/>
      <c r="AS299" s="59" t="s">
        <v>72</v>
      </c>
      <c r="AT299" s="59"/>
      <c r="AU299" s="59"/>
      <c r="AV299" s="59"/>
      <c r="AW299" s="59"/>
      <c r="AX299" s="59"/>
      <c r="AY299" s="60" t="str">
        <f>IF('Cálculo MP'!K309="","",'Cálculo MP'!K309)</f>
        <v/>
      </c>
      <c r="AZ299" s="60" t="str">
        <f>IF('Cálculo MP'!L309="","",'Cálculo MP'!L309)</f>
        <v/>
      </c>
      <c r="BA299" s="60" t="str">
        <f>IF('Cálculo MP'!M309="","",'Cálculo MP'!M309)</f>
        <v/>
      </c>
      <c r="BB299" s="60" t="str">
        <f>IF('Cálculo MP'!N309="","",'Cálculo MP'!N309)</f>
        <v/>
      </c>
      <c r="BC299" s="60" t="str">
        <f>IF('Cálculo MP'!O309="","",'Cálculo MP'!O309)</f>
        <v/>
      </c>
      <c r="BD299" s="60" t="str">
        <f>IF('Cálculo MP'!P309="","",'Cálculo MP'!P309)</f>
        <v/>
      </c>
      <c r="BE299" s="60" t="str">
        <f>IF('Cálculo MP'!Q309="","",'Cálculo MP'!Q309)</f>
        <v/>
      </c>
      <c r="BF299" s="60" t="str">
        <f>IF('Cálculo MP'!R309="","",'Cálculo MP'!R309)</f>
        <v/>
      </c>
      <c r="BG299" s="60" t="str">
        <f>IF('Cálculo MP'!S309="","",'Cálculo MP'!S309)</f>
        <v/>
      </c>
      <c r="BH299" s="59"/>
      <c r="BI299" s="59"/>
      <c r="BJ299" s="59"/>
      <c r="BK299" s="59"/>
      <c r="BL299" s="59"/>
      <c r="BM299" s="59"/>
      <c r="BN299" s="59"/>
      <c r="BO299" s="59"/>
    </row>
    <row r="300" spans="1:67" ht="19.5" customHeight="1" x14ac:dyDescent="0.2">
      <c r="A300" s="114" t="s">
        <v>1789</v>
      </c>
      <c r="B300" s="113" t="s">
        <v>1787</v>
      </c>
      <c r="C300" s="122"/>
      <c r="D300" s="48" t="s">
        <v>73</v>
      </c>
      <c r="E300" s="49"/>
      <c r="F300" s="50"/>
      <c r="G300" s="62"/>
      <c r="H300" s="48" t="s">
        <v>72</v>
      </c>
      <c r="I300" s="52">
        <v>1</v>
      </c>
      <c r="J300" s="52"/>
      <c r="K300" s="52" t="s">
        <v>73</v>
      </c>
      <c r="L300" s="52" t="s">
        <v>74</v>
      </c>
      <c r="M300" s="53" t="s">
        <v>917</v>
      </c>
      <c r="N300" s="58" t="s">
        <v>73</v>
      </c>
      <c r="O300" s="48" t="s">
        <v>72</v>
      </c>
      <c r="P300" s="48" t="s">
        <v>73</v>
      </c>
      <c r="Q300" s="54" t="s">
        <v>73</v>
      </c>
      <c r="R300" s="55" t="s">
        <v>73</v>
      </c>
      <c r="S300" s="48" t="s">
        <v>73</v>
      </c>
      <c r="T300" s="121" t="str" cm="1">
        <f t="array" ref="T300">IF(ISNUMBER(SEARCH("SCHNEIDER",D300)),_xlfn.IFS(ISNUMBER(SEARCH("2 Querétaro",D300)),"SQ2",ISNUMBER(SEARCH("Xicohténcatl",D300)),"SXC",ISNUMBER(SEARCH("Rojo Gómez",D300)),"SRG",ISNUMBER(SEARCH("Tlaxcala",D300)),"STX",ISNUMBER(SEARCH("Monterrey",D300)),"SMY",ISNUMBER(SEARCH("Querétaro",D300)),"SQ1",ISNUMBER(SEARCH("CDMX",D300)),"SCM",TRUE,""),"")</f>
        <v/>
      </c>
      <c r="U300" s="48" t="str" cm="1">
        <f t="array" ref="U300">_xlfn.LET(_xlpm.resultados,_xlfn.UNIQUE(_xlfn._xlws.FILTER(Tabla1[Proceso],(Tabla1[Metal Base]=O300)*(Tabla1[Etiquetas]=_xlfn.TEXTJOIN(" + ",TRUE,IF((TRIM(Upload!P300:S300)="")+(LOWER(TRIM(Upload!P300:S300))="(seleccione)"),"",PROPER(TRIM(Upload!P300:S300)))))*(Tabla1[Línea2]=IFERROR(VLOOKUP(Upload!N300&amp;"*",CAT_Procesos!D:D,1,FALSE),"")))),_xlpm.cantidad,ROWS(_xlpm.resultados),IF(ISERROR(_xlpm.cantidad),"Combinación no existente",IF(_xlpm.cantidad=1,INDEX(_xlpm.resultados,1),"(seleccione)")))</f>
        <v>Combinación no existente</v>
      </c>
      <c r="V300" s="55" t="s">
        <v>73</v>
      </c>
      <c r="W300" s="56" t="s">
        <v>73</v>
      </c>
      <c r="X300" s="57" t="str">
        <f t="shared" si="16"/>
        <v/>
      </c>
      <c r="Y300" s="58" t="s">
        <v>73</v>
      </c>
      <c r="Z300" s="57" t="str">
        <f t="shared" si="17"/>
        <v/>
      </c>
      <c r="AA300" s="58" t="s">
        <v>73</v>
      </c>
      <c r="AB300" s="57" t="str">
        <f t="shared" si="18"/>
        <v/>
      </c>
      <c r="AC300" s="58" t="s">
        <v>73</v>
      </c>
      <c r="AD300" s="57" t="str">
        <f t="shared" si="19"/>
        <v/>
      </c>
      <c r="AE300" s="59"/>
      <c r="AF300" s="59"/>
      <c r="AG300" s="59"/>
      <c r="AH300" s="59"/>
      <c r="AI300" s="59" t="s">
        <v>73</v>
      </c>
      <c r="AJ300" s="59"/>
      <c r="AK300" s="59" t="s">
        <v>73</v>
      </c>
      <c r="AL300" s="59"/>
      <c r="AM300" s="59" t="s">
        <v>73</v>
      </c>
      <c r="AN300" s="59"/>
      <c r="AO300" s="59" t="s">
        <v>73</v>
      </c>
      <c r="AP300" s="59"/>
      <c r="AQ300" s="59" t="s">
        <v>73</v>
      </c>
      <c r="AR300" s="59"/>
      <c r="AS300" s="59" t="s">
        <v>72</v>
      </c>
      <c r="AT300" s="59"/>
      <c r="AU300" s="59"/>
      <c r="AV300" s="59"/>
      <c r="AW300" s="59"/>
      <c r="AX300" s="59"/>
      <c r="AY300" s="60" t="str">
        <f>IF('Cálculo MP'!K310="","",'Cálculo MP'!K310)</f>
        <v/>
      </c>
      <c r="AZ300" s="60" t="str">
        <f>IF('Cálculo MP'!L310="","",'Cálculo MP'!L310)</f>
        <v/>
      </c>
      <c r="BA300" s="60" t="str">
        <f>IF('Cálculo MP'!M310="","",'Cálculo MP'!M310)</f>
        <v/>
      </c>
      <c r="BB300" s="60" t="str">
        <f>IF('Cálculo MP'!N310="","",'Cálculo MP'!N310)</f>
        <v/>
      </c>
      <c r="BC300" s="60" t="str">
        <f>IF('Cálculo MP'!O310="","",'Cálculo MP'!O310)</f>
        <v/>
      </c>
      <c r="BD300" s="60" t="str">
        <f>IF('Cálculo MP'!P310="","",'Cálculo MP'!P310)</f>
        <v/>
      </c>
      <c r="BE300" s="60" t="str">
        <f>IF('Cálculo MP'!Q310="","",'Cálculo MP'!Q310)</f>
        <v/>
      </c>
      <c r="BF300" s="60" t="str">
        <f>IF('Cálculo MP'!R310="","",'Cálculo MP'!R310)</f>
        <v/>
      </c>
      <c r="BG300" s="60" t="str">
        <f>IF('Cálculo MP'!S310="","",'Cálculo MP'!S310)</f>
        <v/>
      </c>
      <c r="BH300" s="59"/>
      <c r="BI300" s="59"/>
      <c r="BJ300" s="59"/>
      <c r="BK300" s="59"/>
      <c r="BL300" s="59"/>
      <c r="BM300" s="59"/>
      <c r="BN300" s="59"/>
      <c r="BO300" s="59"/>
    </row>
    <row r="301" spans="1:67" ht="19.5" customHeight="1" x14ac:dyDescent="0.2">
      <c r="A301" s="114" t="s">
        <v>1789</v>
      </c>
      <c r="B301" s="113" t="s">
        <v>1787</v>
      </c>
      <c r="C301" s="122"/>
      <c r="D301" s="48" t="s">
        <v>73</v>
      </c>
      <c r="E301" s="49"/>
      <c r="F301" s="50"/>
      <c r="G301" s="62"/>
      <c r="H301" s="48" t="s">
        <v>72</v>
      </c>
      <c r="I301" s="52">
        <v>1</v>
      </c>
      <c r="J301" s="52"/>
      <c r="K301" s="52" t="s">
        <v>73</v>
      </c>
      <c r="L301" s="52" t="s">
        <v>74</v>
      </c>
      <c r="M301" s="53" t="s">
        <v>917</v>
      </c>
      <c r="N301" s="58" t="s">
        <v>73</v>
      </c>
      <c r="O301" s="48" t="s">
        <v>72</v>
      </c>
      <c r="P301" s="48" t="s">
        <v>73</v>
      </c>
      <c r="Q301" s="54" t="s">
        <v>73</v>
      </c>
      <c r="R301" s="55" t="s">
        <v>73</v>
      </c>
      <c r="S301" s="48" t="s">
        <v>73</v>
      </c>
      <c r="T301" s="121" t="str" cm="1">
        <f t="array" ref="T301">IF(ISNUMBER(SEARCH("SCHNEIDER",D301)),_xlfn.IFS(ISNUMBER(SEARCH("2 Querétaro",D301)),"SQ2",ISNUMBER(SEARCH("Xicohténcatl",D301)),"SXC",ISNUMBER(SEARCH("Rojo Gómez",D301)),"SRG",ISNUMBER(SEARCH("Tlaxcala",D301)),"STX",ISNUMBER(SEARCH("Monterrey",D301)),"SMY",ISNUMBER(SEARCH("Querétaro",D301)),"SQ1",ISNUMBER(SEARCH("CDMX",D301)),"SCM",TRUE,""),"")</f>
        <v/>
      </c>
      <c r="U301" s="48" t="str" cm="1">
        <f t="array" ref="U301">_xlfn.LET(_xlpm.resultados,_xlfn.UNIQUE(_xlfn._xlws.FILTER(Tabla1[Proceso],(Tabla1[Metal Base]=O301)*(Tabla1[Etiquetas]=_xlfn.TEXTJOIN(" + ",TRUE,IF((TRIM(Upload!P301:S301)="")+(LOWER(TRIM(Upload!P301:S301))="(seleccione)"),"",PROPER(TRIM(Upload!P301:S301)))))*(Tabla1[Línea2]=IFERROR(VLOOKUP(Upload!N301&amp;"*",CAT_Procesos!D:D,1,FALSE),"")))),_xlpm.cantidad,ROWS(_xlpm.resultados),IF(ISERROR(_xlpm.cantidad),"Combinación no existente",IF(_xlpm.cantidad=1,INDEX(_xlpm.resultados,1),"(seleccione)")))</f>
        <v>Combinación no existente</v>
      </c>
      <c r="V301" s="55" t="s">
        <v>73</v>
      </c>
      <c r="W301" s="56" t="s">
        <v>73</v>
      </c>
      <c r="X301" s="57" t="str">
        <f t="shared" si="16"/>
        <v/>
      </c>
      <c r="Y301" s="58" t="s">
        <v>73</v>
      </c>
      <c r="Z301" s="57" t="str">
        <f t="shared" si="17"/>
        <v/>
      </c>
      <c r="AA301" s="58" t="s">
        <v>73</v>
      </c>
      <c r="AB301" s="57" t="str">
        <f t="shared" si="18"/>
        <v/>
      </c>
      <c r="AC301" s="58" t="s">
        <v>73</v>
      </c>
      <c r="AD301" s="57" t="str">
        <f t="shared" si="19"/>
        <v/>
      </c>
      <c r="AE301" s="59"/>
      <c r="AF301" s="59"/>
      <c r="AG301" s="59"/>
      <c r="AH301" s="59"/>
      <c r="AI301" s="59" t="s">
        <v>73</v>
      </c>
      <c r="AJ301" s="59"/>
      <c r="AK301" s="59" t="s">
        <v>73</v>
      </c>
      <c r="AL301" s="59"/>
      <c r="AM301" s="59" t="s">
        <v>73</v>
      </c>
      <c r="AN301" s="59"/>
      <c r="AO301" s="59" t="s">
        <v>73</v>
      </c>
      <c r="AP301" s="59"/>
      <c r="AQ301" s="59" t="s">
        <v>73</v>
      </c>
      <c r="AR301" s="59"/>
      <c r="AS301" s="59" t="s">
        <v>72</v>
      </c>
      <c r="AT301" s="59"/>
      <c r="AU301" s="59"/>
      <c r="AV301" s="59"/>
      <c r="AW301" s="59"/>
      <c r="AX301" s="59"/>
      <c r="AY301" s="60" t="str">
        <f>IF('Cálculo MP'!K311="","",'Cálculo MP'!K311)</f>
        <v/>
      </c>
      <c r="AZ301" s="60" t="str">
        <f>IF('Cálculo MP'!L311="","",'Cálculo MP'!L311)</f>
        <v/>
      </c>
      <c r="BA301" s="60" t="str">
        <f>IF('Cálculo MP'!M311="","",'Cálculo MP'!M311)</f>
        <v/>
      </c>
      <c r="BB301" s="60" t="str">
        <f>IF('Cálculo MP'!N311="","",'Cálculo MP'!N311)</f>
        <v/>
      </c>
      <c r="BC301" s="60" t="str">
        <f>IF('Cálculo MP'!O311="","",'Cálculo MP'!O311)</f>
        <v/>
      </c>
      <c r="BD301" s="60" t="str">
        <f>IF('Cálculo MP'!P311="","",'Cálculo MP'!P311)</f>
        <v/>
      </c>
      <c r="BE301" s="60" t="str">
        <f>IF('Cálculo MP'!Q311="","",'Cálculo MP'!Q311)</f>
        <v/>
      </c>
      <c r="BF301" s="60" t="str">
        <f>IF('Cálculo MP'!R311="","",'Cálculo MP'!R311)</f>
        <v/>
      </c>
      <c r="BG301" s="60" t="str">
        <f>IF('Cálculo MP'!S311="","",'Cálculo MP'!S311)</f>
        <v/>
      </c>
      <c r="BH301" s="59"/>
      <c r="BI301" s="59"/>
      <c r="BJ301" s="59"/>
      <c r="BK301" s="59"/>
      <c r="BL301" s="59"/>
      <c r="BM301" s="59"/>
      <c r="BN301" s="59"/>
      <c r="BO301" s="59"/>
    </row>
    <row r="302" spans="1:67" ht="19.5" customHeight="1" x14ac:dyDescent="0.2">
      <c r="A302" s="114" t="s">
        <v>1789</v>
      </c>
      <c r="B302" s="113" t="s">
        <v>1787</v>
      </c>
      <c r="C302" s="122"/>
      <c r="D302" s="48" t="s">
        <v>73</v>
      </c>
      <c r="E302" s="49"/>
      <c r="F302" s="50"/>
      <c r="G302" s="62"/>
      <c r="H302" s="48" t="s">
        <v>72</v>
      </c>
      <c r="I302" s="52">
        <v>1</v>
      </c>
      <c r="J302" s="52"/>
      <c r="K302" s="52" t="s">
        <v>73</v>
      </c>
      <c r="L302" s="52" t="s">
        <v>74</v>
      </c>
      <c r="M302" s="53" t="s">
        <v>917</v>
      </c>
      <c r="N302" s="58" t="s">
        <v>73</v>
      </c>
      <c r="O302" s="48" t="s">
        <v>72</v>
      </c>
      <c r="P302" s="48" t="s">
        <v>73</v>
      </c>
      <c r="Q302" s="54" t="s">
        <v>73</v>
      </c>
      <c r="R302" s="55" t="s">
        <v>73</v>
      </c>
      <c r="S302" s="48" t="s">
        <v>73</v>
      </c>
      <c r="T302" s="121" t="str" cm="1">
        <f t="array" ref="T302">IF(ISNUMBER(SEARCH("SCHNEIDER",D302)),_xlfn.IFS(ISNUMBER(SEARCH("2 Querétaro",D302)),"SQ2",ISNUMBER(SEARCH("Xicohténcatl",D302)),"SXC",ISNUMBER(SEARCH("Rojo Gómez",D302)),"SRG",ISNUMBER(SEARCH("Tlaxcala",D302)),"STX",ISNUMBER(SEARCH("Monterrey",D302)),"SMY",ISNUMBER(SEARCH("Querétaro",D302)),"SQ1",ISNUMBER(SEARCH("CDMX",D302)),"SCM",TRUE,""),"")</f>
        <v/>
      </c>
      <c r="U302" s="48" t="str" cm="1">
        <f t="array" ref="U302">_xlfn.LET(_xlpm.resultados,_xlfn.UNIQUE(_xlfn._xlws.FILTER(Tabla1[Proceso],(Tabla1[Metal Base]=O302)*(Tabla1[Etiquetas]=_xlfn.TEXTJOIN(" + ",TRUE,IF((TRIM(Upload!P302:S302)="")+(LOWER(TRIM(Upload!P302:S302))="(seleccione)"),"",PROPER(TRIM(Upload!P302:S302)))))*(Tabla1[Línea2]=IFERROR(VLOOKUP(Upload!N302&amp;"*",CAT_Procesos!D:D,1,FALSE),"")))),_xlpm.cantidad,ROWS(_xlpm.resultados),IF(ISERROR(_xlpm.cantidad),"Combinación no existente",IF(_xlpm.cantidad=1,INDEX(_xlpm.resultados,1),"(seleccione)")))</f>
        <v>Combinación no existente</v>
      </c>
      <c r="V302" s="55" t="s">
        <v>73</v>
      </c>
      <c r="W302" s="56" t="s">
        <v>73</v>
      </c>
      <c r="X302" s="57" t="str">
        <f t="shared" si="16"/>
        <v/>
      </c>
      <c r="Y302" s="58" t="s">
        <v>73</v>
      </c>
      <c r="Z302" s="57" t="str">
        <f t="shared" si="17"/>
        <v/>
      </c>
      <c r="AA302" s="58" t="s">
        <v>73</v>
      </c>
      <c r="AB302" s="57" t="str">
        <f t="shared" si="18"/>
        <v/>
      </c>
      <c r="AC302" s="58" t="s">
        <v>73</v>
      </c>
      <c r="AD302" s="57" t="str">
        <f t="shared" si="19"/>
        <v/>
      </c>
      <c r="AE302" s="59"/>
      <c r="AF302" s="59"/>
      <c r="AG302" s="59"/>
      <c r="AH302" s="59"/>
      <c r="AI302" s="59" t="s">
        <v>73</v>
      </c>
      <c r="AJ302" s="59"/>
      <c r="AK302" s="59" t="s">
        <v>73</v>
      </c>
      <c r="AL302" s="59"/>
      <c r="AM302" s="59" t="s">
        <v>73</v>
      </c>
      <c r="AN302" s="59"/>
      <c r="AO302" s="59" t="s">
        <v>73</v>
      </c>
      <c r="AP302" s="59"/>
      <c r="AQ302" s="59" t="s">
        <v>73</v>
      </c>
      <c r="AR302" s="59"/>
      <c r="AS302" s="59" t="s">
        <v>72</v>
      </c>
      <c r="AT302" s="59"/>
      <c r="AU302" s="59"/>
      <c r="AV302" s="59"/>
      <c r="AW302" s="59"/>
      <c r="AX302" s="59"/>
      <c r="AY302" s="60" t="str">
        <f>IF('Cálculo MP'!K312="","",'Cálculo MP'!K312)</f>
        <v/>
      </c>
      <c r="AZ302" s="60" t="str">
        <f>IF('Cálculo MP'!L312="","",'Cálculo MP'!L312)</f>
        <v/>
      </c>
      <c r="BA302" s="60" t="str">
        <f>IF('Cálculo MP'!M312="","",'Cálculo MP'!M312)</f>
        <v/>
      </c>
      <c r="BB302" s="60" t="str">
        <f>IF('Cálculo MP'!N312="","",'Cálculo MP'!N312)</f>
        <v/>
      </c>
      <c r="BC302" s="60" t="str">
        <f>IF('Cálculo MP'!O312="","",'Cálculo MP'!O312)</f>
        <v/>
      </c>
      <c r="BD302" s="60" t="str">
        <f>IF('Cálculo MP'!P312="","",'Cálculo MP'!P312)</f>
        <v/>
      </c>
      <c r="BE302" s="60" t="str">
        <f>IF('Cálculo MP'!Q312="","",'Cálculo MP'!Q312)</f>
        <v/>
      </c>
      <c r="BF302" s="60" t="str">
        <f>IF('Cálculo MP'!R312="","",'Cálculo MP'!R312)</f>
        <v/>
      </c>
      <c r="BG302" s="60" t="str">
        <f>IF('Cálculo MP'!S312="","",'Cálculo MP'!S312)</f>
        <v/>
      </c>
      <c r="BH302" s="59"/>
      <c r="BI302" s="59"/>
      <c r="BJ302" s="59"/>
      <c r="BK302" s="59"/>
      <c r="BL302" s="59"/>
      <c r="BM302" s="59"/>
      <c r="BN302" s="59"/>
      <c r="BO302" s="59"/>
    </row>
    <row r="303" spans="1:67" ht="19.5" customHeight="1" x14ac:dyDescent="0.2">
      <c r="A303" s="114" t="s">
        <v>1789</v>
      </c>
      <c r="B303" s="113" t="s">
        <v>1787</v>
      </c>
      <c r="C303" s="122"/>
      <c r="D303" s="48" t="s">
        <v>73</v>
      </c>
      <c r="E303" s="49"/>
      <c r="F303" s="50"/>
      <c r="G303" s="62"/>
      <c r="H303" s="48" t="s">
        <v>72</v>
      </c>
      <c r="I303" s="52">
        <v>1</v>
      </c>
      <c r="J303" s="52"/>
      <c r="K303" s="52" t="s">
        <v>73</v>
      </c>
      <c r="L303" s="52" t="s">
        <v>74</v>
      </c>
      <c r="M303" s="53" t="s">
        <v>917</v>
      </c>
      <c r="N303" s="58" t="s">
        <v>73</v>
      </c>
      <c r="O303" s="48" t="s">
        <v>72</v>
      </c>
      <c r="P303" s="48" t="s">
        <v>73</v>
      </c>
      <c r="Q303" s="54" t="s">
        <v>73</v>
      </c>
      <c r="R303" s="55" t="s">
        <v>73</v>
      </c>
      <c r="S303" s="48" t="s">
        <v>73</v>
      </c>
      <c r="T303" s="121" t="str" cm="1">
        <f t="array" ref="T303">IF(ISNUMBER(SEARCH("SCHNEIDER",D303)),_xlfn.IFS(ISNUMBER(SEARCH("2 Querétaro",D303)),"SQ2",ISNUMBER(SEARCH("Xicohténcatl",D303)),"SXC",ISNUMBER(SEARCH("Rojo Gómez",D303)),"SRG",ISNUMBER(SEARCH("Tlaxcala",D303)),"STX",ISNUMBER(SEARCH("Monterrey",D303)),"SMY",ISNUMBER(SEARCH("Querétaro",D303)),"SQ1",ISNUMBER(SEARCH("CDMX",D303)),"SCM",TRUE,""),"")</f>
        <v/>
      </c>
      <c r="U303" s="48" t="str" cm="1">
        <f t="array" ref="U303">_xlfn.LET(_xlpm.resultados,_xlfn.UNIQUE(_xlfn._xlws.FILTER(Tabla1[Proceso],(Tabla1[Metal Base]=O303)*(Tabla1[Etiquetas]=_xlfn.TEXTJOIN(" + ",TRUE,IF((TRIM(Upload!P303:S303)="")+(LOWER(TRIM(Upload!P303:S303))="(seleccione)"),"",PROPER(TRIM(Upload!P303:S303)))))*(Tabla1[Línea2]=IFERROR(VLOOKUP(Upload!N303&amp;"*",CAT_Procesos!D:D,1,FALSE),"")))),_xlpm.cantidad,ROWS(_xlpm.resultados),IF(ISERROR(_xlpm.cantidad),"Combinación no existente",IF(_xlpm.cantidad=1,INDEX(_xlpm.resultados,1),"(seleccione)")))</f>
        <v>Combinación no existente</v>
      </c>
      <c r="V303" s="55" t="s">
        <v>73</v>
      </c>
      <c r="W303" s="56" t="s">
        <v>73</v>
      </c>
      <c r="X303" s="57" t="str">
        <f t="shared" si="16"/>
        <v/>
      </c>
      <c r="Y303" s="58" t="s">
        <v>73</v>
      </c>
      <c r="Z303" s="57" t="str">
        <f t="shared" si="17"/>
        <v/>
      </c>
      <c r="AA303" s="58" t="s">
        <v>73</v>
      </c>
      <c r="AB303" s="57" t="str">
        <f t="shared" si="18"/>
        <v/>
      </c>
      <c r="AC303" s="58" t="s">
        <v>73</v>
      </c>
      <c r="AD303" s="57" t="str">
        <f t="shared" si="19"/>
        <v/>
      </c>
      <c r="AE303" s="59"/>
      <c r="AF303" s="59"/>
      <c r="AG303" s="59"/>
      <c r="AH303" s="59"/>
      <c r="AI303" s="59" t="s">
        <v>73</v>
      </c>
      <c r="AJ303" s="59"/>
      <c r="AK303" s="59" t="s">
        <v>73</v>
      </c>
      <c r="AL303" s="59"/>
      <c r="AM303" s="59" t="s">
        <v>73</v>
      </c>
      <c r="AN303" s="59"/>
      <c r="AO303" s="59" t="s">
        <v>73</v>
      </c>
      <c r="AP303" s="59"/>
      <c r="AQ303" s="59" t="s">
        <v>73</v>
      </c>
      <c r="AR303" s="59"/>
      <c r="AS303" s="59" t="s">
        <v>72</v>
      </c>
      <c r="AT303" s="59"/>
      <c r="AU303" s="59"/>
      <c r="AV303" s="59"/>
      <c r="AW303" s="59"/>
      <c r="AX303" s="59"/>
      <c r="AY303" s="60" t="str">
        <f>IF('Cálculo MP'!K313="","",'Cálculo MP'!K313)</f>
        <v/>
      </c>
      <c r="AZ303" s="60" t="str">
        <f>IF('Cálculo MP'!L313="","",'Cálculo MP'!L313)</f>
        <v/>
      </c>
      <c r="BA303" s="60" t="str">
        <f>IF('Cálculo MP'!M313="","",'Cálculo MP'!M313)</f>
        <v/>
      </c>
      <c r="BB303" s="60" t="str">
        <f>IF('Cálculo MP'!N313="","",'Cálculo MP'!N313)</f>
        <v/>
      </c>
      <c r="BC303" s="60" t="str">
        <f>IF('Cálculo MP'!O313="","",'Cálculo MP'!O313)</f>
        <v/>
      </c>
      <c r="BD303" s="60" t="str">
        <f>IF('Cálculo MP'!P313="","",'Cálculo MP'!P313)</f>
        <v/>
      </c>
      <c r="BE303" s="60" t="str">
        <f>IF('Cálculo MP'!Q313="","",'Cálculo MP'!Q313)</f>
        <v/>
      </c>
      <c r="BF303" s="60" t="str">
        <f>IF('Cálculo MP'!R313="","",'Cálculo MP'!R313)</f>
        <v/>
      </c>
      <c r="BG303" s="60" t="str">
        <f>IF('Cálculo MP'!S313="","",'Cálculo MP'!S313)</f>
        <v/>
      </c>
      <c r="BH303" s="59"/>
      <c r="BI303" s="59"/>
      <c r="BJ303" s="59"/>
      <c r="BK303" s="59"/>
      <c r="BL303" s="59"/>
      <c r="BM303" s="59"/>
      <c r="BN303" s="59"/>
      <c r="BO303" s="59"/>
    </row>
    <row r="304" spans="1:67" ht="19.5" customHeight="1" x14ac:dyDescent="0.2">
      <c r="A304" s="114" t="s">
        <v>1789</v>
      </c>
      <c r="B304" s="113" t="s">
        <v>1787</v>
      </c>
      <c r="C304" s="122"/>
      <c r="D304" s="48" t="s">
        <v>73</v>
      </c>
      <c r="E304" s="49"/>
      <c r="F304" s="50"/>
      <c r="G304" s="62"/>
      <c r="H304" s="48" t="s">
        <v>72</v>
      </c>
      <c r="I304" s="52">
        <v>1</v>
      </c>
      <c r="J304" s="52"/>
      <c r="K304" s="52" t="s">
        <v>73</v>
      </c>
      <c r="L304" s="52" t="s">
        <v>74</v>
      </c>
      <c r="M304" s="53" t="s">
        <v>917</v>
      </c>
      <c r="N304" s="58" t="s">
        <v>73</v>
      </c>
      <c r="O304" s="48" t="s">
        <v>72</v>
      </c>
      <c r="P304" s="48" t="s">
        <v>73</v>
      </c>
      <c r="Q304" s="54" t="s">
        <v>73</v>
      </c>
      <c r="R304" s="55" t="s">
        <v>73</v>
      </c>
      <c r="S304" s="48" t="s">
        <v>73</v>
      </c>
      <c r="T304" s="121" t="str" cm="1">
        <f t="array" ref="T304">IF(ISNUMBER(SEARCH("SCHNEIDER",D304)),_xlfn.IFS(ISNUMBER(SEARCH("2 Querétaro",D304)),"SQ2",ISNUMBER(SEARCH("Xicohténcatl",D304)),"SXC",ISNUMBER(SEARCH("Rojo Gómez",D304)),"SRG",ISNUMBER(SEARCH("Tlaxcala",D304)),"STX",ISNUMBER(SEARCH("Monterrey",D304)),"SMY",ISNUMBER(SEARCH("Querétaro",D304)),"SQ1",ISNUMBER(SEARCH("CDMX",D304)),"SCM",TRUE,""),"")</f>
        <v/>
      </c>
      <c r="U304" s="48" t="str" cm="1">
        <f t="array" ref="U304">_xlfn.LET(_xlpm.resultados,_xlfn.UNIQUE(_xlfn._xlws.FILTER(Tabla1[Proceso],(Tabla1[Metal Base]=O304)*(Tabla1[Etiquetas]=_xlfn.TEXTJOIN(" + ",TRUE,IF((TRIM(Upload!P304:S304)="")+(LOWER(TRIM(Upload!P304:S304))="(seleccione)"),"",PROPER(TRIM(Upload!P304:S304)))))*(Tabla1[Línea2]=IFERROR(VLOOKUP(Upload!N304&amp;"*",CAT_Procesos!D:D,1,FALSE),"")))),_xlpm.cantidad,ROWS(_xlpm.resultados),IF(ISERROR(_xlpm.cantidad),"Combinación no existente",IF(_xlpm.cantidad=1,INDEX(_xlpm.resultados,1),"(seleccione)")))</f>
        <v>Combinación no existente</v>
      </c>
      <c r="V304" s="55" t="s">
        <v>73</v>
      </c>
      <c r="W304" s="56" t="s">
        <v>73</v>
      </c>
      <c r="X304" s="57" t="str">
        <f t="shared" si="16"/>
        <v/>
      </c>
      <c r="Y304" s="58" t="s">
        <v>73</v>
      </c>
      <c r="Z304" s="57" t="str">
        <f t="shared" si="17"/>
        <v/>
      </c>
      <c r="AA304" s="58" t="s">
        <v>73</v>
      </c>
      <c r="AB304" s="57" t="str">
        <f t="shared" si="18"/>
        <v/>
      </c>
      <c r="AC304" s="58" t="s">
        <v>73</v>
      </c>
      <c r="AD304" s="57" t="str">
        <f t="shared" si="19"/>
        <v/>
      </c>
      <c r="AE304" s="59"/>
      <c r="AF304" s="59"/>
      <c r="AG304" s="59"/>
      <c r="AH304" s="59"/>
      <c r="AI304" s="59" t="s">
        <v>73</v>
      </c>
      <c r="AJ304" s="59"/>
      <c r="AK304" s="59" t="s">
        <v>73</v>
      </c>
      <c r="AL304" s="59"/>
      <c r="AM304" s="59" t="s">
        <v>73</v>
      </c>
      <c r="AN304" s="59"/>
      <c r="AO304" s="59" t="s">
        <v>73</v>
      </c>
      <c r="AP304" s="59"/>
      <c r="AQ304" s="59" t="s">
        <v>73</v>
      </c>
      <c r="AR304" s="59"/>
      <c r="AS304" s="59" t="s">
        <v>72</v>
      </c>
      <c r="AT304" s="59"/>
      <c r="AU304" s="59"/>
      <c r="AV304" s="59"/>
      <c r="AW304" s="59"/>
      <c r="AX304" s="59"/>
      <c r="AY304" s="60" t="str">
        <f>IF('Cálculo MP'!K314="","",'Cálculo MP'!K314)</f>
        <v/>
      </c>
      <c r="AZ304" s="60" t="str">
        <f>IF('Cálculo MP'!L314="","",'Cálculo MP'!L314)</f>
        <v/>
      </c>
      <c r="BA304" s="60" t="str">
        <f>IF('Cálculo MP'!M314="","",'Cálculo MP'!M314)</f>
        <v/>
      </c>
      <c r="BB304" s="60" t="str">
        <f>IF('Cálculo MP'!N314="","",'Cálculo MP'!N314)</f>
        <v/>
      </c>
      <c r="BC304" s="60" t="str">
        <f>IF('Cálculo MP'!O314="","",'Cálculo MP'!O314)</f>
        <v/>
      </c>
      <c r="BD304" s="60" t="str">
        <f>IF('Cálculo MP'!P314="","",'Cálculo MP'!P314)</f>
        <v/>
      </c>
      <c r="BE304" s="60" t="str">
        <f>IF('Cálculo MP'!Q314="","",'Cálculo MP'!Q314)</f>
        <v/>
      </c>
      <c r="BF304" s="60" t="str">
        <f>IF('Cálculo MP'!R314="","",'Cálculo MP'!R314)</f>
        <v/>
      </c>
      <c r="BG304" s="60" t="str">
        <f>IF('Cálculo MP'!S314="","",'Cálculo MP'!S314)</f>
        <v/>
      </c>
      <c r="BH304" s="59"/>
      <c r="BI304" s="59"/>
      <c r="BJ304" s="59"/>
      <c r="BK304" s="59"/>
      <c r="BL304" s="59"/>
      <c r="BM304" s="59"/>
      <c r="BN304" s="59"/>
      <c r="BO304" s="59"/>
    </row>
    <row r="305" spans="1:67" ht="19.5" customHeight="1" x14ac:dyDescent="0.2">
      <c r="A305" s="114" t="s">
        <v>1789</v>
      </c>
      <c r="B305" s="113" t="s">
        <v>1787</v>
      </c>
      <c r="C305" s="122"/>
      <c r="D305" s="48" t="s">
        <v>73</v>
      </c>
      <c r="E305" s="49"/>
      <c r="F305" s="50"/>
      <c r="G305" s="62"/>
      <c r="H305" s="48" t="s">
        <v>72</v>
      </c>
      <c r="I305" s="52">
        <v>1</v>
      </c>
      <c r="J305" s="52"/>
      <c r="K305" s="52" t="s">
        <v>73</v>
      </c>
      <c r="L305" s="52" t="s">
        <v>74</v>
      </c>
      <c r="M305" s="53" t="s">
        <v>917</v>
      </c>
      <c r="N305" s="58" t="s">
        <v>73</v>
      </c>
      <c r="O305" s="48" t="s">
        <v>72</v>
      </c>
      <c r="P305" s="48" t="s">
        <v>73</v>
      </c>
      <c r="Q305" s="54" t="s">
        <v>73</v>
      </c>
      <c r="R305" s="55" t="s">
        <v>73</v>
      </c>
      <c r="S305" s="48" t="s">
        <v>73</v>
      </c>
      <c r="T305" s="121" t="str" cm="1">
        <f t="array" ref="T305">IF(ISNUMBER(SEARCH("SCHNEIDER",D305)),_xlfn.IFS(ISNUMBER(SEARCH("2 Querétaro",D305)),"SQ2",ISNUMBER(SEARCH("Xicohténcatl",D305)),"SXC",ISNUMBER(SEARCH("Rojo Gómez",D305)),"SRG",ISNUMBER(SEARCH("Tlaxcala",D305)),"STX",ISNUMBER(SEARCH("Monterrey",D305)),"SMY",ISNUMBER(SEARCH("Querétaro",D305)),"SQ1",ISNUMBER(SEARCH("CDMX",D305)),"SCM",TRUE,""),"")</f>
        <v/>
      </c>
      <c r="U305" s="48" t="str" cm="1">
        <f t="array" ref="U305">_xlfn.LET(_xlpm.resultados,_xlfn.UNIQUE(_xlfn._xlws.FILTER(Tabla1[Proceso],(Tabla1[Metal Base]=O305)*(Tabla1[Etiquetas]=_xlfn.TEXTJOIN(" + ",TRUE,IF((TRIM(Upload!P305:S305)="")+(LOWER(TRIM(Upload!P305:S305))="(seleccione)"),"",PROPER(TRIM(Upload!P305:S305)))))*(Tabla1[Línea2]=IFERROR(VLOOKUP(Upload!N305&amp;"*",CAT_Procesos!D:D,1,FALSE),"")))),_xlpm.cantidad,ROWS(_xlpm.resultados),IF(ISERROR(_xlpm.cantidad),"Combinación no existente",IF(_xlpm.cantidad=1,INDEX(_xlpm.resultados,1),"(seleccione)")))</f>
        <v>Combinación no existente</v>
      </c>
      <c r="V305" s="55" t="s">
        <v>73</v>
      </c>
      <c r="W305" s="56" t="s">
        <v>73</v>
      </c>
      <c r="X305" s="57" t="str">
        <f t="shared" si="16"/>
        <v/>
      </c>
      <c r="Y305" s="58" t="s">
        <v>73</v>
      </c>
      <c r="Z305" s="57" t="str">
        <f t="shared" si="17"/>
        <v/>
      </c>
      <c r="AA305" s="58" t="s">
        <v>73</v>
      </c>
      <c r="AB305" s="57" t="str">
        <f t="shared" si="18"/>
        <v/>
      </c>
      <c r="AC305" s="58" t="s">
        <v>73</v>
      </c>
      <c r="AD305" s="57" t="str">
        <f t="shared" si="19"/>
        <v/>
      </c>
      <c r="AE305" s="59"/>
      <c r="AF305" s="59"/>
      <c r="AG305" s="59"/>
      <c r="AH305" s="59"/>
      <c r="AI305" s="59" t="s">
        <v>73</v>
      </c>
      <c r="AJ305" s="59"/>
      <c r="AK305" s="59" t="s">
        <v>73</v>
      </c>
      <c r="AL305" s="59"/>
      <c r="AM305" s="59" t="s">
        <v>73</v>
      </c>
      <c r="AN305" s="59"/>
      <c r="AO305" s="59" t="s">
        <v>73</v>
      </c>
      <c r="AP305" s="59"/>
      <c r="AQ305" s="59" t="s">
        <v>73</v>
      </c>
      <c r="AR305" s="59"/>
      <c r="AS305" s="59" t="s">
        <v>72</v>
      </c>
      <c r="AT305" s="59"/>
      <c r="AU305" s="59"/>
      <c r="AV305" s="59"/>
      <c r="AW305" s="59"/>
      <c r="AX305" s="59"/>
      <c r="AY305" s="60" t="str">
        <f>IF('Cálculo MP'!K315="","",'Cálculo MP'!K315)</f>
        <v/>
      </c>
      <c r="AZ305" s="60" t="str">
        <f>IF('Cálculo MP'!L315="","",'Cálculo MP'!L315)</f>
        <v/>
      </c>
      <c r="BA305" s="60" t="str">
        <f>IF('Cálculo MP'!M315="","",'Cálculo MP'!M315)</f>
        <v/>
      </c>
      <c r="BB305" s="60" t="str">
        <f>IF('Cálculo MP'!N315="","",'Cálculo MP'!N315)</f>
        <v/>
      </c>
      <c r="BC305" s="60" t="str">
        <f>IF('Cálculo MP'!O315="","",'Cálculo MP'!O315)</f>
        <v/>
      </c>
      <c r="BD305" s="60" t="str">
        <f>IF('Cálculo MP'!P315="","",'Cálculo MP'!P315)</f>
        <v/>
      </c>
      <c r="BE305" s="60" t="str">
        <f>IF('Cálculo MP'!Q315="","",'Cálculo MP'!Q315)</f>
        <v/>
      </c>
      <c r="BF305" s="60" t="str">
        <f>IF('Cálculo MP'!R315="","",'Cálculo MP'!R315)</f>
        <v/>
      </c>
      <c r="BG305" s="60" t="str">
        <f>IF('Cálculo MP'!S315="","",'Cálculo MP'!S315)</f>
        <v/>
      </c>
      <c r="BH305" s="59"/>
      <c r="BI305" s="59"/>
      <c r="BJ305" s="59"/>
      <c r="BK305" s="59"/>
      <c r="BL305" s="59"/>
      <c r="BM305" s="59"/>
      <c r="BN305" s="59"/>
      <c r="BO305" s="59"/>
    </row>
    <row r="306" spans="1:67" ht="19.5" customHeight="1" x14ac:dyDescent="0.2">
      <c r="A306" s="114" t="s">
        <v>1789</v>
      </c>
      <c r="B306" s="113" t="s">
        <v>1787</v>
      </c>
      <c r="C306" s="122"/>
      <c r="D306" s="48" t="s">
        <v>73</v>
      </c>
      <c r="E306" s="49"/>
      <c r="F306" s="50"/>
      <c r="G306" s="62"/>
      <c r="H306" s="48" t="s">
        <v>72</v>
      </c>
      <c r="I306" s="52">
        <v>1</v>
      </c>
      <c r="J306" s="52"/>
      <c r="K306" s="52" t="s">
        <v>73</v>
      </c>
      <c r="L306" s="52" t="s">
        <v>74</v>
      </c>
      <c r="M306" s="53" t="s">
        <v>917</v>
      </c>
      <c r="N306" s="58" t="s">
        <v>73</v>
      </c>
      <c r="O306" s="48" t="s">
        <v>72</v>
      </c>
      <c r="P306" s="48" t="s">
        <v>73</v>
      </c>
      <c r="Q306" s="54" t="s">
        <v>73</v>
      </c>
      <c r="R306" s="55" t="s">
        <v>73</v>
      </c>
      <c r="S306" s="48" t="s">
        <v>73</v>
      </c>
      <c r="T306" s="121" t="str" cm="1">
        <f t="array" ref="T306">IF(ISNUMBER(SEARCH("SCHNEIDER",D306)),_xlfn.IFS(ISNUMBER(SEARCH("2 Querétaro",D306)),"SQ2",ISNUMBER(SEARCH("Xicohténcatl",D306)),"SXC",ISNUMBER(SEARCH("Rojo Gómez",D306)),"SRG",ISNUMBER(SEARCH("Tlaxcala",D306)),"STX",ISNUMBER(SEARCH("Monterrey",D306)),"SMY",ISNUMBER(SEARCH("Querétaro",D306)),"SQ1",ISNUMBER(SEARCH("CDMX",D306)),"SCM",TRUE,""),"")</f>
        <v/>
      </c>
      <c r="U306" s="48" t="str" cm="1">
        <f t="array" ref="U306">_xlfn.LET(_xlpm.resultados,_xlfn.UNIQUE(_xlfn._xlws.FILTER(Tabla1[Proceso],(Tabla1[Metal Base]=O306)*(Tabla1[Etiquetas]=_xlfn.TEXTJOIN(" + ",TRUE,IF((TRIM(Upload!P306:S306)="")+(LOWER(TRIM(Upload!P306:S306))="(seleccione)"),"",PROPER(TRIM(Upload!P306:S306)))))*(Tabla1[Línea2]=IFERROR(VLOOKUP(Upload!N306&amp;"*",CAT_Procesos!D:D,1,FALSE),"")))),_xlpm.cantidad,ROWS(_xlpm.resultados),IF(ISERROR(_xlpm.cantidad),"Combinación no existente",IF(_xlpm.cantidad=1,INDEX(_xlpm.resultados,1),"(seleccione)")))</f>
        <v>Combinación no existente</v>
      </c>
      <c r="V306" s="55" t="s">
        <v>73</v>
      </c>
      <c r="W306" s="56" t="s">
        <v>73</v>
      </c>
      <c r="X306" s="57" t="str">
        <f t="shared" si="16"/>
        <v/>
      </c>
      <c r="Y306" s="58" t="s">
        <v>73</v>
      </c>
      <c r="Z306" s="57" t="str">
        <f t="shared" si="17"/>
        <v/>
      </c>
      <c r="AA306" s="58" t="s">
        <v>73</v>
      </c>
      <c r="AB306" s="57" t="str">
        <f t="shared" si="18"/>
        <v/>
      </c>
      <c r="AC306" s="58" t="s">
        <v>73</v>
      </c>
      <c r="AD306" s="57" t="str">
        <f t="shared" si="19"/>
        <v/>
      </c>
      <c r="AE306" s="59"/>
      <c r="AF306" s="59"/>
      <c r="AG306" s="59"/>
      <c r="AH306" s="59"/>
      <c r="AI306" s="59" t="s">
        <v>73</v>
      </c>
      <c r="AJ306" s="59"/>
      <c r="AK306" s="59" t="s">
        <v>73</v>
      </c>
      <c r="AL306" s="59"/>
      <c r="AM306" s="59" t="s">
        <v>73</v>
      </c>
      <c r="AN306" s="59"/>
      <c r="AO306" s="59" t="s">
        <v>73</v>
      </c>
      <c r="AP306" s="59"/>
      <c r="AQ306" s="59" t="s">
        <v>73</v>
      </c>
      <c r="AR306" s="59"/>
      <c r="AS306" s="59" t="s">
        <v>72</v>
      </c>
      <c r="AT306" s="59"/>
      <c r="AU306" s="59"/>
      <c r="AV306" s="59"/>
      <c r="AW306" s="59"/>
      <c r="AX306" s="59"/>
      <c r="AY306" s="60" t="str">
        <f>IF('Cálculo MP'!K316="","",'Cálculo MP'!K316)</f>
        <v/>
      </c>
      <c r="AZ306" s="60" t="str">
        <f>IF('Cálculo MP'!L316="","",'Cálculo MP'!L316)</f>
        <v/>
      </c>
      <c r="BA306" s="60" t="str">
        <f>IF('Cálculo MP'!M316="","",'Cálculo MP'!M316)</f>
        <v/>
      </c>
      <c r="BB306" s="60" t="str">
        <f>IF('Cálculo MP'!N316="","",'Cálculo MP'!N316)</f>
        <v/>
      </c>
      <c r="BC306" s="60" t="str">
        <f>IF('Cálculo MP'!O316="","",'Cálculo MP'!O316)</f>
        <v/>
      </c>
      <c r="BD306" s="60" t="str">
        <f>IF('Cálculo MP'!P316="","",'Cálculo MP'!P316)</f>
        <v/>
      </c>
      <c r="BE306" s="60" t="str">
        <f>IF('Cálculo MP'!Q316="","",'Cálculo MP'!Q316)</f>
        <v/>
      </c>
      <c r="BF306" s="60" t="str">
        <f>IF('Cálculo MP'!R316="","",'Cálculo MP'!R316)</f>
        <v/>
      </c>
      <c r="BG306" s="60" t="str">
        <f>IF('Cálculo MP'!S316="","",'Cálculo MP'!S316)</f>
        <v/>
      </c>
      <c r="BH306" s="59"/>
      <c r="BI306" s="59"/>
      <c r="BJ306" s="59"/>
      <c r="BK306" s="59"/>
      <c r="BL306" s="59"/>
      <c r="BM306" s="59"/>
      <c r="BN306" s="59"/>
      <c r="BO306" s="59"/>
    </row>
    <row r="307" spans="1:67" ht="19.5" customHeight="1" x14ac:dyDescent="0.2">
      <c r="A307" s="114" t="s">
        <v>1789</v>
      </c>
      <c r="B307" s="113" t="s">
        <v>1787</v>
      </c>
      <c r="C307" s="122"/>
      <c r="D307" s="48" t="s">
        <v>73</v>
      </c>
      <c r="E307" s="49"/>
      <c r="F307" s="50"/>
      <c r="G307" s="62"/>
      <c r="H307" s="48" t="s">
        <v>72</v>
      </c>
      <c r="I307" s="52">
        <v>1</v>
      </c>
      <c r="J307" s="52"/>
      <c r="K307" s="52" t="s">
        <v>73</v>
      </c>
      <c r="L307" s="52" t="s">
        <v>74</v>
      </c>
      <c r="M307" s="53" t="s">
        <v>917</v>
      </c>
      <c r="N307" s="58" t="s">
        <v>73</v>
      </c>
      <c r="O307" s="48" t="s">
        <v>72</v>
      </c>
      <c r="P307" s="48" t="s">
        <v>73</v>
      </c>
      <c r="Q307" s="54" t="s">
        <v>73</v>
      </c>
      <c r="R307" s="55" t="s">
        <v>73</v>
      </c>
      <c r="S307" s="48" t="s">
        <v>73</v>
      </c>
      <c r="T307" s="121" t="str" cm="1">
        <f t="array" ref="T307">IF(ISNUMBER(SEARCH("SCHNEIDER",D307)),_xlfn.IFS(ISNUMBER(SEARCH("2 Querétaro",D307)),"SQ2",ISNUMBER(SEARCH("Xicohténcatl",D307)),"SXC",ISNUMBER(SEARCH("Rojo Gómez",D307)),"SRG",ISNUMBER(SEARCH("Tlaxcala",D307)),"STX",ISNUMBER(SEARCH("Monterrey",D307)),"SMY",ISNUMBER(SEARCH("Querétaro",D307)),"SQ1",ISNUMBER(SEARCH("CDMX",D307)),"SCM",TRUE,""),"")</f>
        <v/>
      </c>
      <c r="U307" s="48" t="str" cm="1">
        <f t="array" ref="U307">_xlfn.LET(_xlpm.resultados,_xlfn.UNIQUE(_xlfn._xlws.FILTER(Tabla1[Proceso],(Tabla1[Metal Base]=O307)*(Tabla1[Etiquetas]=_xlfn.TEXTJOIN(" + ",TRUE,IF((TRIM(Upload!P307:S307)="")+(LOWER(TRIM(Upload!P307:S307))="(seleccione)"),"",PROPER(TRIM(Upload!P307:S307)))))*(Tabla1[Línea2]=IFERROR(VLOOKUP(Upload!N307&amp;"*",CAT_Procesos!D:D,1,FALSE),"")))),_xlpm.cantidad,ROWS(_xlpm.resultados),IF(ISERROR(_xlpm.cantidad),"Combinación no existente",IF(_xlpm.cantidad=1,INDEX(_xlpm.resultados,1),"(seleccione)")))</f>
        <v>Combinación no existente</v>
      </c>
      <c r="V307" s="55" t="s">
        <v>73</v>
      </c>
      <c r="W307" s="56" t="s">
        <v>73</v>
      </c>
      <c r="X307" s="57" t="str">
        <f t="shared" si="16"/>
        <v/>
      </c>
      <c r="Y307" s="58" t="s">
        <v>73</v>
      </c>
      <c r="Z307" s="57" t="str">
        <f t="shared" si="17"/>
        <v/>
      </c>
      <c r="AA307" s="58" t="s">
        <v>73</v>
      </c>
      <c r="AB307" s="57" t="str">
        <f t="shared" si="18"/>
        <v/>
      </c>
      <c r="AC307" s="58" t="s">
        <v>73</v>
      </c>
      <c r="AD307" s="57" t="str">
        <f t="shared" si="19"/>
        <v/>
      </c>
      <c r="AE307" s="59"/>
      <c r="AF307" s="59"/>
      <c r="AG307" s="59"/>
      <c r="AH307" s="59"/>
      <c r="AI307" s="59" t="s">
        <v>73</v>
      </c>
      <c r="AJ307" s="59"/>
      <c r="AK307" s="59" t="s">
        <v>73</v>
      </c>
      <c r="AL307" s="59"/>
      <c r="AM307" s="59" t="s">
        <v>73</v>
      </c>
      <c r="AN307" s="59"/>
      <c r="AO307" s="59" t="s">
        <v>73</v>
      </c>
      <c r="AP307" s="59"/>
      <c r="AQ307" s="59" t="s">
        <v>73</v>
      </c>
      <c r="AR307" s="59"/>
      <c r="AS307" s="59" t="s">
        <v>72</v>
      </c>
      <c r="AT307" s="59"/>
      <c r="AU307" s="59"/>
      <c r="AV307" s="59"/>
      <c r="AW307" s="59"/>
      <c r="AX307" s="59"/>
      <c r="AY307" s="60" t="str">
        <f>IF('Cálculo MP'!K317="","",'Cálculo MP'!K317)</f>
        <v/>
      </c>
      <c r="AZ307" s="60" t="str">
        <f>IF('Cálculo MP'!L317="","",'Cálculo MP'!L317)</f>
        <v/>
      </c>
      <c r="BA307" s="60" t="str">
        <f>IF('Cálculo MP'!M317="","",'Cálculo MP'!M317)</f>
        <v/>
      </c>
      <c r="BB307" s="60" t="str">
        <f>IF('Cálculo MP'!N317="","",'Cálculo MP'!N317)</f>
        <v/>
      </c>
      <c r="BC307" s="60" t="str">
        <f>IF('Cálculo MP'!O317="","",'Cálculo MP'!O317)</f>
        <v/>
      </c>
      <c r="BD307" s="60" t="str">
        <f>IF('Cálculo MP'!P317="","",'Cálculo MP'!P317)</f>
        <v/>
      </c>
      <c r="BE307" s="60" t="str">
        <f>IF('Cálculo MP'!Q317="","",'Cálculo MP'!Q317)</f>
        <v/>
      </c>
      <c r="BF307" s="60" t="str">
        <f>IF('Cálculo MP'!R317="","",'Cálculo MP'!R317)</f>
        <v/>
      </c>
      <c r="BG307" s="60" t="str">
        <f>IF('Cálculo MP'!S317="","",'Cálculo MP'!S317)</f>
        <v/>
      </c>
      <c r="BH307" s="59"/>
      <c r="BI307" s="59"/>
      <c r="BJ307" s="59"/>
      <c r="BK307" s="59"/>
      <c r="BL307" s="59"/>
      <c r="BM307" s="59"/>
      <c r="BN307" s="59"/>
      <c r="BO307" s="59"/>
    </row>
    <row r="308" spans="1:67" ht="19.5" customHeight="1" x14ac:dyDescent="0.2">
      <c r="A308" s="114" t="s">
        <v>1789</v>
      </c>
      <c r="B308" s="113" t="s">
        <v>1787</v>
      </c>
      <c r="C308" s="122"/>
      <c r="D308" s="48" t="s">
        <v>73</v>
      </c>
      <c r="E308" s="49"/>
      <c r="F308" s="50"/>
      <c r="G308" s="62"/>
      <c r="H308" s="48" t="s">
        <v>72</v>
      </c>
      <c r="I308" s="52">
        <v>1</v>
      </c>
      <c r="J308" s="52"/>
      <c r="K308" s="52" t="s">
        <v>73</v>
      </c>
      <c r="L308" s="52" t="s">
        <v>74</v>
      </c>
      <c r="M308" s="53" t="s">
        <v>917</v>
      </c>
      <c r="N308" s="58" t="s">
        <v>73</v>
      </c>
      <c r="O308" s="48" t="s">
        <v>72</v>
      </c>
      <c r="P308" s="48" t="s">
        <v>73</v>
      </c>
      <c r="Q308" s="54" t="s">
        <v>73</v>
      </c>
      <c r="R308" s="55" t="s">
        <v>73</v>
      </c>
      <c r="S308" s="48" t="s">
        <v>73</v>
      </c>
      <c r="T308" s="121" t="str" cm="1">
        <f t="array" ref="T308">IF(ISNUMBER(SEARCH("SCHNEIDER",D308)),_xlfn.IFS(ISNUMBER(SEARCH("2 Querétaro",D308)),"SQ2",ISNUMBER(SEARCH("Xicohténcatl",D308)),"SXC",ISNUMBER(SEARCH("Rojo Gómez",D308)),"SRG",ISNUMBER(SEARCH("Tlaxcala",D308)),"STX",ISNUMBER(SEARCH("Monterrey",D308)),"SMY",ISNUMBER(SEARCH("Querétaro",D308)),"SQ1",ISNUMBER(SEARCH("CDMX",D308)),"SCM",TRUE,""),"")</f>
        <v/>
      </c>
      <c r="U308" s="48" t="str" cm="1">
        <f t="array" ref="U308">_xlfn.LET(_xlpm.resultados,_xlfn.UNIQUE(_xlfn._xlws.FILTER(Tabla1[Proceso],(Tabla1[Metal Base]=O308)*(Tabla1[Etiquetas]=_xlfn.TEXTJOIN(" + ",TRUE,IF((TRIM(Upload!P308:S308)="")+(LOWER(TRIM(Upload!P308:S308))="(seleccione)"),"",PROPER(TRIM(Upload!P308:S308)))))*(Tabla1[Línea2]=IFERROR(VLOOKUP(Upload!N308&amp;"*",CAT_Procesos!D:D,1,FALSE),"")))),_xlpm.cantidad,ROWS(_xlpm.resultados),IF(ISERROR(_xlpm.cantidad),"Combinación no existente",IF(_xlpm.cantidad=1,INDEX(_xlpm.resultados,1),"(seleccione)")))</f>
        <v>Combinación no existente</v>
      </c>
      <c r="V308" s="55" t="s">
        <v>73</v>
      </c>
      <c r="W308" s="56" t="s">
        <v>73</v>
      </c>
      <c r="X308" s="57" t="str">
        <f t="shared" si="16"/>
        <v/>
      </c>
      <c r="Y308" s="58" t="s">
        <v>73</v>
      </c>
      <c r="Z308" s="57" t="str">
        <f t="shared" si="17"/>
        <v/>
      </c>
      <c r="AA308" s="58" t="s">
        <v>73</v>
      </c>
      <c r="AB308" s="57" t="str">
        <f t="shared" si="18"/>
        <v/>
      </c>
      <c r="AC308" s="58" t="s">
        <v>73</v>
      </c>
      <c r="AD308" s="57" t="str">
        <f t="shared" si="19"/>
        <v/>
      </c>
      <c r="AE308" s="59"/>
      <c r="AF308" s="59"/>
      <c r="AG308" s="59"/>
      <c r="AH308" s="59"/>
      <c r="AI308" s="59" t="s">
        <v>73</v>
      </c>
      <c r="AJ308" s="59"/>
      <c r="AK308" s="59" t="s">
        <v>73</v>
      </c>
      <c r="AL308" s="59"/>
      <c r="AM308" s="59" t="s">
        <v>73</v>
      </c>
      <c r="AN308" s="59"/>
      <c r="AO308" s="59" t="s">
        <v>73</v>
      </c>
      <c r="AP308" s="59"/>
      <c r="AQ308" s="59" t="s">
        <v>73</v>
      </c>
      <c r="AR308" s="59"/>
      <c r="AS308" s="59" t="s">
        <v>72</v>
      </c>
      <c r="AT308" s="59"/>
      <c r="AU308" s="59"/>
      <c r="AV308" s="59"/>
      <c r="AW308" s="59"/>
      <c r="AX308" s="59"/>
      <c r="AY308" s="60" t="str">
        <f>IF('Cálculo MP'!K318="","",'Cálculo MP'!K318)</f>
        <v/>
      </c>
      <c r="AZ308" s="60" t="str">
        <f>IF('Cálculo MP'!L318="","",'Cálculo MP'!L318)</f>
        <v/>
      </c>
      <c r="BA308" s="60" t="str">
        <f>IF('Cálculo MP'!M318="","",'Cálculo MP'!M318)</f>
        <v/>
      </c>
      <c r="BB308" s="60" t="str">
        <f>IF('Cálculo MP'!N318="","",'Cálculo MP'!N318)</f>
        <v/>
      </c>
      <c r="BC308" s="60" t="str">
        <f>IF('Cálculo MP'!O318="","",'Cálculo MP'!O318)</f>
        <v/>
      </c>
      <c r="BD308" s="60" t="str">
        <f>IF('Cálculo MP'!P318="","",'Cálculo MP'!P318)</f>
        <v/>
      </c>
      <c r="BE308" s="60" t="str">
        <f>IF('Cálculo MP'!Q318="","",'Cálculo MP'!Q318)</f>
        <v/>
      </c>
      <c r="BF308" s="60" t="str">
        <f>IF('Cálculo MP'!R318="","",'Cálculo MP'!R318)</f>
        <v/>
      </c>
      <c r="BG308" s="60" t="str">
        <f>IF('Cálculo MP'!S318="","",'Cálculo MP'!S318)</f>
        <v/>
      </c>
      <c r="BH308" s="59"/>
      <c r="BI308" s="59"/>
      <c r="BJ308" s="59"/>
      <c r="BK308" s="59"/>
      <c r="BL308" s="59"/>
      <c r="BM308" s="59"/>
      <c r="BN308" s="59"/>
      <c r="BO308" s="59"/>
    </row>
    <row r="309" spans="1:67" ht="19.5" customHeight="1" x14ac:dyDescent="0.2">
      <c r="A309" s="114" t="s">
        <v>1789</v>
      </c>
      <c r="B309" s="113" t="s">
        <v>1787</v>
      </c>
      <c r="C309" s="122"/>
      <c r="D309" s="48" t="s">
        <v>73</v>
      </c>
      <c r="E309" s="49"/>
      <c r="F309" s="50"/>
      <c r="G309" s="62"/>
      <c r="H309" s="48" t="s">
        <v>72</v>
      </c>
      <c r="I309" s="52">
        <v>1</v>
      </c>
      <c r="J309" s="52"/>
      <c r="K309" s="52" t="s">
        <v>73</v>
      </c>
      <c r="L309" s="52" t="s">
        <v>74</v>
      </c>
      <c r="M309" s="53" t="s">
        <v>917</v>
      </c>
      <c r="N309" s="58" t="s">
        <v>73</v>
      </c>
      <c r="O309" s="48" t="s">
        <v>72</v>
      </c>
      <c r="P309" s="48" t="s">
        <v>73</v>
      </c>
      <c r="Q309" s="54" t="s">
        <v>73</v>
      </c>
      <c r="R309" s="55" t="s">
        <v>73</v>
      </c>
      <c r="S309" s="48" t="s">
        <v>73</v>
      </c>
      <c r="T309" s="121" t="str" cm="1">
        <f t="array" ref="T309">IF(ISNUMBER(SEARCH("SCHNEIDER",D309)),_xlfn.IFS(ISNUMBER(SEARCH("2 Querétaro",D309)),"SQ2",ISNUMBER(SEARCH("Xicohténcatl",D309)),"SXC",ISNUMBER(SEARCH("Rojo Gómez",D309)),"SRG",ISNUMBER(SEARCH("Tlaxcala",D309)),"STX",ISNUMBER(SEARCH("Monterrey",D309)),"SMY",ISNUMBER(SEARCH("Querétaro",D309)),"SQ1",ISNUMBER(SEARCH("CDMX",D309)),"SCM",TRUE,""),"")</f>
        <v/>
      </c>
      <c r="U309" s="48" t="str" cm="1">
        <f t="array" ref="U309">_xlfn.LET(_xlpm.resultados,_xlfn.UNIQUE(_xlfn._xlws.FILTER(Tabla1[Proceso],(Tabla1[Metal Base]=O309)*(Tabla1[Etiquetas]=_xlfn.TEXTJOIN(" + ",TRUE,IF((TRIM(Upload!P309:S309)="")+(LOWER(TRIM(Upload!P309:S309))="(seleccione)"),"",PROPER(TRIM(Upload!P309:S309)))))*(Tabla1[Línea2]=IFERROR(VLOOKUP(Upload!N309&amp;"*",CAT_Procesos!D:D,1,FALSE),"")))),_xlpm.cantidad,ROWS(_xlpm.resultados),IF(ISERROR(_xlpm.cantidad),"Combinación no existente",IF(_xlpm.cantidad=1,INDEX(_xlpm.resultados,1),"(seleccione)")))</f>
        <v>Combinación no existente</v>
      </c>
      <c r="V309" s="55" t="s">
        <v>73</v>
      </c>
      <c r="W309" s="56" t="s">
        <v>73</v>
      </c>
      <c r="X309" s="57" t="str">
        <f t="shared" si="16"/>
        <v/>
      </c>
      <c r="Y309" s="58" t="s">
        <v>73</v>
      </c>
      <c r="Z309" s="57" t="str">
        <f t="shared" si="17"/>
        <v/>
      </c>
      <c r="AA309" s="58" t="s">
        <v>73</v>
      </c>
      <c r="AB309" s="57" t="str">
        <f t="shared" si="18"/>
        <v/>
      </c>
      <c r="AC309" s="58" t="s">
        <v>73</v>
      </c>
      <c r="AD309" s="57" t="str">
        <f t="shared" si="19"/>
        <v/>
      </c>
      <c r="AE309" s="59"/>
      <c r="AF309" s="59"/>
      <c r="AG309" s="59"/>
      <c r="AH309" s="59"/>
      <c r="AI309" s="59" t="s">
        <v>73</v>
      </c>
      <c r="AJ309" s="59"/>
      <c r="AK309" s="59" t="s">
        <v>73</v>
      </c>
      <c r="AL309" s="59"/>
      <c r="AM309" s="59" t="s">
        <v>73</v>
      </c>
      <c r="AN309" s="59"/>
      <c r="AO309" s="59" t="s">
        <v>73</v>
      </c>
      <c r="AP309" s="59"/>
      <c r="AQ309" s="59" t="s">
        <v>73</v>
      </c>
      <c r="AR309" s="59"/>
      <c r="AS309" s="59" t="s">
        <v>72</v>
      </c>
      <c r="AT309" s="59"/>
      <c r="AU309" s="59"/>
      <c r="AV309" s="59"/>
      <c r="AW309" s="59"/>
      <c r="AX309" s="59"/>
      <c r="AY309" s="60" t="str">
        <f>IF('Cálculo MP'!K319="","",'Cálculo MP'!K319)</f>
        <v/>
      </c>
      <c r="AZ309" s="60" t="str">
        <f>IF('Cálculo MP'!L319="","",'Cálculo MP'!L319)</f>
        <v/>
      </c>
      <c r="BA309" s="60" t="str">
        <f>IF('Cálculo MP'!M319="","",'Cálculo MP'!M319)</f>
        <v/>
      </c>
      <c r="BB309" s="60" t="str">
        <f>IF('Cálculo MP'!N319="","",'Cálculo MP'!N319)</f>
        <v/>
      </c>
      <c r="BC309" s="60" t="str">
        <f>IF('Cálculo MP'!O319="","",'Cálculo MP'!O319)</f>
        <v/>
      </c>
      <c r="BD309" s="60" t="str">
        <f>IF('Cálculo MP'!P319="","",'Cálculo MP'!P319)</f>
        <v/>
      </c>
      <c r="BE309" s="60" t="str">
        <f>IF('Cálculo MP'!Q319="","",'Cálculo MP'!Q319)</f>
        <v/>
      </c>
      <c r="BF309" s="60" t="str">
        <f>IF('Cálculo MP'!R319="","",'Cálculo MP'!R319)</f>
        <v/>
      </c>
      <c r="BG309" s="60" t="str">
        <f>IF('Cálculo MP'!S319="","",'Cálculo MP'!S319)</f>
        <v/>
      </c>
      <c r="BH309" s="59"/>
      <c r="BI309" s="59"/>
      <c r="BJ309" s="59"/>
      <c r="BK309" s="59"/>
      <c r="BL309" s="59"/>
      <c r="BM309" s="59"/>
      <c r="BN309" s="59"/>
      <c r="BO309" s="59"/>
    </row>
    <row r="310" spans="1:67" ht="19.5" customHeight="1" x14ac:dyDescent="0.2">
      <c r="A310" s="114" t="s">
        <v>1789</v>
      </c>
      <c r="B310" s="113" t="s">
        <v>1787</v>
      </c>
      <c r="C310" s="122"/>
      <c r="D310" s="48" t="s">
        <v>73</v>
      </c>
      <c r="E310" s="49"/>
      <c r="F310" s="50"/>
      <c r="G310" s="62"/>
      <c r="H310" s="48" t="s">
        <v>72</v>
      </c>
      <c r="I310" s="52">
        <v>1</v>
      </c>
      <c r="J310" s="52"/>
      <c r="K310" s="52" t="s">
        <v>73</v>
      </c>
      <c r="L310" s="52" t="s">
        <v>74</v>
      </c>
      <c r="M310" s="53" t="s">
        <v>917</v>
      </c>
      <c r="N310" s="58" t="s">
        <v>73</v>
      </c>
      <c r="O310" s="48" t="s">
        <v>72</v>
      </c>
      <c r="P310" s="48" t="s">
        <v>73</v>
      </c>
      <c r="Q310" s="54" t="s">
        <v>73</v>
      </c>
      <c r="R310" s="55" t="s">
        <v>73</v>
      </c>
      <c r="S310" s="48" t="s">
        <v>73</v>
      </c>
      <c r="T310" s="121" t="str" cm="1">
        <f t="array" ref="T310">IF(ISNUMBER(SEARCH("SCHNEIDER",D310)),_xlfn.IFS(ISNUMBER(SEARCH("2 Querétaro",D310)),"SQ2",ISNUMBER(SEARCH("Xicohténcatl",D310)),"SXC",ISNUMBER(SEARCH("Rojo Gómez",D310)),"SRG",ISNUMBER(SEARCH("Tlaxcala",D310)),"STX",ISNUMBER(SEARCH("Monterrey",D310)),"SMY",ISNUMBER(SEARCH("Querétaro",D310)),"SQ1",ISNUMBER(SEARCH("CDMX",D310)),"SCM",TRUE,""),"")</f>
        <v/>
      </c>
      <c r="U310" s="48" t="str" cm="1">
        <f t="array" ref="U310">_xlfn.LET(_xlpm.resultados,_xlfn.UNIQUE(_xlfn._xlws.FILTER(Tabla1[Proceso],(Tabla1[Metal Base]=O310)*(Tabla1[Etiquetas]=_xlfn.TEXTJOIN(" + ",TRUE,IF((TRIM(Upload!P310:S310)="")+(LOWER(TRIM(Upload!P310:S310))="(seleccione)"),"",PROPER(TRIM(Upload!P310:S310)))))*(Tabla1[Línea2]=IFERROR(VLOOKUP(Upload!N310&amp;"*",CAT_Procesos!D:D,1,FALSE),"")))),_xlpm.cantidad,ROWS(_xlpm.resultados),IF(ISERROR(_xlpm.cantidad),"Combinación no existente",IF(_xlpm.cantidad=1,INDEX(_xlpm.resultados,1),"(seleccione)")))</f>
        <v>Combinación no existente</v>
      </c>
      <c r="V310" s="55" t="s">
        <v>73</v>
      </c>
      <c r="W310" s="56" t="s">
        <v>73</v>
      </c>
      <c r="X310" s="57" t="str">
        <f t="shared" si="16"/>
        <v/>
      </c>
      <c r="Y310" s="58" t="s">
        <v>73</v>
      </c>
      <c r="Z310" s="57" t="str">
        <f t="shared" si="17"/>
        <v/>
      </c>
      <c r="AA310" s="58" t="s">
        <v>73</v>
      </c>
      <c r="AB310" s="57" t="str">
        <f t="shared" si="18"/>
        <v/>
      </c>
      <c r="AC310" s="58" t="s">
        <v>73</v>
      </c>
      <c r="AD310" s="57" t="str">
        <f t="shared" si="19"/>
        <v/>
      </c>
      <c r="AE310" s="59"/>
      <c r="AF310" s="59"/>
      <c r="AG310" s="59"/>
      <c r="AH310" s="59"/>
      <c r="AI310" s="59" t="s">
        <v>73</v>
      </c>
      <c r="AJ310" s="59"/>
      <c r="AK310" s="59" t="s">
        <v>73</v>
      </c>
      <c r="AL310" s="59"/>
      <c r="AM310" s="59" t="s">
        <v>73</v>
      </c>
      <c r="AN310" s="59"/>
      <c r="AO310" s="59" t="s">
        <v>73</v>
      </c>
      <c r="AP310" s="59"/>
      <c r="AQ310" s="59" t="s">
        <v>73</v>
      </c>
      <c r="AR310" s="59"/>
      <c r="AS310" s="59" t="s">
        <v>72</v>
      </c>
      <c r="AT310" s="59"/>
      <c r="AU310" s="59"/>
      <c r="AV310" s="59"/>
      <c r="AW310" s="59"/>
      <c r="AX310" s="59"/>
      <c r="AY310" s="60" t="str">
        <f>IF('Cálculo MP'!K320="","",'Cálculo MP'!K320)</f>
        <v/>
      </c>
      <c r="AZ310" s="60" t="str">
        <f>IF('Cálculo MP'!L320="","",'Cálculo MP'!L320)</f>
        <v/>
      </c>
      <c r="BA310" s="60" t="str">
        <f>IF('Cálculo MP'!M320="","",'Cálculo MP'!M320)</f>
        <v/>
      </c>
      <c r="BB310" s="60" t="str">
        <f>IF('Cálculo MP'!N320="","",'Cálculo MP'!N320)</f>
        <v/>
      </c>
      <c r="BC310" s="60" t="str">
        <f>IF('Cálculo MP'!O320="","",'Cálculo MP'!O320)</f>
        <v/>
      </c>
      <c r="BD310" s="60" t="str">
        <f>IF('Cálculo MP'!P320="","",'Cálculo MP'!P320)</f>
        <v/>
      </c>
      <c r="BE310" s="60" t="str">
        <f>IF('Cálculo MP'!Q320="","",'Cálculo MP'!Q320)</f>
        <v/>
      </c>
      <c r="BF310" s="60" t="str">
        <f>IF('Cálculo MP'!R320="","",'Cálculo MP'!R320)</f>
        <v/>
      </c>
      <c r="BG310" s="60" t="str">
        <f>IF('Cálculo MP'!S320="","",'Cálculo MP'!S320)</f>
        <v/>
      </c>
      <c r="BH310" s="59"/>
      <c r="BI310" s="59"/>
      <c r="BJ310" s="59"/>
      <c r="BK310" s="59"/>
      <c r="BL310" s="59"/>
      <c r="BM310" s="59"/>
      <c r="BN310" s="59"/>
      <c r="BO310" s="59"/>
    </row>
    <row r="311" spans="1:67" ht="19.5" customHeight="1" x14ac:dyDescent="0.2">
      <c r="A311" s="114" t="s">
        <v>1789</v>
      </c>
      <c r="B311" s="113" t="s">
        <v>1787</v>
      </c>
      <c r="C311" s="122"/>
      <c r="D311" s="48" t="s">
        <v>73</v>
      </c>
      <c r="E311" s="49"/>
      <c r="F311" s="50"/>
      <c r="G311" s="62"/>
      <c r="H311" s="48" t="s">
        <v>72</v>
      </c>
      <c r="I311" s="52">
        <v>1</v>
      </c>
      <c r="J311" s="52"/>
      <c r="K311" s="52" t="s">
        <v>73</v>
      </c>
      <c r="L311" s="52" t="s">
        <v>74</v>
      </c>
      <c r="M311" s="53" t="s">
        <v>917</v>
      </c>
      <c r="N311" s="58" t="s">
        <v>73</v>
      </c>
      <c r="O311" s="48" t="s">
        <v>72</v>
      </c>
      <c r="P311" s="48" t="s">
        <v>73</v>
      </c>
      <c r="Q311" s="54" t="s">
        <v>73</v>
      </c>
      <c r="R311" s="55" t="s">
        <v>73</v>
      </c>
      <c r="S311" s="48" t="s">
        <v>73</v>
      </c>
      <c r="T311" s="121" t="str" cm="1">
        <f t="array" ref="T311">IF(ISNUMBER(SEARCH("SCHNEIDER",D311)),_xlfn.IFS(ISNUMBER(SEARCH("2 Querétaro",D311)),"SQ2",ISNUMBER(SEARCH("Xicohténcatl",D311)),"SXC",ISNUMBER(SEARCH("Rojo Gómez",D311)),"SRG",ISNUMBER(SEARCH("Tlaxcala",D311)),"STX",ISNUMBER(SEARCH("Monterrey",D311)),"SMY",ISNUMBER(SEARCH("Querétaro",D311)),"SQ1",ISNUMBER(SEARCH("CDMX",D311)),"SCM",TRUE,""),"")</f>
        <v/>
      </c>
      <c r="U311" s="48" t="str" cm="1">
        <f t="array" ref="U311">_xlfn.LET(_xlpm.resultados,_xlfn.UNIQUE(_xlfn._xlws.FILTER(Tabla1[Proceso],(Tabla1[Metal Base]=O311)*(Tabla1[Etiquetas]=_xlfn.TEXTJOIN(" + ",TRUE,IF((TRIM(Upload!P311:S311)="")+(LOWER(TRIM(Upload!P311:S311))="(seleccione)"),"",PROPER(TRIM(Upload!P311:S311)))))*(Tabla1[Línea2]=IFERROR(VLOOKUP(Upload!N311&amp;"*",CAT_Procesos!D:D,1,FALSE),"")))),_xlpm.cantidad,ROWS(_xlpm.resultados),IF(ISERROR(_xlpm.cantidad),"Combinación no existente",IF(_xlpm.cantidad=1,INDEX(_xlpm.resultados,1),"(seleccione)")))</f>
        <v>Combinación no existente</v>
      </c>
      <c r="V311" s="55" t="s">
        <v>73</v>
      </c>
      <c r="W311" s="56" t="s">
        <v>73</v>
      </c>
      <c r="X311" s="57" t="str">
        <f t="shared" si="16"/>
        <v/>
      </c>
      <c r="Y311" s="58" t="s">
        <v>73</v>
      </c>
      <c r="Z311" s="57" t="str">
        <f t="shared" si="17"/>
        <v/>
      </c>
      <c r="AA311" s="58" t="s">
        <v>73</v>
      </c>
      <c r="AB311" s="57" t="str">
        <f t="shared" si="18"/>
        <v/>
      </c>
      <c r="AC311" s="58" t="s">
        <v>73</v>
      </c>
      <c r="AD311" s="57" t="str">
        <f t="shared" si="19"/>
        <v/>
      </c>
      <c r="AE311" s="59"/>
      <c r="AF311" s="59"/>
      <c r="AG311" s="59"/>
      <c r="AH311" s="59"/>
      <c r="AI311" s="59" t="s">
        <v>73</v>
      </c>
      <c r="AJ311" s="59"/>
      <c r="AK311" s="59" t="s">
        <v>73</v>
      </c>
      <c r="AL311" s="59"/>
      <c r="AM311" s="59" t="s">
        <v>73</v>
      </c>
      <c r="AN311" s="59"/>
      <c r="AO311" s="59" t="s">
        <v>73</v>
      </c>
      <c r="AP311" s="59"/>
      <c r="AQ311" s="59" t="s">
        <v>73</v>
      </c>
      <c r="AR311" s="59"/>
      <c r="AS311" s="59" t="s">
        <v>72</v>
      </c>
      <c r="AT311" s="59"/>
      <c r="AU311" s="59"/>
      <c r="AV311" s="59"/>
      <c r="AW311" s="59"/>
      <c r="AX311" s="59"/>
      <c r="AY311" s="60" t="str">
        <f>IF('Cálculo MP'!K321="","",'Cálculo MP'!K321)</f>
        <v/>
      </c>
      <c r="AZ311" s="60" t="str">
        <f>IF('Cálculo MP'!L321="","",'Cálculo MP'!L321)</f>
        <v/>
      </c>
      <c r="BA311" s="60" t="str">
        <f>IF('Cálculo MP'!M321="","",'Cálculo MP'!M321)</f>
        <v/>
      </c>
      <c r="BB311" s="60" t="str">
        <f>IF('Cálculo MP'!N321="","",'Cálculo MP'!N321)</f>
        <v/>
      </c>
      <c r="BC311" s="60" t="str">
        <f>IF('Cálculo MP'!O321="","",'Cálculo MP'!O321)</f>
        <v/>
      </c>
      <c r="BD311" s="60" t="str">
        <f>IF('Cálculo MP'!P321="","",'Cálculo MP'!P321)</f>
        <v/>
      </c>
      <c r="BE311" s="60" t="str">
        <f>IF('Cálculo MP'!Q321="","",'Cálculo MP'!Q321)</f>
        <v/>
      </c>
      <c r="BF311" s="60" t="str">
        <f>IF('Cálculo MP'!R321="","",'Cálculo MP'!R321)</f>
        <v/>
      </c>
      <c r="BG311" s="60" t="str">
        <f>IF('Cálculo MP'!S321="","",'Cálculo MP'!S321)</f>
        <v/>
      </c>
      <c r="BH311" s="59"/>
      <c r="BI311" s="59"/>
      <c r="BJ311" s="59"/>
      <c r="BK311" s="59"/>
      <c r="BL311" s="59"/>
      <c r="BM311" s="59"/>
      <c r="BN311" s="59"/>
      <c r="BO311" s="59"/>
    </row>
    <row r="312" spans="1:67" ht="19.5" customHeight="1" x14ac:dyDescent="0.2">
      <c r="A312" s="114" t="s">
        <v>1789</v>
      </c>
      <c r="B312" s="113" t="s">
        <v>1787</v>
      </c>
      <c r="C312" s="122"/>
      <c r="D312" s="48" t="s">
        <v>73</v>
      </c>
      <c r="E312" s="49"/>
      <c r="F312" s="50"/>
      <c r="G312" s="62"/>
      <c r="H312" s="48" t="s">
        <v>72</v>
      </c>
      <c r="I312" s="52">
        <v>1</v>
      </c>
      <c r="J312" s="52"/>
      <c r="K312" s="52" t="s">
        <v>73</v>
      </c>
      <c r="L312" s="52" t="s">
        <v>74</v>
      </c>
      <c r="M312" s="53" t="s">
        <v>917</v>
      </c>
      <c r="N312" s="58" t="s">
        <v>73</v>
      </c>
      <c r="O312" s="48" t="s">
        <v>72</v>
      </c>
      <c r="P312" s="48" t="s">
        <v>73</v>
      </c>
      <c r="Q312" s="54" t="s">
        <v>73</v>
      </c>
      <c r="R312" s="55" t="s">
        <v>73</v>
      </c>
      <c r="S312" s="48" t="s">
        <v>73</v>
      </c>
      <c r="T312" s="121" t="str" cm="1">
        <f t="array" ref="T312">IF(ISNUMBER(SEARCH("SCHNEIDER",D312)),_xlfn.IFS(ISNUMBER(SEARCH("2 Querétaro",D312)),"SQ2",ISNUMBER(SEARCH("Xicohténcatl",D312)),"SXC",ISNUMBER(SEARCH("Rojo Gómez",D312)),"SRG",ISNUMBER(SEARCH("Tlaxcala",D312)),"STX",ISNUMBER(SEARCH("Monterrey",D312)),"SMY",ISNUMBER(SEARCH("Querétaro",D312)),"SQ1",ISNUMBER(SEARCH("CDMX",D312)),"SCM",TRUE,""),"")</f>
        <v/>
      </c>
      <c r="U312" s="48" t="str" cm="1">
        <f t="array" ref="U312">_xlfn.LET(_xlpm.resultados,_xlfn.UNIQUE(_xlfn._xlws.FILTER(Tabla1[Proceso],(Tabla1[Metal Base]=O312)*(Tabla1[Etiquetas]=_xlfn.TEXTJOIN(" + ",TRUE,IF((TRIM(Upload!P312:S312)="")+(LOWER(TRIM(Upload!P312:S312))="(seleccione)"),"",PROPER(TRIM(Upload!P312:S312)))))*(Tabla1[Línea2]=IFERROR(VLOOKUP(Upload!N312&amp;"*",CAT_Procesos!D:D,1,FALSE),"")))),_xlpm.cantidad,ROWS(_xlpm.resultados),IF(ISERROR(_xlpm.cantidad),"Combinación no existente",IF(_xlpm.cantidad=1,INDEX(_xlpm.resultados,1),"(seleccione)")))</f>
        <v>Combinación no existente</v>
      </c>
      <c r="V312" s="55" t="s">
        <v>73</v>
      </c>
      <c r="W312" s="56" t="s">
        <v>73</v>
      </c>
      <c r="X312" s="57" t="str">
        <f t="shared" si="16"/>
        <v/>
      </c>
      <c r="Y312" s="58" t="s">
        <v>73</v>
      </c>
      <c r="Z312" s="57" t="str">
        <f t="shared" si="17"/>
        <v/>
      </c>
      <c r="AA312" s="58" t="s">
        <v>73</v>
      </c>
      <c r="AB312" s="57" t="str">
        <f t="shared" si="18"/>
        <v/>
      </c>
      <c r="AC312" s="58" t="s">
        <v>73</v>
      </c>
      <c r="AD312" s="57" t="str">
        <f t="shared" si="19"/>
        <v/>
      </c>
      <c r="AE312" s="59"/>
      <c r="AF312" s="59"/>
      <c r="AG312" s="59"/>
      <c r="AH312" s="59"/>
      <c r="AI312" s="59" t="s">
        <v>73</v>
      </c>
      <c r="AJ312" s="59"/>
      <c r="AK312" s="59" t="s">
        <v>73</v>
      </c>
      <c r="AL312" s="59"/>
      <c r="AM312" s="59" t="s">
        <v>73</v>
      </c>
      <c r="AN312" s="59"/>
      <c r="AO312" s="59" t="s">
        <v>73</v>
      </c>
      <c r="AP312" s="59"/>
      <c r="AQ312" s="59" t="s">
        <v>73</v>
      </c>
      <c r="AR312" s="59"/>
      <c r="AS312" s="59" t="s">
        <v>72</v>
      </c>
      <c r="AT312" s="59"/>
      <c r="AU312" s="59"/>
      <c r="AV312" s="59"/>
      <c r="AW312" s="59"/>
      <c r="AX312" s="59"/>
      <c r="AY312" s="60" t="str">
        <f>IF('Cálculo MP'!K322="","",'Cálculo MP'!K322)</f>
        <v/>
      </c>
      <c r="AZ312" s="60" t="str">
        <f>IF('Cálculo MP'!L322="","",'Cálculo MP'!L322)</f>
        <v/>
      </c>
      <c r="BA312" s="60" t="str">
        <f>IF('Cálculo MP'!M322="","",'Cálculo MP'!M322)</f>
        <v/>
      </c>
      <c r="BB312" s="60" t="str">
        <f>IF('Cálculo MP'!N322="","",'Cálculo MP'!N322)</f>
        <v/>
      </c>
      <c r="BC312" s="60" t="str">
        <f>IF('Cálculo MP'!O322="","",'Cálculo MP'!O322)</f>
        <v/>
      </c>
      <c r="BD312" s="60" t="str">
        <f>IF('Cálculo MP'!P322="","",'Cálculo MP'!P322)</f>
        <v/>
      </c>
      <c r="BE312" s="60" t="str">
        <f>IF('Cálculo MP'!Q322="","",'Cálculo MP'!Q322)</f>
        <v/>
      </c>
      <c r="BF312" s="60" t="str">
        <f>IF('Cálculo MP'!R322="","",'Cálculo MP'!R322)</f>
        <v/>
      </c>
      <c r="BG312" s="60" t="str">
        <f>IF('Cálculo MP'!S322="","",'Cálculo MP'!S322)</f>
        <v/>
      </c>
      <c r="BH312" s="59"/>
      <c r="BI312" s="59"/>
      <c r="BJ312" s="59"/>
      <c r="BK312" s="59"/>
      <c r="BL312" s="59"/>
      <c r="BM312" s="59"/>
      <c r="BN312" s="59"/>
      <c r="BO312" s="59"/>
    </row>
    <row r="313" spans="1:67" ht="19.5" customHeight="1" x14ac:dyDescent="0.2">
      <c r="A313" s="114" t="s">
        <v>1789</v>
      </c>
      <c r="B313" s="113" t="s">
        <v>1787</v>
      </c>
      <c r="C313" s="122"/>
      <c r="D313" s="48" t="s">
        <v>73</v>
      </c>
      <c r="E313" s="49"/>
      <c r="F313" s="50"/>
      <c r="G313" s="62"/>
      <c r="H313" s="48" t="s">
        <v>72</v>
      </c>
      <c r="I313" s="52">
        <v>1</v>
      </c>
      <c r="J313" s="52"/>
      <c r="K313" s="52" t="s">
        <v>73</v>
      </c>
      <c r="L313" s="52" t="s">
        <v>74</v>
      </c>
      <c r="M313" s="53" t="s">
        <v>917</v>
      </c>
      <c r="N313" s="58" t="s">
        <v>73</v>
      </c>
      <c r="O313" s="48" t="s">
        <v>72</v>
      </c>
      <c r="P313" s="48" t="s">
        <v>73</v>
      </c>
      <c r="Q313" s="54" t="s">
        <v>73</v>
      </c>
      <c r="R313" s="55" t="s">
        <v>73</v>
      </c>
      <c r="S313" s="48" t="s">
        <v>73</v>
      </c>
      <c r="T313" s="121" t="str" cm="1">
        <f t="array" ref="T313">IF(ISNUMBER(SEARCH("SCHNEIDER",D313)),_xlfn.IFS(ISNUMBER(SEARCH("2 Querétaro",D313)),"SQ2",ISNUMBER(SEARCH("Xicohténcatl",D313)),"SXC",ISNUMBER(SEARCH("Rojo Gómez",D313)),"SRG",ISNUMBER(SEARCH("Tlaxcala",D313)),"STX",ISNUMBER(SEARCH("Monterrey",D313)),"SMY",ISNUMBER(SEARCH("Querétaro",D313)),"SQ1",ISNUMBER(SEARCH("CDMX",D313)),"SCM",TRUE,""),"")</f>
        <v/>
      </c>
      <c r="U313" s="48" t="str" cm="1">
        <f t="array" ref="U313">_xlfn.LET(_xlpm.resultados,_xlfn.UNIQUE(_xlfn._xlws.FILTER(Tabla1[Proceso],(Tabla1[Metal Base]=O313)*(Tabla1[Etiquetas]=_xlfn.TEXTJOIN(" + ",TRUE,IF((TRIM(Upload!P313:S313)="")+(LOWER(TRIM(Upload!P313:S313))="(seleccione)"),"",PROPER(TRIM(Upload!P313:S313)))))*(Tabla1[Línea2]=IFERROR(VLOOKUP(Upload!N313&amp;"*",CAT_Procesos!D:D,1,FALSE),"")))),_xlpm.cantidad,ROWS(_xlpm.resultados),IF(ISERROR(_xlpm.cantidad),"Combinación no existente",IF(_xlpm.cantidad=1,INDEX(_xlpm.resultados,1),"(seleccione)")))</f>
        <v>Combinación no existente</v>
      </c>
      <c r="V313" s="55" t="s">
        <v>73</v>
      </c>
      <c r="W313" s="56" t="s">
        <v>73</v>
      </c>
      <c r="X313" s="57" t="str">
        <f t="shared" si="16"/>
        <v/>
      </c>
      <c r="Y313" s="58" t="s">
        <v>73</v>
      </c>
      <c r="Z313" s="57" t="str">
        <f t="shared" si="17"/>
        <v/>
      </c>
      <c r="AA313" s="58" t="s">
        <v>73</v>
      </c>
      <c r="AB313" s="57" t="str">
        <f t="shared" si="18"/>
        <v/>
      </c>
      <c r="AC313" s="58" t="s">
        <v>73</v>
      </c>
      <c r="AD313" s="57" t="str">
        <f t="shared" si="19"/>
        <v/>
      </c>
      <c r="AE313" s="59"/>
      <c r="AF313" s="59"/>
      <c r="AG313" s="59"/>
      <c r="AH313" s="59"/>
      <c r="AI313" s="59" t="s">
        <v>73</v>
      </c>
      <c r="AJ313" s="59"/>
      <c r="AK313" s="59" t="s">
        <v>73</v>
      </c>
      <c r="AL313" s="59"/>
      <c r="AM313" s="59" t="s">
        <v>73</v>
      </c>
      <c r="AN313" s="59"/>
      <c r="AO313" s="59" t="s">
        <v>73</v>
      </c>
      <c r="AP313" s="59"/>
      <c r="AQ313" s="59" t="s">
        <v>73</v>
      </c>
      <c r="AR313" s="59"/>
      <c r="AS313" s="59" t="s">
        <v>72</v>
      </c>
      <c r="AT313" s="59"/>
      <c r="AU313" s="59"/>
      <c r="AV313" s="59"/>
      <c r="AW313" s="59"/>
      <c r="AX313" s="59"/>
      <c r="AY313" s="60" t="str">
        <f>IF('Cálculo MP'!K323="","",'Cálculo MP'!K323)</f>
        <v/>
      </c>
      <c r="AZ313" s="60" t="str">
        <f>IF('Cálculo MP'!L323="","",'Cálculo MP'!L323)</f>
        <v/>
      </c>
      <c r="BA313" s="60" t="str">
        <f>IF('Cálculo MP'!M323="","",'Cálculo MP'!M323)</f>
        <v/>
      </c>
      <c r="BB313" s="60" t="str">
        <f>IF('Cálculo MP'!N323="","",'Cálculo MP'!N323)</f>
        <v/>
      </c>
      <c r="BC313" s="60" t="str">
        <f>IF('Cálculo MP'!O323="","",'Cálculo MP'!O323)</f>
        <v/>
      </c>
      <c r="BD313" s="60" t="str">
        <f>IF('Cálculo MP'!P323="","",'Cálculo MP'!P323)</f>
        <v/>
      </c>
      <c r="BE313" s="60" t="str">
        <f>IF('Cálculo MP'!Q323="","",'Cálculo MP'!Q323)</f>
        <v/>
      </c>
      <c r="BF313" s="60" t="str">
        <f>IF('Cálculo MP'!R323="","",'Cálculo MP'!R323)</f>
        <v/>
      </c>
      <c r="BG313" s="60" t="str">
        <f>IF('Cálculo MP'!S323="","",'Cálculo MP'!S323)</f>
        <v/>
      </c>
      <c r="BH313" s="59"/>
      <c r="BI313" s="59"/>
      <c r="BJ313" s="59"/>
      <c r="BK313" s="59"/>
      <c r="BL313" s="59"/>
      <c r="BM313" s="59"/>
      <c r="BN313" s="59"/>
      <c r="BO313" s="59"/>
    </row>
    <row r="314" spans="1:67" ht="19.5" customHeight="1" x14ac:dyDescent="0.2">
      <c r="A314" s="114" t="s">
        <v>1789</v>
      </c>
      <c r="B314" s="113" t="s">
        <v>1787</v>
      </c>
      <c r="C314" s="122"/>
      <c r="D314" s="48" t="s">
        <v>73</v>
      </c>
      <c r="E314" s="49"/>
      <c r="F314" s="50"/>
      <c r="G314" s="62"/>
      <c r="H314" s="48" t="s">
        <v>72</v>
      </c>
      <c r="I314" s="52">
        <v>1</v>
      </c>
      <c r="J314" s="52"/>
      <c r="K314" s="52" t="s">
        <v>73</v>
      </c>
      <c r="L314" s="52" t="s">
        <v>74</v>
      </c>
      <c r="M314" s="53" t="s">
        <v>917</v>
      </c>
      <c r="N314" s="58" t="s">
        <v>73</v>
      </c>
      <c r="O314" s="48" t="s">
        <v>72</v>
      </c>
      <c r="P314" s="48" t="s">
        <v>73</v>
      </c>
      <c r="Q314" s="54" t="s">
        <v>73</v>
      </c>
      <c r="R314" s="55" t="s">
        <v>73</v>
      </c>
      <c r="S314" s="48" t="s">
        <v>73</v>
      </c>
      <c r="T314" s="121" t="str" cm="1">
        <f t="array" ref="T314">IF(ISNUMBER(SEARCH("SCHNEIDER",D314)),_xlfn.IFS(ISNUMBER(SEARCH("2 Querétaro",D314)),"SQ2",ISNUMBER(SEARCH("Xicohténcatl",D314)),"SXC",ISNUMBER(SEARCH("Rojo Gómez",D314)),"SRG",ISNUMBER(SEARCH("Tlaxcala",D314)),"STX",ISNUMBER(SEARCH("Monterrey",D314)),"SMY",ISNUMBER(SEARCH("Querétaro",D314)),"SQ1",ISNUMBER(SEARCH("CDMX",D314)),"SCM",TRUE,""),"")</f>
        <v/>
      </c>
      <c r="U314" s="48" t="str" cm="1">
        <f t="array" ref="U314">_xlfn.LET(_xlpm.resultados,_xlfn.UNIQUE(_xlfn._xlws.FILTER(Tabla1[Proceso],(Tabla1[Metal Base]=O314)*(Tabla1[Etiquetas]=_xlfn.TEXTJOIN(" + ",TRUE,IF((TRIM(Upload!P314:S314)="")+(LOWER(TRIM(Upload!P314:S314))="(seleccione)"),"",PROPER(TRIM(Upload!P314:S314)))))*(Tabla1[Línea2]=IFERROR(VLOOKUP(Upload!N314&amp;"*",CAT_Procesos!D:D,1,FALSE),"")))),_xlpm.cantidad,ROWS(_xlpm.resultados),IF(ISERROR(_xlpm.cantidad),"Combinación no existente",IF(_xlpm.cantidad=1,INDEX(_xlpm.resultados,1),"(seleccione)")))</f>
        <v>Combinación no existente</v>
      </c>
      <c r="V314" s="55" t="s">
        <v>73</v>
      </c>
      <c r="W314" s="56" t="s">
        <v>73</v>
      </c>
      <c r="X314" s="57" t="str">
        <f t="shared" si="16"/>
        <v/>
      </c>
      <c r="Y314" s="58" t="s">
        <v>73</v>
      </c>
      <c r="Z314" s="57" t="str">
        <f t="shared" si="17"/>
        <v/>
      </c>
      <c r="AA314" s="58" t="s">
        <v>73</v>
      </c>
      <c r="AB314" s="57" t="str">
        <f t="shared" si="18"/>
        <v/>
      </c>
      <c r="AC314" s="58" t="s">
        <v>73</v>
      </c>
      <c r="AD314" s="57" t="str">
        <f t="shared" si="19"/>
        <v/>
      </c>
      <c r="AE314" s="59"/>
      <c r="AF314" s="59"/>
      <c r="AG314" s="59"/>
      <c r="AH314" s="59"/>
      <c r="AI314" s="59" t="s">
        <v>73</v>
      </c>
      <c r="AJ314" s="59"/>
      <c r="AK314" s="59" t="s">
        <v>73</v>
      </c>
      <c r="AL314" s="59"/>
      <c r="AM314" s="59" t="s">
        <v>73</v>
      </c>
      <c r="AN314" s="59"/>
      <c r="AO314" s="59" t="s">
        <v>73</v>
      </c>
      <c r="AP314" s="59"/>
      <c r="AQ314" s="59" t="s">
        <v>73</v>
      </c>
      <c r="AR314" s="59"/>
      <c r="AS314" s="59" t="s">
        <v>72</v>
      </c>
      <c r="AT314" s="59"/>
      <c r="AU314" s="59"/>
      <c r="AV314" s="59"/>
      <c r="AW314" s="59"/>
      <c r="AX314" s="59"/>
      <c r="AY314" s="60" t="str">
        <f>IF('Cálculo MP'!K324="","",'Cálculo MP'!K324)</f>
        <v/>
      </c>
      <c r="AZ314" s="60" t="str">
        <f>IF('Cálculo MP'!L324="","",'Cálculo MP'!L324)</f>
        <v/>
      </c>
      <c r="BA314" s="60" t="str">
        <f>IF('Cálculo MP'!M324="","",'Cálculo MP'!M324)</f>
        <v/>
      </c>
      <c r="BB314" s="60" t="str">
        <f>IF('Cálculo MP'!N324="","",'Cálculo MP'!N324)</f>
        <v/>
      </c>
      <c r="BC314" s="60" t="str">
        <f>IF('Cálculo MP'!O324="","",'Cálculo MP'!O324)</f>
        <v/>
      </c>
      <c r="BD314" s="60" t="str">
        <f>IF('Cálculo MP'!P324="","",'Cálculo MP'!P324)</f>
        <v/>
      </c>
      <c r="BE314" s="60" t="str">
        <f>IF('Cálculo MP'!Q324="","",'Cálculo MP'!Q324)</f>
        <v/>
      </c>
      <c r="BF314" s="60" t="str">
        <f>IF('Cálculo MP'!R324="","",'Cálculo MP'!R324)</f>
        <v/>
      </c>
      <c r="BG314" s="60" t="str">
        <f>IF('Cálculo MP'!S324="","",'Cálculo MP'!S324)</f>
        <v/>
      </c>
      <c r="BH314" s="59"/>
      <c r="BI314" s="59"/>
      <c r="BJ314" s="59"/>
      <c r="BK314" s="59"/>
      <c r="BL314" s="59"/>
      <c r="BM314" s="59"/>
      <c r="BN314" s="59"/>
      <c r="BO314" s="59"/>
    </row>
    <row r="315" spans="1:67" ht="19.5" customHeight="1" x14ac:dyDescent="0.2">
      <c r="A315" s="114" t="s">
        <v>1789</v>
      </c>
      <c r="B315" s="113" t="s">
        <v>1787</v>
      </c>
      <c r="C315" s="122"/>
      <c r="D315" s="48" t="s">
        <v>73</v>
      </c>
      <c r="E315" s="49"/>
      <c r="F315" s="50"/>
      <c r="G315" s="62"/>
      <c r="H315" s="48" t="s">
        <v>72</v>
      </c>
      <c r="I315" s="52">
        <v>1</v>
      </c>
      <c r="J315" s="52"/>
      <c r="K315" s="52" t="s">
        <v>73</v>
      </c>
      <c r="L315" s="52" t="s">
        <v>74</v>
      </c>
      <c r="M315" s="53" t="s">
        <v>917</v>
      </c>
      <c r="N315" s="58" t="s">
        <v>73</v>
      </c>
      <c r="O315" s="48" t="s">
        <v>72</v>
      </c>
      <c r="P315" s="48" t="s">
        <v>73</v>
      </c>
      <c r="Q315" s="54" t="s">
        <v>73</v>
      </c>
      <c r="R315" s="55" t="s">
        <v>73</v>
      </c>
      <c r="S315" s="48" t="s">
        <v>73</v>
      </c>
      <c r="T315" s="121" t="str" cm="1">
        <f t="array" ref="T315">IF(ISNUMBER(SEARCH("SCHNEIDER",D315)),_xlfn.IFS(ISNUMBER(SEARCH("2 Querétaro",D315)),"SQ2",ISNUMBER(SEARCH("Xicohténcatl",D315)),"SXC",ISNUMBER(SEARCH("Rojo Gómez",D315)),"SRG",ISNUMBER(SEARCH("Tlaxcala",D315)),"STX",ISNUMBER(SEARCH("Monterrey",D315)),"SMY",ISNUMBER(SEARCH("Querétaro",D315)),"SQ1",ISNUMBER(SEARCH("CDMX",D315)),"SCM",TRUE,""),"")</f>
        <v/>
      </c>
      <c r="U315" s="48" t="str" cm="1">
        <f t="array" ref="U315">_xlfn.LET(_xlpm.resultados,_xlfn.UNIQUE(_xlfn._xlws.FILTER(Tabla1[Proceso],(Tabla1[Metal Base]=O315)*(Tabla1[Etiquetas]=_xlfn.TEXTJOIN(" + ",TRUE,IF((TRIM(Upload!P315:S315)="")+(LOWER(TRIM(Upload!P315:S315))="(seleccione)"),"",PROPER(TRIM(Upload!P315:S315)))))*(Tabla1[Línea2]=IFERROR(VLOOKUP(Upload!N315&amp;"*",CAT_Procesos!D:D,1,FALSE),"")))),_xlpm.cantidad,ROWS(_xlpm.resultados),IF(ISERROR(_xlpm.cantidad),"Combinación no existente",IF(_xlpm.cantidad=1,INDEX(_xlpm.resultados,1),"(seleccione)")))</f>
        <v>Combinación no existente</v>
      </c>
      <c r="V315" s="55" t="s">
        <v>73</v>
      </c>
      <c r="W315" s="56" t="s">
        <v>73</v>
      </c>
      <c r="X315" s="57" t="str">
        <f t="shared" si="16"/>
        <v/>
      </c>
      <c r="Y315" s="58" t="s">
        <v>73</v>
      </c>
      <c r="Z315" s="57" t="str">
        <f t="shared" si="17"/>
        <v/>
      </c>
      <c r="AA315" s="58" t="s">
        <v>73</v>
      </c>
      <c r="AB315" s="57" t="str">
        <f t="shared" si="18"/>
        <v/>
      </c>
      <c r="AC315" s="58" t="s">
        <v>73</v>
      </c>
      <c r="AD315" s="57" t="str">
        <f t="shared" si="19"/>
        <v/>
      </c>
      <c r="AE315" s="59"/>
      <c r="AF315" s="59"/>
      <c r="AG315" s="59"/>
      <c r="AH315" s="59"/>
      <c r="AI315" s="59" t="s">
        <v>73</v>
      </c>
      <c r="AJ315" s="59"/>
      <c r="AK315" s="59" t="s">
        <v>73</v>
      </c>
      <c r="AL315" s="59"/>
      <c r="AM315" s="59" t="s">
        <v>73</v>
      </c>
      <c r="AN315" s="59"/>
      <c r="AO315" s="59" t="s">
        <v>73</v>
      </c>
      <c r="AP315" s="59"/>
      <c r="AQ315" s="59" t="s">
        <v>73</v>
      </c>
      <c r="AR315" s="59"/>
      <c r="AS315" s="59" t="s">
        <v>72</v>
      </c>
      <c r="AT315" s="59"/>
      <c r="AU315" s="59"/>
      <c r="AV315" s="59"/>
      <c r="AW315" s="59"/>
      <c r="AX315" s="59"/>
      <c r="AY315" s="60" t="str">
        <f>IF('Cálculo MP'!K325="","",'Cálculo MP'!K325)</f>
        <v/>
      </c>
      <c r="AZ315" s="60" t="str">
        <f>IF('Cálculo MP'!L325="","",'Cálculo MP'!L325)</f>
        <v/>
      </c>
      <c r="BA315" s="60" t="str">
        <f>IF('Cálculo MP'!M325="","",'Cálculo MP'!M325)</f>
        <v/>
      </c>
      <c r="BB315" s="60" t="str">
        <f>IF('Cálculo MP'!N325="","",'Cálculo MP'!N325)</f>
        <v/>
      </c>
      <c r="BC315" s="60" t="str">
        <f>IF('Cálculo MP'!O325="","",'Cálculo MP'!O325)</f>
        <v/>
      </c>
      <c r="BD315" s="60" t="str">
        <f>IF('Cálculo MP'!P325="","",'Cálculo MP'!P325)</f>
        <v/>
      </c>
      <c r="BE315" s="60" t="str">
        <f>IF('Cálculo MP'!Q325="","",'Cálculo MP'!Q325)</f>
        <v/>
      </c>
      <c r="BF315" s="60" t="str">
        <f>IF('Cálculo MP'!R325="","",'Cálculo MP'!R325)</f>
        <v/>
      </c>
      <c r="BG315" s="60" t="str">
        <f>IF('Cálculo MP'!S325="","",'Cálculo MP'!S325)</f>
        <v/>
      </c>
      <c r="BH315" s="59"/>
      <c r="BI315" s="59"/>
      <c r="BJ315" s="59"/>
      <c r="BK315" s="59"/>
      <c r="BL315" s="59"/>
      <c r="BM315" s="59"/>
      <c r="BN315" s="59"/>
      <c r="BO315" s="59"/>
    </row>
    <row r="316" spans="1:67" ht="19.5" customHeight="1" x14ac:dyDescent="0.2">
      <c r="A316" s="114" t="s">
        <v>1789</v>
      </c>
      <c r="B316" s="113" t="s">
        <v>1787</v>
      </c>
      <c r="C316" s="122"/>
      <c r="D316" s="48" t="s">
        <v>73</v>
      </c>
      <c r="E316" s="49"/>
      <c r="F316" s="50"/>
      <c r="G316" s="62"/>
      <c r="H316" s="48" t="s">
        <v>72</v>
      </c>
      <c r="I316" s="52">
        <v>1</v>
      </c>
      <c r="J316" s="52"/>
      <c r="K316" s="52" t="s">
        <v>73</v>
      </c>
      <c r="L316" s="52" t="s">
        <v>74</v>
      </c>
      <c r="M316" s="53" t="s">
        <v>917</v>
      </c>
      <c r="N316" s="58" t="s">
        <v>73</v>
      </c>
      <c r="O316" s="48" t="s">
        <v>72</v>
      </c>
      <c r="P316" s="48" t="s">
        <v>73</v>
      </c>
      <c r="Q316" s="54" t="s">
        <v>73</v>
      </c>
      <c r="R316" s="55" t="s">
        <v>73</v>
      </c>
      <c r="S316" s="48" t="s">
        <v>73</v>
      </c>
      <c r="T316" s="121" t="str" cm="1">
        <f t="array" ref="T316">IF(ISNUMBER(SEARCH("SCHNEIDER",D316)),_xlfn.IFS(ISNUMBER(SEARCH("2 Querétaro",D316)),"SQ2",ISNUMBER(SEARCH("Xicohténcatl",D316)),"SXC",ISNUMBER(SEARCH("Rojo Gómez",D316)),"SRG",ISNUMBER(SEARCH("Tlaxcala",D316)),"STX",ISNUMBER(SEARCH("Monterrey",D316)),"SMY",ISNUMBER(SEARCH("Querétaro",D316)),"SQ1",ISNUMBER(SEARCH("CDMX",D316)),"SCM",TRUE,""),"")</f>
        <v/>
      </c>
      <c r="U316" s="48" t="str" cm="1">
        <f t="array" ref="U316">_xlfn.LET(_xlpm.resultados,_xlfn.UNIQUE(_xlfn._xlws.FILTER(Tabla1[Proceso],(Tabla1[Metal Base]=O316)*(Tabla1[Etiquetas]=_xlfn.TEXTJOIN(" + ",TRUE,IF((TRIM(Upload!P316:S316)="")+(LOWER(TRIM(Upload!P316:S316))="(seleccione)"),"",PROPER(TRIM(Upload!P316:S316)))))*(Tabla1[Línea2]=IFERROR(VLOOKUP(Upload!N316&amp;"*",CAT_Procesos!D:D,1,FALSE),"")))),_xlpm.cantidad,ROWS(_xlpm.resultados),IF(ISERROR(_xlpm.cantidad),"Combinación no existente",IF(_xlpm.cantidad=1,INDEX(_xlpm.resultados,1),"(seleccione)")))</f>
        <v>Combinación no existente</v>
      </c>
      <c r="V316" s="55" t="s">
        <v>73</v>
      </c>
      <c r="W316" s="56" t="s">
        <v>73</v>
      </c>
      <c r="X316" s="57" t="str">
        <f t="shared" si="16"/>
        <v/>
      </c>
      <c r="Y316" s="58" t="s">
        <v>73</v>
      </c>
      <c r="Z316" s="57" t="str">
        <f t="shared" si="17"/>
        <v/>
      </c>
      <c r="AA316" s="58" t="s">
        <v>73</v>
      </c>
      <c r="AB316" s="57" t="str">
        <f t="shared" si="18"/>
        <v/>
      </c>
      <c r="AC316" s="58" t="s">
        <v>73</v>
      </c>
      <c r="AD316" s="57" t="str">
        <f t="shared" si="19"/>
        <v/>
      </c>
      <c r="AE316" s="59"/>
      <c r="AF316" s="59"/>
      <c r="AG316" s="59"/>
      <c r="AH316" s="59"/>
      <c r="AI316" s="59" t="s">
        <v>73</v>
      </c>
      <c r="AJ316" s="59"/>
      <c r="AK316" s="59" t="s">
        <v>73</v>
      </c>
      <c r="AL316" s="59"/>
      <c r="AM316" s="59" t="s">
        <v>73</v>
      </c>
      <c r="AN316" s="59"/>
      <c r="AO316" s="59" t="s">
        <v>73</v>
      </c>
      <c r="AP316" s="59"/>
      <c r="AQ316" s="59" t="s">
        <v>73</v>
      </c>
      <c r="AR316" s="59"/>
      <c r="AS316" s="59" t="s">
        <v>72</v>
      </c>
      <c r="AT316" s="59"/>
      <c r="AU316" s="59"/>
      <c r="AV316" s="59"/>
      <c r="AW316" s="59"/>
      <c r="AX316" s="59"/>
      <c r="AY316" s="60" t="str">
        <f>IF('Cálculo MP'!K326="","",'Cálculo MP'!K326)</f>
        <v/>
      </c>
      <c r="AZ316" s="60" t="str">
        <f>IF('Cálculo MP'!L326="","",'Cálculo MP'!L326)</f>
        <v/>
      </c>
      <c r="BA316" s="60" t="str">
        <f>IF('Cálculo MP'!M326="","",'Cálculo MP'!M326)</f>
        <v/>
      </c>
      <c r="BB316" s="60" t="str">
        <f>IF('Cálculo MP'!N326="","",'Cálculo MP'!N326)</f>
        <v/>
      </c>
      <c r="BC316" s="60" t="str">
        <f>IF('Cálculo MP'!O326="","",'Cálculo MP'!O326)</f>
        <v/>
      </c>
      <c r="BD316" s="60" t="str">
        <f>IF('Cálculo MP'!P326="","",'Cálculo MP'!P326)</f>
        <v/>
      </c>
      <c r="BE316" s="60" t="str">
        <f>IF('Cálculo MP'!Q326="","",'Cálculo MP'!Q326)</f>
        <v/>
      </c>
      <c r="BF316" s="60" t="str">
        <f>IF('Cálculo MP'!R326="","",'Cálculo MP'!R326)</f>
        <v/>
      </c>
      <c r="BG316" s="60" t="str">
        <f>IF('Cálculo MP'!S326="","",'Cálculo MP'!S326)</f>
        <v/>
      </c>
      <c r="BH316" s="59"/>
      <c r="BI316" s="59"/>
      <c r="BJ316" s="59"/>
      <c r="BK316" s="59"/>
      <c r="BL316" s="59"/>
      <c r="BM316" s="59"/>
      <c r="BN316" s="59"/>
      <c r="BO316" s="59"/>
    </row>
    <row r="317" spans="1:67" ht="19.5" customHeight="1" x14ac:dyDescent="0.2">
      <c r="A317" s="114" t="s">
        <v>1789</v>
      </c>
      <c r="B317" s="113" t="s">
        <v>1787</v>
      </c>
      <c r="C317" s="122"/>
      <c r="D317" s="48" t="s">
        <v>73</v>
      </c>
      <c r="E317" s="49"/>
      <c r="F317" s="50"/>
      <c r="G317" s="62"/>
      <c r="H317" s="48" t="s">
        <v>72</v>
      </c>
      <c r="I317" s="52">
        <v>1</v>
      </c>
      <c r="J317" s="52"/>
      <c r="K317" s="52" t="s">
        <v>73</v>
      </c>
      <c r="L317" s="52" t="s">
        <v>74</v>
      </c>
      <c r="M317" s="53" t="s">
        <v>917</v>
      </c>
      <c r="N317" s="58" t="s">
        <v>73</v>
      </c>
      <c r="O317" s="48" t="s">
        <v>72</v>
      </c>
      <c r="P317" s="48" t="s">
        <v>73</v>
      </c>
      <c r="Q317" s="54" t="s">
        <v>73</v>
      </c>
      <c r="R317" s="55" t="s">
        <v>73</v>
      </c>
      <c r="S317" s="48" t="s">
        <v>73</v>
      </c>
      <c r="T317" s="121" t="str" cm="1">
        <f t="array" ref="T317">IF(ISNUMBER(SEARCH("SCHNEIDER",D317)),_xlfn.IFS(ISNUMBER(SEARCH("2 Querétaro",D317)),"SQ2",ISNUMBER(SEARCH("Xicohténcatl",D317)),"SXC",ISNUMBER(SEARCH("Rojo Gómez",D317)),"SRG",ISNUMBER(SEARCH("Tlaxcala",D317)),"STX",ISNUMBER(SEARCH("Monterrey",D317)),"SMY",ISNUMBER(SEARCH("Querétaro",D317)),"SQ1",ISNUMBER(SEARCH("CDMX",D317)),"SCM",TRUE,""),"")</f>
        <v/>
      </c>
      <c r="U317" s="48" t="str" cm="1">
        <f t="array" ref="U317">_xlfn.LET(_xlpm.resultados,_xlfn.UNIQUE(_xlfn._xlws.FILTER(Tabla1[Proceso],(Tabla1[Metal Base]=O317)*(Tabla1[Etiquetas]=_xlfn.TEXTJOIN(" + ",TRUE,IF((TRIM(Upload!P317:S317)="")+(LOWER(TRIM(Upload!P317:S317))="(seleccione)"),"",PROPER(TRIM(Upload!P317:S317)))))*(Tabla1[Línea2]=IFERROR(VLOOKUP(Upload!N317&amp;"*",CAT_Procesos!D:D,1,FALSE),"")))),_xlpm.cantidad,ROWS(_xlpm.resultados),IF(ISERROR(_xlpm.cantidad),"Combinación no existente",IF(_xlpm.cantidad=1,INDEX(_xlpm.resultados,1),"(seleccione)")))</f>
        <v>Combinación no existente</v>
      </c>
      <c r="V317" s="55" t="s">
        <v>73</v>
      </c>
      <c r="W317" s="56" t="s">
        <v>73</v>
      </c>
      <c r="X317" s="57" t="str">
        <f t="shared" si="16"/>
        <v/>
      </c>
      <c r="Y317" s="58" t="s">
        <v>73</v>
      </c>
      <c r="Z317" s="57" t="str">
        <f t="shared" si="17"/>
        <v/>
      </c>
      <c r="AA317" s="58" t="s">
        <v>73</v>
      </c>
      <c r="AB317" s="57" t="str">
        <f t="shared" si="18"/>
        <v/>
      </c>
      <c r="AC317" s="58" t="s">
        <v>73</v>
      </c>
      <c r="AD317" s="57" t="str">
        <f t="shared" si="19"/>
        <v/>
      </c>
      <c r="AE317" s="59"/>
      <c r="AF317" s="59"/>
      <c r="AG317" s="59"/>
      <c r="AH317" s="59"/>
      <c r="AI317" s="59" t="s">
        <v>73</v>
      </c>
      <c r="AJ317" s="59"/>
      <c r="AK317" s="59" t="s">
        <v>73</v>
      </c>
      <c r="AL317" s="59"/>
      <c r="AM317" s="59" t="s">
        <v>73</v>
      </c>
      <c r="AN317" s="59"/>
      <c r="AO317" s="59" t="s">
        <v>73</v>
      </c>
      <c r="AP317" s="59"/>
      <c r="AQ317" s="59" t="s">
        <v>73</v>
      </c>
      <c r="AR317" s="59"/>
      <c r="AS317" s="59" t="s">
        <v>72</v>
      </c>
      <c r="AT317" s="59"/>
      <c r="AU317" s="59"/>
      <c r="AV317" s="59"/>
      <c r="AW317" s="59"/>
      <c r="AX317" s="59"/>
      <c r="AY317" s="60" t="str">
        <f>IF('Cálculo MP'!K327="","",'Cálculo MP'!K327)</f>
        <v/>
      </c>
      <c r="AZ317" s="60" t="str">
        <f>IF('Cálculo MP'!L327="","",'Cálculo MP'!L327)</f>
        <v/>
      </c>
      <c r="BA317" s="60" t="str">
        <f>IF('Cálculo MP'!M327="","",'Cálculo MP'!M327)</f>
        <v/>
      </c>
      <c r="BB317" s="60" t="str">
        <f>IF('Cálculo MP'!N327="","",'Cálculo MP'!N327)</f>
        <v/>
      </c>
      <c r="BC317" s="60" t="str">
        <f>IF('Cálculo MP'!O327="","",'Cálculo MP'!O327)</f>
        <v/>
      </c>
      <c r="BD317" s="60" t="str">
        <f>IF('Cálculo MP'!P327="","",'Cálculo MP'!P327)</f>
        <v/>
      </c>
      <c r="BE317" s="60" t="str">
        <f>IF('Cálculo MP'!Q327="","",'Cálculo MP'!Q327)</f>
        <v/>
      </c>
      <c r="BF317" s="60" t="str">
        <f>IF('Cálculo MP'!R327="","",'Cálculo MP'!R327)</f>
        <v/>
      </c>
      <c r="BG317" s="60" t="str">
        <f>IF('Cálculo MP'!S327="","",'Cálculo MP'!S327)</f>
        <v/>
      </c>
      <c r="BH317" s="59"/>
      <c r="BI317" s="59"/>
      <c r="BJ317" s="59"/>
      <c r="BK317" s="59"/>
      <c r="BL317" s="59"/>
      <c r="BM317" s="59"/>
      <c r="BN317" s="59"/>
      <c r="BO317" s="59"/>
    </row>
    <row r="318" spans="1:67" ht="19.5" customHeight="1" x14ac:dyDescent="0.2">
      <c r="A318" s="114" t="s">
        <v>1789</v>
      </c>
      <c r="B318" s="113" t="s">
        <v>1787</v>
      </c>
      <c r="C318" s="122"/>
      <c r="D318" s="48" t="s">
        <v>73</v>
      </c>
      <c r="E318" s="49"/>
      <c r="F318" s="50"/>
      <c r="G318" s="62"/>
      <c r="H318" s="48" t="s">
        <v>72</v>
      </c>
      <c r="I318" s="52">
        <v>1</v>
      </c>
      <c r="J318" s="52"/>
      <c r="K318" s="52" t="s">
        <v>73</v>
      </c>
      <c r="L318" s="52" t="s">
        <v>74</v>
      </c>
      <c r="M318" s="53" t="s">
        <v>917</v>
      </c>
      <c r="N318" s="58" t="s">
        <v>73</v>
      </c>
      <c r="O318" s="48" t="s">
        <v>72</v>
      </c>
      <c r="P318" s="48" t="s">
        <v>73</v>
      </c>
      <c r="Q318" s="54" t="s">
        <v>73</v>
      </c>
      <c r="R318" s="55" t="s">
        <v>73</v>
      </c>
      <c r="S318" s="48" t="s">
        <v>73</v>
      </c>
      <c r="T318" s="121" t="str" cm="1">
        <f t="array" ref="T318">IF(ISNUMBER(SEARCH("SCHNEIDER",D318)),_xlfn.IFS(ISNUMBER(SEARCH("2 Querétaro",D318)),"SQ2",ISNUMBER(SEARCH("Xicohténcatl",D318)),"SXC",ISNUMBER(SEARCH("Rojo Gómez",D318)),"SRG",ISNUMBER(SEARCH("Tlaxcala",D318)),"STX",ISNUMBER(SEARCH("Monterrey",D318)),"SMY",ISNUMBER(SEARCH("Querétaro",D318)),"SQ1",ISNUMBER(SEARCH("CDMX",D318)),"SCM",TRUE,""),"")</f>
        <v/>
      </c>
      <c r="U318" s="48" t="str" cm="1">
        <f t="array" ref="U318">_xlfn.LET(_xlpm.resultados,_xlfn.UNIQUE(_xlfn._xlws.FILTER(Tabla1[Proceso],(Tabla1[Metal Base]=O318)*(Tabla1[Etiquetas]=_xlfn.TEXTJOIN(" + ",TRUE,IF((TRIM(Upload!P318:S318)="")+(LOWER(TRIM(Upload!P318:S318))="(seleccione)"),"",PROPER(TRIM(Upload!P318:S318)))))*(Tabla1[Línea2]=IFERROR(VLOOKUP(Upload!N318&amp;"*",CAT_Procesos!D:D,1,FALSE),"")))),_xlpm.cantidad,ROWS(_xlpm.resultados),IF(ISERROR(_xlpm.cantidad),"Combinación no existente",IF(_xlpm.cantidad=1,INDEX(_xlpm.resultados,1),"(seleccione)")))</f>
        <v>Combinación no existente</v>
      </c>
      <c r="V318" s="55" t="s">
        <v>73</v>
      </c>
      <c r="W318" s="56" t="s">
        <v>73</v>
      </c>
      <c r="X318" s="57" t="str">
        <f t="shared" si="16"/>
        <v/>
      </c>
      <c r="Y318" s="58" t="s">
        <v>73</v>
      </c>
      <c r="Z318" s="57" t="str">
        <f t="shared" si="17"/>
        <v/>
      </c>
      <c r="AA318" s="58" t="s">
        <v>73</v>
      </c>
      <c r="AB318" s="57" t="str">
        <f t="shared" si="18"/>
        <v/>
      </c>
      <c r="AC318" s="58" t="s">
        <v>73</v>
      </c>
      <c r="AD318" s="57" t="str">
        <f t="shared" si="19"/>
        <v/>
      </c>
      <c r="AE318" s="59"/>
      <c r="AF318" s="59"/>
      <c r="AG318" s="59"/>
      <c r="AH318" s="59"/>
      <c r="AI318" s="59" t="s">
        <v>73</v>
      </c>
      <c r="AJ318" s="59"/>
      <c r="AK318" s="59" t="s">
        <v>73</v>
      </c>
      <c r="AL318" s="59"/>
      <c r="AM318" s="59" t="s">
        <v>73</v>
      </c>
      <c r="AN318" s="59"/>
      <c r="AO318" s="59" t="s">
        <v>73</v>
      </c>
      <c r="AP318" s="59"/>
      <c r="AQ318" s="59" t="s">
        <v>73</v>
      </c>
      <c r="AR318" s="59"/>
      <c r="AS318" s="59" t="s">
        <v>72</v>
      </c>
      <c r="AT318" s="59"/>
      <c r="AU318" s="59"/>
      <c r="AV318" s="59"/>
      <c r="AW318" s="59"/>
      <c r="AX318" s="59"/>
      <c r="AY318" s="60" t="str">
        <f>IF('Cálculo MP'!K328="","",'Cálculo MP'!K328)</f>
        <v/>
      </c>
      <c r="AZ318" s="60" t="str">
        <f>IF('Cálculo MP'!L328="","",'Cálculo MP'!L328)</f>
        <v/>
      </c>
      <c r="BA318" s="60" t="str">
        <f>IF('Cálculo MP'!M328="","",'Cálculo MP'!M328)</f>
        <v/>
      </c>
      <c r="BB318" s="60" t="str">
        <f>IF('Cálculo MP'!N328="","",'Cálculo MP'!N328)</f>
        <v/>
      </c>
      <c r="BC318" s="60" t="str">
        <f>IF('Cálculo MP'!O328="","",'Cálculo MP'!O328)</f>
        <v/>
      </c>
      <c r="BD318" s="60" t="str">
        <f>IF('Cálculo MP'!P328="","",'Cálculo MP'!P328)</f>
        <v/>
      </c>
      <c r="BE318" s="60" t="str">
        <f>IF('Cálculo MP'!Q328="","",'Cálculo MP'!Q328)</f>
        <v/>
      </c>
      <c r="BF318" s="60" t="str">
        <f>IF('Cálculo MP'!R328="","",'Cálculo MP'!R328)</f>
        <v/>
      </c>
      <c r="BG318" s="60" t="str">
        <f>IF('Cálculo MP'!S328="","",'Cálculo MP'!S328)</f>
        <v/>
      </c>
      <c r="BH318" s="59"/>
      <c r="BI318" s="59"/>
      <c r="BJ318" s="59"/>
      <c r="BK318" s="59"/>
      <c r="BL318" s="59"/>
      <c r="BM318" s="59"/>
      <c r="BN318" s="59"/>
      <c r="BO318" s="59"/>
    </row>
    <row r="319" spans="1:67" ht="19.5" customHeight="1" x14ac:dyDescent="0.2">
      <c r="A319" s="114" t="s">
        <v>1789</v>
      </c>
      <c r="B319" s="113" t="s">
        <v>1787</v>
      </c>
      <c r="C319" s="122"/>
      <c r="D319" s="48" t="s">
        <v>73</v>
      </c>
      <c r="E319" s="49"/>
      <c r="F319" s="50"/>
      <c r="G319" s="62"/>
      <c r="H319" s="48" t="s">
        <v>72</v>
      </c>
      <c r="I319" s="52">
        <v>1</v>
      </c>
      <c r="J319" s="52"/>
      <c r="K319" s="52" t="s">
        <v>73</v>
      </c>
      <c r="L319" s="52" t="s">
        <v>74</v>
      </c>
      <c r="M319" s="53" t="s">
        <v>917</v>
      </c>
      <c r="N319" s="58" t="s">
        <v>73</v>
      </c>
      <c r="O319" s="48" t="s">
        <v>72</v>
      </c>
      <c r="P319" s="48" t="s">
        <v>73</v>
      </c>
      <c r="Q319" s="54" t="s">
        <v>73</v>
      </c>
      <c r="R319" s="55" t="s">
        <v>73</v>
      </c>
      <c r="S319" s="48" t="s">
        <v>73</v>
      </c>
      <c r="T319" s="121" t="str" cm="1">
        <f t="array" ref="T319">IF(ISNUMBER(SEARCH("SCHNEIDER",D319)),_xlfn.IFS(ISNUMBER(SEARCH("2 Querétaro",D319)),"SQ2",ISNUMBER(SEARCH("Xicohténcatl",D319)),"SXC",ISNUMBER(SEARCH("Rojo Gómez",D319)),"SRG",ISNUMBER(SEARCH("Tlaxcala",D319)),"STX",ISNUMBER(SEARCH("Monterrey",D319)),"SMY",ISNUMBER(SEARCH("Querétaro",D319)),"SQ1",ISNUMBER(SEARCH("CDMX",D319)),"SCM",TRUE,""),"")</f>
        <v/>
      </c>
      <c r="U319" s="48" t="str" cm="1">
        <f t="array" ref="U319">_xlfn.LET(_xlpm.resultados,_xlfn.UNIQUE(_xlfn._xlws.FILTER(Tabla1[Proceso],(Tabla1[Metal Base]=O319)*(Tabla1[Etiquetas]=_xlfn.TEXTJOIN(" + ",TRUE,IF((TRIM(Upload!P319:S319)="")+(LOWER(TRIM(Upload!P319:S319))="(seleccione)"),"",PROPER(TRIM(Upload!P319:S319)))))*(Tabla1[Línea2]=IFERROR(VLOOKUP(Upload!N319&amp;"*",CAT_Procesos!D:D,1,FALSE),"")))),_xlpm.cantidad,ROWS(_xlpm.resultados),IF(ISERROR(_xlpm.cantidad),"Combinación no existente",IF(_xlpm.cantidad=1,INDEX(_xlpm.resultados,1),"(seleccione)")))</f>
        <v>Combinación no existente</v>
      </c>
      <c r="V319" s="55" t="s">
        <v>73</v>
      </c>
      <c r="W319" s="56" t="s">
        <v>73</v>
      </c>
      <c r="X319" s="57" t="str">
        <f t="shared" si="16"/>
        <v/>
      </c>
      <c r="Y319" s="58" t="s">
        <v>73</v>
      </c>
      <c r="Z319" s="57" t="str">
        <f t="shared" si="17"/>
        <v/>
      </c>
      <c r="AA319" s="58" t="s">
        <v>73</v>
      </c>
      <c r="AB319" s="57" t="str">
        <f t="shared" si="18"/>
        <v/>
      </c>
      <c r="AC319" s="58" t="s">
        <v>73</v>
      </c>
      <c r="AD319" s="57" t="str">
        <f t="shared" si="19"/>
        <v/>
      </c>
      <c r="AE319" s="59"/>
      <c r="AF319" s="59"/>
      <c r="AG319" s="59"/>
      <c r="AH319" s="59"/>
      <c r="AI319" s="59" t="s">
        <v>73</v>
      </c>
      <c r="AJ319" s="59"/>
      <c r="AK319" s="59" t="s">
        <v>73</v>
      </c>
      <c r="AL319" s="59"/>
      <c r="AM319" s="59" t="s">
        <v>73</v>
      </c>
      <c r="AN319" s="59"/>
      <c r="AO319" s="59" t="s">
        <v>73</v>
      </c>
      <c r="AP319" s="59"/>
      <c r="AQ319" s="59" t="s">
        <v>73</v>
      </c>
      <c r="AR319" s="59"/>
      <c r="AS319" s="59" t="s">
        <v>72</v>
      </c>
      <c r="AT319" s="59"/>
      <c r="AU319" s="59"/>
      <c r="AV319" s="59"/>
      <c r="AW319" s="59"/>
      <c r="AX319" s="59"/>
      <c r="AY319" s="60" t="str">
        <f>IF('Cálculo MP'!K329="","",'Cálculo MP'!K329)</f>
        <v/>
      </c>
      <c r="AZ319" s="60" t="str">
        <f>IF('Cálculo MP'!L329="","",'Cálculo MP'!L329)</f>
        <v/>
      </c>
      <c r="BA319" s="60" t="str">
        <f>IF('Cálculo MP'!M329="","",'Cálculo MP'!M329)</f>
        <v/>
      </c>
      <c r="BB319" s="60" t="str">
        <f>IF('Cálculo MP'!N329="","",'Cálculo MP'!N329)</f>
        <v/>
      </c>
      <c r="BC319" s="60" t="str">
        <f>IF('Cálculo MP'!O329="","",'Cálculo MP'!O329)</f>
        <v/>
      </c>
      <c r="BD319" s="60" t="str">
        <f>IF('Cálculo MP'!P329="","",'Cálculo MP'!P329)</f>
        <v/>
      </c>
      <c r="BE319" s="60" t="str">
        <f>IF('Cálculo MP'!Q329="","",'Cálculo MP'!Q329)</f>
        <v/>
      </c>
      <c r="BF319" s="60" t="str">
        <f>IF('Cálculo MP'!R329="","",'Cálculo MP'!R329)</f>
        <v/>
      </c>
      <c r="BG319" s="60" t="str">
        <f>IF('Cálculo MP'!S329="","",'Cálculo MP'!S329)</f>
        <v/>
      </c>
      <c r="BH319" s="59"/>
      <c r="BI319" s="59"/>
      <c r="BJ319" s="59"/>
      <c r="BK319" s="59"/>
      <c r="BL319" s="59"/>
      <c r="BM319" s="59"/>
      <c r="BN319" s="59"/>
      <c r="BO319" s="59"/>
    </row>
    <row r="320" spans="1:67" ht="19.5" customHeight="1" x14ac:dyDescent="0.2">
      <c r="A320" s="114" t="s">
        <v>1789</v>
      </c>
      <c r="B320" s="113" t="s">
        <v>1787</v>
      </c>
      <c r="C320" s="122"/>
      <c r="D320" s="48" t="s">
        <v>73</v>
      </c>
      <c r="E320" s="49"/>
      <c r="F320" s="50"/>
      <c r="G320" s="62"/>
      <c r="H320" s="48" t="s">
        <v>72</v>
      </c>
      <c r="I320" s="52">
        <v>1</v>
      </c>
      <c r="J320" s="52"/>
      <c r="K320" s="52" t="s">
        <v>73</v>
      </c>
      <c r="L320" s="52" t="s">
        <v>74</v>
      </c>
      <c r="M320" s="53" t="s">
        <v>917</v>
      </c>
      <c r="N320" s="58" t="s">
        <v>73</v>
      </c>
      <c r="O320" s="48" t="s">
        <v>72</v>
      </c>
      <c r="P320" s="48" t="s">
        <v>73</v>
      </c>
      <c r="Q320" s="54" t="s">
        <v>73</v>
      </c>
      <c r="R320" s="55" t="s">
        <v>73</v>
      </c>
      <c r="S320" s="48" t="s">
        <v>73</v>
      </c>
      <c r="T320" s="121" t="str" cm="1">
        <f t="array" ref="T320">IF(ISNUMBER(SEARCH("SCHNEIDER",D320)),_xlfn.IFS(ISNUMBER(SEARCH("2 Querétaro",D320)),"SQ2",ISNUMBER(SEARCH("Xicohténcatl",D320)),"SXC",ISNUMBER(SEARCH("Rojo Gómez",D320)),"SRG",ISNUMBER(SEARCH("Tlaxcala",D320)),"STX",ISNUMBER(SEARCH("Monterrey",D320)),"SMY",ISNUMBER(SEARCH("Querétaro",D320)),"SQ1",ISNUMBER(SEARCH("CDMX",D320)),"SCM",TRUE,""),"")</f>
        <v/>
      </c>
      <c r="U320" s="48" t="str" cm="1">
        <f t="array" ref="U320">_xlfn.LET(_xlpm.resultados,_xlfn.UNIQUE(_xlfn._xlws.FILTER(Tabla1[Proceso],(Tabla1[Metal Base]=O320)*(Tabla1[Etiquetas]=_xlfn.TEXTJOIN(" + ",TRUE,IF((TRIM(Upload!P320:S320)="")+(LOWER(TRIM(Upload!P320:S320))="(seleccione)"),"",PROPER(TRIM(Upload!P320:S320)))))*(Tabla1[Línea2]=IFERROR(VLOOKUP(Upload!N320&amp;"*",CAT_Procesos!D:D,1,FALSE),"")))),_xlpm.cantidad,ROWS(_xlpm.resultados),IF(ISERROR(_xlpm.cantidad),"Combinación no existente",IF(_xlpm.cantidad=1,INDEX(_xlpm.resultados,1),"(seleccione)")))</f>
        <v>Combinación no existente</v>
      </c>
      <c r="V320" s="55" t="s">
        <v>73</v>
      </c>
      <c r="W320" s="56" t="s">
        <v>73</v>
      </c>
      <c r="X320" s="57" t="str">
        <f t="shared" si="16"/>
        <v/>
      </c>
      <c r="Y320" s="58" t="s">
        <v>73</v>
      </c>
      <c r="Z320" s="57" t="str">
        <f t="shared" si="17"/>
        <v/>
      </c>
      <c r="AA320" s="58" t="s">
        <v>73</v>
      </c>
      <c r="AB320" s="57" t="str">
        <f t="shared" si="18"/>
        <v/>
      </c>
      <c r="AC320" s="58" t="s">
        <v>73</v>
      </c>
      <c r="AD320" s="57" t="str">
        <f t="shared" si="19"/>
        <v/>
      </c>
      <c r="AE320" s="59"/>
      <c r="AF320" s="59"/>
      <c r="AG320" s="59"/>
      <c r="AH320" s="59"/>
      <c r="AI320" s="59" t="s">
        <v>73</v>
      </c>
      <c r="AJ320" s="59"/>
      <c r="AK320" s="59" t="s">
        <v>73</v>
      </c>
      <c r="AL320" s="59"/>
      <c r="AM320" s="59" t="s">
        <v>73</v>
      </c>
      <c r="AN320" s="59"/>
      <c r="AO320" s="59" t="s">
        <v>73</v>
      </c>
      <c r="AP320" s="59"/>
      <c r="AQ320" s="59" t="s">
        <v>73</v>
      </c>
      <c r="AR320" s="59"/>
      <c r="AS320" s="59" t="s">
        <v>72</v>
      </c>
      <c r="AT320" s="59"/>
      <c r="AU320" s="59"/>
      <c r="AV320" s="59"/>
      <c r="AW320" s="59"/>
      <c r="AX320" s="59"/>
      <c r="AY320" s="60" t="str">
        <f>IF('Cálculo MP'!K330="","",'Cálculo MP'!K330)</f>
        <v/>
      </c>
      <c r="AZ320" s="60" t="str">
        <f>IF('Cálculo MP'!L330="","",'Cálculo MP'!L330)</f>
        <v/>
      </c>
      <c r="BA320" s="60" t="str">
        <f>IF('Cálculo MP'!M330="","",'Cálculo MP'!M330)</f>
        <v/>
      </c>
      <c r="BB320" s="60" t="str">
        <f>IF('Cálculo MP'!N330="","",'Cálculo MP'!N330)</f>
        <v/>
      </c>
      <c r="BC320" s="60" t="str">
        <f>IF('Cálculo MP'!O330="","",'Cálculo MP'!O330)</f>
        <v/>
      </c>
      <c r="BD320" s="60" t="str">
        <f>IF('Cálculo MP'!P330="","",'Cálculo MP'!P330)</f>
        <v/>
      </c>
      <c r="BE320" s="60" t="str">
        <f>IF('Cálculo MP'!Q330="","",'Cálculo MP'!Q330)</f>
        <v/>
      </c>
      <c r="BF320" s="60" t="str">
        <f>IF('Cálculo MP'!R330="","",'Cálculo MP'!R330)</f>
        <v/>
      </c>
      <c r="BG320" s="60" t="str">
        <f>IF('Cálculo MP'!S330="","",'Cálculo MP'!S330)</f>
        <v/>
      </c>
      <c r="BH320" s="59"/>
      <c r="BI320" s="59"/>
      <c r="BJ320" s="59"/>
      <c r="BK320" s="59"/>
      <c r="BL320" s="59"/>
      <c r="BM320" s="59"/>
      <c r="BN320" s="59"/>
      <c r="BO320" s="59"/>
    </row>
    <row r="321" spans="1:67" ht="19.5" customHeight="1" x14ac:dyDescent="0.2">
      <c r="A321" s="114" t="s">
        <v>1789</v>
      </c>
      <c r="B321" s="113" t="s">
        <v>1787</v>
      </c>
      <c r="C321" s="122"/>
      <c r="D321" s="48" t="s">
        <v>73</v>
      </c>
      <c r="E321" s="49"/>
      <c r="F321" s="50"/>
      <c r="G321" s="62"/>
      <c r="H321" s="48" t="s">
        <v>72</v>
      </c>
      <c r="I321" s="52">
        <v>1</v>
      </c>
      <c r="J321" s="52"/>
      <c r="K321" s="52" t="s">
        <v>73</v>
      </c>
      <c r="L321" s="52" t="s">
        <v>74</v>
      </c>
      <c r="M321" s="53" t="s">
        <v>917</v>
      </c>
      <c r="N321" s="58" t="s">
        <v>73</v>
      </c>
      <c r="O321" s="48" t="s">
        <v>72</v>
      </c>
      <c r="P321" s="48" t="s">
        <v>73</v>
      </c>
      <c r="Q321" s="54" t="s">
        <v>73</v>
      </c>
      <c r="R321" s="55" t="s">
        <v>73</v>
      </c>
      <c r="S321" s="48" t="s">
        <v>73</v>
      </c>
      <c r="T321" s="121" t="str" cm="1">
        <f t="array" ref="T321">IF(ISNUMBER(SEARCH("SCHNEIDER",D321)),_xlfn.IFS(ISNUMBER(SEARCH("2 Querétaro",D321)),"SQ2",ISNUMBER(SEARCH("Xicohténcatl",D321)),"SXC",ISNUMBER(SEARCH("Rojo Gómez",D321)),"SRG",ISNUMBER(SEARCH("Tlaxcala",D321)),"STX",ISNUMBER(SEARCH("Monterrey",D321)),"SMY",ISNUMBER(SEARCH("Querétaro",D321)),"SQ1",ISNUMBER(SEARCH("CDMX",D321)),"SCM",TRUE,""),"")</f>
        <v/>
      </c>
      <c r="U321" s="48" t="str" cm="1">
        <f t="array" ref="U321">_xlfn.LET(_xlpm.resultados,_xlfn.UNIQUE(_xlfn._xlws.FILTER(Tabla1[Proceso],(Tabla1[Metal Base]=O321)*(Tabla1[Etiquetas]=_xlfn.TEXTJOIN(" + ",TRUE,IF((TRIM(Upload!P321:S321)="")+(LOWER(TRIM(Upload!P321:S321))="(seleccione)"),"",PROPER(TRIM(Upload!P321:S321)))))*(Tabla1[Línea2]=IFERROR(VLOOKUP(Upload!N321&amp;"*",CAT_Procesos!D:D,1,FALSE),"")))),_xlpm.cantidad,ROWS(_xlpm.resultados),IF(ISERROR(_xlpm.cantidad),"Combinación no existente",IF(_xlpm.cantidad=1,INDEX(_xlpm.resultados,1),"(seleccione)")))</f>
        <v>Combinación no existente</v>
      </c>
      <c r="V321" s="55" t="s">
        <v>73</v>
      </c>
      <c r="W321" s="56" t="s">
        <v>73</v>
      </c>
      <c r="X321" s="57" t="str">
        <f t="shared" si="16"/>
        <v/>
      </c>
      <c r="Y321" s="58" t="s">
        <v>73</v>
      </c>
      <c r="Z321" s="57" t="str">
        <f t="shared" si="17"/>
        <v/>
      </c>
      <c r="AA321" s="58" t="s">
        <v>73</v>
      </c>
      <c r="AB321" s="57" t="str">
        <f t="shared" si="18"/>
        <v/>
      </c>
      <c r="AC321" s="58" t="s">
        <v>73</v>
      </c>
      <c r="AD321" s="57" t="str">
        <f t="shared" si="19"/>
        <v/>
      </c>
      <c r="AE321" s="59"/>
      <c r="AF321" s="59"/>
      <c r="AG321" s="59"/>
      <c r="AH321" s="59"/>
      <c r="AI321" s="59" t="s">
        <v>73</v>
      </c>
      <c r="AJ321" s="59"/>
      <c r="AK321" s="59" t="s">
        <v>73</v>
      </c>
      <c r="AL321" s="59"/>
      <c r="AM321" s="59" t="s">
        <v>73</v>
      </c>
      <c r="AN321" s="59"/>
      <c r="AO321" s="59" t="s">
        <v>73</v>
      </c>
      <c r="AP321" s="59"/>
      <c r="AQ321" s="59" t="s">
        <v>73</v>
      </c>
      <c r="AR321" s="59"/>
      <c r="AS321" s="59" t="s">
        <v>72</v>
      </c>
      <c r="AT321" s="59"/>
      <c r="AU321" s="59"/>
      <c r="AV321" s="59"/>
      <c r="AW321" s="59"/>
      <c r="AX321" s="59"/>
      <c r="AY321" s="60" t="str">
        <f>IF('Cálculo MP'!K331="","",'Cálculo MP'!K331)</f>
        <v/>
      </c>
      <c r="AZ321" s="60" t="str">
        <f>IF('Cálculo MP'!L331="","",'Cálculo MP'!L331)</f>
        <v/>
      </c>
      <c r="BA321" s="60" t="str">
        <f>IF('Cálculo MP'!M331="","",'Cálculo MP'!M331)</f>
        <v/>
      </c>
      <c r="BB321" s="60" t="str">
        <f>IF('Cálculo MP'!N331="","",'Cálculo MP'!N331)</f>
        <v/>
      </c>
      <c r="BC321" s="60" t="str">
        <f>IF('Cálculo MP'!O331="","",'Cálculo MP'!O331)</f>
        <v/>
      </c>
      <c r="BD321" s="60" t="str">
        <f>IF('Cálculo MP'!P331="","",'Cálculo MP'!P331)</f>
        <v/>
      </c>
      <c r="BE321" s="60" t="str">
        <f>IF('Cálculo MP'!Q331="","",'Cálculo MP'!Q331)</f>
        <v/>
      </c>
      <c r="BF321" s="60" t="str">
        <f>IF('Cálculo MP'!R331="","",'Cálculo MP'!R331)</f>
        <v/>
      </c>
      <c r="BG321" s="60" t="str">
        <f>IF('Cálculo MP'!S331="","",'Cálculo MP'!S331)</f>
        <v/>
      </c>
      <c r="BH321" s="59"/>
      <c r="BI321" s="59"/>
      <c r="BJ321" s="59"/>
      <c r="BK321" s="59"/>
      <c r="BL321" s="59"/>
      <c r="BM321" s="59"/>
      <c r="BN321" s="59"/>
      <c r="BO321" s="59"/>
    </row>
    <row r="322" spans="1:67" ht="19.5" customHeight="1" x14ac:dyDescent="0.2">
      <c r="A322" s="114" t="s">
        <v>1789</v>
      </c>
      <c r="B322" s="113" t="s">
        <v>1787</v>
      </c>
      <c r="C322" s="122"/>
      <c r="D322" s="48" t="s">
        <v>73</v>
      </c>
      <c r="E322" s="49"/>
      <c r="F322" s="50"/>
      <c r="G322" s="62"/>
      <c r="H322" s="48" t="s">
        <v>72</v>
      </c>
      <c r="I322" s="52">
        <v>1</v>
      </c>
      <c r="J322" s="52"/>
      <c r="K322" s="52" t="s">
        <v>73</v>
      </c>
      <c r="L322" s="52" t="s">
        <v>74</v>
      </c>
      <c r="M322" s="53" t="s">
        <v>917</v>
      </c>
      <c r="N322" s="58" t="s">
        <v>73</v>
      </c>
      <c r="O322" s="48" t="s">
        <v>72</v>
      </c>
      <c r="P322" s="48" t="s">
        <v>73</v>
      </c>
      <c r="Q322" s="54" t="s">
        <v>73</v>
      </c>
      <c r="R322" s="55" t="s">
        <v>73</v>
      </c>
      <c r="S322" s="48" t="s">
        <v>73</v>
      </c>
      <c r="T322" s="121" t="str" cm="1">
        <f t="array" ref="T322">IF(ISNUMBER(SEARCH("SCHNEIDER",D322)),_xlfn.IFS(ISNUMBER(SEARCH("2 Querétaro",D322)),"SQ2",ISNUMBER(SEARCH("Xicohténcatl",D322)),"SXC",ISNUMBER(SEARCH("Rojo Gómez",D322)),"SRG",ISNUMBER(SEARCH("Tlaxcala",D322)),"STX",ISNUMBER(SEARCH("Monterrey",D322)),"SMY",ISNUMBER(SEARCH("Querétaro",D322)),"SQ1",ISNUMBER(SEARCH("CDMX",D322)),"SCM",TRUE,""),"")</f>
        <v/>
      </c>
      <c r="U322" s="48" t="str" cm="1">
        <f t="array" ref="U322">_xlfn.LET(_xlpm.resultados,_xlfn.UNIQUE(_xlfn._xlws.FILTER(Tabla1[Proceso],(Tabla1[Metal Base]=O322)*(Tabla1[Etiquetas]=_xlfn.TEXTJOIN(" + ",TRUE,IF((TRIM(Upload!P322:S322)="")+(LOWER(TRIM(Upload!P322:S322))="(seleccione)"),"",PROPER(TRIM(Upload!P322:S322)))))*(Tabla1[Línea2]=IFERROR(VLOOKUP(Upload!N322&amp;"*",CAT_Procesos!D:D,1,FALSE),"")))),_xlpm.cantidad,ROWS(_xlpm.resultados),IF(ISERROR(_xlpm.cantidad),"Combinación no existente",IF(_xlpm.cantidad=1,INDEX(_xlpm.resultados,1),"(seleccione)")))</f>
        <v>Combinación no existente</v>
      </c>
      <c r="V322" s="55" t="s">
        <v>73</v>
      </c>
      <c r="W322" s="56" t="s">
        <v>73</v>
      </c>
      <c r="X322" s="57" t="str">
        <f t="shared" si="16"/>
        <v/>
      </c>
      <c r="Y322" s="58" t="s">
        <v>73</v>
      </c>
      <c r="Z322" s="57" t="str">
        <f t="shared" si="17"/>
        <v/>
      </c>
      <c r="AA322" s="58" t="s">
        <v>73</v>
      </c>
      <c r="AB322" s="57" t="str">
        <f t="shared" si="18"/>
        <v/>
      </c>
      <c r="AC322" s="58" t="s">
        <v>73</v>
      </c>
      <c r="AD322" s="57" t="str">
        <f t="shared" si="19"/>
        <v/>
      </c>
      <c r="AE322" s="59"/>
      <c r="AF322" s="59"/>
      <c r="AG322" s="59"/>
      <c r="AH322" s="59"/>
      <c r="AI322" s="59" t="s">
        <v>73</v>
      </c>
      <c r="AJ322" s="59"/>
      <c r="AK322" s="59" t="s">
        <v>73</v>
      </c>
      <c r="AL322" s="59"/>
      <c r="AM322" s="59" t="s">
        <v>73</v>
      </c>
      <c r="AN322" s="59"/>
      <c r="AO322" s="59" t="s">
        <v>73</v>
      </c>
      <c r="AP322" s="59"/>
      <c r="AQ322" s="59" t="s">
        <v>73</v>
      </c>
      <c r="AR322" s="59"/>
      <c r="AS322" s="59" t="s">
        <v>72</v>
      </c>
      <c r="AT322" s="59"/>
      <c r="AU322" s="59"/>
      <c r="AV322" s="59"/>
      <c r="AW322" s="59"/>
      <c r="AX322" s="59"/>
      <c r="AY322" s="60" t="str">
        <f>IF('Cálculo MP'!K332="","",'Cálculo MP'!K332)</f>
        <v/>
      </c>
      <c r="AZ322" s="60" t="str">
        <f>IF('Cálculo MP'!L332="","",'Cálculo MP'!L332)</f>
        <v/>
      </c>
      <c r="BA322" s="60" t="str">
        <f>IF('Cálculo MP'!M332="","",'Cálculo MP'!M332)</f>
        <v/>
      </c>
      <c r="BB322" s="60" t="str">
        <f>IF('Cálculo MP'!N332="","",'Cálculo MP'!N332)</f>
        <v/>
      </c>
      <c r="BC322" s="60" t="str">
        <f>IF('Cálculo MP'!O332="","",'Cálculo MP'!O332)</f>
        <v/>
      </c>
      <c r="BD322" s="60" t="str">
        <f>IF('Cálculo MP'!P332="","",'Cálculo MP'!P332)</f>
        <v/>
      </c>
      <c r="BE322" s="60" t="str">
        <f>IF('Cálculo MP'!Q332="","",'Cálculo MP'!Q332)</f>
        <v/>
      </c>
      <c r="BF322" s="60" t="str">
        <f>IF('Cálculo MP'!R332="","",'Cálculo MP'!R332)</f>
        <v/>
      </c>
      <c r="BG322" s="60" t="str">
        <f>IF('Cálculo MP'!S332="","",'Cálculo MP'!S332)</f>
        <v/>
      </c>
      <c r="BH322" s="59"/>
      <c r="BI322" s="59"/>
      <c r="BJ322" s="59"/>
      <c r="BK322" s="59"/>
      <c r="BL322" s="59"/>
      <c r="BM322" s="59"/>
      <c r="BN322" s="59"/>
      <c r="BO322" s="59"/>
    </row>
    <row r="323" spans="1:67" ht="19.5" customHeight="1" x14ac:dyDescent="0.2">
      <c r="A323" s="114" t="s">
        <v>1789</v>
      </c>
      <c r="B323" s="113" t="s">
        <v>1787</v>
      </c>
      <c r="C323" s="122"/>
      <c r="D323" s="48" t="s">
        <v>73</v>
      </c>
      <c r="E323" s="49"/>
      <c r="F323" s="50"/>
      <c r="G323" s="62"/>
      <c r="H323" s="48" t="s">
        <v>72</v>
      </c>
      <c r="I323" s="52">
        <v>1</v>
      </c>
      <c r="J323" s="52"/>
      <c r="K323" s="52" t="s">
        <v>73</v>
      </c>
      <c r="L323" s="52" t="s">
        <v>74</v>
      </c>
      <c r="M323" s="53" t="s">
        <v>917</v>
      </c>
      <c r="N323" s="58" t="s">
        <v>73</v>
      </c>
      <c r="O323" s="48" t="s">
        <v>72</v>
      </c>
      <c r="P323" s="48" t="s">
        <v>73</v>
      </c>
      <c r="Q323" s="54" t="s">
        <v>73</v>
      </c>
      <c r="R323" s="55" t="s">
        <v>73</v>
      </c>
      <c r="S323" s="48" t="s">
        <v>73</v>
      </c>
      <c r="T323" s="121" t="str" cm="1">
        <f t="array" ref="T323">IF(ISNUMBER(SEARCH("SCHNEIDER",D323)),_xlfn.IFS(ISNUMBER(SEARCH("2 Querétaro",D323)),"SQ2",ISNUMBER(SEARCH("Xicohténcatl",D323)),"SXC",ISNUMBER(SEARCH("Rojo Gómez",D323)),"SRG",ISNUMBER(SEARCH("Tlaxcala",D323)),"STX",ISNUMBER(SEARCH("Monterrey",D323)),"SMY",ISNUMBER(SEARCH("Querétaro",D323)),"SQ1",ISNUMBER(SEARCH("CDMX",D323)),"SCM",TRUE,""),"")</f>
        <v/>
      </c>
      <c r="U323" s="48" t="str" cm="1">
        <f t="array" ref="U323">_xlfn.LET(_xlpm.resultados,_xlfn.UNIQUE(_xlfn._xlws.FILTER(Tabla1[Proceso],(Tabla1[Metal Base]=O323)*(Tabla1[Etiquetas]=_xlfn.TEXTJOIN(" + ",TRUE,IF((TRIM(Upload!P323:S323)="")+(LOWER(TRIM(Upload!P323:S323))="(seleccione)"),"",PROPER(TRIM(Upload!P323:S323)))))*(Tabla1[Línea2]=IFERROR(VLOOKUP(Upload!N323&amp;"*",CAT_Procesos!D:D,1,FALSE),"")))),_xlpm.cantidad,ROWS(_xlpm.resultados),IF(ISERROR(_xlpm.cantidad),"Combinación no existente",IF(_xlpm.cantidad=1,INDEX(_xlpm.resultados,1),"(seleccione)")))</f>
        <v>Combinación no existente</v>
      </c>
      <c r="V323" s="55" t="s">
        <v>73</v>
      </c>
      <c r="W323" s="56" t="s">
        <v>73</v>
      </c>
      <c r="X323" s="57" t="str">
        <f t="shared" si="16"/>
        <v/>
      </c>
      <c r="Y323" s="58" t="s">
        <v>73</v>
      </c>
      <c r="Z323" s="57" t="str">
        <f t="shared" si="17"/>
        <v/>
      </c>
      <c r="AA323" s="58" t="s">
        <v>73</v>
      </c>
      <c r="AB323" s="57" t="str">
        <f t="shared" si="18"/>
        <v/>
      </c>
      <c r="AC323" s="58" t="s">
        <v>73</v>
      </c>
      <c r="AD323" s="57" t="str">
        <f t="shared" si="19"/>
        <v/>
      </c>
      <c r="AE323" s="59"/>
      <c r="AF323" s="59"/>
      <c r="AG323" s="59"/>
      <c r="AH323" s="59"/>
      <c r="AI323" s="59" t="s">
        <v>73</v>
      </c>
      <c r="AJ323" s="59"/>
      <c r="AK323" s="59" t="s">
        <v>73</v>
      </c>
      <c r="AL323" s="59"/>
      <c r="AM323" s="59" t="s">
        <v>73</v>
      </c>
      <c r="AN323" s="59"/>
      <c r="AO323" s="59" t="s">
        <v>73</v>
      </c>
      <c r="AP323" s="59"/>
      <c r="AQ323" s="59" t="s">
        <v>73</v>
      </c>
      <c r="AR323" s="59"/>
      <c r="AS323" s="59" t="s">
        <v>72</v>
      </c>
      <c r="AT323" s="59"/>
      <c r="AU323" s="59"/>
      <c r="AV323" s="59"/>
      <c r="AW323" s="59"/>
      <c r="AX323" s="59"/>
      <c r="AY323" s="60" t="str">
        <f>IF('Cálculo MP'!K333="","",'Cálculo MP'!K333)</f>
        <v/>
      </c>
      <c r="AZ323" s="60" t="str">
        <f>IF('Cálculo MP'!L333="","",'Cálculo MP'!L333)</f>
        <v/>
      </c>
      <c r="BA323" s="60" t="str">
        <f>IF('Cálculo MP'!M333="","",'Cálculo MP'!M333)</f>
        <v/>
      </c>
      <c r="BB323" s="60" t="str">
        <f>IF('Cálculo MP'!N333="","",'Cálculo MP'!N333)</f>
        <v/>
      </c>
      <c r="BC323" s="60" t="str">
        <f>IF('Cálculo MP'!O333="","",'Cálculo MP'!O333)</f>
        <v/>
      </c>
      <c r="BD323" s="60" t="str">
        <f>IF('Cálculo MP'!P333="","",'Cálculo MP'!P333)</f>
        <v/>
      </c>
      <c r="BE323" s="60" t="str">
        <f>IF('Cálculo MP'!Q333="","",'Cálculo MP'!Q333)</f>
        <v/>
      </c>
      <c r="BF323" s="60" t="str">
        <f>IF('Cálculo MP'!R333="","",'Cálculo MP'!R333)</f>
        <v/>
      </c>
      <c r="BG323" s="60" t="str">
        <f>IF('Cálculo MP'!S333="","",'Cálculo MP'!S333)</f>
        <v/>
      </c>
      <c r="BH323" s="59"/>
      <c r="BI323" s="59"/>
      <c r="BJ323" s="59"/>
      <c r="BK323" s="59"/>
      <c r="BL323" s="59"/>
      <c r="BM323" s="59"/>
      <c r="BN323" s="59"/>
      <c r="BO323" s="59"/>
    </row>
    <row r="324" spans="1:67" ht="19.5" customHeight="1" x14ac:dyDescent="0.2">
      <c r="A324" s="114" t="s">
        <v>1789</v>
      </c>
      <c r="B324" s="113" t="s">
        <v>1787</v>
      </c>
      <c r="C324" s="122"/>
      <c r="D324" s="48" t="s">
        <v>73</v>
      </c>
      <c r="E324" s="49"/>
      <c r="F324" s="50"/>
      <c r="G324" s="62"/>
      <c r="H324" s="48" t="s">
        <v>72</v>
      </c>
      <c r="I324" s="52">
        <v>1</v>
      </c>
      <c r="J324" s="52"/>
      <c r="K324" s="52" t="s">
        <v>73</v>
      </c>
      <c r="L324" s="52" t="s">
        <v>74</v>
      </c>
      <c r="M324" s="53" t="s">
        <v>917</v>
      </c>
      <c r="N324" s="58" t="s">
        <v>73</v>
      </c>
      <c r="O324" s="48" t="s">
        <v>72</v>
      </c>
      <c r="P324" s="48" t="s">
        <v>73</v>
      </c>
      <c r="Q324" s="54" t="s">
        <v>73</v>
      </c>
      <c r="R324" s="55" t="s">
        <v>73</v>
      </c>
      <c r="S324" s="48" t="s">
        <v>73</v>
      </c>
      <c r="T324" s="121" t="str" cm="1">
        <f t="array" ref="T324">IF(ISNUMBER(SEARCH("SCHNEIDER",D324)),_xlfn.IFS(ISNUMBER(SEARCH("2 Querétaro",D324)),"SQ2",ISNUMBER(SEARCH("Xicohténcatl",D324)),"SXC",ISNUMBER(SEARCH("Rojo Gómez",D324)),"SRG",ISNUMBER(SEARCH("Tlaxcala",D324)),"STX",ISNUMBER(SEARCH("Monterrey",D324)),"SMY",ISNUMBER(SEARCH("Querétaro",D324)),"SQ1",ISNUMBER(SEARCH("CDMX",D324)),"SCM",TRUE,""),"")</f>
        <v/>
      </c>
      <c r="U324" s="48" t="str" cm="1">
        <f t="array" ref="U324">_xlfn.LET(_xlpm.resultados,_xlfn.UNIQUE(_xlfn._xlws.FILTER(Tabla1[Proceso],(Tabla1[Metal Base]=O324)*(Tabla1[Etiquetas]=_xlfn.TEXTJOIN(" + ",TRUE,IF((TRIM(Upload!P324:S324)="")+(LOWER(TRIM(Upload!P324:S324))="(seleccione)"),"",PROPER(TRIM(Upload!P324:S324)))))*(Tabla1[Línea2]=IFERROR(VLOOKUP(Upload!N324&amp;"*",CAT_Procesos!D:D,1,FALSE),"")))),_xlpm.cantidad,ROWS(_xlpm.resultados),IF(ISERROR(_xlpm.cantidad),"Combinación no existente",IF(_xlpm.cantidad=1,INDEX(_xlpm.resultados,1),"(seleccione)")))</f>
        <v>Combinación no existente</v>
      </c>
      <c r="V324" s="55" t="s">
        <v>73</v>
      </c>
      <c r="W324" s="56" t="s">
        <v>73</v>
      </c>
      <c r="X324" s="57" t="str">
        <f t="shared" si="16"/>
        <v/>
      </c>
      <c r="Y324" s="58" t="s">
        <v>73</v>
      </c>
      <c r="Z324" s="57" t="str">
        <f t="shared" si="17"/>
        <v/>
      </c>
      <c r="AA324" s="58" t="s">
        <v>73</v>
      </c>
      <c r="AB324" s="57" t="str">
        <f t="shared" si="18"/>
        <v/>
      </c>
      <c r="AC324" s="58" t="s">
        <v>73</v>
      </c>
      <c r="AD324" s="57" t="str">
        <f t="shared" si="19"/>
        <v/>
      </c>
      <c r="AE324" s="59"/>
      <c r="AF324" s="59"/>
      <c r="AG324" s="59"/>
      <c r="AH324" s="59"/>
      <c r="AI324" s="59" t="s">
        <v>73</v>
      </c>
      <c r="AJ324" s="59"/>
      <c r="AK324" s="59" t="s">
        <v>73</v>
      </c>
      <c r="AL324" s="59"/>
      <c r="AM324" s="59" t="s">
        <v>73</v>
      </c>
      <c r="AN324" s="59"/>
      <c r="AO324" s="59" t="s">
        <v>73</v>
      </c>
      <c r="AP324" s="59"/>
      <c r="AQ324" s="59" t="s">
        <v>73</v>
      </c>
      <c r="AR324" s="59"/>
      <c r="AS324" s="59" t="s">
        <v>72</v>
      </c>
      <c r="AT324" s="59"/>
      <c r="AU324" s="59"/>
      <c r="AV324" s="59"/>
      <c r="AW324" s="59"/>
      <c r="AX324" s="59"/>
      <c r="AY324" s="60" t="str">
        <f>IF('Cálculo MP'!K334="","",'Cálculo MP'!K334)</f>
        <v/>
      </c>
      <c r="AZ324" s="60" t="str">
        <f>IF('Cálculo MP'!L334="","",'Cálculo MP'!L334)</f>
        <v/>
      </c>
      <c r="BA324" s="60" t="str">
        <f>IF('Cálculo MP'!M334="","",'Cálculo MP'!M334)</f>
        <v/>
      </c>
      <c r="BB324" s="60" t="str">
        <f>IF('Cálculo MP'!N334="","",'Cálculo MP'!N334)</f>
        <v/>
      </c>
      <c r="BC324" s="60" t="str">
        <f>IF('Cálculo MP'!O334="","",'Cálculo MP'!O334)</f>
        <v/>
      </c>
      <c r="BD324" s="60" t="str">
        <f>IF('Cálculo MP'!P334="","",'Cálculo MP'!P334)</f>
        <v/>
      </c>
      <c r="BE324" s="60" t="str">
        <f>IF('Cálculo MP'!Q334="","",'Cálculo MP'!Q334)</f>
        <v/>
      </c>
      <c r="BF324" s="60" t="str">
        <f>IF('Cálculo MP'!R334="","",'Cálculo MP'!R334)</f>
        <v/>
      </c>
      <c r="BG324" s="60" t="str">
        <f>IF('Cálculo MP'!S334="","",'Cálculo MP'!S334)</f>
        <v/>
      </c>
      <c r="BH324" s="59"/>
      <c r="BI324" s="59"/>
      <c r="BJ324" s="59"/>
      <c r="BK324" s="59"/>
      <c r="BL324" s="59"/>
      <c r="BM324" s="59"/>
      <c r="BN324" s="59"/>
      <c r="BO324" s="59"/>
    </row>
    <row r="325" spans="1:67" ht="19.5" customHeight="1" x14ac:dyDescent="0.2">
      <c r="A325" s="114" t="s">
        <v>1789</v>
      </c>
      <c r="B325" s="113" t="s">
        <v>1787</v>
      </c>
      <c r="C325" s="122"/>
      <c r="D325" s="48" t="s">
        <v>73</v>
      </c>
      <c r="E325" s="49"/>
      <c r="F325" s="50"/>
      <c r="G325" s="62"/>
      <c r="H325" s="48" t="s">
        <v>72</v>
      </c>
      <c r="I325" s="52">
        <v>1</v>
      </c>
      <c r="J325" s="52"/>
      <c r="K325" s="52" t="s">
        <v>73</v>
      </c>
      <c r="L325" s="52" t="s">
        <v>74</v>
      </c>
      <c r="M325" s="53" t="s">
        <v>917</v>
      </c>
      <c r="N325" s="58" t="s">
        <v>73</v>
      </c>
      <c r="O325" s="48" t="s">
        <v>72</v>
      </c>
      <c r="P325" s="48" t="s">
        <v>73</v>
      </c>
      <c r="Q325" s="54" t="s">
        <v>73</v>
      </c>
      <c r="R325" s="55" t="s">
        <v>73</v>
      </c>
      <c r="S325" s="48" t="s">
        <v>73</v>
      </c>
      <c r="T325" s="121" t="str" cm="1">
        <f t="array" ref="T325">IF(ISNUMBER(SEARCH("SCHNEIDER",D325)),_xlfn.IFS(ISNUMBER(SEARCH("2 Querétaro",D325)),"SQ2",ISNUMBER(SEARCH("Xicohténcatl",D325)),"SXC",ISNUMBER(SEARCH("Rojo Gómez",D325)),"SRG",ISNUMBER(SEARCH("Tlaxcala",D325)),"STX",ISNUMBER(SEARCH("Monterrey",D325)),"SMY",ISNUMBER(SEARCH("Querétaro",D325)),"SQ1",ISNUMBER(SEARCH("CDMX",D325)),"SCM",TRUE,""),"")</f>
        <v/>
      </c>
      <c r="U325" s="48" t="str" cm="1">
        <f t="array" ref="U325">_xlfn.LET(_xlpm.resultados,_xlfn.UNIQUE(_xlfn._xlws.FILTER(Tabla1[Proceso],(Tabla1[Metal Base]=O325)*(Tabla1[Etiquetas]=_xlfn.TEXTJOIN(" + ",TRUE,IF((TRIM(Upload!P325:S325)="")+(LOWER(TRIM(Upload!P325:S325))="(seleccione)"),"",PROPER(TRIM(Upload!P325:S325)))))*(Tabla1[Línea2]=IFERROR(VLOOKUP(Upload!N325&amp;"*",CAT_Procesos!D:D,1,FALSE),"")))),_xlpm.cantidad,ROWS(_xlpm.resultados),IF(ISERROR(_xlpm.cantidad),"Combinación no existente",IF(_xlpm.cantidad=1,INDEX(_xlpm.resultados,1),"(seleccione)")))</f>
        <v>Combinación no existente</v>
      </c>
      <c r="V325" s="55" t="s">
        <v>73</v>
      </c>
      <c r="W325" s="56" t="s">
        <v>73</v>
      </c>
      <c r="X325" s="57" t="str">
        <f t="shared" si="16"/>
        <v/>
      </c>
      <c r="Y325" s="58" t="s">
        <v>73</v>
      </c>
      <c r="Z325" s="57" t="str">
        <f t="shared" si="17"/>
        <v/>
      </c>
      <c r="AA325" s="58" t="s">
        <v>73</v>
      </c>
      <c r="AB325" s="57" t="str">
        <f t="shared" si="18"/>
        <v/>
      </c>
      <c r="AC325" s="58" t="s">
        <v>73</v>
      </c>
      <c r="AD325" s="57" t="str">
        <f t="shared" si="19"/>
        <v/>
      </c>
      <c r="AE325" s="59"/>
      <c r="AF325" s="59"/>
      <c r="AG325" s="59"/>
      <c r="AH325" s="59"/>
      <c r="AI325" s="59" t="s">
        <v>73</v>
      </c>
      <c r="AJ325" s="59"/>
      <c r="AK325" s="59" t="s">
        <v>73</v>
      </c>
      <c r="AL325" s="59"/>
      <c r="AM325" s="59" t="s">
        <v>73</v>
      </c>
      <c r="AN325" s="59"/>
      <c r="AO325" s="59" t="s">
        <v>73</v>
      </c>
      <c r="AP325" s="59"/>
      <c r="AQ325" s="59" t="s">
        <v>73</v>
      </c>
      <c r="AR325" s="59"/>
      <c r="AS325" s="59" t="s">
        <v>72</v>
      </c>
      <c r="AT325" s="59"/>
      <c r="AU325" s="59"/>
      <c r="AV325" s="59"/>
      <c r="AW325" s="59"/>
      <c r="AX325" s="59"/>
      <c r="AY325" s="60" t="str">
        <f>IF('Cálculo MP'!K335="","",'Cálculo MP'!K335)</f>
        <v/>
      </c>
      <c r="AZ325" s="60" t="str">
        <f>IF('Cálculo MP'!L335="","",'Cálculo MP'!L335)</f>
        <v/>
      </c>
      <c r="BA325" s="60" t="str">
        <f>IF('Cálculo MP'!M335="","",'Cálculo MP'!M335)</f>
        <v/>
      </c>
      <c r="BB325" s="60" t="str">
        <f>IF('Cálculo MP'!N335="","",'Cálculo MP'!N335)</f>
        <v/>
      </c>
      <c r="BC325" s="60" t="str">
        <f>IF('Cálculo MP'!O335="","",'Cálculo MP'!O335)</f>
        <v/>
      </c>
      <c r="BD325" s="60" t="str">
        <f>IF('Cálculo MP'!P335="","",'Cálculo MP'!P335)</f>
        <v/>
      </c>
      <c r="BE325" s="60" t="str">
        <f>IF('Cálculo MP'!Q335="","",'Cálculo MP'!Q335)</f>
        <v/>
      </c>
      <c r="BF325" s="60" t="str">
        <f>IF('Cálculo MP'!R335="","",'Cálculo MP'!R335)</f>
        <v/>
      </c>
      <c r="BG325" s="60" t="str">
        <f>IF('Cálculo MP'!S335="","",'Cálculo MP'!S335)</f>
        <v/>
      </c>
      <c r="BH325" s="59"/>
      <c r="BI325" s="59"/>
      <c r="BJ325" s="59"/>
      <c r="BK325" s="59"/>
      <c r="BL325" s="59"/>
      <c r="BM325" s="59"/>
      <c r="BN325" s="59"/>
      <c r="BO325" s="59"/>
    </row>
    <row r="326" spans="1:67" ht="19.5" customHeight="1" x14ac:dyDescent="0.2">
      <c r="A326" s="114" t="s">
        <v>1789</v>
      </c>
      <c r="B326" s="113" t="s">
        <v>1787</v>
      </c>
      <c r="C326" s="122"/>
      <c r="D326" s="48" t="s">
        <v>73</v>
      </c>
      <c r="E326" s="49"/>
      <c r="F326" s="50"/>
      <c r="G326" s="62"/>
      <c r="H326" s="48" t="s">
        <v>72</v>
      </c>
      <c r="I326" s="52">
        <v>1</v>
      </c>
      <c r="J326" s="52"/>
      <c r="K326" s="52" t="s">
        <v>73</v>
      </c>
      <c r="L326" s="52" t="s">
        <v>74</v>
      </c>
      <c r="M326" s="53" t="s">
        <v>917</v>
      </c>
      <c r="N326" s="58" t="s">
        <v>73</v>
      </c>
      <c r="O326" s="48" t="s">
        <v>72</v>
      </c>
      <c r="P326" s="48" t="s">
        <v>73</v>
      </c>
      <c r="Q326" s="54" t="s">
        <v>73</v>
      </c>
      <c r="R326" s="55" t="s">
        <v>73</v>
      </c>
      <c r="S326" s="48" t="s">
        <v>73</v>
      </c>
      <c r="T326" s="121" t="str" cm="1">
        <f t="array" ref="T326">IF(ISNUMBER(SEARCH("SCHNEIDER",D326)),_xlfn.IFS(ISNUMBER(SEARCH("2 Querétaro",D326)),"SQ2",ISNUMBER(SEARCH("Xicohténcatl",D326)),"SXC",ISNUMBER(SEARCH("Rojo Gómez",D326)),"SRG",ISNUMBER(SEARCH("Tlaxcala",D326)),"STX",ISNUMBER(SEARCH("Monterrey",D326)),"SMY",ISNUMBER(SEARCH("Querétaro",D326)),"SQ1",ISNUMBER(SEARCH("CDMX",D326)),"SCM",TRUE,""),"")</f>
        <v/>
      </c>
      <c r="U326" s="48" t="str" cm="1">
        <f t="array" ref="U326">_xlfn.LET(_xlpm.resultados,_xlfn.UNIQUE(_xlfn._xlws.FILTER(Tabla1[Proceso],(Tabla1[Metal Base]=O326)*(Tabla1[Etiquetas]=_xlfn.TEXTJOIN(" + ",TRUE,IF((TRIM(Upload!P326:S326)="")+(LOWER(TRIM(Upload!P326:S326))="(seleccione)"),"",PROPER(TRIM(Upload!P326:S326)))))*(Tabla1[Línea2]=IFERROR(VLOOKUP(Upload!N326&amp;"*",CAT_Procesos!D:D,1,FALSE),"")))),_xlpm.cantidad,ROWS(_xlpm.resultados),IF(ISERROR(_xlpm.cantidad),"Combinación no existente",IF(_xlpm.cantidad=1,INDEX(_xlpm.resultados,1),"(seleccione)")))</f>
        <v>Combinación no existente</v>
      </c>
      <c r="V326" s="55" t="s">
        <v>73</v>
      </c>
      <c r="W326" s="56" t="s">
        <v>73</v>
      </c>
      <c r="X326" s="57" t="str">
        <f t="shared" si="16"/>
        <v/>
      </c>
      <c r="Y326" s="58" t="s">
        <v>73</v>
      </c>
      <c r="Z326" s="57" t="str">
        <f t="shared" si="17"/>
        <v/>
      </c>
      <c r="AA326" s="58" t="s">
        <v>73</v>
      </c>
      <c r="AB326" s="57" t="str">
        <f t="shared" si="18"/>
        <v/>
      </c>
      <c r="AC326" s="58" t="s">
        <v>73</v>
      </c>
      <c r="AD326" s="57" t="str">
        <f t="shared" si="19"/>
        <v/>
      </c>
      <c r="AE326" s="59"/>
      <c r="AF326" s="59"/>
      <c r="AG326" s="59"/>
      <c r="AH326" s="59"/>
      <c r="AI326" s="59" t="s">
        <v>73</v>
      </c>
      <c r="AJ326" s="59"/>
      <c r="AK326" s="59" t="s">
        <v>73</v>
      </c>
      <c r="AL326" s="59"/>
      <c r="AM326" s="59" t="s">
        <v>73</v>
      </c>
      <c r="AN326" s="59"/>
      <c r="AO326" s="59" t="s">
        <v>73</v>
      </c>
      <c r="AP326" s="59"/>
      <c r="AQ326" s="59" t="s">
        <v>73</v>
      </c>
      <c r="AR326" s="59"/>
      <c r="AS326" s="59" t="s">
        <v>72</v>
      </c>
      <c r="AT326" s="59"/>
      <c r="AU326" s="59"/>
      <c r="AV326" s="59"/>
      <c r="AW326" s="59"/>
      <c r="AX326" s="59"/>
      <c r="AY326" s="60" t="str">
        <f>IF('Cálculo MP'!K336="","",'Cálculo MP'!K336)</f>
        <v/>
      </c>
      <c r="AZ326" s="60" t="str">
        <f>IF('Cálculo MP'!L336="","",'Cálculo MP'!L336)</f>
        <v/>
      </c>
      <c r="BA326" s="60" t="str">
        <f>IF('Cálculo MP'!M336="","",'Cálculo MP'!M336)</f>
        <v/>
      </c>
      <c r="BB326" s="60" t="str">
        <f>IF('Cálculo MP'!N336="","",'Cálculo MP'!N336)</f>
        <v/>
      </c>
      <c r="BC326" s="60" t="str">
        <f>IF('Cálculo MP'!O336="","",'Cálculo MP'!O336)</f>
        <v/>
      </c>
      <c r="BD326" s="60" t="str">
        <f>IF('Cálculo MP'!P336="","",'Cálculo MP'!P336)</f>
        <v/>
      </c>
      <c r="BE326" s="60" t="str">
        <f>IF('Cálculo MP'!Q336="","",'Cálculo MP'!Q336)</f>
        <v/>
      </c>
      <c r="BF326" s="60" t="str">
        <f>IF('Cálculo MP'!R336="","",'Cálculo MP'!R336)</f>
        <v/>
      </c>
      <c r="BG326" s="60" t="str">
        <f>IF('Cálculo MP'!S336="","",'Cálculo MP'!S336)</f>
        <v/>
      </c>
      <c r="BH326" s="59"/>
      <c r="BI326" s="59"/>
      <c r="BJ326" s="59"/>
      <c r="BK326" s="59"/>
      <c r="BL326" s="59"/>
      <c r="BM326" s="59"/>
      <c r="BN326" s="59"/>
      <c r="BO326" s="59"/>
    </row>
    <row r="327" spans="1:67" ht="19.5" customHeight="1" x14ac:dyDescent="0.2">
      <c r="A327" s="114" t="s">
        <v>1789</v>
      </c>
      <c r="B327" s="113" t="s">
        <v>1787</v>
      </c>
      <c r="C327" s="122"/>
      <c r="D327" s="48" t="s">
        <v>73</v>
      </c>
      <c r="E327" s="49"/>
      <c r="F327" s="50"/>
      <c r="G327" s="62"/>
      <c r="H327" s="48" t="s">
        <v>72</v>
      </c>
      <c r="I327" s="52">
        <v>1</v>
      </c>
      <c r="J327" s="52"/>
      <c r="K327" s="52" t="s">
        <v>73</v>
      </c>
      <c r="L327" s="52" t="s">
        <v>74</v>
      </c>
      <c r="M327" s="53" t="s">
        <v>917</v>
      </c>
      <c r="N327" s="58" t="s">
        <v>73</v>
      </c>
      <c r="O327" s="48" t="s">
        <v>72</v>
      </c>
      <c r="P327" s="48" t="s">
        <v>73</v>
      </c>
      <c r="Q327" s="54" t="s">
        <v>73</v>
      </c>
      <c r="R327" s="55" t="s">
        <v>73</v>
      </c>
      <c r="S327" s="48" t="s">
        <v>73</v>
      </c>
      <c r="T327" s="121" t="str" cm="1">
        <f t="array" ref="T327">IF(ISNUMBER(SEARCH("SCHNEIDER",D327)),_xlfn.IFS(ISNUMBER(SEARCH("2 Querétaro",D327)),"SQ2",ISNUMBER(SEARCH("Xicohténcatl",D327)),"SXC",ISNUMBER(SEARCH("Rojo Gómez",D327)),"SRG",ISNUMBER(SEARCH("Tlaxcala",D327)),"STX",ISNUMBER(SEARCH("Monterrey",D327)),"SMY",ISNUMBER(SEARCH("Querétaro",D327)),"SQ1",ISNUMBER(SEARCH("CDMX",D327)),"SCM",TRUE,""),"")</f>
        <v/>
      </c>
      <c r="U327" s="48" t="str" cm="1">
        <f t="array" ref="U327">_xlfn.LET(_xlpm.resultados,_xlfn.UNIQUE(_xlfn._xlws.FILTER(Tabla1[Proceso],(Tabla1[Metal Base]=O327)*(Tabla1[Etiquetas]=_xlfn.TEXTJOIN(" + ",TRUE,IF((TRIM(Upload!P327:S327)="")+(LOWER(TRIM(Upload!P327:S327))="(seleccione)"),"",PROPER(TRIM(Upload!P327:S327)))))*(Tabla1[Línea2]=IFERROR(VLOOKUP(Upload!N327&amp;"*",CAT_Procesos!D:D,1,FALSE),"")))),_xlpm.cantidad,ROWS(_xlpm.resultados),IF(ISERROR(_xlpm.cantidad),"Combinación no existente",IF(_xlpm.cantidad=1,INDEX(_xlpm.resultados,1),"(seleccione)")))</f>
        <v>Combinación no existente</v>
      </c>
      <c r="V327" s="55" t="s">
        <v>73</v>
      </c>
      <c r="W327" s="56" t="s">
        <v>73</v>
      </c>
      <c r="X327" s="57" t="str">
        <f t="shared" si="16"/>
        <v/>
      </c>
      <c r="Y327" s="58" t="s">
        <v>73</v>
      </c>
      <c r="Z327" s="57" t="str">
        <f t="shared" si="17"/>
        <v/>
      </c>
      <c r="AA327" s="58" t="s">
        <v>73</v>
      </c>
      <c r="AB327" s="57" t="str">
        <f t="shared" si="18"/>
        <v/>
      </c>
      <c r="AC327" s="58" t="s">
        <v>73</v>
      </c>
      <c r="AD327" s="57" t="str">
        <f t="shared" si="19"/>
        <v/>
      </c>
      <c r="AE327" s="59"/>
      <c r="AF327" s="59"/>
      <c r="AG327" s="59"/>
      <c r="AH327" s="59"/>
      <c r="AI327" s="59" t="s">
        <v>73</v>
      </c>
      <c r="AJ327" s="59"/>
      <c r="AK327" s="59" t="s">
        <v>73</v>
      </c>
      <c r="AL327" s="59"/>
      <c r="AM327" s="59" t="s">
        <v>73</v>
      </c>
      <c r="AN327" s="59"/>
      <c r="AO327" s="59" t="s">
        <v>73</v>
      </c>
      <c r="AP327" s="59"/>
      <c r="AQ327" s="59" t="s">
        <v>73</v>
      </c>
      <c r="AR327" s="59"/>
      <c r="AS327" s="59" t="s">
        <v>72</v>
      </c>
      <c r="AT327" s="59"/>
      <c r="AU327" s="59"/>
      <c r="AV327" s="59"/>
      <c r="AW327" s="59"/>
      <c r="AX327" s="59"/>
      <c r="AY327" s="60" t="str">
        <f>IF('Cálculo MP'!K337="","",'Cálculo MP'!K337)</f>
        <v/>
      </c>
      <c r="AZ327" s="60" t="str">
        <f>IF('Cálculo MP'!L337="","",'Cálculo MP'!L337)</f>
        <v/>
      </c>
      <c r="BA327" s="60" t="str">
        <f>IF('Cálculo MP'!M337="","",'Cálculo MP'!M337)</f>
        <v/>
      </c>
      <c r="BB327" s="60" t="str">
        <f>IF('Cálculo MP'!N337="","",'Cálculo MP'!N337)</f>
        <v/>
      </c>
      <c r="BC327" s="60" t="str">
        <f>IF('Cálculo MP'!O337="","",'Cálculo MP'!O337)</f>
        <v/>
      </c>
      <c r="BD327" s="60" t="str">
        <f>IF('Cálculo MP'!P337="","",'Cálculo MP'!P337)</f>
        <v/>
      </c>
      <c r="BE327" s="60" t="str">
        <f>IF('Cálculo MP'!Q337="","",'Cálculo MP'!Q337)</f>
        <v/>
      </c>
      <c r="BF327" s="60" t="str">
        <f>IF('Cálculo MP'!R337="","",'Cálculo MP'!R337)</f>
        <v/>
      </c>
      <c r="BG327" s="60" t="str">
        <f>IF('Cálculo MP'!S337="","",'Cálculo MP'!S337)</f>
        <v/>
      </c>
      <c r="BH327" s="59"/>
      <c r="BI327" s="59"/>
      <c r="BJ327" s="59"/>
      <c r="BK327" s="59"/>
      <c r="BL327" s="59"/>
      <c r="BM327" s="59"/>
      <c r="BN327" s="59"/>
      <c r="BO327" s="59"/>
    </row>
    <row r="328" spans="1:67" ht="19.5" customHeight="1" x14ac:dyDescent="0.2">
      <c r="A328" s="114" t="s">
        <v>1789</v>
      </c>
      <c r="B328" s="113" t="s">
        <v>1787</v>
      </c>
      <c r="C328" s="122"/>
      <c r="D328" s="48" t="s">
        <v>73</v>
      </c>
      <c r="E328" s="49"/>
      <c r="F328" s="50"/>
      <c r="G328" s="62"/>
      <c r="H328" s="48" t="s">
        <v>72</v>
      </c>
      <c r="I328" s="52">
        <v>1</v>
      </c>
      <c r="J328" s="52"/>
      <c r="K328" s="52" t="s">
        <v>73</v>
      </c>
      <c r="L328" s="52" t="s">
        <v>74</v>
      </c>
      <c r="M328" s="53" t="s">
        <v>917</v>
      </c>
      <c r="N328" s="58" t="s">
        <v>73</v>
      </c>
      <c r="O328" s="48" t="s">
        <v>72</v>
      </c>
      <c r="P328" s="48" t="s">
        <v>73</v>
      </c>
      <c r="Q328" s="54" t="s">
        <v>73</v>
      </c>
      <c r="R328" s="55" t="s">
        <v>73</v>
      </c>
      <c r="S328" s="48" t="s">
        <v>73</v>
      </c>
      <c r="T328" s="121" t="str" cm="1">
        <f t="array" ref="T328">IF(ISNUMBER(SEARCH("SCHNEIDER",D328)),_xlfn.IFS(ISNUMBER(SEARCH("2 Querétaro",D328)),"SQ2",ISNUMBER(SEARCH("Xicohténcatl",D328)),"SXC",ISNUMBER(SEARCH("Rojo Gómez",D328)),"SRG",ISNUMBER(SEARCH("Tlaxcala",D328)),"STX",ISNUMBER(SEARCH("Monterrey",D328)),"SMY",ISNUMBER(SEARCH("Querétaro",D328)),"SQ1",ISNUMBER(SEARCH("CDMX",D328)),"SCM",TRUE,""),"")</f>
        <v/>
      </c>
      <c r="U328" s="48" t="str" cm="1">
        <f t="array" ref="U328">_xlfn.LET(_xlpm.resultados,_xlfn.UNIQUE(_xlfn._xlws.FILTER(Tabla1[Proceso],(Tabla1[Metal Base]=O328)*(Tabla1[Etiquetas]=_xlfn.TEXTJOIN(" + ",TRUE,IF((TRIM(Upload!P328:S328)="")+(LOWER(TRIM(Upload!P328:S328))="(seleccione)"),"",PROPER(TRIM(Upload!P328:S328)))))*(Tabla1[Línea2]=IFERROR(VLOOKUP(Upload!N328&amp;"*",CAT_Procesos!D:D,1,FALSE),"")))),_xlpm.cantidad,ROWS(_xlpm.resultados),IF(ISERROR(_xlpm.cantidad),"Combinación no existente",IF(_xlpm.cantidad=1,INDEX(_xlpm.resultados,1),"(seleccione)")))</f>
        <v>Combinación no existente</v>
      </c>
      <c r="V328" s="55" t="s">
        <v>73</v>
      </c>
      <c r="W328" s="56" t="s">
        <v>73</v>
      </c>
      <c r="X328" s="57" t="str">
        <f t="shared" si="16"/>
        <v/>
      </c>
      <c r="Y328" s="58" t="s">
        <v>73</v>
      </c>
      <c r="Z328" s="57" t="str">
        <f t="shared" si="17"/>
        <v/>
      </c>
      <c r="AA328" s="58" t="s">
        <v>73</v>
      </c>
      <c r="AB328" s="57" t="str">
        <f t="shared" si="18"/>
        <v/>
      </c>
      <c r="AC328" s="58" t="s">
        <v>73</v>
      </c>
      <c r="AD328" s="57" t="str">
        <f t="shared" si="19"/>
        <v/>
      </c>
      <c r="AE328" s="59"/>
      <c r="AF328" s="59"/>
      <c r="AG328" s="59"/>
      <c r="AH328" s="59"/>
      <c r="AI328" s="59" t="s">
        <v>73</v>
      </c>
      <c r="AJ328" s="59"/>
      <c r="AK328" s="59" t="s">
        <v>73</v>
      </c>
      <c r="AL328" s="59"/>
      <c r="AM328" s="59" t="s">
        <v>73</v>
      </c>
      <c r="AN328" s="59"/>
      <c r="AO328" s="59" t="s">
        <v>73</v>
      </c>
      <c r="AP328" s="59"/>
      <c r="AQ328" s="59" t="s">
        <v>73</v>
      </c>
      <c r="AR328" s="59"/>
      <c r="AS328" s="59" t="s">
        <v>72</v>
      </c>
      <c r="AT328" s="59"/>
      <c r="AU328" s="59"/>
      <c r="AV328" s="59"/>
      <c r="AW328" s="59"/>
      <c r="AX328" s="59"/>
      <c r="AY328" s="60" t="str">
        <f>IF('Cálculo MP'!K338="","",'Cálculo MP'!K338)</f>
        <v/>
      </c>
      <c r="AZ328" s="60" t="str">
        <f>IF('Cálculo MP'!L338="","",'Cálculo MP'!L338)</f>
        <v/>
      </c>
      <c r="BA328" s="60" t="str">
        <f>IF('Cálculo MP'!M338="","",'Cálculo MP'!M338)</f>
        <v/>
      </c>
      <c r="BB328" s="60" t="str">
        <f>IF('Cálculo MP'!N338="","",'Cálculo MP'!N338)</f>
        <v/>
      </c>
      <c r="BC328" s="60" t="str">
        <f>IF('Cálculo MP'!O338="","",'Cálculo MP'!O338)</f>
        <v/>
      </c>
      <c r="BD328" s="60" t="str">
        <f>IF('Cálculo MP'!P338="","",'Cálculo MP'!P338)</f>
        <v/>
      </c>
      <c r="BE328" s="60" t="str">
        <f>IF('Cálculo MP'!Q338="","",'Cálculo MP'!Q338)</f>
        <v/>
      </c>
      <c r="BF328" s="60" t="str">
        <f>IF('Cálculo MP'!R338="","",'Cálculo MP'!R338)</f>
        <v/>
      </c>
      <c r="BG328" s="60" t="str">
        <f>IF('Cálculo MP'!S338="","",'Cálculo MP'!S338)</f>
        <v/>
      </c>
      <c r="BH328" s="59"/>
      <c r="BI328" s="59"/>
      <c r="BJ328" s="59"/>
      <c r="BK328" s="59"/>
      <c r="BL328" s="59"/>
      <c r="BM328" s="59"/>
      <c r="BN328" s="59"/>
      <c r="BO328" s="59"/>
    </row>
    <row r="329" spans="1:67" ht="19.5" customHeight="1" x14ac:dyDescent="0.2">
      <c r="A329" s="114" t="s">
        <v>1789</v>
      </c>
      <c r="B329" s="113" t="s">
        <v>1787</v>
      </c>
      <c r="C329" s="122"/>
      <c r="D329" s="48" t="s">
        <v>73</v>
      </c>
      <c r="E329" s="49"/>
      <c r="F329" s="50"/>
      <c r="G329" s="62"/>
      <c r="H329" s="48" t="s">
        <v>72</v>
      </c>
      <c r="I329" s="52">
        <v>1</v>
      </c>
      <c r="J329" s="52"/>
      <c r="K329" s="52" t="s">
        <v>73</v>
      </c>
      <c r="L329" s="52" t="s">
        <v>74</v>
      </c>
      <c r="M329" s="53" t="s">
        <v>917</v>
      </c>
      <c r="N329" s="58" t="s">
        <v>73</v>
      </c>
      <c r="O329" s="48" t="s">
        <v>72</v>
      </c>
      <c r="P329" s="48" t="s">
        <v>73</v>
      </c>
      <c r="Q329" s="54" t="s">
        <v>73</v>
      </c>
      <c r="R329" s="55" t="s">
        <v>73</v>
      </c>
      <c r="S329" s="48" t="s">
        <v>73</v>
      </c>
      <c r="T329" s="121" t="str" cm="1">
        <f t="array" ref="T329">IF(ISNUMBER(SEARCH("SCHNEIDER",D329)),_xlfn.IFS(ISNUMBER(SEARCH("2 Querétaro",D329)),"SQ2",ISNUMBER(SEARCH("Xicohténcatl",D329)),"SXC",ISNUMBER(SEARCH("Rojo Gómez",D329)),"SRG",ISNUMBER(SEARCH("Tlaxcala",D329)),"STX",ISNUMBER(SEARCH("Monterrey",D329)),"SMY",ISNUMBER(SEARCH("Querétaro",D329)),"SQ1",ISNUMBER(SEARCH("CDMX",D329)),"SCM",TRUE,""),"")</f>
        <v/>
      </c>
      <c r="U329" s="48" t="str" cm="1">
        <f t="array" ref="U329">_xlfn.LET(_xlpm.resultados,_xlfn.UNIQUE(_xlfn._xlws.FILTER(Tabla1[Proceso],(Tabla1[Metal Base]=O329)*(Tabla1[Etiquetas]=_xlfn.TEXTJOIN(" + ",TRUE,IF((TRIM(Upload!P329:S329)="")+(LOWER(TRIM(Upload!P329:S329))="(seleccione)"),"",PROPER(TRIM(Upload!P329:S329)))))*(Tabla1[Línea2]=IFERROR(VLOOKUP(Upload!N329&amp;"*",CAT_Procesos!D:D,1,FALSE),"")))),_xlpm.cantidad,ROWS(_xlpm.resultados),IF(ISERROR(_xlpm.cantidad),"Combinación no existente",IF(_xlpm.cantidad=1,INDEX(_xlpm.resultados,1),"(seleccione)")))</f>
        <v>Combinación no existente</v>
      </c>
      <c r="V329" s="55" t="s">
        <v>73</v>
      </c>
      <c r="W329" s="56" t="s">
        <v>73</v>
      </c>
      <c r="X329" s="57" t="str">
        <f t="shared" ref="X329:X392" si="20">IFERROR(((VALUE(TRIM(LEFT(MID(W329,FIND("|",W329)+1,99),FIND("-",MID(W329,FIND("|",W329)+1,99))-1)))+VALUE(TRIM(SUBSTITUTE(SUBSTITUTE(SUBSTITUTE(SUBSTITUTE(SUBSTITUTE(MID(MID(W329,FIND("|",W329)+1,99),FIND("-",MID(W329,FIND("|",W329)+1,99))+1,20),"µm",""),"μm",""),"mils",""),"mil",""),"",""))))/2)*IF(ISNUMBER(SEARCH("mil",MID(W329,FIND("|",W329)+1,99))),25.4,1),"")</f>
        <v/>
      </c>
      <c r="Y329" s="58" t="s">
        <v>73</v>
      </c>
      <c r="Z329" s="57" t="str">
        <f t="shared" ref="Z329:Z392" si="21">IFERROR(((VALUE(TRIM(LEFT(MID(Y329,FIND("|",Y329)+1,99),FIND("-",MID(Y329,FIND("|",Y329)+1,99))-1)))+VALUE(TRIM(SUBSTITUTE(SUBSTITUTE(SUBSTITUTE(SUBSTITUTE(SUBSTITUTE(MID(MID(Y329,FIND("|",Y329)+1,99),FIND("-",MID(Y329,FIND("|",Y329)+1,99))+1,20),"µm",""),"μm",""),"mils",""),"mil",""),"",""))))/2)*IF(ISNUMBER(SEARCH("mil",MID(Y329,FIND("|",Y329)+1,99))),25.4,1),"")</f>
        <v/>
      </c>
      <c r="AA329" s="58" t="s">
        <v>73</v>
      </c>
      <c r="AB329" s="57" t="str">
        <f t="shared" ref="AB329:AB392" si="22">IFERROR(((VALUE(TRIM(LEFT(MID(AA329,FIND("|",AA329)+1,99),FIND("-",MID(AA329,FIND("|",AA329)+1,99))-1)))+VALUE(TRIM(SUBSTITUTE(SUBSTITUTE(SUBSTITUTE(SUBSTITUTE(SUBSTITUTE(MID(MID(AA329,FIND("|",AA329)+1,99),FIND("-",MID(AA329,FIND("|",AA329)+1,99))+1,20),"µm",""),"μm",""),"mils",""),"mil",""),"",""))))/2)*IF(ISNUMBER(SEARCH("mil",MID(AA329,FIND("|",AA329)+1,99))),25.4,1),"")</f>
        <v/>
      </c>
      <c r="AC329" s="58" t="s">
        <v>73</v>
      </c>
      <c r="AD329" s="57" t="str">
        <f t="shared" ref="AD329:AD392" si="23">IFERROR(((VALUE(TRIM(LEFT(MID(AC329,FIND("|",AC329)+1,99),FIND("-",MID(AC329,FIND("|",AC329)+1,99))-1)))+VALUE(TRIM(SUBSTITUTE(SUBSTITUTE(SUBSTITUTE(SUBSTITUTE(SUBSTITUTE(MID(MID(AC329,FIND("|",AC329)+1,99),FIND("-",MID(AC329,FIND("|",AC329)+1,99))+1,20),"µm",""),"μm",""),"mils",""),"mil",""),"",""))))/2)*IF(ISNUMBER(SEARCH("mil",MID(AC329,FIND("|",AC329)+1,99))),25.4,1),"")</f>
        <v/>
      </c>
      <c r="AE329" s="59"/>
      <c r="AF329" s="59"/>
      <c r="AG329" s="59"/>
      <c r="AH329" s="59"/>
      <c r="AI329" s="59" t="s">
        <v>73</v>
      </c>
      <c r="AJ329" s="59"/>
      <c r="AK329" s="59" t="s">
        <v>73</v>
      </c>
      <c r="AL329" s="59"/>
      <c r="AM329" s="59" t="s">
        <v>73</v>
      </c>
      <c r="AN329" s="59"/>
      <c r="AO329" s="59" t="s">
        <v>73</v>
      </c>
      <c r="AP329" s="59"/>
      <c r="AQ329" s="59" t="s">
        <v>73</v>
      </c>
      <c r="AR329" s="59"/>
      <c r="AS329" s="59" t="s">
        <v>72</v>
      </c>
      <c r="AT329" s="59"/>
      <c r="AU329" s="59"/>
      <c r="AV329" s="59"/>
      <c r="AW329" s="59"/>
      <c r="AX329" s="59"/>
      <c r="AY329" s="60" t="str">
        <f>IF('Cálculo MP'!K339="","",'Cálculo MP'!K339)</f>
        <v/>
      </c>
      <c r="AZ329" s="60" t="str">
        <f>IF('Cálculo MP'!L339="","",'Cálculo MP'!L339)</f>
        <v/>
      </c>
      <c r="BA329" s="60" t="str">
        <f>IF('Cálculo MP'!M339="","",'Cálculo MP'!M339)</f>
        <v/>
      </c>
      <c r="BB329" s="60" t="str">
        <f>IF('Cálculo MP'!N339="","",'Cálculo MP'!N339)</f>
        <v/>
      </c>
      <c r="BC329" s="60" t="str">
        <f>IF('Cálculo MP'!O339="","",'Cálculo MP'!O339)</f>
        <v/>
      </c>
      <c r="BD329" s="60" t="str">
        <f>IF('Cálculo MP'!P339="","",'Cálculo MP'!P339)</f>
        <v/>
      </c>
      <c r="BE329" s="60" t="str">
        <f>IF('Cálculo MP'!Q339="","",'Cálculo MP'!Q339)</f>
        <v/>
      </c>
      <c r="BF329" s="60" t="str">
        <f>IF('Cálculo MP'!R339="","",'Cálculo MP'!R339)</f>
        <v/>
      </c>
      <c r="BG329" s="60" t="str">
        <f>IF('Cálculo MP'!S339="","",'Cálculo MP'!S339)</f>
        <v/>
      </c>
      <c r="BH329" s="59"/>
      <c r="BI329" s="59"/>
      <c r="BJ329" s="59"/>
      <c r="BK329" s="59"/>
      <c r="BL329" s="59"/>
      <c r="BM329" s="59"/>
      <c r="BN329" s="59"/>
      <c r="BO329" s="59"/>
    </row>
    <row r="330" spans="1:67" ht="19.5" customHeight="1" x14ac:dyDescent="0.2">
      <c r="A330" s="114" t="s">
        <v>1789</v>
      </c>
      <c r="B330" s="113" t="s">
        <v>1787</v>
      </c>
      <c r="C330" s="122"/>
      <c r="D330" s="48" t="s">
        <v>73</v>
      </c>
      <c r="E330" s="49"/>
      <c r="F330" s="50"/>
      <c r="G330" s="62"/>
      <c r="H330" s="48" t="s">
        <v>72</v>
      </c>
      <c r="I330" s="52">
        <v>1</v>
      </c>
      <c r="J330" s="52"/>
      <c r="K330" s="52" t="s">
        <v>73</v>
      </c>
      <c r="L330" s="52" t="s">
        <v>74</v>
      </c>
      <c r="M330" s="53" t="s">
        <v>917</v>
      </c>
      <c r="N330" s="58" t="s">
        <v>73</v>
      </c>
      <c r="O330" s="48" t="s">
        <v>72</v>
      </c>
      <c r="P330" s="48" t="s">
        <v>73</v>
      </c>
      <c r="Q330" s="54" t="s">
        <v>73</v>
      </c>
      <c r="R330" s="55" t="s">
        <v>73</v>
      </c>
      <c r="S330" s="48" t="s">
        <v>73</v>
      </c>
      <c r="T330" s="121" t="str" cm="1">
        <f t="array" ref="T330">IF(ISNUMBER(SEARCH("SCHNEIDER",D330)),_xlfn.IFS(ISNUMBER(SEARCH("2 Querétaro",D330)),"SQ2",ISNUMBER(SEARCH("Xicohténcatl",D330)),"SXC",ISNUMBER(SEARCH("Rojo Gómez",D330)),"SRG",ISNUMBER(SEARCH("Tlaxcala",D330)),"STX",ISNUMBER(SEARCH("Monterrey",D330)),"SMY",ISNUMBER(SEARCH("Querétaro",D330)),"SQ1",ISNUMBER(SEARCH("CDMX",D330)),"SCM",TRUE,""),"")</f>
        <v/>
      </c>
      <c r="U330" s="48" t="str" cm="1">
        <f t="array" ref="U330">_xlfn.LET(_xlpm.resultados,_xlfn.UNIQUE(_xlfn._xlws.FILTER(Tabla1[Proceso],(Tabla1[Metal Base]=O330)*(Tabla1[Etiquetas]=_xlfn.TEXTJOIN(" + ",TRUE,IF((TRIM(Upload!P330:S330)="")+(LOWER(TRIM(Upload!P330:S330))="(seleccione)"),"",PROPER(TRIM(Upload!P330:S330)))))*(Tabla1[Línea2]=IFERROR(VLOOKUP(Upload!N330&amp;"*",CAT_Procesos!D:D,1,FALSE),"")))),_xlpm.cantidad,ROWS(_xlpm.resultados),IF(ISERROR(_xlpm.cantidad),"Combinación no existente",IF(_xlpm.cantidad=1,INDEX(_xlpm.resultados,1),"(seleccione)")))</f>
        <v>Combinación no existente</v>
      </c>
      <c r="V330" s="55" t="s">
        <v>73</v>
      </c>
      <c r="W330" s="56" t="s">
        <v>73</v>
      </c>
      <c r="X330" s="57" t="str">
        <f t="shared" si="20"/>
        <v/>
      </c>
      <c r="Y330" s="58" t="s">
        <v>73</v>
      </c>
      <c r="Z330" s="57" t="str">
        <f t="shared" si="21"/>
        <v/>
      </c>
      <c r="AA330" s="58" t="s">
        <v>73</v>
      </c>
      <c r="AB330" s="57" t="str">
        <f t="shared" si="22"/>
        <v/>
      </c>
      <c r="AC330" s="58" t="s">
        <v>73</v>
      </c>
      <c r="AD330" s="57" t="str">
        <f t="shared" si="23"/>
        <v/>
      </c>
      <c r="AE330" s="59"/>
      <c r="AF330" s="59"/>
      <c r="AG330" s="59"/>
      <c r="AH330" s="59"/>
      <c r="AI330" s="59" t="s">
        <v>73</v>
      </c>
      <c r="AJ330" s="59"/>
      <c r="AK330" s="59" t="s">
        <v>73</v>
      </c>
      <c r="AL330" s="59"/>
      <c r="AM330" s="59" t="s">
        <v>73</v>
      </c>
      <c r="AN330" s="59"/>
      <c r="AO330" s="59" t="s">
        <v>73</v>
      </c>
      <c r="AP330" s="59"/>
      <c r="AQ330" s="59" t="s">
        <v>73</v>
      </c>
      <c r="AR330" s="59"/>
      <c r="AS330" s="59" t="s">
        <v>72</v>
      </c>
      <c r="AT330" s="59"/>
      <c r="AU330" s="59"/>
      <c r="AV330" s="59"/>
      <c r="AW330" s="59"/>
      <c r="AX330" s="59"/>
      <c r="AY330" s="60" t="str">
        <f>IF('Cálculo MP'!K340="","",'Cálculo MP'!K340)</f>
        <v/>
      </c>
      <c r="AZ330" s="60" t="str">
        <f>IF('Cálculo MP'!L340="","",'Cálculo MP'!L340)</f>
        <v/>
      </c>
      <c r="BA330" s="60" t="str">
        <f>IF('Cálculo MP'!M340="","",'Cálculo MP'!M340)</f>
        <v/>
      </c>
      <c r="BB330" s="60" t="str">
        <f>IF('Cálculo MP'!N340="","",'Cálculo MP'!N340)</f>
        <v/>
      </c>
      <c r="BC330" s="60" t="str">
        <f>IF('Cálculo MP'!O340="","",'Cálculo MP'!O340)</f>
        <v/>
      </c>
      <c r="BD330" s="60" t="str">
        <f>IF('Cálculo MP'!P340="","",'Cálculo MP'!P340)</f>
        <v/>
      </c>
      <c r="BE330" s="60" t="str">
        <f>IF('Cálculo MP'!Q340="","",'Cálculo MP'!Q340)</f>
        <v/>
      </c>
      <c r="BF330" s="60" t="str">
        <f>IF('Cálculo MP'!R340="","",'Cálculo MP'!R340)</f>
        <v/>
      </c>
      <c r="BG330" s="60" t="str">
        <f>IF('Cálculo MP'!S340="","",'Cálculo MP'!S340)</f>
        <v/>
      </c>
      <c r="BH330" s="59"/>
      <c r="BI330" s="59"/>
      <c r="BJ330" s="59"/>
      <c r="BK330" s="59"/>
      <c r="BL330" s="59"/>
      <c r="BM330" s="59"/>
      <c r="BN330" s="59"/>
      <c r="BO330" s="59"/>
    </row>
    <row r="331" spans="1:67" ht="19.5" customHeight="1" x14ac:dyDescent="0.2">
      <c r="A331" s="114" t="s">
        <v>1789</v>
      </c>
      <c r="B331" s="113" t="s">
        <v>1787</v>
      </c>
      <c r="C331" s="122"/>
      <c r="D331" s="48" t="s">
        <v>73</v>
      </c>
      <c r="E331" s="49"/>
      <c r="F331" s="50"/>
      <c r="G331" s="62"/>
      <c r="H331" s="48" t="s">
        <v>72</v>
      </c>
      <c r="I331" s="52">
        <v>1</v>
      </c>
      <c r="J331" s="52"/>
      <c r="K331" s="52" t="s">
        <v>73</v>
      </c>
      <c r="L331" s="52" t="s">
        <v>74</v>
      </c>
      <c r="M331" s="53" t="s">
        <v>917</v>
      </c>
      <c r="N331" s="58" t="s">
        <v>73</v>
      </c>
      <c r="O331" s="48" t="s">
        <v>72</v>
      </c>
      <c r="P331" s="48" t="s">
        <v>73</v>
      </c>
      <c r="Q331" s="54" t="s">
        <v>73</v>
      </c>
      <c r="R331" s="55" t="s">
        <v>73</v>
      </c>
      <c r="S331" s="48" t="s">
        <v>73</v>
      </c>
      <c r="T331" s="121" t="str" cm="1">
        <f t="array" ref="T331">IF(ISNUMBER(SEARCH("SCHNEIDER",D331)),_xlfn.IFS(ISNUMBER(SEARCH("2 Querétaro",D331)),"SQ2",ISNUMBER(SEARCH("Xicohténcatl",D331)),"SXC",ISNUMBER(SEARCH("Rojo Gómez",D331)),"SRG",ISNUMBER(SEARCH("Tlaxcala",D331)),"STX",ISNUMBER(SEARCH("Monterrey",D331)),"SMY",ISNUMBER(SEARCH("Querétaro",D331)),"SQ1",ISNUMBER(SEARCH("CDMX",D331)),"SCM",TRUE,""),"")</f>
        <v/>
      </c>
      <c r="U331" s="48" t="str" cm="1">
        <f t="array" ref="U331">_xlfn.LET(_xlpm.resultados,_xlfn.UNIQUE(_xlfn._xlws.FILTER(Tabla1[Proceso],(Tabla1[Metal Base]=O331)*(Tabla1[Etiquetas]=_xlfn.TEXTJOIN(" + ",TRUE,IF((TRIM(Upload!P331:S331)="")+(LOWER(TRIM(Upload!P331:S331))="(seleccione)"),"",PROPER(TRIM(Upload!P331:S331)))))*(Tabla1[Línea2]=IFERROR(VLOOKUP(Upload!N331&amp;"*",CAT_Procesos!D:D,1,FALSE),"")))),_xlpm.cantidad,ROWS(_xlpm.resultados),IF(ISERROR(_xlpm.cantidad),"Combinación no existente",IF(_xlpm.cantidad=1,INDEX(_xlpm.resultados,1),"(seleccione)")))</f>
        <v>Combinación no existente</v>
      </c>
      <c r="V331" s="55" t="s">
        <v>73</v>
      </c>
      <c r="W331" s="56" t="s">
        <v>73</v>
      </c>
      <c r="X331" s="57" t="str">
        <f t="shared" si="20"/>
        <v/>
      </c>
      <c r="Y331" s="58" t="s">
        <v>73</v>
      </c>
      <c r="Z331" s="57" t="str">
        <f t="shared" si="21"/>
        <v/>
      </c>
      <c r="AA331" s="58" t="s">
        <v>73</v>
      </c>
      <c r="AB331" s="57" t="str">
        <f t="shared" si="22"/>
        <v/>
      </c>
      <c r="AC331" s="58" t="s">
        <v>73</v>
      </c>
      <c r="AD331" s="57" t="str">
        <f t="shared" si="23"/>
        <v/>
      </c>
      <c r="AE331" s="59"/>
      <c r="AF331" s="59"/>
      <c r="AG331" s="59"/>
      <c r="AH331" s="59"/>
      <c r="AI331" s="59" t="s">
        <v>73</v>
      </c>
      <c r="AJ331" s="59"/>
      <c r="AK331" s="59" t="s">
        <v>73</v>
      </c>
      <c r="AL331" s="59"/>
      <c r="AM331" s="59" t="s">
        <v>73</v>
      </c>
      <c r="AN331" s="59"/>
      <c r="AO331" s="59" t="s">
        <v>73</v>
      </c>
      <c r="AP331" s="59"/>
      <c r="AQ331" s="59" t="s">
        <v>73</v>
      </c>
      <c r="AR331" s="59"/>
      <c r="AS331" s="59" t="s">
        <v>72</v>
      </c>
      <c r="AT331" s="59"/>
      <c r="AU331" s="59"/>
      <c r="AV331" s="59"/>
      <c r="AW331" s="59"/>
      <c r="AX331" s="59"/>
      <c r="AY331" s="60" t="str">
        <f>IF('Cálculo MP'!K341="","",'Cálculo MP'!K341)</f>
        <v/>
      </c>
      <c r="AZ331" s="60" t="str">
        <f>IF('Cálculo MP'!L341="","",'Cálculo MP'!L341)</f>
        <v/>
      </c>
      <c r="BA331" s="60" t="str">
        <f>IF('Cálculo MP'!M341="","",'Cálculo MP'!M341)</f>
        <v/>
      </c>
      <c r="BB331" s="60" t="str">
        <f>IF('Cálculo MP'!N341="","",'Cálculo MP'!N341)</f>
        <v/>
      </c>
      <c r="BC331" s="60" t="str">
        <f>IF('Cálculo MP'!O341="","",'Cálculo MP'!O341)</f>
        <v/>
      </c>
      <c r="BD331" s="60" t="str">
        <f>IF('Cálculo MP'!P341="","",'Cálculo MP'!P341)</f>
        <v/>
      </c>
      <c r="BE331" s="60" t="str">
        <f>IF('Cálculo MP'!Q341="","",'Cálculo MP'!Q341)</f>
        <v/>
      </c>
      <c r="BF331" s="60" t="str">
        <f>IF('Cálculo MP'!R341="","",'Cálculo MP'!R341)</f>
        <v/>
      </c>
      <c r="BG331" s="60" t="str">
        <f>IF('Cálculo MP'!S341="","",'Cálculo MP'!S341)</f>
        <v/>
      </c>
      <c r="BH331" s="59"/>
      <c r="BI331" s="59"/>
      <c r="BJ331" s="59"/>
      <c r="BK331" s="59"/>
      <c r="BL331" s="59"/>
      <c r="BM331" s="59"/>
      <c r="BN331" s="59"/>
      <c r="BO331" s="59"/>
    </row>
    <row r="332" spans="1:67" ht="19.5" customHeight="1" x14ac:dyDescent="0.2">
      <c r="A332" s="114" t="s">
        <v>1789</v>
      </c>
      <c r="B332" s="113" t="s">
        <v>1787</v>
      </c>
      <c r="C332" s="122"/>
      <c r="D332" s="48" t="s">
        <v>73</v>
      </c>
      <c r="E332" s="49"/>
      <c r="F332" s="50"/>
      <c r="G332" s="62"/>
      <c r="H332" s="48" t="s">
        <v>72</v>
      </c>
      <c r="I332" s="52">
        <v>1</v>
      </c>
      <c r="J332" s="52"/>
      <c r="K332" s="52" t="s">
        <v>73</v>
      </c>
      <c r="L332" s="52" t="s">
        <v>74</v>
      </c>
      <c r="M332" s="53" t="s">
        <v>917</v>
      </c>
      <c r="N332" s="58" t="s">
        <v>73</v>
      </c>
      <c r="O332" s="48" t="s">
        <v>72</v>
      </c>
      <c r="P332" s="48" t="s">
        <v>73</v>
      </c>
      <c r="Q332" s="54" t="s">
        <v>73</v>
      </c>
      <c r="R332" s="55" t="s">
        <v>73</v>
      </c>
      <c r="S332" s="48" t="s">
        <v>73</v>
      </c>
      <c r="T332" s="121" t="str" cm="1">
        <f t="array" ref="T332">IF(ISNUMBER(SEARCH("SCHNEIDER",D332)),_xlfn.IFS(ISNUMBER(SEARCH("2 Querétaro",D332)),"SQ2",ISNUMBER(SEARCH("Xicohténcatl",D332)),"SXC",ISNUMBER(SEARCH("Rojo Gómez",D332)),"SRG",ISNUMBER(SEARCH("Tlaxcala",D332)),"STX",ISNUMBER(SEARCH("Monterrey",D332)),"SMY",ISNUMBER(SEARCH("Querétaro",D332)),"SQ1",ISNUMBER(SEARCH("CDMX",D332)),"SCM",TRUE,""),"")</f>
        <v/>
      </c>
      <c r="U332" s="48" t="str" cm="1">
        <f t="array" ref="U332">_xlfn.LET(_xlpm.resultados,_xlfn.UNIQUE(_xlfn._xlws.FILTER(Tabla1[Proceso],(Tabla1[Metal Base]=O332)*(Tabla1[Etiquetas]=_xlfn.TEXTJOIN(" + ",TRUE,IF((TRIM(Upload!P332:S332)="")+(LOWER(TRIM(Upload!P332:S332))="(seleccione)"),"",PROPER(TRIM(Upload!P332:S332)))))*(Tabla1[Línea2]=IFERROR(VLOOKUP(Upload!N332&amp;"*",CAT_Procesos!D:D,1,FALSE),"")))),_xlpm.cantidad,ROWS(_xlpm.resultados),IF(ISERROR(_xlpm.cantidad),"Combinación no existente",IF(_xlpm.cantidad=1,INDEX(_xlpm.resultados,1),"(seleccione)")))</f>
        <v>Combinación no existente</v>
      </c>
      <c r="V332" s="55" t="s">
        <v>73</v>
      </c>
      <c r="W332" s="56" t="s">
        <v>73</v>
      </c>
      <c r="X332" s="57" t="str">
        <f t="shared" si="20"/>
        <v/>
      </c>
      <c r="Y332" s="58" t="s">
        <v>73</v>
      </c>
      <c r="Z332" s="57" t="str">
        <f t="shared" si="21"/>
        <v/>
      </c>
      <c r="AA332" s="58" t="s">
        <v>73</v>
      </c>
      <c r="AB332" s="57" t="str">
        <f t="shared" si="22"/>
        <v/>
      </c>
      <c r="AC332" s="58" t="s">
        <v>73</v>
      </c>
      <c r="AD332" s="57" t="str">
        <f t="shared" si="23"/>
        <v/>
      </c>
      <c r="AE332" s="59"/>
      <c r="AF332" s="59"/>
      <c r="AG332" s="59"/>
      <c r="AH332" s="59"/>
      <c r="AI332" s="59" t="s">
        <v>73</v>
      </c>
      <c r="AJ332" s="59"/>
      <c r="AK332" s="59" t="s">
        <v>73</v>
      </c>
      <c r="AL332" s="59"/>
      <c r="AM332" s="59" t="s">
        <v>73</v>
      </c>
      <c r="AN332" s="59"/>
      <c r="AO332" s="59" t="s">
        <v>73</v>
      </c>
      <c r="AP332" s="59"/>
      <c r="AQ332" s="59" t="s">
        <v>73</v>
      </c>
      <c r="AR332" s="59"/>
      <c r="AS332" s="59" t="s">
        <v>72</v>
      </c>
      <c r="AT332" s="59"/>
      <c r="AU332" s="59"/>
      <c r="AV332" s="59"/>
      <c r="AW332" s="59"/>
      <c r="AX332" s="59"/>
      <c r="AY332" s="60" t="str">
        <f>IF('Cálculo MP'!K342="","",'Cálculo MP'!K342)</f>
        <v/>
      </c>
      <c r="AZ332" s="60" t="str">
        <f>IF('Cálculo MP'!L342="","",'Cálculo MP'!L342)</f>
        <v/>
      </c>
      <c r="BA332" s="60" t="str">
        <f>IF('Cálculo MP'!M342="","",'Cálculo MP'!M342)</f>
        <v/>
      </c>
      <c r="BB332" s="60" t="str">
        <f>IF('Cálculo MP'!N342="","",'Cálculo MP'!N342)</f>
        <v/>
      </c>
      <c r="BC332" s="60" t="str">
        <f>IF('Cálculo MP'!O342="","",'Cálculo MP'!O342)</f>
        <v/>
      </c>
      <c r="BD332" s="60" t="str">
        <f>IF('Cálculo MP'!P342="","",'Cálculo MP'!P342)</f>
        <v/>
      </c>
      <c r="BE332" s="60" t="str">
        <f>IF('Cálculo MP'!Q342="","",'Cálculo MP'!Q342)</f>
        <v/>
      </c>
      <c r="BF332" s="60" t="str">
        <f>IF('Cálculo MP'!R342="","",'Cálculo MP'!R342)</f>
        <v/>
      </c>
      <c r="BG332" s="60" t="str">
        <f>IF('Cálculo MP'!S342="","",'Cálculo MP'!S342)</f>
        <v/>
      </c>
      <c r="BH332" s="59"/>
      <c r="BI332" s="59"/>
      <c r="BJ332" s="59"/>
      <c r="BK332" s="59"/>
      <c r="BL332" s="59"/>
      <c r="BM332" s="59"/>
      <c r="BN332" s="59"/>
      <c r="BO332" s="59"/>
    </row>
    <row r="333" spans="1:67" ht="19.5" customHeight="1" x14ac:dyDescent="0.2">
      <c r="A333" s="114" t="s">
        <v>1789</v>
      </c>
      <c r="B333" s="113" t="s">
        <v>1787</v>
      </c>
      <c r="C333" s="122"/>
      <c r="D333" s="48" t="s">
        <v>73</v>
      </c>
      <c r="E333" s="49"/>
      <c r="F333" s="50"/>
      <c r="G333" s="62"/>
      <c r="H333" s="48" t="s">
        <v>72</v>
      </c>
      <c r="I333" s="52">
        <v>1</v>
      </c>
      <c r="J333" s="52"/>
      <c r="K333" s="52" t="s">
        <v>73</v>
      </c>
      <c r="L333" s="52" t="s">
        <v>74</v>
      </c>
      <c r="M333" s="53" t="s">
        <v>917</v>
      </c>
      <c r="N333" s="58" t="s">
        <v>73</v>
      </c>
      <c r="O333" s="48" t="s">
        <v>72</v>
      </c>
      <c r="P333" s="48" t="s">
        <v>73</v>
      </c>
      <c r="Q333" s="54" t="s">
        <v>73</v>
      </c>
      <c r="R333" s="55" t="s">
        <v>73</v>
      </c>
      <c r="S333" s="48" t="s">
        <v>73</v>
      </c>
      <c r="T333" s="121" t="str" cm="1">
        <f t="array" ref="T333">IF(ISNUMBER(SEARCH("SCHNEIDER",D333)),_xlfn.IFS(ISNUMBER(SEARCH("2 Querétaro",D333)),"SQ2",ISNUMBER(SEARCH("Xicohténcatl",D333)),"SXC",ISNUMBER(SEARCH("Rojo Gómez",D333)),"SRG",ISNUMBER(SEARCH("Tlaxcala",D333)),"STX",ISNUMBER(SEARCH("Monterrey",D333)),"SMY",ISNUMBER(SEARCH("Querétaro",D333)),"SQ1",ISNUMBER(SEARCH("CDMX",D333)),"SCM",TRUE,""),"")</f>
        <v/>
      </c>
      <c r="U333" s="48" t="str" cm="1">
        <f t="array" ref="U333">_xlfn.LET(_xlpm.resultados,_xlfn.UNIQUE(_xlfn._xlws.FILTER(Tabla1[Proceso],(Tabla1[Metal Base]=O333)*(Tabla1[Etiquetas]=_xlfn.TEXTJOIN(" + ",TRUE,IF((TRIM(Upload!P333:S333)="")+(LOWER(TRIM(Upload!P333:S333))="(seleccione)"),"",PROPER(TRIM(Upload!P333:S333)))))*(Tabla1[Línea2]=IFERROR(VLOOKUP(Upload!N333&amp;"*",CAT_Procesos!D:D,1,FALSE),"")))),_xlpm.cantidad,ROWS(_xlpm.resultados),IF(ISERROR(_xlpm.cantidad),"Combinación no existente",IF(_xlpm.cantidad=1,INDEX(_xlpm.resultados,1),"(seleccione)")))</f>
        <v>Combinación no existente</v>
      </c>
      <c r="V333" s="55" t="s">
        <v>73</v>
      </c>
      <c r="W333" s="56" t="s">
        <v>73</v>
      </c>
      <c r="X333" s="57" t="str">
        <f t="shared" si="20"/>
        <v/>
      </c>
      <c r="Y333" s="58" t="s">
        <v>73</v>
      </c>
      <c r="Z333" s="57" t="str">
        <f t="shared" si="21"/>
        <v/>
      </c>
      <c r="AA333" s="58" t="s">
        <v>73</v>
      </c>
      <c r="AB333" s="57" t="str">
        <f t="shared" si="22"/>
        <v/>
      </c>
      <c r="AC333" s="58" t="s">
        <v>73</v>
      </c>
      <c r="AD333" s="57" t="str">
        <f t="shared" si="23"/>
        <v/>
      </c>
      <c r="AE333" s="59"/>
      <c r="AF333" s="59"/>
      <c r="AG333" s="59"/>
      <c r="AH333" s="59"/>
      <c r="AI333" s="59" t="s">
        <v>73</v>
      </c>
      <c r="AJ333" s="59"/>
      <c r="AK333" s="59" t="s">
        <v>73</v>
      </c>
      <c r="AL333" s="59"/>
      <c r="AM333" s="59" t="s">
        <v>73</v>
      </c>
      <c r="AN333" s="59"/>
      <c r="AO333" s="59" t="s">
        <v>73</v>
      </c>
      <c r="AP333" s="59"/>
      <c r="AQ333" s="59" t="s">
        <v>73</v>
      </c>
      <c r="AR333" s="59"/>
      <c r="AS333" s="59" t="s">
        <v>72</v>
      </c>
      <c r="AT333" s="59"/>
      <c r="AU333" s="59"/>
      <c r="AV333" s="59"/>
      <c r="AW333" s="59"/>
      <c r="AX333" s="59"/>
      <c r="AY333" s="60" t="str">
        <f>IF('Cálculo MP'!K343="","",'Cálculo MP'!K343)</f>
        <v/>
      </c>
      <c r="AZ333" s="60" t="str">
        <f>IF('Cálculo MP'!L343="","",'Cálculo MP'!L343)</f>
        <v/>
      </c>
      <c r="BA333" s="60" t="str">
        <f>IF('Cálculo MP'!M343="","",'Cálculo MP'!M343)</f>
        <v/>
      </c>
      <c r="BB333" s="60" t="str">
        <f>IF('Cálculo MP'!N343="","",'Cálculo MP'!N343)</f>
        <v/>
      </c>
      <c r="BC333" s="60" t="str">
        <f>IF('Cálculo MP'!O343="","",'Cálculo MP'!O343)</f>
        <v/>
      </c>
      <c r="BD333" s="60" t="str">
        <f>IF('Cálculo MP'!P343="","",'Cálculo MP'!P343)</f>
        <v/>
      </c>
      <c r="BE333" s="60" t="str">
        <f>IF('Cálculo MP'!Q343="","",'Cálculo MP'!Q343)</f>
        <v/>
      </c>
      <c r="BF333" s="60" t="str">
        <f>IF('Cálculo MP'!R343="","",'Cálculo MP'!R343)</f>
        <v/>
      </c>
      <c r="BG333" s="60" t="str">
        <f>IF('Cálculo MP'!S343="","",'Cálculo MP'!S343)</f>
        <v/>
      </c>
      <c r="BH333" s="59"/>
      <c r="BI333" s="59"/>
      <c r="BJ333" s="59"/>
      <c r="BK333" s="59"/>
      <c r="BL333" s="59"/>
      <c r="BM333" s="59"/>
      <c r="BN333" s="59"/>
      <c r="BO333" s="59"/>
    </row>
    <row r="334" spans="1:67" ht="19.5" customHeight="1" x14ac:dyDescent="0.2">
      <c r="A334" s="114" t="s">
        <v>1789</v>
      </c>
      <c r="B334" s="113" t="s">
        <v>1787</v>
      </c>
      <c r="C334" s="122"/>
      <c r="D334" s="48" t="s">
        <v>73</v>
      </c>
      <c r="E334" s="49"/>
      <c r="F334" s="50"/>
      <c r="G334" s="62"/>
      <c r="H334" s="48" t="s">
        <v>72</v>
      </c>
      <c r="I334" s="52">
        <v>1</v>
      </c>
      <c r="J334" s="52"/>
      <c r="K334" s="52" t="s">
        <v>73</v>
      </c>
      <c r="L334" s="52" t="s">
        <v>74</v>
      </c>
      <c r="M334" s="53" t="s">
        <v>917</v>
      </c>
      <c r="N334" s="58" t="s">
        <v>73</v>
      </c>
      <c r="O334" s="48" t="s">
        <v>72</v>
      </c>
      <c r="P334" s="48" t="s">
        <v>73</v>
      </c>
      <c r="Q334" s="54" t="s">
        <v>73</v>
      </c>
      <c r="R334" s="55" t="s">
        <v>73</v>
      </c>
      <c r="S334" s="48" t="s">
        <v>73</v>
      </c>
      <c r="T334" s="121" t="str" cm="1">
        <f t="array" ref="T334">IF(ISNUMBER(SEARCH("SCHNEIDER",D334)),_xlfn.IFS(ISNUMBER(SEARCH("2 Querétaro",D334)),"SQ2",ISNUMBER(SEARCH("Xicohténcatl",D334)),"SXC",ISNUMBER(SEARCH("Rojo Gómez",D334)),"SRG",ISNUMBER(SEARCH("Tlaxcala",D334)),"STX",ISNUMBER(SEARCH("Monterrey",D334)),"SMY",ISNUMBER(SEARCH("Querétaro",D334)),"SQ1",ISNUMBER(SEARCH("CDMX",D334)),"SCM",TRUE,""),"")</f>
        <v/>
      </c>
      <c r="U334" s="48" t="str" cm="1">
        <f t="array" ref="U334">_xlfn.LET(_xlpm.resultados,_xlfn.UNIQUE(_xlfn._xlws.FILTER(Tabla1[Proceso],(Tabla1[Metal Base]=O334)*(Tabla1[Etiquetas]=_xlfn.TEXTJOIN(" + ",TRUE,IF((TRIM(Upload!P334:S334)="")+(LOWER(TRIM(Upload!P334:S334))="(seleccione)"),"",PROPER(TRIM(Upload!P334:S334)))))*(Tabla1[Línea2]=IFERROR(VLOOKUP(Upload!N334&amp;"*",CAT_Procesos!D:D,1,FALSE),"")))),_xlpm.cantidad,ROWS(_xlpm.resultados),IF(ISERROR(_xlpm.cantidad),"Combinación no existente",IF(_xlpm.cantidad=1,INDEX(_xlpm.resultados,1),"(seleccione)")))</f>
        <v>Combinación no existente</v>
      </c>
      <c r="V334" s="55" t="s">
        <v>73</v>
      </c>
      <c r="W334" s="56" t="s">
        <v>73</v>
      </c>
      <c r="X334" s="57" t="str">
        <f t="shared" si="20"/>
        <v/>
      </c>
      <c r="Y334" s="58" t="s">
        <v>73</v>
      </c>
      <c r="Z334" s="57" t="str">
        <f t="shared" si="21"/>
        <v/>
      </c>
      <c r="AA334" s="58" t="s">
        <v>73</v>
      </c>
      <c r="AB334" s="57" t="str">
        <f t="shared" si="22"/>
        <v/>
      </c>
      <c r="AC334" s="58" t="s">
        <v>73</v>
      </c>
      <c r="AD334" s="57" t="str">
        <f t="shared" si="23"/>
        <v/>
      </c>
      <c r="AE334" s="59"/>
      <c r="AF334" s="59"/>
      <c r="AG334" s="59"/>
      <c r="AH334" s="59"/>
      <c r="AI334" s="59" t="s">
        <v>73</v>
      </c>
      <c r="AJ334" s="59"/>
      <c r="AK334" s="59" t="s">
        <v>73</v>
      </c>
      <c r="AL334" s="59"/>
      <c r="AM334" s="59" t="s">
        <v>73</v>
      </c>
      <c r="AN334" s="59"/>
      <c r="AO334" s="59" t="s">
        <v>73</v>
      </c>
      <c r="AP334" s="59"/>
      <c r="AQ334" s="59" t="s">
        <v>73</v>
      </c>
      <c r="AR334" s="59"/>
      <c r="AS334" s="59" t="s">
        <v>72</v>
      </c>
      <c r="AT334" s="59"/>
      <c r="AU334" s="59"/>
      <c r="AV334" s="59"/>
      <c r="AW334" s="59"/>
      <c r="AX334" s="59"/>
      <c r="AY334" s="60" t="str">
        <f>IF('Cálculo MP'!K344="","",'Cálculo MP'!K344)</f>
        <v/>
      </c>
      <c r="AZ334" s="60" t="str">
        <f>IF('Cálculo MP'!L344="","",'Cálculo MP'!L344)</f>
        <v/>
      </c>
      <c r="BA334" s="60" t="str">
        <f>IF('Cálculo MP'!M344="","",'Cálculo MP'!M344)</f>
        <v/>
      </c>
      <c r="BB334" s="60" t="str">
        <f>IF('Cálculo MP'!N344="","",'Cálculo MP'!N344)</f>
        <v/>
      </c>
      <c r="BC334" s="60" t="str">
        <f>IF('Cálculo MP'!O344="","",'Cálculo MP'!O344)</f>
        <v/>
      </c>
      <c r="BD334" s="60" t="str">
        <f>IF('Cálculo MP'!P344="","",'Cálculo MP'!P344)</f>
        <v/>
      </c>
      <c r="BE334" s="60" t="str">
        <f>IF('Cálculo MP'!Q344="","",'Cálculo MP'!Q344)</f>
        <v/>
      </c>
      <c r="BF334" s="60" t="str">
        <f>IF('Cálculo MP'!R344="","",'Cálculo MP'!R344)</f>
        <v/>
      </c>
      <c r="BG334" s="60" t="str">
        <f>IF('Cálculo MP'!S344="","",'Cálculo MP'!S344)</f>
        <v/>
      </c>
      <c r="BH334" s="59"/>
      <c r="BI334" s="59"/>
      <c r="BJ334" s="59"/>
      <c r="BK334" s="59"/>
      <c r="BL334" s="59"/>
      <c r="BM334" s="59"/>
      <c r="BN334" s="59"/>
      <c r="BO334" s="59"/>
    </row>
    <row r="335" spans="1:67" ht="19.5" customHeight="1" x14ac:dyDescent="0.2">
      <c r="A335" s="114" t="s">
        <v>1789</v>
      </c>
      <c r="B335" s="113" t="s">
        <v>1787</v>
      </c>
      <c r="C335" s="122"/>
      <c r="D335" s="48" t="s">
        <v>73</v>
      </c>
      <c r="E335" s="49"/>
      <c r="F335" s="50"/>
      <c r="G335" s="62"/>
      <c r="H335" s="48" t="s">
        <v>72</v>
      </c>
      <c r="I335" s="52">
        <v>1</v>
      </c>
      <c r="J335" s="52"/>
      <c r="K335" s="52" t="s">
        <v>73</v>
      </c>
      <c r="L335" s="52" t="s">
        <v>74</v>
      </c>
      <c r="M335" s="53" t="s">
        <v>917</v>
      </c>
      <c r="N335" s="58" t="s">
        <v>73</v>
      </c>
      <c r="O335" s="48" t="s">
        <v>72</v>
      </c>
      <c r="P335" s="48" t="s">
        <v>73</v>
      </c>
      <c r="Q335" s="54" t="s">
        <v>73</v>
      </c>
      <c r="R335" s="55" t="s">
        <v>73</v>
      </c>
      <c r="S335" s="48" t="s">
        <v>73</v>
      </c>
      <c r="T335" s="121" t="str" cm="1">
        <f t="array" ref="T335">IF(ISNUMBER(SEARCH("SCHNEIDER",D335)),_xlfn.IFS(ISNUMBER(SEARCH("2 Querétaro",D335)),"SQ2",ISNUMBER(SEARCH("Xicohténcatl",D335)),"SXC",ISNUMBER(SEARCH("Rojo Gómez",D335)),"SRG",ISNUMBER(SEARCH("Tlaxcala",D335)),"STX",ISNUMBER(SEARCH("Monterrey",D335)),"SMY",ISNUMBER(SEARCH("Querétaro",D335)),"SQ1",ISNUMBER(SEARCH("CDMX",D335)),"SCM",TRUE,""),"")</f>
        <v/>
      </c>
      <c r="U335" s="48" t="str" cm="1">
        <f t="array" ref="U335">_xlfn.LET(_xlpm.resultados,_xlfn.UNIQUE(_xlfn._xlws.FILTER(Tabla1[Proceso],(Tabla1[Metal Base]=O335)*(Tabla1[Etiquetas]=_xlfn.TEXTJOIN(" + ",TRUE,IF((TRIM(Upload!P335:S335)="")+(LOWER(TRIM(Upload!P335:S335))="(seleccione)"),"",PROPER(TRIM(Upload!P335:S335)))))*(Tabla1[Línea2]=IFERROR(VLOOKUP(Upload!N335&amp;"*",CAT_Procesos!D:D,1,FALSE),"")))),_xlpm.cantidad,ROWS(_xlpm.resultados),IF(ISERROR(_xlpm.cantidad),"Combinación no existente",IF(_xlpm.cantidad=1,INDEX(_xlpm.resultados,1),"(seleccione)")))</f>
        <v>Combinación no existente</v>
      </c>
      <c r="V335" s="55" t="s">
        <v>73</v>
      </c>
      <c r="W335" s="56" t="s">
        <v>73</v>
      </c>
      <c r="X335" s="57" t="str">
        <f t="shared" si="20"/>
        <v/>
      </c>
      <c r="Y335" s="58" t="s">
        <v>73</v>
      </c>
      <c r="Z335" s="57" t="str">
        <f t="shared" si="21"/>
        <v/>
      </c>
      <c r="AA335" s="58" t="s">
        <v>73</v>
      </c>
      <c r="AB335" s="57" t="str">
        <f t="shared" si="22"/>
        <v/>
      </c>
      <c r="AC335" s="58" t="s">
        <v>73</v>
      </c>
      <c r="AD335" s="57" t="str">
        <f t="shared" si="23"/>
        <v/>
      </c>
      <c r="AE335" s="59"/>
      <c r="AF335" s="59"/>
      <c r="AG335" s="59"/>
      <c r="AH335" s="59"/>
      <c r="AI335" s="59" t="s">
        <v>73</v>
      </c>
      <c r="AJ335" s="59"/>
      <c r="AK335" s="59" t="s">
        <v>73</v>
      </c>
      <c r="AL335" s="59"/>
      <c r="AM335" s="59" t="s">
        <v>73</v>
      </c>
      <c r="AN335" s="59"/>
      <c r="AO335" s="59" t="s">
        <v>73</v>
      </c>
      <c r="AP335" s="59"/>
      <c r="AQ335" s="59" t="s">
        <v>73</v>
      </c>
      <c r="AR335" s="59"/>
      <c r="AS335" s="59" t="s">
        <v>72</v>
      </c>
      <c r="AT335" s="59"/>
      <c r="AU335" s="59"/>
      <c r="AV335" s="59"/>
      <c r="AW335" s="59"/>
      <c r="AX335" s="59"/>
      <c r="AY335" s="60" t="str">
        <f>IF('Cálculo MP'!K345="","",'Cálculo MP'!K345)</f>
        <v/>
      </c>
      <c r="AZ335" s="60" t="str">
        <f>IF('Cálculo MP'!L345="","",'Cálculo MP'!L345)</f>
        <v/>
      </c>
      <c r="BA335" s="60" t="str">
        <f>IF('Cálculo MP'!M345="","",'Cálculo MP'!M345)</f>
        <v/>
      </c>
      <c r="BB335" s="60" t="str">
        <f>IF('Cálculo MP'!N345="","",'Cálculo MP'!N345)</f>
        <v/>
      </c>
      <c r="BC335" s="60" t="str">
        <f>IF('Cálculo MP'!O345="","",'Cálculo MP'!O345)</f>
        <v/>
      </c>
      <c r="BD335" s="60" t="str">
        <f>IF('Cálculo MP'!P345="","",'Cálculo MP'!P345)</f>
        <v/>
      </c>
      <c r="BE335" s="60" t="str">
        <f>IF('Cálculo MP'!Q345="","",'Cálculo MP'!Q345)</f>
        <v/>
      </c>
      <c r="BF335" s="60" t="str">
        <f>IF('Cálculo MP'!R345="","",'Cálculo MP'!R345)</f>
        <v/>
      </c>
      <c r="BG335" s="60" t="str">
        <f>IF('Cálculo MP'!S345="","",'Cálculo MP'!S345)</f>
        <v/>
      </c>
      <c r="BH335" s="59"/>
      <c r="BI335" s="59"/>
      <c r="BJ335" s="59"/>
      <c r="BK335" s="59"/>
      <c r="BL335" s="59"/>
      <c r="BM335" s="59"/>
      <c r="BN335" s="59"/>
      <c r="BO335" s="59"/>
    </row>
    <row r="336" spans="1:67" ht="19.5" customHeight="1" x14ac:dyDescent="0.2">
      <c r="A336" s="114" t="s">
        <v>1789</v>
      </c>
      <c r="B336" s="113" t="s">
        <v>1787</v>
      </c>
      <c r="C336" s="122"/>
      <c r="D336" s="48" t="s">
        <v>73</v>
      </c>
      <c r="E336" s="49"/>
      <c r="F336" s="50"/>
      <c r="G336" s="62"/>
      <c r="H336" s="48" t="s">
        <v>72</v>
      </c>
      <c r="I336" s="52">
        <v>1</v>
      </c>
      <c r="J336" s="52"/>
      <c r="K336" s="52" t="s">
        <v>73</v>
      </c>
      <c r="L336" s="52" t="s">
        <v>74</v>
      </c>
      <c r="M336" s="53" t="s">
        <v>917</v>
      </c>
      <c r="N336" s="58" t="s">
        <v>73</v>
      </c>
      <c r="O336" s="48" t="s">
        <v>72</v>
      </c>
      <c r="P336" s="48" t="s">
        <v>73</v>
      </c>
      <c r="Q336" s="54" t="s">
        <v>73</v>
      </c>
      <c r="R336" s="55" t="s">
        <v>73</v>
      </c>
      <c r="S336" s="48" t="s">
        <v>73</v>
      </c>
      <c r="T336" s="121" t="str" cm="1">
        <f t="array" ref="T336">IF(ISNUMBER(SEARCH("SCHNEIDER",D336)),_xlfn.IFS(ISNUMBER(SEARCH("2 Querétaro",D336)),"SQ2",ISNUMBER(SEARCH("Xicohténcatl",D336)),"SXC",ISNUMBER(SEARCH("Rojo Gómez",D336)),"SRG",ISNUMBER(SEARCH("Tlaxcala",D336)),"STX",ISNUMBER(SEARCH("Monterrey",D336)),"SMY",ISNUMBER(SEARCH("Querétaro",D336)),"SQ1",ISNUMBER(SEARCH("CDMX",D336)),"SCM",TRUE,""),"")</f>
        <v/>
      </c>
      <c r="U336" s="48" t="str" cm="1">
        <f t="array" ref="U336">_xlfn.LET(_xlpm.resultados,_xlfn.UNIQUE(_xlfn._xlws.FILTER(Tabla1[Proceso],(Tabla1[Metal Base]=O336)*(Tabla1[Etiquetas]=_xlfn.TEXTJOIN(" + ",TRUE,IF((TRIM(Upload!P336:S336)="")+(LOWER(TRIM(Upload!P336:S336))="(seleccione)"),"",PROPER(TRIM(Upload!P336:S336)))))*(Tabla1[Línea2]=IFERROR(VLOOKUP(Upload!N336&amp;"*",CAT_Procesos!D:D,1,FALSE),"")))),_xlpm.cantidad,ROWS(_xlpm.resultados),IF(ISERROR(_xlpm.cantidad),"Combinación no existente",IF(_xlpm.cantidad=1,INDEX(_xlpm.resultados,1),"(seleccione)")))</f>
        <v>Combinación no existente</v>
      </c>
      <c r="V336" s="55" t="s">
        <v>73</v>
      </c>
      <c r="W336" s="56" t="s">
        <v>73</v>
      </c>
      <c r="X336" s="57" t="str">
        <f t="shared" si="20"/>
        <v/>
      </c>
      <c r="Y336" s="58" t="s">
        <v>73</v>
      </c>
      <c r="Z336" s="57" t="str">
        <f t="shared" si="21"/>
        <v/>
      </c>
      <c r="AA336" s="58" t="s">
        <v>73</v>
      </c>
      <c r="AB336" s="57" t="str">
        <f t="shared" si="22"/>
        <v/>
      </c>
      <c r="AC336" s="58" t="s">
        <v>73</v>
      </c>
      <c r="AD336" s="57" t="str">
        <f t="shared" si="23"/>
        <v/>
      </c>
      <c r="AE336" s="59"/>
      <c r="AF336" s="59"/>
      <c r="AG336" s="59"/>
      <c r="AH336" s="59"/>
      <c r="AI336" s="59" t="s">
        <v>73</v>
      </c>
      <c r="AJ336" s="59"/>
      <c r="AK336" s="59" t="s">
        <v>73</v>
      </c>
      <c r="AL336" s="59"/>
      <c r="AM336" s="59" t="s">
        <v>73</v>
      </c>
      <c r="AN336" s="59"/>
      <c r="AO336" s="59" t="s">
        <v>73</v>
      </c>
      <c r="AP336" s="59"/>
      <c r="AQ336" s="59" t="s">
        <v>73</v>
      </c>
      <c r="AR336" s="59"/>
      <c r="AS336" s="59" t="s">
        <v>72</v>
      </c>
      <c r="AT336" s="59"/>
      <c r="AU336" s="59"/>
      <c r="AV336" s="59"/>
      <c r="AW336" s="59"/>
      <c r="AX336" s="59"/>
      <c r="AY336" s="60" t="str">
        <f>IF('Cálculo MP'!K346="","",'Cálculo MP'!K346)</f>
        <v/>
      </c>
      <c r="AZ336" s="60" t="str">
        <f>IF('Cálculo MP'!L346="","",'Cálculo MP'!L346)</f>
        <v/>
      </c>
      <c r="BA336" s="60" t="str">
        <f>IF('Cálculo MP'!M346="","",'Cálculo MP'!M346)</f>
        <v/>
      </c>
      <c r="BB336" s="60" t="str">
        <f>IF('Cálculo MP'!N346="","",'Cálculo MP'!N346)</f>
        <v/>
      </c>
      <c r="BC336" s="60" t="str">
        <f>IF('Cálculo MP'!O346="","",'Cálculo MP'!O346)</f>
        <v/>
      </c>
      <c r="BD336" s="60" t="str">
        <f>IF('Cálculo MP'!P346="","",'Cálculo MP'!P346)</f>
        <v/>
      </c>
      <c r="BE336" s="60" t="str">
        <f>IF('Cálculo MP'!Q346="","",'Cálculo MP'!Q346)</f>
        <v/>
      </c>
      <c r="BF336" s="60" t="str">
        <f>IF('Cálculo MP'!R346="","",'Cálculo MP'!R346)</f>
        <v/>
      </c>
      <c r="BG336" s="60" t="str">
        <f>IF('Cálculo MP'!S346="","",'Cálculo MP'!S346)</f>
        <v/>
      </c>
      <c r="BH336" s="59"/>
      <c r="BI336" s="59"/>
      <c r="BJ336" s="59"/>
      <c r="BK336" s="59"/>
      <c r="BL336" s="59"/>
      <c r="BM336" s="59"/>
      <c r="BN336" s="59"/>
      <c r="BO336" s="59"/>
    </row>
    <row r="337" spans="1:67" ht="19.5" customHeight="1" x14ac:dyDescent="0.2">
      <c r="A337" s="114" t="s">
        <v>1789</v>
      </c>
      <c r="B337" s="113" t="s">
        <v>1787</v>
      </c>
      <c r="C337" s="122"/>
      <c r="D337" s="48" t="s">
        <v>73</v>
      </c>
      <c r="E337" s="49"/>
      <c r="F337" s="50"/>
      <c r="G337" s="62"/>
      <c r="H337" s="48" t="s">
        <v>72</v>
      </c>
      <c r="I337" s="52">
        <v>1</v>
      </c>
      <c r="J337" s="52"/>
      <c r="K337" s="52" t="s">
        <v>73</v>
      </c>
      <c r="L337" s="52" t="s">
        <v>74</v>
      </c>
      <c r="M337" s="53" t="s">
        <v>917</v>
      </c>
      <c r="N337" s="58" t="s">
        <v>73</v>
      </c>
      <c r="O337" s="48" t="s">
        <v>72</v>
      </c>
      <c r="P337" s="48" t="s">
        <v>73</v>
      </c>
      <c r="Q337" s="54" t="s">
        <v>73</v>
      </c>
      <c r="R337" s="55" t="s">
        <v>73</v>
      </c>
      <c r="S337" s="48" t="s">
        <v>73</v>
      </c>
      <c r="T337" s="121" t="str" cm="1">
        <f t="array" ref="T337">IF(ISNUMBER(SEARCH("SCHNEIDER",D337)),_xlfn.IFS(ISNUMBER(SEARCH("2 Querétaro",D337)),"SQ2",ISNUMBER(SEARCH("Xicohténcatl",D337)),"SXC",ISNUMBER(SEARCH("Rojo Gómez",D337)),"SRG",ISNUMBER(SEARCH("Tlaxcala",D337)),"STX",ISNUMBER(SEARCH("Monterrey",D337)),"SMY",ISNUMBER(SEARCH("Querétaro",D337)),"SQ1",ISNUMBER(SEARCH("CDMX",D337)),"SCM",TRUE,""),"")</f>
        <v/>
      </c>
      <c r="U337" s="48" t="str" cm="1">
        <f t="array" ref="U337">_xlfn.LET(_xlpm.resultados,_xlfn.UNIQUE(_xlfn._xlws.FILTER(Tabla1[Proceso],(Tabla1[Metal Base]=O337)*(Tabla1[Etiquetas]=_xlfn.TEXTJOIN(" + ",TRUE,IF((TRIM(Upload!P337:S337)="")+(LOWER(TRIM(Upload!P337:S337))="(seleccione)"),"",PROPER(TRIM(Upload!P337:S337)))))*(Tabla1[Línea2]=IFERROR(VLOOKUP(Upload!N337&amp;"*",CAT_Procesos!D:D,1,FALSE),"")))),_xlpm.cantidad,ROWS(_xlpm.resultados),IF(ISERROR(_xlpm.cantidad),"Combinación no existente",IF(_xlpm.cantidad=1,INDEX(_xlpm.resultados,1),"(seleccione)")))</f>
        <v>Combinación no existente</v>
      </c>
      <c r="V337" s="55" t="s">
        <v>73</v>
      </c>
      <c r="W337" s="56" t="s">
        <v>73</v>
      </c>
      <c r="X337" s="57" t="str">
        <f t="shared" si="20"/>
        <v/>
      </c>
      <c r="Y337" s="58" t="s">
        <v>73</v>
      </c>
      <c r="Z337" s="57" t="str">
        <f t="shared" si="21"/>
        <v/>
      </c>
      <c r="AA337" s="58" t="s">
        <v>73</v>
      </c>
      <c r="AB337" s="57" t="str">
        <f t="shared" si="22"/>
        <v/>
      </c>
      <c r="AC337" s="58" t="s">
        <v>73</v>
      </c>
      <c r="AD337" s="57" t="str">
        <f t="shared" si="23"/>
        <v/>
      </c>
      <c r="AE337" s="59"/>
      <c r="AF337" s="59"/>
      <c r="AG337" s="59"/>
      <c r="AH337" s="59"/>
      <c r="AI337" s="59" t="s">
        <v>73</v>
      </c>
      <c r="AJ337" s="59"/>
      <c r="AK337" s="59" t="s">
        <v>73</v>
      </c>
      <c r="AL337" s="59"/>
      <c r="AM337" s="59" t="s">
        <v>73</v>
      </c>
      <c r="AN337" s="59"/>
      <c r="AO337" s="59" t="s">
        <v>73</v>
      </c>
      <c r="AP337" s="59"/>
      <c r="AQ337" s="59" t="s">
        <v>73</v>
      </c>
      <c r="AR337" s="59"/>
      <c r="AS337" s="59" t="s">
        <v>72</v>
      </c>
      <c r="AT337" s="59"/>
      <c r="AU337" s="59"/>
      <c r="AV337" s="59"/>
      <c r="AW337" s="59"/>
      <c r="AX337" s="59"/>
      <c r="AY337" s="60" t="str">
        <f>IF('Cálculo MP'!K347="","",'Cálculo MP'!K347)</f>
        <v/>
      </c>
      <c r="AZ337" s="60" t="str">
        <f>IF('Cálculo MP'!L347="","",'Cálculo MP'!L347)</f>
        <v/>
      </c>
      <c r="BA337" s="60" t="str">
        <f>IF('Cálculo MP'!M347="","",'Cálculo MP'!M347)</f>
        <v/>
      </c>
      <c r="BB337" s="60" t="str">
        <f>IF('Cálculo MP'!N347="","",'Cálculo MP'!N347)</f>
        <v/>
      </c>
      <c r="BC337" s="60" t="str">
        <f>IF('Cálculo MP'!O347="","",'Cálculo MP'!O347)</f>
        <v/>
      </c>
      <c r="BD337" s="60" t="str">
        <f>IF('Cálculo MP'!P347="","",'Cálculo MP'!P347)</f>
        <v/>
      </c>
      <c r="BE337" s="60" t="str">
        <f>IF('Cálculo MP'!Q347="","",'Cálculo MP'!Q347)</f>
        <v/>
      </c>
      <c r="BF337" s="60" t="str">
        <f>IF('Cálculo MP'!R347="","",'Cálculo MP'!R347)</f>
        <v/>
      </c>
      <c r="BG337" s="60" t="str">
        <f>IF('Cálculo MP'!S347="","",'Cálculo MP'!S347)</f>
        <v/>
      </c>
      <c r="BH337" s="59"/>
      <c r="BI337" s="59"/>
      <c r="BJ337" s="59"/>
      <c r="BK337" s="59"/>
      <c r="BL337" s="59"/>
      <c r="BM337" s="59"/>
      <c r="BN337" s="59"/>
      <c r="BO337" s="59"/>
    </row>
    <row r="338" spans="1:67" ht="19.5" customHeight="1" x14ac:dyDescent="0.2">
      <c r="A338" s="114" t="s">
        <v>1789</v>
      </c>
      <c r="B338" s="113" t="s">
        <v>1787</v>
      </c>
      <c r="C338" s="122"/>
      <c r="D338" s="48" t="s">
        <v>73</v>
      </c>
      <c r="E338" s="49"/>
      <c r="F338" s="50"/>
      <c r="G338" s="62"/>
      <c r="H338" s="48" t="s">
        <v>72</v>
      </c>
      <c r="I338" s="52">
        <v>1</v>
      </c>
      <c r="J338" s="52"/>
      <c r="K338" s="52" t="s">
        <v>73</v>
      </c>
      <c r="L338" s="52" t="s">
        <v>74</v>
      </c>
      <c r="M338" s="53" t="s">
        <v>917</v>
      </c>
      <c r="N338" s="58" t="s">
        <v>73</v>
      </c>
      <c r="O338" s="48" t="s">
        <v>72</v>
      </c>
      <c r="P338" s="48" t="s">
        <v>73</v>
      </c>
      <c r="Q338" s="54" t="s">
        <v>73</v>
      </c>
      <c r="R338" s="55" t="s">
        <v>73</v>
      </c>
      <c r="S338" s="48" t="s">
        <v>73</v>
      </c>
      <c r="T338" s="121" t="str" cm="1">
        <f t="array" ref="T338">IF(ISNUMBER(SEARCH("SCHNEIDER",D338)),_xlfn.IFS(ISNUMBER(SEARCH("2 Querétaro",D338)),"SQ2",ISNUMBER(SEARCH("Xicohténcatl",D338)),"SXC",ISNUMBER(SEARCH("Rojo Gómez",D338)),"SRG",ISNUMBER(SEARCH("Tlaxcala",D338)),"STX",ISNUMBER(SEARCH("Monterrey",D338)),"SMY",ISNUMBER(SEARCH("Querétaro",D338)),"SQ1",ISNUMBER(SEARCH("CDMX",D338)),"SCM",TRUE,""),"")</f>
        <v/>
      </c>
      <c r="U338" s="48" t="str" cm="1">
        <f t="array" ref="U338">_xlfn.LET(_xlpm.resultados,_xlfn.UNIQUE(_xlfn._xlws.FILTER(Tabla1[Proceso],(Tabla1[Metal Base]=O338)*(Tabla1[Etiquetas]=_xlfn.TEXTJOIN(" + ",TRUE,IF((TRIM(Upload!P338:S338)="")+(LOWER(TRIM(Upload!P338:S338))="(seleccione)"),"",PROPER(TRIM(Upload!P338:S338)))))*(Tabla1[Línea2]=IFERROR(VLOOKUP(Upload!N338&amp;"*",CAT_Procesos!D:D,1,FALSE),"")))),_xlpm.cantidad,ROWS(_xlpm.resultados),IF(ISERROR(_xlpm.cantidad),"Combinación no existente",IF(_xlpm.cantidad=1,INDEX(_xlpm.resultados,1),"(seleccione)")))</f>
        <v>Combinación no existente</v>
      </c>
      <c r="V338" s="55" t="s">
        <v>73</v>
      </c>
      <c r="W338" s="56" t="s">
        <v>73</v>
      </c>
      <c r="X338" s="57" t="str">
        <f t="shared" si="20"/>
        <v/>
      </c>
      <c r="Y338" s="58" t="s">
        <v>73</v>
      </c>
      <c r="Z338" s="57" t="str">
        <f t="shared" si="21"/>
        <v/>
      </c>
      <c r="AA338" s="58" t="s">
        <v>73</v>
      </c>
      <c r="AB338" s="57" t="str">
        <f t="shared" si="22"/>
        <v/>
      </c>
      <c r="AC338" s="58" t="s">
        <v>73</v>
      </c>
      <c r="AD338" s="57" t="str">
        <f t="shared" si="23"/>
        <v/>
      </c>
      <c r="AE338" s="59"/>
      <c r="AF338" s="59"/>
      <c r="AG338" s="59"/>
      <c r="AH338" s="59"/>
      <c r="AI338" s="59" t="s">
        <v>73</v>
      </c>
      <c r="AJ338" s="59"/>
      <c r="AK338" s="59" t="s">
        <v>73</v>
      </c>
      <c r="AL338" s="59"/>
      <c r="AM338" s="59" t="s">
        <v>73</v>
      </c>
      <c r="AN338" s="59"/>
      <c r="AO338" s="59" t="s">
        <v>73</v>
      </c>
      <c r="AP338" s="59"/>
      <c r="AQ338" s="59" t="s">
        <v>73</v>
      </c>
      <c r="AR338" s="59"/>
      <c r="AS338" s="59" t="s">
        <v>72</v>
      </c>
      <c r="AT338" s="59"/>
      <c r="AU338" s="59"/>
      <c r="AV338" s="59"/>
      <c r="AW338" s="59"/>
      <c r="AX338" s="59"/>
      <c r="AY338" s="60" t="str">
        <f>IF('Cálculo MP'!K348="","",'Cálculo MP'!K348)</f>
        <v/>
      </c>
      <c r="AZ338" s="60" t="str">
        <f>IF('Cálculo MP'!L348="","",'Cálculo MP'!L348)</f>
        <v/>
      </c>
      <c r="BA338" s="60" t="str">
        <f>IF('Cálculo MP'!M348="","",'Cálculo MP'!M348)</f>
        <v/>
      </c>
      <c r="BB338" s="60" t="str">
        <f>IF('Cálculo MP'!N348="","",'Cálculo MP'!N348)</f>
        <v/>
      </c>
      <c r="BC338" s="60" t="str">
        <f>IF('Cálculo MP'!O348="","",'Cálculo MP'!O348)</f>
        <v/>
      </c>
      <c r="BD338" s="60" t="str">
        <f>IF('Cálculo MP'!P348="","",'Cálculo MP'!P348)</f>
        <v/>
      </c>
      <c r="BE338" s="60" t="str">
        <f>IF('Cálculo MP'!Q348="","",'Cálculo MP'!Q348)</f>
        <v/>
      </c>
      <c r="BF338" s="60" t="str">
        <f>IF('Cálculo MP'!R348="","",'Cálculo MP'!R348)</f>
        <v/>
      </c>
      <c r="BG338" s="60" t="str">
        <f>IF('Cálculo MP'!S348="","",'Cálculo MP'!S348)</f>
        <v/>
      </c>
      <c r="BH338" s="59"/>
      <c r="BI338" s="59"/>
      <c r="BJ338" s="59"/>
      <c r="BK338" s="59"/>
      <c r="BL338" s="59"/>
      <c r="BM338" s="59"/>
      <c r="BN338" s="59"/>
      <c r="BO338" s="59"/>
    </row>
    <row r="339" spans="1:67" ht="19.5" customHeight="1" x14ac:dyDescent="0.2">
      <c r="A339" s="114" t="s">
        <v>1789</v>
      </c>
      <c r="B339" s="113" t="s">
        <v>1787</v>
      </c>
      <c r="C339" s="122"/>
      <c r="D339" s="48" t="s">
        <v>73</v>
      </c>
      <c r="E339" s="49"/>
      <c r="F339" s="50"/>
      <c r="G339" s="62"/>
      <c r="H339" s="48" t="s">
        <v>72</v>
      </c>
      <c r="I339" s="52">
        <v>1</v>
      </c>
      <c r="J339" s="52"/>
      <c r="K339" s="52" t="s">
        <v>73</v>
      </c>
      <c r="L339" s="52" t="s">
        <v>74</v>
      </c>
      <c r="M339" s="53" t="s">
        <v>917</v>
      </c>
      <c r="N339" s="58" t="s">
        <v>73</v>
      </c>
      <c r="O339" s="48" t="s">
        <v>72</v>
      </c>
      <c r="P339" s="48" t="s">
        <v>73</v>
      </c>
      <c r="Q339" s="54" t="s">
        <v>73</v>
      </c>
      <c r="R339" s="55" t="s">
        <v>73</v>
      </c>
      <c r="S339" s="48" t="s">
        <v>73</v>
      </c>
      <c r="T339" s="121" t="str" cm="1">
        <f t="array" ref="T339">IF(ISNUMBER(SEARCH("SCHNEIDER",D339)),_xlfn.IFS(ISNUMBER(SEARCH("2 Querétaro",D339)),"SQ2",ISNUMBER(SEARCH("Xicohténcatl",D339)),"SXC",ISNUMBER(SEARCH("Rojo Gómez",D339)),"SRG",ISNUMBER(SEARCH("Tlaxcala",D339)),"STX",ISNUMBER(SEARCH("Monterrey",D339)),"SMY",ISNUMBER(SEARCH("Querétaro",D339)),"SQ1",ISNUMBER(SEARCH("CDMX",D339)),"SCM",TRUE,""),"")</f>
        <v/>
      </c>
      <c r="U339" s="48" t="str" cm="1">
        <f t="array" ref="U339">_xlfn.LET(_xlpm.resultados,_xlfn.UNIQUE(_xlfn._xlws.FILTER(Tabla1[Proceso],(Tabla1[Metal Base]=O339)*(Tabla1[Etiquetas]=_xlfn.TEXTJOIN(" + ",TRUE,IF((TRIM(Upload!P339:S339)="")+(LOWER(TRIM(Upload!P339:S339))="(seleccione)"),"",PROPER(TRIM(Upload!P339:S339)))))*(Tabla1[Línea2]=IFERROR(VLOOKUP(Upload!N339&amp;"*",CAT_Procesos!D:D,1,FALSE),"")))),_xlpm.cantidad,ROWS(_xlpm.resultados),IF(ISERROR(_xlpm.cantidad),"Combinación no existente",IF(_xlpm.cantidad=1,INDEX(_xlpm.resultados,1),"(seleccione)")))</f>
        <v>Combinación no existente</v>
      </c>
      <c r="V339" s="55" t="s">
        <v>73</v>
      </c>
      <c r="W339" s="56" t="s">
        <v>73</v>
      </c>
      <c r="X339" s="57" t="str">
        <f t="shared" si="20"/>
        <v/>
      </c>
      <c r="Y339" s="58" t="s">
        <v>73</v>
      </c>
      <c r="Z339" s="57" t="str">
        <f t="shared" si="21"/>
        <v/>
      </c>
      <c r="AA339" s="58" t="s">
        <v>73</v>
      </c>
      <c r="AB339" s="57" t="str">
        <f t="shared" si="22"/>
        <v/>
      </c>
      <c r="AC339" s="58" t="s">
        <v>73</v>
      </c>
      <c r="AD339" s="57" t="str">
        <f t="shared" si="23"/>
        <v/>
      </c>
      <c r="AE339" s="59"/>
      <c r="AF339" s="59"/>
      <c r="AG339" s="59"/>
      <c r="AH339" s="59"/>
      <c r="AI339" s="59" t="s">
        <v>73</v>
      </c>
      <c r="AJ339" s="59"/>
      <c r="AK339" s="59" t="s">
        <v>73</v>
      </c>
      <c r="AL339" s="59"/>
      <c r="AM339" s="59" t="s">
        <v>73</v>
      </c>
      <c r="AN339" s="59"/>
      <c r="AO339" s="59" t="s">
        <v>73</v>
      </c>
      <c r="AP339" s="59"/>
      <c r="AQ339" s="59" t="s">
        <v>73</v>
      </c>
      <c r="AR339" s="59"/>
      <c r="AS339" s="59" t="s">
        <v>72</v>
      </c>
      <c r="AT339" s="59"/>
      <c r="AU339" s="59"/>
      <c r="AV339" s="59"/>
      <c r="AW339" s="59"/>
      <c r="AX339" s="59"/>
      <c r="AY339" s="60" t="str">
        <f>IF('Cálculo MP'!K349="","",'Cálculo MP'!K349)</f>
        <v/>
      </c>
      <c r="AZ339" s="60" t="str">
        <f>IF('Cálculo MP'!L349="","",'Cálculo MP'!L349)</f>
        <v/>
      </c>
      <c r="BA339" s="60" t="str">
        <f>IF('Cálculo MP'!M349="","",'Cálculo MP'!M349)</f>
        <v/>
      </c>
      <c r="BB339" s="60" t="str">
        <f>IF('Cálculo MP'!N349="","",'Cálculo MP'!N349)</f>
        <v/>
      </c>
      <c r="BC339" s="60" t="str">
        <f>IF('Cálculo MP'!O349="","",'Cálculo MP'!O349)</f>
        <v/>
      </c>
      <c r="BD339" s="60" t="str">
        <f>IF('Cálculo MP'!P349="","",'Cálculo MP'!P349)</f>
        <v/>
      </c>
      <c r="BE339" s="60" t="str">
        <f>IF('Cálculo MP'!Q349="","",'Cálculo MP'!Q349)</f>
        <v/>
      </c>
      <c r="BF339" s="60" t="str">
        <f>IF('Cálculo MP'!R349="","",'Cálculo MP'!R349)</f>
        <v/>
      </c>
      <c r="BG339" s="60" t="str">
        <f>IF('Cálculo MP'!S349="","",'Cálculo MP'!S349)</f>
        <v/>
      </c>
      <c r="BH339" s="59"/>
      <c r="BI339" s="59"/>
      <c r="BJ339" s="59"/>
      <c r="BK339" s="59"/>
      <c r="BL339" s="59"/>
      <c r="BM339" s="59"/>
      <c r="BN339" s="59"/>
      <c r="BO339" s="59"/>
    </row>
    <row r="340" spans="1:67" ht="19.5" customHeight="1" x14ac:dyDescent="0.2">
      <c r="A340" s="114" t="s">
        <v>1789</v>
      </c>
      <c r="B340" s="113" t="s">
        <v>1787</v>
      </c>
      <c r="C340" s="122"/>
      <c r="D340" s="48" t="s">
        <v>73</v>
      </c>
      <c r="E340" s="49"/>
      <c r="F340" s="50"/>
      <c r="G340" s="62"/>
      <c r="H340" s="48" t="s">
        <v>72</v>
      </c>
      <c r="I340" s="52">
        <v>1</v>
      </c>
      <c r="J340" s="52"/>
      <c r="K340" s="52" t="s">
        <v>73</v>
      </c>
      <c r="L340" s="52" t="s">
        <v>74</v>
      </c>
      <c r="M340" s="53" t="s">
        <v>917</v>
      </c>
      <c r="N340" s="58" t="s">
        <v>73</v>
      </c>
      <c r="O340" s="48" t="s">
        <v>72</v>
      </c>
      <c r="P340" s="48" t="s">
        <v>73</v>
      </c>
      <c r="Q340" s="54" t="s">
        <v>73</v>
      </c>
      <c r="R340" s="55" t="s">
        <v>73</v>
      </c>
      <c r="S340" s="48" t="s">
        <v>73</v>
      </c>
      <c r="T340" s="121" t="str" cm="1">
        <f t="array" ref="T340">IF(ISNUMBER(SEARCH("SCHNEIDER",D340)),_xlfn.IFS(ISNUMBER(SEARCH("2 Querétaro",D340)),"SQ2",ISNUMBER(SEARCH("Xicohténcatl",D340)),"SXC",ISNUMBER(SEARCH("Rojo Gómez",D340)),"SRG",ISNUMBER(SEARCH("Tlaxcala",D340)),"STX",ISNUMBER(SEARCH("Monterrey",D340)),"SMY",ISNUMBER(SEARCH("Querétaro",D340)),"SQ1",ISNUMBER(SEARCH("CDMX",D340)),"SCM",TRUE,""),"")</f>
        <v/>
      </c>
      <c r="U340" s="48" t="str" cm="1">
        <f t="array" ref="U340">_xlfn.LET(_xlpm.resultados,_xlfn.UNIQUE(_xlfn._xlws.FILTER(Tabla1[Proceso],(Tabla1[Metal Base]=O340)*(Tabla1[Etiquetas]=_xlfn.TEXTJOIN(" + ",TRUE,IF((TRIM(Upload!P340:S340)="")+(LOWER(TRIM(Upload!P340:S340))="(seleccione)"),"",PROPER(TRIM(Upload!P340:S340)))))*(Tabla1[Línea2]=IFERROR(VLOOKUP(Upload!N340&amp;"*",CAT_Procesos!D:D,1,FALSE),"")))),_xlpm.cantidad,ROWS(_xlpm.resultados),IF(ISERROR(_xlpm.cantidad),"Combinación no existente",IF(_xlpm.cantidad=1,INDEX(_xlpm.resultados,1),"(seleccione)")))</f>
        <v>Combinación no existente</v>
      </c>
      <c r="V340" s="55" t="s">
        <v>73</v>
      </c>
      <c r="W340" s="56" t="s">
        <v>73</v>
      </c>
      <c r="X340" s="57" t="str">
        <f t="shared" si="20"/>
        <v/>
      </c>
      <c r="Y340" s="58" t="s">
        <v>73</v>
      </c>
      <c r="Z340" s="57" t="str">
        <f t="shared" si="21"/>
        <v/>
      </c>
      <c r="AA340" s="58" t="s">
        <v>73</v>
      </c>
      <c r="AB340" s="57" t="str">
        <f t="shared" si="22"/>
        <v/>
      </c>
      <c r="AC340" s="58" t="s">
        <v>73</v>
      </c>
      <c r="AD340" s="57" t="str">
        <f t="shared" si="23"/>
        <v/>
      </c>
      <c r="AE340" s="59"/>
      <c r="AF340" s="59"/>
      <c r="AG340" s="59"/>
      <c r="AH340" s="59"/>
      <c r="AI340" s="59" t="s">
        <v>73</v>
      </c>
      <c r="AJ340" s="59"/>
      <c r="AK340" s="59" t="s">
        <v>73</v>
      </c>
      <c r="AL340" s="59"/>
      <c r="AM340" s="59" t="s">
        <v>73</v>
      </c>
      <c r="AN340" s="59"/>
      <c r="AO340" s="59" t="s">
        <v>73</v>
      </c>
      <c r="AP340" s="59"/>
      <c r="AQ340" s="59" t="s">
        <v>73</v>
      </c>
      <c r="AR340" s="59"/>
      <c r="AS340" s="59" t="s">
        <v>72</v>
      </c>
      <c r="AT340" s="59"/>
      <c r="AU340" s="59"/>
      <c r="AV340" s="59"/>
      <c r="AW340" s="59"/>
      <c r="AX340" s="59"/>
      <c r="AY340" s="60" t="str">
        <f>IF('Cálculo MP'!K350="","",'Cálculo MP'!K350)</f>
        <v/>
      </c>
      <c r="AZ340" s="60" t="str">
        <f>IF('Cálculo MP'!L350="","",'Cálculo MP'!L350)</f>
        <v/>
      </c>
      <c r="BA340" s="60" t="str">
        <f>IF('Cálculo MP'!M350="","",'Cálculo MP'!M350)</f>
        <v/>
      </c>
      <c r="BB340" s="60" t="str">
        <f>IF('Cálculo MP'!N350="","",'Cálculo MP'!N350)</f>
        <v/>
      </c>
      <c r="BC340" s="60" t="str">
        <f>IF('Cálculo MP'!O350="","",'Cálculo MP'!O350)</f>
        <v/>
      </c>
      <c r="BD340" s="60" t="str">
        <f>IF('Cálculo MP'!P350="","",'Cálculo MP'!P350)</f>
        <v/>
      </c>
      <c r="BE340" s="60" t="str">
        <f>IF('Cálculo MP'!Q350="","",'Cálculo MP'!Q350)</f>
        <v/>
      </c>
      <c r="BF340" s="60" t="str">
        <f>IF('Cálculo MP'!R350="","",'Cálculo MP'!R350)</f>
        <v/>
      </c>
      <c r="BG340" s="60" t="str">
        <f>IF('Cálculo MP'!S350="","",'Cálculo MP'!S350)</f>
        <v/>
      </c>
      <c r="BH340" s="59"/>
      <c r="BI340" s="59"/>
      <c r="BJ340" s="59"/>
      <c r="BK340" s="59"/>
      <c r="BL340" s="59"/>
      <c r="BM340" s="59"/>
      <c r="BN340" s="59"/>
      <c r="BO340" s="59"/>
    </row>
    <row r="341" spans="1:67" ht="19.5" customHeight="1" x14ac:dyDescent="0.2">
      <c r="A341" s="114" t="s">
        <v>1789</v>
      </c>
      <c r="B341" s="113" t="s">
        <v>1787</v>
      </c>
      <c r="C341" s="122"/>
      <c r="D341" s="48" t="s">
        <v>73</v>
      </c>
      <c r="E341" s="49"/>
      <c r="F341" s="50"/>
      <c r="G341" s="62"/>
      <c r="H341" s="48" t="s">
        <v>72</v>
      </c>
      <c r="I341" s="52">
        <v>1</v>
      </c>
      <c r="J341" s="52"/>
      <c r="K341" s="52" t="s">
        <v>73</v>
      </c>
      <c r="L341" s="52" t="s">
        <v>74</v>
      </c>
      <c r="M341" s="53" t="s">
        <v>917</v>
      </c>
      <c r="N341" s="58" t="s">
        <v>73</v>
      </c>
      <c r="O341" s="48" t="s">
        <v>72</v>
      </c>
      <c r="P341" s="48" t="s">
        <v>73</v>
      </c>
      <c r="Q341" s="54" t="s">
        <v>73</v>
      </c>
      <c r="R341" s="55" t="s">
        <v>73</v>
      </c>
      <c r="S341" s="48" t="s">
        <v>73</v>
      </c>
      <c r="T341" s="121" t="str" cm="1">
        <f t="array" ref="T341">IF(ISNUMBER(SEARCH("SCHNEIDER",D341)),_xlfn.IFS(ISNUMBER(SEARCH("2 Querétaro",D341)),"SQ2",ISNUMBER(SEARCH("Xicohténcatl",D341)),"SXC",ISNUMBER(SEARCH("Rojo Gómez",D341)),"SRG",ISNUMBER(SEARCH("Tlaxcala",D341)),"STX",ISNUMBER(SEARCH("Monterrey",D341)),"SMY",ISNUMBER(SEARCH("Querétaro",D341)),"SQ1",ISNUMBER(SEARCH("CDMX",D341)),"SCM",TRUE,""),"")</f>
        <v/>
      </c>
      <c r="U341" s="48" t="str" cm="1">
        <f t="array" ref="U341">_xlfn.LET(_xlpm.resultados,_xlfn.UNIQUE(_xlfn._xlws.FILTER(Tabla1[Proceso],(Tabla1[Metal Base]=O341)*(Tabla1[Etiquetas]=_xlfn.TEXTJOIN(" + ",TRUE,IF((TRIM(Upload!P341:S341)="")+(LOWER(TRIM(Upload!P341:S341))="(seleccione)"),"",PROPER(TRIM(Upload!P341:S341)))))*(Tabla1[Línea2]=IFERROR(VLOOKUP(Upload!N341&amp;"*",CAT_Procesos!D:D,1,FALSE),"")))),_xlpm.cantidad,ROWS(_xlpm.resultados),IF(ISERROR(_xlpm.cantidad),"Combinación no existente",IF(_xlpm.cantidad=1,INDEX(_xlpm.resultados,1),"(seleccione)")))</f>
        <v>Combinación no existente</v>
      </c>
      <c r="V341" s="55" t="s">
        <v>73</v>
      </c>
      <c r="W341" s="56" t="s">
        <v>73</v>
      </c>
      <c r="X341" s="57" t="str">
        <f t="shared" si="20"/>
        <v/>
      </c>
      <c r="Y341" s="58" t="s">
        <v>73</v>
      </c>
      <c r="Z341" s="57" t="str">
        <f t="shared" si="21"/>
        <v/>
      </c>
      <c r="AA341" s="58" t="s">
        <v>73</v>
      </c>
      <c r="AB341" s="57" t="str">
        <f t="shared" si="22"/>
        <v/>
      </c>
      <c r="AC341" s="58" t="s">
        <v>73</v>
      </c>
      <c r="AD341" s="57" t="str">
        <f t="shared" si="23"/>
        <v/>
      </c>
      <c r="AE341" s="59"/>
      <c r="AF341" s="59"/>
      <c r="AG341" s="59"/>
      <c r="AH341" s="59"/>
      <c r="AI341" s="59" t="s">
        <v>73</v>
      </c>
      <c r="AJ341" s="59"/>
      <c r="AK341" s="59" t="s">
        <v>73</v>
      </c>
      <c r="AL341" s="59"/>
      <c r="AM341" s="59" t="s">
        <v>73</v>
      </c>
      <c r="AN341" s="59"/>
      <c r="AO341" s="59" t="s">
        <v>73</v>
      </c>
      <c r="AP341" s="59"/>
      <c r="AQ341" s="59" t="s">
        <v>73</v>
      </c>
      <c r="AR341" s="59"/>
      <c r="AS341" s="59" t="s">
        <v>72</v>
      </c>
      <c r="AT341" s="59"/>
      <c r="AU341" s="59"/>
      <c r="AV341" s="59"/>
      <c r="AW341" s="59"/>
      <c r="AX341" s="59"/>
      <c r="AY341" s="60" t="str">
        <f>IF('Cálculo MP'!K351="","",'Cálculo MP'!K351)</f>
        <v/>
      </c>
      <c r="AZ341" s="60" t="str">
        <f>IF('Cálculo MP'!L351="","",'Cálculo MP'!L351)</f>
        <v/>
      </c>
      <c r="BA341" s="60" t="str">
        <f>IF('Cálculo MP'!M351="","",'Cálculo MP'!M351)</f>
        <v/>
      </c>
      <c r="BB341" s="60" t="str">
        <f>IF('Cálculo MP'!N351="","",'Cálculo MP'!N351)</f>
        <v/>
      </c>
      <c r="BC341" s="60" t="str">
        <f>IF('Cálculo MP'!O351="","",'Cálculo MP'!O351)</f>
        <v/>
      </c>
      <c r="BD341" s="60" t="str">
        <f>IF('Cálculo MP'!P351="","",'Cálculo MP'!P351)</f>
        <v/>
      </c>
      <c r="BE341" s="60" t="str">
        <f>IF('Cálculo MP'!Q351="","",'Cálculo MP'!Q351)</f>
        <v/>
      </c>
      <c r="BF341" s="60" t="str">
        <f>IF('Cálculo MP'!R351="","",'Cálculo MP'!R351)</f>
        <v/>
      </c>
      <c r="BG341" s="60" t="str">
        <f>IF('Cálculo MP'!S351="","",'Cálculo MP'!S351)</f>
        <v/>
      </c>
      <c r="BH341" s="59"/>
      <c r="BI341" s="59"/>
      <c r="BJ341" s="59"/>
      <c r="BK341" s="59"/>
      <c r="BL341" s="59"/>
      <c r="BM341" s="59"/>
      <c r="BN341" s="59"/>
      <c r="BO341" s="59"/>
    </row>
    <row r="342" spans="1:67" ht="19.5" customHeight="1" x14ac:dyDescent="0.2">
      <c r="A342" s="114" t="s">
        <v>1789</v>
      </c>
      <c r="B342" s="113" t="s">
        <v>1787</v>
      </c>
      <c r="C342" s="122"/>
      <c r="D342" s="48" t="s">
        <v>73</v>
      </c>
      <c r="E342" s="49"/>
      <c r="F342" s="50"/>
      <c r="G342" s="62"/>
      <c r="H342" s="48" t="s">
        <v>72</v>
      </c>
      <c r="I342" s="52">
        <v>1</v>
      </c>
      <c r="J342" s="52"/>
      <c r="K342" s="52" t="s">
        <v>73</v>
      </c>
      <c r="L342" s="52" t="s">
        <v>74</v>
      </c>
      <c r="M342" s="53" t="s">
        <v>917</v>
      </c>
      <c r="N342" s="58" t="s">
        <v>73</v>
      </c>
      <c r="O342" s="48" t="s">
        <v>72</v>
      </c>
      <c r="P342" s="48" t="s">
        <v>73</v>
      </c>
      <c r="Q342" s="54" t="s">
        <v>73</v>
      </c>
      <c r="R342" s="55" t="s">
        <v>73</v>
      </c>
      <c r="S342" s="48" t="s">
        <v>73</v>
      </c>
      <c r="T342" s="121" t="str" cm="1">
        <f t="array" ref="T342">IF(ISNUMBER(SEARCH("SCHNEIDER",D342)),_xlfn.IFS(ISNUMBER(SEARCH("2 Querétaro",D342)),"SQ2",ISNUMBER(SEARCH("Xicohténcatl",D342)),"SXC",ISNUMBER(SEARCH("Rojo Gómez",D342)),"SRG",ISNUMBER(SEARCH("Tlaxcala",D342)),"STX",ISNUMBER(SEARCH("Monterrey",D342)),"SMY",ISNUMBER(SEARCH("Querétaro",D342)),"SQ1",ISNUMBER(SEARCH("CDMX",D342)),"SCM",TRUE,""),"")</f>
        <v/>
      </c>
      <c r="U342" s="48" t="str" cm="1">
        <f t="array" ref="U342">_xlfn.LET(_xlpm.resultados,_xlfn.UNIQUE(_xlfn._xlws.FILTER(Tabla1[Proceso],(Tabla1[Metal Base]=O342)*(Tabla1[Etiquetas]=_xlfn.TEXTJOIN(" + ",TRUE,IF((TRIM(Upload!P342:S342)="")+(LOWER(TRIM(Upload!P342:S342))="(seleccione)"),"",PROPER(TRIM(Upload!P342:S342)))))*(Tabla1[Línea2]=IFERROR(VLOOKUP(Upload!N342&amp;"*",CAT_Procesos!D:D,1,FALSE),"")))),_xlpm.cantidad,ROWS(_xlpm.resultados),IF(ISERROR(_xlpm.cantidad),"Combinación no existente",IF(_xlpm.cantidad=1,INDEX(_xlpm.resultados,1),"(seleccione)")))</f>
        <v>Combinación no existente</v>
      </c>
      <c r="V342" s="55" t="s">
        <v>73</v>
      </c>
      <c r="W342" s="56" t="s">
        <v>73</v>
      </c>
      <c r="X342" s="57" t="str">
        <f t="shared" si="20"/>
        <v/>
      </c>
      <c r="Y342" s="58" t="s">
        <v>73</v>
      </c>
      <c r="Z342" s="57" t="str">
        <f t="shared" si="21"/>
        <v/>
      </c>
      <c r="AA342" s="58" t="s">
        <v>73</v>
      </c>
      <c r="AB342" s="57" t="str">
        <f t="shared" si="22"/>
        <v/>
      </c>
      <c r="AC342" s="58" t="s">
        <v>73</v>
      </c>
      <c r="AD342" s="57" t="str">
        <f t="shared" si="23"/>
        <v/>
      </c>
      <c r="AE342" s="59"/>
      <c r="AF342" s="59"/>
      <c r="AG342" s="59"/>
      <c r="AH342" s="59"/>
      <c r="AI342" s="59" t="s">
        <v>73</v>
      </c>
      <c r="AJ342" s="59"/>
      <c r="AK342" s="59" t="s">
        <v>73</v>
      </c>
      <c r="AL342" s="59"/>
      <c r="AM342" s="59" t="s">
        <v>73</v>
      </c>
      <c r="AN342" s="59"/>
      <c r="AO342" s="59" t="s">
        <v>73</v>
      </c>
      <c r="AP342" s="59"/>
      <c r="AQ342" s="59" t="s">
        <v>73</v>
      </c>
      <c r="AR342" s="59"/>
      <c r="AS342" s="59" t="s">
        <v>72</v>
      </c>
      <c r="AT342" s="59"/>
      <c r="AU342" s="59"/>
      <c r="AV342" s="59"/>
      <c r="AW342" s="59"/>
      <c r="AX342" s="59"/>
      <c r="AY342" s="60" t="str">
        <f>IF('Cálculo MP'!K352="","",'Cálculo MP'!K352)</f>
        <v/>
      </c>
      <c r="AZ342" s="60" t="str">
        <f>IF('Cálculo MP'!L352="","",'Cálculo MP'!L352)</f>
        <v/>
      </c>
      <c r="BA342" s="60" t="str">
        <f>IF('Cálculo MP'!M352="","",'Cálculo MP'!M352)</f>
        <v/>
      </c>
      <c r="BB342" s="60" t="str">
        <f>IF('Cálculo MP'!N352="","",'Cálculo MP'!N352)</f>
        <v/>
      </c>
      <c r="BC342" s="60" t="str">
        <f>IF('Cálculo MP'!O352="","",'Cálculo MP'!O352)</f>
        <v/>
      </c>
      <c r="BD342" s="60" t="str">
        <f>IF('Cálculo MP'!P352="","",'Cálculo MP'!P352)</f>
        <v/>
      </c>
      <c r="BE342" s="60" t="str">
        <f>IF('Cálculo MP'!Q352="","",'Cálculo MP'!Q352)</f>
        <v/>
      </c>
      <c r="BF342" s="60" t="str">
        <f>IF('Cálculo MP'!R352="","",'Cálculo MP'!R352)</f>
        <v/>
      </c>
      <c r="BG342" s="60" t="str">
        <f>IF('Cálculo MP'!S352="","",'Cálculo MP'!S352)</f>
        <v/>
      </c>
      <c r="BH342" s="59"/>
      <c r="BI342" s="59"/>
      <c r="BJ342" s="59"/>
      <c r="BK342" s="59"/>
      <c r="BL342" s="59"/>
      <c r="BM342" s="59"/>
      <c r="BN342" s="59"/>
      <c r="BO342" s="59"/>
    </row>
    <row r="343" spans="1:67" ht="19.5" customHeight="1" x14ac:dyDescent="0.2">
      <c r="A343" s="114" t="s">
        <v>1789</v>
      </c>
      <c r="B343" s="113" t="s">
        <v>1787</v>
      </c>
      <c r="C343" s="122"/>
      <c r="D343" s="48" t="s">
        <v>73</v>
      </c>
      <c r="E343" s="49"/>
      <c r="F343" s="50"/>
      <c r="G343" s="62"/>
      <c r="H343" s="48" t="s">
        <v>72</v>
      </c>
      <c r="I343" s="52">
        <v>1</v>
      </c>
      <c r="J343" s="52"/>
      <c r="K343" s="52" t="s">
        <v>73</v>
      </c>
      <c r="L343" s="52" t="s">
        <v>74</v>
      </c>
      <c r="M343" s="53" t="s">
        <v>917</v>
      </c>
      <c r="N343" s="58" t="s">
        <v>73</v>
      </c>
      <c r="O343" s="48" t="s">
        <v>72</v>
      </c>
      <c r="P343" s="48" t="s">
        <v>73</v>
      </c>
      <c r="Q343" s="54" t="s">
        <v>73</v>
      </c>
      <c r="R343" s="55" t="s">
        <v>73</v>
      </c>
      <c r="S343" s="48" t="s">
        <v>73</v>
      </c>
      <c r="T343" s="121" t="str" cm="1">
        <f t="array" ref="T343">IF(ISNUMBER(SEARCH("SCHNEIDER",D343)),_xlfn.IFS(ISNUMBER(SEARCH("2 Querétaro",D343)),"SQ2",ISNUMBER(SEARCH("Xicohténcatl",D343)),"SXC",ISNUMBER(SEARCH("Rojo Gómez",D343)),"SRG",ISNUMBER(SEARCH("Tlaxcala",D343)),"STX",ISNUMBER(SEARCH("Monterrey",D343)),"SMY",ISNUMBER(SEARCH("Querétaro",D343)),"SQ1",ISNUMBER(SEARCH("CDMX",D343)),"SCM",TRUE,""),"")</f>
        <v/>
      </c>
      <c r="U343" s="48" t="str" cm="1">
        <f t="array" ref="U343">_xlfn.LET(_xlpm.resultados,_xlfn.UNIQUE(_xlfn._xlws.FILTER(Tabla1[Proceso],(Tabla1[Metal Base]=O343)*(Tabla1[Etiquetas]=_xlfn.TEXTJOIN(" + ",TRUE,IF((TRIM(Upload!P343:S343)="")+(LOWER(TRIM(Upload!P343:S343))="(seleccione)"),"",PROPER(TRIM(Upload!P343:S343)))))*(Tabla1[Línea2]=IFERROR(VLOOKUP(Upload!N343&amp;"*",CAT_Procesos!D:D,1,FALSE),"")))),_xlpm.cantidad,ROWS(_xlpm.resultados),IF(ISERROR(_xlpm.cantidad),"Combinación no existente",IF(_xlpm.cantidad=1,INDEX(_xlpm.resultados,1),"(seleccione)")))</f>
        <v>Combinación no existente</v>
      </c>
      <c r="V343" s="55" t="s">
        <v>73</v>
      </c>
      <c r="W343" s="56" t="s">
        <v>73</v>
      </c>
      <c r="X343" s="57" t="str">
        <f t="shared" si="20"/>
        <v/>
      </c>
      <c r="Y343" s="58" t="s">
        <v>73</v>
      </c>
      <c r="Z343" s="57" t="str">
        <f t="shared" si="21"/>
        <v/>
      </c>
      <c r="AA343" s="58" t="s">
        <v>73</v>
      </c>
      <c r="AB343" s="57" t="str">
        <f t="shared" si="22"/>
        <v/>
      </c>
      <c r="AC343" s="58" t="s">
        <v>73</v>
      </c>
      <c r="AD343" s="57" t="str">
        <f t="shared" si="23"/>
        <v/>
      </c>
      <c r="AE343" s="59"/>
      <c r="AF343" s="59"/>
      <c r="AG343" s="59"/>
      <c r="AH343" s="59"/>
      <c r="AI343" s="59" t="s">
        <v>73</v>
      </c>
      <c r="AJ343" s="59"/>
      <c r="AK343" s="59" t="s">
        <v>73</v>
      </c>
      <c r="AL343" s="59"/>
      <c r="AM343" s="59" t="s">
        <v>73</v>
      </c>
      <c r="AN343" s="59"/>
      <c r="AO343" s="59" t="s">
        <v>73</v>
      </c>
      <c r="AP343" s="59"/>
      <c r="AQ343" s="59" t="s">
        <v>73</v>
      </c>
      <c r="AR343" s="59"/>
      <c r="AS343" s="59" t="s">
        <v>72</v>
      </c>
      <c r="AT343" s="59"/>
      <c r="AU343" s="59"/>
      <c r="AV343" s="59"/>
      <c r="AW343" s="59"/>
      <c r="AX343" s="59"/>
      <c r="AY343" s="60" t="str">
        <f>IF('Cálculo MP'!K353="","",'Cálculo MP'!K353)</f>
        <v/>
      </c>
      <c r="AZ343" s="60" t="str">
        <f>IF('Cálculo MP'!L353="","",'Cálculo MP'!L353)</f>
        <v/>
      </c>
      <c r="BA343" s="60" t="str">
        <f>IF('Cálculo MP'!M353="","",'Cálculo MP'!M353)</f>
        <v/>
      </c>
      <c r="BB343" s="60" t="str">
        <f>IF('Cálculo MP'!N353="","",'Cálculo MP'!N353)</f>
        <v/>
      </c>
      <c r="BC343" s="60" t="str">
        <f>IF('Cálculo MP'!O353="","",'Cálculo MP'!O353)</f>
        <v/>
      </c>
      <c r="BD343" s="60" t="str">
        <f>IF('Cálculo MP'!P353="","",'Cálculo MP'!P353)</f>
        <v/>
      </c>
      <c r="BE343" s="60" t="str">
        <f>IF('Cálculo MP'!Q353="","",'Cálculo MP'!Q353)</f>
        <v/>
      </c>
      <c r="BF343" s="60" t="str">
        <f>IF('Cálculo MP'!R353="","",'Cálculo MP'!R353)</f>
        <v/>
      </c>
      <c r="BG343" s="60" t="str">
        <f>IF('Cálculo MP'!S353="","",'Cálculo MP'!S353)</f>
        <v/>
      </c>
      <c r="BH343" s="59"/>
      <c r="BI343" s="59"/>
      <c r="BJ343" s="59"/>
      <c r="BK343" s="59"/>
      <c r="BL343" s="59"/>
      <c r="BM343" s="59"/>
      <c r="BN343" s="59"/>
      <c r="BO343" s="59"/>
    </row>
    <row r="344" spans="1:67" ht="19.5" customHeight="1" x14ac:dyDescent="0.2">
      <c r="A344" s="114" t="s">
        <v>1789</v>
      </c>
      <c r="B344" s="113" t="s">
        <v>1787</v>
      </c>
      <c r="C344" s="122"/>
      <c r="D344" s="48" t="s">
        <v>73</v>
      </c>
      <c r="E344" s="49"/>
      <c r="F344" s="50"/>
      <c r="G344" s="62"/>
      <c r="H344" s="48" t="s">
        <v>72</v>
      </c>
      <c r="I344" s="52">
        <v>1</v>
      </c>
      <c r="J344" s="52"/>
      <c r="K344" s="52" t="s">
        <v>73</v>
      </c>
      <c r="L344" s="52" t="s">
        <v>74</v>
      </c>
      <c r="M344" s="53" t="s">
        <v>917</v>
      </c>
      <c r="N344" s="58" t="s">
        <v>73</v>
      </c>
      <c r="O344" s="48" t="s">
        <v>72</v>
      </c>
      <c r="P344" s="48" t="s">
        <v>73</v>
      </c>
      <c r="Q344" s="54" t="s">
        <v>73</v>
      </c>
      <c r="R344" s="55" t="s">
        <v>73</v>
      </c>
      <c r="S344" s="48" t="s">
        <v>73</v>
      </c>
      <c r="T344" s="121" t="str" cm="1">
        <f t="array" ref="T344">IF(ISNUMBER(SEARCH("SCHNEIDER",D344)),_xlfn.IFS(ISNUMBER(SEARCH("2 Querétaro",D344)),"SQ2",ISNUMBER(SEARCH("Xicohténcatl",D344)),"SXC",ISNUMBER(SEARCH("Rojo Gómez",D344)),"SRG",ISNUMBER(SEARCH("Tlaxcala",D344)),"STX",ISNUMBER(SEARCH("Monterrey",D344)),"SMY",ISNUMBER(SEARCH("Querétaro",D344)),"SQ1",ISNUMBER(SEARCH("CDMX",D344)),"SCM",TRUE,""),"")</f>
        <v/>
      </c>
      <c r="U344" s="48" t="str" cm="1">
        <f t="array" ref="U344">_xlfn.LET(_xlpm.resultados,_xlfn.UNIQUE(_xlfn._xlws.FILTER(Tabla1[Proceso],(Tabla1[Metal Base]=O344)*(Tabla1[Etiquetas]=_xlfn.TEXTJOIN(" + ",TRUE,IF((TRIM(Upload!P344:S344)="")+(LOWER(TRIM(Upload!P344:S344))="(seleccione)"),"",PROPER(TRIM(Upload!P344:S344)))))*(Tabla1[Línea2]=IFERROR(VLOOKUP(Upload!N344&amp;"*",CAT_Procesos!D:D,1,FALSE),"")))),_xlpm.cantidad,ROWS(_xlpm.resultados),IF(ISERROR(_xlpm.cantidad),"Combinación no existente",IF(_xlpm.cantidad=1,INDEX(_xlpm.resultados,1),"(seleccione)")))</f>
        <v>Combinación no existente</v>
      </c>
      <c r="V344" s="55" t="s">
        <v>73</v>
      </c>
      <c r="W344" s="56" t="s">
        <v>73</v>
      </c>
      <c r="X344" s="57" t="str">
        <f t="shared" si="20"/>
        <v/>
      </c>
      <c r="Y344" s="58" t="s">
        <v>73</v>
      </c>
      <c r="Z344" s="57" t="str">
        <f t="shared" si="21"/>
        <v/>
      </c>
      <c r="AA344" s="58" t="s">
        <v>73</v>
      </c>
      <c r="AB344" s="57" t="str">
        <f t="shared" si="22"/>
        <v/>
      </c>
      <c r="AC344" s="58" t="s">
        <v>73</v>
      </c>
      <c r="AD344" s="57" t="str">
        <f t="shared" si="23"/>
        <v/>
      </c>
      <c r="AE344" s="59"/>
      <c r="AF344" s="59"/>
      <c r="AG344" s="59"/>
      <c r="AH344" s="59"/>
      <c r="AI344" s="59" t="s">
        <v>73</v>
      </c>
      <c r="AJ344" s="59"/>
      <c r="AK344" s="59" t="s">
        <v>73</v>
      </c>
      <c r="AL344" s="59"/>
      <c r="AM344" s="59" t="s">
        <v>73</v>
      </c>
      <c r="AN344" s="59"/>
      <c r="AO344" s="59" t="s">
        <v>73</v>
      </c>
      <c r="AP344" s="59"/>
      <c r="AQ344" s="59" t="s">
        <v>73</v>
      </c>
      <c r="AR344" s="59"/>
      <c r="AS344" s="59" t="s">
        <v>72</v>
      </c>
      <c r="AT344" s="59"/>
      <c r="AU344" s="59"/>
      <c r="AV344" s="59"/>
      <c r="AW344" s="59"/>
      <c r="AX344" s="59"/>
      <c r="AY344" s="60" t="str">
        <f>IF('Cálculo MP'!K354="","",'Cálculo MP'!K354)</f>
        <v/>
      </c>
      <c r="AZ344" s="60" t="str">
        <f>IF('Cálculo MP'!L354="","",'Cálculo MP'!L354)</f>
        <v/>
      </c>
      <c r="BA344" s="60" t="str">
        <f>IF('Cálculo MP'!M354="","",'Cálculo MP'!M354)</f>
        <v/>
      </c>
      <c r="BB344" s="60" t="str">
        <f>IF('Cálculo MP'!N354="","",'Cálculo MP'!N354)</f>
        <v/>
      </c>
      <c r="BC344" s="60" t="str">
        <f>IF('Cálculo MP'!O354="","",'Cálculo MP'!O354)</f>
        <v/>
      </c>
      <c r="BD344" s="60" t="str">
        <f>IF('Cálculo MP'!P354="","",'Cálculo MP'!P354)</f>
        <v/>
      </c>
      <c r="BE344" s="60" t="str">
        <f>IF('Cálculo MP'!Q354="","",'Cálculo MP'!Q354)</f>
        <v/>
      </c>
      <c r="BF344" s="60" t="str">
        <f>IF('Cálculo MP'!R354="","",'Cálculo MP'!R354)</f>
        <v/>
      </c>
      <c r="BG344" s="60" t="str">
        <f>IF('Cálculo MP'!S354="","",'Cálculo MP'!S354)</f>
        <v/>
      </c>
      <c r="BH344" s="59"/>
      <c r="BI344" s="59"/>
      <c r="BJ344" s="59"/>
      <c r="BK344" s="59"/>
      <c r="BL344" s="59"/>
      <c r="BM344" s="59"/>
      <c r="BN344" s="59"/>
      <c r="BO344" s="59"/>
    </row>
    <row r="345" spans="1:67" ht="19.5" customHeight="1" x14ac:dyDescent="0.2">
      <c r="A345" s="114" t="s">
        <v>1789</v>
      </c>
      <c r="B345" s="113" t="s">
        <v>1787</v>
      </c>
      <c r="C345" s="122"/>
      <c r="D345" s="48" t="s">
        <v>73</v>
      </c>
      <c r="E345" s="49"/>
      <c r="F345" s="50"/>
      <c r="G345" s="62"/>
      <c r="H345" s="48" t="s">
        <v>72</v>
      </c>
      <c r="I345" s="52">
        <v>1</v>
      </c>
      <c r="J345" s="52"/>
      <c r="K345" s="52" t="s">
        <v>73</v>
      </c>
      <c r="L345" s="52" t="s">
        <v>74</v>
      </c>
      <c r="M345" s="53" t="s">
        <v>917</v>
      </c>
      <c r="N345" s="58" t="s">
        <v>73</v>
      </c>
      <c r="O345" s="48" t="s">
        <v>72</v>
      </c>
      <c r="P345" s="48" t="s">
        <v>73</v>
      </c>
      <c r="Q345" s="54" t="s">
        <v>73</v>
      </c>
      <c r="R345" s="55" t="s">
        <v>73</v>
      </c>
      <c r="S345" s="48" t="s">
        <v>73</v>
      </c>
      <c r="T345" s="121" t="str" cm="1">
        <f t="array" ref="T345">IF(ISNUMBER(SEARCH("SCHNEIDER",D345)),_xlfn.IFS(ISNUMBER(SEARCH("2 Querétaro",D345)),"SQ2",ISNUMBER(SEARCH("Xicohténcatl",D345)),"SXC",ISNUMBER(SEARCH("Rojo Gómez",D345)),"SRG",ISNUMBER(SEARCH("Tlaxcala",D345)),"STX",ISNUMBER(SEARCH("Monterrey",D345)),"SMY",ISNUMBER(SEARCH("Querétaro",D345)),"SQ1",ISNUMBER(SEARCH("CDMX",D345)),"SCM",TRUE,""),"")</f>
        <v/>
      </c>
      <c r="U345" s="48" t="str" cm="1">
        <f t="array" ref="U345">_xlfn.LET(_xlpm.resultados,_xlfn.UNIQUE(_xlfn._xlws.FILTER(Tabla1[Proceso],(Tabla1[Metal Base]=O345)*(Tabla1[Etiquetas]=_xlfn.TEXTJOIN(" + ",TRUE,IF((TRIM(Upload!P345:S345)="")+(LOWER(TRIM(Upload!P345:S345))="(seleccione)"),"",PROPER(TRIM(Upload!P345:S345)))))*(Tabla1[Línea2]=IFERROR(VLOOKUP(Upload!N345&amp;"*",CAT_Procesos!D:D,1,FALSE),"")))),_xlpm.cantidad,ROWS(_xlpm.resultados),IF(ISERROR(_xlpm.cantidad),"Combinación no existente",IF(_xlpm.cantidad=1,INDEX(_xlpm.resultados,1),"(seleccione)")))</f>
        <v>Combinación no existente</v>
      </c>
      <c r="V345" s="55" t="s">
        <v>73</v>
      </c>
      <c r="W345" s="56" t="s">
        <v>73</v>
      </c>
      <c r="X345" s="57" t="str">
        <f t="shared" si="20"/>
        <v/>
      </c>
      <c r="Y345" s="58" t="s">
        <v>73</v>
      </c>
      <c r="Z345" s="57" t="str">
        <f t="shared" si="21"/>
        <v/>
      </c>
      <c r="AA345" s="58" t="s">
        <v>73</v>
      </c>
      <c r="AB345" s="57" t="str">
        <f t="shared" si="22"/>
        <v/>
      </c>
      <c r="AC345" s="58" t="s">
        <v>73</v>
      </c>
      <c r="AD345" s="57" t="str">
        <f t="shared" si="23"/>
        <v/>
      </c>
      <c r="AE345" s="59"/>
      <c r="AF345" s="59"/>
      <c r="AG345" s="59"/>
      <c r="AH345" s="59"/>
      <c r="AI345" s="59" t="s">
        <v>73</v>
      </c>
      <c r="AJ345" s="59"/>
      <c r="AK345" s="59" t="s">
        <v>73</v>
      </c>
      <c r="AL345" s="59"/>
      <c r="AM345" s="59" t="s">
        <v>73</v>
      </c>
      <c r="AN345" s="59"/>
      <c r="AO345" s="59" t="s">
        <v>73</v>
      </c>
      <c r="AP345" s="59"/>
      <c r="AQ345" s="59" t="s">
        <v>73</v>
      </c>
      <c r="AR345" s="59"/>
      <c r="AS345" s="59" t="s">
        <v>72</v>
      </c>
      <c r="AT345" s="59"/>
      <c r="AU345" s="59"/>
      <c r="AV345" s="59"/>
      <c r="AW345" s="59"/>
      <c r="AX345" s="59"/>
      <c r="AY345" s="60" t="str">
        <f>IF('Cálculo MP'!K355="","",'Cálculo MP'!K355)</f>
        <v/>
      </c>
      <c r="AZ345" s="60" t="str">
        <f>IF('Cálculo MP'!L355="","",'Cálculo MP'!L355)</f>
        <v/>
      </c>
      <c r="BA345" s="60" t="str">
        <f>IF('Cálculo MP'!M355="","",'Cálculo MP'!M355)</f>
        <v/>
      </c>
      <c r="BB345" s="60" t="str">
        <f>IF('Cálculo MP'!N355="","",'Cálculo MP'!N355)</f>
        <v/>
      </c>
      <c r="BC345" s="60" t="str">
        <f>IF('Cálculo MP'!O355="","",'Cálculo MP'!O355)</f>
        <v/>
      </c>
      <c r="BD345" s="60" t="str">
        <f>IF('Cálculo MP'!P355="","",'Cálculo MP'!P355)</f>
        <v/>
      </c>
      <c r="BE345" s="60" t="str">
        <f>IF('Cálculo MP'!Q355="","",'Cálculo MP'!Q355)</f>
        <v/>
      </c>
      <c r="BF345" s="60" t="str">
        <f>IF('Cálculo MP'!R355="","",'Cálculo MP'!R355)</f>
        <v/>
      </c>
      <c r="BG345" s="60" t="str">
        <f>IF('Cálculo MP'!S355="","",'Cálculo MP'!S355)</f>
        <v/>
      </c>
      <c r="BH345" s="59"/>
      <c r="BI345" s="59"/>
      <c r="BJ345" s="59"/>
      <c r="BK345" s="59"/>
      <c r="BL345" s="59"/>
      <c r="BM345" s="59"/>
      <c r="BN345" s="59"/>
      <c r="BO345" s="59"/>
    </row>
    <row r="346" spans="1:67" ht="19.5" customHeight="1" x14ac:dyDescent="0.2">
      <c r="A346" s="114" t="s">
        <v>1789</v>
      </c>
      <c r="B346" s="113" t="s">
        <v>1787</v>
      </c>
      <c r="C346" s="122"/>
      <c r="D346" s="48" t="s">
        <v>73</v>
      </c>
      <c r="E346" s="49"/>
      <c r="F346" s="50"/>
      <c r="G346" s="62"/>
      <c r="H346" s="48" t="s">
        <v>72</v>
      </c>
      <c r="I346" s="52">
        <v>1</v>
      </c>
      <c r="J346" s="52"/>
      <c r="K346" s="52" t="s">
        <v>73</v>
      </c>
      <c r="L346" s="52" t="s">
        <v>74</v>
      </c>
      <c r="M346" s="53" t="s">
        <v>917</v>
      </c>
      <c r="N346" s="58" t="s">
        <v>73</v>
      </c>
      <c r="O346" s="48" t="s">
        <v>72</v>
      </c>
      <c r="P346" s="48" t="s">
        <v>73</v>
      </c>
      <c r="Q346" s="54" t="s">
        <v>73</v>
      </c>
      <c r="R346" s="55" t="s">
        <v>73</v>
      </c>
      <c r="S346" s="48" t="s">
        <v>73</v>
      </c>
      <c r="T346" s="121" t="str" cm="1">
        <f t="array" ref="T346">IF(ISNUMBER(SEARCH("SCHNEIDER",D346)),_xlfn.IFS(ISNUMBER(SEARCH("2 Querétaro",D346)),"SQ2",ISNUMBER(SEARCH("Xicohténcatl",D346)),"SXC",ISNUMBER(SEARCH("Rojo Gómez",D346)),"SRG",ISNUMBER(SEARCH("Tlaxcala",D346)),"STX",ISNUMBER(SEARCH("Monterrey",D346)),"SMY",ISNUMBER(SEARCH("Querétaro",D346)),"SQ1",ISNUMBER(SEARCH("CDMX",D346)),"SCM",TRUE,""),"")</f>
        <v/>
      </c>
      <c r="U346" s="48" t="str" cm="1">
        <f t="array" ref="U346">_xlfn.LET(_xlpm.resultados,_xlfn.UNIQUE(_xlfn._xlws.FILTER(Tabla1[Proceso],(Tabla1[Metal Base]=O346)*(Tabla1[Etiquetas]=_xlfn.TEXTJOIN(" + ",TRUE,IF((TRIM(Upload!P346:S346)="")+(LOWER(TRIM(Upload!P346:S346))="(seleccione)"),"",PROPER(TRIM(Upload!P346:S346)))))*(Tabla1[Línea2]=IFERROR(VLOOKUP(Upload!N346&amp;"*",CAT_Procesos!D:D,1,FALSE),"")))),_xlpm.cantidad,ROWS(_xlpm.resultados),IF(ISERROR(_xlpm.cantidad),"Combinación no existente",IF(_xlpm.cantidad=1,INDEX(_xlpm.resultados,1),"(seleccione)")))</f>
        <v>Combinación no existente</v>
      </c>
      <c r="V346" s="55" t="s">
        <v>73</v>
      </c>
      <c r="W346" s="56" t="s">
        <v>73</v>
      </c>
      <c r="X346" s="57" t="str">
        <f t="shared" si="20"/>
        <v/>
      </c>
      <c r="Y346" s="58" t="s">
        <v>73</v>
      </c>
      <c r="Z346" s="57" t="str">
        <f t="shared" si="21"/>
        <v/>
      </c>
      <c r="AA346" s="58" t="s">
        <v>73</v>
      </c>
      <c r="AB346" s="57" t="str">
        <f t="shared" si="22"/>
        <v/>
      </c>
      <c r="AC346" s="58" t="s">
        <v>73</v>
      </c>
      <c r="AD346" s="57" t="str">
        <f t="shared" si="23"/>
        <v/>
      </c>
      <c r="AE346" s="59"/>
      <c r="AF346" s="59"/>
      <c r="AG346" s="59"/>
      <c r="AH346" s="59"/>
      <c r="AI346" s="59" t="s">
        <v>73</v>
      </c>
      <c r="AJ346" s="59"/>
      <c r="AK346" s="59" t="s">
        <v>73</v>
      </c>
      <c r="AL346" s="59"/>
      <c r="AM346" s="59" t="s">
        <v>73</v>
      </c>
      <c r="AN346" s="59"/>
      <c r="AO346" s="59" t="s">
        <v>73</v>
      </c>
      <c r="AP346" s="59"/>
      <c r="AQ346" s="59" t="s">
        <v>73</v>
      </c>
      <c r="AR346" s="59"/>
      <c r="AS346" s="59" t="s">
        <v>72</v>
      </c>
      <c r="AT346" s="59"/>
      <c r="AU346" s="59"/>
      <c r="AV346" s="59"/>
      <c r="AW346" s="59"/>
      <c r="AX346" s="59"/>
      <c r="AY346" s="60" t="str">
        <f>IF('Cálculo MP'!K356="","",'Cálculo MP'!K356)</f>
        <v/>
      </c>
      <c r="AZ346" s="60" t="str">
        <f>IF('Cálculo MP'!L356="","",'Cálculo MP'!L356)</f>
        <v/>
      </c>
      <c r="BA346" s="60" t="str">
        <f>IF('Cálculo MP'!M356="","",'Cálculo MP'!M356)</f>
        <v/>
      </c>
      <c r="BB346" s="60" t="str">
        <f>IF('Cálculo MP'!N356="","",'Cálculo MP'!N356)</f>
        <v/>
      </c>
      <c r="BC346" s="60" t="str">
        <f>IF('Cálculo MP'!O356="","",'Cálculo MP'!O356)</f>
        <v/>
      </c>
      <c r="BD346" s="60" t="str">
        <f>IF('Cálculo MP'!P356="","",'Cálculo MP'!P356)</f>
        <v/>
      </c>
      <c r="BE346" s="60" t="str">
        <f>IF('Cálculo MP'!Q356="","",'Cálculo MP'!Q356)</f>
        <v/>
      </c>
      <c r="BF346" s="60" t="str">
        <f>IF('Cálculo MP'!R356="","",'Cálculo MP'!R356)</f>
        <v/>
      </c>
      <c r="BG346" s="60" t="str">
        <f>IF('Cálculo MP'!S356="","",'Cálculo MP'!S356)</f>
        <v/>
      </c>
      <c r="BH346" s="59"/>
      <c r="BI346" s="59"/>
      <c r="BJ346" s="59"/>
      <c r="BK346" s="59"/>
      <c r="BL346" s="59"/>
      <c r="BM346" s="59"/>
      <c r="BN346" s="59"/>
      <c r="BO346" s="59"/>
    </row>
    <row r="347" spans="1:67" ht="19.5" customHeight="1" x14ac:dyDescent="0.2">
      <c r="A347" s="114" t="s">
        <v>1789</v>
      </c>
      <c r="B347" s="113" t="s">
        <v>1787</v>
      </c>
      <c r="C347" s="122"/>
      <c r="D347" s="48" t="s">
        <v>73</v>
      </c>
      <c r="E347" s="49"/>
      <c r="F347" s="50"/>
      <c r="G347" s="62"/>
      <c r="H347" s="48" t="s">
        <v>72</v>
      </c>
      <c r="I347" s="52">
        <v>1</v>
      </c>
      <c r="J347" s="52"/>
      <c r="K347" s="52" t="s">
        <v>73</v>
      </c>
      <c r="L347" s="52" t="s">
        <v>74</v>
      </c>
      <c r="M347" s="53" t="s">
        <v>917</v>
      </c>
      <c r="N347" s="58" t="s">
        <v>73</v>
      </c>
      <c r="O347" s="48" t="s">
        <v>72</v>
      </c>
      <c r="P347" s="48" t="s">
        <v>73</v>
      </c>
      <c r="Q347" s="54" t="s">
        <v>73</v>
      </c>
      <c r="R347" s="55" t="s">
        <v>73</v>
      </c>
      <c r="S347" s="48" t="s">
        <v>73</v>
      </c>
      <c r="T347" s="121" t="str" cm="1">
        <f t="array" ref="T347">IF(ISNUMBER(SEARCH("SCHNEIDER",D347)),_xlfn.IFS(ISNUMBER(SEARCH("2 Querétaro",D347)),"SQ2",ISNUMBER(SEARCH("Xicohténcatl",D347)),"SXC",ISNUMBER(SEARCH("Rojo Gómez",D347)),"SRG",ISNUMBER(SEARCH("Tlaxcala",D347)),"STX",ISNUMBER(SEARCH("Monterrey",D347)),"SMY",ISNUMBER(SEARCH("Querétaro",D347)),"SQ1",ISNUMBER(SEARCH("CDMX",D347)),"SCM",TRUE,""),"")</f>
        <v/>
      </c>
      <c r="U347" s="48" t="str" cm="1">
        <f t="array" ref="U347">_xlfn.LET(_xlpm.resultados,_xlfn.UNIQUE(_xlfn._xlws.FILTER(Tabla1[Proceso],(Tabla1[Metal Base]=O347)*(Tabla1[Etiquetas]=_xlfn.TEXTJOIN(" + ",TRUE,IF((TRIM(Upload!P347:S347)="")+(LOWER(TRIM(Upload!P347:S347))="(seleccione)"),"",PROPER(TRIM(Upload!P347:S347)))))*(Tabla1[Línea2]=IFERROR(VLOOKUP(Upload!N347&amp;"*",CAT_Procesos!D:D,1,FALSE),"")))),_xlpm.cantidad,ROWS(_xlpm.resultados),IF(ISERROR(_xlpm.cantidad),"Combinación no existente",IF(_xlpm.cantidad=1,INDEX(_xlpm.resultados,1),"(seleccione)")))</f>
        <v>Combinación no existente</v>
      </c>
      <c r="V347" s="55" t="s">
        <v>73</v>
      </c>
      <c r="W347" s="56" t="s">
        <v>73</v>
      </c>
      <c r="X347" s="57" t="str">
        <f t="shared" si="20"/>
        <v/>
      </c>
      <c r="Y347" s="58" t="s">
        <v>73</v>
      </c>
      <c r="Z347" s="57" t="str">
        <f t="shared" si="21"/>
        <v/>
      </c>
      <c r="AA347" s="58" t="s">
        <v>73</v>
      </c>
      <c r="AB347" s="57" t="str">
        <f t="shared" si="22"/>
        <v/>
      </c>
      <c r="AC347" s="58" t="s">
        <v>73</v>
      </c>
      <c r="AD347" s="57" t="str">
        <f t="shared" si="23"/>
        <v/>
      </c>
      <c r="AE347" s="59"/>
      <c r="AF347" s="59"/>
      <c r="AG347" s="59"/>
      <c r="AH347" s="59"/>
      <c r="AI347" s="59" t="s">
        <v>73</v>
      </c>
      <c r="AJ347" s="59"/>
      <c r="AK347" s="59" t="s">
        <v>73</v>
      </c>
      <c r="AL347" s="59"/>
      <c r="AM347" s="59" t="s">
        <v>73</v>
      </c>
      <c r="AN347" s="59"/>
      <c r="AO347" s="59" t="s">
        <v>73</v>
      </c>
      <c r="AP347" s="59"/>
      <c r="AQ347" s="59" t="s">
        <v>73</v>
      </c>
      <c r="AR347" s="59"/>
      <c r="AS347" s="59" t="s">
        <v>72</v>
      </c>
      <c r="AT347" s="59"/>
      <c r="AU347" s="59"/>
      <c r="AV347" s="59"/>
      <c r="AW347" s="59"/>
      <c r="AX347" s="59"/>
      <c r="AY347" s="60" t="str">
        <f>IF('Cálculo MP'!K357="","",'Cálculo MP'!K357)</f>
        <v/>
      </c>
      <c r="AZ347" s="60" t="str">
        <f>IF('Cálculo MP'!L357="","",'Cálculo MP'!L357)</f>
        <v/>
      </c>
      <c r="BA347" s="60" t="str">
        <f>IF('Cálculo MP'!M357="","",'Cálculo MP'!M357)</f>
        <v/>
      </c>
      <c r="BB347" s="60" t="str">
        <f>IF('Cálculo MP'!N357="","",'Cálculo MP'!N357)</f>
        <v/>
      </c>
      <c r="BC347" s="60" t="str">
        <f>IF('Cálculo MP'!O357="","",'Cálculo MP'!O357)</f>
        <v/>
      </c>
      <c r="BD347" s="60" t="str">
        <f>IF('Cálculo MP'!P357="","",'Cálculo MP'!P357)</f>
        <v/>
      </c>
      <c r="BE347" s="60" t="str">
        <f>IF('Cálculo MP'!Q357="","",'Cálculo MP'!Q357)</f>
        <v/>
      </c>
      <c r="BF347" s="60" t="str">
        <f>IF('Cálculo MP'!R357="","",'Cálculo MP'!R357)</f>
        <v/>
      </c>
      <c r="BG347" s="60" t="str">
        <f>IF('Cálculo MP'!S357="","",'Cálculo MP'!S357)</f>
        <v/>
      </c>
      <c r="BH347" s="59"/>
      <c r="BI347" s="59"/>
      <c r="BJ347" s="59"/>
      <c r="BK347" s="59"/>
      <c r="BL347" s="59"/>
      <c r="BM347" s="59"/>
      <c r="BN347" s="59"/>
      <c r="BO347" s="59"/>
    </row>
    <row r="348" spans="1:67" ht="19.5" customHeight="1" x14ac:dyDescent="0.2">
      <c r="A348" s="114" t="s">
        <v>1789</v>
      </c>
      <c r="B348" s="113" t="s">
        <v>1787</v>
      </c>
      <c r="C348" s="122"/>
      <c r="D348" s="48" t="s">
        <v>73</v>
      </c>
      <c r="E348" s="49"/>
      <c r="F348" s="50"/>
      <c r="G348" s="62"/>
      <c r="H348" s="48" t="s">
        <v>72</v>
      </c>
      <c r="I348" s="52">
        <v>1</v>
      </c>
      <c r="J348" s="52"/>
      <c r="K348" s="52" t="s">
        <v>73</v>
      </c>
      <c r="L348" s="52" t="s">
        <v>74</v>
      </c>
      <c r="M348" s="53" t="s">
        <v>917</v>
      </c>
      <c r="N348" s="58" t="s">
        <v>73</v>
      </c>
      <c r="O348" s="48" t="s">
        <v>72</v>
      </c>
      <c r="P348" s="48" t="s">
        <v>73</v>
      </c>
      <c r="Q348" s="54" t="s">
        <v>73</v>
      </c>
      <c r="R348" s="55" t="s">
        <v>73</v>
      </c>
      <c r="S348" s="48" t="s">
        <v>73</v>
      </c>
      <c r="T348" s="121" t="str" cm="1">
        <f t="array" ref="T348">IF(ISNUMBER(SEARCH("SCHNEIDER",D348)),_xlfn.IFS(ISNUMBER(SEARCH("2 Querétaro",D348)),"SQ2",ISNUMBER(SEARCH("Xicohténcatl",D348)),"SXC",ISNUMBER(SEARCH("Rojo Gómez",D348)),"SRG",ISNUMBER(SEARCH("Tlaxcala",D348)),"STX",ISNUMBER(SEARCH("Monterrey",D348)),"SMY",ISNUMBER(SEARCH("Querétaro",D348)),"SQ1",ISNUMBER(SEARCH("CDMX",D348)),"SCM",TRUE,""),"")</f>
        <v/>
      </c>
      <c r="U348" s="48" t="str" cm="1">
        <f t="array" ref="U348">_xlfn.LET(_xlpm.resultados,_xlfn.UNIQUE(_xlfn._xlws.FILTER(Tabla1[Proceso],(Tabla1[Metal Base]=O348)*(Tabla1[Etiquetas]=_xlfn.TEXTJOIN(" + ",TRUE,IF((TRIM(Upload!P348:S348)="")+(LOWER(TRIM(Upload!P348:S348))="(seleccione)"),"",PROPER(TRIM(Upload!P348:S348)))))*(Tabla1[Línea2]=IFERROR(VLOOKUP(Upload!N348&amp;"*",CAT_Procesos!D:D,1,FALSE),"")))),_xlpm.cantidad,ROWS(_xlpm.resultados),IF(ISERROR(_xlpm.cantidad),"Combinación no existente",IF(_xlpm.cantidad=1,INDEX(_xlpm.resultados,1),"(seleccione)")))</f>
        <v>Combinación no existente</v>
      </c>
      <c r="V348" s="55" t="s">
        <v>73</v>
      </c>
      <c r="W348" s="56" t="s">
        <v>73</v>
      </c>
      <c r="X348" s="57" t="str">
        <f t="shared" si="20"/>
        <v/>
      </c>
      <c r="Y348" s="58" t="s">
        <v>73</v>
      </c>
      <c r="Z348" s="57" t="str">
        <f t="shared" si="21"/>
        <v/>
      </c>
      <c r="AA348" s="58" t="s">
        <v>73</v>
      </c>
      <c r="AB348" s="57" t="str">
        <f t="shared" si="22"/>
        <v/>
      </c>
      <c r="AC348" s="58" t="s">
        <v>73</v>
      </c>
      <c r="AD348" s="57" t="str">
        <f t="shared" si="23"/>
        <v/>
      </c>
      <c r="AE348" s="59"/>
      <c r="AF348" s="59"/>
      <c r="AG348" s="59"/>
      <c r="AH348" s="59"/>
      <c r="AI348" s="59" t="s">
        <v>73</v>
      </c>
      <c r="AJ348" s="59"/>
      <c r="AK348" s="59" t="s">
        <v>73</v>
      </c>
      <c r="AL348" s="59"/>
      <c r="AM348" s="59" t="s">
        <v>73</v>
      </c>
      <c r="AN348" s="59"/>
      <c r="AO348" s="59" t="s">
        <v>73</v>
      </c>
      <c r="AP348" s="59"/>
      <c r="AQ348" s="59" t="s">
        <v>73</v>
      </c>
      <c r="AR348" s="59"/>
      <c r="AS348" s="59" t="s">
        <v>72</v>
      </c>
      <c r="AT348" s="59"/>
      <c r="AU348" s="59"/>
      <c r="AV348" s="59"/>
      <c r="AW348" s="59"/>
      <c r="AX348" s="59"/>
      <c r="AY348" s="60" t="str">
        <f>IF('Cálculo MP'!K358="","",'Cálculo MP'!K358)</f>
        <v/>
      </c>
      <c r="AZ348" s="60" t="str">
        <f>IF('Cálculo MP'!L358="","",'Cálculo MP'!L358)</f>
        <v/>
      </c>
      <c r="BA348" s="60" t="str">
        <f>IF('Cálculo MP'!M358="","",'Cálculo MP'!M358)</f>
        <v/>
      </c>
      <c r="BB348" s="60" t="str">
        <f>IF('Cálculo MP'!N358="","",'Cálculo MP'!N358)</f>
        <v/>
      </c>
      <c r="BC348" s="60" t="str">
        <f>IF('Cálculo MP'!O358="","",'Cálculo MP'!O358)</f>
        <v/>
      </c>
      <c r="BD348" s="60" t="str">
        <f>IF('Cálculo MP'!P358="","",'Cálculo MP'!P358)</f>
        <v/>
      </c>
      <c r="BE348" s="60" t="str">
        <f>IF('Cálculo MP'!Q358="","",'Cálculo MP'!Q358)</f>
        <v/>
      </c>
      <c r="BF348" s="60" t="str">
        <f>IF('Cálculo MP'!R358="","",'Cálculo MP'!R358)</f>
        <v/>
      </c>
      <c r="BG348" s="60" t="str">
        <f>IF('Cálculo MP'!S358="","",'Cálculo MP'!S358)</f>
        <v/>
      </c>
      <c r="BH348" s="59"/>
      <c r="BI348" s="59"/>
      <c r="BJ348" s="59"/>
      <c r="BK348" s="59"/>
      <c r="BL348" s="59"/>
      <c r="BM348" s="59"/>
      <c r="BN348" s="59"/>
      <c r="BO348" s="59"/>
    </row>
    <row r="349" spans="1:67" ht="19.5" customHeight="1" x14ac:dyDescent="0.2">
      <c r="A349" s="114" t="s">
        <v>1789</v>
      </c>
      <c r="B349" s="113" t="s">
        <v>1787</v>
      </c>
      <c r="C349" s="122"/>
      <c r="D349" s="48" t="s">
        <v>73</v>
      </c>
      <c r="E349" s="49"/>
      <c r="F349" s="50"/>
      <c r="G349" s="62"/>
      <c r="H349" s="48" t="s">
        <v>72</v>
      </c>
      <c r="I349" s="52">
        <v>1</v>
      </c>
      <c r="J349" s="52"/>
      <c r="K349" s="52" t="s">
        <v>73</v>
      </c>
      <c r="L349" s="52" t="s">
        <v>74</v>
      </c>
      <c r="M349" s="53" t="s">
        <v>917</v>
      </c>
      <c r="N349" s="58" t="s">
        <v>73</v>
      </c>
      <c r="O349" s="48" t="s">
        <v>72</v>
      </c>
      <c r="P349" s="48" t="s">
        <v>73</v>
      </c>
      <c r="Q349" s="54" t="s">
        <v>73</v>
      </c>
      <c r="R349" s="55" t="s">
        <v>73</v>
      </c>
      <c r="S349" s="48" t="s">
        <v>73</v>
      </c>
      <c r="T349" s="121" t="str" cm="1">
        <f t="array" ref="T349">IF(ISNUMBER(SEARCH("SCHNEIDER",D349)),_xlfn.IFS(ISNUMBER(SEARCH("2 Querétaro",D349)),"SQ2",ISNUMBER(SEARCH("Xicohténcatl",D349)),"SXC",ISNUMBER(SEARCH("Rojo Gómez",D349)),"SRG",ISNUMBER(SEARCH("Tlaxcala",D349)),"STX",ISNUMBER(SEARCH("Monterrey",D349)),"SMY",ISNUMBER(SEARCH("Querétaro",D349)),"SQ1",ISNUMBER(SEARCH("CDMX",D349)),"SCM",TRUE,""),"")</f>
        <v/>
      </c>
      <c r="U349" s="48" t="str" cm="1">
        <f t="array" ref="U349">_xlfn.LET(_xlpm.resultados,_xlfn.UNIQUE(_xlfn._xlws.FILTER(Tabla1[Proceso],(Tabla1[Metal Base]=O349)*(Tabla1[Etiquetas]=_xlfn.TEXTJOIN(" + ",TRUE,IF((TRIM(Upload!P349:S349)="")+(LOWER(TRIM(Upload!P349:S349))="(seleccione)"),"",PROPER(TRIM(Upload!P349:S349)))))*(Tabla1[Línea2]=IFERROR(VLOOKUP(Upload!N349&amp;"*",CAT_Procesos!D:D,1,FALSE),"")))),_xlpm.cantidad,ROWS(_xlpm.resultados),IF(ISERROR(_xlpm.cantidad),"Combinación no existente",IF(_xlpm.cantidad=1,INDEX(_xlpm.resultados,1),"(seleccione)")))</f>
        <v>Combinación no existente</v>
      </c>
      <c r="V349" s="55" t="s">
        <v>73</v>
      </c>
      <c r="W349" s="56" t="s">
        <v>73</v>
      </c>
      <c r="X349" s="57" t="str">
        <f t="shared" si="20"/>
        <v/>
      </c>
      <c r="Y349" s="58" t="s">
        <v>73</v>
      </c>
      <c r="Z349" s="57" t="str">
        <f t="shared" si="21"/>
        <v/>
      </c>
      <c r="AA349" s="58" t="s">
        <v>73</v>
      </c>
      <c r="AB349" s="57" t="str">
        <f t="shared" si="22"/>
        <v/>
      </c>
      <c r="AC349" s="58" t="s">
        <v>73</v>
      </c>
      <c r="AD349" s="57" t="str">
        <f t="shared" si="23"/>
        <v/>
      </c>
      <c r="AE349" s="59"/>
      <c r="AF349" s="59"/>
      <c r="AG349" s="59"/>
      <c r="AH349" s="59"/>
      <c r="AI349" s="59" t="s">
        <v>73</v>
      </c>
      <c r="AJ349" s="59"/>
      <c r="AK349" s="59" t="s">
        <v>73</v>
      </c>
      <c r="AL349" s="59"/>
      <c r="AM349" s="59" t="s">
        <v>73</v>
      </c>
      <c r="AN349" s="59"/>
      <c r="AO349" s="59" t="s">
        <v>73</v>
      </c>
      <c r="AP349" s="59"/>
      <c r="AQ349" s="59" t="s">
        <v>73</v>
      </c>
      <c r="AR349" s="59"/>
      <c r="AS349" s="59" t="s">
        <v>72</v>
      </c>
      <c r="AT349" s="59"/>
      <c r="AU349" s="59"/>
      <c r="AV349" s="59"/>
      <c r="AW349" s="59"/>
      <c r="AX349" s="59"/>
      <c r="AY349" s="60" t="str">
        <f>IF('Cálculo MP'!K359="","",'Cálculo MP'!K359)</f>
        <v/>
      </c>
      <c r="AZ349" s="60" t="str">
        <f>IF('Cálculo MP'!L359="","",'Cálculo MP'!L359)</f>
        <v/>
      </c>
      <c r="BA349" s="60" t="str">
        <f>IF('Cálculo MP'!M359="","",'Cálculo MP'!M359)</f>
        <v/>
      </c>
      <c r="BB349" s="60" t="str">
        <f>IF('Cálculo MP'!N359="","",'Cálculo MP'!N359)</f>
        <v/>
      </c>
      <c r="BC349" s="60" t="str">
        <f>IF('Cálculo MP'!O359="","",'Cálculo MP'!O359)</f>
        <v/>
      </c>
      <c r="BD349" s="60" t="str">
        <f>IF('Cálculo MP'!P359="","",'Cálculo MP'!P359)</f>
        <v/>
      </c>
      <c r="BE349" s="60" t="str">
        <f>IF('Cálculo MP'!Q359="","",'Cálculo MP'!Q359)</f>
        <v/>
      </c>
      <c r="BF349" s="60" t="str">
        <f>IF('Cálculo MP'!R359="","",'Cálculo MP'!R359)</f>
        <v/>
      </c>
      <c r="BG349" s="60" t="str">
        <f>IF('Cálculo MP'!S359="","",'Cálculo MP'!S359)</f>
        <v/>
      </c>
      <c r="BH349" s="59"/>
      <c r="BI349" s="59"/>
      <c r="BJ349" s="59"/>
      <c r="BK349" s="59"/>
      <c r="BL349" s="59"/>
      <c r="BM349" s="59"/>
      <c r="BN349" s="59"/>
      <c r="BO349" s="59"/>
    </row>
    <row r="350" spans="1:67" ht="19.5" customHeight="1" x14ac:dyDescent="0.2">
      <c r="A350" s="114" t="s">
        <v>1789</v>
      </c>
      <c r="B350" s="113" t="s">
        <v>1787</v>
      </c>
      <c r="C350" s="122"/>
      <c r="D350" s="48" t="s">
        <v>73</v>
      </c>
      <c r="E350" s="49"/>
      <c r="F350" s="50"/>
      <c r="G350" s="62"/>
      <c r="H350" s="48" t="s">
        <v>72</v>
      </c>
      <c r="I350" s="52">
        <v>1</v>
      </c>
      <c r="J350" s="52"/>
      <c r="K350" s="52" t="s">
        <v>73</v>
      </c>
      <c r="L350" s="52" t="s">
        <v>74</v>
      </c>
      <c r="M350" s="53" t="s">
        <v>917</v>
      </c>
      <c r="N350" s="58" t="s">
        <v>73</v>
      </c>
      <c r="O350" s="48" t="s">
        <v>72</v>
      </c>
      <c r="P350" s="48" t="s">
        <v>73</v>
      </c>
      <c r="Q350" s="54" t="s">
        <v>73</v>
      </c>
      <c r="R350" s="55" t="s">
        <v>73</v>
      </c>
      <c r="S350" s="48" t="s">
        <v>73</v>
      </c>
      <c r="T350" s="121" t="str" cm="1">
        <f t="array" ref="T350">IF(ISNUMBER(SEARCH("SCHNEIDER",D350)),_xlfn.IFS(ISNUMBER(SEARCH("2 Querétaro",D350)),"SQ2",ISNUMBER(SEARCH("Xicohténcatl",D350)),"SXC",ISNUMBER(SEARCH("Rojo Gómez",D350)),"SRG",ISNUMBER(SEARCH("Tlaxcala",D350)),"STX",ISNUMBER(SEARCH("Monterrey",D350)),"SMY",ISNUMBER(SEARCH("Querétaro",D350)),"SQ1",ISNUMBER(SEARCH("CDMX",D350)),"SCM",TRUE,""),"")</f>
        <v/>
      </c>
      <c r="U350" s="48" t="str" cm="1">
        <f t="array" ref="U350">_xlfn.LET(_xlpm.resultados,_xlfn.UNIQUE(_xlfn._xlws.FILTER(Tabla1[Proceso],(Tabla1[Metal Base]=O350)*(Tabla1[Etiquetas]=_xlfn.TEXTJOIN(" + ",TRUE,IF((TRIM(Upload!P350:S350)="")+(LOWER(TRIM(Upload!P350:S350))="(seleccione)"),"",PROPER(TRIM(Upload!P350:S350)))))*(Tabla1[Línea2]=IFERROR(VLOOKUP(Upload!N350&amp;"*",CAT_Procesos!D:D,1,FALSE),"")))),_xlpm.cantidad,ROWS(_xlpm.resultados),IF(ISERROR(_xlpm.cantidad),"Combinación no existente",IF(_xlpm.cantidad=1,INDEX(_xlpm.resultados,1),"(seleccione)")))</f>
        <v>Combinación no existente</v>
      </c>
      <c r="V350" s="55" t="s">
        <v>73</v>
      </c>
      <c r="W350" s="56" t="s">
        <v>73</v>
      </c>
      <c r="X350" s="57" t="str">
        <f t="shared" si="20"/>
        <v/>
      </c>
      <c r="Y350" s="58" t="s">
        <v>73</v>
      </c>
      <c r="Z350" s="57" t="str">
        <f t="shared" si="21"/>
        <v/>
      </c>
      <c r="AA350" s="58" t="s">
        <v>73</v>
      </c>
      <c r="AB350" s="57" t="str">
        <f t="shared" si="22"/>
        <v/>
      </c>
      <c r="AC350" s="58" t="s">
        <v>73</v>
      </c>
      <c r="AD350" s="57" t="str">
        <f t="shared" si="23"/>
        <v/>
      </c>
      <c r="AE350" s="59"/>
      <c r="AF350" s="59"/>
      <c r="AG350" s="59"/>
      <c r="AH350" s="59"/>
      <c r="AI350" s="59" t="s">
        <v>73</v>
      </c>
      <c r="AJ350" s="59"/>
      <c r="AK350" s="59" t="s">
        <v>73</v>
      </c>
      <c r="AL350" s="59"/>
      <c r="AM350" s="59" t="s">
        <v>73</v>
      </c>
      <c r="AN350" s="59"/>
      <c r="AO350" s="59" t="s">
        <v>73</v>
      </c>
      <c r="AP350" s="59"/>
      <c r="AQ350" s="59" t="s">
        <v>73</v>
      </c>
      <c r="AR350" s="59"/>
      <c r="AS350" s="59" t="s">
        <v>72</v>
      </c>
      <c r="AT350" s="59"/>
      <c r="AU350" s="59"/>
      <c r="AV350" s="59"/>
      <c r="AW350" s="59"/>
      <c r="AX350" s="59"/>
      <c r="AY350" s="60" t="str">
        <f>IF('Cálculo MP'!K360="","",'Cálculo MP'!K360)</f>
        <v/>
      </c>
      <c r="AZ350" s="60" t="str">
        <f>IF('Cálculo MP'!L360="","",'Cálculo MP'!L360)</f>
        <v/>
      </c>
      <c r="BA350" s="60" t="str">
        <f>IF('Cálculo MP'!M360="","",'Cálculo MP'!M360)</f>
        <v/>
      </c>
      <c r="BB350" s="60" t="str">
        <f>IF('Cálculo MP'!N360="","",'Cálculo MP'!N360)</f>
        <v/>
      </c>
      <c r="BC350" s="60" t="str">
        <f>IF('Cálculo MP'!O360="","",'Cálculo MP'!O360)</f>
        <v/>
      </c>
      <c r="BD350" s="60" t="str">
        <f>IF('Cálculo MP'!P360="","",'Cálculo MP'!P360)</f>
        <v/>
      </c>
      <c r="BE350" s="60" t="str">
        <f>IF('Cálculo MP'!Q360="","",'Cálculo MP'!Q360)</f>
        <v/>
      </c>
      <c r="BF350" s="60" t="str">
        <f>IF('Cálculo MP'!R360="","",'Cálculo MP'!R360)</f>
        <v/>
      </c>
      <c r="BG350" s="60" t="str">
        <f>IF('Cálculo MP'!S360="","",'Cálculo MP'!S360)</f>
        <v/>
      </c>
      <c r="BH350" s="59"/>
      <c r="BI350" s="59"/>
      <c r="BJ350" s="59"/>
      <c r="BK350" s="59"/>
      <c r="BL350" s="59"/>
      <c r="BM350" s="59"/>
      <c r="BN350" s="59"/>
      <c r="BO350" s="59"/>
    </row>
    <row r="351" spans="1:67" ht="19.5" customHeight="1" x14ac:dyDescent="0.2">
      <c r="A351" s="114" t="s">
        <v>1789</v>
      </c>
      <c r="B351" s="113" t="s">
        <v>1787</v>
      </c>
      <c r="C351" s="122"/>
      <c r="D351" s="48" t="s">
        <v>73</v>
      </c>
      <c r="E351" s="49"/>
      <c r="F351" s="50"/>
      <c r="G351" s="62"/>
      <c r="H351" s="48" t="s">
        <v>72</v>
      </c>
      <c r="I351" s="52">
        <v>1</v>
      </c>
      <c r="J351" s="52"/>
      <c r="K351" s="52" t="s">
        <v>73</v>
      </c>
      <c r="L351" s="52" t="s">
        <v>74</v>
      </c>
      <c r="M351" s="53" t="s">
        <v>917</v>
      </c>
      <c r="N351" s="58" t="s">
        <v>73</v>
      </c>
      <c r="O351" s="48" t="s">
        <v>72</v>
      </c>
      <c r="P351" s="48" t="s">
        <v>73</v>
      </c>
      <c r="Q351" s="54" t="s">
        <v>73</v>
      </c>
      <c r="R351" s="55" t="s">
        <v>73</v>
      </c>
      <c r="S351" s="48" t="s">
        <v>73</v>
      </c>
      <c r="T351" s="121" t="str" cm="1">
        <f t="array" ref="T351">IF(ISNUMBER(SEARCH("SCHNEIDER",D351)),_xlfn.IFS(ISNUMBER(SEARCH("2 Querétaro",D351)),"SQ2",ISNUMBER(SEARCH("Xicohténcatl",D351)),"SXC",ISNUMBER(SEARCH("Rojo Gómez",D351)),"SRG",ISNUMBER(SEARCH("Tlaxcala",D351)),"STX",ISNUMBER(SEARCH("Monterrey",D351)),"SMY",ISNUMBER(SEARCH("Querétaro",D351)),"SQ1",ISNUMBER(SEARCH("CDMX",D351)),"SCM",TRUE,""),"")</f>
        <v/>
      </c>
      <c r="U351" s="48" t="str" cm="1">
        <f t="array" ref="U351">_xlfn.LET(_xlpm.resultados,_xlfn.UNIQUE(_xlfn._xlws.FILTER(Tabla1[Proceso],(Tabla1[Metal Base]=O351)*(Tabla1[Etiquetas]=_xlfn.TEXTJOIN(" + ",TRUE,IF((TRIM(Upload!P351:S351)="")+(LOWER(TRIM(Upload!P351:S351))="(seleccione)"),"",PROPER(TRIM(Upload!P351:S351)))))*(Tabla1[Línea2]=IFERROR(VLOOKUP(Upload!N351&amp;"*",CAT_Procesos!D:D,1,FALSE),"")))),_xlpm.cantidad,ROWS(_xlpm.resultados),IF(ISERROR(_xlpm.cantidad),"Combinación no existente",IF(_xlpm.cantidad=1,INDEX(_xlpm.resultados,1),"(seleccione)")))</f>
        <v>Combinación no existente</v>
      </c>
      <c r="V351" s="55" t="s">
        <v>73</v>
      </c>
      <c r="W351" s="56" t="s">
        <v>73</v>
      </c>
      <c r="X351" s="57" t="str">
        <f t="shared" si="20"/>
        <v/>
      </c>
      <c r="Y351" s="58" t="s">
        <v>73</v>
      </c>
      <c r="Z351" s="57" t="str">
        <f t="shared" si="21"/>
        <v/>
      </c>
      <c r="AA351" s="58" t="s">
        <v>73</v>
      </c>
      <c r="AB351" s="57" t="str">
        <f t="shared" si="22"/>
        <v/>
      </c>
      <c r="AC351" s="58" t="s">
        <v>73</v>
      </c>
      <c r="AD351" s="57" t="str">
        <f t="shared" si="23"/>
        <v/>
      </c>
      <c r="AE351" s="59"/>
      <c r="AF351" s="59"/>
      <c r="AG351" s="59"/>
      <c r="AH351" s="59"/>
      <c r="AI351" s="59" t="s">
        <v>73</v>
      </c>
      <c r="AJ351" s="59"/>
      <c r="AK351" s="59" t="s">
        <v>73</v>
      </c>
      <c r="AL351" s="59"/>
      <c r="AM351" s="59" t="s">
        <v>73</v>
      </c>
      <c r="AN351" s="59"/>
      <c r="AO351" s="59" t="s">
        <v>73</v>
      </c>
      <c r="AP351" s="59"/>
      <c r="AQ351" s="59" t="s">
        <v>73</v>
      </c>
      <c r="AR351" s="59"/>
      <c r="AS351" s="59" t="s">
        <v>72</v>
      </c>
      <c r="AT351" s="59"/>
      <c r="AU351" s="59"/>
      <c r="AV351" s="59"/>
      <c r="AW351" s="59"/>
      <c r="AX351" s="59"/>
      <c r="AY351" s="60" t="str">
        <f>IF('Cálculo MP'!K361="","",'Cálculo MP'!K361)</f>
        <v/>
      </c>
      <c r="AZ351" s="60" t="str">
        <f>IF('Cálculo MP'!L361="","",'Cálculo MP'!L361)</f>
        <v/>
      </c>
      <c r="BA351" s="60" t="str">
        <f>IF('Cálculo MP'!M361="","",'Cálculo MP'!M361)</f>
        <v/>
      </c>
      <c r="BB351" s="60" t="str">
        <f>IF('Cálculo MP'!N361="","",'Cálculo MP'!N361)</f>
        <v/>
      </c>
      <c r="BC351" s="60" t="str">
        <f>IF('Cálculo MP'!O361="","",'Cálculo MP'!O361)</f>
        <v/>
      </c>
      <c r="BD351" s="60" t="str">
        <f>IF('Cálculo MP'!P361="","",'Cálculo MP'!P361)</f>
        <v/>
      </c>
      <c r="BE351" s="60" t="str">
        <f>IF('Cálculo MP'!Q361="","",'Cálculo MP'!Q361)</f>
        <v/>
      </c>
      <c r="BF351" s="60" t="str">
        <f>IF('Cálculo MP'!R361="","",'Cálculo MP'!R361)</f>
        <v/>
      </c>
      <c r="BG351" s="60" t="str">
        <f>IF('Cálculo MP'!S361="","",'Cálculo MP'!S361)</f>
        <v/>
      </c>
      <c r="BH351" s="59"/>
      <c r="BI351" s="59"/>
      <c r="BJ351" s="59"/>
      <c r="BK351" s="59"/>
      <c r="BL351" s="59"/>
      <c r="BM351" s="59"/>
      <c r="BN351" s="59"/>
      <c r="BO351" s="59"/>
    </row>
    <row r="352" spans="1:67" ht="19.5" customHeight="1" x14ac:dyDescent="0.2">
      <c r="A352" s="114" t="s">
        <v>1789</v>
      </c>
      <c r="B352" s="113" t="s">
        <v>1787</v>
      </c>
      <c r="C352" s="122"/>
      <c r="D352" s="48" t="s">
        <v>73</v>
      </c>
      <c r="E352" s="49"/>
      <c r="F352" s="50"/>
      <c r="G352" s="62"/>
      <c r="H352" s="48" t="s">
        <v>72</v>
      </c>
      <c r="I352" s="52">
        <v>1</v>
      </c>
      <c r="J352" s="52"/>
      <c r="K352" s="52" t="s">
        <v>73</v>
      </c>
      <c r="L352" s="52" t="s">
        <v>74</v>
      </c>
      <c r="M352" s="53" t="s">
        <v>917</v>
      </c>
      <c r="N352" s="58" t="s">
        <v>73</v>
      </c>
      <c r="O352" s="48" t="s">
        <v>72</v>
      </c>
      <c r="P352" s="48" t="s">
        <v>73</v>
      </c>
      <c r="Q352" s="54" t="s">
        <v>73</v>
      </c>
      <c r="R352" s="55" t="s">
        <v>73</v>
      </c>
      <c r="S352" s="48" t="s">
        <v>73</v>
      </c>
      <c r="T352" s="121" t="str" cm="1">
        <f t="array" ref="T352">IF(ISNUMBER(SEARCH("SCHNEIDER",D352)),_xlfn.IFS(ISNUMBER(SEARCH("2 Querétaro",D352)),"SQ2",ISNUMBER(SEARCH("Xicohténcatl",D352)),"SXC",ISNUMBER(SEARCH("Rojo Gómez",D352)),"SRG",ISNUMBER(SEARCH("Tlaxcala",D352)),"STX",ISNUMBER(SEARCH("Monterrey",D352)),"SMY",ISNUMBER(SEARCH("Querétaro",D352)),"SQ1",ISNUMBER(SEARCH("CDMX",D352)),"SCM",TRUE,""),"")</f>
        <v/>
      </c>
      <c r="U352" s="48" t="str" cm="1">
        <f t="array" ref="U352">_xlfn.LET(_xlpm.resultados,_xlfn.UNIQUE(_xlfn._xlws.FILTER(Tabla1[Proceso],(Tabla1[Metal Base]=O352)*(Tabla1[Etiquetas]=_xlfn.TEXTJOIN(" + ",TRUE,IF((TRIM(Upload!P352:S352)="")+(LOWER(TRIM(Upload!P352:S352))="(seleccione)"),"",PROPER(TRIM(Upload!P352:S352)))))*(Tabla1[Línea2]=IFERROR(VLOOKUP(Upload!N352&amp;"*",CAT_Procesos!D:D,1,FALSE),"")))),_xlpm.cantidad,ROWS(_xlpm.resultados),IF(ISERROR(_xlpm.cantidad),"Combinación no existente",IF(_xlpm.cantidad=1,INDEX(_xlpm.resultados,1),"(seleccione)")))</f>
        <v>Combinación no existente</v>
      </c>
      <c r="V352" s="55" t="s">
        <v>73</v>
      </c>
      <c r="W352" s="56" t="s">
        <v>73</v>
      </c>
      <c r="X352" s="57" t="str">
        <f t="shared" si="20"/>
        <v/>
      </c>
      <c r="Y352" s="58" t="s">
        <v>73</v>
      </c>
      <c r="Z352" s="57" t="str">
        <f t="shared" si="21"/>
        <v/>
      </c>
      <c r="AA352" s="58" t="s">
        <v>73</v>
      </c>
      <c r="AB352" s="57" t="str">
        <f t="shared" si="22"/>
        <v/>
      </c>
      <c r="AC352" s="58" t="s">
        <v>73</v>
      </c>
      <c r="AD352" s="57" t="str">
        <f t="shared" si="23"/>
        <v/>
      </c>
      <c r="AE352" s="59"/>
      <c r="AF352" s="59"/>
      <c r="AG352" s="59"/>
      <c r="AH352" s="59"/>
      <c r="AI352" s="59" t="s">
        <v>73</v>
      </c>
      <c r="AJ352" s="59"/>
      <c r="AK352" s="59" t="s">
        <v>73</v>
      </c>
      <c r="AL352" s="59"/>
      <c r="AM352" s="59" t="s">
        <v>73</v>
      </c>
      <c r="AN352" s="59"/>
      <c r="AO352" s="59" t="s">
        <v>73</v>
      </c>
      <c r="AP352" s="59"/>
      <c r="AQ352" s="59" t="s">
        <v>73</v>
      </c>
      <c r="AR352" s="59"/>
      <c r="AS352" s="59" t="s">
        <v>72</v>
      </c>
      <c r="AT352" s="59"/>
      <c r="AU352" s="59"/>
      <c r="AV352" s="59"/>
      <c r="AW352" s="59"/>
      <c r="AX352" s="59"/>
      <c r="AY352" s="60" t="str">
        <f>IF('Cálculo MP'!K362="","",'Cálculo MP'!K362)</f>
        <v/>
      </c>
      <c r="AZ352" s="60" t="str">
        <f>IF('Cálculo MP'!L362="","",'Cálculo MP'!L362)</f>
        <v/>
      </c>
      <c r="BA352" s="60" t="str">
        <f>IF('Cálculo MP'!M362="","",'Cálculo MP'!M362)</f>
        <v/>
      </c>
      <c r="BB352" s="60" t="str">
        <f>IF('Cálculo MP'!N362="","",'Cálculo MP'!N362)</f>
        <v/>
      </c>
      <c r="BC352" s="60" t="str">
        <f>IF('Cálculo MP'!O362="","",'Cálculo MP'!O362)</f>
        <v/>
      </c>
      <c r="BD352" s="60" t="str">
        <f>IF('Cálculo MP'!P362="","",'Cálculo MP'!P362)</f>
        <v/>
      </c>
      <c r="BE352" s="60" t="str">
        <f>IF('Cálculo MP'!Q362="","",'Cálculo MP'!Q362)</f>
        <v/>
      </c>
      <c r="BF352" s="60" t="str">
        <f>IF('Cálculo MP'!R362="","",'Cálculo MP'!R362)</f>
        <v/>
      </c>
      <c r="BG352" s="60" t="str">
        <f>IF('Cálculo MP'!S362="","",'Cálculo MP'!S362)</f>
        <v/>
      </c>
      <c r="BH352" s="59"/>
      <c r="BI352" s="59"/>
      <c r="BJ352" s="59"/>
      <c r="BK352" s="59"/>
      <c r="BL352" s="59"/>
      <c r="BM352" s="59"/>
      <c r="BN352" s="59"/>
      <c r="BO352" s="59"/>
    </row>
    <row r="353" spans="1:67" ht="19.5" customHeight="1" x14ac:dyDescent="0.2">
      <c r="A353" s="114" t="s">
        <v>1789</v>
      </c>
      <c r="B353" s="113" t="s">
        <v>1787</v>
      </c>
      <c r="C353" s="122"/>
      <c r="D353" s="48" t="s">
        <v>73</v>
      </c>
      <c r="E353" s="49"/>
      <c r="F353" s="50"/>
      <c r="G353" s="62"/>
      <c r="H353" s="48" t="s">
        <v>72</v>
      </c>
      <c r="I353" s="52">
        <v>1</v>
      </c>
      <c r="J353" s="52"/>
      <c r="K353" s="52" t="s">
        <v>73</v>
      </c>
      <c r="L353" s="52" t="s">
        <v>74</v>
      </c>
      <c r="M353" s="53" t="s">
        <v>917</v>
      </c>
      <c r="N353" s="58" t="s">
        <v>73</v>
      </c>
      <c r="O353" s="48" t="s">
        <v>72</v>
      </c>
      <c r="P353" s="48" t="s">
        <v>73</v>
      </c>
      <c r="Q353" s="54" t="s">
        <v>73</v>
      </c>
      <c r="R353" s="55" t="s">
        <v>73</v>
      </c>
      <c r="S353" s="48" t="s">
        <v>73</v>
      </c>
      <c r="T353" s="121" t="str" cm="1">
        <f t="array" ref="T353">IF(ISNUMBER(SEARCH("SCHNEIDER",D353)),_xlfn.IFS(ISNUMBER(SEARCH("2 Querétaro",D353)),"SQ2",ISNUMBER(SEARCH("Xicohténcatl",D353)),"SXC",ISNUMBER(SEARCH("Rojo Gómez",D353)),"SRG",ISNUMBER(SEARCH("Tlaxcala",D353)),"STX",ISNUMBER(SEARCH("Monterrey",D353)),"SMY",ISNUMBER(SEARCH("Querétaro",D353)),"SQ1",ISNUMBER(SEARCH("CDMX",D353)),"SCM",TRUE,""),"")</f>
        <v/>
      </c>
      <c r="U353" s="48" t="str" cm="1">
        <f t="array" ref="U353">_xlfn.LET(_xlpm.resultados,_xlfn.UNIQUE(_xlfn._xlws.FILTER(Tabla1[Proceso],(Tabla1[Metal Base]=O353)*(Tabla1[Etiquetas]=_xlfn.TEXTJOIN(" + ",TRUE,IF((TRIM(Upload!P353:S353)="")+(LOWER(TRIM(Upload!P353:S353))="(seleccione)"),"",PROPER(TRIM(Upload!P353:S353)))))*(Tabla1[Línea2]=IFERROR(VLOOKUP(Upload!N353&amp;"*",CAT_Procesos!D:D,1,FALSE),"")))),_xlpm.cantidad,ROWS(_xlpm.resultados),IF(ISERROR(_xlpm.cantidad),"Combinación no existente",IF(_xlpm.cantidad=1,INDEX(_xlpm.resultados,1),"(seleccione)")))</f>
        <v>Combinación no existente</v>
      </c>
      <c r="V353" s="55" t="s">
        <v>73</v>
      </c>
      <c r="W353" s="56" t="s">
        <v>73</v>
      </c>
      <c r="X353" s="57" t="str">
        <f t="shared" si="20"/>
        <v/>
      </c>
      <c r="Y353" s="58" t="s">
        <v>73</v>
      </c>
      <c r="Z353" s="57" t="str">
        <f t="shared" si="21"/>
        <v/>
      </c>
      <c r="AA353" s="58" t="s">
        <v>73</v>
      </c>
      <c r="AB353" s="57" t="str">
        <f t="shared" si="22"/>
        <v/>
      </c>
      <c r="AC353" s="58" t="s">
        <v>73</v>
      </c>
      <c r="AD353" s="57" t="str">
        <f t="shared" si="23"/>
        <v/>
      </c>
      <c r="AE353" s="59"/>
      <c r="AF353" s="59"/>
      <c r="AG353" s="59"/>
      <c r="AH353" s="59"/>
      <c r="AI353" s="59" t="s">
        <v>73</v>
      </c>
      <c r="AJ353" s="59"/>
      <c r="AK353" s="59" t="s">
        <v>73</v>
      </c>
      <c r="AL353" s="59"/>
      <c r="AM353" s="59" t="s">
        <v>73</v>
      </c>
      <c r="AN353" s="59"/>
      <c r="AO353" s="59" t="s">
        <v>73</v>
      </c>
      <c r="AP353" s="59"/>
      <c r="AQ353" s="59" t="s">
        <v>73</v>
      </c>
      <c r="AR353" s="59"/>
      <c r="AS353" s="59" t="s">
        <v>72</v>
      </c>
      <c r="AT353" s="59"/>
      <c r="AU353" s="59"/>
      <c r="AV353" s="59"/>
      <c r="AW353" s="59"/>
      <c r="AX353" s="59"/>
      <c r="AY353" s="60" t="str">
        <f>IF('Cálculo MP'!K363="","",'Cálculo MP'!K363)</f>
        <v/>
      </c>
      <c r="AZ353" s="60" t="str">
        <f>IF('Cálculo MP'!L363="","",'Cálculo MP'!L363)</f>
        <v/>
      </c>
      <c r="BA353" s="60" t="str">
        <f>IF('Cálculo MP'!M363="","",'Cálculo MP'!M363)</f>
        <v/>
      </c>
      <c r="BB353" s="60" t="str">
        <f>IF('Cálculo MP'!N363="","",'Cálculo MP'!N363)</f>
        <v/>
      </c>
      <c r="BC353" s="60" t="str">
        <f>IF('Cálculo MP'!O363="","",'Cálculo MP'!O363)</f>
        <v/>
      </c>
      <c r="BD353" s="60" t="str">
        <f>IF('Cálculo MP'!P363="","",'Cálculo MP'!P363)</f>
        <v/>
      </c>
      <c r="BE353" s="60" t="str">
        <f>IF('Cálculo MP'!Q363="","",'Cálculo MP'!Q363)</f>
        <v/>
      </c>
      <c r="BF353" s="60" t="str">
        <f>IF('Cálculo MP'!R363="","",'Cálculo MP'!R363)</f>
        <v/>
      </c>
      <c r="BG353" s="60" t="str">
        <f>IF('Cálculo MP'!S363="","",'Cálculo MP'!S363)</f>
        <v/>
      </c>
      <c r="BH353" s="59"/>
      <c r="BI353" s="59"/>
      <c r="BJ353" s="59"/>
      <c r="BK353" s="59"/>
      <c r="BL353" s="59"/>
      <c r="BM353" s="59"/>
      <c r="BN353" s="59"/>
      <c r="BO353" s="59"/>
    </row>
    <row r="354" spans="1:67" ht="19.5" customHeight="1" x14ac:dyDescent="0.2">
      <c r="A354" s="114" t="s">
        <v>1789</v>
      </c>
      <c r="B354" s="113" t="s">
        <v>1787</v>
      </c>
      <c r="C354" s="122"/>
      <c r="D354" s="48" t="s">
        <v>73</v>
      </c>
      <c r="E354" s="49"/>
      <c r="F354" s="50"/>
      <c r="G354" s="62"/>
      <c r="H354" s="48" t="s">
        <v>72</v>
      </c>
      <c r="I354" s="52">
        <v>1</v>
      </c>
      <c r="J354" s="52"/>
      <c r="K354" s="52" t="s">
        <v>73</v>
      </c>
      <c r="L354" s="52" t="s">
        <v>74</v>
      </c>
      <c r="M354" s="53" t="s">
        <v>917</v>
      </c>
      <c r="N354" s="58" t="s">
        <v>73</v>
      </c>
      <c r="O354" s="48" t="s">
        <v>72</v>
      </c>
      <c r="P354" s="48" t="s">
        <v>73</v>
      </c>
      <c r="Q354" s="54" t="s">
        <v>73</v>
      </c>
      <c r="R354" s="55" t="s">
        <v>73</v>
      </c>
      <c r="S354" s="48" t="s">
        <v>73</v>
      </c>
      <c r="T354" s="121" t="str" cm="1">
        <f t="array" ref="T354">IF(ISNUMBER(SEARCH("SCHNEIDER",D354)),_xlfn.IFS(ISNUMBER(SEARCH("2 Querétaro",D354)),"SQ2",ISNUMBER(SEARCH("Xicohténcatl",D354)),"SXC",ISNUMBER(SEARCH("Rojo Gómez",D354)),"SRG",ISNUMBER(SEARCH("Tlaxcala",D354)),"STX",ISNUMBER(SEARCH("Monterrey",D354)),"SMY",ISNUMBER(SEARCH("Querétaro",D354)),"SQ1",ISNUMBER(SEARCH("CDMX",D354)),"SCM",TRUE,""),"")</f>
        <v/>
      </c>
      <c r="U354" s="48" t="str" cm="1">
        <f t="array" ref="U354">_xlfn.LET(_xlpm.resultados,_xlfn.UNIQUE(_xlfn._xlws.FILTER(Tabla1[Proceso],(Tabla1[Metal Base]=O354)*(Tabla1[Etiquetas]=_xlfn.TEXTJOIN(" + ",TRUE,IF((TRIM(Upload!P354:S354)="")+(LOWER(TRIM(Upload!P354:S354))="(seleccione)"),"",PROPER(TRIM(Upload!P354:S354)))))*(Tabla1[Línea2]=IFERROR(VLOOKUP(Upload!N354&amp;"*",CAT_Procesos!D:D,1,FALSE),"")))),_xlpm.cantidad,ROWS(_xlpm.resultados),IF(ISERROR(_xlpm.cantidad),"Combinación no existente",IF(_xlpm.cantidad=1,INDEX(_xlpm.resultados,1),"(seleccione)")))</f>
        <v>Combinación no existente</v>
      </c>
      <c r="V354" s="55" t="s">
        <v>73</v>
      </c>
      <c r="W354" s="56" t="s">
        <v>73</v>
      </c>
      <c r="X354" s="57" t="str">
        <f t="shared" si="20"/>
        <v/>
      </c>
      <c r="Y354" s="58" t="s">
        <v>73</v>
      </c>
      <c r="Z354" s="57" t="str">
        <f t="shared" si="21"/>
        <v/>
      </c>
      <c r="AA354" s="58" t="s">
        <v>73</v>
      </c>
      <c r="AB354" s="57" t="str">
        <f t="shared" si="22"/>
        <v/>
      </c>
      <c r="AC354" s="58" t="s">
        <v>73</v>
      </c>
      <c r="AD354" s="57" t="str">
        <f t="shared" si="23"/>
        <v/>
      </c>
      <c r="AE354" s="59"/>
      <c r="AF354" s="59"/>
      <c r="AG354" s="59"/>
      <c r="AH354" s="59"/>
      <c r="AI354" s="59" t="s">
        <v>73</v>
      </c>
      <c r="AJ354" s="59"/>
      <c r="AK354" s="59" t="s">
        <v>73</v>
      </c>
      <c r="AL354" s="59"/>
      <c r="AM354" s="59" t="s">
        <v>73</v>
      </c>
      <c r="AN354" s="59"/>
      <c r="AO354" s="59" t="s">
        <v>73</v>
      </c>
      <c r="AP354" s="59"/>
      <c r="AQ354" s="59" t="s">
        <v>73</v>
      </c>
      <c r="AR354" s="59"/>
      <c r="AS354" s="59" t="s">
        <v>72</v>
      </c>
      <c r="AT354" s="59"/>
      <c r="AU354" s="59"/>
      <c r="AV354" s="59"/>
      <c r="AW354" s="59"/>
      <c r="AX354" s="59"/>
      <c r="AY354" s="60" t="str">
        <f>IF('Cálculo MP'!K364="","",'Cálculo MP'!K364)</f>
        <v/>
      </c>
      <c r="AZ354" s="60" t="str">
        <f>IF('Cálculo MP'!L364="","",'Cálculo MP'!L364)</f>
        <v/>
      </c>
      <c r="BA354" s="60" t="str">
        <f>IF('Cálculo MP'!M364="","",'Cálculo MP'!M364)</f>
        <v/>
      </c>
      <c r="BB354" s="60" t="str">
        <f>IF('Cálculo MP'!N364="","",'Cálculo MP'!N364)</f>
        <v/>
      </c>
      <c r="BC354" s="60" t="str">
        <f>IF('Cálculo MP'!O364="","",'Cálculo MP'!O364)</f>
        <v/>
      </c>
      <c r="BD354" s="60" t="str">
        <f>IF('Cálculo MP'!P364="","",'Cálculo MP'!P364)</f>
        <v/>
      </c>
      <c r="BE354" s="60" t="str">
        <f>IF('Cálculo MP'!Q364="","",'Cálculo MP'!Q364)</f>
        <v/>
      </c>
      <c r="BF354" s="60" t="str">
        <f>IF('Cálculo MP'!R364="","",'Cálculo MP'!R364)</f>
        <v/>
      </c>
      <c r="BG354" s="60" t="str">
        <f>IF('Cálculo MP'!S364="","",'Cálculo MP'!S364)</f>
        <v/>
      </c>
      <c r="BH354" s="59"/>
      <c r="BI354" s="59"/>
      <c r="BJ354" s="59"/>
      <c r="BK354" s="59"/>
      <c r="BL354" s="59"/>
      <c r="BM354" s="59"/>
      <c r="BN354" s="59"/>
      <c r="BO354" s="59"/>
    </row>
    <row r="355" spans="1:67" ht="19.5" customHeight="1" x14ac:dyDescent="0.2">
      <c r="A355" s="114" t="s">
        <v>1789</v>
      </c>
      <c r="B355" s="113" t="s">
        <v>1787</v>
      </c>
      <c r="C355" s="122"/>
      <c r="D355" s="48" t="s">
        <v>73</v>
      </c>
      <c r="E355" s="49"/>
      <c r="F355" s="50"/>
      <c r="G355" s="62"/>
      <c r="H355" s="48" t="s">
        <v>72</v>
      </c>
      <c r="I355" s="52">
        <v>1</v>
      </c>
      <c r="J355" s="52"/>
      <c r="K355" s="52" t="s">
        <v>73</v>
      </c>
      <c r="L355" s="52" t="s">
        <v>74</v>
      </c>
      <c r="M355" s="53" t="s">
        <v>917</v>
      </c>
      <c r="N355" s="58" t="s">
        <v>73</v>
      </c>
      <c r="O355" s="48" t="s">
        <v>72</v>
      </c>
      <c r="P355" s="48" t="s">
        <v>73</v>
      </c>
      <c r="Q355" s="54" t="s">
        <v>73</v>
      </c>
      <c r="R355" s="55" t="s">
        <v>73</v>
      </c>
      <c r="S355" s="48" t="s">
        <v>73</v>
      </c>
      <c r="T355" s="121" t="str" cm="1">
        <f t="array" ref="T355">IF(ISNUMBER(SEARCH("SCHNEIDER",D355)),_xlfn.IFS(ISNUMBER(SEARCH("2 Querétaro",D355)),"SQ2",ISNUMBER(SEARCH("Xicohténcatl",D355)),"SXC",ISNUMBER(SEARCH("Rojo Gómez",D355)),"SRG",ISNUMBER(SEARCH("Tlaxcala",D355)),"STX",ISNUMBER(SEARCH("Monterrey",D355)),"SMY",ISNUMBER(SEARCH("Querétaro",D355)),"SQ1",ISNUMBER(SEARCH("CDMX",D355)),"SCM",TRUE,""),"")</f>
        <v/>
      </c>
      <c r="U355" s="48" t="str" cm="1">
        <f t="array" ref="U355">_xlfn.LET(_xlpm.resultados,_xlfn.UNIQUE(_xlfn._xlws.FILTER(Tabla1[Proceso],(Tabla1[Metal Base]=O355)*(Tabla1[Etiquetas]=_xlfn.TEXTJOIN(" + ",TRUE,IF((TRIM(Upload!P355:S355)="")+(LOWER(TRIM(Upload!P355:S355))="(seleccione)"),"",PROPER(TRIM(Upload!P355:S355)))))*(Tabla1[Línea2]=IFERROR(VLOOKUP(Upload!N355&amp;"*",CAT_Procesos!D:D,1,FALSE),"")))),_xlpm.cantidad,ROWS(_xlpm.resultados),IF(ISERROR(_xlpm.cantidad),"Combinación no existente",IF(_xlpm.cantidad=1,INDEX(_xlpm.resultados,1),"(seleccione)")))</f>
        <v>Combinación no existente</v>
      </c>
      <c r="V355" s="55" t="s">
        <v>73</v>
      </c>
      <c r="W355" s="56" t="s">
        <v>73</v>
      </c>
      <c r="X355" s="57" t="str">
        <f t="shared" si="20"/>
        <v/>
      </c>
      <c r="Y355" s="58" t="s">
        <v>73</v>
      </c>
      <c r="Z355" s="57" t="str">
        <f t="shared" si="21"/>
        <v/>
      </c>
      <c r="AA355" s="58" t="s">
        <v>73</v>
      </c>
      <c r="AB355" s="57" t="str">
        <f t="shared" si="22"/>
        <v/>
      </c>
      <c r="AC355" s="58" t="s">
        <v>73</v>
      </c>
      <c r="AD355" s="57" t="str">
        <f t="shared" si="23"/>
        <v/>
      </c>
      <c r="AE355" s="59"/>
      <c r="AF355" s="59"/>
      <c r="AG355" s="59"/>
      <c r="AH355" s="59"/>
      <c r="AI355" s="59" t="s">
        <v>73</v>
      </c>
      <c r="AJ355" s="59"/>
      <c r="AK355" s="59" t="s">
        <v>73</v>
      </c>
      <c r="AL355" s="59"/>
      <c r="AM355" s="59" t="s">
        <v>73</v>
      </c>
      <c r="AN355" s="59"/>
      <c r="AO355" s="59" t="s">
        <v>73</v>
      </c>
      <c r="AP355" s="59"/>
      <c r="AQ355" s="59" t="s">
        <v>73</v>
      </c>
      <c r="AR355" s="59"/>
      <c r="AS355" s="59" t="s">
        <v>72</v>
      </c>
      <c r="AT355" s="59"/>
      <c r="AU355" s="59"/>
      <c r="AV355" s="59"/>
      <c r="AW355" s="59"/>
      <c r="AX355" s="59"/>
      <c r="AY355" s="60" t="str">
        <f>IF('Cálculo MP'!K365="","",'Cálculo MP'!K365)</f>
        <v/>
      </c>
      <c r="AZ355" s="60" t="str">
        <f>IF('Cálculo MP'!L365="","",'Cálculo MP'!L365)</f>
        <v/>
      </c>
      <c r="BA355" s="60" t="str">
        <f>IF('Cálculo MP'!M365="","",'Cálculo MP'!M365)</f>
        <v/>
      </c>
      <c r="BB355" s="60" t="str">
        <f>IF('Cálculo MP'!N365="","",'Cálculo MP'!N365)</f>
        <v/>
      </c>
      <c r="BC355" s="60" t="str">
        <f>IF('Cálculo MP'!O365="","",'Cálculo MP'!O365)</f>
        <v/>
      </c>
      <c r="BD355" s="60" t="str">
        <f>IF('Cálculo MP'!P365="","",'Cálculo MP'!P365)</f>
        <v/>
      </c>
      <c r="BE355" s="60" t="str">
        <f>IF('Cálculo MP'!Q365="","",'Cálculo MP'!Q365)</f>
        <v/>
      </c>
      <c r="BF355" s="60" t="str">
        <f>IF('Cálculo MP'!R365="","",'Cálculo MP'!R365)</f>
        <v/>
      </c>
      <c r="BG355" s="60" t="str">
        <f>IF('Cálculo MP'!S365="","",'Cálculo MP'!S365)</f>
        <v/>
      </c>
      <c r="BH355" s="59"/>
      <c r="BI355" s="59"/>
      <c r="BJ355" s="59"/>
      <c r="BK355" s="59"/>
      <c r="BL355" s="59"/>
      <c r="BM355" s="59"/>
      <c r="BN355" s="59"/>
      <c r="BO355" s="59"/>
    </row>
    <row r="356" spans="1:67" ht="19.5" customHeight="1" x14ac:dyDescent="0.2">
      <c r="A356" s="114" t="s">
        <v>1789</v>
      </c>
      <c r="B356" s="113" t="s">
        <v>1787</v>
      </c>
      <c r="C356" s="122"/>
      <c r="D356" s="48" t="s">
        <v>73</v>
      </c>
      <c r="E356" s="49"/>
      <c r="F356" s="50"/>
      <c r="G356" s="62"/>
      <c r="H356" s="48" t="s">
        <v>72</v>
      </c>
      <c r="I356" s="52">
        <v>1</v>
      </c>
      <c r="J356" s="52"/>
      <c r="K356" s="52" t="s">
        <v>73</v>
      </c>
      <c r="L356" s="52" t="s">
        <v>74</v>
      </c>
      <c r="M356" s="53" t="s">
        <v>917</v>
      </c>
      <c r="N356" s="58" t="s">
        <v>73</v>
      </c>
      <c r="O356" s="48" t="s">
        <v>72</v>
      </c>
      <c r="P356" s="48" t="s">
        <v>73</v>
      </c>
      <c r="Q356" s="54" t="s">
        <v>73</v>
      </c>
      <c r="R356" s="55" t="s">
        <v>73</v>
      </c>
      <c r="S356" s="48" t="s">
        <v>73</v>
      </c>
      <c r="T356" s="121" t="str" cm="1">
        <f t="array" ref="T356">IF(ISNUMBER(SEARCH("SCHNEIDER",D356)),_xlfn.IFS(ISNUMBER(SEARCH("2 Querétaro",D356)),"SQ2",ISNUMBER(SEARCH("Xicohténcatl",D356)),"SXC",ISNUMBER(SEARCH("Rojo Gómez",D356)),"SRG",ISNUMBER(SEARCH("Tlaxcala",D356)),"STX",ISNUMBER(SEARCH("Monterrey",D356)),"SMY",ISNUMBER(SEARCH("Querétaro",D356)),"SQ1",ISNUMBER(SEARCH("CDMX",D356)),"SCM",TRUE,""),"")</f>
        <v/>
      </c>
      <c r="U356" s="48" t="str" cm="1">
        <f t="array" ref="U356">_xlfn.LET(_xlpm.resultados,_xlfn.UNIQUE(_xlfn._xlws.FILTER(Tabla1[Proceso],(Tabla1[Metal Base]=O356)*(Tabla1[Etiquetas]=_xlfn.TEXTJOIN(" + ",TRUE,IF((TRIM(Upload!P356:S356)="")+(LOWER(TRIM(Upload!P356:S356))="(seleccione)"),"",PROPER(TRIM(Upload!P356:S356)))))*(Tabla1[Línea2]=IFERROR(VLOOKUP(Upload!N356&amp;"*",CAT_Procesos!D:D,1,FALSE),"")))),_xlpm.cantidad,ROWS(_xlpm.resultados),IF(ISERROR(_xlpm.cantidad),"Combinación no existente",IF(_xlpm.cantidad=1,INDEX(_xlpm.resultados,1),"(seleccione)")))</f>
        <v>Combinación no existente</v>
      </c>
      <c r="V356" s="55" t="s">
        <v>73</v>
      </c>
      <c r="W356" s="56" t="s">
        <v>73</v>
      </c>
      <c r="X356" s="57" t="str">
        <f t="shared" si="20"/>
        <v/>
      </c>
      <c r="Y356" s="58" t="s">
        <v>73</v>
      </c>
      <c r="Z356" s="57" t="str">
        <f t="shared" si="21"/>
        <v/>
      </c>
      <c r="AA356" s="58" t="s">
        <v>73</v>
      </c>
      <c r="AB356" s="57" t="str">
        <f t="shared" si="22"/>
        <v/>
      </c>
      <c r="AC356" s="58" t="s">
        <v>73</v>
      </c>
      <c r="AD356" s="57" t="str">
        <f t="shared" si="23"/>
        <v/>
      </c>
      <c r="AE356" s="59"/>
      <c r="AF356" s="59"/>
      <c r="AG356" s="59"/>
      <c r="AH356" s="59"/>
      <c r="AI356" s="59" t="s">
        <v>73</v>
      </c>
      <c r="AJ356" s="59"/>
      <c r="AK356" s="59" t="s">
        <v>73</v>
      </c>
      <c r="AL356" s="59"/>
      <c r="AM356" s="59" t="s">
        <v>73</v>
      </c>
      <c r="AN356" s="59"/>
      <c r="AO356" s="59" t="s">
        <v>73</v>
      </c>
      <c r="AP356" s="59"/>
      <c r="AQ356" s="59" t="s">
        <v>73</v>
      </c>
      <c r="AR356" s="59"/>
      <c r="AS356" s="59" t="s">
        <v>72</v>
      </c>
      <c r="AT356" s="59"/>
      <c r="AU356" s="59"/>
      <c r="AV356" s="59"/>
      <c r="AW356" s="59"/>
      <c r="AX356" s="59"/>
      <c r="AY356" s="60" t="str">
        <f>IF('Cálculo MP'!K366="","",'Cálculo MP'!K366)</f>
        <v/>
      </c>
      <c r="AZ356" s="60" t="str">
        <f>IF('Cálculo MP'!L366="","",'Cálculo MP'!L366)</f>
        <v/>
      </c>
      <c r="BA356" s="60" t="str">
        <f>IF('Cálculo MP'!M366="","",'Cálculo MP'!M366)</f>
        <v/>
      </c>
      <c r="BB356" s="60" t="str">
        <f>IF('Cálculo MP'!N366="","",'Cálculo MP'!N366)</f>
        <v/>
      </c>
      <c r="BC356" s="60" t="str">
        <f>IF('Cálculo MP'!O366="","",'Cálculo MP'!O366)</f>
        <v/>
      </c>
      <c r="BD356" s="60" t="str">
        <f>IF('Cálculo MP'!P366="","",'Cálculo MP'!P366)</f>
        <v/>
      </c>
      <c r="BE356" s="60" t="str">
        <f>IF('Cálculo MP'!Q366="","",'Cálculo MP'!Q366)</f>
        <v/>
      </c>
      <c r="BF356" s="60" t="str">
        <f>IF('Cálculo MP'!R366="","",'Cálculo MP'!R366)</f>
        <v/>
      </c>
      <c r="BG356" s="60" t="str">
        <f>IF('Cálculo MP'!S366="","",'Cálculo MP'!S366)</f>
        <v/>
      </c>
      <c r="BH356" s="59"/>
      <c r="BI356" s="59"/>
      <c r="BJ356" s="59"/>
      <c r="BK356" s="59"/>
      <c r="BL356" s="59"/>
      <c r="BM356" s="59"/>
      <c r="BN356" s="59"/>
      <c r="BO356" s="59"/>
    </row>
    <row r="357" spans="1:67" ht="19.5" customHeight="1" x14ac:dyDescent="0.2">
      <c r="A357" s="114" t="s">
        <v>1789</v>
      </c>
      <c r="B357" s="113" t="s">
        <v>1787</v>
      </c>
      <c r="C357" s="122"/>
      <c r="D357" s="48" t="s">
        <v>73</v>
      </c>
      <c r="E357" s="49"/>
      <c r="F357" s="50"/>
      <c r="G357" s="62"/>
      <c r="H357" s="48" t="s">
        <v>72</v>
      </c>
      <c r="I357" s="52">
        <v>1</v>
      </c>
      <c r="J357" s="52"/>
      <c r="K357" s="52" t="s">
        <v>73</v>
      </c>
      <c r="L357" s="52" t="s">
        <v>74</v>
      </c>
      <c r="M357" s="53" t="s">
        <v>917</v>
      </c>
      <c r="N357" s="58" t="s">
        <v>73</v>
      </c>
      <c r="O357" s="48" t="s">
        <v>72</v>
      </c>
      <c r="P357" s="48" t="s">
        <v>73</v>
      </c>
      <c r="Q357" s="54" t="s">
        <v>73</v>
      </c>
      <c r="R357" s="55" t="s">
        <v>73</v>
      </c>
      <c r="S357" s="48" t="s">
        <v>73</v>
      </c>
      <c r="T357" s="121" t="str" cm="1">
        <f t="array" ref="T357">IF(ISNUMBER(SEARCH("SCHNEIDER",D357)),_xlfn.IFS(ISNUMBER(SEARCH("2 Querétaro",D357)),"SQ2",ISNUMBER(SEARCH("Xicohténcatl",D357)),"SXC",ISNUMBER(SEARCH("Rojo Gómez",D357)),"SRG",ISNUMBER(SEARCH("Tlaxcala",D357)),"STX",ISNUMBER(SEARCH("Monterrey",D357)),"SMY",ISNUMBER(SEARCH("Querétaro",D357)),"SQ1",ISNUMBER(SEARCH("CDMX",D357)),"SCM",TRUE,""),"")</f>
        <v/>
      </c>
      <c r="U357" s="48" t="str" cm="1">
        <f t="array" ref="U357">_xlfn.LET(_xlpm.resultados,_xlfn.UNIQUE(_xlfn._xlws.FILTER(Tabla1[Proceso],(Tabla1[Metal Base]=O357)*(Tabla1[Etiquetas]=_xlfn.TEXTJOIN(" + ",TRUE,IF((TRIM(Upload!P357:S357)="")+(LOWER(TRIM(Upload!P357:S357))="(seleccione)"),"",PROPER(TRIM(Upload!P357:S357)))))*(Tabla1[Línea2]=IFERROR(VLOOKUP(Upload!N357&amp;"*",CAT_Procesos!D:D,1,FALSE),"")))),_xlpm.cantidad,ROWS(_xlpm.resultados),IF(ISERROR(_xlpm.cantidad),"Combinación no existente",IF(_xlpm.cantidad=1,INDEX(_xlpm.resultados,1),"(seleccione)")))</f>
        <v>Combinación no existente</v>
      </c>
      <c r="V357" s="55" t="s">
        <v>73</v>
      </c>
      <c r="W357" s="56" t="s">
        <v>73</v>
      </c>
      <c r="X357" s="57" t="str">
        <f t="shared" si="20"/>
        <v/>
      </c>
      <c r="Y357" s="58" t="s">
        <v>73</v>
      </c>
      <c r="Z357" s="57" t="str">
        <f t="shared" si="21"/>
        <v/>
      </c>
      <c r="AA357" s="58" t="s">
        <v>73</v>
      </c>
      <c r="AB357" s="57" t="str">
        <f t="shared" si="22"/>
        <v/>
      </c>
      <c r="AC357" s="58" t="s">
        <v>73</v>
      </c>
      <c r="AD357" s="57" t="str">
        <f t="shared" si="23"/>
        <v/>
      </c>
      <c r="AE357" s="59"/>
      <c r="AF357" s="59"/>
      <c r="AG357" s="59"/>
      <c r="AH357" s="59"/>
      <c r="AI357" s="59" t="s">
        <v>73</v>
      </c>
      <c r="AJ357" s="59"/>
      <c r="AK357" s="59" t="s">
        <v>73</v>
      </c>
      <c r="AL357" s="59"/>
      <c r="AM357" s="59" t="s">
        <v>73</v>
      </c>
      <c r="AN357" s="59"/>
      <c r="AO357" s="59" t="s">
        <v>73</v>
      </c>
      <c r="AP357" s="59"/>
      <c r="AQ357" s="59" t="s">
        <v>73</v>
      </c>
      <c r="AR357" s="59"/>
      <c r="AS357" s="59" t="s">
        <v>72</v>
      </c>
      <c r="AT357" s="59"/>
      <c r="AU357" s="59"/>
      <c r="AV357" s="59"/>
      <c r="AW357" s="59"/>
      <c r="AX357" s="59"/>
      <c r="AY357" s="60" t="str">
        <f>IF('Cálculo MP'!K367="","",'Cálculo MP'!K367)</f>
        <v/>
      </c>
      <c r="AZ357" s="60" t="str">
        <f>IF('Cálculo MP'!L367="","",'Cálculo MP'!L367)</f>
        <v/>
      </c>
      <c r="BA357" s="60" t="str">
        <f>IF('Cálculo MP'!M367="","",'Cálculo MP'!M367)</f>
        <v/>
      </c>
      <c r="BB357" s="60" t="str">
        <f>IF('Cálculo MP'!N367="","",'Cálculo MP'!N367)</f>
        <v/>
      </c>
      <c r="BC357" s="60" t="str">
        <f>IF('Cálculo MP'!O367="","",'Cálculo MP'!O367)</f>
        <v/>
      </c>
      <c r="BD357" s="60" t="str">
        <f>IF('Cálculo MP'!P367="","",'Cálculo MP'!P367)</f>
        <v/>
      </c>
      <c r="BE357" s="60" t="str">
        <f>IF('Cálculo MP'!Q367="","",'Cálculo MP'!Q367)</f>
        <v/>
      </c>
      <c r="BF357" s="60" t="str">
        <f>IF('Cálculo MP'!R367="","",'Cálculo MP'!R367)</f>
        <v/>
      </c>
      <c r="BG357" s="60" t="str">
        <f>IF('Cálculo MP'!S367="","",'Cálculo MP'!S367)</f>
        <v/>
      </c>
      <c r="BH357" s="59"/>
      <c r="BI357" s="59"/>
      <c r="BJ357" s="59"/>
      <c r="BK357" s="59"/>
      <c r="BL357" s="59"/>
      <c r="BM357" s="59"/>
      <c r="BN357" s="59"/>
      <c r="BO357" s="59"/>
    </row>
    <row r="358" spans="1:67" ht="19.5" customHeight="1" x14ac:dyDescent="0.2">
      <c r="A358" s="114" t="s">
        <v>1789</v>
      </c>
      <c r="B358" s="113" t="s">
        <v>1787</v>
      </c>
      <c r="C358" s="122"/>
      <c r="D358" s="48" t="s">
        <v>73</v>
      </c>
      <c r="E358" s="49"/>
      <c r="F358" s="50"/>
      <c r="G358" s="62"/>
      <c r="H358" s="48" t="s">
        <v>72</v>
      </c>
      <c r="I358" s="52">
        <v>1</v>
      </c>
      <c r="J358" s="52"/>
      <c r="K358" s="52" t="s">
        <v>73</v>
      </c>
      <c r="L358" s="52" t="s">
        <v>74</v>
      </c>
      <c r="M358" s="53" t="s">
        <v>917</v>
      </c>
      <c r="N358" s="58" t="s">
        <v>73</v>
      </c>
      <c r="O358" s="48" t="s">
        <v>72</v>
      </c>
      <c r="P358" s="48" t="s">
        <v>73</v>
      </c>
      <c r="Q358" s="54" t="s">
        <v>73</v>
      </c>
      <c r="R358" s="55" t="s">
        <v>73</v>
      </c>
      <c r="S358" s="48" t="s">
        <v>73</v>
      </c>
      <c r="T358" s="121" t="str" cm="1">
        <f t="array" ref="T358">IF(ISNUMBER(SEARCH("SCHNEIDER",D358)),_xlfn.IFS(ISNUMBER(SEARCH("2 Querétaro",D358)),"SQ2",ISNUMBER(SEARCH("Xicohténcatl",D358)),"SXC",ISNUMBER(SEARCH("Rojo Gómez",D358)),"SRG",ISNUMBER(SEARCH("Tlaxcala",D358)),"STX",ISNUMBER(SEARCH("Monterrey",D358)),"SMY",ISNUMBER(SEARCH("Querétaro",D358)),"SQ1",ISNUMBER(SEARCH("CDMX",D358)),"SCM",TRUE,""),"")</f>
        <v/>
      </c>
      <c r="U358" s="48" t="str" cm="1">
        <f t="array" ref="U358">_xlfn.LET(_xlpm.resultados,_xlfn.UNIQUE(_xlfn._xlws.FILTER(Tabla1[Proceso],(Tabla1[Metal Base]=O358)*(Tabla1[Etiquetas]=_xlfn.TEXTJOIN(" + ",TRUE,IF((TRIM(Upload!P358:S358)="")+(LOWER(TRIM(Upload!P358:S358))="(seleccione)"),"",PROPER(TRIM(Upload!P358:S358)))))*(Tabla1[Línea2]=IFERROR(VLOOKUP(Upload!N358&amp;"*",CAT_Procesos!D:D,1,FALSE),"")))),_xlpm.cantidad,ROWS(_xlpm.resultados),IF(ISERROR(_xlpm.cantidad),"Combinación no existente",IF(_xlpm.cantidad=1,INDEX(_xlpm.resultados,1),"(seleccione)")))</f>
        <v>Combinación no existente</v>
      </c>
      <c r="V358" s="55" t="s">
        <v>73</v>
      </c>
      <c r="W358" s="56" t="s">
        <v>73</v>
      </c>
      <c r="X358" s="57" t="str">
        <f t="shared" si="20"/>
        <v/>
      </c>
      <c r="Y358" s="58" t="s">
        <v>73</v>
      </c>
      <c r="Z358" s="57" t="str">
        <f t="shared" si="21"/>
        <v/>
      </c>
      <c r="AA358" s="58" t="s">
        <v>73</v>
      </c>
      <c r="AB358" s="57" t="str">
        <f t="shared" si="22"/>
        <v/>
      </c>
      <c r="AC358" s="58" t="s">
        <v>73</v>
      </c>
      <c r="AD358" s="57" t="str">
        <f t="shared" si="23"/>
        <v/>
      </c>
      <c r="AE358" s="59"/>
      <c r="AF358" s="59"/>
      <c r="AG358" s="59"/>
      <c r="AH358" s="59"/>
      <c r="AI358" s="59" t="s">
        <v>73</v>
      </c>
      <c r="AJ358" s="59"/>
      <c r="AK358" s="59" t="s">
        <v>73</v>
      </c>
      <c r="AL358" s="59"/>
      <c r="AM358" s="59" t="s">
        <v>73</v>
      </c>
      <c r="AN358" s="59"/>
      <c r="AO358" s="59" t="s">
        <v>73</v>
      </c>
      <c r="AP358" s="59"/>
      <c r="AQ358" s="59" t="s">
        <v>73</v>
      </c>
      <c r="AR358" s="59"/>
      <c r="AS358" s="59" t="s">
        <v>72</v>
      </c>
      <c r="AT358" s="59"/>
      <c r="AU358" s="59"/>
      <c r="AV358" s="59"/>
      <c r="AW358" s="59"/>
      <c r="AX358" s="59"/>
      <c r="AY358" s="60" t="str">
        <f>IF('Cálculo MP'!K368="","",'Cálculo MP'!K368)</f>
        <v/>
      </c>
      <c r="AZ358" s="60" t="str">
        <f>IF('Cálculo MP'!L368="","",'Cálculo MP'!L368)</f>
        <v/>
      </c>
      <c r="BA358" s="60" t="str">
        <f>IF('Cálculo MP'!M368="","",'Cálculo MP'!M368)</f>
        <v/>
      </c>
      <c r="BB358" s="60" t="str">
        <f>IF('Cálculo MP'!N368="","",'Cálculo MP'!N368)</f>
        <v/>
      </c>
      <c r="BC358" s="60" t="str">
        <f>IF('Cálculo MP'!O368="","",'Cálculo MP'!O368)</f>
        <v/>
      </c>
      <c r="BD358" s="60" t="str">
        <f>IF('Cálculo MP'!P368="","",'Cálculo MP'!P368)</f>
        <v/>
      </c>
      <c r="BE358" s="60" t="str">
        <f>IF('Cálculo MP'!Q368="","",'Cálculo MP'!Q368)</f>
        <v/>
      </c>
      <c r="BF358" s="60" t="str">
        <f>IF('Cálculo MP'!R368="","",'Cálculo MP'!R368)</f>
        <v/>
      </c>
      <c r="BG358" s="60" t="str">
        <f>IF('Cálculo MP'!S368="","",'Cálculo MP'!S368)</f>
        <v/>
      </c>
      <c r="BH358" s="59"/>
      <c r="BI358" s="59"/>
      <c r="BJ358" s="59"/>
      <c r="BK358" s="59"/>
      <c r="BL358" s="59"/>
      <c r="BM358" s="59"/>
      <c r="BN358" s="59"/>
      <c r="BO358" s="59"/>
    </row>
    <row r="359" spans="1:67" ht="19.5" customHeight="1" x14ac:dyDescent="0.2">
      <c r="A359" s="114" t="s">
        <v>1789</v>
      </c>
      <c r="B359" s="113" t="s">
        <v>1787</v>
      </c>
      <c r="C359" s="122"/>
      <c r="D359" s="48" t="s">
        <v>73</v>
      </c>
      <c r="E359" s="49"/>
      <c r="F359" s="50"/>
      <c r="G359" s="62"/>
      <c r="H359" s="48" t="s">
        <v>72</v>
      </c>
      <c r="I359" s="52">
        <v>1</v>
      </c>
      <c r="J359" s="52"/>
      <c r="K359" s="52" t="s">
        <v>73</v>
      </c>
      <c r="L359" s="52" t="s">
        <v>74</v>
      </c>
      <c r="M359" s="53" t="s">
        <v>917</v>
      </c>
      <c r="N359" s="58" t="s">
        <v>73</v>
      </c>
      <c r="O359" s="48" t="s">
        <v>72</v>
      </c>
      <c r="P359" s="48" t="s">
        <v>73</v>
      </c>
      <c r="Q359" s="54" t="s">
        <v>73</v>
      </c>
      <c r="R359" s="55" t="s">
        <v>73</v>
      </c>
      <c r="S359" s="48" t="s">
        <v>73</v>
      </c>
      <c r="T359" s="121" t="str" cm="1">
        <f t="array" ref="T359">IF(ISNUMBER(SEARCH("SCHNEIDER",D359)),_xlfn.IFS(ISNUMBER(SEARCH("2 Querétaro",D359)),"SQ2",ISNUMBER(SEARCH("Xicohténcatl",D359)),"SXC",ISNUMBER(SEARCH("Rojo Gómez",D359)),"SRG",ISNUMBER(SEARCH("Tlaxcala",D359)),"STX",ISNUMBER(SEARCH("Monterrey",D359)),"SMY",ISNUMBER(SEARCH("Querétaro",D359)),"SQ1",ISNUMBER(SEARCH("CDMX",D359)),"SCM",TRUE,""),"")</f>
        <v/>
      </c>
      <c r="U359" s="48" t="str" cm="1">
        <f t="array" ref="U359">_xlfn.LET(_xlpm.resultados,_xlfn.UNIQUE(_xlfn._xlws.FILTER(Tabla1[Proceso],(Tabla1[Metal Base]=O359)*(Tabla1[Etiquetas]=_xlfn.TEXTJOIN(" + ",TRUE,IF((TRIM(Upload!P359:S359)="")+(LOWER(TRIM(Upload!P359:S359))="(seleccione)"),"",PROPER(TRIM(Upload!P359:S359)))))*(Tabla1[Línea2]=IFERROR(VLOOKUP(Upload!N359&amp;"*",CAT_Procesos!D:D,1,FALSE),"")))),_xlpm.cantidad,ROWS(_xlpm.resultados),IF(ISERROR(_xlpm.cantidad),"Combinación no existente",IF(_xlpm.cantidad=1,INDEX(_xlpm.resultados,1),"(seleccione)")))</f>
        <v>Combinación no existente</v>
      </c>
      <c r="V359" s="55" t="s">
        <v>73</v>
      </c>
      <c r="W359" s="56" t="s">
        <v>73</v>
      </c>
      <c r="X359" s="57" t="str">
        <f t="shared" si="20"/>
        <v/>
      </c>
      <c r="Y359" s="58" t="s">
        <v>73</v>
      </c>
      <c r="Z359" s="57" t="str">
        <f t="shared" si="21"/>
        <v/>
      </c>
      <c r="AA359" s="58" t="s">
        <v>73</v>
      </c>
      <c r="AB359" s="57" t="str">
        <f t="shared" si="22"/>
        <v/>
      </c>
      <c r="AC359" s="58" t="s">
        <v>73</v>
      </c>
      <c r="AD359" s="57" t="str">
        <f t="shared" si="23"/>
        <v/>
      </c>
      <c r="AE359" s="59"/>
      <c r="AF359" s="59"/>
      <c r="AG359" s="59"/>
      <c r="AH359" s="59"/>
      <c r="AI359" s="59" t="s">
        <v>73</v>
      </c>
      <c r="AJ359" s="59"/>
      <c r="AK359" s="59" t="s">
        <v>73</v>
      </c>
      <c r="AL359" s="59"/>
      <c r="AM359" s="59" t="s">
        <v>73</v>
      </c>
      <c r="AN359" s="59"/>
      <c r="AO359" s="59" t="s">
        <v>73</v>
      </c>
      <c r="AP359" s="59"/>
      <c r="AQ359" s="59" t="s">
        <v>73</v>
      </c>
      <c r="AR359" s="59"/>
      <c r="AS359" s="59" t="s">
        <v>72</v>
      </c>
      <c r="AT359" s="59"/>
      <c r="AU359" s="59"/>
      <c r="AV359" s="59"/>
      <c r="AW359" s="59"/>
      <c r="AX359" s="59"/>
      <c r="AY359" s="60" t="str">
        <f>IF('Cálculo MP'!K369="","",'Cálculo MP'!K369)</f>
        <v/>
      </c>
      <c r="AZ359" s="60" t="str">
        <f>IF('Cálculo MP'!L369="","",'Cálculo MP'!L369)</f>
        <v/>
      </c>
      <c r="BA359" s="60" t="str">
        <f>IF('Cálculo MP'!M369="","",'Cálculo MP'!M369)</f>
        <v/>
      </c>
      <c r="BB359" s="60" t="str">
        <f>IF('Cálculo MP'!N369="","",'Cálculo MP'!N369)</f>
        <v/>
      </c>
      <c r="BC359" s="60" t="str">
        <f>IF('Cálculo MP'!O369="","",'Cálculo MP'!O369)</f>
        <v/>
      </c>
      <c r="BD359" s="60" t="str">
        <f>IF('Cálculo MP'!P369="","",'Cálculo MP'!P369)</f>
        <v/>
      </c>
      <c r="BE359" s="60" t="str">
        <f>IF('Cálculo MP'!Q369="","",'Cálculo MP'!Q369)</f>
        <v/>
      </c>
      <c r="BF359" s="60" t="str">
        <f>IF('Cálculo MP'!R369="","",'Cálculo MP'!R369)</f>
        <v/>
      </c>
      <c r="BG359" s="60" t="str">
        <f>IF('Cálculo MP'!S369="","",'Cálculo MP'!S369)</f>
        <v/>
      </c>
      <c r="BH359" s="59"/>
      <c r="BI359" s="59"/>
      <c r="BJ359" s="59"/>
      <c r="BK359" s="59"/>
      <c r="BL359" s="59"/>
      <c r="BM359" s="59"/>
      <c r="BN359" s="59"/>
      <c r="BO359" s="59"/>
    </row>
    <row r="360" spans="1:67" ht="19.5" customHeight="1" x14ac:dyDescent="0.2">
      <c r="A360" s="114" t="s">
        <v>1789</v>
      </c>
      <c r="B360" s="113" t="s">
        <v>1787</v>
      </c>
      <c r="C360" s="122"/>
      <c r="D360" s="48" t="s">
        <v>73</v>
      </c>
      <c r="E360" s="49"/>
      <c r="F360" s="50"/>
      <c r="G360" s="62"/>
      <c r="H360" s="48" t="s">
        <v>72</v>
      </c>
      <c r="I360" s="52">
        <v>1</v>
      </c>
      <c r="J360" s="52"/>
      <c r="K360" s="52" t="s">
        <v>73</v>
      </c>
      <c r="L360" s="52" t="s">
        <v>74</v>
      </c>
      <c r="M360" s="53" t="s">
        <v>917</v>
      </c>
      <c r="N360" s="58" t="s">
        <v>73</v>
      </c>
      <c r="O360" s="48" t="s">
        <v>72</v>
      </c>
      <c r="P360" s="48" t="s">
        <v>73</v>
      </c>
      <c r="Q360" s="54" t="s">
        <v>73</v>
      </c>
      <c r="R360" s="55" t="s">
        <v>73</v>
      </c>
      <c r="S360" s="48" t="s">
        <v>73</v>
      </c>
      <c r="T360" s="121" t="str" cm="1">
        <f t="array" ref="T360">IF(ISNUMBER(SEARCH("SCHNEIDER",D360)),_xlfn.IFS(ISNUMBER(SEARCH("2 Querétaro",D360)),"SQ2",ISNUMBER(SEARCH("Xicohténcatl",D360)),"SXC",ISNUMBER(SEARCH("Rojo Gómez",D360)),"SRG",ISNUMBER(SEARCH("Tlaxcala",D360)),"STX",ISNUMBER(SEARCH("Monterrey",D360)),"SMY",ISNUMBER(SEARCH("Querétaro",D360)),"SQ1",ISNUMBER(SEARCH("CDMX",D360)),"SCM",TRUE,""),"")</f>
        <v/>
      </c>
      <c r="U360" s="48" t="str" cm="1">
        <f t="array" ref="U360">_xlfn.LET(_xlpm.resultados,_xlfn.UNIQUE(_xlfn._xlws.FILTER(Tabla1[Proceso],(Tabla1[Metal Base]=O360)*(Tabla1[Etiquetas]=_xlfn.TEXTJOIN(" + ",TRUE,IF((TRIM(Upload!P360:S360)="")+(LOWER(TRIM(Upload!P360:S360))="(seleccione)"),"",PROPER(TRIM(Upload!P360:S360)))))*(Tabla1[Línea2]=IFERROR(VLOOKUP(Upload!N360&amp;"*",CAT_Procesos!D:D,1,FALSE),"")))),_xlpm.cantidad,ROWS(_xlpm.resultados),IF(ISERROR(_xlpm.cantidad),"Combinación no existente",IF(_xlpm.cantidad=1,INDEX(_xlpm.resultados,1),"(seleccione)")))</f>
        <v>Combinación no existente</v>
      </c>
      <c r="V360" s="55" t="s">
        <v>73</v>
      </c>
      <c r="W360" s="56" t="s">
        <v>73</v>
      </c>
      <c r="X360" s="57" t="str">
        <f t="shared" si="20"/>
        <v/>
      </c>
      <c r="Y360" s="58" t="s">
        <v>73</v>
      </c>
      <c r="Z360" s="57" t="str">
        <f t="shared" si="21"/>
        <v/>
      </c>
      <c r="AA360" s="58" t="s">
        <v>73</v>
      </c>
      <c r="AB360" s="57" t="str">
        <f t="shared" si="22"/>
        <v/>
      </c>
      <c r="AC360" s="58" t="s">
        <v>73</v>
      </c>
      <c r="AD360" s="57" t="str">
        <f t="shared" si="23"/>
        <v/>
      </c>
      <c r="AE360" s="59"/>
      <c r="AF360" s="59"/>
      <c r="AG360" s="59"/>
      <c r="AH360" s="59"/>
      <c r="AI360" s="59" t="s">
        <v>73</v>
      </c>
      <c r="AJ360" s="59"/>
      <c r="AK360" s="59" t="s">
        <v>73</v>
      </c>
      <c r="AL360" s="59"/>
      <c r="AM360" s="59" t="s">
        <v>73</v>
      </c>
      <c r="AN360" s="59"/>
      <c r="AO360" s="59" t="s">
        <v>73</v>
      </c>
      <c r="AP360" s="59"/>
      <c r="AQ360" s="59" t="s">
        <v>73</v>
      </c>
      <c r="AR360" s="59"/>
      <c r="AS360" s="59" t="s">
        <v>72</v>
      </c>
      <c r="AT360" s="59"/>
      <c r="AU360" s="59"/>
      <c r="AV360" s="59"/>
      <c r="AW360" s="59"/>
      <c r="AX360" s="59"/>
      <c r="AY360" s="60" t="str">
        <f>IF('Cálculo MP'!K370="","",'Cálculo MP'!K370)</f>
        <v/>
      </c>
      <c r="AZ360" s="60" t="str">
        <f>IF('Cálculo MP'!L370="","",'Cálculo MP'!L370)</f>
        <v/>
      </c>
      <c r="BA360" s="60" t="str">
        <f>IF('Cálculo MP'!M370="","",'Cálculo MP'!M370)</f>
        <v/>
      </c>
      <c r="BB360" s="60" t="str">
        <f>IF('Cálculo MP'!N370="","",'Cálculo MP'!N370)</f>
        <v/>
      </c>
      <c r="BC360" s="60" t="str">
        <f>IF('Cálculo MP'!O370="","",'Cálculo MP'!O370)</f>
        <v/>
      </c>
      <c r="BD360" s="60" t="str">
        <f>IF('Cálculo MP'!P370="","",'Cálculo MP'!P370)</f>
        <v/>
      </c>
      <c r="BE360" s="60" t="str">
        <f>IF('Cálculo MP'!Q370="","",'Cálculo MP'!Q370)</f>
        <v/>
      </c>
      <c r="BF360" s="60" t="str">
        <f>IF('Cálculo MP'!R370="","",'Cálculo MP'!R370)</f>
        <v/>
      </c>
      <c r="BG360" s="60" t="str">
        <f>IF('Cálculo MP'!S370="","",'Cálculo MP'!S370)</f>
        <v/>
      </c>
      <c r="BH360" s="59"/>
      <c r="BI360" s="59"/>
      <c r="BJ360" s="59"/>
      <c r="BK360" s="59"/>
      <c r="BL360" s="59"/>
      <c r="BM360" s="59"/>
      <c r="BN360" s="59"/>
      <c r="BO360" s="59"/>
    </row>
    <row r="361" spans="1:67" ht="19.5" customHeight="1" x14ac:dyDescent="0.2">
      <c r="A361" s="114" t="s">
        <v>1789</v>
      </c>
      <c r="B361" s="113" t="s">
        <v>1787</v>
      </c>
      <c r="C361" s="122"/>
      <c r="D361" s="48" t="s">
        <v>73</v>
      </c>
      <c r="E361" s="49"/>
      <c r="F361" s="50"/>
      <c r="G361" s="62"/>
      <c r="H361" s="48" t="s">
        <v>72</v>
      </c>
      <c r="I361" s="52">
        <v>1</v>
      </c>
      <c r="J361" s="52"/>
      <c r="K361" s="52" t="s">
        <v>73</v>
      </c>
      <c r="L361" s="52" t="s">
        <v>74</v>
      </c>
      <c r="M361" s="53" t="s">
        <v>917</v>
      </c>
      <c r="N361" s="58" t="s">
        <v>73</v>
      </c>
      <c r="O361" s="48" t="s">
        <v>72</v>
      </c>
      <c r="P361" s="48" t="s">
        <v>73</v>
      </c>
      <c r="Q361" s="54" t="s">
        <v>73</v>
      </c>
      <c r="R361" s="55" t="s">
        <v>73</v>
      </c>
      <c r="S361" s="48" t="s">
        <v>73</v>
      </c>
      <c r="T361" s="121" t="str" cm="1">
        <f t="array" ref="T361">IF(ISNUMBER(SEARCH("SCHNEIDER",D361)),_xlfn.IFS(ISNUMBER(SEARCH("2 Querétaro",D361)),"SQ2",ISNUMBER(SEARCH("Xicohténcatl",D361)),"SXC",ISNUMBER(SEARCH("Rojo Gómez",D361)),"SRG",ISNUMBER(SEARCH("Tlaxcala",D361)),"STX",ISNUMBER(SEARCH("Monterrey",D361)),"SMY",ISNUMBER(SEARCH("Querétaro",D361)),"SQ1",ISNUMBER(SEARCH("CDMX",D361)),"SCM",TRUE,""),"")</f>
        <v/>
      </c>
      <c r="U361" s="48" t="str" cm="1">
        <f t="array" ref="U361">_xlfn.LET(_xlpm.resultados,_xlfn.UNIQUE(_xlfn._xlws.FILTER(Tabla1[Proceso],(Tabla1[Metal Base]=O361)*(Tabla1[Etiquetas]=_xlfn.TEXTJOIN(" + ",TRUE,IF((TRIM(Upload!P361:S361)="")+(LOWER(TRIM(Upload!P361:S361))="(seleccione)"),"",PROPER(TRIM(Upload!P361:S361)))))*(Tabla1[Línea2]=IFERROR(VLOOKUP(Upload!N361&amp;"*",CAT_Procesos!D:D,1,FALSE),"")))),_xlpm.cantidad,ROWS(_xlpm.resultados),IF(ISERROR(_xlpm.cantidad),"Combinación no existente",IF(_xlpm.cantidad=1,INDEX(_xlpm.resultados,1),"(seleccione)")))</f>
        <v>Combinación no existente</v>
      </c>
      <c r="V361" s="55" t="s">
        <v>73</v>
      </c>
      <c r="W361" s="56" t="s">
        <v>73</v>
      </c>
      <c r="X361" s="57" t="str">
        <f t="shared" si="20"/>
        <v/>
      </c>
      <c r="Y361" s="58" t="s">
        <v>73</v>
      </c>
      <c r="Z361" s="57" t="str">
        <f t="shared" si="21"/>
        <v/>
      </c>
      <c r="AA361" s="58" t="s">
        <v>73</v>
      </c>
      <c r="AB361" s="57" t="str">
        <f t="shared" si="22"/>
        <v/>
      </c>
      <c r="AC361" s="58" t="s">
        <v>73</v>
      </c>
      <c r="AD361" s="57" t="str">
        <f t="shared" si="23"/>
        <v/>
      </c>
      <c r="AE361" s="59"/>
      <c r="AF361" s="59"/>
      <c r="AG361" s="59"/>
      <c r="AH361" s="59"/>
      <c r="AI361" s="59" t="s">
        <v>73</v>
      </c>
      <c r="AJ361" s="59"/>
      <c r="AK361" s="59" t="s">
        <v>73</v>
      </c>
      <c r="AL361" s="59"/>
      <c r="AM361" s="59" t="s">
        <v>73</v>
      </c>
      <c r="AN361" s="59"/>
      <c r="AO361" s="59" t="s">
        <v>73</v>
      </c>
      <c r="AP361" s="59"/>
      <c r="AQ361" s="59" t="s">
        <v>73</v>
      </c>
      <c r="AR361" s="59"/>
      <c r="AS361" s="59" t="s">
        <v>72</v>
      </c>
      <c r="AT361" s="59"/>
      <c r="AU361" s="59"/>
      <c r="AV361" s="59"/>
      <c r="AW361" s="59"/>
      <c r="AX361" s="59"/>
      <c r="AY361" s="60" t="str">
        <f>IF('Cálculo MP'!K371="","",'Cálculo MP'!K371)</f>
        <v/>
      </c>
      <c r="AZ361" s="60" t="str">
        <f>IF('Cálculo MP'!L371="","",'Cálculo MP'!L371)</f>
        <v/>
      </c>
      <c r="BA361" s="60" t="str">
        <f>IF('Cálculo MP'!M371="","",'Cálculo MP'!M371)</f>
        <v/>
      </c>
      <c r="BB361" s="60" t="str">
        <f>IF('Cálculo MP'!N371="","",'Cálculo MP'!N371)</f>
        <v/>
      </c>
      <c r="BC361" s="60" t="str">
        <f>IF('Cálculo MP'!O371="","",'Cálculo MP'!O371)</f>
        <v/>
      </c>
      <c r="BD361" s="60" t="str">
        <f>IF('Cálculo MP'!P371="","",'Cálculo MP'!P371)</f>
        <v/>
      </c>
      <c r="BE361" s="60" t="str">
        <f>IF('Cálculo MP'!Q371="","",'Cálculo MP'!Q371)</f>
        <v/>
      </c>
      <c r="BF361" s="60" t="str">
        <f>IF('Cálculo MP'!R371="","",'Cálculo MP'!R371)</f>
        <v/>
      </c>
      <c r="BG361" s="60" t="str">
        <f>IF('Cálculo MP'!S371="","",'Cálculo MP'!S371)</f>
        <v/>
      </c>
      <c r="BH361" s="59"/>
      <c r="BI361" s="59"/>
      <c r="BJ361" s="59"/>
      <c r="BK361" s="59"/>
      <c r="BL361" s="59"/>
      <c r="BM361" s="59"/>
      <c r="BN361" s="59"/>
      <c r="BO361" s="59"/>
    </row>
    <row r="362" spans="1:67" ht="19.5" customHeight="1" x14ac:dyDescent="0.2">
      <c r="A362" s="114" t="s">
        <v>1789</v>
      </c>
      <c r="B362" s="113" t="s">
        <v>1787</v>
      </c>
      <c r="C362" s="122"/>
      <c r="D362" s="48" t="s">
        <v>73</v>
      </c>
      <c r="E362" s="49"/>
      <c r="F362" s="50"/>
      <c r="G362" s="62"/>
      <c r="H362" s="48" t="s">
        <v>72</v>
      </c>
      <c r="I362" s="52">
        <v>1</v>
      </c>
      <c r="J362" s="52"/>
      <c r="K362" s="52" t="s">
        <v>73</v>
      </c>
      <c r="L362" s="52" t="s">
        <v>74</v>
      </c>
      <c r="M362" s="53" t="s">
        <v>917</v>
      </c>
      <c r="N362" s="58" t="s">
        <v>73</v>
      </c>
      <c r="O362" s="48" t="s">
        <v>72</v>
      </c>
      <c r="P362" s="48" t="s">
        <v>73</v>
      </c>
      <c r="Q362" s="54" t="s">
        <v>73</v>
      </c>
      <c r="R362" s="55" t="s">
        <v>73</v>
      </c>
      <c r="S362" s="48" t="s">
        <v>73</v>
      </c>
      <c r="T362" s="121" t="str" cm="1">
        <f t="array" ref="T362">IF(ISNUMBER(SEARCH("SCHNEIDER",D362)),_xlfn.IFS(ISNUMBER(SEARCH("2 Querétaro",D362)),"SQ2",ISNUMBER(SEARCH("Xicohténcatl",D362)),"SXC",ISNUMBER(SEARCH("Rojo Gómez",D362)),"SRG",ISNUMBER(SEARCH("Tlaxcala",D362)),"STX",ISNUMBER(SEARCH("Monterrey",D362)),"SMY",ISNUMBER(SEARCH("Querétaro",D362)),"SQ1",ISNUMBER(SEARCH("CDMX",D362)),"SCM",TRUE,""),"")</f>
        <v/>
      </c>
      <c r="U362" s="48" t="str" cm="1">
        <f t="array" ref="U362">_xlfn.LET(_xlpm.resultados,_xlfn.UNIQUE(_xlfn._xlws.FILTER(Tabla1[Proceso],(Tabla1[Metal Base]=O362)*(Tabla1[Etiquetas]=_xlfn.TEXTJOIN(" + ",TRUE,IF((TRIM(Upload!P362:S362)="")+(LOWER(TRIM(Upload!P362:S362))="(seleccione)"),"",PROPER(TRIM(Upload!P362:S362)))))*(Tabla1[Línea2]=IFERROR(VLOOKUP(Upload!N362&amp;"*",CAT_Procesos!D:D,1,FALSE),"")))),_xlpm.cantidad,ROWS(_xlpm.resultados),IF(ISERROR(_xlpm.cantidad),"Combinación no existente",IF(_xlpm.cantidad=1,INDEX(_xlpm.resultados,1),"(seleccione)")))</f>
        <v>Combinación no existente</v>
      </c>
      <c r="V362" s="55" t="s">
        <v>73</v>
      </c>
      <c r="W362" s="56" t="s">
        <v>73</v>
      </c>
      <c r="X362" s="57" t="str">
        <f t="shared" si="20"/>
        <v/>
      </c>
      <c r="Y362" s="58" t="s">
        <v>73</v>
      </c>
      <c r="Z362" s="57" t="str">
        <f t="shared" si="21"/>
        <v/>
      </c>
      <c r="AA362" s="58" t="s">
        <v>73</v>
      </c>
      <c r="AB362" s="57" t="str">
        <f t="shared" si="22"/>
        <v/>
      </c>
      <c r="AC362" s="58" t="s">
        <v>73</v>
      </c>
      <c r="AD362" s="57" t="str">
        <f t="shared" si="23"/>
        <v/>
      </c>
      <c r="AE362" s="59"/>
      <c r="AF362" s="59"/>
      <c r="AG362" s="59"/>
      <c r="AH362" s="59"/>
      <c r="AI362" s="59" t="s">
        <v>73</v>
      </c>
      <c r="AJ362" s="59"/>
      <c r="AK362" s="59" t="s">
        <v>73</v>
      </c>
      <c r="AL362" s="59"/>
      <c r="AM362" s="59" t="s">
        <v>73</v>
      </c>
      <c r="AN362" s="59"/>
      <c r="AO362" s="59" t="s">
        <v>73</v>
      </c>
      <c r="AP362" s="59"/>
      <c r="AQ362" s="59" t="s">
        <v>73</v>
      </c>
      <c r="AR362" s="59"/>
      <c r="AS362" s="59" t="s">
        <v>72</v>
      </c>
      <c r="AT362" s="59"/>
      <c r="AU362" s="59"/>
      <c r="AV362" s="59"/>
      <c r="AW362" s="59"/>
      <c r="AX362" s="59"/>
      <c r="AY362" s="60" t="str">
        <f>IF('Cálculo MP'!K372="","",'Cálculo MP'!K372)</f>
        <v/>
      </c>
      <c r="AZ362" s="60" t="str">
        <f>IF('Cálculo MP'!L372="","",'Cálculo MP'!L372)</f>
        <v/>
      </c>
      <c r="BA362" s="60" t="str">
        <f>IF('Cálculo MP'!M372="","",'Cálculo MP'!M372)</f>
        <v/>
      </c>
      <c r="BB362" s="60" t="str">
        <f>IF('Cálculo MP'!N372="","",'Cálculo MP'!N372)</f>
        <v/>
      </c>
      <c r="BC362" s="60" t="str">
        <f>IF('Cálculo MP'!O372="","",'Cálculo MP'!O372)</f>
        <v/>
      </c>
      <c r="BD362" s="60" t="str">
        <f>IF('Cálculo MP'!P372="","",'Cálculo MP'!P372)</f>
        <v/>
      </c>
      <c r="BE362" s="60" t="str">
        <f>IF('Cálculo MP'!Q372="","",'Cálculo MP'!Q372)</f>
        <v/>
      </c>
      <c r="BF362" s="60" t="str">
        <f>IF('Cálculo MP'!R372="","",'Cálculo MP'!R372)</f>
        <v/>
      </c>
      <c r="BG362" s="60" t="str">
        <f>IF('Cálculo MP'!S372="","",'Cálculo MP'!S372)</f>
        <v/>
      </c>
      <c r="BH362" s="59"/>
      <c r="BI362" s="59"/>
      <c r="BJ362" s="59"/>
      <c r="BK362" s="59"/>
      <c r="BL362" s="59"/>
      <c r="BM362" s="59"/>
      <c r="BN362" s="59"/>
      <c r="BO362" s="59"/>
    </row>
    <row r="363" spans="1:67" ht="19.5" customHeight="1" x14ac:dyDescent="0.2">
      <c r="A363" s="114" t="s">
        <v>1789</v>
      </c>
      <c r="B363" s="113" t="s">
        <v>1787</v>
      </c>
      <c r="C363" s="122"/>
      <c r="D363" s="48" t="s">
        <v>73</v>
      </c>
      <c r="E363" s="49"/>
      <c r="F363" s="50"/>
      <c r="G363" s="62"/>
      <c r="H363" s="48" t="s">
        <v>72</v>
      </c>
      <c r="I363" s="52">
        <v>1</v>
      </c>
      <c r="J363" s="52"/>
      <c r="K363" s="52" t="s">
        <v>73</v>
      </c>
      <c r="L363" s="52" t="s">
        <v>74</v>
      </c>
      <c r="M363" s="53" t="s">
        <v>917</v>
      </c>
      <c r="N363" s="58" t="s">
        <v>73</v>
      </c>
      <c r="O363" s="48" t="s">
        <v>72</v>
      </c>
      <c r="P363" s="48" t="s">
        <v>73</v>
      </c>
      <c r="Q363" s="54" t="s">
        <v>73</v>
      </c>
      <c r="R363" s="55" t="s">
        <v>73</v>
      </c>
      <c r="S363" s="48" t="s">
        <v>73</v>
      </c>
      <c r="T363" s="121" t="str" cm="1">
        <f t="array" ref="T363">IF(ISNUMBER(SEARCH("SCHNEIDER",D363)),_xlfn.IFS(ISNUMBER(SEARCH("2 Querétaro",D363)),"SQ2",ISNUMBER(SEARCH("Xicohténcatl",D363)),"SXC",ISNUMBER(SEARCH("Rojo Gómez",D363)),"SRG",ISNUMBER(SEARCH("Tlaxcala",D363)),"STX",ISNUMBER(SEARCH("Monterrey",D363)),"SMY",ISNUMBER(SEARCH("Querétaro",D363)),"SQ1",ISNUMBER(SEARCH("CDMX",D363)),"SCM",TRUE,""),"")</f>
        <v/>
      </c>
      <c r="U363" s="48" t="str" cm="1">
        <f t="array" ref="U363">_xlfn.LET(_xlpm.resultados,_xlfn.UNIQUE(_xlfn._xlws.FILTER(Tabla1[Proceso],(Tabla1[Metal Base]=O363)*(Tabla1[Etiquetas]=_xlfn.TEXTJOIN(" + ",TRUE,IF((TRIM(Upload!P363:S363)="")+(LOWER(TRIM(Upload!P363:S363))="(seleccione)"),"",PROPER(TRIM(Upload!P363:S363)))))*(Tabla1[Línea2]=IFERROR(VLOOKUP(Upload!N363&amp;"*",CAT_Procesos!D:D,1,FALSE),"")))),_xlpm.cantidad,ROWS(_xlpm.resultados),IF(ISERROR(_xlpm.cantidad),"Combinación no existente",IF(_xlpm.cantidad=1,INDEX(_xlpm.resultados,1),"(seleccione)")))</f>
        <v>Combinación no existente</v>
      </c>
      <c r="V363" s="55" t="s">
        <v>73</v>
      </c>
      <c r="W363" s="56" t="s">
        <v>73</v>
      </c>
      <c r="X363" s="57" t="str">
        <f t="shared" si="20"/>
        <v/>
      </c>
      <c r="Y363" s="58" t="s">
        <v>73</v>
      </c>
      <c r="Z363" s="57" t="str">
        <f t="shared" si="21"/>
        <v/>
      </c>
      <c r="AA363" s="58" t="s">
        <v>73</v>
      </c>
      <c r="AB363" s="57" t="str">
        <f t="shared" si="22"/>
        <v/>
      </c>
      <c r="AC363" s="58" t="s">
        <v>73</v>
      </c>
      <c r="AD363" s="57" t="str">
        <f t="shared" si="23"/>
        <v/>
      </c>
      <c r="AE363" s="59"/>
      <c r="AF363" s="59"/>
      <c r="AG363" s="59"/>
      <c r="AH363" s="59"/>
      <c r="AI363" s="59" t="s">
        <v>73</v>
      </c>
      <c r="AJ363" s="59"/>
      <c r="AK363" s="59" t="s">
        <v>73</v>
      </c>
      <c r="AL363" s="59"/>
      <c r="AM363" s="59" t="s">
        <v>73</v>
      </c>
      <c r="AN363" s="59"/>
      <c r="AO363" s="59" t="s">
        <v>73</v>
      </c>
      <c r="AP363" s="59"/>
      <c r="AQ363" s="59" t="s">
        <v>73</v>
      </c>
      <c r="AR363" s="59"/>
      <c r="AS363" s="59" t="s">
        <v>72</v>
      </c>
      <c r="AT363" s="59"/>
      <c r="AU363" s="59"/>
      <c r="AV363" s="59"/>
      <c r="AW363" s="59"/>
      <c r="AX363" s="59"/>
      <c r="AY363" s="60" t="str">
        <f>IF('Cálculo MP'!K373="","",'Cálculo MP'!K373)</f>
        <v/>
      </c>
      <c r="AZ363" s="60" t="str">
        <f>IF('Cálculo MP'!L373="","",'Cálculo MP'!L373)</f>
        <v/>
      </c>
      <c r="BA363" s="60" t="str">
        <f>IF('Cálculo MP'!M373="","",'Cálculo MP'!M373)</f>
        <v/>
      </c>
      <c r="BB363" s="60" t="str">
        <f>IF('Cálculo MP'!N373="","",'Cálculo MP'!N373)</f>
        <v/>
      </c>
      <c r="BC363" s="60" t="str">
        <f>IF('Cálculo MP'!O373="","",'Cálculo MP'!O373)</f>
        <v/>
      </c>
      <c r="BD363" s="60" t="str">
        <f>IF('Cálculo MP'!P373="","",'Cálculo MP'!P373)</f>
        <v/>
      </c>
      <c r="BE363" s="60" t="str">
        <f>IF('Cálculo MP'!Q373="","",'Cálculo MP'!Q373)</f>
        <v/>
      </c>
      <c r="BF363" s="60" t="str">
        <f>IF('Cálculo MP'!R373="","",'Cálculo MP'!R373)</f>
        <v/>
      </c>
      <c r="BG363" s="60" t="str">
        <f>IF('Cálculo MP'!S373="","",'Cálculo MP'!S373)</f>
        <v/>
      </c>
      <c r="BH363" s="59"/>
      <c r="BI363" s="59"/>
      <c r="BJ363" s="59"/>
      <c r="BK363" s="59"/>
      <c r="BL363" s="59"/>
      <c r="BM363" s="59"/>
      <c r="BN363" s="59"/>
      <c r="BO363" s="59"/>
    </row>
    <row r="364" spans="1:67" ht="19.5" customHeight="1" x14ac:dyDescent="0.2">
      <c r="A364" s="114" t="s">
        <v>1789</v>
      </c>
      <c r="B364" s="113" t="s">
        <v>1787</v>
      </c>
      <c r="C364" s="122"/>
      <c r="D364" s="48" t="s">
        <v>73</v>
      </c>
      <c r="E364" s="49"/>
      <c r="F364" s="50"/>
      <c r="G364" s="62"/>
      <c r="H364" s="48" t="s">
        <v>72</v>
      </c>
      <c r="I364" s="52">
        <v>1</v>
      </c>
      <c r="J364" s="52"/>
      <c r="K364" s="52" t="s">
        <v>73</v>
      </c>
      <c r="L364" s="52" t="s">
        <v>74</v>
      </c>
      <c r="M364" s="53" t="s">
        <v>917</v>
      </c>
      <c r="N364" s="58" t="s">
        <v>73</v>
      </c>
      <c r="O364" s="48" t="s">
        <v>72</v>
      </c>
      <c r="P364" s="48" t="s">
        <v>73</v>
      </c>
      <c r="Q364" s="54" t="s">
        <v>73</v>
      </c>
      <c r="R364" s="55" t="s">
        <v>73</v>
      </c>
      <c r="S364" s="48" t="s">
        <v>73</v>
      </c>
      <c r="T364" s="121" t="str" cm="1">
        <f t="array" ref="T364">IF(ISNUMBER(SEARCH("SCHNEIDER",D364)),_xlfn.IFS(ISNUMBER(SEARCH("2 Querétaro",D364)),"SQ2",ISNUMBER(SEARCH("Xicohténcatl",D364)),"SXC",ISNUMBER(SEARCH("Rojo Gómez",D364)),"SRG",ISNUMBER(SEARCH("Tlaxcala",D364)),"STX",ISNUMBER(SEARCH("Monterrey",D364)),"SMY",ISNUMBER(SEARCH("Querétaro",D364)),"SQ1",ISNUMBER(SEARCH("CDMX",D364)),"SCM",TRUE,""),"")</f>
        <v/>
      </c>
      <c r="U364" s="48" t="str" cm="1">
        <f t="array" ref="U364">_xlfn.LET(_xlpm.resultados,_xlfn.UNIQUE(_xlfn._xlws.FILTER(Tabla1[Proceso],(Tabla1[Metal Base]=O364)*(Tabla1[Etiquetas]=_xlfn.TEXTJOIN(" + ",TRUE,IF((TRIM(Upload!P364:S364)="")+(LOWER(TRIM(Upload!P364:S364))="(seleccione)"),"",PROPER(TRIM(Upload!P364:S364)))))*(Tabla1[Línea2]=IFERROR(VLOOKUP(Upload!N364&amp;"*",CAT_Procesos!D:D,1,FALSE),"")))),_xlpm.cantidad,ROWS(_xlpm.resultados),IF(ISERROR(_xlpm.cantidad),"Combinación no existente",IF(_xlpm.cantidad=1,INDEX(_xlpm.resultados,1),"(seleccione)")))</f>
        <v>Combinación no existente</v>
      </c>
      <c r="V364" s="55" t="s">
        <v>73</v>
      </c>
      <c r="W364" s="56" t="s">
        <v>73</v>
      </c>
      <c r="X364" s="57" t="str">
        <f t="shared" si="20"/>
        <v/>
      </c>
      <c r="Y364" s="58" t="s">
        <v>73</v>
      </c>
      <c r="Z364" s="57" t="str">
        <f t="shared" si="21"/>
        <v/>
      </c>
      <c r="AA364" s="58" t="s">
        <v>73</v>
      </c>
      <c r="AB364" s="57" t="str">
        <f t="shared" si="22"/>
        <v/>
      </c>
      <c r="AC364" s="58" t="s">
        <v>73</v>
      </c>
      <c r="AD364" s="57" t="str">
        <f t="shared" si="23"/>
        <v/>
      </c>
      <c r="AE364" s="59"/>
      <c r="AF364" s="59"/>
      <c r="AG364" s="59"/>
      <c r="AH364" s="59"/>
      <c r="AI364" s="59" t="s">
        <v>73</v>
      </c>
      <c r="AJ364" s="59"/>
      <c r="AK364" s="59" t="s">
        <v>73</v>
      </c>
      <c r="AL364" s="59"/>
      <c r="AM364" s="59" t="s">
        <v>73</v>
      </c>
      <c r="AN364" s="59"/>
      <c r="AO364" s="59" t="s">
        <v>73</v>
      </c>
      <c r="AP364" s="59"/>
      <c r="AQ364" s="59" t="s">
        <v>73</v>
      </c>
      <c r="AR364" s="59"/>
      <c r="AS364" s="59" t="s">
        <v>72</v>
      </c>
      <c r="AT364" s="59"/>
      <c r="AU364" s="59"/>
      <c r="AV364" s="59"/>
      <c r="AW364" s="59"/>
      <c r="AX364" s="59"/>
      <c r="AY364" s="60" t="str">
        <f>IF('Cálculo MP'!K374="","",'Cálculo MP'!K374)</f>
        <v/>
      </c>
      <c r="AZ364" s="60" t="str">
        <f>IF('Cálculo MP'!L374="","",'Cálculo MP'!L374)</f>
        <v/>
      </c>
      <c r="BA364" s="60" t="str">
        <f>IF('Cálculo MP'!M374="","",'Cálculo MP'!M374)</f>
        <v/>
      </c>
      <c r="BB364" s="60" t="str">
        <f>IF('Cálculo MP'!N374="","",'Cálculo MP'!N374)</f>
        <v/>
      </c>
      <c r="BC364" s="60" t="str">
        <f>IF('Cálculo MP'!O374="","",'Cálculo MP'!O374)</f>
        <v/>
      </c>
      <c r="BD364" s="60" t="str">
        <f>IF('Cálculo MP'!P374="","",'Cálculo MP'!P374)</f>
        <v/>
      </c>
      <c r="BE364" s="60" t="str">
        <f>IF('Cálculo MP'!Q374="","",'Cálculo MP'!Q374)</f>
        <v/>
      </c>
      <c r="BF364" s="60" t="str">
        <f>IF('Cálculo MP'!R374="","",'Cálculo MP'!R374)</f>
        <v/>
      </c>
      <c r="BG364" s="60" t="str">
        <f>IF('Cálculo MP'!S374="","",'Cálculo MP'!S374)</f>
        <v/>
      </c>
      <c r="BH364" s="59"/>
      <c r="BI364" s="59"/>
      <c r="BJ364" s="59"/>
      <c r="BK364" s="59"/>
      <c r="BL364" s="59"/>
      <c r="BM364" s="59"/>
      <c r="BN364" s="59"/>
      <c r="BO364" s="59"/>
    </row>
    <row r="365" spans="1:67" ht="19.5" customHeight="1" x14ac:dyDescent="0.2">
      <c r="A365" s="114" t="s">
        <v>1789</v>
      </c>
      <c r="B365" s="113" t="s">
        <v>1787</v>
      </c>
      <c r="C365" s="122"/>
      <c r="D365" s="48" t="s">
        <v>73</v>
      </c>
      <c r="E365" s="49"/>
      <c r="F365" s="50"/>
      <c r="G365" s="62"/>
      <c r="H365" s="48" t="s">
        <v>72</v>
      </c>
      <c r="I365" s="52">
        <v>1</v>
      </c>
      <c r="J365" s="52"/>
      <c r="K365" s="52" t="s">
        <v>73</v>
      </c>
      <c r="L365" s="52" t="s">
        <v>74</v>
      </c>
      <c r="M365" s="53" t="s">
        <v>917</v>
      </c>
      <c r="N365" s="58" t="s">
        <v>73</v>
      </c>
      <c r="O365" s="48" t="s">
        <v>72</v>
      </c>
      <c r="P365" s="48" t="s">
        <v>73</v>
      </c>
      <c r="Q365" s="54" t="s">
        <v>73</v>
      </c>
      <c r="R365" s="55" t="s">
        <v>73</v>
      </c>
      <c r="S365" s="48" t="s">
        <v>73</v>
      </c>
      <c r="T365" s="121" t="str" cm="1">
        <f t="array" ref="T365">IF(ISNUMBER(SEARCH("SCHNEIDER",D365)),_xlfn.IFS(ISNUMBER(SEARCH("2 Querétaro",D365)),"SQ2",ISNUMBER(SEARCH("Xicohténcatl",D365)),"SXC",ISNUMBER(SEARCH("Rojo Gómez",D365)),"SRG",ISNUMBER(SEARCH("Tlaxcala",D365)),"STX",ISNUMBER(SEARCH("Monterrey",D365)),"SMY",ISNUMBER(SEARCH("Querétaro",D365)),"SQ1",ISNUMBER(SEARCH("CDMX",D365)),"SCM",TRUE,""),"")</f>
        <v/>
      </c>
      <c r="U365" s="48" t="str" cm="1">
        <f t="array" ref="U365">_xlfn.LET(_xlpm.resultados,_xlfn.UNIQUE(_xlfn._xlws.FILTER(Tabla1[Proceso],(Tabla1[Metal Base]=O365)*(Tabla1[Etiquetas]=_xlfn.TEXTJOIN(" + ",TRUE,IF((TRIM(Upload!P365:S365)="")+(LOWER(TRIM(Upload!P365:S365))="(seleccione)"),"",PROPER(TRIM(Upload!P365:S365)))))*(Tabla1[Línea2]=IFERROR(VLOOKUP(Upload!N365&amp;"*",CAT_Procesos!D:D,1,FALSE),"")))),_xlpm.cantidad,ROWS(_xlpm.resultados),IF(ISERROR(_xlpm.cantidad),"Combinación no existente",IF(_xlpm.cantidad=1,INDEX(_xlpm.resultados,1),"(seleccione)")))</f>
        <v>Combinación no existente</v>
      </c>
      <c r="V365" s="55" t="s">
        <v>73</v>
      </c>
      <c r="W365" s="56" t="s">
        <v>73</v>
      </c>
      <c r="X365" s="57" t="str">
        <f t="shared" si="20"/>
        <v/>
      </c>
      <c r="Y365" s="58" t="s">
        <v>73</v>
      </c>
      <c r="Z365" s="57" t="str">
        <f t="shared" si="21"/>
        <v/>
      </c>
      <c r="AA365" s="58" t="s">
        <v>73</v>
      </c>
      <c r="AB365" s="57" t="str">
        <f t="shared" si="22"/>
        <v/>
      </c>
      <c r="AC365" s="58" t="s">
        <v>73</v>
      </c>
      <c r="AD365" s="57" t="str">
        <f t="shared" si="23"/>
        <v/>
      </c>
      <c r="AE365" s="59"/>
      <c r="AF365" s="59"/>
      <c r="AG365" s="59"/>
      <c r="AH365" s="59"/>
      <c r="AI365" s="59" t="s">
        <v>73</v>
      </c>
      <c r="AJ365" s="59"/>
      <c r="AK365" s="59" t="s">
        <v>73</v>
      </c>
      <c r="AL365" s="59"/>
      <c r="AM365" s="59" t="s">
        <v>73</v>
      </c>
      <c r="AN365" s="59"/>
      <c r="AO365" s="59" t="s">
        <v>73</v>
      </c>
      <c r="AP365" s="59"/>
      <c r="AQ365" s="59" t="s">
        <v>73</v>
      </c>
      <c r="AR365" s="59"/>
      <c r="AS365" s="59" t="s">
        <v>72</v>
      </c>
      <c r="AT365" s="59"/>
      <c r="AU365" s="59"/>
      <c r="AV365" s="59"/>
      <c r="AW365" s="59"/>
      <c r="AX365" s="59"/>
      <c r="AY365" s="60" t="str">
        <f>IF('Cálculo MP'!K375="","",'Cálculo MP'!K375)</f>
        <v/>
      </c>
      <c r="AZ365" s="60" t="str">
        <f>IF('Cálculo MP'!L375="","",'Cálculo MP'!L375)</f>
        <v/>
      </c>
      <c r="BA365" s="60" t="str">
        <f>IF('Cálculo MP'!M375="","",'Cálculo MP'!M375)</f>
        <v/>
      </c>
      <c r="BB365" s="60" t="str">
        <f>IF('Cálculo MP'!N375="","",'Cálculo MP'!N375)</f>
        <v/>
      </c>
      <c r="BC365" s="60" t="str">
        <f>IF('Cálculo MP'!O375="","",'Cálculo MP'!O375)</f>
        <v/>
      </c>
      <c r="BD365" s="60" t="str">
        <f>IF('Cálculo MP'!P375="","",'Cálculo MP'!P375)</f>
        <v/>
      </c>
      <c r="BE365" s="60" t="str">
        <f>IF('Cálculo MP'!Q375="","",'Cálculo MP'!Q375)</f>
        <v/>
      </c>
      <c r="BF365" s="60" t="str">
        <f>IF('Cálculo MP'!R375="","",'Cálculo MP'!R375)</f>
        <v/>
      </c>
      <c r="BG365" s="60" t="str">
        <f>IF('Cálculo MP'!S375="","",'Cálculo MP'!S375)</f>
        <v/>
      </c>
      <c r="BH365" s="59"/>
      <c r="BI365" s="59"/>
      <c r="BJ365" s="59"/>
      <c r="BK365" s="59"/>
      <c r="BL365" s="59"/>
      <c r="BM365" s="59"/>
      <c r="BN365" s="59"/>
      <c r="BO365" s="59"/>
    </row>
    <row r="366" spans="1:67" ht="19.5" customHeight="1" x14ac:dyDescent="0.2">
      <c r="A366" s="114" t="s">
        <v>1789</v>
      </c>
      <c r="B366" s="113" t="s">
        <v>1787</v>
      </c>
      <c r="C366" s="122"/>
      <c r="D366" s="48" t="s">
        <v>73</v>
      </c>
      <c r="E366" s="49"/>
      <c r="F366" s="50"/>
      <c r="G366" s="62"/>
      <c r="H366" s="48" t="s">
        <v>72</v>
      </c>
      <c r="I366" s="52">
        <v>1</v>
      </c>
      <c r="J366" s="52"/>
      <c r="K366" s="52" t="s">
        <v>73</v>
      </c>
      <c r="L366" s="52" t="s">
        <v>74</v>
      </c>
      <c r="M366" s="53" t="s">
        <v>917</v>
      </c>
      <c r="N366" s="58" t="s">
        <v>73</v>
      </c>
      <c r="O366" s="48" t="s">
        <v>72</v>
      </c>
      <c r="P366" s="48" t="s">
        <v>73</v>
      </c>
      <c r="Q366" s="54" t="s">
        <v>73</v>
      </c>
      <c r="R366" s="55" t="s">
        <v>73</v>
      </c>
      <c r="S366" s="48" t="s">
        <v>73</v>
      </c>
      <c r="T366" s="121" t="str" cm="1">
        <f t="array" ref="T366">IF(ISNUMBER(SEARCH("SCHNEIDER",D366)),_xlfn.IFS(ISNUMBER(SEARCH("2 Querétaro",D366)),"SQ2",ISNUMBER(SEARCH("Xicohténcatl",D366)),"SXC",ISNUMBER(SEARCH("Rojo Gómez",D366)),"SRG",ISNUMBER(SEARCH("Tlaxcala",D366)),"STX",ISNUMBER(SEARCH("Monterrey",D366)),"SMY",ISNUMBER(SEARCH("Querétaro",D366)),"SQ1",ISNUMBER(SEARCH("CDMX",D366)),"SCM",TRUE,""),"")</f>
        <v/>
      </c>
      <c r="U366" s="48" t="str" cm="1">
        <f t="array" ref="U366">_xlfn.LET(_xlpm.resultados,_xlfn.UNIQUE(_xlfn._xlws.FILTER(Tabla1[Proceso],(Tabla1[Metal Base]=O366)*(Tabla1[Etiquetas]=_xlfn.TEXTJOIN(" + ",TRUE,IF((TRIM(Upload!P366:S366)="")+(LOWER(TRIM(Upload!P366:S366))="(seleccione)"),"",PROPER(TRIM(Upload!P366:S366)))))*(Tabla1[Línea2]=IFERROR(VLOOKUP(Upload!N366&amp;"*",CAT_Procesos!D:D,1,FALSE),"")))),_xlpm.cantidad,ROWS(_xlpm.resultados),IF(ISERROR(_xlpm.cantidad),"Combinación no existente",IF(_xlpm.cantidad=1,INDEX(_xlpm.resultados,1),"(seleccione)")))</f>
        <v>Combinación no existente</v>
      </c>
      <c r="V366" s="55" t="s">
        <v>73</v>
      </c>
      <c r="W366" s="56" t="s">
        <v>73</v>
      </c>
      <c r="X366" s="57" t="str">
        <f t="shared" si="20"/>
        <v/>
      </c>
      <c r="Y366" s="58" t="s">
        <v>73</v>
      </c>
      <c r="Z366" s="57" t="str">
        <f t="shared" si="21"/>
        <v/>
      </c>
      <c r="AA366" s="58" t="s">
        <v>73</v>
      </c>
      <c r="AB366" s="57" t="str">
        <f t="shared" si="22"/>
        <v/>
      </c>
      <c r="AC366" s="58" t="s">
        <v>73</v>
      </c>
      <c r="AD366" s="57" t="str">
        <f t="shared" si="23"/>
        <v/>
      </c>
      <c r="AE366" s="59"/>
      <c r="AF366" s="59"/>
      <c r="AG366" s="59"/>
      <c r="AH366" s="59"/>
      <c r="AI366" s="59" t="s">
        <v>73</v>
      </c>
      <c r="AJ366" s="59"/>
      <c r="AK366" s="59" t="s">
        <v>73</v>
      </c>
      <c r="AL366" s="59"/>
      <c r="AM366" s="59" t="s">
        <v>73</v>
      </c>
      <c r="AN366" s="59"/>
      <c r="AO366" s="59" t="s">
        <v>73</v>
      </c>
      <c r="AP366" s="59"/>
      <c r="AQ366" s="59" t="s">
        <v>73</v>
      </c>
      <c r="AR366" s="59"/>
      <c r="AS366" s="59" t="s">
        <v>72</v>
      </c>
      <c r="AT366" s="59"/>
      <c r="AU366" s="59"/>
      <c r="AV366" s="59"/>
      <c r="AW366" s="59"/>
      <c r="AX366" s="59"/>
      <c r="AY366" s="60" t="str">
        <f>IF('Cálculo MP'!K376="","",'Cálculo MP'!K376)</f>
        <v/>
      </c>
      <c r="AZ366" s="60" t="str">
        <f>IF('Cálculo MP'!L376="","",'Cálculo MP'!L376)</f>
        <v/>
      </c>
      <c r="BA366" s="60" t="str">
        <f>IF('Cálculo MP'!M376="","",'Cálculo MP'!M376)</f>
        <v/>
      </c>
      <c r="BB366" s="60" t="str">
        <f>IF('Cálculo MP'!N376="","",'Cálculo MP'!N376)</f>
        <v/>
      </c>
      <c r="BC366" s="60" t="str">
        <f>IF('Cálculo MP'!O376="","",'Cálculo MP'!O376)</f>
        <v/>
      </c>
      <c r="BD366" s="60" t="str">
        <f>IF('Cálculo MP'!P376="","",'Cálculo MP'!P376)</f>
        <v/>
      </c>
      <c r="BE366" s="60" t="str">
        <f>IF('Cálculo MP'!Q376="","",'Cálculo MP'!Q376)</f>
        <v/>
      </c>
      <c r="BF366" s="60" t="str">
        <f>IF('Cálculo MP'!R376="","",'Cálculo MP'!R376)</f>
        <v/>
      </c>
      <c r="BG366" s="60" t="str">
        <f>IF('Cálculo MP'!S376="","",'Cálculo MP'!S376)</f>
        <v/>
      </c>
      <c r="BH366" s="59"/>
      <c r="BI366" s="59"/>
      <c r="BJ366" s="59"/>
      <c r="BK366" s="59"/>
      <c r="BL366" s="59"/>
      <c r="BM366" s="59"/>
      <c r="BN366" s="59"/>
      <c r="BO366" s="59"/>
    </row>
    <row r="367" spans="1:67" ht="19.5" customHeight="1" x14ac:dyDescent="0.2">
      <c r="A367" s="114" t="s">
        <v>1789</v>
      </c>
      <c r="B367" s="113" t="s">
        <v>1787</v>
      </c>
      <c r="C367" s="122"/>
      <c r="D367" s="48" t="s">
        <v>73</v>
      </c>
      <c r="E367" s="49"/>
      <c r="F367" s="50"/>
      <c r="G367" s="62"/>
      <c r="H367" s="48" t="s">
        <v>72</v>
      </c>
      <c r="I367" s="52">
        <v>1</v>
      </c>
      <c r="J367" s="52"/>
      <c r="K367" s="52" t="s">
        <v>73</v>
      </c>
      <c r="L367" s="52" t="s">
        <v>74</v>
      </c>
      <c r="M367" s="53" t="s">
        <v>917</v>
      </c>
      <c r="N367" s="58" t="s">
        <v>73</v>
      </c>
      <c r="O367" s="48" t="s">
        <v>72</v>
      </c>
      <c r="P367" s="48" t="s">
        <v>73</v>
      </c>
      <c r="Q367" s="54" t="s">
        <v>73</v>
      </c>
      <c r="R367" s="55" t="s">
        <v>73</v>
      </c>
      <c r="S367" s="48" t="s">
        <v>73</v>
      </c>
      <c r="T367" s="121" t="str" cm="1">
        <f t="array" ref="T367">IF(ISNUMBER(SEARCH("SCHNEIDER",D367)),_xlfn.IFS(ISNUMBER(SEARCH("2 Querétaro",D367)),"SQ2",ISNUMBER(SEARCH("Xicohténcatl",D367)),"SXC",ISNUMBER(SEARCH("Rojo Gómez",D367)),"SRG",ISNUMBER(SEARCH("Tlaxcala",D367)),"STX",ISNUMBER(SEARCH("Monterrey",D367)),"SMY",ISNUMBER(SEARCH("Querétaro",D367)),"SQ1",ISNUMBER(SEARCH("CDMX",D367)),"SCM",TRUE,""),"")</f>
        <v/>
      </c>
      <c r="U367" s="48" t="str" cm="1">
        <f t="array" ref="U367">_xlfn.LET(_xlpm.resultados,_xlfn.UNIQUE(_xlfn._xlws.FILTER(Tabla1[Proceso],(Tabla1[Metal Base]=O367)*(Tabla1[Etiquetas]=_xlfn.TEXTJOIN(" + ",TRUE,IF((TRIM(Upload!P367:S367)="")+(LOWER(TRIM(Upload!P367:S367))="(seleccione)"),"",PROPER(TRIM(Upload!P367:S367)))))*(Tabla1[Línea2]=IFERROR(VLOOKUP(Upload!N367&amp;"*",CAT_Procesos!D:D,1,FALSE),"")))),_xlpm.cantidad,ROWS(_xlpm.resultados),IF(ISERROR(_xlpm.cantidad),"Combinación no existente",IF(_xlpm.cantidad=1,INDEX(_xlpm.resultados,1),"(seleccione)")))</f>
        <v>Combinación no existente</v>
      </c>
      <c r="V367" s="55" t="s">
        <v>73</v>
      </c>
      <c r="W367" s="56" t="s">
        <v>73</v>
      </c>
      <c r="X367" s="57" t="str">
        <f t="shared" si="20"/>
        <v/>
      </c>
      <c r="Y367" s="58" t="s">
        <v>73</v>
      </c>
      <c r="Z367" s="57" t="str">
        <f t="shared" si="21"/>
        <v/>
      </c>
      <c r="AA367" s="58" t="s">
        <v>73</v>
      </c>
      <c r="AB367" s="57" t="str">
        <f t="shared" si="22"/>
        <v/>
      </c>
      <c r="AC367" s="58" t="s">
        <v>73</v>
      </c>
      <c r="AD367" s="57" t="str">
        <f t="shared" si="23"/>
        <v/>
      </c>
      <c r="AE367" s="59"/>
      <c r="AF367" s="59"/>
      <c r="AG367" s="59"/>
      <c r="AH367" s="59"/>
      <c r="AI367" s="59" t="s">
        <v>73</v>
      </c>
      <c r="AJ367" s="59"/>
      <c r="AK367" s="59" t="s">
        <v>73</v>
      </c>
      <c r="AL367" s="59"/>
      <c r="AM367" s="59" t="s">
        <v>73</v>
      </c>
      <c r="AN367" s="59"/>
      <c r="AO367" s="59" t="s">
        <v>73</v>
      </c>
      <c r="AP367" s="59"/>
      <c r="AQ367" s="59" t="s">
        <v>73</v>
      </c>
      <c r="AR367" s="59"/>
      <c r="AS367" s="59" t="s">
        <v>72</v>
      </c>
      <c r="AT367" s="59"/>
      <c r="AU367" s="59"/>
      <c r="AV367" s="59"/>
      <c r="AW367" s="59"/>
      <c r="AX367" s="59"/>
      <c r="AY367" s="60" t="str">
        <f>IF('Cálculo MP'!K377="","",'Cálculo MP'!K377)</f>
        <v/>
      </c>
      <c r="AZ367" s="60" t="str">
        <f>IF('Cálculo MP'!L377="","",'Cálculo MP'!L377)</f>
        <v/>
      </c>
      <c r="BA367" s="60" t="str">
        <f>IF('Cálculo MP'!M377="","",'Cálculo MP'!M377)</f>
        <v/>
      </c>
      <c r="BB367" s="60" t="str">
        <f>IF('Cálculo MP'!N377="","",'Cálculo MP'!N377)</f>
        <v/>
      </c>
      <c r="BC367" s="60" t="str">
        <f>IF('Cálculo MP'!O377="","",'Cálculo MP'!O377)</f>
        <v/>
      </c>
      <c r="BD367" s="60" t="str">
        <f>IF('Cálculo MP'!P377="","",'Cálculo MP'!P377)</f>
        <v/>
      </c>
      <c r="BE367" s="60" t="str">
        <f>IF('Cálculo MP'!Q377="","",'Cálculo MP'!Q377)</f>
        <v/>
      </c>
      <c r="BF367" s="60" t="str">
        <f>IF('Cálculo MP'!R377="","",'Cálculo MP'!R377)</f>
        <v/>
      </c>
      <c r="BG367" s="60" t="str">
        <f>IF('Cálculo MP'!S377="","",'Cálculo MP'!S377)</f>
        <v/>
      </c>
      <c r="BH367" s="59"/>
      <c r="BI367" s="59"/>
      <c r="BJ367" s="59"/>
      <c r="BK367" s="59"/>
      <c r="BL367" s="59"/>
      <c r="BM367" s="59"/>
      <c r="BN367" s="59"/>
      <c r="BO367" s="59"/>
    </row>
    <row r="368" spans="1:67" ht="19.5" customHeight="1" x14ac:dyDescent="0.2">
      <c r="A368" s="114" t="s">
        <v>1789</v>
      </c>
      <c r="B368" s="113" t="s">
        <v>1787</v>
      </c>
      <c r="C368" s="122"/>
      <c r="D368" s="48" t="s">
        <v>73</v>
      </c>
      <c r="E368" s="49"/>
      <c r="F368" s="50"/>
      <c r="G368" s="62"/>
      <c r="H368" s="48" t="s">
        <v>72</v>
      </c>
      <c r="I368" s="52">
        <v>1</v>
      </c>
      <c r="J368" s="52"/>
      <c r="K368" s="52" t="s">
        <v>73</v>
      </c>
      <c r="L368" s="52" t="s">
        <v>74</v>
      </c>
      <c r="M368" s="53" t="s">
        <v>917</v>
      </c>
      <c r="N368" s="58" t="s">
        <v>73</v>
      </c>
      <c r="O368" s="48" t="s">
        <v>72</v>
      </c>
      <c r="P368" s="48" t="s">
        <v>73</v>
      </c>
      <c r="Q368" s="54" t="s">
        <v>73</v>
      </c>
      <c r="R368" s="55" t="s">
        <v>73</v>
      </c>
      <c r="S368" s="48" t="s">
        <v>73</v>
      </c>
      <c r="T368" s="121" t="str" cm="1">
        <f t="array" ref="T368">IF(ISNUMBER(SEARCH("SCHNEIDER",D368)),_xlfn.IFS(ISNUMBER(SEARCH("2 Querétaro",D368)),"SQ2",ISNUMBER(SEARCH("Xicohténcatl",D368)),"SXC",ISNUMBER(SEARCH("Rojo Gómez",D368)),"SRG",ISNUMBER(SEARCH("Tlaxcala",D368)),"STX",ISNUMBER(SEARCH("Monterrey",D368)),"SMY",ISNUMBER(SEARCH("Querétaro",D368)),"SQ1",ISNUMBER(SEARCH("CDMX",D368)),"SCM",TRUE,""),"")</f>
        <v/>
      </c>
      <c r="U368" s="48" t="str" cm="1">
        <f t="array" ref="U368">_xlfn.LET(_xlpm.resultados,_xlfn.UNIQUE(_xlfn._xlws.FILTER(Tabla1[Proceso],(Tabla1[Metal Base]=O368)*(Tabla1[Etiquetas]=_xlfn.TEXTJOIN(" + ",TRUE,IF((TRIM(Upload!P368:S368)="")+(LOWER(TRIM(Upload!P368:S368))="(seleccione)"),"",PROPER(TRIM(Upload!P368:S368)))))*(Tabla1[Línea2]=IFERROR(VLOOKUP(Upload!N368&amp;"*",CAT_Procesos!D:D,1,FALSE),"")))),_xlpm.cantidad,ROWS(_xlpm.resultados),IF(ISERROR(_xlpm.cantidad),"Combinación no existente",IF(_xlpm.cantidad=1,INDEX(_xlpm.resultados,1),"(seleccione)")))</f>
        <v>Combinación no existente</v>
      </c>
      <c r="V368" s="55" t="s">
        <v>73</v>
      </c>
      <c r="W368" s="56" t="s">
        <v>73</v>
      </c>
      <c r="X368" s="57" t="str">
        <f t="shared" si="20"/>
        <v/>
      </c>
      <c r="Y368" s="58" t="s">
        <v>73</v>
      </c>
      <c r="Z368" s="57" t="str">
        <f t="shared" si="21"/>
        <v/>
      </c>
      <c r="AA368" s="58" t="s">
        <v>73</v>
      </c>
      <c r="AB368" s="57" t="str">
        <f t="shared" si="22"/>
        <v/>
      </c>
      <c r="AC368" s="58" t="s">
        <v>73</v>
      </c>
      <c r="AD368" s="57" t="str">
        <f t="shared" si="23"/>
        <v/>
      </c>
      <c r="AE368" s="59"/>
      <c r="AF368" s="59"/>
      <c r="AG368" s="59"/>
      <c r="AH368" s="59"/>
      <c r="AI368" s="59" t="s">
        <v>73</v>
      </c>
      <c r="AJ368" s="59"/>
      <c r="AK368" s="59" t="s">
        <v>73</v>
      </c>
      <c r="AL368" s="59"/>
      <c r="AM368" s="59" t="s">
        <v>73</v>
      </c>
      <c r="AN368" s="59"/>
      <c r="AO368" s="59" t="s">
        <v>73</v>
      </c>
      <c r="AP368" s="59"/>
      <c r="AQ368" s="59" t="s">
        <v>73</v>
      </c>
      <c r="AR368" s="59"/>
      <c r="AS368" s="59" t="s">
        <v>72</v>
      </c>
      <c r="AT368" s="59"/>
      <c r="AU368" s="59"/>
      <c r="AV368" s="59"/>
      <c r="AW368" s="59"/>
      <c r="AX368" s="59"/>
      <c r="AY368" s="60" t="str">
        <f>IF('Cálculo MP'!K378="","",'Cálculo MP'!K378)</f>
        <v/>
      </c>
      <c r="AZ368" s="60" t="str">
        <f>IF('Cálculo MP'!L378="","",'Cálculo MP'!L378)</f>
        <v/>
      </c>
      <c r="BA368" s="60" t="str">
        <f>IF('Cálculo MP'!M378="","",'Cálculo MP'!M378)</f>
        <v/>
      </c>
      <c r="BB368" s="60" t="str">
        <f>IF('Cálculo MP'!N378="","",'Cálculo MP'!N378)</f>
        <v/>
      </c>
      <c r="BC368" s="60" t="str">
        <f>IF('Cálculo MP'!O378="","",'Cálculo MP'!O378)</f>
        <v/>
      </c>
      <c r="BD368" s="60" t="str">
        <f>IF('Cálculo MP'!P378="","",'Cálculo MP'!P378)</f>
        <v/>
      </c>
      <c r="BE368" s="60" t="str">
        <f>IF('Cálculo MP'!Q378="","",'Cálculo MP'!Q378)</f>
        <v/>
      </c>
      <c r="BF368" s="60" t="str">
        <f>IF('Cálculo MP'!R378="","",'Cálculo MP'!R378)</f>
        <v/>
      </c>
      <c r="BG368" s="60" t="str">
        <f>IF('Cálculo MP'!S378="","",'Cálculo MP'!S378)</f>
        <v/>
      </c>
      <c r="BH368" s="59"/>
      <c r="BI368" s="59"/>
      <c r="BJ368" s="59"/>
      <c r="BK368" s="59"/>
      <c r="BL368" s="59"/>
      <c r="BM368" s="59"/>
      <c r="BN368" s="59"/>
      <c r="BO368" s="59"/>
    </row>
    <row r="369" spans="1:67" ht="19.5" customHeight="1" x14ac:dyDescent="0.2">
      <c r="A369" s="114" t="s">
        <v>1789</v>
      </c>
      <c r="B369" s="113" t="s">
        <v>1787</v>
      </c>
      <c r="C369" s="122"/>
      <c r="D369" s="48" t="s">
        <v>73</v>
      </c>
      <c r="E369" s="49"/>
      <c r="F369" s="50"/>
      <c r="G369" s="62"/>
      <c r="H369" s="48" t="s">
        <v>72</v>
      </c>
      <c r="I369" s="52">
        <v>1</v>
      </c>
      <c r="J369" s="52"/>
      <c r="K369" s="52" t="s">
        <v>73</v>
      </c>
      <c r="L369" s="52" t="s">
        <v>74</v>
      </c>
      <c r="M369" s="53" t="s">
        <v>917</v>
      </c>
      <c r="N369" s="58" t="s">
        <v>73</v>
      </c>
      <c r="O369" s="48" t="s">
        <v>72</v>
      </c>
      <c r="P369" s="48" t="s">
        <v>73</v>
      </c>
      <c r="Q369" s="54" t="s">
        <v>73</v>
      </c>
      <c r="R369" s="55" t="s">
        <v>73</v>
      </c>
      <c r="S369" s="48" t="s">
        <v>73</v>
      </c>
      <c r="T369" s="121" t="str" cm="1">
        <f t="array" ref="T369">IF(ISNUMBER(SEARCH("SCHNEIDER",D369)),_xlfn.IFS(ISNUMBER(SEARCH("2 Querétaro",D369)),"SQ2",ISNUMBER(SEARCH("Xicohténcatl",D369)),"SXC",ISNUMBER(SEARCH("Rojo Gómez",D369)),"SRG",ISNUMBER(SEARCH("Tlaxcala",D369)),"STX",ISNUMBER(SEARCH("Monterrey",D369)),"SMY",ISNUMBER(SEARCH("Querétaro",D369)),"SQ1",ISNUMBER(SEARCH("CDMX",D369)),"SCM",TRUE,""),"")</f>
        <v/>
      </c>
      <c r="U369" s="48" t="str" cm="1">
        <f t="array" ref="U369">_xlfn.LET(_xlpm.resultados,_xlfn.UNIQUE(_xlfn._xlws.FILTER(Tabla1[Proceso],(Tabla1[Metal Base]=O369)*(Tabla1[Etiquetas]=_xlfn.TEXTJOIN(" + ",TRUE,IF((TRIM(Upload!P369:S369)="")+(LOWER(TRIM(Upload!P369:S369))="(seleccione)"),"",PROPER(TRIM(Upload!P369:S369)))))*(Tabla1[Línea2]=IFERROR(VLOOKUP(Upload!N369&amp;"*",CAT_Procesos!D:D,1,FALSE),"")))),_xlpm.cantidad,ROWS(_xlpm.resultados),IF(ISERROR(_xlpm.cantidad),"Combinación no existente",IF(_xlpm.cantidad=1,INDEX(_xlpm.resultados,1),"(seleccione)")))</f>
        <v>Combinación no existente</v>
      </c>
      <c r="V369" s="55" t="s">
        <v>73</v>
      </c>
      <c r="W369" s="56" t="s">
        <v>73</v>
      </c>
      <c r="X369" s="57" t="str">
        <f t="shared" si="20"/>
        <v/>
      </c>
      <c r="Y369" s="58" t="s">
        <v>73</v>
      </c>
      <c r="Z369" s="57" t="str">
        <f t="shared" si="21"/>
        <v/>
      </c>
      <c r="AA369" s="58" t="s">
        <v>73</v>
      </c>
      <c r="AB369" s="57" t="str">
        <f t="shared" si="22"/>
        <v/>
      </c>
      <c r="AC369" s="58" t="s">
        <v>73</v>
      </c>
      <c r="AD369" s="57" t="str">
        <f t="shared" si="23"/>
        <v/>
      </c>
      <c r="AE369" s="59"/>
      <c r="AF369" s="59"/>
      <c r="AG369" s="59"/>
      <c r="AH369" s="59"/>
      <c r="AI369" s="59" t="s">
        <v>73</v>
      </c>
      <c r="AJ369" s="59"/>
      <c r="AK369" s="59" t="s">
        <v>73</v>
      </c>
      <c r="AL369" s="59"/>
      <c r="AM369" s="59" t="s">
        <v>73</v>
      </c>
      <c r="AN369" s="59"/>
      <c r="AO369" s="59" t="s">
        <v>73</v>
      </c>
      <c r="AP369" s="59"/>
      <c r="AQ369" s="59" t="s">
        <v>73</v>
      </c>
      <c r="AR369" s="59"/>
      <c r="AS369" s="59" t="s">
        <v>72</v>
      </c>
      <c r="AT369" s="59"/>
      <c r="AU369" s="59"/>
      <c r="AV369" s="59"/>
      <c r="AW369" s="59"/>
      <c r="AX369" s="59"/>
      <c r="AY369" s="60" t="str">
        <f>IF('Cálculo MP'!K379="","",'Cálculo MP'!K379)</f>
        <v/>
      </c>
      <c r="AZ369" s="60" t="str">
        <f>IF('Cálculo MP'!L379="","",'Cálculo MP'!L379)</f>
        <v/>
      </c>
      <c r="BA369" s="60" t="str">
        <f>IF('Cálculo MP'!M379="","",'Cálculo MP'!M379)</f>
        <v/>
      </c>
      <c r="BB369" s="60" t="str">
        <f>IF('Cálculo MP'!N379="","",'Cálculo MP'!N379)</f>
        <v/>
      </c>
      <c r="BC369" s="60" t="str">
        <f>IF('Cálculo MP'!O379="","",'Cálculo MP'!O379)</f>
        <v/>
      </c>
      <c r="BD369" s="60" t="str">
        <f>IF('Cálculo MP'!P379="","",'Cálculo MP'!P379)</f>
        <v/>
      </c>
      <c r="BE369" s="60" t="str">
        <f>IF('Cálculo MP'!Q379="","",'Cálculo MP'!Q379)</f>
        <v/>
      </c>
      <c r="BF369" s="60" t="str">
        <f>IF('Cálculo MP'!R379="","",'Cálculo MP'!R379)</f>
        <v/>
      </c>
      <c r="BG369" s="60" t="str">
        <f>IF('Cálculo MP'!S379="","",'Cálculo MP'!S379)</f>
        <v/>
      </c>
      <c r="BH369" s="59"/>
      <c r="BI369" s="59"/>
      <c r="BJ369" s="59"/>
      <c r="BK369" s="59"/>
      <c r="BL369" s="59"/>
      <c r="BM369" s="59"/>
      <c r="BN369" s="59"/>
      <c r="BO369" s="59"/>
    </row>
    <row r="370" spans="1:67" ht="19.5" customHeight="1" x14ac:dyDescent="0.2">
      <c r="A370" s="114" t="s">
        <v>1789</v>
      </c>
      <c r="B370" s="113" t="s">
        <v>1787</v>
      </c>
      <c r="C370" s="122"/>
      <c r="D370" s="48" t="s">
        <v>73</v>
      </c>
      <c r="E370" s="49"/>
      <c r="F370" s="50"/>
      <c r="G370" s="62"/>
      <c r="H370" s="48" t="s">
        <v>72</v>
      </c>
      <c r="I370" s="52">
        <v>1</v>
      </c>
      <c r="J370" s="52"/>
      <c r="K370" s="52" t="s">
        <v>73</v>
      </c>
      <c r="L370" s="52" t="s">
        <v>74</v>
      </c>
      <c r="M370" s="53" t="s">
        <v>917</v>
      </c>
      <c r="N370" s="58" t="s">
        <v>73</v>
      </c>
      <c r="O370" s="48" t="s">
        <v>72</v>
      </c>
      <c r="P370" s="48" t="s">
        <v>73</v>
      </c>
      <c r="Q370" s="54" t="s">
        <v>73</v>
      </c>
      <c r="R370" s="55" t="s">
        <v>73</v>
      </c>
      <c r="S370" s="48" t="s">
        <v>73</v>
      </c>
      <c r="T370" s="121" t="str" cm="1">
        <f t="array" ref="T370">IF(ISNUMBER(SEARCH("SCHNEIDER",D370)),_xlfn.IFS(ISNUMBER(SEARCH("2 Querétaro",D370)),"SQ2",ISNUMBER(SEARCH("Xicohténcatl",D370)),"SXC",ISNUMBER(SEARCH("Rojo Gómez",D370)),"SRG",ISNUMBER(SEARCH("Tlaxcala",D370)),"STX",ISNUMBER(SEARCH("Monterrey",D370)),"SMY",ISNUMBER(SEARCH("Querétaro",D370)),"SQ1",ISNUMBER(SEARCH("CDMX",D370)),"SCM",TRUE,""),"")</f>
        <v/>
      </c>
      <c r="U370" s="48" t="str" cm="1">
        <f t="array" ref="U370">_xlfn.LET(_xlpm.resultados,_xlfn.UNIQUE(_xlfn._xlws.FILTER(Tabla1[Proceso],(Tabla1[Metal Base]=O370)*(Tabla1[Etiquetas]=_xlfn.TEXTJOIN(" + ",TRUE,IF((TRIM(Upload!P370:S370)="")+(LOWER(TRIM(Upload!P370:S370))="(seleccione)"),"",PROPER(TRIM(Upload!P370:S370)))))*(Tabla1[Línea2]=IFERROR(VLOOKUP(Upload!N370&amp;"*",CAT_Procesos!D:D,1,FALSE),"")))),_xlpm.cantidad,ROWS(_xlpm.resultados),IF(ISERROR(_xlpm.cantidad),"Combinación no existente",IF(_xlpm.cantidad=1,INDEX(_xlpm.resultados,1),"(seleccione)")))</f>
        <v>Combinación no existente</v>
      </c>
      <c r="V370" s="55" t="s">
        <v>73</v>
      </c>
      <c r="W370" s="56" t="s">
        <v>73</v>
      </c>
      <c r="X370" s="57" t="str">
        <f t="shared" si="20"/>
        <v/>
      </c>
      <c r="Y370" s="58" t="s">
        <v>73</v>
      </c>
      <c r="Z370" s="57" t="str">
        <f t="shared" si="21"/>
        <v/>
      </c>
      <c r="AA370" s="58" t="s">
        <v>73</v>
      </c>
      <c r="AB370" s="57" t="str">
        <f t="shared" si="22"/>
        <v/>
      </c>
      <c r="AC370" s="58" t="s">
        <v>73</v>
      </c>
      <c r="AD370" s="57" t="str">
        <f t="shared" si="23"/>
        <v/>
      </c>
      <c r="AE370" s="59"/>
      <c r="AF370" s="59"/>
      <c r="AG370" s="59"/>
      <c r="AH370" s="59"/>
      <c r="AI370" s="59" t="s">
        <v>73</v>
      </c>
      <c r="AJ370" s="59"/>
      <c r="AK370" s="59" t="s">
        <v>73</v>
      </c>
      <c r="AL370" s="59"/>
      <c r="AM370" s="59" t="s">
        <v>73</v>
      </c>
      <c r="AN370" s="59"/>
      <c r="AO370" s="59" t="s">
        <v>73</v>
      </c>
      <c r="AP370" s="59"/>
      <c r="AQ370" s="59" t="s">
        <v>73</v>
      </c>
      <c r="AR370" s="59"/>
      <c r="AS370" s="59" t="s">
        <v>72</v>
      </c>
      <c r="AT370" s="59"/>
      <c r="AU370" s="59"/>
      <c r="AV370" s="59"/>
      <c r="AW370" s="59"/>
      <c r="AX370" s="59"/>
      <c r="AY370" s="60" t="str">
        <f>IF('Cálculo MP'!K380="","",'Cálculo MP'!K380)</f>
        <v/>
      </c>
      <c r="AZ370" s="60" t="str">
        <f>IF('Cálculo MP'!L380="","",'Cálculo MP'!L380)</f>
        <v/>
      </c>
      <c r="BA370" s="60" t="str">
        <f>IF('Cálculo MP'!M380="","",'Cálculo MP'!M380)</f>
        <v/>
      </c>
      <c r="BB370" s="60" t="str">
        <f>IF('Cálculo MP'!N380="","",'Cálculo MP'!N380)</f>
        <v/>
      </c>
      <c r="BC370" s="60" t="str">
        <f>IF('Cálculo MP'!O380="","",'Cálculo MP'!O380)</f>
        <v/>
      </c>
      <c r="BD370" s="60" t="str">
        <f>IF('Cálculo MP'!P380="","",'Cálculo MP'!P380)</f>
        <v/>
      </c>
      <c r="BE370" s="60" t="str">
        <f>IF('Cálculo MP'!Q380="","",'Cálculo MP'!Q380)</f>
        <v/>
      </c>
      <c r="BF370" s="60" t="str">
        <f>IF('Cálculo MP'!R380="","",'Cálculo MP'!R380)</f>
        <v/>
      </c>
      <c r="BG370" s="60" t="str">
        <f>IF('Cálculo MP'!S380="","",'Cálculo MP'!S380)</f>
        <v/>
      </c>
      <c r="BH370" s="59"/>
      <c r="BI370" s="59"/>
      <c r="BJ370" s="59"/>
      <c r="BK370" s="59"/>
      <c r="BL370" s="59"/>
      <c r="BM370" s="59"/>
      <c r="BN370" s="59"/>
      <c r="BO370" s="59"/>
    </row>
    <row r="371" spans="1:67" ht="19.5" customHeight="1" x14ac:dyDescent="0.2">
      <c r="A371" s="114" t="s">
        <v>1789</v>
      </c>
      <c r="B371" s="113" t="s">
        <v>1787</v>
      </c>
      <c r="C371" s="122"/>
      <c r="D371" s="48" t="s">
        <v>73</v>
      </c>
      <c r="E371" s="49"/>
      <c r="F371" s="50"/>
      <c r="G371" s="62"/>
      <c r="H371" s="48" t="s">
        <v>72</v>
      </c>
      <c r="I371" s="52">
        <v>1</v>
      </c>
      <c r="J371" s="52"/>
      <c r="K371" s="52" t="s">
        <v>73</v>
      </c>
      <c r="L371" s="52" t="s">
        <v>74</v>
      </c>
      <c r="M371" s="53" t="s">
        <v>917</v>
      </c>
      <c r="N371" s="58" t="s">
        <v>73</v>
      </c>
      <c r="O371" s="48" t="s">
        <v>72</v>
      </c>
      <c r="P371" s="48" t="s">
        <v>73</v>
      </c>
      <c r="Q371" s="54" t="s">
        <v>73</v>
      </c>
      <c r="R371" s="55" t="s">
        <v>73</v>
      </c>
      <c r="S371" s="48" t="s">
        <v>73</v>
      </c>
      <c r="T371" s="121" t="str" cm="1">
        <f t="array" ref="T371">IF(ISNUMBER(SEARCH("SCHNEIDER",D371)),_xlfn.IFS(ISNUMBER(SEARCH("2 Querétaro",D371)),"SQ2",ISNUMBER(SEARCH("Xicohténcatl",D371)),"SXC",ISNUMBER(SEARCH("Rojo Gómez",D371)),"SRG",ISNUMBER(SEARCH("Tlaxcala",D371)),"STX",ISNUMBER(SEARCH("Monterrey",D371)),"SMY",ISNUMBER(SEARCH("Querétaro",D371)),"SQ1",ISNUMBER(SEARCH("CDMX",D371)),"SCM",TRUE,""),"")</f>
        <v/>
      </c>
      <c r="U371" s="48" t="str" cm="1">
        <f t="array" ref="U371">_xlfn.LET(_xlpm.resultados,_xlfn.UNIQUE(_xlfn._xlws.FILTER(Tabla1[Proceso],(Tabla1[Metal Base]=O371)*(Tabla1[Etiquetas]=_xlfn.TEXTJOIN(" + ",TRUE,IF((TRIM(Upload!P371:S371)="")+(LOWER(TRIM(Upload!P371:S371))="(seleccione)"),"",PROPER(TRIM(Upload!P371:S371)))))*(Tabla1[Línea2]=IFERROR(VLOOKUP(Upload!N371&amp;"*",CAT_Procesos!D:D,1,FALSE),"")))),_xlpm.cantidad,ROWS(_xlpm.resultados),IF(ISERROR(_xlpm.cantidad),"Combinación no existente",IF(_xlpm.cantidad=1,INDEX(_xlpm.resultados,1),"(seleccione)")))</f>
        <v>Combinación no existente</v>
      </c>
      <c r="V371" s="55" t="s">
        <v>73</v>
      </c>
      <c r="W371" s="56" t="s">
        <v>73</v>
      </c>
      <c r="X371" s="57" t="str">
        <f t="shared" si="20"/>
        <v/>
      </c>
      <c r="Y371" s="58" t="s">
        <v>73</v>
      </c>
      <c r="Z371" s="57" t="str">
        <f t="shared" si="21"/>
        <v/>
      </c>
      <c r="AA371" s="58" t="s">
        <v>73</v>
      </c>
      <c r="AB371" s="57" t="str">
        <f t="shared" si="22"/>
        <v/>
      </c>
      <c r="AC371" s="58" t="s">
        <v>73</v>
      </c>
      <c r="AD371" s="57" t="str">
        <f t="shared" si="23"/>
        <v/>
      </c>
      <c r="AE371" s="59"/>
      <c r="AF371" s="59"/>
      <c r="AG371" s="59"/>
      <c r="AH371" s="59"/>
      <c r="AI371" s="59" t="s">
        <v>73</v>
      </c>
      <c r="AJ371" s="59"/>
      <c r="AK371" s="59" t="s">
        <v>73</v>
      </c>
      <c r="AL371" s="59"/>
      <c r="AM371" s="59" t="s">
        <v>73</v>
      </c>
      <c r="AN371" s="59"/>
      <c r="AO371" s="59" t="s">
        <v>73</v>
      </c>
      <c r="AP371" s="59"/>
      <c r="AQ371" s="59" t="s">
        <v>73</v>
      </c>
      <c r="AR371" s="59"/>
      <c r="AS371" s="59" t="s">
        <v>72</v>
      </c>
      <c r="AT371" s="59"/>
      <c r="AU371" s="59"/>
      <c r="AV371" s="59"/>
      <c r="AW371" s="59"/>
      <c r="AX371" s="59"/>
      <c r="AY371" s="60" t="str">
        <f>IF('Cálculo MP'!K381="","",'Cálculo MP'!K381)</f>
        <v/>
      </c>
      <c r="AZ371" s="60" t="str">
        <f>IF('Cálculo MP'!L381="","",'Cálculo MP'!L381)</f>
        <v/>
      </c>
      <c r="BA371" s="60" t="str">
        <f>IF('Cálculo MP'!M381="","",'Cálculo MP'!M381)</f>
        <v/>
      </c>
      <c r="BB371" s="60" t="str">
        <f>IF('Cálculo MP'!N381="","",'Cálculo MP'!N381)</f>
        <v/>
      </c>
      <c r="BC371" s="60" t="str">
        <f>IF('Cálculo MP'!O381="","",'Cálculo MP'!O381)</f>
        <v/>
      </c>
      <c r="BD371" s="60" t="str">
        <f>IF('Cálculo MP'!P381="","",'Cálculo MP'!P381)</f>
        <v/>
      </c>
      <c r="BE371" s="60" t="str">
        <f>IF('Cálculo MP'!Q381="","",'Cálculo MP'!Q381)</f>
        <v/>
      </c>
      <c r="BF371" s="60" t="str">
        <f>IF('Cálculo MP'!R381="","",'Cálculo MP'!R381)</f>
        <v/>
      </c>
      <c r="BG371" s="60" t="str">
        <f>IF('Cálculo MP'!S381="","",'Cálculo MP'!S381)</f>
        <v/>
      </c>
      <c r="BH371" s="59"/>
      <c r="BI371" s="59"/>
      <c r="BJ371" s="59"/>
      <c r="BK371" s="59"/>
      <c r="BL371" s="59"/>
      <c r="BM371" s="59"/>
      <c r="BN371" s="59"/>
      <c r="BO371" s="59"/>
    </row>
    <row r="372" spans="1:67" ht="19.5" customHeight="1" x14ac:dyDescent="0.2">
      <c r="A372" s="114" t="s">
        <v>1789</v>
      </c>
      <c r="B372" s="113" t="s">
        <v>1787</v>
      </c>
      <c r="C372" s="122"/>
      <c r="D372" s="48" t="s">
        <v>73</v>
      </c>
      <c r="E372" s="49"/>
      <c r="F372" s="50"/>
      <c r="G372" s="62"/>
      <c r="H372" s="48" t="s">
        <v>72</v>
      </c>
      <c r="I372" s="52">
        <v>1</v>
      </c>
      <c r="J372" s="52"/>
      <c r="K372" s="52" t="s">
        <v>73</v>
      </c>
      <c r="L372" s="52" t="s">
        <v>74</v>
      </c>
      <c r="M372" s="53" t="s">
        <v>917</v>
      </c>
      <c r="N372" s="58" t="s">
        <v>73</v>
      </c>
      <c r="O372" s="48" t="s">
        <v>72</v>
      </c>
      <c r="P372" s="48" t="s">
        <v>73</v>
      </c>
      <c r="Q372" s="54" t="s">
        <v>73</v>
      </c>
      <c r="R372" s="55" t="s">
        <v>73</v>
      </c>
      <c r="S372" s="48" t="s">
        <v>73</v>
      </c>
      <c r="T372" s="121" t="str" cm="1">
        <f t="array" ref="T372">IF(ISNUMBER(SEARCH("SCHNEIDER",D372)),_xlfn.IFS(ISNUMBER(SEARCH("2 Querétaro",D372)),"SQ2",ISNUMBER(SEARCH("Xicohténcatl",D372)),"SXC",ISNUMBER(SEARCH("Rojo Gómez",D372)),"SRG",ISNUMBER(SEARCH("Tlaxcala",D372)),"STX",ISNUMBER(SEARCH("Monterrey",D372)),"SMY",ISNUMBER(SEARCH("Querétaro",D372)),"SQ1",ISNUMBER(SEARCH("CDMX",D372)),"SCM",TRUE,""),"")</f>
        <v/>
      </c>
      <c r="U372" s="48" t="str" cm="1">
        <f t="array" ref="U372">_xlfn.LET(_xlpm.resultados,_xlfn.UNIQUE(_xlfn._xlws.FILTER(Tabla1[Proceso],(Tabla1[Metal Base]=O372)*(Tabla1[Etiquetas]=_xlfn.TEXTJOIN(" + ",TRUE,IF((TRIM(Upload!P372:S372)="")+(LOWER(TRIM(Upload!P372:S372))="(seleccione)"),"",PROPER(TRIM(Upload!P372:S372)))))*(Tabla1[Línea2]=IFERROR(VLOOKUP(Upload!N372&amp;"*",CAT_Procesos!D:D,1,FALSE),"")))),_xlpm.cantidad,ROWS(_xlpm.resultados),IF(ISERROR(_xlpm.cantidad),"Combinación no existente",IF(_xlpm.cantidad=1,INDEX(_xlpm.resultados,1),"(seleccione)")))</f>
        <v>Combinación no existente</v>
      </c>
      <c r="V372" s="55" t="s">
        <v>73</v>
      </c>
      <c r="W372" s="56" t="s">
        <v>73</v>
      </c>
      <c r="X372" s="57" t="str">
        <f t="shared" si="20"/>
        <v/>
      </c>
      <c r="Y372" s="58" t="s">
        <v>73</v>
      </c>
      <c r="Z372" s="57" t="str">
        <f t="shared" si="21"/>
        <v/>
      </c>
      <c r="AA372" s="58" t="s">
        <v>73</v>
      </c>
      <c r="AB372" s="57" t="str">
        <f t="shared" si="22"/>
        <v/>
      </c>
      <c r="AC372" s="58" t="s">
        <v>73</v>
      </c>
      <c r="AD372" s="57" t="str">
        <f t="shared" si="23"/>
        <v/>
      </c>
      <c r="AE372" s="59"/>
      <c r="AF372" s="59"/>
      <c r="AG372" s="59"/>
      <c r="AH372" s="59"/>
      <c r="AI372" s="59" t="s">
        <v>73</v>
      </c>
      <c r="AJ372" s="59"/>
      <c r="AK372" s="59" t="s">
        <v>73</v>
      </c>
      <c r="AL372" s="59"/>
      <c r="AM372" s="59" t="s">
        <v>73</v>
      </c>
      <c r="AN372" s="59"/>
      <c r="AO372" s="59" t="s">
        <v>73</v>
      </c>
      <c r="AP372" s="59"/>
      <c r="AQ372" s="59" t="s">
        <v>73</v>
      </c>
      <c r="AR372" s="59"/>
      <c r="AS372" s="59" t="s">
        <v>72</v>
      </c>
      <c r="AT372" s="59"/>
      <c r="AU372" s="59"/>
      <c r="AV372" s="59"/>
      <c r="AW372" s="59"/>
      <c r="AX372" s="59"/>
      <c r="AY372" s="60" t="str">
        <f>IF('Cálculo MP'!K382="","",'Cálculo MP'!K382)</f>
        <v/>
      </c>
      <c r="AZ372" s="60" t="str">
        <f>IF('Cálculo MP'!L382="","",'Cálculo MP'!L382)</f>
        <v/>
      </c>
      <c r="BA372" s="60" t="str">
        <f>IF('Cálculo MP'!M382="","",'Cálculo MP'!M382)</f>
        <v/>
      </c>
      <c r="BB372" s="60" t="str">
        <f>IF('Cálculo MP'!N382="","",'Cálculo MP'!N382)</f>
        <v/>
      </c>
      <c r="BC372" s="60" t="str">
        <f>IF('Cálculo MP'!O382="","",'Cálculo MP'!O382)</f>
        <v/>
      </c>
      <c r="BD372" s="60" t="str">
        <f>IF('Cálculo MP'!P382="","",'Cálculo MP'!P382)</f>
        <v/>
      </c>
      <c r="BE372" s="60" t="str">
        <f>IF('Cálculo MP'!Q382="","",'Cálculo MP'!Q382)</f>
        <v/>
      </c>
      <c r="BF372" s="60" t="str">
        <f>IF('Cálculo MP'!R382="","",'Cálculo MP'!R382)</f>
        <v/>
      </c>
      <c r="BG372" s="60" t="str">
        <f>IF('Cálculo MP'!S382="","",'Cálculo MP'!S382)</f>
        <v/>
      </c>
      <c r="BH372" s="59"/>
      <c r="BI372" s="59"/>
      <c r="BJ372" s="59"/>
      <c r="BK372" s="59"/>
      <c r="BL372" s="59"/>
      <c r="BM372" s="59"/>
      <c r="BN372" s="59"/>
      <c r="BO372" s="59"/>
    </row>
    <row r="373" spans="1:67" ht="19.5" customHeight="1" x14ac:dyDescent="0.2">
      <c r="A373" s="114" t="s">
        <v>1789</v>
      </c>
      <c r="B373" s="113" t="s">
        <v>1787</v>
      </c>
      <c r="C373" s="122"/>
      <c r="D373" s="48" t="s">
        <v>73</v>
      </c>
      <c r="E373" s="49"/>
      <c r="F373" s="50"/>
      <c r="G373" s="62"/>
      <c r="H373" s="48" t="s">
        <v>72</v>
      </c>
      <c r="I373" s="52">
        <v>1</v>
      </c>
      <c r="J373" s="52"/>
      <c r="K373" s="52" t="s">
        <v>73</v>
      </c>
      <c r="L373" s="52" t="s">
        <v>74</v>
      </c>
      <c r="M373" s="53" t="s">
        <v>917</v>
      </c>
      <c r="N373" s="58" t="s">
        <v>73</v>
      </c>
      <c r="O373" s="48" t="s">
        <v>72</v>
      </c>
      <c r="P373" s="48" t="s">
        <v>73</v>
      </c>
      <c r="Q373" s="54" t="s">
        <v>73</v>
      </c>
      <c r="R373" s="55" t="s">
        <v>73</v>
      </c>
      <c r="S373" s="48" t="s">
        <v>73</v>
      </c>
      <c r="T373" s="121" t="str" cm="1">
        <f t="array" ref="T373">IF(ISNUMBER(SEARCH("SCHNEIDER",D373)),_xlfn.IFS(ISNUMBER(SEARCH("2 Querétaro",D373)),"SQ2",ISNUMBER(SEARCH("Xicohténcatl",D373)),"SXC",ISNUMBER(SEARCH("Rojo Gómez",D373)),"SRG",ISNUMBER(SEARCH("Tlaxcala",D373)),"STX",ISNUMBER(SEARCH("Monterrey",D373)),"SMY",ISNUMBER(SEARCH("Querétaro",D373)),"SQ1",ISNUMBER(SEARCH("CDMX",D373)),"SCM",TRUE,""),"")</f>
        <v/>
      </c>
      <c r="U373" s="48" t="str" cm="1">
        <f t="array" ref="U373">_xlfn.LET(_xlpm.resultados,_xlfn.UNIQUE(_xlfn._xlws.FILTER(Tabla1[Proceso],(Tabla1[Metal Base]=O373)*(Tabla1[Etiquetas]=_xlfn.TEXTJOIN(" + ",TRUE,IF((TRIM(Upload!P373:S373)="")+(LOWER(TRIM(Upload!P373:S373))="(seleccione)"),"",PROPER(TRIM(Upload!P373:S373)))))*(Tabla1[Línea2]=IFERROR(VLOOKUP(Upload!N373&amp;"*",CAT_Procesos!D:D,1,FALSE),"")))),_xlpm.cantidad,ROWS(_xlpm.resultados),IF(ISERROR(_xlpm.cantidad),"Combinación no existente",IF(_xlpm.cantidad=1,INDEX(_xlpm.resultados,1),"(seleccione)")))</f>
        <v>Combinación no existente</v>
      </c>
      <c r="V373" s="55" t="s">
        <v>73</v>
      </c>
      <c r="W373" s="56" t="s">
        <v>73</v>
      </c>
      <c r="X373" s="57" t="str">
        <f t="shared" si="20"/>
        <v/>
      </c>
      <c r="Y373" s="58" t="s">
        <v>73</v>
      </c>
      <c r="Z373" s="57" t="str">
        <f t="shared" si="21"/>
        <v/>
      </c>
      <c r="AA373" s="58" t="s">
        <v>73</v>
      </c>
      <c r="AB373" s="57" t="str">
        <f t="shared" si="22"/>
        <v/>
      </c>
      <c r="AC373" s="58" t="s">
        <v>73</v>
      </c>
      <c r="AD373" s="57" t="str">
        <f t="shared" si="23"/>
        <v/>
      </c>
      <c r="AE373" s="59"/>
      <c r="AF373" s="59"/>
      <c r="AG373" s="59"/>
      <c r="AH373" s="59"/>
      <c r="AI373" s="59" t="s">
        <v>73</v>
      </c>
      <c r="AJ373" s="59"/>
      <c r="AK373" s="59" t="s">
        <v>73</v>
      </c>
      <c r="AL373" s="59"/>
      <c r="AM373" s="59" t="s">
        <v>73</v>
      </c>
      <c r="AN373" s="59"/>
      <c r="AO373" s="59" t="s">
        <v>73</v>
      </c>
      <c r="AP373" s="59"/>
      <c r="AQ373" s="59" t="s">
        <v>73</v>
      </c>
      <c r="AR373" s="59"/>
      <c r="AS373" s="59" t="s">
        <v>72</v>
      </c>
      <c r="AT373" s="59"/>
      <c r="AU373" s="59"/>
      <c r="AV373" s="59"/>
      <c r="AW373" s="59"/>
      <c r="AX373" s="59"/>
      <c r="AY373" s="60" t="str">
        <f>IF('Cálculo MP'!K383="","",'Cálculo MP'!K383)</f>
        <v/>
      </c>
      <c r="AZ373" s="60" t="str">
        <f>IF('Cálculo MP'!L383="","",'Cálculo MP'!L383)</f>
        <v/>
      </c>
      <c r="BA373" s="60" t="str">
        <f>IF('Cálculo MP'!M383="","",'Cálculo MP'!M383)</f>
        <v/>
      </c>
      <c r="BB373" s="60" t="str">
        <f>IF('Cálculo MP'!N383="","",'Cálculo MP'!N383)</f>
        <v/>
      </c>
      <c r="BC373" s="60" t="str">
        <f>IF('Cálculo MP'!O383="","",'Cálculo MP'!O383)</f>
        <v/>
      </c>
      <c r="BD373" s="60" t="str">
        <f>IF('Cálculo MP'!P383="","",'Cálculo MP'!P383)</f>
        <v/>
      </c>
      <c r="BE373" s="60" t="str">
        <f>IF('Cálculo MP'!Q383="","",'Cálculo MP'!Q383)</f>
        <v/>
      </c>
      <c r="BF373" s="60" t="str">
        <f>IF('Cálculo MP'!R383="","",'Cálculo MP'!R383)</f>
        <v/>
      </c>
      <c r="BG373" s="60" t="str">
        <f>IF('Cálculo MP'!S383="","",'Cálculo MP'!S383)</f>
        <v/>
      </c>
      <c r="BH373" s="59"/>
      <c r="BI373" s="59"/>
      <c r="BJ373" s="59"/>
      <c r="BK373" s="59"/>
      <c r="BL373" s="59"/>
      <c r="BM373" s="59"/>
      <c r="BN373" s="59"/>
      <c r="BO373" s="59"/>
    </row>
    <row r="374" spans="1:67" ht="19.5" customHeight="1" x14ac:dyDescent="0.2">
      <c r="A374" s="114" t="s">
        <v>1789</v>
      </c>
      <c r="B374" s="113" t="s">
        <v>1787</v>
      </c>
      <c r="C374" s="122"/>
      <c r="D374" s="48" t="s">
        <v>73</v>
      </c>
      <c r="E374" s="49"/>
      <c r="F374" s="50"/>
      <c r="G374" s="62"/>
      <c r="H374" s="48" t="s">
        <v>72</v>
      </c>
      <c r="I374" s="52">
        <v>1</v>
      </c>
      <c r="J374" s="52"/>
      <c r="K374" s="52" t="s">
        <v>73</v>
      </c>
      <c r="L374" s="52" t="s">
        <v>74</v>
      </c>
      <c r="M374" s="53" t="s">
        <v>917</v>
      </c>
      <c r="N374" s="58" t="s">
        <v>73</v>
      </c>
      <c r="O374" s="48" t="s">
        <v>72</v>
      </c>
      <c r="P374" s="48" t="s">
        <v>73</v>
      </c>
      <c r="Q374" s="54" t="s">
        <v>73</v>
      </c>
      <c r="R374" s="55" t="s">
        <v>73</v>
      </c>
      <c r="S374" s="48" t="s">
        <v>73</v>
      </c>
      <c r="T374" s="121" t="str" cm="1">
        <f t="array" ref="T374">IF(ISNUMBER(SEARCH("SCHNEIDER",D374)),_xlfn.IFS(ISNUMBER(SEARCH("2 Querétaro",D374)),"SQ2",ISNUMBER(SEARCH("Xicohténcatl",D374)),"SXC",ISNUMBER(SEARCH("Rojo Gómez",D374)),"SRG",ISNUMBER(SEARCH("Tlaxcala",D374)),"STX",ISNUMBER(SEARCH("Monterrey",D374)),"SMY",ISNUMBER(SEARCH("Querétaro",D374)),"SQ1",ISNUMBER(SEARCH("CDMX",D374)),"SCM",TRUE,""),"")</f>
        <v/>
      </c>
      <c r="U374" s="48" t="str" cm="1">
        <f t="array" ref="U374">_xlfn.LET(_xlpm.resultados,_xlfn.UNIQUE(_xlfn._xlws.FILTER(Tabla1[Proceso],(Tabla1[Metal Base]=O374)*(Tabla1[Etiquetas]=_xlfn.TEXTJOIN(" + ",TRUE,IF((TRIM(Upload!P374:S374)="")+(LOWER(TRIM(Upload!P374:S374))="(seleccione)"),"",PROPER(TRIM(Upload!P374:S374)))))*(Tabla1[Línea2]=IFERROR(VLOOKUP(Upload!N374&amp;"*",CAT_Procesos!D:D,1,FALSE),"")))),_xlpm.cantidad,ROWS(_xlpm.resultados),IF(ISERROR(_xlpm.cantidad),"Combinación no existente",IF(_xlpm.cantidad=1,INDEX(_xlpm.resultados,1),"(seleccione)")))</f>
        <v>Combinación no existente</v>
      </c>
      <c r="V374" s="55" t="s">
        <v>73</v>
      </c>
      <c r="W374" s="56" t="s">
        <v>73</v>
      </c>
      <c r="X374" s="57" t="str">
        <f t="shared" si="20"/>
        <v/>
      </c>
      <c r="Y374" s="58" t="s">
        <v>73</v>
      </c>
      <c r="Z374" s="57" t="str">
        <f t="shared" si="21"/>
        <v/>
      </c>
      <c r="AA374" s="58" t="s">
        <v>73</v>
      </c>
      <c r="AB374" s="57" t="str">
        <f t="shared" si="22"/>
        <v/>
      </c>
      <c r="AC374" s="58" t="s">
        <v>73</v>
      </c>
      <c r="AD374" s="57" t="str">
        <f t="shared" si="23"/>
        <v/>
      </c>
      <c r="AE374" s="59"/>
      <c r="AF374" s="59"/>
      <c r="AG374" s="59"/>
      <c r="AH374" s="59"/>
      <c r="AI374" s="59" t="s">
        <v>73</v>
      </c>
      <c r="AJ374" s="59"/>
      <c r="AK374" s="59" t="s">
        <v>73</v>
      </c>
      <c r="AL374" s="59"/>
      <c r="AM374" s="59" t="s">
        <v>73</v>
      </c>
      <c r="AN374" s="59"/>
      <c r="AO374" s="59" t="s">
        <v>73</v>
      </c>
      <c r="AP374" s="59"/>
      <c r="AQ374" s="59" t="s">
        <v>73</v>
      </c>
      <c r="AR374" s="59"/>
      <c r="AS374" s="59" t="s">
        <v>72</v>
      </c>
      <c r="AT374" s="59"/>
      <c r="AU374" s="59"/>
      <c r="AV374" s="59"/>
      <c r="AW374" s="59"/>
      <c r="AX374" s="59"/>
      <c r="AY374" s="60" t="str">
        <f>IF('Cálculo MP'!K384="","",'Cálculo MP'!K384)</f>
        <v/>
      </c>
      <c r="AZ374" s="60" t="str">
        <f>IF('Cálculo MP'!L384="","",'Cálculo MP'!L384)</f>
        <v/>
      </c>
      <c r="BA374" s="60" t="str">
        <f>IF('Cálculo MP'!M384="","",'Cálculo MP'!M384)</f>
        <v/>
      </c>
      <c r="BB374" s="60" t="str">
        <f>IF('Cálculo MP'!N384="","",'Cálculo MP'!N384)</f>
        <v/>
      </c>
      <c r="BC374" s="60" t="str">
        <f>IF('Cálculo MP'!O384="","",'Cálculo MP'!O384)</f>
        <v/>
      </c>
      <c r="BD374" s="60" t="str">
        <f>IF('Cálculo MP'!P384="","",'Cálculo MP'!P384)</f>
        <v/>
      </c>
      <c r="BE374" s="60" t="str">
        <f>IF('Cálculo MP'!Q384="","",'Cálculo MP'!Q384)</f>
        <v/>
      </c>
      <c r="BF374" s="60" t="str">
        <f>IF('Cálculo MP'!R384="","",'Cálculo MP'!R384)</f>
        <v/>
      </c>
      <c r="BG374" s="60" t="str">
        <f>IF('Cálculo MP'!S384="","",'Cálculo MP'!S384)</f>
        <v/>
      </c>
      <c r="BH374" s="59"/>
      <c r="BI374" s="59"/>
      <c r="BJ374" s="59"/>
      <c r="BK374" s="59"/>
      <c r="BL374" s="59"/>
      <c r="BM374" s="59"/>
      <c r="BN374" s="59"/>
      <c r="BO374" s="59"/>
    </row>
    <row r="375" spans="1:67" ht="19.5" customHeight="1" x14ac:dyDescent="0.2">
      <c r="A375" s="114" t="s">
        <v>1789</v>
      </c>
      <c r="B375" s="113" t="s">
        <v>1787</v>
      </c>
      <c r="C375" s="122"/>
      <c r="D375" s="48" t="s">
        <v>73</v>
      </c>
      <c r="E375" s="49"/>
      <c r="F375" s="50"/>
      <c r="G375" s="62"/>
      <c r="H375" s="48" t="s">
        <v>72</v>
      </c>
      <c r="I375" s="52">
        <v>1</v>
      </c>
      <c r="J375" s="52"/>
      <c r="K375" s="52" t="s">
        <v>73</v>
      </c>
      <c r="L375" s="52" t="s">
        <v>74</v>
      </c>
      <c r="M375" s="53" t="s">
        <v>917</v>
      </c>
      <c r="N375" s="58" t="s">
        <v>73</v>
      </c>
      <c r="O375" s="48" t="s">
        <v>72</v>
      </c>
      <c r="P375" s="48" t="s">
        <v>73</v>
      </c>
      <c r="Q375" s="54" t="s">
        <v>73</v>
      </c>
      <c r="R375" s="55" t="s">
        <v>73</v>
      </c>
      <c r="S375" s="48" t="s">
        <v>73</v>
      </c>
      <c r="T375" s="121" t="str" cm="1">
        <f t="array" ref="T375">IF(ISNUMBER(SEARCH("SCHNEIDER",D375)),_xlfn.IFS(ISNUMBER(SEARCH("2 Querétaro",D375)),"SQ2",ISNUMBER(SEARCH("Xicohténcatl",D375)),"SXC",ISNUMBER(SEARCH("Rojo Gómez",D375)),"SRG",ISNUMBER(SEARCH("Tlaxcala",D375)),"STX",ISNUMBER(SEARCH("Monterrey",D375)),"SMY",ISNUMBER(SEARCH("Querétaro",D375)),"SQ1",ISNUMBER(SEARCH("CDMX",D375)),"SCM",TRUE,""),"")</f>
        <v/>
      </c>
      <c r="U375" s="48" t="str" cm="1">
        <f t="array" ref="U375">_xlfn.LET(_xlpm.resultados,_xlfn.UNIQUE(_xlfn._xlws.FILTER(Tabla1[Proceso],(Tabla1[Metal Base]=O375)*(Tabla1[Etiquetas]=_xlfn.TEXTJOIN(" + ",TRUE,IF((TRIM(Upload!P375:S375)="")+(LOWER(TRIM(Upload!P375:S375))="(seleccione)"),"",PROPER(TRIM(Upload!P375:S375)))))*(Tabla1[Línea2]=IFERROR(VLOOKUP(Upload!N375&amp;"*",CAT_Procesos!D:D,1,FALSE),"")))),_xlpm.cantidad,ROWS(_xlpm.resultados),IF(ISERROR(_xlpm.cantidad),"Combinación no existente",IF(_xlpm.cantidad=1,INDEX(_xlpm.resultados,1),"(seleccione)")))</f>
        <v>Combinación no existente</v>
      </c>
      <c r="V375" s="55" t="s">
        <v>73</v>
      </c>
      <c r="W375" s="56" t="s">
        <v>73</v>
      </c>
      <c r="X375" s="57" t="str">
        <f t="shared" si="20"/>
        <v/>
      </c>
      <c r="Y375" s="58" t="s">
        <v>73</v>
      </c>
      <c r="Z375" s="57" t="str">
        <f t="shared" si="21"/>
        <v/>
      </c>
      <c r="AA375" s="58" t="s">
        <v>73</v>
      </c>
      <c r="AB375" s="57" t="str">
        <f t="shared" si="22"/>
        <v/>
      </c>
      <c r="AC375" s="58" t="s">
        <v>73</v>
      </c>
      <c r="AD375" s="57" t="str">
        <f t="shared" si="23"/>
        <v/>
      </c>
      <c r="AE375" s="59"/>
      <c r="AF375" s="59"/>
      <c r="AG375" s="59"/>
      <c r="AH375" s="59"/>
      <c r="AI375" s="59" t="s">
        <v>73</v>
      </c>
      <c r="AJ375" s="59"/>
      <c r="AK375" s="59" t="s">
        <v>73</v>
      </c>
      <c r="AL375" s="59"/>
      <c r="AM375" s="59" t="s">
        <v>73</v>
      </c>
      <c r="AN375" s="59"/>
      <c r="AO375" s="59" t="s">
        <v>73</v>
      </c>
      <c r="AP375" s="59"/>
      <c r="AQ375" s="59" t="s">
        <v>73</v>
      </c>
      <c r="AR375" s="59"/>
      <c r="AS375" s="59" t="s">
        <v>72</v>
      </c>
      <c r="AT375" s="59"/>
      <c r="AU375" s="59"/>
      <c r="AV375" s="59"/>
      <c r="AW375" s="59"/>
      <c r="AX375" s="59"/>
      <c r="AY375" s="60" t="str">
        <f>IF('Cálculo MP'!K385="","",'Cálculo MP'!K385)</f>
        <v/>
      </c>
      <c r="AZ375" s="60" t="str">
        <f>IF('Cálculo MP'!L385="","",'Cálculo MP'!L385)</f>
        <v/>
      </c>
      <c r="BA375" s="60" t="str">
        <f>IF('Cálculo MP'!M385="","",'Cálculo MP'!M385)</f>
        <v/>
      </c>
      <c r="BB375" s="60" t="str">
        <f>IF('Cálculo MP'!N385="","",'Cálculo MP'!N385)</f>
        <v/>
      </c>
      <c r="BC375" s="60" t="str">
        <f>IF('Cálculo MP'!O385="","",'Cálculo MP'!O385)</f>
        <v/>
      </c>
      <c r="BD375" s="60" t="str">
        <f>IF('Cálculo MP'!P385="","",'Cálculo MP'!P385)</f>
        <v/>
      </c>
      <c r="BE375" s="60" t="str">
        <f>IF('Cálculo MP'!Q385="","",'Cálculo MP'!Q385)</f>
        <v/>
      </c>
      <c r="BF375" s="60" t="str">
        <f>IF('Cálculo MP'!R385="","",'Cálculo MP'!R385)</f>
        <v/>
      </c>
      <c r="BG375" s="60" t="str">
        <f>IF('Cálculo MP'!S385="","",'Cálculo MP'!S385)</f>
        <v/>
      </c>
      <c r="BH375" s="59"/>
      <c r="BI375" s="59"/>
      <c r="BJ375" s="59"/>
      <c r="BK375" s="59"/>
      <c r="BL375" s="59"/>
      <c r="BM375" s="59"/>
      <c r="BN375" s="59"/>
      <c r="BO375" s="59"/>
    </row>
    <row r="376" spans="1:67" ht="19.5" customHeight="1" x14ac:dyDescent="0.2">
      <c r="A376" s="114" t="s">
        <v>1789</v>
      </c>
      <c r="B376" s="113" t="s">
        <v>1787</v>
      </c>
      <c r="C376" s="122"/>
      <c r="D376" s="48" t="s">
        <v>73</v>
      </c>
      <c r="E376" s="49"/>
      <c r="F376" s="50"/>
      <c r="G376" s="62"/>
      <c r="H376" s="48" t="s">
        <v>72</v>
      </c>
      <c r="I376" s="52">
        <v>1</v>
      </c>
      <c r="J376" s="52"/>
      <c r="K376" s="52" t="s">
        <v>73</v>
      </c>
      <c r="L376" s="52" t="s">
        <v>74</v>
      </c>
      <c r="M376" s="53" t="s">
        <v>917</v>
      </c>
      <c r="N376" s="58" t="s">
        <v>73</v>
      </c>
      <c r="O376" s="48" t="s">
        <v>72</v>
      </c>
      <c r="P376" s="48" t="s">
        <v>73</v>
      </c>
      <c r="Q376" s="54" t="s">
        <v>73</v>
      </c>
      <c r="R376" s="55" t="s">
        <v>73</v>
      </c>
      <c r="S376" s="48" t="s">
        <v>73</v>
      </c>
      <c r="T376" s="121" t="str" cm="1">
        <f t="array" ref="T376">IF(ISNUMBER(SEARCH("SCHNEIDER",D376)),_xlfn.IFS(ISNUMBER(SEARCH("2 Querétaro",D376)),"SQ2",ISNUMBER(SEARCH("Xicohténcatl",D376)),"SXC",ISNUMBER(SEARCH("Rojo Gómez",D376)),"SRG",ISNUMBER(SEARCH("Tlaxcala",D376)),"STX",ISNUMBER(SEARCH("Monterrey",D376)),"SMY",ISNUMBER(SEARCH("Querétaro",D376)),"SQ1",ISNUMBER(SEARCH("CDMX",D376)),"SCM",TRUE,""),"")</f>
        <v/>
      </c>
      <c r="U376" s="48" t="str" cm="1">
        <f t="array" ref="U376">_xlfn.LET(_xlpm.resultados,_xlfn.UNIQUE(_xlfn._xlws.FILTER(Tabla1[Proceso],(Tabla1[Metal Base]=O376)*(Tabla1[Etiquetas]=_xlfn.TEXTJOIN(" + ",TRUE,IF((TRIM(Upload!P376:S376)="")+(LOWER(TRIM(Upload!P376:S376))="(seleccione)"),"",PROPER(TRIM(Upload!P376:S376)))))*(Tabla1[Línea2]=IFERROR(VLOOKUP(Upload!N376&amp;"*",CAT_Procesos!D:D,1,FALSE),"")))),_xlpm.cantidad,ROWS(_xlpm.resultados),IF(ISERROR(_xlpm.cantidad),"Combinación no existente",IF(_xlpm.cantidad=1,INDEX(_xlpm.resultados,1),"(seleccione)")))</f>
        <v>Combinación no existente</v>
      </c>
      <c r="V376" s="55" t="s">
        <v>73</v>
      </c>
      <c r="W376" s="56" t="s">
        <v>73</v>
      </c>
      <c r="X376" s="57" t="str">
        <f t="shared" si="20"/>
        <v/>
      </c>
      <c r="Y376" s="58" t="s">
        <v>73</v>
      </c>
      <c r="Z376" s="57" t="str">
        <f t="shared" si="21"/>
        <v/>
      </c>
      <c r="AA376" s="58" t="s">
        <v>73</v>
      </c>
      <c r="AB376" s="57" t="str">
        <f t="shared" si="22"/>
        <v/>
      </c>
      <c r="AC376" s="58" t="s">
        <v>73</v>
      </c>
      <c r="AD376" s="57" t="str">
        <f t="shared" si="23"/>
        <v/>
      </c>
      <c r="AE376" s="59"/>
      <c r="AF376" s="59"/>
      <c r="AG376" s="59"/>
      <c r="AH376" s="59"/>
      <c r="AI376" s="59" t="s">
        <v>73</v>
      </c>
      <c r="AJ376" s="59"/>
      <c r="AK376" s="59" t="s">
        <v>73</v>
      </c>
      <c r="AL376" s="59"/>
      <c r="AM376" s="59" t="s">
        <v>73</v>
      </c>
      <c r="AN376" s="59"/>
      <c r="AO376" s="59" t="s">
        <v>73</v>
      </c>
      <c r="AP376" s="59"/>
      <c r="AQ376" s="59" t="s">
        <v>73</v>
      </c>
      <c r="AR376" s="59"/>
      <c r="AS376" s="59" t="s">
        <v>72</v>
      </c>
      <c r="AT376" s="59"/>
      <c r="AU376" s="59"/>
      <c r="AV376" s="59"/>
      <c r="AW376" s="59"/>
      <c r="AX376" s="59"/>
      <c r="AY376" s="60" t="str">
        <f>IF('Cálculo MP'!K386="","",'Cálculo MP'!K386)</f>
        <v/>
      </c>
      <c r="AZ376" s="60" t="str">
        <f>IF('Cálculo MP'!L386="","",'Cálculo MP'!L386)</f>
        <v/>
      </c>
      <c r="BA376" s="60" t="str">
        <f>IF('Cálculo MP'!M386="","",'Cálculo MP'!M386)</f>
        <v/>
      </c>
      <c r="BB376" s="60" t="str">
        <f>IF('Cálculo MP'!N386="","",'Cálculo MP'!N386)</f>
        <v/>
      </c>
      <c r="BC376" s="60" t="str">
        <f>IF('Cálculo MP'!O386="","",'Cálculo MP'!O386)</f>
        <v/>
      </c>
      <c r="BD376" s="60" t="str">
        <f>IF('Cálculo MP'!P386="","",'Cálculo MP'!P386)</f>
        <v/>
      </c>
      <c r="BE376" s="60" t="str">
        <f>IF('Cálculo MP'!Q386="","",'Cálculo MP'!Q386)</f>
        <v/>
      </c>
      <c r="BF376" s="60" t="str">
        <f>IF('Cálculo MP'!R386="","",'Cálculo MP'!R386)</f>
        <v/>
      </c>
      <c r="BG376" s="60" t="str">
        <f>IF('Cálculo MP'!S386="","",'Cálculo MP'!S386)</f>
        <v/>
      </c>
      <c r="BH376" s="59"/>
      <c r="BI376" s="59"/>
      <c r="BJ376" s="59"/>
      <c r="BK376" s="59"/>
      <c r="BL376" s="59"/>
      <c r="BM376" s="59"/>
      <c r="BN376" s="59"/>
      <c r="BO376" s="59"/>
    </row>
    <row r="377" spans="1:67" ht="19.5" customHeight="1" x14ac:dyDescent="0.2">
      <c r="A377" s="114" t="s">
        <v>1789</v>
      </c>
      <c r="B377" s="113" t="s">
        <v>1787</v>
      </c>
      <c r="C377" s="122"/>
      <c r="D377" s="48" t="s">
        <v>73</v>
      </c>
      <c r="E377" s="49"/>
      <c r="F377" s="50"/>
      <c r="G377" s="62"/>
      <c r="H377" s="48" t="s">
        <v>72</v>
      </c>
      <c r="I377" s="52">
        <v>1</v>
      </c>
      <c r="J377" s="52"/>
      <c r="K377" s="52" t="s">
        <v>73</v>
      </c>
      <c r="L377" s="52" t="s">
        <v>74</v>
      </c>
      <c r="M377" s="53" t="s">
        <v>917</v>
      </c>
      <c r="N377" s="58" t="s">
        <v>73</v>
      </c>
      <c r="O377" s="48" t="s">
        <v>72</v>
      </c>
      <c r="P377" s="48" t="s">
        <v>73</v>
      </c>
      <c r="Q377" s="54" t="s">
        <v>73</v>
      </c>
      <c r="R377" s="55" t="s">
        <v>73</v>
      </c>
      <c r="S377" s="48" t="s">
        <v>73</v>
      </c>
      <c r="T377" s="121" t="str" cm="1">
        <f t="array" ref="T377">IF(ISNUMBER(SEARCH("SCHNEIDER",D377)),_xlfn.IFS(ISNUMBER(SEARCH("2 Querétaro",D377)),"SQ2",ISNUMBER(SEARCH("Xicohténcatl",D377)),"SXC",ISNUMBER(SEARCH("Rojo Gómez",D377)),"SRG",ISNUMBER(SEARCH("Tlaxcala",D377)),"STX",ISNUMBER(SEARCH("Monterrey",D377)),"SMY",ISNUMBER(SEARCH("Querétaro",D377)),"SQ1",ISNUMBER(SEARCH("CDMX",D377)),"SCM",TRUE,""),"")</f>
        <v/>
      </c>
      <c r="U377" s="48" t="str" cm="1">
        <f t="array" ref="U377">_xlfn.LET(_xlpm.resultados,_xlfn.UNIQUE(_xlfn._xlws.FILTER(Tabla1[Proceso],(Tabla1[Metal Base]=O377)*(Tabla1[Etiquetas]=_xlfn.TEXTJOIN(" + ",TRUE,IF((TRIM(Upload!P377:S377)="")+(LOWER(TRIM(Upload!P377:S377))="(seleccione)"),"",PROPER(TRIM(Upload!P377:S377)))))*(Tabla1[Línea2]=IFERROR(VLOOKUP(Upload!N377&amp;"*",CAT_Procesos!D:D,1,FALSE),"")))),_xlpm.cantidad,ROWS(_xlpm.resultados),IF(ISERROR(_xlpm.cantidad),"Combinación no existente",IF(_xlpm.cantidad=1,INDEX(_xlpm.resultados,1),"(seleccione)")))</f>
        <v>Combinación no existente</v>
      </c>
      <c r="V377" s="55" t="s">
        <v>73</v>
      </c>
      <c r="W377" s="56" t="s">
        <v>73</v>
      </c>
      <c r="X377" s="57" t="str">
        <f t="shared" si="20"/>
        <v/>
      </c>
      <c r="Y377" s="58" t="s">
        <v>73</v>
      </c>
      <c r="Z377" s="57" t="str">
        <f t="shared" si="21"/>
        <v/>
      </c>
      <c r="AA377" s="58" t="s">
        <v>73</v>
      </c>
      <c r="AB377" s="57" t="str">
        <f t="shared" si="22"/>
        <v/>
      </c>
      <c r="AC377" s="58" t="s">
        <v>73</v>
      </c>
      <c r="AD377" s="57" t="str">
        <f t="shared" si="23"/>
        <v/>
      </c>
      <c r="AE377" s="59"/>
      <c r="AF377" s="59"/>
      <c r="AG377" s="59"/>
      <c r="AH377" s="59"/>
      <c r="AI377" s="59" t="s">
        <v>73</v>
      </c>
      <c r="AJ377" s="59"/>
      <c r="AK377" s="59" t="s">
        <v>73</v>
      </c>
      <c r="AL377" s="59"/>
      <c r="AM377" s="59" t="s">
        <v>73</v>
      </c>
      <c r="AN377" s="59"/>
      <c r="AO377" s="59" t="s">
        <v>73</v>
      </c>
      <c r="AP377" s="59"/>
      <c r="AQ377" s="59" t="s">
        <v>73</v>
      </c>
      <c r="AR377" s="59"/>
      <c r="AS377" s="59" t="s">
        <v>72</v>
      </c>
      <c r="AT377" s="59"/>
      <c r="AU377" s="59"/>
      <c r="AV377" s="59"/>
      <c r="AW377" s="59"/>
      <c r="AX377" s="59"/>
      <c r="AY377" s="60" t="str">
        <f>IF('Cálculo MP'!K387="","",'Cálculo MP'!K387)</f>
        <v/>
      </c>
      <c r="AZ377" s="60" t="str">
        <f>IF('Cálculo MP'!L387="","",'Cálculo MP'!L387)</f>
        <v/>
      </c>
      <c r="BA377" s="60" t="str">
        <f>IF('Cálculo MP'!M387="","",'Cálculo MP'!M387)</f>
        <v/>
      </c>
      <c r="BB377" s="60" t="str">
        <f>IF('Cálculo MP'!N387="","",'Cálculo MP'!N387)</f>
        <v/>
      </c>
      <c r="BC377" s="60" t="str">
        <f>IF('Cálculo MP'!O387="","",'Cálculo MP'!O387)</f>
        <v/>
      </c>
      <c r="BD377" s="60" t="str">
        <f>IF('Cálculo MP'!P387="","",'Cálculo MP'!P387)</f>
        <v/>
      </c>
      <c r="BE377" s="60" t="str">
        <f>IF('Cálculo MP'!Q387="","",'Cálculo MP'!Q387)</f>
        <v/>
      </c>
      <c r="BF377" s="60" t="str">
        <f>IF('Cálculo MP'!R387="","",'Cálculo MP'!R387)</f>
        <v/>
      </c>
      <c r="BG377" s="60" t="str">
        <f>IF('Cálculo MP'!S387="","",'Cálculo MP'!S387)</f>
        <v/>
      </c>
      <c r="BH377" s="59"/>
      <c r="BI377" s="59"/>
      <c r="BJ377" s="59"/>
      <c r="BK377" s="59"/>
      <c r="BL377" s="59"/>
      <c r="BM377" s="59"/>
      <c r="BN377" s="59"/>
      <c r="BO377" s="59"/>
    </row>
    <row r="378" spans="1:67" ht="19.5" customHeight="1" x14ac:dyDescent="0.2">
      <c r="A378" s="114" t="s">
        <v>1789</v>
      </c>
      <c r="B378" s="113" t="s">
        <v>1787</v>
      </c>
      <c r="C378" s="122"/>
      <c r="D378" s="48" t="s">
        <v>73</v>
      </c>
      <c r="E378" s="49"/>
      <c r="F378" s="50"/>
      <c r="G378" s="62"/>
      <c r="H378" s="48" t="s">
        <v>72</v>
      </c>
      <c r="I378" s="52">
        <v>1</v>
      </c>
      <c r="J378" s="52"/>
      <c r="K378" s="52" t="s">
        <v>73</v>
      </c>
      <c r="L378" s="52" t="s">
        <v>74</v>
      </c>
      <c r="M378" s="53" t="s">
        <v>917</v>
      </c>
      <c r="N378" s="58" t="s">
        <v>73</v>
      </c>
      <c r="O378" s="48" t="s">
        <v>72</v>
      </c>
      <c r="P378" s="48" t="s">
        <v>73</v>
      </c>
      <c r="Q378" s="54" t="s">
        <v>73</v>
      </c>
      <c r="R378" s="55" t="s">
        <v>73</v>
      </c>
      <c r="S378" s="48" t="s">
        <v>73</v>
      </c>
      <c r="T378" s="121" t="str" cm="1">
        <f t="array" ref="T378">IF(ISNUMBER(SEARCH("SCHNEIDER",D378)),_xlfn.IFS(ISNUMBER(SEARCH("2 Querétaro",D378)),"SQ2",ISNUMBER(SEARCH("Xicohténcatl",D378)),"SXC",ISNUMBER(SEARCH("Rojo Gómez",D378)),"SRG",ISNUMBER(SEARCH("Tlaxcala",D378)),"STX",ISNUMBER(SEARCH("Monterrey",D378)),"SMY",ISNUMBER(SEARCH("Querétaro",D378)),"SQ1",ISNUMBER(SEARCH("CDMX",D378)),"SCM",TRUE,""),"")</f>
        <v/>
      </c>
      <c r="U378" s="48" t="str" cm="1">
        <f t="array" ref="U378">_xlfn.LET(_xlpm.resultados,_xlfn.UNIQUE(_xlfn._xlws.FILTER(Tabla1[Proceso],(Tabla1[Metal Base]=O378)*(Tabla1[Etiquetas]=_xlfn.TEXTJOIN(" + ",TRUE,IF((TRIM(Upload!P378:S378)="")+(LOWER(TRIM(Upload!P378:S378))="(seleccione)"),"",PROPER(TRIM(Upload!P378:S378)))))*(Tabla1[Línea2]=IFERROR(VLOOKUP(Upload!N378&amp;"*",CAT_Procesos!D:D,1,FALSE),"")))),_xlpm.cantidad,ROWS(_xlpm.resultados),IF(ISERROR(_xlpm.cantidad),"Combinación no existente",IF(_xlpm.cantidad=1,INDEX(_xlpm.resultados,1),"(seleccione)")))</f>
        <v>Combinación no existente</v>
      </c>
      <c r="V378" s="55" t="s">
        <v>73</v>
      </c>
      <c r="W378" s="56" t="s">
        <v>73</v>
      </c>
      <c r="X378" s="57" t="str">
        <f t="shared" si="20"/>
        <v/>
      </c>
      <c r="Y378" s="58" t="s">
        <v>73</v>
      </c>
      <c r="Z378" s="57" t="str">
        <f t="shared" si="21"/>
        <v/>
      </c>
      <c r="AA378" s="58" t="s">
        <v>73</v>
      </c>
      <c r="AB378" s="57" t="str">
        <f t="shared" si="22"/>
        <v/>
      </c>
      <c r="AC378" s="58" t="s">
        <v>73</v>
      </c>
      <c r="AD378" s="57" t="str">
        <f t="shared" si="23"/>
        <v/>
      </c>
      <c r="AE378" s="59"/>
      <c r="AF378" s="59"/>
      <c r="AG378" s="59"/>
      <c r="AH378" s="59"/>
      <c r="AI378" s="59" t="s">
        <v>73</v>
      </c>
      <c r="AJ378" s="59"/>
      <c r="AK378" s="59" t="s">
        <v>73</v>
      </c>
      <c r="AL378" s="59"/>
      <c r="AM378" s="59" t="s">
        <v>73</v>
      </c>
      <c r="AN378" s="59"/>
      <c r="AO378" s="59" t="s">
        <v>73</v>
      </c>
      <c r="AP378" s="59"/>
      <c r="AQ378" s="59" t="s">
        <v>73</v>
      </c>
      <c r="AR378" s="59"/>
      <c r="AS378" s="59" t="s">
        <v>72</v>
      </c>
      <c r="AT378" s="59"/>
      <c r="AU378" s="59"/>
      <c r="AV378" s="59"/>
      <c r="AW378" s="59"/>
      <c r="AX378" s="59"/>
      <c r="AY378" s="60" t="str">
        <f>IF('Cálculo MP'!K388="","",'Cálculo MP'!K388)</f>
        <v/>
      </c>
      <c r="AZ378" s="60" t="str">
        <f>IF('Cálculo MP'!L388="","",'Cálculo MP'!L388)</f>
        <v/>
      </c>
      <c r="BA378" s="60" t="str">
        <f>IF('Cálculo MP'!M388="","",'Cálculo MP'!M388)</f>
        <v/>
      </c>
      <c r="BB378" s="60" t="str">
        <f>IF('Cálculo MP'!N388="","",'Cálculo MP'!N388)</f>
        <v/>
      </c>
      <c r="BC378" s="60" t="str">
        <f>IF('Cálculo MP'!O388="","",'Cálculo MP'!O388)</f>
        <v/>
      </c>
      <c r="BD378" s="60" t="str">
        <f>IF('Cálculo MP'!P388="","",'Cálculo MP'!P388)</f>
        <v/>
      </c>
      <c r="BE378" s="60" t="str">
        <f>IF('Cálculo MP'!Q388="","",'Cálculo MP'!Q388)</f>
        <v/>
      </c>
      <c r="BF378" s="60" t="str">
        <f>IF('Cálculo MP'!R388="","",'Cálculo MP'!R388)</f>
        <v/>
      </c>
      <c r="BG378" s="60" t="str">
        <f>IF('Cálculo MP'!S388="","",'Cálculo MP'!S388)</f>
        <v/>
      </c>
      <c r="BH378" s="59"/>
      <c r="BI378" s="59"/>
      <c r="BJ378" s="59"/>
      <c r="BK378" s="59"/>
      <c r="BL378" s="59"/>
      <c r="BM378" s="59"/>
      <c r="BN378" s="59"/>
      <c r="BO378" s="59"/>
    </row>
    <row r="379" spans="1:67" ht="19.5" customHeight="1" x14ac:dyDescent="0.2">
      <c r="A379" s="114" t="s">
        <v>1789</v>
      </c>
      <c r="B379" s="113" t="s">
        <v>1787</v>
      </c>
      <c r="C379" s="122"/>
      <c r="D379" s="48" t="s">
        <v>73</v>
      </c>
      <c r="E379" s="49"/>
      <c r="F379" s="50"/>
      <c r="G379" s="62"/>
      <c r="H379" s="48" t="s">
        <v>72</v>
      </c>
      <c r="I379" s="52">
        <v>1</v>
      </c>
      <c r="J379" s="52"/>
      <c r="K379" s="52" t="s">
        <v>73</v>
      </c>
      <c r="L379" s="52" t="s">
        <v>74</v>
      </c>
      <c r="M379" s="53" t="s">
        <v>917</v>
      </c>
      <c r="N379" s="58" t="s">
        <v>73</v>
      </c>
      <c r="O379" s="48" t="s">
        <v>72</v>
      </c>
      <c r="P379" s="48" t="s">
        <v>73</v>
      </c>
      <c r="Q379" s="54" t="s">
        <v>73</v>
      </c>
      <c r="R379" s="55" t="s">
        <v>73</v>
      </c>
      <c r="S379" s="48" t="s">
        <v>73</v>
      </c>
      <c r="T379" s="121" t="str" cm="1">
        <f t="array" ref="T379">IF(ISNUMBER(SEARCH("SCHNEIDER",D379)),_xlfn.IFS(ISNUMBER(SEARCH("2 Querétaro",D379)),"SQ2",ISNUMBER(SEARCH("Xicohténcatl",D379)),"SXC",ISNUMBER(SEARCH("Rojo Gómez",D379)),"SRG",ISNUMBER(SEARCH("Tlaxcala",D379)),"STX",ISNUMBER(SEARCH("Monterrey",D379)),"SMY",ISNUMBER(SEARCH("Querétaro",D379)),"SQ1",ISNUMBER(SEARCH("CDMX",D379)),"SCM",TRUE,""),"")</f>
        <v/>
      </c>
      <c r="U379" s="48" t="str" cm="1">
        <f t="array" ref="U379">_xlfn.LET(_xlpm.resultados,_xlfn.UNIQUE(_xlfn._xlws.FILTER(Tabla1[Proceso],(Tabla1[Metal Base]=O379)*(Tabla1[Etiquetas]=_xlfn.TEXTJOIN(" + ",TRUE,IF((TRIM(Upload!P379:S379)="")+(LOWER(TRIM(Upload!P379:S379))="(seleccione)"),"",PROPER(TRIM(Upload!P379:S379)))))*(Tabla1[Línea2]=IFERROR(VLOOKUP(Upload!N379&amp;"*",CAT_Procesos!D:D,1,FALSE),"")))),_xlpm.cantidad,ROWS(_xlpm.resultados),IF(ISERROR(_xlpm.cantidad),"Combinación no existente",IF(_xlpm.cantidad=1,INDEX(_xlpm.resultados,1),"(seleccione)")))</f>
        <v>Combinación no existente</v>
      </c>
      <c r="V379" s="55" t="s">
        <v>73</v>
      </c>
      <c r="W379" s="56" t="s">
        <v>73</v>
      </c>
      <c r="X379" s="57" t="str">
        <f t="shared" si="20"/>
        <v/>
      </c>
      <c r="Y379" s="58" t="s">
        <v>73</v>
      </c>
      <c r="Z379" s="57" t="str">
        <f t="shared" si="21"/>
        <v/>
      </c>
      <c r="AA379" s="58" t="s">
        <v>73</v>
      </c>
      <c r="AB379" s="57" t="str">
        <f t="shared" si="22"/>
        <v/>
      </c>
      <c r="AC379" s="58" t="s">
        <v>73</v>
      </c>
      <c r="AD379" s="57" t="str">
        <f t="shared" si="23"/>
        <v/>
      </c>
      <c r="AE379" s="59"/>
      <c r="AF379" s="59"/>
      <c r="AG379" s="59"/>
      <c r="AH379" s="59"/>
      <c r="AI379" s="59" t="s">
        <v>73</v>
      </c>
      <c r="AJ379" s="59"/>
      <c r="AK379" s="59" t="s">
        <v>73</v>
      </c>
      <c r="AL379" s="59"/>
      <c r="AM379" s="59" t="s">
        <v>73</v>
      </c>
      <c r="AN379" s="59"/>
      <c r="AO379" s="59" t="s">
        <v>73</v>
      </c>
      <c r="AP379" s="59"/>
      <c r="AQ379" s="59" t="s">
        <v>73</v>
      </c>
      <c r="AR379" s="59"/>
      <c r="AS379" s="59" t="s">
        <v>72</v>
      </c>
      <c r="AT379" s="59"/>
      <c r="AU379" s="59"/>
      <c r="AV379" s="59"/>
      <c r="AW379" s="59"/>
      <c r="AX379" s="59"/>
      <c r="AY379" s="60" t="str">
        <f>IF('Cálculo MP'!K389="","",'Cálculo MP'!K389)</f>
        <v/>
      </c>
      <c r="AZ379" s="60" t="str">
        <f>IF('Cálculo MP'!L389="","",'Cálculo MP'!L389)</f>
        <v/>
      </c>
      <c r="BA379" s="60" t="str">
        <f>IF('Cálculo MP'!M389="","",'Cálculo MP'!M389)</f>
        <v/>
      </c>
      <c r="BB379" s="60" t="str">
        <f>IF('Cálculo MP'!N389="","",'Cálculo MP'!N389)</f>
        <v/>
      </c>
      <c r="BC379" s="60" t="str">
        <f>IF('Cálculo MP'!O389="","",'Cálculo MP'!O389)</f>
        <v/>
      </c>
      <c r="BD379" s="60" t="str">
        <f>IF('Cálculo MP'!P389="","",'Cálculo MP'!P389)</f>
        <v/>
      </c>
      <c r="BE379" s="60" t="str">
        <f>IF('Cálculo MP'!Q389="","",'Cálculo MP'!Q389)</f>
        <v/>
      </c>
      <c r="BF379" s="60" t="str">
        <f>IF('Cálculo MP'!R389="","",'Cálculo MP'!R389)</f>
        <v/>
      </c>
      <c r="BG379" s="60" t="str">
        <f>IF('Cálculo MP'!S389="","",'Cálculo MP'!S389)</f>
        <v/>
      </c>
      <c r="BH379" s="59"/>
      <c r="BI379" s="59"/>
      <c r="BJ379" s="59"/>
      <c r="BK379" s="59"/>
      <c r="BL379" s="59"/>
      <c r="BM379" s="59"/>
      <c r="BN379" s="59"/>
      <c r="BO379" s="59"/>
    </row>
    <row r="380" spans="1:67" ht="19.5" customHeight="1" x14ac:dyDescent="0.2">
      <c r="A380" s="114" t="s">
        <v>1789</v>
      </c>
      <c r="B380" s="113" t="s">
        <v>1787</v>
      </c>
      <c r="C380" s="122"/>
      <c r="D380" s="48" t="s">
        <v>73</v>
      </c>
      <c r="E380" s="49"/>
      <c r="F380" s="50"/>
      <c r="G380" s="62"/>
      <c r="H380" s="48" t="s">
        <v>72</v>
      </c>
      <c r="I380" s="52">
        <v>1</v>
      </c>
      <c r="J380" s="52"/>
      <c r="K380" s="52" t="s">
        <v>73</v>
      </c>
      <c r="L380" s="52" t="s">
        <v>74</v>
      </c>
      <c r="M380" s="53" t="s">
        <v>917</v>
      </c>
      <c r="N380" s="58" t="s">
        <v>73</v>
      </c>
      <c r="O380" s="48" t="s">
        <v>72</v>
      </c>
      <c r="P380" s="48" t="s">
        <v>73</v>
      </c>
      <c r="Q380" s="54" t="s">
        <v>73</v>
      </c>
      <c r="R380" s="55" t="s">
        <v>73</v>
      </c>
      <c r="S380" s="48" t="s">
        <v>73</v>
      </c>
      <c r="T380" s="121" t="str" cm="1">
        <f t="array" ref="T380">IF(ISNUMBER(SEARCH("SCHNEIDER",D380)),_xlfn.IFS(ISNUMBER(SEARCH("2 Querétaro",D380)),"SQ2",ISNUMBER(SEARCH("Xicohténcatl",D380)),"SXC",ISNUMBER(SEARCH("Rojo Gómez",D380)),"SRG",ISNUMBER(SEARCH("Tlaxcala",D380)),"STX",ISNUMBER(SEARCH("Monterrey",D380)),"SMY",ISNUMBER(SEARCH("Querétaro",D380)),"SQ1",ISNUMBER(SEARCH("CDMX",D380)),"SCM",TRUE,""),"")</f>
        <v/>
      </c>
      <c r="U380" s="48" t="str" cm="1">
        <f t="array" ref="U380">_xlfn.LET(_xlpm.resultados,_xlfn.UNIQUE(_xlfn._xlws.FILTER(Tabla1[Proceso],(Tabla1[Metal Base]=O380)*(Tabla1[Etiquetas]=_xlfn.TEXTJOIN(" + ",TRUE,IF((TRIM(Upload!P380:S380)="")+(LOWER(TRIM(Upload!P380:S380))="(seleccione)"),"",PROPER(TRIM(Upload!P380:S380)))))*(Tabla1[Línea2]=IFERROR(VLOOKUP(Upload!N380&amp;"*",CAT_Procesos!D:D,1,FALSE),"")))),_xlpm.cantidad,ROWS(_xlpm.resultados),IF(ISERROR(_xlpm.cantidad),"Combinación no existente",IF(_xlpm.cantidad=1,INDEX(_xlpm.resultados,1),"(seleccione)")))</f>
        <v>Combinación no existente</v>
      </c>
      <c r="V380" s="55" t="s">
        <v>73</v>
      </c>
      <c r="W380" s="56" t="s">
        <v>73</v>
      </c>
      <c r="X380" s="57" t="str">
        <f t="shared" si="20"/>
        <v/>
      </c>
      <c r="Y380" s="58" t="s">
        <v>73</v>
      </c>
      <c r="Z380" s="57" t="str">
        <f t="shared" si="21"/>
        <v/>
      </c>
      <c r="AA380" s="58" t="s">
        <v>73</v>
      </c>
      <c r="AB380" s="57" t="str">
        <f t="shared" si="22"/>
        <v/>
      </c>
      <c r="AC380" s="58" t="s">
        <v>73</v>
      </c>
      <c r="AD380" s="57" t="str">
        <f t="shared" si="23"/>
        <v/>
      </c>
      <c r="AE380" s="59"/>
      <c r="AF380" s="59"/>
      <c r="AG380" s="59"/>
      <c r="AH380" s="59"/>
      <c r="AI380" s="59" t="s">
        <v>73</v>
      </c>
      <c r="AJ380" s="59"/>
      <c r="AK380" s="59" t="s">
        <v>73</v>
      </c>
      <c r="AL380" s="59"/>
      <c r="AM380" s="59" t="s">
        <v>73</v>
      </c>
      <c r="AN380" s="59"/>
      <c r="AO380" s="59" t="s">
        <v>73</v>
      </c>
      <c r="AP380" s="59"/>
      <c r="AQ380" s="59" t="s">
        <v>73</v>
      </c>
      <c r="AR380" s="59"/>
      <c r="AS380" s="59" t="s">
        <v>72</v>
      </c>
      <c r="AT380" s="59"/>
      <c r="AU380" s="59"/>
      <c r="AV380" s="59"/>
      <c r="AW380" s="59"/>
      <c r="AX380" s="59"/>
      <c r="AY380" s="60" t="str">
        <f>IF('Cálculo MP'!K390="","",'Cálculo MP'!K390)</f>
        <v/>
      </c>
      <c r="AZ380" s="60" t="str">
        <f>IF('Cálculo MP'!L390="","",'Cálculo MP'!L390)</f>
        <v/>
      </c>
      <c r="BA380" s="60" t="str">
        <f>IF('Cálculo MP'!M390="","",'Cálculo MP'!M390)</f>
        <v/>
      </c>
      <c r="BB380" s="60" t="str">
        <f>IF('Cálculo MP'!N390="","",'Cálculo MP'!N390)</f>
        <v/>
      </c>
      <c r="BC380" s="60" t="str">
        <f>IF('Cálculo MP'!O390="","",'Cálculo MP'!O390)</f>
        <v/>
      </c>
      <c r="BD380" s="60" t="str">
        <f>IF('Cálculo MP'!P390="","",'Cálculo MP'!P390)</f>
        <v/>
      </c>
      <c r="BE380" s="60" t="str">
        <f>IF('Cálculo MP'!Q390="","",'Cálculo MP'!Q390)</f>
        <v/>
      </c>
      <c r="BF380" s="60" t="str">
        <f>IF('Cálculo MP'!R390="","",'Cálculo MP'!R390)</f>
        <v/>
      </c>
      <c r="BG380" s="60" t="str">
        <f>IF('Cálculo MP'!S390="","",'Cálculo MP'!S390)</f>
        <v/>
      </c>
      <c r="BH380" s="59"/>
      <c r="BI380" s="59"/>
      <c r="BJ380" s="59"/>
      <c r="BK380" s="59"/>
      <c r="BL380" s="59"/>
      <c r="BM380" s="59"/>
      <c r="BN380" s="59"/>
      <c r="BO380" s="59"/>
    </row>
    <row r="381" spans="1:67" ht="19.5" customHeight="1" x14ac:dyDescent="0.2">
      <c r="A381" s="114" t="s">
        <v>1789</v>
      </c>
      <c r="B381" s="113" t="s">
        <v>1787</v>
      </c>
      <c r="C381" s="122"/>
      <c r="D381" s="48" t="s">
        <v>73</v>
      </c>
      <c r="E381" s="49"/>
      <c r="F381" s="50"/>
      <c r="G381" s="62"/>
      <c r="H381" s="48" t="s">
        <v>72</v>
      </c>
      <c r="I381" s="52">
        <v>1</v>
      </c>
      <c r="J381" s="52"/>
      <c r="K381" s="52" t="s">
        <v>73</v>
      </c>
      <c r="L381" s="52" t="s">
        <v>74</v>
      </c>
      <c r="M381" s="53" t="s">
        <v>917</v>
      </c>
      <c r="N381" s="58" t="s">
        <v>73</v>
      </c>
      <c r="O381" s="48" t="s">
        <v>72</v>
      </c>
      <c r="P381" s="48" t="s">
        <v>73</v>
      </c>
      <c r="Q381" s="54" t="s">
        <v>73</v>
      </c>
      <c r="R381" s="55" t="s">
        <v>73</v>
      </c>
      <c r="S381" s="48" t="s">
        <v>73</v>
      </c>
      <c r="T381" s="121" t="str" cm="1">
        <f t="array" ref="T381">IF(ISNUMBER(SEARCH("SCHNEIDER",D381)),_xlfn.IFS(ISNUMBER(SEARCH("2 Querétaro",D381)),"SQ2",ISNUMBER(SEARCH("Xicohténcatl",D381)),"SXC",ISNUMBER(SEARCH("Rojo Gómez",D381)),"SRG",ISNUMBER(SEARCH("Tlaxcala",D381)),"STX",ISNUMBER(SEARCH("Monterrey",D381)),"SMY",ISNUMBER(SEARCH("Querétaro",D381)),"SQ1",ISNUMBER(SEARCH("CDMX",D381)),"SCM",TRUE,""),"")</f>
        <v/>
      </c>
      <c r="U381" s="48" t="str" cm="1">
        <f t="array" ref="U381">_xlfn.LET(_xlpm.resultados,_xlfn.UNIQUE(_xlfn._xlws.FILTER(Tabla1[Proceso],(Tabla1[Metal Base]=O381)*(Tabla1[Etiquetas]=_xlfn.TEXTJOIN(" + ",TRUE,IF((TRIM(Upload!P381:S381)="")+(LOWER(TRIM(Upload!P381:S381))="(seleccione)"),"",PROPER(TRIM(Upload!P381:S381)))))*(Tabla1[Línea2]=IFERROR(VLOOKUP(Upload!N381&amp;"*",CAT_Procesos!D:D,1,FALSE),"")))),_xlpm.cantidad,ROWS(_xlpm.resultados),IF(ISERROR(_xlpm.cantidad),"Combinación no existente",IF(_xlpm.cantidad=1,INDEX(_xlpm.resultados,1),"(seleccione)")))</f>
        <v>Combinación no existente</v>
      </c>
      <c r="V381" s="55" t="s">
        <v>73</v>
      </c>
      <c r="W381" s="56" t="s">
        <v>73</v>
      </c>
      <c r="X381" s="57" t="str">
        <f t="shared" si="20"/>
        <v/>
      </c>
      <c r="Y381" s="58" t="s">
        <v>73</v>
      </c>
      <c r="Z381" s="57" t="str">
        <f t="shared" si="21"/>
        <v/>
      </c>
      <c r="AA381" s="58" t="s">
        <v>73</v>
      </c>
      <c r="AB381" s="57" t="str">
        <f t="shared" si="22"/>
        <v/>
      </c>
      <c r="AC381" s="58" t="s">
        <v>73</v>
      </c>
      <c r="AD381" s="57" t="str">
        <f t="shared" si="23"/>
        <v/>
      </c>
      <c r="AE381" s="59"/>
      <c r="AF381" s="59"/>
      <c r="AG381" s="59"/>
      <c r="AH381" s="59"/>
      <c r="AI381" s="59" t="s">
        <v>73</v>
      </c>
      <c r="AJ381" s="59"/>
      <c r="AK381" s="59" t="s">
        <v>73</v>
      </c>
      <c r="AL381" s="59"/>
      <c r="AM381" s="59" t="s">
        <v>73</v>
      </c>
      <c r="AN381" s="59"/>
      <c r="AO381" s="59" t="s">
        <v>73</v>
      </c>
      <c r="AP381" s="59"/>
      <c r="AQ381" s="59" t="s">
        <v>73</v>
      </c>
      <c r="AR381" s="59"/>
      <c r="AS381" s="59" t="s">
        <v>72</v>
      </c>
      <c r="AT381" s="59"/>
      <c r="AU381" s="59"/>
      <c r="AV381" s="59"/>
      <c r="AW381" s="59"/>
      <c r="AX381" s="59"/>
      <c r="AY381" s="60" t="str">
        <f>IF('Cálculo MP'!K391="","",'Cálculo MP'!K391)</f>
        <v/>
      </c>
      <c r="AZ381" s="60" t="str">
        <f>IF('Cálculo MP'!L391="","",'Cálculo MP'!L391)</f>
        <v/>
      </c>
      <c r="BA381" s="60" t="str">
        <f>IF('Cálculo MP'!M391="","",'Cálculo MP'!M391)</f>
        <v/>
      </c>
      <c r="BB381" s="60" t="str">
        <f>IF('Cálculo MP'!N391="","",'Cálculo MP'!N391)</f>
        <v/>
      </c>
      <c r="BC381" s="60" t="str">
        <f>IF('Cálculo MP'!O391="","",'Cálculo MP'!O391)</f>
        <v/>
      </c>
      <c r="BD381" s="60" t="str">
        <f>IF('Cálculo MP'!P391="","",'Cálculo MP'!P391)</f>
        <v/>
      </c>
      <c r="BE381" s="60" t="str">
        <f>IF('Cálculo MP'!Q391="","",'Cálculo MP'!Q391)</f>
        <v/>
      </c>
      <c r="BF381" s="60" t="str">
        <f>IF('Cálculo MP'!R391="","",'Cálculo MP'!R391)</f>
        <v/>
      </c>
      <c r="BG381" s="60" t="str">
        <f>IF('Cálculo MP'!S391="","",'Cálculo MP'!S391)</f>
        <v/>
      </c>
      <c r="BH381" s="59"/>
      <c r="BI381" s="59"/>
      <c r="BJ381" s="59"/>
      <c r="BK381" s="59"/>
      <c r="BL381" s="59"/>
      <c r="BM381" s="59"/>
      <c r="BN381" s="59"/>
      <c r="BO381" s="59"/>
    </row>
    <row r="382" spans="1:67" ht="19.5" customHeight="1" x14ac:dyDescent="0.2">
      <c r="A382" s="114" t="s">
        <v>1789</v>
      </c>
      <c r="B382" s="113" t="s">
        <v>1787</v>
      </c>
      <c r="C382" s="122"/>
      <c r="D382" s="48" t="s">
        <v>73</v>
      </c>
      <c r="E382" s="49"/>
      <c r="F382" s="50"/>
      <c r="G382" s="62"/>
      <c r="H382" s="48" t="s">
        <v>72</v>
      </c>
      <c r="I382" s="52">
        <v>1</v>
      </c>
      <c r="J382" s="52"/>
      <c r="K382" s="52" t="s">
        <v>73</v>
      </c>
      <c r="L382" s="52" t="s">
        <v>74</v>
      </c>
      <c r="M382" s="53" t="s">
        <v>917</v>
      </c>
      <c r="N382" s="58" t="s">
        <v>73</v>
      </c>
      <c r="O382" s="48" t="s">
        <v>72</v>
      </c>
      <c r="P382" s="48" t="s">
        <v>73</v>
      </c>
      <c r="Q382" s="54" t="s">
        <v>73</v>
      </c>
      <c r="R382" s="55" t="s">
        <v>73</v>
      </c>
      <c r="S382" s="48" t="s">
        <v>73</v>
      </c>
      <c r="T382" s="121" t="str" cm="1">
        <f t="array" ref="T382">IF(ISNUMBER(SEARCH("SCHNEIDER",D382)),_xlfn.IFS(ISNUMBER(SEARCH("2 Querétaro",D382)),"SQ2",ISNUMBER(SEARCH("Xicohténcatl",D382)),"SXC",ISNUMBER(SEARCH("Rojo Gómez",D382)),"SRG",ISNUMBER(SEARCH("Tlaxcala",D382)),"STX",ISNUMBER(SEARCH("Monterrey",D382)),"SMY",ISNUMBER(SEARCH("Querétaro",D382)),"SQ1",ISNUMBER(SEARCH("CDMX",D382)),"SCM",TRUE,""),"")</f>
        <v/>
      </c>
      <c r="U382" s="48" t="str" cm="1">
        <f t="array" ref="U382">_xlfn.LET(_xlpm.resultados,_xlfn.UNIQUE(_xlfn._xlws.FILTER(Tabla1[Proceso],(Tabla1[Metal Base]=O382)*(Tabla1[Etiquetas]=_xlfn.TEXTJOIN(" + ",TRUE,IF((TRIM(Upload!P382:S382)="")+(LOWER(TRIM(Upload!P382:S382))="(seleccione)"),"",PROPER(TRIM(Upload!P382:S382)))))*(Tabla1[Línea2]=IFERROR(VLOOKUP(Upload!N382&amp;"*",CAT_Procesos!D:D,1,FALSE),"")))),_xlpm.cantidad,ROWS(_xlpm.resultados),IF(ISERROR(_xlpm.cantidad),"Combinación no existente",IF(_xlpm.cantidad=1,INDEX(_xlpm.resultados,1),"(seleccione)")))</f>
        <v>Combinación no existente</v>
      </c>
      <c r="V382" s="55" t="s">
        <v>73</v>
      </c>
      <c r="W382" s="56" t="s">
        <v>73</v>
      </c>
      <c r="X382" s="57" t="str">
        <f t="shared" si="20"/>
        <v/>
      </c>
      <c r="Y382" s="58" t="s">
        <v>73</v>
      </c>
      <c r="Z382" s="57" t="str">
        <f t="shared" si="21"/>
        <v/>
      </c>
      <c r="AA382" s="58" t="s">
        <v>73</v>
      </c>
      <c r="AB382" s="57" t="str">
        <f t="shared" si="22"/>
        <v/>
      </c>
      <c r="AC382" s="58" t="s">
        <v>73</v>
      </c>
      <c r="AD382" s="57" t="str">
        <f t="shared" si="23"/>
        <v/>
      </c>
      <c r="AE382" s="59"/>
      <c r="AF382" s="59"/>
      <c r="AG382" s="59"/>
      <c r="AH382" s="59"/>
      <c r="AI382" s="59" t="s">
        <v>73</v>
      </c>
      <c r="AJ382" s="59"/>
      <c r="AK382" s="59" t="s">
        <v>73</v>
      </c>
      <c r="AL382" s="59"/>
      <c r="AM382" s="59" t="s">
        <v>73</v>
      </c>
      <c r="AN382" s="59"/>
      <c r="AO382" s="59" t="s">
        <v>73</v>
      </c>
      <c r="AP382" s="59"/>
      <c r="AQ382" s="59" t="s">
        <v>73</v>
      </c>
      <c r="AR382" s="59"/>
      <c r="AS382" s="59" t="s">
        <v>72</v>
      </c>
      <c r="AT382" s="59"/>
      <c r="AU382" s="59"/>
      <c r="AV382" s="59"/>
      <c r="AW382" s="59"/>
      <c r="AX382" s="59"/>
      <c r="AY382" s="60" t="str">
        <f>IF('Cálculo MP'!K392="","",'Cálculo MP'!K392)</f>
        <v/>
      </c>
      <c r="AZ382" s="60" t="str">
        <f>IF('Cálculo MP'!L392="","",'Cálculo MP'!L392)</f>
        <v/>
      </c>
      <c r="BA382" s="60" t="str">
        <f>IF('Cálculo MP'!M392="","",'Cálculo MP'!M392)</f>
        <v/>
      </c>
      <c r="BB382" s="60" t="str">
        <f>IF('Cálculo MP'!N392="","",'Cálculo MP'!N392)</f>
        <v/>
      </c>
      <c r="BC382" s="60" t="str">
        <f>IF('Cálculo MP'!O392="","",'Cálculo MP'!O392)</f>
        <v/>
      </c>
      <c r="BD382" s="60" t="str">
        <f>IF('Cálculo MP'!P392="","",'Cálculo MP'!P392)</f>
        <v/>
      </c>
      <c r="BE382" s="60" t="str">
        <f>IF('Cálculo MP'!Q392="","",'Cálculo MP'!Q392)</f>
        <v/>
      </c>
      <c r="BF382" s="60" t="str">
        <f>IF('Cálculo MP'!R392="","",'Cálculo MP'!R392)</f>
        <v/>
      </c>
      <c r="BG382" s="60" t="str">
        <f>IF('Cálculo MP'!S392="","",'Cálculo MP'!S392)</f>
        <v/>
      </c>
      <c r="BH382" s="59"/>
      <c r="BI382" s="59"/>
      <c r="BJ382" s="59"/>
      <c r="BK382" s="59"/>
      <c r="BL382" s="59"/>
      <c r="BM382" s="59"/>
      <c r="BN382" s="59"/>
      <c r="BO382" s="59"/>
    </row>
    <row r="383" spans="1:67" ht="19.5" customHeight="1" x14ac:dyDescent="0.2">
      <c r="A383" s="114" t="s">
        <v>1789</v>
      </c>
      <c r="B383" s="113" t="s">
        <v>1787</v>
      </c>
      <c r="C383" s="122"/>
      <c r="D383" s="48" t="s">
        <v>73</v>
      </c>
      <c r="E383" s="49"/>
      <c r="F383" s="50"/>
      <c r="G383" s="62"/>
      <c r="H383" s="48" t="s">
        <v>72</v>
      </c>
      <c r="I383" s="52">
        <v>1</v>
      </c>
      <c r="J383" s="52"/>
      <c r="K383" s="52" t="s">
        <v>73</v>
      </c>
      <c r="L383" s="52" t="s">
        <v>74</v>
      </c>
      <c r="M383" s="53" t="s">
        <v>917</v>
      </c>
      <c r="N383" s="58" t="s">
        <v>73</v>
      </c>
      <c r="O383" s="48" t="s">
        <v>72</v>
      </c>
      <c r="P383" s="48" t="s">
        <v>73</v>
      </c>
      <c r="Q383" s="54" t="s">
        <v>73</v>
      </c>
      <c r="R383" s="55" t="s">
        <v>73</v>
      </c>
      <c r="S383" s="48" t="s">
        <v>73</v>
      </c>
      <c r="T383" s="121" t="str" cm="1">
        <f t="array" ref="T383">IF(ISNUMBER(SEARCH("SCHNEIDER",D383)),_xlfn.IFS(ISNUMBER(SEARCH("2 Querétaro",D383)),"SQ2",ISNUMBER(SEARCH("Xicohténcatl",D383)),"SXC",ISNUMBER(SEARCH("Rojo Gómez",D383)),"SRG",ISNUMBER(SEARCH("Tlaxcala",D383)),"STX",ISNUMBER(SEARCH("Monterrey",D383)),"SMY",ISNUMBER(SEARCH("Querétaro",D383)),"SQ1",ISNUMBER(SEARCH("CDMX",D383)),"SCM",TRUE,""),"")</f>
        <v/>
      </c>
      <c r="U383" s="48" t="str" cm="1">
        <f t="array" ref="U383">_xlfn.LET(_xlpm.resultados,_xlfn.UNIQUE(_xlfn._xlws.FILTER(Tabla1[Proceso],(Tabla1[Metal Base]=O383)*(Tabla1[Etiquetas]=_xlfn.TEXTJOIN(" + ",TRUE,IF((TRIM(Upload!P383:S383)="")+(LOWER(TRIM(Upload!P383:S383))="(seleccione)"),"",PROPER(TRIM(Upload!P383:S383)))))*(Tabla1[Línea2]=IFERROR(VLOOKUP(Upload!N383&amp;"*",CAT_Procesos!D:D,1,FALSE),"")))),_xlpm.cantidad,ROWS(_xlpm.resultados),IF(ISERROR(_xlpm.cantidad),"Combinación no existente",IF(_xlpm.cantidad=1,INDEX(_xlpm.resultados,1),"(seleccione)")))</f>
        <v>Combinación no existente</v>
      </c>
      <c r="V383" s="55" t="s">
        <v>73</v>
      </c>
      <c r="W383" s="56" t="s">
        <v>73</v>
      </c>
      <c r="X383" s="57" t="str">
        <f t="shared" si="20"/>
        <v/>
      </c>
      <c r="Y383" s="58" t="s">
        <v>73</v>
      </c>
      <c r="Z383" s="57" t="str">
        <f t="shared" si="21"/>
        <v/>
      </c>
      <c r="AA383" s="58" t="s">
        <v>73</v>
      </c>
      <c r="AB383" s="57" t="str">
        <f t="shared" si="22"/>
        <v/>
      </c>
      <c r="AC383" s="58" t="s">
        <v>73</v>
      </c>
      <c r="AD383" s="57" t="str">
        <f t="shared" si="23"/>
        <v/>
      </c>
      <c r="AE383" s="59"/>
      <c r="AF383" s="59"/>
      <c r="AG383" s="59"/>
      <c r="AH383" s="59"/>
      <c r="AI383" s="59" t="s">
        <v>73</v>
      </c>
      <c r="AJ383" s="59"/>
      <c r="AK383" s="59" t="s">
        <v>73</v>
      </c>
      <c r="AL383" s="59"/>
      <c r="AM383" s="59" t="s">
        <v>73</v>
      </c>
      <c r="AN383" s="59"/>
      <c r="AO383" s="59" t="s">
        <v>73</v>
      </c>
      <c r="AP383" s="59"/>
      <c r="AQ383" s="59" t="s">
        <v>73</v>
      </c>
      <c r="AR383" s="59"/>
      <c r="AS383" s="59" t="s">
        <v>72</v>
      </c>
      <c r="AT383" s="59"/>
      <c r="AU383" s="59"/>
      <c r="AV383" s="59"/>
      <c r="AW383" s="59"/>
      <c r="AX383" s="59"/>
      <c r="AY383" s="60" t="str">
        <f>IF('Cálculo MP'!K393="","",'Cálculo MP'!K393)</f>
        <v/>
      </c>
      <c r="AZ383" s="60" t="str">
        <f>IF('Cálculo MP'!L393="","",'Cálculo MP'!L393)</f>
        <v/>
      </c>
      <c r="BA383" s="60" t="str">
        <f>IF('Cálculo MP'!M393="","",'Cálculo MP'!M393)</f>
        <v/>
      </c>
      <c r="BB383" s="60" t="str">
        <f>IF('Cálculo MP'!N393="","",'Cálculo MP'!N393)</f>
        <v/>
      </c>
      <c r="BC383" s="60" t="str">
        <f>IF('Cálculo MP'!O393="","",'Cálculo MP'!O393)</f>
        <v/>
      </c>
      <c r="BD383" s="60" t="str">
        <f>IF('Cálculo MP'!P393="","",'Cálculo MP'!P393)</f>
        <v/>
      </c>
      <c r="BE383" s="60" t="str">
        <f>IF('Cálculo MP'!Q393="","",'Cálculo MP'!Q393)</f>
        <v/>
      </c>
      <c r="BF383" s="60" t="str">
        <f>IF('Cálculo MP'!R393="","",'Cálculo MP'!R393)</f>
        <v/>
      </c>
      <c r="BG383" s="60" t="str">
        <f>IF('Cálculo MP'!S393="","",'Cálculo MP'!S393)</f>
        <v/>
      </c>
      <c r="BH383" s="59"/>
      <c r="BI383" s="59"/>
      <c r="BJ383" s="59"/>
      <c r="BK383" s="59"/>
      <c r="BL383" s="59"/>
      <c r="BM383" s="59"/>
      <c r="BN383" s="59"/>
      <c r="BO383" s="59"/>
    </row>
    <row r="384" spans="1:67" ht="19.5" customHeight="1" x14ac:dyDescent="0.2">
      <c r="A384" s="114" t="s">
        <v>1789</v>
      </c>
      <c r="B384" s="113" t="s">
        <v>1787</v>
      </c>
      <c r="C384" s="122"/>
      <c r="D384" s="48" t="s">
        <v>73</v>
      </c>
      <c r="E384" s="49"/>
      <c r="F384" s="50"/>
      <c r="G384" s="62"/>
      <c r="H384" s="48" t="s">
        <v>72</v>
      </c>
      <c r="I384" s="52">
        <v>1</v>
      </c>
      <c r="J384" s="52"/>
      <c r="K384" s="52" t="s">
        <v>73</v>
      </c>
      <c r="L384" s="52" t="s">
        <v>74</v>
      </c>
      <c r="M384" s="53" t="s">
        <v>917</v>
      </c>
      <c r="N384" s="58" t="s">
        <v>73</v>
      </c>
      <c r="O384" s="48" t="s">
        <v>72</v>
      </c>
      <c r="P384" s="48" t="s">
        <v>73</v>
      </c>
      <c r="Q384" s="54" t="s">
        <v>73</v>
      </c>
      <c r="R384" s="55" t="s">
        <v>73</v>
      </c>
      <c r="S384" s="48" t="s">
        <v>73</v>
      </c>
      <c r="T384" s="121" t="str" cm="1">
        <f t="array" ref="T384">IF(ISNUMBER(SEARCH("SCHNEIDER",D384)),_xlfn.IFS(ISNUMBER(SEARCH("2 Querétaro",D384)),"SQ2",ISNUMBER(SEARCH("Xicohténcatl",D384)),"SXC",ISNUMBER(SEARCH("Rojo Gómez",D384)),"SRG",ISNUMBER(SEARCH("Tlaxcala",D384)),"STX",ISNUMBER(SEARCH("Monterrey",D384)),"SMY",ISNUMBER(SEARCH("Querétaro",D384)),"SQ1",ISNUMBER(SEARCH("CDMX",D384)),"SCM",TRUE,""),"")</f>
        <v/>
      </c>
      <c r="U384" s="48" t="str" cm="1">
        <f t="array" ref="U384">_xlfn.LET(_xlpm.resultados,_xlfn.UNIQUE(_xlfn._xlws.FILTER(Tabla1[Proceso],(Tabla1[Metal Base]=O384)*(Tabla1[Etiquetas]=_xlfn.TEXTJOIN(" + ",TRUE,IF((TRIM(Upload!P384:S384)="")+(LOWER(TRIM(Upload!P384:S384))="(seleccione)"),"",PROPER(TRIM(Upload!P384:S384)))))*(Tabla1[Línea2]=IFERROR(VLOOKUP(Upload!N384&amp;"*",CAT_Procesos!D:D,1,FALSE),"")))),_xlpm.cantidad,ROWS(_xlpm.resultados),IF(ISERROR(_xlpm.cantidad),"Combinación no existente",IF(_xlpm.cantidad=1,INDEX(_xlpm.resultados,1),"(seleccione)")))</f>
        <v>Combinación no existente</v>
      </c>
      <c r="V384" s="55" t="s">
        <v>73</v>
      </c>
      <c r="W384" s="56" t="s">
        <v>73</v>
      </c>
      <c r="X384" s="57" t="str">
        <f t="shared" si="20"/>
        <v/>
      </c>
      <c r="Y384" s="58" t="s">
        <v>73</v>
      </c>
      <c r="Z384" s="57" t="str">
        <f t="shared" si="21"/>
        <v/>
      </c>
      <c r="AA384" s="58" t="s">
        <v>73</v>
      </c>
      <c r="AB384" s="57" t="str">
        <f t="shared" si="22"/>
        <v/>
      </c>
      <c r="AC384" s="58" t="s">
        <v>73</v>
      </c>
      <c r="AD384" s="57" t="str">
        <f t="shared" si="23"/>
        <v/>
      </c>
      <c r="AE384" s="59"/>
      <c r="AF384" s="59"/>
      <c r="AG384" s="59"/>
      <c r="AH384" s="59"/>
      <c r="AI384" s="59" t="s">
        <v>73</v>
      </c>
      <c r="AJ384" s="59"/>
      <c r="AK384" s="59" t="s">
        <v>73</v>
      </c>
      <c r="AL384" s="59"/>
      <c r="AM384" s="59" t="s">
        <v>73</v>
      </c>
      <c r="AN384" s="59"/>
      <c r="AO384" s="59" t="s">
        <v>73</v>
      </c>
      <c r="AP384" s="59"/>
      <c r="AQ384" s="59" t="s">
        <v>73</v>
      </c>
      <c r="AR384" s="59"/>
      <c r="AS384" s="59" t="s">
        <v>72</v>
      </c>
      <c r="AT384" s="59"/>
      <c r="AU384" s="59"/>
      <c r="AV384" s="59"/>
      <c r="AW384" s="59"/>
      <c r="AX384" s="59"/>
      <c r="AY384" s="60" t="str">
        <f>IF('Cálculo MP'!K394="","",'Cálculo MP'!K394)</f>
        <v/>
      </c>
      <c r="AZ384" s="60" t="str">
        <f>IF('Cálculo MP'!L394="","",'Cálculo MP'!L394)</f>
        <v/>
      </c>
      <c r="BA384" s="60" t="str">
        <f>IF('Cálculo MP'!M394="","",'Cálculo MP'!M394)</f>
        <v/>
      </c>
      <c r="BB384" s="60" t="str">
        <f>IF('Cálculo MP'!N394="","",'Cálculo MP'!N394)</f>
        <v/>
      </c>
      <c r="BC384" s="60" t="str">
        <f>IF('Cálculo MP'!O394="","",'Cálculo MP'!O394)</f>
        <v/>
      </c>
      <c r="BD384" s="60" t="str">
        <f>IF('Cálculo MP'!P394="","",'Cálculo MP'!P394)</f>
        <v/>
      </c>
      <c r="BE384" s="60" t="str">
        <f>IF('Cálculo MP'!Q394="","",'Cálculo MP'!Q394)</f>
        <v/>
      </c>
      <c r="BF384" s="60" t="str">
        <f>IF('Cálculo MP'!R394="","",'Cálculo MP'!R394)</f>
        <v/>
      </c>
      <c r="BG384" s="60" t="str">
        <f>IF('Cálculo MP'!S394="","",'Cálculo MP'!S394)</f>
        <v/>
      </c>
      <c r="BH384" s="59"/>
      <c r="BI384" s="59"/>
      <c r="BJ384" s="59"/>
      <c r="BK384" s="59"/>
      <c r="BL384" s="59"/>
      <c r="BM384" s="59"/>
      <c r="BN384" s="59"/>
      <c r="BO384" s="59"/>
    </row>
    <row r="385" spans="1:67" ht="19.5" customHeight="1" x14ac:dyDescent="0.2">
      <c r="A385" s="114" t="s">
        <v>1789</v>
      </c>
      <c r="B385" s="113" t="s">
        <v>1787</v>
      </c>
      <c r="C385" s="122"/>
      <c r="D385" s="48" t="s">
        <v>73</v>
      </c>
      <c r="E385" s="49"/>
      <c r="F385" s="50"/>
      <c r="G385" s="62"/>
      <c r="H385" s="48" t="s">
        <v>72</v>
      </c>
      <c r="I385" s="52">
        <v>1</v>
      </c>
      <c r="J385" s="52"/>
      <c r="K385" s="52" t="s">
        <v>73</v>
      </c>
      <c r="L385" s="52" t="s">
        <v>74</v>
      </c>
      <c r="M385" s="53" t="s">
        <v>917</v>
      </c>
      <c r="N385" s="58" t="s">
        <v>73</v>
      </c>
      <c r="O385" s="48" t="s">
        <v>72</v>
      </c>
      <c r="P385" s="48" t="s">
        <v>73</v>
      </c>
      <c r="Q385" s="54" t="s">
        <v>73</v>
      </c>
      <c r="R385" s="55" t="s">
        <v>73</v>
      </c>
      <c r="S385" s="48" t="s">
        <v>73</v>
      </c>
      <c r="T385" s="121" t="str" cm="1">
        <f t="array" ref="T385">IF(ISNUMBER(SEARCH("SCHNEIDER",D385)),_xlfn.IFS(ISNUMBER(SEARCH("2 Querétaro",D385)),"SQ2",ISNUMBER(SEARCH("Xicohténcatl",D385)),"SXC",ISNUMBER(SEARCH("Rojo Gómez",D385)),"SRG",ISNUMBER(SEARCH("Tlaxcala",D385)),"STX",ISNUMBER(SEARCH("Monterrey",D385)),"SMY",ISNUMBER(SEARCH("Querétaro",D385)),"SQ1",ISNUMBER(SEARCH("CDMX",D385)),"SCM",TRUE,""),"")</f>
        <v/>
      </c>
      <c r="U385" s="48" t="str" cm="1">
        <f t="array" ref="U385">_xlfn.LET(_xlpm.resultados,_xlfn.UNIQUE(_xlfn._xlws.FILTER(Tabla1[Proceso],(Tabla1[Metal Base]=O385)*(Tabla1[Etiquetas]=_xlfn.TEXTJOIN(" + ",TRUE,IF((TRIM(Upload!P385:S385)="")+(LOWER(TRIM(Upload!P385:S385))="(seleccione)"),"",PROPER(TRIM(Upload!P385:S385)))))*(Tabla1[Línea2]=IFERROR(VLOOKUP(Upload!N385&amp;"*",CAT_Procesos!D:D,1,FALSE),"")))),_xlpm.cantidad,ROWS(_xlpm.resultados),IF(ISERROR(_xlpm.cantidad),"Combinación no existente",IF(_xlpm.cantidad=1,INDEX(_xlpm.resultados,1),"(seleccione)")))</f>
        <v>Combinación no existente</v>
      </c>
      <c r="V385" s="55" t="s">
        <v>73</v>
      </c>
      <c r="W385" s="56" t="s">
        <v>73</v>
      </c>
      <c r="X385" s="57" t="str">
        <f t="shared" si="20"/>
        <v/>
      </c>
      <c r="Y385" s="58" t="s">
        <v>73</v>
      </c>
      <c r="Z385" s="57" t="str">
        <f t="shared" si="21"/>
        <v/>
      </c>
      <c r="AA385" s="58" t="s">
        <v>73</v>
      </c>
      <c r="AB385" s="57" t="str">
        <f t="shared" si="22"/>
        <v/>
      </c>
      <c r="AC385" s="58" t="s">
        <v>73</v>
      </c>
      <c r="AD385" s="57" t="str">
        <f t="shared" si="23"/>
        <v/>
      </c>
      <c r="AE385" s="59"/>
      <c r="AF385" s="59"/>
      <c r="AG385" s="59"/>
      <c r="AH385" s="59"/>
      <c r="AI385" s="59" t="s">
        <v>73</v>
      </c>
      <c r="AJ385" s="59"/>
      <c r="AK385" s="59" t="s">
        <v>73</v>
      </c>
      <c r="AL385" s="59"/>
      <c r="AM385" s="59" t="s">
        <v>73</v>
      </c>
      <c r="AN385" s="59"/>
      <c r="AO385" s="59" t="s">
        <v>73</v>
      </c>
      <c r="AP385" s="59"/>
      <c r="AQ385" s="59" t="s">
        <v>73</v>
      </c>
      <c r="AR385" s="59"/>
      <c r="AS385" s="59" t="s">
        <v>72</v>
      </c>
      <c r="AT385" s="59"/>
      <c r="AU385" s="59"/>
      <c r="AV385" s="59"/>
      <c r="AW385" s="59"/>
      <c r="AX385" s="59"/>
      <c r="AY385" s="60" t="str">
        <f>IF('Cálculo MP'!K395="","",'Cálculo MP'!K395)</f>
        <v/>
      </c>
      <c r="AZ385" s="60" t="str">
        <f>IF('Cálculo MP'!L395="","",'Cálculo MP'!L395)</f>
        <v/>
      </c>
      <c r="BA385" s="60" t="str">
        <f>IF('Cálculo MP'!M395="","",'Cálculo MP'!M395)</f>
        <v/>
      </c>
      <c r="BB385" s="60" t="str">
        <f>IF('Cálculo MP'!N395="","",'Cálculo MP'!N395)</f>
        <v/>
      </c>
      <c r="BC385" s="60" t="str">
        <f>IF('Cálculo MP'!O395="","",'Cálculo MP'!O395)</f>
        <v/>
      </c>
      <c r="BD385" s="60" t="str">
        <f>IF('Cálculo MP'!P395="","",'Cálculo MP'!P395)</f>
        <v/>
      </c>
      <c r="BE385" s="60" t="str">
        <f>IF('Cálculo MP'!Q395="","",'Cálculo MP'!Q395)</f>
        <v/>
      </c>
      <c r="BF385" s="60" t="str">
        <f>IF('Cálculo MP'!R395="","",'Cálculo MP'!R395)</f>
        <v/>
      </c>
      <c r="BG385" s="60" t="str">
        <f>IF('Cálculo MP'!S395="","",'Cálculo MP'!S395)</f>
        <v/>
      </c>
      <c r="BH385" s="59"/>
      <c r="BI385" s="59"/>
      <c r="BJ385" s="59"/>
      <c r="BK385" s="59"/>
      <c r="BL385" s="59"/>
      <c r="BM385" s="59"/>
      <c r="BN385" s="59"/>
      <c r="BO385" s="59"/>
    </row>
    <row r="386" spans="1:67" ht="19.5" customHeight="1" x14ac:dyDescent="0.2">
      <c r="A386" s="114" t="s">
        <v>1789</v>
      </c>
      <c r="B386" s="113" t="s">
        <v>1787</v>
      </c>
      <c r="C386" s="122"/>
      <c r="D386" s="48" t="s">
        <v>73</v>
      </c>
      <c r="E386" s="49"/>
      <c r="F386" s="50"/>
      <c r="G386" s="62"/>
      <c r="H386" s="48" t="s">
        <v>72</v>
      </c>
      <c r="I386" s="52">
        <v>1</v>
      </c>
      <c r="J386" s="52"/>
      <c r="K386" s="52" t="s">
        <v>73</v>
      </c>
      <c r="L386" s="52" t="s">
        <v>74</v>
      </c>
      <c r="M386" s="53" t="s">
        <v>917</v>
      </c>
      <c r="N386" s="58" t="s">
        <v>73</v>
      </c>
      <c r="O386" s="48" t="s">
        <v>72</v>
      </c>
      <c r="P386" s="48" t="s">
        <v>73</v>
      </c>
      <c r="Q386" s="54" t="s">
        <v>73</v>
      </c>
      <c r="R386" s="55" t="s">
        <v>73</v>
      </c>
      <c r="S386" s="48" t="s">
        <v>73</v>
      </c>
      <c r="T386" s="121" t="str" cm="1">
        <f t="array" ref="T386">IF(ISNUMBER(SEARCH("SCHNEIDER",D386)),_xlfn.IFS(ISNUMBER(SEARCH("2 Querétaro",D386)),"SQ2",ISNUMBER(SEARCH("Xicohténcatl",D386)),"SXC",ISNUMBER(SEARCH("Rojo Gómez",D386)),"SRG",ISNUMBER(SEARCH("Tlaxcala",D386)),"STX",ISNUMBER(SEARCH("Monterrey",D386)),"SMY",ISNUMBER(SEARCH("Querétaro",D386)),"SQ1",ISNUMBER(SEARCH("CDMX",D386)),"SCM",TRUE,""),"")</f>
        <v/>
      </c>
      <c r="U386" s="48" t="str" cm="1">
        <f t="array" ref="U386">_xlfn.LET(_xlpm.resultados,_xlfn.UNIQUE(_xlfn._xlws.FILTER(Tabla1[Proceso],(Tabla1[Metal Base]=O386)*(Tabla1[Etiquetas]=_xlfn.TEXTJOIN(" + ",TRUE,IF((TRIM(Upload!P386:S386)="")+(LOWER(TRIM(Upload!P386:S386))="(seleccione)"),"",PROPER(TRIM(Upload!P386:S386)))))*(Tabla1[Línea2]=IFERROR(VLOOKUP(Upload!N386&amp;"*",CAT_Procesos!D:D,1,FALSE),"")))),_xlpm.cantidad,ROWS(_xlpm.resultados),IF(ISERROR(_xlpm.cantidad),"Combinación no existente",IF(_xlpm.cantidad=1,INDEX(_xlpm.resultados,1),"(seleccione)")))</f>
        <v>Combinación no existente</v>
      </c>
      <c r="V386" s="55" t="s">
        <v>73</v>
      </c>
      <c r="W386" s="56" t="s">
        <v>73</v>
      </c>
      <c r="X386" s="57" t="str">
        <f t="shared" si="20"/>
        <v/>
      </c>
      <c r="Y386" s="58" t="s">
        <v>73</v>
      </c>
      <c r="Z386" s="57" t="str">
        <f t="shared" si="21"/>
        <v/>
      </c>
      <c r="AA386" s="58" t="s">
        <v>73</v>
      </c>
      <c r="AB386" s="57" t="str">
        <f t="shared" si="22"/>
        <v/>
      </c>
      <c r="AC386" s="58" t="s">
        <v>73</v>
      </c>
      <c r="AD386" s="57" t="str">
        <f t="shared" si="23"/>
        <v/>
      </c>
      <c r="AE386" s="59"/>
      <c r="AF386" s="59"/>
      <c r="AG386" s="59"/>
      <c r="AH386" s="59"/>
      <c r="AI386" s="59" t="s">
        <v>73</v>
      </c>
      <c r="AJ386" s="59"/>
      <c r="AK386" s="59" t="s">
        <v>73</v>
      </c>
      <c r="AL386" s="59"/>
      <c r="AM386" s="59" t="s">
        <v>73</v>
      </c>
      <c r="AN386" s="59"/>
      <c r="AO386" s="59" t="s">
        <v>73</v>
      </c>
      <c r="AP386" s="59"/>
      <c r="AQ386" s="59" t="s">
        <v>73</v>
      </c>
      <c r="AR386" s="59"/>
      <c r="AS386" s="59" t="s">
        <v>72</v>
      </c>
      <c r="AT386" s="59"/>
      <c r="AU386" s="59"/>
      <c r="AV386" s="59"/>
      <c r="AW386" s="59"/>
      <c r="AX386" s="59"/>
      <c r="AY386" s="60" t="str">
        <f>IF('Cálculo MP'!K396="","",'Cálculo MP'!K396)</f>
        <v/>
      </c>
      <c r="AZ386" s="60" t="str">
        <f>IF('Cálculo MP'!L396="","",'Cálculo MP'!L396)</f>
        <v/>
      </c>
      <c r="BA386" s="60" t="str">
        <f>IF('Cálculo MP'!M396="","",'Cálculo MP'!M396)</f>
        <v/>
      </c>
      <c r="BB386" s="60" t="str">
        <f>IF('Cálculo MP'!N396="","",'Cálculo MP'!N396)</f>
        <v/>
      </c>
      <c r="BC386" s="60" t="str">
        <f>IF('Cálculo MP'!O396="","",'Cálculo MP'!O396)</f>
        <v/>
      </c>
      <c r="BD386" s="60" t="str">
        <f>IF('Cálculo MP'!P396="","",'Cálculo MP'!P396)</f>
        <v/>
      </c>
      <c r="BE386" s="60" t="str">
        <f>IF('Cálculo MP'!Q396="","",'Cálculo MP'!Q396)</f>
        <v/>
      </c>
      <c r="BF386" s="60" t="str">
        <f>IF('Cálculo MP'!R396="","",'Cálculo MP'!R396)</f>
        <v/>
      </c>
      <c r="BG386" s="60" t="str">
        <f>IF('Cálculo MP'!S396="","",'Cálculo MP'!S396)</f>
        <v/>
      </c>
      <c r="BH386" s="59"/>
      <c r="BI386" s="59"/>
      <c r="BJ386" s="59"/>
      <c r="BK386" s="59"/>
      <c r="BL386" s="59"/>
      <c r="BM386" s="59"/>
      <c r="BN386" s="59"/>
      <c r="BO386" s="59"/>
    </row>
    <row r="387" spans="1:67" ht="19.5" customHeight="1" x14ac:dyDescent="0.2">
      <c r="A387" s="114" t="s">
        <v>1789</v>
      </c>
      <c r="B387" s="113" t="s">
        <v>1787</v>
      </c>
      <c r="C387" s="122"/>
      <c r="D387" s="48" t="s">
        <v>73</v>
      </c>
      <c r="E387" s="49"/>
      <c r="F387" s="50"/>
      <c r="G387" s="62"/>
      <c r="H387" s="48" t="s">
        <v>72</v>
      </c>
      <c r="I387" s="52">
        <v>1</v>
      </c>
      <c r="J387" s="52"/>
      <c r="K387" s="52" t="s">
        <v>73</v>
      </c>
      <c r="L387" s="52" t="s">
        <v>74</v>
      </c>
      <c r="M387" s="53" t="s">
        <v>917</v>
      </c>
      <c r="N387" s="58" t="s">
        <v>73</v>
      </c>
      <c r="O387" s="48" t="s">
        <v>72</v>
      </c>
      <c r="P387" s="48" t="s">
        <v>73</v>
      </c>
      <c r="Q387" s="54" t="s">
        <v>73</v>
      </c>
      <c r="R387" s="55" t="s">
        <v>73</v>
      </c>
      <c r="S387" s="48" t="s">
        <v>73</v>
      </c>
      <c r="T387" s="121" t="str" cm="1">
        <f t="array" ref="T387">IF(ISNUMBER(SEARCH("SCHNEIDER",D387)),_xlfn.IFS(ISNUMBER(SEARCH("2 Querétaro",D387)),"SQ2",ISNUMBER(SEARCH("Xicohténcatl",D387)),"SXC",ISNUMBER(SEARCH("Rojo Gómez",D387)),"SRG",ISNUMBER(SEARCH("Tlaxcala",D387)),"STX",ISNUMBER(SEARCH("Monterrey",D387)),"SMY",ISNUMBER(SEARCH("Querétaro",D387)),"SQ1",ISNUMBER(SEARCH("CDMX",D387)),"SCM",TRUE,""),"")</f>
        <v/>
      </c>
      <c r="U387" s="48" t="str" cm="1">
        <f t="array" ref="U387">_xlfn.LET(_xlpm.resultados,_xlfn.UNIQUE(_xlfn._xlws.FILTER(Tabla1[Proceso],(Tabla1[Metal Base]=O387)*(Tabla1[Etiquetas]=_xlfn.TEXTJOIN(" + ",TRUE,IF((TRIM(Upload!P387:S387)="")+(LOWER(TRIM(Upload!P387:S387))="(seleccione)"),"",PROPER(TRIM(Upload!P387:S387)))))*(Tabla1[Línea2]=IFERROR(VLOOKUP(Upload!N387&amp;"*",CAT_Procesos!D:D,1,FALSE),"")))),_xlpm.cantidad,ROWS(_xlpm.resultados),IF(ISERROR(_xlpm.cantidad),"Combinación no existente",IF(_xlpm.cantidad=1,INDEX(_xlpm.resultados,1),"(seleccione)")))</f>
        <v>Combinación no existente</v>
      </c>
      <c r="V387" s="55" t="s">
        <v>73</v>
      </c>
      <c r="W387" s="56" t="s">
        <v>73</v>
      </c>
      <c r="X387" s="57" t="str">
        <f t="shared" si="20"/>
        <v/>
      </c>
      <c r="Y387" s="58" t="s">
        <v>73</v>
      </c>
      <c r="Z387" s="57" t="str">
        <f t="shared" si="21"/>
        <v/>
      </c>
      <c r="AA387" s="58" t="s">
        <v>73</v>
      </c>
      <c r="AB387" s="57" t="str">
        <f t="shared" si="22"/>
        <v/>
      </c>
      <c r="AC387" s="58" t="s">
        <v>73</v>
      </c>
      <c r="AD387" s="57" t="str">
        <f t="shared" si="23"/>
        <v/>
      </c>
      <c r="AE387" s="59"/>
      <c r="AF387" s="59"/>
      <c r="AG387" s="59"/>
      <c r="AH387" s="59"/>
      <c r="AI387" s="59" t="s">
        <v>73</v>
      </c>
      <c r="AJ387" s="59"/>
      <c r="AK387" s="59" t="s">
        <v>73</v>
      </c>
      <c r="AL387" s="59"/>
      <c r="AM387" s="59" t="s">
        <v>73</v>
      </c>
      <c r="AN387" s="59"/>
      <c r="AO387" s="59" t="s">
        <v>73</v>
      </c>
      <c r="AP387" s="59"/>
      <c r="AQ387" s="59" t="s">
        <v>73</v>
      </c>
      <c r="AR387" s="59"/>
      <c r="AS387" s="59" t="s">
        <v>72</v>
      </c>
      <c r="AT387" s="59"/>
      <c r="AU387" s="59"/>
      <c r="AV387" s="59"/>
      <c r="AW387" s="59"/>
      <c r="AX387" s="59"/>
      <c r="AY387" s="60" t="str">
        <f>IF('Cálculo MP'!K397="","",'Cálculo MP'!K397)</f>
        <v/>
      </c>
      <c r="AZ387" s="60" t="str">
        <f>IF('Cálculo MP'!L397="","",'Cálculo MP'!L397)</f>
        <v/>
      </c>
      <c r="BA387" s="60" t="str">
        <f>IF('Cálculo MP'!M397="","",'Cálculo MP'!M397)</f>
        <v/>
      </c>
      <c r="BB387" s="60" t="str">
        <f>IF('Cálculo MP'!N397="","",'Cálculo MP'!N397)</f>
        <v/>
      </c>
      <c r="BC387" s="60" t="str">
        <f>IF('Cálculo MP'!O397="","",'Cálculo MP'!O397)</f>
        <v/>
      </c>
      <c r="BD387" s="60" t="str">
        <f>IF('Cálculo MP'!P397="","",'Cálculo MP'!P397)</f>
        <v/>
      </c>
      <c r="BE387" s="60" t="str">
        <f>IF('Cálculo MP'!Q397="","",'Cálculo MP'!Q397)</f>
        <v/>
      </c>
      <c r="BF387" s="60" t="str">
        <f>IF('Cálculo MP'!R397="","",'Cálculo MP'!R397)</f>
        <v/>
      </c>
      <c r="BG387" s="60" t="str">
        <f>IF('Cálculo MP'!S397="","",'Cálculo MP'!S397)</f>
        <v/>
      </c>
      <c r="BH387" s="59"/>
      <c r="BI387" s="59"/>
      <c r="BJ387" s="59"/>
      <c r="BK387" s="59"/>
      <c r="BL387" s="59"/>
      <c r="BM387" s="59"/>
      <c r="BN387" s="59"/>
      <c r="BO387" s="59"/>
    </row>
    <row r="388" spans="1:67" ht="19.5" customHeight="1" x14ac:dyDescent="0.2">
      <c r="A388" s="114" t="s">
        <v>1789</v>
      </c>
      <c r="B388" s="113" t="s">
        <v>1787</v>
      </c>
      <c r="C388" s="122"/>
      <c r="D388" s="48" t="s">
        <v>73</v>
      </c>
      <c r="E388" s="49"/>
      <c r="F388" s="50"/>
      <c r="G388" s="62"/>
      <c r="H388" s="48" t="s">
        <v>72</v>
      </c>
      <c r="I388" s="52">
        <v>1</v>
      </c>
      <c r="J388" s="52"/>
      <c r="K388" s="52" t="s">
        <v>73</v>
      </c>
      <c r="L388" s="52" t="s">
        <v>74</v>
      </c>
      <c r="M388" s="53" t="s">
        <v>917</v>
      </c>
      <c r="N388" s="58" t="s">
        <v>73</v>
      </c>
      <c r="O388" s="48" t="s">
        <v>72</v>
      </c>
      <c r="P388" s="48" t="s">
        <v>73</v>
      </c>
      <c r="Q388" s="54" t="s">
        <v>73</v>
      </c>
      <c r="R388" s="55" t="s">
        <v>73</v>
      </c>
      <c r="S388" s="48" t="s">
        <v>73</v>
      </c>
      <c r="T388" s="121" t="str" cm="1">
        <f t="array" ref="T388">IF(ISNUMBER(SEARCH("SCHNEIDER",D388)),_xlfn.IFS(ISNUMBER(SEARCH("2 Querétaro",D388)),"SQ2",ISNUMBER(SEARCH("Xicohténcatl",D388)),"SXC",ISNUMBER(SEARCH("Rojo Gómez",D388)),"SRG",ISNUMBER(SEARCH("Tlaxcala",D388)),"STX",ISNUMBER(SEARCH("Monterrey",D388)),"SMY",ISNUMBER(SEARCH("Querétaro",D388)),"SQ1",ISNUMBER(SEARCH("CDMX",D388)),"SCM",TRUE,""),"")</f>
        <v/>
      </c>
      <c r="U388" s="48" t="str" cm="1">
        <f t="array" ref="U388">_xlfn.LET(_xlpm.resultados,_xlfn.UNIQUE(_xlfn._xlws.FILTER(Tabla1[Proceso],(Tabla1[Metal Base]=O388)*(Tabla1[Etiquetas]=_xlfn.TEXTJOIN(" + ",TRUE,IF((TRIM(Upload!P388:S388)="")+(LOWER(TRIM(Upload!P388:S388))="(seleccione)"),"",PROPER(TRIM(Upload!P388:S388)))))*(Tabla1[Línea2]=IFERROR(VLOOKUP(Upload!N388&amp;"*",CAT_Procesos!D:D,1,FALSE),"")))),_xlpm.cantidad,ROWS(_xlpm.resultados),IF(ISERROR(_xlpm.cantidad),"Combinación no existente",IF(_xlpm.cantidad=1,INDEX(_xlpm.resultados,1),"(seleccione)")))</f>
        <v>Combinación no existente</v>
      </c>
      <c r="V388" s="55" t="s">
        <v>73</v>
      </c>
      <c r="W388" s="56" t="s">
        <v>73</v>
      </c>
      <c r="X388" s="57" t="str">
        <f t="shared" si="20"/>
        <v/>
      </c>
      <c r="Y388" s="58" t="s">
        <v>73</v>
      </c>
      <c r="Z388" s="57" t="str">
        <f t="shared" si="21"/>
        <v/>
      </c>
      <c r="AA388" s="58" t="s">
        <v>73</v>
      </c>
      <c r="AB388" s="57" t="str">
        <f t="shared" si="22"/>
        <v/>
      </c>
      <c r="AC388" s="58" t="s">
        <v>73</v>
      </c>
      <c r="AD388" s="57" t="str">
        <f t="shared" si="23"/>
        <v/>
      </c>
      <c r="AE388" s="59"/>
      <c r="AF388" s="59"/>
      <c r="AG388" s="59"/>
      <c r="AH388" s="59"/>
      <c r="AI388" s="59" t="s">
        <v>73</v>
      </c>
      <c r="AJ388" s="59"/>
      <c r="AK388" s="59" t="s">
        <v>73</v>
      </c>
      <c r="AL388" s="59"/>
      <c r="AM388" s="59" t="s">
        <v>73</v>
      </c>
      <c r="AN388" s="59"/>
      <c r="AO388" s="59" t="s">
        <v>73</v>
      </c>
      <c r="AP388" s="59"/>
      <c r="AQ388" s="59" t="s">
        <v>73</v>
      </c>
      <c r="AR388" s="59"/>
      <c r="AS388" s="59" t="s">
        <v>72</v>
      </c>
      <c r="AT388" s="59"/>
      <c r="AU388" s="59"/>
      <c r="AV388" s="59"/>
      <c r="AW388" s="59"/>
      <c r="AX388" s="59"/>
      <c r="AY388" s="60" t="str">
        <f>IF('Cálculo MP'!K398="","",'Cálculo MP'!K398)</f>
        <v/>
      </c>
      <c r="AZ388" s="60" t="str">
        <f>IF('Cálculo MP'!L398="","",'Cálculo MP'!L398)</f>
        <v/>
      </c>
      <c r="BA388" s="60" t="str">
        <f>IF('Cálculo MP'!M398="","",'Cálculo MP'!M398)</f>
        <v/>
      </c>
      <c r="BB388" s="60" t="str">
        <f>IF('Cálculo MP'!N398="","",'Cálculo MP'!N398)</f>
        <v/>
      </c>
      <c r="BC388" s="60" t="str">
        <f>IF('Cálculo MP'!O398="","",'Cálculo MP'!O398)</f>
        <v/>
      </c>
      <c r="BD388" s="60" t="str">
        <f>IF('Cálculo MP'!P398="","",'Cálculo MP'!P398)</f>
        <v/>
      </c>
      <c r="BE388" s="60" t="str">
        <f>IF('Cálculo MP'!Q398="","",'Cálculo MP'!Q398)</f>
        <v/>
      </c>
      <c r="BF388" s="60" t="str">
        <f>IF('Cálculo MP'!R398="","",'Cálculo MP'!R398)</f>
        <v/>
      </c>
      <c r="BG388" s="60" t="str">
        <f>IF('Cálculo MP'!S398="","",'Cálculo MP'!S398)</f>
        <v/>
      </c>
      <c r="BH388" s="59"/>
      <c r="BI388" s="59"/>
      <c r="BJ388" s="59"/>
      <c r="BK388" s="59"/>
      <c r="BL388" s="59"/>
      <c r="BM388" s="59"/>
      <c r="BN388" s="59"/>
      <c r="BO388" s="59"/>
    </row>
    <row r="389" spans="1:67" ht="19.5" customHeight="1" x14ac:dyDescent="0.2">
      <c r="A389" s="114" t="s">
        <v>1789</v>
      </c>
      <c r="B389" s="113" t="s">
        <v>1787</v>
      </c>
      <c r="C389" s="122"/>
      <c r="D389" s="48" t="s">
        <v>73</v>
      </c>
      <c r="E389" s="49"/>
      <c r="F389" s="50"/>
      <c r="G389" s="62"/>
      <c r="H389" s="48" t="s">
        <v>72</v>
      </c>
      <c r="I389" s="52">
        <v>1</v>
      </c>
      <c r="J389" s="52"/>
      <c r="K389" s="52" t="s">
        <v>73</v>
      </c>
      <c r="L389" s="52" t="s">
        <v>74</v>
      </c>
      <c r="M389" s="53" t="s">
        <v>917</v>
      </c>
      <c r="N389" s="58" t="s">
        <v>73</v>
      </c>
      <c r="O389" s="48" t="s">
        <v>72</v>
      </c>
      <c r="P389" s="48" t="s">
        <v>73</v>
      </c>
      <c r="Q389" s="54" t="s">
        <v>73</v>
      </c>
      <c r="R389" s="55" t="s">
        <v>73</v>
      </c>
      <c r="S389" s="48" t="s">
        <v>73</v>
      </c>
      <c r="T389" s="121" t="str" cm="1">
        <f t="array" ref="T389">IF(ISNUMBER(SEARCH("SCHNEIDER",D389)),_xlfn.IFS(ISNUMBER(SEARCH("2 Querétaro",D389)),"SQ2",ISNUMBER(SEARCH("Xicohténcatl",D389)),"SXC",ISNUMBER(SEARCH("Rojo Gómez",D389)),"SRG",ISNUMBER(SEARCH("Tlaxcala",D389)),"STX",ISNUMBER(SEARCH("Monterrey",D389)),"SMY",ISNUMBER(SEARCH("Querétaro",D389)),"SQ1",ISNUMBER(SEARCH("CDMX",D389)),"SCM",TRUE,""),"")</f>
        <v/>
      </c>
      <c r="U389" s="48" t="str" cm="1">
        <f t="array" ref="U389">_xlfn.LET(_xlpm.resultados,_xlfn.UNIQUE(_xlfn._xlws.FILTER(Tabla1[Proceso],(Tabla1[Metal Base]=O389)*(Tabla1[Etiquetas]=_xlfn.TEXTJOIN(" + ",TRUE,IF((TRIM(Upload!P389:S389)="")+(LOWER(TRIM(Upload!P389:S389))="(seleccione)"),"",PROPER(TRIM(Upload!P389:S389)))))*(Tabla1[Línea2]=IFERROR(VLOOKUP(Upload!N389&amp;"*",CAT_Procesos!D:D,1,FALSE),"")))),_xlpm.cantidad,ROWS(_xlpm.resultados),IF(ISERROR(_xlpm.cantidad),"Combinación no existente",IF(_xlpm.cantidad=1,INDEX(_xlpm.resultados,1),"(seleccione)")))</f>
        <v>Combinación no existente</v>
      </c>
      <c r="V389" s="55" t="s">
        <v>73</v>
      </c>
      <c r="W389" s="56" t="s">
        <v>73</v>
      </c>
      <c r="X389" s="57" t="str">
        <f t="shared" si="20"/>
        <v/>
      </c>
      <c r="Y389" s="58" t="s">
        <v>73</v>
      </c>
      <c r="Z389" s="57" t="str">
        <f t="shared" si="21"/>
        <v/>
      </c>
      <c r="AA389" s="58" t="s">
        <v>73</v>
      </c>
      <c r="AB389" s="57" t="str">
        <f t="shared" si="22"/>
        <v/>
      </c>
      <c r="AC389" s="58" t="s">
        <v>73</v>
      </c>
      <c r="AD389" s="57" t="str">
        <f t="shared" si="23"/>
        <v/>
      </c>
      <c r="AE389" s="59"/>
      <c r="AF389" s="59"/>
      <c r="AG389" s="59"/>
      <c r="AH389" s="59"/>
      <c r="AI389" s="59" t="s">
        <v>73</v>
      </c>
      <c r="AJ389" s="59"/>
      <c r="AK389" s="59" t="s">
        <v>73</v>
      </c>
      <c r="AL389" s="59"/>
      <c r="AM389" s="59" t="s">
        <v>73</v>
      </c>
      <c r="AN389" s="59"/>
      <c r="AO389" s="59" t="s">
        <v>73</v>
      </c>
      <c r="AP389" s="59"/>
      <c r="AQ389" s="59" t="s">
        <v>73</v>
      </c>
      <c r="AR389" s="59"/>
      <c r="AS389" s="59" t="s">
        <v>72</v>
      </c>
      <c r="AT389" s="59"/>
      <c r="AU389" s="59"/>
      <c r="AV389" s="59"/>
      <c r="AW389" s="59"/>
      <c r="AX389" s="59"/>
      <c r="AY389" s="60" t="str">
        <f>IF('Cálculo MP'!K399="","",'Cálculo MP'!K399)</f>
        <v/>
      </c>
      <c r="AZ389" s="60" t="str">
        <f>IF('Cálculo MP'!L399="","",'Cálculo MP'!L399)</f>
        <v/>
      </c>
      <c r="BA389" s="60" t="str">
        <f>IF('Cálculo MP'!M399="","",'Cálculo MP'!M399)</f>
        <v/>
      </c>
      <c r="BB389" s="60" t="str">
        <f>IF('Cálculo MP'!N399="","",'Cálculo MP'!N399)</f>
        <v/>
      </c>
      <c r="BC389" s="60" t="str">
        <f>IF('Cálculo MP'!O399="","",'Cálculo MP'!O399)</f>
        <v/>
      </c>
      <c r="BD389" s="60" t="str">
        <f>IF('Cálculo MP'!P399="","",'Cálculo MP'!P399)</f>
        <v/>
      </c>
      <c r="BE389" s="60" t="str">
        <f>IF('Cálculo MP'!Q399="","",'Cálculo MP'!Q399)</f>
        <v/>
      </c>
      <c r="BF389" s="60" t="str">
        <f>IF('Cálculo MP'!R399="","",'Cálculo MP'!R399)</f>
        <v/>
      </c>
      <c r="BG389" s="60" t="str">
        <f>IF('Cálculo MP'!S399="","",'Cálculo MP'!S399)</f>
        <v/>
      </c>
      <c r="BH389" s="59"/>
      <c r="BI389" s="59"/>
      <c r="BJ389" s="59"/>
      <c r="BK389" s="59"/>
      <c r="BL389" s="59"/>
      <c r="BM389" s="59"/>
      <c r="BN389" s="59"/>
      <c r="BO389" s="59"/>
    </row>
    <row r="390" spans="1:67" ht="19.5" customHeight="1" x14ac:dyDescent="0.2">
      <c r="A390" s="114" t="s">
        <v>1789</v>
      </c>
      <c r="B390" s="113" t="s">
        <v>1787</v>
      </c>
      <c r="C390" s="122"/>
      <c r="D390" s="48" t="s">
        <v>73</v>
      </c>
      <c r="E390" s="49"/>
      <c r="F390" s="50"/>
      <c r="G390" s="62"/>
      <c r="H390" s="48" t="s">
        <v>72</v>
      </c>
      <c r="I390" s="52">
        <v>1</v>
      </c>
      <c r="J390" s="52"/>
      <c r="K390" s="52" t="s">
        <v>73</v>
      </c>
      <c r="L390" s="52" t="s">
        <v>74</v>
      </c>
      <c r="M390" s="53" t="s">
        <v>917</v>
      </c>
      <c r="N390" s="58" t="s">
        <v>73</v>
      </c>
      <c r="O390" s="48" t="s">
        <v>72</v>
      </c>
      <c r="P390" s="48" t="s">
        <v>73</v>
      </c>
      <c r="Q390" s="54" t="s">
        <v>73</v>
      </c>
      <c r="R390" s="55" t="s">
        <v>73</v>
      </c>
      <c r="S390" s="48" t="s">
        <v>73</v>
      </c>
      <c r="T390" s="121" t="str" cm="1">
        <f t="array" ref="T390">IF(ISNUMBER(SEARCH("SCHNEIDER",D390)),_xlfn.IFS(ISNUMBER(SEARCH("2 Querétaro",D390)),"SQ2",ISNUMBER(SEARCH("Xicohténcatl",D390)),"SXC",ISNUMBER(SEARCH("Rojo Gómez",D390)),"SRG",ISNUMBER(SEARCH("Tlaxcala",D390)),"STX",ISNUMBER(SEARCH("Monterrey",D390)),"SMY",ISNUMBER(SEARCH("Querétaro",D390)),"SQ1",ISNUMBER(SEARCH("CDMX",D390)),"SCM",TRUE,""),"")</f>
        <v/>
      </c>
      <c r="U390" s="48" t="str" cm="1">
        <f t="array" ref="U390">_xlfn.LET(_xlpm.resultados,_xlfn.UNIQUE(_xlfn._xlws.FILTER(Tabla1[Proceso],(Tabla1[Metal Base]=O390)*(Tabla1[Etiquetas]=_xlfn.TEXTJOIN(" + ",TRUE,IF((TRIM(Upload!P390:S390)="")+(LOWER(TRIM(Upload!P390:S390))="(seleccione)"),"",PROPER(TRIM(Upload!P390:S390)))))*(Tabla1[Línea2]=IFERROR(VLOOKUP(Upload!N390&amp;"*",CAT_Procesos!D:D,1,FALSE),"")))),_xlpm.cantidad,ROWS(_xlpm.resultados),IF(ISERROR(_xlpm.cantidad),"Combinación no existente",IF(_xlpm.cantidad=1,INDEX(_xlpm.resultados,1),"(seleccione)")))</f>
        <v>Combinación no existente</v>
      </c>
      <c r="V390" s="55" t="s">
        <v>73</v>
      </c>
      <c r="W390" s="56" t="s">
        <v>73</v>
      </c>
      <c r="X390" s="57" t="str">
        <f t="shared" si="20"/>
        <v/>
      </c>
      <c r="Y390" s="58" t="s">
        <v>73</v>
      </c>
      <c r="Z390" s="57" t="str">
        <f t="shared" si="21"/>
        <v/>
      </c>
      <c r="AA390" s="58" t="s">
        <v>73</v>
      </c>
      <c r="AB390" s="57" t="str">
        <f t="shared" si="22"/>
        <v/>
      </c>
      <c r="AC390" s="58" t="s">
        <v>73</v>
      </c>
      <c r="AD390" s="57" t="str">
        <f t="shared" si="23"/>
        <v/>
      </c>
      <c r="AE390" s="59"/>
      <c r="AF390" s="59"/>
      <c r="AG390" s="59"/>
      <c r="AH390" s="59"/>
      <c r="AI390" s="59" t="s">
        <v>73</v>
      </c>
      <c r="AJ390" s="59"/>
      <c r="AK390" s="59" t="s">
        <v>73</v>
      </c>
      <c r="AL390" s="59"/>
      <c r="AM390" s="59" t="s">
        <v>73</v>
      </c>
      <c r="AN390" s="59"/>
      <c r="AO390" s="59" t="s">
        <v>73</v>
      </c>
      <c r="AP390" s="59"/>
      <c r="AQ390" s="59" t="s">
        <v>73</v>
      </c>
      <c r="AR390" s="59"/>
      <c r="AS390" s="59" t="s">
        <v>72</v>
      </c>
      <c r="AT390" s="59"/>
      <c r="AU390" s="59"/>
      <c r="AV390" s="59"/>
      <c r="AW390" s="59"/>
      <c r="AX390" s="59"/>
      <c r="AY390" s="60" t="str">
        <f>IF('Cálculo MP'!K400="","",'Cálculo MP'!K400)</f>
        <v/>
      </c>
      <c r="AZ390" s="60" t="str">
        <f>IF('Cálculo MP'!L400="","",'Cálculo MP'!L400)</f>
        <v/>
      </c>
      <c r="BA390" s="60" t="str">
        <f>IF('Cálculo MP'!M400="","",'Cálculo MP'!M400)</f>
        <v/>
      </c>
      <c r="BB390" s="60" t="str">
        <f>IF('Cálculo MP'!N400="","",'Cálculo MP'!N400)</f>
        <v/>
      </c>
      <c r="BC390" s="60" t="str">
        <f>IF('Cálculo MP'!O400="","",'Cálculo MP'!O400)</f>
        <v/>
      </c>
      <c r="BD390" s="60" t="str">
        <f>IF('Cálculo MP'!P400="","",'Cálculo MP'!P400)</f>
        <v/>
      </c>
      <c r="BE390" s="60" t="str">
        <f>IF('Cálculo MP'!Q400="","",'Cálculo MP'!Q400)</f>
        <v/>
      </c>
      <c r="BF390" s="60" t="str">
        <f>IF('Cálculo MP'!R400="","",'Cálculo MP'!R400)</f>
        <v/>
      </c>
      <c r="BG390" s="60" t="str">
        <f>IF('Cálculo MP'!S400="","",'Cálculo MP'!S400)</f>
        <v/>
      </c>
      <c r="BH390" s="59"/>
      <c r="BI390" s="59"/>
      <c r="BJ390" s="59"/>
      <c r="BK390" s="59"/>
      <c r="BL390" s="59"/>
      <c r="BM390" s="59"/>
      <c r="BN390" s="59"/>
      <c r="BO390" s="59"/>
    </row>
    <row r="391" spans="1:67" ht="19.5" customHeight="1" x14ac:dyDescent="0.2">
      <c r="A391" s="114" t="s">
        <v>1789</v>
      </c>
      <c r="B391" s="113" t="s">
        <v>1787</v>
      </c>
      <c r="C391" s="122"/>
      <c r="D391" s="48" t="s">
        <v>73</v>
      </c>
      <c r="E391" s="49"/>
      <c r="F391" s="50"/>
      <c r="G391" s="62"/>
      <c r="H391" s="48" t="s">
        <v>72</v>
      </c>
      <c r="I391" s="52">
        <v>1</v>
      </c>
      <c r="J391" s="52"/>
      <c r="K391" s="52" t="s">
        <v>73</v>
      </c>
      <c r="L391" s="52" t="s">
        <v>74</v>
      </c>
      <c r="M391" s="53" t="s">
        <v>917</v>
      </c>
      <c r="N391" s="58" t="s">
        <v>73</v>
      </c>
      <c r="O391" s="48" t="s">
        <v>72</v>
      </c>
      <c r="P391" s="48" t="s">
        <v>73</v>
      </c>
      <c r="Q391" s="54" t="s">
        <v>73</v>
      </c>
      <c r="R391" s="55" t="s">
        <v>73</v>
      </c>
      <c r="S391" s="48" t="s">
        <v>73</v>
      </c>
      <c r="T391" s="121" t="str" cm="1">
        <f t="array" ref="T391">IF(ISNUMBER(SEARCH("SCHNEIDER",D391)),_xlfn.IFS(ISNUMBER(SEARCH("2 Querétaro",D391)),"SQ2",ISNUMBER(SEARCH("Xicohténcatl",D391)),"SXC",ISNUMBER(SEARCH("Rojo Gómez",D391)),"SRG",ISNUMBER(SEARCH("Tlaxcala",D391)),"STX",ISNUMBER(SEARCH("Monterrey",D391)),"SMY",ISNUMBER(SEARCH("Querétaro",D391)),"SQ1",ISNUMBER(SEARCH("CDMX",D391)),"SCM",TRUE,""),"")</f>
        <v/>
      </c>
      <c r="U391" s="48" t="str" cm="1">
        <f t="array" ref="U391">_xlfn.LET(_xlpm.resultados,_xlfn.UNIQUE(_xlfn._xlws.FILTER(Tabla1[Proceso],(Tabla1[Metal Base]=O391)*(Tabla1[Etiquetas]=_xlfn.TEXTJOIN(" + ",TRUE,IF((TRIM(Upload!P391:S391)="")+(LOWER(TRIM(Upload!P391:S391))="(seleccione)"),"",PROPER(TRIM(Upload!P391:S391)))))*(Tabla1[Línea2]=IFERROR(VLOOKUP(Upload!N391&amp;"*",CAT_Procesos!D:D,1,FALSE),"")))),_xlpm.cantidad,ROWS(_xlpm.resultados),IF(ISERROR(_xlpm.cantidad),"Combinación no existente",IF(_xlpm.cantidad=1,INDEX(_xlpm.resultados,1),"(seleccione)")))</f>
        <v>Combinación no existente</v>
      </c>
      <c r="V391" s="55" t="s">
        <v>73</v>
      </c>
      <c r="W391" s="56" t="s">
        <v>73</v>
      </c>
      <c r="X391" s="57" t="str">
        <f t="shared" si="20"/>
        <v/>
      </c>
      <c r="Y391" s="58" t="s">
        <v>73</v>
      </c>
      <c r="Z391" s="57" t="str">
        <f t="shared" si="21"/>
        <v/>
      </c>
      <c r="AA391" s="58" t="s">
        <v>73</v>
      </c>
      <c r="AB391" s="57" t="str">
        <f t="shared" si="22"/>
        <v/>
      </c>
      <c r="AC391" s="58" t="s">
        <v>73</v>
      </c>
      <c r="AD391" s="57" t="str">
        <f t="shared" si="23"/>
        <v/>
      </c>
      <c r="AE391" s="59"/>
      <c r="AF391" s="59"/>
      <c r="AG391" s="59"/>
      <c r="AH391" s="59"/>
      <c r="AI391" s="59" t="s">
        <v>73</v>
      </c>
      <c r="AJ391" s="59"/>
      <c r="AK391" s="59" t="s">
        <v>73</v>
      </c>
      <c r="AL391" s="59"/>
      <c r="AM391" s="59" t="s">
        <v>73</v>
      </c>
      <c r="AN391" s="59"/>
      <c r="AO391" s="59" t="s">
        <v>73</v>
      </c>
      <c r="AP391" s="59"/>
      <c r="AQ391" s="59" t="s">
        <v>73</v>
      </c>
      <c r="AR391" s="59"/>
      <c r="AS391" s="59" t="s">
        <v>72</v>
      </c>
      <c r="AT391" s="59"/>
      <c r="AU391" s="59"/>
      <c r="AV391" s="59"/>
      <c r="AW391" s="59"/>
      <c r="AX391" s="59"/>
      <c r="AY391" s="60" t="str">
        <f>IF('Cálculo MP'!K401="","",'Cálculo MP'!K401)</f>
        <v/>
      </c>
      <c r="AZ391" s="60" t="str">
        <f>IF('Cálculo MP'!L401="","",'Cálculo MP'!L401)</f>
        <v/>
      </c>
      <c r="BA391" s="60" t="str">
        <f>IF('Cálculo MP'!M401="","",'Cálculo MP'!M401)</f>
        <v/>
      </c>
      <c r="BB391" s="60" t="str">
        <f>IF('Cálculo MP'!N401="","",'Cálculo MP'!N401)</f>
        <v/>
      </c>
      <c r="BC391" s="60" t="str">
        <f>IF('Cálculo MP'!O401="","",'Cálculo MP'!O401)</f>
        <v/>
      </c>
      <c r="BD391" s="60" t="str">
        <f>IF('Cálculo MP'!P401="","",'Cálculo MP'!P401)</f>
        <v/>
      </c>
      <c r="BE391" s="60" t="str">
        <f>IF('Cálculo MP'!Q401="","",'Cálculo MP'!Q401)</f>
        <v/>
      </c>
      <c r="BF391" s="60" t="str">
        <f>IF('Cálculo MP'!R401="","",'Cálculo MP'!R401)</f>
        <v/>
      </c>
      <c r="BG391" s="60" t="str">
        <f>IF('Cálculo MP'!S401="","",'Cálculo MP'!S401)</f>
        <v/>
      </c>
      <c r="BH391" s="59"/>
      <c r="BI391" s="59"/>
      <c r="BJ391" s="59"/>
      <c r="BK391" s="59"/>
      <c r="BL391" s="59"/>
      <c r="BM391" s="59"/>
      <c r="BN391" s="59"/>
      <c r="BO391" s="59"/>
    </row>
    <row r="392" spans="1:67" ht="19.5" customHeight="1" x14ac:dyDescent="0.2">
      <c r="A392" s="114" t="s">
        <v>1789</v>
      </c>
      <c r="B392" s="113" t="s">
        <v>1787</v>
      </c>
      <c r="C392" s="122"/>
      <c r="D392" s="48" t="s">
        <v>73</v>
      </c>
      <c r="E392" s="49"/>
      <c r="F392" s="50"/>
      <c r="G392" s="62"/>
      <c r="H392" s="48" t="s">
        <v>72</v>
      </c>
      <c r="I392" s="52">
        <v>1</v>
      </c>
      <c r="J392" s="52"/>
      <c r="K392" s="52" t="s">
        <v>73</v>
      </c>
      <c r="L392" s="52" t="s">
        <v>74</v>
      </c>
      <c r="M392" s="53" t="s">
        <v>917</v>
      </c>
      <c r="N392" s="58" t="s">
        <v>73</v>
      </c>
      <c r="O392" s="48" t="s">
        <v>72</v>
      </c>
      <c r="P392" s="48" t="s">
        <v>73</v>
      </c>
      <c r="Q392" s="54" t="s">
        <v>73</v>
      </c>
      <c r="R392" s="55" t="s">
        <v>73</v>
      </c>
      <c r="S392" s="48" t="s">
        <v>73</v>
      </c>
      <c r="T392" s="121" t="str" cm="1">
        <f t="array" ref="T392">IF(ISNUMBER(SEARCH("SCHNEIDER",D392)),_xlfn.IFS(ISNUMBER(SEARCH("2 Querétaro",D392)),"SQ2",ISNUMBER(SEARCH("Xicohténcatl",D392)),"SXC",ISNUMBER(SEARCH("Rojo Gómez",D392)),"SRG",ISNUMBER(SEARCH("Tlaxcala",D392)),"STX",ISNUMBER(SEARCH("Monterrey",D392)),"SMY",ISNUMBER(SEARCH("Querétaro",D392)),"SQ1",ISNUMBER(SEARCH("CDMX",D392)),"SCM",TRUE,""),"")</f>
        <v/>
      </c>
      <c r="U392" s="48" t="str" cm="1">
        <f t="array" ref="U392">_xlfn.LET(_xlpm.resultados,_xlfn.UNIQUE(_xlfn._xlws.FILTER(Tabla1[Proceso],(Tabla1[Metal Base]=O392)*(Tabla1[Etiquetas]=_xlfn.TEXTJOIN(" + ",TRUE,IF((TRIM(Upload!P392:S392)="")+(LOWER(TRIM(Upload!P392:S392))="(seleccione)"),"",PROPER(TRIM(Upload!P392:S392)))))*(Tabla1[Línea2]=IFERROR(VLOOKUP(Upload!N392&amp;"*",CAT_Procesos!D:D,1,FALSE),"")))),_xlpm.cantidad,ROWS(_xlpm.resultados),IF(ISERROR(_xlpm.cantidad),"Combinación no existente",IF(_xlpm.cantidad=1,INDEX(_xlpm.resultados,1),"(seleccione)")))</f>
        <v>Combinación no existente</v>
      </c>
      <c r="V392" s="55" t="s">
        <v>73</v>
      </c>
      <c r="W392" s="56" t="s">
        <v>73</v>
      </c>
      <c r="X392" s="57" t="str">
        <f t="shared" si="20"/>
        <v/>
      </c>
      <c r="Y392" s="58" t="s">
        <v>73</v>
      </c>
      <c r="Z392" s="57" t="str">
        <f t="shared" si="21"/>
        <v/>
      </c>
      <c r="AA392" s="58" t="s">
        <v>73</v>
      </c>
      <c r="AB392" s="57" t="str">
        <f t="shared" si="22"/>
        <v/>
      </c>
      <c r="AC392" s="58" t="s">
        <v>73</v>
      </c>
      <c r="AD392" s="57" t="str">
        <f t="shared" si="23"/>
        <v/>
      </c>
      <c r="AE392" s="59"/>
      <c r="AF392" s="59"/>
      <c r="AG392" s="59"/>
      <c r="AH392" s="59"/>
      <c r="AI392" s="59" t="s">
        <v>73</v>
      </c>
      <c r="AJ392" s="59"/>
      <c r="AK392" s="59" t="s">
        <v>73</v>
      </c>
      <c r="AL392" s="59"/>
      <c r="AM392" s="59" t="s">
        <v>73</v>
      </c>
      <c r="AN392" s="59"/>
      <c r="AO392" s="59" t="s">
        <v>73</v>
      </c>
      <c r="AP392" s="59"/>
      <c r="AQ392" s="59" t="s">
        <v>73</v>
      </c>
      <c r="AR392" s="59"/>
      <c r="AS392" s="59" t="s">
        <v>72</v>
      </c>
      <c r="AT392" s="59"/>
      <c r="AU392" s="59"/>
      <c r="AV392" s="59"/>
      <c r="AW392" s="59"/>
      <c r="AX392" s="59"/>
      <c r="AY392" s="60" t="str">
        <f>IF('Cálculo MP'!K402="","",'Cálculo MP'!K402)</f>
        <v/>
      </c>
      <c r="AZ392" s="60" t="str">
        <f>IF('Cálculo MP'!L402="","",'Cálculo MP'!L402)</f>
        <v/>
      </c>
      <c r="BA392" s="60" t="str">
        <f>IF('Cálculo MP'!M402="","",'Cálculo MP'!M402)</f>
        <v/>
      </c>
      <c r="BB392" s="60" t="str">
        <f>IF('Cálculo MP'!N402="","",'Cálculo MP'!N402)</f>
        <v/>
      </c>
      <c r="BC392" s="60" t="str">
        <f>IF('Cálculo MP'!O402="","",'Cálculo MP'!O402)</f>
        <v/>
      </c>
      <c r="BD392" s="60" t="str">
        <f>IF('Cálculo MP'!P402="","",'Cálculo MP'!P402)</f>
        <v/>
      </c>
      <c r="BE392" s="60" t="str">
        <f>IF('Cálculo MP'!Q402="","",'Cálculo MP'!Q402)</f>
        <v/>
      </c>
      <c r="BF392" s="60" t="str">
        <f>IF('Cálculo MP'!R402="","",'Cálculo MP'!R402)</f>
        <v/>
      </c>
      <c r="BG392" s="60" t="str">
        <f>IF('Cálculo MP'!S402="","",'Cálculo MP'!S402)</f>
        <v/>
      </c>
      <c r="BH392" s="59"/>
      <c r="BI392" s="59"/>
      <c r="BJ392" s="59"/>
      <c r="BK392" s="59"/>
      <c r="BL392" s="59"/>
      <c r="BM392" s="59"/>
      <c r="BN392" s="59"/>
      <c r="BO392" s="59"/>
    </row>
    <row r="393" spans="1:67" ht="19.5" customHeight="1" x14ac:dyDescent="0.2">
      <c r="A393" s="114" t="s">
        <v>1789</v>
      </c>
      <c r="B393" s="113" t="s">
        <v>1787</v>
      </c>
      <c r="C393" s="122"/>
      <c r="D393" s="48" t="s">
        <v>73</v>
      </c>
      <c r="E393" s="49"/>
      <c r="F393" s="50"/>
      <c r="G393" s="62"/>
      <c r="H393" s="48" t="s">
        <v>72</v>
      </c>
      <c r="I393" s="52">
        <v>1</v>
      </c>
      <c r="J393" s="52"/>
      <c r="K393" s="52" t="s">
        <v>73</v>
      </c>
      <c r="L393" s="52" t="s">
        <v>74</v>
      </c>
      <c r="M393" s="53" t="s">
        <v>917</v>
      </c>
      <c r="N393" s="58" t="s">
        <v>73</v>
      </c>
      <c r="O393" s="48" t="s">
        <v>72</v>
      </c>
      <c r="P393" s="48" t="s">
        <v>73</v>
      </c>
      <c r="Q393" s="54" t="s">
        <v>73</v>
      </c>
      <c r="R393" s="55" t="s">
        <v>73</v>
      </c>
      <c r="S393" s="48" t="s">
        <v>73</v>
      </c>
      <c r="T393" s="121" t="str" cm="1">
        <f t="array" ref="T393">IF(ISNUMBER(SEARCH("SCHNEIDER",D393)),_xlfn.IFS(ISNUMBER(SEARCH("2 Querétaro",D393)),"SQ2",ISNUMBER(SEARCH("Xicohténcatl",D393)),"SXC",ISNUMBER(SEARCH("Rojo Gómez",D393)),"SRG",ISNUMBER(SEARCH("Tlaxcala",D393)),"STX",ISNUMBER(SEARCH("Monterrey",D393)),"SMY",ISNUMBER(SEARCH("Querétaro",D393)),"SQ1",ISNUMBER(SEARCH("CDMX",D393)),"SCM",TRUE,""),"")</f>
        <v/>
      </c>
      <c r="U393" s="48" t="str" cm="1">
        <f t="array" ref="U393">_xlfn.LET(_xlpm.resultados,_xlfn.UNIQUE(_xlfn._xlws.FILTER(Tabla1[Proceso],(Tabla1[Metal Base]=O393)*(Tabla1[Etiquetas]=_xlfn.TEXTJOIN(" + ",TRUE,IF((TRIM(Upload!P393:S393)="")+(LOWER(TRIM(Upload!P393:S393))="(seleccione)"),"",PROPER(TRIM(Upload!P393:S393)))))*(Tabla1[Línea2]=IFERROR(VLOOKUP(Upload!N393&amp;"*",CAT_Procesos!D:D,1,FALSE),"")))),_xlpm.cantidad,ROWS(_xlpm.resultados),IF(ISERROR(_xlpm.cantidad),"Combinación no existente",IF(_xlpm.cantidad=1,INDEX(_xlpm.resultados,1),"(seleccione)")))</f>
        <v>Combinación no existente</v>
      </c>
      <c r="V393" s="55" t="s">
        <v>73</v>
      </c>
      <c r="W393" s="56" t="s">
        <v>73</v>
      </c>
      <c r="X393" s="57" t="str">
        <f t="shared" ref="X393:X456" si="24">IFERROR(((VALUE(TRIM(LEFT(MID(W393,FIND("|",W393)+1,99),FIND("-",MID(W393,FIND("|",W393)+1,99))-1)))+VALUE(TRIM(SUBSTITUTE(SUBSTITUTE(SUBSTITUTE(SUBSTITUTE(SUBSTITUTE(MID(MID(W393,FIND("|",W393)+1,99),FIND("-",MID(W393,FIND("|",W393)+1,99))+1,20),"µm",""),"μm",""),"mils",""),"mil",""),"",""))))/2)*IF(ISNUMBER(SEARCH("mil",MID(W393,FIND("|",W393)+1,99))),25.4,1),"")</f>
        <v/>
      </c>
      <c r="Y393" s="58" t="s">
        <v>73</v>
      </c>
      <c r="Z393" s="57" t="str">
        <f t="shared" ref="Z393:Z456" si="25">IFERROR(((VALUE(TRIM(LEFT(MID(Y393,FIND("|",Y393)+1,99),FIND("-",MID(Y393,FIND("|",Y393)+1,99))-1)))+VALUE(TRIM(SUBSTITUTE(SUBSTITUTE(SUBSTITUTE(SUBSTITUTE(SUBSTITUTE(MID(MID(Y393,FIND("|",Y393)+1,99),FIND("-",MID(Y393,FIND("|",Y393)+1,99))+1,20),"µm",""),"μm",""),"mils",""),"mil",""),"",""))))/2)*IF(ISNUMBER(SEARCH("mil",MID(Y393,FIND("|",Y393)+1,99))),25.4,1),"")</f>
        <v/>
      </c>
      <c r="AA393" s="58" t="s">
        <v>73</v>
      </c>
      <c r="AB393" s="57" t="str">
        <f t="shared" ref="AB393:AB456" si="26">IFERROR(((VALUE(TRIM(LEFT(MID(AA393,FIND("|",AA393)+1,99),FIND("-",MID(AA393,FIND("|",AA393)+1,99))-1)))+VALUE(TRIM(SUBSTITUTE(SUBSTITUTE(SUBSTITUTE(SUBSTITUTE(SUBSTITUTE(MID(MID(AA393,FIND("|",AA393)+1,99),FIND("-",MID(AA393,FIND("|",AA393)+1,99))+1,20),"µm",""),"μm",""),"mils",""),"mil",""),"",""))))/2)*IF(ISNUMBER(SEARCH("mil",MID(AA393,FIND("|",AA393)+1,99))),25.4,1),"")</f>
        <v/>
      </c>
      <c r="AC393" s="58" t="s">
        <v>73</v>
      </c>
      <c r="AD393" s="57" t="str">
        <f t="shared" ref="AD393:AD456" si="27">IFERROR(((VALUE(TRIM(LEFT(MID(AC393,FIND("|",AC393)+1,99),FIND("-",MID(AC393,FIND("|",AC393)+1,99))-1)))+VALUE(TRIM(SUBSTITUTE(SUBSTITUTE(SUBSTITUTE(SUBSTITUTE(SUBSTITUTE(MID(MID(AC393,FIND("|",AC393)+1,99),FIND("-",MID(AC393,FIND("|",AC393)+1,99))+1,20),"µm",""),"μm",""),"mils",""),"mil",""),"",""))))/2)*IF(ISNUMBER(SEARCH("mil",MID(AC393,FIND("|",AC393)+1,99))),25.4,1),"")</f>
        <v/>
      </c>
      <c r="AE393" s="59"/>
      <c r="AF393" s="59"/>
      <c r="AG393" s="59"/>
      <c r="AH393" s="59"/>
      <c r="AI393" s="59" t="s">
        <v>73</v>
      </c>
      <c r="AJ393" s="59"/>
      <c r="AK393" s="59" t="s">
        <v>73</v>
      </c>
      <c r="AL393" s="59"/>
      <c r="AM393" s="59" t="s">
        <v>73</v>
      </c>
      <c r="AN393" s="59"/>
      <c r="AO393" s="59" t="s">
        <v>73</v>
      </c>
      <c r="AP393" s="59"/>
      <c r="AQ393" s="59" t="s">
        <v>73</v>
      </c>
      <c r="AR393" s="59"/>
      <c r="AS393" s="59" t="s">
        <v>72</v>
      </c>
      <c r="AT393" s="59"/>
      <c r="AU393" s="59"/>
      <c r="AV393" s="59"/>
      <c r="AW393" s="59"/>
      <c r="AX393" s="59"/>
      <c r="AY393" s="60" t="str">
        <f>IF('Cálculo MP'!K403="","",'Cálculo MP'!K403)</f>
        <v/>
      </c>
      <c r="AZ393" s="60" t="str">
        <f>IF('Cálculo MP'!L403="","",'Cálculo MP'!L403)</f>
        <v/>
      </c>
      <c r="BA393" s="60" t="str">
        <f>IF('Cálculo MP'!M403="","",'Cálculo MP'!M403)</f>
        <v/>
      </c>
      <c r="BB393" s="60" t="str">
        <f>IF('Cálculo MP'!N403="","",'Cálculo MP'!N403)</f>
        <v/>
      </c>
      <c r="BC393" s="60" t="str">
        <f>IF('Cálculo MP'!O403="","",'Cálculo MP'!O403)</f>
        <v/>
      </c>
      <c r="BD393" s="60" t="str">
        <f>IF('Cálculo MP'!P403="","",'Cálculo MP'!P403)</f>
        <v/>
      </c>
      <c r="BE393" s="60" t="str">
        <f>IF('Cálculo MP'!Q403="","",'Cálculo MP'!Q403)</f>
        <v/>
      </c>
      <c r="BF393" s="60" t="str">
        <f>IF('Cálculo MP'!R403="","",'Cálculo MP'!R403)</f>
        <v/>
      </c>
      <c r="BG393" s="60" t="str">
        <f>IF('Cálculo MP'!S403="","",'Cálculo MP'!S403)</f>
        <v/>
      </c>
      <c r="BH393" s="59"/>
      <c r="BI393" s="59"/>
      <c r="BJ393" s="59"/>
      <c r="BK393" s="59"/>
      <c r="BL393" s="59"/>
      <c r="BM393" s="59"/>
      <c r="BN393" s="59"/>
      <c r="BO393" s="59"/>
    </row>
    <row r="394" spans="1:67" ht="19.5" customHeight="1" x14ac:dyDescent="0.2">
      <c r="A394" s="114" t="s">
        <v>1789</v>
      </c>
      <c r="B394" s="113" t="s">
        <v>1787</v>
      </c>
      <c r="C394" s="122"/>
      <c r="D394" s="48" t="s">
        <v>73</v>
      </c>
      <c r="E394" s="49"/>
      <c r="F394" s="50"/>
      <c r="G394" s="62"/>
      <c r="H394" s="48" t="s">
        <v>72</v>
      </c>
      <c r="I394" s="52">
        <v>1</v>
      </c>
      <c r="J394" s="52"/>
      <c r="K394" s="52" t="s">
        <v>73</v>
      </c>
      <c r="L394" s="52" t="s">
        <v>74</v>
      </c>
      <c r="M394" s="53" t="s">
        <v>917</v>
      </c>
      <c r="N394" s="58" t="s">
        <v>73</v>
      </c>
      <c r="O394" s="48" t="s">
        <v>72</v>
      </c>
      <c r="P394" s="48" t="s">
        <v>73</v>
      </c>
      <c r="Q394" s="54" t="s">
        <v>73</v>
      </c>
      <c r="R394" s="55" t="s">
        <v>73</v>
      </c>
      <c r="S394" s="48" t="s">
        <v>73</v>
      </c>
      <c r="T394" s="121" t="str" cm="1">
        <f t="array" ref="T394">IF(ISNUMBER(SEARCH("SCHNEIDER",D394)),_xlfn.IFS(ISNUMBER(SEARCH("2 Querétaro",D394)),"SQ2",ISNUMBER(SEARCH("Xicohténcatl",D394)),"SXC",ISNUMBER(SEARCH("Rojo Gómez",D394)),"SRG",ISNUMBER(SEARCH("Tlaxcala",D394)),"STX",ISNUMBER(SEARCH("Monterrey",D394)),"SMY",ISNUMBER(SEARCH("Querétaro",D394)),"SQ1",ISNUMBER(SEARCH("CDMX",D394)),"SCM",TRUE,""),"")</f>
        <v/>
      </c>
      <c r="U394" s="48" t="str" cm="1">
        <f t="array" ref="U394">_xlfn.LET(_xlpm.resultados,_xlfn.UNIQUE(_xlfn._xlws.FILTER(Tabla1[Proceso],(Tabla1[Metal Base]=O394)*(Tabla1[Etiquetas]=_xlfn.TEXTJOIN(" + ",TRUE,IF((TRIM(Upload!P394:S394)="")+(LOWER(TRIM(Upload!P394:S394))="(seleccione)"),"",PROPER(TRIM(Upload!P394:S394)))))*(Tabla1[Línea2]=IFERROR(VLOOKUP(Upload!N394&amp;"*",CAT_Procesos!D:D,1,FALSE),"")))),_xlpm.cantidad,ROWS(_xlpm.resultados),IF(ISERROR(_xlpm.cantidad),"Combinación no existente",IF(_xlpm.cantidad=1,INDEX(_xlpm.resultados,1),"(seleccione)")))</f>
        <v>Combinación no existente</v>
      </c>
      <c r="V394" s="55" t="s">
        <v>73</v>
      </c>
      <c r="W394" s="56" t="s">
        <v>73</v>
      </c>
      <c r="X394" s="57" t="str">
        <f t="shared" si="24"/>
        <v/>
      </c>
      <c r="Y394" s="58" t="s">
        <v>73</v>
      </c>
      <c r="Z394" s="57" t="str">
        <f t="shared" si="25"/>
        <v/>
      </c>
      <c r="AA394" s="58" t="s">
        <v>73</v>
      </c>
      <c r="AB394" s="57" t="str">
        <f t="shared" si="26"/>
        <v/>
      </c>
      <c r="AC394" s="58" t="s">
        <v>73</v>
      </c>
      <c r="AD394" s="57" t="str">
        <f t="shared" si="27"/>
        <v/>
      </c>
      <c r="AE394" s="59"/>
      <c r="AF394" s="59"/>
      <c r="AG394" s="59"/>
      <c r="AH394" s="59"/>
      <c r="AI394" s="59" t="s">
        <v>73</v>
      </c>
      <c r="AJ394" s="59"/>
      <c r="AK394" s="59" t="s">
        <v>73</v>
      </c>
      <c r="AL394" s="59"/>
      <c r="AM394" s="59" t="s">
        <v>73</v>
      </c>
      <c r="AN394" s="59"/>
      <c r="AO394" s="59" t="s">
        <v>73</v>
      </c>
      <c r="AP394" s="59"/>
      <c r="AQ394" s="59" t="s">
        <v>73</v>
      </c>
      <c r="AR394" s="59"/>
      <c r="AS394" s="59" t="s">
        <v>72</v>
      </c>
      <c r="AT394" s="59"/>
      <c r="AU394" s="59"/>
      <c r="AV394" s="59"/>
      <c r="AW394" s="59"/>
      <c r="AX394" s="59"/>
      <c r="AY394" s="60" t="str">
        <f>IF('Cálculo MP'!K404="","",'Cálculo MP'!K404)</f>
        <v/>
      </c>
      <c r="AZ394" s="60" t="str">
        <f>IF('Cálculo MP'!L404="","",'Cálculo MP'!L404)</f>
        <v/>
      </c>
      <c r="BA394" s="60" t="str">
        <f>IF('Cálculo MP'!M404="","",'Cálculo MP'!M404)</f>
        <v/>
      </c>
      <c r="BB394" s="60" t="str">
        <f>IF('Cálculo MP'!N404="","",'Cálculo MP'!N404)</f>
        <v/>
      </c>
      <c r="BC394" s="60" t="str">
        <f>IF('Cálculo MP'!O404="","",'Cálculo MP'!O404)</f>
        <v/>
      </c>
      <c r="BD394" s="60" t="str">
        <f>IF('Cálculo MP'!P404="","",'Cálculo MP'!P404)</f>
        <v/>
      </c>
      <c r="BE394" s="60" t="str">
        <f>IF('Cálculo MP'!Q404="","",'Cálculo MP'!Q404)</f>
        <v/>
      </c>
      <c r="BF394" s="60" t="str">
        <f>IF('Cálculo MP'!R404="","",'Cálculo MP'!R404)</f>
        <v/>
      </c>
      <c r="BG394" s="60" t="str">
        <f>IF('Cálculo MP'!S404="","",'Cálculo MP'!S404)</f>
        <v/>
      </c>
      <c r="BH394" s="59"/>
      <c r="BI394" s="59"/>
      <c r="BJ394" s="59"/>
      <c r="BK394" s="59"/>
      <c r="BL394" s="59"/>
      <c r="BM394" s="59"/>
      <c r="BN394" s="59"/>
      <c r="BO394" s="59"/>
    </row>
    <row r="395" spans="1:67" ht="19.5" customHeight="1" x14ac:dyDescent="0.2">
      <c r="A395" s="114" t="s">
        <v>1789</v>
      </c>
      <c r="B395" s="113" t="s">
        <v>1787</v>
      </c>
      <c r="C395" s="122"/>
      <c r="D395" s="48" t="s">
        <v>73</v>
      </c>
      <c r="E395" s="49"/>
      <c r="F395" s="50"/>
      <c r="G395" s="62"/>
      <c r="H395" s="48" t="s">
        <v>72</v>
      </c>
      <c r="I395" s="52">
        <v>1</v>
      </c>
      <c r="J395" s="52"/>
      <c r="K395" s="52" t="s">
        <v>73</v>
      </c>
      <c r="L395" s="52" t="s">
        <v>74</v>
      </c>
      <c r="M395" s="53" t="s">
        <v>917</v>
      </c>
      <c r="N395" s="58" t="s">
        <v>73</v>
      </c>
      <c r="O395" s="48" t="s">
        <v>72</v>
      </c>
      <c r="P395" s="48" t="s">
        <v>73</v>
      </c>
      <c r="Q395" s="54" t="s">
        <v>73</v>
      </c>
      <c r="R395" s="55" t="s">
        <v>73</v>
      </c>
      <c r="S395" s="48" t="s">
        <v>73</v>
      </c>
      <c r="T395" s="121" t="str" cm="1">
        <f t="array" ref="T395">IF(ISNUMBER(SEARCH("SCHNEIDER",D395)),_xlfn.IFS(ISNUMBER(SEARCH("2 Querétaro",D395)),"SQ2",ISNUMBER(SEARCH("Xicohténcatl",D395)),"SXC",ISNUMBER(SEARCH("Rojo Gómez",D395)),"SRG",ISNUMBER(SEARCH("Tlaxcala",D395)),"STX",ISNUMBER(SEARCH("Monterrey",D395)),"SMY",ISNUMBER(SEARCH("Querétaro",D395)),"SQ1",ISNUMBER(SEARCH("CDMX",D395)),"SCM",TRUE,""),"")</f>
        <v/>
      </c>
      <c r="U395" s="48" t="str" cm="1">
        <f t="array" ref="U395">_xlfn.LET(_xlpm.resultados,_xlfn.UNIQUE(_xlfn._xlws.FILTER(Tabla1[Proceso],(Tabla1[Metal Base]=O395)*(Tabla1[Etiquetas]=_xlfn.TEXTJOIN(" + ",TRUE,IF((TRIM(Upload!P395:S395)="")+(LOWER(TRIM(Upload!P395:S395))="(seleccione)"),"",PROPER(TRIM(Upload!P395:S395)))))*(Tabla1[Línea2]=IFERROR(VLOOKUP(Upload!N395&amp;"*",CAT_Procesos!D:D,1,FALSE),"")))),_xlpm.cantidad,ROWS(_xlpm.resultados),IF(ISERROR(_xlpm.cantidad),"Combinación no existente",IF(_xlpm.cantidad=1,INDEX(_xlpm.resultados,1),"(seleccione)")))</f>
        <v>Combinación no existente</v>
      </c>
      <c r="V395" s="55" t="s">
        <v>73</v>
      </c>
      <c r="W395" s="56" t="s">
        <v>73</v>
      </c>
      <c r="X395" s="57" t="str">
        <f t="shared" si="24"/>
        <v/>
      </c>
      <c r="Y395" s="58" t="s">
        <v>73</v>
      </c>
      <c r="Z395" s="57" t="str">
        <f t="shared" si="25"/>
        <v/>
      </c>
      <c r="AA395" s="58" t="s">
        <v>73</v>
      </c>
      <c r="AB395" s="57" t="str">
        <f t="shared" si="26"/>
        <v/>
      </c>
      <c r="AC395" s="58" t="s">
        <v>73</v>
      </c>
      <c r="AD395" s="57" t="str">
        <f t="shared" si="27"/>
        <v/>
      </c>
      <c r="AE395" s="59"/>
      <c r="AF395" s="59"/>
      <c r="AG395" s="59"/>
      <c r="AH395" s="59"/>
      <c r="AI395" s="59" t="s">
        <v>73</v>
      </c>
      <c r="AJ395" s="59"/>
      <c r="AK395" s="59" t="s">
        <v>73</v>
      </c>
      <c r="AL395" s="59"/>
      <c r="AM395" s="59" t="s">
        <v>73</v>
      </c>
      <c r="AN395" s="59"/>
      <c r="AO395" s="59" t="s">
        <v>73</v>
      </c>
      <c r="AP395" s="59"/>
      <c r="AQ395" s="59" t="s">
        <v>73</v>
      </c>
      <c r="AR395" s="59"/>
      <c r="AS395" s="59" t="s">
        <v>72</v>
      </c>
      <c r="AT395" s="59"/>
      <c r="AU395" s="59"/>
      <c r="AV395" s="59"/>
      <c r="AW395" s="59"/>
      <c r="AX395" s="59"/>
      <c r="AY395" s="60" t="str">
        <f>IF('Cálculo MP'!K405="","",'Cálculo MP'!K405)</f>
        <v/>
      </c>
      <c r="AZ395" s="60" t="str">
        <f>IF('Cálculo MP'!L405="","",'Cálculo MP'!L405)</f>
        <v/>
      </c>
      <c r="BA395" s="60" t="str">
        <f>IF('Cálculo MP'!M405="","",'Cálculo MP'!M405)</f>
        <v/>
      </c>
      <c r="BB395" s="60" t="str">
        <f>IF('Cálculo MP'!N405="","",'Cálculo MP'!N405)</f>
        <v/>
      </c>
      <c r="BC395" s="60" t="str">
        <f>IF('Cálculo MP'!O405="","",'Cálculo MP'!O405)</f>
        <v/>
      </c>
      <c r="BD395" s="60" t="str">
        <f>IF('Cálculo MP'!P405="","",'Cálculo MP'!P405)</f>
        <v/>
      </c>
      <c r="BE395" s="60" t="str">
        <f>IF('Cálculo MP'!Q405="","",'Cálculo MP'!Q405)</f>
        <v/>
      </c>
      <c r="BF395" s="60" t="str">
        <f>IF('Cálculo MP'!R405="","",'Cálculo MP'!R405)</f>
        <v/>
      </c>
      <c r="BG395" s="60" t="str">
        <f>IF('Cálculo MP'!S405="","",'Cálculo MP'!S405)</f>
        <v/>
      </c>
      <c r="BH395" s="59"/>
      <c r="BI395" s="59"/>
      <c r="BJ395" s="59"/>
      <c r="BK395" s="59"/>
      <c r="BL395" s="59"/>
      <c r="BM395" s="59"/>
      <c r="BN395" s="59"/>
      <c r="BO395" s="59"/>
    </row>
    <row r="396" spans="1:67" ht="19.5" customHeight="1" x14ac:dyDescent="0.2">
      <c r="A396" s="114" t="s">
        <v>1789</v>
      </c>
      <c r="B396" s="113" t="s">
        <v>1787</v>
      </c>
      <c r="C396" s="122"/>
      <c r="D396" s="48" t="s">
        <v>73</v>
      </c>
      <c r="E396" s="49"/>
      <c r="F396" s="50"/>
      <c r="G396" s="62"/>
      <c r="H396" s="48" t="s">
        <v>72</v>
      </c>
      <c r="I396" s="52">
        <v>1</v>
      </c>
      <c r="J396" s="52"/>
      <c r="K396" s="52" t="s">
        <v>73</v>
      </c>
      <c r="L396" s="52" t="s">
        <v>74</v>
      </c>
      <c r="M396" s="53" t="s">
        <v>917</v>
      </c>
      <c r="N396" s="58" t="s">
        <v>73</v>
      </c>
      <c r="O396" s="48" t="s">
        <v>72</v>
      </c>
      <c r="P396" s="48" t="s">
        <v>73</v>
      </c>
      <c r="Q396" s="54" t="s">
        <v>73</v>
      </c>
      <c r="R396" s="55" t="s">
        <v>73</v>
      </c>
      <c r="S396" s="48" t="s">
        <v>73</v>
      </c>
      <c r="T396" s="121" t="str" cm="1">
        <f t="array" ref="T396">IF(ISNUMBER(SEARCH("SCHNEIDER",D396)),_xlfn.IFS(ISNUMBER(SEARCH("2 Querétaro",D396)),"SQ2",ISNUMBER(SEARCH("Xicohténcatl",D396)),"SXC",ISNUMBER(SEARCH("Rojo Gómez",D396)),"SRG",ISNUMBER(SEARCH("Tlaxcala",D396)),"STX",ISNUMBER(SEARCH("Monterrey",D396)),"SMY",ISNUMBER(SEARCH("Querétaro",D396)),"SQ1",ISNUMBER(SEARCH("CDMX",D396)),"SCM",TRUE,""),"")</f>
        <v/>
      </c>
      <c r="U396" s="48" t="str" cm="1">
        <f t="array" ref="U396">_xlfn.LET(_xlpm.resultados,_xlfn.UNIQUE(_xlfn._xlws.FILTER(Tabla1[Proceso],(Tabla1[Metal Base]=O396)*(Tabla1[Etiquetas]=_xlfn.TEXTJOIN(" + ",TRUE,IF((TRIM(Upload!P396:S396)="")+(LOWER(TRIM(Upload!P396:S396))="(seleccione)"),"",PROPER(TRIM(Upload!P396:S396)))))*(Tabla1[Línea2]=IFERROR(VLOOKUP(Upload!N396&amp;"*",CAT_Procesos!D:D,1,FALSE),"")))),_xlpm.cantidad,ROWS(_xlpm.resultados),IF(ISERROR(_xlpm.cantidad),"Combinación no existente",IF(_xlpm.cantidad=1,INDEX(_xlpm.resultados,1),"(seleccione)")))</f>
        <v>Combinación no existente</v>
      </c>
      <c r="V396" s="55" t="s">
        <v>73</v>
      </c>
      <c r="W396" s="56" t="s">
        <v>73</v>
      </c>
      <c r="X396" s="57" t="str">
        <f t="shared" si="24"/>
        <v/>
      </c>
      <c r="Y396" s="58" t="s">
        <v>73</v>
      </c>
      <c r="Z396" s="57" t="str">
        <f t="shared" si="25"/>
        <v/>
      </c>
      <c r="AA396" s="58" t="s">
        <v>73</v>
      </c>
      <c r="AB396" s="57" t="str">
        <f t="shared" si="26"/>
        <v/>
      </c>
      <c r="AC396" s="58" t="s">
        <v>73</v>
      </c>
      <c r="AD396" s="57" t="str">
        <f t="shared" si="27"/>
        <v/>
      </c>
      <c r="AE396" s="59"/>
      <c r="AF396" s="59"/>
      <c r="AG396" s="59"/>
      <c r="AH396" s="59"/>
      <c r="AI396" s="59" t="s">
        <v>73</v>
      </c>
      <c r="AJ396" s="59"/>
      <c r="AK396" s="59" t="s">
        <v>73</v>
      </c>
      <c r="AL396" s="59"/>
      <c r="AM396" s="59" t="s">
        <v>73</v>
      </c>
      <c r="AN396" s="59"/>
      <c r="AO396" s="59" t="s">
        <v>73</v>
      </c>
      <c r="AP396" s="59"/>
      <c r="AQ396" s="59" t="s">
        <v>73</v>
      </c>
      <c r="AR396" s="59"/>
      <c r="AS396" s="59" t="s">
        <v>72</v>
      </c>
      <c r="AT396" s="59"/>
      <c r="AU396" s="59"/>
      <c r="AV396" s="59"/>
      <c r="AW396" s="59"/>
      <c r="AX396" s="59"/>
      <c r="AY396" s="60" t="str">
        <f>IF('Cálculo MP'!K406="","",'Cálculo MP'!K406)</f>
        <v/>
      </c>
      <c r="AZ396" s="60" t="str">
        <f>IF('Cálculo MP'!L406="","",'Cálculo MP'!L406)</f>
        <v/>
      </c>
      <c r="BA396" s="60" t="str">
        <f>IF('Cálculo MP'!M406="","",'Cálculo MP'!M406)</f>
        <v/>
      </c>
      <c r="BB396" s="60" t="str">
        <f>IF('Cálculo MP'!N406="","",'Cálculo MP'!N406)</f>
        <v/>
      </c>
      <c r="BC396" s="60" t="str">
        <f>IF('Cálculo MP'!O406="","",'Cálculo MP'!O406)</f>
        <v/>
      </c>
      <c r="BD396" s="60" t="str">
        <f>IF('Cálculo MP'!P406="","",'Cálculo MP'!P406)</f>
        <v/>
      </c>
      <c r="BE396" s="60" t="str">
        <f>IF('Cálculo MP'!Q406="","",'Cálculo MP'!Q406)</f>
        <v/>
      </c>
      <c r="BF396" s="60" t="str">
        <f>IF('Cálculo MP'!R406="","",'Cálculo MP'!R406)</f>
        <v/>
      </c>
      <c r="BG396" s="60" t="str">
        <f>IF('Cálculo MP'!S406="","",'Cálculo MP'!S406)</f>
        <v/>
      </c>
      <c r="BH396" s="59"/>
      <c r="BI396" s="59"/>
      <c r="BJ396" s="59"/>
      <c r="BK396" s="59"/>
      <c r="BL396" s="59"/>
      <c r="BM396" s="59"/>
      <c r="BN396" s="59"/>
      <c r="BO396" s="59"/>
    </row>
    <row r="397" spans="1:67" ht="19.5" customHeight="1" x14ac:dyDescent="0.2">
      <c r="A397" s="114" t="s">
        <v>1789</v>
      </c>
      <c r="B397" s="113" t="s">
        <v>1787</v>
      </c>
      <c r="C397" s="122"/>
      <c r="D397" s="48" t="s">
        <v>73</v>
      </c>
      <c r="E397" s="49"/>
      <c r="F397" s="50"/>
      <c r="G397" s="62"/>
      <c r="H397" s="48" t="s">
        <v>72</v>
      </c>
      <c r="I397" s="52">
        <v>1</v>
      </c>
      <c r="J397" s="52"/>
      <c r="K397" s="52" t="s">
        <v>73</v>
      </c>
      <c r="L397" s="52" t="s">
        <v>74</v>
      </c>
      <c r="M397" s="53" t="s">
        <v>917</v>
      </c>
      <c r="N397" s="58" t="s">
        <v>73</v>
      </c>
      <c r="O397" s="48" t="s">
        <v>72</v>
      </c>
      <c r="P397" s="48" t="s">
        <v>73</v>
      </c>
      <c r="Q397" s="54" t="s">
        <v>73</v>
      </c>
      <c r="R397" s="55" t="s">
        <v>73</v>
      </c>
      <c r="S397" s="48" t="s">
        <v>73</v>
      </c>
      <c r="T397" s="121" t="str" cm="1">
        <f t="array" ref="T397">IF(ISNUMBER(SEARCH("SCHNEIDER",D397)),_xlfn.IFS(ISNUMBER(SEARCH("2 Querétaro",D397)),"SQ2",ISNUMBER(SEARCH("Xicohténcatl",D397)),"SXC",ISNUMBER(SEARCH("Rojo Gómez",D397)),"SRG",ISNUMBER(SEARCH("Tlaxcala",D397)),"STX",ISNUMBER(SEARCH("Monterrey",D397)),"SMY",ISNUMBER(SEARCH("Querétaro",D397)),"SQ1",ISNUMBER(SEARCH("CDMX",D397)),"SCM",TRUE,""),"")</f>
        <v/>
      </c>
      <c r="U397" s="48" t="str" cm="1">
        <f t="array" ref="U397">_xlfn.LET(_xlpm.resultados,_xlfn.UNIQUE(_xlfn._xlws.FILTER(Tabla1[Proceso],(Tabla1[Metal Base]=O397)*(Tabla1[Etiquetas]=_xlfn.TEXTJOIN(" + ",TRUE,IF((TRIM(Upload!P397:S397)="")+(LOWER(TRIM(Upload!P397:S397))="(seleccione)"),"",PROPER(TRIM(Upload!P397:S397)))))*(Tabla1[Línea2]=IFERROR(VLOOKUP(Upload!N397&amp;"*",CAT_Procesos!D:D,1,FALSE),"")))),_xlpm.cantidad,ROWS(_xlpm.resultados),IF(ISERROR(_xlpm.cantidad),"Combinación no existente",IF(_xlpm.cantidad=1,INDEX(_xlpm.resultados,1),"(seleccione)")))</f>
        <v>Combinación no existente</v>
      </c>
      <c r="V397" s="55" t="s">
        <v>73</v>
      </c>
      <c r="W397" s="56" t="s">
        <v>73</v>
      </c>
      <c r="X397" s="57" t="str">
        <f t="shared" si="24"/>
        <v/>
      </c>
      <c r="Y397" s="58" t="s">
        <v>73</v>
      </c>
      <c r="Z397" s="57" t="str">
        <f t="shared" si="25"/>
        <v/>
      </c>
      <c r="AA397" s="58" t="s">
        <v>73</v>
      </c>
      <c r="AB397" s="57" t="str">
        <f t="shared" si="26"/>
        <v/>
      </c>
      <c r="AC397" s="58" t="s">
        <v>73</v>
      </c>
      <c r="AD397" s="57" t="str">
        <f t="shared" si="27"/>
        <v/>
      </c>
      <c r="AE397" s="59"/>
      <c r="AF397" s="59"/>
      <c r="AG397" s="59"/>
      <c r="AH397" s="59"/>
      <c r="AI397" s="59" t="s">
        <v>73</v>
      </c>
      <c r="AJ397" s="59"/>
      <c r="AK397" s="59" t="s">
        <v>73</v>
      </c>
      <c r="AL397" s="59"/>
      <c r="AM397" s="59" t="s">
        <v>73</v>
      </c>
      <c r="AN397" s="59"/>
      <c r="AO397" s="59" t="s">
        <v>73</v>
      </c>
      <c r="AP397" s="59"/>
      <c r="AQ397" s="59" t="s">
        <v>73</v>
      </c>
      <c r="AR397" s="59"/>
      <c r="AS397" s="59" t="s">
        <v>72</v>
      </c>
      <c r="AT397" s="59"/>
      <c r="AU397" s="59"/>
      <c r="AV397" s="59"/>
      <c r="AW397" s="59"/>
      <c r="AX397" s="59"/>
      <c r="AY397" s="60" t="str">
        <f>IF('Cálculo MP'!K407="","",'Cálculo MP'!K407)</f>
        <v/>
      </c>
      <c r="AZ397" s="60" t="str">
        <f>IF('Cálculo MP'!L407="","",'Cálculo MP'!L407)</f>
        <v/>
      </c>
      <c r="BA397" s="60" t="str">
        <f>IF('Cálculo MP'!M407="","",'Cálculo MP'!M407)</f>
        <v/>
      </c>
      <c r="BB397" s="60" t="str">
        <f>IF('Cálculo MP'!N407="","",'Cálculo MP'!N407)</f>
        <v/>
      </c>
      <c r="BC397" s="60" t="str">
        <f>IF('Cálculo MP'!O407="","",'Cálculo MP'!O407)</f>
        <v/>
      </c>
      <c r="BD397" s="60" t="str">
        <f>IF('Cálculo MP'!P407="","",'Cálculo MP'!P407)</f>
        <v/>
      </c>
      <c r="BE397" s="60" t="str">
        <f>IF('Cálculo MP'!Q407="","",'Cálculo MP'!Q407)</f>
        <v/>
      </c>
      <c r="BF397" s="60" t="str">
        <f>IF('Cálculo MP'!R407="","",'Cálculo MP'!R407)</f>
        <v/>
      </c>
      <c r="BG397" s="60" t="str">
        <f>IF('Cálculo MP'!S407="","",'Cálculo MP'!S407)</f>
        <v/>
      </c>
      <c r="BH397" s="59"/>
      <c r="BI397" s="59"/>
      <c r="BJ397" s="59"/>
      <c r="BK397" s="59"/>
      <c r="BL397" s="59"/>
      <c r="BM397" s="59"/>
      <c r="BN397" s="59"/>
      <c r="BO397" s="59"/>
    </row>
    <row r="398" spans="1:67" ht="19.5" customHeight="1" x14ac:dyDescent="0.2">
      <c r="A398" s="114" t="s">
        <v>1789</v>
      </c>
      <c r="B398" s="113" t="s">
        <v>1787</v>
      </c>
      <c r="C398" s="122"/>
      <c r="D398" s="48" t="s">
        <v>73</v>
      </c>
      <c r="E398" s="49"/>
      <c r="F398" s="50"/>
      <c r="G398" s="62"/>
      <c r="H398" s="48" t="s">
        <v>72</v>
      </c>
      <c r="I398" s="52">
        <v>1</v>
      </c>
      <c r="J398" s="52"/>
      <c r="K398" s="52" t="s">
        <v>73</v>
      </c>
      <c r="L398" s="52" t="s">
        <v>74</v>
      </c>
      <c r="M398" s="53" t="s">
        <v>917</v>
      </c>
      <c r="N398" s="58" t="s">
        <v>73</v>
      </c>
      <c r="O398" s="48" t="s">
        <v>72</v>
      </c>
      <c r="P398" s="48" t="s">
        <v>73</v>
      </c>
      <c r="Q398" s="54" t="s">
        <v>73</v>
      </c>
      <c r="R398" s="55" t="s">
        <v>73</v>
      </c>
      <c r="S398" s="48" t="s">
        <v>73</v>
      </c>
      <c r="T398" s="121" t="str" cm="1">
        <f t="array" ref="T398">IF(ISNUMBER(SEARCH("SCHNEIDER",D398)),_xlfn.IFS(ISNUMBER(SEARCH("2 Querétaro",D398)),"SQ2",ISNUMBER(SEARCH("Xicohténcatl",D398)),"SXC",ISNUMBER(SEARCH("Rojo Gómez",D398)),"SRG",ISNUMBER(SEARCH("Tlaxcala",D398)),"STX",ISNUMBER(SEARCH("Monterrey",D398)),"SMY",ISNUMBER(SEARCH("Querétaro",D398)),"SQ1",ISNUMBER(SEARCH("CDMX",D398)),"SCM",TRUE,""),"")</f>
        <v/>
      </c>
      <c r="U398" s="48" t="str" cm="1">
        <f t="array" ref="U398">_xlfn.LET(_xlpm.resultados,_xlfn.UNIQUE(_xlfn._xlws.FILTER(Tabla1[Proceso],(Tabla1[Metal Base]=O398)*(Tabla1[Etiquetas]=_xlfn.TEXTJOIN(" + ",TRUE,IF((TRIM(Upload!P398:S398)="")+(LOWER(TRIM(Upload!P398:S398))="(seleccione)"),"",PROPER(TRIM(Upload!P398:S398)))))*(Tabla1[Línea2]=IFERROR(VLOOKUP(Upload!N398&amp;"*",CAT_Procesos!D:D,1,FALSE),"")))),_xlpm.cantidad,ROWS(_xlpm.resultados),IF(ISERROR(_xlpm.cantidad),"Combinación no existente",IF(_xlpm.cantidad=1,INDEX(_xlpm.resultados,1),"(seleccione)")))</f>
        <v>Combinación no existente</v>
      </c>
      <c r="V398" s="55" t="s">
        <v>73</v>
      </c>
      <c r="W398" s="56" t="s">
        <v>73</v>
      </c>
      <c r="X398" s="57" t="str">
        <f t="shared" si="24"/>
        <v/>
      </c>
      <c r="Y398" s="58" t="s">
        <v>73</v>
      </c>
      <c r="Z398" s="57" t="str">
        <f t="shared" si="25"/>
        <v/>
      </c>
      <c r="AA398" s="58" t="s">
        <v>73</v>
      </c>
      <c r="AB398" s="57" t="str">
        <f t="shared" si="26"/>
        <v/>
      </c>
      <c r="AC398" s="58" t="s">
        <v>73</v>
      </c>
      <c r="AD398" s="57" t="str">
        <f t="shared" si="27"/>
        <v/>
      </c>
      <c r="AE398" s="59"/>
      <c r="AF398" s="59"/>
      <c r="AG398" s="59"/>
      <c r="AH398" s="59"/>
      <c r="AI398" s="59" t="s">
        <v>73</v>
      </c>
      <c r="AJ398" s="59"/>
      <c r="AK398" s="59" t="s">
        <v>73</v>
      </c>
      <c r="AL398" s="59"/>
      <c r="AM398" s="59" t="s">
        <v>73</v>
      </c>
      <c r="AN398" s="59"/>
      <c r="AO398" s="59" t="s">
        <v>73</v>
      </c>
      <c r="AP398" s="59"/>
      <c r="AQ398" s="59" t="s">
        <v>73</v>
      </c>
      <c r="AR398" s="59"/>
      <c r="AS398" s="59" t="s">
        <v>72</v>
      </c>
      <c r="AT398" s="59"/>
      <c r="AU398" s="59"/>
      <c r="AV398" s="59"/>
      <c r="AW398" s="59"/>
      <c r="AX398" s="59"/>
      <c r="AY398" s="60" t="str">
        <f>IF('Cálculo MP'!K408="","",'Cálculo MP'!K408)</f>
        <v/>
      </c>
      <c r="AZ398" s="60" t="str">
        <f>IF('Cálculo MP'!L408="","",'Cálculo MP'!L408)</f>
        <v/>
      </c>
      <c r="BA398" s="60" t="str">
        <f>IF('Cálculo MP'!M408="","",'Cálculo MP'!M408)</f>
        <v/>
      </c>
      <c r="BB398" s="60" t="str">
        <f>IF('Cálculo MP'!N408="","",'Cálculo MP'!N408)</f>
        <v/>
      </c>
      <c r="BC398" s="60" t="str">
        <f>IF('Cálculo MP'!O408="","",'Cálculo MP'!O408)</f>
        <v/>
      </c>
      <c r="BD398" s="60" t="str">
        <f>IF('Cálculo MP'!P408="","",'Cálculo MP'!P408)</f>
        <v/>
      </c>
      <c r="BE398" s="60" t="str">
        <f>IF('Cálculo MP'!Q408="","",'Cálculo MP'!Q408)</f>
        <v/>
      </c>
      <c r="BF398" s="60" t="str">
        <f>IF('Cálculo MP'!R408="","",'Cálculo MP'!R408)</f>
        <v/>
      </c>
      <c r="BG398" s="60" t="str">
        <f>IF('Cálculo MP'!S408="","",'Cálculo MP'!S408)</f>
        <v/>
      </c>
      <c r="BH398" s="59"/>
      <c r="BI398" s="59"/>
      <c r="BJ398" s="59"/>
      <c r="BK398" s="59"/>
      <c r="BL398" s="59"/>
      <c r="BM398" s="59"/>
      <c r="BN398" s="59"/>
      <c r="BO398" s="59"/>
    </row>
    <row r="399" spans="1:67" ht="19.5" customHeight="1" x14ac:dyDescent="0.2">
      <c r="A399" s="114" t="s">
        <v>1789</v>
      </c>
      <c r="B399" s="113" t="s">
        <v>1787</v>
      </c>
      <c r="C399" s="122"/>
      <c r="D399" s="48" t="s">
        <v>73</v>
      </c>
      <c r="E399" s="49"/>
      <c r="F399" s="50"/>
      <c r="G399" s="62"/>
      <c r="H399" s="48" t="s">
        <v>72</v>
      </c>
      <c r="I399" s="52">
        <v>1</v>
      </c>
      <c r="J399" s="52"/>
      <c r="K399" s="52" t="s">
        <v>73</v>
      </c>
      <c r="L399" s="52" t="s">
        <v>74</v>
      </c>
      <c r="M399" s="53" t="s">
        <v>917</v>
      </c>
      <c r="N399" s="58" t="s">
        <v>73</v>
      </c>
      <c r="O399" s="48" t="s">
        <v>72</v>
      </c>
      <c r="P399" s="48" t="s">
        <v>73</v>
      </c>
      <c r="Q399" s="54" t="s">
        <v>73</v>
      </c>
      <c r="R399" s="55" t="s">
        <v>73</v>
      </c>
      <c r="S399" s="48" t="s">
        <v>73</v>
      </c>
      <c r="T399" s="121" t="str" cm="1">
        <f t="array" ref="T399">IF(ISNUMBER(SEARCH("SCHNEIDER",D399)),_xlfn.IFS(ISNUMBER(SEARCH("2 Querétaro",D399)),"SQ2",ISNUMBER(SEARCH("Xicohténcatl",D399)),"SXC",ISNUMBER(SEARCH("Rojo Gómez",D399)),"SRG",ISNUMBER(SEARCH("Tlaxcala",D399)),"STX",ISNUMBER(SEARCH("Monterrey",D399)),"SMY",ISNUMBER(SEARCH("Querétaro",D399)),"SQ1",ISNUMBER(SEARCH("CDMX",D399)),"SCM",TRUE,""),"")</f>
        <v/>
      </c>
      <c r="U399" s="48" t="str" cm="1">
        <f t="array" ref="U399">_xlfn.LET(_xlpm.resultados,_xlfn.UNIQUE(_xlfn._xlws.FILTER(Tabla1[Proceso],(Tabla1[Metal Base]=O399)*(Tabla1[Etiquetas]=_xlfn.TEXTJOIN(" + ",TRUE,IF((TRIM(Upload!P399:S399)="")+(LOWER(TRIM(Upload!P399:S399))="(seleccione)"),"",PROPER(TRIM(Upload!P399:S399)))))*(Tabla1[Línea2]=IFERROR(VLOOKUP(Upload!N399&amp;"*",CAT_Procesos!D:D,1,FALSE),"")))),_xlpm.cantidad,ROWS(_xlpm.resultados),IF(ISERROR(_xlpm.cantidad),"Combinación no existente",IF(_xlpm.cantidad=1,INDEX(_xlpm.resultados,1),"(seleccione)")))</f>
        <v>Combinación no existente</v>
      </c>
      <c r="V399" s="55" t="s">
        <v>73</v>
      </c>
      <c r="W399" s="56" t="s">
        <v>73</v>
      </c>
      <c r="X399" s="57" t="str">
        <f t="shared" si="24"/>
        <v/>
      </c>
      <c r="Y399" s="58" t="s">
        <v>73</v>
      </c>
      <c r="Z399" s="57" t="str">
        <f t="shared" si="25"/>
        <v/>
      </c>
      <c r="AA399" s="58" t="s">
        <v>73</v>
      </c>
      <c r="AB399" s="57" t="str">
        <f t="shared" si="26"/>
        <v/>
      </c>
      <c r="AC399" s="58" t="s">
        <v>73</v>
      </c>
      <c r="AD399" s="57" t="str">
        <f t="shared" si="27"/>
        <v/>
      </c>
      <c r="AE399" s="59"/>
      <c r="AF399" s="59"/>
      <c r="AG399" s="59"/>
      <c r="AH399" s="59"/>
      <c r="AI399" s="59" t="s">
        <v>73</v>
      </c>
      <c r="AJ399" s="59"/>
      <c r="AK399" s="59" t="s">
        <v>73</v>
      </c>
      <c r="AL399" s="59"/>
      <c r="AM399" s="59" t="s">
        <v>73</v>
      </c>
      <c r="AN399" s="59"/>
      <c r="AO399" s="59" t="s">
        <v>73</v>
      </c>
      <c r="AP399" s="59"/>
      <c r="AQ399" s="59" t="s">
        <v>73</v>
      </c>
      <c r="AR399" s="59"/>
      <c r="AS399" s="59" t="s">
        <v>72</v>
      </c>
      <c r="AT399" s="59"/>
      <c r="AU399" s="59"/>
      <c r="AV399" s="59"/>
      <c r="AW399" s="59"/>
      <c r="AX399" s="59"/>
      <c r="AY399" s="60" t="str">
        <f>IF('Cálculo MP'!K409="","",'Cálculo MP'!K409)</f>
        <v/>
      </c>
      <c r="AZ399" s="60" t="str">
        <f>IF('Cálculo MP'!L409="","",'Cálculo MP'!L409)</f>
        <v/>
      </c>
      <c r="BA399" s="60" t="str">
        <f>IF('Cálculo MP'!M409="","",'Cálculo MP'!M409)</f>
        <v/>
      </c>
      <c r="BB399" s="60" t="str">
        <f>IF('Cálculo MP'!N409="","",'Cálculo MP'!N409)</f>
        <v/>
      </c>
      <c r="BC399" s="60" t="str">
        <f>IF('Cálculo MP'!O409="","",'Cálculo MP'!O409)</f>
        <v/>
      </c>
      <c r="BD399" s="60" t="str">
        <f>IF('Cálculo MP'!P409="","",'Cálculo MP'!P409)</f>
        <v/>
      </c>
      <c r="BE399" s="60" t="str">
        <f>IF('Cálculo MP'!Q409="","",'Cálculo MP'!Q409)</f>
        <v/>
      </c>
      <c r="BF399" s="60" t="str">
        <f>IF('Cálculo MP'!R409="","",'Cálculo MP'!R409)</f>
        <v/>
      </c>
      <c r="BG399" s="60" t="str">
        <f>IF('Cálculo MP'!S409="","",'Cálculo MP'!S409)</f>
        <v/>
      </c>
      <c r="BH399" s="59"/>
      <c r="BI399" s="59"/>
      <c r="BJ399" s="59"/>
      <c r="BK399" s="59"/>
      <c r="BL399" s="59"/>
      <c r="BM399" s="59"/>
      <c r="BN399" s="59"/>
      <c r="BO399" s="59"/>
    </row>
    <row r="400" spans="1:67" ht="19.5" customHeight="1" x14ac:dyDescent="0.2">
      <c r="A400" s="114" t="s">
        <v>1789</v>
      </c>
      <c r="B400" s="113" t="s">
        <v>1787</v>
      </c>
      <c r="C400" s="122"/>
      <c r="D400" s="48" t="s">
        <v>73</v>
      </c>
      <c r="E400" s="49"/>
      <c r="F400" s="50"/>
      <c r="G400" s="62"/>
      <c r="H400" s="48" t="s">
        <v>72</v>
      </c>
      <c r="I400" s="52">
        <v>1</v>
      </c>
      <c r="J400" s="52"/>
      <c r="K400" s="52" t="s">
        <v>73</v>
      </c>
      <c r="L400" s="52" t="s">
        <v>74</v>
      </c>
      <c r="M400" s="53" t="s">
        <v>917</v>
      </c>
      <c r="N400" s="58" t="s">
        <v>73</v>
      </c>
      <c r="O400" s="48" t="s">
        <v>72</v>
      </c>
      <c r="P400" s="48" t="s">
        <v>73</v>
      </c>
      <c r="Q400" s="54" t="s">
        <v>73</v>
      </c>
      <c r="R400" s="55" t="s">
        <v>73</v>
      </c>
      <c r="S400" s="48" t="s">
        <v>73</v>
      </c>
      <c r="T400" s="121" t="str" cm="1">
        <f t="array" ref="T400">IF(ISNUMBER(SEARCH("SCHNEIDER",D400)),_xlfn.IFS(ISNUMBER(SEARCH("2 Querétaro",D400)),"SQ2",ISNUMBER(SEARCH("Xicohténcatl",D400)),"SXC",ISNUMBER(SEARCH("Rojo Gómez",D400)),"SRG",ISNUMBER(SEARCH("Tlaxcala",D400)),"STX",ISNUMBER(SEARCH("Monterrey",D400)),"SMY",ISNUMBER(SEARCH("Querétaro",D400)),"SQ1",ISNUMBER(SEARCH("CDMX",D400)),"SCM",TRUE,""),"")</f>
        <v/>
      </c>
      <c r="U400" s="48" t="str" cm="1">
        <f t="array" ref="U400">_xlfn.LET(_xlpm.resultados,_xlfn.UNIQUE(_xlfn._xlws.FILTER(Tabla1[Proceso],(Tabla1[Metal Base]=O400)*(Tabla1[Etiquetas]=_xlfn.TEXTJOIN(" + ",TRUE,IF((TRIM(Upload!P400:S400)="")+(LOWER(TRIM(Upload!P400:S400))="(seleccione)"),"",PROPER(TRIM(Upload!P400:S400)))))*(Tabla1[Línea2]=IFERROR(VLOOKUP(Upload!N400&amp;"*",CAT_Procesos!D:D,1,FALSE),"")))),_xlpm.cantidad,ROWS(_xlpm.resultados),IF(ISERROR(_xlpm.cantidad),"Combinación no existente",IF(_xlpm.cantidad=1,INDEX(_xlpm.resultados,1),"(seleccione)")))</f>
        <v>Combinación no existente</v>
      </c>
      <c r="V400" s="55" t="s">
        <v>73</v>
      </c>
      <c r="W400" s="56" t="s">
        <v>73</v>
      </c>
      <c r="X400" s="57" t="str">
        <f t="shared" si="24"/>
        <v/>
      </c>
      <c r="Y400" s="58" t="s">
        <v>73</v>
      </c>
      <c r="Z400" s="57" t="str">
        <f t="shared" si="25"/>
        <v/>
      </c>
      <c r="AA400" s="58" t="s">
        <v>73</v>
      </c>
      <c r="AB400" s="57" t="str">
        <f t="shared" si="26"/>
        <v/>
      </c>
      <c r="AC400" s="58" t="s">
        <v>73</v>
      </c>
      <c r="AD400" s="57" t="str">
        <f t="shared" si="27"/>
        <v/>
      </c>
      <c r="AE400" s="59"/>
      <c r="AF400" s="59"/>
      <c r="AG400" s="59"/>
      <c r="AH400" s="59"/>
      <c r="AI400" s="59" t="s">
        <v>73</v>
      </c>
      <c r="AJ400" s="59"/>
      <c r="AK400" s="59" t="s">
        <v>73</v>
      </c>
      <c r="AL400" s="59"/>
      <c r="AM400" s="59" t="s">
        <v>73</v>
      </c>
      <c r="AN400" s="59"/>
      <c r="AO400" s="59" t="s">
        <v>73</v>
      </c>
      <c r="AP400" s="59"/>
      <c r="AQ400" s="59" t="s">
        <v>73</v>
      </c>
      <c r="AR400" s="59"/>
      <c r="AS400" s="59" t="s">
        <v>72</v>
      </c>
      <c r="AT400" s="59"/>
      <c r="AU400" s="59"/>
      <c r="AV400" s="59"/>
      <c r="AW400" s="59"/>
      <c r="AX400" s="59"/>
      <c r="AY400" s="60" t="str">
        <f>IF('Cálculo MP'!K410="","",'Cálculo MP'!K410)</f>
        <v/>
      </c>
      <c r="AZ400" s="60" t="str">
        <f>IF('Cálculo MP'!L410="","",'Cálculo MP'!L410)</f>
        <v/>
      </c>
      <c r="BA400" s="60" t="str">
        <f>IF('Cálculo MP'!M410="","",'Cálculo MP'!M410)</f>
        <v/>
      </c>
      <c r="BB400" s="60" t="str">
        <f>IF('Cálculo MP'!N410="","",'Cálculo MP'!N410)</f>
        <v/>
      </c>
      <c r="BC400" s="60" t="str">
        <f>IF('Cálculo MP'!O410="","",'Cálculo MP'!O410)</f>
        <v/>
      </c>
      <c r="BD400" s="60" t="str">
        <f>IF('Cálculo MP'!P410="","",'Cálculo MP'!P410)</f>
        <v/>
      </c>
      <c r="BE400" s="60" t="str">
        <f>IF('Cálculo MP'!Q410="","",'Cálculo MP'!Q410)</f>
        <v/>
      </c>
      <c r="BF400" s="60" t="str">
        <f>IF('Cálculo MP'!R410="","",'Cálculo MP'!R410)</f>
        <v/>
      </c>
      <c r="BG400" s="60" t="str">
        <f>IF('Cálculo MP'!S410="","",'Cálculo MP'!S410)</f>
        <v/>
      </c>
      <c r="BH400" s="59"/>
      <c r="BI400" s="59"/>
      <c r="BJ400" s="59"/>
      <c r="BK400" s="59"/>
      <c r="BL400" s="59"/>
      <c r="BM400" s="59"/>
      <c r="BN400" s="59"/>
      <c r="BO400" s="59"/>
    </row>
    <row r="401" spans="1:67" ht="19.5" customHeight="1" x14ac:dyDescent="0.2">
      <c r="A401" s="114" t="s">
        <v>1789</v>
      </c>
      <c r="B401" s="113" t="s">
        <v>1787</v>
      </c>
      <c r="C401" s="122"/>
      <c r="D401" s="48" t="s">
        <v>73</v>
      </c>
      <c r="E401" s="49"/>
      <c r="F401" s="50"/>
      <c r="G401" s="62"/>
      <c r="H401" s="48" t="s">
        <v>72</v>
      </c>
      <c r="I401" s="52">
        <v>1</v>
      </c>
      <c r="J401" s="52"/>
      <c r="K401" s="52" t="s">
        <v>73</v>
      </c>
      <c r="L401" s="52" t="s">
        <v>74</v>
      </c>
      <c r="M401" s="53" t="s">
        <v>917</v>
      </c>
      <c r="N401" s="58" t="s">
        <v>73</v>
      </c>
      <c r="O401" s="48" t="s">
        <v>72</v>
      </c>
      <c r="P401" s="48" t="s">
        <v>73</v>
      </c>
      <c r="Q401" s="54" t="s">
        <v>73</v>
      </c>
      <c r="R401" s="55" t="s">
        <v>73</v>
      </c>
      <c r="S401" s="48" t="s">
        <v>73</v>
      </c>
      <c r="T401" s="121" t="str" cm="1">
        <f t="array" ref="T401">IF(ISNUMBER(SEARCH("SCHNEIDER",D401)),_xlfn.IFS(ISNUMBER(SEARCH("2 Querétaro",D401)),"SQ2",ISNUMBER(SEARCH("Xicohténcatl",D401)),"SXC",ISNUMBER(SEARCH("Rojo Gómez",D401)),"SRG",ISNUMBER(SEARCH("Tlaxcala",D401)),"STX",ISNUMBER(SEARCH("Monterrey",D401)),"SMY",ISNUMBER(SEARCH("Querétaro",D401)),"SQ1",ISNUMBER(SEARCH("CDMX",D401)),"SCM",TRUE,""),"")</f>
        <v/>
      </c>
      <c r="U401" s="48" t="str" cm="1">
        <f t="array" ref="U401">_xlfn.LET(_xlpm.resultados,_xlfn.UNIQUE(_xlfn._xlws.FILTER(Tabla1[Proceso],(Tabla1[Metal Base]=O401)*(Tabla1[Etiquetas]=_xlfn.TEXTJOIN(" + ",TRUE,IF((TRIM(Upload!P401:S401)="")+(LOWER(TRIM(Upload!P401:S401))="(seleccione)"),"",PROPER(TRIM(Upload!P401:S401)))))*(Tabla1[Línea2]=IFERROR(VLOOKUP(Upload!N401&amp;"*",CAT_Procesos!D:D,1,FALSE),"")))),_xlpm.cantidad,ROWS(_xlpm.resultados),IF(ISERROR(_xlpm.cantidad),"Combinación no existente",IF(_xlpm.cantidad=1,INDEX(_xlpm.resultados,1),"(seleccione)")))</f>
        <v>Combinación no existente</v>
      </c>
      <c r="V401" s="55" t="s">
        <v>73</v>
      </c>
      <c r="W401" s="56" t="s">
        <v>73</v>
      </c>
      <c r="X401" s="57" t="str">
        <f t="shared" si="24"/>
        <v/>
      </c>
      <c r="Y401" s="58" t="s">
        <v>73</v>
      </c>
      <c r="Z401" s="57" t="str">
        <f t="shared" si="25"/>
        <v/>
      </c>
      <c r="AA401" s="58" t="s">
        <v>73</v>
      </c>
      <c r="AB401" s="57" t="str">
        <f t="shared" si="26"/>
        <v/>
      </c>
      <c r="AC401" s="58" t="s">
        <v>73</v>
      </c>
      <c r="AD401" s="57" t="str">
        <f t="shared" si="27"/>
        <v/>
      </c>
      <c r="AE401" s="59"/>
      <c r="AF401" s="59"/>
      <c r="AG401" s="59"/>
      <c r="AH401" s="59"/>
      <c r="AI401" s="59" t="s">
        <v>73</v>
      </c>
      <c r="AJ401" s="59"/>
      <c r="AK401" s="59" t="s">
        <v>73</v>
      </c>
      <c r="AL401" s="59"/>
      <c r="AM401" s="59" t="s">
        <v>73</v>
      </c>
      <c r="AN401" s="59"/>
      <c r="AO401" s="59" t="s">
        <v>73</v>
      </c>
      <c r="AP401" s="59"/>
      <c r="AQ401" s="59" t="s">
        <v>73</v>
      </c>
      <c r="AR401" s="59"/>
      <c r="AS401" s="59" t="s">
        <v>72</v>
      </c>
      <c r="AT401" s="59"/>
      <c r="AU401" s="59"/>
      <c r="AV401" s="59"/>
      <c r="AW401" s="59"/>
      <c r="AX401" s="59"/>
      <c r="AY401" s="60" t="str">
        <f>IF('Cálculo MP'!K411="","",'Cálculo MP'!K411)</f>
        <v/>
      </c>
      <c r="AZ401" s="60" t="str">
        <f>IF('Cálculo MP'!L411="","",'Cálculo MP'!L411)</f>
        <v/>
      </c>
      <c r="BA401" s="60" t="str">
        <f>IF('Cálculo MP'!M411="","",'Cálculo MP'!M411)</f>
        <v/>
      </c>
      <c r="BB401" s="60" t="str">
        <f>IF('Cálculo MP'!N411="","",'Cálculo MP'!N411)</f>
        <v/>
      </c>
      <c r="BC401" s="60" t="str">
        <f>IF('Cálculo MP'!O411="","",'Cálculo MP'!O411)</f>
        <v/>
      </c>
      <c r="BD401" s="60" t="str">
        <f>IF('Cálculo MP'!P411="","",'Cálculo MP'!P411)</f>
        <v/>
      </c>
      <c r="BE401" s="60" t="str">
        <f>IF('Cálculo MP'!Q411="","",'Cálculo MP'!Q411)</f>
        <v/>
      </c>
      <c r="BF401" s="60" t="str">
        <f>IF('Cálculo MP'!R411="","",'Cálculo MP'!R411)</f>
        <v/>
      </c>
      <c r="BG401" s="60" t="str">
        <f>IF('Cálculo MP'!S411="","",'Cálculo MP'!S411)</f>
        <v/>
      </c>
      <c r="BH401" s="59"/>
      <c r="BI401" s="59"/>
      <c r="BJ401" s="59"/>
      <c r="BK401" s="59"/>
      <c r="BL401" s="59"/>
      <c r="BM401" s="59"/>
      <c r="BN401" s="59"/>
      <c r="BO401" s="59"/>
    </row>
    <row r="402" spans="1:67" ht="19.5" customHeight="1" x14ac:dyDescent="0.2">
      <c r="A402" s="114" t="s">
        <v>1789</v>
      </c>
      <c r="B402" s="113" t="s">
        <v>1787</v>
      </c>
      <c r="C402" s="122"/>
      <c r="D402" s="48" t="s">
        <v>73</v>
      </c>
      <c r="E402" s="49"/>
      <c r="F402" s="50"/>
      <c r="G402" s="62"/>
      <c r="H402" s="48" t="s">
        <v>72</v>
      </c>
      <c r="I402" s="52">
        <v>1</v>
      </c>
      <c r="J402" s="52"/>
      <c r="K402" s="52" t="s">
        <v>73</v>
      </c>
      <c r="L402" s="52" t="s">
        <v>74</v>
      </c>
      <c r="M402" s="53" t="s">
        <v>917</v>
      </c>
      <c r="N402" s="58" t="s">
        <v>73</v>
      </c>
      <c r="O402" s="48" t="s">
        <v>72</v>
      </c>
      <c r="P402" s="48" t="s">
        <v>73</v>
      </c>
      <c r="Q402" s="54" t="s">
        <v>73</v>
      </c>
      <c r="R402" s="55" t="s">
        <v>73</v>
      </c>
      <c r="S402" s="48" t="s">
        <v>73</v>
      </c>
      <c r="T402" s="121" t="str" cm="1">
        <f t="array" ref="T402">IF(ISNUMBER(SEARCH("SCHNEIDER",D402)),_xlfn.IFS(ISNUMBER(SEARCH("2 Querétaro",D402)),"SQ2",ISNUMBER(SEARCH("Xicohténcatl",D402)),"SXC",ISNUMBER(SEARCH("Rojo Gómez",D402)),"SRG",ISNUMBER(SEARCH("Tlaxcala",D402)),"STX",ISNUMBER(SEARCH("Monterrey",D402)),"SMY",ISNUMBER(SEARCH("Querétaro",D402)),"SQ1",ISNUMBER(SEARCH("CDMX",D402)),"SCM",TRUE,""),"")</f>
        <v/>
      </c>
      <c r="U402" s="48" t="str" cm="1">
        <f t="array" ref="U402">_xlfn.LET(_xlpm.resultados,_xlfn.UNIQUE(_xlfn._xlws.FILTER(Tabla1[Proceso],(Tabla1[Metal Base]=O402)*(Tabla1[Etiquetas]=_xlfn.TEXTJOIN(" + ",TRUE,IF((TRIM(Upload!P402:S402)="")+(LOWER(TRIM(Upload!P402:S402))="(seleccione)"),"",PROPER(TRIM(Upload!P402:S402)))))*(Tabla1[Línea2]=IFERROR(VLOOKUP(Upload!N402&amp;"*",CAT_Procesos!D:D,1,FALSE),"")))),_xlpm.cantidad,ROWS(_xlpm.resultados),IF(ISERROR(_xlpm.cantidad),"Combinación no existente",IF(_xlpm.cantidad=1,INDEX(_xlpm.resultados,1),"(seleccione)")))</f>
        <v>Combinación no existente</v>
      </c>
      <c r="V402" s="55" t="s">
        <v>73</v>
      </c>
      <c r="W402" s="56" t="s">
        <v>73</v>
      </c>
      <c r="X402" s="57" t="str">
        <f t="shared" si="24"/>
        <v/>
      </c>
      <c r="Y402" s="58" t="s">
        <v>73</v>
      </c>
      <c r="Z402" s="57" t="str">
        <f t="shared" si="25"/>
        <v/>
      </c>
      <c r="AA402" s="58" t="s">
        <v>73</v>
      </c>
      <c r="AB402" s="57" t="str">
        <f t="shared" si="26"/>
        <v/>
      </c>
      <c r="AC402" s="58" t="s">
        <v>73</v>
      </c>
      <c r="AD402" s="57" t="str">
        <f t="shared" si="27"/>
        <v/>
      </c>
      <c r="AE402" s="59"/>
      <c r="AF402" s="59"/>
      <c r="AG402" s="59"/>
      <c r="AH402" s="59"/>
      <c r="AI402" s="59" t="s">
        <v>73</v>
      </c>
      <c r="AJ402" s="59"/>
      <c r="AK402" s="59" t="s">
        <v>73</v>
      </c>
      <c r="AL402" s="59"/>
      <c r="AM402" s="59" t="s">
        <v>73</v>
      </c>
      <c r="AN402" s="59"/>
      <c r="AO402" s="59" t="s">
        <v>73</v>
      </c>
      <c r="AP402" s="59"/>
      <c r="AQ402" s="59" t="s">
        <v>73</v>
      </c>
      <c r="AR402" s="59"/>
      <c r="AS402" s="59" t="s">
        <v>72</v>
      </c>
      <c r="AT402" s="59"/>
      <c r="AU402" s="59"/>
      <c r="AV402" s="59"/>
      <c r="AW402" s="59"/>
      <c r="AX402" s="59"/>
      <c r="AY402" s="60" t="str">
        <f>IF('Cálculo MP'!K412="","",'Cálculo MP'!K412)</f>
        <v/>
      </c>
      <c r="AZ402" s="60" t="str">
        <f>IF('Cálculo MP'!L412="","",'Cálculo MP'!L412)</f>
        <v/>
      </c>
      <c r="BA402" s="60" t="str">
        <f>IF('Cálculo MP'!M412="","",'Cálculo MP'!M412)</f>
        <v/>
      </c>
      <c r="BB402" s="60" t="str">
        <f>IF('Cálculo MP'!N412="","",'Cálculo MP'!N412)</f>
        <v/>
      </c>
      <c r="BC402" s="60" t="str">
        <f>IF('Cálculo MP'!O412="","",'Cálculo MP'!O412)</f>
        <v/>
      </c>
      <c r="BD402" s="60" t="str">
        <f>IF('Cálculo MP'!P412="","",'Cálculo MP'!P412)</f>
        <v/>
      </c>
      <c r="BE402" s="60" t="str">
        <f>IF('Cálculo MP'!Q412="","",'Cálculo MP'!Q412)</f>
        <v/>
      </c>
      <c r="BF402" s="60" t="str">
        <f>IF('Cálculo MP'!R412="","",'Cálculo MP'!R412)</f>
        <v/>
      </c>
      <c r="BG402" s="60" t="str">
        <f>IF('Cálculo MP'!S412="","",'Cálculo MP'!S412)</f>
        <v/>
      </c>
      <c r="BH402" s="59"/>
      <c r="BI402" s="59"/>
      <c r="BJ402" s="59"/>
      <c r="BK402" s="59"/>
      <c r="BL402" s="59"/>
      <c r="BM402" s="59"/>
      <c r="BN402" s="59"/>
      <c r="BO402" s="59"/>
    </row>
    <row r="403" spans="1:67" ht="19.5" customHeight="1" x14ac:dyDescent="0.2">
      <c r="A403" s="114" t="s">
        <v>1789</v>
      </c>
      <c r="B403" s="113" t="s">
        <v>1787</v>
      </c>
      <c r="C403" s="122"/>
      <c r="D403" s="48" t="s">
        <v>73</v>
      </c>
      <c r="E403" s="49"/>
      <c r="F403" s="50"/>
      <c r="G403" s="62"/>
      <c r="H403" s="48" t="s">
        <v>72</v>
      </c>
      <c r="I403" s="52">
        <v>1</v>
      </c>
      <c r="J403" s="52"/>
      <c r="K403" s="52" t="s">
        <v>73</v>
      </c>
      <c r="L403" s="52" t="s">
        <v>74</v>
      </c>
      <c r="M403" s="53" t="s">
        <v>917</v>
      </c>
      <c r="N403" s="58" t="s">
        <v>73</v>
      </c>
      <c r="O403" s="48" t="s">
        <v>72</v>
      </c>
      <c r="P403" s="48" t="s">
        <v>73</v>
      </c>
      <c r="Q403" s="54" t="s">
        <v>73</v>
      </c>
      <c r="R403" s="55" t="s">
        <v>73</v>
      </c>
      <c r="S403" s="48" t="s">
        <v>73</v>
      </c>
      <c r="T403" s="121" t="str" cm="1">
        <f t="array" ref="T403">IF(ISNUMBER(SEARCH("SCHNEIDER",D403)),_xlfn.IFS(ISNUMBER(SEARCH("2 Querétaro",D403)),"SQ2",ISNUMBER(SEARCH("Xicohténcatl",D403)),"SXC",ISNUMBER(SEARCH("Rojo Gómez",D403)),"SRG",ISNUMBER(SEARCH("Tlaxcala",D403)),"STX",ISNUMBER(SEARCH("Monterrey",D403)),"SMY",ISNUMBER(SEARCH("Querétaro",D403)),"SQ1",ISNUMBER(SEARCH("CDMX",D403)),"SCM",TRUE,""),"")</f>
        <v/>
      </c>
      <c r="U403" s="48" t="str" cm="1">
        <f t="array" ref="U403">_xlfn.LET(_xlpm.resultados,_xlfn.UNIQUE(_xlfn._xlws.FILTER(Tabla1[Proceso],(Tabla1[Metal Base]=O403)*(Tabla1[Etiquetas]=_xlfn.TEXTJOIN(" + ",TRUE,IF((TRIM(Upload!P403:S403)="")+(LOWER(TRIM(Upload!P403:S403))="(seleccione)"),"",PROPER(TRIM(Upload!P403:S403)))))*(Tabla1[Línea2]=IFERROR(VLOOKUP(Upload!N403&amp;"*",CAT_Procesos!D:D,1,FALSE),"")))),_xlpm.cantidad,ROWS(_xlpm.resultados),IF(ISERROR(_xlpm.cantidad),"Combinación no existente",IF(_xlpm.cantidad=1,INDEX(_xlpm.resultados,1),"(seleccione)")))</f>
        <v>Combinación no existente</v>
      </c>
      <c r="V403" s="55" t="s">
        <v>73</v>
      </c>
      <c r="W403" s="56" t="s">
        <v>73</v>
      </c>
      <c r="X403" s="57" t="str">
        <f t="shared" si="24"/>
        <v/>
      </c>
      <c r="Y403" s="58" t="s">
        <v>73</v>
      </c>
      <c r="Z403" s="57" t="str">
        <f t="shared" si="25"/>
        <v/>
      </c>
      <c r="AA403" s="58" t="s">
        <v>73</v>
      </c>
      <c r="AB403" s="57" t="str">
        <f t="shared" si="26"/>
        <v/>
      </c>
      <c r="AC403" s="58" t="s">
        <v>73</v>
      </c>
      <c r="AD403" s="57" t="str">
        <f t="shared" si="27"/>
        <v/>
      </c>
      <c r="AE403" s="59"/>
      <c r="AF403" s="59"/>
      <c r="AG403" s="59"/>
      <c r="AH403" s="59"/>
      <c r="AI403" s="59" t="s">
        <v>73</v>
      </c>
      <c r="AJ403" s="59"/>
      <c r="AK403" s="59" t="s">
        <v>73</v>
      </c>
      <c r="AL403" s="59"/>
      <c r="AM403" s="59" t="s">
        <v>73</v>
      </c>
      <c r="AN403" s="59"/>
      <c r="AO403" s="59" t="s">
        <v>73</v>
      </c>
      <c r="AP403" s="59"/>
      <c r="AQ403" s="59" t="s">
        <v>73</v>
      </c>
      <c r="AR403" s="59"/>
      <c r="AS403" s="59" t="s">
        <v>72</v>
      </c>
      <c r="AT403" s="59"/>
      <c r="AU403" s="59"/>
      <c r="AV403" s="59"/>
      <c r="AW403" s="59"/>
      <c r="AX403" s="59"/>
      <c r="AY403" s="60" t="str">
        <f>IF('Cálculo MP'!K413="","",'Cálculo MP'!K413)</f>
        <v/>
      </c>
      <c r="AZ403" s="60" t="str">
        <f>IF('Cálculo MP'!L413="","",'Cálculo MP'!L413)</f>
        <v/>
      </c>
      <c r="BA403" s="60" t="str">
        <f>IF('Cálculo MP'!M413="","",'Cálculo MP'!M413)</f>
        <v/>
      </c>
      <c r="BB403" s="60" t="str">
        <f>IF('Cálculo MP'!N413="","",'Cálculo MP'!N413)</f>
        <v/>
      </c>
      <c r="BC403" s="60" t="str">
        <f>IF('Cálculo MP'!O413="","",'Cálculo MP'!O413)</f>
        <v/>
      </c>
      <c r="BD403" s="60" t="str">
        <f>IF('Cálculo MP'!P413="","",'Cálculo MP'!P413)</f>
        <v/>
      </c>
      <c r="BE403" s="60" t="str">
        <f>IF('Cálculo MP'!Q413="","",'Cálculo MP'!Q413)</f>
        <v/>
      </c>
      <c r="BF403" s="60" t="str">
        <f>IF('Cálculo MP'!R413="","",'Cálculo MP'!R413)</f>
        <v/>
      </c>
      <c r="BG403" s="60" t="str">
        <f>IF('Cálculo MP'!S413="","",'Cálculo MP'!S413)</f>
        <v/>
      </c>
      <c r="BH403" s="59"/>
      <c r="BI403" s="59"/>
      <c r="BJ403" s="59"/>
      <c r="BK403" s="59"/>
      <c r="BL403" s="59"/>
      <c r="BM403" s="59"/>
      <c r="BN403" s="59"/>
      <c r="BO403" s="59"/>
    </row>
    <row r="404" spans="1:67" ht="19.5" customHeight="1" x14ac:dyDescent="0.2">
      <c r="A404" s="114" t="s">
        <v>1789</v>
      </c>
      <c r="B404" s="113" t="s">
        <v>1787</v>
      </c>
      <c r="C404" s="122"/>
      <c r="D404" s="48" t="s">
        <v>73</v>
      </c>
      <c r="E404" s="49"/>
      <c r="F404" s="50"/>
      <c r="G404" s="62"/>
      <c r="H404" s="48" t="s">
        <v>72</v>
      </c>
      <c r="I404" s="52">
        <v>1</v>
      </c>
      <c r="J404" s="52"/>
      <c r="K404" s="52" t="s">
        <v>73</v>
      </c>
      <c r="L404" s="52" t="s">
        <v>74</v>
      </c>
      <c r="M404" s="53" t="s">
        <v>917</v>
      </c>
      <c r="N404" s="58" t="s">
        <v>73</v>
      </c>
      <c r="O404" s="48" t="s">
        <v>72</v>
      </c>
      <c r="P404" s="48" t="s">
        <v>73</v>
      </c>
      <c r="Q404" s="54" t="s">
        <v>73</v>
      </c>
      <c r="R404" s="55" t="s">
        <v>73</v>
      </c>
      <c r="S404" s="48" t="s">
        <v>73</v>
      </c>
      <c r="T404" s="121" t="str" cm="1">
        <f t="array" ref="T404">IF(ISNUMBER(SEARCH("SCHNEIDER",D404)),_xlfn.IFS(ISNUMBER(SEARCH("2 Querétaro",D404)),"SQ2",ISNUMBER(SEARCH("Xicohténcatl",D404)),"SXC",ISNUMBER(SEARCH("Rojo Gómez",D404)),"SRG",ISNUMBER(SEARCH("Tlaxcala",D404)),"STX",ISNUMBER(SEARCH("Monterrey",D404)),"SMY",ISNUMBER(SEARCH("Querétaro",D404)),"SQ1",ISNUMBER(SEARCH("CDMX",D404)),"SCM",TRUE,""),"")</f>
        <v/>
      </c>
      <c r="U404" s="48" t="str" cm="1">
        <f t="array" ref="U404">_xlfn.LET(_xlpm.resultados,_xlfn.UNIQUE(_xlfn._xlws.FILTER(Tabla1[Proceso],(Tabla1[Metal Base]=O404)*(Tabla1[Etiquetas]=_xlfn.TEXTJOIN(" + ",TRUE,IF((TRIM(Upload!P404:S404)="")+(LOWER(TRIM(Upload!P404:S404))="(seleccione)"),"",PROPER(TRIM(Upload!P404:S404)))))*(Tabla1[Línea2]=IFERROR(VLOOKUP(Upload!N404&amp;"*",CAT_Procesos!D:D,1,FALSE),"")))),_xlpm.cantidad,ROWS(_xlpm.resultados),IF(ISERROR(_xlpm.cantidad),"Combinación no existente",IF(_xlpm.cantidad=1,INDEX(_xlpm.resultados,1),"(seleccione)")))</f>
        <v>Combinación no existente</v>
      </c>
      <c r="V404" s="55" t="s">
        <v>73</v>
      </c>
      <c r="W404" s="56" t="s">
        <v>73</v>
      </c>
      <c r="X404" s="57" t="str">
        <f t="shared" si="24"/>
        <v/>
      </c>
      <c r="Y404" s="58" t="s">
        <v>73</v>
      </c>
      <c r="Z404" s="57" t="str">
        <f t="shared" si="25"/>
        <v/>
      </c>
      <c r="AA404" s="58" t="s">
        <v>73</v>
      </c>
      <c r="AB404" s="57" t="str">
        <f t="shared" si="26"/>
        <v/>
      </c>
      <c r="AC404" s="58" t="s">
        <v>73</v>
      </c>
      <c r="AD404" s="57" t="str">
        <f t="shared" si="27"/>
        <v/>
      </c>
      <c r="AE404" s="59"/>
      <c r="AF404" s="59"/>
      <c r="AG404" s="59"/>
      <c r="AH404" s="59"/>
      <c r="AI404" s="59" t="s">
        <v>73</v>
      </c>
      <c r="AJ404" s="59"/>
      <c r="AK404" s="59" t="s">
        <v>73</v>
      </c>
      <c r="AL404" s="59"/>
      <c r="AM404" s="59" t="s">
        <v>73</v>
      </c>
      <c r="AN404" s="59"/>
      <c r="AO404" s="59" t="s">
        <v>73</v>
      </c>
      <c r="AP404" s="59"/>
      <c r="AQ404" s="59" t="s">
        <v>73</v>
      </c>
      <c r="AR404" s="59"/>
      <c r="AS404" s="59" t="s">
        <v>72</v>
      </c>
      <c r="AT404" s="59"/>
      <c r="AU404" s="59"/>
      <c r="AV404" s="59"/>
      <c r="AW404" s="59"/>
      <c r="AX404" s="59"/>
      <c r="AY404" s="60" t="str">
        <f>IF('Cálculo MP'!K414="","",'Cálculo MP'!K414)</f>
        <v/>
      </c>
      <c r="AZ404" s="60" t="str">
        <f>IF('Cálculo MP'!L414="","",'Cálculo MP'!L414)</f>
        <v/>
      </c>
      <c r="BA404" s="60" t="str">
        <f>IF('Cálculo MP'!M414="","",'Cálculo MP'!M414)</f>
        <v/>
      </c>
      <c r="BB404" s="60" t="str">
        <f>IF('Cálculo MP'!N414="","",'Cálculo MP'!N414)</f>
        <v/>
      </c>
      <c r="BC404" s="60" t="str">
        <f>IF('Cálculo MP'!O414="","",'Cálculo MP'!O414)</f>
        <v/>
      </c>
      <c r="BD404" s="60" t="str">
        <f>IF('Cálculo MP'!P414="","",'Cálculo MP'!P414)</f>
        <v/>
      </c>
      <c r="BE404" s="60" t="str">
        <f>IF('Cálculo MP'!Q414="","",'Cálculo MP'!Q414)</f>
        <v/>
      </c>
      <c r="BF404" s="60" t="str">
        <f>IF('Cálculo MP'!R414="","",'Cálculo MP'!R414)</f>
        <v/>
      </c>
      <c r="BG404" s="60" t="str">
        <f>IF('Cálculo MP'!S414="","",'Cálculo MP'!S414)</f>
        <v/>
      </c>
      <c r="BH404" s="59"/>
      <c r="BI404" s="59"/>
      <c r="BJ404" s="59"/>
      <c r="BK404" s="59"/>
      <c r="BL404" s="59"/>
      <c r="BM404" s="59"/>
      <c r="BN404" s="59"/>
      <c r="BO404" s="59"/>
    </row>
    <row r="405" spans="1:67" ht="19.5" customHeight="1" x14ac:dyDescent="0.2">
      <c r="A405" s="114" t="s">
        <v>1789</v>
      </c>
      <c r="B405" s="113" t="s">
        <v>1787</v>
      </c>
      <c r="C405" s="122"/>
      <c r="D405" s="48" t="s">
        <v>73</v>
      </c>
      <c r="E405" s="49"/>
      <c r="F405" s="50"/>
      <c r="G405" s="62"/>
      <c r="H405" s="48" t="s">
        <v>72</v>
      </c>
      <c r="I405" s="52">
        <v>1</v>
      </c>
      <c r="J405" s="52"/>
      <c r="K405" s="52" t="s">
        <v>73</v>
      </c>
      <c r="L405" s="52" t="s">
        <v>74</v>
      </c>
      <c r="M405" s="53" t="s">
        <v>917</v>
      </c>
      <c r="N405" s="58" t="s">
        <v>73</v>
      </c>
      <c r="O405" s="48" t="s">
        <v>72</v>
      </c>
      <c r="P405" s="48" t="s">
        <v>73</v>
      </c>
      <c r="Q405" s="54" t="s">
        <v>73</v>
      </c>
      <c r="R405" s="55" t="s">
        <v>73</v>
      </c>
      <c r="S405" s="48" t="s">
        <v>73</v>
      </c>
      <c r="T405" s="121" t="str" cm="1">
        <f t="array" ref="T405">IF(ISNUMBER(SEARCH("SCHNEIDER",D405)),_xlfn.IFS(ISNUMBER(SEARCH("2 Querétaro",D405)),"SQ2",ISNUMBER(SEARCH("Xicohténcatl",D405)),"SXC",ISNUMBER(SEARCH("Rojo Gómez",D405)),"SRG",ISNUMBER(SEARCH("Tlaxcala",D405)),"STX",ISNUMBER(SEARCH("Monterrey",D405)),"SMY",ISNUMBER(SEARCH("Querétaro",D405)),"SQ1",ISNUMBER(SEARCH("CDMX",D405)),"SCM",TRUE,""),"")</f>
        <v/>
      </c>
      <c r="U405" s="48" t="str" cm="1">
        <f t="array" ref="U405">_xlfn.LET(_xlpm.resultados,_xlfn.UNIQUE(_xlfn._xlws.FILTER(Tabla1[Proceso],(Tabla1[Metal Base]=O405)*(Tabla1[Etiquetas]=_xlfn.TEXTJOIN(" + ",TRUE,IF((TRIM(Upload!P405:S405)="")+(LOWER(TRIM(Upload!P405:S405))="(seleccione)"),"",PROPER(TRIM(Upload!P405:S405)))))*(Tabla1[Línea2]=IFERROR(VLOOKUP(Upload!N405&amp;"*",CAT_Procesos!D:D,1,FALSE),"")))),_xlpm.cantidad,ROWS(_xlpm.resultados),IF(ISERROR(_xlpm.cantidad),"Combinación no existente",IF(_xlpm.cantidad=1,INDEX(_xlpm.resultados,1),"(seleccione)")))</f>
        <v>Combinación no existente</v>
      </c>
      <c r="V405" s="55" t="s">
        <v>73</v>
      </c>
      <c r="W405" s="56" t="s">
        <v>73</v>
      </c>
      <c r="X405" s="57" t="str">
        <f t="shared" si="24"/>
        <v/>
      </c>
      <c r="Y405" s="58" t="s">
        <v>73</v>
      </c>
      <c r="Z405" s="57" t="str">
        <f t="shared" si="25"/>
        <v/>
      </c>
      <c r="AA405" s="58" t="s">
        <v>73</v>
      </c>
      <c r="AB405" s="57" t="str">
        <f t="shared" si="26"/>
        <v/>
      </c>
      <c r="AC405" s="58" t="s">
        <v>73</v>
      </c>
      <c r="AD405" s="57" t="str">
        <f t="shared" si="27"/>
        <v/>
      </c>
      <c r="AE405" s="59"/>
      <c r="AF405" s="59"/>
      <c r="AG405" s="59"/>
      <c r="AH405" s="59"/>
      <c r="AI405" s="59" t="s">
        <v>73</v>
      </c>
      <c r="AJ405" s="59"/>
      <c r="AK405" s="59" t="s">
        <v>73</v>
      </c>
      <c r="AL405" s="59"/>
      <c r="AM405" s="59" t="s">
        <v>73</v>
      </c>
      <c r="AN405" s="59"/>
      <c r="AO405" s="59" t="s">
        <v>73</v>
      </c>
      <c r="AP405" s="59"/>
      <c r="AQ405" s="59" t="s">
        <v>73</v>
      </c>
      <c r="AR405" s="59"/>
      <c r="AS405" s="59" t="s">
        <v>72</v>
      </c>
      <c r="AT405" s="59"/>
      <c r="AU405" s="59"/>
      <c r="AV405" s="59"/>
      <c r="AW405" s="59"/>
      <c r="AX405" s="59"/>
      <c r="AY405" s="60" t="str">
        <f>IF('Cálculo MP'!K415="","",'Cálculo MP'!K415)</f>
        <v/>
      </c>
      <c r="AZ405" s="60" t="str">
        <f>IF('Cálculo MP'!L415="","",'Cálculo MP'!L415)</f>
        <v/>
      </c>
      <c r="BA405" s="60" t="str">
        <f>IF('Cálculo MP'!M415="","",'Cálculo MP'!M415)</f>
        <v/>
      </c>
      <c r="BB405" s="60" t="str">
        <f>IF('Cálculo MP'!N415="","",'Cálculo MP'!N415)</f>
        <v/>
      </c>
      <c r="BC405" s="60" t="str">
        <f>IF('Cálculo MP'!O415="","",'Cálculo MP'!O415)</f>
        <v/>
      </c>
      <c r="BD405" s="60" t="str">
        <f>IF('Cálculo MP'!P415="","",'Cálculo MP'!P415)</f>
        <v/>
      </c>
      <c r="BE405" s="60" t="str">
        <f>IF('Cálculo MP'!Q415="","",'Cálculo MP'!Q415)</f>
        <v/>
      </c>
      <c r="BF405" s="60" t="str">
        <f>IF('Cálculo MP'!R415="","",'Cálculo MP'!R415)</f>
        <v/>
      </c>
      <c r="BG405" s="60" t="str">
        <f>IF('Cálculo MP'!S415="","",'Cálculo MP'!S415)</f>
        <v/>
      </c>
      <c r="BH405" s="59"/>
      <c r="BI405" s="59"/>
      <c r="BJ405" s="59"/>
      <c r="BK405" s="59"/>
      <c r="BL405" s="59"/>
      <c r="BM405" s="59"/>
      <c r="BN405" s="59"/>
      <c r="BO405" s="59"/>
    </row>
    <row r="406" spans="1:67" ht="19.5" customHeight="1" x14ac:dyDescent="0.2">
      <c r="A406" s="114" t="s">
        <v>1789</v>
      </c>
      <c r="B406" s="113" t="s">
        <v>1787</v>
      </c>
      <c r="C406" s="122"/>
      <c r="D406" s="48" t="s">
        <v>73</v>
      </c>
      <c r="E406" s="49"/>
      <c r="F406" s="50"/>
      <c r="G406" s="62"/>
      <c r="H406" s="48" t="s">
        <v>72</v>
      </c>
      <c r="I406" s="52">
        <v>1</v>
      </c>
      <c r="J406" s="52"/>
      <c r="K406" s="52" t="s">
        <v>73</v>
      </c>
      <c r="L406" s="52" t="s">
        <v>74</v>
      </c>
      <c r="M406" s="53" t="s">
        <v>917</v>
      </c>
      <c r="N406" s="58" t="s">
        <v>73</v>
      </c>
      <c r="O406" s="48" t="s">
        <v>72</v>
      </c>
      <c r="P406" s="48" t="s">
        <v>73</v>
      </c>
      <c r="Q406" s="54" t="s">
        <v>73</v>
      </c>
      <c r="R406" s="55" t="s">
        <v>73</v>
      </c>
      <c r="S406" s="48" t="s">
        <v>73</v>
      </c>
      <c r="T406" s="121" t="str" cm="1">
        <f t="array" ref="T406">IF(ISNUMBER(SEARCH("SCHNEIDER",D406)),_xlfn.IFS(ISNUMBER(SEARCH("2 Querétaro",D406)),"SQ2",ISNUMBER(SEARCH("Xicohténcatl",D406)),"SXC",ISNUMBER(SEARCH("Rojo Gómez",D406)),"SRG",ISNUMBER(SEARCH("Tlaxcala",D406)),"STX",ISNUMBER(SEARCH("Monterrey",D406)),"SMY",ISNUMBER(SEARCH("Querétaro",D406)),"SQ1",ISNUMBER(SEARCH("CDMX",D406)),"SCM",TRUE,""),"")</f>
        <v/>
      </c>
      <c r="U406" s="48" t="str" cm="1">
        <f t="array" ref="U406">_xlfn.LET(_xlpm.resultados,_xlfn.UNIQUE(_xlfn._xlws.FILTER(Tabla1[Proceso],(Tabla1[Metal Base]=O406)*(Tabla1[Etiquetas]=_xlfn.TEXTJOIN(" + ",TRUE,IF((TRIM(Upload!P406:S406)="")+(LOWER(TRIM(Upload!P406:S406))="(seleccione)"),"",PROPER(TRIM(Upload!P406:S406)))))*(Tabla1[Línea2]=IFERROR(VLOOKUP(Upload!N406&amp;"*",CAT_Procesos!D:D,1,FALSE),"")))),_xlpm.cantidad,ROWS(_xlpm.resultados),IF(ISERROR(_xlpm.cantidad),"Combinación no existente",IF(_xlpm.cantidad=1,INDEX(_xlpm.resultados,1),"(seleccione)")))</f>
        <v>Combinación no existente</v>
      </c>
      <c r="V406" s="55" t="s">
        <v>73</v>
      </c>
      <c r="W406" s="56" t="s">
        <v>73</v>
      </c>
      <c r="X406" s="57" t="str">
        <f t="shared" si="24"/>
        <v/>
      </c>
      <c r="Y406" s="58" t="s">
        <v>73</v>
      </c>
      <c r="Z406" s="57" t="str">
        <f t="shared" si="25"/>
        <v/>
      </c>
      <c r="AA406" s="58" t="s">
        <v>73</v>
      </c>
      <c r="AB406" s="57" t="str">
        <f t="shared" si="26"/>
        <v/>
      </c>
      <c r="AC406" s="58" t="s">
        <v>73</v>
      </c>
      <c r="AD406" s="57" t="str">
        <f t="shared" si="27"/>
        <v/>
      </c>
      <c r="AE406" s="59"/>
      <c r="AF406" s="59"/>
      <c r="AG406" s="59"/>
      <c r="AH406" s="59"/>
      <c r="AI406" s="59" t="s">
        <v>73</v>
      </c>
      <c r="AJ406" s="59"/>
      <c r="AK406" s="59" t="s">
        <v>73</v>
      </c>
      <c r="AL406" s="59"/>
      <c r="AM406" s="59" t="s">
        <v>73</v>
      </c>
      <c r="AN406" s="59"/>
      <c r="AO406" s="59" t="s">
        <v>73</v>
      </c>
      <c r="AP406" s="59"/>
      <c r="AQ406" s="59" t="s">
        <v>73</v>
      </c>
      <c r="AR406" s="59"/>
      <c r="AS406" s="59" t="s">
        <v>72</v>
      </c>
      <c r="AT406" s="59"/>
      <c r="AU406" s="59"/>
      <c r="AV406" s="59"/>
      <c r="AW406" s="59"/>
      <c r="AX406" s="59"/>
      <c r="AY406" s="60" t="str">
        <f>IF('Cálculo MP'!K416="","",'Cálculo MP'!K416)</f>
        <v/>
      </c>
      <c r="AZ406" s="60" t="str">
        <f>IF('Cálculo MP'!L416="","",'Cálculo MP'!L416)</f>
        <v/>
      </c>
      <c r="BA406" s="60" t="str">
        <f>IF('Cálculo MP'!M416="","",'Cálculo MP'!M416)</f>
        <v/>
      </c>
      <c r="BB406" s="60" t="str">
        <f>IF('Cálculo MP'!N416="","",'Cálculo MP'!N416)</f>
        <v/>
      </c>
      <c r="BC406" s="60" t="str">
        <f>IF('Cálculo MP'!O416="","",'Cálculo MP'!O416)</f>
        <v/>
      </c>
      <c r="BD406" s="60" t="str">
        <f>IF('Cálculo MP'!P416="","",'Cálculo MP'!P416)</f>
        <v/>
      </c>
      <c r="BE406" s="60" t="str">
        <f>IF('Cálculo MP'!Q416="","",'Cálculo MP'!Q416)</f>
        <v/>
      </c>
      <c r="BF406" s="60" t="str">
        <f>IF('Cálculo MP'!R416="","",'Cálculo MP'!R416)</f>
        <v/>
      </c>
      <c r="BG406" s="60" t="str">
        <f>IF('Cálculo MP'!S416="","",'Cálculo MP'!S416)</f>
        <v/>
      </c>
      <c r="BH406" s="59"/>
      <c r="BI406" s="59"/>
      <c r="BJ406" s="59"/>
      <c r="BK406" s="59"/>
      <c r="BL406" s="59"/>
      <c r="BM406" s="59"/>
      <c r="BN406" s="59"/>
      <c r="BO406" s="59"/>
    </row>
    <row r="407" spans="1:67" ht="19.5" customHeight="1" x14ac:dyDescent="0.2">
      <c r="A407" s="114" t="s">
        <v>1789</v>
      </c>
      <c r="B407" s="113" t="s">
        <v>1787</v>
      </c>
      <c r="C407" s="122"/>
      <c r="D407" s="48" t="s">
        <v>73</v>
      </c>
      <c r="E407" s="49"/>
      <c r="F407" s="50"/>
      <c r="G407" s="62"/>
      <c r="H407" s="48" t="s">
        <v>72</v>
      </c>
      <c r="I407" s="52">
        <v>1</v>
      </c>
      <c r="J407" s="52"/>
      <c r="K407" s="52" t="s">
        <v>73</v>
      </c>
      <c r="L407" s="52" t="s">
        <v>74</v>
      </c>
      <c r="M407" s="53" t="s">
        <v>917</v>
      </c>
      <c r="N407" s="58" t="s">
        <v>73</v>
      </c>
      <c r="O407" s="48" t="s">
        <v>72</v>
      </c>
      <c r="P407" s="48" t="s">
        <v>73</v>
      </c>
      <c r="Q407" s="54" t="s">
        <v>73</v>
      </c>
      <c r="R407" s="55" t="s">
        <v>73</v>
      </c>
      <c r="S407" s="48" t="s">
        <v>73</v>
      </c>
      <c r="T407" s="121" t="str" cm="1">
        <f t="array" ref="T407">IF(ISNUMBER(SEARCH("SCHNEIDER",D407)),_xlfn.IFS(ISNUMBER(SEARCH("2 Querétaro",D407)),"SQ2",ISNUMBER(SEARCH("Xicohténcatl",D407)),"SXC",ISNUMBER(SEARCH("Rojo Gómez",D407)),"SRG",ISNUMBER(SEARCH("Tlaxcala",D407)),"STX",ISNUMBER(SEARCH("Monterrey",D407)),"SMY",ISNUMBER(SEARCH("Querétaro",D407)),"SQ1",ISNUMBER(SEARCH("CDMX",D407)),"SCM",TRUE,""),"")</f>
        <v/>
      </c>
      <c r="U407" s="48" t="str" cm="1">
        <f t="array" ref="U407">_xlfn.LET(_xlpm.resultados,_xlfn.UNIQUE(_xlfn._xlws.FILTER(Tabla1[Proceso],(Tabla1[Metal Base]=O407)*(Tabla1[Etiquetas]=_xlfn.TEXTJOIN(" + ",TRUE,IF((TRIM(Upload!P407:S407)="")+(LOWER(TRIM(Upload!P407:S407))="(seleccione)"),"",PROPER(TRIM(Upload!P407:S407)))))*(Tabla1[Línea2]=IFERROR(VLOOKUP(Upload!N407&amp;"*",CAT_Procesos!D:D,1,FALSE),"")))),_xlpm.cantidad,ROWS(_xlpm.resultados),IF(ISERROR(_xlpm.cantidad),"Combinación no existente",IF(_xlpm.cantidad=1,INDEX(_xlpm.resultados,1),"(seleccione)")))</f>
        <v>Combinación no existente</v>
      </c>
      <c r="V407" s="55" t="s">
        <v>73</v>
      </c>
      <c r="W407" s="56" t="s">
        <v>73</v>
      </c>
      <c r="X407" s="57" t="str">
        <f t="shared" si="24"/>
        <v/>
      </c>
      <c r="Y407" s="58" t="s">
        <v>73</v>
      </c>
      <c r="Z407" s="57" t="str">
        <f t="shared" si="25"/>
        <v/>
      </c>
      <c r="AA407" s="58" t="s">
        <v>73</v>
      </c>
      <c r="AB407" s="57" t="str">
        <f t="shared" si="26"/>
        <v/>
      </c>
      <c r="AC407" s="58" t="s">
        <v>73</v>
      </c>
      <c r="AD407" s="57" t="str">
        <f t="shared" si="27"/>
        <v/>
      </c>
      <c r="AE407" s="59"/>
      <c r="AF407" s="59"/>
      <c r="AG407" s="59"/>
      <c r="AH407" s="59"/>
      <c r="AI407" s="59" t="s">
        <v>73</v>
      </c>
      <c r="AJ407" s="59"/>
      <c r="AK407" s="59" t="s">
        <v>73</v>
      </c>
      <c r="AL407" s="59"/>
      <c r="AM407" s="59" t="s">
        <v>73</v>
      </c>
      <c r="AN407" s="59"/>
      <c r="AO407" s="59" t="s">
        <v>73</v>
      </c>
      <c r="AP407" s="59"/>
      <c r="AQ407" s="59" t="s">
        <v>73</v>
      </c>
      <c r="AR407" s="59"/>
      <c r="AS407" s="59" t="s">
        <v>72</v>
      </c>
      <c r="AT407" s="59"/>
      <c r="AU407" s="59"/>
      <c r="AV407" s="59"/>
      <c r="AW407" s="59"/>
      <c r="AX407" s="59"/>
      <c r="AY407" s="60" t="str">
        <f>IF('Cálculo MP'!K417="","",'Cálculo MP'!K417)</f>
        <v/>
      </c>
      <c r="AZ407" s="60" t="str">
        <f>IF('Cálculo MP'!L417="","",'Cálculo MP'!L417)</f>
        <v/>
      </c>
      <c r="BA407" s="60" t="str">
        <f>IF('Cálculo MP'!M417="","",'Cálculo MP'!M417)</f>
        <v/>
      </c>
      <c r="BB407" s="60" t="str">
        <f>IF('Cálculo MP'!N417="","",'Cálculo MP'!N417)</f>
        <v/>
      </c>
      <c r="BC407" s="60" t="str">
        <f>IF('Cálculo MP'!O417="","",'Cálculo MP'!O417)</f>
        <v/>
      </c>
      <c r="BD407" s="60" t="str">
        <f>IF('Cálculo MP'!P417="","",'Cálculo MP'!P417)</f>
        <v/>
      </c>
      <c r="BE407" s="60" t="str">
        <f>IF('Cálculo MP'!Q417="","",'Cálculo MP'!Q417)</f>
        <v/>
      </c>
      <c r="BF407" s="60" t="str">
        <f>IF('Cálculo MP'!R417="","",'Cálculo MP'!R417)</f>
        <v/>
      </c>
      <c r="BG407" s="60" t="str">
        <f>IF('Cálculo MP'!S417="","",'Cálculo MP'!S417)</f>
        <v/>
      </c>
      <c r="BH407" s="59"/>
      <c r="BI407" s="59"/>
      <c r="BJ407" s="59"/>
      <c r="BK407" s="59"/>
      <c r="BL407" s="59"/>
      <c r="BM407" s="59"/>
      <c r="BN407" s="59"/>
      <c r="BO407" s="59"/>
    </row>
    <row r="408" spans="1:67" ht="19.5" customHeight="1" x14ac:dyDescent="0.2">
      <c r="A408" s="114" t="s">
        <v>1789</v>
      </c>
      <c r="B408" s="113" t="s">
        <v>1787</v>
      </c>
      <c r="C408" s="122"/>
      <c r="D408" s="48" t="s">
        <v>73</v>
      </c>
      <c r="E408" s="49"/>
      <c r="F408" s="50"/>
      <c r="G408" s="62"/>
      <c r="H408" s="48" t="s">
        <v>72</v>
      </c>
      <c r="I408" s="52">
        <v>1</v>
      </c>
      <c r="J408" s="52"/>
      <c r="K408" s="52" t="s">
        <v>73</v>
      </c>
      <c r="L408" s="52" t="s">
        <v>74</v>
      </c>
      <c r="M408" s="53" t="s">
        <v>917</v>
      </c>
      <c r="N408" s="58" t="s">
        <v>73</v>
      </c>
      <c r="O408" s="48" t="s">
        <v>72</v>
      </c>
      <c r="P408" s="48" t="s">
        <v>73</v>
      </c>
      <c r="Q408" s="54" t="s">
        <v>73</v>
      </c>
      <c r="R408" s="55" t="s">
        <v>73</v>
      </c>
      <c r="S408" s="48" t="s">
        <v>73</v>
      </c>
      <c r="T408" s="121" t="str" cm="1">
        <f t="array" ref="T408">IF(ISNUMBER(SEARCH("SCHNEIDER",D408)),_xlfn.IFS(ISNUMBER(SEARCH("2 Querétaro",D408)),"SQ2",ISNUMBER(SEARCH("Xicohténcatl",D408)),"SXC",ISNUMBER(SEARCH("Rojo Gómez",D408)),"SRG",ISNUMBER(SEARCH("Tlaxcala",D408)),"STX",ISNUMBER(SEARCH("Monterrey",D408)),"SMY",ISNUMBER(SEARCH("Querétaro",D408)),"SQ1",ISNUMBER(SEARCH("CDMX",D408)),"SCM",TRUE,""),"")</f>
        <v/>
      </c>
      <c r="U408" s="48" t="str" cm="1">
        <f t="array" ref="U408">_xlfn.LET(_xlpm.resultados,_xlfn.UNIQUE(_xlfn._xlws.FILTER(Tabla1[Proceso],(Tabla1[Metal Base]=O408)*(Tabla1[Etiquetas]=_xlfn.TEXTJOIN(" + ",TRUE,IF((TRIM(Upload!P408:S408)="")+(LOWER(TRIM(Upload!P408:S408))="(seleccione)"),"",PROPER(TRIM(Upload!P408:S408)))))*(Tabla1[Línea2]=IFERROR(VLOOKUP(Upload!N408&amp;"*",CAT_Procesos!D:D,1,FALSE),"")))),_xlpm.cantidad,ROWS(_xlpm.resultados),IF(ISERROR(_xlpm.cantidad),"Combinación no existente",IF(_xlpm.cantidad=1,INDEX(_xlpm.resultados,1),"(seleccione)")))</f>
        <v>Combinación no existente</v>
      </c>
      <c r="V408" s="55" t="s">
        <v>73</v>
      </c>
      <c r="W408" s="56" t="s">
        <v>73</v>
      </c>
      <c r="X408" s="57" t="str">
        <f t="shared" si="24"/>
        <v/>
      </c>
      <c r="Y408" s="58" t="s">
        <v>73</v>
      </c>
      <c r="Z408" s="57" t="str">
        <f t="shared" si="25"/>
        <v/>
      </c>
      <c r="AA408" s="58" t="s">
        <v>73</v>
      </c>
      <c r="AB408" s="57" t="str">
        <f t="shared" si="26"/>
        <v/>
      </c>
      <c r="AC408" s="58" t="s">
        <v>73</v>
      </c>
      <c r="AD408" s="57" t="str">
        <f t="shared" si="27"/>
        <v/>
      </c>
      <c r="AE408" s="59"/>
      <c r="AF408" s="59"/>
      <c r="AG408" s="59"/>
      <c r="AH408" s="59"/>
      <c r="AI408" s="59" t="s">
        <v>73</v>
      </c>
      <c r="AJ408" s="59"/>
      <c r="AK408" s="59" t="s">
        <v>73</v>
      </c>
      <c r="AL408" s="59"/>
      <c r="AM408" s="59" t="s">
        <v>73</v>
      </c>
      <c r="AN408" s="59"/>
      <c r="AO408" s="59" t="s">
        <v>73</v>
      </c>
      <c r="AP408" s="59"/>
      <c r="AQ408" s="59" t="s">
        <v>73</v>
      </c>
      <c r="AR408" s="59"/>
      <c r="AS408" s="59" t="s">
        <v>72</v>
      </c>
      <c r="AT408" s="59"/>
      <c r="AU408" s="59"/>
      <c r="AV408" s="59"/>
      <c r="AW408" s="59"/>
      <c r="AX408" s="59"/>
      <c r="AY408" s="60" t="str">
        <f>IF('Cálculo MP'!K418="","",'Cálculo MP'!K418)</f>
        <v/>
      </c>
      <c r="AZ408" s="60" t="str">
        <f>IF('Cálculo MP'!L418="","",'Cálculo MP'!L418)</f>
        <v/>
      </c>
      <c r="BA408" s="60" t="str">
        <f>IF('Cálculo MP'!M418="","",'Cálculo MP'!M418)</f>
        <v/>
      </c>
      <c r="BB408" s="60" t="str">
        <f>IF('Cálculo MP'!N418="","",'Cálculo MP'!N418)</f>
        <v/>
      </c>
      <c r="BC408" s="60" t="str">
        <f>IF('Cálculo MP'!O418="","",'Cálculo MP'!O418)</f>
        <v/>
      </c>
      <c r="BD408" s="60" t="str">
        <f>IF('Cálculo MP'!P418="","",'Cálculo MP'!P418)</f>
        <v/>
      </c>
      <c r="BE408" s="60" t="str">
        <f>IF('Cálculo MP'!Q418="","",'Cálculo MP'!Q418)</f>
        <v/>
      </c>
      <c r="BF408" s="60" t="str">
        <f>IF('Cálculo MP'!R418="","",'Cálculo MP'!R418)</f>
        <v/>
      </c>
      <c r="BG408" s="60" t="str">
        <f>IF('Cálculo MP'!S418="","",'Cálculo MP'!S418)</f>
        <v/>
      </c>
      <c r="BH408" s="59"/>
      <c r="BI408" s="59"/>
      <c r="BJ408" s="59"/>
      <c r="BK408" s="59"/>
      <c r="BL408" s="59"/>
      <c r="BM408" s="59"/>
      <c r="BN408" s="59"/>
      <c r="BO408" s="59"/>
    </row>
    <row r="409" spans="1:67" ht="19.5" customHeight="1" x14ac:dyDescent="0.2">
      <c r="A409" s="114" t="s">
        <v>1789</v>
      </c>
      <c r="B409" s="113" t="s">
        <v>1787</v>
      </c>
      <c r="C409" s="122"/>
      <c r="D409" s="48" t="s">
        <v>73</v>
      </c>
      <c r="E409" s="49"/>
      <c r="F409" s="50"/>
      <c r="G409" s="62"/>
      <c r="H409" s="48" t="s">
        <v>72</v>
      </c>
      <c r="I409" s="52">
        <v>1</v>
      </c>
      <c r="J409" s="52"/>
      <c r="K409" s="52" t="s">
        <v>73</v>
      </c>
      <c r="L409" s="52" t="s">
        <v>74</v>
      </c>
      <c r="M409" s="53" t="s">
        <v>917</v>
      </c>
      <c r="N409" s="58" t="s">
        <v>73</v>
      </c>
      <c r="O409" s="48" t="s">
        <v>72</v>
      </c>
      <c r="P409" s="48" t="s">
        <v>73</v>
      </c>
      <c r="Q409" s="54" t="s">
        <v>73</v>
      </c>
      <c r="R409" s="55" t="s">
        <v>73</v>
      </c>
      <c r="S409" s="48" t="s">
        <v>73</v>
      </c>
      <c r="T409" s="121" t="str" cm="1">
        <f t="array" ref="T409">IF(ISNUMBER(SEARCH("SCHNEIDER",D409)),_xlfn.IFS(ISNUMBER(SEARCH("2 Querétaro",D409)),"SQ2",ISNUMBER(SEARCH("Xicohténcatl",D409)),"SXC",ISNUMBER(SEARCH("Rojo Gómez",D409)),"SRG",ISNUMBER(SEARCH("Tlaxcala",D409)),"STX",ISNUMBER(SEARCH("Monterrey",D409)),"SMY",ISNUMBER(SEARCH("Querétaro",D409)),"SQ1",ISNUMBER(SEARCH("CDMX",D409)),"SCM",TRUE,""),"")</f>
        <v/>
      </c>
      <c r="U409" s="48" t="str" cm="1">
        <f t="array" ref="U409">_xlfn.LET(_xlpm.resultados,_xlfn.UNIQUE(_xlfn._xlws.FILTER(Tabla1[Proceso],(Tabla1[Metal Base]=O409)*(Tabla1[Etiquetas]=_xlfn.TEXTJOIN(" + ",TRUE,IF((TRIM(Upload!P409:S409)="")+(LOWER(TRIM(Upload!P409:S409))="(seleccione)"),"",PROPER(TRIM(Upload!P409:S409)))))*(Tabla1[Línea2]=IFERROR(VLOOKUP(Upload!N409&amp;"*",CAT_Procesos!D:D,1,FALSE),"")))),_xlpm.cantidad,ROWS(_xlpm.resultados),IF(ISERROR(_xlpm.cantidad),"Combinación no existente",IF(_xlpm.cantidad=1,INDEX(_xlpm.resultados,1),"(seleccione)")))</f>
        <v>Combinación no existente</v>
      </c>
      <c r="V409" s="55" t="s">
        <v>73</v>
      </c>
      <c r="W409" s="56" t="s">
        <v>73</v>
      </c>
      <c r="X409" s="57" t="str">
        <f t="shared" si="24"/>
        <v/>
      </c>
      <c r="Y409" s="58" t="s">
        <v>73</v>
      </c>
      <c r="Z409" s="57" t="str">
        <f t="shared" si="25"/>
        <v/>
      </c>
      <c r="AA409" s="58" t="s">
        <v>73</v>
      </c>
      <c r="AB409" s="57" t="str">
        <f t="shared" si="26"/>
        <v/>
      </c>
      <c r="AC409" s="58" t="s">
        <v>73</v>
      </c>
      <c r="AD409" s="57" t="str">
        <f t="shared" si="27"/>
        <v/>
      </c>
      <c r="AE409" s="59"/>
      <c r="AF409" s="59"/>
      <c r="AG409" s="59"/>
      <c r="AH409" s="59"/>
      <c r="AI409" s="59" t="s">
        <v>73</v>
      </c>
      <c r="AJ409" s="59"/>
      <c r="AK409" s="59" t="s">
        <v>73</v>
      </c>
      <c r="AL409" s="59"/>
      <c r="AM409" s="59" t="s">
        <v>73</v>
      </c>
      <c r="AN409" s="59"/>
      <c r="AO409" s="59" t="s">
        <v>73</v>
      </c>
      <c r="AP409" s="59"/>
      <c r="AQ409" s="59" t="s">
        <v>73</v>
      </c>
      <c r="AR409" s="59"/>
      <c r="AS409" s="59" t="s">
        <v>72</v>
      </c>
      <c r="AT409" s="59"/>
      <c r="AU409" s="59"/>
      <c r="AV409" s="59"/>
      <c r="AW409" s="59"/>
      <c r="AX409" s="59"/>
      <c r="AY409" s="60" t="str">
        <f>IF('Cálculo MP'!K419="","",'Cálculo MP'!K419)</f>
        <v/>
      </c>
      <c r="AZ409" s="60" t="str">
        <f>IF('Cálculo MP'!L419="","",'Cálculo MP'!L419)</f>
        <v/>
      </c>
      <c r="BA409" s="60" t="str">
        <f>IF('Cálculo MP'!M419="","",'Cálculo MP'!M419)</f>
        <v/>
      </c>
      <c r="BB409" s="60" t="str">
        <f>IF('Cálculo MP'!N419="","",'Cálculo MP'!N419)</f>
        <v/>
      </c>
      <c r="BC409" s="60" t="str">
        <f>IF('Cálculo MP'!O419="","",'Cálculo MP'!O419)</f>
        <v/>
      </c>
      <c r="BD409" s="60" t="str">
        <f>IF('Cálculo MP'!P419="","",'Cálculo MP'!P419)</f>
        <v/>
      </c>
      <c r="BE409" s="60" t="str">
        <f>IF('Cálculo MP'!Q419="","",'Cálculo MP'!Q419)</f>
        <v/>
      </c>
      <c r="BF409" s="60" t="str">
        <f>IF('Cálculo MP'!R419="","",'Cálculo MP'!R419)</f>
        <v/>
      </c>
      <c r="BG409" s="60" t="str">
        <f>IF('Cálculo MP'!S419="","",'Cálculo MP'!S419)</f>
        <v/>
      </c>
      <c r="BH409" s="59"/>
      <c r="BI409" s="59"/>
      <c r="BJ409" s="59"/>
      <c r="BK409" s="59"/>
      <c r="BL409" s="59"/>
      <c r="BM409" s="59"/>
      <c r="BN409" s="59"/>
      <c r="BO409" s="59"/>
    </row>
    <row r="410" spans="1:67" ht="19.5" customHeight="1" x14ac:dyDescent="0.2">
      <c r="A410" s="114" t="s">
        <v>1789</v>
      </c>
      <c r="B410" s="113" t="s">
        <v>1787</v>
      </c>
      <c r="C410" s="122"/>
      <c r="D410" s="48" t="s">
        <v>73</v>
      </c>
      <c r="E410" s="49"/>
      <c r="F410" s="50"/>
      <c r="G410" s="62"/>
      <c r="H410" s="48" t="s">
        <v>72</v>
      </c>
      <c r="I410" s="52">
        <v>1</v>
      </c>
      <c r="J410" s="52"/>
      <c r="K410" s="52" t="s">
        <v>73</v>
      </c>
      <c r="L410" s="52" t="s">
        <v>74</v>
      </c>
      <c r="M410" s="53" t="s">
        <v>917</v>
      </c>
      <c r="N410" s="58" t="s">
        <v>73</v>
      </c>
      <c r="O410" s="48" t="s">
        <v>72</v>
      </c>
      <c r="P410" s="48" t="s">
        <v>73</v>
      </c>
      <c r="Q410" s="54" t="s">
        <v>73</v>
      </c>
      <c r="R410" s="55" t="s">
        <v>73</v>
      </c>
      <c r="S410" s="48" t="s">
        <v>73</v>
      </c>
      <c r="T410" s="121" t="str" cm="1">
        <f t="array" ref="T410">IF(ISNUMBER(SEARCH("SCHNEIDER",D410)),_xlfn.IFS(ISNUMBER(SEARCH("2 Querétaro",D410)),"SQ2",ISNUMBER(SEARCH("Xicohténcatl",D410)),"SXC",ISNUMBER(SEARCH("Rojo Gómez",D410)),"SRG",ISNUMBER(SEARCH("Tlaxcala",D410)),"STX",ISNUMBER(SEARCH("Monterrey",D410)),"SMY",ISNUMBER(SEARCH("Querétaro",D410)),"SQ1",ISNUMBER(SEARCH("CDMX",D410)),"SCM",TRUE,""),"")</f>
        <v/>
      </c>
      <c r="U410" s="48" t="str" cm="1">
        <f t="array" ref="U410">_xlfn.LET(_xlpm.resultados,_xlfn.UNIQUE(_xlfn._xlws.FILTER(Tabla1[Proceso],(Tabla1[Metal Base]=O410)*(Tabla1[Etiquetas]=_xlfn.TEXTJOIN(" + ",TRUE,IF((TRIM(Upload!P410:S410)="")+(LOWER(TRIM(Upload!P410:S410))="(seleccione)"),"",PROPER(TRIM(Upload!P410:S410)))))*(Tabla1[Línea2]=IFERROR(VLOOKUP(Upload!N410&amp;"*",CAT_Procesos!D:D,1,FALSE),"")))),_xlpm.cantidad,ROWS(_xlpm.resultados),IF(ISERROR(_xlpm.cantidad),"Combinación no existente",IF(_xlpm.cantidad=1,INDEX(_xlpm.resultados,1),"(seleccione)")))</f>
        <v>Combinación no existente</v>
      </c>
      <c r="V410" s="55" t="s">
        <v>73</v>
      </c>
      <c r="W410" s="56" t="s">
        <v>73</v>
      </c>
      <c r="X410" s="57" t="str">
        <f t="shared" si="24"/>
        <v/>
      </c>
      <c r="Y410" s="58" t="s">
        <v>73</v>
      </c>
      <c r="Z410" s="57" t="str">
        <f t="shared" si="25"/>
        <v/>
      </c>
      <c r="AA410" s="58" t="s">
        <v>73</v>
      </c>
      <c r="AB410" s="57" t="str">
        <f t="shared" si="26"/>
        <v/>
      </c>
      <c r="AC410" s="58" t="s">
        <v>73</v>
      </c>
      <c r="AD410" s="57" t="str">
        <f t="shared" si="27"/>
        <v/>
      </c>
      <c r="AE410" s="59"/>
      <c r="AF410" s="59"/>
      <c r="AG410" s="59"/>
      <c r="AH410" s="59"/>
      <c r="AI410" s="59" t="s">
        <v>73</v>
      </c>
      <c r="AJ410" s="59"/>
      <c r="AK410" s="59" t="s">
        <v>73</v>
      </c>
      <c r="AL410" s="59"/>
      <c r="AM410" s="59" t="s">
        <v>73</v>
      </c>
      <c r="AN410" s="59"/>
      <c r="AO410" s="59" t="s">
        <v>73</v>
      </c>
      <c r="AP410" s="59"/>
      <c r="AQ410" s="59" t="s">
        <v>73</v>
      </c>
      <c r="AR410" s="59"/>
      <c r="AS410" s="59" t="s">
        <v>72</v>
      </c>
      <c r="AT410" s="59"/>
      <c r="AU410" s="59"/>
      <c r="AV410" s="59"/>
      <c r="AW410" s="59"/>
      <c r="AX410" s="59"/>
      <c r="AY410" s="60" t="str">
        <f>IF('Cálculo MP'!K420="","",'Cálculo MP'!K420)</f>
        <v/>
      </c>
      <c r="AZ410" s="60" t="str">
        <f>IF('Cálculo MP'!L420="","",'Cálculo MP'!L420)</f>
        <v/>
      </c>
      <c r="BA410" s="60" t="str">
        <f>IF('Cálculo MP'!M420="","",'Cálculo MP'!M420)</f>
        <v/>
      </c>
      <c r="BB410" s="60" t="str">
        <f>IF('Cálculo MP'!N420="","",'Cálculo MP'!N420)</f>
        <v/>
      </c>
      <c r="BC410" s="60" t="str">
        <f>IF('Cálculo MP'!O420="","",'Cálculo MP'!O420)</f>
        <v/>
      </c>
      <c r="BD410" s="60" t="str">
        <f>IF('Cálculo MP'!P420="","",'Cálculo MP'!P420)</f>
        <v/>
      </c>
      <c r="BE410" s="60" t="str">
        <f>IF('Cálculo MP'!Q420="","",'Cálculo MP'!Q420)</f>
        <v/>
      </c>
      <c r="BF410" s="60" t="str">
        <f>IF('Cálculo MP'!R420="","",'Cálculo MP'!R420)</f>
        <v/>
      </c>
      <c r="BG410" s="60" t="str">
        <f>IF('Cálculo MP'!S420="","",'Cálculo MP'!S420)</f>
        <v/>
      </c>
      <c r="BH410" s="59"/>
      <c r="BI410" s="59"/>
      <c r="BJ410" s="59"/>
      <c r="BK410" s="59"/>
      <c r="BL410" s="59"/>
      <c r="BM410" s="59"/>
      <c r="BN410" s="59"/>
      <c r="BO410" s="59"/>
    </row>
    <row r="411" spans="1:67" ht="19.5" customHeight="1" x14ac:dyDescent="0.2">
      <c r="A411" s="114" t="s">
        <v>1789</v>
      </c>
      <c r="B411" s="113" t="s">
        <v>1787</v>
      </c>
      <c r="C411" s="122"/>
      <c r="D411" s="48" t="s">
        <v>73</v>
      </c>
      <c r="E411" s="49"/>
      <c r="F411" s="50"/>
      <c r="G411" s="62"/>
      <c r="H411" s="48" t="s">
        <v>72</v>
      </c>
      <c r="I411" s="52">
        <v>1</v>
      </c>
      <c r="J411" s="52"/>
      <c r="K411" s="52" t="s">
        <v>73</v>
      </c>
      <c r="L411" s="52" t="s">
        <v>74</v>
      </c>
      <c r="M411" s="53" t="s">
        <v>917</v>
      </c>
      <c r="N411" s="58" t="s">
        <v>73</v>
      </c>
      <c r="O411" s="48" t="s">
        <v>72</v>
      </c>
      <c r="P411" s="48" t="s">
        <v>73</v>
      </c>
      <c r="Q411" s="54" t="s">
        <v>73</v>
      </c>
      <c r="R411" s="55" t="s">
        <v>73</v>
      </c>
      <c r="S411" s="48" t="s">
        <v>73</v>
      </c>
      <c r="T411" s="121" t="str" cm="1">
        <f t="array" ref="T411">IF(ISNUMBER(SEARCH("SCHNEIDER",D411)),_xlfn.IFS(ISNUMBER(SEARCH("2 Querétaro",D411)),"SQ2",ISNUMBER(SEARCH("Xicohténcatl",D411)),"SXC",ISNUMBER(SEARCH("Rojo Gómez",D411)),"SRG",ISNUMBER(SEARCH("Tlaxcala",D411)),"STX",ISNUMBER(SEARCH("Monterrey",D411)),"SMY",ISNUMBER(SEARCH("Querétaro",D411)),"SQ1",ISNUMBER(SEARCH("CDMX",D411)),"SCM",TRUE,""),"")</f>
        <v/>
      </c>
      <c r="U411" s="48" t="str" cm="1">
        <f t="array" ref="U411">_xlfn.LET(_xlpm.resultados,_xlfn.UNIQUE(_xlfn._xlws.FILTER(Tabla1[Proceso],(Tabla1[Metal Base]=O411)*(Tabla1[Etiquetas]=_xlfn.TEXTJOIN(" + ",TRUE,IF((TRIM(Upload!P411:S411)="")+(LOWER(TRIM(Upload!P411:S411))="(seleccione)"),"",PROPER(TRIM(Upload!P411:S411)))))*(Tabla1[Línea2]=IFERROR(VLOOKUP(Upload!N411&amp;"*",CAT_Procesos!D:D,1,FALSE),"")))),_xlpm.cantidad,ROWS(_xlpm.resultados),IF(ISERROR(_xlpm.cantidad),"Combinación no existente",IF(_xlpm.cantidad=1,INDEX(_xlpm.resultados,1),"(seleccione)")))</f>
        <v>Combinación no existente</v>
      </c>
      <c r="V411" s="55" t="s">
        <v>73</v>
      </c>
      <c r="W411" s="56" t="s">
        <v>73</v>
      </c>
      <c r="X411" s="57" t="str">
        <f t="shared" si="24"/>
        <v/>
      </c>
      <c r="Y411" s="58" t="s">
        <v>73</v>
      </c>
      <c r="Z411" s="57" t="str">
        <f t="shared" si="25"/>
        <v/>
      </c>
      <c r="AA411" s="58" t="s">
        <v>73</v>
      </c>
      <c r="AB411" s="57" t="str">
        <f t="shared" si="26"/>
        <v/>
      </c>
      <c r="AC411" s="58" t="s">
        <v>73</v>
      </c>
      <c r="AD411" s="57" t="str">
        <f t="shared" si="27"/>
        <v/>
      </c>
      <c r="AE411" s="59"/>
      <c r="AF411" s="59"/>
      <c r="AG411" s="59"/>
      <c r="AH411" s="59"/>
      <c r="AI411" s="59" t="s">
        <v>73</v>
      </c>
      <c r="AJ411" s="59"/>
      <c r="AK411" s="59" t="s">
        <v>73</v>
      </c>
      <c r="AL411" s="59"/>
      <c r="AM411" s="59" t="s">
        <v>73</v>
      </c>
      <c r="AN411" s="59"/>
      <c r="AO411" s="59" t="s">
        <v>73</v>
      </c>
      <c r="AP411" s="59"/>
      <c r="AQ411" s="59" t="s">
        <v>73</v>
      </c>
      <c r="AR411" s="59"/>
      <c r="AS411" s="59" t="s">
        <v>72</v>
      </c>
      <c r="AT411" s="59"/>
      <c r="AU411" s="59"/>
      <c r="AV411" s="59"/>
      <c r="AW411" s="59"/>
      <c r="AX411" s="59"/>
      <c r="AY411" s="60" t="str">
        <f>IF('Cálculo MP'!K421="","",'Cálculo MP'!K421)</f>
        <v/>
      </c>
      <c r="AZ411" s="60" t="str">
        <f>IF('Cálculo MP'!L421="","",'Cálculo MP'!L421)</f>
        <v/>
      </c>
      <c r="BA411" s="60" t="str">
        <f>IF('Cálculo MP'!M421="","",'Cálculo MP'!M421)</f>
        <v/>
      </c>
      <c r="BB411" s="60" t="str">
        <f>IF('Cálculo MP'!N421="","",'Cálculo MP'!N421)</f>
        <v/>
      </c>
      <c r="BC411" s="60" t="str">
        <f>IF('Cálculo MP'!O421="","",'Cálculo MP'!O421)</f>
        <v/>
      </c>
      <c r="BD411" s="60" t="str">
        <f>IF('Cálculo MP'!P421="","",'Cálculo MP'!P421)</f>
        <v/>
      </c>
      <c r="BE411" s="60" t="str">
        <f>IF('Cálculo MP'!Q421="","",'Cálculo MP'!Q421)</f>
        <v/>
      </c>
      <c r="BF411" s="60" t="str">
        <f>IF('Cálculo MP'!R421="","",'Cálculo MP'!R421)</f>
        <v/>
      </c>
      <c r="BG411" s="60" t="str">
        <f>IF('Cálculo MP'!S421="","",'Cálculo MP'!S421)</f>
        <v/>
      </c>
      <c r="BH411" s="59"/>
      <c r="BI411" s="59"/>
      <c r="BJ411" s="59"/>
      <c r="BK411" s="59"/>
      <c r="BL411" s="59"/>
      <c r="BM411" s="59"/>
      <c r="BN411" s="59"/>
      <c r="BO411" s="59"/>
    </row>
    <row r="412" spans="1:67" ht="19.5" customHeight="1" x14ac:dyDescent="0.2">
      <c r="A412" s="114" t="s">
        <v>1789</v>
      </c>
      <c r="B412" s="113" t="s">
        <v>1787</v>
      </c>
      <c r="C412" s="122"/>
      <c r="D412" s="48" t="s">
        <v>73</v>
      </c>
      <c r="E412" s="49"/>
      <c r="F412" s="50"/>
      <c r="G412" s="62"/>
      <c r="H412" s="48" t="s">
        <v>72</v>
      </c>
      <c r="I412" s="52">
        <v>1</v>
      </c>
      <c r="J412" s="52"/>
      <c r="K412" s="52" t="s">
        <v>73</v>
      </c>
      <c r="L412" s="52" t="s">
        <v>74</v>
      </c>
      <c r="M412" s="53" t="s">
        <v>917</v>
      </c>
      <c r="N412" s="58" t="s">
        <v>73</v>
      </c>
      <c r="O412" s="48" t="s">
        <v>72</v>
      </c>
      <c r="P412" s="48" t="s">
        <v>73</v>
      </c>
      <c r="Q412" s="54" t="s">
        <v>73</v>
      </c>
      <c r="R412" s="55" t="s">
        <v>73</v>
      </c>
      <c r="S412" s="48" t="s">
        <v>73</v>
      </c>
      <c r="T412" s="121" t="str" cm="1">
        <f t="array" ref="T412">IF(ISNUMBER(SEARCH("SCHNEIDER",D412)),_xlfn.IFS(ISNUMBER(SEARCH("2 Querétaro",D412)),"SQ2",ISNUMBER(SEARCH("Xicohténcatl",D412)),"SXC",ISNUMBER(SEARCH("Rojo Gómez",D412)),"SRG",ISNUMBER(SEARCH("Tlaxcala",D412)),"STX",ISNUMBER(SEARCH("Monterrey",D412)),"SMY",ISNUMBER(SEARCH("Querétaro",D412)),"SQ1",ISNUMBER(SEARCH("CDMX",D412)),"SCM",TRUE,""),"")</f>
        <v/>
      </c>
      <c r="U412" s="48" t="str" cm="1">
        <f t="array" ref="U412">_xlfn.LET(_xlpm.resultados,_xlfn.UNIQUE(_xlfn._xlws.FILTER(Tabla1[Proceso],(Tabla1[Metal Base]=O412)*(Tabla1[Etiquetas]=_xlfn.TEXTJOIN(" + ",TRUE,IF((TRIM(Upload!P412:S412)="")+(LOWER(TRIM(Upload!P412:S412))="(seleccione)"),"",PROPER(TRIM(Upload!P412:S412)))))*(Tabla1[Línea2]=IFERROR(VLOOKUP(Upload!N412&amp;"*",CAT_Procesos!D:D,1,FALSE),"")))),_xlpm.cantidad,ROWS(_xlpm.resultados),IF(ISERROR(_xlpm.cantidad),"Combinación no existente",IF(_xlpm.cantidad=1,INDEX(_xlpm.resultados,1),"(seleccione)")))</f>
        <v>Combinación no existente</v>
      </c>
      <c r="V412" s="55" t="s">
        <v>73</v>
      </c>
      <c r="W412" s="56" t="s">
        <v>73</v>
      </c>
      <c r="X412" s="57" t="str">
        <f t="shared" si="24"/>
        <v/>
      </c>
      <c r="Y412" s="58" t="s">
        <v>73</v>
      </c>
      <c r="Z412" s="57" t="str">
        <f t="shared" si="25"/>
        <v/>
      </c>
      <c r="AA412" s="58" t="s">
        <v>73</v>
      </c>
      <c r="AB412" s="57" t="str">
        <f t="shared" si="26"/>
        <v/>
      </c>
      <c r="AC412" s="58" t="s">
        <v>73</v>
      </c>
      <c r="AD412" s="57" t="str">
        <f t="shared" si="27"/>
        <v/>
      </c>
      <c r="AE412" s="59"/>
      <c r="AF412" s="59"/>
      <c r="AG412" s="59"/>
      <c r="AH412" s="59"/>
      <c r="AI412" s="59" t="s">
        <v>73</v>
      </c>
      <c r="AJ412" s="59"/>
      <c r="AK412" s="59" t="s">
        <v>73</v>
      </c>
      <c r="AL412" s="59"/>
      <c r="AM412" s="59" t="s">
        <v>73</v>
      </c>
      <c r="AN412" s="59"/>
      <c r="AO412" s="59" t="s">
        <v>73</v>
      </c>
      <c r="AP412" s="59"/>
      <c r="AQ412" s="59" t="s">
        <v>73</v>
      </c>
      <c r="AR412" s="59"/>
      <c r="AS412" s="59" t="s">
        <v>72</v>
      </c>
      <c r="AT412" s="59"/>
      <c r="AU412" s="59"/>
      <c r="AV412" s="59"/>
      <c r="AW412" s="59"/>
      <c r="AX412" s="59"/>
      <c r="AY412" s="60" t="str">
        <f>IF('Cálculo MP'!K422="","",'Cálculo MP'!K422)</f>
        <v/>
      </c>
      <c r="AZ412" s="60" t="str">
        <f>IF('Cálculo MP'!L422="","",'Cálculo MP'!L422)</f>
        <v/>
      </c>
      <c r="BA412" s="60" t="str">
        <f>IF('Cálculo MP'!M422="","",'Cálculo MP'!M422)</f>
        <v/>
      </c>
      <c r="BB412" s="60" t="str">
        <f>IF('Cálculo MP'!N422="","",'Cálculo MP'!N422)</f>
        <v/>
      </c>
      <c r="BC412" s="60" t="str">
        <f>IF('Cálculo MP'!O422="","",'Cálculo MP'!O422)</f>
        <v/>
      </c>
      <c r="BD412" s="60" t="str">
        <f>IF('Cálculo MP'!P422="","",'Cálculo MP'!P422)</f>
        <v/>
      </c>
      <c r="BE412" s="60" t="str">
        <f>IF('Cálculo MP'!Q422="","",'Cálculo MP'!Q422)</f>
        <v/>
      </c>
      <c r="BF412" s="60" t="str">
        <f>IF('Cálculo MP'!R422="","",'Cálculo MP'!R422)</f>
        <v/>
      </c>
      <c r="BG412" s="60" t="str">
        <f>IF('Cálculo MP'!S422="","",'Cálculo MP'!S422)</f>
        <v/>
      </c>
      <c r="BH412" s="59"/>
      <c r="BI412" s="59"/>
      <c r="BJ412" s="59"/>
      <c r="BK412" s="59"/>
      <c r="BL412" s="59"/>
      <c r="BM412" s="59"/>
      <c r="BN412" s="59"/>
      <c r="BO412" s="59"/>
    </row>
    <row r="413" spans="1:67" ht="19.5" customHeight="1" x14ac:dyDescent="0.2">
      <c r="A413" s="114" t="s">
        <v>1789</v>
      </c>
      <c r="B413" s="113" t="s">
        <v>1787</v>
      </c>
      <c r="C413" s="122"/>
      <c r="D413" s="48" t="s">
        <v>73</v>
      </c>
      <c r="E413" s="49"/>
      <c r="F413" s="50"/>
      <c r="G413" s="62"/>
      <c r="H413" s="48" t="s">
        <v>72</v>
      </c>
      <c r="I413" s="52">
        <v>1</v>
      </c>
      <c r="J413" s="52"/>
      <c r="K413" s="52" t="s">
        <v>73</v>
      </c>
      <c r="L413" s="52" t="s">
        <v>74</v>
      </c>
      <c r="M413" s="53" t="s">
        <v>917</v>
      </c>
      <c r="N413" s="58" t="s">
        <v>73</v>
      </c>
      <c r="O413" s="48" t="s">
        <v>72</v>
      </c>
      <c r="P413" s="48" t="s">
        <v>73</v>
      </c>
      <c r="Q413" s="54" t="s">
        <v>73</v>
      </c>
      <c r="R413" s="55" t="s">
        <v>73</v>
      </c>
      <c r="S413" s="48" t="s">
        <v>73</v>
      </c>
      <c r="T413" s="121" t="str" cm="1">
        <f t="array" ref="T413">IF(ISNUMBER(SEARCH("SCHNEIDER",D413)),_xlfn.IFS(ISNUMBER(SEARCH("2 Querétaro",D413)),"SQ2",ISNUMBER(SEARCH("Xicohténcatl",D413)),"SXC",ISNUMBER(SEARCH("Rojo Gómez",D413)),"SRG",ISNUMBER(SEARCH("Tlaxcala",D413)),"STX",ISNUMBER(SEARCH("Monterrey",D413)),"SMY",ISNUMBER(SEARCH("Querétaro",D413)),"SQ1",ISNUMBER(SEARCH("CDMX",D413)),"SCM",TRUE,""),"")</f>
        <v/>
      </c>
      <c r="U413" s="48" t="str" cm="1">
        <f t="array" ref="U413">_xlfn.LET(_xlpm.resultados,_xlfn.UNIQUE(_xlfn._xlws.FILTER(Tabla1[Proceso],(Tabla1[Metal Base]=O413)*(Tabla1[Etiquetas]=_xlfn.TEXTJOIN(" + ",TRUE,IF((TRIM(Upload!P413:S413)="")+(LOWER(TRIM(Upload!P413:S413))="(seleccione)"),"",PROPER(TRIM(Upload!P413:S413)))))*(Tabla1[Línea2]=IFERROR(VLOOKUP(Upload!N413&amp;"*",CAT_Procesos!D:D,1,FALSE),"")))),_xlpm.cantidad,ROWS(_xlpm.resultados),IF(ISERROR(_xlpm.cantidad),"Combinación no existente",IF(_xlpm.cantidad=1,INDEX(_xlpm.resultados,1),"(seleccione)")))</f>
        <v>Combinación no existente</v>
      </c>
      <c r="V413" s="55" t="s">
        <v>73</v>
      </c>
      <c r="W413" s="56" t="s">
        <v>73</v>
      </c>
      <c r="X413" s="57" t="str">
        <f t="shared" si="24"/>
        <v/>
      </c>
      <c r="Y413" s="58" t="s">
        <v>73</v>
      </c>
      <c r="Z413" s="57" t="str">
        <f t="shared" si="25"/>
        <v/>
      </c>
      <c r="AA413" s="58" t="s">
        <v>73</v>
      </c>
      <c r="AB413" s="57" t="str">
        <f t="shared" si="26"/>
        <v/>
      </c>
      <c r="AC413" s="58" t="s">
        <v>73</v>
      </c>
      <c r="AD413" s="57" t="str">
        <f t="shared" si="27"/>
        <v/>
      </c>
      <c r="AE413" s="59"/>
      <c r="AF413" s="59"/>
      <c r="AG413" s="59"/>
      <c r="AH413" s="59"/>
      <c r="AI413" s="59" t="s">
        <v>73</v>
      </c>
      <c r="AJ413" s="59"/>
      <c r="AK413" s="59" t="s">
        <v>73</v>
      </c>
      <c r="AL413" s="59"/>
      <c r="AM413" s="59" t="s">
        <v>73</v>
      </c>
      <c r="AN413" s="59"/>
      <c r="AO413" s="59" t="s">
        <v>73</v>
      </c>
      <c r="AP413" s="59"/>
      <c r="AQ413" s="59" t="s">
        <v>73</v>
      </c>
      <c r="AR413" s="59"/>
      <c r="AS413" s="59" t="s">
        <v>72</v>
      </c>
      <c r="AT413" s="59"/>
      <c r="AU413" s="59"/>
      <c r="AV413" s="59"/>
      <c r="AW413" s="59"/>
      <c r="AX413" s="59"/>
      <c r="AY413" s="60" t="str">
        <f>IF('Cálculo MP'!K423="","",'Cálculo MP'!K423)</f>
        <v/>
      </c>
      <c r="AZ413" s="60" t="str">
        <f>IF('Cálculo MP'!L423="","",'Cálculo MP'!L423)</f>
        <v/>
      </c>
      <c r="BA413" s="60" t="str">
        <f>IF('Cálculo MP'!M423="","",'Cálculo MP'!M423)</f>
        <v/>
      </c>
      <c r="BB413" s="60" t="str">
        <f>IF('Cálculo MP'!N423="","",'Cálculo MP'!N423)</f>
        <v/>
      </c>
      <c r="BC413" s="60" t="str">
        <f>IF('Cálculo MP'!O423="","",'Cálculo MP'!O423)</f>
        <v/>
      </c>
      <c r="BD413" s="60" t="str">
        <f>IF('Cálculo MP'!P423="","",'Cálculo MP'!P423)</f>
        <v/>
      </c>
      <c r="BE413" s="60" t="str">
        <f>IF('Cálculo MP'!Q423="","",'Cálculo MP'!Q423)</f>
        <v/>
      </c>
      <c r="BF413" s="60" t="str">
        <f>IF('Cálculo MP'!R423="","",'Cálculo MP'!R423)</f>
        <v/>
      </c>
      <c r="BG413" s="60" t="str">
        <f>IF('Cálculo MP'!S423="","",'Cálculo MP'!S423)</f>
        <v/>
      </c>
      <c r="BH413" s="59"/>
      <c r="BI413" s="59"/>
      <c r="BJ413" s="59"/>
      <c r="BK413" s="59"/>
      <c r="BL413" s="59"/>
      <c r="BM413" s="59"/>
      <c r="BN413" s="59"/>
      <c r="BO413" s="59"/>
    </row>
    <row r="414" spans="1:67" ht="19.5" customHeight="1" x14ac:dyDescent="0.2">
      <c r="A414" s="114" t="s">
        <v>1789</v>
      </c>
      <c r="B414" s="113" t="s">
        <v>1787</v>
      </c>
      <c r="C414" s="122"/>
      <c r="D414" s="48" t="s">
        <v>73</v>
      </c>
      <c r="E414" s="49"/>
      <c r="F414" s="50"/>
      <c r="G414" s="62"/>
      <c r="H414" s="48" t="s">
        <v>72</v>
      </c>
      <c r="I414" s="52">
        <v>1</v>
      </c>
      <c r="J414" s="52"/>
      <c r="K414" s="52" t="s">
        <v>73</v>
      </c>
      <c r="L414" s="52" t="s">
        <v>74</v>
      </c>
      <c r="M414" s="53" t="s">
        <v>917</v>
      </c>
      <c r="N414" s="58" t="s">
        <v>73</v>
      </c>
      <c r="O414" s="48" t="s">
        <v>72</v>
      </c>
      <c r="P414" s="48" t="s">
        <v>73</v>
      </c>
      <c r="Q414" s="54" t="s">
        <v>73</v>
      </c>
      <c r="R414" s="55" t="s">
        <v>73</v>
      </c>
      <c r="S414" s="48" t="s">
        <v>73</v>
      </c>
      <c r="T414" s="121" t="str" cm="1">
        <f t="array" ref="T414">IF(ISNUMBER(SEARCH("SCHNEIDER",D414)),_xlfn.IFS(ISNUMBER(SEARCH("2 Querétaro",D414)),"SQ2",ISNUMBER(SEARCH("Xicohténcatl",D414)),"SXC",ISNUMBER(SEARCH("Rojo Gómez",D414)),"SRG",ISNUMBER(SEARCH("Tlaxcala",D414)),"STX",ISNUMBER(SEARCH("Monterrey",D414)),"SMY",ISNUMBER(SEARCH("Querétaro",D414)),"SQ1",ISNUMBER(SEARCH("CDMX",D414)),"SCM",TRUE,""),"")</f>
        <v/>
      </c>
      <c r="U414" s="48" t="str" cm="1">
        <f t="array" ref="U414">_xlfn.LET(_xlpm.resultados,_xlfn.UNIQUE(_xlfn._xlws.FILTER(Tabla1[Proceso],(Tabla1[Metal Base]=O414)*(Tabla1[Etiquetas]=_xlfn.TEXTJOIN(" + ",TRUE,IF((TRIM(Upload!P414:S414)="")+(LOWER(TRIM(Upload!P414:S414))="(seleccione)"),"",PROPER(TRIM(Upload!P414:S414)))))*(Tabla1[Línea2]=IFERROR(VLOOKUP(Upload!N414&amp;"*",CAT_Procesos!D:D,1,FALSE),"")))),_xlpm.cantidad,ROWS(_xlpm.resultados),IF(ISERROR(_xlpm.cantidad),"Combinación no existente",IF(_xlpm.cantidad=1,INDEX(_xlpm.resultados,1),"(seleccione)")))</f>
        <v>Combinación no existente</v>
      </c>
      <c r="V414" s="55" t="s">
        <v>73</v>
      </c>
      <c r="W414" s="56" t="s">
        <v>73</v>
      </c>
      <c r="X414" s="57" t="str">
        <f t="shared" si="24"/>
        <v/>
      </c>
      <c r="Y414" s="58" t="s">
        <v>73</v>
      </c>
      <c r="Z414" s="57" t="str">
        <f t="shared" si="25"/>
        <v/>
      </c>
      <c r="AA414" s="58" t="s">
        <v>73</v>
      </c>
      <c r="AB414" s="57" t="str">
        <f t="shared" si="26"/>
        <v/>
      </c>
      <c r="AC414" s="58" t="s">
        <v>73</v>
      </c>
      <c r="AD414" s="57" t="str">
        <f t="shared" si="27"/>
        <v/>
      </c>
      <c r="AE414" s="59"/>
      <c r="AF414" s="59"/>
      <c r="AG414" s="59"/>
      <c r="AH414" s="59"/>
      <c r="AI414" s="59" t="s">
        <v>73</v>
      </c>
      <c r="AJ414" s="59"/>
      <c r="AK414" s="59" t="s">
        <v>73</v>
      </c>
      <c r="AL414" s="59"/>
      <c r="AM414" s="59" t="s">
        <v>73</v>
      </c>
      <c r="AN414" s="59"/>
      <c r="AO414" s="59" t="s">
        <v>73</v>
      </c>
      <c r="AP414" s="59"/>
      <c r="AQ414" s="59" t="s">
        <v>73</v>
      </c>
      <c r="AR414" s="59"/>
      <c r="AS414" s="59" t="s">
        <v>72</v>
      </c>
      <c r="AT414" s="59"/>
      <c r="AU414" s="59"/>
      <c r="AV414" s="59"/>
      <c r="AW414" s="59"/>
      <c r="AX414" s="59"/>
      <c r="AY414" s="60" t="str">
        <f>IF('Cálculo MP'!K424="","",'Cálculo MP'!K424)</f>
        <v/>
      </c>
      <c r="AZ414" s="60" t="str">
        <f>IF('Cálculo MP'!L424="","",'Cálculo MP'!L424)</f>
        <v/>
      </c>
      <c r="BA414" s="60" t="str">
        <f>IF('Cálculo MP'!M424="","",'Cálculo MP'!M424)</f>
        <v/>
      </c>
      <c r="BB414" s="60" t="str">
        <f>IF('Cálculo MP'!N424="","",'Cálculo MP'!N424)</f>
        <v/>
      </c>
      <c r="BC414" s="60" t="str">
        <f>IF('Cálculo MP'!O424="","",'Cálculo MP'!O424)</f>
        <v/>
      </c>
      <c r="BD414" s="60" t="str">
        <f>IF('Cálculo MP'!P424="","",'Cálculo MP'!P424)</f>
        <v/>
      </c>
      <c r="BE414" s="60" t="str">
        <f>IF('Cálculo MP'!Q424="","",'Cálculo MP'!Q424)</f>
        <v/>
      </c>
      <c r="BF414" s="60" t="str">
        <f>IF('Cálculo MP'!R424="","",'Cálculo MP'!R424)</f>
        <v/>
      </c>
      <c r="BG414" s="60" t="str">
        <f>IF('Cálculo MP'!S424="","",'Cálculo MP'!S424)</f>
        <v/>
      </c>
      <c r="BH414" s="59"/>
      <c r="BI414" s="59"/>
      <c r="BJ414" s="59"/>
      <c r="BK414" s="59"/>
      <c r="BL414" s="59"/>
      <c r="BM414" s="59"/>
      <c r="BN414" s="59"/>
      <c r="BO414" s="59"/>
    </row>
    <row r="415" spans="1:67" ht="19.5" customHeight="1" x14ac:dyDescent="0.2">
      <c r="A415" s="114" t="s">
        <v>1789</v>
      </c>
      <c r="B415" s="113" t="s">
        <v>1787</v>
      </c>
      <c r="C415" s="122"/>
      <c r="D415" s="48" t="s">
        <v>73</v>
      </c>
      <c r="E415" s="49"/>
      <c r="F415" s="50"/>
      <c r="G415" s="62"/>
      <c r="H415" s="48" t="s">
        <v>72</v>
      </c>
      <c r="I415" s="52">
        <v>1</v>
      </c>
      <c r="J415" s="52"/>
      <c r="K415" s="52" t="s">
        <v>73</v>
      </c>
      <c r="L415" s="52" t="s">
        <v>74</v>
      </c>
      <c r="M415" s="53" t="s">
        <v>917</v>
      </c>
      <c r="N415" s="58" t="s">
        <v>73</v>
      </c>
      <c r="O415" s="48" t="s">
        <v>72</v>
      </c>
      <c r="P415" s="48" t="s">
        <v>73</v>
      </c>
      <c r="Q415" s="54" t="s">
        <v>73</v>
      </c>
      <c r="R415" s="55" t="s">
        <v>73</v>
      </c>
      <c r="S415" s="48" t="s">
        <v>73</v>
      </c>
      <c r="T415" s="121" t="str" cm="1">
        <f t="array" ref="T415">IF(ISNUMBER(SEARCH("SCHNEIDER",D415)),_xlfn.IFS(ISNUMBER(SEARCH("2 Querétaro",D415)),"SQ2",ISNUMBER(SEARCH("Xicohténcatl",D415)),"SXC",ISNUMBER(SEARCH("Rojo Gómez",D415)),"SRG",ISNUMBER(SEARCH("Tlaxcala",D415)),"STX",ISNUMBER(SEARCH("Monterrey",D415)),"SMY",ISNUMBER(SEARCH("Querétaro",D415)),"SQ1",ISNUMBER(SEARCH("CDMX",D415)),"SCM",TRUE,""),"")</f>
        <v/>
      </c>
      <c r="U415" s="48" t="str" cm="1">
        <f t="array" ref="U415">_xlfn.LET(_xlpm.resultados,_xlfn.UNIQUE(_xlfn._xlws.FILTER(Tabla1[Proceso],(Tabla1[Metal Base]=O415)*(Tabla1[Etiquetas]=_xlfn.TEXTJOIN(" + ",TRUE,IF((TRIM(Upload!P415:S415)="")+(LOWER(TRIM(Upload!P415:S415))="(seleccione)"),"",PROPER(TRIM(Upload!P415:S415)))))*(Tabla1[Línea2]=IFERROR(VLOOKUP(Upload!N415&amp;"*",CAT_Procesos!D:D,1,FALSE),"")))),_xlpm.cantidad,ROWS(_xlpm.resultados),IF(ISERROR(_xlpm.cantidad),"Combinación no existente",IF(_xlpm.cantidad=1,INDEX(_xlpm.resultados,1),"(seleccione)")))</f>
        <v>Combinación no existente</v>
      </c>
      <c r="V415" s="55" t="s">
        <v>73</v>
      </c>
      <c r="W415" s="56" t="s">
        <v>73</v>
      </c>
      <c r="X415" s="57" t="str">
        <f t="shared" si="24"/>
        <v/>
      </c>
      <c r="Y415" s="58" t="s">
        <v>73</v>
      </c>
      <c r="Z415" s="57" t="str">
        <f t="shared" si="25"/>
        <v/>
      </c>
      <c r="AA415" s="58" t="s">
        <v>73</v>
      </c>
      <c r="AB415" s="57" t="str">
        <f t="shared" si="26"/>
        <v/>
      </c>
      <c r="AC415" s="58" t="s">
        <v>73</v>
      </c>
      <c r="AD415" s="57" t="str">
        <f t="shared" si="27"/>
        <v/>
      </c>
      <c r="AE415" s="59"/>
      <c r="AF415" s="59"/>
      <c r="AG415" s="59"/>
      <c r="AH415" s="59"/>
      <c r="AI415" s="59" t="s">
        <v>73</v>
      </c>
      <c r="AJ415" s="59"/>
      <c r="AK415" s="59" t="s">
        <v>73</v>
      </c>
      <c r="AL415" s="59"/>
      <c r="AM415" s="59" t="s">
        <v>73</v>
      </c>
      <c r="AN415" s="59"/>
      <c r="AO415" s="59" t="s">
        <v>73</v>
      </c>
      <c r="AP415" s="59"/>
      <c r="AQ415" s="59" t="s">
        <v>73</v>
      </c>
      <c r="AR415" s="59"/>
      <c r="AS415" s="59" t="s">
        <v>72</v>
      </c>
      <c r="AT415" s="59"/>
      <c r="AU415" s="59"/>
      <c r="AV415" s="59"/>
      <c r="AW415" s="59"/>
      <c r="AX415" s="59"/>
      <c r="AY415" s="60" t="str">
        <f>IF('Cálculo MP'!K425="","",'Cálculo MP'!K425)</f>
        <v/>
      </c>
      <c r="AZ415" s="60" t="str">
        <f>IF('Cálculo MP'!L425="","",'Cálculo MP'!L425)</f>
        <v/>
      </c>
      <c r="BA415" s="60" t="str">
        <f>IF('Cálculo MP'!M425="","",'Cálculo MP'!M425)</f>
        <v/>
      </c>
      <c r="BB415" s="60" t="str">
        <f>IF('Cálculo MP'!N425="","",'Cálculo MP'!N425)</f>
        <v/>
      </c>
      <c r="BC415" s="60" t="str">
        <f>IF('Cálculo MP'!O425="","",'Cálculo MP'!O425)</f>
        <v/>
      </c>
      <c r="BD415" s="60" t="str">
        <f>IF('Cálculo MP'!P425="","",'Cálculo MP'!P425)</f>
        <v/>
      </c>
      <c r="BE415" s="60" t="str">
        <f>IF('Cálculo MP'!Q425="","",'Cálculo MP'!Q425)</f>
        <v/>
      </c>
      <c r="BF415" s="60" t="str">
        <f>IF('Cálculo MP'!R425="","",'Cálculo MP'!R425)</f>
        <v/>
      </c>
      <c r="BG415" s="60" t="str">
        <f>IF('Cálculo MP'!S425="","",'Cálculo MP'!S425)</f>
        <v/>
      </c>
      <c r="BH415" s="59"/>
      <c r="BI415" s="59"/>
      <c r="BJ415" s="59"/>
      <c r="BK415" s="59"/>
      <c r="BL415" s="59"/>
      <c r="BM415" s="59"/>
      <c r="BN415" s="59"/>
      <c r="BO415" s="59"/>
    </row>
    <row r="416" spans="1:67" ht="19.5" customHeight="1" x14ac:dyDescent="0.2">
      <c r="A416" s="114" t="s">
        <v>1789</v>
      </c>
      <c r="B416" s="113" t="s">
        <v>1787</v>
      </c>
      <c r="C416" s="122"/>
      <c r="D416" s="48" t="s">
        <v>73</v>
      </c>
      <c r="E416" s="49"/>
      <c r="F416" s="50"/>
      <c r="G416" s="62"/>
      <c r="H416" s="48" t="s">
        <v>72</v>
      </c>
      <c r="I416" s="52">
        <v>1</v>
      </c>
      <c r="J416" s="52"/>
      <c r="K416" s="52" t="s">
        <v>73</v>
      </c>
      <c r="L416" s="52" t="s">
        <v>74</v>
      </c>
      <c r="M416" s="53" t="s">
        <v>917</v>
      </c>
      <c r="N416" s="58" t="s">
        <v>73</v>
      </c>
      <c r="O416" s="48" t="s">
        <v>72</v>
      </c>
      <c r="P416" s="48" t="s">
        <v>73</v>
      </c>
      <c r="Q416" s="54" t="s">
        <v>73</v>
      </c>
      <c r="R416" s="55" t="s">
        <v>73</v>
      </c>
      <c r="S416" s="48" t="s">
        <v>73</v>
      </c>
      <c r="T416" s="121" t="str" cm="1">
        <f t="array" ref="T416">IF(ISNUMBER(SEARCH("SCHNEIDER",D416)),_xlfn.IFS(ISNUMBER(SEARCH("2 Querétaro",D416)),"SQ2",ISNUMBER(SEARCH("Xicohténcatl",D416)),"SXC",ISNUMBER(SEARCH("Rojo Gómez",D416)),"SRG",ISNUMBER(SEARCH("Tlaxcala",D416)),"STX",ISNUMBER(SEARCH("Monterrey",D416)),"SMY",ISNUMBER(SEARCH("Querétaro",D416)),"SQ1",ISNUMBER(SEARCH("CDMX",D416)),"SCM",TRUE,""),"")</f>
        <v/>
      </c>
      <c r="U416" s="48" t="str" cm="1">
        <f t="array" ref="U416">_xlfn.LET(_xlpm.resultados,_xlfn.UNIQUE(_xlfn._xlws.FILTER(Tabla1[Proceso],(Tabla1[Metal Base]=O416)*(Tabla1[Etiquetas]=_xlfn.TEXTJOIN(" + ",TRUE,IF((TRIM(Upload!P416:S416)="")+(LOWER(TRIM(Upload!P416:S416))="(seleccione)"),"",PROPER(TRIM(Upload!P416:S416)))))*(Tabla1[Línea2]=IFERROR(VLOOKUP(Upload!N416&amp;"*",CAT_Procesos!D:D,1,FALSE),"")))),_xlpm.cantidad,ROWS(_xlpm.resultados),IF(ISERROR(_xlpm.cantidad),"Combinación no existente",IF(_xlpm.cantidad=1,INDEX(_xlpm.resultados,1),"(seleccione)")))</f>
        <v>Combinación no existente</v>
      </c>
      <c r="V416" s="55" t="s">
        <v>73</v>
      </c>
      <c r="W416" s="56" t="s">
        <v>73</v>
      </c>
      <c r="X416" s="57" t="str">
        <f t="shared" si="24"/>
        <v/>
      </c>
      <c r="Y416" s="58" t="s">
        <v>73</v>
      </c>
      <c r="Z416" s="57" t="str">
        <f t="shared" si="25"/>
        <v/>
      </c>
      <c r="AA416" s="58" t="s">
        <v>73</v>
      </c>
      <c r="AB416" s="57" t="str">
        <f t="shared" si="26"/>
        <v/>
      </c>
      <c r="AC416" s="58" t="s">
        <v>73</v>
      </c>
      <c r="AD416" s="57" t="str">
        <f t="shared" si="27"/>
        <v/>
      </c>
      <c r="AE416" s="59"/>
      <c r="AF416" s="59"/>
      <c r="AG416" s="59"/>
      <c r="AH416" s="59"/>
      <c r="AI416" s="59" t="s">
        <v>73</v>
      </c>
      <c r="AJ416" s="59"/>
      <c r="AK416" s="59" t="s">
        <v>73</v>
      </c>
      <c r="AL416" s="59"/>
      <c r="AM416" s="59" t="s">
        <v>73</v>
      </c>
      <c r="AN416" s="59"/>
      <c r="AO416" s="59" t="s">
        <v>73</v>
      </c>
      <c r="AP416" s="59"/>
      <c r="AQ416" s="59" t="s">
        <v>73</v>
      </c>
      <c r="AR416" s="59"/>
      <c r="AS416" s="59" t="s">
        <v>72</v>
      </c>
      <c r="AT416" s="59"/>
      <c r="AU416" s="59"/>
      <c r="AV416" s="59"/>
      <c r="AW416" s="59"/>
      <c r="AX416" s="59"/>
      <c r="AY416" s="60" t="str">
        <f>IF('Cálculo MP'!K426="","",'Cálculo MP'!K426)</f>
        <v/>
      </c>
      <c r="AZ416" s="60" t="str">
        <f>IF('Cálculo MP'!L426="","",'Cálculo MP'!L426)</f>
        <v/>
      </c>
      <c r="BA416" s="60" t="str">
        <f>IF('Cálculo MP'!M426="","",'Cálculo MP'!M426)</f>
        <v/>
      </c>
      <c r="BB416" s="60" t="str">
        <f>IF('Cálculo MP'!N426="","",'Cálculo MP'!N426)</f>
        <v/>
      </c>
      <c r="BC416" s="60" t="str">
        <f>IF('Cálculo MP'!O426="","",'Cálculo MP'!O426)</f>
        <v/>
      </c>
      <c r="BD416" s="60" t="str">
        <f>IF('Cálculo MP'!P426="","",'Cálculo MP'!P426)</f>
        <v/>
      </c>
      <c r="BE416" s="60" t="str">
        <f>IF('Cálculo MP'!Q426="","",'Cálculo MP'!Q426)</f>
        <v/>
      </c>
      <c r="BF416" s="60" t="str">
        <f>IF('Cálculo MP'!R426="","",'Cálculo MP'!R426)</f>
        <v/>
      </c>
      <c r="BG416" s="60" t="str">
        <f>IF('Cálculo MP'!S426="","",'Cálculo MP'!S426)</f>
        <v/>
      </c>
      <c r="BH416" s="59"/>
      <c r="BI416" s="59"/>
      <c r="BJ416" s="59"/>
      <c r="BK416" s="59"/>
      <c r="BL416" s="59"/>
      <c r="BM416" s="59"/>
      <c r="BN416" s="59"/>
      <c r="BO416" s="59"/>
    </row>
    <row r="417" spans="1:67" ht="19.5" customHeight="1" x14ac:dyDescent="0.2">
      <c r="A417" s="114" t="s">
        <v>1789</v>
      </c>
      <c r="B417" s="113" t="s">
        <v>1787</v>
      </c>
      <c r="C417" s="122"/>
      <c r="D417" s="48" t="s">
        <v>73</v>
      </c>
      <c r="E417" s="49"/>
      <c r="F417" s="50"/>
      <c r="G417" s="62"/>
      <c r="H417" s="48" t="s">
        <v>72</v>
      </c>
      <c r="I417" s="52">
        <v>1</v>
      </c>
      <c r="J417" s="52"/>
      <c r="K417" s="52" t="s">
        <v>73</v>
      </c>
      <c r="L417" s="52" t="s">
        <v>74</v>
      </c>
      <c r="M417" s="53" t="s">
        <v>917</v>
      </c>
      <c r="N417" s="58" t="s">
        <v>73</v>
      </c>
      <c r="O417" s="48" t="s">
        <v>72</v>
      </c>
      <c r="P417" s="48" t="s">
        <v>73</v>
      </c>
      <c r="Q417" s="54" t="s">
        <v>73</v>
      </c>
      <c r="R417" s="55" t="s">
        <v>73</v>
      </c>
      <c r="S417" s="48" t="s">
        <v>73</v>
      </c>
      <c r="T417" s="121" t="str" cm="1">
        <f t="array" ref="T417">IF(ISNUMBER(SEARCH("SCHNEIDER",D417)),_xlfn.IFS(ISNUMBER(SEARCH("2 Querétaro",D417)),"SQ2",ISNUMBER(SEARCH("Xicohténcatl",D417)),"SXC",ISNUMBER(SEARCH("Rojo Gómez",D417)),"SRG",ISNUMBER(SEARCH("Tlaxcala",D417)),"STX",ISNUMBER(SEARCH("Monterrey",D417)),"SMY",ISNUMBER(SEARCH("Querétaro",D417)),"SQ1",ISNUMBER(SEARCH("CDMX",D417)),"SCM",TRUE,""),"")</f>
        <v/>
      </c>
      <c r="U417" s="48" t="str" cm="1">
        <f t="array" ref="U417">_xlfn.LET(_xlpm.resultados,_xlfn.UNIQUE(_xlfn._xlws.FILTER(Tabla1[Proceso],(Tabla1[Metal Base]=O417)*(Tabla1[Etiquetas]=_xlfn.TEXTJOIN(" + ",TRUE,IF((TRIM(Upload!P417:S417)="")+(LOWER(TRIM(Upload!P417:S417))="(seleccione)"),"",PROPER(TRIM(Upload!P417:S417)))))*(Tabla1[Línea2]=IFERROR(VLOOKUP(Upload!N417&amp;"*",CAT_Procesos!D:D,1,FALSE),"")))),_xlpm.cantidad,ROWS(_xlpm.resultados),IF(ISERROR(_xlpm.cantidad),"Combinación no existente",IF(_xlpm.cantidad=1,INDEX(_xlpm.resultados,1),"(seleccione)")))</f>
        <v>Combinación no existente</v>
      </c>
      <c r="V417" s="55" t="s">
        <v>73</v>
      </c>
      <c r="W417" s="56" t="s">
        <v>73</v>
      </c>
      <c r="X417" s="57" t="str">
        <f t="shared" si="24"/>
        <v/>
      </c>
      <c r="Y417" s="58" t="s">
        <v>73</v>
      </c>
      <c r="Z417" s="57" t="str">
        <f t="shared" si="25"/>
        <v/>
      </c>
      <c r="AA417" s="58" t="s">
        <v>73</v>
      </c>
      <c r="AB417" s="57" t="str">
        <f t="shared" si="26"/>
        <v/>
      </c>
      <c r="AC417" s="58" t="s">
        <v>73</v>
      </c>
      <c r="AD417" s="57" t="str">
        <f t="shared" si="27"/>
        <v/>
      </c>
      <c r="AE417" s="59"/>
      <c r="AF417" s="59"/>
      <c r="AG417" s="59"/>
      <c r="AH417" s="59"/>
      <c r="AI417" s="59" t="s">
        <v>73</v>
      </c>
      <c r="AJ417" s="59"/>
      <c r="AK417" s="59" t="s">
        <v>73</v>
      </c>
      <c r="AL417" s="59"/>
      <c r="AM417" s="59" t="s">
        <v>73</v>
      </c>
      <c r="AN417" s="59"/>
      <c r="AO417" s="59" t="s">
        <v>73</v>
      </c>
      <c r="AP417" s="59"/>
      <c r="AQ417" s="59" t="s">
        <v>73</v>
      </c>
      <c r="AR417" s="59"/>
      <c r="AS417" s="59" t="s">
        <v>72</v>
      </c>
      <c r="AT417" s="59"/>
      <c r="AU417" s="59"/>
      <c r="AV417" s="59"/>
      <c r="AW417" s="59"/>
      <c r="AX417" s="59"/>
      <c r="AY417" s="60" t="str">
        <f>IF('Cálculo MP'!K427="","",'Cálculo MP'!K427)</f>
        <v/>
      </c>
      <c r="AZ417" s="60" t="str">
        <f>IF('Cálculo MP'!L427="","",'Cálculo MP'!L427)</f>
        <v/>
      </c>
      <c r="BA417" s="60" t="str">
        <f>IF('Cálculo MP'!M427="","",'Cálculo MP'!M427)</f>
        <v/>
      </c>
      <c r="BB417" s="60" t="str">
        <f>IF('Cálculo MP'!N427="","",'Cálculo MP'!N427)</f>
        <v/>
      </c>
      <c r="BC417" s="60" t="str">
        <f>IF('Cálculo MP'!O427="","",'Cálculo MP'!O427)</f>
        <v/>
      </c>
      <c r="BD417" s="60" t="str">
        <f>IF('Cálculo MP'!P427="","",'Cálculo MP'!P427)</f>
        <v/>
      </c>
      <c r="BE417" s="60" t="str">
        <f>IF('Cálculo MP'!Q427="","",'Cálculo MP'!Q427)</f>
        <v/>
      </c>
      <c r="BF417" s="60" t="str">
        <f>IF('Cálculo MP'!R427="","",'Cálculo MP'!R427)</f>
        <v/>
      </c>
      <c r="BG417" s="60" t="str">
        <f>IF('Cálculo MP'!S427="","",'Cálculo MP'!S427)</f>
        <v/>
      </c>
      <c r="BH417" s="59"/>
      <c r="BI417" s="59"/>
      <c r="BJ417" s="59"/>
      <c r="BK417" s="59"/>
      <c r="BL417" s="59"/>
      <c r="BM417" s="59"/>
      <c r="BN417" s="59"/>
      <c r="BO417" s="59"/>
    </row>
    <row r="418" spans="1:67" ht="19.5" customHeight="1" x14ac:dyDescent="0.2">
      <c r="A418" s="114" t="s">
        <v>1789</v>
      </c>
      <c r="B418" s="113" t="s">
        <v>1787</v>
      </c>
      <c r="C418" s="122"/>
      <c r="D418" s="48" t="s">
        <v>73</v>
      </c>
      <c r="E418" s="49"/>
      <c r="F418" s="50"/>
      <c r="G418" s="62"/>
      <c r="H418" s="48" t="s">
        <v>72</v>
      </c>
      <c r="I418" s="52">
        <v>1</v>
      </c>
      <c r="J418" s="52"/>
      <c r="K418" s="52" t="s">
        <v>73</v>
      </c>
      <c r="L418" s="52" t="s">
        <v>74</v>
      </c>
      <c r="M418" s="53" t="s">
        <v>917</v>
      </c>
      <c r="N418" s="58" t="s">
        <v>73</v>
      </c>
      <c r="O418" s="48" t="s">
        <v>72</v>
      </c>
      <c r="P418" s="48" t="s">
        <v>73</v>
      </c>
      <c r="Q418" s="54" t="s">
        <v>73</v>
      </c>
      <c r="R418" s="55" t="s">
        <v>73</v>
      </c>
      <c r="S418" s="48" t="s">
        <v>73</v>
      </c>
      <c r="T418" s="121" t="str" cm="1">
        <f t="array" ref="T418">IF(ISNUMBER(SEARCH("SCHNEIDER",D418)),_xlfn.IFS(ISNUMBER(SEARCH("2 Querétaro",D418)),"SQ2",ISNUMBER(SEARCH("Xicohténcatl",D418)),"SXC",ISNUMBER(SEARCH("Rojo Gómez",D418)),"SRG",ISNUMBER(SEARCH("Tlaxcala",D418)),"STX",ISNUMBER(SEARCH("Monterrey",D418)),"SMY",ISNUMBER(SEARCH("Querétaro",D418)),"SQ1",ISNUMBER(SEARCH("CDMX",D418)),"SCM",TRUE,""),"")</f>
        <v/>
      </c>
      <c r="U418" s="48" t="str" cm="1">
        <f t="array" ref="U418">_xlfn.LET(_xlpm.resultados,_xlfn.UNIQUE(_xlfn._xlws.FILTER(Tabla1[Proceso],(Tabla1[Metal Base]=O418)*(Tabla1[Etiquetas]=_xlfn.TEXTJOIN(" + ",TRUE,IF((TRIM(Upload!P418:S418)="")+(LOWER(TRIM(Upload!P418:S418))="(seleccione)"),"",PROPER(TRIM(Upload!P418:S418)))))*(Tabla1[Línea2]=IFERROR(VLOOKUP(Upload!N418&amp;"*",CAT_Procesos!D:D,1,FALSE),"")))),_xlpm.cantidad,ROWS(_xlpm.resultados),IF(ISERROR(_xlpm.cantidad),"Combinación no existente",IF(_xlpm.cantidad=1,INDEX(_xlpm.resultados,1),"(seleccione)")))</f>
        <v>Combinación no existente</v>
      </c>
      <c r="V418" s="55" t="s">
        <v>73</v>
      </c>
      <c r="W418" s="56" t="s">
        <v>73</v>
      </c>
      <c r="X418" s="57" t="str">
        <f t="shared" si="24"/>
        <v/>
      </c>
      <c r="Y418" s="58" t="s">
        <v>73</v>
      </c>
      <c r="Z418" s="57" t="str">
        <f t="shared" si="25"/>
        <v/>
      </c>
      <c r="AA418" s="58" t="s">
        <v>73</v>
      </c>
      <c r="AB418" s="57" t="str">
        <f t="shared" si="26"/>
        <v/>
      </c>
      <c r="AC418" s="58" t="s">
        <v>73</v>
      </c>
      <c r="AD418" s="57" t="str">
        <f t="shared" si="27"/>
        <v/>
      </c>
      <c r="AE418" s="59"/>
      <c r="AF418" s="59"/>
      <c r="AG418" s="59"/>
      <c r="AH418" s="59"/>
      <c r="AI418" s="59" t="s">
        <v>73</v>
      </c>
      <c r="AJ418" s="59"/>
      <c r="AK418" s="59" t="s">
        <v>73</v>
      </c>
      <c r="AL418" s="59"/>
      <c r="AM418" s="59" t="s">
        <v>73</v>
      </c>
      <c r="AN418" s="59"/>
      <c r="AO418" s="59" t="s">
        <v>73</v>
      </c>
      <c r="AP418" s="59"/>
      <c r="AQ418" s="59" t="s">
        <v>73</v>
      </c>
      <c r="AR418" s="59"/>
      <c r="AS418" s="59" t="s">
        <v>72</v>
      </c>
      <c r="AT418" s="59"/>
      <c r="AU418" s="59"/>
      <c r="AV418" s="59"/>
      <c r="AW418" s="59"/>
      <c r="AX418" s="59"/>
      <c r="AY418" s="60" t="str">
        <f>IF('Cálculo MP'!K428="","",'Cálculo MP'!K428)</f>
        <v/>
      </c>
      <c r="AZ418" s="60" t="str">
        <f>IF('Cálculo MP'!L428="","",'Cálculo MP'!L428)</f>
        <v/>
      </c>
      <c r="BA418" s="60" t="str">
        <f>IF('Cálculo MP'!M428="","",'Cálculo MP'!M428)</f>
        <v/>
      </c>
      <c r="BB418" s="60" t="str">
        <f>IF('Cálculo MP'!N428="","",'Cálculo MP'!N428)</f>
        <v/>
      </c>
      <c r="BC418" s="60" t="str">
        <f>IF('Cálculo MP'!O428="","",'Cálculo MP'!O428)</f>
        <v/>
      </c>
      <c r="BD418" s="60" t="str">
        <f>IF('Cálculo MP'!P428="","",'Cálculo MP'!P428)</f>
        <v/>
      </c>
      <c r="BE418" s="60" t="str">
        <f>IF('Cálculo MP'!Q428="","",'Cálculo MP'!Q428)</f>
        <v/>
      </c>
      <c r="BF418" s="60" t="str">
        <f>IF('Cálculo MP'!R428="","",'Cálculo MP'!R428)</f>
        <v/>
      </c>
      <c r="BG418" s="60" t="str">
        <f>IF('Cálculo MP'!S428="","",'Cálculo MP'!S428)</f>
        <v/>
      </c>
      <c r="BH418" s="59"/>
      <c r="BI418" s="59"/>
      <c r="BJ418" s="59"/>
      <c r="BK418" s="59"/>
      <c r="BL418" s="59"/>
      <c r="BM418" s="59"/>
      <c r="BN418" s="59"/>
      <c r="BO418" s="59"/>
    </row>
    <row r="419" spans="1:67" ht="19.5" customHeight="1" x14ac:dyDescent="0.2">
      <c r="A419" s="114" t="s">
        <v>1789</v>
      </c>
      <c r="B419" s="113" t="s">
        <v>1787</v>
      </c>
      <c r="C419" s="122"/>
      <c r="D419" s="48" t="s">
        <v>73</v>
      </c>
      <c r="E419" s="49"/>
      <c r="F419" s="50"/>
      <c r="G419" s="62"/>
      <c r="H419" s="48" t="s">
        <v>72</v>
      </c>
      <c r="I419" s="52">
        <v>1</v>
      </c>
      <c r="J419" s="52"/>
      <c r="K419" s="52" t="s">
        <v>73</v>
      </c>
      <c r="L419" s="52" t="s">
        <v>74</v>
      </c>
      <c r="M419" s="53" t="s">
        <v>917</v>
      </c>
      <c r="N419" s="58" t="s">
        <v>73</v>
      </c>
      <c r="O419" s="48" t="s">
        <v>72</v>
      </c>
      <c r="P419" s="48" t="s">
        <v>73</v>
      </c>
      <c r="Q419" s="54" t="s">
        <v>73</v>
      </c>
      <c r="R419" s="55" t="s">
        <v>73</v>
      </c>
      <c r="S419" s="48" t="s">
        <v>73</v>
      </c>
      <c r="T419" s="121" t="str" cm="1">
        <f t="array" ref="T419">IF(ISNUMBER(SEARCH("SCHNEIDER",D419)),_xlfn.IFS(ISNUMBER(SEARCH("2 Querétaro",D419)),"SQ2",ISNUMBER(SEARCH("Xicohténcatl",D419)),"SXC",ISNUMBER(SEARCH("Rojo Gómez",D419)),"SRG",ISNUMBER(SEARCH("Tlaxcala",D419)),"STX",ISNUMBER(SEARCH("Monterrey",D419)),"SMY",ISNUMBER(SEARCH("Querétaro",D419)),"SQ1",ISNUMBER(SEARCH("CDMX",D419)),"SCM",TRUE,""),"")</f>
        <v/>
      </c>
      <c r="U419" s="48" t="str" cm="1">
        <f t="array" ref="U419">_xlfn.LET(_xlpm.resultados,_xlfn.UNIQUE(_xlfn._xlws.FILTER(Tabla1[Proceso],(Tabla1[Metal Base]=O419)*(Tabla1[Etiquetas]=_xlfn.TEXTJOIN(" + ",TRUE,IF((TRIM(Upload!P419:S419)="")+(LOWER(TRIM(Upload!P419:S419))="(seleccione)"),"",PROPER(TRIM(Upload!P419:S419)))))*(Tabla1[Línea2]=IFERROR(VLOOKUP(Upload!N419&amp;"*",CAT_Procesos!D:D,1,FALSE),"")))),_xlpm.cantidad,ROWS(_xlpm.resultados),IF(ISERROR(_xlpm.cantidad),"Combinación no existente",IF(_xlpm.cantidad=1,INDEX(_xlpm.resultados,1),"(seleccione)")))</f>
        <v>Combinación no existente</v>
      </c>
      <c r="V419" s="55" t="s">
        <v>73</v>
      </c>
      <c r="W419" s="56" t="s">
        <v>73</v>
      </c>
      <c r="X419" s="57" t="str">
        <f t="shared" si="24"/>
        <v/>
      </c>
      <c r="Y419" s="58" t="s">
        <v>73</v>
      </c>
      <c r="Z419" s="57" t="str">
        <f t="shared" si="25"/>
        <v/>
      </c>
      <c r="AA419" s="58" t="s">
        <v>73</v>
      </c>
      <c r="AB419" s="57" t="str">
        <f t="shared" si="26"/>
        <v/>
      </c>
      <c r="AC419" s="58" t="s">
        <v>73</v>
      </c>
      <c r="AD419" s="57" t="str">
        <f t="shared" si="27"/>
        <v/>
      </c>
      <c r="AE419" s="59"/>
      <c r="AF419" s="59"/>
      <c r="AG419" s="59"/>
      <c r="AH419" s="59"/>
      <c r="AI419" s="59" t="s">
        <v>73</v>
      </c>
      <c r="AJ419" s="59"/>
      <c r="AK419" s="59" t="s">
        <v>73</v>
      </c>
      <c r="AL419" s="59"/>
      <c r="AM419" s="59" t="s">
        <v>73</v>
      </c>
      <c r="AN419" s="59"/>
      <c r="AO419" s="59" t="s">
        <v>73</v>
      </c>
      <c r="AP419" s="59"/>
      <c r="AQ419" s="59" t="s">
        <v>73</v>
      </c>
      <c r="AR419" s="59"/>
      <c r="AS419" s="59" t="s">
        <v>72</v>
      </c>
      <c r="AT419" s="59"/>
      <c r="AU419" s="59"/>
      <c r="AV419" s="59"/>
      <c r="AW419" s="59"/>
      <c r="AX419" s="59"/>
      <c r="AY419" s="60" t="str">
        <f>IF('Cálculo MP'!K429="","",'Cálculo MP'!K429)</f>
        <v/>
      </c>
      <c r="AZ419" s="60" t="str">
        <f>IF('Cálculo MP'!L429="","",'Cálculo MP'!L429)</f>
        <v/>
      </c>
      <c r="BA419" s="60" t="str">
        <f>IF('Cálculo MP'!M429="","",'Cálculo MP'!M429)</f>
        <v/>
      </c>
      <c r="BB419" s="60" t="str">
        <f>IF('Cálculo MP'!N429="","",'Cálculo MP'!N429)</f>
        <v/>
      </c>
      <c r="BC419" s="60" t="str">
        <f>IF('Cálculo MP'!O429="","",'Cálculo MP'!O429)</f>
        <v/>
      </c>
      <c r="BD419" s="60" t="str">
        <f>IF('Cálculo MP'!P429="","",'Cálculo MP'!P429)</f>
        <v/>
      </c>
      <c r="BE419" s="60" t="str">
        <f>IF('Cálculo MP'!Q429="","",'Cálculo MP'!Q429)</f>
        <v/>
      </c>
      <c r="BF419" s="60" t="str">
        <f>IF('Cálculo MP'!R429="","",'Cálculo MP'!R429)</f>
        <v/>
      </c>
      <c r="BG419" s="60" t="str">
        <f>IF('Cálculo MP'!S429="","",'Cálculo MP'!S429)</f>
        <v/>
      </c>
      <c r="BH419" s="59"/>
      <c r="BI419" s="59"/>
      <c r="BJ419" s="59"/>
      <c r="BK419" s="59"/>
      <c r="BL419" s="59"/>
      <c r="BM419" s="59"/>
      <c r="BN419" s="59"/>
      <c r="BO419" s="59"/>
    </row>
    <row r="420" spans="1:67" ht="19.5" customHeight="1" x14ac:dyDescent="0.2">
      <c r="A420" s="114" t="s">
        <v>1789</v>
      </c>
      <c r="B420" s="113" t="s">
        <v>1787</v>
      </c>
      <c r="C420" s="122"/>
      <c r="D420" s="48" t="s">
        <v>73</v>
      </c>
      <c r="E420" s="49"/>
      <c r="F420" s="50"/>
      <c r="G420" s="62"/>
      <c r="H420" s="48" t="s">
        <v>72</v>
      </c>
      <c r="I420" s="52">
        <v>1</v>
      </c>
      <c r="J420" s="52"/>
      <c r="K420" s="52" t="s">
        <v>73</v>
      </c>
      <c r="L420" s="52" t="s">
        <v>74</v>
      </c>
      <c r="M420" s="53" t="s">
        <v>917</v>
      </c>
      <c r="N420" s="58" t="s">
        <v>73</v>
      </c>
      <c r="O420" s="48" t="s">
        <v>72</v>
      </c>
      <c r="P420" s="48" t="s">
        <v>73</v>
      </c>
      <c r="Q420" s="54" t="s">
        <v>73</v>
      </c>
      <c r="R420" s="55" t="s">
        <v>73</v>
      </c>
      <c r="S420" s="48" t="s">
        <v>73</v>
      </c>
      <c r="T420" s="121" t="str" cm="1">
        <f t="array" ref="T420">IF(ISNUMBER(SEARCH("SCHNEIDER",D420)),_xlfn.IFS(ISNUMBER(SEARCH("2 Querétaro",D420)),"SQ2",ISNUMBER(SEARCH("Xicohténcatl",D420)),"SXC",ISNUMBER(SEARCH("Rojo Gómez",D420)),"SRG",ISNUMBER(SEARCH("Tlaxcala",D420)),"STX",ISNUMBER(SEARCH("Monterrey",D420)),"SMY",ISNUMBER(SEARCH("Querétaro",D420)),"SQ1",ISNUMBER(SEARCH("CDMX",D420)),"SCM",TRUE,""),"")</f>
        <v/>
      </c>
      <c r="U420" s="48" t="str" cm="1">
        <f t="array" ref="U420">_xlfn.LET(_xlpm.resultados,_xlfn.UNIQUE(_xlfn._xlws.FILTER(Tabla1[Proceso],(Tabla1[Metal Base]=O420)*(Tabla1[Etiquetas]=_xlfn.TEXTJOIN(" + ",TRUE,IF((TRIM(Upload!P420:S420)="")+(LOWER(TRIM(Upload!P420:S420))="(seleccione)"),"",PROPER(TRIM(Upload!P420:S420)))))*(Tabla1[Línea2]=IFERROR(VLOOKUP(Upload!N420&amp;"*",CAT_Procesos!D:D,1,FALSE),"")))),_xlpm.cantidad,ROWS(_xlpm.resultados),IF(ISERROR(_xlpm.cantidad),"Combinación no existente",IF(_xlpm.cantidad=1,INDEX(_xlpm.resultados,1),"(seleccione)")))</f>
        <v>Combinación no existente</v>
      </c>
      <c r="V420" s="55" t="s">
        <v>73</v>
      </c>
      <c r="W420" s="56" t="s">
        <v>73</v>
      </c>
      <c r="X420" s="57" t="str">
        <f t="shared" si="24"/>
        <v/>
      </c>
      <c r="Y420" s="58" t="s">
        <v>73</v>
      </c>
      <c r="Z420" s="57" t="str">
        <f t="shared" si="25"/>
        <v/>
      </c>
      <c r="AA420" s="58" t="s">
        <v>73</v>
      </c>
      <c r="AB420" s="57" t="str">
        <f t="shared" si="26"/>
        <v/>
      </c>
      <c r="AC420" s="58" t="s">
        <v>73</v>
      </c>
      <c r="AD420" s="57" t="str">
        <f t="shared" si="27"/>
        <v/>
      </c>
      <c r="AE420" s="59"/>
      <c r="AF420" s="59"/>
      <c r="AG420" s="59"/>
      <c r="AH420" s="59"/>
      <c r="AI420" s="59" t="s">
        <v>73</v>
      </c>
      <c r="AJ420" s="59"/>
      <c r="AK420" s="59" t="s">
        <v>73</v>
      </c>
      <c r="AL420" s="59"/>
      <c r="AM420" s="59" t="s">
        <v>73</v>
      </c>
      <c r="AN420" s="59"/>
      <c r="AO420" s="59" t="s">
        <v>73</v>
      </c>
      <c r="AP420" s="59"/>
      <c r="AQ420" s="59" t="s">
        <v>73</v>
      </c>
      <c r="AR420" s="59"/>
      <c r="AS420" s="59" t="s">
        <v>72</v>
      </c>
      <c r="AT420" s="59"/>
      <c r="AU420" s="59"/>
      <c r="AV420" s="59"/>
      <c r="AW420" s="59"/>
      <c r="AX420" s="59"/>
      <c r="AY420" s="60" t="str">
        <f>IF('Cálculo MP'!K430="","",'Cálculo MP'!K430)</f>
        <v/>
      </c>
      <c r="AZ420" s="60" t="str">
        <f>IF('Cálculo MP'!L430="","",'Cálculo MP'!L430)</f>
        <v/>
      </c>
      <c r="BA420" s="60" t="str">
        <f>IF('Cálculo MP'!M430="","",'Cálculo MP'!M430)</f>
        <v/>
      </c>
      <c r="BB420" s="60" t="str">
        <f>IF('Cálculo MP'!N430="","",'Cálculo MP'!N430)</f>
        <v/>
      </c>
      <c r="BC420" s="60" t="str">
        <f>IF('Cálculo MP'!O430="","",'Cálculo MP'!O430)</f>
        <v/>
      </c>
      <c r="BD420" s="60" t="str">
        <f>IF('Cálculo MP'!P430="","",'Cálculo MP'!P430)</f>
        <v/>
      </c>
      <c r="BE420" s="60" t="str">
        <f>IF('Cálculo MP'!Q430="","",'Cálculo MP'!Q430)</f>
        <v/>
      </c>
      <c r="BF420" s="60" t="str">
        <f>IF('Cálculo MP'!R430="","",'Cálculo MP'!R430)</f>
        <v/>
      </c>
      <c r="BG420" s="60" t="str">
        <f>IF('Cálculo MP'!S430="","",'Cálculo MP'!S430)</f>
        <v/>
      </c>
      <c r="BH420" s="59"/>
      <c r="BI420" s="59"/>
      <c r="BJ420" s="59"/>
      <c r="BK420" s="59"/>
      <c r="BL420" s="59"/>
      <c r="BM420" s="59"/>
      <c r="BN420" s="59"/>
      <c r="BO420" s="59"/>
    </row>
    <row r="421" spans="1:67" ht="19.5" customHeight="1" x14ac:dyDescent="0.2">
      <c r="A421" s="114" t="s">
        <v>1789</v>
      </c>
      <c r="B421" s="113" t="s">
        <v>1787</v>
      </c>
      <c r="C421" s="122"/>
      <c r="D421" s="48" t="s">
        <v>73</v>
      </c>
      <c r="E421" s="49"/>
      <c r="F421" s="50"/>
      <c r="G421" s="62"/>
      <c r="H421" s="48" t="s">
        <v>72</v>
      </c>
      <c r="I421" s="52">
        <v>1</v>
      </c>
      <c r="J421" s="52"/>
      <c r="K421" s="52" t="s">
        <v>73</v>
      </c>
      <c r="L421" s="52" t="s">
        <v>74</v>
      </c>
      <c r="M421" s="53" t="s">
        <v>917</v>
      </c>
      <c r="N421" s="58" t="s">
        <v>73</v>
      </c>
      <c r="O421" s="48" t="s">
        <v>72</v>
      </c>
      <c r="P421" s="48" t="s">
        <v>73</v>
      </c>
      <c r="Q421" s="54" t="s">
        <v>73</v>
      </c>
      <c r="R421" s="55" t="s">
        <v>73</v>
      </c>
      <c r="S421" s="48" t="s">
        <v>73</v>
      </c>
      <c r="T421" s="121" t="str" cm="1">
        <f t="array" ref="T421">IF(ISNUMBER(SEARCH("SCHNEIDER",D421)),_xlfn.IFS(ISNUMBER(SEARCH("2 Querétaro",D421)),"SQ2",ISNUMBER(SEARCH("Xicohténcatl",D421)),"SXC",ISNUMBER(SEARCH("Rojo Gómez",D421)),"SRG",ISNUMBER(SEARCH("Tlaxcala",D421)),"STX",ISNUMBER(SEARCH("Monterrey",D421)),"SMY",ISNUMBER(SEARCH("Querétaro",D421)),"SQ1",ISNUMBER(SEARCH("CDMX",D421)),"SCM",TRUE,""),"")</f>
        <v/>
      </c>
      <c r="U421" s="48" t="str" cm="1">
        <f t="array" ref="U421">_xlfn.LET(_xlpm.resultados,_xlfn.UNIQUE(_xlfn._xlws.FILTER(Tabla1[Proceso],(Tabla1[Metal Base]=O421)*(Tabla1[Etiquetas]=_xlfn.TEXTJOIN(" + ",TRUE,IF((TRIM(Upload!P421:S421)="")+(LOWER(TRIM(Upload!P421:S421))="(seleccione)"),"",PROPER(TRIM(Upload!P421:S421)))))*(Tabla1[Línea2]=IFERROR(VLOOKUP(Upload!N421&amp;"*",CAT_Procesos!D:D,1,FALSE),"")))),_xlpm.cantidad,ROWS(_xlpm.resultados),IF(ISERROR(_xlpm.cantidad),"Combinación no existente",IF(_xlpm.cantidad=1,INDEX(_xlpm.resultados,1),"(seleccione)")))</f>
        <v>Combinación no existente</v>
      </c>
      <c r="V421" s="55" t="s">
        <v>73</v>
      </c>
      <c r="W421" s="56" t="s">
        <v>73</v>
      </c>
      <c r="X421" s="57" t="str">
        <f t="shared" si="24"/>
        <v/>
      </c>
      <c r="Y421" s="58" t="s">
        <v>73</v>
      </c>
      <c r="Z421" s="57" t="str">
        <f t="shared" si="25"/>
        <v/>
      </c>
      <c r="AA421" s="58" t="s">
        <v>73</v>
      </c>
      <c r="AB421" s="57" t="str">
        <f t="shared" si="26"/>
        <v/>
      </c>
      <c r="AC421" s="58" t="s">
        <v>73</v>
      </c>
      <c r="AD421" s="57" t="str">
        <f t="shared" si="27"/>
        <v/>
      </c>
      <c r="AE421" s="59"/>
      <c r="AF421" s="59"/>
      <c r="AG421" s="59"/>
      <c r="AH421" s="59"/>
      <c r="AI421" s="59" t="s">
        <v>73</v>
      </c>
      <c r="AJ421" s="59"/>
      <c r="AK421" s="59" t="s">
        <v>73</v>
      </c>
      <c r="AL421" s="59"/>
      <c r="AM421" s="59" t="s">
        <v>73</v>
      </c>
      <c r="AN421" s="59"/>
      <c r="AO421" s="59" t="s">
        <v>73</v>
      </c>
      <c r="AP421" s="59"/>
      <c r="AQ421" s="59" t="s">
        <v>73</v>
      </c>
      <c r="AR421" s="59"/>
      <c r="AS421" s="59" t="s">
        <v>72</v>
      </c>
      <c r="AT421" s="59"/>
      <c r="AU421" s="59"/>
      <c r="AV421" s="59"/>
      <c r="AW421" s="59"/>
      <c r="AX421" s="59"/>
      <c r="AY421" s="60" t="str">
        <f>IF('Cálculo MP'!K431="","",'Cálculo MP'!K431)</f>
        <v/>
      </c>
      <c r="AZ421" s="60" t="str">
        <f>IF('Cálculo MP'!L431="","",'Cálculo MP'!L431)</f>
        <v/>
      </c>
      <c r="BA421" s="60" t="str">
        <f>IF('Cálculo MP'!M431="","",'Cálculo MP'!M431)</f>
        <v/>
      </c>
      <c r="BB421" s="60" t="str">
        <f>IF('Cálculo MP'!N431="","",'Cálculo MP'!N431)</f>
        <v/>
      </c>
      <c r="BC421" s="60" t="str">
        <f>IF('Cálculo MP'!O431="","",'Cálculo MP'!O431)</f>
        <v/>
      </c>
      <c r="BD421" s="60" t="str">
        <f>IF('Cálculo MP'!P431="","",'Cálculo MP'!P431)</f>
        <v/>
      </c>
      <c r="BE421" s="60" t="str">
        <f>IF('Cálculo MP'!Q431="","",'Cálculo MP'!Q431)</f>
        <v/>
      </c>
      <c r="BF421" s="60" t="str">
        <f>IF('Cálculo MP'!R431="","",'Cálculo MP'!R431)</f>
        <v/>
      </c>
      <c r="BG421" s="60" t="str">
        <f>IF('Cálculo MP'!S431="","",'Cálculo MP'!S431)</f>
        <v/>
      </c>
      <c r="BH421" s="59"/>
      <c r="BI421" s="59"/>
      <c r="BJ421" s="59"/>
      <c r="BK421" s="59"/>
      <c r="BL421" s="59"/>
      <c r="BM421" s="59"/>
      <c r="BN421" s="59"/>
      <c r="BO421" s="59"/>
    </row>
    <row r="422" spans="1:67" ht="19.5" customHeight="1" x14ac:dyDescent="0.2">
      <c r="A422" s="114" t="s">
        <v>1789</v>
      </c>
      <c r="B422" s="113" t="s">
        <v>1787</v>
      </c>
      <c r="C422" s="122"/>
      <c r="D422" s="48" t="s">
        <v>73</v>
      </c>
      <c r="E422" s="49"/>
      <c r="F422" s="50"/>
      <c r="G422" s="62"/>
      <c r="H422" s="48" t="s">
        <v>72</v>
      </c>
      <c r="I422" s="52">
        <v>1</v>
      </c>
      <c r="J422" s="52"/>
      <c r="K422" s="52" t="s">
        <v>73</v>
      </c>
      <c r="L422" s="52" t="s">
        <v>74</v>
      </c>
      <c r="M422" s="53" t="s">
        <v>917</v>
      </c>
      <c r="N422" s="58" t="s">
        <v>73</v>
      </c>
      <c r="O422" s="48" t="s">
        <v>72</v>
      </c>
      <c r="P422" s="48" t="s">
        <v>73</v>
      </c>
      <c r="Q422" s="54" t="s">
        <v>73</v>
      </c>
      <c r="R422" s="55" t="s">
        <v>73</v>
      </c>
      <c r="S422" s="48" t="s">
        <v>73</v>
      </c>
      <c r="T422" s="121" t="str" cm="1">
        <f t="array" ref="T422">IF(ISNUMBER(SEARCH("SCHNEIDER",D422)),_xlfn.IFS(ISNUMBER(SEARCH("2 Querétaro",D422)),"SQ2",ISNUMBER(SEARCH("Xicohténcatl",D422)),"SXC",ISNUMBER(SEARCH("Rojo Gómez",D422)),"SRG",ISNUMBER(SEARCH("Tlaxcala",D422)),"STX",ISNUMBER(SEARCH("Monterrey",D422)),"SMY",ISNUMBER(SEARCH("Querétaro",D422)),"SQ1",ISNUMBER(SEARCH("CDMX",D422)),"SCM",TRUE,""),"")</f>
        <v/>
      </c>
      <c r="U422" s="48" t="str" cm="1">
        <f t="array" ref="U422">_xlfn.LET(_xlpm.resultados,_xlfn.UNIQUE(_xlfn._xlws.FILTER(Tabla1[Proceso],(Tabla1[Metal Base]=O422)*(Tabla1[Etiquetas]=_xlfn.TEXTJOIN(" + ",TRUE,IF((TRIM(Upload!P422:S422)="")+(LOWER(TRIM(Upload!P422:S422))="(seleccione)"),"",PROPER(TRIM(Upload!P422:S422)))))*(Tabla1[Línea2]=IFERROR(VLOOKUP(Upload!N422&amp;"*",CAT_Procesos!D:D,1,FALSE),"")))),_xlpm.cantidad,ROWS(_xlpm.resultados),IF(ISERROR(_xlpm.cantidad),"Combinación no existente",IF(_xlpm.cantidad=1,INDEX(_xlpm.resultados,1),"(seleccione)")))</f>
        <v>Combinación no existente</v>
      </c>
      <c r="V422" s="55" t="s">
        <v>73</v>
      </c>
      <c r="W422" s="56" t="s">
        <v>73</v>
      </c>
      <c r="X422" s="57" t="str">
        <f t="shared" si="24"/>
        <v/>
      </c>
      <c r="Y422" s="58" t="s">
        <v>73</v>
      </c>
      <c r="Z422" s="57" t="str">
        <f t="shared" si="25"/>
        <v/>
      </c>
      <c r="AA422" s="58" t="s">
        <v>73</v>
      </c>
      <c r="AB422" s="57" t="str">
        <f t="shared" si="26"/>
        <v/>
      </c>
      <c r="AC422" s="58" t="s">
        <v>73</v>
      </c>
      <c r="AD422" s="57" t="str">
        <f t="shared" si="27"/>
        <v/>
      </c>
      <c r="AE422" s="59"/>
      <c r="AF422" s="59"/>
      <c r="AG422" s="59"/>
      <c r="AH422" s="59"/>
      <c r="AI422" s="59" t="s">
        <v>73</v>
      </c>
      <c r="AJ422" s="59"/>
      <c r="AK422" s="59" t="s">
        <v>73</v>
      </c>
      <c r="AL422" s="59"/>
      <c r="AM422" s="59" t="s">
        <v>73</v>
      </c>
      <c r="AN422" s="59"/>
      <c r="AO422" s="59" t="s">
        <v>73</v>
      </c>
      <c r="AP422" s="59"/>
      <c r="AQ422" s="59" t="s">
        <v>73</v>
      </c>
      <c r="AR422" s="59"/>
      <c r="AS422" s="59" t="s">
        <v>72</v>
      </c>
      <c r="AT422" s="59"/>
      <c r="AU422" s="59"/>
      <c r="AV422" s="59"/>
      <c r="AW422" s="59"/>
      <c r="AX422" s="59"/>
      <c r="AY422" s="60" t="str">
        <f>IF('Cálculo MP'!K432="","",'Cálculo MP'!K432)</f>
        <v/>
      </c>
      <c r="AZ422" s="60" t="str">
        <f>IF('Cálculo MP'!L432="","",'Cálculo MP'!L432)</f>
        <v/>
      </c>
      <c r="BA422" s="60" t="str">
        <f>IF('Cálculo MP'!M432="","",'Cálculo MP'!M432)</f>
        <v/>
      </c>
      <c r="BB422" s="60" t="str">
        <f>IF('Cálculo MP'!N432="","",'Cálculo MP'!N432)</f>
        <v/>
      </c>
      <c r="BC422" s="60" t="str">
        <f>IF('Cálculo MP'!O432="","",'Cálculo MP'!O432)</f>
        <v/>
      </c>
      <c r="BD422" s="60" t="str">
        <f>IF('Cálculo MP'!P432="","",'Cálculo MP'!P432)</f>
        <v/>
      </c>
      <c r="BE422" s="60" t="str">
        <f>IF('Cálculo MP'!Q432="","",'Cálculo MP'!Q432)</f>
        <v/>
      </c>
      <c r="BF422" s="60" t="str">
        <f>IF('Cálculo MP'!R432="","",'Cálculo MP'!R432)</f>
        <v/>
      </c>
      <c r="BG422" s="60" t="str">
        <f>IF('Cálculo MP'!S432="","",'Cálculo MP'!S432)</f>
        <v/>
      </c>
      <c r="BH422" s="59"/>
      <c r="BI422" s="59"/>
      <c r="BJ422" s="59"/>
      <c r="BK422" s="59"/>
      <c r="BL422" s="59"/>
      <c r="BM422" s="59"/>
      <c r="BN422" s="59"/>
      <c r="BO422" s="59"/>
    </row>
    <row r="423" spans="1:67" ht="19.5" customHeight="1" x14ac:dyDescent="0.2">
      <c r="A423" s="114" t="s">
        <v>1789</v>
      </c>
      <c r="B423" s="113" t="s">
        <v>1787</v>
      </c>
      <c r="C423" s="122"/>
      <c r="D423" s="48" t="s">
        <v>73</v>
      </c>
      <c r="E423" s="49"/>
      <c r="F423" s="50"/>
      <c r="G423" s="62"/>
      <c r="H423" s="48" t="s">
        <v>72</v>
      </c>
      <c r="I423" s="52">
        <v>1</v>
      </c>
      <c r="J423" s="52"/>
      <c r="K423" s="52" t="s">
        <v>73</v>
      </c>
      <c r="L423" s="52" t="s">
        <v>74</v>
      </c>
      <c r="M423" s="53" t="s">
        <v>917</v>
      </c>
      <c r="N423" s="58" t="s">
        <v>73</v>
      </c>
      <c r="O423" s="48" t="s">
        <v>72</v>
      </c>
      <c r="P423" s="48" t="s">
        <v>73</v>
      </c>
      <c r="Q423" s="54" t="s">
        <v>73</v>
      </c>
      <c r="R423" s="55" t="s">
        <v>73</v>
      </c>
      <c r="S423" s="48" t="s">
        <v>73</v>
      </c>
      <c r="T423" s="121" t="str" cm="1">
        <f t="array" ref="T423">IF(ISNUMBER(SEARCH("SCHNEIDER",D423)),_xlfn.IFS(ISNUMBER(SEARCH("2 Querétaro",D423)),"SQ2",ISNUMBER(SEARCH("Xicohténcatl",D423)),"SXC",ISNUMBER(SEARCH("Rojo Gómez",D423)),"SRG",ISNUMBER(SEARCH("Tlaxcala",D423)),"STX",ISNUMBER(SEARCH("Monterrey",D423)),"SMY",ISNUMBER(SEARCH("Querétaro",D423)),"SQ1",ISNUMBER(SEARCH("CDMX",D423)),"SCM",TRUE,""),"")</f>
        <v/>
      </c>
      <c r="U423" s="48" t="str" cm="1">
        <f t="array" ref="U423">_xlfn.LET(_xlpm.resultados,_xlfn.UNIQUE(_xlfn._xlws.FILTER(Tabla1[Proceso],(Tabla1[Metal Base]=O423)*(Tabla1[Etiquetas]=_xlfn.TEXTJOIN(" + ",TRUE,IF((TRIM(Upload!P423:S423)="")+(LOWER(TRIM(Upload!P423:S423))="(seleccione)"),"",PROPER(TRIM(Upload!P423:S423)))))*(Tabla1[Línea2]=IFERROR(VLOOKUP(Upload!N423&amp;"*",CAT_Procesos!D:D,1,FALSE),"")))),_xlpm.cantidad,ROWS(_xlpm.resultados),IF(ISERROR(_xlpm.cantidad),"Combinación no existente",IF(_xlpm.cantidad=1,INDEX(_xlpm.resultados,1),"(seleccione)")))</f>
        <v>Combinación no existente</v>
      </c>
      <c r="V423" s="55" t="s">
        <v>73</v>
      </c>
      <c r="W423" s="56" t="s">
        <v>73</v>
      </c>
      <c r="X423" s="57" t="str">
        <f t="shared" si="24"/>
        <v/>
      </c>
      <c r="Y423" s="58" t="s">
        <v>73</v>
      </c>
      <c r="Z423" s="57" t="str">
        <f t="shared" si="25"/>
        <v/>
      </c>
      <c r="AA423" s="58" t="s">
        <v>73</v>
      </c>
      <c r="AB423" s="57" t="str">
        <f t="shared" si="26"/>
        <v/>
      </c>
      <c r="AC423" s="58" t="s">
        <v>73</v>
      </c>
      <c r="AD423" s="57" t="str">
        <f t="shared" si="27"/>
        <v/>
      </c>
      <c r="AE423" s="59"/>
      <c r="AF423" s="59"/>
      <c r="AG423" s="59"/>
      <c r="AH423" s="59"/>
      <c r="AI423" s="59" t="s">
        <v>73</v>
      </c>
      <c r="AJ423" s="59"/>
      <c r="AK423" s="59" t="s">
        <v>73</v>
      </c>
      <c r="AL423" s="59"/>
      <c r="AM423" s="59" t="s">
        <v>73</v>
      </c>
      <c r="AN423" s="59"/>
      <c r="AO423" s="59" t="s">
        <v>73</v>
      </c>
      <c r="AP423" s="59"/>
      <c r="AQ423" s="59" t="s">
        <v>73</v>
      </c>
      <c r="AR423" s="59"/>
      <c r="AS423" s="59" t="s">
        <v>72</v>
      </c>
      <c r="AT423" s="59"/>
      <c r="AU423" s="59"/>
      <c r="AV423" s="59"/>
      <c r="AW423" s="59"/>
      <c r="AX423" s="59"/>
      <c r="AY423" s="60" t="str">
        <f>IF('Cálculo MP'!K433="","",'Cálculo MP'!K433)</f>
        <v/>
      </c>
      <c r="AZ423" s="60" t="str">
        <f>IF('Cálculo MP'!L433="","",'Cálculo MP'!L433)</f>
        <v/>
      </c>
      <c r="BA423" s="60" t="str">
        <f>IF('Cálculo MP'!M433="","",'Cálculo MP'!M433)</f>
        <v/>
      </c>
      <c r="BB423" s="60" t="str">
        <f>IF('Cálculo MP'!N433="","",'Cálculo MP'!N433)</f>
        <v/>
      </c>
      <c r="BC423" s="60" t="str">
        <f>IF('Cálculo MP'!O433="","",'Cálculo MP'!O433)</f>
        <v/>
      </c>
      <c r="BD423" s="60" t="str">
        <f>IF('Cálculo MP'!P433="","",'Cálculo MP'!P433)</f>
        <v/>
      </c>
      <c r="BE423" s="60" t="str">
        <f>IF('Cálculo MP'!Q433="","",'Cálculo MP'!Q433)</f>
        <v/>
      </c>
      <c r="BF423" s="60" t="str">
        <f>IF('Cálculo MP'!R433="","",'Cálculo MP'!R433)</f>
        <v/>
      </c>
      <c r="BG423" s="60" t="str">
        <f>IF('Cálculo MP'!S433="","",'Cálculo MP'!S433)</f>
        <v/>
      </c>
      <c r="BH423" s="59"/>
      <c r="BI423" s="59"/>
      <c r="BJ423" s="59"/>
      <c r="BK423" s="59"/>
      <c r="BL423" s="59"/>
      <c r="BM423" s="59"/>
      <c r="BN423" s="59"/>
      <c r="BO423" s="59"/>
    </row>
    <row r="424" spans="1:67" ht="19.5" customHeight="1" x14ac:dyDescent="0.2">
      <c r="A424" s="114" t="s">
        <v>1789</v>
      </c>
      <c r="B424" s="113" t="s">
        <v>1787</v>
      </c>
      <c r="C424" s="122"/>
      <c r="D424" s="48" t="s">
        <v>73</v>
      </c>
      <c r="E424" s="49"/>
      <c r="F424" s="50"/>
      <c r="G424" s="62"/>
      <c r="H424" s="48" t="s">
        <v>72</v>
      </c>
      <c r="I424" s="52">
        <v>1</v>
      </c>
      <c r="J424" s="52"/>
      <c r="K424" s="52" t="s">
        <v>73</v>
      </c>
      <c r="L424" s="52" t="s">
        <v>74</v>
      </c>
      <c r="M424" s="53" t="s">
        <v>917</v>
      </c>
      <c r="N424" s="58" t="s">
        <v>73</v>
      </c>
      <c r="O424" s="48" t="s">
        <v>72</v>
      </c>
      <c r="P424" s="48" t="s">
        <v>73</v>
      </c>
      <c r="Q424" s="54" t="s">
        <v>73</v>
      </c>
      <c r="R424" s="55" t="s">
        <v>73</v>
      </c>
      <c r="S424" s="48" t="s">
        <v>73</v>
      </c>
      <c r="T424" s="121" t="str" cm="1">
        <f t="array" ref="T424">IF(ISNUMBER(SEARCH("SCHNEIDER",D424)),_xlfn.IFS(ISNUMBER(SEARCH("2 Querétaro",D424)),"SQ2",ISNUMBER(SEARCH("Xicohténcatl",D424)),"SXC",ISNUMBER(SEARCH("Rojo Gómez",D424)),"SRG",ISNUMBER(SEARCH("Tlaxcala",D424)),"STX",ISNUMBER(SEARCH("Monterrey",D424)),"SMY",ISNUMBER(SEARCH("Querétaro",D424)),"SQ1",ISNUMBER(SEARCH("CDMX",D424)),"SCM",TRUE,""),"")</f>
        <v/>
      </c>
      <c r="U424" s="48" t="str" cm="1">
        <f t="array" ref="U424">_xlfn.LET(_xlpm.resultados,_xlfn.UNIQUE(_xlfn._xlws.FILTER(Tabla1[Proceso],(Tabla1[Metal Base]=O424)*(Tabla1[Etiquetas]=_xlfn.TEXTJOIN(" + ",TRUE,IF((TRIM(Upload!P424:S424)="")+(LOWER(TRIM(Upload!P424:S424))="(seleccione)"),"",PROPER(TRIM(Upload!P424:S424)))))*(Tabla1[Línea2]=IFERROR(VLOOKUP(Upload!N424&amp;"*",CAT_Procesos!D:D,1,FALSE),"")))),_xlpm.cantidad,ROWS(_xlpm.resultados),IF(ISERROR(_xlpm.cantidad),"Combinación no existente",IF(_xlpm.cantidad=1,INDEX(_xlpm.resultados,1),"(seleccione)")))</f>
        <v>Combinación no existente</v>
      </c>
      <c r="V424" s="55" t="s">
        <v>73</v>
      </c>
      <c r="W424" s="56" t="s">
        <v>73</v>
      </c>
      <c r="X424" s="57" t="str">
        <f t="shared" si="24"/>
        <v/>
      </c>
      <c r="Y424" s="58" t="s">
        <v>73</v>
      </c>
      <c r="Z424" s="57" t="str">
        <f t="shared" si="25"/>
        <v/>
      </c>
      <c r="AA424" s="58" t="s">
        <v>73</v>
      </c>
      <c r="AB424" s="57" t="str">
        <f t="shared" si="26"/>
        <v/>
      </c>
      <c r="AC424" s="58" t="s">
        <v>73</v>
      </c>
      <c r="AD424" s="57" t="str">
        <f t="shared" si="27"/>
        <v/>
      </c>
      <c r="AE424" s="59"/>
      <c r="AF424" s="59"/>
      <c r="AG424" s="59"/>
      <c r="AH424" s="59"/>
      <c r="AI424" s="59" t="s">
        <v>73</v>
      </c>
      <c r="AJ424" s="59"/>
      <c r="AK424" s="59" t="s">
        <v>73</v>
      </c>
      <c r="AL424" s="59"/>
      <c r="AM424" s="59" t="s">
        <v>73</v>
      </c>
      <c r="AN424" s="59"/>
      <c r="AO424" s="59" t="s">
        <v>73</v>
      </c>
      <c r="AP424" s="59"/>
      <c r="AQ424" s="59" t="s">
        <v>73</v>
      </c>
      <c r="AR424" s="59"/>
      <c r="AS424" s="59" t="s">
        <v>72</v>
      </c>
      <c r="AT424" s="59"/>
      <c r="AU424" s="59"/>
      <c r="AV424" s="59"/>
      <c r="AW424" s="59"/>
      <c r="AX424" s="59"/>
      <c r="AY424" s="60" t="str">
        <f>IF('Cálculo MP'!K434="","",'Cálculo MP'!K434)</f>
        <v/>
      </c>
      <c r="AZ424" s="60" t="str">
        <f>IF('Cálculo MP'!L434="","",'Cálculo MP'!L434)</f>
        <v/>
      </c>
      <c r="BA424" s="60" t="str">
        <f>IF('Cálculo MP'!M434="","",'Cálculo MP'!M434)</f>
        <v/>
      </c>
      <c r="BB424" s="60" t="str">
        <f>IF('Cálculo MP'!N434="","",'Cálculo MP'!N434)</f>
        <v/>
      </c>
      <c r="BC424" s="60" t="str">
        <f>IF('Cálculo MP'!O434="","",'Cálculo MP'!O434)</f>
        <v/>
      </c>
      <c r="BD424" s="60" t="str">
        <f>IF('Cálculo MP'!P434="","",'Cálculo MP'!P434)</f>
        <v/>
      </c>
      <c r="BE424" s="60" t="str">
        <f>IF('Cálculo MP'!Q434="","",'Cálculo MP'!Q434)</f>
        <v/>
      </c>
      <c r="BF424" s="60" t="str">
        <f>IF('Cálculo MP'!R434="","",'Cálculo MP'!R434)</f>
        <v/>
      </c>
      <c r="BG424" s="60" t="str">
        <f>IF('Cálculo MP'!S434="","",'Cálculo MP'!S434)</f>
        <v/>
      </c>
      <c r="BH424" s="59"/>
      <c r="BI424" s="59"/>
      <c r="BJ424" s="59"/>
      <c r="BK424" s="59"/>
      <c r="BL424" s="59"/>
      <c r="BM424" s="59"/>
      <c r="BN424" s="59"/>
      <c r="BO424" s="59"/>
    </row>
    <row r="425" spans="1:67" ht="19.5" customHeight="1" x14ac:dyDescent="0.2">
      <c r="A425" s="114" t="s">
        <v>1789</v>
      </c>
      <c r="B425" s="113" t="s">
        <v>1787</v>
      </c>
      <c r="C425" s="122"/>
      <c r="D425" s="48" t="s">
        <v>73</v>
      </c>
      <c r="E425" s="49"/>
      <c r="F425" s="50"/>
      <c r="G425" s="62"/>
      <c r="H425" s="48" t="s">
        <v>72</v>
      </c>
      <c r="I425" s="52">
        <v>1</v>
      </c>
      <c r="J425" s="52"/>
      <c r="K425" s="52" t="s">
        <v>73</v>
      </c>
      <c r="L425" s="52" t="s">
        <v>74</v>
      </c>
      <c r="M425" s="53" t="s">
        <v>917</v>
      </c>
      <c r="N425" s="58" t="s">
        <v>73</v>
      </c>
      <c r="O425" s="48" t="s">
        <v>72</v>
      </c>
      <c r="P425" s="48" t="s">
        <v>73</v>
      </c>
      <c r="Q425" s="54" t="s">
        <v>73</v>
      </c>
      <c r="R425" s="55" t="s">
        <v>73</v>
      </c>
      <c r="S425" s="48" t="s">
        <v>73</v>
      </c>
      <c r="T425" s="121" t="str" cm="1">
        <f t="array" ref="T425">IF(ISNUMBER(SEARCH("SCHNEIDER",D425)),_xlfn.IFS(ISNUMBER(SEARCH("2 Querétaro",D425)),"SQ2",ISNUMBER(SEARCH("Xicohténcatl",D425)),"SXC",ISNUMBER(SEARCH("Rojo Gómez",D425)),"SRG",ISNUMBER(SEARCH("Tlaxcala",D425)),"STX",ISNUMBER(SEARCH("Monterrey",D425)),"SMY",ISNUMBER(SEARCH("Querétaro",D425)),"SQ1",ISNUMBER(SEARCH("CDMX",D425)),"SCM",TRUE,""),"")</f>
        <v/>
      </c>
      <c r="U425" s="48" t="str" cm="1">
        <f t="array" ref="U425">_xlfn.LET(_xlpm.resultados,_xlfn.UNIQUE(_xlfn._xlws.FILTER(Tabla1[Proceso],(Tabla1[Metal Base]=O425)*(Tabla1[Etiquetas]=_xlfn.TEXTJOIN(" + ",TRUE,IF((TRIM(Upload!P425:S425)="")+(LOWER(TRIM(Upload!P425:S425))="(seleccione)"),"",PROPER(TRIM(Upload!P425:S425)))))*(Tabla1[Línea2]=IFERROR(VLOOKUP(Upload!N425&amp;"*",CAT_Procesos!D:D,1,FALSE),"")))),_xlpm.cantidad,ROWS(_xlpm.resultados),IF(ISERROR(_xlpm.cantidad),"Combinación no existente",IF(_xlpm.cantidad=1,INDEX(_xlpm.resultados,1),"(seleccione)")))</f>
        <v>Combinación no existente</v>
      </c>
      <c r="V425" s="55" t="s">
        <v>73</v>
      </c>
      <c r="W425" s="56" t="s">
        <v>73</v>
      </c>
      <c r="X425" s="57" t="str">
        <f t="shared" si="24"/>
        <v/>
      </c>
      <c r="Y425" s="58" t="s">
        <v>73</v>
      </c>
      <c r="Z425" s="57" t="str">
        <f t="shared" si="25"/>
        <v/>
      </c>
      <c r="AA425" s="58" t="s">
        <v>73</v>
      </c>
      <c r="AB425" s="57" t="str">
        <f t="shared" si="26"/>
        <v/>
      </c>
      <c r="AC425" s="58" t="s">
        <v>73</v>
      </c>
      <c r="AD425" s="57" t="str">
        <f t="shared" si="27"/>
        <v/>
      </c>
      <c r="AE425" s="59"/>
      <c r="AF425" s="59"/>
      <c r="AG425" s="59"/>
      <c r="AH425" s="59"/>
      <c r="AI425" s="59" t="s">
        <v>73</v>
      </c>
      <c r="AJ425" s="59"/>
      <c r="AK425" s="59" t="s">
        <v>73</v>
      </c>
      <c r="AL425" s="59"/>
      <c r="AM425" s="59" t="s">
        <v>73</v>
      </c>
      <c r="AN425" s="59"/>
      <c r="AO425" s="59" t="s">
        <v>73</v>
      </c>
      <c r="AP425" s="59"/>
      <c r="AQ425" s="59" t="s">
        <v>73</v>
      </c>
      <c r="AR425" s="59"/>
      <c r="AS425" s="59" t="s">
        <v>72</v>
      </c>
      <c r="AT425" s="59"/>
      <c r="AU425" s="59"/>
      <c r="AV425" s="59"/>
      <c r="AW425" s="59"/>
      <c r="AX425" s="59"/>
      <c r="AY425" s="60" t="str">
        <f>IF('Cálculo MP'!K435="","",'Cálculo MP'!K435)</f>
        <v/>
      </c>
      <c r="AZ425" s="60" t="str">
        <f>IF('Cálculo MP'!L435="","",'Cálculo MP'!L435)</f>
        <v/>
      </c>
      <c r="BA425" s="60" t="str">
        <f>IF('Cálculo MP'!M435="","",'Cálculo MP'!M435)</f>
        <v/>
      </c>
      <c r="BB425" s="60" t="str">
        <f>IF('Cálculo MP'!N435="","",'Cálculo MP'!N435)</f>
        <v/>
      </c>
      <c r="BC425" s="60" t="str">
        <f>IF('Cálculo MP'!O435="","",'Cálculo MP'!O435)</f>
        <v/>
      </c>
      <c r="BD425" s="60" t="str">
        <f>IF('Cálculo MP'!P435="","",'Cálculo MP'!P435)</f>
        <v/>
      </c>
      <c r="BE425" s="60" t="str">
        <f>IF('Cálculo MP'!Q435="","",'Cálculo MP'!Q435)</f>
        <v/>
      </c>
      <c r="BF425" s="60" t="str">
        <f>IF('Cálculo MP'!R435="","",'Cálculo MP'!R435)</f>
        <v/>
      </c>
      <c r="BG425" s="60" t="str">
        <f>IF('Cálculo MP'!S435="","",'Cálculo MP'!S435)</f>
        <v/>
      </c>
      <c r="BH425" s="59"/>
      <c r="BI425" s="59"/>
      <c r="BJ425" s="59"/>
      <c r="BK425" s="59"/>
      <c r="BL425" s="59"/>
      <c r="BM425" s="59"/>
      <c r="BN425" s="59"/>
      <c r="BO425" s="59"/>
    </row>
    <row r="426" spans="1:67" ht="19.5" customHeight="1" x14ac:dyDescent="0.2">
      <c r="A426" s="114" t="s">
        <v>1789</v>
      </c>
      <c r="B426" s="113" t="s">
        <v>1787</v>
      </c>
      <c r="C426" s="122"/>
      <c r="D426" s="48" t="s">
        <v>73</v>
      </c>
      <c r="E426" s="49"/>
      <c r="F426" s="50"/>
      <c r="G426" s="62"/>
      <c r="H426" s="48" t="s">
        <v>72</v>
      </c>
      <c r="I426" s="52">
        <v>1</v>
      </c>
      <c r="J426" s="52"/>
      <c r="K426" s="52" t="s">
        <v>73</v>
      </c>
      <c r="L426" s="52" t="s">
        <v>74</v>
      </c>
      <c r="M426" s="53" t="s">
        <v>917</v>
      </c>
      <c r="N426" s="58" t="s">
        <v>73</v>
      </c>
      <c r="O426" s="48" t="s">
        <v>72</v>
      </c>
      <c r="P426" s="48" t="s">
        <v>73</v>
      </c>
      <c r="Q426" s="54" t="s">
        <v>73</v>
      </c>
      <c r="R426" s="55" t="s">
        <v>73</v>
      </c>
      <c r="S426" s="48" t="s">
        <v>73</v>
      </c>
      <c r="T426" s="121" t="str" cm="1">
        <f t="array" ref="T426">IF(ISNUMBER(SEARCH("SCHNEIDER",D426)),_xlfn.IFS(ISNUMBER(SEARCH("2 Querétaro",D426)),"SQ2",ISNUMBER(SEARCH("Xicohténcatl",D426)),"SXC",ISNUMBER(SEARCH("Rojo Gómez",D426)),"SRG",ISNUMBER(SEARCH("Tlaxcala",D426)),"STX",ISNUMBER(SEARCH("Monterrey",D426)),"SMY",ISNUMBER(SEARCH("Querétaro",D426)),"SQ1",ISNUMBER(SEARCH("CDMX",D426)),"SCM",TRUE,""),"")</f>
        <v/>
      </c>
      <c r="U426" s="48" t="str" cm="1">
        <f t="array" ref="U426">_xlfn.LET(_xlpm.resultados,_xlfn.UNIQUE(_xlfn._xlws.FILTER(Tabla1[Proceso],(Tabla1[Metal Base]=O426)*(Tabla1[Etiquetas]=_xlfn.TEXTJOIN(" + ",TRUE,IF((TRIM(Upload!P426:S426)="")+(LOWER(TRIM(Upload!P426:S426))="(seleccione)"),"",PROPER(TRIM(Upload!P426:S426)))))*(Tabla1[Línea2]=IFERROR(VLOOKUP(Upload!N426&amp;"*",CAT_Procesos!D:D,1,FALSE),"")))),_xlpm.cantidad,ROWS(_xlpm.resultados),IF(ISERROR(_xlpm.cantidad),"Combinación no existente",IF(_xlpm.cantidad=1,INDEX(_xlpm.resultados,1),"(seleccione)")))</f>
        <v>Combinación no existente</v>
      </c>
      <c r="V426" s="55" t="s">
        <v>73</v>
      </c>
      <c r="W426" s="56" t="s">
        <v>73</v>
      </c>
      <c r="X426" s="57" t="str">
        <f t="shared" si="24"/>
        <v/>
      </c>
      <c r="Y426" s="58" t="s">
        <v>73</v>
      </c>
      <c r="Z426" s="57" t="str">
        <f t="shared" si="25"/>
        <v/>
      </c>
      <c r="AA426" s="58" t="s">
        <v>73</v>
      </c>
      <c r="AB426" s="57" t="str">
        <f t="shared" si="26"/>
        <v/>
      </c>
      <c r="AC426" s="58" t="s">
        <v>73</v>
      </c>
      <c r="AD426" s="57" t="str">
        <f t="shared" si="27"/>
        <v/>
      </c>
      <c r="AE426" s="59"/>
      <c r="AF426" s="59"/>
      <c r="AG426" s="59"/>
      <c r="AH426" s="59"/>
      <c r="AI426" s="59" t="s">
        <v>73</v>
      </c>
      <c r="AJ426" s="59"/>
      <c r="AK426" s="59" t="s">
        <v>73</v>
      </c>
      <c r="AL426" s="59"/>
      <c r="AM426" s="59" t="s">
        <v>73</v>
      </c>
      <c r="AN426" s="59"/>
      <c r="AO426" s="59" t="s">
        <v>73</v>
      </c>
      <c r="AP426" s="59"/>
      <c r="AQ426" s="59" t="s">
        <v>73</v>
      </c>
      <c r="AR426" s="59"/>
      <c r="AS426" s="59" t="s">
        <v>72</v>
      </c>
      <c r="AT426" s="59"/>
      <c r="AU426" s="59"/>
      <c r="AV426" s="59"/>
      <c r="AW426" s="59"/>
      <c r="AX426" s="59"/>
      <c r="AY426" s="60" t="str">
        <f>IF('Cálculo MP'!K436="","",'Cálculo MP'!K436)</f>
        <v/>
      </c>
      <c r="AZ426" s="60" t="str">
        <f>IF('Cálculo MP'!L436="","",'Cálculo MP'!L436)</f>
        <v/>
      </c>
      <c r="BA426" s="60" t="str">
        <f>IF('Cálculo MP'!M436="","",'Cálculo MP'!M436)</f>
        <v/>
      </c>
      <c r="BB426" s="60" t="str">
        <f>IF('Cálculo MP'!N436="","",'Cálculo MP'!N436)</f>
        <v/>
      </c>
      <c r="BC426" s="60" t="str">
        <f>IF('Cálculo MP'!O436="","",'Cálculo MP'!O436)</f>
        <v/>
      </c>
      <c r="BD426" s="60" t="str">
        <f>IF('Cálculo MP'!P436="","",'Cálculo MP'!P436)</f>
        <v/>
      </c>
      <c r="BE426" s="60" t="str">
        <f>IF('Cálculo MP'!Q436="","",'Cálculo MP'!Q436)</f>
        <v/>
      </c>
      <c r="BF426" s="60" t="str">
        <f>IF('Cálculo MP'!R436="","",'Cálculo MP'!R436)</f>
        <v/>
      </c>
      <c r="BG426" s="60" t="str">
        <f>IF('Cálculo MP'!S436="","",'Cálculo MP'!S436)</f>
        <v/>
      </c>
      <c r="BH426" s="59"/>
      <c r="BI426" s="59"/>
      <c r="BJ426" s="59"/>
      <c r="BK426" s="59"/>
      <c r="BL426" s="59"/>
      <c r="BM426" s="59"/>
      <c r="BN426" s="59"/>
      <c r="BO426" s="59"/>
    </row>
    <row r="427" spans="1:67" ht="19.5" customHeight="1" x14ac:dyDescent="0.2">
      <c r="A427" s="114" t="s">
        <v>1789</v>
      </c>
      <c r="B427" s="113" t="s">
        <v>1787</v>
      </c>
      <c r="C427" s="122"/>
      <c r="D427" s="48" t="s">
        <v>73</v>
      </c>
      <c r="E427" s="49"/>
      <c r="F427" s="50"/>
      <c r="G427" s="62"/>
      <c r="H427" s="48" t="s">
        <v>72</v>
      </c>
      <c r="I427" s="52">
        <v>1</v>
      </c>
      <c r="J427" s="52"/>
      <c r="K427" s="52" t="s">
        <v>73</v>
      </c>
      <c r="L427" s="52" t="s">
        <v>74</v>
      </c>
      <c r="M427" s="53" t="s">
        <v>917</v>
      </c>
      <c r="N427" s="58" t="s">
        <v>73</v>
      </c>
      <c r="O427" s="48" t="s">
        <v>72</v>
      </c>
      <c r="P427" s="48" t="s">
        <v>73</v>
      </c>
      <c r="Q427" s="54" t="s">
        <v>73</v>
      </c>
      <c r="R427" s="55" t="s">
        <v>73</v>
      </c>
      <c r="S427" s="48" t="s">
        <v>73</v>
      </c>
      <c r="T427" s="121" t="str" cm="1">
        <f t="array" ref="T427">IF(ISNUMBER(SEARCH("SCHNEIDER",D427)),_xlfn.IFS(ISNUMBER(SEARCH("2 Querétaro",D427)),"SQ2",ISNUMBER(SEARCH("Xicohténcatl",D427)),"SXC",ISNUMBER(SEARCH("Rojo Gómez",D427)),"SRG",ISNUMBER(SEARCH("Tlaxcala",D427)),"STX",ISNUMBER(SEARCH("Monterrey",D427)),"SMY",ISNUMBER(SEARCH("Querétaro",D427)),"SQ1",ISNUMBER(SEARCH("CDMX",D427)),"SCM",TRUE,""),"")</f>
        <v/>
      </c>
      <c r="U427" s="48" t="str" cm="1">
        <f t="array" ref="U427">_xlfn.LET(_xlpm.resultados,_xlfn.UNIQUE(_xlfn._xlws.FILTER(Tabla1[Proceso],(Tabla1[Metal Base]=O427)*(Tabla1[Etiquetas]=_xlfn.TEXTJOIN(" + ",TRUE,IF((TRIM(Upload!P427:S427)="")+(LOWER(TRIM(Upload!P427:S427))="(seleccione)"),"",PROPER(TRIM(Upload!P427:S427)))))*(Tabla1[Línea2]=IFERROR(VLOOKUP(Upload!N427&amp;"*",CAT_Procesos!D:D,1,FALSE),"")))),_xlpm.cantidad,ROWS(_xlpm.resultados),IF(ISERROR(_xlpm.cantidad),"Combinación no existente",IF(_xlpm.cantidad=1,INDEX(_xlpm.resultados,1),"(seleccione)")))</f>
        <v>Combinación no existente</v>
      </c>
      <c r="V427" s="55" t="s">
        <v>73</v>
      </c>
      <c r="W427" s="56" t="s">
        <v>73</v>
      </c>
      <c r="X427" s="57" t="str">
        <f t="shared" si="24"/>
        <v/>
      </c>
      <c r="Y427" s="58" t="s">
        <v>73</v>
      </c>
      <c r="Z427" s="57" t="str">
        <f t="shared" si="25"/>
        <v/>
      </c>
      <c r="AA427" s="58" t="s">
        <v>73</v>
      </c>
      <c r="AB427" s="57" t="str">
        <f t="shared" si="26"/>
        <v/>
      </c>
      <c r="AC427" s="58" t="s">
        <v>73</v>
      </c>
      <c r="AD427" s="57" t="str">
        <f t="shared" si="27"/>
        <v/>
      </c>
      <c r="AE427" s="59"/>
      <c r="AF427" s="59"/>
      <c r="AG427" s="59"/>
      <c r="AH427" s="59"/>
      <c r="AI427" s="59" t="s">
        <v>73</v>
      </c>
      <c r="AJ427" s="59"/>
      <c r="AK427" s="59" t="s">
        <v>73</v>
      </c>
      <c r="AL427" s="59"/>
      <c r="AM427" s="59" t="s">
        <v>73</v>
      </c>
      <c r="AN427" s="59"/>
      <c r="AO427" s="59" t="s">
        <v>73</v>
      </c>
      <c r="AP427" s="59"/>
      <c r="AQ427" s="59" t="s">
        <v>73</v>
      </c>
      <c r="AR427" s="59"/>
      <c r="AS427" s="59" t="s">
        <v>72</v>
      </c>
      <c r="AT427" s="59"/>
      <c r="AU427" s="59"/>
      <c r="AV427" s="59"/>
      <c r="AW427" s="59"/>
      <c r="AX427" s="59"/>
      <c r="AY427" s="60" t="str">
        <f>IF('Cálculo MP'!K437="","",'Cálculo MP'!K437)</f>
        <v/>
      </c>
      <c r="AZ427" s="60" t="str">
        <f>IF('Cálculo MP'!L437="","",'Cálculo MP'!L437)</f>
        <v/>
      </c>
      <c r="BA427" s="60" t="str">
        <f>IF('Cálculo MP'!M437="","",'Cálculo MP'!M437)</f>
        <v/>
      </c>
      <c r="BB427" s="60" t="str">
        <f>IF('Cálculo MP'!N437="","",'Cálculo MP'!N437)</f>
        <v/>
      </c>
      <c r="BC427" s="60" t="str">
        <f>IF('Cálculo MP'!O437="","",'Cálculo MP'!O437)</f>
        <v/>
      </c>
      <c r="BD427" s="60" t="str">
        <f>IF('Cálculo MP'!P437="","",'Cálculo MP'!P437)</f>
        <v/>
      </c>
      <c r="BE427" s="60" t="str">
        <f>IF('Cálculo MP'!Q437="","",'Cálculo MP'!Q437)</f>
        <v/>
      </c>
      <c r="BF427" s="60" t="str">
        <f>IF('Cálculo MP'!R437="","",'Cálculo MP'!R437)</f>
        <v/>
      </c>
      <c r="BG427" s="60" t="str">
        <f>IF('Cálculo MP'!S437="","",'Cálculo MP'!S437)</f>
        <v/>
      </c>
      <c r="BH427" s="59"/>
      <c r="BI427" s="59"/>
      <c r="BJ427" s="59"/>
      <c r="BK427" s="59"/>
      <c r="BL427" s="59"/>
      <c r="BM427" s="59"/>
      <c r="BN427" s="59"/>
      <c r="BO427" s="59"/>
    </row>
    <row r="428" spans="1:67" ht="19.5" customHeight="1" x14ac:dyDescent="0.2">
      <c r="A428" s="114" t="s">
        <v>1789</v>
      </c>
      <c r="B428" s="113" t="s">
        <v>1787</v>
      </c>
      <c r="C428" s="122"/>
      <c r="D428" s="48" t="s">
        <v>73</v>
      </c>
      <c r="E428" s="49"/>
      <c r="F428" s="50"/>
      <c r="G428" s="62"/>
      <c r="H428" s="48" t="s">
        <v>72</v>
      </c>
      <c r="I428" s="52">
        <v>1</v>
      </c>
      <c r="J428" s="52"/>
      <c r="K428" s="52" t="s">
        <v>73</v>
      </c>
      <c r="L428" s="52" t="s">
        <v>74</v>
      </c>
      <c r="M428" s="53" t="s">
        <v>917</v>
      </c>
      <c r="N428" s="58" t="s">
        <v>73</v>
      </c>
      <c r="O428" s="48" t="s">
        <v>72</v>
      </c>
      <c r="P428" s="48" t="s">
        <v>73</v>
      </c>
      <c r="Q428" s="54" t="s">
        <v>73</v>
      </c>
      <c r="R428" s="55" t="s">
        <v>73</v>
      </c>
      <c r="S428" s="48" t="s">
        <v>73</v>
      </c>
      <c r="T428" s="121" t="str" cm="1">
        <f t="array" ref="T428">IF(ISNUMBER(SEARCH("SCHNEIDER",D428)),_xlfn.IFS(ISNUMBER(SEARCH("2 Querétaro",D428)),"SQ2",ISNUMBER(SEARCH("Xicohténcatl",D428)),"SXC",ISNUMBER(SEARCH("Rojo Gómez",D428)),"SRG",ISNUMBER(SEARCH("Tlaxcala",D428)),"STX",ISNUMBER(SEARCH("Monterrey",D428)),"SMY",ISNUMBER(SEARCH("Querétaro",D428)),"SQ1",ISNUMBER(SEARCH("CDMX",D428)),"SCM",TRUE,""),"")</f>
        <v/>
      </c>
      <c r="U428" s="48" t="str" cm="1">
        <f t="array" ref="U428">_xlfn.LET(_xlpm.resultados,_xlfn.UNIQUE(_xlfn._xlws.FILTER(Tabla1[Proceso],(Tabla1[Metal Base]=O428)*(Tabla1[Etiquetas]=_xlfn.TEXTJOIN(" + ",TRUE,IF((TRIM(Upload!P428:S428)="")+(LOWER(TRIM(Upload!P428:S428))="(seleccione)"),"",PROPER(TRIM(Upload!P428:S428)))))*(Tabla1[Línea2]=IFERROR(VLOOKUP(Upload!N428&amp;"*",CAT_Procesos!D:D,1,FALSE),"")))),_xlpm.cantidad,ROWS(_xlpm.resultados),IF(ISERROR(_xlpm.cantidad),"Combinación no existente",IF(_xlpm.cantidad=1,INDEX(_xlpm.resultados,1),"(seleccione)")))</f>
        <v>Combinación no existente</v>
      </c>
      <c r="V428" s="55" t="s">
        <v>73</v>
      </c>
      <c r="W428" s="56" t="s">
        <v>73</v>
      </c>
      <c r="X428" s="57" t="str">
        <f t="shared" si="24"/>
        <v/>
      </c>
      <c r="Y428" s="58" t="s">
        <v>73</v>
      </c>
      <c r="Z428" s="57" t="str">
        <f t="shared" si="25"/>
        <v/>
      </c>
      <c r="AA428" s="58" t="s">
        <v>73</v>
      </c>
      <c r="AB428" s="57" t="str">
        <f t="shared" si="26"/>
        <v/>
      </c>
      <c r="AC428" s="58" t="s">
        <v>73</v>
      </c>
      <c r="AD428" s="57" t="str">
        <f t="shared" si="27"/>
        <v/>
      </c>
      <c r="AE428" s="59"/>
      <c r="AF428" s="59"/>
      <c r="AG428" s="59"/>
      <c r="AH428" s="59"/>
      <c r="AI428" s="59" t="s">
        <v>73</v>
      </c>
      <c r="AJ428" s="59"/>
      <c r="AK428" s="59" t="s">
        <v>73</v>
      </c>
      <c r="AL428" s="59"/>
      <c r="AM428" s="59" t="s">
        <v>73</v>
      </c>
      <c r="AN428" s="59"/>
      <c r="AO428" s="59" t="s">
        <v>73</v>
      </c>
      <c r="AP428" s="59"/>
      <c r="AQ428" s="59" t="s">
        <v>73</v>
      </c>
      <c r="AR428" s="59"/>
      <c r="AS428" s="59" t="s">
        <v>72</v>
      </c>
      <c r="AT428" s="59"/>
      <c r="AU428" s="59"/>
      <c r="AV428" s="59"/>
      <c r="AW428" s="59"/>
      <c r="AX428" s="59"/>
      <c r="AY428" s="60" t="str">
        <f>IF('Cálculo MP'!K438="","",'Cálculo MP'!K438)</f>
        <v/>
      </c>
      <c r="AZ428" s="60" t="str">
        <f>IF('Cálculo MP'!L438="","",'Cálculo MP'!L438)</f>
        <v/>
      </c>
      <c r="BA428" s="60" t="str">
        <f>IF('Cálculo MP'!M438="","",'Cálculo MP'!M438)</f>
        <v/>
      </c>
      <c r="BB428" s="60" t="str">
        <f>IF('Cálculo MP'!N438="","",'Cálculo MP'!N438)</f>
        <v/>
      </c>
      <c r="BC428" s="60" t="str">
        <f>IF('Cálculo MP'!O438="","",'Cálculo MP'!O438)</f>
        <v/>
      </c>
      <c r="BD428" s="60" t="str">
        <f>IF('Cálculo MP'!P438="","",'Cálculo MP'!P438)</f>
        <v/>
      </c>
      <c r="BE428" s="60" t="str">
        <f>IF('Cálculo MP'!Q438="","",'Cálculo MP'!Q438)</f>
        <v/>
      </c>
      <c r="BF428" s="60" t="str">
        <f>IF('Cálculo MP'!R438="","",'Cálculo MP'!R438)</f>
        <v/>
      </c>
      <c r="BG428" s="60" t="str">
        <f>IF('Cálculo MP'!S438="","",'Cálculo MP'!S438)</f>
        <v/>
      </c>
      <c r="BH428" s="59"/>
      <c r="BI428" s="59"/>
      <c r="BJ428" s="59"/>
      <c r="BK428" s="59"/>
      <c r="BL428" s="59"/>
      <c r="BM428" s="59"/>
      <c r="BN428" s="59"/>
      <c r="BO428" s="59"/>
    </row>
    <row r="429" spans="1:67" ht="19.5" customHeight="1" x14ac:dyDescent="0.2">
      <c r="A429" s="114" t="s">
        <v>1789</v>
      </c>
      <c r="B429" s="113" t="s">
        <v>1787</v>
      </c>
      <c r="C429" s="122"/>
      <c r="D429" s="48" t="s">
        <v>73</v>
      </c>
      <c r="E429" s="49"/>
      <c r="F429" s="50"/>
      <c r="G429" s="62"/>
      <c r="H429" s="48" t="s">
        <v>72</v>
      </c>
      <c r="I429" s="52">
        <v>1</v>
      </c>
      <c r="J429" s="52"/>
      <c r="K429" s="52" t="s">
        <v>73</v>
      </c>
      <c r="L429" s="52" t="s">
        <v>74</v>
      </c>
      <c r="M429" s="53" t="s">
        <v>917</v>
      </c>
      <c r="N429" s="58" t="s">
        <v>73</v>
      </c>
      <c r="O429" s="48" t="s">
        <v>72</v>
      </c>
      <c r="P429" s="48" t="s">
        <v>73</v>
      </c>
      <c r="Q429" s="54" t="s">
        <v>73</v>
      </c>
      <c r="R429" s="55" t="s">
        <v>73</v>
      </c>
      <c r="S429" s="48" t="s">
        <v>73</v>
      </c>
      <c r="T429" s="121" t="str" cm="1">
        <f t="array" ref="T429">IF(ISNUMBER(SEARCH("SCHNEIDER",D429)),_xlfn.IFS(ISNUMBER(SEARCH("2 Querétaro",D429)),"SQ2",ISNUMBER(SEARCH("Xicohténcatl",D429)),"SXC",ISNUMBER(SEARCH("Rojo Gómez",D429)),"SRG",ISNUMBER(SEARCH("Tlaxcala",D429)),"STX",ISNUMBER(SEARCH("Monterrey",D429)),"SMY",ISNUMBER(SEARCH("Querétaro",D429)),"SQ1",ISNUMBER(SEARCH("CDMX",D429)),"SCM",TRUE,""),"")</f>
        <v/>
      </c>
      <c r="U429" s="48" t="str" cm="1">
        <f t="array" ref="U429">_xlfn.LET(_xlpm.resultados,_xlfn.UNIQUE(_xlfn._xlws.FILTER(Tabla1[Proceso],(Tabla1[Metal Base]=O429)*(Tabla1[Etiquetas]=_xlfn.TEXTJOIN(" + ",TRUE,IF((TRIM(Upload!P429:S429)="")+(LOWER(TRIM(Upload!P429:S429))="(seleccione)"),"",PROPER(TRIM(Upload!P429:S429)))))*(Tabla1[Línea2]=IFERROR(VLOOKUP(Upload!N429&amp;"*",CAT_Procesos!D:D,1,FALSE),"")))),_xlpm.cantidad,ROWS(_xlpm.resultados),IF(ISERROR(_xlpm.cantidad),"Combinación no existente",IF(_xlpm.cantidad=1,INDEX(_xlpm.resultados,1),"(seleccione)")))</f>
        <v>Combinación no existente</v>
      </c>
      <c r="V429" s="55" t="s">
        <v>73</v>
      </c>
      <c r="W429" s="56" t="s">
        <v>73</v>
      </c>
      <c r="X429" s="57" t="str">
        <f t="shared" si="24"/>
        <v/>
      </c>
      <c r="Y429" s="58" t="s">
        <v>73</v>
      </c>
      <c r="Z429" s="57" t="str">
        <f t="shared" si="25"/>
        <v/>
      </c>
      <c r="AA429" s="58" t="s">
        <v>73</v>
      </c>
      <c r="AB429" s="57" t="str">
        <f t="shared" si="26"/>
        <v/>
      </c>
      <c r="AC429" s="58" t="s">
        <v>73</v>
      </c>
      <c r="AD429" s="57" t="str">
        <f t="shared" si="27"/>
        <v/>
      </c>
      <c r="AE429" s="59"/>
      <c r="AF429" s="59"/>
      <c r="AG429" s="59"/>
      <c r="AH429" s="59"/>
      <c r="AI429" s="59" t="s">
        <v>73</v>
      </c>
      <c r="AJ429" s="59"/>
      <c r="AK429" s="59" t="s">
        <v>73</v>
      </c>
      <c r="AL429" s="59"/>
      <c r="AM429" s="59" t="s">
        <v>73</v>
      </c>
      <c r="AN429" s="59"/>
      <c r="AO429" s="59" t="s">
        <v>73</v>
      </c>
      <c r="AP429" s="59"/>
      <c r="AQ429" s="59" t="s">
        <v>73</v>
      </c>
      <c r="AR429" s="59"/>
      <c r="AS429" s="59" t="s">
        <v>72</v>
      </c>
      <c r="AT429" s="59"/>
      <c r="AU429" s="59"/>
      <c r="AV429" s="59"/>
      <c r="AW429" s="59"/>
      <c r="AX429" s="59"/>
      <c r="AY429" s="60" t="str">
        <f>IF('Cálculo MP'!K439="","",'Cálculo MP'!K439)</f>
        <v/>
      </c>
      <c r="AZ429" s="60" t="str">
        <f>IF('Cálculo MP'!L439="","",'Cálculo MP'!L439)</f>
        <v/>
      </c>
      <c r="BA429" s="60" t="str">
        <f>IF('Cálculo MP'!M439="","",'Cálculo MP'!M439)</f>
        <v/>
      </c>
      <c r="BB429" s="60" t="str">
        <f>IF('Cálculo MP'!N439="","",'Cálculo MP'!N439)</f>
        <v/>
      </c>
      <c r="BC429" s="60" t="str">
        <f>IF('Cálculo MP'!O439="","",'Cálculo MP'!O439)</f>
        <v/>
      </c>
      <c r="BD429" s="60" t="str">
        <f>IF('Cálculo MP'!P439="","",'Cálculo MP'!P439)</f>
        <v/>
      </c>
      <c r="BE429" s="60" t="str">
        <f>IF('Cálculo MP'!Q439="","",'Cálculo MP'!Q439)</f>
        <v/>
      </c>
      <c r="BF429" s="60" t="str">
        <f>IF('Cálculo MP'!R439="","",'Cálculo MP'!R439)</f>
        <v/>
      </c>
      <c r="BG429" s="60" t="str">
        <f>IF('Cálculo MP'!S439="","",'Cálculo MP'!S439)</f>
        <v/>
      </c>
      <c r="BH429" s="59"/>
      <c r="BI429" s="59"/>
      <c r="BJ429" s="59"/>
      <c r="BK429" s="59"/>
      <c r="BL429" s="59"/>
      <c r="BM429" s="59"/>
      <c r="BN429" s="59"/>
      <c r="BO429" s="59"/>
    </row>
    <row r="430" spans="1:67" ht="19.5" customHeight="1" x14ac:dyDescent="0.2">
      <c r="A430" s="114" t="s">
        <v>1789</v>
      </c>
      <c r="B430" s="113" t="s">
        <v>1787</v>
      </c>
      <c r="C430" s="122"/>
      <c r="D430" s="48" t="s">
        <v>73</v>
      </c>
      <c r="E430" s="49"/>
      <c r="F430" s="50"/>
      <c r="G430" s="62"/>
      <c r="H430" s="48" t="s">
        <v>72</v>
      </c>
      <c r="I430" s="52">
        <v>1</v>
      </c>
      <c r="J430" s="52"/>
      <c r="K430" s="52" t="s">
        <v>73</v>
      </c>
      <c r="L430" s="52" t="s">
        <v>74</v>
      </c>
      <c r="M430" s="53" t="s">
        <v>917</v>
      </c>
      <c r="N430" s="58" t="s">
        <v>73</v>
      </c>
      <c r="O430" s="48" t="s">
        <v>72</v>
      </c>
      <c r="P430" s="48" t="s">
        <v>73</v>
      </c>
      <c r="Q430" s="54" t="s">
        <v>73</v>
      </c>
      <c r="R430" s="55" t="s">
        <v>73</v>
      </c>
      <c r="S430" s="48" t="s">
        <v>73</v>
      </c>
      <c r="T430" s="121" t="str" cm="1">
        <f t="array" ref="T430">IF(ISNUMBER(SEARCH("SCHNEIDER",D430)),_xlfn.IFS(ISNUMBER(SEARCH("2 Querétaro",D430)),"SQ2",ISNUMBER(SEARCH("Xicohténcatl",D430)),"SXC",ISNUMBER(SEARCH("Rojo Gómez",D430)),"SRG",ISNUMBER(SEARCH("Tlaxcala",D430)),"STX",ISNUMBER(SEARCH("Monterrey",D430)),"SMY",ISNUMBER(SEARCH("Querétaro",D430)),"SQ1",ISNUMBER(SEARCH("CDMX",D430)),"SCM",TRUE,""),"")</f>
        <v/>
      </c>
      <c r="U430" s="48" t="str" cm="1">
        <f t="array" ref="U430">_xlfn.LET(_xlpm.resultados,_xlfn.UNIQUE(_xlfn._xlws.FILTER(Tabla1[Proceso],(Tabla1[Metal Base]=O430)*(Tabla1[Etiquetas]=_xlfn.TEXTJOIN(" + ",TRUE,IF((TRIM(Upload!P430:S430)="")+(LOWER(TRIM(Upload!P430:S430))="(seleccione)"),"",PROPER(TRIM(Upload!P430:S430)))))*(Tabla1[Línea2]=IFERROR(VLOOKUP(Upload!N430&amp;"*",CAT_Procesos!D:D,1,FALSE),"")))),_xlpm.cantidad,ROWS(_xlpm.resultados),IF(ISERROR(_xlpm.cantidad),"Combinación no existente",IF(_xlpm.cantidad=1,INDEX(_xlpm.resultados,1),"(seleccione)")))</f>
        <v>Combinación no existente</v>
      </c>
      <c r="V430" s="55" t="s">
        <v>73</v>
      </c>
      <c r="W430" s="56" t="s">
        <v>73</v>
      </c>
      <c r="X430" s="57" t="str">
        <f t="shared" si="24"/>
        <v/>
      </c>
      <c r="Y430" s="58" t="s">
        <v>73</v>
      </c>
      <c r="Z430" s="57" t="str">
        <f t="shared" si="25"/>
        <v/>
      </c>
      <c r="AA430" s="58" t="s">
        <v>73</v>
      </c>
      <c r="AB430" s="57" t="str">
        <f t="shared" si="26"/>
        <v/>
      </c>
      <c r="AC430" s="58" t="s">
        <v>73</v>
      </c>
      <c r="AD430" s="57" t="str">
        <f t="shared" si="27"/>
        <v/>
      </c>
      <c r="AE430" s="59"/>
      <c r="AF430" s="59"/>
      <c r="AG430" s="59"/>
      <c r="AH430" s="59"/>
      <c r="AI430" s="59" t="s">
        <v>73</v>
      </c>
      <c r="AJ430" s="59"/>
      <c r="AK430" s="59" t="s">
        <v>73</v>
      </c>
      <c r="AL430" s="59"/>
      <c r="AM430" s="59" t="s">
        <v>73</v>
      </c>
      <c r="AN430" s="59"/>
      <c r="AO430" s="59" t="s">
        <v>73</v>
      </c>
      <c r="AP430" s="59"/>
      <c r="AQ430" s="59" t="s">
        <v>73</v>
      </c>
      <c r="AR430" s="59"/>
      <c r="AS430" s="59" t="s">
        <v>72</v>
      </c>
      <c r="AT430" s="59"/>
      <c r="AU430" s="59"/>
      <c r="AV430" s="59"/>
      <c r="AW430" s="59"/>
      <c r="AX430" s="59"/>
      <c r="AY430" s="60" t="str">
        <f>IF('Cálculo MP'!K440="","",'Cálculo MP'!K440)</f>
        <v/>
      </c>
      <c r="AZ430" s="60" t="str">
        <f>IF('Cálculo MP'!L440="","",'Cálculo MP'!L440)</f>
        <v/>
      </c>
      <c r="BA430" s="60" t="str">
        <f>IF('Cálculo MP'!M440="","",'Cálculo MP'!M440)</f>
        <v/>
      </c>
      <c r="BB430" s="60" t="str">
        <f>IF('Cálculo MP'!N440="","",'Cálculo MP'!N440)</f>
        <v/>
      </c>
      <c r="BC430" s="60" t="str">
        <f>IF('Cálculo MP'!O440="","",'Cálculo MP'!O440)</f>
        <v/>
      </c>
      <c r="BD430" s="60" t="str">
        <f>IF('Cálculo MP'!P440="","",'Cálculo MP'!P440)</f>
        <v/>
      </c>
      <c r="BE430" s="60" t="str">
        <f>IF('Cálculo MP'!Q440="","",'Cálculo MP'!Q440)</f>
        <v/>
      </c>
      <c r="BF430" s="60" t="str">
        <f>IF('Cálculo MP'!R440="","",'Cálculo MP'!R440)</f>
        <v/>
      </c>
      <c r="BG430" s="60" t="str">
        <f>IF('Cálculo MP'!S440="","",'Cálculo MP'!S440)</f>
        <v/>
      </c>
      <c r="BH430" s="59"/>
      <c r="BI430" s="59"/>
      <c r="BJ430" s="59"/>
      <c r="BK430" s="59"/>
      <c r="BL430" s="59"/>
      <c r="BM430" s="59"/>
      <c r="BN430" s="59"/>
      <c r="BO430" s="59"/>
    </row>
    <row r="431" spans="1:67" ht="19.5" customHeight="1" x14ac:dyDescent="0.2">
      <c r="A431" s="114" t="s">
        <v>1789</v>
      </c>
      <c r="B431" s="113" t="s">
        <v>1787</v>
      </c>
      <c r="C431" s="122"/>
      <c r="D431" s="48" t="s">
        <v>73</v>
      </c>
      <c r="E431" s="49"/>
      <c r="F431" s="50"/>
      <c r="G431" s="62"/>
      <c r="H431" s="48" t="s">
        <v>72</v>
      </c>
      <c r="I431" s="52">
        <v>1</v>
      </c>
      <c r="J431" s="52"/>
      <c r="K431" s="52" t="s">
        <v>73</v>
      </c>
      <c r="L431" s="52" t="s">
        <v>74</v>
      </c>
      <c r="M431" s="53" t="s">
        <v>917</v>
      </c>
      <c r="N431" s="58" t="s">
        <v>73</v>
      </c>
      <c r="O431" s="48" t="s">
        <v>72</v>
      </c>
      <c r="P431" s="48" t="s">
        <v>73</v>
      </c>
      <c r="Q431" s="54" t="s">
        <v>73</v>
      </c>
      <c r="R431" s="55" t="s">
        <v>73</v>
      </c>
      <c r="S431" s="48" t="s">
        <v>73</v>
      </c>
      <c r="T431" s="121" t="str" cm="1">
        <f t="array" ref="T431">IF(ISNUMBER(SEARCH("SCHNEIDER",D431)),_xlfn.IFS(ISNUMBER(SEARCH("2 Querétaro",D431)),"SQ2",ISNUMBER(SEARCH("Xicohténcatl",D431)),"SXC",ISNUMBER(SEARCH("Rojo Gómez",D431)),"SRG",ISNUMBER(SEARCH("Tlaxcala",D431)),"STX",ISNUMBER(SEARCH("Monterrey",D431)),"SMY",ISNUMBER(SEARCH("Querétaro",D431)),"SQ1",ISNUMBER(SEARCH("CDMX",D431)),"SCM",TRUE,""),"")</f>
        <v/>
      </c>
      <c r="U431" s="48" t="str" cm="1">
        <f t="array" ref="U431">_xlfn.LET(_xlpm.resultados,_xlfn.UNIQUE(_xlfn._xlws.FILTER(Tabla1[Proceso],(Tabla1[Metal Base]=O431)*(Tabla1[Etiquetas]=_xlfn.TEXTJOIN(" + ",TRUE,IF((TRIM(Upload!P431:S431)="")+(LOWER(TRIM(Upload!P431:S431))="(seleccione)"),"",PROPER(TRIM(Upload!P431:S431)))))*(Tabla1[Línea2]=IFERROR(VLOOKUP(Upload!N431&amp;"*",CAT_Procesos!D:D,1,FALSE),"")))),_xlpm.cantidad,ROWS(_xlpm.resultados),IF(ISERROR(_xlpm.cantidad),"Combinación no existente",IF(_xlpm.cantidad=1,INDEX(_xlpm.resultados,1),"(seleccione)")))</f>
        <v>Combinación no existente</v>
      </c>
      <c r="V431" s="55" t="s">
        <v>73</v>
      </c>
      <c r="W431" s="56" t="s">
        <v>73</v>
      </c>
      <c r="X431" s="57" t="str">
        <f t="shared" si="24"/>
        <v/>
      </c>
      <c r="Y431" s="58" t="s">
        <v>73</v>
      </c>
      <c r="Z431" s="57" t="str">
        <f t="shared" si="25"/>
        <v/>
      </c>
      <c r="AA431" s="58" t="s">
        <v>73</v>
      </c>
      <c r="AB431" s="57" t="str">
        <f t="shared" si="26"/>
        <v/>
      </c>
      <c r="AC431" s="58" t="s">
        <v>73</v>
      </c>
      <c r="AD431" s="57" t="str">
        <f t="shared" si="27"/>
        <v/>
      </c>
      <c r="AE431" s="59"/>
      <c r="AF431" s="59"/>
      <c r="AG431" s="59"/>
      <c r="AH431" s="59"/>
      <c r="AI431" s="59" t="s">
        <v>73</v>
      </c>
      <c r="AJ431" s="59"/>
      <c r="AK431" s="59" t="s">
        <v>73</v>
      </c>
      <c r="AL431" s="59"/>
      <c r="AM431" s="59" t="s">
        <v>73</v>
      </c>
      <c r="AN431" s="59"/>
      <c r="AO431" s="59" t="s">
        <v>73</v>
      </c>
      <c r="AP431" s="59"/>
      <c r="AQ431" s="59" t="s">
        <v>73</v>
      </c>
      <c r="AR431" s="59"/>
      <c r="AS431" s="59" t="s">
        <v>72</v>
      </c>
      <c r="AT431" s="59"/>
      <c r="AU431" s="59"/>
      <c r="AV431" s="59"/>
      <c r="AW431" s="59"/>
      <c r="AX431" s="59"/>
      <c r="AY431" s="60" t="str">
        <f>IF('Cálculo MP'!K441="","",'Cálculo MP'!K441)</f>
        <v/>
      </c>
      <c r="AZ431" s="60" t="str">
        <f>IF('Cálculo MP'!L441="","",'Cálculo MP'!L441)</f>
        <v/>
      </c>
      <c r="BA431" s="60" t="str">
        <f>IF('Cálculo MP'!M441="","",'Cálculo MP'!M441)</f>
        <v/>
      </c>
      <c r="BB431" s="60" t="str">
        <f>IF('Cálculo MP'!N441="","",'Cálculo MP'!N441)</f>
        <v/>
      </c>
      <c r="BC431" s="60" t="str">
        <f>IF('Cálculo MP'!O441="","",'Cálculo MP'!O441)</f>
        <v/>
      </c>
      <c r="BD431" s="60" t="str">
        <f>IF('Cálculo MP'!P441="","",'Cálculo MP'!P441)</f>
        <v/>
      </c>
      <c r="BE431" s="60" t="str">
        <f>IF('Cálculo MP'!Q441="","",'Cálculo MP'!Q441)</f>
        <v/>
      </c>
      <c r="BF431" s="60" t="str">
        <f>IF('Cálculo MP'!R441="","",'Cálculo MP'!R441)</f>
        <v/>
      </c>
      <c r="BG431" s="60" t="str">
        <f>IF('Cálculo MP'!S441="","",'Cálculo MP'!S441)</f>
        <v/>
      </c>
      <c r="BH431" s="59"/>
      <c r="BI431" s="59"/>
      <c r="BJ431" s="59"/>
      <c r="BK431" s="59"/>
      <c r="BL431" s="59"/>
      <c r="BM431" s="59"/>
      <c r="BN431" s="59"/>
      <c r="BO431" s="59"/>
    </row>
    <row r="432" spans="1:67" ht="19.5" customHeight="1" x14ac:dyDescent="0.2">
      <c r="A432" s="114" t="s">
        <v>1789</v>
      </c>
      <c r="B432" s="113" t="s">
        <v>1787</v>
      </c>
      <c r="C432" s="122"/>
      <c r="D432" s="48" t="s">
        <v>73</v>
      </c>
      <c r="E432" s="49"/>
      <c r="F432" s="50"/>
      <c r="G432" s="62"/>
      <c r="H432" s="48" t="s">
        <v>72</v>
      </c>
      <c r="I432" s="52">
        <v>1</v>
      </c>
      <c r="J432" s="52"/>
      <c r="K432" s="52" t="s">
        <v>73</v>
      </c>
      <c r="L432" s="52" t="s">
        <v>74</v>
      </c>
      <c r="M432" s="53" t="s">
        <v>917</v>
      </c>
      <c r="N432" s="58" t="s">
        <v>73</v>
      </c>
      <c r="O432" s="48" t="s">
        <v>72</v>
      </c>
      <c r="P432" s="48" t="s">
        <v>73</v>
      </c>
      <c r="Q432" s="54" t="s">
        <v>73</v>
      </c>
      <c r="R432" s="55" t="s">
        <v>73</v>
      </c>
      <c r="S432" s="48" t="s">
        <v>73</v>
      </c>
      <c r="T432" s="121" t="str" cm="1">
        <f t="array" ref="T432">IF(ISNUMBER(SEARCH("SCHNEIDER",D432)),_xlfn.IFS(ISNUMBER(SEARCH("2 Querétaro",D432)),"SQ2",ISNUMBER(SEARCH("Xicohténcatl",D432)),"SXC",ISNUMBER(SEARCH("Rojo Gómez",D432)),"SRG",ISNUMBER(SEARCH("Tlaxcala",D432)),"STX",ISNUMBER(SEARCH("Monterrey",D432)),"SMY",ISNUMBER(SEARCH("Querétaro",D432)),"SQ1",ISNUMBER(SEARCH("CDMX",D432)),"SCM",TRUE,""),"")</f>
        <v/>
      </c>
      <c r="U432" s="48" t="str" cm="1">
        <f t="array" ref="U432">_xlfn.LET(_xlpm.resultados,_xlfn.UNIQUE(_xlfn._xlws.FILTER(Tabla1[Proceso],(Tabla1[Metal Base]=O432)*(Tabla1[Etiquetas]=_xlfn.TEXTJOIN(" + ",TRUE,IF((TRIM(Upload!P432:S432)="")+(LOWER(TRIM(Upload!P432:S432))="(seleccione)"),"",PROPER(TRIM(Upload!P432:S432)))))*(Tabla1[Línea2]=IFERROR(VLOOKUP(Upload!N432&amp;"*",CAT_Procesos!D:D,1,FALSE),"")))),_xlpm.cantidad,ROWS(_xlpm.resultados),IF(ISERROR(_xlpm.cantidad),"Combinación no existente",IF(_xlpm.cantidad=1,INDEX(_xlpm.resultados,1),"(seleccione)")))</f>
        <v>Combinación no existente</v>
      </c>
      <c r="V432" s="55" t="s">
        <v>73</v>
      </c>
      <c r="W432" s="56" t="s">
        <v>73</v>
      </c>
      <c r="X432" s="57" t="str">
        <f t="shared" si="24"/>
        <v/>
      </c>
      <c r="Y432" s="58" t="s">
        <v>73</v>
      </c>
      <c r="Z432" s="57" t="str">
        <f t="shared" si="25"/>
        <v/>
      </c>
      <c r="AA432" s="58" t="s">
        <v>73</v>
      </c>
      <c r="AB432" s="57" t="str">
        <f t="shared" si="26"/>
        <v/>
      </c>
      <c r="AC432" s="58" t="s">
        <v>73</v>
      </c>
      <c r="AD432" s="57" t="str">
        <f t="shared" si="27"/>
        <v/>
      </c>
      <c r="AE432" s="59"/>
      <c r="AF432" s="59"/>
      <c r="AG432" s="59"/>
      <c r="AH432" s="59"/>
      <c r="AI432" s="59" t="s">
        <v>73</v>
      </c>
      <c r="AJ432" s="59"/>
      <c r="AK432" s="59" t="s">
        <v>73</v>
      </c>
      <c r="AL432" s="59"/>
      <c r="AM432" s="59" t="s">
        <v>73</v>
      </c>
      <c r="AN432" s="59"/>
      <c r="AO432" s="59" t="s">
        <v>73</v>
      </c>
      <c r="AP432" s="59"/>
      <c r="AQ432" s="59" t="s">
        <v>73</v>
      </c>
      <c r="AR432" s="59"/>
      <c r="AS432" s="59" t="s">
        <v>72</v>
      </c>
      <c r="AT432" s="59"/>
      <c r="AU432" s="59"/>
      <c r="AV432" s="59"/>
      <c r="AW432" s="59"/>
      <c r="AX432" s="59"/>
      <c r="AY432" s="60" t="str">
        <f>IF('Cálculo MP'!K442="","",'Cálculo MP'!K442)</f>
        <v/>
      </c>
      <c r="AZ432" s="60" t="str">
        <f>IF('Cálculo MP'!L442="","",'Cálculo MP'!L442)</f>
        <v/>
      </c>
      <c r="BA432" s="60" t="str">
        <f>IF('Cálculo MP'!M442="","",'Cálculo MP'!M442)</f>
        <v/>
      </c>
      <c r="BB432" s="60" t="str">
        <f>IF('Cálculo MP'!N442="","",'Cálculo MP'!N442)</f>
        <v/>
      </c>
      <c r="BC432" s="60" t="str">
        <f>IF('Cálculo MP'!O442="","",'Cálculo MP'!O442)</f>
        <v/>
      </c>
      <c r="BD432" s="60" t="str">
        <f>IF('Cálculo MP'!P442="","",'Cálculo MP'!P442)</f>
        <v/>
      </c>
      <c r="BE432" s="60" t="str">
        <f>IF('Cálculo MP'!Q442="","",'Cálculo MP'!Q442)</f>
        <v/>
      </c>
      <c r="BF432" s="60" t="str">
        <f>IF('Cálculo MP'!R442="","",'Cálculo MP'!R442)</f>
        <v/>
      </c>
      <c r="BG432" s="60" t="str">
        <f>IF('Cálculo MP'!S442="","",'Cálculo MP'!S442)</f>
        <v/>
      </c>
      <c r="BH432" s="59"/>
      <c r="BI432" s="59"/>
      <c r="BJ432" s="59"/>
      <c r="BK432" s="59"/>
      <c r="BL432" s="59"/>
      <c r="BM432" s="59"/>
      <c r="BN432" s="59"/>
      <c r="BO432" s="59"/>
    </row>
    <row r="433" spans="1:67" ht="19.5" customHeight="1" x14ac:dyDescent="0.2">
      <c r="A433" s="114" t="s">
        <v>1789</v>
      </c>
      <c r="B433" s="113" t="s">
        <v>1787</v>
      </c>
      <c r="C433" s="122"/>
      <c r="D433" s="48" t="s">
        <v>73</v>
      </c>
      <c r="E433" s="49"/>
      <c r="F433" s="50"/>
      <c r="G433" s="62"/>
      <c r="H433" s="48" t="s">
        <v>72</v>
      </c>
      <c r="I433" s="52">
        <v>1</v>
      </c>
      <c r="J433" s="52"/>
      <c r="K433" s="52" t="s">
        <v>73</v>
      </c>
      <c r="L433" s="52" t="s">
        <v>74</v>
      </c>
      <c r="M433" s="53" t="s">
        <v>917</v>
      </c>
      <c r="N433" s="58" t="s">
        <v>73</v>
      </c>
      <c r="O433" s="48" t="s">
        <v>72</v>
      </c>
      <c r="P433" s="48" t="s">
        <v>73</v>
      </c>
      <c r="Q433" s="54" t="s">
        <v>73</v>
      </c>
      <c r="R433" s="55" t="s">
        <v>73</v>
      </c>
      <c r="S433" s="48" t="s">
        <v>73</v>
      </c>
      <c r="T433" s="121" t="str" cm="1">
        <f t="array" ref="T433">IF(ISNUMBER(SEARCH("SCHNEIDER",D433)),_xlfn.IFS(ISNUMBER(SEARCH("2 Querétaro",D433)),"SQ2",ISNUMBER(SEARCH("Xicohténcatl",D433)),"SXC",ISNUMBER(SEARCH("Rojo Gómez",D433)),"SRG",ISNUMBER(SEARCH("Tlaxcala",D433)),"STX",ISNUMBER(SEARCH("Monterrey",D433)),"SMY",ISNUMBER(SEARCH("Querétaro",D433)),"SQ1",ISNUMBER(SEARCH("CDMX",D433)),"SCM",TRUE,""),"")</f>
        <v/>
      </c>
      <c r="U433" s="48" t="str" cm="1">
        <f t="array" ref="U433">_xlfn.LET(_xlpm.resultados,_xlfn.UNIQUE(_xlfn._xlws.FILTER(Tabla1[Proceso],(Tabla1[Metal Base]=O433)*(Tabla1[Etiquetas]=_xlfn.TEXTJOIN(" + ",TRUE,IF((TRIM(Upload!P433:S433)="")+(LOWER(TRIM(Upload!P433:S433))="(seleccione)"),"",PROPER(TRIM(Upload!P433:S433)))))*(Tabla1[Línea2]=IFERROR(VLOOKUP(Upload!N433&amp;"*",CAT_Procesos!D:D,1,FALSE),"")))),_xlpm.cantidad,ROWS(_xlpm.resultados),IF(ISERROR(_xlpm.cantidad),"Combinación no existente",IF(_xlpm.cantidad=1,INDEX(_xlpm.resultados,1),"(seleccione)")))</f>
        <v>Combinación no existente</v>
      </c>
      <c r="V433" s="55" t="s">
        <v>73</v>
      </c>
      <c r="W433" s="56" t="s">
        <v>73</v>
      </c>
      <c r="X433" s="57" t="str">
        <f t="shared" si="24"/>
        <v/>
      </c>
      <c r="Y433" s="58" t="s">
        <v>73</v>
      </c>
      <c r="Z433" s="57" t="str">
        <f t="shared" si="25"/>
        <v/>
      </c>
      <c r="AA433" s="58" t="s">
        <v>73</v>
      </c>
      <c r="AB433" s="57" t="str">
        <f t="shared" si="26"/>
        <v/>
      </c>
      <c r="AC433" s="58" t="s">
        <v>73</v>
      </c>
      <c r="AD433" s="57" t="str">
        <f t="shared" si="27"/>
        <v/>
      </c>
      <c r="AE433" s="59"/>
      <c r="AF433" s="59"/>
      <c r="AG433" s="59"/>
      <c r="AH433" s="59"/>
      <c r="AI433" s="59" t="s">
        <v>73</v>
      </c>
      <c r="AJ433" s="59"/>
      <c r="AK433" s="59" t="s">
        <v>73</v>
      </c>
      <c r="AL433" s="59"/>
      <c r="AM433" s="59" t="s">
        <v>73</v>
      </c>
      <c r="AN433" s="59"/>
      <c r="AO433" s="59" t="s">
        <v>73</v>
      </c>
      <c r="AP433" s="59"/>
      <c r="AQ433" s="59" t="s">
        <v>73</v>
      </c>
      <c r="AR433" s="59"/>
      <c r="AS433" s="59" t="s">
        <v>72</v>
      </c>
      <c r="AT433" s="59"/>
      <c r="AU433" s="59"/>
      <c r="AV433" s="59"/>
      <c r="AW433" s="59"/>
      <c r="AX433" s="59"/>
      <c r="AY433" s="60" t="str">
        <f>IF('Cálculo MP'!K443="","",'Cálculo MP'!K443)</f>
        <v/>
      </c>
      <c r="AZ433" s="60" t="str">
        <f>IF('Cálculo MP'!L443="","",'Cálculo MP'!L443)</f>
        <v/>
      </c>
      <c r="BA433" s="60" t="str">
        <f>IF('Cálculo MP'!M443="","",'Cálculo MP'!M443)</f>
        <v/>
      </c>
      <c r="BB433" s="60" t="str">
        <f>IF('Cálculo MP'!N443="","",'Cálculo MP'!N443)</f>
        <v/>
      </c>
      <c r="BC433" s="60" t="str">
        <f>IF('Cálculo MP'!O443="","",'Cálculo MP'!O443)</f>
        <v/>
      </c>
      <c r="BD433" s="60" t="str">
        <f>IF('Cálculo MP'!P443="","",'Cálculo MP'!P443)</f>
        <v/>
      </c>
      <c r="BE433" s="60" t="str">
        <f>IF('Cálculo MP'!Q443="","",'Cálculo MP'!Q443)</f>
        <v/>
      </c>
      <c r="BF433" s="60" t="str">
        <f>IF('Cálculo MP'!R443="","",'Cálculo MP'!R443)</f>
        <v/>
      </c>
      <c r="BG433" s="60" t="str">
        <f>IF('Cálculo MP'!S443="","",'Cálculo MP'!S443)</f>
        <v/>
      </c>
      <c r="BH433" s="59"/>
      <c r="BI433" s="59"/>
      <c r="BJ433" s="59"/>
      <c r="BK433" s="59"/>
      <c r="BL433" s="59"/>
      <c r="BM433" s="59"/>
      <c r="BN433" s="59"/>
      <c r="BO433" s="59"/>
    </row>
    <row r="434" spans="1:67" ht="19.5" customHeight="1" x14ac:dyDescent="0.2">
      <c r="A434" s="114" t="s">
        <v>1789</v>
      </c>
      <c r="B434" s="113" t="s">
        <v>1787</v>
      </c>
      <c r="C434" s="122"/>
      <c r="D434" s="48" t="s">
        <v>73</v>
      </c>
      <c r="E434" s="49"/>
      <c r="F434" s="50"/>
      <c r="G434" s="62"/>
      <c r="H434" s="48" t="s">
        <v>72</v>
      </c>
      <c r="I434" s="52">
        <v>1</v>
      </c>
      <c r="J434" s="52"/>
      <c r="K434" s="52" t="s">
        <v>73</v>
      </c>
      <c r="L434" s="52" t="s">
        <v>74</v>
      </c>
      <c r="M434" s="53" t="s">
        <v>917</v>
      </c>
      <c r="N434" s="58" t="s">
        <v>73</v>
      </c>
      <c r="O434" s="48" t="s">
        <v>72</v>
      </c>
      <c r="P434" s="48" t="s">
        <v>73</v>
      </c>
      <c r="Q434" s="54" t="s">
        <v>73</v>
      </c>
      <c r="R434" s="55" t="s">
        <v>73</v>
      </c>
      <c r="S434" s="48" t="s">
        <v>73</v>
      </c>
      <c r="T434" s="121" t="str" cm="1">
        <f t="array" ref="T434">IF(ISNUMBER(SEARCH("SCHNEIDER",D434)),_xlfn.IFS(ISNUMBER(SEARCH("2 Querétaro",D434)),"SQ2",ISNUMBER(SEARCH("Xicohténcatl",D434)),"SXC",ISNUMBER(SEARCH("Rojo Gómez",D434)),"SRG",ISNUMBER(SEARCH("Tlaxcala",D434)),"STX",ISNUMBER(SEARCH("Monterrey",D434)),"SMY",ISNUMBER(SEARCH("Querétaro",D434)),"SQ1",ISNUMBER(SEARCH("CDMX",D434)),"SCM",TRUE,""),"")</f>
        <v/>
      </c>
      <c r="U434" s="48" t="str" cm="1">
        <f t="array" ref="U434">_xlfn.LET(_xlpm.resultados,_xlfn.UNIQUE(_xlfn._xlws.FILTER(Tabla1[Proceso],(Tabla1[Metal Base]=O434)*(Tabla1[Etiquetas]=_xlfn.TEXTJOIN(" + ",TRUE,IF((TRIM(Upload!P434:S434)="")+(LOWER(TRIM(Upload!P434:S434))="(seleccione)"),"",PROPER(TRIM(Upload!P434:S434)))))*(Tabla1[Línea2]=IFERROR(VLOOKUP(Upload!N434&amp;"*",CAT_Procesos!D:D,1,FALSE),"")))),_xlpm.cantidad,ROWS(_xlpm.resultados),IF(ISERROR(_xlpm.cantidad),"Combinación no existente",IF(_xlpm.cantidad=1,INDEX(_xlpm.resultados,1),"(seleccione)")))</f>
        <v>Combinación no existente</v>
      </c>
      <c r="V434" s="55" t="s">
        <v>73</v>
      </c>
      <c r="W434" s="56" t="s">
        <v>73</v>
      </c>
      <c r="X434" s="57" t="str">
        <f t="shared" si="24"/>
        <v/>
      </c>
      <c r="Y434" s="58" t="s">
        <v>73</v>
      </c>
      <c r="Z434" s="57" t="str">
        <f t="shared" si="25"/>
        <v/>
      </c>
      <c r="AA434" s="58" t="s">
        <v>73</v>
      </c>
      <c r="AB434" s="57" t="str">
        <f t="shared" si="26"/>
        <v/>
      </c>
      <c r="AC434" s="58" t="s">
        <v>73</v>
      </c>
      <c r="AD434" s="57" t="str">
        <f t="shared" si="27"/>
        <v/>
      </c>
      <c r="AE434" s="59"/>
      <c r="AF434" s="59"/>
      <c r="AG434" s="59"/>
      <c r="AH434" s="59"/>
      <c r="AI434" s="59" t="s">
        <v>73</v>
      </c>
      <c r="AJ434" s="59"/>
      <c r="AK434" s="59" t="s">
        <v>73</v>
      </c>
      <c r="AL434" s="59"/>
      <c r="AM434" s="59" t="s">
        <v>73</v>
      </c>
      <c r="AN434" s="59"/>
      <c r="AO434" s="59" t="s">
        <v>73</v>
      </c>
      <c r="AP434" s="59"/>
      <c r="AQ434" s="59" t="s">
        <v>73</v>
      </c>
      <c r="AR434" s="59"/>
      <c r="AS434" s="59" t="s">
        <v>72</v>
      </c>
      <c r="AT434" s="59"/>
      <c r="AU434" s="59"/>
      <c r="AV434" s="59"/>
      <c r="AW434" s="59"/>
      <c r="AX434" s="59"/>
      <c r="AY434" s="60" t="str">
        <f>IF('Cálculo MP'!K444="","",'Cálculo MP'!K444)</f>
        <v/>
      </c>
      <c r="AZ434" s="60" t="str">
        <f>IF('Cálculo MP'!L444="","",'Cálculo MP'!L444)</f>
        <v/>
      </c>
      <c r="BA434" s="60" t="str">
        <f>IF('Cálculo MP'!M444="","",'Cálculo MP'!M444)</f>
        <v/>
      </c>
      <c r="BB434" s="60" t="str">
        <f>IF('Cálculo MP'!N444="","",'Cálculo MP'!N444)</f>
        <v/>
      </c>
      <c r="BC434" s="60" t="str">
        <f>IF('Cálculo MP'!O444="","",'Cálculo MP'!O444)</f>
        <v/>
      </c>
      <c r="BD434" s="60" t="str">
        <f>IF('Cálculo MP'!P444="","",'Cálculo MP'!P444)</f>
        <v/>
      </c>
      <c r="BE434" s="60" t="str">
        <f>IF('Cálculo MP'!Q444="","",'Cálculo MP'!Q444)</f>
        <v/>
      </c>
      <c r="BF434" s="60" t="str">
        <f>IF('Cálculo MP'!R444="","",'Cálculo MP'!R444)</f>
        <v/>
      </c>
      <c r="BG434" s="60" t="str">
        <f>IF('Cálculo MP'!S444="","",'Cálculo MP'!S444)</f>
        <v/>
      </c>
      <c r="BH434" s="59"/>
      <c r="BI434" s="59"/>
      <c r="BJ434" s="59"/>
      <c r="BK434" s="59"/>
      <c r="BL434" s="59"/>
      <c r="BM434" s="59"/>
      <c r="BN434" s="59"/>
      <c r="BO434" s="59"/>
    </row>
    <row r="435" spans="1:67" ht="19.5" customHeight="1" x14ac:dyDescent="0.2">
      <c r="A435" s="114" t="s">
        <v>1789</v>
      </c>
      <c r="B435" s="113" t="s">
        <v>1787</v>
      </c>
      <c r="C435" s="122"/>
      <c r="D435" s="48" t="s">
        <v>73</v>
      </c>
      <c r="E435" s="49"/>
      <c r="F435" s="50"/>
      <c r="G435" s="62"/>
      <c r="H435" s="48" t="s">
        <v>72</v>
      </c>
      <c r="I435" s="52">
        <v>1</v>
      </c>
      <c r="J435" s="52"/>
      <c r="K435" s="52" t="s">
        <v>73</v>
      </c>
      <c r="L435" s="52" t="s">
        <v>74</v>
      </c>
      <c r="M435" s="53" t="s">
        <v>917</v>
      </c>
      <c r="N435" s="58" t="s">
        <v>73</v>
      </c>
      <c r="O435" s="48" t="s">
        <v>72</v>
      </c>
      <c r="P435" s="48" t="s">
        <v>73</v>
      </c>
      <c r="Q435" s="54" t="s">
        <v>73</v>
      </c>
      <c r="R435" s="55" t="s">
        <v>73</v>
      </c>
      <c r="S435" s="48" t="s">
        <v>73</v>
      </c>
      <c r="T435" s="121" t="str" cm="1">
        <f t="array" ref="T435">IF(ISNUMBER(SEARCH("SCHNEIDER",D435)),_xlfn.IFS(ISNUMBER(SEARCH("2 Querétaro",D435)),"SQ2",ISNUMBER(SEARCH("Xicohténcatl",D435)),"SXC",ISNUMBER(SEARCH("Rojo Gómez",D435)),"SRG",ISNUMBER(SEARCH("Tlaxcala",D435)),"STX",ISNUMBER(SEARCH("Monterrey",D435)),"SMY",ISNUMBER(SEARCH("Querétaro",D435)),"SQ1",ISNUMBER(SEARCH("CDMX",D435)),"SCM",TRUE,""),"")</f>
        <v/>
      </c>
      <c r="U435" s="48" t="str" cm="1">
        <f t="array" ref="U435">_xlfn.LET(_xlpm.resultados,_xlfn.UNIQUE(_xlfn._xlws.FILTER(Tabla1[Proceso],(Tabla1[Metal Base]=O435)*(Tabla1[Etiquetas]=_xlfn.TEXTJOIN(" + ",TRUE,IF((TRIM(Upload!P435:S435)="")+(LOWER(TRIM(Upload!P435:S435))="(seleccione)"),"",PROPER(TRIM(Upload!P435:S435)))))*(Tabla1[Línea2]=IFERROR(VLOOKUP(Upload!N435&amp;"*",CAT_Procesos!D:D,1,FALSE),"")))),_xlpm.cantidad,ROWS(_xlpm.resultados),IF(ISERROR(_xlpm.cantidad),"Combinación no existente",IF(_xlpm.cantidad=1,INDEX(_xlpm.resultados,1),"(seleccione)")))</f>
        <v>Combinación no existente</v>
      </c>
      <c r="V435" s="55" t="s">
        <v>73</v>
      </c>
      <c r="W435" s="56" t="s">
        <v>73</v>
      </c>
      <c r="X435" s="57" t="str">
        <f t="shared" si="24"/>
        <v/>
      </c>
      <c r="Y435" s="58" t="s">
        <v>73</v>
      </c>
      <c r="Z435" s="57" t="str">
        <f t="shared" si="25"/>
        <v/>
      </c>
      <c r="AA435" s="58" t="s">
        <v>73</v>
      </c>
      <c r="AB435" s="57" t="str">
        <f t="shared" si="26"/>
        <v/>
      </c>
      <c r="AC435" s="58" t="s">
        <v>73</v>
      </c>
      <c r="AD435" s="57" t="str">
        <f t="shared" si="27"/>
        <v/>
      </c>
      <c r="AE435" s="59"/>
      <c r="AF435" s="59"/>
      <c r="AG435" s="59"/>
      <c r="AH435" s="59"/>
      <c r="AI435" s="59" t="s">
        <v>73</v>
      </c>
      <c r="AJ435" s="59"/>
      <c r="AK435" s="59" t="s">
        <v>73</v>
      </c>
      <c r="AL435" s="59"/>
      <c r="AM435" s="59" t="s">
        <v>73</v>
      </c>
      <c r="AN435" s="59"/>
      <c r="AO435" s="59" t="s">
        <v>73</v>
      </c>
      <c r="AP435" s="59"/>
      <c r="AQ435" s="59" t="s">
        <v>73</v>
      </c>
      <c r="AR435" s="59"/>
      <c r="AS435" s="59" t="s">
        <v>72</v>
      </c>
      <c r="AT435" s="59"/>
      <c r="AU435" s="59"/>
      <c r="AV435" s="59"/>
      <c r="AW435" s="59"/>
      <c r="AX435" s="59"/>
      <c r="AY435" s="60" t="str">
        <f>IF('Cálculo MP'!K445="","",'Cálculo MP'!K445)</f>
        <v/>
      </c>
      <c r="AZ435" s="60" t="str">
        <f>IF('Cálculo MP'!L445="","",'Cálculo MP'!L445)</f>
        <v/>
      </c>
      <c r="BA435" s="60" t="str">
        <f>IF('Cálculo MP'!M445="","",'Cálculo MP'!M445)</f>
        <v/>
      </c>
      <c r="BB435" s="60" t="str">
        <f>IF('Cálculo MP'!N445="","",'Cálculo MP'!N445)</f>
        <v/>
      </c>
      <c r="BC435" s="60" t="str">
        <f>IF('Cálculo MP'!O445="","",'Cálculo MP'!O445)</f>
        <v/>
      </c>
      <c r="BD435" s="60" t="str">
        <f>IF('Cálculo MP'!P445="","",'Cálculo MP'!P445)</f>
        <v/>
      </c>
      <c r="BE435" s="60" t="str">
        <f>IF('Cálculo MP'!Q445="","",'Cálculo MP'!Q445)</f>
        <v/>
      </c>
      <c r="BF435" s="60" t="str">
        <f>IF('Cálculo MP'!R445="","",'Cálculo MP'!R445)</f>
        <v/>
      </c>
      <c r="BG435" s="60" t="str">
        <f>IF('Cálculo MP'!S445="","",'Cálculo MP'!S445)</f>
        <v/>
      </c>
      <c r="BH435" s="59"/>
      <c r="BI435" s="59"/>
      <c r="BJ435" s="59"/>
      <c r="BK435" s="59"/>
      <c r="BL435" s="59"/>
      <c r="BM435" s="59"/>
      <c r="BN435" s="59"/>
      <c r="BO435" s="59"/>
    </row>
    <row r="436" spans="1:67" ht="19.5" customHeight="1" x14ac:dyDescent="0.2">
      <c r="A436" s="114" t="s">
        <v>1789</v>
      </c>
      <c r="B436" s="113" t="s">
        <v>1787</v>
      </c>
      <c r="C436" s="122"/>
      <c r="D436" s="48" t="s">
        <v>73</v>
      </c>
      <c r="E436" s="49"/>
      <c r="F436" s="50"/>
      <c r="G436" s="62"/>
      <c r="H436" s="48" t="s">
        <v>72</v>
      </c>
      <c r="I436" s="52">
        <v>1</v>
      </c>
      <c r="J436" s="52"/>
      <c r="K436" s="52" t="s">
        <v>73</v>
      </c>
      <c r="L436" s="52" t="s">
        <v>74</v>
      </c>
      <c r="M436" s="53" t="s">
        <v>917</v>
      </c>
      <c r="N436" s="58" t="s">
        <v>73</v>
      </c>
      <c r="O436" s="48" t="s">
        <v>72</v>
      </c>
      <c r="P436" s="48" t="s">
        <v>73</v>
      </c>
      <c r="Q436" s="54" t="s">
        <v>73</v>
      </c>
      <c r="R436" s="55" t="s">
        <v>73</v>
      </c>
      <c r="S436" s="48" t="s">
        <v>73</v>
      </c>
      <c r="T436" s="121" t="str" cm="1">
        <f t="array" ref="T436">IF(ISNUMBER(SEARCH("SCHNEIDER",D436)),_xlfn.IFS(ISNUMBER(SEARCH("2 Querétaro",D436)),"SQ2",ISNUMBER(SEARCH("Xicohténcatl",D436)),"SXC",ISNUMBER(SEARCH("Rojo Gómez",D436)),"SRG",ISNUMBER(SEARCH("Tlaxcala",D436)),"STX",ISNUMBER(SEARCH("Monterrey",D436)),"SMY",ISNUMBER(SEARCH("Querétaro",D436)),"SQ1",ISNUMBER(SEARCH("CDMX",D436)),"SCM",TRUE,""),"")</f>
        <v/>
      </c>
      <c r="U436" s="48" t="str" cm="1">
        <f t="array" ref="U436">_xlfn.LET(_xlpm.resultados,_xlfn.UNIQUE(_xlfn._xlws.FILTER(Tabla1[Proceso],(Tabla1[Metal Base]=O436)*(Tabla1[Etiquetas]=_xlfn.TEXTJOIN(" + ",TRUE,IF((TRIM(Upload!P436:S436)="")+(LOWER(TRIM(Upload!P436:S436))="(seleccione)"),"",PROPER(TRIM(Upload!P436:S436)))))*(Tabla1[Línea2]=IFERROR(VLOOKUP(Upload!N436&amp;"*",CAT_Procesos!D:D,1,FALSE),"")))),_xlpm.cantidad,ROWS(_xlpm.resultados),IF(ISERROR(_xlpm.cantidad),"Combinación no existente",IF(_xlpm.cantidad=1,INDEX(_xlpm.resultados,1),"(seleccione)")))</f>
        <v>Combinación no existente</v>
      </c>
      <c r="V436" s="55" t="s">
        <v>73</v>
      </c>
      <c r="W436" s="56" t="s">
        <v>73</v>
      </c>
      <c r="X436" s="57" t="str">
        <f t="shared" si="24"/>
        <v/>
      </c>
      <c r="Y436" s="58" t="s">
        <v>73</v>
      </c>
      <c r="Z436" s="57" t="str">
        <f t="shared" si="25"/>
        <v/>
      </c>
      <c r="AA436" s="58" t="s">
        <v>73</v>
      </c>
      <c r="AB436" s="57" t="str">
        <f t="shared" si="26"/>
        <v/>
      </c>
      <c r="AC436" s="58" t="s">
        <v>73</v>
      </c>
      <c r="AD436" s="57" t="str">
        <f t="shared" si="27"/>
        <v/>
      </c>
      <c r="AE436" s="59"/>
      <c r="AF436" s="59"/>
      <c r="AG436" s="59"/>
      <c r="AH436" s="59"/>
      <c r="AI436" s="59" t="s">
        <v>73</v>
      </c>
      <c r="AJ436" s="59"/>
      <c r="AK436" s="59" t="s">
        <v>73</v>
      </c>
      <c r="AL436" s="59"/>
      <c r="AM436" s="59" t="s">
        <v>73</v>
      </c>
      <c r="AN436" s="59"/>
      <c r="AO436" s="59" t="s">
        <v>73</v>
      </c>
      <c r="AP436" s="59"/>
      <c r="AQ436" s="59" t="s">
        <v>73</v>
      </c>
      <c r="AR436" s="59"/>
      <c r="AS436" s="59" t="s">
        <v>72</v>
      </c>
      <c r="AT436" s="59"/>
      <c r="AU436" s="59"/>
      <c r="AV436" s="59"/>
      <c r="AW436" s="59"/>
      <c r="AX436" s="59"/>
      <c r="AY436" s="60" t="str">
        <f>IF('Cálculo MP'!K446="","",'Cálculo MP'!K446)</f>
        <v/>
      </c>
      <c r="AZ436" s="60" t="str">
        <f>IF('Cálculo MP'!L446="","",'Cálculo MP'!L446)</f>
        <v/>
      </c>
      <c r="BA436" s="60" t="str">
        <f>IF('Cálculo MP'!M446="","",'Cálculo MP'!M446)</f>
        <v/>
      </c>
      <c r="BB436" s="60" t="str">
        <f>IF('Cálculo MP'!N446="","",'Cálculo MP'!N446)</f>
        <v/>
      </c>
      <c r="BC436" s="60" t="str">
        <f>IF('Cálculo MP'!O446="","",'Cálculo MP'!O446)</f>
        <v/>
      </c>
      <c r="BD436" s="60" t="str">
        <f>IF('Cálculo MP'!P446="","",'Cálculo MP'!P446)</f>
        <v/>
      </c>
      <c r="BE436" s="60" t="str">
        <f>IF('Cálculo MP'!Q446="","",'Cálculo MP'!Q446)</f>
        <v/>
      </c>
      <c r="BF436" s="60" t="str">
        <f>IF('Cálculo MP'!R446="","",'Cálculo MP'!R446)</f>
        <v/>
      </c>
      <c r="BG436" s="60" t="str">
        <f>IF('Cálculo MP'!S446="","",'Cálculo MP'!S446)</f>
        <v/>
      </c>
      <c r="BH436" s="59"/>
      <c r="BI436" s="59"/>
      <c r="BJ436" s="59"/>
      <c r="BK436" s="59"/>
      <c r="BL436" s="59"/>
      <c r="BM436" s="59"/>
      <c r="BN436" s="59"/>
      <c r="BO436" s="59"/>
    </row>
    <row r="437" spans="1:67" ht="19.5" customHeight="1" x14ac:dyDescent="0.2">
      <c r="A437" s="114" t="s">
        <v>1789</v>
      </c>
      <c r="B437" s="113" t="s">
        <v>1787</v>
      </c>
      <c r="C437" s="122"/>
      <c r="D437" s="48" t="s">
        <v>73</v>
      </c>
      <c r="E437" s="49"/>
      <c r="F437" s="50"/>
      <c r="G437" s="62"/>
      <c r="H437" s="48" t="s">
        <v>72</v>
      </c>
      <c r="I437" s="52">
        <v>1</v>
      </c>
      <c r="J437" s="52"/>
      <c r="K437" s="52" t="s">
        <v>73</v>
      </c>
      <c r="L437" s="52" t="s">
        <v>74</v>
      </c>
      <c r="M437" s="53" t="s">
        <v>917</v>
      </c>
      <c r="N437" s="58" t="s">
        <v>73</v>
      </c>
      <c r="O437" s="48" t="s">
        <v>72</v>
      </c>
      <c r="P437" s="48" t="s">
        <v>73</v>
      </c>
      <c r="Q437" s="54" t="s">
        <v>73</v>
      </c>
      <c r="R437" s="55" t="s">
        <v>73</v>
      </c>
      <c r="S437" s="48" t="s">
        <v>73</v>
      </c>
      <c r="T437" s="121" t="str" cm="1">
        <f t="array" ref="T437">IF(ISNUMBER(SEARCH("SCHNEIDER",D437)),_xlfn.IFS(ISNUMBER(SEARCH("2 Querétaro",D437)),"SQ2",ISNUMBER(SEARCH("Xicohténcatl",D437)),"SXC",ISNUMBER(SEARCH("Rojo Gómez",D437)),"SRG",ISNUMBER(SEARCH("Tlaxcala",D437)),"STX",ISNUMBER(SEARCH("Monterrey",D437)),"SMY",ISNUMBER(SEARCH("Querétaro",D437)),"SQ1",ISNUMBER(SEARCH("CDMX",D437)),"SCM",TRUE,""),"")</f>
        <v/>
      </c>
      <c r="U437" s="48" t="str" cm="1">
        <f t="array" ref="U437">_xlfn.LET(_xlpm.resultados,_xlfn.UNIQUE(_xlfn._xlws.FILTER(Tabla1[Proceso],(Tabla1[Metal Base]=O437)*(Tabla1[Etiquetas]=_xlfn.TEXTJOIN(" + ",TRUE,IF((TRIM(Upload!P437:S437)="")+(LOWER(TRIM(Upload!P437:S437))="(seleccione)"),"",PROPER(TRIM(Upload!P437:S437)))))*(Tabla1[Línea2]=IFERROR(VLOOKUP(Upload!N437&amp;"*",CAT_Procesos!D:D,1,FALSE),"")))),_xlpm.cantidad,ROWS(_xlpm.resultados),IF(ISERROR(_xlpm.cantidad),"Combinación no existente",IF(_xlpm.cantidad=1,INDEX(_xlpm.resultados,1),"(seleccione)")))</f>
        <v>Combinación no existente</v>
      </c>
      <c r="V437" s="55" t="s">
        <v>73</v>
      </c>
      <c r="W437" s="56" t="s">
        <v>73</v>
      </c>
      <c r="X437" s="57" t="str">
        <f t="shared" si="24"/>
        <v/>
      </c>
      <c r="Y437" s="58" t="s">
        <v>73</v>
      </c>
      <c r="Z437" s="57" t="str">
        <f t="shared" si="25"/>
        <v/>
      </c>
      <c r="AA437" s="58" t="s">
        <v>73</v>
      </c>
      <c r="AB437" s="57" t="str">
        <f t="shared" si="26"/>
        <v/>
      </c>
      <c r="AC437" s="58" t="s">
        <v>73</v>
      </c>
      <c r="AD437" s="57" t="str">
        <f t="shared" si="27"/>
        <v/>
      </c>
      <c r="AE437" s="59"/>
      <c r="AF437" s="59"/>
      <c r="AG437" s="59"/>
      <c r="AH437" s="59"/>
      <c r="AI437" s="59" t="s">
        <v>73</v>
      </c>
      <c r="AJ437" s="59"/>
      <c r="AK437" s="59" t="s">
        <v>73</v>
      </c>
      <c r="AL437" s="59"/>
      <c r="AM437" s="59" t="s">
        <v>73</v>
      </c>
      <c r="AN437" s="59"/>
      <c r="AO437" s="59" t="s">
        <v>73</v>
      </c>
      <c r="AP437" s="59"/>
      <c r="AQ437" s="59" t="s">
        <v>73</v>
      </c>
      <c r="AR437" s="59"/>
      <c r="AS437" s="59" t="s">
        <v>72</v>
      </c>
      <c r="AT437" s="59"/>
      <c r="AU437" s="59"/>
      <c r="AV437" s="59"/>
      <c r="AW437" s="59"/>
      <c r="AX437" s="59"/>
      <c r="AY437" s="60" t="str">
        <f>IF('Cálculo MP'!K447="","",'Cálculo MP'!K447)</f>
        <v/>
      </c>
      <c r="AZ437" s="60" t="str">
        <f>IF('Cálculo MP'!L447="","",'Cálculo MP'!L447)</f>
        <v/>
      </c>
      <c r="BA437" s="60" t="str">
        <f>IF('Cálculo MP'!M447="","",'Cálculo MP'!M447)</f>
        <v/>
      </c>
      <c r="BB437" s="60" t="str">
        <f>IF('Cálculo MP'!N447="","",'Cálculo MP'!N447)</f>
        <v/>
      </c>
      <c r="BC437" s="60" t="str">
        <f>IF('Cálculo MP'!O447="","",'Cálculo MP'!O447)</f>
        <v/>
      </c>
      <c r="BD437" s="60" t="str">
        <f>IF('Cálculo MP'!P447="","",'Cálculo MP'!P447)</f>
        <v/>
      </c>
      <c r="BE437" s="60" t="str">
        <f>IF('Cálculo MP'!Q447="","",'Cálculo MP'!Q447)</f>
        <v/>
      </c>
      <c r="BF437" s="60" t="str">
        <f>IF('Cálculo MP'!R447="","",'Cálculo MP'!R447)</f>
        <v/>
      </c>
      <c r="BG437" s="60" t="str">
        <f>IF('Cálculo MP'!S447="","",'Cálculo MP'!S447)</f>
        <v/>
      </c>
      <c r="BH437" s="59"/>
      <c r="BI437" s="59"/>
      <c r="BJ437" s="59"/>
      <c r="BK437" s="59"/>
      <c r="BL437" s="59"/>
      <c r="BM437" s="59"/>
      <c r="BN437" s="59"/>
      <c r="BO437" s="59"/>
    </row>
    <row r="438" spans="1:67" ht="19.5" customHeight="1" x14ac:dyDescent="0.2">
      <c r="A438" s="114" t="s">
        <v>1789</v>
      </c>
      <c r="B438" s="113" t="s">
        <v>1787</v>
      </c>
      <c r="C438" s="122"/>
      <c r="D438" s="48" t="s">
        <v>73</v>
      </c>
      <c r="E438" s="49"/>
      <c r="F438" s="50"/>
      <c r="G438" s="62"/>
      <c r="H438" s="48" t="s">
        <v>72</v>
      </c>
      <c r="I438" s="52">
        <v>1</v>
      </c>
      <c r="J438" s="52"/>
      <c r="K438" s="52" t="s">
        <v>73</v>
      </c>
      <c r="L438" s="52" t="s">
        <v>74</v>
      </c>
      <c r="M438" s="53" t="s">
        <v>917</v>
      </c>
      <c r="N438" s="58" t="s">
        <v>73</v>
      </c>
      <c r="O438" s="48" t="s">
        <v>72</v>
      </c>
      <c r="P438" s="48" t="s">
        <v>73</v>
      </c>
      <c r="Q438" s="54" t="s">
        <v>73</v>
      </c>
      <c r="R438" s="55" t="s">
        <v>73</v>
      </c>
      <c r="S438" s="48" t="s">
        <v>73</v>
      </c>
      <c r="T438" s="121" t="str" cm="1">
        <f t="array" ref="T438">IF(ISNUMBER(SEARCH("SCHNEIDER",D438)),_xlfn.IFS(ISNUMBER(SEARCH("2 Querétaro",D438)),"SQ2",ISNUMBER(SEARCH("Xicohténcatl",D438)),"SXC",ISNUMBER(SEARCH("Rojo Gómez",D438)),"SRG",ISNUMBER(SEARCH("Tlaxcala",D438)),"STX",ISNUMBER(SEARCH("Monterrey",D438)),"SMY",ISNUMBER(SEARCH("Querétaro",D438)),"SQ1",ISNUMBER(SEARCH("CDMX",D438)),"SCM",TRUE,""),"")</f>
        <v/>
      </c>
      <c r="U438" s="48" t="str" cm="1">
        <f t="array" ref="U438">_xlfn.LET(_xlpm.resultados,_xlfn.UNIQUE(_xlfn._xlws.FILTER(Tabla1[Proceso],(Tabla1[Metal Base]=O438)*(Tabla1[Etiquetas]=_xlfn.TEXTJOIN(" + ",TRUE,IF((TRIM(Upload!P438:S438)="")+(LOWER(TRIM(Upload!P438:S438))="(seleccione)"),"",PROPER(TRIM(Upload!P438:S438)))))*(Tabla1[Línea2]=IFERROR(VLOOKUP(Upload!N438&amp;"*",CAT_Procesos!D:D,1,FALSE),"")))),_xlpm.cantidad,ROWS(_xlpm.resultados),IF(ISERROR(_xlpm.cantidad),"Combinación no existente",IF(_xlpm.cantidad=1,INDEX(_xlpm.resultados,1),"(seleccione)")))</f>
        <v>Combinación no existente</v>
      </c>
      <c r="V438" s="55" t="s">
        <v>73</v>
      </c>
      <c r="W438" s="56" t="s">
        <v>73</v>
      </c>
      <c r="X438" s="57" t="str">
        <f t="shared" si="24"/>
        <v/>
      </c>
      <c r="Y438" s="58" t="s">
        <v>73</v>
      </c>
      <c r="Z438" s="57" t="str">
        <f t="shared" si="25"/>
        <v/>
      </c>
      <c r="AA438" s="58" t="s">
        <v>73</v>
      </c>
      <c r="AB438" s="57" t="str">
        <f t="shared" si="26"/>
        <v/>
      </c>
      <c r="AC438" s="58" t="s">
        <v>73</v>
      </c>
      <c r="AD438" s="57" t="str">
        <f t="shared" si="27"/>
        <v/>
      </c>
      <c r="AE438" s="59"/>
      <c r="AF438" s="59"/>
      <c r="AG438" s="59"/>
      <c r="AH438" s="59"/>
      <c r="AI438" s="59" t="s">
        <v>73</v>
      </c>
      <c r="AJ438" s="59"/>
      <c r="AK438" s="59" t="s">
        <v>73</v>
      </c>
      <c r="AL438" s="59"/>
      <c r="AM438" s="59" t="s">
        <v>73</v>
      </c>
      <c r="AN438" s="59"/>
      <c r="AO438" s="59" t="s">
        <v>73</v>
      </c>
      <c r="AP438" s="59"/>
      <c r="AQ438" s="59" t="s">
        <v>73</v>
      </c>
      <c r="AR438" s="59"/>
      <c r="AS438" s="59" t="s">
        <v>72</v>
      </c>
      <c r="AT438" s="59"/>
      <c r="AU438" s="59"/>
      <c r="AV438" s="59"/>
      <c r="AW438" s="59"/>
      <c r="AX438" s="59"/>
      <c r="AY438" s="60" t="str">
        <f>IF('Cálculo MP'!K448="","",'Cálculo MP'!K448)</f>
        <v/>
      </c>
      <c r="AZ438" s="60" t="str">
        <f>IF('Cálculo MP'!L448="","",'Cálculo MP'!L448)</f>
        <v/>
      </c>
      <c r="BA438" s="60" t="str">
        <f>IF('Cálculo MP'!M448="","",'Cálculo MP'!M448)</f>
        <v/>
      </c>
      <c r="BB438" s="60" t="str">
        <f>IF('Cálculo MP'!N448="","",'Cálculo MP'!N448)</f>
        <v/>
      </c>
      <c r="BC438" s="60" t="str">
        <f>IF('Cálculo MP'!O448="","",'Cálculo MP'!O448)</f>
        <v/>
      </c>
      <c r="BD438" s="60" t="str">
        <f>IF('Cálculo MP'!P448="","",'Cálculo MP'!P448)</f>
        <v/>
      </c>
      <c r="BE438" s="60" t="str">
        <f>IF('Cálculo MP'!Q448="","",'Cálculo MP'!Q448)</f>
        <v/>
      </c>
      <c r="BF438" s="60" t="str">
        <f>IF('Cálculo MP'!R448="","",'Cálculo MP'!R448)</f>
        <v/>
      </c>
      <c r="BG438" s="60" t="str">
        <f>IF('Cálculo MP'!S448="","",'Cálculo MP'!S448)</f>
        <v/>
      </c>
      <c r="BH438" s="59"/>
      <c r="BI438" s="59"/>
      <c r="BJ438" s="59"/>
      <c r="BK438" s="59"/>
      <c r="BL438" s="59"/>
      <c r="BM438" s="59"/>
      <c r="BN438" s="59"/>
      <c r="BO438" s="59"/>
    </row>
    <row r="439" spans="1:67" ht="19.5" customHeight="1" x14ac:dyDescent="0.2">
      <c r="A439" s="114" t="s">
        <v>1789</v>
      </c>
      <c r="B439" s="113" t="s">
        <v>1787</v>
      </c>
      <c r="C439" s="122"/>
      <c r="D439" s="48" t="s">
        <v>73</v>
      </c>
      <c r="E439" s="49"/>
      <c r="F439" s="50"/>
      <c r="G439" s="62"/>
      <c r="H439" s="48" t="s">
        <v>72</v>
      </c>
      <c r="I439" s="52">
        <v>1</v>
      </c>
      <c r="J439" s="52"/>
      <c r="K439" s="52" t="s">
        <v>73</v>
      </c>
      <c r="L439" s="52" t="s">
        <v>74</v>
      </c>
      <c r="M439" s="53" t="s">
        <v>917</v>
      </c>
      <c r="N439" s="58" t="s">
        <v>73</v>
      </c>
      <c r="O439" s="48" t="s">
        <v>72</v>
      </c>
      <c r="P439" s="48" t="s">
        <v>73</v>
      </c>
      <c r="Q439" s="54" t="s">
        <v>73</v>
      </c>
      <c r="R439" s="55" t="s">
        <v>73</v>
      </c>
      <c r="S439" s="48" t="s">
        <v>73</v>
      </c>
      <c r="T439" s="121" t="str" cm="1">
        <f t="array" ref="T439">IF(ISNUMBER(SEARCH("SCHNEIDER",D439)),_xlfn.IFS(ISNUMBER(SEARCH("2 Querétaro",D439)),"SQ2",ISNUMBER(SEARCH("Xicohténcatl",D439)),"SXC",ISNUMBER(SEARCH("Rojo Gómez",D439)),"SRG",ISNUMBER(SEARCH("Tlaxcala",D439)),"STX",ISNUMBER(SEARCH("Monterrey",D439)),"SMY",ISNUMBER(SEARCH("Querétaro",D439)),"SQ1",ISNUMBER(SEARCH("CDMX",D439)),"SCM",TRUE,""),"")</f>
        <v/>
      </c>
      <c r="U439" s="48" t="str" cm="1">
        <f t="array" ref="U439">_xlfn.LET(_xlpm.resultados,_xlfn.UNIQUE(_xlfn._xlws.FILTER(Tabla1[Proceso],(Tabla1[Metal Base]=O439)*(Tabla1[Etiquetas]=_xlfn.TEXTJOIN(" + ",TRUE,IF((TRIM(Upload!P439:S439)="")+(LOWER(TRIM(Upload!P439:S439))="(seleccione)"),"",PROPER(TRIM(Upload!P439:S439)))))*(Tabla1[Línea2]=IFERROR(VLOOKUP(Upload!N439&amp;"*",CAT_Procesos!D:D,1,FALSE),"")))),_xlpm.cantidad,ROWS(_xlpm.resultados),IF(ISERROR(_xlpm.cantidad),"Combinación no existente",IF(_xlpm.cantidad=1,INDEX(_xlpm.resultados,1),"(seleccione)")))</f>
        <v>Combinación no existente</v>
      </c>
      <c r="V439" s="55" t="s">
        <v>73</v>
      </c>
      <c r="W439" s="56" t="s">
        <v>73</v>
      </c>
      <c r="X439" s="57" t="str">
        <f t="shared" si="24"/>
        <v/>
      </c>
      <c r="Y439" s="58" t="s">
        <v>73</v>
      </c>
      <c r="Z439" s="57" t="str">
        <f t="shared" si="25"/>
        <v/>
      </c>
      <c r="AA439" s="58" t="s">
        <v>73</v>
      </c>
      <c r="AB439" s="57" t="str">
        <f t="shared" si="26"/>
        <v/>
      </c>
      <c r="AC439" s="58" t="s">
        <v>73</v>
      </c>
      <c r="AD439" s="57" t="str">
        <f t="shared" si="27"/>
        <v/>
      </c>
      <c r="AE439" s="59"/>
      <c r="AF439" s="59"/>
      <c r="AG439" s="59"/>
      <c r="AH439" s="59"/>
      <c r="AI439" s="59" t="s">
        <v>73</v>
      </c>
      <c r="AJ439" s="59"/>
      <c r="AK439" s="59" t="s">
        <v>73</v>
      </c>
      <c r="AL439" s="59"/>
      <c r="AM439" s="59" t="s">
        <v>73</v>
      </c>
      <c r="AN439" s="59"/>
      <c r="AO439" s="59" t="s">
        <v>73</v>
      </c>
      <c r="AP439" s="59"/>
      <c r="AQ439" s="59" t="s">
        <v>73</v>
      </c>
      <c r="AR439" s="59"/>
      <c r="AS439" s="59" t="s">
        <v>72</v>
      </c>
      <c r="AT439" s="59"/>
      <c r="AU439" s="59"/>
      <c r="AV439" s="59"/>
      <c r="AW439" s="59"/>
      <c r="AX439" s="59"/>
      <c r="AY439" s="60" t="str">
        <f>IF('Cálculo MP'!K449="","",'Cálculo MP'!K449)</f>
        <v/>
      </c>
      <c r="AZ439" s="60" t="str">
        <f>IF('Cálculo MP'!L449="","",'Cálculo MP'!L449)</f>
        <v/>
      </c>
      <c r="BA439" s="60" t="str">
        <f>IF('Cálculo MP'!M449="","",'Cálculo MP'!M449)</f>
        <v/>
      </c>
      <c r="BB439" s="60" t="str">
        <f>IF('Cálculo MP'!N449="","",'Cálculo MP'!N449)</f>
        <v/>
      </c>
      <c r="BC439" s="60" t="str">
        <f>IF('Cálculo MP'!O449="","",'Cálculo MP'!O449)</f>
        <v/>
      </c>
      <c r="BD439" s="60" t="str">
        <f>IF('Cálculo MP'!P449="","",'Cálculo MP'!P449)</f>
        <v/>
      </c>
      <c r="BE439" s="60" t="str">
        <f>IF('Cálculo MP'!Q449="","",'Cálculo MP'!Q449)</f>
        <v/>
      </c>
      <c r="BF439" s="60" t="str">
        <f>IF('Cálculo MP'!R449="","",'Cálculo MP'!R449)</f>
        <v/>
      </c>
      <c r="BG439" s="60" t="str">
        <f>IF('Cálculo MP'!S449="","",'Cálculo MP'!S449)</f>
        <v/>
      </c>
      <c r="BH439" s="59"/>
      <c r="BI439" s="59"/>
      <c r="BJ439" s="59"/>
      <c r="BK439" s="59"/>
      <c r="BL439" s="59"/>
      <c r="BM439" s="59"/>
      <c r="BN439" s="59"/>
      <c r="BO439" s="59"/>
    </row>
    <row r="440" spans="1:67" ht="19.5" customHeight="1" x14ac:dyDescent="0.2">
      <c r="A440" s="114" t="s">
        <v>1789</v>
      </c>
      <c r="B440" s="113" t="s">
        <v>1787</v>
      </c>
      <c r="C440" s="122"/>
      <c r="D440" s="48" t="s">
        <v>73</v>
      </c>
      <c r="E440" s="49"/>
      <c r="F440" s="50"/>
      <c r="G440" s="62"/>
      <c r="H440" s="48" t="s">
        <v>72</v>
      </c>
      <c r="I440" s="52">
        <v>1</v>
      </c>
      <c r="J440" s="52"/>
      <c r="K440" s="52" t="s">
        <v>73</v>
      </c>
      <c r="L440" s="52" t="s">
        <v>74</v>
      </c>
      <c r="M440" s="53" t="s">
        <v>917</v>
      </c>
      <c r="N440" s="58" t="s">
        <v>73</v>
      </c>
      <c r="O440" s="48" t="s">
        <v>72</v>
      </c>
      <c r="P440" s="48" t="s">
        <v>73</v>
      </c>
      <c r="Q440" s="54" t="s">
        <v>73</v>
      </c>
      <c r="R440" s="55" t="s">
        <v>73</v>
      </c>
      <c r="S440" s="48" t="s">
        <v>73</v>
      </c>
      <c r="T440" s="121" t="str" cm="1">
        <f t="array" ref="T440">IF(ISNUMBER(SEARCH("SCHNEIDER",D440)),_xlfn.IFS(ISNUMBER(SEARCH("2 Querétaro",D440)),"SQ2",ISNUMBER(SEARCH("Xicohténcatl",D440)),"SXC",ISNUMBER(SEARCH("Rojo Gómez",D440)),"SRG",ISNUMBER(SEARCH("Tlaxcala",D440)),"STX",ISNUMBER(SEARCH("Monterrey",D440)),"SMY",ISNUMBER(SEARCH("Querétaro",D440)),"SQ1",ISNUMBER(SEARCH("CDMX",D440)),"SCM",TRUE,""),"")</f>
        <v/>
      </c>
      <c r="U440" s="48" t="str" cm="1">
        <f t="array" ref="U440">_xlfn.LET(_xlpm.resultados,_xlfn.UNIQUE(_xlfn._xlws.FILTER(Tabla1[Proceso],(Tabla1[Metal Base]=O440)*(Tabla1[Etiquetas]=_xlfn.TEXTJOIN(" + ",TRUE,IF((TRIM(Upload!P440:S440)="")+(LOWER(TRIM(Upload!P440:S440))="(seleccione)"),"",PROPER(TRIM(Upload!P440:S440)))))*(Tabla1[Línea2]=IFERROR(VLOOKUP(Upload!N440&amp;"*",CAT_Procesos!D:D,1,FALSE),"")))),_xlpm.cantidad,ROWS(_xlpm.resultados),IF(ISERROR(_xlpm.cantidad),"Combinación no existente",IF(_xlpm.cantidad=1,INDEX(_xlpm.resultados,1),"(seleccione)")))</f>
        <v>Combinación no existente</v>
      </c>
      <c r="V440" s="55" t="s">
        <v>73</v>
      </c>
      <c r="W440" s="56" t="s">
        <v>73</v>
      </c>
      <c r="X440" s="57" t="str">
        <f t="shared" si="24"/>
        <v/>
      </c>
      <c r="Y440" s="58" t="s">
        <v>73</v>
      </c>
      <c r="Z440" s="57" t="str">
        <f t="shared" si="25"/>
        <v/>
      </c>
      <c r="AA440" s="58" t="s">
        <v>73</v>
      </c>
      <c r="AB440" s="57" t="str">
        <f t="shared" si="26"/>
        <v/>
      </c>
      <c r="AC440" s="58" t="s">
        <v>73</v>
      </c>
      <c r="AD440" s="57" t="str">
        <f t="shared" si="27"/>
        <v/>
      </c>
      <c r="AE440" s="59"/>
      <c r="AF440" s="59"/>
      <c r="AG440" s="59"/>
      <c r="AH440" s="59"/>
      <c r="AI440" s="59" t="s">
        <v>73</v>
      </c>
      <c r="AJ440" s="59"/>
      <c r="AK440" s="59" t="s">
        <v>73</v>
      </c>
      <c r="AL440" s="59"/>
      <c r="AM440" s="59" t="s">
        <v>73</v>
      </c>
      <c r="AN440" s="59"/>
      <c r="AO440" s="59" t="s">
        <v>73</v>
      </c>
      <c r="AP440" s="59"/>
      <c r="AQ440" s="59" t="s">
        <v>73</v>
      </c>
      <c r="AR440" s="59"/>
      <c r="AS440" s="59" t="s">
        <v>72</v>
      </c>
      <c r="AT440" s="59"/>
      <c r="AU440" s="59"/>
      <c r="AV440" s="59"/>
      <c r="AW440" s="59"/>
      <c r="AX440" s="59"/>
      <c r="AY440" s="60" t="str">
        <f>IF('Cálculo MP'!K450="","",'Cálculo MP'!K450)</f>
        <v/>
      </c>
      <c r="AZ440" s="60" t="str">
        <f>IF('Cálculo MP'!L450="","",'Cálculo MP'!L450)</f>
        <v/>
      </c>
      <c r="BA440" s="60" t="str">
        <f>IF('Cálculo MP'!M450="","",'Cálculo MP'!M450)</f>
        <v/>
      </c>
      <c r="BB440" s="60" t="str">
        <f>IF('Cálculo MP'!N450="","",'Cálculo MP'!N450)</f>
        <v/>
      </c>
      <c r="BC440" s="60" t="str">
        <f>IF('Cálculo MP'!O450="","",'Cálculo MP'!O450)</f>
        <v/>
      </c>
      <c r="BD440" s="60" t="str">
        <f>IF('Cálculo MP'!P450="","",'Cálculo MP'!P450)</f>
        <v/>
      </c>
      <c r="BE440" s="60" t="str">
        <f>IF('Cálculo MP'!Q450="","",'Cálculo MP'!Q450)</f>
        <v/>
      </c>
      <c r="BF440" s="60" t="str">
        <f>IF('Cálculo MP'!R450="","",'Cálculo MP'!R450)</f>
        <v/>
      </c>
      <c r="BG440" s="60" t="str">
        <f>IF('Cálculo MP'!S450="","",'Cálculo MP'!S450)</f>
        <v/>
      </c>
      <c r="BH440" s="59"/>
      <c r="BI440" s="59"/>
      <c r="BJ440" s="59"/>
      <c r="BK440" s="59"/>
      <c r="BL440" s="59"/>
      <c r="BM440" s="59"/>
      <c r="BN440" s="59"/>
      <c r="BO440" s="59"/>
    </row>
    <row r="441" spans="1:67" ht="19.5" customHeight="1" x14ac:dyDescent="0.2">
      <c r="A441" s="114" t="s">
        <v>1789</v>
      </c>
      <c r="B441" s="113" t="s">
        <v>1787</v>
      </c>
      <c r="C441" s="122"/>
      <c r="D441" s="48" t="s">
        <v>73</v>
      </c>
      <c r="E441" s="49"/>
      <c r="F441" s="50"/>
      <c r="G441" s="62"/>
      <c r="H441" s="48" t="s">
        <v>72</v>
      </c>
      <c r="I441" s="52">
        <v>1</v>
      </c>
      <c r="J441" s="52"/>
      <c r="K441" s="52" t="s">
        <v>73</v>
      </c>
      <c r="L441" s="52" t="s">
        <v>74</v>
      </c>
      <c r="M441" s="53" t="s">
        <v>917</v>
      </c>
      <c r="N441" s="58" t="s">
        <v>73</v>
      </c>
      <c r="O441" s="48" t="s">
        <v>72</v>
      </c>
      <c r="P441" s="48" t="s">
        <v>73</v>
      </c>
      <c r="Q441" s="54" t="s">
        <v>73</v>
      </c>
      <c r="R441" s="55" t="s">
        <v>73</v>
      </c>
      <c r="S441" s="48" t="s">
        <v>73</v>
      </c>
      <c r="T441" s="121" t="str" cm="1">
        <f t="array" ref="T441">IF(ISNUMBER(SEARCH("SCHNEIDER",D441)),_xlfn.IFS(ISNUMBER(SEARCH("2 Querétaro",D441)),"SQ2",ISNUMBER(SEARCH("Xicohténcatl",D441)),"SXC",ISNUMBER(SEARCH("Rojo Gómez",D441)),"SRG",ISNUMBER(SEARCH("Tlaxcala",D441)),"STX",ISNUMBER(SEARCH("Monterrey",D441)),"SMY",ISNUMBER(SEARCH("Querétaro",D441)),"SQ1",ISNUMBER(SEARCH("CDMX",D441)),"SCM",TRUE,""),"")</f>
        <v/>
      </c>
      <c r="U441" s="48" t="str" cm="1">
        <f t="array" ref="U441">_xlfn.LET(_xlpm.resultados,_xlfn.UNIQUE(_xlfn._xlws.FILTER(Tabla1[Proceso],(Tabla1[Metal Base]=O441)*(Tabla1[Etiquetas]=_xlfn.TEXTJOIN(" + ",TRUE,IF((TRIM(Upload!P441:S441)="")+(LOWER(TRIM(Upload!P441:S441))="(seleccione)"),"",PROPER(TRIM(Upload!P441:S441)))))*(Tabla1[Línea2]=IFERROR(VLOOKUP(Upload!N441&amp;"*",CAT_Procesos!D:D,1,FALSE),"")))),_xlpm.cantidad,ROWS(_xlpm.resultados),IF(ISERROR(_xlpm.cantidad),"Combinación no existente",IF(_xlpm.cantidad=1,INDEX(_xlpm.resultados,1),"(seleccione)")))</f>
        <v>Combinación no existente</v>
      </c>
      <c r="V441" s="55" t="s">
        <v>73</v>
      </c>
      <c r="W441" s="56" t="s">
        <v>73</v>
      </c>
      <c r="X441" s="57" t="str">
        <f t="shared" si="24"/>
        <v/>
      </c>
      <c r="Y441" s="58" t="s">
        <v>73</v>
      </c>
      <c r="Z441" s="57" t="str">
        <f t="shared" si="25"/>
        <v/>
      </c>
      <c r="AA441" s="58" t="s">
        <v>73</v>
      </c>
      <c r="AB441" s="57" t="str">
        <f t="shared" si="26"/>
        <v/>
      </c>
      <c r="AC441" s="58" t="s">
        <v>73</v>
      </c>
      <c r="AD441" s="57" t="str">
        <f t="shared" si="27"/>
        <v/>
      </c>
      <c r="AE441" s="59"/>
      <c r="AF441" s="59"/>
      <c r="AG441" s="59"/>
      <c r="AH441" s="59"/>
      <c r="AI441" s="59" t="s">
        <v>73</v>
      </c>
      <c r="AJ441" s="59"/>
      <c r="AK441" s="59" t="s">
        <v>73</v>
      </c>
      <c r="AL441" s="59"/>
      <c r="AM441" s="59" t="s">
        <v>73</v>
      </c>
      <c r="AN441" s="59"/>
      <c r="AO441" s="59" t="s">
        <v>73</v>
      </c>
      <c r="AP441" s="59"/>
      <c r="AQ441" s="59" t="s">
        <v>73</v>
      </c>
      <c r="AR441" s="59"/>
      <c r="AS441" s="59" t="s">
        <v>72</v>
      </c>
      <c r="AT441" s="59"/>
      <c r="AU441" s="59"/>
      <c r="AV441" s="59"/>
      <c r="AW441" s="59"/>
      <c r="AX441" s="59"/>
      <c r="AY441" s="60" t="str">
        <f>IF('Cálculo MP'!K451="","",'Cálculo MP'!K451)</f>
        <v/>
      </c>
      <c r="AZ441" s="60" t="str">
        <f>IF('Cálculo MP'!L451="","",'Cálculo MP'!L451)</f>
        <v/>
      </c>
      <c r="BA441" s="60" t="str">
        <f>IF('Cálculo MP'!M451="","",'Cálculo MP'!M451)</f>
        <v/>
      </c>
      <c r="BB441" s="60" t="str">
        <f>IF('Cálculo MP'!N451="","",'Cálculo MP'!N451)</f>
        <v/>
      </c>
      <c r="BC441" s="60" t="str">
        <f>IF('Cálculo MP'!O451="","",'Cálculo MP'!O451)</f>
        <v/>
      </c>
      <c r="BD441" s="60" t="str">
        <f>IF('Cálculo MP'!P451="","",'Cálculo MP'!P451)</f>
        <v/>
      </c>
      <c r="BE441" s="60" t="str">
        <f>IF('Cálculo MP'!Q451="","",'Cálculo MP'!Q451)</f>
        <v/>
      </c>
      <c r="BF441" s="60" t="str">
        <f>IF('Cálculo MP'!R451="","",'Cálculo MP'!R451)</f>
        <v/>
      </c>
      <c r="BG441" s="60" t="str">
        <f>IF('Cálculo MP'!S451="","",'Cálculo MP'!S451)</f>
        <v/>
      </c>
      <c r="BH441" s="59"/>
      <c r="BI441" s="59"/>
      <c r="BJ441" s="59"/>
      <c r="BK441" s="59"/>
      <c r="BL441" s="59"/>
      <c r="BM441" s="59"/>
      <c r="BN441" s="59"/>
      <c r="BO441" s="59"/>
    </row>
    <row r="442" spans="1:67" ht="19.5" customHeight="1" x14ac:dyDescent="0.2">
      <c r="A442" s="114" t="s">
        <v>1789</v>
      </c>
      <c r="B442" s="113" t="s">
        <v>1787</v>
      </c>
      <c r="C442" s="122"/>
      <c r="D442" s="48" t="s">
        <v>73</v>
      </c>
      <c r="E442" s="49"/>
      <c r="F442" s="50"/>
      <c r="G442" s="62"/>
      <c r="H442" s="48" t="s">
        <v>72</v>
      </c>
      <c r="I442" s="52">
        <v>1</v>
      </c>
      <c r="J442" s="52"/>
      <c r="K442" s="52" t="s">
        <v>73</v>
      </c>
      <c r="L442" s="52" t="s">
        <v>74</v>
      </c>
      <c r="M442" s="53" t="s">
        <v>917</v>
      </c>
      <c r="N442" s="58" t="s">
        <v>73</v>
      </c>
      <c r="O442" s="48" t="s">
        <v>72</v>
      </c>
      <c r="P442" s="48" t="s">
        <v>73</v>
      </c>
      <c r="Q442" s="54" t="s">
        <v>73</v>
      </c>
      <c r="R442" s="55" t="s">
        <v>73</v>
      </c>
      <c r="S442" s="48" t="s">
        <v>73</v>
      </c>
      <c r="T442" s="121" t="str" cm="1">
        <f t="array" ref="T442">IF(ISNUMBER(SEARCH("SCHNEIDER",D442)),_xlfn.IFS(ISNUMBER(SEARCH("2 Querétaro",D442)),"SQ2",ISNUMBER(SEARCH("Xicohténcatl",D442)),"SXC",ISNUMBER(SEARCH("Rojo Gómez",D442)),"SRG",ISNUMBER(SEARCH("Tlaxcala",D442)),"STX",ISNUMBER(SEARCH("Monterrey",D442)),"SMY",ISNUMBER(SEARCH("Querétaro",D442)),"SQ1",ISNUMBER(SEARCH("CDMX",D442)),"SCM",TRUE,""),"")</f>
        <v/>
      </c>
      <c r="U442" s="48" t="str" cm="1">
        <f t="array" ref="U442">_xlfn.LET(_xlpm.resultados,_xlfn.UNIQUE(_xlfn._xlws.FILTER(Tabla1[Proceso],(Tabla1[Metal Base]=O442)*(Tabla1[Etiquetas]=_xlfn.TEXTJOIN(" + ",TRUE,IF((TRIM(Upload!P442:S442)="")+(LOWER(TRIM(Upload!P442:S442))="(seleccione)"),"",PROPER(TRIM(Upload!P442:S442)))))*(Tabla1[Línea2]=IFERROR(VLOOKUP(Upload!N442&amp;"*",CAT_Procesos!D:D,1,FALSE),"")))),_xlpm.cantidad,ROWS(_xlpm.resultados),IF(ISERROR(_xlpm.cantidad),"Combinación no existente",IF(_xlpm.cantidad=1,INDEX(_xlpm.resultados,1),"(seleccione)")))</f>
        <v>Combinación no existente</v>
      </c>
      <c r="V442" s="55" t="s">
        <v>73</v>
      </c>
      <c r="W442" s="56" t="s">
        <v>73</v>
      </c>
      <c r="X442" s="57" t="str">
        <f t="shared" si="24"/>
        <v/>
      </c>
      <c r="Y442" s="58" t="s">
        <v>73</v>
      </c>
      <c r="Z442" s="57" t="str">
        <f t="shared" si="25"/>
        <v/>
      </c>
      <c r="AA442" s="58" t="s">
        <v>73</v>
      </c>
      <c r="AB442" s="57" t="str">
        <f t="shared" si="26"/>
        <v/>
      </c>
      <c r="AC442" s="58" t="s">
        <v>73</v>
      </c>
      <c r="AD442" s="57" t="str">
        <f t="shared" si="27"/>
        <v/>
      </c>
      <c r="AE442" s="59"/>
      <c r="AF442" s="59"/>
      <c r="AG442" s="59"/>
      <c r="AH442" s="59"/>
      <c r="AI442" s="59" t="s">
        <v>73</v>
      </c>
      <c r="AJ442" s="59"/>
      <c r="AK442" s="59" t="s">
        <v>73</v>
      </c>
      <c r="AL442" s="59"/>
      <c r="AM442" s="59" t="s">
        <v>73</v>
      </c>
      <c r="AN442" s="59"/>
      <c r="AO442" s="59" t="s">
        <v>73</v>
      </c>
      <c r="AP442" s="59"/>
      <c r="AQ442" s="59" t="s">
        <v>73</v>
      </c>
      <c r="AR442" s="59"/>
      <c r="AS442" s="59" t="s">
        <v>72</v>
      </c>
      <c r="AT442" s="59"/>
      <c r="AU442" s="59"/>
      <c r="AV442" s="59"/>
      <c r="AW442" s="59"/>
      <c r="AX442" s="59"/>
      <c r="AY442" s="60" t="str">
        <f>IF('Cálculo MP'!K452="","",'Cálculo MP'!K452)</f>
        <v/>
      </c>
      <c r="AZ442" s="60" t="str">
        <f>IF('Cálculo MP'!L452="","",'Cálculo MP'!L452)</f>
        <v/>
      </c>
      <c r="BA442" s="60" t="str">
        <f>IF('Cálculo MP'!M452="","",'Cálculo MP'!M452)</f>
        <v/>
      </c>
      <c r="BB442" s="60" t="str">
        <f>IF('Cálculo MP'!N452="","",'Cálculo MP'!N452)</f>
        <v/>
      </c>
      <c r="BC442" s="60" t="str">
        <f>IF('Cálculo MP'!O452="","",'Cálculo MP'!O452)</f>
        <v/>
      </c>
      <c r="BD442" s="60" t="str">
        <f>IF('Cálculo MP'!P452="","",'Cálculo MP'!P452)</f>
        <v/>
      </c>
      <c r="BE442" s="60" t="str">
        <f>IF('Cálculo MP'!Q452="","",'Cálculo MP'!Q452)</f>
        <v/>
      </c>
      <c r="BF442" s="60" t="str">
        <f>IF('Cálculo MP'!R452="","",'Cálculo MP'!R452)</f>
        <v/>
      </c>
      <c r="BG442" s="60" t="str">
        <f>IF('Cálculo MP'!S452="","",'Cálculo MP'!S452)</f>
        <v/>
      </c>
      <c r="BH442" s="59"/>
      <c r="BI442" s="59"/>
      <c r="BJ442" s="59"/>
      <c r="BK442" s="59"/>
      <c r="BL442" s="59"/>
      <c r="BM442" s="59"/>
      <c r="BN442" s="59"/>
      <c r="BO442" s="59"/>
    </row>
    <row r="443" spans="1:67" ht="19.5" customHeight="1" x14ac:dyDescent="0.2">
      <c r="A443" s="114" t="s">
        <v>1789</v>
      </c>
      <c r="B443" s="113" t="s">
        <v>1787</v>
      </c>
      <c r="C443" s="122"/>
      <c r="D443" s="48" t="s">
        <v>73</v>
      </c>
      <c r="E443" s="49"/>
      <c r="F443" s="50"/>
      <c r="G443" s="62"/>
      <c r="H443" s="48" t="s">
        <v>72</v>
      </c>
      <c r="I443" s="52">
        <v>1</v>
      </c>
      <c r="J443" s="52"/>
      <c r="K443" s="52" t="s">
        <v>73</v>
      </c>
      <c r="L443" s="52" t="s">
        <v>74</v>
      </c>
      <c r="M443" s="53" t="s">
        <v>917</v>
      </c>
      <c r="N443" s="58" t="s">
        <v>73</v>
      </c>
      <c r="O443" s="48" t="s">
        <v>72</v>
      </c>
      <c r="P443" s="48" t="s">
        <v>73</v>
      </c>
      <c r="Q443" s="54" t="s">
        <v>73</v>
      </c>
      <c r="R443" s="55" t="s">
        <v>73</v>
      </c>
      <c r="S443" s="48" t="s">
        <v>73</v>
      </c>
      <c r="T443" s="121" t="str" cm="1">
        <f t="array" ref="T443">IF(ISNUMBER(SEARCH("SCHNEIDER",D443)),_xlfn.IFS(ISNUMBER(SEARCH("2 Querétaro",D443)),"SQ2",ISNUMBER(SEARCH("Xicohténcatl",D443)),"SXC",ISNUMBER(SEARCH("Rojo Gómez",D443)),"SRG",ISNUMBER(SEARCH("Tlaxcala",D443)),"STX",ISNUMBER(SEARCH("Monterrey",D443)),"SMY",ISNUMBER(SEARCH("Querétaro",D443)),"SQ1",ISNUMBER(SEARCH("CDMX",D443)),"SCM",TRUE,""),"")</f>
        <v/>
      </c>
      <c r="U443" s="48" t="str" cm="1">
        <f t="array" ref="U443">_xlfn.LET(_xlpm.resultados,_xlfn.UNIQUE(_xlfn._xlws.FILTER(Tabla1[Proceso],(Tabla1[Metal Base]=O443)*(Tabla1[Etiquetas]=_xlfn.TEXTJOIN(" + ",TRUE,IF((TRIM(Upload!P443:S443)="")+(LOWER(TRIM(Upload!P443:S443))="(seleccione)"),"",PROPER(TRIM(Upload!P443:S443)))))*(Tabla1[Línea2]=IFERROR(VLOOKUP(Upload!N443&amp;"*",CAT_Procesos!D:D,1,FALSE),"")))),_xlpm.cantidad,ROWS(_xlpm.resultados),IF(ISERROR(_xlpm.cantidad),"Combinación no existente",IF(_xlpm.cantidad=1,INDEX(_xlpm.resultados,1),"(seleccione)")))</f>
        <v>Combinación no existente</v>
      </c>
      <c r="V443" s="55" t="s">
        <v>73</v>
      </c>
      <c r="W443" s="56" t="s">
        <v>73</v>
      </c>
      <c r="X443" s="57" t="str">
        <f t="shared" si="24"/>
        <v/>
      </c>
      <c r="Y443" s="58" t="s">
        <v>73</v>
      </c>
      <c r="Z443" s="57" t="str">
        <f t="shared" si="25"/>
        <v/>
      </c>
      <c r="AA443" s="58" t="s">
        <v>73</v>
      </c>
      <c r="AB443" s="57" t="str">
        <f t="shared" si="26"/>
        <v/>
      </c>
      <c r="AC443" s="58" t="s">
        <v>73</v>
      </c>
      <c r="AD443" s="57" t="str">
        <f t="shared" si="27"/>
        <v/>
      </c>
      <c r="AE443" s="59"/>
      <c r="AF443" s="59"/>
      <c r="AG443" s="59"/>
      <c r="AH443" s="59"/>
      <c r="AI443" s="59" t="s">
        <v>73</v>
      </c>
      <c r="AJ443" s="59"/>
      <c r="AK443" s="59" t="s">
        <v>73</v>
      </c>
      <c r="AL443" s="59"/>
      <c r="AM443" s="59" t="s">
        <v>73</v>
      </c>
      <c r="AN443" s="59"/>
      <c r="AO443" s="59" t="s">
        <v>73</v>
      </c>
      <c r="AP443" s="59"/>
      <c r="AQ443" s="59" t="s">
        <v>73</v>
      </c>
      <c r="AR443" s="59"/>
      <c r="AS443" s="59" t="s">
        <v>72</v>
      </c>
      <c r="AT443" s="59"/>
      <c r="AU443" s="59"/>
      <c r="AV443" s="59"/>
      <c r="AW443" s="59"/>
      <c r="AX443" s="59"/>
      <c r="AY443" s="60" t="str">
        <f>IF('Cálculo MP'!K453="","",'Cálculo MP'!K453)</f>
        <v/>
      </c>
      <c r="AZ443" s="60" t="str">
        <f>IF('Cálculo MP'!L453="","",'Cálculo MP'!L453)</f>
        <v/>
      </c>
      <c r="BA443" s="60" t="str">
        <f>IF('Cálculo MP'!M453="","",'Cálculo MP'!M453)</f>
        <v/>
      </c>
      <c r="BB443" s="60" t="str">
        <f>IF('Cálculo MP'!N453="","",'Cálculo MP'!N453)</f>
        <v/>
      </c>
      <c r="BC443" s="60" t="str">
        <f>IF('Cálculo MP'!O453="","",'Cálculo MP'!O453)</f>
        <v/>
      </c>
      <c r="BD443" s="60" t="str">
        <f>IF('Cálculo MP'!P453="","",'Cálculo MP'!P453)</f>
        <v/>
      </c>
      <c r="BE443" s="60" t="str">
        <f>IF('Cálculo MP'!Q453="","",'Cálculo MP'!Q453)</f>
        <v/>
      </c>
      <c r="BF443" s="60" t="str">
        <f>IF('Cálculo MP'!R453="","",'Cálculo MP'!R453)</f>
        <v/>
      </c>
      <c r="BG443" s="60" t="str">
        <f>IF('Cálculo MP'!S453="","",'Cálculo MP'!S453)</f>
        <v/>
      </c>
      <c r="BH443" s="59"/>
      <c r="BI443" s="59"/>
      <c r="BJ443" s="59"/>
      <c r="BK443" s="59"/>
      <c r="BL443" s="59"/>
      <c r="BM443" s="59"/>
      <c r="BN443" s="59"/>
      <c r="BO443" s="59"/>
    </row>
    <row r="444" spans="1:67" ht="19.5" customHeight="1" x14ac:dyDescent="0.2">
      <c r="A444" s="114" t="s">
        <v>1789</v>
      </c>
      <c r="B444" s="113" t="s">
        <v>1787</v>
      </c>
      <c r="C444" s="122"/>
      <c r="D444" s="48" t="s">
        <v>73</v>
      </c>
      <c r="E444" s="49"/>
      <c r="F444" s="50"/>
      <c r="G444" s="62"/>
      <c r="H444" s="48" t="s">
        <v>72</v>
      </c>
      <c r="I444" s="52">
        <v>1</v>
      </c>
      <c r="J444" s="52"/>
      <c r="K444" s="52" t="s">
        <v>73</v>
      </c>
      <c r="L444" s="52" t="s">
        <v>74</v>
      </c>
      <c r="M444" s="53" t="s">
        <v>917</v>
      </c>
      <c r="N444" s="58" t="s">
        <v>73</v>
      </c>
      <c r="O444" s="48" t="s">
        <v>72</v>
      </c>
      <c r="P444" s="48" t="s">
        <v>73</v>
      </c>
      <c r="Q444" s="54" t="s">
        <v>73</v>
      </c>
      <c r="R444" s="55" t="s">
        <v>73</v>
      </c>
      <c r="S444" s="48" t="s">
        <v>73</v>
      </c>
      <c r="T444" s="121" t="str" cm="1">
        <f t="array" ref="T444">IF(ISNUMBER(SEARCH("SCHNEIDER",D444)),_xlfn.IFS(ISNUMBER(SEARCH("2 Querétaro",D444)),"SQ2",ISNUMBER(SEARCH("Xicohténcatl",D444)),"SXC",ISNUMBER(SEARCH("Rojo Gómez",D444)),"SRG",ISNUMBER(SEARCH("Tlaxcala",D444)),"STX",ISNUMBER(SEARCH("Monterrey",D444)),"SMY",ISNUMBER(SEARCH("Querétaro",D444)),"SQ1",ISNUMBER(SEARCH("CDMX",D444)),"SCM",TRUE,""),"")</f>
        <v/>
      </c>
      <c r="U444" s="48" t="str" cm="1">
        <f t="array" ref="U444">_xlfn.LET(_xlpm.resultados,_xlfn.UNIQUE(_xlfn._xlws.FILTER(Tabla1[Proceso],(Tabla1[Metal Base]=O444)*(Tabla1[Etiquetas]=_xlfn.TEXTJOIN(" + ",TRUE,IF((TRIM(Upload!P444:S444)="")+(LOWER(TRIM(Upload!P444:S444))="(seleccione)"),"",PROPER(TRIM(Upload!P444:S444)))))*(Tabla1[Línea2]=IFERROR(VLOOKUP(Upload!N444&amp;"*",CAT_Procesos!D:D,1,FALSE),"")))),_xlpm.cantidad,ROWS(_xlpm.resultados),IF(ISERROR(_xlpm.cantidad),"Combinación no existente",IF(_xlpm.cantidad=1,INDEX(_xlpm.resultados,1),"(seleccione)")))</f>
        <v>Combinación no existente</v>
      </c>
      <c r="V444" s="55" t="s">
        <v>73</v>
      </c>
      <c r="W444" s="56" t="s">
        <v>73</v>
      </c>
      <c r="X444" s="57" t="str">
        <f t="shared" si="24"/>
        <v/>
      </c>
      <c r="Y444" s="58" t="s">
        <v>73</v>
      </c>
      <c r="Z444" s="57" t="str">
        <f t="shared" si="25"/>
        <v/>
      </c>
      <c r="AA444" s="58" t="s">
        <v>73</v>
      </c>
      <c r="AB444" s="57" t="str">
        <f t="shared" si="26"/>
        <v/>
      </c>
      <c r="AC444" s="58" t="s">
        <v>73</v>
      </c>
      <c r="AD444" s="57" t="str">
        <f t="shared" si="27"/>
        <v/>
      </c>
      <c r="AE444" s="59"/>
      <c r="AF444" s="59"/>
      <c r="AG444" s="59"/>
      <c r="AH444" s="59"/>
      <c r="AI444" s="59" t="s">
        <v>73</v>
      </c>
      <c r="AJ444" s="59"/>
      <c r="AK444" s="59" t="s">
        <v>73</v>
      </c>
      <c r="AL444" s="59"/>
      <c r="AM444" s="59" t="s">
        <v>73</v>
      </c>
      <c r="AN444" s="59"/>
      <c r="AO444" s="59" t="s">
        <v>73</v>
      </c>
      <c r="AP444" s="59"/>
      <c r="AQ444" s="59" t="s">
        <v>73</v>
      </c>
      <c r="AR444" s="59"/>
      <c r="AS444" s="59" t="s">
        <v>72</v>
      </c>
      <c r="AT444" s="59"/>
      <c r="AU444" s="59"/>
      <c r="AV444" s="59"/>
      <c r="AW444" s="59"/>
      <c r="AX444" s="59"/>
      <c r="AY444" s="60" t="str">
        <f>IF('Cálculo MP'!K454="","",'Cálculo MP'!K454)</f>
        <v/>
      </c>
      <c r="AZ444" s="60" t="str">
        <f>IF('Cálculo MP'!L454="","",'Cálculo MP'!L454)</f>
        <v/>
      </c>
      <c r="BA444" s="60" t="str">
        <f>IF('Cálculo MP'!M454="","",'Cálculo MP'!M454)</f>
        <v/>
      </c>
      <c r="BB444" s="60" t="str">
        <f>IF('Cálculo MP'!N454="","",'Cálculo MP'!N454)</f>
        <v/>
      </c>
      <c r="BC444" s="60" t="str">
        <f>IF('Cálculo MP'!O454="","",'Cálculo MP'!O454)</f>
        <v/>
      </c>
      <c r="BD444" s="60" t="str">
        <f>IF('Cálculo MP'!P454="","",'Cálculo MP'!P454)</f>
        <v/>
      </c>
      <c r="BE444" s="60" t="str">
        <f>IF('Cálculo MP'!Q454="","",'Cálculo MP'!Q454)</f>
        <v/>
      </c>
      <c r="BF444" s="60" t="str">
        <f>IF('Cálculo MP'!R454="","",'Cálculo MP'!R454)</f>
        <v/>
      </c>
      <c r="BG444" s="60" t="str">
        <f>IF('Cálculo MP'!S454="","",'Cálculo MP'!S454)</f>
        <v/>
      </c>
      <c r="BH444" s="59"/>
      <c r="BI444" s="59"/>
      <c r="BJ444" s="59"/>
      <c r="BK444" s="59"/>
      <c r="BL444" s="59"/>
      <c r="BM444" s="59"/>
      <c r="BN444" s="59"/>
      <c r="BO444" s="59"/>
    </row>
    <row r="445" spans="1:67" ht="19.5" customHeight="1" x14ac:dyDescent="0.2">
      <c r="A445" s="114" t="s">
        <v>1789</v>
      </c>
      <c r="B445" s="113" t="s">
        <v>1787</v>
      </c>
      <c r="C445" s="122"/>
      <c r="D445" s="48" t="s">
        <v>73</v>
      </c>
      <c r="E445" s="49"/>
      <c r="F445" s="50"/>
      <c r="G445" s="62"/>
      <c r="H445" s="48" t="s">
        <v>72</v>
      </c>
      <c r="I445" s="52">
        <v>1</v>
      </c>
      <c r="J445" s="52"/>
      <c r="K445" s="52" t="s">
        <v>73</v>
      </c>
      <c r="L445" s="52" t="s">
        <v>74</v>
      </c>
      <c r="M445" s="53" t="s">
        <v>917</v>
      </c>
      <c r="N445" s="58" t="s">
        <v>73</v>
      </c>
      <c r="O445" s="48" t="s">
        <v>72</v>
      </c>
      <c r="P445" s="48" t="s">
        <v>73</v>
      </c>
      <c r="Q445" s="54" t="s">
        <v>73</v>
      </c>
      <c r="R445" s="55" t="s">
        <v>73</v>
      </c>
      <c r="S445" s="48" t="s">
        <v>73</v>
      </c>
      <c r="T445" s="121" t="str" cm="1">
        <f t="array" ref="T445">IF(ISNUMBER(SEARCH("SCHNEIDER",D445)),_xlfn.IFS(ISNUMBER(SEARCH("2 Querétaro",D445)),"SQ2",ISNUMBER(SEARCH("Xicohténcatl",D445)),"SXC",ISNUMBER(SEARCH("Rojo Gómez",D445)),"SRG",ISNUMBER(SEARCH("Tlaxcala",D445)),"STX",ISNUMBER(SEARCH("Monterrey",D445)),"SMY",ISNUMBER(SEARCH("Querétaro",D445)),"SQ1",ISNUMBER(SEARCH("CDMX",D445)),"SCM",TRUE,""),"")</f>
        <v/>
      </c>
      <c r="U445" s="48" t="str" cm="1">
        <f t="array" ref="U445">_xlfn.LET(_xlpm.resultados,_xlfn.UNIQUE(_xlfn._xlws.FILTER(Tabla1[Proceso],(Tabla1[Metal Base]=O445)*(Tabla1[Etiquetas]=_xlfn.TEXTJOIN(" + ",TRUE,IF((TRIM(Upload!P445:S445)="")+(LOWER(TRIM(Upload!P445:S445))="(seleccione)"),"",PROPER(TRIM(Upload!P445:S445)))))*(Tabla1[Línea2]=IFERROR(VLOOKUP(Upload!N445&amp;"*",CAT_Procesos!D:D,1,FALSE),"")))),_xlpm.cantidad,ROWS(_xlpm.resultados),IF(ISERROR(_xlpm.cantidad),"Combinación no existente",IF(_xlpm.cantidad=1,INDEX(_xlpm.resultados,1),"(seleccione)")))</f>
        <v>Combinación no existente</v>
      </c>
      <c r="V445" s="55" t="s">
        <v>73</v>
      </c>
      <c r="W445" s="56" t="s">
        <v>73</v>
      </c>
      <c r="X445" s="57" t="str">
        <f t="shared" si="24"/>
        <v/>
      </c>
      <c r="Y445" s="58" t="s">
        <v>73</v>
      </c>
      <c r="Z445" s="57" t="str">
        <f t="shared" si="25"/>
        <v/>
      </c>
      <c r="AA445" s="58" t="s">
        <v>73</v>
      </c>
      <c r="AB445" s="57" t="str">
        <f t="shared" si="26"/>
        <v/>
      </c>
      <c r="AC445" s="58" t="s">
        <v>73</v>
      </c>
      <c r="AD445" s="57" t="str">
        <f t="shared" si="27"/>
        <v/>
      </c>
      <c r="AE445" s="59"/>
      <c r="AF445" s="59"/>
      <c r="AG445" s="59"/>
      <c r="AH445" s="59"/>
      <c r="AI445" s="59" t="s">
        <v>73</v>
      </c>
      <c r="AJ445" s="59"/>
      <c r="AK445" s="59" t="s">
        <v>73</v>
      </c>
      <c r="AL445" s="59"/>
      <c r="AM445" s="59" t="s">
        <v>73</v>
      </c>
      <c r="AN445" s="59"/>
      <c r="AO445" s="59" t="s">
        <v>73</v>
      </c>
      <c r="AP445" s="59"/>
      <c r="AQ445" s="59" t="s">
        <v>73</v>
      </c>
      <c r="AR445" s="59"/>
      <c r="AS445" s="59" t="s">
        <v>72</v>
      </c>
      <c r="AT445" s="59"/>
      <c r="AU445" s="59"/>
      <c r="AV445" s="59"/>
      <c r="AW445" s="59"/>
      <c r="AX445" s="59"/>
      <c r="AY445" s="60" t="str">
        <f>IF('Cálculo MP'!K455="","",'Cálculo MP'!K455)</f>
        <v/>
      </c>
      <c r="AZ445" s="60" t="str">
        <f>IF('Cálculo MP'!L455="","",'Cálculo MP'!L455)</f>
        <v/>
      </c>
      <c r="BA445" s="60" t="str">
        <f>IF('Cálculo MP'!M455="","",'Cálculo MP'!M455)</f>
        <v/>
      </c>
      <c r="BB445" s="60" t="str">
        <f>IF('Cálculo MP'!N455="","",'Cálculo MP'!N455)</f>
        <v/>
      </c>
      <c r="BC445" s="60" t="str">
        <f>IF('Cálculo MP'!O455="","",'Cálculo MP'!O455)</f>
        <v/>
      </c>
      <c r="BD445" s="60" t="str">
        <f>IF('Cálculo MP'!P455="","",'Cálculo MP'!P455)</f>
        <v/>
      </c>
      <c r="BE445" s="60" t="str">
        <f>IF('Cálculo MP'!Q455="","",'Cálculo MP'!Q455)</f>
        <v/>
      </c>
      <c r="BF445" s="60" t="str">
        <f>IF('Cálculo MP'!R455="","",'Cálculo MP'!R455)</f>
        <v/>
      </c>
      <c r="BG445" s="60" t="str">
        <f>IF('Cálculo MP'!S455="","",'Cálculo MP'!S455)</f>
        <v/>
      </c>
      <c r="BH445" s="59"/>
      <c r="BI445" s="59"/>
      <c r="BJ445" s="59"/>
      <c r="BK445" s="59"/>
      <c r="BL445" s="59"/>
      <c r="BM445" s="59"/>
      <c r="BN445" s="59"/>
      <c r="BO445" s="59"/>
    </row>
    <row r="446" spans="1:67" ht="19.5" customHeight="1" x14ac:dyDescent="0.2">
      <c r="A446" s="114" t="s">
        <v>1789</v>
      </c>
      <c r="B446" s="113" t="s">
        <v>1787</v>
      </c>
      <c r="C446" s="122"/>
      <c r="D446" s="48" t="s">
        <v>73</v>
      </c>
      <c r="E446" s="49"/>
      <c r="F446" s="50"/>
      <c r="G446" s="62"/>
      <c r="H446" s="48" t="s">
        <v>72</v>
      </c>
      <c r="I446" s="52">
        <v>1</v>
      </c>
      <c r="J446" s="52"/>
      <c r="K446" s="52" t="s">
        <v>73</v>
      </c>
      <c r="L446" s="52" t="s">
        <v>74</v>
      </c>
      <c r="M446" s="53" t="s">
        <v>917</v>
      </c>
      <c r="N446" s="58" t="s">
        <v>73</v>
      </c>
      <c r="O446" s="48" t="s">
        <v>72</v>
      </c>
      <c r="P446" s="48" t="s">
        <v>73</v>
      </c>
      <c r="Q446" s="54" t="s">
        <v>73</v>
      </c>
      <c r="R446" s="55" t="s">
        <v>73</v>
      </c>
      <c r="S446" s="48" t="s">
        <v>73</v>
      </c>
      <c r="T446" s="121" t="str" cm="1">
        <f t="array" ref="T446">IF(ISNUMBER(SEARCH("SCHNEIDER",D446)),_xlfn.IFS(ISNUMBER(SEARCH("2 Querétaro",D446)),"SQ2",ISNUMBER(SEARCH("Xicohténcatl",D446)),"SXC",ISNUMBER(SEARCH("Rojo Gómez",D446)),"SRG",ISNUMBER(SEARCH("Tlaxcala",D446)),"STX",ISNUMBER(SEARCH("Monterrey",D446)),"SMY",ISNUMBER(SEARCH("Querétaro",D446)),"SQ1",ISNUMBER(SEARCH("CDMX",D446)),"SCM",TRUE,""),"")</f>
        <v/>
      </c>
      <c r="U446" s="48" t="str" cm="1">
        <f t="array" ref="U446">_xlfn.LET(_xlpm.resultados,_xlfn.UNIQUE(_xlfn._xlws.FILTER(Tabla1[Proceso],(Tabla1[Metal Base]=O446)*(Tabla1[Etiquetas]=_xlfn.TEXTJOIN(" + ",TRUE,IF((TRIM(Upload!P446:S446)="")+(LOWER(TRIM(Upload!P446:S446))="(seleccione)"),"",PROPER(TRIM(Upload!P446:S446)))))*(Tabla1[Línea2]=IFERROR(VLOOKUP(Upload!N446&amp;"*",CAT_Procesos!D:D,1,FALSE),"")))),_xlpm.cantidad,ROWS(_xlpm.resultados),IF(ISERROR(_xlpm.cantidad),"Combinación no existente",IF(_xlpm.cantidad=1,INDEX(_xlpm.resultados,1),"(seleccione)")))</f>
        <v>Combinación no existente</v>
      </c>
      <c r="V446" s="55" t="s">
        <v>73</v>
      </c>
      <c r="W446" s="56" t="s">
        <v>73</v>
      </c>
      <c r="X446" s="57" t="str">
        <f t="shared" si="24"/>
        <v/>
      </c>
      <c r="Y446" s="58" t="s">
        <v>73</v>
      </c>
      <c r="Z446" s="57" t="str">
        <f t="shared" si="25"/>
        <v/>
      </c>
      <c r="AA446" s="58" t="s">
        <v>73</v>
      </c>
      <c r="AB446" s="57" t="str">
        <f t="shared" si="26"/>
        <v/>
      </c>
      <c r="AC446" s="58" t="s">
        <v>73</v>
      </c>
      <c r="AD446" s="57" t="str">
        <f t="shared" si="27"/>
        <v/>
      </c>
      <c r="AE446" s="59"/>
      <c r="AF446" s="59"/>
      <c r="AG446" s="59"/>
      <c r="AH446" s="59"/>
      <c r="AI446" s="59" t="s">
        <v>73</v>
      </c>
      <c r="AJ446" s="59"/>
      <c r="AK446" s="59" t="s">
        <v>73</v>
      </c>
      <c r="AL446" s="59"/>
      <c r="AM446" s="59" t="s">
        <v>73</v>
      </c>
      <c r="AN446" s="59"/>
      <c r="AO446" s="59" t="s">
        <v>73</v>
      </c>
      <c r="AP446" s="59"/>
      <c r="AQ446" s="59" t="s">
        <v>73</v>
      </c>
      <c r="AR446" s="59"/>
      <c r="AS446" s="59" t="s">
        <v>72</v>
      </c>
      <c r="AT446" s="59"/>
      <c r="AU446" s="59"/>
      <c r="AV446" s="59"/>
      <c r="AW446" s="59"/>
      <c r="AX446" s="59"/>
      <c r="AY446" s="60" t="str">
        <f>IF('Cálculo MP'!K456="","",'Cálculo MP'!K456)</f>
        <v/>
      </c>
      <c r="AZ446" s="60" t="str">
        <f>IF('Cálculo MP'!L456="","",'Cálculo MP'!L456)</f>
        <v/>
      </c>
      <c r="BA446" s="60" t="str">
        <f>IF('Cálculo MP'!M456="","",'Cálculo MP'!M456)</f>
        <v/>
      </c>
      <c r="BB446" s="60" t="str">
        <f>IF('Cálculo MP'!N456="","",'Cálculo MP'!N456)</f>
        <v/>
      </c>
      <c r="BC446" s="60" t="str">
        <f>IF('Cálculo MP'!O456="","",'Cálculo MP'!O456)</f>
        <v/>
      </c>
      <c r="BD446" s="60" t="str">
        <f>IF('Cálculo MP'!P456="","",'Cálculo MP'!P456)</f>
        <v/>
      </c>
      <c r="BE446" s="60" t="str">
        <f>IF('Cálculo MP'!Q456="","",'Cálculo MP'!Q456)</f>
        <v/>
      </c>
      <c r="BF446" s="60" t="str">
        <f>IF('Cálculo MP'!R456="","",'Cálculo MP'!R456)</f>
        <v/>
      </c>
      <c r="BG446" s="60" t="str">
        <f>IF('Cálculo MP'!S456="","",'Cálculo MP'!S456)</f>
        <v/>
      </c>
      <c r="BH446" s="59"/>
      <c r="BI446" s="59"/>
      <c r="BJ446" s="59"/>
      <c r="BK446" s="59"/>
      <c r="BL446" s="59"/>
      <c r="BM446" s="59"/>
      <c r="BN446" s="59"/>
      <c r="BO446" s="59"/>
    </row>
    <row r="447" spans="1:67" ht="19.5" customHeight="1" x14ac:dyDescent="0.2">
      <c r="A447" s="114" t="s">
        <v>1789</v>
      </c>
      <c r="B447" s="113" t="s">
        <v>1787</v>
      </c>
      <c r="C447" s="122"/>
      <c r="D447" s="48" t="s">
        <v>73</v>
      </c>
      <c r="E447" s="49"/>
      <c r="F447" s="50"/>
      <c r="G447" s="62"/>
      <c r="H447" s="48" t="s">
        <v>72</v>
      </c>
      <c r="I447" s="52">
        <v>1</v>
      </c>
      <c r="J447" s="52"/>
      <c r="K447" s="52" t="s">
        <v>73</v>
      </c>
      <c r="L447" s="52" t="s">
        <v>74</v>
      </c>
      <c r="M447" s="53" t="s">
        <v>917</v>
      </c>
      <c r="N447" s="58" t="s">
        <v>73</v>
      </c>
      <c r="O447" s="48" t="s">
        <v>72</v>
      </c>
      <c r="P447" s="48" t="s">
        <v>73</v>
      </c>
      <c r="Q447" s="54" t="s">
        <v>73</v>
      </c>
      <c r="R447" s="55" t="s">
        <v>73</v>
      </c>
      <c r="S447" s="48" t="s">
        <v>73</v>
      </c>
      <c r="T447" s="121" t="str" cm="1">
        <f t="array" ref="T447">IF(ISNUMBER(SEARCH("SCHNEIDER",D447)),_xlfn.IFS(ISNUMBER(SEARCH("2 Querétaro",D447)),"SQ2",ISNUMBER(SEARCH("Xicohténcatl",D447)),"SXC",ISNUMBER(SEARCH("Rojo Gómez",D447)),"SRG",ISNUMBER(SEARCH("Tlaxcala",D447)),"STX",ISNUMBER(SEARCH("Monterrey",D447)),"SMY",ISNUMBER(SEARCH("Querétaro",D447)),"SQ1",ISNUMBER(SEARCH("CDMX",D447)),"SCM",TRUE,""),"")</f>
        <v/>
      </c>
      <c r="U447" s="48" t="str" cm="1">
        <f t="array" ref="U447">_xlfn.LET(_xlpm.resultados,_xlfn.UNIQUE(_xlfn._xlws.FILTER(Tabla1[Proceso],(Tabla1[Metal Base]=O447)*(Tabla1[Etiquetas]=_xlfn.TEXTJOIN(" + ",TRUE,IF((TRIM(Upload!P447:S447)="")+(LOWER(TRIM(Upload!P447:S447))="(seleccione)"),"",PROPER(TRIM(Upload!P447:S447)))))*(Tabla1[Línea2]=IFERROR(VLOOKUP(Upload!N447&amp;"*",CAT_Procesos!D:D,1,FALSE),"")))),_xlpm.cantidad,ROWS(_xlpm.resultados),IF(ISERROR(_xlpm.cantidad),"Combinación no existente",IF(_xlpm.cantidad=1,INDEX(_xlpm.resultados,1),"(seleccione)")))</f>
        <v>Combinación no existente</v>
      </c>
      <c r="V447" s="55" t="s">
        <v>73</v>
      </c>
      <c r="W447" s="56" t="s">
        <v>73</v>
      </c>
      <c r="X447" s="57" t="str">
        <f t="shared" si="24"/>
        <v/>
      </c>
      <c r="Y447" s="58" t="s">
        <v>73</v>
      </c>
      <c r="Z447" s="57" t="str">
        <f t="shared" si="25"/>
        <v/>
      </c>
      <c r="AA447" s="58" t="s">
        <v>73</v>
      </c>
      <c r="AB447" s="57" t="str">
        <f t="shared" si="26"/>
        <v/>
      </c>
      <c r="AC447" s="58" t="s">
        <v>73</v>
      </c>
      <c r="AD447" s="57" t="str">
        <f t="shared" si="27"/>
        <v/>
      </c>
      <c r="AE447" s="59"/>
      <c r="AF447" s="59"/>
      <c r="AG447" s="59"/>
      <c r="AH447" s="59"/>
      <c r="AI447" s="59" t="s">
        <v>73</v>
      </c>
      <c r="AJ447" s="59"/>
      <c r="AK447" s="59" t="s">
        <v>73</v>
      </c>
      <c r="AL447" s="59"/>
      <c r="AM447" s="59" t="s">
        <v>73</v>
      </c>
      <c r="AN447" s="59"/>
      <c r="AO447" s="59" t="s">
        <v>73</v>
      </c>
      <c r="AP447" s="59"/>
      <c r="AQ447" s="59" t="s">
        <v>73</v>
      </c>
      <c r="AR447" s="59"/>
      <c r="AS447" s="59" t="s">
        <v>72</v>
      </c>
      <c r="AT447" s="59"/>
      <c r="AU447" s="59"/>
      <c r="AV447" s="59"/>
      <c r="AW447" s="59"/>
      <c r="AX447" s="59"/>
      <c r="AY447" s="60" t="str">
        <f>IF('Cálculo MP'!K457="","",'Cálculo MP'!K457)</f>
        <v/>
      </c>
      <c r="AZ447" s="60" t="str">
        <f>IF('Cálculo MP'!L457="","",'Cálculo MP'!L457)</f>
        <v/>
      </c>
      <c r="BA447" s="60" t="str">
        <f>IF('Cálculo MP'!M457="","",'Cálculo MP'!M457)</f>
        <v/>
      </c>
      <c r="BB447" s="60" t="str">
        <f>IF('Cálculo MP'!N457="","",'Cálculo MP'!N457)</f>
        <v/>
      </c>
      <c r="BC447" s="60" t="str">
        <f>IF('Cálculo MP'!O457="","",'Cálculo MP'!O457)</f>
        <v/>
      </c>
      <c r="BD447" s="60" t="str">
        <f>IF('Cálculo MP'!P457="","",'Cálculo MP'!P457)</f>
        <v/>
      </c>
      <c r="BE447" s="60" t="str">
        <f>IF('Cálculo MP'!Q457="","",'Cálculo MP'!Q457)</f>
        <v/>
      </c>
      <c r="BF447" s="60" t="str">
        <f>IF('Cálculo MP'!R457="","",'Cálculo MP'!R457)</f>
        <v/>
      </c>
      <c r="BG447" s="60" t="str">
        <f>IF('Cálculo MP'!S457="","",'Cálculo MP'!S457)</f>
        <v/>
      </c>
      <c r="BH447" s="59"/>
      <c r="BI447" s="59"/>
      <c r="BJ447" s="59"/>
      <c r="BK447" s="59"/>
      <c r="BL447" s="59"/>
      <c r="BM447" s="59"/>
      <c r="BN447" s="59"/>
      <c r="BO447" s="59"/>
    </row>
    <row r="448" spans="1:67" ht="19.5" customHeight="1" x14ac:dyDescent="0.2">
      <c r="A448" s="114" t="s">
        <v>1789</v>
      </c>
      <c r="B448" s="113" t="s">
        <v>1787</v>
      </c>
      <c r="C448" s="122"/>
      <c r="D448" s="48" t="s">
        <v>73</v>
      </c>
      <c r="E448" s="49"/>
      <c r="F448" s="50"/>
      <c r="G448" s="62"/>
      <c r="H448" s="48" t="s">
        <v>72</v>
      </c>
      <c r="I448" s="52">
        <v>1</v>
      </c>
      <c r="J448" s="52"/>
      <c r="K448" s="52" t="s">
        <v>73</v>
      </c>
      <c r="L448" s="52" t="s">
        <v>74</v>
      </c>
      <c r="M448" s="53" t="s">
        <v>917</v>
      </c>
      <c r="N448" s="58" t="s">
        <v>73</v>
      </c>
      <c r="O448" s="48" t="s">
        <v>72</v>
      </c>
      <c r="P448" s="48" t="s">
        <v>73</v>
      </c>
      <c r="Q448" s="54" t="s">
        <v>73</v>
      </c>
      <c r="R448" s="55" t="s">
        <v>73</v>
      </c>
      <c r="S448" s="48" t="s">
        <v>73</v>
      </c>
      <c r="T448" s="121" t="str" cm="1">
        <f t="array" ref="T448">IF(ISNUMBER(SEARCH("SCHNEIDER",D448)),_xlfn.IFS(ISNUMBER(SEARCH("2 Querétaro",D448)),"SQ2",ISNUMBER(SEARCH("Xicohténcatl",D448)),"SXC",ISNUMBER(SEARCH("Rojo Gómez",D448)),"SRG",ISNUMBER(SEARCH("Tlaxcala",D448)),"STX",ISNUMBER(SEARCH("Monterrey",D448)),"SMY",ISNUMBER(SEARCH("Querétaro",D448)),"SQ1",ISNUMBER(SEARCH("CDMX",D448)),"SCM",TRUE,""),"")</f>
        <v/>
      </c>
      <c r="U448" s="48" t="str" cm="1">
        <f t="array" ref="U448">_xlfn.LET(_xlpm.resultados,_xlfn.UNIQUE(_xlfn._xlws.FILTER(Tabla1[Proceso],(Tabla1[Metal Base]=O448)*(Tabla1[Etiquetas]=_xlfn.TEXTJOIN(" + ",TRUE,IF((TRIM(Upload!P448:S448)="")+(LOWER(TRIM(Upload!P448:S448))="(seleccione)"),"",PROPER(TRIM(Upload!P448:S448)))))*(Tabla1[Línea2]=IFERROR(VLOOKUP(Upload!N448&amp;"*",CAT_Procesos!D:D,1,FALSE),"")))),_xlpm.cantidad,ROWS(_xlpm.resultados),IF(ISERROR(_xlpm.cantidad),"Combinación no existente",IF(_xlpm.cantidad=1,INDEX(_xlpm.resultados,1),"(seleccione)")))</f>
        <v>Combinación no existente</v>
      </c>
      <c r="V448" s="55" t="s">
        <v>73</v>
      </c>
      <c r="W448" s="56" t="s">
        <v>73</v>
      </c>
      <c r="X448" s="57" t="str">
        <f t="shared" si="24"/>
        <v/>
      </c>
      <c r="Y448" s="58" t="s">
        <v>73</v>
      </c>
      <c r="Z448" s="57" t="str">
        <f t="shared" si="25"/>
        <v/>
      </c>
      <c r="AA448" s="58" t="s">
        <v>73</v>
      </c>
      <c r="AB448" s="57" t="str">
        <f t="shared" si="26"/>
        <v/>
      </c>
      <c r="AC448" s="58" t="s">
        <v>73</v>
      </c>
      <c r="AD448" s="57" t="str">
        <f t="shared" si="27"/>
        <v/>
      </c>
      <c r="AE448" s="59"/>
      <c r="AF448" s="59"/>
      <c r="AG448" s="59"/>
      <c r="AH448" s="59"/>
      <c r="AI448" s="59" t="s">
        <v>73</v>
      </c>
      <c r="AJ448" s="59"/>
      <c r="AK448" s="59" t="s">
        <v>73</v>
      </c>
      <c r="AL448" s="59"/>
      <c r="AM448" s="59" t="s">
        <v>73</v>
      </c>
      <c r="AN448" s="59"/>
      <c r="AO448" s="59" t="s">
        <v>73</v>
      </c>
      <c r="AP448" s="59"/>
      <c r="AQ448" s="59" t="s">
        <v>73</v>
      </c>
      <c r="AR448" s="59"/>
      <c r="AS448" s="59" t="s">
        <v>72</v>
      </c>
      <c r="AT448" s="59"/>
      <c r="AU448" s="59"/>
      <c r="AV448" s="59"/>
      <c r="AW448" s="59"/>
      <c r="AX448" s="59"/>
      <c r="AY448" s="60" t="str">
        <f>IF('Cálculo MP'!K458="","",'Cálculo MP'!K458)</f>
        <v/>
      </c>
      <c r="AZ448" s="60" t="str">
        <f>IF('Cálculo MP'!L458="","",'Cálculo MP'!L458)</f>
        <v/>
      </c>
      <c r="BA448" s="60" t="str">
        <f>IF('Cálculo MP'!M458="","",'Cálculo MP'!M458)</f>
        <v/>
      </c>
      <c r="BB448" s="60" t="str">
        <f>IF('Cálculo MP'!N458="","",'Cálculo MP'!N458)</f>
        <v/>
      </c>
      <c r="BC448" s="60" t="str">
        <f>IF('Cálculo MP'!O458="","",'Cálculo MP'!O458)</f>
        <v/>
      </c>
      <c r="BD448" s="60" t="str">
        <f>IF('Cálculo MP'!P458="","",'Cálculo MP'!P458)</f>
        <v/>
      </c>
      <c r="BE448" s="60" t="str">
        <f>IF('Cálculo MP'!Q458="","",'Cálculo MP'!Q458)</f>
        <v/>
      </c>
      <c r="BF448" s="60" t="str">
        <f>IF('Cálculo MP'!R458="","",'Cálculo MP'!R458)</f>
        <v/>
      </c>
      <c r="BG448" s="60" t="str">
        <f>IF('Cálculo MP'!S458="","",'Cálculo MP'!S458)</f>
        <v/>
      </c>
      <c r="BH448" s="59"/>
      <c r="BI448" s="59"/>
      <c r="BJ448" s="59"/>
      <c r="BK448" s="59"/>
      <c r="BL448" s="59"/>
      <c r="BM448" s="59"/>
      <c r="BN448" s="59"/>
      <c r="BO448" s="59"/>
    </row>
    <row r="449" spans="1:67" ht="19.5" customHeight="1" x14ac:dyDescent="0.2">
      <c r="A449" s="114" t="s">
        <v>1789</v>
      </c>
      <c r="B449" s="113" t="s">
        <v>1787</v>
      </c>
      <c r="C449" s="122"/>
      <c r="D449" s="48" t="s">
        <v>73</v>
      </c>
      <c r="E449" s="49"/>
      <c r="F449" s="50"/>
      <c r="G449" s="62"/>
      <c r="H449" s="48" t="s">
        <v>72</v>
      </c>
      <c r="I449" s="52">
        <v>1</v>
      </c>
      <c r="J449" s="52"/>
      <c r="K449" s="52" t="s">
        <v>73</v>
      </c>
      <c r="L449" s="52" t="s">
        <v>74</v>
      </c>
      <c r="M449" s="53" t="s">
        <v>917</v>
      </c>
      <c r="N449" s="58" t="s">
        <v>73</v>
      </c>
      <c r="O449" s="48" t="s">
        <v>72</v>
      </c>
      <c r="P449" s="48" t="s">
        <v>73</v>
      </c>
      <c r="Q449" s="54" t="s">
        <v>73</v>
      </c>
      <c r="R449" s="55" t="s">
        <v>73</v>
      </c>
      <c r="S449" s="48" t="s">
        <v>73</v>
      </c>
      <c r="T449" s="121" t="str" cm="1">
        <f t="array" ref="T449">IF(ISNUMBER(SEARCH("SCHNEIDER",D449)),_xlfn.IFS(ISNUMBER(SEARCH("2 Querétaro",D449)),"SQ2",ISNUMBER(SEARCH("Xicohténcatl",D449)),"SXC",ISNUMBER(SEARCH("Rojo Gómez",D449)),"SRG",ISNUMBER(SEARCH("Tlaxcala",D449)),"STX",ISNUMBER(SEARCH("Monterrey",D449)),"SMY",ISNUMBER(SEARCH("Querétaro",D449)),"SQ1",ISNUMBER(SEARCH("CDMX",D449)),"SCM",TRUE,""),"")</f>
        <v/>
      </c>
      <c r="U449" s="48" t="str" cm="1">
        <f t="array" ref="U449">_xlfn.LET(_xlpm.resultados,_xlfn.UNIQUE(_xlfn._xlws.FILTER(Tabla1[Proceso],(Tabla1[Metal Base]=O449)*(Tabla1[Etiquetas]=_xlfn.TEXTJOIN(" + ",TRUE,IF((TRIM(Upload!P449:S449)="")+(LOWER(TRIM(Upload!P449:S449))="(seleccione)"),"",PROPER(TRIM(Upload!P449:S449)))))*(Tabla1[Línea2]=IFERROR(VLOOKUP(Upload!N449&amp;"*",CAT_Procesos!D:D,1,FALSE),"")))),_xlpm.cantidad,ROWS(_xlpm.resultados),IF(ISERROR(_xlpm.cantidad),"Combinación no existente",IF(_xlpm.cantidad=1,INDEX(_xlpm.resultados,1),"(seleccione)")))</f>
        <v>Combinación no existente</v>
      </c>
      <c r="V449" s="55" t="s">
        <v>73</v>
      </c>
      <c r="W449" s="56" t="s">
        <v>73</v>
      </c>
      <c r="X449" s="57" t="str">
        <f t="shared" si="24"/>
        <v/>
      </c>
      <c r="Y449" s="58" t="s">
        <v>73</v>
      </c>
      <c r="Z449" s="57" t="str">
        <f t="shared" si="25"/>
        <v/>
      </c>
      <c r="AA449" s="58" t="s">
        <v>73</v>
      </c>
      <c r="AB449" s="57" t="str">
        <f t="shared" si="26"/>
        <v/>
      </c>
      <c r="AC449" s="58" t="s">
        <v>73</v>
      </c>
      <c r="AD449" s="57" t="str">
        <f t="shared" si="27"/>
        <v/>
      </c>
      <c r="AE449" s="59"/>
      <c r="AF449" s="59"/>
      <c r="AG449" s="59"/>
      <c r="AH449" s="59"/>
      <c r="AI449" s="59" t="s">
        <v>73</v>
      </c>
      <c r="AJ449" s="59"/>
      <c r="AK449" s="59" t="s">
        <v>73</v>
      </c>
      <c r="AL449" s="59"/>
      <c r="AM449" s="59" t="s">
        <v>73</v>
      </c>
      <c r="AN449" s="59"/>
      <c r="AO449" s="59" t="s">
        <v>73</v>
      </c>
      <c r="AP449" s="59"/>
      <c r="AQ449" s="59" t="s">
        <v>73</v>
      </c>
      <c r="AR449" s="59"/>
      <c r="AS449" s="59" t="s">
        <v>72</v>
      </c>
      <c r="AT449" s="59"/>
      <c r="AU449" s="59"/>
      <c r="AV449" s="59"/>
      <c r="AW449" s="59"/>
      <c r="AX449" s="59"/>
      <c r="AY449" s="60" t="str">
        <f>IF('Cálculo MP'!K459="","",'Cálculo MP'!K459)</f>
        <v/>
      </c>
      <c r="AZ449" s="60" t="str">
        <f>IF('Cálculo MP'!L459="","",'Cálculo MP'!L459)</f>
        <v/>
      </c>
      <c r="BA449" s="60" t="str">
        <f>IF('Cálculo MP'!M459="","",'Cálculo MP'!M459)</f>
        <v/>
      </c>
      <c r="BB449" s="60" t="str">
        <f>IF('Cálculo MP'!N459="","",'Cálculo MP'!N459)</f>
        <v/>
      </c>
      <c r="BC449" s="60" t="str">
        <f>IF('Cálculo MP'!O459="","",'Cálculo MP'!O459)</f>
        <v/>
      </c>
      <c r="BD449" s="60" t="str">
        <f>IF('Cálculo MP'!P459="","",'Cálculo MP'!P459)</f>
        <v/>
      </c>
      <c r="BE449" s="60" t="str">
        <f>IF('Cálculo MP'!Q459="","",'Cálculo MP'!Q459)</f>
        <v/>
      </c>
      <c r="BF449" s="60" t="str">
        <f>IF('Cálculo MP'!R459="","",'Cálculo MP'!R459)</f>
        <v/>
      </c>
      <c r="BG449" s="60" t="str">
        <f>IF('Cálculo MP'!S459="","",'Cálculo MP'!S459)</f>
        <v/>
      </c>
      <c r="BH449" s="59"/>
      <c r="BI449" s="59"/>
      <c r="BJ449" s="59"/>
      <c r="BK449" s="59"/>
      <c r="BL449" s="59"/>
      <c r="BM449" s="59"/>
      <c r="BN449" s="59"/>
      <c r="BO449" s="59"/>
    </row>
    <row r="450" spans="1:67" ht="19.5" customHeight="1" x14ac:dyDescent="0.2">
      <c r="A450" s="114" t="s">
        <v>1789</v>
      </c>
      <c r="B450" s="113" t="s">
        <v>1787</v>
      </c>
      <c r="C450" s="122"/>
      <c r="D450" s="48" t="s">
        <v>73</v>
      </c>
      <c r="E450" s="49"/>
      <c r="F450" s="50"/>
      <c r="G450" s="62"/>
      <c r="H450" s="48" t="s">
        <v>72</v>
      </c>
      <c r="I450" s="52">
        <v>1</v>
      </c>
      <c r="J450" s="52"/>
      <c r="K450" s="52" t="s">
        <v>73</v>
      </c>
      <c r="L450" s="52" t="s">
        <v>74</v>
      </c>
      <c r="M450" s="53" t="s">
        <v>917</v>
      </c>
      <c r="N450" s="58" t="s">
        <v>73</v>
      </c>
      <c r="O450" s="48" t="s">
        <v>72</v>
      </c>
      <c r="P450" s="48" t="s">
        <v>73</v>
      </c>
      <c r="Q450" s="54" t="s">
        <v>73</v>
      </c>
      <c r="R450" s="55" t="s">
        <v>73</v>
      </c>
      <c r="S450" s="48" t="s">
        <v>73</v>
      </c>
      <c r="T450" s="121" t="str" cm="1">
        <f t="array" ref="T450">IF(ISNUMBER(SEARCH("SCHNEIDER",D450)),_xlfn.IFS(ISNUMBER(SEARCH("2 Querétaro",D450)),"SQ2",ISNUMBER(SEARCH("Xicohténcatl",D450)),"SXC",ISNUMBER(SEARCH("Rojo Gómez",D450)),"SRG",ISNUMBER(SEARCH("Tlaxcala",D450)),"STX",ISNUMBER(SEARCH("Monterrey",D450)),"SMY",ISNUMBER(SEARCH("Querétaro",D450)),"SQ1",ISNUMBER(SEARCH("CDMX",D450)),"SCM",TRUE,""),"")</f>
        <v/>
      </c>
      <c r="U450" s="48" t="str" cm="1">
        <f t="array" ref="U450">_xlfn.LET(_xlpm.resultados,_xlfn.UNIQUE(_xlfn._xlws.FILTER(Tabla1[Proceso],(Tabla1[Metal Base]=O450)*(Tabla1[Etiquetas]=_xlfn.TEXTJOIN(" + ",TRUE,IF((TRIM(Upload!P450:S450)="")+(LOWER(TRIM(Upload!P450:S450))="(seleccione)"),"",PROPER(TRIM(Upload!P450:S450)))))*(Tabla1[Línea2]=IFERROR(VLOOKUP(Upload!N450&amp;"*",CAT_Procesos!D:D,1,FALSE),"")))),_xlpm.cantidad,ROWS(_xlpm.resultados),IF(ISERROR(_xlpm.cantidad),"Combinación no existente",IF(_xlpm.cantidad=1,INDEX(_xlpm.resultados,1),"(seleccione)")))</f>
        <v>Combinación no existente</v>
      </c>
      <c r="V450" s="55" t="s">
        <v>73</v>
      </c>
      <c r="W450" s="56" t="s">
        <v>73</v>
      </c>
      <c r="X450" s="57" t="str">
        <f t="shared" si="24"/>
        <v/>
      </c>
      <c r="Y450" s="58" t="s">
        <v>73</v>
      </c>
      <c r="Z450" s="57" t="str">
        <f t="shared" si="25"/>
        <v/>
      </c>
      <c r="AA450" s="58" t="s">
        <v>73</v>
      </c>
      <c r="AB450" s="57" t="str">
        <f t="shared" si="26"/>
        <v/>
      </c>
      <c r="AC450" s="58" t="s">
        <v>73</v>
      </c>
      <c r="AD450" s="57" t="str">
        <f t="shared" si="27"/>
        <v/>
      </c>
      <c r="AE450" s="59"/>
      <c r="AF450" s="59"/>
      <c r="AG450" s="59"/>
      <c r="AH450" s="59"/>
      <c r="AI450" s="59" t="s">
        <v>73</v>
      </c>
      <c r="AJ450" s="59"/>
      <c r="AK450" s="59" t="s">
        <v>73</v>
      </c>
      <c r="AL450" s="59"/>
      <c r="AM450" s="59" t="s">
        <v>73</v>
      </c>
      <c r="AN450" s="59"/>
      <c r="AO450" s="59" t="s">
        <v>73</v>
      </c>
      <c r="AP450" s="59"/>
      <c r="AQ450" s="59" t="s">
        <v>73</v>
      </c>
      <c r="AR450" s="59"/>
      <c r="AS450" s="59" t="s">
        <v>72</v>
      </c>
      <c r="AT450" s="59"/>
      <c r="AU450" s="59"/>
      <c r="AV450" s="59"/>
      <c r="AW450" s="59"/>
      <c r="AX450" s="59"/>
      <c r="AY450" s="60" t="str">
        <f>IF('Cálculo MP'!K460="","",'Cálculo MP'!K460)</f>
        <v/>
      </c>
      <c r="AZ450" s="60" t="str">
        <f>IF('Cálculo MP'!L460="","",'Cálculo MP'!L460)</f>
        <v/>
      </c>
      <c r="BA450" s="60" t="str">
        <f>IF('Cálculo MP'!M460="","",'Cálculo MP'!M460)</f>
        <v/>
      </c>
      <c r="BB450" s="60" t="str">
        <f>IF('Cálculo MP'!N460="","",'Cálculo MP'!N460)</f>
        <v/>
      </c>
      <c r="BC450" s="60" t="str">
        <f>IF('Cálculo MP'!O460="","",'Cálculo MP'!O460)</f>
        <v/>
      </c>
      <c r="BD450" s="60" t="str">
        <f>IF('Cálculo MP'!P460="","",'Cálculo MP'!P460)</f>
        <v/>
      </c>
      <c r="BE450" s="60" t="str">
        <f>IF('Cálculo MP'!Q460="","",'Cálculo MP'!Q460)</f>
        <v/>
      </c>
      <c r="BF450" s="60" t="str">
        <f>IF('Cálculo MP'!R460="","",'Cálculo MP'!R460)</f>
        <v/>
      </c>
      <c r="BG450" s="60" t="str">
        <f>IF('Cálculo MP'!S460="","",'Cálculo MP'!S460)</f>
        <v/>
      </c>
      <c r="BH450" s="59"/>
      <c r="BI450" s="59"/>
      <c r="BJ450" s="59"/>
      <c r="BK450" s="59"/>
      <c r="BL450" s="59"/>
      <c r="BM450" s="59"/>
      <c r="BN450" s="59"/>
      <c r="BO450" s="59"/>
    </row>
    <row r="451" spans="1:67" ht="19.5" customHeight="1" x14ac:dyDescent="0.2">
      <c r="A451" s="114" t="s">
        <v>1789</v>
      </c>
      <c r="B451" s="113" t="s">
        <v>1787</v>
      </c>
      <c r="C451" s="122"/>
      <c r="D451" s="48" t="s">
        <v>73</v>
      </c>
      <c r="E451" s="49"/>
      <c r="F451" s="50"/>
      <c r="G451" s="62"/>
      <c r="H451" s="48" t="s">
        <v>72</v>
      </c>
      <c r="I451" s="52">
        <v>1</v>
      </c>
      <c r="J451" s="52"/>
      <c r="K451" s="52" t="s">
        <v>73</v>
      </c>
      <c r="L451" s="52" t="s">
        <v>74</v>
      </c>
      <c r="M451" s="53" t="s">
        <v>917</v>
      </c>
      <c r="N451" s="58" t="s">
        <v>73</v>
      </c>
      <c r="O451" s="48" t="s">
        <v>72</v>
      </c>
      <c r="P451" s="48" t="s">
        <v>73</v>
      </c>
      <c r="Q451" s="54" t="s">
        <v>73</v>
      </c>
      <c r="R451" s="55" t="s">
        <v>73</v>
      </c>
      <c r="S451" s="48" t="s">
        <v>73</v>
      </c>
      <c r="T451" s="121" t="str" cm="1">
        <f t="array" ref="T451">IF(ISNUMBER(SEARCH("SCHNEIDER",D451)),_xlfn.IFS(ISNUMBER(SEARCH("2 Querétaro",D451)),"SQ2",ISNUMBER(SEARCH("Xicohténcatl",D451)),"SXC",ISNUMBER(SEARCH("Rojo Gómez",D451)),"SRG",ISNUMBER(SEARCH("Tlaxcala",D451)),"STX",ISNUMBER(SEARCH("Monterrey",D451)),"SMY",ISNUMBER(SEARCH("Querétaro",D451)),"SQ1",ISNUMBER(SEARCH("CDMX",D451)),"SCM",TRUE,""),"")</f>
        <v/>
      </c>
      <c r="U451" s="48" t="str" cm="1">
        <f t="array" ref="U451">_xlfn.LET(_xlpm.resultados,_xlfn.UNIQUE(_xlfn._xlws.FILTER(Tabla1[Proceso],(Tabla1[Metal Base]=O451)*(Tabla1[Etiquetas]=_xlfn.TEXTJOIN(" + ",TRUE,IF((TRIM(Upload!P451:S451)="")+(LOWER(TRIM(Upload!P451:S451))="(seleccione)"),"",PROPER(TRIM(Upload!P451:S451)))))*(Tabla1[Línea2]=IFERROR(VLOOKUP(Upload!N451&amp;"*",CAT_Procesos!D:D,1,FALSE),"")))),_xlpm.cantidad,ROWS(_xlpm.resultados),IF(ISERROR(_xlpm.cantidad),"Combinación no existente",IF(_xlpm.cantidad=1,INDEX(_xlpm.resultados,1),"(seleccione)")))</f>
        <v>Combinación no existente</v>
      </c>
      <c r="V451" s="55" t="s">
        <v>73</v>
      </c>
      <c r="W451" s="56" t="s">
        <v>73</v>
      </c>
      <c r="X451" s="57" t="str">
        <f t="shared" si="24"/>
        <v/>
      </c>
      <c r="Y451" s="58" t="s">
        <v>73</v>
      </c>
      <c r="Z451" s="57" t="str">
        <f t="shared" si="25"/>
        <v/>
      </c>
      <c r="AA451" s="58" t="s">
        <v>73</v>
      </c>
      <c r="AB451" s="57" t="str">
        <f t="shared" si="26"/>
        <v/>
      </c>
      <c r="AC451" s="58" t="s">
        <v>73</v>
      </c>
      <c r="AD451" s="57" t="str">
        <f t="shared" si="27"/>
        <v/>
      </c>
      <c r="AE451" s="59"/>
      <c r="AF451" s="59"/>
      <c r="AG451" s="59"/>
      <c r="AH451" s="59"/>
      <c r="AI451" s="59" t="s">
        <v>73</v>
      </c>
      <c r="AJ451" s="59"/>
      <c r="AK451" s="59" t="s">
        <v>73</v>
      </c>
      <c r="AL451" s="59"/>
      <c r="AM451" s="59" t="s">
        <v>73</v>
      </c>
      <c r="AN451" s="59"/>
      <c r="AO451" s="59" t="s">
        <v>73</v>
      </c>
      <c r="AP451" s="59"/>
      <c r="AQ451" s="59" t="s">
        <v>73</v>
      </c>
      <c r="AR451" s="59"/>
      <c r="AS451" s="59" t="s">
        <v>72</v>
      </c>
      <c r="AT451" s="59"/>
      <c r="AU451" s="59"/>
      <c r="AV451" s="59"/>
      <c r="AW451" s="59"/>
      <c r="AX451" s="59"/>
      <c r="AY451" s="60" t="str">
        <f>IF('Cálculo MP'!K461="","",'Cálculo MP'!K461)</f>
        <v/>
      </c>
      <c r="AZ451" s="60" t="str">
        <f>IF('Cálculo MP'!L461="","",'Cálculo MP'!L461)</f>
        <v/>
      </c>
      <c r="BA451" s="60" t="str">
        <f>IF('Cálculo MP'!M461="","",'Cálculo MP'!M461)</f>
        <v/>
      </c>
      <c r="BB451" s="60" t="str">
        <f>IF('Cálculo MP'!N461="","",'Cálculo MP'!N461)</f>
        <v/>
      </c>
      <c r="BC451" s="60" t="str">
        <f>IF('Cálculo MP'!O461="","",'Cálculo MP'!O461)</f>
        <v/>
      </c>
      <c r="BD451" s="60" t="str">
        <f>IF('Cálculo MP'!P461="","",'Cálculo MP'!P461)</f>
        <v/>
      </c>
      <c r="BE451" s="60" t="str">
        <f>IF('Cálculo MP'!Q461="","",'Cálculo MP'!Q461)</f>
        <v/>
      </c>
      <c r="BF451" s="60" t="str">
        <f>IF('Cálculo MP'!R461="","",'Cálculo MP'!R461)</f>
        <v/>
      </c>
      <c r="BG451" s="60" t="str">
        <f>IF('Cálculo MP'!S461="","",'Cálculo MP'!S461)</f>
        <v/>
      </c>
      <c r="BH451" s="59"/>
      <c r="BI451" s="59"/>
      <c r="BJ451" s="59"/>
      <c r="BK451" s="59"/>
      <c r="BL451" s="59"/>
      <c r="BM451" s="59"/>
      <c r="BN451" s="59"/>
      <c r="BO451" s="59"/>
    </row>
    <row r="452" spans="1:67" ht="19.5" customHeight="1" x14ac:dyDescent="0.2">
      <c r="A452" s="114" t="s">
        <v>1789</v>
      </c>
      <c r="B452" s="113" t="s">
        <v>1787</v>
      </c>
      <c r="C452" s="122"/>
      <c r="D452" s="48" t="s">
        <v>73</v>
      </c>
      <c r="E452" s="49"/>
      <c r="F452" s="50"/>
      <c r="G452" s="62"/>
      <c r="H452" s="48" t="s">
        <v>72</v>
      </c>
      <c r="I452" s="52">
        <v>1</v>
      </c>
      <c r="J452" s="52"/>
      <c r="K452" s="52" t="s">
        <v>73</v>
      </c>
      <c r="L452" s="52" t="s">
        <v>74</v>
      </c>
      <c r="M452" s="53" t="s">
        <v>917</v>
      </c>
      <c r="N452" s="58" t="s">
        <v>73</v>
      </c>
      <c r="O452" s="48" t="s">
        <v>72</v>
      </c>
      <c r="P452" s="48" t="s">
        <v>73</v>
      </c>
      <c r="Q452" s="54" t="s">
        <v>73</v>
      </c>
      <c r="R452" s="55" t="s">
        <v>73</v>
      </c>
      <c r="S452" s="48" t="s">
        <v>73</v>
      </c>
      <c r="T452" s="121" t="str" cm="1">
        <f t="array" ref="T452">IF(ISNUMBER(SEARCH("SCHNEIDER",D452)),_xlfn.IFS(ISNUMBER(SEARCH("2 Querétaro",D452)),"SQ2",ISNUMBER(SEARCH("Xicohténcatl",D452)),"SXC",ISNUMBER(SEARCH("Rojo Gómez",D452)),"SRG",ISNUMBER(SEARCH("Tlaxcala",D452)),"STX",ISNUMBER(SEARCH("Monterrey",D452)),"SMY",ISNUMBER(SEARCH("Querétaro",D452)),"SQ1",ISNUMBER(SEARCH("CDMX",D452)),"SCM",TRUE,""),"")</f>
        <v/>
      </c>
      <c r="U452" s="48" t="str" cm="1">
        <f t="array" ref="U452">_xlfn.LET(_xlpm.resultados,_xlfn.UNIQUE(_xlfn._xlws.FILTER(Tabla1[Proceso],(Tabla1[Metal Base]=O452)*(Tabla1[Etiquetas]=_xlfn.TEXTJOIN(" + ",TRUE,IF((TRIM(Upload!P452:S452)="")+(LOWER(TRIM(Upload!P452:S452))="(seleccione)"),"",PROPER(TRIM(Upload!P452:S452)))))*(Tabla1[Línea2]=IFERROR(VLOOKUP(Upload!N452&amp;"*",CAT_Procesos!D:D,1,FALSE),"")))),_xlpm.cantidad,ROWS(_xlpm.resultados),IF(ISERROR(_xlpm.cantidad),"Combinación no existente",IF(_xlpm.cantidad=1,INDEX(_xlpm.resultados,1),"(seleccione)")))</f>
        <v>Combinación no existente</v>
      </c>
      <c r="V452" s="55" t="s">
        <v>73</v>
      </c>
      <c r="W452" s="56" t="s">
        <v>73</v>
      </c>
      <c r="X452" s="57" t="str">
        <f t="shared" si="24"/>
        <v/>
      </c>
      <c r="Y452" s="58" t="s">
        <v>73</v>
      </c>
      <c r="Z452" s="57" t="str">
        <f t="shared" si="25"/>
        <v/>
      </c>
      <c r="AA452" s="58" t="s">
        <v>73</v>
      </c>
      <c r="AB452" s="57" t="str">
        <f t="shared" si="26"/>
        <v/>
      </c>
      <c r="AC452" s="58" t="s">
        <v>73</v>
      </c>
      <c r="AD452" s="57" t="str">
        <f t="shared" si="27"/>
        <v/>
      </c>
      <c r="AE452" s="59"/>
      <c r="AF452" s="59"/>
      <c r="AG452" s="59"/>
      <c r="AH452" s="59"/>
      <c r="AI452" s="59" t="s">
        <v>73</v>
      </c>
      <c r="AJ452" s="59"/>
      <c r="AK452" s="59" t="s">
        <v>73</v>
      </c>
      <c r="AL452" s="59"/>
      <c r="AM452" s="59" t="s">
        <v>73</v>
      </c>
      <c r="AN452" s="59"/>
      <c r="AO452" s="59" t="s">
        <v>73</v>
      </c>
      <c r="AP452" s="59"/>
      <c r="AQ452" s="59" t="s">
        <v>73</v>
      </c>
      <c r="AR452" s="59"/>
      <c r="AS452" s="59" t="s">
        <v>72</v>
      </c>
      <c r="AT452" s="59"/>
      <c r="AU452" s="59"/>
      <c r="AV452" s="59"/>
      <c r="AW452" s="59"/>
      <c r="AX452" s="59"/>
      <c r="AY452" s="60" t="str">
        <f>IF('Cálculo MP'!K462="","",'Cálculo MP'!K462)</f>
        <v/>
      </c>
      <c r="AZ452" s="60" t="str">
        <f>IF('Cálculo MP'!L462="","",'Cálculo MP'!L462)</f>
        <v/>
      </c>
      <c r="BA452" s="60" t="str">
        <f>IF('Cálculo MP'!M462="","",'Cálculo MP'!M462)</f>
        <v/>
      </c>
      <c r="BB452" s="60" t="str">
        <f>IF('Cálculo MP'!N462="","",'Cálculo MP'!N462)</f>
        <v/>
      </c>
      <c r="BC452" s="60" t="str">
        <f>IF('Cálculo MP'!O462="","",'Cálculo MP'!O462)</f>
        <v/>
      </c>
      <c r="BD452" s="60" t="str">
        <f>IF('Cálculo MP'!P462="","",'Cálculo MP'!P462)</f>
        <v/>
      </c>
      <c r="BE452" s="60" t="str">
        <f>IF('Cálculo MP'!Q462="","",'Cálculo MP'!Q462)</f>
        <v/>
      </c>
      <c r="BF452" s="60" t="str">
        <f>IF('Cálculo MP'!R462="","",'Cálculo MP'!R462)</f>
        <v/>
      </c>
      <c r="BG452" s="60" t="str">
        <f>IF('Cálculo MP'!S462="","",'Cálculo MP'!S462)</f>
        <v/>
      </c>
      <c r="BH452" s="59"/>
      <c r="BI452" s="59"/>
      <c r="BJ452" s="59"/>
      <c r="BK452" s="59"/>
      <c r="BL452" s="59"/>
      <c r="BM452" s="59"/>
      <c r="BN452" s="59"/>
      <c r="BO452" s="59"/>
    </row>
    <row r="453" spans="1:67" ht="19.5" customHeight="1" x14ac:dyDescent="0.2">
      <c r="A453" s="114" t="s">
        <v>1789</v>
      </c>
      <c r="B453" s="113" t="s">
        <v>1787</v>
      </c>
      <c r="C453" s="122"/>
      <c r="D453" s="48" t="s">
        <v>73</v>
      </c>
      <c r="E453" s="49"/>
      <c r="F453" s="50"/>
      <c r="G453" s="62"/>
      <c r="H453" s="48" t="s">
        <v>72</v>
      </c>
      <c r="I453" s="52">
        <v>1</v>
      </c>
      <c r="J453" s="52"/>
      <c r="K453" s="52" t="s">
        <v>73</v>
      </c>
      <c r="L453" s="52" t="s">
        <v>74</v>
      </c>
      <c r="M453" s="53" t="s">
        <v>917</v>
      </c>
      <c r="N453" s="58" t="s">
        <v>73</v>
      </c>
      <c r="O453" s="48" t="s">
        <v>72</v>
      </c>
      <c r="P453" s="48" t="s">
        <v>73</v>
      </c>
      <c r="Q453" s="54" t="s">
        <v>73</v>
      </c>
      <c r="R453" s="55" t="s">
        <v>73</v>
      </c>
      <c r="S453" s="48" t="s">
        <v>73</v>
      </c>
      <c r="T453" s="121" t="str" cm="1">
        <f t="array" ref="T453">IF(ISNUMBER(SEARCH("SCHNEIDER",D453)),_xlfn.IFS(ISNUMBER(SEARCH("2 Querétaro",D453)),"SQ2",ISNUMBER(SEARCH("Xicohténcatl",D453)),"SXC",ISNUMBER(SEARCH("Rojo Gómez",D453)),"SRG",ISNUMBER(SEARCH("Tlaxcala",D453)),"STX",ISNUMBER(SEARCH("Monterrey",D453)),"SMY",ISNUMBER(SEARCH("Querétaro",D453)),"SQ1",ISNUMBER(SEARCH("CDMX",D453)),"SCM",TRUE,""),"")</f>
        <v/>
      </c>
      <c r="U453" s="48" t="str" cm="1">
        <f t="array" ref="U453">_xlfn.LET(_xlpm.resultados,_xlfn.UNIQUE(_xlfn._xlws.FILTER(Tabla1[Proceso],(Tabla1[Metal Base]=O453)*(Tabla1[Etiquetas]=_xlfn.TEXTJOIN(" + ",TRUE,IF((TRIM(Upload!P453:S453)="")+(LOWER(TRIM(Upload!P453:S453))="(seleccione)"),"",PROPER(TRIM(Upload!P453:S453)))))*(Tabla1[Línea2]=IFERROR(VLOOKUP(Upload!N453&amp;"*",CAT_Procesos!D:D,1,FALSE),"")))),_xlpm.cantidad,ROWS(_xlpm.resultados),IF(ISERROR(_xlpm.cantidad),"Combinación no existente",IF(_xlpm.cantidad=1,INDEX(_xlpm.resultados,1),"(seleccione)")))</f>
        <v>Combinación no existente</v>
      </c>
      <c r="V453" s="55" t="s">
        <v>73</v>
      </c>
      <c r="W453" s="56" t="s">
        <v>73</v>
      </c>
      <c r="X453" s="57" t="str">
        <f t="shared" si="24"/>
        <v/>
      </c>
      <c r="Y453" s="58" t="s">
        <v>73</v>
      </c>
      <c r="Z453" s="57" t="str">
        <f t="shared" si="25"/>
        <v/>
      </c>
      <c r="AA453" s="58" t="s">
        <v>73</v>
      </c>
      <c r="AB453" s="57" t="str">
        <f t="shared" si="26"/>
        <v/>
      </c>
      <c r="AC453" s="58" t="s">
        <v>73</v>
      </c>
      <c r="AD453" s="57" t="str">
        <f t="shared" si="27"/>
        <v/>
      </c>
      <c r="AE453" s="59"/>
      <c r="AF453" s="59"/>
      <c r="AG453" s="59"/>
      <c r="AH453" s="59"/>
      <c r="AI453" s="59" t="s">
        <v>73</v>
      </c>
      <c r="AJ453" s="59"/>
      <c r="AK453" s="59" t="s">
        <v>73</v>
      </c>
      <c r="AL453" s="59"/>
      <c r="AM453" s="59" t="s">
        <v>73</v>
      </c>
      <c r="AN453" s="59"/>
      <c r="AO453" s="59" t="s">
        <v>73</v>
      </c>
      <c r="AP453" s="59"/>
      <c r="AQ453" s="59" t="s">
        <v>73</v>
      </c>
      <c r="AR453" s="59"/>
      <c r="AS453" s="59" t="s">
        <v>72</v>
      </c>
      <c r="AT453" s="59"/>
      <c r="AU453" s="59"/>
      <c r="AV453" s="59"/>
      <c r="AW453" s="59"/>
      <c r="AX453" s="59"/>
      <c r="AY453" s="60" t="str">
        <f>IF('Cálculo MP'!K463="","",'Cálculo MP'!K463)</f>
        <v/>
      </c>
      <c r="AZ453" s="60" t="str">
        <f>IF('Cálculo MP'!L463="","",'Cálculo MP'!L463)</f>
        <v/>
      </c>
      <c r="BA453" s="60" t="str">
        <f>IF('Cálculo MP'!M463="","",'Cálculo MP'!M463)</f>
        <v/>
      </c>
      <c r="BB453" s="60" t="str">
        <f>IF('Cálculo MP'!N463="","",'Cálculo MP'!N463)</f>
        <v/>
      </c>
      <c r="BC453" s="60" t="str">
        <f>IF('Cálculo MP'!O463="","",'Cálculo MP'!O463)</f>
        <v/>
      </c>
      <c r="BD453" s="60" t="str">
        <f>IF('Cálculo MP'!P463="","",'Cálculo MP'!P463)</f>
        <v/>
      </c>
      <c r="BE453" s="60" t="str">
        <f>IF('Cálculo MP'!Q463="","",'Cálculo MP'!Q463)</f>
        <v/>
      </c>
      <c r="BF453" s="60" t="str">
        <f>IF('Cálculo MP'!R463="","",'Cálculo MP'!R463)</f>
        <v/>
      </c>
      <c r="BG453" s="60" t="str">
        <f>IF('Cálculo MP'!S463="","",'Cálculo MP'!S463)</f>
        <v/>
      </c>
      <c r="BH453" s="59"/>
      <c r="BI453" s="59"/>
      <c r="BJ453" s="59"/>
      <c r="BK453" s="59"/>
      <c r="BL453" s="59"/>
      <c r="BM453" s="59"/>
      <c r="BN453" s="59"/>
      <c r="BO453" s="59"/>
    </row>
    <row r="454" spans="1:67" ht="19.5" customHeight="1" x14ac:dyDescent="0.2">
      <c r="A454" s="114" t="s">
        <v>1789</v>
      </c>
      <c r="B454" s="113" t="s">
        <v>1787</v>
      </c>
      <c r="C454" s="122"/>
      <c r="D454" s="48" t="s">
        <v>73</v>
      </c>
      <c r="E454" s="49"/>
      <c r="F454" s="50"/>
      <c r="G454" s="62"/>
      <c r="H454" s="48" t="s">
        <v>72</v>
      </c>
      <c r="I454" s="52">
        <v>1</v>
      </c>
      <c r="J454" s="52"/>
      <c r="K454" s="52" t="s">
        <v>73</v>
      </c>
      <c r="L454" s="52" t="s">
        <v>74</v>
      </c>
      <c r="M454" s="53" t="s">
        <v>917</v>
      </c>
      <c r="N454" s="58" t="s">
        <v>73</v>
      </c>
      <c r="O454" s="48" t="s">
        <v>72</v>
      </c>
      <c r="P454" s="48" t="s">
        <v>73</v>
      </c>
      <c r="Q454" s="54" t="s">
        <v>73</v>
      </c>
      <c r="R454" s="55" t="s">
        <v>73</v>
      </c>
      <c r="S454" s="48" t="s">
        <v>73</v>
      </c>
      <c r="T454" s="121" t="str" cm="1">
        <f t="array" ref="T454">IF(ISNUMBER(SEARCH("SCHNEIDER",D454)),_xlfn.IFS(ISNUMBER(SEARCH("2 Querétaro",D454)),"SQ2",ISNUMBER(SEARCH("Xicohténcatl",D454)),"SXC",ISNUMBER(SEARCH("Rojo Gómez",D454)),"SRG",ISNUMBER(SEARCH("Tlaxcala",D454)),"STX",ISNUMBER(SEARCH("Monterrey",D454)),"SMY",ISNUMBER(SEARCH("Querétaro",D454)),"SQ1",ISNUMBER(SEARCH("CDMX",D454)),"SCM",TRUE,""),"")</f>
        <v/>
      </c>
      <c r="U454" s="48" t="str" cm="1">
        <f t="array" ref="U454">_xlfn.LET(_xlpm.resultados,_xlfn.UNIQUE(_xlfn._xlws.FILTER(Tabla1[Proceso],(Tabla1[Metal Base]=O454)*(Tabla1[Etiquetas]=_xlfn.TEXTJOIN(" + ",TRUE,IF((TRIM(Upload!P454:S454)="")+(LOWER(TRIM(Upload!P454:S454))="(seleccione)"),"",PROPER(TRIM(Upload!P454:S454)))))*(Tabla1[Línea2]=IFERROR(VLOOKUP(Upload!N454&amp;"*",CAT_Procesos!D:D,1,FALSE),"")))),_xlpm.cantidad,ROWS(_xlpm.resultados),IF(ISERROR(_xlpm.cantidad),"Combinación no existente",IF(_xlpm.cantidad=1,INDEX(_xlpm.resultados,1),"(seleccione)")))</f>
        <v>Combinación no existente</v>
      </c>
      <c r="V454" s="55" t="s">
        <v>73</v>
      </c>
      <c r="W454" s="56" t="s">
        <v>73</v>
      </c>
      <c r="X454" s="57" t="str">
        <f t="shared" si="24"/>
        <v/>
      </c>
      <c r="Y454" s="58" t="s">
        <v>73</v>
      </c>
      <c r="Z454" s="57" t="str">
        <f t="shared" si="25"/>
        <v/>
      </c>
      <c r="AA454" s="58" t="s">
        <v>73</v>
      </c>
      <c r="AB454" s="57" t="str">
        <f t="shared" si="26"/>
        <v/>
      </c>
      <c r="AC454" s="58" t="s">
        <v>73</v>
      </c>
      <c r="AD454" s="57" t="str">
        <f t="shared" si="27"/>
        <v/>
      </c>
      <c r="AE454" s="59"/>
      <c r="AF454" s="59"/>
      <c r="AG454" s="59"/>
      <c r="AH454" s="59"/>
      <c r="AI454" s="59" t="s">
        <v>73</v>
      </c>
      <c r="AJ454" s="59"/>
      <c r="AK454" s="59" t="s">
        <v>73</v>
      </c>
      <c r="AL454" s="59"/>
      <c r="AM454" s="59" t="s">
        <v>73</v>
      </c>
      <c r="AN454" s="59"/>
      <c r="AO454" s="59" t="s">
        <v>73</v>
      </c>
      <c r="AP454" s="59"/>
      <c r="AQ454" s="59" t="s">
        <v>73</v>
      </c>
      <c r="AR454" s="59"/>
      <c r="AS454" s="59" t="s">
        <v>72</v>
      </c>
      <c r="AT454" s="59"/>
      <c r="AU454" s="59"/>
      <c r="AV454" s="59"/>
      <c r="AW454" s="59"/>
      <c r="AX454" s="59"/>
      <c r="AY454" s="60" t="str">
        <f>IF('Cálculo MP'!K464="","",'Cálculo MP'!K464)</f>
        <v/>
      </c>
      <c r="AZ454" s="60" t="str">
        <f>IF('Cálculo MP'!L464="","",'Cálculo MP'!L464)</f>
        <v/>
      </c>
      <c r="BA454" s="60" t="str">
        <f>IF('Cálculo MP'!M464="","",'Cálculo MP'!M464)</f>
        <v/>
      </c>
      <c r="BB454" s="60" t="str">
        <f>IF('Cálculo MP'!N464="","",'Cálculo MP'!N464)</f>
        <v/>
      </c>
      <c r="BC454" s="60" t="str">
        <f>IF('Cálculo MP'!O464="","",'Cálculo MP'!O464)</f>
        <v/>
      </c>
      <c r="BD454" s="60" t="str">
        <f>IF('Cálculo MP'!P464="","",'Cálculo MP'!P464)</f>
        <v/>
      </c>
      <c r="BE454" s="60" t="str">
        <f>IF('Cálculo MP'!Q464="","",'Cálculo MP'!Q464)</f>
        <v/>
      </c>
      <c r="BF454" s="60" t="str">
        <f>IF('Cálculo MP'!R464="","",'Cálculo MP'!R464)</f>
        <v/>
      </c>
      <c r="BG454" s="60" t="str">
        <f>IF('Cálculo MP'!S464="","",'Cálculo MP'!S464)</f>
        <v/>
      </c>
      <c r="BH454" s="59"/>
      <c r="BI454" s="59"/>
      <c r="BJ454" s="59"/>
      <c r="BK454" s="59"/>
      <c r="BL454" s="59"/>
      <c r="BM454" s="59"/>
      <c r="BN454" s="59"/>
      <c r="BO454" s="59"/>
    </row>
    <row r="455" spans="1:67" ht="19.5" customHeight="1" x14ac:dyDescent="0.2">
      <c r="A455" s="114" t="s">
        <v>1789</v>
      </c>
      <c r="B455" s="113" t="s">
        <v>1787</v>
      </c>
      <c r="C455" s="122"/>
      <c r="D455" s="48" t="s">
        <v>73</v>
      </c>
      <c r="E455" s="49"/>
      <c r="F455" s="50"/>
      <c r="G455" s="62"/>
      <c r="H455" s="48" t="s">
        <v>72</v>
      </c>
      <c r="I455" s="52">
        <v>1</v>
      </c>
      <c r="J455" s="52"/>
      <c r="K455" s="52" t="s">
        <v>73</v>
      </c>
      <c r="L455" s="52" t="s">
        <v>74</v>
      </c>
      <c r="M455" s="53" t="s">
        <v>917</v>
      </c>
      <c r="N455" s="58" t="s">
        <v>73</v>
      </c>
      <c r="O455" s="48" t="s">
        <v>72</v>
      </c>
      <c r="P455" s="48" t="s">
        <v>73</v>
      </c>
      <c r="Q455" s="54" t="s">
        <v>73</v>
      </c>
      <c r="R455" s="55" t="s">
        <v>73</v>
      </c>
      <c r="S455" s="48" t="s">
        <v>73</v>
      </c>
      <c r="T455" s="121" t="str" cm="1">
        <f t="array" ref="T455">IF(ISNUMBER(SEARCH("SCHNEIDER",D455)),_xlfn.IFS(ISNUMBER(SEARCH("2 Querétaro",D455)),"SQ2",ISNUMBER(SEARCH("Xicohténcatl",D455)),"SXC",ISNUMBER(SEARCH("Rojo Gómez",D455)),"SRG",ISNUMBER(SEARCH("Tlaxcala",D455)),"STX",ISNUMBER(SEARCH("Monterrey",D455)),"SMY",ISNUMBER(SEARCH("Querétaro",D455)),"SQ1",ISNUMBER(SEARCH("CDMX",D455)),"SCM",TRUE,""),"")</f>
        <v/>
      </c>
      <c r="U455" s="48" t="str" cm="1">
        <f t="array" ref="U455">_xlfn.LET(_xlpm.resultados,_xlfn.UNIQUE(_xlfn._xlws.FILTER(Tabla1[Proceso],(Tabla1[Metal Base]=O455)*(Tabla1[Etiquetas]=_xlfn.TEXTJOIN(" + ",TRUE,IF((TRIM(Upload!P455:S455)="")+(LOWER(TRIM(Upload!P455:S455))="(seleccione)"),"",PROPER(TRIM(Upload!P455:S455)))))*(Tabla1[Línea2]=IFERROR(VLOOKUP(Upload!N455&amp;"*",CAT_Procesos!D:D,1,FALSE),"")))),_xlpm.cantidad,ROWS(_xlpm.resultados),IF(ISERROR(_xlpm.cantidad),"Combinación no existente",IF(_xlpm.cantidad=1,INDEX(_xlpm.resultados,1),"(seleccione)")))</f>
        <v>Combinación no existente</v>
      </c>
      <c r="V455" s="55" t="s">
        <v>73</v>
      </c>
      <c r="W455" s="56" t="s">
        <v>73</v>
      </c>
      <c r="X455" s="57" t="str">
        <f t="shared" si="24"/>
        <v/>
      </c>
      <c r="Y455" s="58" t="s">
        <v>73</v>
      </c>
      <c r="Z455" s="57" t="str">
        <f t="shared" si="25"/>
        <v/>
      </c>
      <c r="AA455" s="58" t="s">
        <v>73</v>
      </c>
      <c r="AB455" s="57" t="str">
        <f t="shared" si="26"/>
        <v/>
      </c>
      <c r="AC455" s="58" t="s">
        <v>73</v>
      </c>
      <c r="AD455" s="57" t="str">
        <f t="shared" si="27"/>
        <v/>
      </c>
      <c r="AE455" s="59"/>
      <c r="AF455" s="59"/>
      <c r="AG455" s="59"/>
      <c r="AH455" s="59"/>
      <c r="AI455" s="59" t="s">
        <v>73</v>
      </c>
      <c r="AJ455" s="59"/>
      <c r="AK455" s="59" t="s">
        <v>73</v>
      </c>
      <c r="AL455" s="59"/>
      <c r="AM455" s="59" t="s">
        <v>73</v>
      </c>
      <c r="AN455" s="59"/>
      <c r="AO455" s="59" t="s">
        <v>73</v>
      </c>
      <c r="AP455" s="59"/>
      <c r="AQ455" s="59" t="s">
        <v>73</v>
      </c>
      <c r="AR455" s="59"/>
      <c r="AS455" s="59" t="s">
        <v>72</v>
      </c>
      <c r="AT455" s="59"/>
      <c r="AU455" s="59"/>
      <c r="AV455" s="59"/>
      <c r="AW455" s="59"/>
      <c r="AX455" s="59"/>
      <c r="AY455" s="60" t="str">
        <f>IF('Cálculo MP'!K465="","",'Cálculo MP'!K465)</f>
        <v/>
      </c>
      <c r="AZ455" s="60" t="str">
        <f>IF('Cálculo MP'!L465="","",'Cálculo MP'!L465)</f>
        <v/>
      </c>
      <c r="BA455" s="60" t="str">
        <f>IF('Cálculo MP'!M465="","",'Cálculo MP'!M465)</f>
        <v/>
      </c>
      <c r="BB455" s="60" t="str">
        <f>IF('Cálculo MP'!N465="","",'Cálculo MP'!N465)</f>
        <v/>
      </c>
      <c r="BC455" s="60" t="str">
        <f>IF('Cálculo MP'!O465="","",'Cálculo MP'!O465)</f>
        <v/>
      </c>
      <c r="BD455" s="60" t="str">
        <f>IF('Cálculo MP'!P465="","",'Cálculo MP'!P465)</f>
        <v/>
      </c>
      <c r="BE455" s="60" t="str">
        <f>IF('Cálculo MP'!Q465="","",'Cálculo MP'!Q465)</f>
        <v/>
      </c>
      <c r="BF455" s="60" t="str">
        <f>IF('Cálculo MP'!R465="","",'Cálculo MP'!R465)</f>
        <v/>
      </c>
      <c r="BG455" s="60" t="str">
        <f>IF('Cálculo MP'!S465="","",'Cálculo MP'!S465)</f>
        <v/>
      </c>
      <c r="BH455" s="59"/>
      <c r="BI455" s="59"/>
      <c r="BJ455" s="59"/>
      <c r="BK455" s="59"/>
      <c r="BL455" s="59"/>
      <c r="BM455" s="59"/>
      <c r="BN455" s="59"/>
      <c r="BO455" s="59"/>
    </row>
    <row r="456" spans="1:67" ht="19.5" customHeight="1" x14ac:dyDescent="0.15">
      <c r="A456" s="114" t="s">
        <v>1789</v>
      </c>
      <c r="B456" s="113" t="s">
        <v>1787</v>
      </c>
      <c r="C456" s="49"/>
      <c r="D456" s="48" t="s">
        <v>73</v>
      </c>
      <c r="E456" s="49"/>
      <c r="F456" s="50"/>
      <c r="G456" s="62"/>
      <c r="H456" s="48" t="s">
        <v>72</v>
      </c>
      <c r="I456" s="52">
        <v>1</v>
      </c>
      <c r="J456" s="52"/>
      <c r="K456" s="52" t="s">
        <v>73</v>
      </c>
      <c r="L456" s="52" t="s">
        <v>74</v>
      </c>
      <c r="M456" s="53" t="s">
        <v>917</v>
      </c>
      <c r="N456" s="58" t="s">
        <v>73</v>
      </c>
      <c r="O456" s="48" t="s">
        <v>72</v>
      </c>
      <c r="P456" s="48" t="s">
        <v>73</v>
      </c>
      <c r="Q456" s="54" t="s">
        <v>73</v>
      </c>
      <c r="R456" s="55" t="s">
        <v>73</v>
      </c>
      <c r="S456" s="48" t="s">
        <v>73</v>
      </c>
      <c r="T456" s="121" t="str" cm="1">
        <f t="array" ref="T456">IF(ISNUMBER(SEARCH("SCHNEIDER",D456)),_xlfn.IFS(ISNUMBER(SEARCH("2 Querétaro",D456)),"SQ2",ISNUMBER(SEARCH("Xicohténcatl",D456)),"SXC",ISNUMBER(SEARCH("Rojo Gómez",D456)),"SRG",ISNUMBER(SEARCH("Tlaxcala",D456)),"STX",ISNUMBER(SEARCH("Monterrey",D456)),"SMY",ISNUMBER(SEARCH("Querétaro",D456)),"SQ1",ISNUMBER(SEARCH("CDMX",D456)),"SCM",TRUE,""),"")</f>
        <v/>
      </c>
      <c r="U456" s="48" t="str" cm="1">
        <f t="array" ref="U456">_xlfn.LET(_xlpm.resultados,_xlfn.UNIQUE(_xlfn._xlws.FILTER(Tabla1[Proceso],(Tabla1[Metal Base]=O456)*(Tabla1[Etiquetas]=_xlfn.TEXTJOIN(" + ",TRUE,IF((TRIM(Upload!P456:S456)="")+(LOWER(TRIM(Upload!P456:S456))="(seleccione)"),"",PROPER(TRIM(Upload!P456:S456)))))*(Tabla1[Línea2]=IFERROR(VLOOKUP(Upload!N456&amp;"*",CAT_Procesos!D:D,1,FALSE),"")))),_xlpm.cantidad,ROWS(_xlpm.resultados),IF(ISERROR(_xlpm.cantidad),"Combinación no existente",IF(_xlpm.cantidad=1,INDEX(_xlpm.resultados,1),"(seleccione)")))</f>
        <v>Combinación no existente</v>
      </c>
      <c r="V456" s="55" t="s">
        <v>73</v>
      </c>
      <c r="W456" s="56" t="s">
        <v>73</v>
      </c>
      <c r="X456" s="57" t="str">
        <f t="shared" si="24"/>
        <v/>
      </c>
      <c r="Y456" s="58" t="s">
        <v>73</v>
      </c>
      <c r="Z456" s="57" t="str">
        <f t="shared" si="25"/>
        <v/>
      </c>
      <c r="AA456" s="58" t="s">
        <v>73</v>
      </c>
      <c r="AB456" s="57" t="str">
        <f t="shared" si="26"/>
        <v/>
      </c>
      <c r="AC456" s="58" t="s">
        <v>73</v>
      </c>
      <c r="AD456" s="57" t="str">
        <f t="shared" si="27"/>
        <v/>
      </c>
      <c r="AE456" s="59"/>
      <c r="AF456" s="59"/>
      <c r="AG456" s="59"/>
      <c r="AH456" s="59"/>
      <c r="AI456" s="59" t="s">
        <v>73</v>
      </c>
      <c r="AJ456" s="59"/>
      <c r="AK456" s="59" t="s">
        <v>73</v>
      </c>
      <c r="AL456" s="59"/>
      <c r="AM456" s="59" t="s">
        <v>73</v>
      </c>
      <c r="AN456" s="59"/>
      <c r="AO456" s="59" t="s">
        <v>73</v>
      </c>
      <c r="AP456" s="59"/>
      <c r="AQ456" s="59" t="s">
        <v>73</v>
      </c>
      <c r="AR456" s="59"/>
      <c r="AS456" s="59" t="s">
        <v>72</v>
      </c>
      <c r="AT456" s="59"/>
      <c r="AU456" s="59"/>
      <c r="AV456" s="59"/>
      <c r="AW456" s="59"/>
      <c r="AX456" s="59"/>
      <c r="AY456" s="60" t="str">
        <f>IF('Cálculo MP'!K466="","",'Cálculo MP'!K466)</f>
        <v/>
      </c>
      <c r="AZ456" s="60" t="str">
        <f>IF('Cálculo MP'!L466="","",'Cálculo MP'!L466)</f>
        <v/>
      </c>
      <c r="BA456" s="60" t="str">
        <f>IF('Cálculo MP'!M466="","",'Cálculo MP'!M466)</f>
        <v/>
      </c>
      <c r="BB456" s="60" t="str">
        <f>IF('Cálculo MP'!N466="","",'Cálculo MP'!N466)</f>
        <v/>
      </c>
      <c r="BC456" s="60" t="str">
        <f>IF('Cálculo MP'!O466="","",'Cálculo MP'!O466)</f>
        <v/>
      </c>
      <c r="BD456" s="60" t="str">
        <f>IF('Cálculo MP'!P466="","",'Cálculo MP'!P466)</f>
        <v/>
      </c>
      <c r="BE456" s="60" t="str">
        <f>IF('Cálculo MP'!Q466="","",'Cálculo MP'!Q466)</f>
        <v/>
      </c>
      <c r="BF456" s="60" t="str">
        <f>IF('Cálculo MP'!R466="","",'Cálculo MP'!R466)</f>
        <v/>
      </c>
      <c r="BG456" s="60" t="str">
        <f>IF('Cálculo MP'!S466="","",'Cálculo MP'!S466)</f>
        <v/>
      </c>
      <c r="BH456" s="59"/>
      <c r="BI456" s="59"/>
      <c r="BJ456" s="59"/>
      <c r="BK456" s="59"/>
      <c r="BL456" s="59"/>
      <c r="BM456" s="59"/>
      <c r="BN456" s="59"/>
      <c r="BO456" s="59"/>
    </row>
    <row r="457" spans="1:67" ht="19.5" customHeight="1" x14ac:dyDescent="0.15">
      <c r="A457" s="114" t="s">
        <v>1789</v>
      </c>
      <c r="B457" s="113" t="s">
        <v>1787</v>
      </c>
      <c r="C457" s="49"/>
      <c r="D457" s="48" t="s">
        <v>73</v>
      </c>
      <c r="E457" s="49"/>
      <c r="F457" s="50"/>
      <c r="G457" s="62"/>
      <c r="H457" s="48" t="s">
        <v>72</v>
      </c>
      <c r="I457" s="52">
        <v>1</v>
      </c>
      <c r="J457" s="52"/>
      <c r="K457" s="52" t="s">
        <v>73</v>
      </c>
      <c r="L457" s="52" t="s">
        <v>74</v>
      </c>
      <c r="M457" s="53" t="s">
        <v>917</v>
      </c>
      <c r="N457" s="58" t="s">
        <v>73</v>
      </c>
      <c r="O457" s="48" t="s">
        <v>72</v>
      </c>
      <c r="P457" s="48" t="s">
        <v>73</v>
      </c>
      <c r="Q457" s="54" t="s">
        <v>73</v>
      </c>
      <c r="R457" s="55" t="s">
        <v>73</v>
      </c>
      <c r="S457" s="48" t="s">
        <v>73</v>
      </c>
      <c r="T457" s="121" t="str" cm="1">
        <f t="array" ref="T457">IF(ISNUMBER(SEARCH("SCHNEIDER",D457)),_xlfn.IFS(ISNUMBER(SEARCH("2 Querétaro",D457)),"SQ2",ISNUMBER(SEARCH("Xicohténcatl",D457)),"SXC",ISNUMBER(SEARCH("Rojo Gómez",D457)),"SRG",ISNUMBER(SEARCH("Tlaxcala",D457)),"STX",ISNUMBER(SEARCH("Monterrey",D457)),"SMY",ISNUMBER(SEARCH("Querétaro",D457)),"SQ1",ISNUMBER(SEARCH("CDMX",D457)),"SCM",TRUE,""),"")</f>
        <v/>
      </c>
      <c r="U457" s="48" t="str" cm="1">
        <f t="array" ref="U457">_xlfn.LET(_xlpm.resultados,_xlfn.UNIQUE(_xlfn._xlws.FILTER(Tabla1[Proceso],(Tabla1[Metal Base]=O457)*(Tabla1[Etiquetas]=_xlfn.TEXTJOIN(" + ",TRUE,IF((TRIM(Upload!P457:S457)="")+(LOWER(TRIM(Upload!P457:S457))="(seleccione)"),"",PROPER(TRIM(Upload!P457:S457)))))*(Tabla1[Línea2]=IFERROR(VLOOKUP(Upload!N457&amp;"*",CAT_Procesos!D:D,1,FALSE),"")))),_xlpm.cantidad,ROWS(_xlpm.resultados),IF(ISERROR(_xlpm.cantidad),"Combinación no existente",IF(_xlpm.cantidad=1,INDEX(_xlpm.resultados,1),"(seleccione)")))</f>
        <v>Combinación no existente</v>
      </c>
      <c r="V457" s="55" t="s">
        <v>73</v>
      </c>
      <c r="W457" s="56" t="s">
        <v>73</v>
      </c>
      <c r="X457" s="57" t="str">
        <f t="shared" ref="X457:X507" si="28">IFERROR(((VALUE(TRIM(LEFT(MID(W457,FIND("|",W457)+1,99),FIND("-",MID(W457,FIND("|",W457)+1,99))-1)))+VALUE(TRIM(SUBSTITUTE(SUBSTITUTE(SUBSTITUTE(SUBSTITUTE(SUBSTITUTE(MID(MID(W457,FIND("|",W457)+1,99),FIND("-",MID(W457,FIND("|",W457)+1,99))+1,20),"µm",""),"μm",""),"mils",""),"mil",""),"",""))))/2)*IF(ISNUMBER(SEARCH("mil",MID(W457,FIND("|",W457)+1,99))),25.4,1),"")</f>
        <v/>
      </c>
      <c r="Y457" s="58" t="s">
        <v>73</v>
      </c>
      <c r="Z457" s="57" t="str">
        <f t="shared" ref="Z457:Z507" si="29">IFERROR(((VALUE(TRIM(LEFT(MID(Y457,FIND("|",Y457)+1,99),FIND("-",MID(Y457,FIND("|",Y457)+1,99))-1)))+VALUE(TRIM(SUBSTITUTE(SUBSTITUTE(SUBSTITUTE(SUBSTITUTE(SUBSTITUTE(MID(MID(Y457,FIND("|",Y457)+1,99),FIND("-",MID(Y457,FIND("|",Y457)+1,99))+1,20),"µm",""),"μm",""),"mils",""),"mil",""),"",""))))/2)*IF(ISNUMBER(SEARCH("mil",MID(Y457,FIND("|",Y457)+1,99))),25.4,1),"")</f>
        <v/>
      </c>
      <c r="AA457" s="58" t="s">
        <v>73</v>
      </c>
      <c r="AB457" s="57" t="str">
        <f t="shared" ref="AB457:AB507" si="30">IFERROR(((VALUE(TRIM(LEFT(MID(AA457,FIND("|",AA457)+1,99),FIND("-",MID(AA457,FIND("|",AA457)+1,99))-1)))+VALUE(TRIM(SUBSTITUTE(SUBSTITUTE(SUBSTITUTE(SUBSTITUTE(SUBSTITUTE(MID(MID(AA457,FIND("|",AA457)+1,99),FIND("-",MID(AA457,FIND("|",AA457)+1,99))+1,20),"µm",""),"μm",""),"mils",""),"mil",""),"",""))))/2)*IF(ISNUMBER(SEARCH("mil",MID(AA457,FIND("|",AA457)+1,99))),25.4,1),"")</f>
        <v/>
      </c>
      <c r="AC457" s="58" t="s">
        <v>73</v>
      </c>
      <c r="AD457" s="57" t="str">
        <f t="shared" ref="AD457:AD507" si="31">IFERROR(((VALUE(TRIM(LEFT(MID(AC457,FIND("|",AC457)+1,99),FIND("-",MID(AC457,FIND("|",AC457)+1,99))-1)))+VALUE(TRIM(SUBSTITUTE(SUBSTITUTE(SUBSTITUTE(SUBSTITUTE(SUBSTITUTE(MID(MID(AC457,FIND("|",AC457)+1,99),FIND("-",MID(AC457,FIND("|",AC457)+1,99))+1,20),"µm",""),"μm",""),"mils",""),"mil",""),"",""))))/2)*IF(ISNUMBER(SEARCH("mil",MID(AC457,FIND("|",AC457)+1,99))),25.4,1),"")</f>
        <v/>
      </c>
      <c r="AE457" s="59"/>
      <c r="AF457" s="59"/>
      <c r="AG457" s="59"/>
      <c r="AH457" s="59"/>
      <c r="AI457" s="59" t="s">
        <v>73</v>
      </c>
      <c r="AJ457" s="59"/>
      <c r="AK457" s="59" t="s">
        <v>73</v>
      </c>
      <c r="AL457" s="59"/>
      <c r="AM457" s="59" t="s">
        <v>73</v>
      </c>
      <c r="AN457" s="59"/>
      <c r="AO457" s="59" t="s">
        <v>73</v>
      </c>
      <c r="AP457" s="59"/>
      <c r="AQ457" s="59" t="s">
        <v>73</v>
      </c>
      <c r="AR457" s="59"/>
      <c r="AS457" s="59" t="s">
        <v>72</v>
      </c>
      <c r="AT457" s="59"/>
      <c r="AU457" s="59"/>
      <c r="AV457" s="59"/>
      <c r="AW457" s="59"/>
      <c r="AX457" s="59"/>
      <c r="AY457" s="60" t="str">
        <f>IF('Cálculo MP'!K467="","",'Cálculo MP'!K467)</f>
        <v/>
      </c>
      <c r="AZ457" s="60" t="str">
        <f>IF('Cálculo MP'!L467="","",'Cálculo MP'!L467)</f>
        <v/>
      </c>
      <c r="BA457" s="60" t="str">
        <f>IF('Cálculo MP'!M467="","",'Cálculo MP'!M467)</f>
        <v/>
      </c>
      <c r="BB457" s="60" t="str">
        <f>IF('Cálculo MP'!N467="","",'Cálculo MP'!N467)</f>
        <v/>
      </c>
      <c r="BC457" s="60" t="str">
        <f>IF('Cálculo MP'!O467="","",'Cálculo MP'!O467)</f>
        <v/>
      </c>
      <c r="BD457" s="60" t="str">
        <f>IF('Cálculo MP'!P467="","",'Cálculo MP'!P467)</f>
        <v/>
      </c>
      <c r="BE457" s="60" t="str">
        <f>IF('Cálculo MP'!Q467="","",'Cálculo MP'!Q467)</f>
        <v/>
      </c>
      <c r="BF457" s="60" t="str">
        <f>IF('Cálculo MP'!R467="","",'Cálculo MP'!R467)</f>
        <v/>
      </c>
      <c r="BG457" s="60" t="str">
        <f>IF('Cálculo MP'!S467="","",'Cálculo MP'!S467)</f>
        <v/>
      </c>
      <c r="BH457" s="59"/>
      <c r="BI457" s="59"/>
      <c r="BJ457" s="59"/>
      <c r="BK457" s="59"/>
      <c r="BL457" s="59"/>
      <c r="BM457" s="59"/>
      <c r="BN457" s="59"/>
      <c r="BO457" s="59"/>
    </row>
    <row r="458" spans="1:67" ht="19.5" customHeight="1" x14ac:dyDescent="0.15">
      <c r="A458" s="114" t="s">
        <v>1789</v>
      </c>
      <c r="B458" s="113" t="s">
        <v>1787</v>
      </c>
      <c r="C458" s="49"/>
      <c r="D458" s="48" t="s">
        <v>73</v>
      </c>
      <c r="E458" s="49"/>
      <c r="F458" s="50"/>
      <c r="G458" s="62"/>
      <c r="H458" s="48" t="s">
        <v>72</v>
      </c>
      <c r="I458" s="52">
        <v>1</v>
      </c>
      <c r="J458" s="52"/>
      <c r="K458" s="52" t="s">
        <v>73</v>
      </c>
      <c r="L458" s="52" t="s">
        <v>74</v>
      </c>
      <c r="M458" s="53" t="s">
        <v>917</v>
      </c>
      <c r="N458" s="58" t="s">
        <v>73</v>
      </c>
      <c r="O458" s="48" t="s">
        <v>72</v>
      </c>
      <c r="P458" s="48" t="s">
        <v>73</v>
      </c>
      <c r="Q458" s="54" t="s">
        <v>73</v>
      </c>
      <c r="R458" s="55" t="s">
        <v>73</v>
      </c>
      <c r="S458" s="48" t="s">
        <v>73</v>
      </c>
      <c r="T458" s="121" t="str" cm="1">
        <f t="array" ref="T458">IF(ISNUMBER(SEARCH("SCHNEIDER",D458)),_xlfn.IFS(ISNUMBER(SEARCH("2 Querétaro",D458)),"SQ2",ISNUMBER(SEARCH("Xicohténcatl",D458)),"SXC",ISNUMBER(SEARCH("Rojo Gómez",D458)),"SRG",ISNUMBER(SEARCH("Tlaxcala",D458)),"STX",ISNUMBER(SEARCH("Monterrey",D458)),"SMY",ISNUMBER(SEARCH("Querétaro",D458)),"SQ1",ISNUMBER(SEARCH("CDMX",D458)),"SCM",TRUE,""),"")</f>
        <v/>
      </c>
      <c r="U458" s="48" t="str" cm="1">
        <f t="array" ref="U458">_xlfn.LET(_xlpm.resultados,_xlfn.UNIQUE(_xlfn._xlws.FILTER(Tabla1[Proceso],(Tabla1[Metal Base]=O458)*(Tabla1[Etiquetas]=_xlfn.TEXTJOIN(" + ",TRUE,IF((TRIM(Upload!P458:S458)="")+(LOWER(TRIM(Upload!P458:S458))="(seleccione)"),"",PROPER(TRIM(Upload!P458:S458)))))*(Tabla1[Línea2]=IFERROR(VLOOKUP(Upload!N458&amp;"*",CAT_Procesos!D:D,1,FALSE),"")))),_xlpm.cantidad,ROWS(_xlpm.resultados),IF(ISERROR(_xlpm.cantidad),"Combinación no existente",IF(_xlpm.cantidad=1,INDEX(_xlpm.resultados,1),"(seleccione)")))</f>
        <v>Combinación no existente</v>
      </c>
      <c r="V458" s="55" t="s">
        <v>73</v>
      </c>
      <c r="W458" s="56" t="s">
        <v>73</v>
      </c>
      <c r="X458" s="57" t="str">
        <f t="shared" si="28"/>
        <v/>
      </c>
      <c r="Y458" s="58" t="s">
        <v>73</v>
      </c>
      <c r="Z458" s="57" t="str">
        <f t="shared" si="29"/>
        <v/>
      </c>
      <c r="AA458" s="58" t="s">
        <v>73</v>
      </c>
      <c r="AB458" s="57" t="str">
        <f t="shared" si="30"/>
        <v/>
      </c>
      <c r="AC458" s="58" t="s">
        <v>73</v>
      </c>
      <c r="AD458" s="57" t="str">
        <f t="shared" si="31"/>
        <v/>
      </c>
      <c r="AE458" s="59"/>
      <c r="AF458" s="59"/>
      <c r="AG458" s="59"/>
      <c r="AH458" s="59"/>
      <c r="AI458" s="59" t="s">
        <v>73</v>
      </c>
      <c r="AJ458" s="59"/>
      <c r="AK458" s="59" t="s">
        <v>73</v>
      </c>
      <c r="AL458" s="59"/>
      <c r="AM458" s="59" t="s">
        <v>73</v>
      </c>
      <c r="AN458" s="59"/>
      <c r="AO458" s="59" t="s">
        <v>73</v>
      </c>
      <c r="AP458" s="59"/>
      <c r="AQ458" s="59" t="s">
        <v>73</v>
      </c>
      <c r="AR458" s="59"/>
      <c r="AS458" s="59" t="s">
        <v>72</v>
      </c>
      <c r="AT458" s="59"/>
      <c r="AU458" s="59"/>
      <c r="AV458" s="59"/>
      <c r="AW458" s="59"/>
      <c r="AX458" s="59"/>
      <c r="AY458" s="60" t="str">
        <f>IF('Cálculo MP'!K468="","",'Cálculo MP'!K468)</f>
        <v/>
      </c>
      <c r="AZ458" s="60" t="str">
        <f>IF('Cálculo MP'!L468="","",'Cálculo MP'!L468)</f>
        <v/>
      </c>
      <c r="BA458" s="60" t="str">
        <f>IF('Cálculo MP'!M468="","",'Cálculo MP'!M468)</f>
        <v/>
      </c>
      <c r="BB458" s="60" t="str">
        <f>IF('Cálculo MP'!N468="","",'Cálculo MP'!N468)</f>
        <v/>
      </c>
      <c r="BC458" s="60" t="str">
        <f>IF('Cálculo MP'!O468="","",'Cálculo MP'!O468)</f>
        <v/>
      </c>
      <c r="BD458" s="60" t="str">
        <f>IF('Cálculo MP'!P468="","",'Cálculo MP'!P468)</f>
        <v/>
      </c>
      <c r="BE458" s="60" t="str">
        <f>IF('Cálculo MP'!Q468="","",'Cálculo MP'!Q468)</f>
        <v/>
      </c>
      <c r="BF458" s="60" t="str">
        <f>IF('Cálculo MP'!R468="","",'Cálculo MP'!R468)</f>
        <v/>
      </c>
      <c r="BG458" s="60" t="str">
        <f>IF('Cálculo MP'!S468="","",'Cálculo MP'!S468)</f>
        <v/>
      </c>
      <c r="BH458" s="59"/>
      <c r="BI458" s="59"/>
      <c r="BJ458" s="59"/>
      <c r="BK458" s="59"/>
      <c r="BL458" s="59"/>
      <c r="BM458" s="59"/>
      <c r="BN458" s="59"/>
      <c r="BO458" s="59"/>
    </row>
    <row r="459" spans="1:67" ht="19.5" customHeight="1" x14ac:dyDescent="0.15">
      <c r="A459" s="114" t="s">
        <v>1789</v>
      </c>
      <c r="B459" s="113" t="s">
        <v>1787</v>
      </c>
      <c r="C459" s="49"/>
      <c r="D459" s="48" t="s">
        <v>73</v>
      </c>
      <c r="E459" s="49"/>
      <c r="F459" s="50"/>
      <c r="G459" s="62"/>
      <c r="H459" s="48" t="s">
        <v>72</v>
      </c>
      <c r="I459" s="52">
        <v>1</v>
      </c>
      <c r="J459" s="52"/>
      <c r="K459" s="52" t="s">
        <v>73</v>
      </c>
      <c r="L459" s="52" t="s">
        <v>74</v>
      </c>
      <c r="M459" s="53" t="s">
        <v>917</v>
      </c>
      <c r="N459" s="58" t="s">
        <v>73</v>
      </c>
      <c r="O459" s="48" t="s">
        <v>72</v>
      </c>
      <c r="P459" s="48" t="s">
        <v>73</v>
      </c>
      <c r="Q459" s="54" t="s">
        <v>73</v>
      </c>
      <c r="R459" s="55" t="s">
        <v>73</v>
      </c>
      <c r="S459" s="48" t="s">
        <v>73</v>
      </c>
      <c r="T459" s="121" t="str" cm="1">
        <f t="array" ref="T459">IF(ISNUMBER(SEARCH("SCHNEIDER",D459)),_xlfn.IFS(ISNUMBER(SEARCH("2 Querétaro",D459)),"SQ2",ISNUMBER(SEARCH("Xicohténcatl",D459)),"SXC",ISNUMBER(SEARCH("Rojo Gómez",D459)),"SRG",ISNUMBER(SEARCH("Tlaxcala",D459)),"STX",ISNUMBER(SEARCH("Monterrey",D459)),"SMY",ISNUMBER(SEARCH("Querétaro",D459)),"SQ1",ISNUMBER(SEARCH("CDMX",D459)),"SCM",TRUE,""),"")</f>
        <v/>
      </c>
      <c r="U459" s="48" t="str" cm="1">
        <f t="array" ref="U459">_xlfn.LET(_xlpm.resultados,_xlfn.UNIQUE(_xlfn._xlws.FILTER(Tabla1[Proceso],(Tabla1[Metal Base]=O459)*(Tabla1[Etiquetas]=_xlfn.TEXTJOIN(" + ",TRUE,IF((TRIM(Upload!P459:S459)="")+(LOWER(TRIM(Upload!P459:S459))="(seleccione)"),"",PROPER(TRIM(Upload!P459:S459)))))*(Tabla1[Línea2]=IFERROR(VLOOKUP(Upload!N459&amp;"*",CAT_Procesos!D:D,1,FALSE),"")))),_xlpm.cantidad,ROWS(_xlpm.resultados),IF(ISERROR(_xlpm.cantidad),"Combinación no existente",IF(_xlpm.cantidad=1,INDEX(_xlpm.resultados,1),"(seleccione)")))</f>
        <v>Combinación no existente</v>
      </c>
      <c r="V459" s="55" t="s">
        <v>73</v>
      </c>
      <c r="W459" s="56" t="s">
        <v>73</v>
      </c>
      <c r="X459" s="57" t="str">
        <f t="shared" si="28"/>
        <v/>
      </c>
      <c r="Y459" s="58" t="s">
        <v>73</v>
      </c>
      <c r="Z459" s="57" t="str">
        <f t="shared" si="29"/>
        <v/>
      </c>
      <c r="AA459" s="58" t="s">
        <v>73</v>
      </c>
      <c r="AB459" s="57" t="str">
        <f t="shared" si="30"/>
        <v/>
      </c>
      <c r="AC459" s="58" t="s">
        <v>73</v>
      </c>
      <c r="AD459" s="57" t="str">
        <f t="shared" si="31"/>
        <v/>
      </c>
      <c r="AE459" s="59"/>
      <c r="AF459" s="59"/>
      <c r="AG459" s="59"/>
      <c r="AH459" s="59"/>
      <c r="AI459" s="59" t="s">
        <v>73</v>
      </c>
      <c r="AJ459" s="59"/>
      <c r="AK459" s="59" t="s">
        <v>73</v>
      </c>
      <c r="AL459" s="59"/>
      <c r="AM459" s="59" t="s">
        <v>73</v>
      </c>
      <c r="AN459" s="59"/>
      <c r="AO459" s="59" t="s">
        <v>73</v>
      </c>
      <c r="AP459" s="59"/>
      <c r="AQ459" s="59" t="s">
        <v>73</v>
      </c>
      <c r="AR459" s="59"/>
      <c r="AS459" s="59" t="s">
        <v>72</v>
      </c>
      <c r="AT459" s="59"/>
      <c r="AU459" s="59"/>
      <c r="AV459" s="59"/>
      <c r="AW459" s="59"/>
      <c r="AX459" s="59"/>
      <c r="AY459" s="60" t="str">
        <f>IF('Cálculo MP'!K469="","",'Cálculo MP'!K469)</f>
        <v/>
      </c>
      <c r="AZ459" s="60" t="str">
        <f>IF('Cálculo MP'!L469="","",'Cálculo MP'!L469)</f>
        <v/>
      </c>
      <c r="BA459" s="60" t="str">
        <f>IF('Cálculo MP'!M469="","",'Cálculo MP'!M469)</f>
        <v/>
      </c>
      <c r="BB459" s="60" t="str">
        <f>IF('Cálculo MP'!N469="","",'Cálculo MP'!N469)</f>
        <v/>
      </c>
      <c r="BC459" s="60" t="str">
        <f>IF('Cálculo MP'!O469="","",'Cálculo MP'!O469)</f>
        <v/>
      </c>
      <c r="BD459" s="60" t="str">
        <f>IF('Cálculo MP'!P469="","",'Cálculo MP'!P469)</f>
        <v/>
      </c>
      <c r="BE459" s="60" t="str">
        <f>IF('Cálculo MP'!Q469="","",'Cálculo MP'!Q469)</f>
        <v/>
      </c>
      <c r="BF459" s="60" t="str">
        <f>IF('Cálculo MP'!R469="","",'Cálculo MP'!R469)</f>
        <v/>
      </c>
      <c r="BG459" s="60" t="str">
        <f>IF('Cálculo MP'!S469="","",'Cálculo MP'!S469)</f>
        <v/>
      </c>
      <c r="BH459" s="59"/>
      <c r="BI459" s="59"/>
      <c r="BJ459" s="59"/>
      <c r="BK459" s="59"/>
      <c r="BL459" s="59"/>
      <c r="BM459" s="59"/>
      <c r="BN459" s="59"/>
      <c r="BO459" s="59"/>
    </row>
    <row r="460" spans="1:67" ht="19.5" customHeight="1" x14ac:dyDescent="0.15">
      <c r="A460" s="114" t="s">
        <v>1789</v>
      </c>
      <c r="B460" s="113" t="s">
        <v>1787</v>
      </c>
      <c r="C460" s="49"/>
      <c r="D460" s="48" t="s">
        <v>73</v>
      </c>
      <c r="E460" s="49"/>
      <c r="F460" s="50"/>
      <c r="G460" s="62"/>
      <c r="H460" s="48" t="s">
        <v>72</v>
      </c>
      <c r="I460" s="52">
        <v>1</v>
      </c>
      <c r="J460" s="52"/>
      <c r="K460" s="52" t="s">
        <v>73</v>
      </c>
      <c r="L460" s="52" t="s">
        <v>74</v>
      </c>
      <c r="M460" s="53" t="s">
        <v>917</v>
      </c>
      <c r="N460" s="58" t="s">
        <v>73</v>
      </c>
      <c r="O460" s="48" t="s">
        <v>72</v>
      </c>
      <c r="P460" s="48" t="s">
        <v>73</v>
      </c>
      <c r="Q460" s="54" t="s">
        <v>73</v>
      </c>
      <c r="R460" s="55" t="s">
        <v>73</v>
      </c>
      <c r="S460" s="48" t="s">
        <v>73</v>
      </c>
      <c r="T460" s="121" t="str" cm="1">
        <f t="array" ref="T460">IF(ISNUMBER(SEARCH("SCHNEIDER",D460)),_xlfn.IFS(ISNUMBER(SEARCH("2 Querétaro",D460)),"SQ2",ISNUMBER(SEARCH("Xicohténcatl",D460)),"SXC",ISNUMBER(SEARCH("Rojo Gómez",D460)),"SRG",ISNUMBER(SEARCH("Tlaxcala",D460)),"STX",ISNUMBER(SEARCH("Monterrey",D460)),"SMY",ISNUMBER(SEARCH("Querétaro",D460)),"SQ1",ISNUMBER(SEARCH("CDMX",D460)),"SCM",TRUE,""),"")</f>
        <v/>
      </c>
      <c r="U460" s="48" t="str" cm="1">
        <f t="array" ref="U460">_xlfn.LET(_xlpm.resultados,_xlfn.UNIQUE(_xlfn._xlws.FILTER(Tabla1[Proceso],(Tabla1[Metal Base]=O460)*(Tabla1[Etiquetas]=_xlfn.TEXTJOIN(" + ",TRUE,IF((TRIM(Upload!P460:S460)="")+(LOWER(TRIM(Upload!P460:S460))="(seleccione)"),"",PROPER(TRIM(Upload!P460:S460)))))*(Tabla1[Línea2]=IFERROR(VLOOKUP(Upload!N460&amp;"*",CAT_Procesos!D:D,1,FALSE),"")))),_xlpm.cantidad,ROWS(_xlpm.resultados),IF(ISERROR(_xlpm.cantidad),"Combinación no existente",IF(_xlpm.cantidad=1,INDEX(_xlpm.resultados,1),"(seleccione)")))</f>
        <v>Combinación no existente</v>
      </c>
      <c r="V460" s="55" t="s">
        <v>73</v>
      </c>
      <c r="W460" s="56" t="s">
        <v>73</v>
      </c>
      <c r="X460" s="57" t="str">
        <f t="shared" si="28"/>
        <v/>
      </c>
      <c r="Y460" s="58" t="s">
        <v>73</v>
      </c>
      <c r="Z460" s="57" t="str">
        <f t="shared" si="29"/>
        <v/>
      </c>
      <c r="AA460" s="58" t="s">
        <v>73</v>
      </c>
      <c r="AB460" s="57" t="str">
        <f t="shared" si="30"/>
        <v/>
      </c>
      <c r="AC460" s="58" t="s">
        <v>73</v>
      </c>
      <c r="AD460" s="57" t="str">
        <f t="shared" si="31"/>
        <v/>
      </c>
      <c r="AE460" s="59"/>
      <c r="AF460" s="59"/>
      <c r="AG460" s="59"/>
      <c r="AH460" s="59"/>
      <c r="AI460" s="59" t="s">
        <v>73</v>
      </c>
      <c r="AJ460" s="59"/>
      <c r="AK460" s="59" t="s">
        <v>73</v>
      </c>
      <c r="AL460" s="59"/>
      <c r="AM460" s="59" t="s">
        <v>73</v>
      </c>
      <c r="AN460" s="59"/>
      <c r="AO460" s="59" t="s">
        <v>73</v>
      </c>
      <c r="AP460" s="59"/>
      <c r="AQ460" s="59" t="s">
        <v>73</v>
      </c>
      <c r="AR460" s="59"/>
      <c r="AS460" s="59" t="s">
        <v>72</v>
      </c>
      <c r="AT460" s="59"/>
      <c r="AU460" s="59"/>
      <c r="AV460" s="59"/>
      <c r="AW460" s="59"/>
      <c r="AX460" s="59"/>
      <c r="AY460" s="60" t="str">
        <f>IF('Cálculo MP'!K470="","",'Cálculo MP'!K470)</f>
        <v/>
      </c>
      <c r="AZ460" s="60" t="str">
        <f>IF('Cálculo MP'!L470="","",'Cálculo MP'!L470)</f>
        <v/>
      </c>
      <c r="BA460" s="60" t="str">
        <f>IF('Cálculo MP'!M470="","",'Cálculo MP'!M470)</f>
        <v/>
      </c>
      <c r="BB460" s="60" t="str">
        <f>IF('Cálculo MP'!N470="","",'Cálculo MP'!N470)</f>
        <v/>
      </c>
      <c r="BC460" s="60" t="str">
        <f>IF('Cálculo MP'!O470="","",'Cálculo MP'!O470)</f>
        <v/>
      </c>
      <c r="BD460" s="60" t="str">
        <f>IF('Cálculo MP'!P470="","",'Cálculo MP'!P470)</f>
        <v/>
      </c>
      <c r="BE460" s="60" t="str">
        <f>IF('Cálculo MP'!Q470="","",'Cálculo MP'!Q470)</f>
        <v/>
      </c>
      <c r="BF460" s="60" t="str">
        <f>IF('Cálculo MP'!R470="","",'Cálculo MP'!R470)</f>
        <v/>
      </c>
      <c r="BG460" s="60" t="str">
        <f>IF('Cálculo MP'!S470="","",'Cálculo MP'!S470)</f>
        <v/>
      </c>
      <c r="BH460" s="59"/>
      <c r="BI460" s="59"/>
      <c r="BJ460" s="59"/>
      <c r="BK460" s="59"/>
      <c r="BL460" s="59"/>
      <c r="BM460" s="59"/>
      <c r="BN460" s="59"/>
      <c r="BO460" s="59"/>
    </row>
    <row r="461" spans="1:67" ht="19.5" customHeight="1" x14ac:dyDescent="0.15">
      <c r="A461" s="114" t="s">
        <v>1789</v>
      </c>
      <c r="B461" s="113" t="s">
        <v>1787</v>
      </c>
      <c r="C461" s="49"/>
      <c r="D461" s="48" t="s">
        <v>73</v>
      </c>
      <c r="E461" s="49"/>
      <c r="F461" s="50"/>
      <c r="G461" s="62"/>
      <c r="H461" s="48" t="s">
        <v>72</v>
      </c>
      <c r="I461" s="52">
        <v>1</v>
      </c>
      <c r="J461" s="52"/>
      <c r="K461" s="52" t="s">
        <v>73</v>
      </c>
      <c r="L461" s="52" t="s">
        <v>74</v>
      </c>
      <c r="M461" s="53" t="s">
        <v>917</v>
      </c>
      <c r="N461" s="58" t="s">
        <v>73</v>
      </c>
      <c r="O461" s="48" t="s">
        <v>72</v>
      </c>
      <c r="P461" s="48" t="s">
        <v>73</v>
      </c>
      <c r="Q461" s="54" t="s">
        <v>73</v>
      </c>
      <c r="R461" s="55" t="s">
        <v>73</v>
      </c>
      <c r="S461" s="48" t="s">
        <v>73</v>
      </c>
      <c r="T461" s="121" t="str" cm="1">
        <f t="array" ref="T461">IF(ISNUMBER(SEARCH("SCHNEIDER",D461)),_xlfn.IFS(ISNUMBER(SEARCH("2 Querétaro",D461)),"SQ2",ISNUMBER(SEARCH("Xicohténcatl",D461)),"SXC",ISNUMBER(SEARCH("Rojo Gómez",D461)),"SRG",ISNUMBER(SEARCH("Tlaxcala",D461)),"STX",ISNUMBER(SEARCH("Monterrey",D461)),"SMY",ISNUMBER(SEARCH("Querétaro",D461)),"SQ1",ISNUMBER(SEARCH("CDMX",D461)),"SCM",TRUE,""),"")</f>
        <v/>
      </c>
      <c r="U461" s="48" t="str" cm="1">
        <f t="array" ref="U461">_xlfn.LET(_xlpm.resultados,_xlfn.UNIQUE(_xlfn._xlws.FILTER(Tabla1[Proceso],(Tabla1[Metal Base]=O461)*(Tabla1[Etiquetas]=_xlfn.TEXTJOIN(" + ",TRUE,IF((TRIM(Upload!P461:S461)="")+(LOWER(TRIM(Upload!P461:S461))="(seleccione)"),"",PROPER(TRIM(Upload!P461:S461)))))*(Tabla1[Línea2]=IFERROR(VLOOKUP(Upload!N461&amp;"*",CAT_Procesos!D:D,1,FALSE),"")))),_xlpm.cantidad,ROWS(_xlpm.resultados),IF(ISERROR(_xlpm.cantidad),"Combinación no existente",IF(_xlpm.cantidad=1,INDEX(_xlpm.resultados,1),"(seleccione)")))</f>
        <v>Combinación no existente</v>
      </c>
      <c r="V461" s="55" t="s">
        <v>73</v>
      </c>
      <c r="W461" s="56" t="s">
        <v>73</v>
      </c>
      <c r="X461" s="57" t="str">
        <f t="shared" si="28"/>
        <v/>
      </c>
      <c r="Y461" s="58" t="s">
        <v>73</v>
      </c>
      <c r="Z461" s="57" t="str">
        <f t="shared" si="29"/>
        <v/>
      </c>
      <c r="AA461" s="58" t="s">
        <v>73</v>
      </c>
      <c r="AB461" s="57" t="str">
        <f t="shared" si="30"/>
        <v/>
      </c>
      <c r="AC461" s="58" t="s">
        <v>73</v>
      </c>
      <c r="AD461" s="57" t="str">
        <f t="shared" si="31"/>
        <v/>
      </c>
      <c r="AE461" s="59"/>
      <c r="AF461" s="59"/>
      <c r="AG461" s="59"/>
      <c r="AH461" s="59"/>
      <c r="AI461" s="59" t="s">
        <v>73</v>
      </c>
      <c r="AJ461" s="59"/>
      <c r="AK461" s="59" t="s">
        <v>73</v>
      </c>
      <c r="AL461" s="59"/>
      <c r="AM461" s="59" t="s">
        <v>73</v>
      </c>
      <c r="AN461" s="59"/>
      <c r="AO461" s="59" t="s">
        <v>73</v>
      </c>
      <c r="AP461" s="59"/>
      <c r="AQ461" s="59" t="s">
        <v>73</v>
      </c>
      <c r="AR461" s="59"/>
      <c r="AS461" s="59" t="s">
        <v>72</v>
      </c>
      <c r="AT461" s="59"/>
      <c r="AU461" s="59"/>
      <c r="AV461" s="59"/>
      <c r="AW461" s="59"/>
      <c r="AX461" s="59"/>
      <c r="AY461" s="60" t="str">
        <f>IF('Cálculo MP'!K471="","",'Cálculo MP'!K471)</f>
        <v/>
      </c>
      <c r="AZ461" s="60" t="str">
        <f>IF('Cálculo MP'!L471="","",'Cálculo MP'!L471)</f>
        <v/>
      </c>
      <c r="BA461" s="60" t="str">
        <f>IF('Cálculo MP'!M471="","",'Cálculo MP'!M471)</f>
        <v/>
      </c>
      <c r="BB461" s="60" t="str">
        <f>IF('Cálculo MP'!N471="","",'Cálculo MP'!N471)</f>
        <v/>
      </c>
      <c r="BC461" s="60" t="str">
        <f>IF('Cálculo MP'!O471="","",'Cálculo MP'!O471)</f>
        <v/>
      </c>
      <c r="BD461" s="60" t="str">
        <f>IF('Cálculo MP'!P471="","",'Cálculo MP'!P471)</f>
        <v/>
      </c>
      <c r="BE461" s="60" t="str">
        <f>IF('Cálculo MP'!Q471="","",'Cálculo MP'!Q471)</f>
        <v/>
      </c>
      <c r="BF461" s="60" t="str">
        <f>IF('Cálculo MP'!R471="","",'Cálculo MP'!R471)</f>
        <v/>
      </c>
      <c r="BG461" s="60" t="str">
        <f>IF('Cálculo MP'!S471="","",'Cálculo MP'!S471)</f>
        <v/>
      </c>
      <c r="BH461" s="59"/>
      <c r="BI461" s="59"/>
      <c r="BJ461" s="59"/>
      <c r="BK461" s="59"/>
      <c r="BL461" s="59"/>
      <c r="BM461" s="59"/>
      <c r="BN461" s="59"/>
      <c r="BO461" s="59"/>
    </row>
    <row r="462" spans="1:67" ht="19.5" customHeight="1" x14ac:dyDescent="0.15">
      <c r="A462" s="114" t="s">
        <v>1789</v>
      </c>
      <c r="B462" s="113" t="s">
        <v>1787</v>
      </c>
      <c r="C462" s="49"/>
      <c r="D462" s="48" t="s">
        <v>73</v>
      </c>
      <c r="E462" s="49"/>
      <c r="F462" s="50"/>
      <c r="G462" s="62"/>
      <c r="H462" s="48" t="s">
        <v>72</v>
      </c>
      <c r="I462" s="52">
        <v>1</v>
      </c>
      <c r="J462" s="52"/>
      <c r="K462" s="52" t="s">
        <v>73</v>
      </c>
      <c r="L462" s="52" t="s">
        <v>74</v>
      </c>
      <c r="M462" s="53" t="s">
        <v>917</v>
      </c>
      <c r="N462" s="58" t="s">
        <v>73</v>
      </c>
      <c r="O462" s="48" t="s">
        <v>72</v>
      </c>
      <c r="P462" s="48" t="s">
        <v>73</v>
      </c>
      <c r="Q462" s="54" t="s">
        <v>73</v>
      </c>
      <c r="R462" s="55" t="s">
        <v>73</v>
      </c>
      <c r="S462" s="48" t="s">
        <v>73</v>
      </c>
      <c r="T462" s="121" t="str" cm="1">
        <f t="array" ref="T462">IF(ISNUMBER(SEARCH("SCHNEIDER",D462)),_xlfn.IFS(ISNUMBER(SEARCH("2 Querétaro",D462)),"SQ2",ISNUMBER(SEARCH("Xicohténcatl",D462)),"SXC",ISNUMBER(SEARCH("Rojo Gómez",D462)),"SRG",ISNUMBER(SEARCH("Tlaxcala",D462)),"STX",ISNUMBER(SEARCH("Monterrey",D462)),"SMY",ISNUMBER(SEARCH("Querétaro",D462)),"SQ1",ISNUMBER(SEARCH("CDMX",D462)),"SCM",TRUE,""),"")</f>
        <v/>
      </c>
      <c r="U462" s="48" t="str" cm="1">
        <f t="array" ref="U462">_xlfn.LET(_xlpm.resultados,_xlfn.UNIQUE(_xlfn._xlws.FILTER(Tabla1[Proceso],(Tabla1[Metal Base]=O462)*(Tabla1[Etiquetas]=_xlfn.TEXTJOIN(" + ",TRUE,IF((TRIM(Upload!P462:S462)="")+(LOWER(TRIM(Upload!P462:S462))="(seleccione)"),"",PROPER(TRIM(Upload!P462:S462)))))*(Tabla1[Línea2]=IFERROR(VLOOKUP(Upload!N462&amp;"*",CAT_Procesos!D:D,1,FALSE),"")))),_xlpm.cantidad,ROWS(_xlpm.resultados),IF(ISERROR(_xlpm.cantidad),"Combinación no existente",IF(_xlpm.cantidad=1,INDEX(_xlpm.resultados,1),"(seleccione)")))</f>
        <v>Combinación no existente</v>
      </c>
      <c r="V462" s="55" t="s">
        <v>73</v>
      </c>
      <c r="W462" s="56" t="s">
        <v>73</v>
      </c>
      <c r="X462" s="57" t="str">
        <f t="shared" si="28"/>
        <v/>
      </c>
      <c r="Y462" s="58" t="s">
        <v>73</v>
      </c>
      <c r="Z462" s="57" t="str">
        <f t="shared" si="29"/>
        <v/>
      </c>
      <c r="AA462" s="58" t="s">
        <v>73</v>
      </c>
      <c r="AB462" s="57" t="str">
        <f t="shared" si="30"/>
        <v/>
      </c>
      <c r="AC462" s="58" t="s">
        <v>73</v>
      </c>
      <c r="AD462" s="57" t="str">
        <f t="shared" si="31"/>
        <v/>
      </c>
      <c r="AE462" s="59"/>
      <c r="AF462" s="59"/>
      <c r="AG462" s="59"/>
      <c r="AH462" s="59"/>
      <c r="AI462" s="59" t="s">
        <v>73</v>
      </c>
      <c r="AJ462" s="59"/>
      <c r="AK462" s="59" t="s">
        <v>73</v>
      </c>
      <c r="AL462" s="59"/>
      <c r="AM462" s="59" t="s">
        <v>73</v>
      </c>
      <c r="AN462" s="59"/>
      <c r="AO462" s="59" t="s">
        <v>73</v>
      </c>
      <c r="AP462" s="59"/>
      <c r="AQ462" s="59" t="s">
        <v>73</v>
      </c>
      <c r="AR462" s="59"/>
      <c r="AS462" s="59" t="s">
        <v>72</v>
      </c>
      <c r="AT462" s="59"/>
      <c r="AU462" s="59"/>
      <c r="AV462" s="59"/>
      <c r="AW462" s="59"/>
      <c r="AX462" s="59"/>
      <c r="AY462" s="60" t="str">
        <f>IF('Cálculo MP'!K472="","",'Cálculo MP'!K472)</f>
        <v/>
      </c>
      <c r="AZ462" s="60" t="str">
        <f>IF('Cálculo MP'!L472="","",'Cálculo MP'!L472)</f>
        <v/>
      </c>
      <c r="BA462" s="60" t="str">
        <f>IF('Cálculo MP'!M472="","",'Cálculo MP'!M472)</f>
        <v/>
      </c>
      <c r="BB462" s="60" t="str">
        <f>IF('Cálculo MP'!N472="","",'Cálculo MP'!N472)</f>
        <v/>
      </c>
      <c r="BC462" s="60" t="str">
        <f>IF('Cálculo MP'!O472="","",'Cálculo MP'!O472)</f>
        <v/>
      </c>
      <c r="BD462" s="60" t="str">
        <f>IF('Cálculo MP'!P472="","",'Cálculo MP'!P472)</f>
        <v/>
      </c>
      <c r="BE462" s="60" t="str">
        <f>IF('Cálculo MP'!Q472="","",'Cálculo MP'!Q472)</f>
        <v/>
      </c>
      <c r="BF462" s="60" t="str">
        <f>IF('Cálculo MP'!R472="","",'Cálculo MP'!R472)</f>
        <v/>
      </c>
      <c r="BG462" s="60" t="str">
        <f>IF('Cálculo MP'!S472="","",'Cálculo MP'!S472)</f>
        <v/>
      </c>
      <c r="BH462" s="59"/>
      <c r="BI462" s="59"/>
      <c r="BJ462" s="59"/>
      <c r="BK462" s="59"/>
      <c r="BL462" s="59"/>
      <c r="BM462" s="59"/>
      <c r="BN462" s="59"/>
      <c r="BO462" s="59"/>
    </row>
    <row r="463" spans="1:67" ht="19.5" customHeight="1" x14ac:dyDescent="0.15">
      <c r="A463" s="114" t="s">
        <v>1789</v>
      </c>
      <c r="B463" s="113" t="s">
        <v>1787</v>
      </c>
      <c r="C463" s="49"/>
      <c r="D463" s="48" t="s">
        <v>73</v>
      </c>
      <c r="E463" s="49"/>
      <c r="F463" s="50"/>
      <c r="G463" s="62"/>
      <c r="H463" s="48" t="s">
        <v>72</v>
      </c>
      <c r="I463" s="52">
        <v>1</v>
      </c>
      <c r="J463" s="52"/>
      <c r="K463" s="52" t="s">
        <v>73</v>
      </c>
      <c r="L463" s="52" t="s">
        <v>74</v>
      </c>
      <c r="M463" s="53" t="s">
        <v>917</v>
      </c>
      <c r="N463" s="58" t="s">
        <v>73</v>
      </c>
      <c r="O463" s="48" t="s">
        <v>72</v>
      </c>
      <c r="P463" s="48" t="s">
        <v>73</v>
      </c>
      <c r="Q463" s="54" t="s">
        <v>73</v>
      </c>
      <c r="R463" s="55" t="s">
        <v>73</v>
      </c>
      <c r="S463" s="48" t="s">
        <v>73</v>
      </c>
      <c r="T463" s="121" t="str" cm="1">
        <f t="array" ref="T463">IF(ISNUMBER(SEARCH("SCHNEIDER",D463)),_xlfn.IFS(ISNUMBER(SEARCH("2 Querétaro",D463)),"SQ2",ISNUMBER(SEARCH("Xicohténcatl",D463)),"SXC",ISNUMBER(SEARCH("Rojo Gómez",D463)),"SRG",ISNUMBER(SEARCH("Tlaxcala",D463)),"STX",ISNUMBER(SEARCH("Monterrey",D463)),"SMY",ISNUMBER(SEARCH("Querétaro",D463)),"SQ1",ISNUMBER(SEARCH("CDMX",D463)),"SCM",TRUE,""),"")</f>
        <v/>
      </c>
      <c r="U463" s="48" t="str" cm="1">
        <f t="array" ref="U463">_xlfn.LET(_xlpm.resultados,_xlfn.UNIQUE(_xlfn._xlws.FILTER(Tabla1[Proceso],(Tabla1[Metal Base]=O463)*(Tabla1[Etiquetas]=_xlfn.TEXTJOIN(" + ",TRUE,IF((TRIM(Upload!P463:S463)="")+(LOWER(TRIM(Upload!P463:S463))="(seleccione)"),"",PROPER(TRIM(Upload!P463:S463)))))*(Tabla1[Línea2]=IFERROR(VLOOKUP(Upload!N463&amp;"*",CAT_Procesos!D:D,1,FALSE),"")))),_xlpm.cantidad,ROWS(_xlpm.resultados),IF(ISERROR(_xlpm.cantidad),"Combinación no existente",IF(_xlpm.cantidad=1,INDEX(_xlpm.resultados,1),"(seleccione)")))</f>
        <v>Combinación no existente</v>
      </c>
      <c r="V463" s="55" t="s">
        <v>73</v>
      </c>
      <c r="W463" s="56" t="s">
        <v>73</v>
      </c>
      <c r="X463" s="57" t="str">
        <f t="shared" si="28"/>
        <v/>
      </c>
      <c r="Y463" s="58" t="s">
        <v>73</v>
      </c>
      <c r="Z463" s="57" t="str">
        <f t="shared" si="29"/>
        <v/>
      </c>
      <c r="AA463" s="58" t="s">
        <v>73</v>
      </c>
      <c r="AB463" s="57" t="str">
        <f t="shared" si="30"/>
        <v/>
      </c>
      <c r="AC463" s="58" t="s">
        <v>73</v>
      </c>
      <c r="AD463" s="57" t="str">
        <f t="shared" si="31"/>
        <v/>
      </c>
      <c r="AE463" s="59"/>
      <c r="AF463" s="59"/>
      <c r="AG463" s="59"/>
      <c r="AH463" s="59"/>
      <c r="AI463" s="59" t="s">
        <v>73</v>
      </c>
      <c r="AJ463" s="59"/>
      <c r="AK463" s="59" t="s">
        <v>73</v>
      </c>
      <c r="AL463" s="59"/>
      <c r="AM463" s="59" t="s">
        <v>73</v>
      </c>
      <c r="AN463" s="59"/>
      <c r="AO463" s="59" t="s">
        <v>73</v>
      </c>
      <c r="AP463" s="59"/>
      <c r="AQ463" s="59" t="s">
        <v>73</v>
      </c>
      <c r="AR463" s="59"/>
      <c r="AS463" s="59" t="s">
        <v>72</v>
      </c>
      <c r="AT463" s="59"/>
      <c r="AU463" s="59"/>
      <c r="AV463" s="59"/>
      <c r="AW463" s="59"/>
      <c r="AX463" s="59"/>
      <c r="AY463" s="60" t="str">
        <f>IF('Cálculo MP'!K473="","",'Cálculo MP'!K473)</f>
        <v/>
      </c>
      <c r="AZ463" s="60" t="str">
        <f>IF('Cálculo MP'!L473="","",'Cálculo MP'!L473)</f>
        <v/>
      </c>
      <c r="BA463" s="60" t="str">
        <f>IF('Cálculo MP'!M473="","",'Cálculo MP'!M473)</f>
        <v/>
      </c>
      <c r="BB463" s="60" t="str">
        <f>IF('Cálculo MP'!N473="","",'Cálculo MP'!N473)</f>
        <v/>
      </c>
      <c r="BC463" s="60" t="str">
        <f>IF('Cálculo MP'!O473="","",'Cálculo MP'!O473)</f>
        <v/>
      </c>
      <c r="BD463" s="60" t="str">
        <f>IF('Cálculo MP'!P473="","",'Cálculo MP'!P473)</f>
        <v/>
      </c>
      <c r="BE463" s="60" t="str">
        <f>IF('Cálculo MP'!Q473="","",'Cálculo MP'!Q473)</f>
        <v/>
      </c>
      <c r="BF463" s="60" t="str">
        <f>IF('Cálculo MP'!R473="","",'Cálculo MP'!R473)</f>
        <v/>
      </c>
      <c r="BG463" s="60" t="str">
        <f>IF('Cálculo MP'!S473="","",'Cálculo MP'!S473)</f>
        <v/>
      </c>
      <c r="BH463" s="59"/>
      <c r="BI463" s="59"/>
      <c r="BJ463" s="59"/>
      <c r="BK463" s="59"/>
      <c r="BL463" s="59"/>
      <c r="BM463" s="59"/>
      <c r="BN463" s="59"/>
      <c r="BO463" s="59"/>
    </row>
    <row r="464" spans="1:67" ht="19.5" customHeight="1" x14ac:dyDescent="0.15">
      <c r="A464" s="114" t="s">
        <v>1789</v>
      </c>
      <c r="B464" s="113" t="s">
        <v>1787</v>
      </c>
      <c r="C464" s="49"/>
      <c r="D464" s="48" t="s">
        <v>73</v>
      </c>
      <c r="E464" s="49"/>
      <c r="F464" s="50"/>
      <c r="G464" s="62"/>
      <c r="H464" s="48" t="s">
        <v>72</v>
      </c>
      <c r="I464" s="52">
        <v>1</v>
      </c>
      <c r="J464" s="52"/>
      <c r="K464" s="52" t="s">
        <v>73</v>
      </c>
      <c r="L464" s="52" t="s">
        <v>74</v>
      </c>
      <c r="M464" s="53" t="s">
        <v>917</v>
      </c>
      <c r="N464" s="58" t="s">
        <v>73</v>
      </c>
      <c r="O464" s="48" t="s">
        <v>72</v>
      </c>
      <c r="P464" s="48" t="s">
        <v>73</v>
      </c>
      <c r="Q464" s="54" t="s">
        <v>73</v>
      </c>
      <c r="R464" s="55" t="s">
        <v>73</v>
      </c>
      <c r="S464" s="48" t="s">
        <v>73</v>
      </c>
      <c r="T464" s="121" t="str" cm="1">
        <f t="array" ref="T464">IF(ISNUMBER(SEARCH("SCHNEIDER",D464)),_xlfn.IFS(ISNUMBER(SEARCH("2 Querétaro",D464)),"SQ2",ISNUMBER(SEARCH("Xicohténcatl",D464)),"SXC",ISNUMBER(SEARCH("Rojo Gómez",D464)),"SRG",ISNUMBER(SEARCH("Tlaxcala",D464)),"STX",ISNUMBER(SEARCH("Monterrey",D464)),"SMY",ISNUMBER(SEARCH("Querétaro",D464)),"SQ1",ISNUMBER(SEARCH("CDMX",D464)),"SCM",TRUE,""),"")</f>
        <v/>
      </c>
      <c r="U464" s="48" t="str" cm="1">
        <f t="array" ref="U464">_xlfn.LET(_xlpm.resultados,_xlfn.UNIQUE(_xlfn._xlws.FILTER(Tabla1[Proceso],(Tabla1[Metal Base]=O464)*(Tabla1[Etiquetas]=_xlfn.TEXTJOIN(" + ",TRUE,IF((TRIM(Upload!P464:S464)="")+(LOWER(TRIM(Upload!P464:S464))="(seleccione)"),"",PROPER(TRIM(Upload!P464:S464)))))*(Tabla1[Línea2]=IFERROR(VLOOKUP(Upload!N464&amp;"*",CAT_Procesos!D:D,1,FALSE),"")))),_xlpm.cantidad,ROWS(_xlpm.resultados),IF(ISERROR(_xlpm.cantidad),"Combinación no existente",IF(_xlpm.cantidad=1,INDEX(_xlpm.resultados,1),"(seleccione)")))</f>
        <v>Combinación no existente</v>
      </c>
      <c r="V464" s="55" t="s">
        <v>73</v>
      </c>
      <c r="W464" s="56" t="s">
        <v>73</v>
      </c>
      <c r="X464" s="57" t="str">
        <f t="shared" si="28"/>
        <v/>
      </c>
      <c r="Y464" s="58" t="s">
        <v>73</v>
      </c>
      <c r="Z464" s="57" t="str">
        <f t="shared" si="29"/>
        <v/>
      </c>
      <c r="AA464" s="58" t="s">
        <v>73</v>
      </c>
      <c r="AB464" s="57" t="str">
        <f t="shared" si="30"/>
        <v/>
      </c>
      <c r="AC464" s="58" t="s">
        <v>73</v>
      </c>
      <c r="AD464" s="57" t="str">
        <f t="shared" si="31"/>
        <v/>
      </c>
      <c r="AE464" s="59"/>
      <c r="AF464" s="59"/>
      <c r="AG464" s="59"/>
      <c r="AH464" s="59"/>
      <c r="AI464" s="59" t="s">
        <v>73</v>
      </c>
      <c r="AJ464" s="59"/>
      <c r="AK464" s="59" t="s">
        <v>73</v>
      </c>
      <c r="AL464" s="59"/>
      <c r="AM464" s="59" t="s">
        <v>73</v>
      </c>
      <c r="AN464" s="59"/>
      <c r="AO464" s="59" t="s">
        <v>73</v>
      </c>
      <c r="AP464" s="59"/>
      <c r="AQ464" s="59" t="s">
        <v>73</v>
      </c>
      <c r="AR464" s="59"/>
      <c r="AS464" s="59" t="s">
        <v>72</v>
      </c>
      <c r="AT464" s="59"/>
      <c r="AU464" s="59"/>
      <c r="AV464" s="59"/>
      <c r="AW464" s="59"/>
      <c r="AX464" s="59"/>
      <c r="AY464" s="60" t="str">
        <f>IF('Cálculo MP'!K474="","",'Cálculo MP'!K474)</f>
        <v/>
      </c>
      <c r="AZ464" s="60" t="str">
        <f>IF('Cálculo MP'!L474="","",'Cálculo MP'!L474)</f>
        <v/>
      </c>
      <c r="BA464" s="60" t="str">
        <f>IF('Cálculo MP'!M474="","",'Cálculo MP'!M474)</f>
        <v/>
      </c>
      <c r="BB464" s="60" t="str">
        <f>IF('Cálculo MP'!N474="","",'Cálculo MP'!N474)</f>
        <v/>
      </c>
      <c r="BC464" s="60" t="str">
        <f>IF('Cálculo MP'!O474="","",'Cálculo MP'!O474)</f>
        <v/>
      </c>
      <c r="BD464" s="60" t="str">
        <f>IF('Cálculo MP'!P474="","",'Cálculo MP'!P474)</f>
        <v/>
      </c>
      <c r="BE464" s="60" t="str">
        <f>IF('Cálculo MP'!Q474="","",'Cálculo MP'!Q474)</f>
        <v/>
      </c>
      <c r="BF464" s="60" t="str">
        <f>IF('Cálculo MP'!R474="","",'Cálculo MP'!R474)</f>
        <v/>
      </c>
      <c r="BG464" s="60" t="str">
        <f>IF('Cálculo MP'!S474="","",'Cálculo MP'!S474)</f>
        <v/>
      </c>
      <c r="BH464" s="59"/>
      <c r="BI464" s="59"/>
      <c r="BJ464" s="59"/>
      <c r="BK464" s="59"/>
      <c r="BL464" s="59"/>
      <c r="BM464" s="59"/>
      <c r="BN464" s="59"/>
      <c r="BO464" s="59"/>
    </row>
    <row r="465" spans="1:67" ht="19.5" customHeight="1" x14ac:dyDescent="0.15">
      <c r="A465" s="114" t="s">
        <v>1789</v>
      </c>
      <c r="B465" s="113" t="s">
        <v>1787</v>
      </c>
      <c r="C465" s="49"/>
      <c r="D465" s="48" t="s">
        <v>73</v>
      </c>
      <c r="E465" s="49"/>
      <c r="F465" s="50"/>
      <c r="G465" s="62"/>
      <c r="H465" s="48" t="s">
        <v>72</v>
      </c>
      <c r="I465" s="52">
        <v>1</v>
      </c>
      <c r="J465" s="52"/>
      <c r="K465" s="52" t="s">
        <v>73</v>
      </c>
      <c r="L465" s="52" t="s">
        <v>74</v>
      </c>
      <c r="M465" s="53" t="s">
        <v>917</v>
      </c>
      <c r="N465" s="58" t="s">
        <v>73</v>
      </c>
      <c r="O465" s="48" t="s">
        <v>72</v>
      </c>
      <c r="P465" s="48" t="s">
        <v>73</v>
      </c>
      <c r="Q465" s="54" t="s">
        <v>73</v>
      </c>
      <c r="R465" s="55" t="s">
        <v>73</v>
      </c>
      <c r="S465" s="48" t="s">
        <v>73</v>
      </c>
      <c r="T465" s="121" t="str" cm="1">
        <f t="array" ref="T465">IF(ISNUMBER(SEARCH("SCHNEIDER",D465)),_xlfn.IFS(ISNUMBER(SEARCH("2 Querétaro",D465)),"SQ2",ISNUMBER(SEARCH("Xicohténcatl",D465)),"SXC",ISNUMBER(SEARCH("Rojo Gómez",D465)),"SRG",ISNUMBER(SEARCH("Tlaxcala",D465)),"STX",ISNUMBER(SEARCH("Monterrey",D465)),"SMY",ISNUMBER(SEARCH("Querétaro",D465)),"SQ1",ISNUMBER(SEARCH("CDMX",D465)),"SCM",TRUE,""),"")</f>
        <v/>
      </c>
      <c r="U465" s="48" t="str" cm="1">
        <f t="array" ref="U465">_xlfn.LET(_xlpm.resultados,_xlfn.UNIQUE(_xlfn._xlws.FILTER(Tabla1[Proceso],(Tabla1[Metal Base]=O465)*(Tabla1[Etiquetas]=_xlfn.TEXTJOIN(" + ",TRUE,IF((TRIM(Upload!P465:S465)="")+(LOWER(TRIM(Upload!P465:S465))="(seleccione)"),"",PROPER(TRIM(Upload!P465:S465)))))*(Tabla1[Línea2]=IFERROR(VLOOKUP(Upload!N465&amp;"*",CAT_Procesos!D:D,1,FALSE),"")))),_xlpm.cantidad,ROWS(_xlpm.resultados),IF(ISERROR(_xlpm.cantidad),"Combinación no existente",IF(_xlpm.cantidad=1,INDEX(_xlpm.resultados,1),"(seleccione)")))</f>
        <v>Combinación no existente</v>
      </c>
      <c r="V465" s="55" t="s">
        <v>73</v>
      </c>
      <c r="W465" s="56" t="s">
        <v>73</v>
      </c>
      <c r="X465" s="57" t="str">
        <f t="shared" si="28"/>
        <v/>
      </c>
      <c r="Y465" s="58" t="s">
        <v>73</v>
      </c>
      <c r="Z465" s="57" t="str">
        <f t="shared" si="29"/>
        <v/>
      </c>
      <c r="AA465" s="58" t="s">
        <v>73</v>
      </c>
      <c r="AB465" s="57" t="str">
        <f t="shared" si="30"/>
        <v/>
      </c>
      <c r="AC465" s="58" t="s">
        <v>73</v>
      </c>
      <c r="AD465" s="57" t="str">
        <f t="shared" si="31"/>
        <v/>
      </c>
      <c r="AE465" s="59"/>
      <c r="AF465" s="59"/>
      <c r="AG465" s="59"/>
      <c r="AH465" s="59"/>
      <c r="AI465" s="59" t="s">
        <v>73</v>
      </c>
      <c r="AJ465" s="59"/>
      <c r="AK465" s="59" t="s">
        <v>73</v>
      </c>
      <c r="AL465" s="59"/>
      <c r="AM465" s="59" t="s">
        <v>73</v>
      </c>
      <c r="AN465" s="59"/>
      <c r="AO465" s="59" t="s">
        <v>73</v>
      </c>
      <c r="AP465" s="59"/>
      <c r="AQ465" s="59" t="s">
        <v>73</v>
      </c>
      <c r="AR465" s="59"/>
      <c r="AS465" s="59" t="s">
        <v>72</v>
      </c>
      <c r="AT465" s="59"/>
      <c r="AU465" s="59"/>
      <c r="AV465" s="59"/>
      <c r="AW465" s="59"/>
      <c r="AX465" s="59"/>
      <c r="AY465" s="60" t="str">
        <f>IF('Cálculo MP'!K475="","",'Cálculo MP'!K475)</f>
        <v/>
      </c>
      <c r="AZ465" s="60" t="str">
        <f>IF('Cálculo MP'!L475="","",'Cálculo MP'!L475)</f>
        <v/>
      </c>
      <c r="BA465" s="60" t="str">
        <f>IF('Cálculo MP'!M475="","",'Cálculo MP'!M475)</f>
        <v/>
      </c>
      <c r="BB465" s="60" t="str">
        <f>IF('Cálculo MP'!N475="","",'Cálculo MP'!N475)</f>
        <v/>
      </c>
      <c r="BC465" s="60" t="str">
        <f>IF('Cálculo MP'!O475="","",'Cálculo MP'!O475)</f>
        <v/>
      </c>
      <c r="BD465" s="60" t="str">
        <f>IF('Cálculo MP'!P475="","",'Cálculo MP'!P475)</f>
        <v/>
      </c>
      <c r="BE465" s="60" t="str">
        <f>IF('Cálculo MP'!Q475="","",'Cálculo MP'!Q475)</f>
        <v/>
      </c>
      <c r="BF465" s="60" t="str">
        <f>IF('Cálculo MP'!R475="","",'Cálculo MP'!R475)</f>
        <v/>
      </c>
      <c r="BG465" s="60" t="str">
        <f>IF('Cálculo MP'!S475="","",'Cálculo MP'!S475)</f>
        <v/>
      </c>
      <c r="BH465" s="59"/>
      <c r="BI465" s="59"/>
      <c r="BJ465" s="59"/>
      <c r="BK465" s="59"/>
      <c r="BL465" s="59"/>
      <c r="BM465" s="59"/>
      <c r="BN465" s="59"/>
      <c r="BO465" s="59"/>
    </row>
    <row r="466" spans="1:67" ht="19.5" customHeight="1" x14ac:dyDescent="0.15">
      <c r="A466" s="114" t="s">
        <v>1789</v>
      </c>
      <c r="B466" s="113" t="s">
        <v>1787</v>
      </c>
      <c r="C466" s="49"/>
      <c r="D466" s="48" t="s">
        <v>73</v>
      </c>
      <c r="E466" s="49"/>
      <c r="F466" s="50"/>
      <c r="G466" s="62"/>
      <c r="H466" s="48" t="s">
        <v>72</v>
      </c>
      <c r="I466" s="52">
        <v>1</v>
      </c>
      <c r="J466" s="52"/>
      <c r="K466" s="52" t="s">
        <v>73</v>
      </c>
      <c r="L466" s="52" t="s">
        <v>74</v>
      </c>
      <c r="M466" s="53" t="s">
        <v>917</v>
      </c>
      <c r="N466" s="58" t="s">
        <v>73</v>
      </c>
      <c r="O466" s="48" t="s">
        <v>72</v>
      </c>
      <c r="P466" s="48" t="s">
        <v>73</v>
      </c>
      <c r="Q466" s="54" t="s">
        <v>73</v>
      </c>
      <c r="R466" s="55" t="s">
        <v>73</v>
      </c>
      <c r="S466" s="48" t="s">
        <v>73</v>
      </c>
      <c r="T466" s="121" t="str" cm="1">
        <f t="array" ref="T466">IF(ISNUMBER(SEARCH("SCHNEIDER",D466)),_xlfn.IFS(ISNUMBER(SEARCH("2 Querétaro",D466)),"SQ2",ISNUMBER(SEARCH("Xicohténcatl",D466)),"SXC",ISNUMBER(SEARCH("Rojo Gómez",D466)),"SRG",ISNUMBER(SEARCH("Tlaxcala",D466)),"STX",ISNUMBER(SEARCH("Monterrey",D466)),"SMY",ISNUMBER(SEARCH("Querétaro",D466)),"SQ1",ISNUMBER(SEARCH("CDMX",D466)),"SCM",TRUE,""),"")</f>
        <v/>
      </c>
      <c r="U466" s="48" t="str" cm="1">
        <f t="array" ref="U466">_xlfn.LET(_xlpm.resultados,_xlfn.UNIQUE(_xlfn._xlws.FILTER(Tabla1[Proceso],(Tabla1[Metal Base]=O466)*(Tabla1[Etiquetas]=_xlfn.TEXTJOIN(" + ",TRUE,IF((TRIM(Upload!P466:S466)="")+(LOWER(TRIM(Upload!P466:S466))="(seleccione)"),"",PROPER(TRIM(Upload!P466:S466)))))*(Tabla1[Línea2]=IFERROR(VLOOKUP(Upload!N466&amp;"*",CAT_Procesos!D:D,1,FALSE),"")))),_xlpm.cantidad,ROWS(_xlpm.resultados),IF(ISERROR(_xlpm.cantidad),"Combinación no existente",IF(_xlpm.cantidad=1,INDEX(_xlpm.resultados,1),"(seleccione)")))</f>
        <v>Combinación no existente</v>
      </c>
      <c r="V466" s="55" t="s">
        <v>73</v>
      </c>
      <c r="W466" s="56" t="s">
        <v>73</v>
      </c>
      <c r="X466" s="57" t="str">
        <f t="shared" si="28"/>
        <v/>
      </c>
      <c r="Y466" s="58" t="s">
        <v>73</v>
      </c>
      <c r="Z466" s="57" t="str">
        <f t="shared" si="29"/>
        <v/>
      </c>
      <c r="AA466" s="58" t="s">
        <v>73</v>
      </c>
      <c r="AB466" s="57" t="str">
        <f t="shared" si="30"/>
        <v/>
      </c>
      <c r="AC466" s="58" t="s">
        <v>73</v>
      </c>
      <c r="AD466" s="57" t="str">
        <f t="shared" si="31"/>
        <v/>
      </c>
      <c r="AE466" s="59"/>
      <c r="AF466" s="59"/>
      <c r="AG466" s="59"/>
      <c r="AH466" s="59"/>
      <c r="AI466" s="59" t="s">
        <v>73</v>
      </c>
      <c r="AJ466" s="59"/>
      <c r="AK466" s="59" t="s">
        <v>73</v>
      </c>
      <c r="AL466" s="59"/>
      <c r="AM466" s="59" t="s">
        <v>73</v>
      </c>
      <c r="AN466" s="59"/>
      <c r="AO466" s="59" t="s">
        <v>73</v>
      </c>
      <c r="AP466" s="59"/>
      <c r="AQ466" s="59" t="s">
        <v>73</v>
      </c>
      <c r="AR466" s="59"/>
      <c r="AS466" s="59" t="s">
        <v>72</v>
      </c>
      <c r="AT466" s="59"/>
      <c r="AU466" s="59"/>
      <c r="AV466" s="59"/>
      <c r="AW466" s="59"/>
      <c r="AX466" s="59"/>
      <c r="AY466" s="60" t="str">
        <f>IF('Cálculo MP'!K476="","",'Cálculo MP'!K476)</f>
        <v/>
      </c>
      <c r="AZ466" s="60" t="str">
        <f>IF('Cálculo MP'!L476="","",'Cálculo MP'!L476)</f>
        <v/>
      </c>
      <c r="BA466" s="60" t="str">
        <f>IF('Cálculo MP'!M476="","",'Cálculo MP'!M476)</f>
        <v/>
      </c>
      <c r="BB466" s="60" t="str">
        <f>IF('Cálculo MP'!N476="","",'Cálculo MP'!N476)</f>
        <v/>
      </c>
      <c r="BC466" s="60" t="str">
        <f>IF('Cálculo MP'!O476="","",'Cálculo MP'!O476)</f>
        <v/>
      </c>
      <c r="BD466" s="60" t="str">
        <f>IF('Cálculo MP'!P476="","",'Cálculo MP'!P476)</f>
        <v/>
      </c>
      <c r="BE466" s="60" t="str">
        <f>IF('Cálculo MP'!Q476="","",'Cálculo MP'!Q476)</f>
        <v/>
      </c>
      <c r="BF466" s="60" t="str">
        <f>IF('Cálculo MP'!R476="","",'Cálculo MP'!R476)</f>
        <v/>
      </c>
      <c r="BG466" s="60" t="str">
        <f>IF('Cálculo MP'!S476="","",'Cálculo MP'!S476)</f>
        <v/>
      </c>
      <c r="BH466" s="59"/>
      <c r="BI466" s="59"/>
      <c r="BJ466" s="59"/>
      <c r="BK466" s="59"/>
      <c r="BL466" s="59"/>
      <c r="BM466" s="59"/>
      <c r="BN466" s="59"/>
      <c r="BO466" s="59"/>
    </row>
    <row r="467" spans="1:67" ht="19.5" customHeight="1" x14ac:dyDescent="0.15">
      <c r="A467" s="114" t="s">
        <v>1789</v>
      </c>
      <c r="B467" s="113" t="s">
        <v>1787</v>
      </c>
      <c r="C467" s="49"/>
      <c r="D467" s="48" t="s">
        <v>73</v>
      </c>
      <c r="E467" s="49"/>
      <c r="F467" s="50"/>
      <c r="G467" s="62"/>
      <c r="H467" s="48" t="s">
        <v>72</v>
      </c>
      <c r="I467" s="52">
        <v>1</v>
      </c>
      <c r="J467" s="52"/>
      <c r="K467" s="52" t="s">
        <v>73</v>
      </c>
      <c r="L467" s="52" t="s">
        <v>74</v>
      </c>
      <c r="M467" s="53" t="s">
        <v>917</v>
      </c>
      <c r="N467" s="58" t="s">
        <v>73</v>
      </c>
      <c r="O467" s="48" t="s">
        <v>72</v>
      </c>
      <c r="P467" s="48" t="s">
        <v>73</v>
      </c>
      <c r="Q467" s="54" t="s">
        <v>73</v>
      </c>
      <c r="R467" s="55" t="s">
        <v>73</v>
      </c>
      <c r="S467" s="48" t="s">
        <v>73</v>
      </c>
      <c r="T467" s="121" t="str" cm="1">
        <f t="array" ref="T467">IF(ISNUMBER(SEARCH("SCHNEIDER",D467)),_xlfn.IFS(ISNUMBER(SEARCH("2 Querétaro",D467)),"SQ2",ISNUMBER(SEARCH("Xicohténcatl",D467)),"SXC",ISNUMBER(SEARCH("Rojo Gómez",D467)),"SRG",ISNUMBER(SEARCH("Tlaxcala",D467)),"STX",ISNUMBER(SEARCH("Monterrey",D467)),"SMY",ISNUMBER(SEARCH("Querétaro",D467)),"SQ1",ISNUMBER(SEARCH("CDMX",D467)),"SCM",TRUE,""),"")</f>
        <v/>
      </c>
      <c r="U467" s="48" t="str" cm="1">
        <f t="array" ref="U467">_xlfn.LET(_xlpm.resultados,_xlfn.UNIQUE(_xlfn._xlws.FILTER(Tabla1[Proceso],(Tabla1[Metal Base]=O467)*(Tabla1[Etiquetas]=_xlfn.TEXTJOIN(" + ",TRUE,IF((TRIM(Upload!P467:S467)="")+(LOWER(TRIM(Upload!P467:S467))="(seleccione)"),"",PROPER(TRIM(Upload!P467:S467)))))*(Tabla1[Línea2]=IFERROR(VLOOKUP(Upload!N467&amp;"*",CAT_Procesos!D:D,1,FALSE),"")))),_xlpm.cantidad,ROWS(_xlpm.resultados),IF(ISERROR(_xlpm.cantidad),"Combinación no existente",IF(_xlpm.cantidad=1,INDEX(_xlpm.resultados,1),"(seleccione)")))</f>
        <v>Combinación no existente</v>
      </c>
      <c r="V467" s="55" t="s">
        <v>73</v>
      </c>
      <c r="W467" s="56" t="s">
        <v>73</v>
      </c>
      <c r="X467" s="57" t="str">
        <f t="shared" si="28"/>
        <v/>
      </c>
      <c r="Y467" s="58" t="s">
        <v>73</v>
      </c>
      <c r="Z467" s="57" t="str">
        <f t="shared" si="29"/>
        <v/>
      </c>
      <c r="AA467" s="58" t="s">
        <v>73</v>
      </c>
      <c r="AB467" s="57" t="str">
        <f t="shared" si="30"/>
        <v/>
      </c>
      <c r="AC467" s="58" t="s">
        <v>73</v>
      </c>
      <c r="AD467" s="57" t="str">
        <f t="shared" si="31"/>
        <v/>
      </c>
      <c r="AE467" s="59"/>
      <c r="AF467" s="59"/>
      <c r="AG467" s="59"/>
      <c r="AH467" s="59"/>
      <c r="AI467" s="59" t="s">
        <v>73</v>
      </c>
      <c r="AJ467" s="59"/>
      <c r="AK467" s="59" t="s">
        <v>73</v>
      </c>
      <c r="AL467" s="59"/>
      <c r="AM467" s="59" t="s">
        <v>73</v>
      </c>
      <c r="AN467" s="59"/>
      <c r="AO467" s="59" t="s">
        <v>73</v>
      </c>
      <c r="AP467" s="59"/>
      <c r="AQ467" s="59" t="s">
        <v>73</v>
      </c>
      <c r="AR467" s="59"/>
      <c r="AS467" s="59" t="s">
        <v>72</v>
      </c>
      <c r="AT467" s="59"/>
      <c r="AU467" s="59"/>
      <c r="AV467" s="59"/>
      <c r="AW467" s="59"/>
      <c r="AX467" s="59"/>
      <c r="AY467" s="60" t="str">
        <f>IF('Cálculo MP'!K477="","",'Cálculo MP'!K477)</f>
        <v/>
      </c>
      <c r="AZ467" s="60" t="str">
        <f>IF('Cálculo MP'!L477="","",'Cálculo MP'!L477)</f>
        <v/>
      </c>
      <c r="BA467" s="60" t="str">
        <f>IF('Cálculo MP'!M477="","",'Cálculo MP'!M477)</f>
        <v/>
      </c>
      <c r="BB467" s="60" t="str">
        <f>IF('Cálculo MP'!N477="","",'Cálculo MP'!N477)</f>
        <v/>
      </c>
      <c r="BC467" s="60" t="str">
        <f>IF('Cálculo MP'!O477="","",'Cálculo MP'!O477)</f>
        <v/>
      </c>
      <c r="BD467" s="60" t="str">
        <f>IF('Cálculo MP'!P477="","",'Cálculo MP'!P477)</f>
        <v/>
      </c>
      <c r="BE467" s="60" t="str">
        <f>IF('Cálculo MP'!Q477="","",'Cálculo MP'!Q477)</f>
        <v/>
      </c>
      <c r="BF467" s="60" t="str">
        <f>IF('Cálculo MP'!R477="","",'Cálculo MP'!R477)</f>
        <v/>
      </c>
      <c r="BG467" s="60" t="str">
        <f>IF('Cálculo MP'!S477="","",'Cálculo MP'!S477)</f>
        <v/>
      </c>
      <c r="BH467" s="59"/>
      <c r="BI467" s="59"/>
      <c r="BJ467" s="59"/>
      <c r="BK467" s="59"/>
      <c r="BL467" s="59"/>
      <c r="BM467" s="59"/>
      <c r="BN467" s="59"/>
      <c r="BO467" s="59"/>
    </row>
    <row r="468" spans="1:67" ht="19.5" customHeight="1" x14ac:dyDescent="0.15">
      <c r="A468" s="114" t="s">
        <v>1789</v>
      </c>
      <c r="B468" s="113" t="s">
        <v>1787</v>
      </c>
      <c r="C468" s="49"/>
      <c r="D468" s="48" t="s">
        <v>73</v>
      </c>
      <c r="E468" s="49"/>
      <c r="F468" s="50"/>
      <c r="G468" s="62"/>
      <c r="H468" s="48" t="s">
        <v>72</v>
      </c>
      <c r="I468" s="52">
        <v>1</v>
      </c>
      <c r="J468" s="52"/>
      <c r="K468" s="52" t="s">
        <v>73</v>
      </c>
      <c r="L468" s="52" t="s">
        <v>74</v>
      </c>
      <c r="M468" s="53" t="s">
        <v>917</v>
      </c>
      <c r="N468" s="58" t="s">
        <v>73</v>
      </c>
      <c r="O468" s="48" t="s">
        <v>72</v>
      </c>
      <c r="P468" s="48" t="s">
        <v>73</v>
      </c>
      <c r="Q468" s="54" t="s">
        <v>73</v>
      </c>
      <c r="R468" s="55" t="s">
        <v>73</v>
      </c>
      <c r="S468" s="48" t="s">
        <v>73</v>
      </c>
      <c r="T468" s="121" t="str" cm="1">
        <f t="array" ref="T468">IF(ISNUMBER(SEARCH("SCHNEIDER",D468)),_xlfn.IFS(ISNUMBER(SEARCH("2 Querétaro",D468)),"SQ2",ISNUMBER(SEARCH("Xicohténcatl",D468)),"SXC",ISNUMBER(SEARCH("Rojo Gómez",D468)),"SRG",ISNUMBER(SEARCH("Tlaxcala",D468)),"STX",ISNUMBER(SEARCH("Monterrey",D468)),"SMY",ISNUMBER(SEARCH("Querétaro",D468)),"SQ1",ISNUMBER(SEARCH("CDMX",D468)),"SCM",TRUE,""),"")</f>
        <v/>
      </c>
      <c r="U468" s="48" t="str" cm="1">
        <f t="array" ref="U468">_xlfn.LET(_xlpm.resultados,_xlfn.UNIQUE(_xlfn._xlws.FILTER(Tabla1[Proceso],(Tabla1[Metal Base]=O468)*(Tabla1[Etiquetas]=_xlfn.TEXTJOIN(" + ",TRUE,IF((TRIM(Upload!P468:S468)="")+(LOWER(TRIM(Upload!P468:S468))="(seleccione)"),"",PROPER(TRIM(Upload!P468:S468)))))*(Tabla1[Línea2]=IFERROR(VLOOKUP(Upload!N468&amp;"*",CAT_Procesos!D:D,1,FALSE),"")))),_xlpm.cantidad,ROWS(_xlpm.resultados),IF(ISERROR(_xlpm.cantidad),"Combinación no existente",IF(_xlpm.cantidad=1,INDEX(_xlpm.resultados,1),"(seleccione)")))</f>
        <v>Combinación no existente</v>
      </c>
      <c r="V468" s="55" t="s">
        <v>73</v>
      </c>
      <c r="W468" s="56" t="s">
        <v>73</v>
      </c>
      <c r="X468" s="57" t="str">
        <f t="shared" si="28"/>
        <v/>
      </c>
      <c r="Y468" s="58" t="s">
        <v>73</v>
      </c>
      <c r="Z468" s="57" t="str">
        <f t="shared" si="29"/>
        <v/>
      </c>
      <c r="AA468" s="58" t="s">
        <v>73</v>
      </c>
      <c r="AB468" s="57" t="str">
        <f t="shared" si="30"/>
        <v/>
      </c>
      <c r="AC468" s="58" t="s">
        <v>73</v>
      </c>
      <c r="AD468" s="57" t="str">
        <f t="shared" si="31"/>
        <v/>
      </c>
      <c r="AE468" s="59"/>
      <c r="AF468" s="59"/>
      <c r="AG468" s="59"/>
      <c r="AH468" s="59"/>
      <c r="AI468" s="59" t="s">
        <v>73</v>
      </c>
      <c r="AJ468" s="59"/>
      <c r="AK468" s="59" t="s">
        <v>73</v>
      </c>
      <c r="AL468" s="59"/>
      <c r="AM468" s="59" t="s">
        <v>73</v>
      </c>
      <c r="AN468" s="59"/>
      <c r="AO468" s="59" t="s">
        <v>73</v>
      </c>
      <c r="AP468" s="59"/>
      <c r="AQ468" s="59" t="s">
        <v>73</v>
      </c>
      <c r="AR468" s="59"/>
      <c r="AS468" s="59" t="s">
        <v>72</v>
      </c>
      <c r="AT468" s="59"/>
      <c r="AU468" s="59"/>
      <c r="AV468" s="59"/>
      <c r="AW468" s="59"/>
      <c r="AX468" s="59"/>
      <c r="AY468" s="60" t="str">
        <f>IF('Cálculo MP'!K478="","",'Cálculo MP'!K478)</f>
        <v/>
      </c>
      <c r="AZ468" s="60" t="str">
        <f>IF('Cálculo MP'!L478="","",'Cálculo MP'!L478)</f>
        <v/>
      </c>
      <c r="BA468" s="60" t="str">
        <f>IF('Cálculo MP'!M478="","",'Cálculo MP'!M478)</f>
        <v/>
      </c>
      <c r="BB468" s="60" t="str">
        <f>IF('Cálculo MP'!N478="","",'Cálculo MP'!N478)</f>
        <v/>
      </c>
      <c r="BC468" s="60" t="str">
        <f>IF('Cálculo MP'!O478="","",'Cálculo MP'!O478)</f>
        <v/>
      </c>
      <c r="BD468" s="60" t="str">
        <f>IF('Cálculo MP'!P478="","",'Cálculo MP'!P478)</f>
        <v/>
      </c>
      <c r="BE468" s="60" t="str">
        <f>IF('Cálculo MP'!Q478="","",'Cálculo MP'!Q478)</f>
        <v/>
      </c>
      <c r="BF468" s="60" t="str">
        <f>IF('Cálculo MP'!R478="","",'Cálculo MP'!R478)</f>
        <v/>
      </c>
      <c r="BG468" s="60" t="str">
        <f>IF('Cálculo MP'!S478="","",'Cálculo MP'!S478)</f>
        <v/>
      </c>
      <c r="BH468" s="59"/>
      <c r="BI468" s="59"/>
      <c r="BJ468" s="59"/>
      <c r="BK468" s="59"/>
      <c r="BL468" s="59"/>
      <c r="BM468" s="59"/>
      <c r="BN468" s="59"/>
      <c r="BO468" s="59"/>
    </row>
    <row r="469" spans="1:67" ht="19.5" customHeight="1" x14ac:dyDescent="0.15">
      <c r="A469" s="114" t="s">
        <v>1789</v>
      </c>
      <c r="B469" s="113" t="s">
        <v>1787</v>
      </c>
      <c r="C469" s="49"/>
      <c r="D469" s="48" t="s">
        <v>73</v>
      </c>
      <c r="E469" s="49"/>
      <c r="F469" s="50"/>
      <c r="G469" s="62"/>
      <c r="H469" s="48" t="s">
        <v>72</v>
      </c>
      <c r="I469" s="52">
        <v>1</v>
      </c>
      <c r="J469" s="52"/>
      <c r="K469" s="52" t="s">
        <v>73</v>
      </c>
      <c r="L469" s="52" t="s">
        <v>74</v>
      </c>
      <c r="M469" s="53" t="s">
        <v>917</v>
      </c>
      <c r="N469" s="58" t="s">
        <v>73</v>
      </c>
      <c r="O469" s="48" t="s">
        <v>72</v>
      </c>
      <c r="P469" s="48" t="s">
        <v>73</v>
      </c>
      <c r="Q469" s="54" t="s">
        <v>73</v>
      </c>
      <c r="R469" s="55" t="s">
        <v>73</v>
      </c>
      <c r="S469" s="48" t="s">
        <v>73</v>
      </c>
      <c r="T469" s="121" t="str" cm="1">
        <f t="array" ref="T469">IF(ISNUMBER(SEARCH("SCHNEIDER",D469)),_xlfn.IFS(ISNUMBER(SEARCH("2 Querétaro",D469)),"SQ2",ISNUMBER(SEARCH("Xicohténcatl",D469)),"SXC",ISNUMBER(SEARCH("Rojo Gómez",D469)),"SRG",ISNUMBER(SEARCH("Tlaxcala",D469)),"STX",ISNUMBER(SEARCH("Monterrey",D469)),"SMY",ISNUMBER(SEARCH("Querétaro",D469)),"SQ1",ISNUMBER(SEARCH("CDMX",D469)),"SCM",TRUE,""),"")</f>
        <v/>
      </c>
      <c r="U469" s="48" t="str" cm="1">
        <f t="array" ref="U469">_xlfn.LET(_xlpm.resultados,_xlfn.UNIQUE(_xlfn._xlws.FILTER(Tabla1[Proceso],(Tabla1[Metal Base]=O469)*(Tabla1[Etiquetas]=_xlfn.TEXTJOIN(" + ",TRUE,IF((TRIM(Upload!P469:S469)="")+(LOWER(TRIM(Upload!P469:S469))="(seleccione)"),"",PROPER(TRIM(Upload!P469:S469)))))*(Tabla1[Línea2]=IFERROR(VLOOKUP(Upload!N469&amp;"*",CAT_Procesos!D:D,1,FALSE),"")))),_xlpm.cantidad,ROWS(_xlpm.resultados),IF(ISERROR(_xlpm.cantidad),"Combinación no existente",IF(_xlpm.cantidad=1,INDEX(_xlpm.resultados,1),"(seleccione)")))</f>
        <v>Combinación no existente</v>
      </c>
      <c r="V469" s="55" t="s">
        <v>73</v>
      </c>
      <c r="W469" s="56" t="s">
        <v>73</v>
      </c>
      <c r="X469" s="57" t="str">
        <f t="shared" si="28"/>
        <v/>
      </c>
      <c r="Y469" s="58" t="s">
        <v>73</v>
      </c>
      <c r="Z469" s="57" t="str">
        <f t="shared" si="29"/>
        <v/>
      </c>
      <c r="AA469" s="58" t="s">
        <v>73</v>
      </c>
      <c r="AB469" s="57" t="str">
        <f t="shared" si="30"/>
        <v/>
      </c>
      <c r="AC469" s="58" t="s">
        <v>73</v>
      </c>
      <c r="AD469" s="57" t="str">
        <f t="shared" si="31"/>
        <v/>
      </c>
      <c r="AE469" s="59"/>
      <c r="AF469" s="59"/>
      <c r="AG469" s="59"/>
      <c r="AH469" s="59"/>
      <c r="AI469" s="59" t="s">
        <v>73</v>
      </c>
      <c r="AJ469" s="59"/>
      <c r="AK469" s="59" t="s">
        <v>73</v>
      </c>
      <c r="AL469" s="59"/>
      <c r="AM469" s="59" t="s">
        <v>73</v>
      </c>
      <c r="AN469" s="59"/>
      <c r="AO469" s="59" t="s">
        <v>73</v>
      </c>
      <c r="AP469" s="59"/>
      <c r="AQ469" s="59" t="s">
        <v>73</v>
      </c>
      <c r="AR469" s="59"/>
      <c r="AS469" s="59" t="s">
        <v>72</v>
      </c>
      <c r="AT469" s="59"/>
      <c r="AU469" s="59"/>
      <c r="AV469" s="59"/>
      <c r="AW469" s="59"/>
      <c r="AX469" s="59"/>
      <c r="AY469" s="60" t="str">
        <f>IF('Cálculo MP'!K479="","",'Cálculo MP'!K479)</f>
        <v/>
      </c>
      <c r="AZ469" s="60" t="str">
        <f>IF('Cálculo MP'!L479="","",'Cálculo MP'!L479)</f>
        <v/>
      </c>
      <c r="BA469" s="60" t="str">
        <f>IF('Cálculo MP'!M479="","",'Cálculo MP'!M479)</f>
        <v/>
      </c>
      <c r="BB469" s="60" t="str">
        <f>IF('Cálculo MP'!N479="","",'Cálculo MP'!N479)</f>
        <v/>
      </c>
      <c r="BC469" s="60" t="str">
        <f>IF('Cálculo MP'!O479="","",'Cálculo MP'!O479)</f>
        <v/>
      </c>
      <c r="BD469" s="60" t="str">
        <f>IF('Cálculo MP'!P479="","",'Cálculo MP'!P479)</f>
        <v/>
      </c>
      <c r="BE469" s="60" t="str">
        <f>IF('Cálculo MP'!Q479="","",'Cálculo MP'!Q479)</f>
        <v/>
      </c>
      <c r="BF469" s="60" t="str">
        <f>IF('Cálculo MP'!R479="","",'Cálculo MP'!R479)</f>
        <v/>
      </c>
      <c r="BG469" s="60" t="str">
        <f>IF('Cálculo MP'!S479="","",'Cálculo MP'!S479)</f>
        <v/>
      </c>
      <c r="BH469" s="59"/>
      <c r="BI469" s="59"/>
      <c r="BJ469" s="59"/>
      <c r="BK469" s="59"/>
      <c r="BL469" s="59"/>
      <c r="BM469" s="59"/>
      <c r="BN469" s="59"/>
      <c r="BO469" s="59"/>
    </row>
    <row r="470" spans="1:67" ht="19.5" customHeight="1" x14ac:dyDescent="0.15">
      <c r="A470" s="114" t="s">
        <v>1789</v>
      </c>
      <c r="B470" s="113" t="s">
        <v>1787</v>
      </c>
      <c r="C470" s="49"/>
      <c r="D470" s="48" t="s">
        <v>73</v>
      </c>
      <c r="E470" s="49"/>
      <c r="F470" s="50"/>
      <c r="G470" s="62"/>
      <c r="H470" s="48" t="s">
        <v>72</v>
      </c>
      <c r="I470" s="52">
        <v>1</v>
      </c>
      <c r="J470" s="52"/>
      <c r="K470" s="52" t="s">
        <v>73</v>
      </c>
      <c r="L470" s="52" t="s">
        <v>74</v>
      </c>
      <c r="M470" s="53" t="s">
        <v>917</v>
      </c>
      <c r="N470" s="58" t="s">
        <v>73</v>
      </c>
      <c r="O470" s="48" t="s">
        <v>72</v>
      </c>
      <c r="P470" s="48" t="s">
        <v>73</v>
      </c>
      <c r="Q470" s="54" t="s">
        <v>73</v>
      </c>
      <c r="R470" s="55" t="s">
        <v>73</v>
      </c>
      <c r="S470" s="48" t="s">
        <v>73</v>
      </c>
      <c r="T470" s="121" t="str" cm="1">
        <f t="array" ref="T470">IF(ISNUMBER(SEARCH("SCHNEIDER",D470)),_xlfn.IFS(ISNUMBER(SEARCH("2 Querétaro",D470)),"SQ2",ISNUMBER(SEARCH("Xicohténcatl",D470)),"SXC",ISNUMBER(SEARCH("Rojo Gómez",D470)),"SRG",ISNUMBER(SEARCH("Tlaxcala",D470)),"STX",ISNUMBER(SEARCH("Monterrey",D470)),"SMY",ISNUMBER(SEARCH("Querétaro",D470)),"SQ1",ISNUMBER(SEARCH("CDMX",D470)),"SCM",TRUE,""),"")</f>
        <v/>
      </c>
      <c r="U470" s="48" t="str" cm="1">
        <f t="array" ref="U470">_xlfn.LET(_xlpm.resultados,_xlfn.UNIQUE(_xlfn._xlws.FILTER(Tabla1[Proceso],(Tabla1[Metal Base]=O470)*(Tabla1[Etiquetas]=_xlfn.TEXTJOIN(" + ",TRUE,IF((TRIM(Upload!P470:S470)="")+(LOWER(TRIM(Upload!P470:S470))="(seleccione)"),"",PROPER(TRIM(Upload!P470:S470)))))*(Tabla1[Línea2]=IFERROR(VLOOKUP(Upload!N470&amp;"*",CAT_Procesos!D:D,1,FALSE),"")))),_xlpm.cantidad,ROWS(_xlpm.resultados),IF(ISERROR(_xlpm.cantidad),"Combinación no existente",IF(_xlpm.cantidad=1,INDEX(_xlpm.resultados,1),"(seleccione)")))</f>
        <v>Combinación no existente</v>
      </c>
      <c r="V470" s="55" t="s">
        <v>73</v>
      </c>
      <c r="W470" s="56" t="s">
        <v>73</v>
      </c>
      <c r="X470" s="57" t="str">
        <f t="shared" si="28"/>
        <v/>
      </c>
      <c r="Y470" s="58" t="s">
        <v>73</v>
      </c>
      <c r="Z470" s="57" t="str">
        <f t="shared" si="29"/>
        <v/>
      </c>
      <c r="AA470" s="58" t="s">
        <v>73</v>
      </c>
      <c r="AB470" s="57" t="str">
        <f t="shared" si="30"/>
        <v/>
      </c>
      <c r="AC470" s="58" t="s">
        <v>73</v>
      </c>
      <c r="AD470" s="57" t="str">
        <f t="shared" si="31"/>
        <v/>
      </c>
      <c r="AE470" s="59"/>
      <c r="AF470" s="59"/>
      <c r="AG470" s="59"/>
      <c r="AH470" s="59"/>
      <c r="AI470" s="59" t="s">
        <v>73</v>
      </c>
      <c r="AJ470" s="59"/>
      <c r="AK470" s="59" t="s">
        <v>73</v>
      </c>
      <c r="AL470" s="59"/>
      <c r="AM470" s="59" t="s">
        <v>73</v>
      </c>
      <c r="AN470" s="59"/>
      <c r="AO470" s="59" t="s">
        <v>73</v>
      </c>
      <c r="AP470" s="59"/>
      <c r="AQ470" s="59" t="s">
        <v>73</v>
      </c>
      <c r="AR470" s="59"/>
      <c r="AS470" s="59" t="s">
        <v>72</v>
      </c>
      <c r="AT470" s="59"/>
      <c r="AU470" s="59"/>
      <c r="AV470" s="59"/>
      <c r="AW470" s="59"/>
      <c r="AX470" s="59"/>
      <c r="AY470" s="60" t="str">
        <f>IF('Cálculo MP'!K480="","",'Cálculo MP'!K480)</f>
        <v/>
      </c>
      <c r="AZ470" s="60" t="str">
        <f>IF('Cálculo MP'!L480="","",'Cálculo MP'!L480)</f>
        <v/>
      </c>
      <c r="BA470" s="60" t="str">
        <f>IF('Cálculo MP'!M480="","",'Cálculo MP'!M480)</f>
        <v/>
      </c>
      <c r="BB470" s="60" t="str">
        <f>IF('Cálculo MP'!N480="","",'Cálculo MP'!N480)</f>
        <v/>
      </c>
      <c r="BC470" s="60" t="str">
        <f>IF('Cálculo MP'!O480="","",'Cálculo MP'!O480)</f>
        <v/>
      </c>
      <c r="BD470" s="60" t="str">
        <f>IF('Cálculo MP'!P480="","",'Cálculo MP'!P480)</f>
        <v/>
      </c>
      <c r="BE470" s="60" t="str">
        <f>IF('Cálculo MP'!Q480="","",'Cálculo MP'!Q480)</f>
        <v/>
      </c>
      <c r="BF470" s="60" t="str">
        <f>IF('Cálculo MP'!R480="","",'Cálculo MP'!R480)</f>
        <v/>
      </c>
      <c r="BG470" s="60" t="str">
        <f>IF('Cálculo MP'!S480="","",'Cálculo MP'!S480)</f>
        <v/>
      </c>
      <c r="BH470" s="59"/>
      <c r="BI470" s="59"/>
      <c r="BJ470" s="59"/>
      <c r="BK470" s="59"/>
      <c r="BL470" s="59"/>
      <c r="BM470" s="59"/>
      <c r="BN470" s="59"/>
      <c r="BO470" s="59"/>
    </row>
    <row r="471" spans="1:67" ht="19.5" customHeight="1" x14ac:dyDescent="0.15">
      <c r="A471" s="114" t="s">
        <v>1789</v>
      </c>
      <c r="B471" s="113" t="s">
        <v>1787</v>
      </c>
      <c r="C471" s="49"/>
      <c r="D471" s="48" t="s">
        <v>73</v>
      </c>
      <c r="E471" s="49"/>
      <c r="F471" s="50"/>
      <c r="G471" s="62"/>
      <c r="H471" s="48" t="s">
        <v>72</v>
      </c>
      <c r="I471" s="52">
        <v>1</v>
      </c>
      <c r="J471" s="52"/>
      <c r="K471" s="52" t="s">
        <v>73</v>
      </c>
      <c r="L471" s="52" t="s">
        <v>74</v>
      </c>
      <c r="M471" s="53" t="s">
        <v>917</v>
      </c>
      <c r="N471" s="58" t="s">
        <v>73</v>
      </c>
      <c r="O471" s="48" t="s">
        <v>72</v>
      </c>
      <c r="P471" s="48" t="s">
        <v>73</v>
      </c>
      <c r="Q471" s="54" t="s">
        <v>73</v>
      </c>
      <c r="R471" s="55" t="s">
        <v>73</v>
      </c>
      <c r="S471" s="48" t="s">
        <v>73</v>
      </c>
      <c r="T471" s="121" t="str" cm="1">
        <f t="array" ref="T471">IF(ISNUMBER(SEARCH("SCHNEIDER",D471)),_xlfn.IFS(ISNUMBER(SEARCH("2 Querétaro",D471)),"SQ2",ISNUMBER(SEARCH("Xicohténcatl",D471)),"SXC",ISNUMBER(SEARCH("Rojo Gómez",D471)),"SRG",ISNUMBER(SEARCH("Tlaxcala",D471)),"STX",ISNUMBER(SEARCH("Monterrey",D471)),"SMY",ISNUMBER(SEARCH("Querétaro",D471)),"SQ1",ISNUMBER(SEARCH("CDMX",D471)),"SCM",TRUE,""),"")</f>
        <v/>
      </c>
      <c r="U471" s="48" t="str" cm="1">
        <f t="array" ref="U471">_xlfn.LET(_xlpm.resultados,_xlfn.UNIQUE(_xlfn._xlws.FILTER(Tabla1[Proceso],(Tabla1[Metal Base]=O471)*(Tabla1[Etiquetas]=_xlfn.TEXTJOIN(" + ",TRUE,IF((TRIM(Upload!P471:S471)="")+(LOWER(TRIM(Upload!P471:S471))="(seleccione)"),"",PROPER(TRIM(Upload!P471:S471)))))*(Tabla1[Línea2]=IFERROR(VLOOKUP(Upload!N471&amp;"*",CAT_Procesos!D:D,1,FALSE),"")))),_xlpm.cantidad,ROWS(_xlpm.resultados),IF(ISERROR(_xlpm.cantidad),"Combinación no existente",IF(_xlpm.cantidad=1,INDEX(_xlpm.resultados,1),"(seleccione)")))</f>
        <v>Combinación no existente</v>
      </c>
      <c r="V471" s="55" t="s">
        <v>73</v>
      </c>
      <c r="W471" s="56" t="s">
        <v>73</v>
      </c>
      <c r="X471" s="57" t="str">
        <f t="shared" si="28"/>
        <v/>
      </c>
      <c r="Y471" s="58" t="s">
        <v>73</v>
      </c>
      <c r="Z471" s="57" t="str">
        <f t="shared" si="29"/>
        <v/>
      </c>
      <c r="AA471" s="58" t="s">
        <v>73</v>
      </c>
      <c r="AB471" s="57" t="str">
        <f t="shared" si="30"/>
        <v/>
      </c>
      <c r="AC471" s="58" t="s">
        <v>73</v>
      </c>
      <c r="AD471" s="57" t="str">
        <f t="shared" si="31"/>
        <v/>
      </c>
      <c r="AE471" s="59"/>
      <c r="AF471" s="59"/>
      <c r="AG471" s="59"/>
      <c r="AH471" s="59"/>
      <c r="AI471" s="59" t="s">
        <v>73</v>
      </c>
      <c r="AJ471" s="59"/>
      <c r="AK471" s="59" t="s">
        <v>73</v>
      </c>
      <c r="AL471" s="59"/>
      <c r="AM471" s="59" t="s">
        <v>73</v>
      </c>
      <c r="AN471" s="59"/>
      <c r="AO471" s="59" t="s">
        <v>73</v>
      </c>
      <c r="AP471" s="59"/>
      <c r="AQ471" s="59" t="s">
        <v>73</v>
      </c>
      <c r="AR471" s="59"/>
      <c r="AS471" s="59" t="s">
        <v>72</v>
      </c>
      <c r="AT471" s="59"/>
      <c r="AU471" s="59"/>
      <c r="AV471" s="59"/>
      <c r="AW471" s="59"/>
      <c r="AX471" s="59"/>
      <c r="AY471" s="60" t="str">
        <f>IF('Cálculo MP'!K481="","",'Cálculo MP'!K481)</f>
        <v/>
      </c>
      <c r="AZ471" s="60" t="str">
        <f>IF('Cálculo MP'!L481="","",'Cálculo MP'!L481)</f>
        <v/>
      </c>
      <c r="BA471" s="60" t="str">
        <f>IF('Cálculo MP'!M481="","",'Cálculo MP'!M481)</f>
        <v/>
      </c>
      <c r="BB471" s="60" t="str">
        <f>IF('Cálculo MP'!N481="","",'Cálculo MP'!N481)</f>
        <v/>
      </c>
      <c r="BC471" s="60" t="str">
        <f>IF('Cálculo MP'!O481="","",'Cálculo MP'!O481)</f>
        <v/>
      </c>
      <c r="BD471" s="60" t="str">
        <f>IF('Cálculo MP'!P481="","",'Cálculo MP'!P481)</f>
        <v/>
      </c>
      <c r="BE471" s="60" t="str">
        <f>IF('Cálculo MP'!Q481="","",'Cálculo MP'!Q481)</f>
        <v/>
      </c>
      <c r="BF471" s="60" t="str">
        <f>IF('Cálculo MP'!R481="","",'Cálculo MP'!R481)</f>
        <v/>
      </c>
      <c r="BG471" s="60" t="str">
        <f>IF('Cálculo MP'!S481="","",'Cálculo MP'!S481)</f>
        <v/>
      </c>
      <c r="BH471" s="59"/>
      <c r="BI471" s="59"/>
      <c r="BJ471" s="59"/>
      <c r="BK471" s="59"/>
      <c r="BL471" s="59"/>
      <c r="BM471" s="59"/>
      <c r="BN471" s="59"/>
      <c r="BO471" s="59"/>
    </row>
    <row r="472" spans="1:67" ht="19.5" customHeight="1" x14ac:dyDescent="0.15">
      <c r="A472" s="114" t="s">
        <v>1789</v>
      </c>
      <c r="B472" s="113" t="s">
        <v>1787</v>
      </c>
      <c r="C472" s="49"/>
      <c r="D472" s="48" t="s">
        <v>73</v>
      </c>
      <c r="E472" s="49"/>
      <c r="F472" s="50"/>
      <c r="G472" s="62"/>
      <c r="H472" s="48" t="s">
        <v>72</v>
      </c>
      <c r="I472" s="52">
        <v>1</v>
      </c>
      <c r="J472" s="52"/>
      <c r="K472" s="52" t="s">
        <v>73</v>
      </c>
      <c r="L472" s="52" t="s">
        <v>74</v>
      </c>
      <c r="M472" s="53" t="s">
        <v>917</v>
      </c>
      <c r="N472" s="58" t="s">
        <v>73</v>
      </c>
      <c r="O472" s="48" t="s">
        <v>72</v>
      </c>
      <c r="P472" s="48" t="s">
        <v>73</v>
      </c>
      <c r="Q472" s="54" t="s">
        <v>73</v>
      </c>
      <c r="R472" s="55" t="s">
        <v>73</v>
      </c>
      <c r="S472" s="48" t="s">
        <v>73</v>
      </c>
      <c r="T472" s="121" t="str" cm="1">
        <f t="array" ref="T472">IF(ISNUMBER(SEARCH("SCHNEIDER",D472)),_xlfn.IFS(ISNUMBER(SEARCH("2 Querétaro",D472)),"SQ2",ISNUMBER(SEARCH("Xicohténcatl",D472)),"SXC",ISNUMBER(SEARCH("Rojo Gómez",D472)),"SRG",ISNUMBER(SEARCH("Tlaxcala",D472)),"STX",ISNUMBER(SEARCH("Monterrey",D472)),"SMY",ISNUMBER(SEARCH("Querétaro",D472)),"SQ1",ISNUMBER(SEARCH("CDMX",D472)),"SCM",TRUE,""),"")</f>
        <v/>
      </c>
      <c r="U472" s="48" t="str" cm="1">
        <f t="array" ref="U472">_xlfn.LET(_xlpm.resultados,_xlfn.UNIQUE(_xlfn._xlws.FILTER(Tabla1[Proceso],(Tabla1[Metal Base]=O472)*(Tabla1[Etiquetas]=_xlfn.TEXTJOIN(" + ",TRUE,IF((TRIM(Upload!P472:S472)="")+(LOWER(TRIM(Upload!P472:S472))="(seleccione)"),"",PROPER(TRIM(Upload!P472:S472)))))*(Tabla1[Línea2]=IFERROR(VLOOKUP(Upload!N472&amp;"*",CAT_Procesos!D:D,1,FALSE),"")))),_xlpm.cantidad,ROWS(_xlpm.resultados),IF(ISERROR(_xlpm.cantidad),"Combinación no existente",IF(_xlpm.cantidad=1,INDEX(_xlpm.resultados,1),"(seleccione)")))</f>
        <v>Combinación no existente</v>
      </c>
      <c r="V472" s="55" t="s">
        <v>73</v>
      </c>
      <c r="W472" s="56" t="s">
        <v>73</v>
      </c>
      <c r="X472" s="57" t="str">
        <f t="shared" si="28"/>
        <v/>
      </c>
      <c r="Y472" s="58" t="s">
        <v>73</v>
      </c>
      <c r="Z472" s="57" t="str">
        <f t="shared" si="29"/>
        <v/>
      </c>
      <c r="AA472" s="58" t="s">
        <v>73</v>
      </c>
      <c r="AB472" s="57" t="str">
        <f t="shared" si="30"/>
        <v/>
      </c>
      <c r="AC472" s="58" t="s">
        <v>73</v>
      </c>
      <c r="AD472" s="57" t="str">
        <f t="shared" si="31"/>
        <v/>
      </c>
      <c r="AE472" s="59"/>
      <c r="AF472" s="59"/>
      <c r="AG472" s="59"/>
      <c r="AH472" s="59"/>
      <c r="AI472" s="59" t="s">
        <v>73</v>
      </c>
      <c r="AJ472" s="59"/>
      <c r="AK472" s="59" t="s">
        <v>73</v>
      </c>
      <c r="AL472" s="59"/>
      <c r="AM472" s="59" t="s">
        <v>73</v>
      </c>
      <c r="AN472" s="59"/>
      <c r="AO472" s="59" t="s">
        <v>73</v>
      </c>
      <c r="AP472" s="59"/>
      <c r="AQ472" s="59" t="s">
        <v>73</v>
      </c>
      <c r="AR472" s="59"/>
      <c r="AS472" s="59" t="s">
        <v>72</v>
      </c>
      <c r="AT472" s="59"/>
      <c r="AU472" s="59"/>
      <c r="AV472" s="59"/>
      <c r="AW472" s="59"/>
      <c r="AX472" s="59"/>
      <c r="AY472" s="60" t="str">
        <f>IF('Cálculo MP'!K482="","",'Cálculo MP'!K482)</f>
        <v/>
      </c>
      <c r="AZ472" s="60" t="str">
        <f>IF('Cálculo MP'!L482="","",'Cálculo MP'!L482)</f>
        <v/>
      </c>
      <c r="BA472" s="60" t="str">
        <f>IF('Cálculo MP'!M482="","",'Cálculo MP'!M482)</f>
        <v/>
      </c>
      <c r="BB472" s="60" t="str">
        <f>IF('Cálculo MP'!N482="","",'Cálculo MP'!N482)</f>
        <v/>
      </c>
      <c r="BC472" s="60" t="str">
        <f>IF('Cálculo MP'!O482="","",'Cálculo MP'!O482)</f>
        <v/>
      </c>
      <c r="BD472" s="60" t="str">
        <f>IF('Cálculo MP'!P482="","",'Cálculo MP'!P482)</f>
        <v/>
      </c>
      <c r="BE472" s="60" t="str">
        <f>IF('Cálculo MP'!Q482="","",'Cálculo MP'!Q482)</f>
        <v/>
      </c>
      <c r="BF472" s="60" t="str">
        <f>IF('Cálculo MP'!R482="","",'Cálculo MP'!R482)</f>
        <v/>
      </c>
      <c r="BG472" s="60" t="str">
        <f>IF('Cálculo MP'!S482="","",'Cálculo MP'!S482)</f>
        <v/>
      </c>
      <c r="BH472" s="59"/>
      <c r="BI472" s="59"/>
      <c r="BJ472" s="59"/>
      <c r="BK472" s="59"/>
      <c r="BL472" s="59"/>
      <c r="BM472" s="59"/>
      <c r="BN472" s="59"/>
      <c r="BO472" s="59"/>
    </row>
    <row r="473" spans="1:67" ht="19.5" customHeight="1" x14ac:dyDescent="0.15">
      <c r="A473" s="114" t="s">
        <v>1789</v>
      </c>
      <c r="B473" s="113" t="s">
        <v>1787</v>
      </c>
      <c r="C473" s="49"/>
      <c r="D473" s="48" t="s">
        <v>73</v>
      </c>
      <c r="E473" s="49"/>
      <c r="F473" s="50"/>
      <c r="G473" s="62"/>
      <c r="H473" s="48" t="s">
        <v>72</v>
      </c>
      <c r="I473" s="52">
        <v>1</v>
      </c>
      <c r="J473" s="52"/>
      <c r="K473" s="52" t="s">
        <v>73</v>
      </c>
      <c r="L473" s="52" t="s">
        <v>74</v>
      </c>
      <c r="M473" s="53" t="s">
        <v>917</v>
      </c>
      <c r="N473" s="58" t="s">
        <v>73</v>
      </c>
      <c r="O473" s="48" t="s">
        <v>72</v>
      </c>
      <c r="P473" s="48" t="s">
        <v>73</v>
      </c>
      <c r="Q473" s="54" t="s">
        <v>73</v>
      </c>
      <c r="R473" s="55" t="s">
        <v>73</v>
      </c>
      <c r="S473" s="48" t="s">
        <v>73</v>
      </c>
      <c r="T473" s="121" t="str" cm="1">
        <f t="array" ref="T473">IF(ISNUMBER(SEARCH("SCHNEIDER",D473)),_xlfn.IFS(ISNUMBER(SEARCH("2 Querétaro",D473)),"SQ2",ISNUMBER(SEARCH("Xicohténcatl",D473)),"SXC",ISNUMBER(SEARCH("Rojo Gómez",D473)),"SRG",ISNUMBER(SEARCH("Tlaxcala",D473)),"STX",ISNUMBER(SEARCH("Monterrey",D473)),"SMY",ISNUMBER(SEARCH("Querétaro",D473)),"SQ1",ISNUMBER(SEARCH("CDMX",D473)),"SCM",TRUE,""),"")</f>
        <v/>
      </c>
      <c r="U473" s="48" t="str" cm="1">
        <f t="array" ref="U473">_xlfn.LET(_xlpm.resultados,_xlfn.UNIQUE(_xlfn._xlws.FILTER(Tabla1[Proceso],(Tabla1[Metal Base]=O473)*(Tabla1[Etiquetas]=_xlfn.TEXTJOIN(" + ",TRUE,IF((TRIM(Upload!P473:S473)="")+(LOWER(TRIM(Upload!P473:S473))="(seleccione)"),"",PROPER(TRIM(Upload!P473:S473)))))*(Tabla1[Línea2]=IFERROR(VLOOKUP(Upload!N473&amp;"*",CAT_Procesos!D:D,1,FALSE),"")))),_xlpm.cantidad,ROWS(_xlpm.resultados),IF(ISERROR(_xlpm.cantidad),"Combinación no existente",IF(_xlpm.cantidad=1,INDEX(_xlpm.resultados,1),"(seleccione)")))</f>
        <v>Combinación no existente</v>
      </c>
      <c r="V473" s="55" t="s">
        <v>73</v>
      </c>
      <c r="W473" s="56" t="s">
        <v>73</v>
      </c>
      <c r="X473" s="57" t="str">
        <f t="shared" si="28"/>
        <v/>
      </c>
      <c r="Y473" s="58" t="s">
        <v>73</v>
      </c>
      <c r="Z473" s="57" t="str">
        <f t="shared" si="29"/>
        <v/>
      </c>
      <c r="AA473" s="58" t="s">
        <v>73</v>
      </c>
      <c r="AB473" s="57" t="str">
        <f t="shared" si="30"/>
        <v/>
      </c>
      <c r="AC473" s="58" t="s">
        <v>73</v>
      </c>
      <c r="AD473" s="57" t="str">
        <f t="shared" si="31"/>
        <v/>
      </c>
      <c r="AE473" s="59"/>
      <c r="AF473" s="59"/>
      <c r="AG473" s="59"/>
      <c r="AH473" s="59"/>
      <c r="AI473" s="59" t="s">
        <v>73</v>
      </c>
      <c r="AJ473" s="59"/>
      <c r="AK473" s="59" t="s">
        <v>73</v>
      </c>
      <c r="AL473" s="59"/>
      <c r="AM473" s="59" t="s">
        <v>73</v>
      </c>
      <c r="AN473" s="59"/>
      <c r="AO473" s="59" t="s">
        <v>73</v>
      </c>
      <c r="AP473" s="59"/>
      <c r="AQ473" s="59" t="s">
        <v>73</v>
      </c>
      <c r="AR473" s="59"/>
      <c r="AS473" s="59" t="s">
        <v>72</v>
      </c>
      <c r="AT473" s="59"/>
      <c r="AU473" s="59"/>
      <c r="AV473" s="59"/>
      <c r="AW473" s="59"/>
      <c r="AX473" s="59"/>
      <c r="AY473" s="60" t="str">
        <f>IF('Cálculo MP'!K483="","",'Cálculo MP'!K483)</f>
        <v/>
      </c>
      <c r="AZ473" s="60" t="str">
        <f>IF('Cálculo MP'!L483="","",'Cálculo MP'!L483)</f>
        <v/>
      </c>
      <c r="BA473" s="60" t="str">
        <f>IF('Cálculo MP'!M483="","",'Cálculo MP'!M483)</f>
        <v/>
      </c>
      <c r="BB473" s="60" t="str">
        <f>IF('Cálculo MP'!N483="","",'Cálculo MP'!N483)</f>
        <v/>
      </c>
      <c r="BC473" s="60" t="str">
        <f>IF('Cálculo MP'!O483="","",'Cálculo MP'!O483)</f>
        <v/>
      </c>
      <c r="BD473" s="60" t="str">
        <f>IF('Cálculo MP'!P483="","",'Cálculo MP'!P483)</f>
        <v/>
      </c>
      <c r="BE473" s="60" t="str">
        <f>IF('Cálculo MP'!Q483="","",'Cálculo MP'!Q483)</f>
        <v/>
      </c>
      <c r="BF473" s="60" t="str">
        <f>IF('Cálculo MP'!R483="","",'Cálculo MP'!R483)</f>
        <v/>
      </c>
      <c r="BG473" s="60" t="str">
        <f>IF('Cálculo MP'!S483="","",'Cálculo MP'!S483)</f>
        <v/>
      </c>
      <c r="BH473" s="59"/>
      <c r="BI473" s="59"/>
      <c r="BJ473" s="59"/>
      <c r="BK473" s="59"/>
      <c r="BL473" s="59"/>
      <c r="BM473" s="59"/>
      <c r="BN473" s="59"/>
      <c r="BO473" s="59"/>
    </row>
    <row r="474" spans="1:67" ht="19.5" customHeight="1" x14ac:dyDescent="0.15">
      <c r="A474" s="114" t="s">
        <v>1789</v>
      </c>
      <c r="B474" s="113" t="s">
        <v>1787</v>
      </c>
      <c r="C474" s="49"/>
      <c r="D474" s="48" t="s">
        <v>73</v>
      </c>
      <c r="E474" s="49"/>
      <c r="F474" s="50"/>
      <c r="G474" s="62"/>
      <c r="H474" s="48" t="s">
        <v>72</v>
      </c>
      <c r="I474" s="52">
        <v>1</v>
      </c>
      <c r="J474" s="52"/>
      <c r="K474" s="52" t="s">
        <v>73</v>
      </c>
      <c r="L474" s="52" t="s">
        <v>74</v>
      </c>
      <c r="M474" s="53" t="s">
        <v>917</v>
      </c>
      <c r="N474" s="58" t="s">
        <v>73</v>
      </c>
      <c r="O474" s="48" t="s">
        <v>72</v>
      </c>
      <c r="P474" s="48" t="s">
        <v>73</v>
      </c>
      <c r="Q474" s="54" t="s">
        <v>73</v>
      </c>
      <c r="R474" s="55" t="s">
        <v>73</v>
      </c>
      <c r="S474" s="48" t="s">
        <v>73</v>
      </c>
      <c r="T474" s="121" t="str" cm="1">
        <f t="array" ref="T474">IF(ISNUMBER(SEARCH("SCHNEIDER",D474)),_xlfn.IFS(ISNUMBER(SEARCH("2 Querétaro",D474)),"SQ2",ISNUMBER(SEARCH("Xicohténcatl",D474)),"SXC",ISNUMBER(SEARCH("Rojo Gómez",D474)),"SRG",ISNUMBER(SEARCH("Tlaxcala",D474)),"STX",ISNUMBER(SEARCH("Monterrey",D474)),"SMY",ISNUMBER(SEARCH("Querétaro",D474)),"SQ1",ISNUMBER(SEARCH("CDMX",D474)),"SCM",TRUE,""),"")</f>
        <v/>
      </c>
      <c r="U474" s="48" t="str" cm="1">
        <f t="array" ref="U474">_xlfn.LET(_xlpm.resultados,_xlfn.UNIQUE(_xlfn._xlws.FILTER(Tabla1[Proceso],(Tabla1[Metal Base]=O474)*(Tabla1[Etiquetas]=_xlfn.TEXTJOIN(" + ",TRUE,IF((TRIM(Upload!P474:S474)="")+(LOWER(TRIM(Upload!P474:S474))="(seleccione)"),"",PROPER(TRIM(Upload!P474:S474)))))*(Tabla1[Línea2]=IFERROR(VLOOKUP(Upload!N474&amp;"*",CAT_Procesos!D:D,1,FALSE),"")))),_xlpm.cantidad,ROWS(_xlpm.resultados),IF(ISERROR(_xlpm.cantidad),"Combinación no existente",IF(_xlpm.cantidad=1,INDEX(_xlpm.resultados,1),"(seleccione)")))</f>
        <v>Combinación no existente</v>
      </c>
      <c r="V474" s="55" t="s">
        <v>73</v>
      </c>
      <c r="W474" s="56" t="s">
        <v>73</v>
      </c>
      <c r="X474" s="57" t="str">
        <f t="shared" si="28"/>
        <v/>
      </c>
      <c r="Y474" s="58" t="s">
        <v>73</v>
      </c>
      <c r="Z474" s="57" t="str">
        <f t="shared" si="29"/>
        <v/>
      </c>
      <c r="AA474" s="58" t="s">
        <v>73</v>
      </c>
      <c r="AB474" s="57" t="str">
        <f t="shared" si="30"/>
        <v/>
      </c>
      <c r="AC474" s="58" t="s">
        <v>73</v>
      </c>
      <c r="AD474" s="57" t="str">
        <f t="shared" si="31"/>
        <v/>
      </c>
      <c r="AE474" s="59"/>
      <c r="AF474" s="59"/>
      <c r="AG474" s="59"/>
      <c r="AH474" s="59"/>
      <c r="AI474" s="59" t="s">
        <v>73</v>
      </c>
      <c r="AJ474" s="59"/>
      <c r="AK474" s="59" t="s">
        <v>73</v>
      </c>
      <c r="AL474" s="59"/>
      <c r="AM474" s="59" t="s">
        <v>73</v>
      </c>
      <c r="AN474" s="59"/>
      <c r="AO474" s="59" t="s">
        <v>73</v>
      </c>
      <c r="AP474" s="59"/>
      <c r="AQ474" s="59" t="s">
        <v>73</v>
      </c>
      <c r="AR474" s="59"/>
      <c r="AS474" s="59" t="s">
        <v>72</v>
      </c>
      <c r="AT474" s="59"/>
      <c r="AU474" s="59"/>
      <c r="AV474" s="59"/>
      <c r="AW474" s="59"/>
      <c r="AX474" s="59"/>
      <c r="AY474" s="60" t="str">
        <f>IF('Cálculo MP'!K484="","",'Cálculo MP'!K484)</f>
        <v/>
      </c>
      <c r="AZ474" s="60" t="str">
        <f>IF('Cálculo MP'!L484="","",'Cálculo MP'!L484)</f>
        <v/>
      </c>
      <c r="BA474" s="60" t="str">
        <f>IF('Cálculo MP'!M484="","",'Cálculo MP'!M484)</f>
        <v/>
      </c>
      <c r="BB474" s="60" t="str">
        <f>IF('Cálculo MP'!N484="","",'Cálculo MP'!N484)</f>
        <v/>
      </c>
      <c r="BC474" s="60" t="str">
        <f>IF('Cálculo MP'!O484="","",'Cálculo MP'!O484)</f>
        <v/>
      </c>
      <c r="BD474" s="60" t="str">
        <f>IF('Cálculo MP'!P484="","",'Cálculo MP'!P484)</f>
        <v/>
      </c>
      <c r="BE474" s="60" t="str">
        <f>IF('Cálculo MP'!Q484="","",'Cálculo MP'!Q484)</f>
        <v/>
      </c>
      <c r="BF474" s="60" t="str">
        <f>IF('Cálculo MP'!R484="","",'Cálculo MP'!R484)</f>
        <v/>
      </c>
      <c r="BG474" s="60" t="str">
        <f>IF('Cálculo MP'!S484="","",'Cálculo MP'!S484)</f>
        <v/>
      </c>
      <c r="BH474" s="59"/>
      <c r="BI474" s="59"/>
      <c r="BJ474" s="59"/>
      <c r="BK474" s="59"/>
      <c r="BL474" s="59"/>
      <c r="BM474" s="59"/>
      <c r="BN474" s="59"/>
      <c r="BO474" s="59"/>
    </row>
    <row r="475" spans="1:67" ht="19.5" customHeight="1" x14ac:dyDescent="0.15">
      <c r="A475" s="114" t="s">
        <v>1789</v>
      </c>
      <c r="B475" s="113" t="s">
        <v>1787</v>
      </c>
      <c r="C475" s="49"/>
      <c r="D475" s="48" t="s">
        <v>73</v>
      </c>
      <c r="E475" s="49"/>
      <c r="F475" s="50"/>
      <c r="G475" s="62"/>
      <c r="H475" s="48" t="s">
        <v>72</v>
      </c>
      <c r="I475" s="52">
        <v>1</v>
      </c>
      <c r="J475" s="52"/>
      <c r="K475" s="52" t="s">
        <v>73</v>
      </c>
      <c r="L475" s="52" t="s">
        <v>74</v>
      </c>
      <c r="M475" s="53" t="s">
        <v>917</v>
      </c>
      <c r="N475" s="58" t="s">
        <v>73</v>
      </c>
      <c r="O475" s="48" t="s">
        <v>72</v>
      </c>
      <c r="P475" s="48" t="s">
        <v>73</v>
      </c>
      <c r="Q475" s="54" t="s">
        <v>73</v>
      </c>
      <c r="R475" s="55" t="s">
        <v>73</v>
      </c>
      <c r="S475" s="48" t="s">
        <v>73</v>
      </c>
      <c r="T475" s="121" t="str" cm="1">
        <f t="array" ref="T475">IF(ISNUMBER(SEARCH("SCHNEIDER",D475)),_xlfn.IFS(ISNUMBER(SEARCH("2 Querétaro",D475)),"SQ2",ISNUMBER(SEARCH("Xicohténcatl",D475)),"SXC",ISNUMBER(SEARCH("Rojo Gómez",D475)),"SRG",ISNUMBER(SEARCH("Tlaxcala",D475)),"STX",ISNUMBER(SEARCH("Monterrey",D475)),"SMY",ISNUMBER(SEARCH("Querétaro",D475)),"SQ1",ISNUMBER(SEARCH("CDMX",D475)),"SCM",TRUE,""),"")</f>
        <v/>
      </c>
      <c r="U475" s="48" t="str" cm="1">
        <f t="array" ref="U475">_xlfn.LET(_xlpm.resultados,_xlfn.UNIQUE(_xlfn._xlws.FILTER(Tabla1[Proceso],(Tabla1[Metal Base]=O475)*(Tabla1[Etiquetas]=_xlfn.TEXTJOIN(" + ",TRUE,IF((TRIM(Upload!P475:S475)="")+(LOWER(TRIM(Upload!P475:S475))="(seleccione)"),"",PROPER(TRIM(Upload!P475:S475)))))*(Tabla1[Línea2]=IFERROR(VLOOKUP(Upload!N475&amp;"*",CAT_Procesos!D:D,1,FALSE),"")))),_xlpm.cantidad,ROWS(_xlpm.resultados),IF(ISERROR(_xlpm.cantidad),"Combinación no existente",IF(_xlpm.cantidad=1,INDEX(_xlpm.resultados,1),"(seleccione)")))</f>
        <v>Combinación no existente</v>
      </c>
      <c r="V475" s="55" t="s">
        <v>73</v>
      </c>
      <c r="W475" s="56" t="s">
        <v>73</v>
      </c>
      <c r="X475" s="57" t="str">
        <f t="shared" si="28"/>
        <v/>
      </c>
      <c r="Y475" s="58" t="s">
        <v>73</v>
      </c>
      <c r="Z475" s="57" t="str">
        <f t="shared" si="29"/>
        <v/>
      </c>
      <c r="AA475" s="58" t="s">
        <v>73</v>
      </c>
      <c r="AB475" s="57" t="str">
        <f t="shared" si="30"/>
        <v/>
      </c>
      <c r="AC475" s="58" t="s">
        <v>73</v>
      </c>
      <c r="AD475" s="57" t="str">
        <f t="shared" si="31"/>
        <v/>
      </c>
      <c r="AE475" s="59"/>
      <c r="AF475" s="59"/>
      <c r="AG475" s="59"/>
      <c r="AH475" s="59"/>
      <c r="AI475" s="59" t="s">
        <v>73</v>
      </c>
      <c r="AJ475" s="59"/>
      <c r="AK475" s="59" t="s">
        <v>73</v>
      </c>
      <c r="AL475" s="59"/>
      <c r="AM475" s="59" t="s">
        <v>73</v>
      </c>
      <c r="AN475" s="59"/>
      <c r="AO475" s="59" t="s">
        <v>73</v>
      </c>
      <c r="AP475" s="59"/>
      <c r="AQ475" s="59" t="s">
        <v>73</v>
      </c>
      <c r="AR475" s="59"/>
      <c r="AS475" s="59" t="s">
        <v>72</v>
      </c>
      <c r="AT475" s="59"/>
      <c r="AU475" s="59"/>
      <c r="AV475" s="59"/>
      <c r="AW475" s="59"/>
      <c r="AX475" s="59"/>
      <c r="AY475" s="60" t="str">
        <f>IF('Cálculo MP'!K485="","",'Cálculo MP'!K485)</f>
        <v/>
      </c>
      <c r="AZ475" s="60" t="str">
        <f>IF('Cálculo MP'!L485="","",'Cálculo MP'!L485)</f>
        <v/>
      </c>
      <c r="BA475" s="60" t="str">
        <f>IF('Cálculo MP'!M485="","",'Cálculo MP'!M485)</f>
        <v/>
      </c>
      <c r="BB475" s="60" t="str">
        <f>IF('Cálculo MP'!N485="","",'Cálculo MP'!N485)</f>
        <v/>
      </c>
      <c r="BC475" s="60" t="str">
        <f>IF('Cálculo MP'!O485="","",'Cálculo MP'!O485)</f>
        <v/>
      </c>
      <c r="BD475" s="60" t="str">
        <f>IF('Cálculo MP'!P485="","",'Cálculo MP'!P485)</f>
        <v/>
      </c>
      <c r="BE475" s="60" t="str">
        <f>IF('Cálculo MP'!Q485="","",'Cálculo MP'!Q485)</f>
        <v/>
      </c>
      <c r="BF475" s="60" t="str">
        <f>IF('Cálculo MP'!R485="","",'Cálculo MP'!R485)</f>
        <v/>
      </c>
      <c r="BG475" s="60" t="str">
        <f>IF('Cálculo MP'!S485="","",'Cálculo MP'!S485)</f>
        <v/>
      </c>
      <c r="BH475" s="59"/>
      <c r="BI475" s="59"/>
      <c r="BJ475" s="59"/>
      <c r="BK475" s="59"/>
      <c r="BL475" s="59"/>
      <c r="BM475" s="59"/>
      <c r="BN475" s="59"/>
      <c r="BO475" s="59"/>
    </row>
    <row r="476" spans="1:67" ht="19.5" customHeight="1" x14ac:dyDescent="0.15">
      <c r="A476" s="114" t="s">
        <v>1789</v>
      </c>
      <c r="B476" s="113" t="s">
        <v>1787</v>
      </c>
      <c r="C476" s="49"/>
      <c r="D476" s="48" t="s">
        <v>73</v>
      </c>
      <c r="E476" s="49"/>
      <c r="F476" s="50"/>
      <c r="G476" s="62"/>
      <c r="H476" s="48" t="s">
        <v>72</v>
      </c>
      <c r="I476" s="52">
        <v>1</v>
      </c>
      <c r="J476" s="52"/>
      <c r="K476" s="52" t="s">
        <v>73</v>
      </c>
      <c r="L476" s="52" t="s">
        <v>74</v>
      </c>
      <c r="M476" s="53" t="s">
        <v>917</v>
      </c>
      <c r="N476" s="58" t="s">
        <v>73</v>
      </c>
      <c r="O476" s="48" t="s">
        <v>72</v>
      </c>
      <c r="P476" s="48" t="s">
        <v>73</v>
      </c>
      <c r="Q476" s="54" t="s">
        <v>73</v>
      </c>
      <c r="R476" s="55" t="s">
        <v>73</v>
      </c>
      <c r="S476" s="48" t="s">
        <v>73</v>
      </c>
      <c r="T476" s="121" t="str" cm="1">
        <f t="array" ref="T476">IF(ISNUMBER(SEARCH("SCHNEIDER",D476)),_xlfn.IFS(ISNUMBER(SEARCH("2 Querétaro",D476)),"SQ2",ISNUMBER(SEARCH("Xicohténcatl",D476)),"SXC",ISNUMBER(SEARCH("Rojo Gómez",D476)),"SRG",ISNUMBER(SEARCH("Tlaxcala",D476)),"STX",ISNUMBER(SEARCH("Monterrey",D476)),"SMY",ISNUMBER(SEARCH("Querétaro",D476)),"SQ1",ISNUMBER(SEARCH("CDMX",D476)),"SCM",TRUE,""),"")</f>
        <v/>
      </c>
      <c r="U476" s="48" t="str" cm="1">
        <f t="array" ref="U476">_xlfn.LET(_xlpm.resultados,_xlfn.UNIQUE(_xlfn._xlws.FILTER(Tabla1[Proceso],(Tabla1[Metal Base]=O476)*(Tabla1[Etiquetas]=_xlfn.TEXTJOIN(" + ",TRUE,IF((TRIM(Upload!P476:S476)="")+(LOWER(TRIM(Upload!P476:S476))="(seleccione)"),"",PROPER(TRIM(Upload!P476:S476)))))*(Tabla1[Línea2]=IFERROR(VLOOKUP(Upload!N476&amp;"*",CAT_Procesos!D:D,1,FALSE),"")))),_xlpm.cantidad,ROWS(_xlpm.resultados),IF(ISERROR(_xlpm.cantidad),"Combinación no existente",IF(_xlpm.cantidad=1,INDEX(_xlpm.resultados,1),"(seleccione)")))</f>
        <v>Combinación no existente</v>
      </c>
      <c r="V476" s="55" t="s">
        <v>73</v>
      </c>
      <c r="W476" s="56" t="s">
        <v>73</v>
      </c>
      <c r="X476" s="57" t="str">
        <f t="shared" si="28"/>
        <v/>
      </c>
      <c r="Y476" s="58" t="s">
        <v>73</v>
      </c>
      <c r="Z476" s="57" t="str">
        <f t="shared" si="29"/>
        <v/>
      </c>
      <c r="AA476" s="58" t="s">
        <v>73</v>
      </c>
      <c r="AB476" s="57" t="str">
        <f t="shared" si="30"/>
        <v/>
      </c>
      <c r="AC476" s="58" t="s">
        <v>73</v>
      </c>
      <c r="AD476" s="57" t="str">
        <f t="shared" si="31"/>
        <v/>
      </c>
      <c r="AE476" s="59"/>
      <c r="AF476" s="59"/>
      <c r="AG476" s="59"/>
      <c r="AH476" s="59"/>
      <c r="AI476" s="59" t="s">
        <v>73</v>
      </c>
      <c r="AJ476" s="59"/>
      <c r="AK476" s="59" t="s">
        <v>73</v>
      </c>
      <c r="AL476" s="59"/>
      <c r="AM476" s="59" t="s">
        <v>73</v>
      </c>
      <c r="AN476" s="59"/>
      <c r="AO476" s="59" t="s">
        <v>73</v>
      </c>
      <c r="AP476" s="59"/>
      <c r="AQ476" s="59" t="s">
        <v>73</v>
      </c>
      <c r="AR476" s="59"/>
      <c r="AS476" s="59" t="s">
        <v>72</v>
      </c>
      <c r="AT476" s="59"/>
      <c r="AU476" s="59"/>
      <c r="AV476" s="59"/>
      <c r="AW476" s="59"/>
      <c r="AX476" s="59"/>
      <c r="AY476" s="60" t="str">
        <f>IF('Cálculo MP'!K486="","",'Cálculo MP'!K486)</f>
        <v/>
      </c>
      <c r="AZ476" s="60" t="str">
        <f>IF('Cálculo MP'!L486="","",'Cálculo MP'!L486)</f>
        <v/>
      </c>
      <c r="BA476" s="60" t="str">
        <f>IF('Cálculo MP'!M486="","",'Cálculo MP'!M486)</f>
        <v/>
      </c>
      <c r="BB476" s="60" t="str">
        <f>IF('Cálculo MP'!N486="","",'Cálculo MP'!N486)</f>
        <v/>
      </c>
      <c r="BC476" s="60" t="str">
        <f>IF('Cálculo MP'!O486="","",'Cálculo MP'!O486)</f>
        <v/>
      </c>
      <c r="BD476" s="60" t="str">
        <f>IF('Cálculo MP'!P486="","",'Cálculo MP'!P486)</f>
        <v/>
      </c>
      <c r="BE476" s="60" t="str">
        <f>IF('Cálculo MP'!Q486="","",'Cálculo MP'!Q486)</f>
        <v/>
      </c>
      <c r="BF476" s="60" t="str">
        <f>IF('Cálculo MP'!R486="","",'Cálculo MP'!R486)</f>
        <v/>
      </c>
      <c r="BG476" s="60" t="str">
        <f>IF('Cálculo MP'!S486="","",'Cálculo MP'!S486)</f>
        <v/>
      </c>
      <c r="BH476" s="59"/>
      <c r="BI476" s="59"/>
      <c r="BJ476" s="59"/>
      <c r="BK476" s="59"/>
      <c r="BL476" s="59"/>
      <c r="BM476" s="59"/>
      <c r="BN476" s="59"/>
      <c r="BO476" s="59"/>
    </row>
    <row r="477" spans="1:67" ht="19.5" customHeight="1" x14ac:dyDescent="0.15">
      <c r="A477" s="114" t="s">
        <v>1789</v>
      </c>
      <c r="B477" s="113" t="s">
        <v>1787</v>
      </c>
      <c r="C477" s="49"/>
      <c r="D477" s="48" t="s">
        <v>73</v>
      </c>
      <c r="E477" s="49"/>
      <c r="F477" s="50"/>
      <c r="G477" s="62"/>
      <c r="H477" s="48" t="s">
        <v>72</v>
      </c>
      <c r="I477" s="52">
        <v>1</v>
      </c>
      <c r="J477" s="52"/>
      <c r="K477" s="52" t="s">
        <v>73</v>
      </c>
      <c r="L477" s="52" t="s">
        <v>74</v>
      </c>
      <c r="M477" s="53" t="s">
        <v>917</v>
      </c>
      <c r="N477" s="58" t="s">
        <v>73</v>
      </c>
      <c r="O477" s="48" t="s">
        <v>72</v>
      </c>
      <c r="P477" s="48" t="s">
        <v>73</v>
      </c>
      <c r="Q477" s="54" t="s">
        <v>73</v>
      </c>
      <c r="R477" s="55" t="s">
        <v>73</v>
      </c>
      <c r="S477" s="48" t="s">
        <v>73</v>
      </c>
      <c r="T477" s="121" t="str" cm="1">
        <f t="array" ref="T477">IF(ISNUMBER(SEARCH("SCHNEIDER",D477)),_xlfn.IFS(ISNUMBER(SEARCH("2 Querétaro",D477)),"SQ2",ISNUMBER(SEARCH("Xicohténcatl",D477)),"SXC",ISNUMBER(SEARCH("Rojo Gómez",D477)),"SRG",ISNUMBER(SEARCH("Tlaxcala",D477)),"STX",ISNUMBER(SEARCH("Monterrey",D477)),"SMY",ISNUMBER(SEARCH("Querétaro",D477)),"SQ1",ISNUMBER(SEARCH("CDMX",D477)),"SCM",TRUE,""),"")</f>
        <v/>
      </c>
      <c r="U477" s="48" t="str" cm="1">
        <f t="array" ref="U477">_xlfn.LET(_xlpm.resultados,_xlfn.UNIQUE(_xlfn._xlws.FILTER(Tabla1[Proceso],(Tabla1[Metal Base]=O477)*(Tabla1[Etiquetas]=_xlfn.TEXTJOIN(" + ",TRUE,IF((TRIM(Upload!P477:S477)="")+(LOWER(TRIM(Upload!P477:S477))="(seleccione)"),"",PROPER(TRIM(Upload!P477:S477)))))*(Tabla1[Línea2]=IFERROR(VLOOKUP(Upload!N477&amp;"*",CAT_Procesos!D:D,1,FALSE),"")))),_xlpm.cantidad,ROWS(_xlpm.resultados),IF(ISERROR(_xlpm.cantidad),"Combinación no existente",IF(_xlpm.cantidad=1,INDEX(_xlpm.resultados,1),"(seleccione)")))</f>
        <v>Combinación no existente</v>
      </c>
      <c r="V477" s="55" t="s">
        <v>73</v>
      </c>
      <c r="W477" s="56" t="s">
        <v>73</v>
      </c>
      <c r="X477" s="57" t="str">
        <f t="shared" si="28"/>
        <v/>
      </c>
      <c r="Y477" s="58" t="s">
        <v>73</v>
      </c>
      <c r="Z477" s="57" t="str">
        <f t="shared" si="29"/>
        <v/>
      </c>
      <c r="AA477" s="58" t="s">
        <v>73</v>
      </c>
      <c r="AB477" s="57" t="str">
        <f t="shared" si="30"/>
        <v/>
      </c>
      <c r="AC477" s="58" t="s">
        <v>73</v>
      </c>
      <c r="AD477" s="57" t="str">
        <f t="shared" si="31"/>
        <v/>
      </c>
      <c r="AE477" s="59"/>
      <c r="AF477" s="59"/>
      <c r="AG477" s="59"/>
      <c r="AH477" s="59"/>
      <c r="AI477" s="59" t="s">
        <v>73</v>
      </c>
      <c r="AJ477" s="59"/>
      <c r="AK477" s="59" t="s">
        <v>73</v>
      </c>
      <c r="AL477" s="59"/>
      <c r="AM477" s="59" t="s">
        <v>73</v>
      </c>
      <c r="AN477" s="59"/>
      <c r="AO477" s="59" t="s">
        <v>73</v>
      </c>
      <c r="AP477" s="59"/>
      <c r="AQ477" s="59" t="s">
        <v>73</v>
      </c>
      <c r="AR477" s="59"/>
      <c r="AS477" s="59" t="s">
        <v>72</v>
      </c>
      <c r="AT477" s="59"/>
      <c r="AU477" s="59"/>
      <c r="AV477" s="59"/>
      <c r="AW477" s="59"/>
      <c r="AX477" s="59"/>
      <c r="AY477" s="60" t="str">
        <f>IF('Cálculo MP'!K487="","",'Cálculo MP'!K487)</f>
        <v/>
      </c>
      <c r="AZ477" s="60" t="str">
        <f>IF('Cálculo MP'!L487="","",'Cálculo MP'!L487)</f>
        <v/>
      </c>
      <c r="BA477" s="60" t="str">
        <f>IF('Cálculo MP'!M487="","",'Cálculo MP'!M487)</f>
        <v/>
      </c>
      <c r="BB477" s="60" t="str">
        <f>IF('Cálculo MP'!N487="","",'Cálculo MP'!N487)</f>
        <v/>
      </c>
      <c r="BC477" s="60" t="str">
        <f>IF('Cálculo MP'!O487="","",'Cálculo MP'!O487)</f>
        <v/>
      </c>
      <c r="BD477" s="60" t="str">
        <f>IF('Cálculo MP'!P487="","",'Cálculo MP'!P487)</f>
        <v/>
      </c>
      <c r="BE477" s="60" t="str">
        <f>IF('Cálculo MP'!Q487="","",'Cálculo MP'!Q487)</f>
        <v/>
      </c>
      <c r="BF477" s="60" t="str">
        <f>IF('Cálculo MP'!R487="","",'Cálculo MP'!R487)</f>
        <v/>
      </c>
      <c r="BG477" s="60" t="str">
        <f>IF('Cálculo MP'!S487="","",'Cálculo MP'!S487)</f>
        <v/>
      </c>
      <c r="BH477" s="59"/>
      <c r="BI477" s="59"/>
      <c r="BJ477" s="59"/>
      <c r="BK477" s="59"/>
      <c r="BL477" s="59"/>
      <c r="BM477" s="59"/>
      <c r="BN477" s="59"/>
      <c r="BO477" s="59"/>
    </row>
    <row r="478" spans="1:67" ht="19.5" customHeight="1" x14ac:dyDescent="0.15">
      <c r="A478" s="114" t="s">
        <v>1789</v>
      </c>
      <c r="B478" s="113" t="s">
        <v>1787</v>
      </c>
      <c r="C478" s="49"/>
      <c r="D478" s="48" t="s">
        <v>73</v>
      </c>
      <c r="E478" s="49"/>
      <c r="F478" s="50"/>
      <c r="G478" s="62"/>
      <c r="H478" s="48" t="s">
        <v>72</v>
      </c>
      <c r="I478" s="52">
        <v>1</v>
      </c>
      <c r="J478" s="52"/>
      <c r="K478" s="52" t="s">
        <v>73</v>
      </c>
      <c r="L478" s="52" t="s">
        <v>74</v>
      </c>
      <c r="M478" s="53" t="s">
        <v>917</v>
      </c>
      <c r="N478" s="58" t="s">
        <v>73</v>
      </c>
      <c r="O478" s="48" t="s">
        <v>72</v>
      </c>
      <c r="P478" s="48" t="s">
        <v>73</v>
      </c>
      <c r="Q478" s="54" t="s">
        <v>73</v>
      </c>
      <c r="R478" s="55" t="s">
        <v>73</v>
      </c>
      <c r="S478" s="48" t="s">
        <v>73</v>
      </c>
      <c r="T478" s="121" t="str" cm="1">
        <f t="array" ref="T478">IF(ISNUMBER(SEARCH("SCHNEIDER",D478)),_xlfn.IFS(ISNUMBER(SEARCH("2 Querétaro",D478)),"SQ2",ISNUMBER(SEARCH("Xicohténcatl",D478)),"SXC",ISNUMBER(SEARCH("Rojo Gómez",D478)),"SRG",ISNUMBER(SEARCH("Tlaxcala",D478)),"STX",ISNUMBER(SEARCH("Monterrey",D478)),"SMY",ISNUMBER(SEARCH("Querétaro",D478)),"SQ1",ISNUMBER(SEARCH("CDMX",D478)),"SCM",TRUE,""),"")</f>
        <v/>
      </c>
      <c r="U478" s="48" t="str" cm="1">
        <f t="array" ref="U478">_xlfn.LET(_xlpm.resultados,_xlfn.UNIQUE(_xlfn._xlws.FILTER(Tabla1[Proceso],(Tabla1[Metal Base]=O478)*(Tabla1[Etiquetas]=_xlfn.TEXTJOIN(" + ",TRUE,IF((TRIM(Upload!P478:S478)="")+(LOWER(TRIM(Upload!P478:S478))="(seleccione)"),"",PROPER(TRIM(Upload!P478:S478)))))*(Tabla1[Línea2]=IFERROR(VLOOKUP(Upload!N478&amp;"*",CAT_Procesos!D:D,1,FALSE),"")))),_xlpm.cantidad,ROWS(_xlpm.resultados),IF(ISERROR(_xlpm.cantidad),"Combinación no existente",IF(_xlpm.cantidad=1,INDEX(_xlpm.resultados,1),"(seleccione)")))</f>
        <v>Combinación no existente</v>
      </c>
      <c r="V478" s="55" t="s">
        <v>73</v>
      </c>
      <c r="W478" s="56" t="s">
        <v>73</v>
      </c>
      <c r="X478" s="57" t="str">
        <f t="shared" si="28"/>
        <v/>
      </c>
      <c r="Y478" s="58" t="s">
        <v>73</v>
      </c>
      <c r="Z478" s="57" t="str">
        <f t="shared" si="29"/>
        <v/>
      </c>
      <c r="AA478" s="58" t="s">
        <v>73</v>
      </c>
      <c r="AB478" s="57" t="str">
        <f t="shared" si="30"/>
        <v/>
      </c>
      <c r="AC478" s="58" t="s">
        <v>73</v>
      </c>
      <c r="AD478" s="57" t="str">
        <f t="shared" si="31"/>
        <v/>
      </c>
      <c r="AE478" s="59"/>
      <c r="AF478" s="59"/>
      <c r="AG478" s="59"/>
      <c r="AH478" s="59"/>
      <c r="AI478" s="59" t="s">
        <v>73</v>
      </c>
      <c r="AJ478" s="59"/>
      <c r="AK478" s="59" t="s">
        <v>73</v>
      </c>
      <c r="AL478" s="59"/>
      <c r="AM478" s="59" t="s">
        <v>73</v>
      </c>
      <c r="AN478" s="59"/>
      <c r="AO478" s="59" t="s">
        <v>73</v>
      </c>
      <c r="AP478" s="59"/>
      <c r="AQ478" s="59" t="s">
        <v>73</v>
      </c>
      <c r="AR478" s="59"/>
      <c r="AS478" s="59" t="s">
        <v>72</v>
      </c>
      <c r="AT478" s="59"/>
      <c r="AU478" s="59"/>
      <c r="AV478" s="59"/>
      <c r="AW478" s="59"/>
      <c r="AX478" s="59"/>
      <c r="AY478" s="60" t="str">
        <f>IF('Cálculo MP'!K488="","",'Cálculo MP'!K488)</f>
        <v/>
      </c>
      <c r="AZ478" s="60" t="str">
        <f>IF('Cálculo MP'!L488="","",'Cálculo MP'!L488)</f>
        <v/>
      </c>
      <c r="BA478" s="60" t="str">
        <f>IF('Cálculo MP'!M488="","",'Cálculo MP'!M488)</f>
        <v/>
      </c>
      <c r="BB478" s="60" t="str">
        <f>IF('Cálculo MP'!N488="","",'Cálculo MP'!N488)</f>
        <v/>
      </c>
      <c r="BC478" s="60" t="str">
        <f>IF('Cálculo MP'!O488="","",'Cálculo MP'!O488)</f>
        <v/>
      </c>
      <c r="BD478" s="60" t="str">
        <f>IF('Cálculo MP'!P488="","",'Cálculo MP'!P488)</f>
        <v/>
      </c>
      <c r="BE478" s="60" t="str">
        <f>IF('Cálculo MP'!Q488="","",'Cálculo MP'!Q488)</f>
        <v/>
      </c>
      <c r="BF478" s="60" t="str">
        <f>IF('Cálculo MP'!R488="","",'Cálculo MP'!R488)</f>
        <v/>
      </c>
      <c r="BG478" s="60" t="str">
        <f>IF('Cálculo MP'!S488="","",'Cálculo MP'!S488)</f>
        <v/>
      </c>
      <c r="BH478" s="59"/>
      <c r="BI478" s="59"/>
      <c r="BJ478" s="59"/>
      <c r="BK478" s="59"/>
      <c r="BL478" s="59"/>
      <c r="BM478" s="59"/>
      <c r="BN478" s="59"/>
      <c r="BO478" s="59"/>
    </row>
    <row r="479" spans="1:67" ht="19.5" customHeight="1" x14ac:dyDescent="0.15">
      <c r="A479" s="114" t="s">
        <v>1789</v>
      </c>
      <c r="B479" s="113" t="s">
        <v>1787</v>
      </c>
      <c r="C479" s="49"/>
      <c r="D479" s="48" t="s">
        <v>73</v>
      </c>
      <c r="E479" s="49"/>
      <c r="F479" s="50"/>
      <c r="G479" s="62"/>
      <c r="H479" s="48" t="s">
        <v>72</v>
      </c>
      <c r="I479" s="52">
        <v>1</v>
      </c>
      <c r="J479" s="52"/>
      <c r="K479" s="52" t="s">
        <v>73</v>
      </c>
      <c r="L479" s="52" t="s">
        <v>74</v>
      </c>
      <c r="M479" s="53" t="s">
        <v>917</v>
      </c>
      <c r="N479" s="58" t="s">
        <v>73</v>
      </c>
      <c r="O479" s="48" t="s">
        <v>72</v>
      </c>
      <c r="P479" s="48" t="s">
        <v>73</v>
      </c>
      <c r="Q479" s="54" t="s">
        <v>73</v>
      </c>
      <c r="R479" s="55" t="s">
        <v>73</v>
      </c>
      <c r="S479" s="48" t="s">
        <v>73</v>
      </c>
      <c r="T479" s="121" t="str" cm="1">
        <f t="array" ref="T479">IF(ISNUMBER(SEARCH("SCHNEIDER",D479)),_xlfn.IFS(ISNUMBER(SEARCH("2 Querétaro",D479)),"SQ2",ISNUMBER(SEARCH("Xicohténcatl",D479)),"SXC",ISNUMBER(SEARCH("Rojo Gómez",D479)),"SRG",ISNUMBER(SEARCH("Tlaxcala",D479)),"STX",ISNUMBER(SEARCH("Monterrey",D479)),"SMY",ISNUMBER(SEARCH("Querétaro",D479)),"SQ1",ISNUMBER(SEARCH("CDMX",D479)),"SCM",TRUE,""),"")</f>
        <v/>
      </c>
      <c r="U479" s="48" t="str" cm="1">
        <f t="array" ref="U479">_xlfn.LET(_xlpm.resultados,_xlfn.UNIQUE(_xlfn._xlws.FILTER(Tabla1[Proceso],(Tabla1[Metal Base]=O479)*(Tabla1[Etiquetas]=_xlfn.TEXTJOIN(" + ",TRUE,IF((TRIM(Upload!P479:S479)="")+(LOWER(TRIM(Upload!P479:S479))="(seleccione)"),"",PROPER(TRIM(Upload!P479:S479)))))*(Tabla1[Línea2]=IFERROR(VLOOKUP(Upload!N479&amp;"*",CAT_Procesos!D:D,1,FALSE),"")))),_xlpm.cantidad,ROWS(_xlpm.resultados),IF(ISERROR(_xlpm.cantidad),"Combinación no existente",IF(_xlpm.cantidad=1,INDEX(_xlpm.resultados,1),"(seleccione)")))</f>
        <v>Combinación no existente</v>
      </c>
      <c r="V479" s="55" t="s">
        <v>73</v>
      </c>
      <c r="W479" s="56" t="s">
        <v>73</v>
      </c>
      <c r="X479" s="57" t="str">
        <f t="shared" si="28"/>
        <v/>
      </c>
      <c r="Y479" s="58" t="s">
        <v>73</v>
      </c>
      <c r="Z479" s="57" t="str">
        <f t="shared" si="29"/>
        <v/>
      </c>
      <c r="AA479" s="58" t="s">
        <v>73</v>
      </c>
      <c r="AB479" s="57" t="str">
        <f t="shared" si="30"/>
        <v/>
      </c>
      <c r="AC479" s="58" t="s">
        <v>73</v>
      </c>
      <c r="AD479" s="57" t="str">
        <f t="shared" si="31"/>
        <v/>
      </c>
      <c r="AE479" s="59"/>
      <c r="AF479" s="59"/>
      <c r="AG479" s="59"/>
      <c r="AH479" s="59"/>
      <c r="AI479" s="59" t="s">
        <v>73</v>
      </c>
      <c r="AJ479" s="59"/>
      <c r="AK479" s="59" t="s">
        <v>73</v>
      </c>
      <c r="AL479" s="59"/>
      <c r="AM479" s="59" t="s">
        <v>73</v>
      </c>
      <c r="AN479" s="59"/>
      <c r="AO479" s="59" t="s">
        <v>73</v>
      </c>
      <c r="AP479" s="59"/>
      <c r="AQ479" s="59" t="s">
        <v>73</v>
      </c>
      <c r="AR479" s="59"/>
      <c r="AS479" s="59" t="s">
        <v>72</v>
      </c>
      <c r="AT479" s="59"/>
      <c r="AU479" s="59"/>
      <c r="AV479" s="59"/>
      <c r="AW479" s="59"/>
      <c r="AX479" s="59"/>
      <c r="AY479" s="60" t="str">
        <f>IF('Cálculo MP'!K489="","",'Cálculo MP'!K489)</f>
        <v/>
      </c>
      <c r="AZ479" s="60" t="str">
        <f>IF('Cálculo MP'!L489="","",'Cálculo MP'!L489)</f>
        <v/>
      </c>
      <c r="BA479" s="60" t="str">
        <f>IF('Cálculo MP'!M489="","",'Cálculo MP'!M489)</f>
        <v/>
      </c>
      <c r="BB479" s="60" t="str">
        <f>IF('Cálculo MP'!N489="","",'Cálculo MP'!N489)</f>
        <v/>
      </c>
      <c r="BC479" s="60" t="str">
        <f>IF('Cálculo MP'!O489="","",'Cálculo MP'!O489)</f>
        <v/>
      </c>
      <c r="BD479" s="60" t="str">
        <f>IF('Cálculo MP'!P489="","",'Cálculo MP'!P489)</f>
        <v/>
      </c>
      <c r="BE479" s="60" t="str">
        <f>IF('Cálculo MP'!Q489="","",'Cálculo MP'!Q489)</f>
        <v/>
      </c>
      <c r="BF479" s="60" t="str">
        <f>IF('Cálculo MP'!R489="","",'Cálculo MP'!R489)</f>
        <v/>
      </c>
      <c r="BG479" s="60" t="str">
        <f>IF('Cálculo MP'!S489="","",'Cálculo MP'!S489)</f>
        <v/>
      </c>
      <c r="BH479" s="59"/>
      <c r="BI479" s="59"/>
      <c r="BJ479" s="59"/>
      <c r="BK479" s="59"/>
      <c r="BL479" s="59"/>
      <c r="BM479" s="59"/>
      <c r="BN479" s="59"/>
      <c r="BO479" s="59"/>
    </row>
    <row r="480" spans="1:67" ht="19.5" customHeight="1" x14ac:dyDescent="0.15">
      <c r="A480" s="114" t="s">
        <v>1789</v>
      </c>
      <c r="B480" s="113" t="s">
        <v>1787</v>
      </c>
      <c r="C480" s="49"/>
      <c r="D480" s="48" t="s">
        <v>73</v>
      </c>
      <c r="E480" s="49"/>
      <c r="F480" s="50"/>
      <c r="G480" s="62"/>
      <c r="H480" s="48" t="s">
        <v>72</v>
      </c>
      <c r="I480" s="52">
        <v>1</v>
      </c>
      <c r="J480" s="52"/>
      <c r="K480" s="52" t="s">
        <v>73</v>
      </c>
      <c r="L480" s="52" t="s">
        <v>74</v>
      </c>
      <c r="M480" s="53" t="s">
        <v>917</v>
      </c>
      <c r="N480" s="58" t="s">
        <v>73</v>
      </c>
      <c r="O480" s="48" t="s">
        <v>72</v>
      </c>
      <c r="P480" s="48" t="s">
        <v>73</v>
      </c>
      <c r="Q480" s="54" t="s">
        <v>73</v>
      </c>
      <c r="R480" s="55" t="s">
        <v>73</v>
      </c>
      <c r="S480" s="48" t="s">
        <v>73</v>
      </c>
      <c r="T480" s="121" t="str" cm="1">
        <f t="array" ref="T480">IF(ISNUMBER(SEARCH("SCHNEIDER",D480)),_xlfn.IFS(ISNUMBER(SEARCH("2 Querétaro",D480)),"SQ2",ISNUMBER(SEARCH("Xicohténcatl",D480)),"SXC",ISNUMBER(SEARCH("Rojo Gómez",D480)),"SRG",ISNUMBER(SEARCH("Tlaxcala",D480)),"STX",ISNUMBER(SEARCH("Monterrey",D480)),"SMY",ISNUMBER(SEARCH("Querétaro",D480)),"SQ1",ISNUMBER(SEARCH("CDMX",D480)),"SCM",TRUE,""),"")</f>
        <v/>
      </c>
      <c r="U480" s="48" t="str" cm="1">
        <f t="array" ref="U480">_xlfn.LET(_xlpm.resultados,_xlfn.UNIQUE(_xlfn._xlws.FILTER(Tabla1[Proceso],(Tabla1[Metal Base]=O480)*(Tabla1[Etiquetas]=_xlfn.TEXTJOIN(" + ",TRUE,IF((TRIM(Upload!P480:S480)="")+(LOWER(TRIM(Upload!P480:S480))="(seleccione)"),"",PROPER(TRIM(Upload!P480:S480)))))*(Tabla1[Línea2]=IFERROR(VLOOKUP(Upload!N480&amp;"*",CAT_Procesos!D:D,1,FALSE),"")))),_xlpm.cantidad,ROWS(_xlpm.resultados),IF(ISERROR(_xlpm.cantidad),"Combinación no existente",IF(_xlpm.cantidad=1,INDEX(_xlpm.resultados,1),"(seleccione)")))</f>
        <v>Combinación no existente</v>
      </c>
      <c r="V480" s="55" t="s">
        <v>73</v>
      </c>
      <c r="W480" s="56" t="s">
        <v>73</v>
      </c>
      <c r="X480" s="57" t="str">
        <f t="shared" si="28"/>
        <v/>
      </c>
      <c r="Y480" s="58" t="s">
        <v>73</v>
      </c>
      <c r="Z480" s="57" t="str">
        <f t="shared" si="29"/>
        <v/>
      </c>
      <c r="AA480" s="58" t="s">
        <v>73</v>
      </c>
      <c r="AB480" s="57" t="str">
        <f t="shared" si="30"/>
        <v/>
      </c>
      <c r="AC480" s="58" t="s">
        <v>73</v>
      </c>
      <c r="AD480" s="57" t="str">
        <f t="shared" si="31"/>
        <v/>
      </c>
      <c r="AE480" s="59"/>
      <c r="AF480" s="59"/>
      <c r="AG480" s="59"/>
      <c r="AH480" s="59"/>
      <c r="AI480" s="59" t="s">
        <v>73</v>
      </c>
      <c r="AJ480" s="59"/>
      <c r="AK480" s="59" t="s">
        <v>73</v>
      </c>
      <c r="AL480" s="59"/>
      <c r="AM480" s="59" t="s">
        <v>73</v>
      </c>
      <c r="AN480" s="59"/>
      <c r="AO480" s="59" t="s">
        <v>73</v>
      </c>
      <c r="AP480" s="59"/>
      <c r="AQ480" s="59" t="s">
        <v>73</v>
      </c>
      <c r="AR480" s="59"/>
      <c r="AS480" s="59" t="s">
        <v>72</v>
      </c>
      <c r="AT480" s="59"/>
      <c r="AU480" s="59"/>
      <c r="AV480" s="59"/>
      <c r="AW480" s="59"/>
      <c r="AX480" s="59"/>
      <c r="AY480" s="60" t="str">
        <f>IF('Cálculo MP'!K490="","",'Cálculo MP'!K490)</f>
        <v/>
      </c>
      <c r="AZ480" s="60" t="str">
        <f>IF('Cálculo MP'!L490="","",'Cálculo MP'!L490)</f>
        <v/>
      </c>
      <c r="BA480" s="60" t="str">
        <f>IF('Cálculo MP'!M490="","",'Cálculo MP'!M490)</f>
        <v/>
      </c>
      <c r="BB480" s="60" t="str">
        <f>IF('Cálculo MP'!N490="","",'Cálculo MP'!N490)</f>
        <v/>
      </c>
      <c r="BC480" s="60" t="str">
        <f>IF('Cálculo MP'!O490="","",'Cálculo MP'!O490)</f>
        <v/>
      </c>
      <c r="BD480" s="60" t="str">
        <f>IF('Cálculo MP'!P490="","",'Cálculo MP'!P490)</f>
        <v/>
      </c>
      <c r="BE480" s="60" t="str">
        <f>IF('Cálculo MP'!Q490="","",'Cálculo MP'!Q490)</f>
        <v/>
      </c>
      <c r="BF480" s="60" t="str">
        <f>IF('Cálculo MP'!R490="","",'Cálculo MP'!R490)</f>
        <v/>
      </c>
      <c r="BG480" s="60" t="str">
        <f>IF('Cálculo MP'!S490="","",'Cálculo MP'!S490)</f>
        <v/>
      </c>
      <c r="BH480" s="59"/>
      <c r="BI480" s="59"/>
      <c r="BJ480" s="59"/>
      <c r="BK480" s="59"/>
      <c r="BL480" s="59"/>
      <c r="BM480" s="59"/>
      <c r="BN480" s="59"/>
      <c r="BO480" s="59"/>
    </row>
    <row r="481" spans="1:67" ht="19.5" customHeight="1" x14ac:dyDescent="0.15">
      <c r="A481" s="114" t="s">
        <v>1789</v>
      </c>
      <c r="B481" s="113" t="s">
        <v>1787</v>
      </c>
      <c r="C481" s="49"/>
      <c r="D481" s="48" t="s">
        <v>73</v>
      </c>
      <c r="E481" s="49"/>
      <c r="F481" s="50"/>
      <c r="G481" s="62"/>
      <c r="H481" s="48" t="s">
        <v>72</v>
      </c>
      <c r="I481" s="52">
        <v>1</v>
      </c>
      <c r="J481" s="52"/>
      <c r="K481" s="52" t="s">
        <v>73</v>
      </c>
      <c r="L481" s="52" t="s">
        <v>74</v>
      </c>
      <c r="M481" s="53" t="s">
        <v>917</v>
      </c>
      <c r="N481" s="58" t="s">
        <v>73</v>
      </c>
      <c r="O481" s="48" t="s">
        <v>72</v>
      </c>
      <c r="P481" s="48" t="s">
        <v>73</v>
      </c>
      <c r="Q481" s="54" t="s">
        <v>73</v>
      </c>
      <c r="R481" s="55" t="s">
        <v>73</v>
      </c>
      <c r="S481" s="48" t="s">
        <v>73</v>
      </c>
      <c r="T481" s="121" t="str" cm="1">
        <f t="array" ref="T481">IF(ISNUMBER(SEARCH("SCHNEIDER",D481)),_xlfn.IFS(ISNUMBER(SEARCH("2 Querétaro",D481)),"SQ2",ISNUMBER(SEARCH("Xicohténcatl",D481)),"SXC",ISNUMBER(SEARCH("Rojo Gómez",D481)),"SRG",ISNUMBER(SEARCH("Tlaxcala",D481)),"STX",ISNUMBER(SEARCH("Monterrey",D481)),"SMY",ISNUMBER(SEARCH("Querétaro",D481)),"SQ1",ISNUMBER(SEARCH("CDMX",D481)),"SCM",TRUE,""),"")</f>
        <v/>
      </c>
      <c r="U481" s="48" t="str" cm="1">
        <f t="array" ref="U481">_xlfn.LET(_xlpm.resultados,_xlfn.UNIQUE(_xlfn._xlws.FILTER(Tabla1[Proceso],(Tabla1[Metal Base]=O481)*(Tabla1[Etiquetas]=_xlfn.TEXTJOIN(" + ",TRUE,IF((TRIM(Upload!P481:S481)="")+(LOWER(TRIM(Upload!P481:S481))="(seleccione)"),"",PROPER(TRIM(Upload!P481:S481)))))*(Tabla1[Línea2]=IFERROR(VLOOKUP(Upload!N481&amp;"*",CAT_Procesos!D:D,1,FALSE),"")))),_xlpm.cantidad,ROWS(_xlpm.resultados),IF(ISERROR(_xlpm.cantidad),"Combinación no existente",IF(_xlpm.cantidad=1,INDEX(_xlpm.resultados,1),"(seleccione)")))</f>
        <v>Combinación no existente</v>
      </c>
      <c r="V481" s="55" t="s">
        <v>73</v>
      </c>
      <c r="W481" s="56" t="s">
        <v>73</v>
      </c>
      <c r="X481" s="57" t="str">
        <f t="shared" si="28"/>
        <v/>
      </c>
      <c r="Y481" s="58" t="s">
        <v>73</v>
      </c>
      <c r="Z481" s="57" t="str">
        <f t="shared" si="29"/>
        <v/>
      </c>
      <c r="AA481" s="58" t="s">
        <v>73</v>
      </c>
      <c r="AB481" s="57" t="str">
        <f t="shared" si="30"/>
        <v/>
      </c>
      <c r="AC481" s="58" t="s">
        <v>73</v>
      </c>
      <c r="AD481" s="57" t="str">
        <f t="shared" si="31"/>
        <v/>
      </c>
      <c r="AE481" s="59"/>
      <c r="AF481" s="59"/>
      <c r="AG481" s="59"/>
      <c r="AH481" s="59"/>
      <c r="AI481" s="59" t="s">
        <v>73</v>
      </c>
      <c r="AJ481" s="59"/>
      <c r="AK481" s="59" t="s">
        <v>73</v>
      </c>
      <c r="AL481" s="59"/>
      <c r="AM481" s="59" t="s">
        <v>73</v>
      </c>
      <c r="AN481" s="59"/>
      <c r="AO481" s="59" t="s">
        <v>73</v>
      </c>
      <c r="AP481" s="59"/>
      <c r="AQ481" s="59" t="s">
        <v>73</v>
      </c>
      <c r="AR481" s="59"/>
      <c r="AS481" s="59" t="s">
        <v>72</v>
      </c>
      <c r="AT481" s="59"/>
      <c r="AU481" s="59"/>
      <c r="AV481" s="59"/>
      <c r="AW481" s="59"/>
      <c r="AX481" s="59"/>
      <c r="AY481" s="60" t="str">
        <f>IF('Cálculo MP'!K491="","",'Cálculo MP'!K491)</f>
        <v/>
      </c>
      <c r="AZ481" s="60" t="str">
        <f>IF('Cálculo MP'!L491="","",'Cálculo MP'!L491)</f>
        <v/>
      </c>
      <c r="BA481" s="60" t="str">
        <f>IF('Cálculo MP'!M491="","",'Cálculo MP'!M491)</f>
        <v/>
      </c>
      <c r="BB481" s="60" t="str">
        <f>IF('Cálculo MP'!N491="","",'Cálculo MP'!N491)</f>
        <v/>
      </c>
      <c r="BC481" s="60" t="str">
        <f>IF('Cálculo MP'!O491="","",'Cálculo MP'!O491)</f>
        <v/>
      </c>
      <c r="BD481" s="60" t="str">
        <f>IF('Cálculo MP'!P491="","",'Cálculo MP'!P491)</f>
        <v/>
      </c>
      <c r="BE481" s="60" t="str">
        <f>IF('Cálculo MP'!Q491="","",'Cálculo MP'!Q491)</f>
        <v/>
      </c>
      <c r="BF481" s="60" t="str">
        <f>IF('Cálculo MP'!R491="","",'Cálculo MP'!R491)</f>
        <v/>
      </c>
      <c r="BG481" s="60" t="str">
        <f>IF('Cálculo MP'!S491="","",'Cálculo MP'!S491)</f>
        <v/>
      </c>
      <c r="BH481" s="59"/>
      <c r="BI481" s="59"/>
      <c r="BJ481" s="59"/>
      <c r="BK481" s="59"/>
      <c r="BL481" s="59"/>
      <c r="BM481" s="59"/>
      <c r="BN481" s="59"/>
      <c r="BO481" s="59"/>
    </row>
    <row r="482" spans="1:67" ht="19.5" customHeight="1" x14ac:dyDescent="0.15">
      <c r="A482" s="114" t="s">
        <v>1789</v>
      </c>
      <c r="B482" s="113" t="s">
        <v>1787</v>
      </c>
      <c r="C482" s="49"/>
      <c r="D482" s="48" t="s">
        <v>73</v>
      </c>
      <c r="E482" s="49"/>
      <c r="F482" s="50"/>
      <c r="G482" s="62"/>
      <c r="H482" s="48" t="s">
        <v>72</v>
      </c>
      <c r="I482" s="52">
        <v>1</v>
      </c>
      <c r="J482" s="52"/>
      <c r="K482" s="52" t="s">
        <v>73</v>
      </c>
      <c r="L482" s="52" t="s">
        <v>74</v>
      </c>
      <c r="M482" s="53" t="s">
        <v>917</v>
      </c>
      <c r="N482" s="58" t="s">
        <v>73</v>
      </c>
      <c r="O482" s="48" t="s">
        <v>72</v>
      </c>
      <c r="P482" s="48" t="s">
        <v>73</v>
      </c>
      <c r="Q482" s="54" t="s">
        <v>73</v>
      </c>
      <c r="R482" s="55" t="s">
        <v>73</v>
      </c>
      <c r="S482" s="48" t="s">
        <v>73</v>
      </c>
      <c r="T482" s="121" t="str" cm="1">
        <f t="array" ref="T482">IF(ISNUMBER(SEARCH("SCHNEIDER",D482)),_xlfn.IFS(ISNUMBER(SEARCH("2 Querétaro",D482)),"SQ2",ISNUMBER(SEARCH("Xicohténcatl",D482)),"SXC",ISNUMBER(SEARCH("Rojo Gómez",D482)),"SRG",ISNUMBER(SEARCH("Tlaxcala",D482)),"STX",ISNUMBER(SEARCH("Monterrey",D482)),"SMY",ISNUMBER(SEARCH("Querétaro",D482)),"SQ1",ISNUMBER(SEARCH("CDMX",D482)),"SCM",TRUE,""),"")</f>
        <v/>
      </c>
      <c r="U482" s="48" t="str" cm="1">
        <f t="array" ref="U482">_xlfn.LET(_xlpm.resultados,_xlfn.UNIQUE(_xlfn._xlws.FILTER(Tabla1[Proceso],(Tabla1[Metal Base]=O482)*(Tabla1[Etiquetas]=_xlfn.TEXTJOIN(" + ",TRUE,IF((TRIM(Upload!P482:S482)="")+(LOWER(TRIM(Upload!P482:S482))="(seleccione)"),"",PROPER(TRIM(Upload!P482:S482)))))*(Tabla1[Línea2]=IFERROR(VLOOKUP(Upload!N482&amp;"*",CAT_Procesos!D:D,1,FALSE),"")))),_xlpm.cantidad,ROWS(_xlpm.resultados),IF(ISERROR(_xlpm.cantidad),"Combinación no existente",IF(_xlpm.cantidad=1,INDEX(_xlpm.resultados,1),"(seleccione)")))</f>
        <v>Combinación no existente</v>
      </c>
      <c r="V482" s="55" t="s">
        <v>73</v>
      </c>
      <c r="W482" s="56" t="s">
        <v>73</v>
      </c>
      <c r="X482" s="57" t="str">
        <f t="shared" si="28"/>
        <v/>
      </c>
      <c r="Y482" s="58" t="s">
        <v>73</v>
      </c>
      <c r="Z482" s="57" t="str">
        <f t="shared" si="29"/>
        <v/>
      </c>
      <c r="AA482" s="58" t="s">
        <v>73</v>
      </c>
      <c r="AB482" s="57" t="str">
        <f t="shared" si="30"/>
        <v/>
      </c>
      <c r="AC482" s="58" t="s">
        <v>73</v>
      </c>
      <c r="AD482" s="57" t="str">
        <f t="shared" si="31"/>
        <v/>
      </c>
      <c r="AE482" s="59"/>
      <c r="AF482" s="59"/>
      <c r="AG482" s="59"/>
      <c r="AH482" s="59"/>
      <c r="AI482" s="59" t="s">
        <v>73</v>
      </c>
      <c r="AJ482" s="59"/>
      <c r="AK482" s="59" t="s">
        <v>73</v>
      </c>
      <c r="AL482" s="59"/>
      <c r="AM482" s="59" t="s">
        <v>73</v>
      </c>
      <c r="AN482" s="59"/>
      <c r="AO482" s="59" t="s">
        <v>73</v>
      </c>
      <c r="AP482" s="59"/>
      <c r="AQ482" s="59" t="s">
        <v>73</v>
      </c>
      <c r="AR482" s="59"/>
      <c r="AS482" s="59" t="s">
        <v>72</v>
      </c>
      <c r="AT482" s="59"/>
      <c r="AU482" s="59"/>
      <c r="AV482" s="59"/>
      <c r="AW482" s="59"/>
      <c r="AX482" s="59"/>
      <c r="AY482" s="60" t="str">
        <f>IF('Cálculo MP'!K492="","",'Cálculo MP'!K492)</f>
        <v/>
      </c>
      <c r="AZ482" s="60" t="str">
        <f>IF('Cálculo MP'!L492="","",'Cálculo MP'!L492)</f>
        <v/>
      </c>
      <c r="BA482" s="60" t="str">
        <f>IF('Cálculo MP'!M492="","",'Cálculo MP'!M492)</f>
        <v/>
      </c>
      <c r="BB482" s="60" t="str">
        <f>IF('Cálculo MP'!N492="","",'Cálculo MP'!N492)</f>
        <v/>
      </c>
      <c r="BC482" s="60" t="str">
        <f>IF('Cálculo MP'!O492="","",'Cálculo MP'!O492)</f>
        <v/>
      </c>
      <c r="BD482" s="60" t="str">
        <f>IF('Cálculo MP'!P492="","",'Cálculo MP'!P492)</f>
        <v/>
      </c>
      <c r="BE482" s="60" t="str">
        <f>IF('Cálculo MP'!Q492="","",'Cálculo MP'!Q492)</f>
        <v/>
      </c>
      <c r="BF482" s="60" t="str">
        <f>IF('Cálculo MP'!R492="","",'Cálculo MP'!R492)</f>
        <v/>
      </c>
      <c r="BG482" s="60" t="str">
        <f>IF('Cálculo MP'!S492="","",'Cálculo MP'!S492)</f>
        <v/>
      </c>
      <c r="BH482" s="59"/>
      <c r="BI482" s="59"/>
      <c r="BJ482" s="59"/>
      <c r="BK482" s="59"/>
      <c r="BL482" s="59"/>
      <c r="BM482" s="59"/>
      <c r="BN482" s="59"/>
      <c r="BO482" s="59"/>
    </row>
    <row r="483" spans="1:67" ht="19.5" customHeight="1" x14ac:dyDescent="0.15">
      <c r="A483" s="114" t="s">
        <v>1789</v>
      </c>
      <c r="B483" s="113" t="s">
        <v>1787</v>
      </c>
      <c r="C483" s="49"/>
      <c r="D483" s="48" t="s">
        <v>73</v>
      </c>
      <c r="E483" s="49"/>
      <c r="F483" s="50"/>
      <c r="G483" s="62"/>
      <c r="H483" s="48" t="s">
        <v>72</v>
      </c>
      <c r="I483" s="52">
        <v>1</v>
      </c>
      <c r="J483" s="52"/>
      <c r="K483" s="52" t="s">
        <v>73</v>
      </c>
      <c r="L483" s="52" t="s">
        <v>74</v>
      </c>
      <c r="M483" s="53" t="s">
        <v>917</v>
      </c>
      <c r="N483" s="58" t="s">
        <v>73</v>
      </c>
      <c r="O483" s="48" t="s">
        <v>72</v>
      </c>
      <c r="P483" s="48" t="s">
        <v>73</v>
      </c>
      <c r="Q483" s="54" t="s">
        <v>73</v>
      </c>
      <c r="R483" s="55" t="s">
        <v>73</v>
      </c>
      <c r="S483" s="48" t="s">
        <v>73</v>
      </c>
      <c r="T483" s="121" t="str" cm="1">
        <f t="array" ref="T483">IF(ISNUMBER(SEARCH("SCHNEIDER",D483)),_xlfn.IFS(ISNUMBER(SEARCH("2 Querétaro",D483)),"SQ2",ISNUMBER(SEARCH("Xicohténcatl",D483)),"SXC",ISNUMBER(SEARCH("Rojo Gómez",D483)),"SRG",ISNUMBER(SEARCH("Tlaxcala",D483)),"STX",ISNUMBER(SEARCH("Monterrey",D483)),"SMY",ISNUMBER(SEARCH("Querétaro",D483)),"SQ1",ISNUMBER(SEARCH("CDMX",D483)),"SCM",TRUE,""),"")</f>
        <v/>
      </c>
      <c r="U483" s="48" t="str" cm="1">
        <f t="array" ref="U483">_xlfn.LET(_xlpm.resultados,_xlfn.UNIQUE(_xlfn._xlws.FILTER(Tabla1[Proceso],(Tabla1[Metal Base]=O483)*(Tabla1[Etiquetas]=_xlfn.TEXTJOIN(" + ",TRUE,IF((TRIM(Upload!P483:S483)="")+(LOWER(TRIM(Upload!P483:S483))="(seleccione)"),"",PROPER(TRIM(Upload!P483:S483)))))*(Tabla1[Línea2]=IFERROR(VLOOKUP(Upload!N483&amp;"*",CAT_Procesos!D:D,1,FALSE),"")))),_xlpm.cantidad,ROWS(_xlpm.resultados),IF(ISERROR(_xlpm.cantidad),"Combinación no existente",IF(_xlpm.cantidad=1,INDEX(_xlpm.resultados,1),"(seleccione)")))</f>
        <v>Combinación no existente</v>
      </c>
      <c r="V483" s="55" t="s">
        <v>73</v>
      </c>
      <c r="W483" s="56" t="s">
        <v>73</v>
      </c>
      <c r="X483" s="57" t="str">
        <f t="shared" si="28"/>
        <v/>
      </c>
      <c r="Y483" s="58" t="s">
        <v>73</v>
      </c>
      <c r="Z483" s="57" t="str">
        <f t="shared" si="29"/>
        <v/>
      </c>
      <c r="AA483" s="58" t="s">
        <v>73</v>
      </c>
      <c r="AB483" s="57" t="str">
        <f t="shared" si="30"/>
        <v/>
      </c>
      <c r="AC483" s="58" t="s">
        <v>73</v>
      </c>
      <c r="AD483" s="57" t="str">
        <f t="shared" si="31"/>
        <v/>
      </c>
      <c r="AE483" s="59"/>
      <c r="AF483" s="59"/>
      <c r="AG483" s="59"/>
      <c r="AH483" s="59"/>
      <c r="AI483" s="59" t="s">
        <v>73</v>
      </c>
      <c r="AJ483" s="59"/>
      <c r="AK483" s="59" t="s">
        <v>73</v>
      </c>
      <c r="AL483" s="59"/>
      <c r="AM483" s="59" t="s">
        <v>73</v>
      </c>
      <c r="AN483" s="59"/>
      <c r="AO483" s="59" t="s">
        <v>73</v>
      </c>
      <c r="AP483" s="59"/>
      <c r="AQ483" s="59" t="s">
        <v>73</v>
      </c>
      <c r="AR483" s="59"/>
      <c r="AS483" s="59" t="s">
        <v>72</v>
      </c>
      <c r="AT483" s="59"/>
      <c r="AU483" s="59"/>
      <c r="AV483" s="59"/>
      <c r="AW483" s="59"/>
      <c r="AX483" s="59"/>
      <c r="AY483" s="60" t="str">
        <f>IF('Cálculo MP'!K493="","",'Cálculo MP'!K493)</f>
        <v/>
      </c>
      <c r="AZ483" s="60" t="str">
        <f>IF('Cálculo MP'!L493="","",'Cálculo MP'!L493)</f>
        <v/>
      </c>
      <c r="BA483" s="60" t="str">
        <f>IF('Cálculo MP'!M493="","",'Cálculo MP'!M493)</f>
        <v/>
      </c>
      <c r="BB483" s="60" t="str">
        <f>IF('Cálculo MP'!N493="","",'Cálculo MP'!N493)</f>
        <v/>
      </c>
      <c r="BC483" s="60" t="str">
        <f>IF('Cálculo MP'!O493="","",'Cálculo MP'!O493)</f>
        <v/>
      </c>
      <c r="BD483" s="60" t="str">
        <f>IF('Cálculo MP'!P493="","",'Cálculo MP'!P493)</f>
        <v/>
      </c>
      <c r="BE483" s="60" t="str">
        <f>IF('Cálculo MP'!Q493="","",'Cálculo MP'!Q493)</f>
        <v/>
      </c>
      <c r="BF483" s="60" t="str">
        <f>IF('Cálculo MP'!R493="","",'Cálculo MP'!R493)</f>
        <v/>
      </c>
      <c r="BG483" s="60" t="str">
        <f>IF('Cálculo MP'!S493="","",'Cálculo MP'!S493)</f>
        <v/>
      </c>
      <c r="BH483" s="59"/>
      <c r="BI483" s="59"/>
      <c r="BJ483" s="59"/>
      <c r="BK483" s="59"/>
      <c r="BL483" s="59"/>
      <c r="BM483" s="59"/>
      <c r="BN483" s="59"/>
      <c r="BO483" s="59"/>
    </row>
    <row r="484" spans="1:67" ht="19.5" customHeight="1" x14ac:dyDescent="0.15">
      <c r="A484" s="114" t="s">
        <v>1789</v>
      </c>
      <c r="B484" s="113" t="s">
        <v>1787</v>
      </c>
      <c r="C484" s="49"/>
      <c r="D484" s="48" t="s">
        <v>73</v>
      </c>
      <c r="E484" s="49"/>
      <c r="F484" s="50"/>
      <c r="G484" s="62"/>
      <c r="H484" s="48" t="s">
        <v>72</v>
      </c>
      <c r="I484" s="52">
        <v>1</v>
      </c>
      <c r="J484" s="52"/>
      <c r="K484" s="52" t="s">
        <v>73</v>
      </c>
      <c r="L484" s="52" t="s">
        <v>74</v>
      </c>
      <c r="M484" s="53" t="s">
        <v>917</v>
      </c>
      <c r="N484" s="58" t="s">
        <v>73</v>
      </c>
      <c r="O484" s="48" t="s">
        <v>72</v>
      </c>
      <c r="P484" s="48" t="s">
        <v>73</v>
      </c>
      <c r="Q484" s="54" t="s">
        <v>73</v>
      </c>
      <c r="R484" s="55" t="s">
        <v>73</v>
      </c>
      <c r="S484" s="48" t="s">
        <v>73</v>
      </c>
      <c r="T484" s="121" t="str" cm="1">
        <f t="array" ref="T484">IF(ISNUMBER(SEARCH("SCHNEIDER",D484)),_xlfn.IFS(ISNUMBER(SEARCH("2 Querétaro",D484)),"SQ2",ISNUMBER(SEARCH("Xicohténcatl",D484)),"SXC",ISNUMBER(SEARCH("Rojo Gómez",D484)),"SRG",ISNUMBER(SEARCH("Tlaxcala",D484)),"STX",ISNUMBER(SEARCH("Monterrey",D484)),"SMY",ISNUMBER(SEARCH("Querétaro",D484)),"SQ1",ISNUMBER(SEARCH("CDMX",D484)),"SCM",TRUE,""),"")</f>
        <v/>
      </c>
      <c r="U484" s="48" t="str" cm="1">
        <f t="array" ref="U484">_xlfn.LET(_xlpm.resultados,_xlfn.UNIQUE(_xlfn._xlws.FILTER(Tabla1[Proceso],(Tabla1[Metal Base]=O484)*(Tabla1[Etiquetas]=_xlfn.TEXTJOIN(" + ",TRUE,IF((TRIM(Upload!P484:S484)="")+(LOWER(TRIM(Upload!P484:S484))="(seleccione)"),"",PROPER(TRIM(Upload!P484:S484)))))*(Tabla1[Línea2]=IFERROR(VLOOKUP(Upload!N484&amp;"*",CAT_Procesos!D:D,1,FALSE),"")))),_xlpm.cantidad,ROWS(_xlpm.resultados),IF(ISERROR(_xlpm.cantidad),"Combinación no existente",IF(_xlpm.cantidad=1,INDEX(_xlpm.resultados,1),"(seleccione)")))</f>
        <v>Combinación no existente</v>
      </c>
      <c r="V484" s="55" t="s">
        <v>73</v>
      </c>
      <c r="W484" s="56" t="s">
        <v>73</v>
      </c>
      <c r="X484" s="57" t="str">
        <f t="shared" si="28"/>
        <v/>
      </c>
      <c r="Y484" s="58" t="s">
        <v>73</v>
      </c>
      <c r="Z484" s="57" t="str">
        <f t="shared" si="29"/>
        <v/>
      </c>
      <c r="AA484" s="58" t="s">
        <v>73</v>
      </c>
      <c r="AB484" s="57" t="str">
        <f t="shared" si="30"/>
        <v/>
      </c>
      <c r="AC484" s="58" t="s">
        <v>73</v>
      </c>
      <c r="AD484" s="57" t="str">
        <f t="shared" si="31"/>
        <v/>
      </c>
      <c r="AE484" s="59"/>
      <c r="AF484" s="59"/>
      <c r="AG484" s="59"/>
      <c r="AH484" s="59"/>
      <c r="AI484" s="59" t="s">
        <v>73</v>
      </c>
      <c r="AJ484" s="59"/>
      <c r="AK484" s="59" t="s">
        <v>73</v>
      </c>
      <c r="AL484" s="59"/>
      <c r="AM484" s="59" t="s">
        <v>73</v>
      </c>
      <c r="AN484" s="59"/>
      <c r="AO484" s="59" t="s">
        <v>73</v>
      </c>
      <c r="AP484" s="59"/>
      <c r="AQ484" s="59" t="s">
        <v>73</v>
      </c>
      <c r="AR484" s="59"/>
      <c r="AS484" s="59" t="s">
        <v>72</v>
      </c>
      <c r="AT484" s="59"/>
      <c r="AU484" s="59"/>
      <c r="AV484" s="59"/>
      <c r="AW484" s="59"/>
      <c r="AX484" s="59"/>
      <c r="AY484" s="60" t="str">
        <f>IF('Cálculo MP'!K494="","",'Cálculo MP'!K494)</f>
        <v/>
      </c>
      <c r="AZ484" s="60" t="str">
        <f>IF('Cálculo MP'!L494="","",'Cálculo MP'!L494)</f>
        <v/>
      </c>
      <c r="BA484" s="60" t="str">
        <f>IF('Cálculo MP'!M494="","",'Cálculo MP'!M494)</f>
        <v/>
      </c>
      <c r="BB484" s="60" t="str">
        <f>IF('Cálculo MP'!N494="","",'Cálculo MP'!N494)</f>
        <v/>
      </c>
      <c r="BC484" s="60" t="str">
        <f>IF('Cálculo MP'!O494="","",'Cálculo MP'!O494)</f>
        <v/>
      </c>
      <c r="BD484" s="60" t="str">
        <f>IF('Cálculo MP'!P494="","",'Cálculo MP'!P494)</f>
        <v/>
      </c>
      <c r="BE484" s="60" t="str">
        <f>IF('Cálculo MP'!Q494="","",'Cálculo MP'!Q494)</f>
        <v/>
      </c>
      <c r="BF484" s="60" t="str">
        <f>IF('Cálculo MP'!R494="","",'Cálculo MP'!R494)</f>
        <v/>
      </c>
      <c r="BG484" s="60" t="str">
        <f>IF('Cálculo MP'!S494="","",'Cálculo MP'!S494)</f>
        <v/>
      </c>
      <c r="BH484" s="59"/>
      <c r="BI484" s="59"/>
      <c r="BJ484" s="59"/>
      <c r="BK484" s="59"/>
      <c r="BL484" s="59"/>
      <c r="BM484" s="59"/>
      <c r="BN484" s="59"/>
      <c r="BO484" s="59"/>
    </row>
    <row r="485" spans="1:67" ht="19.5" customHeight="1" x14ac:dyDescent="0.15">
      <c r="A485" s="114" t="s">
        <v>1789</v>
      </c>
      <c r="B485" s="113" t="s">
        <v>1787</v>
      </c>
      <c r="C485" s="49"/>
      <c r="D485" s="48" t="s">
        <v>73</v>
      </c>
      <c r="E485" s="49"/>
      <c r="F485" s="50"/>
      <c r="G485" s="62"/>
      <c r="H485" s="48" t="s">
        <v>72</v>
      </c>
      <c r="I485" s="52">
        <v>1</v>
      </c>
      <c r="J485" s="52"/>
      <c r="K485" s="52" t="s">
        <v>73</v>
      </c>
      <c r="L485" s="52" t="s">
        <v>74</v>
      </c>
      <c r="M485" s="53" t="s">
        <v>917</v>
      </c>
      <c r="N485" s="58" t="s">
        <v>73</v>
      </c>
      <c r="O485" s="48" t="s">
        <v>72</v>
      </c>
      <c r="P485" s="48" t="s">
        <v>73</v>
      </c>
      <c r="Q485" s="54" t="s">
        <v>73</v>
      </c>
      <c r="R485" s="55" t="s">
        <v>73</v>
      </c>
      <c r="S485" s="48" t="s">
        <v>73</v>
      </c>
      <c r="T485" s="121" t="str" cm="1">
        <f t="array" ref="T485">IF(ISNUMBER(SEARCH("SCHNEIDER",D485)),_xlfn.IFS(ISNUMBER(SEARCH("2 Querétaro",D485)),"SQ2",ISNUMBER(SEARCH("Xicohténcatl",D485)),"SXC",ISNUMBER(SEARCH("Rojo Gómez",D485)),"SRG",ISNUMBER(SEARCH("Tlaxcala",D485)),"STX",ISNUMBER(SEARCH("Monterrey",D485)),"SMY",ISNUMBER(SEARCH("Querétaro",D485)),"SQ1",ISNUMBER(SEARCH("CDMX",D485)),"SCM",TRUE,""),"")</f>
        <v/>
      </c>
      <c r="U485" s="48" t="str" cm="1">
        <f t="array" ref="U485">_xlfn.LET(_xlpm.resultados,_xlfn.UNIQUE(_xlfn._xlws.FILTER(Tabla1[Proceso],(Tabla1[Metal Base]=O485)*(Tabla1[Etiquetas]=_xlfn.TEXTJOIN(" + ",TRUE,IF((TRIM(Upload!P485:S485)="")+(LOWER(TRIM(Upload!P485:S485))="(seleccione)"),"",PROPER(TRIM(Upload!P485:S485)))))*(Tabla1[Línea2]=IFERROR(VLOOKUP(Upload!N485&amp;"*",CAT_Procesos!D:D,1,FALSE),"")))),_xlpm.cantidad,ROWS(_xlpm.resultados),IF(ISERROR(_xlpm.cantidad),"Combinación no existente",IF(_xlpm.cantidad=1,INDEX(_xlpm.resultados,1),"(seleccione)")))</f>
        <v>Combinación no existente</v>
      </c>
      <c r="V485" s="55" t="s">
        <v>73</v>
      </c>
      <c r="W485" s="56" t="s">
        <v>73</v>
      </c>
      <c r="X485" s="57" t="str">
        <f t="shared" si="28"/>
        <v/>
      </c>
      <c r="Y485" s="58" t="s">
        <v>73</v>
      </c>
      <c r="Z485" s="57" t="str">
        <f t="shared" si="29"/>
        <v/>
      </c>
      <c r="AA485" s="58" t="s">
        <v>73</v>
      </c>
      <c r="AB485" s="57" t="str">
        <f t="shared" si="30"/>
        <v/>
      </c>
      <c r="AC485" s="58" t="s">
        <v>73</v>
      </c>
      <c r="AD485" s="57" t="str">
        <f t="shared" si="31"/>
        <v/>
      </c>
      <c r="AE485" s="59"/>
      <c r="AF485" s="59"/>
      <c r="AG485" s="59"/>
      <c r="AH485" s="59"/>
      <c r="AI485" s="59" t="s">
        <v>73</v>
      </c>
      <c r="AJ485" s="59"/>
      <c r="AK485" s="59" t="s">
        <v>73</v>
      </c>
      <c r="AL485" s="59"/>
      <c r="AM485" s="59" t="s">
        <v>73</v>
      </c>
      <c r="AN485" s="59"/>
      <c r="AO485" s="59" t="s">
        <v>73</v>
      </c>
      <c r="AP485" s="59"/>
      <c r="AQ485" s="59" t="s">
        <v>73</v>
      </c>
      <c r="AR485" s="59"/>
      <c r="AS485" s="59" t="s">
        <v>72</v>
      </c>
      <c r="AT485" s="59"/>
      <c r="AU485" s="59"/>
      <c r="AV485" s="59"/>
      <c r="AW485" s="59"/>
      <c r="AX485" s="59"/>
      <c r="AY485" s="60" t="str">
        <f>IF('Cálculo MP'!K495="","",'Cálculo MP'!K495)</f>
        <v/>
      </c>
      <c r="AZ485" s="60" t="str">
        <f>IF('Cálculo MP'!L495="","",'Cálculo MP'!L495)</f>
        <v/>
      </c>
      <c r="BA485" s="60" t="str">
        <f>IF('Cálculo MP'!M495="","",'Cálculo MP'!M495)</f>
        <v/>
      </c>
      <c r="BB485" s="60" t="str">
        <f>IF('Cálculo MP'!N495="","",'Cálculo MP'!N495)</f>
        <v/>
      </c>
      <c r="BC485" s="60" t="str">
        <f>IF('Cálculo MP'!O495="","",'Cálculo MP'!O495)</f>
        <v/>
      </c>
      <c r="BD485" s="60" t="str">
        <f>IF('Cálculo MP'!P495="","",'Cálculo MP'!P495)</f>
        <v/>
      </c>
      <c r="BE485" s="60" t="str">
        <f>IF('Cálculo MP'!Q495="","",'Cálculo MP'!Q495)</f>
        <v/>
      </c>
      <c r="BF485" s="60" t="str">
        <f>IF('Cálculo MP'!R495="","",'Cálculo MP'!R495)</f>
        <v/>
      </c>
      <c r="BG485" s="60" t="str">
        <f>IF('Cálculo MP'!S495="","",'Cálculo MP'!S495)</f>
        <v/>
      </c>
      <c r="BH485" s="59"/>
      <c r="BI485" s="59"/>
      <c r="BJ485" s="59"/>
      <c r="BK485" s="59"/>
      <c r="BL485" s="59"/>
      <c r="BM485" s="59"/>
      <c r="BN485" s="59"/>
      <c r="BO485" s="59"/>
    </row>
    <row r="486" spans="1:67" ht="19.5" customHeight="1" x14ac:dyDescent="0.15">
      <c r="A486" s="114" t="s">
        <v>1789</v>
      </c>
      <c r="B486" s="113" t="s">
        <v>1787</v>
      </c>
      <c r="C486" s="49"/>
      <c r="D486" s="48" t="s">
        <v>73</v>
      </c>
      <c r="E486" s="49"/>
      <c r="F486" s="50"/>
      <c r="G486" s="62"/>
      <c r="H486" s="48" t="s">
        <v>72</v>
      </c>
      <c r="I486" s="52">
        <v>1</v>
      </c>
      <c r="J486" s="52"/>
      <c r="K486" s="52" t="s">
        <v>73</v>
      </c>
      <c r="L486" s="52" t="s">
        <v>74</v>
      </c>
      <c r="M486" s="53" t="s">
        <v>917</v>
      </c>
      <c r="N486" s="58" t="s">
        <v>73</v>
      </c>
      <c r="O486" s="48" t="s">
        <v>72</v>
      </c>
      <c r="P486" s="48" t="s">
        <v>73</v>
      </c>
      <c r="Q486" s="54" t="s">
        <v>73</v>
      </c>
      <c r="R486" s="55" t="s">
        <v>73</v>
      </c>
      <c r="S486" s="48" t="s">
        <v>73</v>
      </c>
      <c r="T486" s="121" t="str" cm="1">
        <f t="array" ref="T486">IF(ISNUMBER(SEARCH("SCHNEIDER",D486)),_xlfn.IFS(ISNUMBER(SEARCH("2 Querétaro",D486)),"SQ2",ISNUMBER(SEARCH("Xicohténcatl",D486)),"SXC",ISNUMBER(SEARCH("Rojo Gómez",D486)),"SRG",ISNUMBER(SEARCH("Tlaxcala",D486)),"STX",ISNUMBER(SEARCH("Monterrey",D486)),"SMY",ISNUMBER(SEARCH("Querétaro",D486)),"SQ1",ISNUMBER(SEARCH("CDMX",D486)),"SCM",TRUE,""),"")</f>
        <v/>
      </c>
      <c r="U486" s="48" t="str" cm="1">
        <f t="array" ref="U486">_xlfn.LET(_xlpm.resultados,_xlfn.UNIQUE(_xlfn._xlws.FILTER(Tabla1[Proceso],(Tabla1[Metal Base]=O486)*(Tabla1[Etiquetas]=_xlfn.TEXTJOIN(" + ",TRUE,IF((TRIM(Upload!P486:S486)="")+(LOWER(TRIM(Upload!P486:S486))="(seleccione)"),"",PROPER(TRIM(Upload!P486:S486)))))*(Tabla1[Línea2]=IFERROR(VLOOKUP(Upload!N486&amp;"*",CAT_Procesos!D:D,1,FALSE),"")))),_xlpm.cantidad,ROWS(_xlpm.resultados),IF(ISERROR(_xlpm.cantidad),"Combinación no existente",IF(_xlpm.cantidad=1,INDEX(_xlpm.resultados,1),"(seleccione)")))</f>
        <v>Combinación no existente</v>
      </c>
      <c r="V486" s="55" t="s">
        <v>73</v>
      </c>
      <c r="W486" s="56" t="s">
        <v>73</v>
      </c>
      <c r="X486" s="57" t="str">
        <f t="shared" si="28"/>
        <v/>
      </c>
      <c r="Y486" s="58" t="s">
        <v>73</v>
      </c>
      <c r="Z486" s="57" t="str">
        <f t="shared" si="29"/>
        <v/>
      </c>
      <c r="AA486" s="58" t="s">
        <v>73</v>
      </c>
      <c r="AB486" s="57" t="str">
        <f t="shared" si="30"/>
        <v/>
      </c>
      <c r="AC486" s="58" t="s">
        <v>73</v>
      </c>
      <c r="AD486" s="57" t="str">
        <f t="shared" si="31"/>
        <v/>
      </c>
      <c r="AE486" s="59"/>
      <c r="AF486" s="59"/>
      <c r="AG486" s="59"/>
      <c r="AH486" s="59"/>
      <c r="AI486" s="59" t="s">
        <v>73</v>
      </c>
      <c r="AJ486" s="59"/>
      <c r="AK486" s="59" t="s">
        <v>73</v>
      </c>
      <c r="AL486" s="59"/>
      <c r="AM486" s="59" t="s">
        <v>73</v>
      </c>
      <c r="AN486" s="59"/>
      <c r="AO486" s="59" t="s">
        <v>73</v>
      </c>
      <c r="AP486" s="59"/>
      <c r="AQ486" s="59" t="s">
        <v>73</v>
      </c>
      <c r="AR486" s="59"/>
      <c r="AS486" s="59" t="s">
        <v>72</v>
      </c>
      <c r="AT486" s="59"/>
      <c r="AU486" s="59"/>
      <c r="AV486" s="59"/>
      <c r="AW486" s="59"/>
      <c r="AX486" s="59"/>
      <c r="AY486" s="60" t="str">
        <f>IF('Cálculo MP'!K496="","",'Cálculo MP'!K496)</f>
        <v/>
      </c>
      <c r="AZ486" s="60" t="str">
        <f>IF('Cálculo MP'!L496="","",'Cálculo MP'!L496)</f>
        <v/>
      </c>
      <c r="BA486" s="60" t="str">
        <f>IF('Cálculo MP'!M496="","",'Cálculo MP'!M496)</f>
        <v/>
      </c>
      <c r="BB486" s="60" t="str">
        <f>IF('Cálculo MP'!N496="","",'Cálculo MP'!N496)</f>
        <v/>
      </c>
      <c r="BC486" s="60" t="str">
        <f>IF('Cálculo MP'!O496="","",'Cálculo MP'!O496)</f>
        <v/>
      </c>
      <c r="BD486" s="60" t="str">
        <f>IF('Cálculo MP'!P496="","",'Cálculo MP'!P496)</f>
        <v/>
      </c>
      <c r="BE486" s="60" t="str">
        <f>IF('Cálculo MP'!Q496="","",'Cálculo MP'!Q496)</f>
        <v/>
      </c>
      <c r="BF486" s="60" t="str">
        <f>IF('Cálculo MP'!R496="","",'Cálculo MP'!R496)</f>
        <v/>
      </c>
      <c r="BG486" s="60" t="str">
        <f>IF('Cálculo MP'!S496="","",'Cálculo MP'!S496)</f>
        <v/>
      </c>
      <c r="BH486" s="59"/>
      <c r="BI486" s="59"/>
      <c r="BJ486" s="59"/>
      <c r="BK486" s="59"/>
      <c r="BL486" s="59"/>
      <c r="BM486" s="59"/>
      <c r="BN486" s="59"/>
      <c r="BO486" s="59"/>
    </row>
    <row r="487" spans="1:67" ht="19.5" customHeight="1" x14ac:dyDescent="0.15">
      <c r="A487" s="114" t="s">
        <v>1789</v>
      </c>
      <c r="B487" s="113" t="s">
        <v>1787</v>
      </c>
      <c r="C487" s="49"/>
      <c r="D487" s="48" t="s">
        <v>73</v>
      </c>
      <c r="E487" s="49"/>
      <c r="F487" s="50"/>
      <c r="G487" s="62"/>
      <c r="H487" s="48" t="s">
        <v>72</v>
      </c>
      <c r="I487" s="52">
        <v>1</v>
      </c>
      <c r="J487" s="52"/>
      <c r="K487" s="52" t="s">
        <v>73</v>
      </c>
      <c r="L487" s="52" t="s">
        <v>74</v>
      </c>
      <c r="M487" s="53" t="s">
        <v>917</v>
      </c>
      <c r="N487" s="58" t="s">
        <v>73</v>
      </c>
      <c r="O487" s="48" t="s">
        <v>72</v>
      </c>
      <c r="P487" s="48" t="s">
        <v>73</v>
      </c>
      <c r="Q487" s="54" t="s">
        <v>73</v>
      </c>
      <c r="R487" s="55" t="s">
        <v>73</v>
      </c>
      <c r="S487" s="48" t="s">
        <v>73</v>
      </c>
      <c r="T487" s="121" t="str" cm="1">
        <f t="array" ref="T487">IF(ISNUMBER(SEARCH("SCHNEIDER",D487)),_xlfn.IFS(ISNUMBER(SEARCH("2 Querétaro",D487)),"SQ2",ISNUMBER(SEARCH("Xicohténcatl",D487)),"SXC",ISNUMBER(SEARCH("Rojo Gómez",D487)),"SRG",ISNUMBER(SEARCH("Tlaxcala",D487)),"STX",ISNUMBER(SEARCH("Monterrey",D487)),"SMY",ISNUMBER(SEARCH("Querétaro",D487)),"SQ1",ISNUMBER(SEARCH("CDMX",D487)),"SCM",TRUE,""),"")</f>
        <v/>
      </c>
      <c r="U487" s="48" t="str" cm="1">
        <f t="array" ref="U487">_xlfn.LET(_xlpm.resultados,_xlfn.UNIQUE(_xlfn._xlws.FILTER(Tabla1[Proceso],(Tabla1[Metal Base]=O487)*(Tabla1[Etiquetas]=_xlfn.TEXTJOIN(" + ",TRUE,IF((TRIM(Upload!P487:S487)="")+(LOWER(TRIM(Upload!P487:S487))="(seleccione)"),"",PROPER(TRIM(Upload!P487:S487)))))*(Tabla1[Línea2]=IFERROR(VLOOKUP(Upload!N487&amp;"*",CAT_Procesos!D:D,1,FALSE),"")))),_xlpm.cantidad,ROWS(_xlpm.resultados),IF(ISERROR(_xlpm.cantidad),"Combinación no existente",IF(_xlpm.cantidad=1,INDEX(_xlpm.resultados,1),"(seleccione)")))</f>
        <v>Combinación no existente</v>
      </c>
      <c r="V487" s="55" t="s">
        <v>73</v>
      </c>
      <c r="W487" s="56" t="s">
        <v>73</v>
      </c>
      <c r="X487" s="57" t="str">
        <f t="shared" si="28"/>
        <v/>
      </c>
      <c r="Y487" s="58" t="s">
        <v>73</v>
      </c>
      <c r="Z487" s="57" t="str">
        <f t="shared" si="29"/>
        <v/>
      </c>
      <c r="AA487" s="58" t="s">
        <v>73</v>
      </c>
      <c r="AB487" s="57" t="str">
        <f t="shared" si="30"/>
        <v/>
      </c>
      <c r="AC487" s="58" t="s">
        <v>73</v>
      </c>
      <c r="AD487" s="57" t="str">
        <f t="shared" si="31"/>
        <v/>
      </c>
      <c r="AE487" s="59"/>
      <c r="AF487" s="59"/>
      <c r="AG487" s="59"/>
      <c r="AH487" s="59"/>
      <c r="AI487" s="59" t="s">
        <v>73</v>
      </c>
      <c r="AJ487" s="59"/>
      <c r="AK487" s="59" t="s">
        <v>73</v>
      </c>
      <c r="AL487" s="59"/>
      <c r="AM487" s="59" t="s">
        <v>73</v>
      </c>
      <c r="AN487" s="59"/>
      <c r="AO487" s="59" t="s">
        <v>73</v>
      </c>
      <c r="AP487" s="59"/>
      <c r="AQ487" s="59" t="s">
        <v>73</v>
      </c>
      <c r="AR487" s="59"/>
      <c r="AS487" s="59" t="s">
        <v>72</v>
      </c>
      <c r="AT487" s="59"/>
      <c r="AU487" s="59"/>
      <c r="AV487" s="59"/>
      <c r="AW487" s="59"/>
      <c r="AX487" s="59"/>
      <c r="AY487" s="60" t="str">
        <f>IF('Cálculo MP'!K497="","",'Cálculo MP'!K497)</f>
        <v/>
      </c>
      <c r="AZ487" s="60" t="str">
        <f>IF('Cálculo MP'!L497="","",'Cálculo MP'!L497)</f>
        <v/>
      </c>
      <c r="BA487" s="60" t="str">
        <f>IF('Cálculo MP'!M497="","",'Cálculo MP'!M497)</f>
        <v/>
      </c>
      <c r="BB487" s="60" t="str">
        <f>IF('Cálculo MP'!N497="","",'Cálculo MP'!N497)</f>
        <v/>
      </c>
      <c r="BC487" s="60" t="str">
        <f>IF('Cálculo MP'!O497="","",'Cálculo MP'!O497)</f>
        <v/>
      </c>
      <c r="BD487" s="60" t="str">
        <f>IF('Cálculo MP'!P497="","",'Cálculo MP'!P497)</f>
        <v/>
      </c>
      <c r="BE487" s="60" t="str">
        <f>IF('Cálculo MP'!Q497="","",'Cálculo MP'!Q497)</f>
        <v/>
      </c>
      <c r="BF487" s="60" t="str">
        <f>IF('Cálculo MP'!R497="","",'Cálculo MP'!R497)</f>
        <v/>
      </c>
      <c r="BG487" s="60" t="str">
        <f>IF('Cálculo MP'!S497="","",'Cálculo MP'!S497)</f>
        <v/>
      </c>
      <c r="BH487" s="59"/>
      <c r="BI487" s="59"/>
      <c r="BJ487" s="59"/>
      <c r="BK487" s="59"/>
      <c r="BL487" s="59"/>
      <c r="BM487" s="59"/>
      <c r="BN487" s="59"/>
      <c r="BO487" s="59"/>
    </row>
    <row r="488" spans="1:67" ht="19.5" customHeight="1" x14ac:dyDescent="0.15">
      <c r="A488" s="114" t="s">
        <v>1789</v>
      </c>
      <c r="B488" s="113" t="s">
        <v>1787</v>
      </c>
      <c r="C488" s="49"/>
      <c r="D488" s="48" t="s">
        <v>73</v>
      </c>
      <c r="E488" s="49"/>
      <c r="F488" s="50"/>
      <c r="G488" s="62"/>
      <c r="H488" s="48" t="s">
        <v>72</v>
      </c>
      <c r="I488" s="52">
        <v>1</v>
      </c>
      <c r="J488" s="52"/>
      <c r="K488" s="52" t="s">
        <v>73</v>
      </c>
      <c r="L488" s="52" t="s">
        <v>74</v>
      </c>
      <c r="M488" s="53" t="s">
        <v>917</v>
      </c>
      <c r="N488" s="58" t="s">
        <v>73</v>
      </c>
      <c r="O488" s="48" t="s">
        <v>72</v>
      </c>
      <c r="P488" s="48" t="s">
        <v>73</v>
      </c>
      <c r="Q488" s="54" t="s">
        <v>73</v>
      </c>
      <c r="R488" s="55" t="s">
        <v>73</v>
      </c>
      <c r="S488" s="48" t="s">
        <v>73</v>
      </c>
      <c r="T488" s="121" t="str" cm="1">
        <f t="array" ref="T488">IF(ISNUMBER(SEARCH("SCHNEIDER",D488)),_xlfn.IFS(ISNUMBER(SEARCH("2 Querétaro",D488)),"SQ2",ISNUMBER(SEARCH("Xicohténcatl",D488)),"SXC",ISNUMBER(SEARCH("Rojo Gómez",D488)),"SRG",ISNUMBER(SEARCH("Tlaxcala",D488)),"STX",ISNUMBER(SEARCH("Monterrey",D488)),"SMY",ISNUMBER(SEARCH("Querétaro",D488)),"SQ1",ISNUMBER(SEARCH("CDMX",D488)),"SCM",TRUE,""),"")</f>
        <v/>
      </c>
      <c r="U488" s="48" t="str" cm="1">
        <f t="array" ref="U488">_xlfn.LET(_xlpm.resultados,_xlfn.UNIQUE(_xlfn._xlws.FILTER(Tabla1[Proceso],(Tabla1[Metal Base]=O488)*(Tabla1[Etiquetas]=_xlfn.TEXTJOIN(" + ",TRUE,IF((TRIM(Upload!P488:S488)="")+(LOWER(TRIM(Upload!P488:S488))="(seleccione)"),"",PROPER(TRIM(Upload!P488:S488)))))*(Tabla1[Línea2]=IFERROR(VLOOKUP(Upload!N488&amp;"*",CAT_Procesos!D:D,1,FALSE),"")))),_xlpm.cantidad,ROWS(_xlpm.resultados),IF(ISERROR(_xlpm.cantidad),"Combinación no existente",IF(_xlpm.cantidad=1,INDEX(_xlpm.resultados,1),"(seleccione)")))</f>
        <v>Combinación no existente</v>
      </c>
      <c r="V488" s="55" t="s">
        <v>73</v>
      </c>
      <c r="W488" s="56" t="s">
        <v>73</v>
      </c>
      <c r="X488" s="57" t="str">
        <f t="shared" si="28"/>
        <v/>
      </c>
      <c r="Y488" s="58" t="s">
        <v>73</v>
      </c>
      <c r="Z488" s="57" t="str">
        <f t="shared" si="29"/>
        <v/>
      </c>
      <c r="AA488" s="58" t="s">
        <v>73</v>
      </c>
      <c r="AB488" s="57" t="str">
        <f t="shared" si="30"/>
        <v/>
      </c>
      <c r="AC488" s="58" t="s">
        <v>73</v>
      </c>
      <c r="AD488" s="57" t="str">
        <f t="shared" si="31"/>
        <v/>
      </c>
      <c r="AE488" s="59"/>
      <c r="AF488" s="59"/>
      <c r="AG488" s="59"/>
      <c r="AH488" s="59"/>
      <c r="AI488" s="59" t="s">
        <v>73</v>
      </c>
      <c r="AJ488" s="59"/>
      <c r="AK488" s="59" t="s">
        <v>73</v>
      </c>
      <c r="AL488" s="59"/>
      <c r="AM488" s="59" t="s">
        <v>73</v>
      </c>
      <c r="AN488" s="59"/>
      <c r="AO488" s="59" t="s">
        <v>73</v>
      </c>
      <c r="AP488" s="59"/>
      <c r="AQ488" s="59" t="s">
        <v>73</v>
      </c>
      <c r="AR488" s="59"/>
      <c r="AS488" s="59" t="s">
        <v>72</v>
      </c>
      <c r="AT488" s="59"/>
      <c r="AU488" s="59"/>
      <c r="AV488" s="59"/>
      <c r="AW488" s="59"/>
      <c r="AX488" s="59"/>
      <c r="AY488" s="60" t="str">
        <f>IF('Cálculo MP'!K498="","",'Cálculo MP'!K498)</f>
        <v/>
      </c>
      <c r="AZ488" s="60" t="str">
        <f>IF('Cálculo MP'!L498="","",'Cálculo MP'!L498)</f>
        <v/>
      </c>
      <c r="BA488" s="60" t="str">
        <f>IF('Cálculo MP'!M498="","",'Cálculo MP'!M498)</f>
        <v/>
      </c>
      <c r="BB488" s="60" t="str">
        <f>IF('Cálculo MP'!N498="","",'Cálculo MP'!N498)</f>
        <v/>
      </c>
      <c r="BC488" s="60" t="str">
        <f>IF('Cálculo MP'!O498="","",'Cálculo MP'!O498)</f>
        <v/>
      </c>
      <c r="BD488" s="60" t="str">
        <f>IF('Cálculo MP'!P498="","",'Cálculo MP'!P498)</f>
        <v/>
      </c>
      <c r="BE488" s="60" t="str">
        <f>IF('Cálculo MP'!Q498="","",'Cálculo MP'!Q498)</f>
        <v/>
      </c>
      <c r="BF488" s="60" t="str">
        <f>IF('Cálculo MP'!R498="","",'Cálculo MP'!R498)</f>
        <v/>
      </c>
      <c r="BG488" s="60" t="str">
        <f>IF('Cálculo MP'!S498="","",'Cálculo MP'!S498)</f>
        <v/>
      </c>
      <c r="BH488" s="59"/>
      <c r="BI488" s="59"/>
      <c r="BJ488" s="59"/>
      <c r="BK488" s="59"/>
      <c r="BL488" s="59"/>
      <c r="BM488" s="59"/>
      <c r="BN488" s="59"/>
      <c r="BO488" s="59"/>
    </row>
    <row r="489" spans="1:67" ht="19.5" customHeight="1" x14ac:dyDescent="0.15">
      <c r="A489" s="114" t="s">
        <v>1789</v>
      </c>
      <c r="B489" s="113" t="s">
        <v>1787</v>
      </c>
      <c r="C489" s="49"/>
      <c r="D489" s="48" t="s">
        <v>73</v>
      </c>
      <c r="E489" s="49"/>
      <c r="F489" s="50"/>
      <c r="G489" s="62"/>
      <c r="H489" s="48" t="s">
        <v>72</v>
      </c>
      <c r="I489" s="52">
        <v>1</v>
      </c>
      <c r="J489" s="52"/>
      <c r="K489" s="52" t="s">
        <v>73</v>
      </c>
      <c r="L489" s="52" t="s">
        <v>74</v>
      </c>
      <c r="M489" s="53" t="s">
        <v>917</v>
      </c>
      <c r="N489" s="58" t="s">
        <v>73</v>
      </c>
      <c r="O489" s="48" t="s">
        <v>72</v>
      </c>
      <c r="P489" s="48" t="s">
        <v>73</v>
      </c>
      <c r="Q489" s="54" t="s">
        <v>73</v>
      </c>
      <c r="R489" s="55" t="s">
        <v>73</v>
      </c>
      <c r="S489" s="48" t="s">
        <v>73</v>
      </c>
      <c r="T489" s="121" t="str" cm="1">
        <f t="array" ref="T489">IF(ISNUMBER(SEARCH("SCHNEIDER",D489)),_xlfn.IFS(ISNUMBER(SEARCH("2 Querétaro",D489)),"SQ2",ISNUMBER(SEARCH("Xicohténcatl",D489)),"SXC",ISNUMBER(SEARCH("Rojo Gómez",D489)),"SRG",ISNUMBER(SEARCH("Tlaxcala",D489)),"STX",ISNUMBER(SEARCH("Monterrey",D489)),"SMY",ISNUMBER(SEARCH("Querétaro",D489)),"SQ1",ISNUMBER(SEARCH("CDMX",D489)),"SCM",TRUE,""),"")</f>
        <v/>
      </c>
      <c r="U489" s="48" t="str" cm="1">
        <f t="array" ref="U489">_xlfn.LET(_xlpm.resultados,_xlfn.UNIQUE(_xlfn._xlws.FILTER(Tabla1[Proceso],(Tabla1[Metal Base]=O489)*(Tabla1[Etiquetas]=_xlfn.TEXTJOIN(" + ",TRUE,IF((TRIM(Upload!P489:S489)="")+(LOWER(TRIM(Upload!P489:S489))="(seleccione)"),"",PROPER(TRIM(Upload!P489:S489)))))*(Tabla1[Línea2]=IFERROR(VLOOKUP(Upload!N489&amp;"*",CAT_Procesos!D:D,1,FALSE),"")))),_xlpm.cantidad,ROWS(_xlpm.resultados),IF(ISERROR(_xlpm.cantidad),"Combinación no existente",IF(_xlpm.cantidad=1,INDEX(_xlpm.resultados,1),"(seleccione)")))</f>
        <v>Combinación no existente</v>
      </c>
      <c r="V489" s="55" t="s">
        <v>73</v>
      </c>
      <c r="W489" s="56" t="s">
        <v>73</v>
      </c>
      <c r="X489" s="57" t="str">
        <f t="shared" si="28"/>
        <v/>
      </c>
      <c r="Y489" s="58" t="s">
        <v>73</v>
      </c>
      <c r="Z489" s="57" t="str">
        <f t="shared" si="29"/>
        <v/>
      </c>
      <c r="AA489" s="58" t="s">
        <v>73</v>
      </c>
      <c r="AB489" s="57" t="str">
        <f t="shared" si="30"/>
        <v/>
      </c>
      <c r="AC489" s="58" t="s">
        <v>73</v>
      </c>
      <c r="AD489" s="57" t="str">
        <f t="shared" si="31"/>
        <v/>
      </c>
      <c r="AE489" s="59"/>
      <c r="AF489" s="59"/>
      <c r="AG489" s="59"/>
      <c r="AH489" s="59"/>
      <c r="AI489" s="59" t="s">
        <v>73</v>
      </c>
      <c r="AJ489" s="59"/>
      <c r="AK489" s="59" t="s">
        <v>73</v>
      </c>
      <c r="AL489" s="59"/>
      <c r="AM489" s="59" t="s">
        <v>73</v>
      </c>
      <c r="AN489" s="59"/>
      <c r="AO489" s="59" t="s">
        <v>73</v>
      </c>
      <c r="AP489" s="59"/>
      <c r="AQ489" s="59" t="s">
        <v>73</v>
      </c>
      <c r="AR489" s="59"/>
      <c r="AS489" s="59" t="s">
        <v>72</v>
      </c>
      <c r="AT489" s="59"/>
      <c r="AU489" s="59"/>
      <c r="AV489" s="59"/>
      <c r="AW489" s="59"/>
      <c r="AX489" s="59"/>
      <c r="AY489" s="60" t="str">
        <f>IF('Cálculo MP'!K499="","",'Cálculo MP'!K499)</f>
        <v/>
      </c>
      <c r="AZ489" s="60" t="str">
        <f>IF('Cálculo MP'!L499="","",'Cálculo MP'!L499)</f>
        <v/>
      </c>
      <c r="BA489" s="60" t="str">
        <f>IF('Cálculo MP'!M499="","",'Cálculo MP'!M499)</f>
        <v/>
      </c>
      <c r="BB489" s="60" t="str">
        <f>IF('Cálculo MP'!N499="","",'Cálculo MP'!N499)</f>
        <v/>
      </c>
      <c r="BC489" s="60" t="str">
        <f>IF('Cálculo MP'!O499="","",'Cálculo MP'!O499)</f>
        <v/>
      </c>
      <c r="BD489" s="60" t="str">
        <f>IF('Cálculo MP'!P499="","",'Cálculo MP'!P499)</f>
        <v/>
      </c>
      <c r="BE489" s="60" t="str">
        <f>IF('Cálculo MP'!Q499="","",'Cálculo MP'!Q499)</f>
        <v/>
      </c>
      <c r="BF489" s="60" t="str">
        <f>IF('Cálculo MP'!R499="","",'Cálculo MP'!R499)</f>
        <v/>
      </c>
      <c r="BG489" s="60" t="str">
        <f>IF('Cálculo MP'!S499="","",'Cálculo MP'!S499)</f>
        <v/>
      </c>
      <c r="BH489" s="59"/>
      <c r="BI489" s="59"/>
      <c r="BJ489" s="59"/>
      <c r="BK489" s="59"/>
      <c r="BL489" s="59"/>
      <c r="BM489" s="59"/>
      <c r="BN489" s="59"/>
      <c r="BO489" s="59"/>
    </row>
    <row r="490" spans="1:67" ht="19.5" customHeight="1" x14ac:dyDescent="0.15">
      <c r="A490" s="114" t="s">
        <v>1789</v>
      </c>
      <c r="B490" s="113" t="s">
        <v>1787</v>
      </c>
      <c r="C490" s="49"/>
      <c r="D490" s="48" t="s">
        <v>73</v>
      </c>
      <c r="E490" s="49"/>
      <c r="F490" s="50"/>
      <c r="G490" s="62"/>
      <c r="H490" s="48" t="s">
        <v>72</v>
      </c>
      <c r="I490" s="52">
        <v>1</v>
      </c>
      <c r="J490" s="52"/>
      <c r="K490" s="52" t="s">
        <v>73</v>
      </c>
      <c r="L490" s="52" t="s">
        <v>74</v>
      </c>
      <c r="M490" s="53" t="s">
        <v>917</v>
      </c>
      <c r="N490" s="58" t="s">
        <v>73</v>
      </c>
      <c r="O490" s="48" t="s">
        <v>72</v>
      </c>
      <c r="P490" s="48" t="s">
        <v>73</v>
      </c>
      <c r="Q490" s="54" t="s">
        <v>73</v>
      </c>
      <c r="R490" s="55" t="s">
        <v>73</v>
      </c>
      <c r="S490" s="48" t="s">
        <v>73</v>
      </c>
      <c r="T490" s="121" t="str" cm="1">
        <f t="array" ref="T490">IF(ISNUMBER(SEARCH("SCHNEIDER",D490)),_xlfn.IFS(ISNUMBER(SEARCH("2 Querétaro",D490)),"SQ2",ISNUMBER(SEARCH("Xicohténcatl",D490)),"SXC",ISNUMBER(SEARCH("Rojo Gómez",D490)),"SRG",ISNUMBER(SEARCH("Tlaxcala",D490)),"STX",ISNUMBER(SEARCH("Monterrey",D490)),"SMY",ISNUMBER(SEARCH("Querétaro",D490)),"SQ1",ISNUMBER(SEARCH("CDMX",D490)),"SCM",TRUE,""),"")</f>
        <v/>
      </c>
      <c r="U490" s="48" t="str" cm="1">
        <f t="array" ref="U490">_xlfn.LET(_xlpm.resultados,_xlfn.UNIQUE(_xlfn._xlws.FILTER(Tabla1[Proceso],(Tabla1[Metal Base]=O490)*(Tabla1[Etiquetas]=_xlfn.TEXTJOIN(" + ",TRUE,IF((TRIM(Upload!P490:S490)="")+(LOWER(TRIM(Upload!P490:S490))="(seleccione)"),"",PROPER(TRIM(Upload!P490:S490)))))*(Tabla1[Línea2]=IFERROR(VLOOKUP(Upload!N490&amp;"*",CAT_Procesos!D:D,1,FALSE),"")))),_xlpm.cantidad,ROWS(_xlpm.resultados),IF(ISERROR(_xlpm.cantidad),"Combinación no existente",IF(_xlpm.cantidad=1,INDEX(_xlpm.resultados,1),"(seleccione)")))</f>
        <v>Combinación no existente</v>
      </c>
      <c r="V490" s="55" t="s">
        <v>73</v>
      </c>
      <c r="W490" s="56" t="s">
        <v>73</v>
      </c>
      <c r="X490" s="57" t="str">
        <f t="shared" si="28"/>
        <v/>
      </c>
      <c r="Y490" s="58" t="s">
        <v>73</v>
      </c>
      <c r="Z490" s="57" t="str">
        <f t="shared" si="29"/>
        <v/>
      </c>
      <c r="AA490" s="58" t="s">
        <v>73</v>
      </c>
      <c r="AB490" s="57" t="str">
        <f t="shared" si="30"/>
        <v/>
      </c>
      <c r="AC490" s="58" t="s">
        <v>73</v>
      </c>
      <c r="AD490" s="57" t="str">
        <f t="shared" si="31"/>
        <v/>
      </c>
      <c r="AE490" s="59"/>
      <c r="AF490" s="59"/>
      <c r="AG490" s="59"/>
      <c r="AH490" s="59"/>
      <c r="AI490" s="59" t="s">
        <v>73</v>
      </c>
      <c r="AJ490" s="59"/>
      <c r="AK490" s="59" t="s">
        <v>73</v>
      </c>
      <c r="AL490" s="59"/>
      <c r="AM490" s="59" t="s">
        <v>73</v>
      </c>
      <c r="AN490" s="59"/>
      <c r="AO490" s="59" t="s">
        <v>73</v>
      </c>
      <c r="AP490" s="59"/>
      <c r="AQ490" s="59" t="s">
        <v>73</v>
      </c>
      <c r="AR490" s="59"/>
      <c r="AS490" s="59" t="s">
        <v>72</v>
      </c>
      <c r="AT490" s="59"/>
      <c r="AU490" s="59"/>
      <c r="AV490" s="59"/>
      <c r="AW490" s="59"/>
      <c r="AX490" s="59"/>
      <c r="AY490" s="60" t="str">
        <f>IF('Cálculo MP'!K500="","",'Cálculo MP'!K500)</f>
        <v/>
      </c>
      <c r="AZ490" s="60" t="str">
        <f>IF('Cálculo MP'!L500="","",'Cálculo MP'!L500)</f>
        <v/>
      </c>
      <c r="BA490" s="60" t="str">
        <f>IF('Cálculo MP'!M500="","",'Cálculo MP'!M500)</f>
        <v/>
      </c>
      <c r="BB490" s="60" t="str">
        <f>IF('Cálculo MP'!N500="","",'Cálculo MP'!N500)</f>
        <v/>
      </c>
      <c r="BC490" s="60" t="str">
        <f>IF('Cálculo MP'!O500="","",'Cálculo MP'!O500)</f>
        <v/>
      </c>
      <c r="BD490" s="60" t="str">
        <f>IF('Cálculo MP'!P500="","",'Cálculo MP'!P500)</f>
        <v/>
      </c>
      <c r="BE490" s="60" t="str">
        <f>IF('Cálculo MP'!Q500="","",'Cálculo MP'!Q500)</f>
        <v/>
      </c>
      <c r="BF490" s="60" t="str">
        <f>IF('Cálculo MP'!R500="","",'Cálculo MP'!R500)</f>
        <v/>
      </c>
      <c r="BG490" s="60" t="str">
        <f>IF('Cálculo MP'!S500="","",'Cálculo MP'!S500)</f>
        <v/>
      </c>
      <c r="BH490" s="59"/>
      <c r="BI490" s="59"/>
      <c r="BJ490" s="59"/>
      <c r="BK490" s="59"/>
      <c r="BL490" s="59"/>
      <c r="BM490" s="59"/>
      <c r="BN490" s="59"/>
      <c r="BO490" s="59"/>
    </row>
    <row r="491" spans="1:67" ht="19.5" customHeight="1" x14ac:dyDescent="0.15">
      <c r="A491" s="114" t="s">
        <v>1789</v>
      </c>
      <c r="B491" s="113" t="s">
        <v>1787</v>
      </c>
      <c r="C491" s="49"/>
      <c r="D491" s="48" t="s">
        <v>73</v>
      </c>
      <c r="E491" s="49"/>
      <c r="F491" s="50"/>
      <c r="G491" s="62"/>
      <c r="H491" s="48" t="s">
        <v>72</v>
      </c>
      <c r="I491" s="52">
        <v>1</v>
      </c>
      <c r="J491" s="52"/>
      <c r="K491" s="52" t="s">
        <v>73</v>
      </c>
      <c r="L491" s="52" t="s">
        <v>74</v>
      </c>
      <c r="M491" s="53" t="s">
        <v>917</v>
      </c>
      <c r="N491" s="58" t="s">
        <v>73</v>
      </c>
      <c r="O491" s="48" t="s">
        <v>72</v>
      </c>
      <c r="P491" s="48" t="s">
        <v>73</v>
      </c>
      <c r="Q491" s="54" t="s">
        <v>73</v>
      </c>
      <c r="R491" s="55" t="s">
        <v>73</v>
      </c>
      <c r="S491" s="48" t="s">
        <v>73</v>
      </c>
      <c r="T491" s="121" t="str" cm="1">
        <f t="array" ref="T491">IF(ISNUMBER(SEARCH("SCHNEIDER",D491)),_xlfn.IFS(ISNUMBER(SEARCH("2 Querétaro",D491)),"SQ2",ISNUMBER(SEARCH("Xicohténcatl",D491)),"SXC",ISNUMBER(SEARCH("Rojo Gómez",D491)),"SRG",ISNUMBER(SEARCH("Tlaxcala",D491)),"STX",ISNUMBER(SEARCH("Monterrey",D491)),"SMY",ISNUMBER(SEARCH("Querétaro",D491)),"SQ1",ISNUMBER(SEARCH("CDMX",D491)),"SCM",TRUE,""),"")</f>
        <v/>
      </c>
      <c r="U491" s="48" t="str" cm="1">
        <f t="array" ref="U491">_xlfn.LET(_xlpm.resultados,_xlfn.UNIQUE(_xlfn._xlws.FILTER(Tabla1[Proceso],(Tabla1[Metal Base]=O491)*(Tabla1[Etiquetas]=_xlfn.TEXTJOIN(" + ",TRUE,IF((TRIM(Upload!P491:S491)="")+(LOWER(TRIM(Upload!P491:S491))="(seleccione)"),"",PROPER(TRIM(Upload!P491:S491)))))*(Tabla1[Línea2]=IFERROR(VLOOKUP(Upload!N491&amp;"*",CAT_Procesos!D:D,1,FALSE),"")))),_xlpm.cantidad,ROWS(_xlpm.resultados),IF(ISERROR(_xlpm.cantidad),"Combinación no existente",IF(_xlpm.cantidad=1,INDEX(_xlpm.resultados,1),"(seleccione)")))</f>
        <v>Combinación no existente</v>
      </c>
      <c r="V491" s="55" t="s">
        <v>73</v>
      </c>
      <c r="W491" s="56" t="s">
        <v>73</v>
      </c>
      <c r="X491" s="57" t="str">
        <f t="shared" si="28"/>
        <v/>
      </c>
      <c r="Y491" s="58" t="s">
        <v>73</v>
      </c>
      <c r="Z491" s="57" t="str">
        <f t="shared" si="29"/>
        <v/>
      </c>
      <c r="AA491" s="58" t="s">
        <v>73</v>
      </c>
      <c r="AB491" s="57" t="str">
        <f t="shared" si="30"/>
        <v/>
      </c>
      <c r="AC491" s="58" t="s">
        <v>73</v>
      </c>
      <c r="AD491" s="57" t="str">
        <f t="shared" si="31"/>
        <v/>
      </c>
      <c r="AE491" s="59"/>
      <c r="AF491" s="59"/>
      <c r="AG491" s="59"/>
      <c r="AH491" s="59"/>
      <c r="AI491" s="59" t="s">
        <v>73</v>
      </c>
      <c r="AJ491" s="59"/>
      <c r="AK491" s="59" t="s">
        <v>73</v>
      </c>
      <c r="AL491" s="59"/>
      <c r="AM491" s="59" t="s">
        <v>73</v>
      </c>
      <c r="AN491" s="59"/>
      <c r="AO491" s="59" t="s">
        <v>73</v>
      </c>
      <c r="AP491" s="59"/>
      <c r="AQ491" s="59" t="s">
        <v>73</v>
      </c>
      <c r="AR491" s="59"/>
      <c r="AS491" s="59" t="s">
        <v>72</v>
      </c>
      <c r="AT491" s="59"/>
      <c r="AU491" s="59"/>
      <c r="AV491" s="59"/>
      <c r="AW491" s="59"/>
      <c r="AX491" s="59"/>
      <c r="AY491" s="60" t="str">
        <f>IF('Cálculo MP'!K501="","",'Cálculo MP'!K501)</f>
        <v/>
      </c>
      <c r="AZ491" s="60" t="str">
        <f>IF('Cálculo MP'!L501="","",'Cálculo MP'!L501)</f>
        <v/>
      </c>
      <c r="BA491" s="60" t="str">
        <f>IF('Cálculo MP'!M501="","",'Cálculo MP'!M501)</f>
        <v/>
      </c>
      <c r="BB491" s="60" t="str">
        <f>IF('Cálculo MP'!N501="","",'Cálculo MP'!N501)</f>
        <v/>
      </c>
      <c r="BC491" s="60" t="str">
        <f>IF('Cálculo MP'!O501="","",'Cálculo MP'!O501)</f>
        <v/>
      </c>
      <c r="BD491" s="60" t="str">
        <f>IF('Cálculo MP'!P501="","",'Cálculo MP'!P501)</f>
        <v/>
      </c>
      <c r="BE491" s="60" t="str">
        <f>IF('Cálculo MP'!Q501="","",'Cálculo MP'!Q501)</f>
        <v/>
      </c>
      <c r="BF491" s="60" t="str">
        <f>IF('Cálculo MP'!R501="","",'Cálculo MP'!R501)</f>
        <v/>
      </c>
      <c r="BG491" s="60" t="str">
        <f>IF('Cálculo MP'!S501="","",'Cálculo MP'!S501)</f>
        <v/>
      </c>
      <c r="BH491" s="59"/>
      <c r="BI491" s="59"/>
      <c r="BJ491" s="59"/>
      <c r="BK491" s="59"/>
      <c r="BL491" s="59"/>
      <c r="BM491" s="59"/>
      <c r="BN491" s="59"/>
      <c r="BO491" s="59"/>
    </row>
    <row r="492" spans="1:67" ht="19.5" customHeight="1" x14ac:dyDescent="0.15">
      <c r="A492" s="114" t="s">
        <v>1789</v>
      </c>
      <c r="B492" s="113" t="s">
        <v>1787</v>
      </c>
      <c r="C492" s="49"/>
      <c r="D492" s="48" t="s">
        <v>73</v>
      </c>
      <c r="E492" s="49"/>
      <c r="F492" s="50"/>
      <c r="G492" s="62"/>
      <c r="H492" s="48" t="s">
        <v>72</v>
      </c>
      <c r="I492" s="52">
        <v>1</v>
      </c>
      <c r="J492" s="52"/>
      <c r="K492" s="52" t="s">
        <v>73</v>
      </c>
      <c r="L492" s="52" t="s">
        <v>74</v>
      </c>
      <c r="M492" s="53" t="s">
        <v>917</v>
      </c>
      <c r="N492" s="58" t="s">
        <v>73</v>
      </c>
      <c r="O492" s="48" t="s">
        <v>72</v>
      </c>
      <c r="P492" s="48" t="s">
        <v>73</v>
      </c>
      <c r="Q492" s="54" t="s">
        <v>73</v>
      </c>
      <c r="R492" s="55" t="s">
        <v>73</v>
      </c>
      <c r="S492" s="48" t="s">
        <v>73</v>
      </c>
      <c r="T492" s="121" t="str" cm="1">
        <f t="array" ref="T492">IF(ISNUMBER(SEARCH("SCHNEIDER",D492)),_xlfn.IFS(ISNUMBER(SEARCH("2 Querétaro",D492)),"SQ2",ISNUMBER(SEARCH("Xicohténcatl",D492)),"SXC",ISNUMBER(SEARCH("Rojo Gómez",D492)),"SRG",ISNUMBER(SEARCH("Tlaxcala",D492)),"STX",ISNUMBER(SEARCH("Monterrey",D492)),"SMY",ISNUMBER(SEARCH("Querétaro",D492)),"SQ1",ISNUMBER(SEARCH("CDMX",D492)),"SCM",TRUE,""),"")</f>
        <v/>
      </c>
      <c r="U492" s="48" t="str" cm="1">
        <f t="array" ref="U492">_xlfn.LET(_xlpm.resultados,_xlfn.UNIQUE(_xlfn._xlws.FILTER(Tabla1[Proceso],(Tabla1[Metal Base]=O492)*(Tabla1[Etiquetas]=_xlfn.TEXTJOIN(" + ",TRUE,IF((TRIM(Upload!P492:S492)="")+(LOWER(TRIM(Upload!P492:S492))="(seleccione)"),"",PROPER(TRIM(Upload!P492:S492)))))*(Tabla1[Línea2]=IFERROR(VLOOKUP(Upload!N492&amp;"*",CAT_Procesos!D:D,1,FALSE),"")))),_xlpm.cantidad,ROWS(_xlpm.resultados),IF(ISERROR(_xlpm.cantidad),"Combinación no existente",IF(_xlpm.cantidad=1,INDEX(_xlpm.resultados,1),"(seleccione)")))</f>
        <v>Combinación no existente</v>
      </c>
      <c r="V492" s="55" t="s">
        <v>73</v>
      </c>
      <c r="W492" s="56" t="s">
        <v>73</v>
      </c>
      <c r="X492" s="57" t="str">
        <f t="shared" si="28"/>
        <v/>
      </c>
      <c r="Y492" s="58" t="s">
        <v>73</v>
      </c>
      <c r="Z492" s="57" t="str">
        <f t="shared" si="29"/>
        <v/>
      </c>
      <c r="AA492" s="58" t="s">
        <v>73</v>
      </c>
      <c r="AB492" s="57" t="str">
        <f t="shared" si="30"/>
        <v/>
      </c>
      <c r="AC492" s="58" t="s">
        <v>73</v>
      </c>
      <c r="AD492" s="57" t="str">
        <f t="shared" si="31"/>
        <v/>
      </c>
      <c r="AE492" s="59"/>
      <c r="AF492" s="59"/>
      <c r="AG492" s="59"/>
      <c r="AH492" s="59"/>
      <c r="AI492" s="59" t="s">
        <v>73</v>
      </c>
      <c r="AJ492" s="59"/>
      <c r="AK492" s="59" t="s">
        <v>73</v>
      </c>
      <c r="AL492" s="59"/>
      <c r="AM492" s="59" t="s">
        <v>73</v>
      </c>
      <c r="AN492" s="59"/>
      <c r="AO492" s="59" t="s">
        <v>73</v>
      </c>
      <c r="AP492" s="59"/>
      <c r="AQ492" s="59" t="s">
        <v>73</v>
      </c>
      <c r="AR492" s="59"/>
      <c r="AS492" s="59" t="s">
        <v>72</v>
      </c>
      <c r="AT492" s="59"/>
      <c r="AU492" s="59"/>
      <c r="AV492" s="59"/>
      <c r="AW492" s="59"/>
      <c r="AX492" s="59"/>
      <c r="AY492" s="60" t="str">
        <f>IF('Cálculo MP'!K502="","",'Cálculo MP'!K502)</f>
        <v/>
      </c>
      <c r="AZ492" s="60" t="str">
        <f>IF('Cálculo MP'!L502="","",'Cálculo MP'!L502)</f>
        <v/>
      </c>
      <c r="BA492" s="60" t="str">
        <f>IF('Cálculo MP'!M502="","",'Cálculo MP'!M502)</f>
        <v/>
      </c>
      <c r="BB492" s="60" t="str">
        <f>IF('Cálculo MP'!N502="","",'Cálculo MP'!N502)</f>
        <v/>
      </c>
      <c r="BC492" s="60" t="str">
        <f>IF('Cálculo MP'!O502="","",'Cálculo MP'!O502)</f>
        <v/>
      </c>
      <c r="BD492" s="60" t="str">
        <f>IF('Cálculo MP'!P502="","",'Cálculo MP'!P502)</f>
        <v/>
      </c>
      <c r="BE492" s="60" t="str">
        <f>IF('Cálculo MP'!Q502="","",'Cálculo MP'!Q502)</f>
        <v/>
      </c>
      <c r="BF492" s="60" t="str">
        <f>IF('Cálculo MP'!R502="","",'Cálculo MP'!R502)</f>
        <v/>
      </c>
      <c r="BG492" s="60" t="str">
        <f>IF('Cálculo MP'!S502="","",'Cálculo MP'!S502)</f>
        <v/>
      </c>
      <c r="BH492" s="59"/>
      <c r="BI492" s="59"/>
      <c r="BJ492" s="59"/>
      <c r="BK492" s="59"/>
      <c r="BL492" s="59"/>
      <c r="BM492" s="59"/>
      <c r="BN492" s="59"/>
      <c r="BO492" s="59"/>
    </row>
    <row r="493" spans="1:67" ht="19.5" customHeight="1" x14ac:dyDescent="0.15">
      <c r="A493" s="114" t="s">
        <v>1789</v>
      </c>
      <c r="B493" s="113" t="s">
        <v>1787</v>
      </c>
      <c r="C493" s="49"/>
      <c r="D493" s="48" t="s">
        <v>73</v>
      </c>
      <c r="E493" s="49"/>
      <c r="F493" s="50"/>
      <c r="G493" s="62"/>
      <c r="H493" s="48" t="s">
        <v>72</v>
      </c>
      <c r="I493" s="52">
        <v>1</v>
      </c>
      <c r="J493" s="52"/>
      <c r="K493" s="52" t="s">
        <v>73</v>
      </c>
      <c r="L493" s="52" t="s">
        <v>74</v>
      </c>
      <c r="M493" s="53" t="s">
        <v>917</v>
      </c>
      <c r="N493" s="58" t="s">
        <v>73</v>
      </c>
      <c r="O493" s="48" t="s">
        <v>72</v>
      </c>
      <c r="P493" s="48" t="s">
        <v>73</v>
      </c>
      <c r="Q493" s="54" t="s">
        <v>73</v>
      </c>
      <c r="R493" s="55" t="s">
        <v>73</v>
      </c>
      <c r="S493" s="48" t="s">
        <v>73</v>
      </c>
      <c r="T493" s="121" t="str" cm="1">
        <f t="array" ref="T493">IF(ISNUMBER(SEARCH("SCHNEIDER",D493)),_xlfn.IFS(ISNUMBER(SEARCH("2 Querétaro",D493)),"SQ2",ISNUMBER(SEARCH("Xicohténcatl",D493)),"SXC",ISNUMBER(SEARCH("Rojo Gómez",D493)),"SRG",ISNUMBER(SEARCH("Tlaxcala",D493)),"STX",ISNUMBER(SEARCH("Monterrey",D493)),"SMY",ISNUMBER(SEARCH("Querétaro",D493)),"SQ1",ISNUMBER(SEARCH("CDMX",D493)),"SCM",TRUE,""),"")</f>
        <v/>
      </c>
      <c r="U493" s="48" t="str" cm="1">
        <f t="array" ref="U493">_xlfn.LET(_xlpm.resultados,_xlfn.UNIQUE(_xlfn._xlws.FILTER(Tabla1[Proceso],(Tabla1[Metal Base]=O493)*(Tabla1[Etiquetas]=_xlfn.TEXTJOIN(" + ",TRUE,IF((TRIM(Upload!P493:S493)="")+(LOWER(TRIM(Upload!P493:S493))="(seleccione)"),"",PROPER(TRIM(Upload!P493:S493)))))*(Tabla1[Línea2]=IFERROR(VLOOKUP(Upload!N493&amp;"*",CAT_Procesos!D:D,1,FALSE),"")))),_xlpm.cantidad,ROWS(_xlpm.resultados),IF(ISERROR(_xlpm.cantidad),"Combinación no existente",IF(_xlpm.cantidad=1,INDEX(_xlpm.resultados,1),"(seleccione)")))</f>
        <v>Combinación no existente</v>
      </c>
      <c r="V493" s="55" t="s">
        <v>73</v>
      </c>
      <c r="W493" s="56" t="s">
        <v>73</v>
      </c>
      <c r="X493" s="57" t="str">
        <f t="shared" si="28"/>
        <v/>
      </c>
      <c r="Y493" s="58" t="s">
        <v>73</v>
      </c>
      <c r="Z493" s="57" t="str">
        <f t="shared" si="29"/>
        <v/>
      </c>
      <c r="AA493" s="58" t="s">
        <v>73</v>
      </c>
      <c r="AB493" s="57" t="str">
        <f t="shared" si="30"/>
        <v/>
      </c>
      <c r="AC493" s="58" t="s">
        <v>73</v>
      </c>
      <c r="AD493" s="57" t="str">
        <f t="shared" si="31"/>
        <v/>
      </c>
      <c r="AE493" s="59"/>
      <c r="AF493" s="59"/>
      <c r="AG493" s="59"/>
      <c r="AH493" s="59"/>
      <c r="AI493" s="59" t="s">
        <v>73</v>
      </c>
      <c r="AJ493" s="59"/>
      <c r="AK493" s="59" t="s">
        <v>73</v>
      </c>
      <c r="AL493" s="59"/>
      <c r="AM493" s="59" t="s">
        <v>73</v>
      </c>
      <c r="AN493" s="59"/>
      <c r="AO493" s="59" t="s">
        <v>73</v>
      </c>
      <c r="AP493" s="59"/>
      <c r="AQ493" s="59" t="s">
        <v>73</v>
      </c>
      <c r="AR493" s="59"/>
      <c r="AS493" s="59" t="s">
        <v>72</v>
      </c>
      <c r="AT493" s="59"/>
      <c r="AU493" s="59"/>
      <c r="AV493" s="59"/>
      <c r="AW493" s="59"/>
      <c r="AX493" s="59"/>
      <c r="AY493" s="60" t="str">
        <f>IF('Cálculo MP'!K503="","",'Cálculo MP'!K503)</f>
        <v/>
      </c>
      <c r="AZ493" s="60" t="str">
        <f>IF('Cálculo MP'!L503="","",'Cálculo MP'!L503)</f>
        <v/>
      </c>
      <c r="BA493" s="60" t="str">
        <f>IF('Cálculo MP'!M503="","",'Cálculo MP'!M503)</f>
        <v/>
      </c>
      <c r="BB493" s="60" t="str">
        <f>IF('Cálculo MP'!N503="","",'Cálculo MP'!N503)</f>
        <v/>
      </c>
      <c r="BC493" s="60" t="str">
        <f>IF('Cálculo MP'!O503="","",'Cálculo MP'!O503)</f>
        <v/>
      </c>
      <c r="BD493" s="60" t="str">
        <f>IF('Cálculo MP'!P503="","",'Cálculo MP'!P503)</f>
        <v/>
      </c>
      <c r="BE493" s="60" t="str">
        <f>IF('Cálculo MP'!Q503="","",'Cálculo MP'!Q503)</f>
        <v/>
      </c>
      <c r="BF493" s="60" t="str">
        <f>IF('Cálculo MP'!R503="","",'Cálculo MP'!R503)</f>
        <v/>
      </c>
      <c r="BG493" s="60" t="str">
        <f>IF('Cálculo MP'!S503="","",'Cálculo MP'!S503)</f>
        <v/>
      </c>
      <c r="BH493" s="59"/>
      <c r="BI493" s="59"/>
      <c r="BJ493" s="59"/>
      <c r="BK493" s="59"/>
      <c r="BL493" s="59"/>
      <c r="BM493" s="59"/>
      <c r="BN493" s="59"/>
      <c r="BO493" s="59"/>
    </row>
    <row r="494" spans="1:67" ht="19.5" customHeight="1" x14ac:dyDescent="0.15">
      <c r="A494" s="114" t="s">
        <v>1789</v>
      </c>
      <c r="B494" s="113" t="s">
        <v>1787</v>
      </c>
      <c r="C494" s="49"/>
      <c r="D494" s="48" t="s">
        <v>73</v>
      </c>
      <c r="E494" s="49"/>
      <c r="F494" s="50"/>
      <c r="G494" s="62"/>
      <c r="H494" s="48" t="s">
        <v>72</v>
      </c>
      <c r="I494" s="52">
        <v>1</v>
      </c>
      <c r="J494" s="52"/>
      <c r="K494" s="52" t="s">
        <v>73</v>
      </c>
      <c r="L494" s="52" t="s">
        <v>74</v>
      </c>
      <c r="M494" s="53" t="s">
        <v>917</v>
      </c>
      <c r="N494" s="58" t="s">
        <v>73</v>
      </c>
      <c r="O494" s="48" t="s">
        <v>72</v>
      </c>
      <c r="P494" s="48" t="s">
        <v>73</v>
      </c>
      <c r="Q494" s="54" t="s">
        <v>73</v>
      </c>
      <c r="R494" s="55" t="s">
        <v>73</v>
      </c>
      <c r="S494" s="48" t="s">
        <v>73</v>
      </c>
      <c r="T494" s="121" t="str" cm="1">
        <f t="array" ref="T494">IF(ISNUMBER(SEARCH("SCHNEIDER",D494)),_xlfn.IFS(ISNUMBER(SEARCH("2 Querétaro",D494)),"SQ2",ISNUMBER(SEARCH("Xicohténcatl",D494)),"SXC",ISNUMBER(SEARCH("Rojo Gómez",D494)),"SRG",ISNUMBER(SEARCH("Tlaxcala",D494)),"STX",ISNUMBER(SEARCH("Monterrey",D494)),"SMY",ISNUMBER(SEARCH("Querétaro",D494)),"SQ1",ISNUMBER(SEARCH("CDMX",D494)),"SCM",TRUE,""),"")</f>
        <v/>
      </c>
      <c r="U494" s="48" t="str" cm="1">
        <f t="array" ref="U494">_xlfn.LET(_xlpm.resultados,_xlfn.UNIQUE(_xlfn._xlws.FILTER(Tabla1[Proceso],(Tabla1[Metal Base]=O494)*(Tabla1[Etiquetas]=_xlfn.TEXTJOIN(" + ",TRUE,IF((TRIM(Upload!P494:S494)="")+(LOWER(TRIM(Upload!P494:S494))="(seleccione)"),"",PROPER(TRIM(Upload!P494:S494)))))*(Tabla1[Línea2]=IFERROR(VLOOKUP(Upload!N494&amp;"*",CAT_Procesos!D:D,1,FALSE),"")))),_xlpm.cantidad,ROWS(_xlpm.resultados),IF(ISERROR(_xlpm.cantidad),"Combinación no existente",IF(_xlpm.cantidad=1,INDEX(_xlpm.resultados,1),"(seleccione)")))</f>
        <v>Combinación no existente</v>
      </c>
      <c r="V494" s="55" t="s">
        <v>73</v>
      </c>
      <c r="W494" s="56" t="s">
        <v>73</v>
      </c>
      <c r="X494" s="57" t="str">
        <f t="shared" si="28"/>
        <v/>
      </c>
      <c r="Y494" s="58" t="s">
        <v>73</v>
      </c>
      <c r="Z494" s="57" t="str">
        <f t="shared" si="29"/>
        <v/>
      </c>
      <c r="AA494" s="58" t="s">
        <v>73</v>
      </c>
      <c r="AB494" s="57" t="str">
        <f t="shared" si="30"/>
        <v/>
      </c>
      <c r="AC494" s="58" t="s">
        <v>73</v>
      </c>
      <c r="AD494" s="57" t="str">
        <f t="shared" si="31"/>
        <v/>
      </c>
      <c r="AE494" s="59"/>
      <c r="AF494" s="59"/>
      <c r="AG494" s="59"/>
      <c r="AH494" s="59"/>
      <c r="AI494" s="59" t="s">
        <v>73</v>
      </c>
      <c r="AJ494" s="59"/>
      <c r="AK494" s="59" t="s">
        <v>73</v>
      </c>
      <c r="AL494" s="59"/>
      <c r="AM494" s="59" t="s">
        <v>73</v>
      </c>
      <c r="AN494" s="59"/>
      <c r="AO494" s="59" t="s">
        <v>73</v>
      </c>
      <c r="AP494" s="59"/>
      <c r="AQ494" s="59" t="s">
        <v>73</v>
      </c>
      <c r="AR494" s="59"/>
      <c r="AS494" s="59" t="s">
        <v>72</v>
      </c>
      <c r="AT494" s="59"/>
      <c r="AU494" s="59"/>
      <c r="AV494" s="59"/>
      <c r="AW494" s="59"/>
      <c r="AX494" s="59"/>
      <c r="AY494" s="60" t="str">
        <f>IF('Cálculo MP'!K504="","",'Cálculo MP'!K504)</f>
        <v/>
      </c>
      <c r="AZ494" s="60" t="str">
        <f>IF('Cálculo MP'!L504="","",'Cálculo MP'!L504)</f>
        <v/>
      </c>
      <c r="BA494" s="60" t="str">
        <f>IF('Cálculo MP'!M504="","",'Cálculo MP'!M504)</f>
        <v/>
      </c>
      <c r="BB494" s="60" t="str">
        <f>IF('Cálculo MP'!N504="","",'Cálculo MP'!N504)</f>
        <v/>
      </c>
      <c r="BC494" s="60" t="str">
        <f>IF('Cálculo MP'!O504="","",'Cálculo MP'!O504)</f>
        <v/>
      </c>
      <c r="BD494" s="60" t="str">
        <f>IF('Cálculo MP'!P504="","",'Cálculo MP'!P504)</f>
        <v/>
      </c>
      <c r="BE494" s="60" t="str">
        <f>IF('Cálculo MP'!Q504="","",'Cálculo MP'!Q504)</f>
        <v/>
      </c>
      <c r="BF494" s="60" t="str">
        <f>IF('Cálculo MP'!R504="","",'Cálculo MP'!R504)</f>
        <v/>
      </c>
      <c r="BG494" s="60" t="str">
        <f>IF('Cálculo MP'!S504="","",'Cálculo MP'!S504)</f>
        <v/>
      </c>
      <c r="BH494" s="59"/>
      <c r="BI494" s="59"/>
      <c r="BJ494" s="59"/>
      <c r="BK494" s="59"/>
      <c r="BL494" s="59"/>
      <c r="BM494" s="59"/>
      <c r="BN494" s="59"/>
      <c r="BO494" s="59"/>
    </row>
    <row r="495" spans="1:67" ht="19.5" customHeight="1" x14ac:dyDescent="0.15">
      <c r="A495" s="114" t="s">
        <v>1789</v>
      </c>
      <c r="B495" s="113" t="s">
        <v>1787</v>
      </c>
      <c r="C495" s="49"/>
      <c r="D495" s="48" t="s">
        <v>73</v>
      </c>
      <c r="E495" s="49"/>
      <c r="F495" s="50"/>
      <c r="G495" s="62"/>
      <c r="H495" s="48" t="s">
        <v>72</v>
      </c>
      <c r="I495" s="52">
        <v>1</v>
      </c>
      <c r="J495" s="52"/>
      <c r="K495" s="52" t="s">
        <v>73</v>
      </c>
      <c r="L495" s="52" t="s">
        <v>74</v>
      </c>
      <c r="M495" s="53" t="s">
        <v>917</v>
      </c>
      <c r="N495" s="58" t="s">
        <v>73</v>
      </c>
      <c r="O495" s="48" t="s">
        <v>72</v>
      </c>
      <c r="P495" s="48" t="s">
        <v>73</v>
      </c>
      <c r="Q495" s="54" t="s">
        <v>73</v>
      </c>
      <c r="R495" s="55" t="s">
        <v>73</v>
      </c>
      <c r="S495" s="48" t="s">
        <v>73</v>
      </c>
      <c r="T495" s="121" t="str" cm="1">
        <f t="array" ref="T495">IF(ISNUMBER(SEARCH("SCHNEIDER",D495)),_xlfn.IFS(ISNUMBER(SEARCH("2 Querétaro",D495)),"SQ2",ISNUMBER(SEARCH("Xicohténcatl",D495)),"SXC",ISNUMBER(SEARCH("Rojo Gómez",D495)),"SRG",ISNUMBER(SEARCH("Tlaxcala",D495)),"STX",ISNUMBER(SEARCH("Monterrey",D495)),"SMY",ISNUMBER(SEARCH("Querétaro",D495)),"SQ1",ISNUMBER(SEARCH("CDMX",D495)),"SCM",TRUE,""),"")</f>
        <v/>
      </c>
      <c r="U495" s="48" t="str" cm="1">
        <f t="array" ref="U495">_xlfn.LET(_xlpm.resultados,_xlfn.UNIQUE(_xlfn._xlws.FILTER(Tabla1[Proceso],(Tabla1[Metal Base]=O495)*(Tabla1[Etiquetas]=_xlfn.TEXTJOIN(" + ",TRUE,IF((TRIM(Upload!P495:S495)="")+(LOWER(TRIM(Upload!P495:S495))="(seleccione)"),"",PROPER(TRIM(Upload!P495:S495)))))*(Tabla1[Línea2]=IFERROR(VLOOKUP(Upload!N495&amp;"*",CAT_Procesos!D:D,1,FALSE),"")))),_xlpm.cantidad,ROWS(_xlpm.resultados),IF(ISERROR(_xlpm.cantidad),"Combinación no existente",IF(_xlpm.cantidad=1,INDEX(_xlpm.resultados,1),"(seleccione)")))</f>
        <v>Combinación no existente</v>
      </c>
      <c r="V495" s="55" t="s">
        <v>73</v>
      </c>
      <c r="W495" s="56" t="s">
        <v>73</v>
      </c>
      <c r="X495" s="57" t="str">
        <f t="shared" si="28"/>
        <v/>
      </c>
      <c r="Y495" s="58" t="s">
        <v>73</v>
      </c>
      <c r="Z495" s="57" t="str">
        <f t="shared" si="29"/>
        <v/>
      </c>
      <c r="AA495" s="58" t="s">
        <v>73</v>
      </c>
      <c r="AB495" s="57" t="str">
        <f t="shared" si="30"/>
        <v/>
      </c>
      <c r="AC495" s="58" t="s">
        <v>73</v>
      </c>
      <c r="AD495" s="57" t="str">
        <f t="shared" si="31"/>
        <v/>
      </c>
      <c r="AE495" s="59"/>
      <c r="AF495" s="59"/>
      <c r="AG495" s="59"/>
      <c r="AH495" s="59"/>
      <c r="AI495" s="59" t="s">
        <v>73</v>
      </c>
      <c r="AJ495" s="59"/>
      <c r="AK495" s="59" t="s">
        <v>73</v>
      </c>
      <c r="AL495" s="59"/>
      <c r="AM495" s="59" t="s">
        <v>73</v>
      </c>
      <c r="AN495" s="59"/>
      <c r="AO495" s="59" t="s">
        <v>73</v>
      </c>
      <c r="AP495" s="59"/>
      <c r="AQ495" s="59" t="s">
        <v>73</v>
      </c>
      <c r="AR495" s="59"/>
      <c r="AS495" s="59" t="s">
        <v>72</v>
      </c>
      <c r="AT495" s="59"/>
      <c r="AU495" s="59"/>
      <c r="AV495" s="59"/>
      <c r="AW495" s="59"/>
      <c r="AX495" s="59"/>
      <c r="AY495" s="60" t="str">
        <f>IF('Cálculo MP'!K505="","",'Cálculo MP'!K505)</f>
        <v/>
      </c>
      <c r="AZ495" s="60" t="str">
        <f>IF('Cálculo MP'!L505="","",'Cálculo MP'!L505)</f>
        <v/>
      </c>
      <c r="BA495" s="60" t="str">
        <f>IF('Cálculo MP'!M505="","",'Cálculo MP'!M505)</f>
        <v/>
      </c>
      <c r="BB495" s="60" t="str">
        <f>IF('Cálculo MP'!N505="","",'Cálculo MP'!N505)</f>
        <v/>
      </c>
      <c r="BC495" s="60" t="str">
        <f>IF('Cálculo MP'!O505="","",'Cálculo MP'!O505)</f>
        <v/>
      </c>
      <c r="BD495" s="60" t="str">
        <f>IF('Cálculo MP'!P505="","",'Cálculo MP'!P505)</f>
        <v/>
      </c>
      <c r="BE495" s="60" t="str">
        <f>IF('Cálculo MP'!Q505="","",'Cálculo MP'!Q505)</f>
        <v/>
      </c>
      <c r="BF495" s="60" t="str">
        <f>IF('Cálculo MP'!R505="","",'Cálculo MP'!R505)</f>
        <v/>
      </c>
      <c r="BG495" s="60" t="str">
        <f>IF('Cálculo MP'!S505="","",'Cálculo MP'!S505)</f>
        <v/>
      </c>
      <c r="BH495" s="59"/>
      <c r="BI495" s="59"/>
      <c r="BJ495" s="59"/>
      <c r="BK495" s="59"/>
      <c r="BL495" s="59"/>
      <c r="BM495" s="59"/>
      <c r="BN495" s="59"/>
      <c r="BO495" s="59"/>
    </row>
    <row r="496" spans="1:67" ht="19.5" customHeight="1" x14ac:dyDescent="0.15">
      <c r="A496" s="114" t="s">
        <v>1789</v>
      </c>
      <c r="B496" s="113" t="s">
        <v>1787</v>
      </c>
      <c r="C496" s="49"/>
      <c r="D496" s="48" t="s">
        <v>73</v>
      </c>
      <c r="E496" s="49"/>
      <c r="F496" s="50"/>
      <c r="G496" s="62"/>
      <c r="H496" s="48" t="s">
        <v>72</v>
      </c>
      <c r="I496" s="52">
        <v>1</v>
      </c>
      <c r="J496" s="52"/>
      <c r="K496" s="52" t="s">
        <v>73</v>
      </c>
      <c r="L496" s="52" t="s">
        <v>74</v>
      </c>
      <c r="M496" s="53" t="s">
        <v>917</v>
      </c>
      <c r="N496" s="58" t="s">
        <v>73</v>
      </c>
      <c r="O496" s="48" t="s">
        <v>72</v>
      </c>
      <c r="P496" s="48" t="s">
        <v>73</v>
      </c>
      <c r="Q496" s="54" t="s">
        <v>73</v>
      </c>
      <c r="R496" s="55" t="s">
        <v>73</v>
      </c>
      <c r="S496" s="48" t="s">
        <v>73</v>
      </c>
      <c r="T496" s="121" t="str" cm="1">
        <f t="array" ref="T496">IF(ISNUMBER(SEARCH("SCHNEIDER",D496)),_xlfn.IFS(ISNUMBER(SEARCH("2 Querétaro",D496)),"SQ2",ISNUMBER(SEARCH("Xicohténcatl",D496)),"SXC",ISNUMBER(SEARCH("Rojo Gómez",D496)),"SRG",ISNUMBER(SEARCH("Tlaxcala",D496)),"STX",ISNUMBER(SEARCH("Monterrey",D496)),"SMY",ISNUMBER(SEARCH("Querétaro",D496)),"SQ1",ISNUMBER(SEARCH("CDMX",D496)),"SCM",TRUE,""),"")</f>
        <v/>
      </c>
      <c r="U496" s="48" t="str" cm="1">
        <f t="array" ref="U496">_xlfn.LET(_xlpm.resultados,_xlfn.UNIQUE(_xlfn._xlws.FILTER(Tabla1[Proceso],(Tabla1[Metal Base]=O496)*(Tabla1[Etiquetas]=_xlfn.TEXTJOIN(" + ",TRUE,IF((TRIM(Upload!P496:S496)="")+(LOWER(TRIM(Upload!P496:S496))="(seleccione)"),"",PROPER(TRIM(Upload!P496:S496)))))*(Tabla1[Línea2]=IFERROR(VLOOKUP(Upload!N496&amp;"*",CAT_Procesos!D:D,1,FALSE),"")))),_xlpm.cantidad,ROWS(_xlpm.resultados),IF(ISERROR(_xlpm.cantidad),"Combinación no existente",IF(_xlpm.cantidad=1,INDEX(_xlpm.resultados,1),"(seleccione)")))</f>
        <v>Combinación no existente</v>
      </c>
      <c r="V496" s="55" t="s">
        <v>73</v>
      </c>
      <c r="W496" s="56" t="s">
        <v>73</v>
      </c>
      <c r="X496" s="57" t="str">
        <f t="shared" si="28"/>
        <v/>
      </c>
      <c r="Y496" s="58" t="s">
        <v>73</v>
      </c>
      <c r="Z496" s="57" t="str">
        <f t="shared" si="29"/>
        <v/>
      </c>
      <c r="AA496" s="58" t="s">
        <v>73</v>
      </c>
      <c r="AB496" s="57" t="str">
        <f t="shared" si="30"/>
        <v/>
      </c>
      <c r="AC496" s="58" t="s">
        <v>73</v>
      </c>
      <c r="AD496" s="57" t="str">
        <f t="shared" si="31"/>
        <v/>
      </c>
      <c r="AE496" s="59"/>
      <c r="AF496" s="59"/>
      <c r="AG496" s="59"/>
      <c r="AH496" s="59"/>
      <c r="AI496" s="59" t="s">
        <v>73</v>
      </c>
      <c r="AJ496" s="59"/>
      <c r="AK496" s="59" t="s">
        <v>73</v>
      </c>
      <c r="AL496" s="59"/>
      <c r="AM496" s="59" t="s">
        <v>73</v>
      </c>
      <c r="AN496" s="59"/>
      <c r="AO496" s="59" t="s">
        <v>73</v>
      </c>
      <c r="AP496" s="59"/>
      <c r="AQ496" s="59" t="s">
        <v>73</v>
      </c>
      <c r="AR496" s="59"/>
      <c r="AS496" s="59" t="s">
        <v>72</v>
      </c>
      <c r="AT496" s="59"/>
      <c r="AU496" s="59"/>
      <c r="AV496" s="59"/>
      <c r="AW496" s="59"/>
      <c r="AX496" s="59"/>
      <c r="AY496" s="60" t="str">
        <f>IF('Cálculo MP'!K506="","",'Cálculo MP'!K506)</f>
        <v/>
      </c>
      <c r="AZ496" s="60" t="str">
        <f>IF('Cálculo MP'!L506="","",'Cálculo MP'!L506)</f>
        <v/>
      </c>
      <c r="BA496" s="60" t="str">
        <f>IF('Cálculo MP'!M506="","",'Cálculo MP'!M506)</f>
        <v/>
      </c>
      <c r="BB496" s="60" t="str">
        <f>IF('Cálculo MP'!N506="","",'Cálculo MP'!N506)</f>
        <v/>
      </c>
      <c r="BC496" s="60" t="str">
        <f>IF('Cálculo MP'!O506="","",'Cálculo MP'!O506)</f>
        <v/>
      </c>
      <c r="BD496" s="60" t="str">
        <f>IF('Cálculo MP'!P506="","",'Cálculo MP'!P506)</f>
        <v/>
      </c>
      <c r="BE496" s="60" t="str">
        <f>IF('Cálculo MP'!Q506="","",'Cálculo MP'!Q506)</f>
        <v/>
      </c>
      <c r="BF496" s="60" t="str">
        <f>IF('Cálculo MP'!R506="","",'Cálculo MP'!R506)</f>
        <v/>
      </c>
      <c r="BG496" s="60" t="str">
        <f>IF('Cálculo MP'!S506="","",'Cálculo MP'!S506)</f>
        <v/>
      </c>
      <c r="BH496" s="59"/>
      <c r="BI496" s="59"/>
      <c r="BJ496" s="59"/>
      <c r="BK496" s="59"/>
      <c r="BL496" s="59"/>
      <c r="BM496" s="59"/>
      <c r="BN496" s="59"/>
      <c r="BO496" s="59"/>
    </row>
    <row r="497" spans="1:67" ht="19.5" customHeight="1" x14ac:dyDescent="0.15">
      <c r="A497" s="114" t="s">
        <v>1789</v>
      </c>
      <c r="B497" s="113" t="s">
        <v>1787</v>
      </c>
      <c r="C497" s="49"/>
      <c r="D497" s="48" t="s">
        <v>73</v>
      </c>
      <c r="E497" s="49"/>
      <c r="F497" s="50"/>
      <c r="G497" s="62"/>
      <c r="H497" s="48" t="s">
        <v>72</v>
      </c>
      <c r="I497" s="52">
        <v>1</v>
      </c>
      <c r="J497" s="52"/>
      <c r="K497" s="52" t="s">
        <v>73</v>
      </c>
      <c r="L497" s="52" t="s">
        <v>74</v>
      </c>
      <c r="M497" s="53" t="s">
        <v>917</v>
      </c>
      <c r="N497" s="58" t="s">
        <v>73</v>
      </c>
      <c r="O497" s="48" t="s">
        <v>72</v>
      </c>
      <c r="P497" s="48" t="s">
        <v>73</v>
      </c>
      <c r="Q497" s="54" t="s">
        <v>73</v>
      </c>
      <c r="R497" s="55" t="s">
        <v>73</v>
      </c>
      <c r="S497" s="48" t="s">
        <v>73</v>
      </c>
      <c r="T497" s="121" t="str" cm="1">
        <f t="array" ref="T497">IF(ISNUMBER(SEARCH("SCHNEIDER",D497)),_xlfn.IFS(ISNUMBER(SEARCH("2 Querétaro",D497)),"SQ2",ISNUMBER(SEARCH("Xicohténcatl",D497)),"SXC",ISNUMBER(SEARCH("Rojo Gómez",D497)),"SRG",ISNUMBER(SEARCH("Tlaxcala",D497)),"STX",ISNUMBER(SEARCH("Monterrey",D497)),"SMY",ISNUMBER(SEARCH("Querétaro",D497)),"SQ1",ISNUMBER(SEARCH("CDMX",D497)),"SCM",TRUE,""),"")</f>
        <v/>
      </c>
      <c r="U497" s="48" t="str" cm="1">
        <f t="array" ref="U497">_xlfn.LET(_xlpm.resultados,_xlfn.UNIQUE(_xlfn._xlws.FILTER(Tabla1[Proceso],(Tabla1[Metal Base]=O497)*(Tabla1[Etiquetas]=_xlfn.TEXTJOIN(" + ",TRUE,IF((TRIM(Upload!P497:S497)="")+(LOWER(TRIM(Upload!P497:S497))="(seleccione)"),"",PROPER(TRIM(Upload!P497:S497)))))*(Tabla1[Línea2]=IFERROR(VLOOKUP(Upload!N497&amp;"*",CAT_Procesos!D:D,1,FALSE),"")))),_xlpm.cantidad,ROWS(_xlpm.resultados),IF(ISERROR(_xlpm.cantidad),"Combinación no existente",IF(_xlpm.cantidad=1,INDEX(_xlpm.resultados,1),"(seleccione)")))</f>
        <v>Combinación no existente</v>
      </c>
      <c r="V497" s="55" t="s">
        <v>73</v>
      </c>
      <c r="W497" s="56" t="s">
        <v>73</v>
      </c>
      <c r="X497" s="57" t="str">
        <f t="shared" si="28"/>
        <v/>
      </c>
      <c r="Y497" s="58" t="s">
        <v>73</v>
      </c>
      <c r="Z497" s="57" t="str">
        <f t="shared" si="29"/>
        <v/>
      </c>
      <c r="AA497" s="58" t="s">
        <v>73</v>
      </c>
      <c r="AB497" s="57" t="str">
        <f t="shared" si="30"/>
        <v/>
      </c>
      <c r="AC497" s="58" t="s">
        <v>73</v>
      </c>
      <c r="AD497" s="57" t="str">
        <f t="shared" si="31"/>
        <v/>
      </c>
      <c r="AE497" s="59"/>
      <c r="AF497" s="59"/>
      <c r="AG497" s="59"/>
      <c r="AH497" s="59"/>
      <c r="AI497" s="59" t="s">
        <v>73</v>
      </c>
      <c r="AJ497" s="59"/>
      <c r="AK497" s="59" t="s">
        <v>73</v>
      </c>
      <c r="AL497" s="59"/>
      <c r="AM497" s="59" t="s">
        <v>73</v>
      </c>
      <c r="AN497" s="59"/>
      <c r="AO497" s="59" t="s">
        <v>73</v>
      </c>
      <c r="AP497" s="59"/>
      <c r="AQ497" s="59" t="s">
        <v>73</v>
      </c>
      <c r="AR497" s="59"/>
      <c r="AS497" s="59" t="s">
        <v>72</v>
      </c>
      <c r="AT497" s="59"/>
      <c r="AU497" s="59"/>
      <c r="AV497" s="59"/>
      <c r="AW497" s="59"/>
      <c r="AX497" s="59"/>
      <c r="AY497" s="60" t="str">
        <f>IF('Cálculo MP'!K507="","",'Cálculo MP'!K507)</f>
        <v/>
      </c>
      <c r="AZ497" s="60" t="str">
        <f>IF('Cálculo MP'!L507="","",'Cálculo MP'!L507)</f>
        <v/>
      </c>
      <c r="BA497" s="60" t="str">
        <f>IF('Cálculo MP'!M507="","",'Cálculo MP'!M507)</f>
        <v/>
      </c>
      <c r="BB497" s="60" t="str">
        <f>IF('Cálculo MP'!N507="","",'Cálculo MP'!N507)</f>
        <v/>
      </c>
      <c r="BC497" s="60" t="str">
        <f>IF('Cálculo MP'!O507="","",'Cálculo MP'!O507)</f>
        <v/>
      </c>
      <c r="BD497" s="60" t="str">
        <f>IF('Cálculo MP'!P507="","",'Cálculo MP'!P507)</f>
        <v/>
      </c>
      <c r="BE497" s="60" t="str">
        <f>IF('Cálculo MP'!Q507="","",'Cálculo MP'!Q507)</f>
        <v/>
      </c>
      <c r="BF497" s="60" t="str">
        <f>IF('Cálculo MP'!R507="","",'Cálculo MP'!R507)</f>
        <v/>
      </c>
      <c r="BG497" s="60" t="str">
        <f>IF('Cálculo MP'!S507="","",'Cálculo MP'!S507)</f>
        <v/>
      </c>
      <c r="BH497" s="59"/>
      <c r="BI497" s="59"/>
      <c r="BJ497" s="59"/>
      <c r="BK497" s="59"/>
      <c r="BL497" s="59"/>
      <c r="BM497" s="59"/>
      <c r="BN497" s="59"/>
      <c r="BO497" s="59"/>
    </row>
    <row r="498" spans="1:67" ht="19.5" customHeight="1" x14ac:dyDescent="0.15">
      <c r="A498" s="114" t="s">
        <v>1789</v>
      </c>
      <c r="B498" s="113" t="s">
        <v>1787</v>
      </c>
      <c r="C498" s="49"/>
      <c r="D498" s="48" t="s">
        <v>73</v>
      </c>
      <c r="E498" s="49"/>
      <c r="F498" s="50"/>
      <c r="G498" s="62"/>
      <c r="H498" s="48" t="s">
        <v>72</v>
      </c>
      <c r="I498" s="52">
        <v>1</v>
      </c>
      <c r="J498" s="52"/>
      <c r="K498" s="52" t="s">
        <v>73</v>
      </c>
      <c r="L498" s="52" t="s">
        <v>74</v>
      </c>
      <c r="M498" s="53" t="s">
        <v>917</v>
      </c>
      <c r="N498" s="58" t="s">
        <v>73</v>
      </c>
      <c r="O498" s="48" t="s">
        <v>72</v>
      </c>
      <c r="P498" s="48" t="s">
        <v>73</v>
      </c>
      <c r="Q498" s="54" t="s">
        <v>73</v>
      </c>
      <c r="R498" s="55" t="s">
        <v>73</v>
      </c>
      <c r="S498" s="48" t="s">
        <v>73</v>
      </c>
      <c r="T498" s="121" t="str" cm="1">
        <f t="array" ref="T498">IF(ISNUMBER(SEARCH("SCHNEIDER",D498)),_xlfn.IFS(ISNUMBER(SEARCH("2 Querétaro",D498)),"SQ2",ISNUMBER(SEARCH("Xicohténcatl",D498)),"SXC",ISNUMBER(SEARCH("Rojo Gómez",D498)),"SRG",ISNUMBER(SEARCH("Tlaxcala",D498)),"STX",ISNUMBER(SEARCH("Monterrey",D498)),"SMY",ISNUMBER(SEARCH("Querétaro",D498)),"SQ1",ISNUMBER(SEARCH("CDMX",D498)),"SCM",TRUE,""),"")</f>
        <v/>
      </c>
      <c r="U498" s="48" t="str" cm="1">
        <f t="array" ref="U498">_xlfn.LET(_xlpm.resultados,_xlfn.UNIQUE(_xlfn._xlws.FILTER(Tabla1[Proceso],(Tabla1[Metal Base]=O498)*(Tabla1[Etiquetas]=_xlfn.TEXTJOIN(" + ",TRUE,IF((TRIM(Upload!P498:S498)="")+(LOWER(TRIM(Upload!P498:S498))="(seleccione)"),"",PROPER(TRIM(Upload!P498:S498)))))*(Tabla1[Línea2]=IFERROR(VLOOKUP(Upload!N498&amp;"*",CAT_Procesos!D:D,1,FALSE),"")))),_xlpm.cantidad,ROWS(_xlpm.resultados),IF(ISERROR(_xlpm.cantidad),"Combinación no existente",IF(_xlpm.cantidad=1,INDEX(_xlpm.resultados,1),"(seleccione)")))</f>
        <v>Combinación no existente</v>
      </c>
      <c r="V498" s="55" t="s">
        <v>73</v>
      </c>
      <c r="W498" s="56" t="s">
        <v>73</v>
      </c>
      <c r="X498" s="57" t="str">
        <f t="shared" si="28"/>
        <v/>
      </c>
      <c r="Y498" s="58" t="s">
        <v>73</v>
      </c>
      <c r="Z498" s="57" t="str">
        <f t="shared" si="29"/>
        <v/>
      </c>
      <c r="AA498" s="58" t="s">
        <v>73</v>
      </c>
      <c r="AB498" s="57" t="str">
        <f t="shared" si="30"/>
        <v/>
      </c>
      <c r="AC498" s="58" t="s">
        <v>73</v>
      </c>
      <c r="AD498" s="57" t="str">
        <f t="shared" si="31"/>
        <v/>
      </c>
      <c r="AE498" s="59"/>
      <c r="AF498" s="59"/>
      <c r="AG498" s="59"/>
      <c r="AH498" s="59"/>
      <c r="AI498" s="59" t="s">
        <v>73</v>
      </c>
      <c r="AJ498" s="59"/>
      <c r="AK498" s="59" t="s">
        <v>73</v>
      </c>
      <c r="AL498" s="59"/>
      <c r="AM498" s="59" t="s">
        <v>73</v>
      </c>
      <c r="AN498" s="59"/>
      <c r="AO498" s="59" t="s">
        <v>73</v>
      </c>
      <c r="AP498" s="59"/>
      <c r="AQ498" s="59" t="s">
        <v>73</v>
      </c>
      <c r="AR498" s="59"/>
      <c r="AS498" s="59" t="s">
        <v>72</v>
      </c>
      <c r="AT498" s="59"/>
      <c r="AU498" s="59"/>
      <c r="AV498" s="59"/>
      <c r="AW498" s="59"/>
      <c r="AX498" s="59"/>
      <c r="AY498" s="60" t="str">
        <f>IF('Cálculo MP'!K508="","",'Cálculo MP'!K508)</f>
        <v/>
      </c>
      <c r="AZ498" s="60" t="str">
        <f>IF('Cálculo MP'!L508="","",'Cálculo MP'!L508)</f>
        <v/>
      </c>
      <c r="BA498" s="60" t="str">
        <f>IF('Cálculo MP'!M508="","",'Cálculo MP'!M508)</f>
        <v/>
      </c>
      <c r="BB498" s="60" t="str">
        <f>IF('Cálculo MP'!N508="","",'Cálculo MP'!N508)</f>
        <v/>
      </c>
      <c r="BC498" s="60" t="str">
        <f>IF('Cálculo MP'!O508="","",'Cálculo MP'!O508)</f>
        <v/>
      </c>
      <c r="BD498" s="60" t="str">
        <f>IF('Cálculo MP'!P508="","",'Cálculo MP'!P508)</f>
        <v/>
      </c>
      <c r="BE498" s="60" t="str">
        <f>IF('Cálculo MP'!Q508="","",'Cálculo MP'!Q508)</f>
        <v/>
      </c>
      <c r="BF498" s="60" t="str">
        <f>IF('Cálculo MP'!R508="","",'Cálculo MP'!R508)</f>
        <v/>
      </c>
      <c r="BG498" s="60" t="str">
        <f>IF('Cálculo MP'!S508="","",'Cálculo MP'!S508)</f>
        <v/>
      </c>
      <c r="BH498" s="59"/>
      <c r="BI498" s="59"/>
      <c r="BJ498" s="59"/>
      <c r="BK498" s="59"/>
      <c r="BL498" s="59"/>
      <c r="BM498" s="59"/>
      <c r="BN498" s="59"/>
      <c r="BO498" s="59"/>
    </row>
    <row r="499" spans="1:67" ht="19.5" customHeight="1" x14ac:dyDescent="0.15">
      <c r="A499" s="114" t="s">
        <v>1789</v>
      </c>
      <c r="B499" s="113" t="s">
        <v>1787</v>
      </c>
      <c r="C499" s="49"/>
      <c r="D499" s="48" t="s">
        <v>73</v>
      </c>
      <c r="E499" s="49"/>
      <c r="F499" s="50"/>
      <c r="G499" s="62"/>
      <c r="H499" s="48" t="s">
        <v>72</v>
      </c>
      <c r="I499" s="52">
        <v>1</v>
      </c>
      <c r="J499" s="52"/>
      <c r="K499" s="52" t="s">
        <v>73</v>
      </c>
      <c r="L499" s="52" t="s">
        <v>74</v>
      </c>
      <c r="M499" s="53" t="s">
        <v>917</v>
      </c>
      <c r="N499" s="58" t="s">
        <v>73</v>
      </c>
      <c r="O499" s="48" t="s">
        <v>72</v>
      </c>
      <c r="P499" s="48" t="s">
        <v>73</v>
      </c>
      <c r="Q499" s="54" t="s">
        <v>73</v>
      </c>
      <c r="R499" s="55" t="s">
        <v>73</v>
      </c>
      <c r="S499" s="48" t="s">
        <v>73</v>
      </c>
      <c r="T499" s="121" t="str" cm="1">
        <f t="array" ref="T499">IF(ISNUMBER(SEARCH("SCHNEIDER",D499)),_xlfn.IFS(ISNUMBER(SEARCH("2 Querétaro",D499)),"SQ2",ISNUMBER(SEARCH("Xicohténcatl",D499)),"SXC",ISNUMBER(SEARCH("Rojo Gómez",D499)),"SRG",ISNUMBER(SEARCH("Tlaxcala",D499)),"STX",ISNUMBER(SEARCH("Monterrey",D499)),"SMY",ISNUMBER(SEARCH("Querétaro",D499)),"SQ1",ISNUMBER(SEARCH("CDMX",D499)),"SCM",TRUE,""),"")</f>
        <v/>
      </c>
      <c r="U499" s="48" t="str" cm="1">
        <f t="array" ref="U499">_xlfn.LET(_xlpm.resultados,_xlfn.UNIQUE(_xlfn._xlws.FILTER(Tabla1[Proceso],(Tabla1[Metal Base]=O499)*(Tabla1[Etiquetas]=_xlfn.TEXTJOIN(" + ",TRUE,IF((TRIM(Upload!P499:S499)="")+(LOWER(TRIM(Upload!P499:S499))="(seleccione)"),"",PROPER(TRIM(Upload!P499:S499)))))*(Tabla1[Línea2]=IFERROR(VLOOKUP(Upload!N499&amp;"*",CAT_Procesos!D:D,1,FALSE),"")))),_xlpm.cantidad,ROWS(_xlpm.resultados),IF(ISERROR(_xlpm.cantidad),"Combinación no existente",IF(_xlpm.cantidad=1,INDEX(_xlpm.resultados,1),"(seleccione)")))</f>
        <v>Combinación no existente</v>
      </c>
      <c r="V499" s="55" t="s">
        <v>73</v>
      </c>
      <c r="W499" s="56" t="s">
        <v>73</v>
      </c>
      <c r="X499" s="57" t="str">
        <f t="shared" si="28"/>
        <v/>
      </c>
      <c r="Y499" s="58" t="s">
        <v>73</v>
      </c>
      <c r="Z499" s="57" t="str">
        <f t="shared" si="29"/>
        <v/>
      </c>
      <c r="AA499" s="58" t="s">
        <v>73</v>
      </c>
      <c r="AB499" s="57" t="str">
        <f t="shared" si="30"/>
        <v/>
      </c>
      <c r="AC499" s="58" t="s">
        <v>73</v>
      </c>
      <c r="AD499" s="57" t="str">
        <f t="shared" si="31"/>
        <v/>
      </c>
      <c r="AE499" s="59"/>
      <c r="AF499" s="59"/>
      <c r="AG499" s="59"/>
      <c r="AH499" s="59"/>
      <c r="AI499" s="59" t="s">
        <v>73</v>
      </c>
      <c r="AJ499" s="59"/>
      <c r="AK499" s="59" t="s">
        <v>73</v>
      </c>
      <c r="AL499" s="59"/>
      <c r="AM499" s="59" t="s">
        <v>73</v>
      </c>
      <c r="AN499" s="59"/>
      <c r="AO499" s="59" t="s">
        <v>73</v>
      </c>
      <c r="AP499" s="59"/>
      <c r="AQ499" s="59" t="s">
        <v>73</v>
      </c>
      <c r="AR499" s="59"/>
      <c r="AS499" s="59" t="s">
        <v>72</v>
      </c>
      <c r="AT499" s="59"/>
      <c r="AU499" s="59"/>
      <c r="AV499" s="59"/>
      <c r="AW499" s="59"/>
      <c r="AX499" s="59"/>
      <c r="AY499" s="60" t="str">
        <f>IF('Cálculo MP'!K509="","",'Cálculo MP'!K509)</f>
        <v/>
      </c>
      <c r="AZ499" s="60" t="str">
        <f>IF('Cálculo MP'!L509="","",'Cálculo MP'!L509)</f>
        <v/>
      </c>
      <c r="BA499" s="60" t="str">
        <f>IF('Cálculo MP'!M509="","",'Cálculo MP'!M509)</f>
        <v/>
      </c>
      <c r="BB499" s="60" t="str">
        <f>IF('Cálculo MP'!N509="","",'Cálculo MP'!N509)</f>
        <v/>
      </c>
      <c r="BC499" s="60" t="str">
        <f>IF('Cálculo MP'!O509="","",'Cálculo MP'!O509)</f>
        <v/>
      </c>
      <c r="BD499" s="60" t="str">
        <f>IF('Cálculo MP'!P509="","",'Cálculo MP'!P509)</f>
        <v/>
      </c>
      <c r="BE499" s="60" t="str">
        <f>IF('Cálculo MP'!Q509="","",'Cálculo MP'!Q509)</f>
        <v/>
      </c>
      <c r="BF499" s="60" t="str">
        <f>IF('Cálculo MP'!R509="","",'Cálculo MP'!R509)</f>
        <v/>
      </c>
      <c r="BG499" s="60" t="str">
        <f>IF('Cálculo MP'!S509="","",'Cálculo MP'!S509)</f>
        <v/>
      </c>
      <c r="BH499" s="59"/>
      <c r="BI499" s="59"/>
      <c r="BJ499" s="59"/>
      <c r="BK499" s="59"/>
      <c r="BL499" s="59"/>
      <c r="BM499" s="59"/>
      <c r="BN499" s="59"/>
      <c r="BO499" s="59"/>
    </row>
    <row r="500" spans="1:67" ht="19.5" customHeight="1" x14ac:dyDescent="0.15">
      <c r="A500" s="114" t="s">
        <v>1789</v>
      </c>
      <c r="B500" s="113" t="s">
        <v>1787</v>
      </c>
      <c r="C500" s="49"/>
      <c r="D500" s="48" t="s">
        <v>73</v>
      </c>
      <c r="E500" s="49"/>
      <c r="F500" s="50"/>
      <c r="G500" s="62"/>
      <c r="H500" s="48" t="s">
        <v>72</v>
      </c>
      <c r="I500" s="52">
        <v>1</v>
      </c>
      <c r="J500" s="52"/>
      <c r="K500" s="52" t="s">
        <v>73</v>
      </c>
      <c r="L500" s="52" t="s">
        <v>74</v>
      </c>
      <c r="M500" s="53" t="s">
        <v>917</v>
      </c>
      <c r="N500" s="58" t="s">
        <v>73</v>
      </c>
      <c r="O500" s="48" t="s">
        <v>72</v>
      </c>
      <c r="P500" s="48" t="s">
        <v>73</v>
      </c>
      <c r="Q500" s="54" t="s">
        <v>73</v>
      </c>
      <c r="R500" s="55" t="s">
        <v>73</v>
      </c>
      <c r="S500" s="48" t="s">
        <v>73</v>
      </c>
      <c r="T500" s="121" t="str" cm="1">
        <f t="array" ref="T500">IF(ISNUMBER(SEARCH("SCHNEIDER",D500)),_xlfn.IFS(ISNUMBER(SEARCH("2 Querétaro",D500)),"SQ2",ISNUMBER(SEARCH("Xicohténcatl",D500)),"SXC",ISNUMBER(SEARCH("Rojo Gómez",D500)),"SRG",ISNUMBER(SEARCH("Tlaxcala",D500)),"STX",ISNUMBER(SEARCH("Monterrey",D500)),"SMY",ISNUMBER(SEARCH("Querétaro",D500)),"SQ1",ISNUMBER(SEARCH("CDMX",D500)),"SCM",TRUE,""),"")</f>
        <v/>
      </c>
      <c r="U500" s="48" t="str" cm="1">
        <f t="array" ref="U500">_xlfn.LET(_xlpm.resultados,_xlfn.UNIQUE(_xlfn._xlws.FILTER(Tabla1[Proceso],(Tabla1[Metal Base]=O500)*(Tabla1[Etiquetas]=_xlfn.TEXTJOIN(" + ",TRUE,IF((TRIM(Upload!P500:S500)="")+(LOWER(TRIM(Upload!P500:S500))="(seleccione)"),"",PROPER(TRIM(Upload!P500:S500)))))*(Tabla1[Línea2]=IFERROR(VLOOKUP(Upload!N500&amp;"*",CAT_Procesos!D:D,1,FALSE),"")))),_xlpm.cantidad,ROWS(_xlpm.resultados),IF(ISERROR(_xlpm.cantidad),"Combinación no existente",IF(_xlpm.cantidad=1,INDEX(_xlpm.resultados,1),"(seleccione)")))</f>
        <v>Combinación no existente</v>
      </c>
      <c r="V500" s="55" t="s">
        <v>73</v>
      </c>
      <c r="W500" s="56" t="s">
        <v>73</v>
      </c>
      <c r="X500" s="57" t="str">
        <f t="shared" si="28"/>
        <v/>
      </c>
      <c r="Y500" s="58" t="s">
        <v>73</v>
      </c>
      <c r="Z500" s="57" t="str">
        <f t="shared" si="29"/>
        <v/>
      </c>
      <c r="AA500" s="58" t="s">
        <v>73</v>
      </c>
      <c r="AB500" s="57" t="str">
        <f t="shared" si="30"/>
        <v/>
      </c>
      <c r="AC500" s="58" t="s">
        <v>73</v>
      </c>
      <c r="AD500" s="57" t="str">
        <f t="shared" si="31"/>
        <v/>
      </c>
      <c r="AE500" s="59"/>
      <c r="AF500" s="59"/>
      <c r="AG500" s="59"/>
      <c r="AH500" s="59"/>
      <c r="AI500" s="59" t="s">
        <v>73</v>
      </c>
      <c r="AJ500" s="59"/>
      <c r="AK500" s="59" t="s">
        <v>73</v>
      </c>
      <c r="AL500" s="59"/>
      <c r="AM500" s="59" t="s">
        <v>73</v>
      </c>
      <c r="AN500" s="59"/>
      <c r="AO500" s="59" t="s">
        <v>73</v>
      </c>
      <c r="AP500" s="59"/>
      <c r="AQ500" s="59" t="s">
        <v>73</v>
      </c>
      <c r="AR500" s="59"/>
      <c r="AS500" s="59" t="s">
        <v>72</v>
      </c>
      <c r="AT500" s="59"/>
      <c r="AU500" s="59"/>
      <c r="AV500" s="59"/>
      <c r="AW500" s="59"/>
      <c r="AX500" s="59"/>
      <c r="AY500" s="60" t="str">
        <f>IF('Cálculo MP'!K510="","",'Cálculo MP'!K510)</f>
        <v/>
      </c>
      <c r="AZ500" s="60" t="str">
        <f>IF('Cálculo MP'!L510="","",'Cálculo MP'!L510)</f>
        <v/>
      </c>
      <c r="BA500" s="60" t="str">
        <f>IF('Cálculo MP'!M510="","",'Cálculo MP'!M510)</f>
        <v/>
      </c>
      <c r="BB500" s="60" t="str">
        <f>IF('Cálculo MP'!N510="","",'Cálculo MP'!N510)</f>
        <v/>
      </c>
      <c r="BC500" s="60" t="str">
        <f>IF('Cálculo MP'!O510="","",'Cálculo MP'!O510)</f>
        <v/>
      </c>
      <c r="BD500" s="60" t="str">
        <f>IF('Cálculo MP'!P510="","",'Cálculo MP'!P510)</f>
        <v/>
      </c>
      <c r="BE500" s="60" t="str">
        <f>IF('Cálculo MP'!Q510="","",'Cálculo MP'!Q510)</f>
        <v/>
      </c>
      <c r="BF500" s="60" t="str">
        <f>IF('Cálculo MP'!R510="","",'Cálculo MP'!R510)</f>
        <v/>
      </c>
      <c r="BG500" s="60" t="str">
        <f>IF('Cálculo MP'!S510="","",'Cálculo MP'!S510)</f>
        <v/>
      </c>
      <c r="BH500" s="59"/>
      <c r="BI500" s="59"/>
      <c r="BJ500" s="59"/>
      <c r="BK500" s="59"/>
      <c r="BL500" s="59"/>
      <c r="BM500" s="59"/>
      <c r="BN500" s="59"/>
      <c r="BO500" s="59"/>
    </row>
    <row r="501" spans="1:67" ht="19.5" customHeight="1" x14ac:dyDescent="0.15">
      <c r="A501" s="114" t="s">
        <v>1789</v>
      </c>
      <c r="B501" s="113" t="s">
        <v>1787</v>
      </c>
      <c r="C501" s="49"/>
      <c r="D501" s="48" t="s">
        <v>73</v>
      </c>
      <c r="E501" s="49"/>
      <c r="F501" s="50"/>
      <c r="G501" s="62"/>
      <c r="H501" s="48" t="s">
        <v>72</v>
      </c>
      <c r="I501" s="52">
        <v>1</v>
      </c>
      <c r="J501" s="52"/>
      <c r="K501" s="52" t="s">
        <v>73</v>
      </c>
      <c r="L501" s="52" t="s">
        <v>74</v>
      </c>
      <c r="M501" s="53" t="s">
        <v>917</v>
      </c>
      <c r="N501" s="58" t="s">
        <v>73</v>
      </c>
      <c r="O501" s="48" t="s">
        <v>72</v>
      </c>
      <c r="P501" s="48" t="s">
        <v>73</v>
      </c>
      <c r="Q501" s="54" t="s">
        <v>73</v>
      </c>
      <c r="R501" s="55" t="s">
        <v>73</v>
      </c>
      <c r="S501" s="48" t="s">
        <v>73</v>
      </c>
      <c r="T501" s="121" t="str" cm="1">
        <f t="array" ref="T501">IF(ISNUMBER(SEARCH("SCHNEIDER",D501)),_xlfn.IFS(ISNUMBER(SEARCH("2 Querétaro",D501)),"SQ2",ISNUMBER(SEARCH("Xicohténcatl",D501)),"SXC",ISNUMBER(SEARCH("Rojo Gómez",D501)),"SRG",ISNUMBER(SEARCH("Tlaxcala",D501)),"STX",ISNUMBER(SEARCH("Monterrey",D501)),"SMY",ISNUMBER(SEARCH("Querétaro",D501)),"SQ1",ISNUMBER(SEARCH("CDMX",D501)),"SCM",TRUE,""),"")</f>
        <v/>
      </c>
      <c r="U501" s="48" t="str" cm="1">
        <f t="array" ref="U501">_xlfn.LET(_xlpm.resultados,_xlfn.UNIQUE(_xlfn._xlws.FILTER(Tabla1[Proceso],(Tabla1[Metal Base]=O501)*(Tabla1[Etiquetas]=_xlfn.TEXTJOIN(" + ",TRUE,IF((TRIM(Upload!P501:S501)="")+(LOWER(TRIM(Upload!P501:S501))="(seleccione)"),"",PROPER(TRIM(Upload!P501:S501)))))*(Tabla1[Línea2]=IFERROR(VLOOKUP(Upload!N501&amp;"*",CAT_Procesos!D:D,1,FALSE),"")))),_xlpm.cantidad,ROWS(_xlpm.resultados),IF(ISERROR(_xlpm.cantidad),"Combinación no existente",IF(_xlpm.cantidad=1,INDEX(_xlpm.resultados,1),"(seleccione)")))</f>
        <v>Combinación no existente</v>
      </c>
      <c r="V501" s="55" t="s">
        <v>73</v>
      </c>
      <c r="W501" s="56" t="s">
        <v>73</v>
      </c>
      <c r="X501" s="57" t="str">
        <f t="shared" si="28"/>
        <v/>
      </c>
      <c r="Y501" s="58" t="s">
        <v>73</v>
      </c>
      <c r="Z501" s="57" t="str">
        <f t="shared" si="29"/>
        <v/>
      </c>
      <c r="AA501" s="58" t="s">
        <v>73</v>
      </c>
      <c r="AB501" s="57" t="str">
        <f t="shared" si="30"/>
        <v/>
      </c>
      <c r="AC501" s="58" t="s">
        <v>73</v>
      </c>
      <c r="AD501" s="57" t="str">
        <f t="shared" si="31"/>
        <v/>
      </c>
      <c r="AE501" s="59"/>
      <c r="AF501" s="59"/>
      <c r="AG501" s="59"/>
      <c r="AH501" s="59"/>
      <c r="AI501" s="59" t="s">
        <v>73</v>
      </c>
      <c r="AJ501" s="59"/>
      <c r="AK501" s="59" t="s">
        <v>73</v>
      </c>
      <c r="AL501" s="59"/>
      <c r="AM501" s="59" t="s">
        <v>73</v>
      </c>
      <c r="AN501" s="59"/>
      <c r="AO501" s="59" t="s">
        <v>73</v>
      </c>
      <c r="AP501" s="59"/>
      <c r="AQ501" s="59" t="s">
        <v>73</v>
      </c>
      <c r="AR501" s="59"/>
      <c r="AS501" s="59" t="s">
        <v>72</v>
      </c>
      <c r="AT501" s="59"/>
      <c r="AU501" s="59"/>
      <c r="AV501" s="59"/>
      <c r="AW501" s="59"/>
      <c r="AX501" s="59"/>
      <c r="AY501" s="60" t="str">
        <f>IF('Cálculo MP'!K511="","",'Cálculo MP'!K511)</f>
        <v/>
      </c>
      <c r="AZ501" s="60" t="str">
        <f>IF('Cálculo MP'!L511="","",'Cálculo MP'!L511)</f>
        <v/>
      </c>
      <c r="BA501" s="60" t="str">
        <f>IF('Cálculo MP'!M511="","",'Cálculo MP'!M511)</f>
        <v/>
      </c>
      <c r="BB501" s="60" t="str">
        <f>IF('Cálculo MP'!N511="","",'Cálculo MP'!N511)</f>
        <v/>
      </c>
      <c r="BC501" s="60" t="str">
        <f>IF('Cálculo MP'!O511="","",'Cálculo MP'!O511)</f>
        <v/>
      </c>
      <c r="BD501" s="60" t="str">
        <f>IF('Cálculo MP'!P511="","",'Cálculo MP'!P511)</f>
        <v/>
      </c>
      <c r="BE501" s="60" t="str">
        <f>IF('Cálculo MP'!Q511="","",'Cálculo MP'!Q511)</f>
        <v/>
      </c>
      <c r="BF501" s="60" t="str">
        <f>IF('Cálculo MP'!R511="","",'Cálculo MP'!R511)</f>
        <v/>
      </c>
      <c r="BG501" s="60" t="str">
        <f>IF('Cálculo MP'!S511="","",'Cálculo MP'!S511)</f>
        <v/>
      </c>
      <c r="BH501" s="59"/>
      <c r="BI501" s="59"/>
      <c r="BJ501" s="59"/>
      <c r="BK501" s="59"/>
      <c r="BL501" s="59"/>
      <c r="BM501" s="59"/>
      <c r="BN501" s="59"/>
      <c r="BO501" s="59"/>
    </row>
    <row r="502" spans="1:67" ht="19.5" customHeight="1" x14ac:dyDescent="0.15">
      <c r="A502" s="114" t="s">
        <v>1789</v>
      </c>
      <c r="B502" s="113" t="s">
        <v>1787</v>
      </c>
      <c r="C502" s="49"/>
      <c r="D502" s="48" t="s">
        <v>73</v>
      </c>
      <c r="E502" s="49"/>
      <c r="F502" s="50"/>
      <c r="G502" s="62"/>
      <c r="H502" s="48" t="s">
        <v>72</v>
      </c>
      <c r="I502" s="52">
        <v>1</v>
      </c>
      <c r="J502" s="52"/>
      <c r="K502" s="52" t="s">
        <v>73</v>
      </c>
      <c r="L502" s="52" t="s">
        <v>74</v>
      </c>
      <c r="M502" s="53" t="s">
        <v>917</v>
      </c>
      <c r="N502" s="58" t="s">
        <v>73</v>
      </c>
      <c r="O502" s="48" t="s">
        <v>72</v>
      </c>
      <c r="P502" s="48" t="s">
        <v>73</v>
      </c>
      <c r="Q502" s="54" t="s">
        <v>73</v>
      </c>
      <c r="R502" s="55" t="s">
        <v>73</v>
      </c>
      <c r="S502" s="48" t="s">
        <v>73</v>
      </c>
      <c r="T502" s="121" t="str" cm="1">
        <f t="array" ref="T502">IF(ISNUMBER(SEARCH("SCHNEIDER",D502)),_xlfn.IFS(ISNUMBER(SEARCH("2 Querétaro",D502)),"SQ2",ISNUMBER(SEARCH("Xicohténcatl",D502)),"SXC",ISNUMBER(SEARCH("Rojo Gómez",D502)),"SRG",ISNUMBER(SEARCH("Tlaxcala",D502)),"STX",ISNUMBER(SEARCH("Monterrey",D502)),"SMY",ISNUMBER(SEARCH("Querétaro",D502)),"SQ1",ISNUMBER(SEARCH("CDMX",D502)),"SCM",TRUE,""),"")</f>
        <v/>
      </c>
      <c r="U502" s="48" t="str" cm="1">
        <f t="array" ref="U502">_xlfn.LET(_xlpm.resultados,_xlfn.UNIQUE(_xlfn._xlws.FILTER(Tabla1[Proceso],(Tabla1[Metal Base]=O502)*(Tabla1[Etiquetas]=_xlfn.TEXTJOIN(" + ",TRUE,IF((TRIM(Upload!P502:S502)="")+(LOWER(TRIM(Upload!P502:S502))="(seleccione)"),"",PROPER(TRIM(Upload!P502:S502)))))*(Tabla1[Línea2]=IFERROR(VLOOKUP(Upload!N502&amp;"*",CAT_Procesos!D:D,1,FALSE),"")))),_xlpm.cantidad,ROWS(_xlpm.resultados),IF(ISERROR(_xlpm.cantidad),"Combinación no existente",IF(_xlpm.cantidad=1,INDEX(_xlpm.resultados,1),"(seleccione)")))</f>
        <v>Combinación no existente</v>
      </c>
      <c r="V502" s="55" t="s">
        <v>73</v>
      </c>
      <c r="W502" s="56" t="s">
        <v>73</v>
      </c>
      <c r="X502" s="57" t="str">
        <f t="shared" si="28"/>
        <v/>
      </c>
      <c r="Y502" s="58" t="s">
        <v>73</v>
      </c>
      <c r="Z502" s="57" t="str">
        <f t="shared" si="29"/>
        <v/>
      </c>
      <c r="AA502" s="58" t="s">
        <v>73</v>
      </c>
      <c r="AB502" s="57" t="str">
        <f t="shared" si="30"/>
        <v/>
      </c>
      <c r="AC502" s="58" t="s">
        <v>73</v>
      </c>
      <c r="AD502" s="57" t="str">
        <f t="shared" si="31"/>
        <v/>
      </c>
      <c r="AE502" s="59"/>
      <c r="AF502" s="59"/>
      <c r="AG502" s="59"/>
      <c r="AH502" s="59"/>
      <c r="AI502" s="59" t="s">
        <v>73</v>
      </c>
      <c r="AJ502" s="59"/>
      <c r="AK502" s="59" t="s">
        <v>73</v>
      </c>
      <c r="AL502" s="59"/>
      <c r="AM502" s="59" t="s">
        <v>73</v>
      </c>
      <c r="AN502" s="59"/>
      <c r="AO502" s="59" t="s">
        <v>73</v>
      </c>
      <c r="AP502" s="59"/>
      <c r="AQ502" s="59" t="s">
        <v>73</v>
      </c>
      <c r="AR502" s="59"/>
      <c r="AS502" s="59" t="s">
        <v>72</v>
      </c>
      <c r="AT502" s="59"/>
      <c r="AU502" s="59"/>
      <c r="AV502" s="59"/>
      <c r="AW502" s="59"/>
      <c r="AX502" s="59"/>
      <c r="AY502" s="60" t="str">
        <f>IF('Cálculo MP'!K512="","",'Cálculo MP'!K512)</f>
        <v/>
      </c>
      <c r="AZ502" s="60" t="str">
        <f>IF('Cálculo MP'!L512="","",'Cálculo MP'!L512)</f>
        <v/>
      </c>
      <c r="BA502" s="60" t="str">
        <f>IF('Cálculo MP'!M512="","",'Cálculo MP'!M512)</f>
        <v/>
      </c>
      <c r="BB502" s="60" t="str">
        <f>IF('Cálculo MP'!N512="","",'Cálculo MP'!N512)</f>
        <v/>
      </c>
      <c r="BC502" s="60" t="str">
        <f>IF('Cálculo MP'!O512="","",'Cálculo MP'!O512)</f>
        <v/>
      </c>
      <c r="BD502" s="60" t="str">
        <f>IF('Cálculo MP'!P512="","",'Cálculo MP'!P512)</f>
        <v/>
      </c>
      <c r="BE502" s="60" t="str">
        <f>IF('Cálculo MP'!Q512="","",'Cálculo MP'!Q512)</f>
        <v/>
      </c>
      <c r="BF502" s="60" t="str">
        <f>IF('Cálculo MP'!R512="","",'Cálculo MP'!R512)</f>
        <v/>
      </c>
      <c r="BG502" s="60" t="str">
        <f>IF('Cálculo MP'!S512="","",'Cálculo MP'!S512)</f>
        <v/>
      </c>
      <c r="BH502" s="59"/>
      <c r="BI502" s="59"/>
      <c r="BJ502" s="59"/>
      <c r="BK502" s="59"/>
      <c r="BL502" s="59"/>
      <c r="BM502" s="59"/>
      <c r="BN502" s="59"/>
      <c r="BO502" s="59"/>
    </row>
    <row r="503" spans="1:67" ht="19.5" customHeight="1" x14ac:dyDescent="0.15">
      <c r="A503" s="114" t="s">
        <v>1789</v>
      </c>
      <c r="B503" s="113" t="s">
        <v>1787</v>
      </c>
      <c r="C503" s="49"/>
      <c r="D503" s="48" t="s">
        <v>73</v>
      </c>
      <c r="E503" s="49"/>
      <c r="F503" s="50"/>
      <c r="G503" s="62"/>
      <c r="H503" s="48" t="s">
        <v>72</v>
      </c>
      <c r="I503" s="52">
        <v>1</v>
      </c>
      <c r="J503" s="52"/>
      <c r="K503" s="52" t="s">
        <v>73</v>
      </c>
      <c r="L503" s="52" t="s">
        <v>74</v>
      </c>
      <c r="M503" s="53" t="s">
        <v>917</v>
      </c>
      <c r="N503" s="58" t="s">
        <v>73</v>
      </c>
      <c r="O503" s="48" t="s">
        <v>72</v>
      </c>
      <c r="P503" s="48" t="s">
        <v>73</v>
      </c>
      <c r="Q503" s="54" t="s">
        <v>73</v>
      </c>
      <c r="R503" s="55" t="s">
        <v>73</v>
      </c>
      <c r="S503" s="48" t="s">
        <v>73</v>
      </c>
      <c r="T503" s="121" t="str" cm="1">
        <f t="array" ref="T503">IF(ISNUMBER(SEARCH("SCHNEIDER",D503)),_xlfn.IFS(ISNUMBER(SEARCH("2 Querétaro",D503)),"SQ2",ISNUMBER(SEARCH("Xicohténcatl",D503)),"SXC",ISNUMBER(SEARCH("Rojo Gómez",D503)),"SRG",ISNUMBER(SEARCH("Tlaxcala",D503)),"STX",ISNUMBER(SEARCH("Monterrey",D503)),"SMY",ISNUMBER(SEARCH("Querétaro",D503)),"SQ1",ISNUMBER(SEARCH("CDMX",D503)),"SCM",TRUE,""),"")</f>
        <v/>
      </c>
      <c r="U503" s="48" t="str" cm="1">
        <f t="array" ref="U503">_xlfn.LET(_xlpm.resultados,_xlfn.UNIQUE(_xlfn._xlws.FILTER(Tabla1[Proceso],(Tabla1[Metal Base]=O503)*(Tabla1[Etiquetas]=_xlfn.TEXTJOIN(" + ",TRUE,IF((TRIM(Upload!P503:S503)="")+(LOWER(TRIM(Upload!P503:S503))="(seleccione)"),"",PROPER(TRIM(Upload!P503:S503)))))*(Tabla1[Línea2]=IFERROR(VLOOKUP(Upload!N503&amp;"*",CAT_Procesos!D:D,1,FALSE),"")))),_xlpm.cantidad,ROWS(_xlpm.resultados),IF(ISERROR(_xlpm.cantidad),"Combinación no existente",IF(_xlpm.cantidad=1,INDEX(_xlpm.resultados,1),"(seleccione)")))</f>
        <v>Combinación no existente</v>
      </c>
      <c r="V503" s="55" t="s">
        <v>73</v>
      </c>
      <c r="W503" s="56" t="s">
        <v>73</v>
      </c>
      <c r="X503" s="57" t="str">
        <f t="shared" si="28"/>
        <v/>
      </c>
      <c r="Y503" s="58" t="s">
        <v>73</v>
      </c>
      <c r="Z503" s="57" t="str">
        <f t="shared" si="29"/>
        <v/>
      </c>
      <c r="AA503" s="58" t="s">
        <v>73</v>
      </c>
      <c r="AB503" s="57" t="str">
        <f t="shared" si="30"/>
        <v/>
      </c>
      <c r="AC503" s="58" t="s">
        <v>73</v>
      </c>
      <c r="AD503" s="57" t="str">
        <f t="shared" si="31"/>
        <v/>
      </c>
      <c r="AE503" s="59"/>
      <c r="AF503" s="59"/>
      <c r="AG503" s="59"/>
      <c r="AH503" s="59"/>
      <c r="AI503" s="59" t="s">
        <v>73</v>
      </c>
      <c r="AJ503" s="59"/>
      <c r="AK503" s="59" t="s">
        <v>73</v>
      </c>
      <c r="AL503" s="59"/>
      <c r="AM503" s="59" t="s">
        <v>73</v>
      </c>
      <c r="AN503" s="59"/>
      <c r="AO503" s="59" t="s">
        <v>73</v>
      </c>
      <c r="AP503" s="59"/>
      <c r="AQ503" s="59" t="s">
        <v>73</v>
      </c>
      <c r="AR503" s="59"/>
      <c r="AS503" s="59" t="s">
        <v>72</v>
      </c>
      <c r="AT503" s="59"/>
      <c r="AU503" s="59"/>
      <c r="AV503" s="59"/>
      <c r="AW503" s="59"/>
      <c r="AX503" s="59"/>
      <c r="AY503" s="60" t="str">
        <f>IF('Cálculo MP'!K513="","",'Cálculo MP'!K513)</f>
        <v/>
      </c>
      <c r="AZ503" s="60" t="str">
        <f>IF('Cálculo MP'!L513="","",'Cálculo MP'!L513)</f>
        <v/>
      </c>
      <c r="BA503" s="60" t="str">
        <f>IF('Cálculo MP'!M513="","",'Cálculo MP'!M513)</f>
        <v/>
      </c>
      <c r="BB503" s="60" t="str">
        <f>IF('Cálculo MP'!N513="","",'Cálculo MP'!N513)</f>
        <v/>
      </c>
      <c r="BC503" s="60" t="str">
        <f>IF('Cálculo MP'!O513="","",'Cálculo MP'!O513)</f>
        <v/>
      </c>
      <c r="BD503" s="60" t="str">
        <f>IF('Cálculo MP'!P513="","",'Cálculo MP'!P513)</f>
        <v/>
      </c>
      <c r="BE503" s="60" t="str">
        <f>IF('Cálculo MP'!Q513="","",'Cálculo MP'!Q513)</f>
        <v/>
      </c>
      <c r="BF503" s="60" t="str">
        <f>IF('Cálculo MP'!R513="","",'Cálculo MP'!R513)</f>
        <v/>
      </c>
      <c r="BG503" s="60" t="str">
        <f>IF('Cálculo MP'!S513="","",'Cálculo MP'!S513)</f>
        <v/>
      </c>
      <c r="BH503" s="59"/>
      <c r="BI503" s="59"/>
      <c r="BJ503" s="59"/>
      <c r="BK503" s="59"/>
      <c r="BL503" s="59"/>
      <c r="BM503" s="59"/>
      <c r="BN503" s="59"/>
      <c r="BO503" s="59"/>
    </row>
    <row r="504" spans="1:67" ht="19.5" customHeight="1" x14ac:dyDescent="0.15">
      <c r="A504" s="114" t="s">
        <v>1789</v>
      </c>
      <c r="B504" s="113" t="s">
        <v>1787</v>
      </c>
      <c r="C504" s="49"/>
      <c r="D504" s="48" t="s">
        <v>73</v>
      </c>
      <c r="E504" s="49"/>
      <c r="F504" s="50"/>
      <c r="G504" s="62"/>
      <c r="H504" s="48" t="s">
        <v>72</v>
      </c>
      <c r="I504" s="52">
        <v>1</v>
      </c>
      <c r="J504" s="52"/>
      <c r="K504" s="52" t="s">
        <v>73</v>
      </c>
      <c r="L504" s="52" t="s">
        <v>74</v>
      </c>
      <c r="M504" s="53" t="s">
        <v>917</v>
      </c>
      <c r="N504" s="58" t="s">
        <v>73</v>
      </c>
      <c r="O504" s="48" t="s">
        <v>72</v>
      </c>
      <c r="P504" s="48" t="s">
        <v>73</v>
      </c>
      <c r="Q504" s="54" t="s">
        <v>73</v>
      </c>
      <c r="R504" s="55" t="s">
        <v>73</v>
      </c>
      <c r="S504" s="48" t="s">
        <v>73</v>
      </c>
      <c r="T504" s="121" t="str" cm="1">
        <f t="array" ref="T504">IF(ISNUMBER(SEARCH("SCHNEIDER",D504)),_xlfn.IFS(ISNUMBER(SEARCH("2 Querétaro",D504)),"SQ2",ISNUMBER(SEARCH("Xicohténcatl",D504)),"SXC",ISNUMBER(SEARCH("Rojo Gómez",D504)),"SRG",ISNUMBER(SEARCH("Tlaxcala",D504)),"STX",ISNUMBER(SEARCH("Monterrey",D504)),"SMY",ISNUMBER(SEARCH("Querétaro",D504)),"SQ1",ISNUMBER(SEARCH("CDMX",D504)),"SCM",TRUE,""),"")</f>
        <v/>
      </c>
      <c r="U504" s="48" t="str" cm="1">
        <f t="array" ref="U504">_xlfn.LET(_xlpm.resultados,_xlfn.UNIQUE(_xlfn._xlws.FILTER(Tabla1[Proceso],(Tabla1[Metal Base]=O504)*(Tabla1[Etiquetas]=_xlfn.TEXTJOIN(" + ",TRUE,IF((TRIM(Upload!P504:S504)="")+(LOWER(TRIM(Upload!P504:S504))="(seleccione)"),"",PROPER(TRIM(Upload!P504:S504)))))*(Tabla1[Línea2]=IFERROR(VLOOKUP(Upload!N504&amp;"*",CAT_Procesos!D:D,1,FALSE),"")))),_xlpm.cantidad,ROWS(_xlpm.resultados),IF(ISERROR(_xlpm.cantidad),"Combinación no existente",IF(_xlpm.cantidad=1,INDEX(_xlpm.resultados,1),"(seleccione)")))</f>
        <v>Combinación no existente</v>
      </c>
      <c r="V504" s="55" t="s">
        <v>73</v>
      </c>
      <c r="W504" s="56" t="s">
        <v>73</v>
      </c>
      <c r="X504" s="57" t="str">
        <f t="shared" si="28"/>
        <v/>
      </c>
      <c r="Y504" s="58" t="s">
        <v>73</v>
      </c>
      <c r="Z504" s="57" t="str">
        <f t="shared" si="29"/>
        <v/>
      </c>
      <c r="AA504" s="58" t="s">
        <v>73</v>
      </c>
      <c r="AB504" s="57" t="str">
        <f t="shared" si="30"/>
        <v/>
      </c>
      <c r="AC504" s="58" t="s">
        <v>73</v>
      </c>
      <c r="AD504" s="57" t="str">
        <f t="shared" si="31"/>
        <v/>
      </c>
      <c r="AE504" s="59"/>
      <c r="AF504" s="59"/>
      <c r="AG504" s="59"/>
      <c r="AH504" s="59"/>
      <c r="AI504" s="59" t="s">
        <v>73</v>
      </c>
      <c r="AJ504" s="59"/>
      <c r="AK504" s="59" t="s">
        <v>73</v>
      </c>
      <c r="AL504" s="59"/>
      <c r="AM504" s="59" t="s">
        <v>73</v>
      </c>
      <c r="AN504" s="59"/>
      <c r="AO504" s="59" t="s">
        <v>73</v>
      </c>
      <c r="AP504" s="59"/>
      <c r="AQ504" s="59" t="s">
        <v>73</v>
      </c>
      <c r="AR504" s="59"/>
      <c r="AS504" s="59" t="s">
        <v>72</v>
      </c>
      <c r="AT504" s="59"/>
      <c r="AU504" s="59"/>
      <c r="AV504" s="59"/>
      <c r="AW504" s="59"/>
      <c r="AX504" s="59"/>
      <c r="AY504" s="60" t="str">
        <f>IF('Cálculo MP'!K514="","",'Cálculo MP'!K514)</f>
        <v/>
      </c>
      <c r="AZ504" s="60" t="str">
        <f>IF('Cálculo MP'!L514="","",'Cálculo MP'!L514)</f>
        <v/>
      </c>
      <c r="BA504" s="60" t="str">
        <f>IF('Cálculo MP'!M514="","",'Cálculo MP'!M514)</f>
        <v/>
      </c>
      <c r="BB504" s="60" t="str">
        <f>IF('Cálculo MP'!N514="","",'Cálculo MP'!N514)</f>
        <v/>
      </c>
      <c r="BC504" s="60" t="str">
        <f>IF('Cálculo MP'!O514="","",'Cálculo MP'!O514)</f>
        <v/>
      </c>
      <c r="BD504" s="60" t="str">
        <f>IF('Cálculo MP'!P514="","",'Cálculo MP'!P514)</f>
        <v/>
      </c>
      <c r="BE504" s="60" t="str">
        <f>IF('Cálculo MP'!Q514="","",'Cálculo MP'!Q514)</f>
        <v/>
      </c>
      <c r="BF504" s="60" t="str">
        <f>IF('Cálculo MP'!R514="","",'Cálculo MP'!R514)</f>
        <v/>
      </c>
      <c r="BG504" s="60" t="str">
        <f>IF('Cálculo MP'!S514="","",'Cálculo MP'!S514)</f>
        <v/>
      </c>
      <c r="BH504" s="59"/>
      <c r="BI504" s="59"/>
      <c r="BJ504" s="59"/>
      <c r="BK504" s="59"/>
      <c r="BL504" s="59"/>
      <c r="BM504" s="59"/>
      <c r="BN504" s="59"/>
      <c r="BO504" s="59"/>
    </row>
    <row r="505" spans="1:67" ht="19.5" customHeight="1" x14ac:dyDescent="0.15">
      <c r="A505" s="114" t="s">
        <v>1789</v>
      </c>
      <c r="B505" s="113" t="s">
        <v>1787</v>
      </c>
      <c r="C505" s="49"/>
      <c r="D505" s="48" t="s">
        <v>73</v>
      </c>
      <c r="E505" s="49"/>
      <c r="F505" s="50"/>
      <c r="G505" s="62"/>
      <c r="H505" s="48" t="s">
        <v>72</v>
      </c>
      <c r="I505" s="52">
        <v>1</v>
      </c>
      <c r="J505" s="52"/>
      <c r="K505" s="52" t="s">
        <v>73</v>
      </c>
      <c r="L505" s="52" t="s">
        <v>74</v>
      </c>
      <c r="M505" s="53" t="s">
        <v>917</v>
      </c>
      <c r="N505" s="58" t="s">
        <v>73</v>
      </c>
      <c r="O505" s="48" t="s">
        <v>72</v>
      </c>
      <c r="P505" s="48" t="s">
        <v>73</v>
      </c>
      <c r="Q505" s="54" t="s">
        <v>73</v>
      </c>
      <c r="R505" s="55" t="s">
        <v>73</v>
      </c>
      <c r="S505" s="48" t="s">
        <v>73</v>
      </c>
      <c r="T505" s="121" t="str" cm="1">
        <f t="array" ref="T505">IF(ISNUMBER(SEARCH("SCHNEIDER",D505)),_xlfn.IFS(ISNUMBER(SEARCH("2 Querétaro",D505)),"SQ2",ISNUMBER(SEARCH("Xicohténcatl",D505)),"SXC",ISNUMBER(SEARCH("Rojo Gómez",D505)),"SRG",ISNUMBER(SEARCH("Tlaxcala",D505)),"STX",ISNUMBER(SEARCH("Monterrey",D505)),"SMY",ISNUMBER(SEARCH("Querétaro",D505)),"SQ1",ISNUMBER(SEARCH("CDMX",D505)),"SCM",TRUE,""),"")</f>
        <v/>
      </c>
      <c r="U505" s="48" t="str" cm="1">
        <f t="array" ref="U505">_xlfn.LET(_xlpm.resultados,_xlfn.UNIQUE(_xlfn._xlws.FILTER(Tabla1[Proceso],(Tabla1[Metal Base]=O505)*(Tabla1[Etiquetas]=_xlfn.TEXTJOIN(" + ",TRUE,IF((TRIM(Upload!P505:S505)="")+(LOWER(TRIM(Upload!P505:S505))="(seleccione)"),"",PROPER(TRIM(Upload!P505:S505)))))*(Tabla1[Línea2]=IFERROR(VLOOKUP(Upload!N505&amp;"*",CAT_Procesos!D:D,1,FALSE),"")))),_xlpm.cantidad,ROWS(_xlpm.resultados),IF(ISERROR(_xlpm.cantidad),"Combinación no existente",IF(_xlpm.cantidad=1,INDEX(_xlpm.resultados,1),"(seleccione)")))</f>
        <v>Combinación no existente</v>
      </c>
      <c r="V505" s="55" t="s">
        <v>73</v>
      </c>
      <c r="W505" s="56" t="s">
        <v>73</v>
      </c>
      <c r="X505" s="57" t="str">
        <f t="shared" si="28"/>
        <v/>
      </c>
      <c r="Y505" s="58" t="s">
        <v>73</v>
      </c>
      <c r="Z505" s="57" t="str">
        <f t="shared" si="29"/>
        <v/>
      </c>
      <c r="AA505" s="58" t="s">
        <v>73</v>
      </c>
      <c r="AB505" s="57" t="str">
        <f t="shared" si="30"/>
        <v/>
      </c>
      <c r="AC505" s="58" t="s">
        <v>73</v>
      </c>
      <c r="AD505" s="57" t="str">
        <f t="shared" si="31"/>
        <v/>
      </c>
      <c r="AE505" s="59"/>
      <c r="AF505" s="59"/>
      <c r="AG505" s="59"/>
      <c r="AH505" s="59"/>
      <c r="AI505" s="59" t="s">
        <v>73</v>
      </c>
      <c r="AJ505" s="59"/>
      <c r="AK505" s="59" t="s">
        <v>73</v>
      </c>
      <c r="AL505" s="59"/>
      <c r="AM505" s="59" t="s">
        <v>73</v>
      </c>
      <c r="AN505" s="59"/>
      <c r="AO505" s="59" t="s">
        <v>73</v>
      </c>
      <c r="AP505" s="59"/>
      <c r="AQ505" s="59" t="s">
        <v>73</v>
      </c>
      <c r="AR505" s="59"/>
      <c r="AS505" s="59" t="s">
        <v>72</v>
      </c>
      <c r="AT505" s="59"/>
      <c r="AU505" s="59"/>
      <c r="AV505" s="59"/>
      <c r="AW505" s="59"/>
      <c r="AX505" s="59"/>
      <c r="AY505" s="60" t="str">
        <f>IF('Cálculo MP'!K515="","",'Cálculo MP'!K515)</f>
        <v/>
      </c>
      <c r="AZ505" s="60" t="str">
        <f>IF('Cálculo MP'!L515="","",'Cálculo MP'!L515)</f>
        <v/>
      </c>
      <c r="BA505" s="60" t="str">
        <f>IF('Cálculo MP'!M515="","",'Cálculo MP'!M515)</f>
        <v/>
      </c>
      <c r="BB505" s="60" t="str">
        <f>IF('Cálculo MP'!N515="","",'Cálculo MP'!N515)</f>
        <v/>
      </c>
      <c r="BC505" s="60" t="str">
        <f>IF('Cálculo MP'!O515="","",'Cálculo MP'!O515)</f>
        <v/>
      </c>
      <c r="BD505" s="60" t="str">
        <f>IF('Cálculo MP'!P515="","",'Cálculo MP'!P515)</f>
        <v/>
      </c>
      <c r="BE505" s="60" t="str">
        <f>IF('Cálculo MP'!Q515="","",'Cálculo MP'!Q515)</f>
        <v/>
      </c>
      <c r="BF505" s="60" t="str">
        <f>IF('Cálculo MP'!R515="","",'Cálculo MP'!R515)</f>
        <v/>
      </c>
      <c r="BG505" s="60" t="str">
        <f>IF('Cálculo MP'!S515="","",'Cálculo MP'!S515)</f>
        <v/>
      </c>
      <c r="BH505" s="59"/>
      <c r="BI505" s="59"/>
      <c r="BJ505" s="59"/>
      <c r="BK505" s="59"/>
      <c r="BL505" s="59"/>
      <c r="BM505" s="59"/>
      <c r="BN505" s="59"/>
      <c r="BO505" s="59"/>
    </row>
    <row r="506" spans="1:67" ht="19.5" customHeight="1" x14ac:dyDescent="0.15">
      <c r="A506" s="114" t="s">
        <v>1789</v>
      </c>
      <c r="B506" s="113" t="s">
        <v>1787</v>
      </c>
      <c r="C506" s="49"/>
      <c r="D506" s="48" t="s">
        <v>73</v>
      </c>
      <c r="E506" s="49"/>
      <c r="F506" s="50"/>
      <c r="G506" s="62"/>
      <c r="H506" s="48" t="s">
        <v>72</v>
      </c>
      <c r="I506" s="52">
        <v>1</v>
      </c>
      <c r="J506" s="52"/>
      <c r="K506" s="52" t="s">
        <v>73</v>
      </c>
      <c r="L506" s="52" t="s">
        <v>74</v>
      </c>
      <c r="M506" s="53" t="s">
        <v>917</v>
      </c>
      <c r="N506" s="58" t="s">
        <v>73</v>
      </c>
      <c r="O506" s="48" t="s">
        <v>72</v>
      </c>
      <c r="P506" s="48" t="s">
        <v>73</v>
      </c>
      <c r="Q506" s="54" t="s">
        <v>73</v>
      </c>
      <c r="R506" s="55" t="s">
        <v>73</v>
      </c>
      <c r="S506" s="48" t="s">
        <v>73</v>
      </c>
      <c r="T506" s="121" t="str" cm="1">
        <f t="array" ref="T506">IF(ISNUMBER(SEARCH("SCHNEIDER",D506)),_xlfn.IFS(ISNUMBER(SEARCH("2 Querétaro",D506)),"SQ2",ISNUMBER(SEARCH("Xicohténcatl",D506)),"SXC",ISNUMBER(SEARCH("Rojo Gómez",D506)),"SRG",ISNUMBER(SEARCH("Tlaxcala",D506)),"STX",ISNUMBER(SEARCH("Monterrey",D506)),"SMY",ISNUMBER(SEARCH("Querétaro",D506)),"SQ1",ISNUMBER(SEARCH("CDMX",D506)),"SCM",TRUE,""),"")</f>
        <v/>
      </c>
      <c r="U506" s="48" t="str" cm="1">
        <f t="array" ref="U506">_xlfn.LET(_xlpm.resultados,_xlfn.UNIQUE(_xlfn._xlws.FILTER(Tabla1[Proceso],(Tabla1[Metal Base]=O506)*(Tabla1[Etiquetas]=_xlfn.TEXTJOIN(" + ",TRUE,IF((TRIM(Upload!P506:S506)="")+(LOWER(TRIM(Upload!P506:S506))="(seleccione)"),"",PROPER(TRIM(Upload!P506:S506)))))*(Tabla1[Línea2]=IFERROR(VLOOKUP(Upload!N506&amp;"*",CAT_Procesos!D:D,1,FALSE),"")))),_xlpm.cantidad,ROWS(_xlpm.resultados),IF(ISERROR(_xlpm.cantidad),"Combinación no existente",IF(_xlpm.cantidad=1,INDEX(_xlpm.resultados,1),"(seleccione)")))</f>
        <v>Combinación no existente</v>
      </c>
      <c r="V506" s="55" t="s">
        <v>73</v>
      </c>
      <c r="W506" s="56" t="s">
        <v>73</v>
      </c>
      <c r="X506" s="57" t="str">
        <f t="shared" si="28"/>
        <v/>
      </c>
      <c r="Y506" s="58" t="s">
        <v>73</v>
      </c>
      <c r="Z506" s="57" t="str">
        <f t="shared" si="29"/>
        <v/>
      </c>
      <c r="AA506" s="58" t="s">
        <v>73</v>
      </c>
      <c r="AB506" s="57" t="str">
        <f t="shared" si="30"/>
        <v/>
      </c>
      <c r="AC506" s="58" t="s">
        <v>73</v>
      </c>
      <c r="AD506" s="57" t="str">
        <f t="shared" si="31"/>
        <v/>
      </c>
      <c r="AE506" s="59"/>
      <c r="AF506" s="59"/>
      <c r="AG506" s="59"/>
      <c r="AH506" s="59"/>
      <c r="AI506" s="59" t="s">
        <v>73</v>
      </c>
      <c r="AJ506" s="59"/>
      <c r="AK506" s="59" t="s">
        <v>73</v>
      </c>
      <c r="AL506" s="59"/>
      <c r="AM506" s="59" t="s">
        <v>73</v>
      </c>
      <c r="AN506" s="59"/>
      <c r="AO506" s="59" t="s">
        <v>73</v>
      </c>
      <c r="AP506" s="59"/>
      <c r="AQ506" s="59" t="s">
        <v>73</v>
      </c>
      <c r="AR506" s="59"/>
      <c r="AS506" s="59" t="s">
        <v>72</v>
      </c>
      <c r="AT506" s="59"/>
      <c r="AU506" s="59"/>
      <c r="AV506" s="59"/>
      <c r="AW506" s="59"/>
      <c r="AX506" s="59"/>
      <c r="AY506" s="60" t="str">
        <f>IF('Cálculo MP'!K516="","",'Cálculo MP'!K516)</f>
        <v/>
      </c>
      <c r="AZ506" s="60" t="str">
        <f>IF('Cálculo MP'!L516="","",'Cálculo MP'!L516)</f>
        <v/>
      </c>
      <c r="BA506" s="60" t="str">
        <f>IF('Cálculo MP'!M516="","",'Cálculo MP'!M516)</f>
        <v/>
      </c>
      <c r="BB506" s="60" t="str">
        <f>IF('Cálculo MP'!N516="","",'Cálculo MP'!N516)</f>
        <v/>
      </c>
      <c r="BC506" s="60" t="str">
        <f>IF('Cálculo MP'!O516="","",'Cálculo MP'!O516)</f>
        <v/>
      </c>
      <c r="BD506" s="60" t="str">
        <f>IF('Cálculo MP'!P516="","",'Cálculo MP'!P516)</f>
        <v/>
      </c>
      <c r="BE506" s="60" t="str">
        <f>IF('Cálculo MP'!Q516="","",'Cálculo MP'!Q516)</f>
        <v/>
      </c>
      <c r="BF506" s="60" t="str">
        <f>IF('Cálculo MP'!R516="","",'Cálculo MP'!R516)</f>
        <v/>
      </c>
      <c r="BG506" s="60" t="str">
        <f>IF('Cálculo MP'!S516="","",'Cálculo MP'!S516)</f>
        <v/>
      </c>
      <c r="BH506" s="59"/>
      <c r="BI506" s="59"/>
      <c r="BJ506" s="59"/>
      <c r="BK506" s="59"/>
      <c r="BL506" s="59"/>
      <c r="BM506" s="59"/>
      <c r="BN506" s="59"/>
      <c r="BO506" s="59"/>
    </row>
    <row r="507" spans="1:67" ht="19.5" customHeight="1" x14ac:dyDescent="0.15">
      <c r="A507" s="114" t="s">
        <v>1789</v>
      </c>
      <c r="B507" s="113" t="s">
        <v>1787</v>
      </c>
      <c r="C507" s="49"/>
      <c r="D507" s="48" t="s">
        <v>73</v>
      </c>
      <c r="E507" s="49"/>
      <c r="F507" s="50"/>
      <c r="G507" s="62"/>
      <c r="H507" s="48" t="s">
        <v>72</v>
      </c>
      <c r="I507" s="52">
        <v>1</v>
      </c>
      <c r="J507" s="52"/>
      <c r="K507" s="52" t="s">
        <v>73</v>
      </c>
      <c r="L507" s="52" t="s">
        <v>74</v>
      </c>
      <c r="M507" s="53" t="s">
        <v>917</v>
      </c>
      <c r="N507" s="58" t="s">
        <v>73</v>
      </c>
      <c r="O507" s="48" t="s">
        <v>72</v>
      </c>
      <c r="P507" s="48" t="s">
        <v>73</v>
      </c>
      <c r="Q507" s="54" t="s">
        <v>73</v>
      </c>
      <c r="R507" s="55" t="s">
        <v>73</v>
      </c>
      <c r="S507" s="48" t="s">
        <v>73</v>
      </c>
      <c r="T507" s="121" t="str" cm="1">
        <f t="array" ref="T507">IF(ISNUMBER(SEARCH("SCHNEIDER",D507)),_xlfn.IFS(ISNUMBER(SEARCH("2 Querétaro",D507)),"SQ2",ISNUMBER(SEARCH("Xicohténcatl",D507)),"SXC",ISNUMBER(SEARCH("Rojo Gómez",D507)),"SRG",ISNUMBER(SEARCH("Tlaxcala",D507)),"STX",ISNUMBER(SEARCH("Monterrey",D507)),"SMY",ISNUMBER(SEARCH("Querétaro",D507)),"SQ1",ISNUMBER(SEARCH("CDMX",D507)),"SCM",TRUE,""),"")</f>
        <v/>
      </c>
      <c r="U507" s="48" t="str" cm="1">
        <f t="array" ref="U507">_xlfn.LET(_xlpm.resultados,_xlfn.UNIQUE(_xlfn._xlws.FILTER(Tabla1[Proceso],(Tabla1[Metal Base]=O507)*(Tabla1[Etiquetas]=_xlfn.TEXTJOIN(" + ",TRUE,IF((TRIM(Upload!P507:S507)="")+(LOWER(TRIM(Upload!P507:S507))="(seleccione)"),"",PROPER(TRIM(Upload!P507:S507)))))*(Tabla1[Línea2]=IFERROR(VLOOKUP(Upload!N507&amp;"*",CAT_Procesos!D:D,1,FALSE),"")))),_xlpm.cantidad,ROWS(_xlpm.resultados),IF(ISERROR(_xlpm.cantidad),"Combinación no existente",IF(_xlpm.cantidad=1,INDEX(_xlpm.resultados,1),"(seleccione)")))</f>
        <v>Combinación no existente</v>
      </c>
      <c r="V507" s="55" t="s">
        <v>73</v>
      </c>
      <c r="W507" s="56" t="s">
        <v>73</v>
      </c>
      <c r="X507" s="57" t="str">
        <f t="shared" si="28"/>
        <v/>
      </c>
      <c r="Y507" s="58" t="s">
        <v>73</v>
      </c>
      <c r="Z507" s="57" t="str">
        <f t="shared" si="29"/>
        <v/>
      </c>
      <c r="AA507" s="58" t="s">
        <v>73</v>
      </c>
      <c r="AB507" s="57" t="str">
        <f t="shared" si="30"/>
        <v/>
      </c>
      <c r="AC507" s="58" t="s">
        <v>73</v>
      </c>
      <c r="AD507" s="57" t="str">
        <f t="shared" si="31"/>
        <v/>
      </c>
      <c r="AE507" s="59"/>
      <c r="AF507" s="59"/>
      <c r="AG507" s="59"/>
      <c r="AH507" s="59"/>
      <c r="AI507" s="59" t="s">
        <v>73</v>
      </c>
      <c r="AJ507" s="59"/>
      <c r="AK507" s="59" t="s">
        <v>73</v>
      </c>
      <c r="AL507" s="59"/>
      <c r="AM507" s="59" t="s">
        <v>73</v>
      </c>
      <c r="AN507" s="59"/>
      <c r="AO507" s="59" t="s">
        <v>73</v>
      </c>
      <c r="AP507" s="59"/>
      <c r="AQ507" s="59" t="s">
        <v>73</v>
      </c>
      <c r="AR507" s="59"/>
      <c r="AS507" s="59" t="s">
        <v>72</v>
      </c>
      <c r="AT507" s="59"/>
      <c r="AU507" s="59"/>
      <c r="AV507" s="59"/>
      <c r="AW507" s="59"/>
      <c r="AX507" s="59"/>
      <c r="AY507" s="60" t="str">
        <f>IF('Cálculo MP'!K517="","",'Cálculo MP'!K517)</f>
        <v/>
      </c>
      <c r="AZ507" s="60" t="str">
        <f>IF('Cálculo MP'!L517="","",'Cálculo MP'!L517)</f>
        <v/>
      </c>
      <c r="BA507" s="60" t="str">
        <f>IF('Cálculo MP'!M517="","",'Cálculo MP'!M517)</f>
        <v/>
      </c>
      <c r="BB507" s="60" t="str">
        <f>IF('Cálculo MP'!N517="","",'Cálculo MP'!N517)</f>
        <v/>
      </c>
      <c r="BC507" s="60" t="str">
        <f>IF('Cálculo MP'!O517="","",'Cálculo MP'!O517)</f>
        <v/>
      </c>
      <c r="BD507" s="60" t="str">
        <f>IF('Cálculo MP'!P517="","",'Cálculo MP'!P517)</f>
        <v/>
      </c>
      <c r="BE507" s="60" t="str">
        <f>IF('Cálculo MP'!Q517="","",'Cálculo MP'!Q517)</f>
        <v/>
      </c>
      <c r="BF507" s="60" t="str">
        <f>IF('Cálculo MP'!R517="","",'Cálculo MP'!R517)</f>
        <v/>
      </c>
      <c r="BG507" s="60" t="str">
        <f>IF('Cálculo MP'!S517="","",'Cálculo MP'!S517)</f>
        <v/>
      </c>
      <c r="BH507" s="59"/>
      <c r="BI507" s="59"/>
      <c r="BJ507" s="59"/>
      <c r="BK507" s="59"/>
      <c r="BL507" s="59"/>
      <c r="BM507" s="59"/>
      <c r="BN507" s="59"/>
      <c r="BO507" s="59"/>
    </row>
    <row r="508" spans="1:67" ht="19.5" customHeight="1" x14ac:dyDescent="0.15">
      <c r="A508" s="114" t="s">
        <v>1789</v>
      </c>
      <c r="B508" s="113" t="s">
        <v>1787</v>
      </c>
      <c r="C508" s="49"/>
      <c r="D508" s="48" t="s">
        <v>73</v>
      </c>
      <c r="E508" s="49"/>
      <c r="F508" s="50"/>
      <c r="G508" s="62"/>
      <c r="H508" s="48" t="s">
        <v>72</v>
      </c>
      <c r="I508" s="52">
        <v>1</v>
      </c>
      <c r="J508" s="52"/>
      <c r="K508" s="52" t="s">
        <v>73</v>
      </c>
      <c r="L508" s="52" t="s">
        <v>74</v>
      </c>
      <c r="M508" s="53" t="s">
        <v>917</v>
      </c>
      <c r="N508" s="58" t="s">
        <v>73</v>
      </c>
      <c r="O508" s="48" t="s">
        <v>72</v>
      </c>
      <c r="P508" s="48" t="s">
        <v>73</v>
      </c>
      <c r="Q508" s="54" t="s">
        <v>73</v>
      </c>
      <c r="R508" s="55" t="s">
        <v>73</v>
      </c>
      <c r="S508" s="48" t="s">
        <v>73</v>
      </c>
      <c r="T508" s="121" t="str" cm="1">
        <f t="array" ref="T508">IF(ISNUMBER(SEARCH("SCHNEIDER",D508)),_xlfn.IFS(ISNUMBER(SEARCH("2 Querétaro",D508)),"SQ2",ISNUMBER(SEARCH("Xicohténcatl",D508)),"SXC",ISNUMBER(SEARCH("Rojo Gómez",D508)),"SRG",ISNUMBER(SEARCH("Tlaxcala",D508)),"STX",ISNUMBER(SEARCH("Monterrey",D508)),"SMY",ISNUMBER(SEARCH("Querétaro",D508)),"SQ1",ISNUMBER(SEARCH("CDMX",D508)),"SCM",TRUE,""),"")</f>
        <v/>
      </c>
      <c r="U508" s="48" t="str" cm="1">
        <f t="array" ref="U508">_xlfn.LET(_xlpm.resultados,_xlfn.UNIQUE(_xlfn._xlws.FILTER(Tabla1[Proceso],(Tabla1[Metal Base]=O508)*(Tabla1[Etiquetas]=_xlfn.TEXTJOIN(" + ",TRUE,IF((TRIM(Upload!P508:S508)="")+(LOWER(TRIM(Upload!P508:S508))="(seleccione)"),"",PROPER(TRIM(Upload!P508:S508)))))*(Tabla1[Línea2]=IFERROR(VLOOKUP(Upload!N508&amp;"*",CAT_Procesos!D:D,1,FALSE),"")))),_xlpm.cantidad,ROWS(_xlpm.resultados),IF(ISERROR(_xlpm.cantidad),"Combinación no existente",IF(_xlpm.cantidad=1,INDEX(_xlpm.resultados,1),"(seleccione)")))</f>
        <v>Combinación no existente</v>
      </c>
      <c r="V508" s="55" t="s">
        <v>73</v>
      </c>
      <c r="W508" s="56" t="s">
        <v>73</v>
      </c>
      <c r="X508" s="57" t="str">
        <f t="shared" ref="X508" si="32">IFERROR(((VALUE(TRIM(LEFT(MID(W508,FIND("|",W508)+1,99),FIND("-",MID(W508,FIND("|",W508)+1,99))-1)))+VALUE(TRIM(SUBSTITUTE(SUBSTITUTE(SUBSTITUTE(SUBSTITUTE(SUBSTITUTE(MID(MID(W508,FIND("|",W508)+1,99),FIND("-",MID(W508,FIND("|",W508)+1,99))+1,20),"µm",""),"μm",""),"mils",""),"mil",""),"",""))))/2)*IF(ISNUMBER(SEARCH("mil",MID(W508,FIND("|",W508)+1,99))),25.4,1),"")</f>
        <v/>
      </c>
      <c r="Y508" s="58" t="s">
        <v>73</v>
      </c>
      <c r="Z508" s="57" t="str">
        <f t="shared" ref="Z508" si="33">IFERROR(((VALUE(TRIM(LEFT(MID(Y508,FIND("|",Y508)+1,99),FIND("-",MID(Y508,FIND("|",Y508)+1,99))-1)))+VALUE(TRIM(SUBSTITUTE(SUBSTITUTE(SUBSTITUTE(SUBSTITUTE(SUBSTITUTE(MID(MID(Y508,FIND("|",Y508)+1,99),FIND("-",MID(Y508,FIND("|",Y508)+1,99))+1,20),"µm",""),"μm",""),"mils",""),"mil",""),"",""))))/2)*IF(ISNUMBER(SEARCH("mil",MID(Y508,FIND("|",Y508)+1,99))),25.4,1),"")</f>
        <v/>
      </c>
      <c r="AA508" s="58" t="s">
        <v>73</v>
      </c>
      <c r="AB508" s="57" t="str">
        <f t="shared" ref="AB508" si="34">IFERROR(((VALUE(TRIM(LEFT(MID(AA508,FIND("|",AA508)+1,99),FIND("-",MID(AA508,FIND("|",AA508)+1,99))-1)))+VALUE(TRIM(SUBSTITUTE(SUBSTITUTE(SUBSTITUTE(SUBSTITUTE(SUBSTITUTE(MID(MID(AA508,FIND("|",AA508)+1,99),FIND("-",MID(AA508,FIND("|",AA508)+1,99))+1,20),"µm",""),"μm",""),"mils",""),"mil",""),"",""))))/2)*IF(ISNUMBER(SEARCH("mil",MID(AA508,FIND("|",AA508)+1,99))),25.4,1),"")</f>
        <v/>
      </c>
      <c r="AC508" s="58" t="s">
        <v>73</v>
      </c>
      <c r="AD508" s="57" t="str">
        <f t="shared" ref="AD508" si="35">IFERROR(((VALUE(TRIM(LEFT(MID(AC508,FIND("|",AC508)+1,99),FIND("-",MID(AC508,FIND("|",AC508)+1,99))-1)))+VALUE(TRIM(SUBSTITUTE(SUBSTITUTE(SUBSTITUTE(SUBSTITUTE(SUBSTITUTE(MID(MID(AC508,FIND("|",AC508)+1,99),FIND("-",MID(AC508,FIND("|",AC508)+1,99))+1,20),"µm",""),"μm",""),"mils",""),"mil",""),"",""))))/2)*IF(ISNUMBER(SEARCH("mil",MID(AC508,FIND("|",AC508)+1,99))),25.4,1),"")</f>
        <v/>
      </c>
      <c r="AE508" s="59"/>
      <c r="AF508" s="59"/>
      <c r="AG508" s="59"/>
      <c r="AH508" s="59"/>
      <c r="AI508" s="59" t="s">
        <v>73</v>
      </c>
      <c r="AJ508" s="59"/>
      <c r="AK508" s="59" t="s">
        <v>73</v>
      </c>
      <c r="AL508" s="59"/>
      <c r="AM508" s="59" t="s">
        <v>73</v>
      </c>
      <c r="AN508" s="59"/>
      <c r="AO508" s="59" t="s">
        <v>73</v>
      </c>
      <c r="AP508" s="59"/>
      <c r="AQ508" s="59" t="s">
        <v>73</v>
      </c>
      <c r="AR508" s="59"/>
      <c r="AS508" s="59" t="s">
        <v>72</v>
      </c>
      <c r="AT508" s="59"/>
      <c r="AU508" s="59"/>
      <c r="AV508" s="59"/>
      <c r="AW508" s="59"/>
      <c r="AX508" s="59"/>
      <c r="AY508" s="60" t="str">
        <f>IF('Cálculo MP'!K518="","",'Cálculo MP'!K518)</f>
        <v/>
      </c>
      <c r="AZ508" s="60" t="str">
        <f>IF('Cálculo MP'!L518="","",'Cálculo MP'!L518)</f>
        <v/>
      </c>
      <c r="BA508" s="60" t="str">
        <f>IF('Cálculo MP'!M518="","",'Cálculo MP'!M518)</f>
        <v/>
      </c>
      <c r="BB508" s="60" t="str">
        <f>IF('Cálculo MP'!N518="","",'Cálculo MP'!N518)</f>
        <v/>
      </c>
      <c r="BC508" s="60" t="str">
        <f>IF('Cálculo MP'!O518="","",'Cálculo MP'!O518)</f>
        <v/>
      </c>
      <c r="BD508" s="60" t="str">
        <f>IF('Cálculo MP'!P518="","",'Cálculo MP'!P518)</f>
        <v/>
      </c>
      <c r="BE508" s="60" t="str">
        <f>IF('Cálculo MP'!Q518="","",'Cálculo MP'!Q518)</f>
        <v/>
      </c>
      <c r="BF508" s="60" t="str">
        <f>IF('Cálculo MP'!R518="","",'Cálculo MP'!R518)</f>
        <v/>
      </c>
      <c r="BG508" s="60" t="str">
        <f>IF('Cálculo MP'!S518="","",'Cálculo MP'!S518)</f>
        <v/>
      </c>
      <c r="BH508" s="59"/>
      <c r="BI508" s="59"/>
      <c r="BJ508" s="59"/>
      <c r="BK508" s="59"/>
      <c r="BL508" s="59"/>
      <c r="BM508" s="59"/>
      <c r="BN508" s="59"/>
      <c r="BO508" s="59"/>
    </row>
  </sheetData>
  <mergeCells count="13">
    <mergeCell ref="BH6:BO6"/>
    <mergeCell ref="AY6:BG6"/>
    <mergeCell ref="J3:M4"/>
    <mergeCell ref="AS6:AX6"/>
    <mergeCell ref="W6:AD6"/>
    <mergeCell ref="AI6:AR6"/>
    <mergeCell ref="A2:H2"/>
    <mergeCell ref="Q3:S4"/>
    <mergeCell ref="AE6:AH6"/>
    <mergeCell ref="I6:M6"/>
    <mergeCell ref="C6:H6"/>
    <mergeCell ref="N6:T6"/>
    <mergeCell ref="A6:B6"/>
  </mergeCells>
  <conditionalFormatting sqref="G3">
    <cfRule type="expression" dxfId="8" priority="1">
      <formula>$G$3=""</formula>
    </cfRule>
  </conditionalFormatting>
  <dataValidations count="8">
    <dataValidation type="list" sqref="H1" xr:uid="{00000000-0002-0000-0000-000000000000}">
      <formula1>"COTIZACIÓN+NP,SOLO_PN"</formula1>
    </dataValidation>
    <dataValidation type="list" sqref="L9:L508" xr:uid="{00000000-0002-0000-0000-000001000000}">
      <formula1>"USD,MXN"</formula1>
    </dataValidation>
    <dataValidation type="list" sqref="K9:K508" xr:uid="{00000000-0002-0000-0000-000002000000}">
      <formula1>"PZA,KGM,CMK,FTK,LM,LBR,LO"</formula1>
    </dataValidation>
    <dataValidation type="list" showInputMessage="1" showErrorMessage="1" sqref="M9:M508" xr:uid="{00000000-0002-0000-0000-000003000000}">
      <formula1>"V,F"</formula1>
    </dataValidation>
    <dataValidation type="list" sqref="B3" xr:uid="{00000000-0002-0000-0000-000004000000}">
      <formula1>"ECOPLATING,PROQUIPA"</formula1>
    </dataValidation>
    <dataValidation allowBlank="1" showInputMessage="1" sqref="E8" xr:uid="{33E4E912-C184-C642-9FD0-8D0E40073DE9}"/>
    <dataValidation type="list" showInputMessage="1" showErrorMessage="1" sqref="B9:B508" xr:uid="{A243F7D4-42EB-CB45-B54B-FFD29BFA5BE0}">
      <formula1>"Sin forzar duplicado,Forzar duplicado,Forzar duplicado y archivar anterior"</formula1>
    </dataValidation>
    <dataValidation type="list" allowBlank="1" showInputMessage="1" showErrorMessage="1" sqref="A9:A508" xr:uid="{24D91A7E-1E78-EB4D-8D50-194972FB869E}">
      <formula1>"Dejar como está,Activo con validación,Activo sin validación,Archivado con validación,Archivado sin validación"</formula1>
    </dataValidation>
  </dataValidations>
  <pageMargins left="0.75" right="0.75" top="1" bottom="1" header="0.511811023622047" footer="0.511811023622047"/>
  <pageSetup paperSize="9"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73" r:id="rId3" name="Button 49">
              <controlPr defaultSize="0" print="0" autoFill="0" autoPict="0" macro="[0]!RefrescarListas">
                <anchor moveWithCells="1" sizeWithCells="1">
                  <from>
                    <xdr:col>0</xdr:col>
                    <xdr:colOff>76200</xdr:colOff>
                    <xdr:row>0</xdr:row>
                    <xdr:rowOff>50800</xdr:rowOff>
                  </from>
                  <to>
                    <xdr:col>2</xdr:col>
                    <xdr:colOff>304800</xdr:colOff>
                    <xdr:row>0</xdr:row>
                    <xdr:rowOff>495300</xdr:rowOff>
                  </to>
                </anchor>
              </controlPr>
            </control>
          </mc:Choice>
        </mc:AlternateContent>
        <mc:AlternateContent xmlns:mc="http://schemas.openxmlformats.org/markup-compatibility/2006">
          <mc:Choice Requires="x14">
            <control shapeId="1074" r:id="rId4" name="Button 50">
              <controlPr defaultSize="0" print="0" autoFill="0" autoPict="0" macro="[0]!ExportarCSV">
                <anchor moveWithCells="1" sizeWithCells="1">
                  <from>
                    <xdr:col>2</xdr:col>
                    <xdr:colOff>520700</xdr:colOff>
                    <xdr:row>0</xdr:row>
                    <xdr:rowOff>50800</xdr:rowOff>
                  </from>
                  <to>
                    <xdr:col>5</xdr:col>
                    <xdr:colOff>190500</xdr:colOff>
                    <xdr:row>0</xdr:row>
                    <xdr:rowOff>495300</xdr:rowOff>
                  </to>
                </anchor>
              </controlPr>
            </control>
          </mc:Choice>
        </mc:AlternateContent>
        <mc:AlternateContent xmlns:mc="http://schemas.openxmlformats.org/markup-compatibility/2006">
          <mc:Choice Requires="x14">
            <control shapeId="1196" r:id="rId5" name="Button 172">
              <controlPr defaultSize="0" print="0" autoFill="0" autoPict="0" macro="[0]!LimpiarDatos">
                <anchor moveWithCells="1" sizeWithCells="1">
                  <from>
                    <xdr:col>5</xdr:col>
                    <xdr:colOff>406400</xdr:colOff>
                    <xdr:row>0</xdr:row>
                    <xdr:rowOff>50800</xdr:rowOff>
                  </from>
                  <to>
                    <xdr:col>6</xdr:col>
                    <xdr:colOff>1130300</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2">
        <x14:dataValidation type="list" allowBlank="1" showInputMessage="1" showErrorMessage="1" xr:uid="{1745CC5A-393D-AE4D-9861-3F087200DAAF}">
          <x14:formula1>
            <xm:f>OFFSET(Listas!$L$2,0,0,COUNTA(Listas!$L:$L)-1,1)</xm:f>
          </x14:formula1>
          <xm:sqref>G4</xm:sqref>
        </x14:dataValidation>
        <x14:dataValidation type="list" allowBlank="1" showInputMessage="1" showErrorMessage="1" xr:uid="{AF5BBD74-34CC-9A43-A5DE-BAE7AF378086}">
          <x14:formula1>
            <xm:f>OFFSET(Listas!$A$2,0,0,COUNTA(Listas!$A:$A)-1,1)</xm:f>
          </x14:formula1>
          <xm:sqref>D9:D508</xm:sqref>
        </x14:dataValidation>
        <x14:dataValidation type="list" allowBlank="1" xr:uid="{3A4554A5-9D0B-DA4E-979E-7D1371872120}">
          <x14:formula1>
            <xm:f>OFFSET(Listas!$M$2,0,0,COUNTA(Listas!$M:$M)-1,1)</xm:f>
          </x14:formula1>
          <xm:sqref>H9:H508</xm:sqref>
        </x14:dataValidation>
        <x14:dataValidation type="list" allowBlank="1" xr:uid="{24D4F85E-A806-6A4E-A212-7D9BE41492CC}">
          <x14:formula1>
            <xm:f>OFFSET(Listas!$I$2,0,0,COUNTA(Listas!$I:$I)-1,1)</xm:f>
          </x14:formula1>
          <xm:sqref>O9:O508</xm:sqref>
        </x14:dataValidation>
        <x14:dataValidation type="list" allowBlank="1" showInputMessage="1" showErrorMessage="1" xr:uid="{358373E5-EE8A-6B4E-87BA-FB627EC09169}">
          <x14:formula1>
            <xm:f>OFFSET(Listas!$D$2,0,0,COUNTA(Listas!$D:$D)-1,1)</xm:f>
          </x14:formula1>
          <xm:sqref>P9:S508</xm:sqref>
        </x14:dataValidation>
        <x14:dataValidation type="list" allowBlank="1" showInputMessage="1" showErrorMessage="1" xr:uid="{C3BB4041-3786-5F47-BC50-C8E25CD1E128}">
          <x14:formula1>
            <xm:f>OFFSET(Listas!$F$2,0,0,COUNTA(Listas!$F:$F)-1,1)</xm:f>
          </x14:formula1>
          <xm:sqref>AI9:AI508 AK9:AK508 AM9:AM508 AO9:AO508 AQ9:AQ508</xm:sqref>
        </x14:dataValidation>
        <x14:dataValidation type="list" allowBlank="1" showInputMessage="1" showErrorMessage="1" xr:uid="{489FF85B-40F6-8C4C-B54E-1A98AB27B47B}">
          <x14:formula1>
            <xm:f>OFFSET(Listas!$J$2,0,0,COUNTA(Listas!$J:$J)-1,1)</xm:f>
          </x14:formula1>
          <xm:sqref>N9:N508</xm:sqref>
        </x14:dataValidation>
        <x14:dataValidation type="list" showInputMessage="1" showErrorMessage="1" xr:uid="{BFC8E5D6-2105-B04C-9EFE-002AEC8556B0}">
          <x14:formula1>
            <xm:f>OFFSET(Listas!$I$2,0,0,COUNTA(Listas!$J:$J)-1,1)</xm:f>
          </x14:formula1>
          <xm:sqref>N9:N508</xm:sqref>
        </x14:dataValidation>
        <x14:dataValidation type="list" allowBlank="1" showInputMessage="1" showErrorMessage="1" xr:uid="{EBA8C80D-A00A-4846-B2AA-51BD459554B6}">
          <x14:formula1>
            <xm:f>OFFSET(Listas!$N$2,0,0,COUNTA(Listas!$N:$N)-1,1)</xm:f>
          </x14:formula1>
          <xm:sqref>AS9:AS508</xm:sqref>
        </x14:dataValidation>
        <x14:dataValidation type="list" allowBlank="1" showInputMessage="1" showErrorMessage="1" xr:uid="{E56EC6DF-DF83-5640-BF2F-66F99ADAB588}">
          <x14:formula1>
            <xm:f>_xlfn.ANCHORARRAY(CAT_Specs!$G$2)</xm:f>
          </x14:formula1>
          <xm:sqref>W9:W508 Y9:Y508 AA9:AA508 AC9:AC508</xm:sqref>
        </x14:dataValidation>
        <x14:dataValidation type="list" allowBlank="1" showInputMessage="1" showErrorMessage="1" xr:uid="{534C0FD3-6605-5F48-A5D9-684566632F78}">
          <x14:formula1>
            <xm:f>_xlfn.ANCHORARRAY(CAT_Procesos!$M$2)</xm:f>
          </x14:formula1>
          <xm:sqref>U9:U508</xm:sqref>
        </x14:dataValidation>
        <x14:dataValidation type="list" allowBlank="1" showInputMessage="1" showErrorMessage="1" xr:uid="{3E6F5B54-86F5-0741-8406-80C8D9724883}">
          <x14:formula1>
            <xm:f>OFFSET(CAT_Productos!$A2,0,0,COUNTA(CAT_Productos!$A:$A)-1,1)</xm:f>
          </x14:formula1>
          <xm:sqref>V9:V508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0">
    <tabColor rgb="FFBDBDBD"/>
  </sheetPr>
  <dimension ref="A1:N715"/>
  <sheetViews>
    <sheetView topLeftCell="B1" workbookViewId="0">
      <pane ySplit="1" topLeftCell="A115" activePane="bottomLeft" state="frozen"/>
      <selection pane="bottomLeft" activeCell="E1" sqref="E1:E1048576"/>
    </sheetView>
  </sheetViews>
  <sheetFormatPr baseColWidth="10" defaultColWidth="8.83203125" defaultRowHeight="15" x14ac:dyDescent="0.2"/>
  <cols>
    <col min="1" max="1" width="76" bestFit="1" customWidth="1"/>
    <col min="2" max="2" width="64" bestFit="1" customWidth="1"/>
    <col min="3" max="3" width="34.5" bestFit="1" customWidth="1"/>
    <col min="4" max="4" width="26.6640625" bestFit="1" customWidth="1"/>
    <col min="5" max="5" width="86.33203125" customWidth="1"/>
    <col min="6" max="6" width="25.83203125" bestFit="1" customWidth="1"/>
    <col min="7" max="7" width="30.33203125" bestFit="1" customWidth="1"/>
    <col min="8" max="8" width="48.33203125" bestFit="1" customWidth="1"/>
    <col min="9" max="9" width="13.83203125" bestFit="1" customWidth="1"/>
    <col min="10" max="10" width="26" bestFit="1" customWidth="1"/>
    <col min="11" max="11" width="21.1640625" bestFit="1" customWidth="1"/>
    <col min="12" max="12" width="39" bestFit="1" customWidth="1"/>
    <col min="13" max="13" width="13.6640625" bestFit="1" customWidth="1"/>
    <col min="14" max="14" width="17.1640625" bestFit="1" customWidth="1"/>
  </cols>
  <sheetData>
    <row r="1" spans="1:14" x14ac:dyDescent="0.2">
      <c r="A1" s="6" t="s">
        <v>76</v>
      </c>
      <c r="B1" s="6" t="s">
        <v>77</v>
      </c>
      <c r="C1" s="6" t="s">
        <v>78</v>
      </c>
      <c r="D1" s="6" t="s">
        <v>79</v>
      </c>
      <c r="E1" s="6" t="s">
        <v>80</v>
      </c>
      <c r="F1" s="6" t="s">
        <v>81</v>
      </c>
      <c r="G1" s="6" t="s">
        <v>82</v>
      </c>
      <c r="H1" s="6" t="s">
        <v>83</v>
      </c>
      <c r="I1" s="6" t="s">
        <v>84</v>
      </c>
      <c r="J1" s="6" t="s">
        <v>85</v>
      </c>
      <c r="K1" s="6" t="s">
        <v>86</v>
      </c>
      <c r="L1" s="6" t="s">
        <v>87</v>
      </c>
      <c r="M1" s="6" t="s">
        <v>88</v>
      </c>
      <c r="N1" s="6" t="s">
        <v>1349</v>
      </c>
    </row>
    <row r="2" spans="1:14" x14ac:dyDescent="0.2">
      <c r="A2" s="124" t="s">
        <v>73</v>
      </c>
      <c r="B2" s="124" t="s">
        <v>73</v>
      </c>
      <c r="C2" s="124" t="s">
        <v>73</v>
      </c>
      <c r="D2" s="124" t="s">
        <v>73</v>
      </c>
      <c r="E2" s="124" t="s">
        <v>73</v>
      </c>
      <c r="F2" s="124" t="s">
        <v>73</v>
      </c>
      <c r="G2" s="124" t="s">
        <v>73</v>
      </c>
      <c r="H2" s="124" t="s">
        <v>73</v>
      </c>
      <c r="I2" s="124" t="s">
        <v>72</v>
      </c>
      <c r="J2" s="124" t="s">
        <v>73</v>
      </c>
      <c r="K2" s="124" t="s">
        <v>73</v>
      </c>
      <c r="L2" s="124" t="s">
        <v>73</v>
      </c>
      <c r="M2" s="124" t="s">
        <v>72</v>
      </c>
      <c r="N2" s="124" t="s">
        <v>72</v>
      </c>
    </row>
    <row r="3" spans="1:14" x14ac:dyDescent="0.2">
      <c r="A3" s="124" t="s">
        <v>966</v>
      </c>
      <c r="B3" s="124" t="s">
        <v>966</v>
      </c>
      <c r="C3" s="124" t="s">
        <v>966</v>
      </c>
      <c r="D3" s="124" t="s">
        <v>966</v>
      </c>
      <c r="E3" s="124" t="s">
        <v>966</v>
      </c>
      <c r="F3" s="124" t="s">
        <v>966</v>
      </c>
      <c r="G3" s="124" t="s">
        <v>966</v>
      </c>
      <c r="H3" s="124" t="s">
        <v>966</v>
      </c>
      <c r="I3" s="124" t="s">
        <v>966</v>
      </c>
      <c r="J3" s="124" t="s">
        <v>966</v>
      </c>
      <c r="K3" s="124" t="s">
        <v>966</v>
      </c>
      <c r="L3" s="124" t="s">
        <v>966</v>
      </c>
      <c r="M3" s="124" t="s">
        <v>966</v>
      </c>
      <c r="N3" s="124" t="s">
        <v>966</v>
      </c>
    </row>
    <row r="4" spans="1:14" x14ac:dyDescent="0.2">
      <c r="A4" t="s">
        <v>970</v>
      </c>
      <c r="B4" t="s">
        <v>145</v>
      </c>
      <c r="C4" t="s">
        <v>89</v>
      </c>
      <c r="D4" t="s">
        <v>90</v>
      </c>
      <c r="E4" t="s">
        <v>1234</v>
      </c>
      <c r="F4" t="s">
        <v>91</v>
      </c>
      <c r="G4">
        <v>204</v>
      </c>
      <c r="H4" t="s">
        <v>75</v>
      </c>
      <c r="I4" t="s">
        <v>93</v>
      </c>
      <c r="J4" t="s">
        <v>931</v>
      </c>
      <c r="K4" t="s">
        <v>94</v>
      </c>
      <c r="L4" t="s">
        <v>95</v>
      </c>
      <c r="M4" t="s">
        <v>1330</v>
      </c>
      <c r="N4" t="s">
        <v>1346</v>
      </c>
    </row>
    <row r="5" spans="1:14" x14ac:dyDescent="0.2">
      <c r="A5" t="s">
        <v>971</v>
      </c>
      <c r="B5" t="s">
        <v>1767</v>
      </c>
      <c r="C5" t="s">
        <v>97</v>
      </c>
      <c r="D5" t="s">
        <v>98</v>
      </c>
      <c r="E5" t="s">
        <v>99</v>
      </c>
      <c r="F5" t="s">
        <v>100</v>
      </c>
      <c r="G5" t="s">
        <v>92</v>
      </c>
      <c r="H5" t="s">
        <v>101</v>
      </c>
      <c r="I5" t="s">
        <v>102</v>
      </c>
      <c r="J5" t="s">
        <v>932</v>
      </c>
      <c r="K5" t="s">
        <v>103</v>
      </c>
      <c r="L5" t="s">
        <v>104</v>
      </c>
      <c r="M5" t="s">
        <v>1967</v>
      </c>
      <c r="N5" t="s">
        <v>1341</v>
      </c>
    </row>
    <row r="6" spans="1:14" x14ac:dyDescent="0.2">
      <c r="A6" t="s">
        <v>1816</v>
      </c>
      <c r="B6" t="s">
        <v>974</v>
      </c>
      <c r="C6" t="s">
        <v>106</v>
      </c>
      <c r="D6" t="s">
        <v>1222</v>
      </c>
      <c r="E6" t="s">
        <v>1235</v>
      </c>
      <c r="F6" t="s">
        <v>107</v>
      </c>
      <c r="G6" t="s">
        <v>91</v>
      </c>
      <c r="H6" t="s">
        <v>108</v>
      </c>
      <c r="I6" t="s">
        <v>109</v>
      </c>
      <c r="J6" t="s">
        <v>933</v>
      </c>
      <c r="K6" t="s">
        <v>110</v>
      </c>
      <c r="L6" t="s">
        <v>2006</v>
      </c>
      <c r="M6" t="s">
        <v>96</v>
      </c>
      <c r="N6" t="s">
        <v>1347</v>
      </c>
    </row>
    <row r="7" spans="1:14" x14ac:dyDescent="0.2">
      <c r="A7" t="s">
        <v>2124</v>
      </c>
      <c r="B7" t="s">
        <v>975</v>
      </c>
      <c r="C7" t="s">
        <v>928</v>
      </c>
      <c r="D7" t="s">
        <v>121</v>
      </c>
      <c r="E7" t="s">
        <v>1236</v>
      </c>
      <c r="F7" t="s">
        <v>114</v>
      </c>
      <c r="G7" t="s">
        <v>100</v>
      </c>
      <c r="H7" t="s">
        <v>115</v>
      </c>
      <c r="I7" t="s">
        <v>116</v>
      </c>
      <c r="J7" t="s">
        <v>934</v>
      </c>
      <c r="K7" t="s">
        <v>117</v>
      </c>
      <c r="L7" t="s">
        <v>111</v>
      </c>
      <c r="M7" t="s">
        <v>2014</v>
      </c>
      <c r="N7" t="s">
        <v>1336</v>
      </c>
    </row>
    <row r="8" spans="1:14" x14ac:dyDescent="0.2">
      <c r="A8" t="s">
        <v>2125</v>
      </c>
      <c r="B8" t="s">
        <v>976</v>
      </c>
      <c r="C8" t="s">
        <v>120</v>
      </c>
      <c r="D8" t="s">
        <v>1832</v>
      </c>
      <c r="E8" t="s">
        <v>2240</v>
      </c>
      <c r="F8" t="s">
        <v>1310</v>
      </c>
      <c r="G8" t="s">
        <v>107</v>
      </c>
      <c r="H8" t="s">
        <v>124</v>
      </c>
      <c r="I8" t="s">
        <v>125</v>
      </c>
      <c r="J8" t="s">
        <v>935</v>
      </c>
      <c r="K8" t="s">
        <v>126</v>
      </c>
      <c r="L8" t="s">
        <v>118</v>
      </c>
      <c r="M8" t="s">
        <v>1968</v>
      </c>
      <c r="N8" t="s">
        <v>1345</v>
      </c>
    </row>
    <row r="9" spans="1:14" x14ac:dyDescent="0.2">
      <c r="A9" t="s">
        <v>2227</v>
      </c>
      <c r="B9" t="s">
        <v>977</v>
      </c>
      <c r="C9" t="s">
        <v>129</v>
      </c>
      <c r="D9" t="s">
        <v>130</v>
      </c>
      <c r="E9" t="s">
        <v>1237</v>
      </c>
      <c r="F9" t="s">
        <v>122</v>
      </c>
      <c r="G9" t="s">
        <v>123</v>
      </c>
      <c r="H9" t="s">
        <v>133</v>
      </c>
      <c r="I9" t="s">
        <v>134</v>
      </c>
      <c r="J9" t="s">
        <v>936</v>
      </c>
      <c r="K9" t="s">
        <v>135</v>
      </c>
      <c r="L9" t="s">
        <v>127</v>
      </c>
      <c r="M9" t="s">
        <v>1969</v>
      </c>
      <c r="N9" t="s">
        <v>1348</v>
      </c>
    </row>
    <row r="10" spans="1:14" x14ac:dyDescent="0.2">
      <c r="A10" t="s">
        <v>2126</v>
      </c>
      <c r="B10" t="s">
        <v>978</v>
      </c>
      <c r="C10" t="s">
        <v>137</v>
      </c>
      <c r="D10" t="s">
        <v>1833</v>
      </c>
      <c r="E10" t="s">
        <v>2241</v>
      </c>
      <c r="F10" t="s">
        <v>131</v>
      </c>
      <c r="G10" t="s">
        <v>132</v>
      </c>
      <c r="H10" t="s">
        <v>141</v>
      </c>
      <c r="I10" t="s">
        <v>96</v>
      </c>
      <c r="J10" t="s">
        <v>937</v>
      </c>
      <c r="K10" t="s">
        <v>142</v>
      </c>
      <c r="L10" t="s">
        <v>136</v>
      </c>
      <c r="M10" t="s">
        <v>1331</v>
      </c>
      <c r="N10" t="s">
        <v>1338</v>
      </c>
    </row>
    <row r="11" spans="1:14" x14ac:dyDescent="0.2">
      <c r="A11" t="s">
        <v>2127</v>
      </c>
      <c r="B11" t="s">
        <v>979</v>
      </c>
      <c r="C11" t="s">
        <v>146</v>
      </c>
      <c r="D11" t="s">
        <v>1834</v>
      </c>
      <c r="E11" t="s">
        <v>2242</v>
      </c>
      <c r="F11" t="s">
        <v>1311</v>
      </c>
      <c r="G11" t="s">
        <v>140</v>
      </c>
      <c r="H11" t="s">
        <v>150</v>
      </c>
      <c r="I11" t="s">
        <v>963</v>
      </c>
      <c r="J11" t="s">
        <v>938</v>
      </c>
      <c r="K11" t="s">
        <v>151</v>
      </c>
      <c r="L11" t="s">
        <v>1873</v>
      </c>
      <c r="M11" t="s">
        <v>105</v>
      </c>
      <c r="N11" t="s">
        <v>1335</v>
      </c>
    </row>
    <row r="12" spans="1:14" x14ac:dyDescent="0.2">
      <c r="A12" t="s">
        <v>2128</v>
      </c>
      <c r="B12" t="s">
        <v>980</v>
      </c>
      <c r="C12" t="s">
        <v>154</v>
      </c>
      <c r="D12" t="s">
        <v>1835</v>
      </c>
      <c r="E12" t="s">
        <v>2243</v>
      </c>
      <c r="F12" t="s">
        <v>139</v>
      </c>
      <c r="G12" t="s">
        <v>149</v>
      </c>
      <c r="H12" t="s">
        <v>157</v>
      </c>
      <c r="I12" t="s">
        <v>964</v>
      </c>
      <c r="J12" t="s">
        <v>939</v>
      </c>
      <c r="K12" t="s">
        <v>957</v>
      </c>
      <c r="L12" t="s">
        <v>152</v>
      </c>
      <c r="M12" t="s">
        <v>2015</v>
      </c>
      <c r="N12" t="s">
        <v>1339</v>
      </c>
    </row>
    <row r="13" spans="1:14" x14ac:dyDescent="0.2">
      <c r="A13" t="s">
        <v>2129</v>
      </c>
      <c r="B13" t="s">
        <v>981</v>
      </c>
      <c r="C13" t="s">
        <v>161</v>
      </c>
      <c r="D13" t="s">
        <v>138</v>
      </c>
      <c r="E13" t="s">
        <v>1238</v>
      </c>
      <c r="F13" t="s">
        <v>148</v>
      </c>
      <c r="G13" t="s">
        <v>156</v>
      </c>
      <c r="H13" t="s">
        <v>962</v>
      </c>
      <c r="I13" t="s">
        <v>1312</v>
      </c>
      <c r="J13" t="s">
        <v>940</v>
      </c>
      <c r="K13" t="s">
        <v>158</v>
      </c>
      <c r="L13" t="s">
        <v>159</v>
      </c>
      <c r="M13" t="s">
        <v>112</v>
      </c>
      <c r="N13" t="s">
        <v>1343</v>
      </c>
    </row>
    <row r="14" spans="1:14" x14ac:dyDescent="0.2">
      <c r="A14" t="s">
        <v>2130</v>
      </c>
      <c r="B14" t="s">
        <v>982</v>
      </c>
      <c r="C14" t="s">
        <v>166</v>
      </c>
      <c r="D14" t="s">
        <v>147</v>
      </c>
      <c r="E14" t="s">
        <v>1239</v>
      </c>
      <c r="F14" t="s">
        <v>155</v>
      </c>
      <c r="G14" t="s">
        <v>163</v>
      </c>
      <c r="J14" t="s">
        <v>941</v>
      </c>
      <c r="K14" t="s">
        <v>169</v>
      </c>
      <c r="L14" t="s">
        <v>164</v>
      </c>
      <c r="M14" t="s">
        <v>119</v>
      </c>
      <c r="N14" t="s">
        <v>2772</v>
      </c>
    </row>
    <row r="15" spans="1:14" x14ac:dyDescent="0.2">
      <c r="A15" t="s">
        <v>144</v>
      </c>
      <c r="B15" t="s">
        <v>983</v>
      </c>
      <c r="C15" t="s">
        <v>173</v>
      </c>
      <c r="D15" t="s">
        <v>1732</v>
      </c>
      <c r="E15" t="s">
        <v>2244</v>
      </c>
      <c r="F15" t="s">
        <v>162</v>
      </c>
      <c r="G15" t="s">
        <v>168</v>
      </c>
      <c r="J15" t="s">
        <v>942</v>
      </c>
      <c r="K15" t="s">
        <v>958</v>
      </c>
      <c r="L15" t="s">
        <v>170</v>
      </c>
      <c r="M15" t="s">
        <v>128</v>
      </c>
      <c r="N15" t="s">
        <v>1337</v>
      </c>
    </row>
    <row r="16" spans="1:14" x14ac:dyDescent="0.2">
      <c r="A16" t="s">
        <v>2131</v>
      </c>
      <c r="B16" t="s">
        <v>984</v>
      </c>
      <c r="C16" t="s">
        <v>179</v>
      </c>
      <c r="D16" t="s">
        <v>1836</v>
      </c>
      <c r="E16" t="s">
        <v>1240</v>
      </c>
      <c r="F16" t="s">
        <v>167</v>
      </c>
      <c r="G16" t="s">
        <v>175</v>
      </c>
      <c r="J16" t="s">
        <v>943</v>
      </c>
      <c r="K16" t="s">
        <v>189</v>
      </c>
      <c r="L16" t="s">
        <v>176</v>
      </c>
      <c r="M16" t="s">
        <v>1851</v>
      </c>
      <c r="N16" t="s">
        <v>1340</v>
      </c>
    </row>
    <row r="17" spans="1:14" x14ac:dyDescent="0.2">
      <c r="A17" t="s">
        <v>2132</v>
      </c>
      <c r="B17" t="s">
        <v>985</v>
      </c>
      <c r="C17" t="s">
        <v>185</v>
      </c>
      <c r="D17" t="s">
        <v>93</v>
      </c>
      <c r="E17" t="s">
        <v>2245</v>
      </c>
      <c r="F17" t="s">
        <v>174</v>
      </c>
      <c r="G17" t="s">
        <v>181</v>
      </c>
      <c r="J17" t="s">
        <v>944</v>
      </c>
      <c r="K17" t="s">
        <v>197</v>
      </c>
      <c r="L17" t="s">
        <v>182</v>
      </c>
      <c r="M17" t="s">
        <v>1970</v>
      </c>
      <c r="N17" t="s">
        <v>1342</v>
      </c>
    </row>
    <row r="18" spans="1:14" x14ac:dyDescent="0.2">
      <c r="A18" t="s">
        <v>2133</v>
      </c>
      <c r="B18" t="s">
        <v>986</v>
      </c>
      <c r="C18" t="s">
        <v>193</v>
      </c>
      <c r="D18" t="s">
        <v>1223</v>
      </c>
      <c r="E18" t="s">
        <v>2246</v>
      </c>
      <c r="F18" t="s">
        <v>180</v>
      </c>
      <c r="G18" t="s">
        <v>188</v>
      </c>
      <c r="J18" t="s">
        <v>945</v>
      </c>
      <c r="K18" t="s">
        <v>959</v>
      </c>
      <c r="L18" t="s">
        <v>190</v>
      </c>
      <c r="M18" t="s">
        <v>143</v>
      </c>
      <c r="N18" t="s">
        <v>1344</v>
      </c>
    </row>
    <row r="19" spans="1:14" x14ac:dyDescent="0.2">
      <c r="A19" t="s">
        <v>2134</v>
      </c>
      <c r="B19" t="s">
        <v>988</v>
      </c>
      <c r="C19" t="s">
        <v>200</v>
      </c>
      <c r="D19" t="s">
        <v>186</v>
      </c>
      <c r="E19" t="s">
        <v>2247</v>
      </c>
      <c r="F19" t="s">
        <v>187</v>
      </c>
      <c r="G19" t="s">
        <v>196</v>
      </c>
      <c r="J19" t="s">
        <v>946</v>
      </c>
      <c r="K19" t="s">
        <v>960</v>
      </c>
      <c r="L19" t="s">
        <v>198</v>
      </c>
      <c r="M19" t="s">
        <v>153</v>
      </c>
    </row>
    <row r="20" spans="1:14" x14ac:dyDescent="0.2">
      <c r="A20" t="s">
        <v>2135</v>
      </c>
      <c r="B20" t="s">
        <v>2229</v>
      </c>
      <c r="C20" t="s">
        <v>205</v>
      </c>
      <c r="D20" t="s">
        <v>1224</v>
      </c>
      <c r="E20" t="s">
        <v>2248</v>
      </c>
      <c r="F20" t="s">
        <v>195</v>
      </c>
      <c r="G20" t="s">
        <v>202</v>
      </c>
      <c r="J20" t="s">
        <v>947</v>
      </c>
      <c r="K20" t="s">
        <v>961</v>
      </c>
      <c r="L20" t="s">
        <v>203</v>
      </c>
      <c r="M20" t="s">
        <v>160</v>
      </c>
    </row>
    <row r="21" spans="1:14" x14ac:dyDescent="0.2">
      <c r="A21" t="s">
        <v>2136</v>
      </c>
      <c r="B21" t="s">
        <v>989</v>
      </c>
      <c r="C21" t="s">
        <v>121</v>
      </c>
      <c r="D21" t="s">
        <v>194</v>
      </c>
      <c r="E21" t="s">
        <v>2249</v>
      </c>
      <c r="F21" t="s">
        <v>201</v>
      </c>
      <c r="G21" t="s">
        <v>208</v>
      </c>
      <c r="J21" t="s">
        <v>2758</v>
      </c>
      <c r="K21" t="s">
        <v>2005</v>
      </c>
      <c r="L21" t="s">
        <v>210</v>
      </c>
      <c r="M21" t="s">
        <v>165</v>
      </c>
    </row>
    <row r="22" spans="1:14" x14ac:dyDescent="0.2">
      <c r="A22" t="s">
        <v>2137</v>
      </c>
      <c r="B22" t="s">
        <v>990</v>
      </c>
      <c r="C22" t="s">
        <v>217</v>
      </c>
      <c r="D22" t="s">
        <v>206</v>
      </c>
      <c r="E22" t="s">
        <v>2250</v>
      </c>
      <c r="F22" t="s">
        <v>207</v>
      </c>
      <c r="G22" t="s">
        <v>214</v>
      </c>
      <c r="J22" t="s">
        <v>948</v>
      </c>
      <c r="K22" t="s">
        <v>209</v>
      </c>
      <c r="L22" t="s">
        <v>215</v>
      </c>
      <c r="M22" t="s">
        <v>171</v>
      </c>
    </row>
    <row r="23" spans="1:14" x14ac:dyDescent="0.2">
      <c r="A23" t="s">
        <v>2138</v>
      </c>
      <c r="B23" t="s">
        <v>992</v>
      </c>
      <c r="C23" t="s">
        <v>130</v>
      </c>
      <c r="D23" t="s">
        <v>212</v>
      </c>
      <c r="E23" t="s">
        <v>2251</v>
      </c>
      <c r="F23" t="s">
        <v>213</v>
      </c>
      <c r="G23" t="s">
        <v>220</v>
      </c>
      <c r="J23" t="s">
        <v>949</v>
      </c>
      <c r="L23" t="s">
        <v>227</v>
      </c>
      <c r="M23" t="s">
        <v>177</v>
      </c>
    </row>
    <row r="24" spans="1:14" x14ac:dyDescent="0.2">
      <c r="A24" t="s">
        <v>2139</v>
      </c>
      <c r="B24" t="s">
        <v>993</v>
      </c>
      <c r="C24" t="s">
        <v>222</v>
      </c>
      <c r="D24" t="s">
        <v>1837</v>
      </c>
      <c r="E24" t="s">
        <v>2252</v>
      </c>
      <c r="F24" t="s">
        <v>219</v>
      </c>
      <c r="G24" t="s">
        <v>226</v>
      </c>
      <c r="J24" t="s">
        <v>950</v>
      </c>
      <c r="L24" t="s">
        <v>1874</v>
      </c>
      <c r="M24" t="s">
        <v>183</v>
      </c>
    </row>
    <row r="25" spans="1:14" x14ac:dyDescent="0.2">
      <c r="A25" t="s">
        <v>2140</v>
      </c>
      <c r="B25" t="s">
        <v>994</v>
      </c>
      <c r="C25" t="s">
        <v>138</v>
      </c>
      <c r="D25" t="s">
        <v>218</v>
      </c>
      <c r="E25" t="s">
        <v>2253</v>
      </c>
      <c r="F25" t="s">
        <v>225</v>
      </c>
      <c r="G25" t="s">
        <v>231</v>
      </c>
      <c r="J25" t="s">
        <v>951</v>
      </c>
      <c r="L25" t="s">
        <v>232</v>
      </c>
      <c r="M25" t="s">
        <v>191</v>
      </c>
    </row>
    <row r="26" spans="1:14" x14ac:dyDescent="0.2">
      <c r="A26" t="s">
        <v>2141</v>
      </c>
      <c r="B26" t="s">
        <v>995</v>
      </c>
      <c r="C26" t="s">
        <v>234</v>
      </c>
      <c r="D26" t="s">
        <v>223</v>
      </c>
      <c r="E26" t="s">
        <v>2254</v>
      </c>
      <c r="F26" t="s">
        <v>230</v>
      </c>
      <c r="G26" t="s">
        <v>236</v>
      </c>
      <c r="J26" t="s">
        <v>952</v>
      </c>
      <c r="L26" t="s">
        <v>237</v>
      </c>
      <c r="M26" t="s">
        <v>2016</v>
      </c>
    </row>
    <row r="27" spans="1:14" x14ac:dyDescent="0.2">
      <c r="A27" t="s">
        <v>2142</v>
      </c>
      <c r="B27" t="s">
        <v>996</v>
      </c>
      <c r="C27" t="s">
        <v>239</v>
      </c>
      <c r="D27" t="s">
        <v>309</v>
      </c>
      <c r="E27" t="s">
        <v>2255</v>
      </c>
      <c r="F27" t="s">
        <v>235</v>
      </c>
      <c r="G27" t="s">
        <v>243</v>
      </c>
      <c r="J27" t="s">
        <v>953</v>
      </c>
      <c r="L27" t="s">
        <v>244</v>
      </c>
      <c r="M27" t="s">
        <v>1332</v>
      </c>
    </row>
    <row r="28" spans="1:14" x14ac:dyDescent="0.2">
      <c r="A28" t="s">
        <v>2143</v>
      </c>
      <c r="B28" t="s">
        <v>997</v>
      </c>
      <c r="C28" t="s">
        <v>246</v>
      </c>
      <c r="D28" t="s">
        <v>229</v>
      </c>
      <c r="E28" t="s">
        <v>2256</v>
      </c>
      <c r="F28" t="s">
        <v>242</v>
      </c>
      <c r="G28" t="s">
        <v>114</v>
      </c>
      <c r="J28" t="s">
        <v>954</v>
      </c>
      <c r="L28" t="s">
        <v>250</v>
      </c>
      <c r="M28" t="s">
        <v>2771</v>
      </c>
    </row>
    <row r="29" spans="1:14" x14ac:dyDescent="0.2">
      <c r="A29" t="s">
        <v>2144</v>
      </c>
      <c r="B29" t="s">
        <v>998</v>
      </c>
      <c r="C29" t="s">
        <v>252</v>
      </c>
      <c r="D29" t="s">
        <v>1838</v>
      </c>
      <c r="E29" t="s">
        <v>2257</v>
      </c>
      <c r="F29" t="s">
        <v>249</v>
      </c>
      <c r="G29" t="s">
        <v>256</v>
      </c>
      <c r="J29" t="s">
        <v>1313</v>
      </c>
      <c r="L29" t="s">
        <v>1769</v>
      </c>
      <c r="M29" t="s">
        <v>2017</v>
      </c>
    </row>
    <row r="30" spans="1:14" x14ac:dyDescent="0.2">
      <c r="A30" t="s">
        <v>2145</v>
      </c>
      <c r="B30" t="s">
        <v>999</v>
      </c>
      <c r="C30" t="s">
        <v>1831</v>
      </c>
      <c r="D30" t="s">
        <v>1839</v>
      </c>
      <c r="E30" t="s">
        <v>1241</v>
      </c>
      <c r="F30" t="s">
        <v>255</v>
      </c>
      <c r="G30" t="s">
        <v>263</v>
      </c>
      <c r="J30" t="s">
        <v>2759</v>
      </c>
      <c r="L30" t="s">
        <v>257</v>
      </c>
      <c r="M30" t="s">
        <v>1333</v>
      </c>
    </row>
    <row r="31" spans="1:14" x14ac:dyDescent="0.2">
      <c r="A31" t="s">
        <v>2146</v>
      </c>
      <c r="B31" t="s">
        <v>1000</v>
      </c>
      <c r="C31" t="s">
        <v>259</v>
      </c>
      <c r="D31" t="s">
        <v>1840</v>
      </c>
      <c r="E31" t="s">
        <v>2258</v>
      </c>
      <c r="F31" t="s">
        <v>262</v>
      </c>
      <c r="G31" t="s">
        <v>1869</v>
      </c>
      <c r="J31" t="s">
        <v>955</v>
      </c>
      <c r="L31" t="s">
        <v>264</v>
      </c>
      <c r="M31" t="s">
        <v>2018</v>
      </c>
    </row>
    <row r="32" spans="1:14" x14ac:dyDescent="0.2">
      <c r="A32" t="s">
        <v>2147</v>
      </c>
      <c r="B32" t="s">
        <v>172</v>
      </c>
      <c r="C32" t="s">
        <v>266</v>
      </c>
      <c r="D32" t="s">
        <v>240</v>
      </c>
      <c r="E32" t="s">
        <v>2259</v>
      </c>
      <c r="F32" t="s">
        <v>268</v>
      </c>
      <c r="G32" t="s">
        <v>1310</v>
      </c>
      <c r="J32" t="s">
        <v>956</v>
      </c>
      <c r="L32" t="s">
        <v>269</v>
      </c>
    </row>
    <row r="33" spans="1:12" x14ac:dyDescent="0.2">
      <c r="A33" t="s">
        <v>2148</v>
      </c>
      <c r="B33" t="s">
        <v>1001</v>
      </c>
      <c r="C33" t="s">
        <v>271</v>
      </c>
      <c r="D33" t="s">
        <v>247</v>
      </c>
      <c r="E33" t="s">
        <v>2260</v>
      </c>
      <c r="F33" t="s">
        <v>272</v>
      </c>
      <c r="G33" t="s">
        <v>1870</v>
      </c>
      <c r="J33" t="s">
        <v>1315</v>
      </c>
      <c r="L33" t="s">
        <v>273</v>
      </c>
    </row>
    <row r="34" spans="1:12" x14ac:dyDescent="0.2">
      <c r="A34" t="s">
        <v>2149</v>
      </c>
      <c r="B34" t="s">
        <v>178</v>
      </c>
      <c r="C34" t="s">
        <v>275</v>
      </c>
      <c r="D34" t="s">
        <v>253</v>
      </c>
      <c r="E34" t="s">
        <v>2261</v>
      </c>
      <c r="F34" t="s">
        <v>277</v>
      </c>
      <c r="G34" t="s">
        <v>122</v>
      </c>
      <c r="L34" t="s">
        <v>2007</v>
      </c>
    </row>
    <row r="35" spans="1:12" x14ac:dyDescent="0.2">
      <c r="A35" t="s">
        <v>2150</v>
      </c>
      <c r="B35" t="s">
        <v>1002</v>
      </c>
      <c r="C35" t="s">
        <v>2235</v>
      </c>
      <c r="D35" t="s">
        <v>929</v>
      </c>
      <c r="E35" t="s">
        <v>2262</v>
      </c>
      <c r="F35" t="s">
        <v>280</v>
      </c>
      <c r="G35" t="s">
        <v>131</v>
      </c>
      <c r="L35" t="s">
        <v>282</v>
      </c>
    </row>
    <row r="36" spans="1:12" x14ac:dyDescent="0.2">
      <c r="A36" t="s">
        <v>2151</v>
      </c>
      <c r="B36" t="s">
        <v>184</v>
      </c>
      <c r="C36" t="s">
        <v>223</v>
      </c>
      <c r="D36" t="s">
        <v>328</v>
      </c>
      <c r="E36" t="s">
        <v>2263</v>
      </c>
      <c r="F36" t="s">
        <v>285</v>
      </c>
      <c r="G36" t="s">
        <v>1311</v>
      </c>
      <c r="L36" t="s">
        <v>1316</v>
      </c>
    </row>
    <row r="37" spans="1:12" x14ac:dyDescent="0.2">
      <c r="A37" t="s">
        <v>288</v>
      </c>
      <c r="B37" t="s">
        <v>1003</v>
      </c>
      <c r="C37" t="s">
        <v>284</v>
      </c>
      <c r="D37" t="s">
        <v>260</v>
      </c>
      <c r="E37" t="s">
        <v>2264</v>
      </c>
      <c r="G37" t="s">
        <v>1871</v>
      </c>
      <c r="L37" t="s">
        <v>287</v>
      </c>
    </row>
    <row r="38" spans="1:12" x14ac:dyDescent="0.2">
      <c r="A38" t="s">
        <v>294</v>
      </c>
      <c r="B38" t="s">
        <v>199</v>
      </c>
      <c r="C38" t="s">
        <v>290</v>
      </c>
      <c r="D38" t="s">
        <v>267</v>
      </c>
      <c r="E38" t="s">
        <v>2265</v>
      </c>
      <c r="G38" t="s">
        <v>139</v>
      </c>
      <c r="L38" t="s">
        <v>293</v>
      </c>
    </row>
    <row r="39" spans="1:12" x14ac:dyDescent="0.2">
      <c r="A39" t="s">
        <v>1817</v>
      </c>
      <c r="B39" t="s">
        <v>1004</v>
      </c>
      <c r="C39" t="s">
        <v>296</v>
      </c>
      <c r="D39" t="s">
        <v>2236</v>
      </c>
      <c r="E39" t="s">
        <v>2266</v>
      </c>
      <c r="G39" t="s">
        <v>281</v>
      </c>
      <c r="L39" t="s">
        <v>299</v>
      </c>
    </row>
    <row r="40" spans="1:12" x14ac:dyDescent="0.2">
      <c r="A40" t="s">
        <v>2152</v>
      </c>
      <c r="B40" t="s">
        <v>204</v>
      </c>
      <c r="C40" t="s">
        <v>301</v>
      </c>
      <c r="D40" t="s">
        <v>1225</v>
      </c>
      <c r="E40" t="s">
        <v>2267</v>
      </c>
      <c r="G40" t="s">
        <v>286</v>
      </c>
      <c r="L40" t="s">
        <v>303</v>
      </c>
    </row>
    <row r="41" spans="1:12" x14ac:dyDescent="0.2">
      <c r="A41" t="s">
        <v>2153</v>
      </c>
      <c r="B41" t="s">
        <v>211</v>
      </c>
      <c r="C41" t="s">
        <v>305</v>
      </c>
      <c r="D41" t="s">
        <v>276</v>
      </c>
      <c r="E41" t="s">
        <v>2051</v>
      </c>
      <c r="G41" t="s">
        <v>292</v>
      </c>
      <c r="L41" t="s">
        <v>308</v>
      </c>
    </row>
    <row r="42" spans="1:12" x14ac:dyDescent="0.2">
      <c r="A42" t="s">
        <v>2154</v>
      </c>
      <c r="B42" t="s">
        <v>216</v>
      </c>
      <c r="C42" t="s">
        <v>309</v>
      </c>
      <c r="D42" t="s">
        <v>1997</v>
      </c>
      <c r="E42" t="s">
        <v>2052</v>
      </c>
      <c r="G42" t="s">
        <v>298</v>
      </c>
      <c r="L42" t="s">
        <v>312</v>
      </c>
    </row>
    <row r="43" spans="1:12" x14ac:dyDescent="0.2">
      <c r="A43" t="s">
        <v>2155</v>
      </c>
      <c r="B43" t="s">
        <v>221</v>
      </c>
      <c r="C43" t="s">
        <v>314</v>
      </c>
      <c r="D43" t="s">
        <v>279</v>
      </c>
      <c r="E43" t="s">
        <v>2053</v>
      </c>
      <c r="G43" t="s">
        <v>302</v>
      </c>
      <c r="L43" t="s">
        <v>317</v>
      </c>
    </row>
    <row r="44" spans="1:12" x14ac:dyDescent="0.2">
      <c r="A44" t="s">
        <v>2156</v>
      </c>
      <c r="B44" t="s">
        <v>1005</v>
      </c>
      <c r="C44" t="s">
        <v>240</v>
      </c>
      <c r="D44" t="s">
        <v>79</v>
      </c>
      <c r="E44" t="s">
        <v>2054</v>
      </c>
      <c r="G44" t="s">
        <v>307</v>
      </c>
      <c r="L44" t="s">
        <v>321</v>
      </c>
    </row>
    <row r="45" spans="1:12" x14ac:dyDescent="0.2">
      <c r="A45" t="s">
        <v>2157</v>
      </c>
      <c r="B45" t="s">
        <v>1006</v>
      </c>
      <c r="C45" t="s">
        <v>323</v>
      </c>
      <c r="D45" t="s">
        <v>291</v>
      </c>
      <c r="E45" t="s">
        <v>2055</v>
      </c>
      <c r="G45" t="s">
        <v>311</v>
      </c>
      <c r="L45" t="s">
        <v>326</v>
      </c>
    </row>
    <row r="46" spans="1:12" x14ac:dyDescent="0.2">
      <c r="A46" t="s">
        <v>2158</v>
      </c>
      <c r="B46" t="s">
        <v>1007</v>
      </c>
      <c r="C46" t="s">
        <v>328</v>
      </c>
      <c r="D46" t="s">
        <v>1841</v>
      </c>
      <c r="E46" t="s">
        <v>2197</v>
      </c>
      <c r="G46" t="s">
        <v>316</v>
      </c>
      <c r="L46" t="s">
        <v>331</v>
      </c>
    </row>
    <row r="47" spans="1:12" x14ac:dyDescent="0.2">
      <c r="A47" t="s">
        <v>2159</v>
      </c>
      <c r="B47" t="s">
        <v>1008</v>
      </c>
      <c r="C47" t="s">
        <v>332</v>
      </c>
      <c r="D47" t="s">
        <v>1842</v>
      </c>
      <c r="E47" t="s">
        <v>2056</v>
      </c>
      <c r="G47" t="s">
        <v>320</v>
      </c>
      <c r="L47" t="s">
        <v>334</v>
      </c>
    </row>
    <row r="48" spans="1:12" x14ac:dyDescent="0.2">
      <c r="A48" t="s">
        <v>2160</v>
      </c>
      <c r="B48" t="s">
        <v>1009</v>
      </c>
      <c r="C48" t="s">
        <v>336</v>
      </c>
      <c r="D48" t="s">
        <v>297</v>
      </c>
      <c r="E48" t="s">
        <v>2057</v>
      </c>
      <c r="G48" t="s">
        <v>325</v>
      </c>
      <c r="L48" t="s">
        <v>338</v>
      </c>
    </row>
    <row r="49" spans="1:12" x14ac:dyDescent="0.2">
      <c r="A49" t="s">
        <v>2161</v>
      </c>
      <c r="B49" t="s">
        <v>1010</v>
      </c>
      <c r="C49" t="s">
        <v>340</v>
      </c>
      <c r="D49" t="s">
        <v>1455</v>
      </c>
      <c r="E49" t="s">
        <v>2058</v>
      </c>
      <c r="G49" t="s">
        <v>330</v>
      </c>
      <c r="L49" t="s">
        <v>342</v>
      </c>
    </row>
    <row r="50" spans="1:12" x14ac:dyDescent="0.2">
      <c r="A50" t="s">
        <v>343</v>
      </c>
      <c r="B50" t="s">
        <v>1011</v>
      </c>
      <c r="C50" t="s">
        <v>345</v>
      </c>
      <c r="D50" t="s">
        <v>306</v>
      </c>
      <c r="E50" t="s">
        <v>2059</v>
      </c>
      <c r="G50" t="s">
        <v>148</v>
      </c>
      <c r="L50" t="s">
        <v>347</v>
      </c>
    </row>
    <row r="51" spans="1:12" x14ac:dyDescent="0.2">
      <c r="A51" t="s">
        <v>1818</v>
      </c>
      <c r="B51" t="s">
        <v>1012</v>
      </c>
      <c r="C51" t="s">
        <v>349</v>
      </c>
      <c r="D51" t="s">
        <v>310</v>
      </c>
      <c r="E51" t="s">
        <v>2060</v>
      </c>
      <c r="G51" t="s">
        <v>155</v>
      </c>
      <c r="L51" t="s">
        <v>352</v>
      </c>
    </row>
    <row r="52" spans="1:12" x14ac:dyDescent="0.2">
      <c r="A52" t="s">
        <v>2162</v>
      </c>
      <c r="B52" t="s">
        <v>1015</v>
      </c>
      <c r="C52" t="s">
        <v>354</v>
      </c>
      <c r="D52" t="s">
        <v>1843</v>
      </c>
      <c r="E52" t="s">
        <v>2061</v>
      </c>
      <c r="G52" t="s">
        <v>162</v>
      </c>
      <c r="L52" t="s">
        <v>359</v>
      </c>
    </row>
    <row r="53" spans="1:12" x14ac:dyDescent="0.2">
      <c r="A53" t="s">
        <v>2163</v>
      </c>
      <c r="B53" t="s">
        <v>1016</v>
      </c>
      <c r="C53" t="s">
        <v>357</v>
      </c>
      <c r="D53" t="s">
        <v>315</v>
      </c>
      <c r="E53" t="s">
        <v>2078</v>
      </c>
      <c r="G53" t="s">
        <v>167</v>
      </c>
      <c r="L53" t="s">
        <v>362</v>
      </c>
    </row>
    <row r="54" spans="1:12" x14ac:dyDescent="0.2">
      <c r="A54" t="s">
        <v>2164</v>
      </c>
      <c r="B54" t="s">
        <v>1017</v>
      </c>
      <c r="C54" t="s">
        <v>360</v>
      </c>
      <c r="D54" t="s">
        <v>2237</v>
      </c>
      <c r="E54" t="s">
        <v>2079</v>
      </c>
      <c r="G54" t="s">
        <v>351</v>
      </c>
      <c r="L54" t="s">
        <v>366</v>
      </c>
    </row>
    <row r="55" spans="1:12" x14ac:dyDescent="0.2">
      <c r="A55" t="s">
        <v>972</v>
      </c>
      <c r="B55" t="s">
        <v>238</v>
      </c>
      <c r="C55" t="s">
        <v>364</v>
      </c>
      <c r="D55" t="s">
        <v>1844</v>
      </c>
      <c r="E55" t="s">
        <v>2080</v>
      </c>
      <c r="G55" t="s">
        <v>174</v>
      </c>
      <c r="L55" t="s">
        <v>370</v>
      </c>
    </row>
    <row r="56" spans="1:12" x14ac:dyDescent="0.2">
      <c r="A56" t="s">
        <v>2165</v>
      </c>
      <c r="B56" t="s">
        <v>245</v>
      </c>
      <c r="C56" t="s">
        <v>368</v>
      </c>
      <c r="D56" t="s">
        <v>1845</v>
      </c>
      <c r="E56" t="s">
        <v>2081</v>
      </c>
      <c r="G56" t="s">
        <v>180</v>
      </c>
      <c r="L56" t="s">
        <v>372</v>
      </c>
    </row>
    <row r="57" spans="1:12" x14ac:dyDescent="0.2">
      <c r="A57" t="s">
        <v>2166</v>
      </c>
      <c r="B57" t="s">
        <v>1018</v>
      </c>
      <c r="C57" t="s">
        <v>319</v>
      </c>
      <c r="D57" t="s">
        <v>1846</v>
      </c>
      <c r="E57" t="s">
        <v>2082</v>
      </c>
      <c r="G57" t="s">
        <v>187</v>
      </c>
      <c r="L57" t="s">
        <v>377</v>
      </c>
    </row>
    <row r="58" spans="1:12" x14ac:dyDescent="0.2">
      <c r="A58" t="s">
        <v>973</v>
      </c>
      <c r="B58" t="s">
        <v>251</v>
      </c>
      <c r="C58" t="s">
        <v>374</v>
      </c>
      <c r="D58" t="s">
        <v>1847</v>
      </c>
      <c r="E58" t="s">
        <v>2198</v>
      </c>
      <c r="G58" t="s">
        <v>195</v>
      </c>
      <c r="L58" t="s">
        <v>380</v>
      </c>
    </row>
    <row r="59" spans="1:12" x14ac:dyDescent="0.2">
      <c r="A59" t="s">
        <v>2167</v>
      </c>
      <c r="B59" t="s">
        <v>1019</v>
      </c>
      <c r="C59" t="s">
        <v>324</v>
      </c>
      <c r="D59" t="s">
        <v>1226</v>
      </c>
      <c r="E59" t="s">
        <v>2083</v>
      </c>
      <c r="G59" t="s">
        <v>201</v>
      </c>
      <c r="L59" t="s">
        <v>385</v>
      </c>
    </row>
    <row r="60" spans="1:12" x14ac:dyDescent="0.2">
      <c r="A60" t="s">
        <v>1971</v>
      </c>
      <c r="B60" t="s">
        <v>258</v>
      </c>
      <c r="C60" t="s">
        <v>382</v>
      </c>
      <c r="D60" t="s">
        <v>324</v>
      </c>
      <c r="E60" t="s">
        <v>2084</v>
      </c>
      <c r="G60" t="s">
        <v>376</v>
      </c>
      <c r="L60" t="s">
        <v>389</v>
      </c>
    </row>
    <row r="61" spans="1:12" x14ac:dyDescent="0.2">
      <c r="A61" t="s">
        <v>2168</v>
      </c>
      <c r="B61" t="s">
        <v>265</v>
      </c>
      <c r="C61" t="s">
        <v>386</v>
      </c>
      <c r="D61" t="s">
        <v>329</v>
      </c>
      <c r="E61" t="s">
        <v>2085</v>
      </c>
      <c r="G61" t="s">
        <v>379</v>
      </c>
      <c r="L61" t="s">
        <v>393</v>
      </c>
    </row>
    <row r="62" spans="1:12" x14ac:dyDescent="0.2">
      <c r="A62" t="s">
        <v>2169</v>
      </c>
      <c r="B62" t="s">
        <v>270</v>
      </c>
      <c r="C62" t="s">
        <v>390</v>
      </c>
      <c r="D62" t="s">
        <v>1227</v>
      </c>
      <c r="E62" t="s">
        <v>2086</v>
      </c>
      <c r="G62" t="s">
        <v>384</v>
      </c>
      <c r="L62" t="s">
        <v>1317</v>
      </c>
    </row>
    <row r="63" spans="1:12" x14ac:dyDescent="0.2">
      <c r="A63" t="s">
        <v>2170</v>
      </c>
      <c r="B63" t="s">
        <v>1020</v>
      </c>
      <c r="C63" t="s">
        <v>394</v>
      </c>
      <c r="D63" t="s">
        <v>333</v>
      </c>
      <c r="E63" t="s">
        <v>2087</v>
      </c>
      <c r="G63" t="s">
        <v>388</v>
      </c>
      <c r="L63" t="s">
        <v>397</v>
      </c>
    </row>
    <row r="64" spans="1:12" x14ac:dyDescent="0.2">
      <c r="A64" t="s">
        <v>2171</v>
      </c>
      <c r="B64" t="s">
        <v>274</v>
      </c>
      <c r="C64" t="s">
        <v>398</v>
      </c>
      <c r="D64" t="s">
        <v>337</v>
      </c>
      <c r="E64" t="s">
        <v>2088</v>
      </c>
      <c r="G64" t="s">
        <v>392</v>
      </c>
      <c r="L64" t="s">
        <v>401</v>
      </c>
    </row>
    <row r="65" spans="1:12" x14ac:dyDescent="0.2">
      <c r="A65" t="s">
        <v>2172</v>
      </c>
      <c r="B65" t="s">
        <v>278</v>
      </c>
      <c r="C65" t="s">
        <v>402</v>
      </c>
      <c r="D65" t="s">
        <v>341</v>
      </c>
      <c r="E65" t="s">
        <v>2199</v>
      </c>
      <c r="G65" t="s">
        <v>396</v>
      </c>
      <c r="L65" t="s">
        <v>405</v>
      </c>
    </row>
    <row r="66" spans="1:12" x14ac:dyDescent="0.2">
      <c r="A66" t="s">
        <v>2173</v>
      </c>
      <c r="B66" t="s">
        <v>1021</v>
      </c>
      <c r="C66" t="s">
        <v>406</v>
      </c>
      <c r="D66" t="s">
        <v>49</v>
      </c>
      <c r="E66" t="s">
        <v>2200</v>
      </c>
      <c r="G66" t="s">
        <v>400</v>
      </c>
      <c r="L66" t="s">
        <v>408</v>
      </c>
    </row>
    <row r="67" spans="1:12" x14ac:dyDescent="0.2">
      <c r="A67" t="s">
        <v>2174</v>
      </c>
      <c r="B67" t="s">
        <v>1022</v>
      </c>
      <c r="C67" t="s">
        <v>409</v>
      </c>
      <c r="D67" t="s">
        <v>1228</v>
      </c>
      <c r="E67" t="s">
        <v>2201</v>
      </c>
      <c r="G67" t="s">
        <v>404</v>
      </c>
      <c r="L67" t="s">
        <v>410</v>
      </c>
    </row>
    <row r="68" spans="1:12" x14ac:dyDescent="0.2">
      <c r="A68" t="s">
        <v>2175</v>
      </c>
      <c r="B68" t="s">
        <v>1023</v>
      </c>
      <c r="C68" t="s">
        <v>411</v>
      </c>
      <c r="D68" t="s">
        <v>1848</v>
      </c>
      <c r="E68" t="s">
        <v>2202</v>
      </c>
      <c r="G68" t="s">
        <v>207</v>
      </c>
      <c r="L68" t="s">
        <v>414</v>
      </c>
    </row>
    <row r="69" spans="1:12" x14ac:dyDescent="0.2">
      <c r="A69" t="s">
        <v>2176</v>
      </c>
      <c r="B69" t="s">
        <v>1024</v>
      </c>
      <c r="C69" t="s">
        <v>415</v>
      </c>
      <c r="D69" t="s">
        <v>346</v>
      </c>
      <c r="E69" t="s">
        <v>2203</v>
      </c>
      <c r="G69" t="s">
        <v>213</v>
      </c>
      <c r="L69" t="s">
        <v>417</v>
      </c>
    </row>
    <row r="70" spans="1:12" x14ac:dyDescent="0.2">
      <c r="A70" t="s">
        <v>2177</v>
      </c>
      <c r="B70" t="s">
        <v>1025</v>
      </c>
      <c r="C70" t="s">
        <v>378</v>
      </c>
      <c r="D70" t="s">
        <v>350</v>
      </c>
      <c r="E70" t="s">
        <v>2204</v>
      </c>
      <c r="G70" t="s">
        <v>413</v>
      </c>
      <c r="L70" t="s">
        <v>2760</v>
      </c>
    </row>
    <row r="71" spans="1:12" x14ac:dyDescent="0.2">
      <c r="A71" t="s">
        <v>2178</v>
      </c>
      <c r="B71" t="s">
        <v>1026</v>
      </c>
      <c r="C71" t="s">
        <v>383</v>
      </c>
      <c r="D71" t="s">
        <v>355</v>
      </c>
      <c r="E71" t="s">
        <v>2205</v>
      </c>
      <c r="G71" t="s">
        <v>219</v>
      </c>
      <c r="L71" t="s">
        <v>419</v>
      </c>
    </row>
    <row r="72" spans="1:12" x14ac:dyDescent="0.2">
      <c r="A72" t="s">
        <v>2179</v>
      </c>
      <c r="B72" t="s">
        <v>1027</v>
      </c>
      <c r="C72" t="s">
        <v>420</v>
      </c>
      <c r="D72" t="s">
        <v>358</v>
      </c>
      <c r="E72" t="s">
        <v>2206</v>
      </c>
      <c r="G72" t="s">
        <v>225</v>
      </c>
      <c r="L72" t="s">
        <v>422</v>
      </c>
    </row>
    <row r="73" spans="1:12" x14ac:dyDescent="0.2">
      <c r="A73" t="s">
        <v>2180</v>
      </c>
      <c r="B73" t="s">
        <v>1028</v>
      </c>
      <c r="C73" t="s">
        <v>423</v>
      </c>
      <c r="D73" t="s">
        <v>361</v>
      </c>
      <c r="E73" t="s">
        <v>2207</v>
      </c>
      <c r="G73" t="s">
        <v>230</v>
      </c>
      <c r="L73" t="s">
        <v>424</v>
      </c>
    </row>
    <row r="74" spans="1:12" x14ac:dyDescent="0.2">
      <c r="A74" t="s">
        <v>2181</v>
      </c>
      <c r="B74" t="s">
        <v>1029</v>
      </c>
      <c r="C74" t="s">
        <v>425</v>
      </c>
      <c r="D74" t="s">
        <v>1229</v>
      </c>
      <c r="E74" t="s">
        <v>2208</v>
      </c>
      <c r="G74" t="s">
        <v>235</v>
      </c>
      <c r="L74" t="s">
        <v>428</v>
      </c>
    </row>
    <row r="75" spans="1:12" x14ac:dyDescent="0.2">
      <c r="A75" t="s">
        <v>2182</v>
      </c>
      <c r="B75" t="s">
        <v>1030</v>
      </c>
      <c r="C75" t="s">
        <v>429</v>
      </c>
      <c r="D75" t="s">
        <v>365</v>
      </c>
      <c r="E75" t="s">
        <v>2209</v>
      </c>
      <c r="G75" t="s">
        <v>242</v>
      </c>
      <c r="L75" t="s">
        <v>431</v>
      </c>
    </row>
    <row r="76" spans="1:12" x14ac:dyDescent="0.2">
      <c r="A76" t="s">
        <v>2183</v>
      </c>
      <c r="B76" t="s">
        <v>1031</v>
      </c>
      <c r="C76" t="s">
        <v>432</v>
      </c>
      <c r="D76" t="s">
        <v>1230</v>
      </c>
      <c r="E76" t="s">
        <v>2210</v>
      </c>
      <c r="G76" t="s">
        <v>427</v>
      </c>
      <c r="L76" t="s">
        <v>434</v>
      </c>
    </row>
    <row r="77" spans="1:12" x14ac:dyDescent="0.2">
      <c r="A77" t="s">
        <v>2228</v>
      </c>
      <c r="B77" t="s">
        <v>1032</v>
      </c>
      <c r="C77" t="s">
        <v>435</v>
      </c>
      <c r="D77" t="s">
        <v>369</v>
      </c>
      <c r="E77" t="s">
        <v>2211</v>
      </c>
      <c r="G77" t="s">
        <v>430</v>
      </c>
      <c r="L77" t="s">
        <v>437</v>
      </c>
    </row>
    <row r="78" spans="1:12" x14ac:dyDescent="0.2">
      <c r="A78" t="s">
        <v>2184</v>
      </c>
      <c r="B78" t="s">
        <v>1033</v>
      </c>
      <c r="C78" t="s">
        <v>438</v>
      </c>
      <c r="D78" t="s">
        <v>371</v>
      </c>
      <c r="E78" t="s">
        <v>2212</v>
      </c>
      <c r="G78" t="s">
        <v>249</v>
      </c>
      <c r="L78" t="s">
        <v>440</v>
      </c>
    </row>
    <row r="79" spans="1:12" x14ac:dyDescent="0.2">
      <c r="A79" t="s">
        <v>2185</v>
      </c>
      <c r="B79" t="s">
        <v>1034</v>
      </c>
      <c r="C79" t="s">
        <v>441</v>
      </c>
      <c r="D79" t="s">
        <v>375</v>
      </c>
      <c r="E79" t="s">
        <v>2213</v>
      </c>
      <c r="G79" t="s">
        <v>255</v>
      </c>
      <c r="L79" t="s">
        <v>444</v>
      </c>
    </row>
    <row r="80" spans="1:12" x14ac:dyDescent="0.2">
      <c r="A80" t="s">
        <v>2186</v>
      </c>
      <c r="B80" t="s">
        <v>1035</v>
      </c>
      <c r="C80" t="s">
        <v>445</v>
      </c>
      <c r="D80" t="s">
        <v>930</v>
      </c>
      <c r="E80" t="s">
        <v>2214</v>
      </c>
      <c r="G80" t="s">
        <v>262</v>
      </c>
      <c r="L80" t="s">
        <v>448</v>
      </c>
    </row>
    <row r="81" spans="1:12" x14ac:dyDescent="0.2">
      <c r="A81" t="s">
        <v>2187</v>
      </c>
      <c r="B81" t="s">
        <v>1036</v>
      </c>
      <c r="C81" t="s">
        <v>449</v>
      </c>
      <c r="D81" t="s">
        <v>1849</v>
      </c>
      <c r="E81" t="s">
        <v>2215</v>
      </c>
      <c r="G81" t="s">
        <v>443</v>
      </c>
      <c r="L81" t="s">
        <v>452</v>
      </c>
    </row>
    <row r="82" spans="1:12" x14ac:dyDescent="0.2">
      <c r="A82" t="s">
        <v>2188</v>
      </c>
      <c r="B82" t="s">
        <v>1037</v>
      </c>
      <c r="C82" t="s">
        <v>453</v>
      </c>
      <c r="D82" t="s">
        <v>2077</v>
      </c>
      <c r="E82" t="s">
        <v>2216</v>
      </c>
      <c r="G82" t="s">
        <v>447</v>
      </c>
      <c r="L82" t="s">
        <v>1318</v>
      </c>
    </row>
    <row r="83" spans="1:12" x14ac:dyDescent="0.2">
      <c r="A83" t="s">
        <v>2189</v>
      </c>
      <c r="B83" t="s">
        <v>1038</v>
      </c>
      <c r="C83" t="s">
        <v>456</v>
      </c>
      <c r="D83" t="s">
        <v>378</v>
      </c>
      <c r="E83" t="s">
        <v>2217</v>
      </c>
      <c r="G83" t="s">
        <v>451</v>
      </c>
      <c r="L83" t="s">
        <v>1770</v>
      </c>
    </row>
    <row r="84" spans="1:12" x14ac:dyDescent="0.2">
      <c r="A84" t="s">
        <v>2190</v>
      </c>
      <c r="B84" t="s">
        <v>1040</v>
      </c>
      <c r="C84" t="s">
        <v>460</v>
      </c>
      <c r="D84" t="s">
        <v>383</v>
      </c>
      <c r="E84" t="s">
        <v>2218</v>
      </c>
      <c r="G84" t="s">
        <v>454</v>
      </c>
      <c r="L84" t="s">
        <v>455</v>
      </c>
    </row>
    <row r="85" spans="1:12" x14ac:dyDescent="0.2">
      <c r="A85" t="s">
        <v>2191</v>
      </c>
      <c r="B85" t="s">
        <v>1042</v>
      </c>
      <c r="C85" t="s">
        <v>464</v>
      </c>
      <c r="D85" t="s">
        <v>387</v>
      </c>
      <c r="E85" t="s">
        <v>2219</v>
      </c>
      <c r="G85" t="s">
        <v>458</v>
      </c>
      <c r="L85" t="s">
        <v>459</v>
      </c>
    </row>
    <row r="86" spans="1:12" x14ac:dyDescent="0.2">
      <c r="A86" t="s">
        <v>2192</v>
      </c>
      <c r="B86" t="s">
        <v>1044</v>
      </c>
      <c r="C86" t="s">
        <v>467</v>
      </c>
      <c r="D86" t="s">
        <v>1998</v>
      </c>
      <c r="E86" t="s">
        <v>2220</v>
      </c>
      <c r="G86" t="s">
        <v>268</v>
      </c>
      <c r="L86" t="s">
        <v>1875</v>
      </c>
    </row>
    <row r="87" spans="1:12" x14ac:dyDescent="0.2">
      <c r="A87" t="s">
        <v>2193</v>
      </c>
      <c r="B87" t="s">
        <v>1046</v>
      </c>
      <c r="D87" t="s">
        <v>391</v>
      </c>
      <c r="E87" t="s">
        <v>2221</v>
      </c>
      <c r="G87" t="s">
        <v>465</v>
      </c>
      <c r="L87" t="s">
        <v>462</v>
      </c>
    </row>
    <row r="88" spans="1:12" x14ac:dyDescent="0.2">
      <c r="A88" t="s">
        <v>2194</v>
      </c>
      <c r="B88" t="s">
        <v>1047</v>
      </c>
      <c r="D88" t="s">
        <v>395</v>
      </c>
      <c r="E88" t="s">
        <v>2222</v>
      </c>
      <c r="G88" t="s">
        <v>468</v>
      </c>
      <c r="L88" t="s">
        <v>466</v>
      </c>
    </row>
    <row r="89" spans="1:12" x14ac:dyDescent="0.2">
      <c r="A89" t="s">
        <v>2195</v>
      </c>
      <c r="B89" t="s">
        <v>283</v>
      </c>
      <c r="D89" t="s">
        <v>399</v>
      </c>
      <c r="E89" t="s">
        <v>1242</v>
      </c>
      <c r="G89" t="s">
        <v>470</v>
      </c>
      <c r="L89" t="s">
        <v>469</v>
      </c>
    </row>
    <row r="90" spans="1:12" x14ac:dyDescent="0.2">
      <c r="A90" t="s">
        <v>2196</v>
      </c>
      <c r="B90" t="s">
        <v>1048</v>
      </c>
      <c r="D90" t="s">
        <v>1850</v>
      </c>
      <c r="E90" t="s">
        <v>2268</v>
      </c>
      <c r="G90" t="s">
        <v>472</v>
      </c>
      <c r="L90" t="s">
        <v>1319</v>
      </c>
    </row>
    <row r="91" spans="1:12" x14ac:dyDescent="0.2">
      <c r="B91" t="s">
        <v>289</v>
      </c>
      <c r="D91" t="s">
        <v>403</v>
      </c>
      <c r="E91" t="s">
        <v>1243</v>
      </c>
      <c r="G91" t="s">
        <v>473</v>
      </c>
      <c r="L91" t="s">
        <v>2761</v>
      </c>
    </row>
    <row r="92" spans="1:12" x14ac:dyDescent="0.2">
      <c r="B92" t="s">
        <v>295</v>
      </c>
      <c r="D92" t="s">
        <v>189</v>
      </c>
      <c r="E92" t="s">
        <v>2269</v>
      </c>
      <c r="G92" t="s">
        <v>475</v>
      </c>
      <c r="L92" t="s">
        <v>1320</v>
      </c>
    </row>
    <row r="93" spans="1:12" x14ac:dyDescent="0.2">
      <c r="B93" t="s">
        <v>300</v>
      </c>
      <c r="D93" t="s">
        <v>1851</v>
      </c>
      <c r="E93" t="s">
        <v>2270</v>
      </c>
      <c r="G93" t="s">
        <v>478</v>
      </c>
      <c r="L93" t="s">
        <v>471</v>
      </c>
    </row>
    <row r="94" spans="1:12" x14ac:dyDescent="0.2">
      <c r="B94" t="s">
        <v>1972</v>
      </c>
      <c r="D94" t="s">
        <v>1852</v>
      </c>
      <c r="E94" t="s">
        <v>1244</v>
      </c>
      <c r="G94" t="s">
        <v>481</v>
      </c>
      <c r="L94" t="s">
        <v>474</v>
      </c>
    </row>
    <row r="95" spans="1:12" x14ac:dyDescent="0.2">
      <c r="B95" t="s">
        <v>1973</v>
      </c>
      <c r="D95" t="s">
        <v>1853</v>
      </c>
      <c r="E95" t="s">
        <v>224</v>
      </c>
      <c r="G95" t="s">
        <v>484</v>
      </c>
      <c r="L95" t="s">
        <v>476</v>
      </c>
    </row>
    <row r="96" spans="1:12" x14ac:dyDescent="0.2">
      <c r="B96" t="s">
        <v>922</v>
      </c>
      <c r="D96" t="s">
        <v>2238</v>
      </c>
      <c r="E96" t="s">
        <v>2271</v>
      </c>
      <c r="G96" t="s">
        <v>487</v>
      </c>
      <c r="L96" t="s">
        <v>479</v>
      </c>
    </row>
    <row r="97" spans="2:12" x14ac:dyDescent="0.2">
      <c r="B97" t="s">
        <v>313</v>
      </c>
      <c r="D97" t="s">
        <v>407</v>
      </c>
      <c r="E97" t="s">
        <v>2272</v>
      </c>
      <c r="G97" t="s">
        <v>490</v>
      </c>
      <c r="L97" t="s">
        <v>482</v>
      </c>
    </row>
    <row r="98" spans="2:12" x14ac:dyDescent="0.2">
      <c r="B98" t="s">
        <v>318</v>
      </c>
      <c r="D98" t="s">
        <v>412</v>
      </c>
      <c r="E98" t="s">
        <v>1245</v>
      </c>
      <c r="G98" t="s">
        <v>493</v>
      </c>
      <c r="L98" t="s">
        <v>485</v>
      </c>
    </row>
    <row r="99" spans="2:12" x14ac:dyDescent="0.2">
      <c r="B99" t="s">
        <v>322</v>
      </c>
      <c r="D99" t="s">
        <v>1854</v>
      </c>
      <c r="E99" t="s">
        <v>2273</v>
      </c>
      <c r="G99" t="s">
        <v>272</v>
      </c>
      <c r="L99" t="s">
        <v>488</v>
      </c>
    </row>
    <row r="100" spans="2:12" x14ac:dyDescent="0.2">
      <c r="B100" t="s">
        <v>327</v>
      </c>
      <c r="D100" t="s">
        <v>1855</v>
      </c>
      <c r="E100" t="s">
        <v>2274</v>
      </c>
      <c r="G100" t="s">
        <v>277</v>
      </c>
      <c r="L100" t="s">
        <v>491</v>
      </c>
    </row>
    <row r="101" spans="2:12" x14ac:dyDescent="0.2">
      <c r="B101" t="s">
        <v>335</v>
      </c>
      <c r="D101" t="s">
        <v>1856</v>
      </c>
      <c r="E101" t="s">
        <v>241</v>
      </c>
      <c r="G101" t="s">
        <v>2757</v>
      </c>
      <c r="L101" t="s">
        <v>494</v>
      </c>
    </row>
    <row r="102" spans="2:12" x14ac:dyDescent="0.2">
      <c r="B102" t="s">
        <v>1049</v>
      </c>
      <c r="D102" t="s">
        <v>416</v>
      </c>
      <c r="E102" t="s">
        <v>248</v>
      </c>
      <c r="G102" t="s">
        <v>280</v>
      </c>
      <c r="L102" t="s">
        <v>496</v>
      </c>
    </row>
    <row r="103" spans="2:12" x14ac:dyDescent="0.2">
      <c r="B103" t="s">
        <v>1050</v>
      </c>
      <c r="D103" t="s">
        <v>418</v>
      </c>
      <c r="E103" t="s">
        <v>254</v>
      </c>
      <c r="G103" t="s">
        <v>1872</v>
      </c>
      <c r="L103" t="s">
        <v>498</v>
      </c>
    </row>
    <row r="104" spans="2:12" x14ac:dyDescent="0.2">
      <c r="B104" t="s">
        <v>339</v>
      </c>
      <c r="D104" t="s">
        <v>1857</v>
      </c>
      <c r="E104" t="s">
        <v>261</v>
      </c>
      <c r="G104" t="s">
        <v>285</v>
      </c>
      <c r="L104" t="s">
        <v>500</v>
      </c>
    </row>
    <row r="105" spans="2:12" x14ac:dyDescent="0.2">
      <c r="B105" t="s">
        <v>1051</v>
      </c>
      <c r="D105" t="s">
        <v>421</v>
      </c>
      <c r="E105" t="s">
        <v>2275</v>
      </c>
      <c r="L105" t="s">
        <v>502</v>
      </c>
    </row>
    <row r="106" spans="2:12" x14ac:dyDescent="0.2">
      <c r="B106" t="s">
        <v>344</v>
      </c>
      <c r="D106" t="s">
        <v>1858</v>
      </c>
      <c r="E106" t="s">
        <v>2276</v>
      </c>
      <c r="L106" t="s">
        <v>506</v>
      </c>
    </row>
    <row r="107" spans="2:12" x14ac:dyDescent="0.2">
      <c r="B107" t="s">
        <v>348</v>
      </c>
      <c r="D107" t="s">
        <v>426</v>
      </c>
      <c r="E107" t="s">
        <v>2277</v>
      </c>
      <c r="L107" t="s">
        <v>508</v>
      </c>
    </row>
    <row r="108" spans="2:12" x14ac:dyDescent="0.2">
      <c r="B108" t="s">
        <v>353</v>
      </c>
      <c r="D108" t="s">
        <v>1332</v>
      </c>
      <c r="E108" t="s">
        <v>2278</v>
      </c>
      <c r="L108" t="s">
        <v>510</v>
      </c>
    </row>
    <row r="109" spans="2:12" x14ac:dyDescent="0.2">
      <c r="B109" t="s">
        <v>356</v>
      </c>
      <c r="D109" t="s">
        <v>1796</v>
      </c>
      <c r="E109" t="s">
        <v>2279</v>
      </c>
      <c r="L109" t="s">
        <v>511</v>
      </c>
    </row>
    <row r="110" spans="2:12" x14ac:dyDescent="0.2">
      <c r="B110" t="s">
        <v>1052</v>
      </c>
      <c r="D110" t="s">
        <v>1231</v>
      </c>
      <c r="E110" t="s">
        <v>2280</v>
      </c>
      <c r="L110" t="s">
        <v>513</v>
      </c>
    </row>
    <row r="111" spans="2:12" x14ac:dyDescent="0.2">
      <c r="B111" t="s">
        <v>1053</v>
      </c>
      <c r="D111" t="s">
        <v>1859</v>
      </c>
      <c r="E111" t="s">
        <v>2281</v>
      </c>
      <c r="L111" t="s">
        <v>515</v>
      </c>
    </row>
    <row r="112" spans="2:12" x14ac:dyDescent="0.2">
      <c r="B112" t="s">
        <v>1054</v>
      </c>
      <c r="D112" t="s">
        <v>433</v>
      </c>
      <c r="E112" t="s">
        <v>2282</v>
      </c>
      <c r="L112" t="s">
        <v>517</v>
      </c>
    </row>
    <row r="113" spans="2:12" x14ac:dyDescent="0.2">
      <c r="B113" t="s">
        <v>363</v>
      </c>
      <c r="D113" t="s">
        <v>436</v>
      </c>
      <c r="E113" t="s">
        <v>2283</v>
      </c>
      <c r="L113" t="s">
        <v>519</v>
      </c>
    </row>
    <row r="114" spans="2:12" x14ac:dyDescent="0.2">
      <c r="B114" t="s">
        <v>367</v>
      </c>
      <c r="D114" t="s">
        <v>1232</v>
      </c>
      <c r="E114" t="s">
        <v>2284</v>
      </c>
      <c r="L114" t="s">
        <v>521</v>
      </c>
    </row>
    <row r="115" spans="2:12" x14ac:dyDescent="0.2">
      <c r="B115" t="s">
        <v>1055</v>
      </c>
      <c r="D115" t="s">
        <v>2239</v>
      </c>
      <c r="E115" t="s">
        <v>2285</v>
      </c>
      <c r="L115" t="s">
        <v>523</v>
      </c>
    </row>
    <row r="116" spans="2:12" x14ac:dyDescent="0.2">
      <c r="B116" t="s">
        <v>1819</v>
      </c>
      <c r="D116" t="s">
        <v>1860</v>
      </c>
      <c r="E116" t="s">
        <v>2286</v>
      </c>
      <c r="L116" t="s">
        <v>2762</v>
      </c>
    </row>
    <row r="117" spans="2:12" x14ac:dyDescent="0.2">
      <c r="B117" t="s">
        <v>1056</v>
      </c>
      <c r="D117" t="s">
        <v>439</v>
      </c>
      <c r="E117" t="s">
        <v>2287</v>
      </c>
      <c r="L117" t="s">
        <v>525</v>
      </c>
    </row>
    <row r="118" spans="2:12" x14ac:dyDescent="0.2">
      <c r="B118" t="s">
        <v>1057</v>
      </c>
      <c r="D118" t="s">
        <v>442</v>
      </c>
      <c r="E118" t="s">
        <v>2288</v>
      </c>
      <c r="L118" t="s">
        <v>1771</v>
      </c>
    </row>
    <row r="119" spans="2:12" x14ac:dyDescent="0.2">
      <c r="B119" t="s">
        <v>1058</v>
      </c>
      <c r="D119" t="s">
        <v>446</v>
      </c>
      <c r="E119" t="s">
        <v>2049</v>
      </c>
      <c r="L119" t="s">
        <v>527</v>
      </c>
    </row>
    <row r="120" spans="2:12" x14ac:dyDescent="0.2">
      <c r="B120" t="s">
        <v>1059</v>
      </c>
      <c r="D120" t="s">
        <v>450</v>
      </c>
      <c r="E120" t="s">
        <v>2289</v>
      </c>
      <c r="L120" t="s">
        <v>528</v>
      </c>
    </row>
    <row r="121" spans="2:12" x14ac:dyDescent="0.2">
      <c r="B121" t="s">
        <v>1060</v>
      </c>
      <c r="D121" t="s">
        <v>1233</v>
      </c>
      <c r="E121" t="s">
        <v>2290</v>
      </c>
      <c r="L121" t="s">
        <v>529</v>
      </c>
    </row>
    <row r="122" spans="2:12" x14ac:dyDescent="0.2">
      <c r="B122" t="s">
        <v>1061</v>
      </c>
      <c r="D122" t="s">
        <v>457</v>
      </c>
      <c r="E122" t="s">
        <v>2291</v>
      </c>
      <c r="L122" t="s">
        <v>530</v>
      </c>
    </row>
    <row r="123" spans="2:12" x14ac:dyDescent="0.2">
      <c r="B123" t="s">
        <v>373</v>
      </c>
      <c r="D123" t="s">
        <v>1861</v>
      </c>
      <c r="E123" t="s">
        <v>1246</v>
      </c>
      <c r="L123" t="s">
        <v>531</v>
      </c>
    </row>
    <row r="124" spans="2:12" x14ac:dyDescent="0.2">
      <c r="B124" t="s">
        <v>1062</v>
      </c>
      <c r="D124" t="s">
        <v>1862</v>
      </c>
      <c r="E124" t="s">
        <v>1247</v>
      </c>
      <c r="L124" t="s">
        <v>532</v>
      </c>
    </row>
    <row r="125" spans="2:12" x14ac:dyDescent="0.2">
      <c r="B125" t="s">
        <v>1063</v>
      </c>
      <c r="D125" t="s">
        <v>1863</v>
      </c>
      <c r="E125" t="s">
        <v>1248</v>
      </c>
      <c r="L125" t="s">
        <v>533</v>
      </c>
    </row>
    <row r="126" spans="2:12" x14ac:dyDescent="0.2">
      <c r="B126" t="s">
        <v>381</v>
      </c>
      <c r="D126" t="s">
        <v>1864</v>
      </c>
      <c r="E126" t="s">
        <v>1249</v>
      </c>
      <c r="L126" t="s">
        <v>535</v>
      </c>
    </row>
    <row r="127" spans="2:12" x14ac:dyDescent="0.2">
      <c r="B127" t="s">
        <v>1065</v>
      </c>
      <c r="D127" t="s">
        <v>1865</v>
      </c>
      <c r="E127" t="s">
        <v>2292</v>
      </c>
      <c r="L127" t="s">
        <v>537</v>
      </c>
    </row>
    <row r="128" spans="2:12" x14ac:dyDescent="0.2">
      <c r="B128" t="s">
        <v>2047</v>
      </c>
      <c r="D128" t="s">
        <v>1631</v>
      </c>
      <c r="E128" t="s">
        <v>2293</v>
      </c>
      <c r="L128" t="s">
        <v>539</v>
      </c>
    </row>
    <row r="129" spans="2:12" x14ac:dyDescent="0.2">
      <c r="B129" t="s">
        <v>1820</v>
      </c>
      <c r="D129" t="s">
        <v>461</v>
      </c>
      <c r="E129" t="s">
        <v>2294</v>
      </c>
      <c r="L129" t="s">
        <v>1321</v>
      </c>
    </row>
    <row r="130" spans="2:12" x14ac:dyDescent="0.2">
      <c r="B130" t="s">
        <v>1071</v>
      </c>
      <c r="D130" t="s">
        <v>464</v>
      </c>
      <c r="E130" t="s">
        <v>2295</v>
      </c>
      <c r="L130" t="s">
        <v>541</v>
      </c>
    </row>
    <row r="131" spans="2:12" x14ac:dyDescent="0.2">
      <c r="B131" t="s">
        <v>1072</v>
      </c>
      <c r="D131" t="s">
        <v>1629</v>
      </c>
      <c r="E131" t="s">
        <v>2296</v>
      </c>
      <c r="L131" t="s">
        <v>543</v>
      </c>
    </row>
    <row r="132" spans="2:12" x14ac:dyDescent="0.2">
      <c r="B132" t="s">
        <v>1768</v>
      </c>
      <c r="E132" t="s">
        <v>2297</v>
      </c>
      <c r="L132" t="s">
        <v>544</v>
      </c>
    </row>
    <row r="133" spans="2:12" x14ac:dyDescent="0.2">
      <c r="B133" t="s">
        <v>1074</v>
      </c>
      <c r="E133" t="s">
        <v>2298</v>
      </c>
      <c r="L133" t="s">
        <v>1772</v>
      </c>
    </row>
    <row r="134" spans="2:12" x14ac:dyDescent="0.2">
      <c r="B134" t="s">
        <v>1075</v>
      </c>
      <c r="E134" t="s">
        <v>2299</v>
      </c>
      <c r="L134" t="s">
        <v>547</v>
      </c>
    </row>
    <row r="135" spans="2:12" x14ac:dyDescent="0.2">
      <c r="B135" t="s">
        <v>1076</v>
      </c>
      <c r="E135" t="s">
        <v>2300</v>
      </c>
      <c r="L135" t="s">
        <v>2008</v>
      </c>
    </row>
    <row r="136" spans="2:12" x14ac:dyDescent="0.2">
      <c r="B136" t="s">
        <v>1077</v>
      </c>
      <c r="E136" t="s">
        <v>2301</v>
      </c>
      <c r="L136" t="s">
        <v>549</v>
      </c>
    </row>
    <row r="137" spans="2:12" x14ac:dyDescent="0.2">
      <c r="B137" t="s">
        <v>1078</v>
      </c>
      <c r="E137" t="s">
        <v>2302</v>
      </c>
      <c r="L137" t="s">
        <v>551</v>
      </c>
    </row>
    <row r="138" spans="2:12" x14ac:dyDescent="0.2">
      <c r="B138" t="s">
        <v>1079</v>
      </c>
      <c r="E138" t="s">
        <v>2303</v>
      </c>
      <c r="L138" t="s">
        <v>1773</v>
      </c>
    </row>
    <row r="139" spans="2:12" x14ac:dyDescent="0.2">
      <c r="B139" t="s">
        <v>1080</v>
      </c>
      <c r="E139" t="s">
        <v>2304</v>
      </c>
      <c r="L139" t="s">
        <v>553</v>
      </c>
    </row>
    <row r="140" spans="2:12" x14ac:dyDescent="0.2">
      <c r="B140" t="s">
        <v>1081</v>
      </c>
      <c r="E140" t="s">
        <v>2305</v>
      </c>
      <c r="L140" t="s">
        <v>555</v>
      </c>
    </row>
    <row r="141" spans="2:12" x14ac:dyDescent="0.2">
      <c r="B141" t="s">
        <v>1082</v>
      </c>
      <c r="E141" t="s">
        <v>2306</v>
      </c>
      <c r="L141" t="s">
        <v>556</v>
      </c>
    </row>
    <row r="142" spans="2:12" x14ac:dyDescent="0.2">
      <c r="B142" t="s">
        <v>1083</v>
      </c>
      <c r="E142" t="s">
        <v>2307</v>
      </c>
      <c r="L142" t="s">
        <v>1322</v>
      </c>
    </row>
    <row r="143" spans="2:12" x14ac:dyDescent="0.2">
      <c r="B143" t="s">
        <v>1084</v>
      </c>
      <c r="E143" t="s">
        <v>2308</v>
      </c>
      <c r="L143" t="s">
        <v>557</v>
      </c>
    </row>
    <row r="144" spans="2:12" x14ac:dyDescent="0.2">
      <c r="B144" t="s">
        <v>1085</v>
      </c>
      <c r="E144" t="s">
        <v>2309</v>
      </c>
      <c r="L144" t="s">
        <v>2763</v>
      </c>
    </row>
    <row r="145" spans="2:12" x14ac:dyDescent="0.2">
      <c r="B145" t="s">
        <v>1086</v>
      </c>
      <c r="E145" t="s">
        <v>2310</v>
      </c>
      <c r="L145" t="s">
        <v>559</v>
      </c>
    </row>
    <row r="146" spans="2:12" x14ac:dyDescent="0.2">
      <c r="B146" t="s">
        <v>1087</v>
      </c>
      <c r="E146" t="s">
        <v>2311</v>
      </c>
      <c r="L146" t="s">
        <v>561</v>
      </c>
    </row>
    <row r="147" spans="2:12" x14ac:dyDescent="0.2">
      <c r="B147" t="s">
        <v>1088</v>
      </c>
      <c r="E147" t="s">
        <v>2312</v>
      </c>
      <c r="L147" t="s">
        <v>2764</v>
      </c>
    </row>
    <row r="148" spans="2:12" x14ac:dyDescent="0.2">
      <c r="B148" t="s">
        <v>1089</v>
      </c>
      <c r="E148" t="s">
        <v>2313</v>
      </c>
      <c r="L148" t="s">
        <v>563</v>
      </c>
    </row>
    <row r="149" spans="2:12" x14ac:dyDescent="0.2">
      <c r="B149" t="s">
        <v>1090</v>
      </c>
      <c r="E149" t="s">
        <v>2314</v>
      </c>
      <c r="L149" t="s">
        <v>564</v>
      </c>
    </row>
    <row r="150" spans="2:12" x14ac:dyDescent="0.2">
      <c r="B150" t="s">
        <v>1091</v>
      </c>
      <c r="E150" t="s">
        <v>2315</v>
      </c>
      <c r="L150" t="s">
        <v>565</v>
      </c>
    </row>
    <row r="151" spans="2:12" x14ac:dyDescent="0.2">
      <c r="B151" t="s">
        <v>1092</v>
      </c>
      <c r="E151" t="s">
        <v>2316</v>
      </c>
      <c r="L151" t="s">
        <v>566</v>
      </c>
    </row>
    <row r="152" spans="2:12" x14ac:dyDescent="0.2">
      <c r="B152" t="s">
        <v>1093</v>
      </c>
      <c r="E152" t="s">
        <v>2317</v>
      </c>
      <c r="L152" t="s">
        <v>568</v>
      </c>
    </row>
    <row r="153" spans="2:12" x14ac:dyDescent="0.2">
      <c r="B153" t="s">
        <v>1094</v>
      </c>
      <c r="E153" t="s">
        <v>2318</v>
      </c>
      <c r="L153" t="s">
        <v>569</v>
      </c>
    </row>
    <row r="154" spans="2:12" x14ac:dyDescent="0.2">
      <c r="B154" t="s">
        <v>1095</v>
      </c>
      <c r="E154" t="s">
        <v>2319</v>
      </c>
      <c r="L154" t="s">
        <v>571</v>
      </c>
    </row>
    <row r="155" spans="2:12" x14ac:dyDescent="0.2">
      <c r="B155" t="s">
        <v>1821</v>
      </c>
      <c r="E155" t="s">
        <v>2320</v>
      </c>
      <c r="L155" t="s">
        <v>573</v>
      </c>
    </row>
    <row r="156" spans="2:12" x14ac:dyDescent="0.2">
      <c r="B156" t="s">
        <v>1096</v>
      </c>
      <c r="E156" t="s">
        <v>2321</v>
      </c>
      <c r="L156" t="s">
        <v>574</v>
      </c>
    </row>
    <row r="157" spans="2:12" x14ac:dyDescent="0.2">
      <c r="B157" t="s">
        <v>1097</v>
      </c>
      <c r="E157" t="s">
        <v>2322</v>
      </c>
      <c r="L157" t="s">
        <v>575</v>
      </c>
    </row>
    <row r="158" spans="2:12" x14ac:dyDescent="0.2">
      <c r="B158" t="s">
        <v>1098</v>
      </c>
      <c r="E158" t="s">
        <v>2323</v>
      </c>
      <c r="L158" t="s">
        <v>1774</v>
      </c>
    </row>
    <row r="159" spans="2:12" x14ac:dyDescent="0.2">
      <c r="B159" t="s">
        <v>1099</v>
      </c>
      <c r="E159" t="s">
        <v>2324</v>
      </c>
      <c r="L159" t="s">
        <v>577</v>
      </c>
    </row>
    <row r="160" spans="2:12" x14ac:dyDescent="0.2">
      <c r="B160" t="s">
        <v>1100</v>
      </c>
      <c r="E160" t="s">
        <v>2325</v>
      </c>
      <c r="L160" t="s">
        <v>579</v>
      </c>
    </row>
    <row r="161" spans="2:12" x14ac:dyDescent="0.2">
      <c r="B161" t="s">
        <v>1101</v>
      </c>
      <c r="E161" t="s">
        <v>2326</v>
      </c>
      <c r="L161" t="s">
        <v>581</v>
      </c>
    </row>
    <row r="162" spans="2:12" x14ac:dyDescent="0.2">
      <c r="B162" t="s">
        <v>1102</v>
      </c>
      <c r="E162" t="s">
        <v>1250</v>
      </c>
      <c r="L162" t="s">
        <v>583</v>
      </c>
    </row>
    <row r="163" spans="2:12" x14ac:dyDescent="0.2">
      <c r="B163" t="s">
        <v>1103</v>
      </c>
      <c r="E163" t="s">
        <v>1251</v>
      </c>
      <c r="L163" t="s">
        <v>584</v>
      </c>
    </row>
    <row r="164" spans="2:12" x14ac:dyDescent="0.2">
      <c r="B164" t="s">
        <v>1104</v>
      </c>
      <c r="E164" t="s">
        <v>2327</v>
      </c>
      <c r="L164" t="s">
        <v>585</v>
      </c>
    </row>
    <row r="165" spans="2:12" x14ac:dyDescent="0.2">
      <c r="B165" t="s">
        <v>1105</v>
      </c>
      <c r="E165" t="s">
        <v>1252</v>
      </c>
      <c r="L165" t="s">
        <v>587</v>
      </c>
    </row>
    <row r="166" spans="2:12" x14ac:dyDescent="0.2">
      <c r="B166" t="s">
        <v>1106</v>
      </c>
      <c r="E166" t="s">
        <v>2328</v>
      </c>
      <c r="L166" t="s">
        <v>588</v>
      </c>
    </row>
    <row r="167" spans="2:12" x14ac:dyDescent="0.2">
      <c r="B167" t="s">
        <v>1107</v>
      </c>
      <c r="E167" t="s">
        <v>1253</v>
      </c>
      <c r="L167" t="s">
        <v>590</v>
      </c>
    </row>
    <row r="168" spans="2:12" x14ac:dyDescent="0.2">
      <c r="B168" t="s">
        <v>1108</v>
      </c>
      <c r="E168" t="s">
        <v>1254</v>
      </c>
      <c r="L168" t="s">
        <v>591</v>
      </c>
    </row>
    <row r="169" spans="2:12" x14ac:dyDescent="0.2">
      <c r="B169" t="s">
        <v>1109</v>
      </c>
      <c r="E169" t="s">
        <v>1255</v>
      </c>
      <c r="L169" t="s">
        <v>593</v>
      </c>
    </row>
    <row r="170" spans="2:12" x14ac:dyDescent="0.2">
      <c r="B170" t="s">
        <v>1110</v>
      </c>
      <c r="E170" t="s">
        <v>1256</v>
      </c>
      <c r="L170" t="s">
        <v>594</v>
      </c>
    </row>
    <row r="171" spans="2:12" x14ac:dyDescent="0.2">
      <c r="B171" t="s">
        <v>1111</v>
      </c>
      <c r="E171" t="s">
        <v>1257</v>
      </c>
      <c r="L171" t="s">
        <v>596</v>
      </c>
    </row>
    <row r="172" spans="2:12" x14ac:dyDescent="0.2">
      <c r="B172" t="s">
        <v>1113</v>
      </c>
      <c r="E172" t="s">
        <v>2329</v>
      </c>
      <c r="L172" t="s">
        <v>597</v>
      </c>
    </row>
    <row r="173" spans="2:12" x14ac:dyDescent="0.2">
      <c r="B173" t="s">
        <v>1114</v>
      </c>
      <c r="E173" t="s">
        <v>2330</v>
      </c>
      <c r="L173" t="s">
        <v>598</v>
      </c>
    </row>
    <row r="174" spans="2:12" x14ac:dyDescent="0.2">
      <c r="B174" t="s">
        <v>1115</v>
      </c>
      <c r="E174" t="s">
        <v>2331</v>
      </c>
      <c r="L174" t="s">
        <v>600</v>
      </c>
    </row>
    <row r="175" spans="2:12" x14ac:dyDescent="0.2">
      <c r="B175" t="s">
        <v>1116</v>
      </c>
      <c r="E175" t="s">
        <v>2089</v>
      </c>
      <c r="L175" t="s">
        <v>602</v>
      </c>
    </row>
    <row r="176" spans="2:12" x14ac:dyDescent="0.2">
      <c r="B176" t="s">
        <v>463</v>
      </c>
      <c r="E176" t="s">
        <v>2332</v>
      </c>
      <c r="L176" t="s">
        <v>603</v>
      </c>
    </row>
    <row r="177" spans="2:12" x14ac:dyDescent="0.2">
      <c r="B177" t="s">
        <v>1117</v>
      </c>
      <c r="E177" t="s">
        <v>2062</v>
      </c>
      <c r="L177" t="s">
        <v>2009</v>
      </c>
    </row>
    <row r="178" spans="2:12" x14ac:dyDescent="0.2">
      <c r="B178" t="s">
        <v>1118</v>
      </c>
      <c r="E178" t="s">
        <v>2333</v>
      </c>
      <c r="L178" t="s">
        <v>604</v>
      </c>
    </row>
    <row r="179" spans="2:12" x14ac:dyDescent="0.2">
      <c r="B179" t="s">
        <v>1119</v>
      </c>
      <c r="E179" t="s">
        <v>2334</v>
      </c>
      <c r="L179" t="s">
        <v>605</v>
      </c>
    </row>
    <row r="180" spans="2:12" x14ac:dyDescent="0.2">
      <c r="B180" t="s">
        <v>1120</v>
      </c>
      <c r="E180" t="s">
        <v>2335</v>
      </c>
      <c r="L180" t="s">
        <v>606</v>
      </c>
    </row>
    <row r="181" spans="2:12" x14ac:dyDescent="0.2">
      <c r="B181" t="s">
        <v>1822</v>
      </c>
      <c r="E181" t="s">
        <v>2336</v>
      </c>
      <c r="L181" t="s">
        <v>607</v>
      </c>
    </row>
    <row r="182" spans="2:12" x14ac:dyDescent="0.2">
      <c r="B182" t="s">
        <v>1124</v>
      </c>
      <c r="E182" t="s">
        <v>2337</v>
      </c>
      <c r="L182" t="s">
        <v>608</v>
      </c>
    </row>
    <row r="183" spans="2:12" x14ac:dyDescent="0.2">
      <c r="B183" t="s">
        <v>1823</v>
      </c>
      <c r="E183" t="s">
        <v>2338</v>
      </c>
      <c r="L183" t="s">
        <v>609</v>
      </c>
    </row>
    <row r="184" spans="2:12" x14ac:dyDescent="0.2">
      <c r="B184" t="s">
        <v>2230</v>
      </c>
      <c r="E184" t="s">
        <v>2339</v>
      </c>
      <c r="L184" t="s">
        <v>610</v>
      </c>
    </row>
    <row r="185" spans="2:12" x14ac:dyDescent="0.2">
      <c r="B185" t="s">
        <v>2231</v>
      </c>
      <c r="E185" t="s">
        <v>1258</v>
      </c>
      <c r="L185" t="s">
        <v>611</v>
      </c>
    </row>
    <row r="186" spans="2:12" x14ac:dyDescent="0.2">
      <c r="B186" t="s">
        <v>2232</v>
      </c>
      <c r="E186" t="s">
        <v>2340</v>
      </c>
      <c r="L186" t="s">
        <v>612</v>
      </c>
    </row>
    <row r="187" spans="2:12" x14ac:dyDescent="0.2">
      <c r="B187" t="s">
        <v>923</v>
      </c>
      <c r="E187" t="s">
        <v>2341</v>
      </c>
      <c r="L187" t="s">
        <v>613</v>
      </c>
    </row>
    <row r="188" spans="2:12" x14ac:dyDescent="0.2">
      <c r="B188" t="s">
        <v>477</v>
      </c>
      <c r="E188" t="s">
        <v>1259</v>
      </c>
      <c r="L188" t="s">
        <v>614</v>
      </c>
    </row>
    <row r="189" spans="2:12" x14ac:dyDescent="0.2">
      <c r="B189" t="s">
        <v>480</v>
      </c>
      <c r="E189" t="s">
        <v>1260</v>
      </c>
      <c r="L189" t="s">
        <v>615</v>
      </c>
    </row>
    <row r="190" spans="2:12" x14ac:dyDescent="0.2">
      <c r="B190" t="s">
        <v>2233</v>
      </c>
      <c r="E190" t="s">
        <v>1261</v>
      </c>
      <c r="L190" t="s">
        <v>616</v>
      </c>
    </row>
    <row r="191" spans="2:12" x14ac:dyDescent="0.2">
      <c r="B191" t="s">
        <v>1126</v>
      </c>
      <c r="E191" t="s">
        <v>2063</v>
      </c>
      <c r="L191" t="s">
        <v>617</v>
      </c>
    </row>
    <row r="192" spans="2:12" x14ac:dyDescent="0.2">
      <c r="B192" t="s">
        <v>483</v>
      </c>
      <c r="E192" t="s">
        <v>2342</v>
      </c>
      <c r="L192" t="s">
        <v>618</v>
      </c>
    </row>
    <row r="193" spans="2:12" x14ac:dyDescent="0.2">
      <c r="B193" t="s">
        <v>486</v>
      </c>
      <c r="E193" t="s">
        <v>2343</v>
      </c>
      <c r="L193" t="s">
        <v>619</v>
      </c>
    </row>
    <row r="194" spans="2:12" x14ac:dyDescent="0.2">
      <c r="B194" t="s">
        <v>489</v>
      </c>
      <c r="E194" t="s">
        <v>1999</v>
      </c>
      <c r="L194" t="s">
        <v>620</v>
      </c>
    </row>
    <row r="195" spans="2:12" x14ac:dyDescent="0.2">
      <c r="B195" t="s">
        <v>1127</v>
      </c>
      <c r="E195" t="s">
        <v>2344</v>
      </c>
      <c r="L195" t="s">
        <v>621</v>
      </c>
    </row>
    <row r="196" spans="2:12" x14ac:dyDescent="0.2">
      <c r="B196" t="s">
        <v>492</v>
      </c>
      <c r="E196" t="s">
        <v>2345</v>
      </c>
      <c r="L196" t="s">
        <v>1876</v>
      </c>
    </row>
    <row r="197" spans="2:12" x14ac:dyDescent="0.2">
      <c r="B197" t="s">
        <v>1824</v>
      </c>
      <c r="E197" t="s">
        <v>2346</v>
      </c>
      <c r="L197" t="s">
        <v>622</v>
      </c>
    </row>
    <row r="198" spans="2:12" x14ac:dyDescent="0.2">
      <c r="B198" t="s">
        <v>1128</v>
      </c>
      <c r="E198" t="s">
        <v>2000</v>
      </c>
      <c r="L198" t="s">
        <v>623</v>
      </c>
    </row>
    <row r="199" spans="2:12" x14ac:dyDescent="0.2">
      <c r="B199" t="s">
        <v>1974</v>
      </c>
      <c r="E199" t="s">
        <v>2347</v>
      </c>
      <c r="L199" t="s">
        <v>1323</v>
      </c>
    </row>
    <row r="200" spans="2:12" x14ac:dyDescent="0.2">
      <c r="B200" t="s">
        <v>1130</v>
      </c>
      <c r="E200" t="s">
        <v>2348</v>
      </c>
      <c r="L200" t="s">
        <v>624</v>
      </c>
    </row>
    <row r="201" spans="2:12" x14ac:dyDescent="0.2">
      <c r="B201" t="s">
        <v>1975</v>
      </c>
      <c r="E201" t="s">
        <v>2349</v>
      </c>
      <c r="L201" t="s">
        <v>625</v>
      </c>
    </row>
    <row r="202" spans="2:12" x14ac:dyDescent="0.2">
      <c r="B202" t="s">
        <v>497</v>
      </c>
      <c r="E202" t="s">
        <v>2001</v>
      </c>
      <c r="L202" t="s">
        <v>626</v>
      </c>
    </row>
    <row r="203" spans="2:12" x14ac:dyDescent="0.2">
      <c r="B203" t="s">
        <v>499</v>
      </c>
      <c r="E203" t="s">
        <v>2350</v>
      </c>
      <c r="L203" t="s">
        <v>627</v>
      </c>
    </row>
    <row r="204" spans="2:12" x14ac:dyDescent="0.2">
      <c r="B204" t="s">
        <v>501</v>
      </c>
      <c r="E204" t="s">
        <v>2351</v>
      </c>
      <c r="L204" t="s">
        <v>628</v>
      </c>
    </row>
    <row r="205" spans="2:12" x14ac:dyDescent="0.2">
      <c r="B205" t="s">
        <v>1132</v>
      </c>
      <c r="E205" t="s">
        <v>2352</v>
      </c>
      <c r="L205" t="s">
        <v>629</v>
      </c>
    </row>
    <row r="206" spans="2:12" x14ac:dyDescent="0.2">
      <c r="B206" t="s">
        <v>1133</v>
      </c>
      <c r="E206" t="s">
        <v>2002</v>
      </c>
      <c r="L206" t="s">
        <v>630</v>
      </c>
    </row>
    <row r="207" spans="2:12" x14ac:dyDescent="0.2">
      <c r="B207" t="s">
        <v>503</v>
      </c>
      <c r="E207" t="s">
        <v>2353</v>
      </c>
      <c r="L207" t="s">
        <v>631</v>
      </c>
    </row>
    <row r="208" spans="2:12" x14ac:dyDescent="0.2">
      <c r="B208" t="s">
        <v>504</v>
      </c>
      <c r="E208" t="s">
        <v>2354</v>
      </c>
      <c r="L208" t="s">
        <v>632</v>
      </c>
    </row>
    <row r="209" spans="2:12" x14ac:dyDescent="0.2">
      <c r="B209" t="s">
        <v>505</v>
      </c>
      <c r="E209" t="s">
        <v>2355</v>
      </c>
      <c r="L209" t="s">
        <v>633</v>
      </c>
    </row>
    <row r="210" spans="2:12" x14ac:dyDescent="0.2">
      <c r="B210" t="s">
        <v>507</v>
      </c>
      <c r="E210" t="s">
        <v>2003</v>
      </c>
      <c r="L210" t="s">
        <v>634</v>
      </c>
    </row>
    <row r="211" spans="2:12" x14ac:dyDescent="0.2">
      <c r="B211" t="s">
        <v>509</v>
      </c>
      <c r="E211" t="s">
        <v>2356</v>
      </c>
      <c r="L211" t="s">
        <v>635</v>
      </c>
    </row>
    <row r="212" spans="2:12" x14ac:dyDescent="0.2">
      <c r="B212" t="s">
        <v>512</v>
      </c>
      <c r="E212" t="s">
        <v>2357</v>
      </c>
      <c r="L212" t="s">
        <v>636</v>
      </c>
    </row>
    <row r="213" spans="2:12" x14ac:dyDescent="0.2">
      <c r="B213" t="s">
        <v>518</v>
      </c>
      <c r="E213" t="s">
        <v>2358</v>
      </c>
      <c r="L213" t="s">
        <v>637</v>
      </c>
    </row>
    <row r="214" spans="2:12" x14ac:dyDescent="0.2">
      <c r="B214" t="s">
        <v>520</v>
      </c>
      <c r="E214" t="s">
        <v>2004</v>
      </c>
      <c r="L214" t="s">
        <v>2010</v>
      </c>
    </row>
    <row r="215" spans="2:12" x14ac:dyDescent="0.2">
      <c r="B215" t="s">
        <v>522</v>
      </c>
      <c r="E215" t="s">
        <v>2359</v>
      </c>
      <c r="L215" t="s">
        <v>2765</v>
      </c>
    </row>
    <row r="216" spans="2:12" x14ac:dyDescent="0.2">
      <c r="B216" t="s">
        <v>524</v>
      </c>
      <c r="E216" t="s">
        <v>2360</v>
      </c>
      <c r="L216" t="s">
        <v>638</v>
      </c>
    </row>
    <row r="217" spans="2:12" x14ac:dyDescent="0.2">
      <c r="B217" t="s">
        <v>526</v>
      </c>
      <c r="E217" t="s">
        <v>2361</v>
      </c>
      <c r="L217" t="s">
        <v>639</v>
      </c>
    </row>
    <row r="218" spans="2:12" x14ac:dyDescent="0.2">
      <c r="B218" t="s">
        <v>1135</v>
      </c>
      <c r="E218" t="s">
        <v>1262</v>
      </c>
      <c r="L218" t="s">
        <v>640</v>
      </c>
    </row>
    <row r="219" spans="2:12" x14ac:dyDescent="0.2">
      <c r="B219" t="s">
        <v>1136</v>
      </c>
      <c r="E219" t="s">
        <v>2362</v>
      </c>
      <c r="L219" t="s">
        <v>1324</v>
      </c>
    </row>
    <row r="220" spans="2:12" x14ac:dyDescent="0.2">
      <c r="B220" t="s">
        <v>1137</v>
      </c>
      <c r="E220" t="s">
        <v>2363</v>
      </c>
      <c r="L220" t="s">
        <v>641</v>
      </c>
    </row>
    <row r="221" spans="2:12" x14ac:dyDescent="0.2">
      <c r="B221" t="s">
        <v>1138</v>
      </c>
      <c r="E221" t="s">
        <v>2364</v>
      </c>
      <c r="L221" t="s">
        <v>1775</v>
      </c>
    </row>
    <row r="222" spans="2:12" x14ac:dyDescent="0.2">
      <c r="B222" t="s">
        <v>1139</v>
      </c>
      <c r="E222" t="s">
        <v>1263</v>
      </c>
      <c r="L222" t="s">
        <v>1877</v>
      </c>
    </row>
    <row r="223" spans="2:12" x14ac:dyDescent="0.2">
      <c r="B223" t="s">
        <v>1140</v>
      </c>
      <c r="E223" t="s">
        <v>2365</v>
      </c>
      <c r="L223" t="s">
        <v>642</v>
      </c>
    </row>
    <row r="224" spans="2:12" x14ac:dyDescent="0.2">
      <c r="B224" t="s">
        <v>1141</v>
      </c>
      <c r="E224" t="s">
        <v>2366</v>
      </c>
      <c r="L224" t="s">
        <v>643</v>
      </c>
    </row>
    <row r="225" spans="2:12" x14ac:dyDescent="0.2">
      <c r="B225" t="s">
        <v>1825</v>
      </c>
      <c r="E225" t="s">
        <v>2367</v>
      </c>
      <c r="L225" t="s">
        <v>644</v>
      </c>
    </row>
    <row r="226" spans="2:12" x14ac:dyDescent="0.2">
      <c r="B226" t="s">
        <v>534</v>
      </c>
      <c r="E226" t="s">
        <v>2368</v>
      </c>
      <c r="L226" t="s">
        <v>645</v>
      </c>
    </row>
    <row r="227" spans="2:12" x14ac:dyDescent="0.2">
      <c r="B227" t="s">
        <v>536</v>
      </c>
      <c r="E227" t="s">
        <v>2369</v>
      </c>
      <c r="L227" t="s">
        <v>1776</v>
      </c>
    </row>
    <row r="228" spans="2:12" x14ac:dyDescent="0.2">
      <c r="B228" t="s">
        <v>538</v>
      </c>
      <c r="E228" t="s">
        <v>2370</v>
      </c>
      <c r="L228" t="s">
        <v>646</v>
      </c>
    </row>
    <row r="229" spans="2:12" x14ac:dyDescent="0.2">
      <c r="B229" t="s">
        <v>540</v>
      </c>
      <c r="E229" t="s">
        <v>2371</v>
      </c>
      <c r="L229" t="s">
        <v>1777</v>
      </c>
    </row>
    <row r="230" spans="2:12" x14ac:dyDescent="0.2">
      <c r="B230" t="s">
        <v>1142</v>
      </c>
      <c r="E230" t="s">
        <v>2372</v>
      </c>
      <c r="L230" t="s">
        <v>647</v>
      </c>
    </row>
    <row r="231" spans="2:12" x14ac:dyDescent="0.2">
      <c r="B231" t="s">
        <v>542</v>
      </c>
      <c r="E231" t="s">
        <v>2090</v>
      </c>
      <c r="L231" t="s">
        <v>1325</v>
      </c>
    </row>
    <row r="232" spans="2:12" x14ac:dyDescent="0.2">
      <c r="B232" t="s">
        <v>1143</v>
      </c>
      <c r="E232" t="s">
        <v>2373</v>
      </c>
      <c r="L232" t="s">
        <v>648</v>
      </c>
    </row>
    <row r="233" spans="2:12" x14ac:dyDescent="0.2">
      <c r="B233" t="s">
        <v>924</v>
      </c>
      <c r="E233" t="s">
        <v>1264</v>
      </c>
      <c r="L233" t="s">
        <v>649</v>
      </c>
    </row>
    <row r="234" spans="2:12" x14ac:dyDescent="0.2">
      <c r="B234" t="s">
        <v>925</v>
      </c>
      <c r="E234" t="s">
        <v>1866</v>
      </c>
      <c r="L234" t="s">
        <v>650</v>
      </c>
    </row>
    <row r="235" spans="2:12" x14ac:dyDescent="0.2">
      <c r="B235" t="s">
        <v>926</v>
      </c>
      <c r="E235" t="s">
        <v>1265</v>
      </c>
      <c r="L235" t="s">
        <v>651</v>
      </c>
    </row>
    <row r="236" spans="2:12" x14ac:dyDescent="0.2">
      <c r="B236" t="s">
        <v>545</v>
      </c>
      <c r="E236" t="s">
        <v>2374</v>
      </c>
      <c r="L236" t="s">
        <v>652</v>
      </c>
    </row>
    <row r="237" spans="2:12" x14ac:dyDescent="0.2">
      <c r="B237" t="s">
        <v>546</v>
      </c>
      <c r="E237" t="s">
        <v>2375</v>
      </c>
      <c r="L237" t="s">
        <v>653</v>
      </c>
    </row>
    <row r="238" spans="2:12" x14ac:dyDescent="0.2">
      <c r="B238" t="s">
        <v>548</v>
      </c>
      <c r="E238" t="s">
        <v>2376</v>
      </c>
      <c r="L238" t="s">
        <v>654</v>
      </c>
    </row>
    <row r="239" spans="2:12" x14ac:dyDescent="0.2">
      <c r="B239" t="s">
        <v>550</v>
      </c>
      <c r="E239" t="s">
        <v>1266</v>
      </c>
      <c r="L239" t="s">
        <v>655</v>
      </c>
    </row>
    <row r="240" spans="2:12" x14ac:dyDescent="0.2">
      <c r="B240" t="s">
        <v>1144</v>
      </c>
      <c r="E240" t="s">
        <v>1267</v>
      </c>
      <c r="L240" t="s">
        <v>1326</v>
      </c>
    </row>
    <row r="241" spans="2:12" x14ac:dyDescent="0.2">
      <c r="B241" t="s">
        <v>552</v>
      </c>
      <c r="E241" t="s">
        <v>1268</v>
      </c>
      <c r="L241" t="s">
        <v>656</v>
      </c>
    </row>
    <row r="242" spans="2:12" x14ac:dyDescent="0.2">
      <c r="B242" t="s">
        <v>554</v>
      </c>
      <c r="E242" t="s">
        <v>1269</v>
      </c>
      <c r="L242" t="s">
        <v>657</v>
      </c>
    </row>
    <row r="243" spans="2:12" x14ac:dyDescent="0.2">
      <c r="B243" t="s">
        <v>1976</v>
      </c>
      <c r="E243" t="s">
        <v>2223</v>
      </c>
      <c r="L243" t="s">
        <v>658</v>
      </c>
    </row>
    <row r="244" spans="2:12" x14ac:dyDescent="0.2">
      <c r="B244" t="s">
        <v>1145</v>
      </c>
      <c r="E244" t="s">
        <v>2377</v>
      </c>
      <c r="L244" t="s">
        <v>659</v>
      </c>
    </row>
    <row r="245" spans="2:12" x14ac:dyDescent="0.2">
      <c r="B245" t="s">
        <v>1977</v>
      </c>
      <c r="E245" t="s">
        <v>1270</v>
      </c>
      <c r="L245" t="s">
        <v>1778</v>
      </c>
    </row>
    <row r="246" spans="2:12" x14ac:dyDescent="0.2">
      <c r="B246" t="s">
        <v>1147</v>
      </c>
      <c r="E246" t="s">
        <v>1271</v>
      </c>
      <c r="L246" t="s">
        <v>660</v>
      </c>
    </row>
    <row r="247" spans="2:12" x14ac:dyDescent="0.2">
      <c r="B247" t="s">
        <v>1978</v>
      </c>
      <c r="E247" t="s">
        <v>967</v>
      </c>
      <c r="L247" t="s">
        <v>661</v>
      </c>
    </row>
    <row r="248" spans="2:12" x14ac:dyDescent="0.2">
      <c r="B248" t="s">
        <v>1149</v>
      </c>
      <c r="E248" t="s">
        <v>2064</v>
      </c>
      <c r="L248" t="s">
        <v>662</v>
      </c>
    </row>
    <row r="249" spans="2:12" x14ac:dyDescent="0.2">
      <c r="B249" t="s">
        <v>1150</v>
      </c>
      <c r="E249" t="s">
        <v>2065</v>
      </c>
      <c r="L249" t="s">
        <v>2766</v>
      </c>
    </row>
    <row r="250" spans="2:12" x14ac:dyDescent="0.2">
      <c r="B250" t="s">
        <v>1979</v>
      </c>
      <c r="E250" t="s">
        <v>2066</v>
      </c>
      <c r="L250" t="s">
        <v>663</v>
      </c>
    </row>
    <row r="251" spans="2:12" x14ac:dyDescent="0.2">
      <c r="B251" t="s">
        <v>1152</v>
      </c>
      <c r="E251" t="s">
        <v>2067</v>
      </c>
      <c r="L251" t="s">
        <v>2767</v>
      </c>
    </row>
    <row r="252" spans="2:12" x14ac:dyDescent="0.2">
      <c r="B252" t="s">
        <v>1980</v>
      </c>
      <c r="E252" t="s">
        <v>2068</v>
      </c>
      <c r="L252" t="s">
        <v>664</v>
      </c>
    </row>
    <row r="253" spans="2:12" x14ac:dyDescent="0.2">
      <c r="B253" t="s">
        <v>558</v>
      </c>
      <c r="E253" t="s">
        <v>2069</v>
      </c>
      <c r="L253" t="s">
        <v>665</v>
      </c>
    </row>
    <row r="254" spans="2:12" x14ac:dyDescent="0.2">
      <c r="B254" t="s">
        <v>1154</v>
      </c>
      <c r="E254" t="s">
        <v>2070</v>
      </c>
      <c r="L254" t="s">
        <v>666</v>
      </c>
    </row>
    <row r="255" spans="2:12" x14ac:dyDescent="0.2">
      <c r="B255" t="s">
        <v>1155</v>
      </c>
      <c r="E255" t="s">
        <v>2071</v>
      </c>
      <c r="L255" t="s">
        <v>1779</v>
      </c>
    </row>
    <row r="256" spans="2:12" x14ac:dyDescent="0.2">
      <c r="B256" t="s">
        <v>1156</v>
      </c>
      <c r="E256" t="s">
        <v>2072</v>
      </c>
      <c r="L256" t="s">
        <v>1780</v>
      </c>
    </row>
    <row r="257" spans="2:12" x14ac:dyDescent="0.2">
      <c r="B257" t="s">
        <v>1157</v>
      </c>
      <c r="E257" t="s">
        <v>2073</v>
      </c>
      <c r="L257" t="s">
        <v>2011</v>
      </c>
    </row>
    <row r="258" spans="2:12" x14ac:dyDescent="0.2">
      <c r="B258" t="s">
        <v>1158</v>
      </c>
      <c r="E258" t="s">
        <v>2074</v>
      </c>
      <c r="L258" t="s">
        <v>667</v>
      </c>
    </row>
    <row r="259" spans="2:12" x14ac:dyDescent="0.2">
      <c r="B259" t="s">
        <v>1159</v>
      </c>
      <c r="E259" t="s">
        <v>2102</v>
      </c>
      <c r="L259" t="s">
        <v>668</v>
      </c>
    </row>
    <row r="260" spans="2:12" x14ac:dyDescent="0.2">
      <c r="B260" t="s">
        <v>1160</v>
      </c>
      <c r="E260" t="s">
        <v>2103</v>
      </c>
      <c r="L260" t="s">
        <v>669</v>
      </c>
    </row>
    <row r="261" spans="2:12" x14ac:dyDescent="0.2">
      <c r="B261" t="s">
        <v>1161</v>
      </c>
      <c r="E261" t="s">
        <v>2104</v>
      </c>
      <c r="L261" t="s">
        <v>670</v>
      </c>
    </row>
    <row r="262" spans="2:12" x14ac:dyDescent="0.2">
      <c r="B262" t="s">
        <v>1162</v>
      </c>
      <c r="E262" t="s">
        <v>2105</v>
      </c>
      <c r="L262" t="s">
        <v>671</v>
      </c>
    </row>
    <row r="263" spans="2:12" x14ac:dyDescent="0.2">
      <c r="B263" t="s">
        <v>1163</v>
      </c>
      <c r="E263" t="s">
        <v>2106</v>
      </c>
      <c r="L263" t="s">
        <v>672</v>
      </c>
    </row>
    <row r="264" spans="2:12" x14ac:dyDescent="0.2">
      <c r="B264" t="s">
        <v>2234</v>
      </c>
      <c r="E264" t="s">
        <v>2107</v>
      </c>
      <c r="L264" t="s">
        <v>673</v>
      </c>
    </row>
    <row r="265" spans="2:12" x14ac:dyDescent="0.2">
      <c r="B265" t="s">
        <v>1165</v>
      </c>
      <c r="E265" t="s">
        <v>2108</v>
      </c>
      <c r="L265" t="s">
        <v>1878</v>
      </c>
    </row>
    <row r="266" spans="2:12" x14ac:dyDescent="0.2">
      <c r="B266" t="s">
        <v>1981</v>
      </c>
      <c r="E266" t="s">
        <v>2109</v>
      </c>
      <c r="L266" t="s">
        <v>1879</v>
      </c>
    </row>
    <row r="267" spans="2:12" x14ac:dyDescent="0.2">
      <c r="B267" t="s">
        <v>1166</v>
      </c>
      <c r="E267" t="s">
        <v>2110</v>
      </c>
      <c r="L267" t="s">
        <v>1880</v>
      </c>
    </row>
    <row r="268" spans="2:12" x14ac:dyDescent="0.2">
      <c r="B268" t="s">
        <v>1168</v>
      </c>
      <c r="E268" t="s">
        <v>2111</v>
      </c>
      <c r="L268" t="s">
        <v>1881</v>
      </c>
    </row>
    <row r="269" spans="2:12" x14ac:dyDescent="0.2">
      <c r="B269" t="s">
        <v>1982</v>
      </c>
      <c r="E269" t="s">
        <v>2112</v>
      </c>
      <c r="L269" t="s">
        <v>1882</v>
      </c>
    </row>
    <row r="270" spans="2:12" x14ac:dyDescent="0.2">
      <c r="B270" t="s">
        <v>560</v>
      </c>
      <c r="E270" t="s">
        <v>2091</v>
      </c>
      <c r="L270" t="s">
        <v>1883</v>
      </c>
    </row>
    <row r="271" spans="2:12" x14ac:dyDescent="0.2">
      <c r="B271" t="s">
        <v>1171</v>
      </c>
      <c r="E271" t="s">
        <v>2092</v>
      </c>
      <c r="L271" t="s">
        <v>1884</v>
      </c>
    </row>
    <row r="272" spans="2:12" x14ac:dyDescent="0.2">
      <c r="B272" t="s">
        <v>1172</v>
      </c>
      <c r="E272" t="s">
        <v>2093</v>
      </c>
      <c r="L272" t="s">
        <v>1885</v>
      </c>
    </row>
    <row r="273" spans="2:12" x14ac:dyDescent="0.2">
      <c r="B273" t="s">
        <v>562</v>
      </c>
      <c r="E273" t="s">
        <v>2094</v>
      </c>
      <c r="L273" t="s">
        <v>2050</v>
      </c>
    </row>
    <row r="274" spans="2:12" x14ac:dyDescent="0.2">
      <c r="B274" t="s">
        <v>1173</v>
      </c>
      <c r="E274" t="s">
        <v>2095</v>
      </c>
      <c r="L274" t="s">
        <v>1886</v>
      </c>
    </row>
    <row r="275" spans="2:12" x14ac:dyDescent="0.2">
      <c r="B275" t="s">
        <v>1174</v>
      </c>
      <c r="E275" t="s">
        <v>2096</v>
      </c>
      <c r="L275" t="s">
        <v>1887</v>
      </c>
    </row>
    <row r="276" spans="2:12" x14ac:dyDescent="0.2">
      <c r="B276" t="s">
        <v>1983</v>
      </c>
      <c r="E276" t="s">
        <v>2097</v>
      </c>
      <c r="L276" t="s">
        <v>1888</v>
      </c>
    </row>
    <row r="277" spans="2:12" x14ac:dyDescent="0.2">
      <c r="B277" t="s">
        <v>1175</v>
      </c>
      <c r="E277" t="s">
        <v>2098</v>
      </c>
      <c r="L277" t="s">
        <v>1889</v>
      </c>
    </row>
    <row r="278" spans="2:12" x14ac:dyDescent="0.2">
      <c r="B278" t="s">
        <v>567</v>
      </c>
      <c r="E278" t="s">
        <v>2099</v>
      </c>
      <c r="L278" t="s">
        <v>1890</v>
      </c>
    </row>
    <row r="279" spans="2:12" x14ac:dyDescent="0.2">
      <c r="B279" t="s">
        <v>1176</v>
      </c>
      <c r="E279" t="s">
        <v>2100</v>
      </c>
      <c r="L279" t="s">
        <v>1891</v>
      </c>
    </row>
    <row r="280" spans="2:12" x14ac:dyDescent="0.2">
      <c r="B280" t="s">
        <v>1177</v>
      </c>
      <c r="E280" t="s">
        <v>2101</v>
      </c>
      <c r="L280" t="s">
        <v>1892</v>
      </c>
    </row>
    <row r="281" spans="2:12" x14ac:dyDescent="0.2">
      <c r="B281" t="s">
        <v>1178</v>
      </c>
      <c r="E281" t="s">
        <v>2113</v>
      </c>
      <c r="L281" t="s">
        <v>1893</v>
      </c>
    </row>
    <row r="282" spans="2:12" x14ac:dyDescent="0.2">
      <c r="B282" t="s">
        <v>1179</v>
      </c>
      <c r="E282" t="s">
        <v>2114</v>
      </c>
      <c r="L282" t="s">
        <v>1894</v>
      </c>
    </row>
    <row r="283" spans="2:12" x14ac:dyDescent="0.2">
      <c r="B283" t="s">
        <v>927</v>
      </c>
      <c r="E283" t="s">
        <v>2115</v>
      </c>
      <c r="L283" t="s">
        <v>1895</v>
      </c>
    </row>
    <row r="284" spans="2:12" x14ac:dyDescent="0.2">
      <c r="B284" t="s">
        <v>570</v>
      </c>
      <c r="E284" t="s">
        <v>2116</v>
      </c>
      <c r="L284" t="s">
        <v>2768</v>
      </c>
    </row>
    <row r="285" spans="2:12" x14ac:dyDescent="0.2">
      <c r="B285" t="s">
        <v>572</v>
      </c>
      <c r="E285" t="s">
        <v>2117</v>
      </c>
      <c r="L285" t="s">
        <v>1896</v>
      </c>
    </row>
    <row r="286" spans="2:12" x14ac:dyDescent="0.2">
      <c r="B286" t="s">
        <v>1180</v>
      </c>
      <c r="E286" t="s">
        <v>2118</v>
      </c>
      <c r="L286" t="s">
        <v>1897</v>
      </c>
    </row>
    <row r="287" spans="2:12" x14ac:dyDescent="0.2">
      <c r="B287" t="s">
        <v>1181</v>
      </c>
      <c r="E287" t="s">
        <v>2119</v>
      </c>
      <c r="L287" t="s">
        <v>1898</v>
      </c>
    </row>
    <row r="288" spans="2:12" x14ac:dyDescent="0.2">
      <c r="B288" t="s">
        <v>1984</v>
      </c>
      <c r="E288" t="s">
        <v>2120</v>
      </c>
      <c r="L288" t="s">
        <v>1899</v>
      </c>
    </row>
    <row r="289" spans="2:12" x14ac:dyDescent="0.2">
      <c r="B289" t="s">
        <v>1183</v>
      </c>
      <c r="E289" t="s">
        <v>2121</v>
      </c>
      <c r="L289" t="s">
        <v>1900</v>
      </c>
    </row>
    <row r="290" spans="2:12" x14ac:dyDescent="0.2">
      <c r="B290" t="s">
        <v>576</v>
      </c>
      <c r="E290" t="s">
        <v>2122</v>
      </c>
      <c r="L290" t="s">
        <v>1901</v>
      </c>
    </row>
    <row r="291" spans="2:12" x14ac:dyDescent="0.2">
      <c r="B291" t="s">
        <v>578</v>
      </c>
      <c r="E291" t="s">
        <v>2123</v>
      </c>
      <c r="L291" t="s">
        <v>1902</v>
      </c>
    </row>
    <row r="292" spans="2:12" x14ac:dyDescent="0.2">
      <c r="B292" t="s">
        <v>1184</v>
      </c>
      <c r="E292" t="s">
        <v>1272</v>
      </c>
      <c r="L292" t="s">
        <v>1903</v>
      </c>
    </row>
    <row r="293" spans="2:12" x14ac:dyDescent="0.2">
      <c r="B293" t="s">
        <v>1185</v>
      </c>
      <c r="E293" t="s">
        <v>2378</v>
      </c>
      <c r="L293" t="s">
        <v>1904</v>
      </c>
    </row>
    <row r="294" spans="2:12" x14ac:dyDescent="0.2">
      <c r="B294" t="s">
        <v>1186</v>
      </c>
      <c r="E294" t="s">
        <v>2379</v>
      </c>
      <c r="L294" t="s">
        <v>1905</v>
      </c>
    </row>
    <row r="295" spans="2:12" x14ac:dyDescent="0.2">
      <c r="B295" t="s">
        <v>580</v>
      </c>
      <c r="E295" t="s">
        <v>2380</v>
      </c>
      <c r="L295" t="s">
        <v>1906</v>
      </c>
    </row>
    <row r="296" spans="2:12" x14ac:dyDescent="0.2">
      <c r="B296" t="s">
        <v>582</v>
      </c>
      <c r="E296" t="s">
        <v>2381</v>
      </c>
      <c r="L296" t="s">
        <v>1907</v>
      </c>
    </row>
    <row r="297" spans="2:12" x14ac:dyDescent="0.2">
      <c r="B297" t="s">
        <v>1187</v>
      </c>
      <c r="E297" t="s">
        <v>2382</v>
      </c>
      <c r="L297" t="s">
        <v>1908</v>
      </c>
    </row>
    <row r="298" spans="2:12" x14ac:dyDescent="0.2">
      <c r="B298" t="s">
        <v>1985</v>
      </c>
      <c r="E298" t="s">
        <v>2383</v>
      </c>
      <c r="L298" t="s">
        <v>1909</v>
      </c>
    </row>
    <row r="299" spans="2:12" x14ac:dyDescent="0.2">
      <c r="B299" t="s">
        <v>1189</v>
      </c>
      <c r="E299" t="s">
        <v>1273</v>
      </c>
      <c r="L299" t="s">
        <v>1910</v>
      </c>
    </row>
    <row r="300" spans="2:12" x14ac:dyDescent="0.2">
      <c r="B300" t="s">
        <v>586</v>
      </c>
      <c r="E300" t="s">
        <v>2075</v>
      </c>
      <c r="L300" t="s">
        <v>1911</v>
      </c>
    </row>
    <row r="301" spans="2:12" x14ac:dyDescent="0.2">
      <c r="B301" t="s">
        <v>1190</v>
      </c>
      <c r="E301" t="s">
        <v>968</v>
      </c>
      <c r="L301" t="s">
        <v>1912</v>
      </c>
    </row>
    <row r="302" spans="2:12" x14ac:dyDescent="0.2">
      <c r="B302" t="s">
        <v>1986</v>
      </c>
      <c r="E302" t="s">
        <v>1274</v>
      </c>
      <c r="L302" t="s">
        <v>1913</v>
      </c>
    </row>
    <row r="303" spans="2:12" x14ac:dyDescent="0.2">
      <c r="B303" t="s">
        <v>1191</v>
      </c>
      <c r="E303" t="s">
        <v>2384</v>
      </c>
      <c r="L303" t="s">
        <v>1914</v>
      </c>
    </row>
    <row r="304" spans="2:12" x14ac:dyDescent="0.2">
      <c r="B304" t="s">
        <v>1987</v>
      </c>
      <c r="E304" t="s">
        <v>2385</v>
      </c>
      <c r="L304" t="s">
        <v>1915</v>
      </c>
    </row>
    <row r="305" spans="2:12" x14ac:dyDescent="0.2">
      <c r="B305" t="s">
        <v>1193</v>
      </c>
      <c r="E305" t="s">
        <v>2386</v>
      </c>
      <c r="L305" t="s">
        <v>1916</v>
      </c>
    </row>
    <row r="306" spans="2:12" x14ac:dyDescent="0.2">
      <c r="B306" t="s">
        <v>1194</v>
      </c>
      <c r="E306" t="s">
        <v>2387</v>
      </c>
      <c r="L306" t="s">
        <v>1917</v>
      </c>
    </row>
    <row r="307" spans="2:12" x14ac:dyDescent="0.2">
      <c r="B307" t="s">
        <v>1195</v>
      </c>
      <c r="E307" t="s">
        <v>2388</v>
      </c>
      <c r="L307" t="s">
        <v>1918</v>
      </c>
    </row>
    <row r="308" spans="2:12" x14ac:dyDescent="0.2">
      <c r="B308" t="s">
        <v>1196</v>
      </c>
      <c r="E308" t="s">
        <v>2389</v>
      </c>
      <c r="L308" t="s">
        <v>1919</v>
      </c>
    </row>
    <row r="309" spans="2:12" x14ac:dyDescent="0.2">
      <c r="B309" t="s">
        <v>1197</v>
      </c>
      <c r="E309" t="s">
        <v>2390</v>
      </c>
      <c r="L309" t="s">
        <v>1920</v>
      </c>
    </row>
    <row r="310" spans="2:12" x14ac:dyDescent="0.2">
      <c r="B310" t="s">
        <v>1988</v>
      </c>
      <c r="E310" t="s">
        <v>2224</v>
      </c>
      <c r="L310" t="s">
        <v>1921</v>
      </c>
    </row>
    <row r="311" spans="2:12" x14ac:dyDescent="0.2">
      <c r="B311" t="s">
        <v>1199</v>
      </c>
      <c r="E311" t="s">
        <v>2391</v>
      </c>
      <c r="L311" t="s">
        <v>1922</v>
      </c>
    </row>
    <row r="312" spans="2:12" x14ac:dyDescent="0.2">
      <c r="B312" t="s">
        <v>1826</v>
      </c>
      <c r="E312" t="s">
        <v>2392</v>
      </c>
      <c r="L312" t="s">
        <v>1923</v>
      </c>
    </row>
    <row r="313" spans="2:12" x14ac:dyDescent="0.2">
      <c r="B313" t="s">
        <v>1827</v>
      </c>
      <c r="E313" t="s">
        <v>2076</v>
      </c>
      <c r="L313" t="s">
        <v>1924</v>
      </c>
    </row>
    <row r="314" spans="2:12" x14ac:dyDescent="0.2">
      <c r="B314" t="s">
        <v>1828</v>
      </c>
      <c r="E314" t="s">
        <v>1275</v>
      </c>
      <c r="L314" t="s">
        <v>1925</v>
      </c>
    </row>
    <row r="315" spans="2:12" x14ac:dyDescent="0.2">
      <c r="B315" t="s">
        <v>1829</v>
      </c>
      <c r="E315" t="s">
        <v>2393</v>
      </c>
      <c r="L315" t="s">
        <v>1926</v>
      </c>
    </row>
    <row r="316" spans="2:12" x14ac:dyDescent="0.2">
      <c r="B316" t="s">
        <v>592</v>
      </c>
      <c r="E316" t="s">
        <v>1276</v>
      </c>
      <c r="L316" t="s">
        <v>1927</v>
      </c>
    </row>
    <row r="317" spans="2:12" x14ac:dyDescent="0.2">
      <c r="B317" t="s">
        <v>1204</v>
      </c>
      <c r="E317" t="s">
        <v>1277</v>
      </c>
      <c r="L317" t="s">
        <v>1928</v>
      </c>
    </row>
    <row r="318" spans="2:12" x14ac:dyDescent="0.2">
      <c r="B318" t="s">
        <v>1205</v>
      </c>
      <c r="E318" t="s">
        <v>2394</v>
      </c>
      <c r="L318" t="s">
        <v>2012</v>
      </c>
    </row>
    <row r="319" spans="2:12" x14ac:dyDescent="0.2">
      <c r="B319" t="s">
        <v>595</v>
      </c>
      <c r="E319" t="s">
        <v>2395</v>
      </c>
      <c r="L319" t="s">
        <v>1929</v>
      </c>
    </row>
    <row r="320" spans="2:12" x14ac:dyDescent="0.2">
      <c r="B320" t="s">
        <v>1989</v>
      </c>
      <c r="E320" t="s">
        <v>2396</v>
      </c>
      <c r="L320" t="s">
        <v>1930</v>
      </c>
    </row>
    <row r="321" spans="2:12" x14ac:dyDescent="0.2">
      <c r="B321" t="s">
        <v>1990</v>
      </c>
      <c r="E321" t="s">
        <v>2397</v>
      </c>
      <c r="L321" t="s">
        <v>1931</v>
      </c>
    </row>
    <row r="322" spans="2:12" x14ac:dyDescent="0.2">
      <c r="B322" t="s">
        <v>1991</v>
      </c>
      <c r="E322" t="s">
        <v>2398</v>
      </c>
      <c r="L322" t="s">
        <v>1932</v>
      </c>
    </row>
    <row r="323" spans="2:12" x14ac:dyDescent="0.2">
      <c r="B323" t="s">
        <v>1992</v>
      </c>
      <c r="E323" t="s">
        <v>2399</v>
      </c>
      <c r="L323" t="s">
        <v>1933</v>
      </c>
    </row>
    <row r="324" spans="2:12" x14ac:dyDescent="0.2">
      <c r="B324" t="s">
        <v>1210</v>
      </c>
      <c r="E324" t="s">
        <v>2400</v>
      </c>
      <c r="L324" t="s">
        <v>1934</v>
      </c>
    </row>
    <row r="325" spans="2:12" x14ac:dyDescent="0.2">
      <c r="B325" t="s">
        <v>1211</v>
      </c>
      <c r="E325" t="s">
        <v>2401</v>
      </c>
      <c r="L325" t="s">
        <v>1935</v>
      </c>
    </row>
    <row r="326" spans="2:12" x14ac:dyDescent="0.2">
      <c r="B326" t="s">
        <v>599</v>
      </c>
      <c r="E326" t="s">
        <v>2402</v>
      </c>
      <c r="L326" t="s">
        <v>1936</v>
      </c>
    </row>
    <row r="327" spans="2:12" x14ac:dyDescent="0.2">
      <c r="B327" t="s">
        <v>601</v>
      </c>
      <c r="E327" t="s">
        <v>2403</v>
      </c>
      <c r="L327" t="s">
        <v>1937</v>
      </c>
    </row>
    <row r="328" spans="2:12" x14ac:dyDescent="0.2">
      <c r="B328" t="s">
        <v>1993</v>
      </c>
      <c r="E328" t="s">
        <v>2404</v>
      </c>
      <c r="L328" t="s">
        <v>1938</v>
      </c>
    </row>
    <row r="329" spans="2:12" x14ac:dyDescent="0.2">
      <c r="B329" t="s">
        <v>1994</v>
      </c>
      <c r="E329" t="s">
        <v>2405</v>
      </c>
      <c r="L329" t="s">
        <v>1939</v>
      </c>
    </row>
    <row r="330" spans="2:12" x14ac:dyDescent="0.2">
      <c r="B330" t="s">
        <v>1214</v>
      </c>
      <c r="E330" t="s">
        <v>2406</v>
      </c>
      <c r="L330" t="s">
        <v>1940</v>
      </c>
    </row>
    <row r="331" spans="2:12" x14ac:dyDescent="0.2">
      <c r="B331" t="s">
        <v>1215</v>
      </c>
      <c r="E331" t="s">
        <v>1278</v>
      </c>
      <c r="L331" t="s">
        <v>1941</v>
      </c>
    </row>
    <row r="332" spans="2:12" x14ac:dyDescent="0.2">
      <c r="B332" t="s">
        <v>1995</v>
      </c>
      <c r="E332" t="s">
        <v>2407</v>
      </c>
      <c r="L332" t="s">
        <v>1942</v>
      </c>
    </row>
    <row r="333" spans="2:12" x14ac:dyDescent="0.2">
      <c r="B333" t="s">
        <v>1996</v>
      </c>
      <c r="E333" t="s">
        <v>2408</v>
      </c>
      <c r="L333" t="s">
        <v>1943</v>
      </c>
    </row>
    <row r="334" spans="2:12" x14ac:dyDescent="0.2">
      <c r="B334" t="s">
        <v>1218</v>
      </c>
      <c r="E334" t="s">
        <v>1279</v>
      </c>
      <c r="L334" t="s">
        <v>1944</v>
      </c>
    </row>
    <row r="335" spans="2:12" x14ac:dyDescent="0.2">
      <c r="B335" t="s">
        <v>1219</v>
      </c>
      <c r="E335" t="s">
        <v>1867</v>
      </c>
      <c r="L335" t="s">
        <v>1945</v>
      </c>
    </row>
    <row r="336" spans="2:12" x14ac:dyDescent="0.2">
      <c r="B336" t="s">
        <v>1220</v>
      </c>
      <c r="E336" t="s">
        <v>1280</v>
      </c>
      <c r="L336" t="s">
        <v>1946</v>
      </c>
    </row>
    <row r="337" spans="2:12" x14ac:dyDescent="0.2">
      <c r="B337" t="s">
        <v>2048</v>
      </c>
      <c r="E337" t="s">
        <v>1281</v>
      </c>
      <c r="L337" t="s">
        <v>1947</v>
      </c>
    </row>
    <row r="338" spans="2:12" x14ac:dyDescent="0.2">
      <c r="B338" t="s">
        <v>1830</v>
      </c>
      <c r="E338" t="s">
        <v>1282</v>
      </c>
      <c r="L338" t="s">
        <v>1948</v>
      </c>
    </row>
    <row r="339" spans="2:12" x14ac:dyDescent="0.2">
      <c r="B339" t="s">
        <v>1221</v>
      </c>
      <c r="E339" t="s">
        <v>1283</v>
      </c>
      <c r="L339" t="s">
        <v>2769</v>
      </c>
    </row>
    <row r="340" spans="2:12" x14ac:dyDescent="0.2">
      <c r="E340" t="s">
        <v>2409</v>
      </c>
      <c r="L340" t="s">
        <v>1949</v>
      </c>
    </row>
    <row r="341" spans="2:12" x14ac:dyDescent="0.2">
      <c r="E341" t="s">
        <v>2410</v>
      </c>
      <c r="L341" t="s">
        <v>1950</v>
      </c>
    </row>
    <row r="342" spans="2:12" x14ac:dyDescent="0.2">
      <c r="E342" t="s">
        <v>2411</v>
      </c>
      <c r="L342" t="s">
        <v>1951</v>
      </c>
    </row>
    <row r="343" spans="2:12" x14ac:dyDescent="0.2">
      <c r="E343" t="s">
        <v>2412</v>
      </c>
      <c r="L343" t="s">
        <v>1952</v>
      </c>
    </row>
    <row r="344" spans="2:12" x14ac:dyDescent="0.2">
      <c r="E344" t="s">
        <v>2413</v>
      </c>
      <c r="L344" t="s">
        <v>1953</v>
      </c>
    </row>
    <row r="345" spans="2:12" x14ac:dyDescent="0.2">
      <c r="E345" t="s">
        <v>2414</v>
      </c>
      <c r="L345" t="s">
        <v>2013</v>
      </c>
    </row>
    <row r="346" spans="2:12" x14ac:dyDescent="0.2">
      <c r="E346" t="s">
        <v>2415</v>
      </c>
      <c r="L346" t="s">
        <v>1954</v>
      </c>
    </row>
    <row r="347" spans="2:12" x14ac:dyDescent="0.2">
      <c r="E347" t="s">
        <v>2416</v>
      </c>
      <c r="L347" t="s">
        <v>1955</v>
      </c>
    </row>
    <row r="348" spans="2:12" x14ac:dyDescent="0.2">
      <c r="E348" t="s">
        <v>2417</v>
      </c>
      <c r="L348" t="s">
        <v>1956</v>
      </c>
    </row>
    <row r="349" spans="2:12" x14ac:dyDescent="0.2">
      <c r="E349" t="s">
        <v>2418</v>
      </c>
      <c r="L349" t="s">
        <v>1957</v>
      </c>
    </row>
    <row r="350" spans="2:12" x14ac:dyDescent="0.2">
      <c r="E350" t="s">
        <v>2419</v>
      </c>
      <c r="L350" t="s">
        <v>1958</v>
      </c>
    </row>
    <row r="351" spans="2:12" x14ac:dyDescent="0.2">
      <c r="E351" t="s">
        <v>2420</v>
      </c>
      <c r="L351" t="s">
        <v>1959</v>
      </c>
    </row>
    <row r="352" spans="2:12" x14ac:dyDescent="0.2">
      <c r="E352" t="s">
        <v>2421</v>
      </c>
      <c r="L352" t="s">
        <v>1960</v>
      </c>
    </row>
    <row r="353" spans="5:12" x14ac:dyDescent="0.2">
      <c r="E353" t="s">
        <v>2422</v>
      </c>
      <c r="L353" t="s">
        <v>1961</v>
      </c>
    </row>
    <row r="354" spans="5:12" x14ac:dyDescent="0.2">
      <c r="E354" t="s">
        <v>2423</v>
      </c>
      <c r="L354" t="s">
        <v>1962</v>
      </c>
    </row>
    <row r="355" spans="5:12" x14ac:dyDescent="0.2">
      <c r="E355" t="s">
        <v>2424</v>
      </c>
      <c r="L355" t="s">
        <v>1963</v>
      </c>
    </row>
    <row r="356" spans="5:12" x14ac:dyDescent="0.2">
      <c r="E356" t="s">
        <v>2425</v>
      </c>
      <c r="L356" t="s">
        <v>1964</v>
      </c>
    </row>
    <row r="357" spans="5:12" x14ac:dyDescent="0.2">
      <c r="E357" t="s">
        <v>2426</v>
      </c>
      <c r="L357" t="s">
        <v>1965</v>
      </c>
    </row>
    <row r="358" spans="5:12" x14ac:dyDescent="0.2">
      <c r="E358" t="s">
        <v>2427</v>
      </c>
      <c r="L358" t="s">
        <v>8</v>
      </c>
    </row>
    <row r="359" spans="5:12" x14ac:dyDescent="0.2">
      <c r="E359" t="s">
        <v>2428</v>
      </c>
      <c r="L359" t="s">
        <v>674</v>
      </c>
    </row>
    <row r="360" spans="5:12" x14ac:dyDescent="0.2">
      <c r="E360" t="s">
        <v>2429</v>
      </c>
      <c r="L360" t="s">
        <v>675</v>
      </c>
    </row>
    <row r="361" spans="5:12" x14ac:dyDescent="0.2">
      <c r="E361" t="s">
        <v>2430</v>
      </c>
      <c r="L361" t="s">
        <v>676</v>
      </c>
    </row>
    <row r="362" spans="5:12" x14ac:dyDescent="0.2">
      <c r="E362" t="s">
        <v>2431</v>
      </c>
      <c r="L362" t="s">
        <v>677</v>
      </c>
    </row>
    <row r="363" spans="5:12" x14ac:dyDescent="0.2">
      <c r="E363" t="s">
        <v>2432</v>
      </c>
      <c r="L363" t="s">
        <v>678</v>
      </c>
    </row>
    <row r="364" spans="5:12" x14ac:dyDescent="0.2">
      <c r="E364" t="s">
        <v>2433</v>
      </c>
      <c r="L364" t="s">
        <v>679</v>
      </c>
    </row>
    <row r="365" spans="5:12" x14ac:dyDescent="0.2">
      <c r="E365" t="s">
        <v>2434</v>
      </c>
      <c r="L365" t="s">
        <v>680</v>
      </c>
    </row>
    <row r="366" spans="5:12" x14ac:dyDescent="0.2">
      <c r="E366" t="s">
        <v>2435</v>
      </c>
      <c r="L366" t="s">
        <v>681</v>
      </c>
    </row>
    <row r="367" spans="5:12" x14ac:dyDescent="0.2">
      <c r="E367" t="s">
        <v>2436</v>
      </c>
      <c r="L367" t="s">
        <v>682</v>
      </c>
    </row>
    <row r="368" spans="5:12" x14ac:dyDescent="0.2">
      <c r="E368" t="s">
        <v>2437</v>
      </c>
      <c r="L368" t="s">
        <v>683</v>
      </c>
    </row>
    <row r="369" spans="5:12" x14ac:dyDescent="0.2">
      <c r="E369" t="s">
        <v>2438</v>
      </c>
      <c r="L369" t="s">
        <v>684</v>
      </c>
    </row>
    <row r="370" spans="5:12" x14ac:dyDescent="0.2">
      <c r="E370" t="s">
        <v>2439</v>
      </c>
      <c r="L370" t="s">
        <v>685</v>
      </c>
    </row>
    <row r="371" spans="5:12" x14ac:dyDescent="0.2">
      <c r="E371" t="s">
        <v>2440</v>
      </c>
      <c r="L371" t="s">
        <v>686</v>
      </c>
    </row>
    <row r="372" spans="5:12" x14ac:dyDescent="0.2">
      <c r="E372" t="s">
        <v>2441</v>
      </c>
      <c r="L372" t="s">
        <v>687</v>
      </c>
    </row>
    <row r="373" spans="5:12" x14ac:dyDescent="0.2">
      <c r="E373" t="s">
        <v>2442</v>
      </c>
      <c r="L373" t="s">
        <v>2770</v>
      </c>
    </row>
    <row r="374" spans="5:12" x14ac:dyDescent="0.2">
      <c r="E374" t="s">
        <v>2443</v>
      </c>
      <c r="L374" t="s">
        <v>688</v>
      </c>
    </row>
    <row r="375" spans="5:12" x14ac:dyDescent="0.2">
      <c r="E375" t="s">
        <v>2444</v>
      </c>
      <c r="L375" t="s">
        <v>689</v>
      </c>
    </row>
    <row r="376" spans="5:12" x14ac:dyDescent="0.2">
      <c r="E376" t="s">
        <v>2445</v>
      </c>
      <c r="L376" t="s">
        <v>690</v>
      </c>
    </row>
    <row r="377" spans="5:12" x14ac:dyDescent="0.2">
      <c r="E377" t="s">
        <v>2446</v>
      </c>
      <c r="L377" t="s">
        <v>691</v>
      </c>
    </row>
    <row r="378" spans="5:12" x14ac:dyDescent="0.2">
      <c r="E378" t="s">
        <v>2447</v>
      </c>
      <c r="L378" t="s">
        <v>1781</v>
      </c>
    </row>
    <row r="379" spans="5:12" x14ac:dyDescent="0.2">
      <c r="E379" t="s">
        <v>2448</v>
      </c>
      <c r="L379" t="s">
        <v>692</v>
      </c>
    </row>
    <row r="380" spans="5:12" x14ac:dyDescent="0.2">
      <c r="E380" t="s">
        <v>2449</v>
      </c>
      <c r="L380" t="s">
        <v>1327</v>
      </c>
    </row>
    <row r="381" spans="5:12" x14ac:dyDescent="0.2">
      <c r="E381" t="s">
        <v>2450</v>
      </c>
      <c r="L381" t="s">
        <v>693</v>
      </c>
    </row>
    <row r="382" spans="5:12" x14ac:dyDescent="0.2">
      <c r="E382" t="s">
        <v>2451</v>
      </c>
      <c r="L382" t="s">
        <v>694</v>
      </c>
    </row>
    <row r="383" spans="5:12" x14ac:dyDescent="0.2">
      <c r="E383" t="s">
        <v>2452</v>
      </c>
      <c r="L383" t="s">
        <v>695</v>
      </c>
    </row>
    <row r="384" spans="5:12" x14ac:dyDescent="0.2">
      <c r="E384" t="s">
        <v>2453</v>
      </c>
      <c r="L384" t="s">
        <v>696</v>
      </c>
    </row>
    <row r="385" spans="5:12" x14ac:dyDescent="0.2">
      <c r="E385" t="s">
        <v>2454</v>
      </c>
      <c r="L385" t="s">
        <v>697</v>
      </c>
    </row>
    <row r="386" spans="5:12" x14ac:dyDescent="0.2">
      <c r="E386" t="s">
        <v>2455</v>
      </c>
      <c r="L386" t="s">
        <v>698</v>
      </c>
    </row>
    <row r="387" spans="5:12" x14ac:dyDescent="0.2">
      <c r="E387" t="s">
        <v>2456</v>
      </c>
      <c r="L387" t="s">
        <v>699</v>
      </c>
    </row>
    <row r="388" spans="5:12" x14ac:dyDescent="0.2">
      <c r="E388" t="s">
        <v>2457</v>
      </c>
      <c r="L388" t="s">
        <v>700</v>
      </c>
    </row>
    <row r="389" spans="5:12" x14ac:dyDescent="0.2">
      <c r="E389" t="s">
        <v>2458</v>
      </c>
      <c r="L389" t="s">
        <v>701</v>
      </c>
    </row>
    <row r="390" spans="5:12" x14ac:dyDescent="0.2">
      <c r="E390" t="s">
        <v>2459</v>
      </c>
      <c r="L390" t="s">
        <v>702</v>
      </c>
    </row>
    <row r="391" spans="5:12" x14ac:dyDescent="0.2">
      <c r="E391" t="s">
        <v>2460</v>
      </c>
      <c r="L391" t="s">
        <v>703</v>
      </c>
    </row>
    <row r="392" spans="5:12" x14ac:dyDescent="0.2">
      <c r="E392" t="s">
        <v>2461</v>
      </c>
      <c r="L392" t="s">
        <v>704</v>
      </c>
    </row>
    <row r="393" spans="5:12" x14ac:dyDescent="0.2">
      <c r="E393" t="s">
        <v>2462</v>
      </c>
      <c r="L393" t="s">
        <v>1782</v>
      </c>
    </row>
    <row r="394" spans="5:12" x14ac:dyDescent="0.2">
      <c r="E394" t="s">
        <v>2463</v>
      </c>
      <c r="L394" t="s">
        <v>705</v>
      </c>
    </row>
    <row r="395" spans="5:12" x14ac:dyDescent="0.2">
      <c r="E395" t="s">
        <v>2464</v>
      </c>
      <c r="L395" t="s">
        <v>1328</v>
      </c>
    </row>
    <row r="396" spans="5:12" x14ac:dyDescent="0.2">
      <c r="E396" t="s">
        <v>2465</v>
      </c>
      <c r="L396" t="s">
        <v>706</v>
      </c>
    </row>
    <row r="397" spans="5:12" x14ac:dyDescent="0.2">
      <c r="E397" t="s">
        <v>2466</v>
      </c>
      <c r="L397" t="s">
        <v>707</v>
      </c>
    </row>
    <row r="398" spans="5:12" x14ac:dyDescent="0.2">
      <c r="E398" t="s">
        <v>2467</v>
      </c>
      <c r="L398" t="s">
        <v>708</v>
      </c>
    </row>
    <row r="399" spans="5:12" x14ac:dyDescent="0.2">
      <c r="E399" t="s">
        <v>2468</v>
      </c>
      <c r="L399" t="s">
        <v>709</v>
      </c>
    </row>
    <row r="400" spans="5:12" x14ac:dyDescent="0.2">
      <c r="E400" t="s">
        <v>2469</v>
      </c>
      <c r="L400" t="s">
        <v>1966</v>
      </c>
    </row>
    <row r="401" spans="5:12" x14ac:dyDescent="0.2">
      <c r="E401" t="s">
        <v>2470</v>
      </c>
      <c r="L401" t="s">
        <v>710</v>
      </c>
    </row>
    <row r="402" spans="5:12" x14ac:dyDescent="0.2">
      <c r="E402" t="s">
        <v>2471</v>
      </c>
      <c r="L402" t="s">
        <v>711</v>
      </c>
    </row>
    <row r="403" spans="5:12" x14ac:dyDescent="0.2">
      <c r="E403" t="s">
        <v>2472</v>
      </c>
      <c r="L403" t="s">
        <v>712</v>
      </c>
    </row>
    <row r="404" spans="5:12" x14ac:dyDescent="0.2">
      <c r="E404" t="s">
        <v>2473</v>
      </c>
      <c r="L404" t="s">
        <v>713</v>
      </c>
    </row>
    <row r="405" spans="5:12" x14ac:dyDescent="0.2">
      <c r="E405" t="s">
        <v>2474</v>
      </c>
      <c r="L405" t="s">
        <v>714</v>
      </c>
    </row>
    <row r="406" spans="5:12" x14ac:dyDescent="0.2">
      <c r="E406" t="s">
        <v>2475</v>
      </c>
      <c r="L406" t="s">
        <v>715</v>
      </c>
    </row>
    <row r="407" spans="5:12" x14ac:dyDescent="0.2">
      <c r="E407" t="s">
        <v>2476</v>
      </c>
      <c r="L407" t="s">
        <v>1783</v>
      </c>
    </row>
    <row r="408" spans="5:12" x14ac:dyDescent="0.2">
      <c r="E408" t="s">
        <v>2477</v>
      </c>
      <c r="L408" t="s">
        <v>1329</v>
      </c>
    </row>
    <row r="409" spans="5:12" x14ac:dyDescent="0.2">
      <c r="E409" t="s">
        <v>2478</v>
      </c>
      <c r="L409" t="s">
        <v>716</v>
      </c>
    </row>
    <row r="410" spans="5:12" x14ac:dyDescent="0.2">
      <c r="E410" t="s">
        <v>2479</v>
      </c>
    </row>
    <row r="411" spans="5:12" x14ac:dyDescent="0.2">
      <c r="E411" t="s">
        <v>2480</v>
      </c>
    </row>
    <row r="412" spans="5:12" x14ac:dyDescent="0.2">
      <c r="E412" t="s">
        <v>2481</v>
      </c>
    </row>
    <row r="413" spans="5:12" x14ac:dyDescent="0.2">
      <c r="E413" t="s">
        <v>2482</v>
      </c>
    </row>
    <row r="414" spans="5:12" x14ac:dyDescent="0.2">
      <c r="E414" t="s">
        <v>2483</v>
      </c>
    </row>
    <row r="415" spans="5:12" x14ac:dyDescent="0.2">
      <c r="E415" t="s">
        <v>2484</v>
      </c>
    </row>
    <row r="416" spans="5:12" x14ac:dyDescent="0.2">
      <c r="E416" t="s">
        <v>2485</v>
      </c>
    </row>
    <row r="417" spans="5:5" x14ac:dyDescent="0.2">
      <c r="E417" t="s">
        <v>2486</v>
      </c>
    </row>
    <row r="418" spans="5:5" x14ac:dyDescent="0.2">
      <c r="E418" t="s">
        <v>2487</v>
      </c>
    </row>
    <row r="419" spans="5:5" x14ac:dyDescent="0.2">
      <c r="E419" t="s">
        <v>2488</v>
      </c>
    </row>
    <row r="420" spans="5:5" x14ac:dyDescent="0.2">
      <c r="E420" t="s">
        <v>2489</v>
      </c>
    </row>
    <row r="421" spans="5:5" x14ac:dyDescent="0.2">
      <c r="E421" t="s">
        <v>2490</v>
      </c>
    </row>
    <row r="422" spans="5:5" x14ac:dyDescent="0.2">
      <c r="E422" t="s">
        <v>2491</v>
      </c>
    </row>
    <row r="423" spans="5:5" x14ac:dyDescent="0.2">
      <c r="E423" t="s">
        <v>2492</v>
      </c>
    </row>
    <row r="424" spans="5:5" x14ac:dyDescent="0.2">
      <c r="E424" t="s">
        <v>2493</v>
      </c>
    </row>
    <row r="425" spans="5:5" x14ac:dyDescent="0.2">
      <c r="E425" t="s">
        <v>2494</v>
      </c>
    </row>
    <row r="426" spans="5:5" x14ac:dyDescent="0.2">
      <c r="E426" t="s">
        <v>2495</v>
      </c>
    </row>
    <row r="427" spans="5:5" x14ac:dyDescent="0.2">
      <c r="E427" t="s">
        <v>2496</v>
      </c>
    </row>
    <row r="428" spans="5:5" x14ac:dyDescent="0.2">
      <c r="E428" t="s">
        <v>2497</v>
      </c>
    </row>
    <row r="429" spans="5:5" x14ac:dyDescent="0.2">
      <c r="E429" t="s">
        <v>2498</v>
      </c>
    </row>
    <row r="430" spans="5:5" x14ac:dyDescent="0.2">
      <c r="E430" t="s">
        <v>2499</v>
      </c>
    </row>
    <row r="431" spans="5:5" x14ac:dyDescent="0.2">
      <c r="E431" t="s">
        <v>2500</v>
      </c>
    </row>
    <row r="432" spans="5:5" x14ac:dyDescent="0.2">
      <c r="E432" t="s">
        <v>2501</v>
      </c>
    </row>
    <row r="433" spans="5:5" x14ac:dyDescent="0.2">
      <c r="E433" t="s">
        <v>2502</v>
      </c>
    </row>
    <row r="434" spans="5:5" x14ac:dyDescent="0.2">
      <c r="E434" t="s">
        <v>2503</v>
      </c>
    </row>
    <row r="435" spans="5:5" x14ac:dyDescent="0.2">
      <c r="E435" t="s">
        <v>2504</v>
      </c>
    </row>
    <row r="436" spans="5:5" x14ac:dyDescent="0.2">
      <c r="E436" t="s">
        <v>2505</v>
      </c>
    </row>
    <row r="437" spans="5:5" x14ac:dyDescent="0.2">
      <c r="E437" t="s">
        <v>2506</v>
      </c>
    </row>
    <row r="438" spans="5:5" x14ac:dyDescent="0.2">
      <c r="E438" t="s">
        <v>2507</v>
      </c>
    </row>
    <row r="439" spans="5:5" x14ac:dyDescent="0.2">
      <c r="E439" t="s">
        <v>2508</v>
      </c>
    </row>
    <row r="440" spans="5:5" x14ac:dyDescent="0.2">
      <c r="E440" t="s">
        <v>2509</v>
      </c>
    </row>
    <row r="441" spans="5:5" x14ac:dyDescent="0.2">
      <c r="E441" t="s">
        <v>2510</v>
      </c>
    </row>
    <row r="442" spans="5:5" x14ac:dyDescent="0.2">
      <c r="E442" t="s">
        <v>2511</v>
      </c>
    </row>
    <row r="443" spans="5:5" x14ac:dyDescent="0.2">
      <c r="E443" t="s">
        <v>2512</v>
      </c>
    </row>
    <row r="444" spans="5:5" x14ac:dyDescent="0.2">
      <c r="E444" t="s">
        <v>2513</v>
      </c>
    </row>
    <row r="445" spans="5:5" x14ac:dyDescent="0.2">
      <c r="E445" t="s">
        <v>2514</v>
      </c>
    </row>
    <row r="446" spans="5:5" x14ac:dyDescent="0.2">
      <c r="E446" t="s">
        <v>2515</v>
      </c>
    </row>
    <row r="447" spans="5:5" x14ac:dyDescent="0.2">
      <c r="E447" t="s">
        <v>2516</v>
      </c>
    </row>
    <row r="448" spans="5:5" x14ac:dyDescent="0.2">
      <c r="E448" t="s">
        <v>2517</v>
      </c>
    </row>
    <row r="449" spans="5:5" x14ac:dyDescent="0.2">
      <c r="E449" t="s">
        <v>2518</v>
      </c>
    </row>
    <row r="450" spans="5:5" x14ac:dyDescent="0.2">
      <c r="E450" t="s">
        <v>2519</v>
      </c>
    </row>
    <row r="451" spans="5:5" x14ac:dyDescent="0.2">
      <c r="E451" t="s">
        <v>2520</v>
      </c>
    </row>
    <row r="452" spans="5:5" x14ac:dyDescent="0.2">
      <c r="E452" t="s">
        <v>2521</v>
      </c>
    </row>
    <row r="453" spans="5:5" x14ac:dyDescent="0.2">
      <c r="E453" t="s">
        <v>2522</v>
      </c>
    </row>
    <row r="454" spans="5:5" x14ac:dyDescent="0.2">
      <c r="E454" t="s">
        <v>2523</v>
      </c>
    </row>
    <row r="455" spans="5:5" x14ac:dyDescent="0.2">
      <c r="E455" t="s">
        <v>2524</v>
      </c>
    </row>
    <row r="456" spans="5:5" x14ac:dyDescent="0.2">
      <c r="E456" t="s">
        <v>2525</v>
      </c>
    </row>
    <row r="457" spans="5:5" x14ac:dyDescent="0.2">
      <c r="E457" t="s">
        <v>2526</v>
      </c>
    </row>
    <row r="458" spans="5:5" x14ac:dyDescent="0.2">
      <c r="E458" t="s">
        <v>2527</v>
      </c>
    </row>
    <row r="459" spans="5:5" x14ac:dyDescent="0.2">
      <c r="E459" t="s">
        <v>2528</v>
      </c>
    </row>
    <row r="460" spans="5:5" x14ac:dyDescent="0.2">
      <c r="E460" t="s">
        <v>2529</v>
      </c>
    </row>
    <row r="461" spans="5:5" x14ac:dyDescent="0.2">
      <c r="E461" t="s">
        <v>2530</v>
      </c>
    </row>
    <row r="462" spans="5:5" x14ac:dyDescent="0.2">
      <c r="E462" t="s">
        <v>2531</v>
      </c>
    </row>
    <row r="463" spans="5:5" x14ac:dyDescent="0.2">
      <c r="E463" t="s">
        <v>2532</v>
      </c>
    </row>
    <row r="464" spans="5:5" x14ac:dyDescent="0.2">
      <c r="E464" t="s">
        <v>2533</v>
      </c>
    </row>
    <row r="465" spans="5:5" x14ac:dyDescent="0.2">
      <c r="E465" t="s">
        <v>2534</v>
      </c>
    </row>
    <row r="466" spans="5:5" x14ac:dyDescent="0.2">
      <c r="E466" t="s">
        <v>2535</v>
      </c>
    </row>
    <row r="467" spans="5:5" x14ac:dyDescent="0.2">
      <c r="E467" t="s">
        <v>2536</v>
      </c>
    </row>
    <row r="468" spans="5:5" x14ac:dyDescent="0.2">
      <c r="E468" t="s">
        <v>2537</v>
      </c>
    </row>
    <row r="469" spans="5:5" x14ac:dyDescent="0.2">
      <c r="E469" t="s">
        <v>2538</v>
      </c>
    </row>
    <row r="470" spans="5:5" x14ac:dyDescent="0.2">
      <c r="E470" t="s">
        <v>2539</v>
      </c>
    </row>
    <row r="471" spans="5:5" x14ac:dyDescent="0.2">
      <c r="E471" t="s">
        <v>2540</v>
      </c>
    </row>
    <row r="472" spans="5:5" x14ac:dyDescent="0.2">
      <c r="E472" t="s">
        <v>2541</v>
      </c>
    </row>
    <row r="473" spans="5:5" x14ac:dyDescent="0.2">
      <c r="E473" t="s">
        <v>2542</v>
      </c>
    </row>
    <row r="474" spans="5:5" x14ac:dyDescent="0.2">
      <c r="E474" t="s">
        <v>2543</v>
      </c>
    </row>
    <row r="475" spans="5:5" x14ac:dyDescent="0.2">
      <c r="E475" t="s">
        <v>2544</v>
      </c>
    </row>
    <row r="476" spans="5:5" x14ac:dyDescent="0.2">
      <c r="E476" t="s">
        <v>2545</v>
      </c>
    </row>
    <row r="477" spans="5:5" x14ac:dyDescent="0.2">
      <c r="E477" t="s">
        <v>2546</v>
      </c>
    </row>
    <row r="478" spans="5:5" x14ac:dyDescent="0.2">
      <c r="E478" t="s">
        <v>2547</v>
      </c>
    </row>
    <row r="479" spans="5:5" x14ac:dyDescent="0.2">
      <c r="E479" t="s">
        <v>2548</v>
      </c>
    </row>
    <row r="480" spans="5:5" x14ac:dyDescent="0.2">
      <c r="E480" t="s">
        <v>2549</v>
      </c>
    </row>
    <row r="481" spans="5:5" x14ac:dyDescent="0.2">
      <c r="E481" t="s">
        <v>2550</v>
      </c>
    </row>
    <row r="482" spans="5:5" x14ac:dyDescent="0.2">
      <c r="E482" t="s">
        <v>2551</v>
      </c>
    </row>
    <row r="483" spans="5:5" x14ac:dyDescent="0.2">
      <c r="E483" t="s">
        <v>2552</v>
      </c>
    </row>
    <row r="484" spans="5:5" x14ac:dyDescent="0.2">
      <c r="E484" t="s">
        <v>2553</v>
      </c>
    </row>
    <row r="485" spans="5:5" x14ac:dyDescent="0.2">
      <c r="E485" t="s">
        <v>2554</v>
      </c>
    </row>
    <row r="486" spans="5:5" x14ac:dyDescent="0.2">
      <c r="E486" t="s">
        <v>2555</v>
      </c>
    </row>
    <row r="487" spans="5:5" x14ac:dyDescent="0.2">
      <c r="E487" t="s">
        <v>2556</v>
      </c>
    </row>
    <row r="488" spans="5:5" x14ac:dyDescent="0.2">
      <c r="E488" t="s">
        <v>2557</v>
      </c>
    </row>
    <row r="489" spans="5:5" x14ac:dyDescent="0.2">
      <c r="E489" t="s">
        <v>2558</v>
      </c>
    </row>
    <row r="490" spans="5:5" x14ac:dyDescent="0.2">
      <c r="E490" t="s">
        <v>2559</v>
      </c>
    </row>
    <row r="491" spans="5:5" x14ac:dyDescent="0.2">
      <c r="E491" t="s">
        <v>2560</v>
      </c>
    </row>
    <row r="492" spans="5:5" x14ac:dyDescent="0.2">
      <c r="E492" t="s">
        <v>2561</v>
      </c>
    </row>
    <row r="493" spans="5:5" x14ac:dyDescent="0.2">
      <c r="E493" t="s">
        <v>2562</v>
      </c>
    </row>
    <row r="494" spans="5:5" x14ac:dyDescent="0.2">
      <c r="E494" t="s">
        <v>2563</v>
      </c>
    </row>
    <row r="495" spans="5:5" x14ac:dyDescent="0.2">
      <c r="E495" t="s">
        <v>2564</v>
      </c>
    </row>
    <row r="496" spans="5:5" x14ac:dyDescent="0.2">
      <c r="E496" t="s">
        <v>2565</v>
      </c>
    </row>
    <row r="497" spans="5:5" x14ac:dyDescent="0.2">
      <c r="E497" t="s">
        <v>2566</v>
      </c>
    </row>
    <row r="498" spans="5:5" x14ac:dyDescent="0.2">
      <c r="E498" t="s">
        <v>2567</v>
      </c>
    </row>
    <row r="499" spans="5:5" x14ac:dyDescent="0.2">
      <c r="E499" t="s">
        <v>2568</v>
      </c>
    </row>
    <row r="500" spans="5:5" x14ac:dyDescent="0.2">
      <c r="E500" t="s">
        <v>2569</v>
      </c>
    </row>
    <row r="501" spans="5:5" x14ac:dyDescent="0.2">
      <c r="E501" t="s">
        <v>2570</v>
      </c>
    </row>
    <row r="502" spans="5:5" x14ac:dyDescent="0.2">
      <c r="E502" t="s">
        <v>2571</v>
      </c>
    </row>
    <row r="503" spans="5:5" x14ac:dyDescent="0.2">
      <c r="E503" t="s">
        <v>2572</v>
      </c>
    </row>
    <row r="504" spans="5:5" x14ac:dyDescent="0.2">
      <c r="E504" t="s">
        <v>2573</v>
      </c>
    </row>
    <row r="505" spans="5:5" x14ac:dyDescent="0.2">
      <c r="E505" t="s">
        <v>2574</v>
      </c>
    </row>
    <row r="506" spans="5:5" x14ac:dyDescent="0.2">
      <c r="E506" t="s">
        <v>2575</v>
      </c>
    </row>
    <row r="507" spans="5:5" x14ac:dyDescent="0.2">
      <c r="E507" t="s">
        <v>2576</v>
      </c>
    </row>
    <row r="508" spans="5:5" x14ac:dyDescent="0.2">
      <c r="E508" t="s">
        <v>2577</v>
      </c>
    </row>
    <row r="509" spans="5:5" x14ac:dyDescent="0.2">
      <c r="E509" t="s">
        <v>2578</v>
      </c>
    </row>
    <row r="510" spans="5:5" x14ac:dyDescent="0.2">
      <c r="E510" t="s">
        <v>2579</v>
      </c>
    </row>
    <row r="511" spans="5:5" x14ac:dyDescent="0.2">
      <c r="E511" t="s">
        <v>2580</v>
      </c>
    </row>
    <row r="512" spans="5:5" x14ac:dyDescent="0.2">
      <c r="E512" t="s">
        <v>2581</v>
      </c>
    </row>
    <row r="513" spans="5:5" x14ac:dyDescent="0.2">
      <c r="E513" t="s">
        <v>2582</v>
      </c>
    </row>
    <row r="514" spans="5:5" x14ac:dyDescent="0.2">
      <c r="E514" t="s">
        <v>2583</v>
      </c>
    </row>
    <row r="515" spans="5:5" x14ac:dyDescent="0.2">
      <c r="E515" t="s">
        <v>2584</v>
      </c>
    </row>
    <row r="516" spans="5:5" x14ac:dyDescent="0.2">
      <c r="E516" t="s">
        <v>2585</v>
      </c>
    </row>
    <row r="517" spans="5:5" x14ac:dyDescent="0.2">
      <c r="E517" t="s">
        <v>2586</v>
      </c>
    </row>
    <row r="518" spans="5:5" x14ac:dyDescent="0.2">
      <c r="E518" t="s">
        <v>2587</v>
      </c>
    </row>
    <row r="519" spans="5:5" x14ac:dyDescent="0.2">
      <c r="E519" t="s">
        <v>2588</v>
      </c>
    </row>
    <row r="520" spans="5:5" x14ac:dyDescent="0.2">
      <c r="E520" t="s">
        <v>2589</v>
      </c>
    </row>
    <row r="521" spans="5:5" x14ac:dyDescent="0.2">
      <c r="E521" t="s">
        <v>2590</v>
      </c>
    </row>
    <row r="522" spans="5:5" x14ac:dyDescent="0.2">
      <c r="E522" t="s">
        <v>2591</v>
      </c>
    </row>
    <row r="523" spans="5:5" x14ac:dyDescent="0.2">
      <c r="E523" t="s">
        <v>2592</v>
      </c>
    </row>
    <row r="524" spans="5:5" x14ac:dyDescent="0.2">
      <c r="E524" t="s">
        <v>2593</v>
      </c>
    </row>
    <row r="525" spans="5:5" x14ac:dyDescent="0.2">
      <c r="E525" t="s">
        <v>2594</v>
      </c>
    </row>
    <row r="526" spans="5:5" x14ac:dyDescent="0.2">
      <c r="E526" t="s">
        <v>2595</v>
      </c>
    </row>
    <row r="527" spans="5:5" x14ac:dyDescent="0.2">
      <c r="E527" t="s">
        <v>2596</v>
      </c>
    </row>
    <row r="528" spans="5:5" x14ac:dyDescent="0.2">
      <c r="E528" t="s">
        <v>2597</v>
      </c>
    </row>
    <row r="529" spans="5:5" x14ac:dyDescent="0.2">
      <c r="E529" t="s">
        <v>2598</v>
      </c>
    </row>
    <row r="530" spans="5:5" x14ac:dyDescent="0.2">
      <c r="E530" t="s">
        <v>2599</v>
      </c>
    </row>
    <row r="531" spans="5:5" x14ac:dyDescent="0.2">
      <c r="E531" t="s">
        <v>2600</v>
      </c>
    </row>
    <row r="532" spans="5:5" x14ac:dyDescent="0.2">
      <c r="E532" t="s">
        <v>2601</v>
      </c>
    </row>
    <row r="533" spans="5:5" x14ac:dyDescent="0.2">
      <c r="E533" t="s">
        <v>2602</v>
      </c>
    </row>
    <row r="534" spans="5:5" x14ac:dyDescent="0.2">
      <c r="E534" t="s">
        <v>2603</v>
      </c>
    </row>
    <row r="535" spans="5:5" x14ac:dyDescent="0.2">
      <c r="E535" t="s">
        <v>2604</v>
      </c>
    </row>
    <row r="536" spans="5:5" x14ac:dyDescent="0.2">
      <c r="E536" t="s">
        <v>2605</v>
      </c>
    </row>
    <row r="537" spans="5:5" x14ac:dyDescent="0.2">
      <c r="E537" t="s">
        <v>2606</v>
      </c>
    </row>
    <row r="538" spans="5:5" x14ac:dyDescent="0.2">
      <c r="E538" t="s">
        <v>2607</v>
      </c>
    </row>
    <row r="539" spans="5:5" x14ac:dyDescent="0.2">
      <c r="E539" t="s">
        <v>2608</v>
      </c>
    </row>
    <row r="540" spans="5:5" x14ac:dyDescent="0.2">
      <c r="E540" t="s">
        <v>2609</v>
      </c>
    </row>
    <row r="541" spans="5:5" x14ac:dyDescent="0.2">
      <c r="E541" t="s">
        <v>2610</v>
      </c>
    </row>
    <row r="542" spans="5:5" x14ac:dyDescent="0.2">
      <c r="E542" t="s">
        <v>2611</v>
      </c>
    </row>
    <row r="543" spans="5:5" x14ac:dyDescent="0.2">
      <c r="E543" t="s">
        <v>2612</v>
      </c>
    </row>
    <row r="544" spans="5:5" x14ac:dyDescent="0.2">
      <c r="E544" t="s">
        <v>2613</v>
      </c>
    </row>
    <row r="545" spans="5:5" x14ac:dyDescent="0.2">
      <c r="E545" t="s">
        <v>2614</v>
      </c>
    </row>
    <row r="546" spans="5:5" x14ac:dyDescent="0.2">
      <c r="E546" t="s">
        <v>2615</v>
      </c>
    </row>
    <row r="547" spans="5:5" x14ac:dyDescent="0.2">
      <c r="E547" t="s">
        <v>2616</v>
      </c>
    </row>
    <row r="548" spans="5:5" x14ac:dyDescent="0.2">
      <c r="E548" t="s">
        <v>2617</v>
      </c>
    </row>
    <row r="549" spans="5:5" x14ac:dyDescent="0.2">
      <c r="E549" t="s">
        <v>2618</v>
      </c>
    </row>
    <row r="550" spans="5:5" x14ac:dyDescent="0.2">
      <c r="E550" t="s">
        <v>2619</v>
      </c>
    </row>
    <row r="551" spans="5:5" x14ac:dyDescent="0.2">
      <c r="E551" t="s">
        <v>2620</v>
      </c>
    </row>
    <row r="552" spans="5:5" x14ac:dyDescent="0.2">
      <c r="E552" t="s">
        <v>2621</v>
      </c>
    </row>
    <row r="553" spans="5:5" x14ac:dyDescent="0.2">
      <c r="E553" t="s">
        <v>2622</v>
      </c>
    </row>
    <row r="554" spans="5:5" x14ac:dyDescent="0.2">
      <c r="E554" t="s">
        <v>2623</v>
      </c>
    </row>
    <row r="555" spans="5:5" x14ac:dyDescent="0.2">
      <c r="E555" t="s">
        <v>2624</v>
      </c>
    </row>
    <row r="556" spans="5:5" x14ac:dyDescent="0.2">
      <c r="E556" t="s">
        <v>2625</v>
      </c>
    </row>
    <row r="557" spans="5:5" x14ac:dyDescent="0.2">
      <c r="E557" t="s">
        <v>2626</v>
      </c>
    </row>
    <row r="558" spans="5:5" x14ac:dyDescent="0.2">
      <c r="E558" t="s">
        <v>2627</v>
      </c>
    </row>
    <row r="559" spans="5:5" x14ac:dyDescent="0.2">
      <c r="E559" t="s">
        <v>2628</v>
      </c>
    </row>
    <row r="560" spans="5:5" x14ac:dyDescent="0.2">
      <c r="E560" t="s">
        <v>2629</v>
      </c>
    </row>
    <row r="561" spans="5:5" x14ac:dyDescent="0.2">
      <c r="E561" t="s">
        <v>2630</v>
      </c>
    </row>
    <row r="562" spans="5:5" x14ac:dyDescent="0.2">
      <c r="E562" t="s">
        <v>2631</v>
      </c>
    </row>
    <row r="563" spans="5:5" x14ac:dyDescent="0.2">
      <c r="E563" t="s">
        <v>2632</v>
      </c>
    </row>
    <row r="564" spans="5:5" x14ac:dyDescent="0.2">
      <c r="E564" t="s">
        <v>2633</v>
      </c>
    </row>
    <row r="565" spans="5:5" x14ac:dyDescent="0.2">
      <c r="E565" t="s">
        <v>2634</v>
      </c>
    </row>
    <row r="566" spans="5:5" x14ac:dyDescent="0.2">
      <c r="E566" t="s">
        <v>2635</v>
      </c>
    </row>
    <row r="567" spans="5:5" x14ac:dyDescent="0.2">
      <c r="E567" t="s">
        <v>2636</v>
      </c>
    </row>
    <row r="568" spans="5:5" x14ac:dyDescent="0.2">
      <c r="E568" t="s">
        <v>2637</v>
      </c>
    </row>
    <row r="569" spans="5:5" x14ac:dyDescent="0.2">
      <c r="E569" t="s">
        <v>2638</v>
      </c>
    </row>
    <row r="570" spans="5:5" x14ac:dyDescent="0.2">
      <c r="E570" t="s">
        <v>2639</v>
      </c>
    </row>
    <row r="571" spans="5:5" x14ac:dyDescent="0.2">
      <c r="E571" t="s">
        <v>2640</v>
      </c>
    </row>
    <row r="572" spans="5:5" x14ac:dyDescent="0.2">
      <c r="E572" t="s">
        <v>2641</v>
      </c>
    </row>
    <row r="573" spans="5:5" x14ac:dyDescent="0.2">
      <c r="E573" t="s">
        <v>2642</v>
      </c>
    </row>
    <row r="574" spans="5:5" x14ac:dyDescent="0.2">
      <c r="E574" t="s">
        <v>1284</v>
      </c>
    </row>
    <row r="575" spans="5:5" x14ac:dyDescent="0.2">
      <c r="E575" t="s">
        <v>1285</v>
      </c>
    </row>
    <row r="576" spans="5:5" x14ac:dyDescent="0.2">
      <c r="E576" t="s">
        <v>1286</v>
      </c>
    </row>
    <row r="577" spans="5:5" x14ac:dyDescent="0.2">
      <c r="E577" t="s">
        <v>2643</v>
      </c>
    </row>
    <row r="578" spans="5:5" x14ac:dyDescent="0.2">
      <c r="E578" t="s">
        <v>2644</v>
      </c>
    </row>
    <row r="579" spans="5:5" x14ac:dyDescent="0.2">
      <c r="E579" t="s">
        <v>2645</v>
      </c>
    </row>
    <row r="580" spans="5:5" x14ac:dyDescent="0.2">
      <c r="E580" t="s">
        <v>2646</v>
      </c>
    </row>
    <row r="581" spans="5:5" x14ac:dyDescent="0.2">
      <c r="E581" t="s">
        <v>2647</v>
      </c>
    </row>
    <row r="582" spans="5:5" x14ac:dyDescent="0.2">
      <c r="E582" t="s">
        <v>2648</v>
      </c>
    </row>
    <row r="583" spans="5:5" x14ac:dyDescent="0.2">
      <c r="E583" t="s">
        <v>2649</v>
      </c>
    </row>
    <row r="584" spans="5:5" x14ac:dyDescent="0.2">
      <c r="E584" t="s">
        <v>2650</v>
      </c>
    </row>
    <row r="585" spans="5:5" x14ac:dyDescent="0.2">
      <c r="E585" t="s">
        <v>2651</v>
      </c>
    </row>
    <row r="586" spans="5:5" x14ac:dyDescent="0.2">
      <c r="E586" t="s">
        <v>2652</v>
      </c>
    </row>
    <row r="587" spans="5:5" x14ac:dyDescent="0.2">
      <c r="E587" t="s">
        <v>2653</v>
      </c>
    </row>
    <row r="588" spans="5:5" x14ac:dyDescent="0.2">
      <c r="E588" t="s">
        <v>2654</v>
      </c>
    </row>
    <row r="589" spans="5:5" x14ac:dyDescent="0.2">
      <c r="E589" t="s">
        <v>2655</v>
      </c>
    </row>
    <row r="590" spans="5:5" x14ac:dyDescent="0.2">
      <c r="E590" t="s">
        <v>2656</v>
      </c>
    </row>
    <row r="591" spans="5:5" x14ac:dyDescent="0.2">
      <c r="E591" t="s">
        <v>2657</v>
      </c>
    </row>
    <row r="592" spans="5:5" x14ac:dyDescent="0.2">
      <c r="E592" t="s">
        <v>2658</v>
      </c>
    </row>
    <row r="593" spans="5:5" x14ac:dyDescent="0.2">
      <c r="E593" t="s">
        <v>2659</v>
      </c>
    </row>
    <row r="594" spans="5:5" x14ac:dyDescent="0.2">
      <c r="E594" t="s">
        <v>2660</v>
      </c>
    </row>
    <row r="595" spans="5:5" x14ac:dyDescent="0.2">
      <c r="E595" t="s">
        <v>2661</v>
      </c>
    </row>
    <row r="596" spans="5:5" x14ac:dyDescent="0.2">
      <c r="E596" t="s">
        <v>1287</v>
      </c>
    </row>
    <row r="597" spans="5:5" x14ac:dyDescent="0.2">
      <c r="E597" t="s">
        <v>1288</v>
      </c>
    </row>
    <row r="598" spans="5:5" x14ac:dyDescent="0.2">
      <c r="E598" t="s">
        <v>1289</v>
      </c>
    </row>
    <row r="599" spans="5:5" x14ac:dyDescent="0.2">
      <c r="E599" t="s">
        <v>1868</v>
      </c>
    </row>
    <row r="600" spans="5:5" x14ac:dyDescent="0.2">
      <c r="E600" t="s">
        <v>1290</v>
      </c>
    </row>
    <row r="601" spans="5:5" x14ac:dyDescent="0.2">
      <c r="E601" t="s">
        <v>1291</v>
      </c>
    </row>
    <row r="602" spans="5:5" x14ac:dyDescent="0.2">
      <c r="E602" t="s">
        <v>1292</v>
      </c>
    </row>
    <row r="603" spans="5:5" x14ac:dyDescent="0.2">
      <c r="E603" t="s">
        <v>1293</v>
      </c>
    </row>
    <row r="604" spans="5:5" x14ac:dyDescent="0.2">
      <c r="E604" t="s">
        <v>1294</v>
      </c>
    </row>
    <row r="605" spans="5:5" x14ac:dyDescent="0.2">
      <c r="E605" t="s">
        <v>2225</v>
      </c>
    </row>
    <row r="606" spans="5:5" x14ac:dyDescent="0.2">
      <c r="E606" t="s">
        <v>2662</v>
      </c>
    </row>
    <row r="607" spans="5:5" x14ac:dyDescent="0.2">
      <c r="E607" t="s">
        <v>2663</v>
      </c>
    </row>
    <row r="608" spans="5:5" x14ac:dyDescent="0.2">
      <c r="E608" t="s">
        <v>1295</v>
      </c>
    </row>
    <row r="609" spans="5:5" x14ac:dyDescent="0.2">
      <c r="E609" t="s">
        <v>2664</v>
      </c>
    </row>
    <row r="610" spans="5:5" x14ac:dyDescent="0.2">
      <c r="E610" t="s">
        <v>2665</v>
      </c>
    </row>
    <row r="611" spans="5:5" x14ac:dyDescent="0.2">
      <c r="E611" t="s">
        <v>2666</v>
      </c>
    </row>
    <row r="612" spans="5:5" x14ac:dyDescent="0.2">
      <c r="E612" t="s">
        <v>2667</v>
      </c>
    </row>
    <row r="613" spans="5:5" x14ac:dyDescent="0.2">
      <c r="E613" t="s">
        <v>2668</v>
      </c>
    </row>
    <row r="614" spans="5:5" x14ac:dyDescent="0.2">
      <c r="E614" t="s">
        <v>2669</v>
      </c>
    </row>
    <row r="615" spans="5:5" x14ac:dyDescent="0.2">
      <c r="E615" t="s">
        <v>2670</v>
      </c>
    </row>
    <row r="616" spans="5:5" x14ac:dyDescent="0.2">
      <c r="E616" t="s">
        <v>2671</v>
      </c>
    </row>
    <row r="617" spans="5:5" x14ac:dyDescent="0.2">
      <c r="E617" t="s">
        <v>2672</v>
      </c>
    </row>
    <row r="618" spans="5:5" x14ac:dyDescent="0.2">
      <c r="E618" t="s">
        <v>2673</v>
      </c>
    </row>
    <row r="619" spans="5:5" x14ac:dyDescent="0.2">
      <c r="E619" t="s">
        <v>2674</v>
      </c>
    </row>
    <row r="620" spans="5:5" x14ac:dyDescent="0.2">
      <c r="E620" t="s">
        <v>2675</v>
      </c>
    </row>
    <row r="621" spans="5:5" x14ac:dyDescent="0.2">
      <c r="E621" t="s">
        <v>2676</v>
      </c>
    </row>
    <row r="622" spans="5:5" x14ac:dyDescent="0.2">
      <c r="E622" t="s">
        <v>2677</v>
      </c>
    </row>
    <row r="623" spans="5:5" x14ac:dyDescent="0.2">
      <c r="E623" t="s">
        <v>2678</v>
      </c>
    </row>
    <row r="624" spans="5:5" x14ac:dyDescent="0.2">
      <c r="E624" t="s">
        <v>2679</v>
      </c>
    </row>
    <row r="625" spans="5:5" x14ac:dyDescent="0.2">
      <c r="E625" t="s">
        <v>2680</v>
      </c>
    </row>
    <row r="626" spans="5:5" x14ac:dyDescent="0.2">
      <c r="E626" t="s">
        <v>2681</v>
      </c>
    </row>
    <row r="627" spans="5:5" x14ac:dyDescent="0.2">
      <c r="E627" t="s">
        <v>1296</v>
      </c>
    </row>
    <row r="628" spans="5:5" x14ac:dyDescent="0.2">
      <c r="E628" t="s">
        <v>2682</v>
      </c>
    </row>
    <row r="629" spans="5:5" x14ac:dyDescent="0.2">
      <c r="E629" t="s">
        <v>1297</v>
      </c>
    </row>
    <row r="630" spans="5:5" x14ac:dyDescent="0.2">
      <c r="E630" t="s">
        <v>2683</v>
      </c>
    </row>
    <row r="631" spans="5:5" x14ac:dyDescent="0.2">
      <c r="E631" t="s">
        <v>2684</v>
      </c>
    </row>
    <row r="632" spans="5:5" x14ac:dyDescent="0.2">
      <c r="E632" t="s">
        <v>1298</v>
      </c>
    </row>
    <row r="633" spans="5:5" x14ac:dyDescent="0.2">
      <c r="E633" t="s">
        <v>1299</v>
      </c>
    </row>
    <row r="634" spans="5:5" x14ac:dyDescent="0.2">
      <c r="E634" t="s">
        <v>2685</v>
      </c>
    </row>
    <row r="635" spans="5:5" x14ac:dyDescent="0.2">
      <c r="E635" t="s">
        <v>1300</v>
      </c>
    </row>
    <row r="636" spans="5:5" x14ac:dyDescent="0.2">
      <c r="E636" t="s">
        <v>1301</v>
      </c>
    </row>
    <row r="637" spans="5:5" x14ac:dyDescent="0.2">
      <c r="E637" t="s">
        <v>1302</v>
      </c>
    </row>
    <row r="638" spans="5:5" x14ac:dyDescent="0.2">
      <c r="E638" t="s">
        <v>2686</v>
      </c>
    </row>
    <row r="639" spans="5:5" x14ac:dyDescent="0.2">
      <c r="E639" t="s">
        <v>2687</v>
      </c>
    </row>
    <row r="640" spans="5:5" x14ac:dyDescent="0.2">
      <c r="E640" t="s">
        <v>2688</v>
      </c>
    </row>
    <row r="641" spans="5:5" x14ac:dyDescent="0.2">
      <c r="E641" t="s">
        <v>2689</v>
      </c>
    </row>
    <row r="642" spans="5:5" x14ac:dyDescent="0.2">
      <c r="E642" t="s">
        <v>2690</v>
      </c>
    </row>
    <row r="643" spans="5:5" x14ac:dyDescent="0.2">
      <c r="E643" t="s">
        <v>2691</v>
      </c>
    </row>
    <row r="644" spans="5:5" x14ac:dyDescent="0.2">
      <c r="E644" t="s">
        <v>2692</v>
      </c>
    </row>
    <row r="645" spans="5:5" x14ac:dyDescent="0.2">
      <c r="E645" t="s">
        <v>2693</v>
      </c>
    </row>
    <row r="646" spans="5:5" x14ac:dyDescent="0.2">
      <c r="E646" t="s">
        <v>2694</v>
      </c>
    </row>
    <row r="647" spans="5:5" x14ac:dyDescent="0.2">
      <c r="E647" t="s">
        <v>2695</v>
      </c>
    </row>
    <row r="648" spans="5:5" x14ac:dyDescent="0.2">
      <c r="E648" t="s">
        <v>2696</v>
      </c>
    </row>
    <row r="649" spans="5:5" x14ac:dyDescent="0.2">
      <c r="E649" t="s">
        <v>2697</v>
      </c>
    </row>
    <row r="650" spans="5:5" x14ac:dyDescent="0.2">
      <c r="E650" t="s">
        <v>2698</v>
      </c>
    </row>
    <row r="651" spans="5:5" x14ac:dyDescent="0.2">
      <c r="E651" t="s">
        <v>2699</v>
      </c>
    </row>
    <row r="652" spans="5:5" x14ac:dyDescent="0.2">
      <c r="E652" t="s">
        <v>2700</v>
      </c>
    </row>
    <row r="653" spans="5:5" x14ac:dyDescent="0.2">
      <c r="E653" t="s">
        <v>2701</v>
      </c>
    </row>
    <row r="654" spans="5:5" x14ac:dyDescent="0.2">
      <c r="E654" t="s">
        <v>2702</v>
      </c>
    </row>
    <row r="655" spans="5:5" x14ac:dyDescent="0.2">
      <c r="E655" t="s">
        <v>2703</v>
      </c>
    </row>
    <row r="656" spans="5:5" x14ac:dyDescent="0.2">
      <c r="E656" t="s">
        <v>2704</v>
      </c>
    </row>
    <row r="657" spans="5:5" x14ac:dyDescent="0.2">
      <c r="E657" t="s">
        <v>2705</v>
      </c>
    </row>
    <row r="658" spans="5:5" x14ac:dyDescent="0.2">
      <c r="E658" t="s">
        <v>2706</v>
      </c>
    </row>
    <row r="659" spans="5:5" x14ac:dyDescent="0.2">
      <c r="E659" t="s">
        <v>2707</v>
      </c>
    </row>
    <row r="660" spans="5:5" x14ac:dyDescent="0.2">
      <c r="E660" t="s">
        <v>2708</v>
      </c>
    </row>
    <row r="661" spans="5:5" x14ac:dyDescent="0.2">
      <c r="E661" t="s">
        <v>2709</v>
      </c>
    </row>
    <row r="662" spans="5:5" x14ac:dyDescent="0.2">
      <c r="E662" t="s">
        <v>2710</v>
      </c>
    </row>
    <row r="663" spans="5:5" x14ac:dyDescent="0.2">
      <c r="E663" t="s">
        <v>2711</v>
      </c>
    </row>
    <row r="664" spans="5:5" x14ac:dyDescent="0.2">
      <c r="E664" t="s">
        <v>2712</v>
      </c>
    </row>
    <row r="665" spans="5:5" x14ac:dyDescent="0.2">
      <c r="E665" t="s">
        <v>2713</v>
      </c>
    </row>
    <row r="666" spans="5:5" x14ac:dyDescent="0.2">
      <c r="E666" t="s">
        <v>2714</v>
      </c>
    </row>
    <row r="667" spans="5:5" x14ac:dyDescent="0.2">
      <c r="E667" t="s">
        <v>2715</v>
      </c>
    </row>
    <row r="668" spans="5:5" x14ac:dyDescent="0.2">
      <c r="E668" t="s">
        <v>2716</v>
      </c>
    </row>
    <row r="669" spans="5:5" x14ac:dyDescent="0.2">
      <c r="E669" t="s">
        <v>2717</v>
      </c>
    </row>
    <row r="670" spans="5:5" x14ac:dyDescent="0.2">
      <c r="E670" t="s">
        <v>2718</v>
      </c>
    </row>
    <row r="671" spans="5:5" x14ac:dyDescent="0.2">
      <c r="E671" t="s">
        <v>2719</v>
      </c>
    </row>
    <row r="672" spans="5:5" x14ac:dyDescent="0.2">
      <c r="E672" t="s">
        <v>2720</v>
      </c>
    </row>
    <row r="673" spans="5:5" x14ac:dyDescent="0.2">
      <c r="E673" t="s">
        <v>2721</v>
      </c>
    </row>
    <row r="674" spans="5:5" x14ac:dyDescent="0.2">
      <c r="E674" t="s">
        <v>2722</v>
      </c>
    </row>
    <row r="675" spans="5:5" x14ac:dyDescent="0.2">
      <c r="E675" t="s">
        <v>2723</v>
      </c>
    </row>
    <row r="676" spans="5:5" x14ac:dyDescent="0.2">
      <c r="E676" t="s">
        <v>2724</v>
      </c>
    </row>
    <row r="677" spans="5:5" x14ac:dyDescent="0.2">
      <c r="E677" t="s">
        <v>2725</v>
      </c>
    </row>
    <row r="678" spans="5:5" x14ac:dyDescent="0.2">
      <c r="E678" t="s">
        <v>2726</v>
      </c>
    </row>
    <row r="679" spans="5:5" x14ac:dyDescent="0.2">
      <c r="E679" t="s">
        <v>2727</v>
      </c>
    </row>
    <row r="680" spans="5:5" x14ac:dyDescent="0.2">
      <c r="E680" t="s">
        <v>2728</v>
      </c>
    </row>
    <row r="681" spans="5:5" x14ac:dyDescent="0.2">
      <c r="E681" t="s">
        <v>2729</v>
      </c>
    </row>
    <row r="682" spans="5:5" x14ac:dyDescent="0.2">
      <c r="E682" t="s">
        <v>2730</v>
      </c>
    </row>
    <row r="683" spans="5:5" x14ac:dyDescent="0.2">
      <c r="E683" t="s">
        <v>2731</v>
      </c>
    </row>
    <row r="684" spans="5:5" x14ac:dyDescent="0.2">
      <c r="E684" t="s">
        <v>2732</v>
      </c>
    </row>
    <row r="685" spans="5:5" x14ac:dyDescent="0.2">
      <c r="E685" t="s">
        <v>2733</v>
      </c>
    </row>
    <row r="686" spans="5:5" x14ac:dyDescent="0.2">
      <c r="E686" t="s">
        <v>2734</v>
      </c>
    </row>
    <row r="687" spans="5:5" x14ac:dyDescent="0.2">
      <c r="E687" t="s">
        <v>2735</v>
      </c>
    </row>
    <row r="688" spans="5:5" x14ac:dyDescent="0.2">
      <c r="E688" t="s">
        <v>2736</v>
      </c>
    </row>
    <row r="689" spans="5:5" x14ac:dyDescent="0.2">
      <c r="E689" t="s">
        <v>2737</v>
      </c>
    </row>
    <row r="690" spans="5:5" x14ac:dyDescent="0.2">
      <c r="E690" t="s">
        <v>2738</v>
      </c>
    </row>
    <row r="691" spans="5:5" x14ac:dyDescent="0.2">
      <c r="E691" t="s">
        <v>2739</v>
      </c>
    </row>
    <row r="692" spans="5:5" x14ac:dyDescent="0.2">
      <c r="E692" t="s">
        <v>2740</v>
      </c>
    </row>
    <row r="693" spans="5:5" x14ac:dyDescent="0.2">
      <c r="E693" t="s">
        <v>2741</v>
      </c>
    </row>
    <row r="694" spans="5:5" x14ac:dyDescent="0.2">
      <c r="E694" t="s">
        <v>2742</v>
      </c>
    </row>
    <row r="695" spans="5:5" x14ac:dyDescent="0.2">
      <c r="E695" t="s">
        <v>2743</v>
      </c>
    </row>
    <row r="696" spans="5:5" x14ac:dyDescent="0.2">
      <c r="E696" t="s">
        <v>2744</v>
      </c>
    </row>
    <row r="697" spans="5:5" x14ac:dyDescent="0.2">
      <c r="E697" t="s">
        <v>2745</v>
      </c>
    </row>
    <row r="698" spans="5:5" x14ac:dyDescent="0.2">
      <c r="E698" t="s">
        <v>2746</v>
      </c>
    </row>
    <row r="699" spans="5:5" x14ac:dyDescent="0.2">
      <c r="E699" t="s">
        <v>2747</v>
      </c>
    </row>
    <row r="700" spans="5:5" x14ac:dyDescent="0.2">
      <c r="E700" t="s">
        <v>2748</v>
      </c>
    </row>
    <row r="701" spans="5:5" x14ac:dyDescent="0.2">
      <c r="E701" t="s">
        <v>2749</v>
      </c>
    </row>
    <row r="702" spans="5:5" x14ac:dyDescent="0.2">
      <c r="E702" t="s">
        <v>2750</v>
      </c>
    </row>
    <row r="703" spans="5:5" x14ac:dyDescent="0.2">
      <c r="E703" t="s">
        <v>2751</v>
      </c>
    </row>
    <row r="704" spans="5:5" x14ac:dyDescent="0.2">
      <c r="E704" t="s">
        <v>1303</v>
      </c>
    </row>
    <row r="705" spans="5:5" x14ac:dyDescent="0.2">
      <c r="E705" t="s">
        <v>1304</v>
      </c>
    </row>
    <row r="706" spans="5:5" x14ac:dyDescent="0.2">
      <c r="E706" t="s">
        <v>2752</v>
      </c>
    </row>
    <row r="707" spans="5:5" x14ac:dyDescent="0.2">
      <c r="E707" t="s">
        <v>1305</v>
      </c>
    </row>
    <row r="708" spans="5:5" x14ac:dyDescent="0.2">
      <c r="E708" t="s">
        <v>1306</v>
      </c>
    </row>
    <row r="709" spans="5:5" x14ac:dyDescent="0.2">
      <c r="E709" t="s">
        <v>2753</v>
      </c>
    </row>
    <row r="710" spans="5:5" x14ac:dyDescent="0.2">
      <c r="E710" t="s">
        <v>2754</v>
      </c>
    </row>
    <row r="711" spans="5:5" x14ac:dyDescent="0.2">
      <c r="E711" t="s">
        <v>1307</v>
      </c>
    </row>
    <row r="712" spans="5:5" x14ac:dyDescent="0.2">
      <c r="E712" t="s">
        <v>1308</v>
      </c>
    </row>
    <row r="713" spans="5:5" x14ac:dyDescent="0.2">
      <c r="E713" t="s">
        <v>2755</v>
      </c>
    </row>
    <row r="714" spans="5:5" x14ac:dyDescent="0.2">
      <c r="E714" t="s">
        <v>2756</v>
      </c>
    </row>
    <row r="715" spans="5:5" x14ac:dyDescent="0.2">
      <c r="E715" t="s">
        <v>1309</v>
      </c>
    </row>
  </sheetData>
  <autoFilter ref="A1:N466" xr:uid="{00000000-0001-0000-0100-000000000000}"/>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1">
    <tabColor rgb="FF9A3412"/>
  </sheetPr>
  <dimension ref="A1:S518"/>
  <sheetViews>
    <sheetView workbookViewId="0">
      <pane xSplit="2" ySplit="18" topLeftCell="C19" activePane="bottomRight" state="frozen"/>
      <selection pane="topRight"/>
      <selection pane="bottomLeft"/>
      <selection pane="bottomRight" activeCell="P19" sqref="P19"/>
    </sheetView>
  </sheetViews>
  <sheetFormatPr baseColWidth="10" defaultColWidth="8.83203125" defaultRowHeight="15" x14ac:dyDescent="0.2"/>
  <cols>
    <col min="1" max="1" width="5" customWidth="1"/>
    <col min="2" max="2" width="22" customWidth="1"/>
    <col min="3" max="3" width="7.33203125" customWidth="1"/>
    <col min="4" max="7" width="10" customWidth="1"/>
    <col min="8" max="9" width="40" customWidth="1"/>
    <col min="10" max="10" width="3" customWidth="1"/>
    <col min="11" max="12" width="12" customWidth="1"/>
    <col min="13" max="13" width="18" customWidth="1"/>
    <col min="14" max="19" width="12" customWidth="1"/>
  </cols>
  <sheetData>
    <row r="1" spans="1:15" ht="18" customHeight="1" x14ac:dyDescent="0.2">
      <c r="A1" s="171" t="s">
        <v>717</v>
      </c>
      <c r="B1" s="172"/>
      <c r="C1" s="172"/>
      <c r="D1" s="172"/>
      <c r="E1" s="172"/>
      <c r="F1" s="172"/>
      <c r="G1" s="172"/>
      <c r="H1" s="172"/>
      <c r="I1" s="172"/>
      <c r="J1" s="172"/>
      <c r="K1" s="172"/>
      <c r="L1" s="172"/>
      <c r="M1" s="172"/>
      <c r="N1" s="172"/>
      <c r="O1" s="172"/>
    </row>
    <row r="2" spans="1:15" x14ac:dyDescent="0.2">
      <c r="A2" s="7" t="s">
        <v>718</v>
      </c>
    </row>
    <row r="3" spans="1:15" x14ac:dyDescent="0.2">
      <c r="A3" s="7" t="s">
        <v>719</v>
      </c>
    </row>
    <row r="5" spans="1:15" ht="28" customHeight="1" x14ac:dyDescent="0.2">
      <c r="A5" s="10" t="s">
        <v>68</v>
      </c>
      <c r="B5" s="10" t="s">
        <v>720</v>
      </c>
      <c r="C5" s="10" t="s">
        <v>721</v>
      </c>
      <c r="D5" s="10" t="s">
        <v>722</v>
      </c>
      <c r="E5" s="10" t="s">
        <v>723</v>
      </c>
      <c r="F5" s="10" t="s">
        <v>724</v>
      </c>
      <c r="G5" s="10" t="s">
        <v>725</v>
      </c>
      <c r="H5" s="10" t="s">
        <v>726</v>
      </c>
    </row>
    <row r="6" spans="1:15" x14ac:dyDescent="0.2">
      <c r="A6" s="11">
        <v>1</v>
      </c>
      <c r="B6" s="11" t="s">
        <v>387</v>
      </c>
      <c r="C6" s="11" t="s">
        <v>727</v>
      </c>
      <c r="D6" s="12">
        <v>10.5</v>
      </c>
      <c r="E6" s="11">
        <v>364506</v>
      </c>
      <c r="F6" s="11" t="s">
        <v>728</v>
      </c>
      <c r="G6" s="11" t="s">
        <v>729</v>
      </c>
      <c r="H6" s="11" t="s">
        <v>387</v>
      </c>
    </row>
    <row r="7" spans="1:15" x14ac:dyDescent="0.2">
      <c r="A7" s="11">
        <v>2</v>
      </c>
      <c r="B7" s="11" t="s">
        <v>276</v>
      </c>
      <c r="C7" s="11" t="s">
        <v>730</v>
      </c>
      <c r="D7" s="12">
        <v>7.3</v>
      </c>
      <c r="E7" s="11">
        <v>397490</v>
      </c>
      <c r="F7" s="11" t="s">
        <v>731</v>
      </c>
      <c r="G7" s="11" t="s">
        <v>729</v>
      </c>
      <c r="H7" s="11" t="s">
        <v>276</v>
      </c>
    </row>
    <row r="8" spans="1:15" x14ac:dyDescent="0.2">
      <c r="A8" s="11">
        <v>3</v>
      </c>
      <c r="B8" s="11" t="s">
        <v>732</v>
      </c>
      <c r="C8" s="11" t="s">
        <v>733</v>
      </c>
      <c r="D8" s="12">
        <v>8.9</v>
      </c>
      <c r="E8" s="11">
        <v>412305</v>
      </c>
      <c r="F8" s="11" t="s">
        <v>734</v>
      </c>
      <c r="G8" s="11" t="s">
        <v>729</v>
      </c>
      <c r="H8" s="11" t="s">
        <v>732</v>
      </c>
    </row>
    <row r="9" spans="1:15" x14ac:dyDescent="0.2">
      <c r="A9" s="11">
        <v>4</v>
      </c>
      <c r="B9" s="11" t="s">
        <v>461</v>
      </c>
      <c r="C9" s="11" t="s">
        <v>735</v>
      </c>
      <c r="D9" s="12">
        <v>7.13</v>
      </c>
      <c r="E9" s="11">
        <v>412805</v>
      </c>
      <c r="F9" s="11" t="s">
        <v>736</v>
      </c>
      <c r="G9" s="11" t="s">
        <v>729</v>
      </c>
      <c r="H9" s="11" t="s">
        <v>461</v>
      </c>
    </row>
    <row r="10" spans="1:15" x14ac:dyDescent="0.2">
      <c r="A10" s="11">
        <v>5</v>
      </c>
      <c r="B10" s="11" t="s">
        <v>93</v>
      </c>
      <c r="C10" s="11" t="s">
        <v>737</v>
      </c>
      <c r="D10" s="12">
        <v>8.9600000000000009</v>
      </c>
      <c r="E10" s="11">
        <v>412479</v>
      </c>
      <c r="F10" s="11" t="s">
        <v>738</v>
      </c>
      <c r="G10" s="11" t="s">
        <v>729</v>
      </c>
      <c r="H10" s="11" t="s">
        <v>93</v>
      </c>
    </row>
    <row r="11" spans="1:15" x14ac:dyDescent="0.2">
      <c r="A11" s="11">
        <v>6</v>
      </c>
      <c r="B11" s="11" t="s">
        <v>121</v>
      </c>
      <c r="C11" s="11" t="s">
        <v>739</v>
      </c>
      <c r="D11" s="12"/>
      <c r="E11" s="11">
        <v>412723</v>
      </c>
      <c r="F11" s="11" t="s">
        <v>740</v>
      </c>
      <c r="G11" s="11" t="s">
        <v>741</v>
      </c>
      <c r="H11" s="11" t="s">
        <v>121</v>
      </c>
    </row>
    <row r="12" spans="1:15" x14ac:dyDescent="0.2">
      <c r="A12" s="11">
        <v>7</v>
      </c>
      <c r="B12" s="11" t="s">
        <v>742</v>
      </c>
      <c r="C12" s="11" t="s">
        <v>739</v>
      </c>
      <c r="D12" s="12"/>
      <c r="E12" s="11">
        <v>702767</v>
      </c>
      <c r="F12" s="11" t="s">
        <v>743</v>
      </c>
      <c r="G12" s="11" t="s">
        <v>744</v>
      </c>
      <c r="H12" s="11" t="s">
        <v>745</v>
      </c>
    </row>
    <row r="13" spans="1:15" x14ac:dyDescent="0.2">
      <c r="A13" s="11">
        <v>8</v>
      </c>
      <c r="B13" s="11" t="s">
        <v>746</v>
      </c>
      <c r="C13" s="11" t="s">
        <v>739</v>
      </c>
      <c r="D13" s="12"/>
      <c r="E13" s="11">
        <v>702769</v>
      </c>
      <c r="F13" s="11" t="s">
        <v>747</v>
      </c>
      <c r="G13" s="11" t="s">
        <v>744</v>
      </c>
      <c r="H13" s="11" t="s">
        <v>745</v>
      </c>
    </row>
    <row r="14" spans="1:15" x14ac:dyDescent="0.2">
      <c r="A14" s="11">
        <v>9</v>
      </c>
      <c r="B14" s="11" t="s">
        <v>748</v>
      </c>
      <c r="C14" s="11" t="s">
        <v>739</v>
      </c>
      <c r="D14" s="12"/>
      <c r="E14" s="11">
        <v>702768</v>
      </c>
      <c r="F14" s="11" t="s">
        <v>749</v>
      </c>
      <c r="G14" s="11" t="s">
        <v>744</v>
      </c>
      <c r="H14" s="11" t="s">
        <v>745</v>
      </c>
    </row>
    <row r="16" spans="1:15" x14ac:dyDescent="0.2">
      <c r="A16" s="13" t="s">
        <v>750</v>
      </c>
    </row>
    <row r="17" spans="1:19" ht="28" customHeight="1" x14ac:dyDescent="0.2">
      <c r="A17" s="10" t="s">
        <v>68</v>
      </c>
      <c r="B17" s="10" t="s">
        <v>751</v>
      </c>
      <c r="C17" s="10" t="s">
        <v>965</v>
      </c>
      <c r="D17" s="10" t="s">
        <v>752</v>
      </c>
      <c r="E17" s="10" t="s">
        <v>42</v>
      </c>
      <c r="F17" s="10" t="s">
        <v>753</v>
      </c>
      <c r="G17" s="10" t="s">
        <v>754</v>
      </c>
      <c r="H17" s="10" t="s">
        <v>755</v>
      </c>
      <c r="I17" s="10" t="s">
        <v>756</v>
      </c>
      <c r="J17" s="8"/>
      <c r="K17" s="8" t="s">
        <v>757</v>
      </c>
      <c r="L17" s="8" t="s">
        <v>758</v>
      </c>
      <c r="M17" s="8" t="s">
        <v>759</v>
      </c>
      <c r="N17" s="8" t="s">
        <v>760</v>
      </c>
      <c r="O17" s="8" t="s">
        <v>761</v>
      </c>
      <c r="P17" s="8" t="s">
        <v>762</v>
      </c>
      <c r="Q17" s="8" t="s">
        <v>763</v>
      </c>
      <c r="R17" s="8" t="s">
        <v>764</v>
      </c>
      <c r="S17" s="8" t="s">
        <v>765</v>
      </c>
    </row>
    <row r="18" spans="1:19" x14ac:dyDescent="0.2">
      <c r="A18" s="14" t="s">
        <v>766</v>
      </c>
      <c r="B18" s="14" t="s">
        <v>766</v>
      </c>
      <c r="C18" s="14" t="s">
        <v>766</v>
      </c>
      <c r="D18" s="14" t="s">
        <v>766</v>
      </c>
      <c r="E18" s="14" t="s">
        <v>766</v>
      </c>
      <c r="F18" s="14" t="s">
        <v>766</v>
      </c>
      <c r="G18" s="14" t="s">
        <v>766</v>
      </c>
      <c r="H18" s="14" t="s">
        <v>766</v>
      </c>
      <c r="I18" s="14" t="s">
        <v>766</v>
      </c>
      <c r="J18" s="14"/>
      <c r="K18" s="14" t="s">
        <v>767</v>
      </c>
      <c r="L18" s="14" t="s">
        <v>767</v>
      </c>
      <c r="M18" s="14" t="s">
        <v>767</v>
      </c>
      <c r="N18" s="14" t="s">
        <v>767</v>
      </c>
      <c r="O18" s="14" t="s">
        <v>767</v>
      </c>
      <c r="P18" s="14" t="s">
        <v>767</v>
      </c>
      <c r="Q18" s="14" t="s">
        <v>767</v>
      </c>
      <c r="R18" s="14" t="s">
        <v>767</v>
      </c>
      <c r="S18" s="14" t="s">
        <v>767</v>
      </c>
    </row>
    <row r="19" spans="1:19" x14ac:dyDescent="0.2">
      <c r="A19" s="9" t="e">
        <f t="shared" ref="A19:A82" ca="1" si="0">_xludf.ROW()-18</f>
        <v>#NAME?</v>
      </c>
      <c r="B19" s="9">
        <f>Upload!E9</f>
        <v>0</v>
      </c>
      <c r="C19" s="9">
        <f>Upload!AE9</f>
        <v>0</v>
      </c>
      <c r="D19" s="9">
        <f>Upload!AF9</f>
        <v>0</v>
      </c>
      <c r="E19" s="9">
        <f>Upload!AG9</f>
        <v>0</v>
      </c>
      <c r="F19" s="9" t="str">
        <f>Upload!X9</f>
        <v/>
      </c>
      <c r="G19" s="9" t="str">
        <f>Upload!Z9</f>
        <v/>
      </c>
      <c r="H19" s="9" t="str">
        <f>Upload!W9</f>
        <v>(seleccione)</v>
      </c>
      <c r="I19" s="9" t="str">
        <f>Upload!Y9</f>
        <v>(seleccione)</v>
      </c>
      <c r="K19" s="15" t="str">
        <f t="shared" ref="K19:K82" si="1">IFERROR(IF(OR(D19="",IF(ISNUMBER(SEARCH("Plata",H19)),F19,IF(ISNUMBER(SEARCH("Plata",I19)),G19,""))=""),"",$D$6*D19*(IF(ISNUMBER(SEARCH("Plata",H19)),F19,IF(ISNUMBER(SEARCH("Plata",I19)),G19,"")))/10000000),"")</f>
        <v/>
      </c>
      <c r="L19" s="15" t="str">
        <f t="shared" ref="L19:L82" si="2">IFERROR(IF(OR(D19="",IF(OR(ISNUMBER(SEARCH("Estaño",H19)),ISNUMBER(SEARCH("Estañ",H19)),ISNUMBER(SEARCH("Tin",H19))),F19,IF(OR(ISNUMBER(SEARCH("Estaño",I19)),ISNUMBER(SEARCH("Estañ",I19)),ISNUMBER(SEARCH("Tin",I19))),G19,""))=""),"",$D$7*D19*(IF(OR(ISNUMBER(SEARCH("Estaño",H19)),ISNUMBER(SEARCH("Estañ",H19)),ISNUMBER(SEARCH("Tin",H19))),F19,IF(OR(ISNUMBER(SEARCH("Estaño",I19)),ISNUMBER(SEARCH("Estañ",I19)),ISNUMBER(SEARCH("Tin",I19))),G19,"")))/10000000),"")</f>
        <v/>
      </c>
      <c r="M19" s="15" t="str">
        <f t="shared" ref="M19:M82" si="3">IFERROR(IF(OR(D19="",IF(OR(ISNUMBER(SEARCH("Níquel",H19)),ISNUMBER(SEARCH("Niquel",H19))),F19,IF(OR(ISNUMBER(SEARCH("Níquel",I19)),ISNUMBER(SEARCH("Niquel",I19))),G19,""))=""),"",$D$8*D19*(IF(OR(ISNUMBER(SEARCH("Níquel",H19)),ISNUMBER(SEARCH("Niquel",H19))),F19,IF(OR(ISNUMBER(SEARCH("Níquel",I19)),ISNUMBER(SEARCH("Niquel",I19))),G19,"")))/10000000),"")</f>
        <v/>
      </c>
      <c r="N19" s="15" t="str">
        <f t="shared" ref="N19:N82" si="4">IFERROR(IF(OR(D19="",IF(ISNUMBER(SEARCH("Zinc",H19)),F19,IF(ISNUMBER(SEARCH("Zinc",I19)),G19,""))=""),"",$D$9*D19*(IF(ISNUMBER(SEARCH("Zinc",H19)),F19,IF(ISNUMBER(SEARCH("Zinc",I19)),G19,"")))/10000000),"")</f>
        <v/>
      </c>
      <c r="O19" s="15" t="str">
        <f t="shared" ref="O19:O82" si="5">IFERROR(IF(OR(D19="",IF(OR(ISNUMBER(SEARCH("Cobre",H19)),ISNUMBER(SEARCH("Bondal",H19))),F19,IF(OR(ISNUMBER(SEARCH("Cobre",I19)),ISNUMBER(SEARCH("Bondal",I19))),G19,""))=""),"",$D$10*D19*(IF(OR(ISNUMBER(SEARCH("Cobre",H19)),ISNUMBER(SEARCH("Bondal",H19))),F19,IF(OR(ISNUMBER(SEARCH("Cobre",I19)),ISNUMBER(SEARCH("Bondal",I19))),G19,"")))/10000000),"")</f>
        <v/>
      </c>
      <c r="P19" s="15" t="str">
        <f>IF(OR(C19="",NOT(OR(ISNUMBER(SEARCH("Antitarnish",Upload!P9&amp;Upload!Q9&amp;Upload!R9&amp;Upload!S9&amp;Upload!T9)),ISNUMBER(SEARCH("Anti Tarnish",Upload!P9&amp;Upload!Q9&amp;Upload!R9&amp;Upload!S9&amp;Upload!T9))))),"",0.0012*C19)</f>
        <v/>
      </c>
      <c r="Q19" s="15" t="str">
        <f>IF(OR(E19="",NOT(OR(ISNUMBER(SEARCH("Epóxico MT",Upload!P9&amp;Upload!Q9&amp;Upload!R9&amp;Upload!S9&amp;Upload!T9))))),"",E19*0.000035)</f>
        <v/>
      </c>
      <c r="R19" s="15" t="str">
        <f>IF(OR(F19="",NOT(OR(ISNUMBER(SEARCH("Epóxico BT",Upload!Q9&amp;Upload!R9&amp;Upload!S9&amp;Upload!T9&amp;Upload!U9))))),"",F19*0.000035)</f>
        <v/>
      </c>
      <c r="S19" s="15" t="str">
        <f>IF(OR(G19="",NOT(OR(ISNUMBER(SEARCH("Epóxico Rojo",Upload!R9&amp;Upload!S9&amp;Upload!T9&amp;Upload!U9&amp;Upload!V9))))),"",G19*0.000035)</f>
        <v/>
      </c>
    </row>
    <row r="20" spans="1:19" x14ac:dyDescent="0.2">
      <c r="A20" s="9" t="e">
        <f t="shared" ca="1" si="0"/>
        <v>#NAME?</v>
      </c>
      <c r="B20" s="9">
        <f>Upload!E10</f>
        <v>0</v>
      </c>
      <c r="C20" s="9">
        <f>Upload!AE10</f>
        <v>0</v>
      </c>
      <c r="D20" s="9">
        <f>Upload!AF10</f>
        <v>0</v>
      </c>
      <c r="E20" s="9">
        <f>Upload!AG10</f>
        <v>0</v>
      </c>
      <c r="F20" s="9" t="str">
        <f>Upload!X10</f>
        <v/>
      </c>
      <c r="G20" s="9" t="str">
        <f>Upload!Z10</f>
        <v/>
      </c>
      <c r="H20" s="9" t="str">
        <f>Upload!W10</f>
        <v>(seleccione)</v>
      </c>
      <c r="I20" s="9" t="str">
        <f>Upload!Y10</f>
        <v>(seleccione)</v>
      </c>
      <c r="K20" s="15" t="str">
        <f t="shared" si="1"/>
        <v/>
      </c>
      <c r="L20" s="15" t="str">
        <f t="shared" si="2"/>
        <v/>
      </c>
      <c r="M20" s="15" t="str">
        <f t="shared" si="3"/>
        <v/>
      </c>
      <c r="N20" s="15" t="str">
        <f t="shared" si="4"/>
        <v/>
      </c>
      <c r="O20" s="15" t="str">
        <f t="shared" si="5"/>
        <v/>
      </c>
      <c r="P20" s="15" t="str">
        <f>IF(OR(C20="",NOT(OR(ISNUMBER(SEARCH("Antitarnish",Upload!P10&amp;Upload!Q10&amp;Upload!R10&amp;Upload!S10&amp;Upload!T10)),ISNUMBER(SEARCH("Anti Tarnish",Upload!P10&amp;Upload!Q10&amp;Upload!R10&amp;Upload!S10&amp;Upload!T10))))),"",0.0012*C20)</f>
        <v/>
      </c>
      <c r="Q20" s="15" t="str">
        <f>IF(OR(E20="",NOT(OR(ISNUMBER(SEARCH("Epóxico MT",Upload!P10&amp;Upload!Q10&amp;Upload!R10&amp;Upload!S10&amp;Upload!T10))))),"",E20*0.000035)</f>
        <v/>
      </c>
      <c r="R20" s="15" t="str">
        <f>IF(OR(F20="",NOT(OR(ISNUMBER(SEARCH("Epóxico BT",Upload!Q10&amp;Upload!R10&amp;Upload!S10&amp;Upload!T10&amp;Upload!U10))))),"",F20*0.000035)</f>
        <v/>
      </c>
      <c r="S20" s="15" t="str">
        <f>IF(OR(G20="",NOT(OR(ISNUMBER(SEARCH("Epóxico Rojo",Upload!R10&amp;Upload!S10&amp;Upload!T10&amp;Upload!U10&amp;Upload!V10))))),"",G20*0.000035)</f>
        <v/>
      </c>
    </row>
    <row r="21" spans="1:19" x14ac:dyDescent="0.2">
      <c r="A21" s="9" t="e">
        <f t="shared" ca="1" si="0"/>
        <v>#NAME?</v>
      </c>
      <c r="B21" s="9">
        <f>Upload!E11</f>
        <v>0</v>
      </c>
      <c r="C21" s="9">
        <f>Upload!AE11</f>
        <v>0</v>
      </c>
      <c r="D21" s="9">
        <f>Upload!AF11</f>
        <v>0</v>
      </c>
      <c r="E21" s="9">
        <f>Upload!AG11</f>
        <v>0</v>
      </c>
      <c r="F21" s="9" t="str">
        <f>Upload!X11</f>
        <v/>
      </c>
      <c r="G21" s="9" t="str">
        <f>Upload!Z11</f>
        <v/>
      </c>
      <c r="H21" s="9" t="str">
        <f>Upload!W11</f>
        <v>(seleccione)</v>
      </c>
      <c r="I21" s="9" t="str">
        <f>Upload!Y11</f>
        <v>(seleccione)</v>
      </c>
      <c r="K21" s="15" t="str">
        <f t="shared" si="1"/>
        <v/>
      </c>
      <c r="L21" s="15" t="str">
        <f t="shared" si="2"/>
        <v/>
      </c>
      <c r="M21" s="15" t="str">
        <f t="shared" si="3"/>
        <v/>
      </c>
      <c r="N21" s="15" t="str">
        <f t="shared" si="4"/>
        <v/>
      </c>
      <c r="O21" s="15" t="str">
        <f t="shared" si="5"/>
        <v/>
      </c>
      <c r="P21" s="15" t="str">
        <f>IF(OR(C21="",NOT(OR(ISNUMBER(SEARCH("Antitarnish",Upload!P11&amp;Upload!Q11&amp;Upload!R11&amp;Upload!S11&amp;Upload!T11)),ISNUMBER(SEARCH("Anti Tarnish",Upload!P11&amp;Upload!Q11&amp;Upload!R11&amp;Upload!S11&amp;Upload!T11))))),"",0.0012*C21)</f>
        <v/>
      </c>
      <c r="Q21" s="15" t="str">
        <f>IF(OR(E21="",NOT(OR(ISNUMBER(SEARCH("Epóxico MT",Upload!P11&amp;Upload!Q11&amp;Upload!R11&amp;Upload!S11&amp;Upload!T11))))),"",E21*0.000035)</f>
        <v/>
      </c>
      <c r="R21" s="15" t="str">
        <f>IF(OR(F21="",NOT(OR(ISNUMBER(SEARCH("Epóxico BT",Upload!Q11&amp;Upload!R11&amp;Upload!S11&amp;Upload!T11&amp;Upload!U11))))),"",F21*0.000035)</f>
        <v/>
      </c>
      <c r="S21" s="15" t="str">
        <f>IF(OR(G21="",NOT(OR(ISNUMBER(SEARCH("Epóxico Rojo",Upload!R11&amp;Upload!S11&amp;Upload!T11&amp;Upload!U11&amp;Upload!V11))))),"",G21*0.000035)</f>
        <v/>
      </c>
    </row>
    <row r="22" spans="1:19" x14ac:dyDescent="0.2">
      <c r="A22" s="9" t="e">
        <f t="shared" ca="1" si="0"/>
        <v>#NAME?</v>
      </c>
      <c r="B22" s="9">
        <f>Upload!E12</f>
        <v>0</v>
      </c>
      <c r="C22" s="9">
        <f>Upload!AE12</f>
        <v>0</v>
      </c>
      <c r="D22" s="9">
        <f>Upload!AF12</f>
        <v>0</v>
      </c>
      <c r="E22" s="9">
        <f>Upload!AG12</f>
        <v>0</v>
      </c>
      <c r="F22" s="9" t="str">
        <f>Upload!X12</f>
        <v/>
      </c>
      <c r="G22" s="9" t="str">
        <f>Upload!Z12</f>
        <v/>
      </c>
      <c r="H22" s="9" t="str">
        <f>Upload!W12</f>
        <v>(seleccione)</v>
      </c>
      <c r="I22" s="9" t="str">
        <f>Upload!Y12</f>
        <v>(seleccione)</v>
      </c>
      <c r="K22" s="15" t="str">
        <f t="shared" si="1"/>
        <v/>
      </c>
      <c r="L22" s="15" t="str">
        <f t="shared" si="2"/>
        <v/>
      </c>
      <c r="M22" s="15" t="str">
        <f t="shared" si="3"/>
        <v/>
      </c>
      <c r="N22" s="15" t="str">
        <f t="shared" si="4"/>
        <v/>
      </c>
      <c r="O22" s="15" t="str">
        <f t="shared" si="5"/>
        <v/>
      </c>
      <c r="P22" s="15" t="str">
        <f>IF(OR(C22="",NOT(OR(ISNUMBER(SEARCH("Antitarnish",Upload!P12&amp;Upload!Q12&amp;Upload!R12&amp;Upload!S12&amp;Upload!T12)),ISNUMBER(SEARCH("Anti Tarnish",Upload!P12&amp;Upload!Q12&amp;Upload!R12&amp;Upload!S12&amp;Upload!T12))))),"",0.0012*C22)</f>
        <v/>
      </c>
      <c r="Q22" s="15" t="str">
        <f>IF(OR(E22="",NOT(OR(ISNUMBER(SEARCH("Epóxico MT",Upload!P12&amp;Upload!Q12&amp;Upload!R12&amp;Upload!S12&amp;Upload!T12))))),"",E22*0.000035)</f>
        <v/>
      </c>
      <c r="R22" s="15" t="str">
        <f>IF(OR(F22="",NOT(OR(ISNUMBER(SEARCH("Epóxico BT",Upload!Q12&amp;Upload!R12&amp;Upload!S12&amp;Upload!T12&amp;Upload!U12))))),"",F22*0.000035)</f>
        <v/>
      </c>
      <c r="S22" s="15" t="str">
        <f>IF(OR(G22="",NOT(OR(ISNUMBER(SEARCH("Epóxico Rojo",Upload!R12&amp;Upload!S12&amp;Upload!T12&amp;Upload!U12&amp;Upload!V12))))),"",G22*0.000035)</f>
        <v/>
      </c>
    </row>
    <row r="23" spans="1:19" x14ac:dyDescent="0.2">
      <c r="A23" s="9" t="e">
        <f t="shared" ca="1" si="0"/>
        <v>#NAME?</v>
      </c>
      <c r="B23" s="9">
        <f>Upload!E13</f>
        <v>0</v>
      </c>
      <c r="C23" s="9">
        <f>Upload!AE13</f>
        <v>0</v>
      </c>
      <c r="D23" s="9">
        <f>Upload!AF13</f>
        <v>0</v>
      </c>
      <c r="E23" s="9">
        <f>Upload!AG13</f>
        <v>0</v>
      </c>
      <c r="F23" s="9" t="str">
        <f>Upload!X13</f>
        <v/>
      </c>
      <c r="G23" s="9" t="str">
        <f>Upload!Z13</f>
        <v/>
      </c>
      <c r="H23" s="9" t="str">
        <f>Upload!W13</f>
        <v>(seleccione)</v>
      </c>
      <c r="I23" s="9" t="str">
        <f>Upload!Y13</f>
        <v>(seleccione)</v>
      </c>
      <c r="K23" s="15" t="str">
        <f t="shared" si="1"/>
        <v/>
      </c>
      <c r="L23" s="15" t="str">
        <f t="shared" si="2"/>
        <v/>
      </c>
      <c r="M23" s="15" t="str">
        <f t="shared" si="3"/>
        <v/>
      </c>
      <c r="N23" s="15" t="str">
        <f t="shared" si="4"/>
        <v/>
      </c>
      <c r="O23" s="15" t="str">
        <f t="shared" si="5"/>
        <v/>
      </c>
      <c r="P23" s="15" t="str">
        <f>IF(OR(C23="",NOT(OR(ISNUMBER(SEARCH("Antitarnish",Upload!P13&amp;Upload!Q13&amp;Upload!R13&amp;Upload!S13&amp;Upload!T13)),ISNUMBER(SEARCH("Anti Tarnish",Upload!P13&amp;Upload!Q13&amp;Upload!R13&amp;Upload!S13&amp;Upload!T13))))),"",0.0012*C23)</f>
        <v/>
      </c>
      <c r="Q23" s="15" t="str">
        <f>IF(OR(E23="",NOT(OR(ISNUMBER(SEARCH("Epóxico MT",Upload!P13&amp;Upload!Q13&amp;Upload!R13&amp;Upload!S13&amp;Upload!T13))))),"",E23*0.000035)</f>
        <v/>
      </c>
      <c r="R23" s="15" t="str">
        <f>IF(OR(F23="",NOT(OR(ISNUMBER(SEARCH("Epóxico BT",Upload!Q13&amp;Upload!R13&amp;Upload!S13&amp;Upload!T13&amp;Upload!U13))))),"",F23*0.000035)</f>
        <v/>
      </c>
      <c r="S23" s="15" t="str">
        <f>IF(OR(G23="",NOT(OR(ISNUMBER(SEARCH("Epóxico Rojo",Upload!R13&amp;Upload!S13&amp;Upload!T13&amp;Upload!U13&amp;Upload!V13))))),"",G23*0.000035)</f>
        <v/>
      </c>
    </row>
    <row r="24" spans="1:19" x14ac:dyDescent="0.2">
      <c r="A24" s="9" t="e">
        <f t="shared" ca="1" si="0"/>
        <v>#NAME?</v>
      </c>
      <c r="B24" s="9">
        <f>Upload!E14</f>
        <v>0</v>
      </c>
      <c r="C24" s="9">
        <f>Upload!AE14</f>
        <v>0</v>
      </c>
      <c r="D24" s="9">
        <f>Upload!AF14</f>
        <v>0</v>
      </c>
      <c r="E24" s="9">
        <f>Upload!AG14</f>
        <v>0</v>
      </c>
      <c r="F24" s="9" t="str">
        <f>Upload!X14</f>
        <v/>
      </c>
      <c r="G24" s="9" t="str">
        <f>Upload!Z14</f>
        <v/>
      </c>
      <c r="H24" s="9" t="str">
        <f>Upload!W14</f>
        <v>(seleccione)</v>
      </c>
      <c r="I24" s="9" t="str">
        <f>Upload!Y14</f>
        <v>(seleccione)</v>
      </c>
      <c r="K24" s="15" t="str">
        <f t="shared" si="1"/>
        <v/>
      </c>
      <c r="L24" s="15" t="str">
        <f t="shared" si="2"/>
        <v/>
      </c>
      <c r="M24" s="15" t="str">
        <f t="shared" si="3"/>
        <v/>
      </c>
      <c r="N24" s="15" t="str">
        <f t="shared" si="4"/>
        <v/>
      </c>
      <c r="O24" s="15" t="str">
        <f t="shared" si="5"/>
        <v/>
      </c>
      <c r="P24" s="15" t="str">
        <f>IF(OR(C24="",NOT(OR(ISNUMBER(SEARCH("Antitarnish",Upload!P14&amp;Upload!Q14&amp;Upload!R14&amp;Upload!S14&amp;Upload!T14)),ISNUMBER(SEARCH("Anti Tarnish",Upload!P14&amp;Upload!Q14&amp;Upload!R14&amp;Upload!S14&amp;Upload!T14))))),"",0.0012*C24)</f>
        <v/>
      </c>
      <c r="Q24" s="15" t="str">
        <f>IF(OR(E24="",NOT(OR(ISNUMBER(SEARCH("Epóxico MT",Upload!P14&amp;Upload!Q14&amp;Upload!R14&amp;Upload!S14&amp;Upload!T14))))),"",E24*0.000035)</f>
        <v/>
      </c>
      <c r="R24" s="15" t="str">
        <f>IF(OR(F24="",NOT(OR(ISNUMBER(SEARCH("Epóxico BT",Upload!Q14&amp;Upload!R14&amp;Upload!S14&amp;Upload!T14&amp;Upload!U14))))),"",F24*0.000035)</f>
        <v/>
      </c>
      <c r="S24" s="15" t="str">
        <f>IF(OR(G24="",NOT(OR(ISNUMBER(SEARCH("Epóxico Rojo",Upload!R14&amp;Upload!S14&amp;Upload!T14&amp;Upload!U14&amp;Upload!V14))))),"",G24*0.000035)</f>
        <v/>
      </c>
    </row>
    <row r="25" spans="1:19" x14ac:dyDescent="0.2">
      <c r="A25" s="9" t="e">
        <f t="shared" ca="1" si="0"/>
        <v>#NAME?</v>
      </c>
      <c r="B25" s="9">
        <f>Upload!E15</f>
        <v>0</v>
      </c>
      <c r="C25" s="9">
        <f>Upload!AE15</f>
        <v>0</v>
      </c>
      <c r="D25" s="9">
        <f>Upload!AF15</f>
        <v>0</v>
      </c>
      <c r="E25" s="9">
        <f>Upload!AG15</f>
        <v>0</v>
      </c>
      <c r="F25" s="9" t="str">
        <f>Upload!X15</f>
        <v/>
      </c>
      <c r="G25" s="9" t="str">
        <f>Upload!Z15</f>
        <v/>
      </c>
      <c r="H25" s="9" t="str">
        <f>Upload!W15</f>
        <v>(seleccione)</v>
      </c>
      <c r="I25" s="9" t="str">
        <f>Upload!Y15</f>
        <v>(seleccione)</v>
      </c>
      <c r="K25" s="15" t="str">
        <f t="shared" si="1"/>
        <v/>
      </c>
      <c r="L25" s="15" t="str">
        <f t="shared" si="2"/>
        <v/>
      </c>
      <c r="M25" s="15" t="str">
        <f t="shared" si="3"/>
        <v/>
      </c>
      <c r="N25" s="15" t="str">
        <f t="shared" si="4"/>
        <v/>
      </c>
      <c r="O25" s="15" t="str">
        <f t="shared" si="5"/>
        <v/>
      </c>
      <c r="P25" s="15" t="str">
        <f>IF(OR(C25="",NOT(OR(ISNUMBER(SEARCH("Antitarnish",Upload!P15&amp;Upload!Q15&amp;Upload!R15&amp;Upload!S15&amp;Upload!T15)),ISNUMBER(SEARCH("Anti Tarnish",Upload!P15&amp;Upload!Q15&amp;Upload!R15&amp;Upload!S15&amp;Upload!T15))))),"",0.0012*C25)</f>
        <v/>
      </c>
      <c r="Q25" s="15" t="str">
        <f>IF(OR(E25="",NOT(OR(ISNUMBER(SEARCH("Epóxico MT",Upload!P15&amp;Upload!Q15&amp;Upload!R15&amp;Upload!S15&amp;Upload!T15))))),"",E25*0.000035)</f>
        <v/>
      </c>
      <c r="R25" s="15" t="str">
        <f>IF(OR(F25="",NOT(OR(ISNUMBER(SEARCH("Epóxico BT",Upload!Q15&amp;Upload!R15&amp;Upload!S15&amp;Upload!T15&amp;Upload!U15))))),"",F25*0.000035)</f>
        <v/>
      </c>
      <c r="S25" s="15" t="str">
        <f>IF(OR(G25="",NOT(OR(ISNUMBER(SEARCH("Epóxico Rojo",Upload!R15&amp;Upload!S15&amp;Upload!T15&amp;Upload!U15&amp;Upload!V15))))),"",G25*0.000035)</f>
        <v/>
      </c>
    </row>
    <row r="26" spans="1:19" x14ac:dyDescent="0.2">
      <c r="A26" s="9" t="e">
        <f t="shared" ca="1" si="0"/>
        <v>#NAME?</v>
      </c>
      <c r="B26" s="9">
        <f>Upload!E16</f>
        <v>0</v>
      </c>
      <c r="C26" s="9">
        <f>Upload!AE16</f>
        <v>0</v>
      </c>
      <c r="D26" s="9">
        <f>Upload!AF16</f>
        <v>0</v>
      </c>
      <c r="E26" s="9">
        <f>Upload!AG16</f>
        <v>0</v>
      </c>
      <c r="F26" s="9" t="str">
        <f>Upload!X16</f>
        <v/>
      </c>
      <c r="G26" s="9" t="str">
        <f>Upload!Z16</f>
        <v/>
      </c>
      <c r="H26" s="9" t="str">
        <f>Upload!W16</f>
        <v>(seleccione)</v>
      </c>
      <c r="I26" s="9" t="str">
        <f>Upload!Y16</f>
        <v>(seleccione)</v>
      </c>
      <c r="K26" s="15" t="str">
        <f t="shared" si="1"/>
        <v/>
      </c>
      <c r="L26" s="15" t="str">
        <f t="shared" si="2"/>
        <v/>
      </c>
      <c r="M26" s="15" t="str">
        <f t="shared" si="3"/>
        <v/>
      </c>
      <c r="N26" s="15" t="str">
        <f t="shared" si="4"/>
        <v/>
      </c>
      <c r="O26" s="15" t="str">
        <f t="shared" si="5"/>
        <v/>
      </c>
      <c r="P26" s="15" t="str">
        <f>IF(OR(C26="",NOT(OR(ISNUMBER(SEARCH("Antitarnish",Upload!P16&amp;Upload!Q16&amp;Upload!R16&amp;Upload!S16&amp;Upload!T16)),ISNUMBER(SEARCH("Anti Tarnish",Upload!P16&amp;Upload!Q16&amp;Upload!R16&amp;Upload!S16&amp;Upload!T16))))),"",0.0012*C26)</f>
        <v/>
      </c>
      <c r="Q26" s="15" t="str">
        <f>IF(OR(E26="",NOT(OR(ISNUMBER(SEARCH("Epóxico MT",Upload!P16&amp;Upload!Q16&amp;Upload!R16&amp;Upload!S16&amp;Upload!T16))))),"",E26*0.000035)</f>
        <v/>
      </c>
      <c r="R26" s="15" t="str">
        <f>IF(OR(F26="",NOT(OR(ISNUMBER(SEARCH("Epóxico BT",Upload!Q16&amp;Upload!R16&amp;Upload!S16&amp;Upload!T16&amp;Upload!U16))))),"",F26*0.000035)</f>
        <v/>
      </c>
      <c r="S26" s="15" t="str">
        <f>IF(OR(G26="",NOT(OR(ISNUMBER(SEARCH("Epóxico Rojo",Upload!R16&amp;Upload!S16&amp;Upload!T16&amp;Upload!U16&amp;Upload!V16))))),"",G26*0.000035)</f>
        <v/>
      </c>
    </row>
    <row r="27" spans="1:19" x14ac:dyDescent="0.2">
      <c r="A27" s="9" t="e">
        <f t="shared" ca="1" si="0"/>
        <v>#NAME?</v>
      </c>
      <c r="B27" s="9">
        <f>Upload!E17</f>
        <v>0</v>
      </c>
      <c r="C27" s="9">
        <f>Upload!AE17</f>
        <v>0</v>
      </c>
      <c r="D27" s="9">
        <f>Upload!AF17</f>
        <v>0</v>
      </c>
      <c r="E27" s="9">
        <f>Upload!AG17</f>
        <v>0</v>
      </c>
      <c r="F27" s="9" t="str">
        <f>Upload!X17</f>
        <v/>
      </c>
      <c r="G27" s="9" t="str">
        <f>Upload!Z17</f>
        <v/>
      </c>
      <c r="H27" s="9" t="str">
        <f>Upload!W17</f>
        <v>(seleccione)</v>
      </c>
      <c r="I27" s="9" t="str">
        <f>Upload!Y17</f>
        <v>(seleccione)</v>
      </c>
      <c r="K27" s="15" t="str">
        <f t="shared" si="1"/>
        <v/>
      </c>
      <c r="L27" s="15" t="str">
        <f t="shared" si="2"/>
        <v/>
      </c>
      <c r="M27" s="15" t="str">
        <f t="shared" si="3"/>
        <v/>
      </c>
      <c r="N27" s="15" t="str">
        <f t="shared" si="4"/>
        <v/>
      </c>
      <c r="O27" s="15" t="str">
        <f t="shared" si="5"/>
        <v/>
      </c>
      <c r="P27" s="15" t="str">
        <f>IF(OR(C27="",NOT(OR(ISNUMBER(SEARCH("Antitarnish",Upload!P17&amp;Upload!Q17&amp;Upload!R17&amp;Upload!S17&amp;Upload!T17)),ISNUMBER(SEARCH("Anti Tarnish",Upload!P17&amp;Upload!Q17&amp;Upload!R17&amp;Upload!S17&amp;Upload!T17))))),"",0.0012*C27)</f>
        <v/>
      </c>
      <c r="Q27" s="15" t="str">
        <f>IF(OR(E27="",NOT(OR(ISNUMBER(SEARCH("Epóxico MT",Upload!P17&amp;Upload!Q17&amp;Upload!R17&amp;Upload!S17&amp;Upload!T17))))),"",E27*0.000035)</f>
        <v/>
      </c>
      <c r="R27" s="15" t="str">
        <f>IF(OR(F27="",NOT(OR(ISNUMBER(SEARCH("Epóxico BT",Upload!Q17&amp;Upload!R17&amp;Upload!S17&amp;Upload!T17&amp;Upload!U17))))),"",F27*0.000035)</f>
        <v/>
      </c>
      <c r="S27" s="15" t="str">
        <f>IF(OR(G27="",NOT(OR(ISNUMBER(SEARCH("Epóxico Rojo",Upload!R17&amp;Upload!S17&amp;Upload!T17&amp;Upload!U17&amp;Upload!V17))))),"",G27*0.000035)</f>
        <v/>
      </c>
    </row>
    <row r="28" spans="1:19" x14ac:dyDescent="0.2">
      <c r="A28" s="9" t="e">
        <f t="shared" ca="1" si="0"/>
        <v>#NAME?</v>
      </c>
      <c r="B28" s="9">
        <f>Upload!E18</f>
        <v>0</v>
      </c>
      <c r="C28" s="9">
        <f>Upload!AE18</f>
        <v>0</v>
      </c>
      <c r="D28" s="9">
        <f>Upload!AF18</f>
        <v>0</v>
      </c>
      <c r="E28" s="9">
        <f>Upload!AG18</f>
        <v>0</v>
      </c>
      <c r="F28" s="9" t="str">
        <f>Upload!X18</f>
        <v/>
      </c>
      <c r="G28" s="9" t="str">
        <f>Upload!Z18</f>
        <v/>
      </c>
      <c r="H28" s="9" t="str">
        <f>Upload!W18</f>
        <v>(seleccione)</v>
      </c>
      <c r="I28" s="9" t="str">
        <f>Upload!Y18</f>
        <v>(seleccione)</v>
      </c>
      <c r="K28" s="15" t="str">
        <f t="shared" si="1"/>
        <v/>
      </c>
      <c r="L28" s="15" t="str">
        <f t="shared" si="2"/>
        <v/>
      </c>
      <c r="M28" s="15" t="str">
        <f t="shared" si="3"/>
        <v/>
      </c>
      <c r="N28" s="15" t="str">
        <f t="shared" si="4"/>
        <v/>
      </c>
      <c r="O28" s="15" t="str">
        <f t="shared" si="5"/>
        <v/>
      </c>
      <c r="P28" s="15" t="str">
        <f>IF(OR(C28="",NOT(OR(ISNUMBER(SEARCH("Antitarnish",Upload!P18&amp;Upload!Q18&amp;Upload!R18&amp;Upload!S18&amp;Upload!T18)),ISNUMBER(SEARCH("Anti Tarnish",Upload!P18&amp;Upload!Q18&amp;Upload!R18&amp;Upload!S18&amp;Upload!T18))))),"",0.0012*C28)</f>
        <v/>
      </c>
      <c r="Q28" s="15" t="str">
        <f>IF(OR(E28="",NOT(OR(ISNUMBER(SEARCH("Epóxico MT",Upload!P18&amp;Upload!Q18&amp;Upload!R18&amp;Upload!S18&amp;Upload!T18))))),"",E28*0.000035)</f>
        <v/>
      </c>
      <c r="R28" s="15" t="str">
        <f>IF(OR(F28="",NOT(OR(ISNUMBER(SEARCH("Epóxico BT",Upload!Q18&amp;Upload!R18&amp;Upload!S18&amp;Upload!T18&amp;Upload!U18))))),"",F28*0.000035)</f>
        <v/>
      </c>
      <c r="S28" s="15" t="str">
        <f>IF(OR(G28="",NOT(OR(ISNUMBER(SEARCH("Epóxico Rojo",Upload!R18&amp;Upload!S18&amp;Upload!T18&amp;Upload!U18&amp;Upload!V18))))),"",G28*0.000035)</f>
        <v/>
      </c>
    </row>
    <row r="29" spans="1:19" x14ac:dyDescent="0.2">
      <c r="A29" s="9" t="e">
        <f t="shared" ca="1" si="0"/>
        <v>#NAME?</v>
      </c>
      <c r="B29" s="9">
        <f>Upload!E19</f>
        <v>0</v>
      </c>
      <c r="C29" s="9">
        <f>Upload!AE19</f>
        <v>0</v>
      </c>
      <c r="D29" s="9">
        <f>Upload!AF19</f>
        <v>0</v>
      </c>
      <c r="E29" s="9">
        <f>Upload!AG19</f>
        <v>0</v>
      </c>
      <c r="F29" s="9" t="str">
        <f>Upload!X19</f>
        <v/>
      </c>
      <c r="G29" s="9" t="str">
        <f>Upload!Z19</f>
        <v/>
      </c>
      <c r="H29" s="9" t="str">
        <f>Upload!W19</f>
        <v>(seleccione)</v>
      </c>
      <c r="I29" s="9" t="str">
        <f>Upload!Y19</f>
        <v>(seleccione)</v>
      </c>
      <c r="K29" s="15" t="str">
        <f t="shared" si="1"/>
        <v/>
      </c>
      <c r="L29" s="15" t="str">
        <f t="shared" si="2"/>
        <v/>
      </c>
      <c r="M29" s="15" t="str">
        <f t="shared" si="3"/>
        <v/>
      </c>
      <c r="N29" s="15" t="str">
        <f t="shared" si="4"/>
        <v/>
      </c>
      <c r="O29" s="15" t="str">
        <f t="shared" si="5"/>
        <v/>
      </c>
      <c r="P29" s="15" t="str">
        <f>IF(OR(C29="",NOT(OR(ISNUMBER(SEARCH("Antitarnish",Upload!P19&amp;Upload!Q19&amp;Upload!R19&amp;Upload!S19&amp;Upload!T19)),ISNUMBER(SEARCH("Anti Tarnish",Upload!P19&amp;Upload!Q19&amp;Upload!R19&amp;Upload!S19&amp;Upload!T19))))),"",0.0012*C29)</f>
        <v/>
      </c>
      <c r="Q29" s="15" t="str">
        <f>IF(OR(E29="",NOT(OR(ISNUMBER(SEARCH("Epóxico MT",Upload!P19&amp;Upload!Q19&amp;Upload!R19&amp;Upload!S19&amp;Upload!T19))))),"",E29*0.000035)</f>
        <v/>
      </c>
      <c r="R29" s="15" t="str">
        <f>IF(OR(F29="",NOT(OR(ISNUMBER(SEARCH("Epóxico BT",Upload!Q19&amp;Upload!R19&amp;Upload!S19&amp;Upload!T19&amp;Upload!U19))))),"",F29*0.000035)</f>
        <v/>
      </c>
      <c r="S29" s="15" t="str">
        <f>IF(OR(G29="",NOT(OR(ISNUMBER(SEARCH("Epóxico Rojo",Upload!R19&amp;Upload!S19&amp;Upload!T19&amp;Upload!U19&amp;Upload!V19))))),"",G29*0.000035)</f>
        <v/>
      </c>
    </row>
    <row r="30" spans="1:19" x14ac:dyDescent="0.2">
      <c r="A30" s="9" t="e">
        <f t="shared" ca="1" si="0"/>
        <v>#NAME?</v>
      </c>
      <c r="B30" s="9">
        <f>Upload!E20</f>
        <v>0</v>
      </c>
      <c r="C30" s="9">
        <f>Upload!AE20</f>
        <v>0</v>
      </c>
      <c r="D30" s="9">
        <f>Upload!AF20</f>
        <v>0</v>
      </c>
      <c r="E30" s="9">
        <f>Upload!AG20</f>
        <v>0</v>
      </c>
      <c r="F30" s="9" t="str">
        <f>Upload!X20</f>
        <v/>
      </c>
      <c r="G30" s="9" t="str">
        <f>Upload!Z20</f>
        <v/>
      </c>
      <c r="H30" s="9" t="str">
        <f>Upload!W20</f>
        <v>(seleccione)</v>
      </c>
      <c r="I30" s="9" t="str">
        <f>Upload!Y20</f>
        <v>(seleccione)</v>
      </c>
      <c r="K30" s="15" t="str">
        <f t="shared" si="1"/>
        <v/>
      </c>
      <c r="L30" s="15" t="str">
        <f t="shared" si="2"/>
        <v/>
      </c>
      <c r="M30" s="15" t="str">
        <f t="shared" si="3"/>
        <v/>
      </c>
      <c r="N30" s="15" t="str">
        <f t="shared" si="4"/>
        <v/>
      </c>
      <c r="O30" s="15" t="str">
        <f t="shared" si="5"/>
        <v/>
      </c>
      <c r="P30" s="15" t="str">
        <f>IF(OR(C30="",NOT(OR(ISNUMBER(SEARCH("Antitarnish",Upload!P20&amp;Upload!Q20&amp;Upload!R20&amp;Upload!S20&amp;Upload!T20)),ISNUMBER(SEARCH("Anti Tarnish",Upload!P20&amp;Upload!Q20&amp;Upload!R20&amp;Upload!S20&amp;Upload!T20))))),"",0.0012*C30)</f>
        <v/>
      </c>
      <c r="Q30" s="15" t="str">
        <f>IF(OR(E30="",NOT(OR(ISNUMBER(SEARCH("Epóxico MT",Upload!P20&amp;Upload!Q20&amp;Upload!R20&amp;Upload!S20&amp;Upload!T20))))),"",E30*0.000035)</f>
        <v/>
      </c>
      <c r="R30" s="15" t="str">
        <f>IF(OR(F30="",NOT(OR(ISNUMBER(SEARCH("Epóxico BT",Upload!Q20&amp;Upload!R20&amp;Upload!S20&amp;Upload!T20&amp;Upload!U20))))),"",F30*0.000035)</f>
        <v/>
      </c>
      <c r="S30" s="15" t="str">
        <f>IF(OR(G30="",NOT(OR(ISNUMBER(SEARCH("Epóxico Rojo",Upload!R20&amp;Upload!S20&amp;Upload!T20&amp;Upload!U20&amp;Upload!V20))))),"",G30*0.000035)</f>
        <v/>
      </c>
    </row>
    <row r="31" spans="1:19" x14ac:dyDescent="0.2">
      <c r="A31" s="9" t="e">
        <f t="shared" ca="1" si="0"/>
        <v>#NAME?</v>
      </c>
      <c r="B31" s="9">
        <f>Upload!E21</f>
        <v>0</v>
      </c>
      <c r="C31" s="9">
        <f>Upload!AE21</f>
        <v>0</v>
      </c>
      <c r="D31" s="9">
        <f>Upload!AF21</f>
        <v>0</v>
      </c>
      <c r="E31" s="9">
        <f>Upload!AG21</f>
        <v>0</v>
      </c>
      <c r="F31" s="9" t="str">
        <f>Upload!X21</f>
        <v/>
      </c>
      <c r="G31" s="9" t="str">
        <f>Upload!Z21</f>
        <v/>
      </c>
      <c r="H31" s="9" t="str">
        <f>Upload!W21</f>
        <v>(seleccione)</v>
      </c>
      <c r="I31" s="9" t="str">
        <f>Upload!Y21</f>
        <v>(seleccione)</v>
      </c>
      <c r="K31" s="15" t="str">
        <f t="shared" si="1"/>
        <v/>
      </c>
      <c r="L31" s="15" t="str">
        <f t="shared" si="2"/>
        <v/>
      </c>
      <c r="M31" s="15" t="str">
        <f t="shared" si="3"/>
        <v/>
      </c>
      <c r="N31" s="15" t="str">
        <f t="shared" si="4"/>
        <v/>
      </c>
      <c r="O31" s="15" t="str">
        <f t="shared" si="5"/>
        <v/>
      </c>
      <c r="P31" s="15" t="str">
        <f>IF(OR(C31="",NOT(OR(ISNUMBER(SEARCH("Antitarnish",Upload!P21&amp;Upload!Q21&amp;Upload!R21&amp;Upload!S21&amp;Upload!T21)),ISNUMBER(SEARCH("Anti Tarnish",Upload!P21&amp;Upload!Q21&amp;Upload!R21&amp;Upload!S21&amp;Upload!T21))))),"",0.0012*C31)</f>
        <v/>
      </c>
      <c r="Q31" s="15" t="str">
        <f>IF(OR(E31="",NOT(OR(ISNUMBER(SEARCH("Epóxico MT",Upload!P21&amp;Upload!Q21&amp;Upload!R21&amp;Upload!S21&amp;Upload!T21))))),"",E31*0.000035)</f>
        <v/>
      </c>
      <c r="R31" s="15" t="str">
        <f>IF(OR(F31="",NOT(OR(ISNUMBER(SEARCH("Epóxico BT",Upload!Q21&amp;Upload!R21&amp;Upload!S21&amp;Upload!T21&amp;Upload!U21))))),"",F31*0.000035)</f>
        <v/>
      </c>
      <c r="S31" s="15" t="str">
        <f>IF(OR(G31="",NOT(OR(ISNUMBER(SEARCH("Epóxico Rojo",Upload!R21&amp;Upload!S21&amp;Upload!T21&amp;Upload!U21&amp;Upload!V21))))),"",G31*0.000035)</f>
        <v/>
      </c>
    </row>
    <row r="32" spans="1:19" x14ac:dyDescent="0.2">
      <c r="A32" s="9" t="e">
        <f t="shared" ca="1" si="0"/>
        <v>#NAME?</v>
      </c>
      <c r="B32" s="9">
        <f>Upload!E22</f>
        <v>0</v>
      </c>
      <c r="C32" s="9">
        <f>Upload!AE22</f>
        <v>0</v>
      </c>
      <c r="D32" s="9">
        <f>Upload!AF22</f>
        <v>0</v>
      </c>
      <c r="E32" s="9">
        <f>Upload!AG22</f>
        <v>0</v>
      </c>
      <c r="F32" s="9" t="str">
        <f>Upload!X22</f>
        <v/>
      </c>
      <c r="G32" s="9" t="str">
        <f>Upload!Z22</f>
        <v/>
      </c>
      <c r="H32" s="9" t="str">
        <f>Upload!W22</f>
        <v>(seleccione)</v>
      </c>
      <c r="I32" s="9" t="str">
        <f>Upload!Y22</f>
        <v>(seleccione)</v>
      </c>
      <c r="K32" s="15" t="str">
        <f t="shared" si="1"/>
        <v/>
      </c>
      <c r="L32" s="15" t="str">
        <f t="shared" si="2"/>
        <v/>
      </c>
      <c r="M32" s="15" t="str">
        <f t="shared" si="3"/>
        <v/>
      </c>
      <c r="N32" s="15" t="str">
        <f t="shared" si="4"/>
        <v/>
      </c>
      <c r="O32" s="15" t="str">
        <f t="shared" si="5"/>
        <v/>
      </c>
      <c r="P32" s="15" t="str">
        <f>IF(OR(C32="",NOT(OR(ISNUMBER(SEARCH("Antitarnish",Upload!P22&amp;Upload!Q22&amp;Upload!R22&amp;Upload!S22&amp;Upload!T22)),ISNUMBER(SEARCH("Anti Tarnish",Upload!P22&amp;Upload!Q22&amp;Upload!R22&amp;Upload!S22&amp;Upload!T22))))),"",0.0012*C32)</f>
        <v/>
      </c>
      <c r="Q32" s="15" t="str">
        <f>IF(OR(E32="",NOT(OR(ISNUMBER(SEARCH("Epóxico MT",Upload!P22&amp;Upload!Q22&amp;Upload!R22&amp;Upload!S22&amp;Upload!T22))))),"",E32*0.000035)</f>
        <v/>
      </c>
      <c r="R32" s="15" t="str">
        <f>IF(OR(F32="",NOT(OR(ISNUMBER(SEARCH("Epóxico BT",Upload!Q22&amp;Upload!R22&amp;Upload!S22&amp;Upload!T22&amp;Upload!U22))))),"",F32*0.000035)</f>
        <v/>
      </c>
      <c r="S32" s="15" t="str">
        <f>IF(OR(G32="",NOT(OR(ISNUMBER(SEARCH("Epóxico Rojo",Upload!R22&amp;Upload!S22&amp;Upload!T22&amp;Upload!U22&amp;Upload!V22))))),"",G32*0.000035)</f>
        <v/>
      </c>
    </row>
    <row r="33" spans="1:19" x14ac:dyDescent="0.2">
      <c r="A33" s="9" t="e">
        <f t="shared" ca="1" si="0"/>
        <v>#NAME?</v>
      </c>
      <c r="B33" s="9">
        <f>Upload!E23</f>
        <v>0</v>
      </c>
      <c r="C33" s="9">
        <f>Upload!AE23</f>
        <v>0</v>
      </c>
      <c r="D33" s="9">
        <f>Upload!AF23</f>
        <v>0</v>
      </c>
      <c r="E33" s="9">
        <f>Upload!AG23</f>
        <v>0</v>
      </c>
      <c r="F33" s="9" t="str">
        <f>Upload!X23</f>
        <v/>
      </c>
      <c r="G33" s="9" t="str">
        <f>Upload!Z23</f>
        <v/>
      </c>
      <c r="H33" s="9" t="str">
        <f>Upload!W23</f>
        <v>(seleccione)</v>
      </c>
      <c r="I33" s="9" t="str">
        <f>Upload!Y23</f>
        <v>(seleccione)</v>
      </c>
      <c r="K33" s="15" t="str">
        <f t="shared" si="1"/>
        <v/>
      </c>
      <c r="L33" s="15" t="str">
        <f t="shared" si="2"/>
        <v/>
      </c>
      <c r="M33" s="15" t="str">
        <f t="shared" si="3"/>
        <v/>
      </c>
      <c r="N33" s="15" t="str">
        <f t="shared" si="4"/>
        <v/>
      </c>
      <c r="O33" s="15" t="str">
        <f t="shared" si="5"/>
        <v/>
      </c>
      <c r="P33" s="15" t="str">
        <f>IF(OR(C33="",NOT(OR(ISNUMBER(SEARCH("Antitarnish",Upload!P23&amp;Upload!Q23&amp;Upload!R23&amp;Upload!S23&amp;Upload!T23)),ISNUMBER(SEARCH("Anti Tarnish",Upload!P23&amp;Upload!Q23&amp;Upload!R23&amp;Upload!S23&amp;Upload!T23))))),"",0.0012*C33)</f>
        <v/>
      </c>
      <c r="Q33" s="15" t="str">
        <f>IF(OR(E33="",NOT(OR(ISNUMBER(SEARCH("Epóxico MT",Upload!P23&amp;Upload!Q23&amp;Upload!R23&amp;Upload!S23&amp;Upload!T23))))),"",E33*0.000035)</f>
        <v/>
      </c>
      <c r="R33" s="15" t="str">
        <f>IF(OR(F33="",NOT(OR(ISNUMBER(SEARCH("Epóxico BT",Upload!Q23&amp;Upload!R23&amp;Upload!S23&amp;Upload!T23&amp;Upload!U23))))),"",F33*0.000035)</f>
        <v/>
      </c>
      <c r="S33" s="15" t="str">
        <f>IF(OR(G33="",NOT(OR(ISNUMBER(SEARCH("Epóxico Rojo",Upload!R23&amp;Upload!S23&amp;Upload!T23&amp;Upload!U23&amp;Upload!V23))))),"",G33*0.000035)</f>
        <v/>
      </c>
    </row>
    <row r="34" spans="1:19" x14ac:dyDescent="0.2">
      <c r="A34" s="9" t="e">
        <f t="shared" ca="1" si="0"/>
        <v>#NAME?</v>
      </c>
      <c r="B34" s="9">
        <f>Upload!E24</f>
        <v>0</v>
      </c>
      <c r="C34" s="9">
        <f>Upload!AE24</f>
        <v>0</v>
      </c>
      <c r="D34" s="9">
        <f>Upload!AF24</f>
        <v>0</v>
      </c>
      <c r="E34" s="9">
        <f>Upload!AG24</f>
        <v>0</v>
      </c>
      <c r="F34" s="9" t="str">
        <f>Upload!X24</f>
        <v/>
      </c>
      <c r="G34" s="9" t="str">
        <f>Upload!Z24</f>
        <v/>
      </c>
      <c r="H34" s="9" t="str">
        <f>Upload!W24</f>
        <v>(seleccione)</v>
      </c>
      <c r="I34" s="9" t="str">
        <f>Upload!Y24</f>
        <v>(seleccione)</v>
      </c>
      <c r="K34" s="15" t="str">
        <f t="shared" si="1"/>
        <v/>
      </c>
      <c r="L34" s="15" t="str">
        <f t="shared" si="2"/>
        <v/>
      </c>
      <c r="M34" s="15" t="str">
        <f t="shared" si="3"/>
        <v/>
      </c>
      <c r="N34" s="15" t="str">
        <f t="shared" si="4"/>
        <v/>
      </c>
      <c r="O34" s="15" t="str">
        <f t="shared" si="5"/>
        <v/>
      </c>
      <c r="P34" s="15" t="str">
        <f>IF(OR(C34="",NOT(OR(ISNUMBER(SEARCH("Antitarnish",Upload!P24&amp;Upload!Q24&amp;Upload!R24&amp;Upload!S24&amp;Upload!T24)),ISNUMBER(SEARCH("Anti Tarnish",Upload!P24&amp;Upload!Q24&amp;Upload!R24&amp;Upload!S24&amp;Upload!T24))))),"",0.0012*C34)</f>
        <v/>
      </c>
      <c r="Q34" s="15" t="str">
        <f>IF(OR(E34="",NOT(OR(ISNUMBER(SEARCH("Epóxico MT",Upload!P24&amp;Upload!Q24&amp;Upload!R24&amp;Upload!S24&amp;Upload!T24))))),"",E34*0.000035)</f>
        <v/>
      </c>
      <c r="R34" s="15" t="str">
        <f>IF(OR(F34="",NOT(OR(ISNUMBER(SEARCH("Epóxico BT",Upload!Q24&amp;Upload!R24&amp;Upload!S24&amp;Upload!T24&amp;Upload!U24))))),"",F34*0.000035)</f>
        <v/>
      </c>
      <c r="S34" s="15" t="str">
        <f>IF(OR(G34="",NOT(OR(ISNUMBER(SEARCH("Epóxico Rojo",Upload!R24&amp;Upload!S24&amp;Upload!T24&amp;Upload!U24&amp;Upload!V24))))),"",G34*0.000035)</f>
        <v/>
      </c>
    </row>
    <row r="35" spans="1:19" x14ac:dyDescent="0.2">
      <c r="A35" s="9" t="e">
        <f t="shared" ca="1" si="0"/>
        <v>#NAME?</v>
      </c>
      <c r="B35" s="9">
        <f>Upload!E25</f>
        <v>0</v>
      </c>
      <c r="C35" s="9">
        <f>Upload!AE25</f>
        <v>0</v>
      </c>
      <c r="D35" s="9">
        <f>Upload!AF25</f>
        <v>0</v>
      </c>
      <c r="E35" s="9">
        <f>Upload!AG25</f>
        <v>0</v>
      </c>
      <c r="F35" s="9" t="str">
        <f>Upload!X25</f>
        <v/>
      </c>
      <c r="G35" s="9" t="str">
        <f>Upload!Z25</f>
        <v/>
      </c>
      <c r="H35" s="9" t="str">
        <f>Upload!W25</f>
        <v>(seleccione)</v>
      </c>
      <c r="I35" s="9" t="str">
        <f>Upload!Y25</f>
        <v>(seleccione)</v>
      </c>
      <c r="K35" s="15" t="str">
        <f t="shared" si="1"/>
        <v/>
      </c>
      <c r="L35" s="15" t="str">
        <f t="shared" si="2"/>
        <v/>
      </c>
      <c r="M35" s="15" t="str">
        <f t="shared" si="3"/>
        <v/>
      </c>
      <c r="N35" s="15" t="str">
        <f t="shared" si="4"/>
        <v/>
      </c>
      <c r="O35" s="15" t="str">
        <f t="shared" si="5"/>
        <v/>
      </c>
      <c r="P35" s="15" t="str">
        <f>IF(OR(C35="",NOT(OR(ISNUMBER(SEARCH("Antitarnish",Upload!P25&amp;Upload!Q25&amp;Upload!R25&amp;Upload!S25&amp;Upload!T25)),ISNUMBER(SEARCH("Anti Tarnish",Upload!P25&amp;Upload!Q25&amp;Upload!R25&amp;Upload!S25&amp;Upload!T25))))),"",0.0012*C35)</f>
        <v/>
      </c>
      <c r="Q35" s="15" t="str">
        <f>IF(OR(E35="",NOT(OR(ISNUMBER(SEARCH("Epóxico MT",Upload!P25&amp;Upload!Q25&amp;Upload!R25&amp;Upload!S25&amp;Upload!T25))))),"",E35*0.000035)</f>
        <v/>
      </c>
      <c r="R35" s="15" t="str">
        <f>IF(OR(F35="",NOT(OR(ISNUMBER(SEARCH("Epóxico BT",Upload!Q25&amp;Upload!R25&amp;Upload!S25&amp;Upload!T25&amp;Upload!U25))))),"",F35*0.000035)</f>
        <v/>
      </c>
      <c r="S35" s="15" t="str">
        <f>IF(OR(G35="",NOT(OR(ISNUMBER(SEARCH("Epóxico Rojo",Upload!R25&amp;Upload!S25&amp;Upload!T25&amp;Upload!U25&amp;Upload!V25))))),"",G35*0.000035)</f>
        <v/>
      </c>
    </row>
    <row r="36" spans="1:19" x14ac:dyDescent="0.2">
      <c r="A36" s="9" t="e">
        <f t="shared" ca="1" si="0"/>
        <v>#NAME?</v>
      </c>
      <c r="B36" s="9">
        <f>Upload!E26</f>
        <v>0</v>
      </c>
      <c r="C36" s="9">
        <f>Upload!AE26</f>
        <v>0</v>
      </c>
      <c r="D36" s="9">
        <f>Upload!AF26</f>
        <v>0</v>
      </c>
      <c r="E36" s="9">
        <f>Upload!AG26</f>
        <v>0</v>
      </c>
      <c r="F36" s="9" t="str">
        <f>Upload!X26</f>
        <v/>
      </c>
      <c r="G36" s="9" t="str">
        <f>Upload!Z26</f>
        <v/>
      </c>
      <c r="H36" s="9" t="str">
        <f>Upload!W26</f>
        <v>(seleccione)</v>
      </c>
      <c r="I36" s="9" t="str">
        <f>Upload!Y26</f>
        <v>(seleccione)</v>
      </c>
      <c r="K36" s="15" t="str">
        <f t="shared" si="1"/>
        <v/>
      </c>
      <c r="L36" s="15" t="str">
        <f t="shared" si="2"/>
        <v/>
      </c>
      <c r="M36" s="15" t="str">
        <f t="shared" si="3"/>
        <v/>
      </c>
      <c r="N36" s="15" t="str">
        <f t="shared" si="4"/>
        <v/>
      </c>
      <c r="O36" s="15" t="str">
        <f t="shared" si="5"/>
        <v/>
      </c>
      <c r="P36" s="15" t="str">
        <f>IF(OR(C36="",NOT(OR(ISNUMBER(SEARCH("Antitarnish",Upload!P26&amp;Upload!Q26&amp;Upload!R26&amp;Upload!S26&amp;Upload!T26)),ISNUMBER(SEARCH("Anti Tarnish",Upload!P26&amp;Upload!Q26&amp;Upload!R26&amp;Upload!S26&amp;Upload!T26))))),"",0.0012*C36)</f>
        <v/>
      </c>
      <c r="Q36" s="15" t="str">
        <f>IF(OR(E36="",NOT(OR(ISNUMBER(SEARCH("Epóxico MT",Upload!P26&amp;Upload!Q26&amp;Upload!R26&amp;Upload!S26&amp;Upload!T26))))),"",E36*0.000035)</f>
        <v/>
      </c>
      <c r="R36" s="15" t="str">
        <f>IF(OR(F36="",NOT(OR(ISNUMBER(SEARCH("Epóxico BT",Upload!Q26&amp;Upload!R26&amp;Upload!S26&amp;Upload!T26&amp;Upload!U26))))),"",F36*0.000035)</f>
        <v/>
      </c>
      <c r="S36" s="15" t="str">
        <f>IF(OR(G36="",NOT(OR(ISNUMBER(SEARCH("Epóxico Rojo",Upload!R26&amp;Upload!S26&amp;Upload!T26&amp;Upload!U26&amp;Upload!V26))))),"",G36*0.000035)</f>
        <v/>
      </c>
    </row>
    <row r="37" spans="1:19" x14ac:dyDescent="0.2">
      <c r="A37" s="9" t="e">
        <f t="shared" ca="1" si="0"/>
        <v>#NAME?</v>
      </c>
      <c r="B37" s="9">
        <f>Upload!E27</f>
        <v>0</v>
      </c>
      <c r="C37" s="9">
        <f>Upload!AE27</f>
        <v>0</v>
      </c>
      <c r="D37" s="9">
        <f>Upload!AF27</f>
        <v>0</v>
      </c>
      <c r="E37" s="9">
        <f>Upload!AG27</f>
        <v>0</v>
      </c>
      <c r="F37" s="9" t="str">
        <f>Upload!X27</f>
        <v/>
      </c>
      <c r="G37" s="9" t="str">
        <f>Upload!Z27</f>
        <v/>
      </c>
      <c r="H37" s="9" t="str">
        <f>Upload!W27</f>
        <v>(seleccione)</v>
      </c>
      <c r="I37" s="9" t="str">
        <f>Upload!Y27</f>
        <v>(seleccione)</v>
      </c>
      <c r="K37" s="15" t="str">
        <f t="shared" si="1"/>
        <v/>
      </c>
      <c r="L37" s="15" t="str">
        <f t="shared" si="2"/>
        <v/>
      </c>
      <c r="M37" s="15" t="str">
        <f t="shared" si="3"/>
        <v/>
      </c>
      <c r="N37" s="15" t="str">
        <f t="shared" si="4"/>
        <v/>
      </c>
      <c r="O37" s="15" t="str">
        <f t="shared" si="5"/>
        <v/>
      </c>
      <c r="P37" s="15" t="str">
        <f>IF(OR(C37="",NOT(OR(ISNUMBER(SEARCH("Antitarnish",Upload!P27&amp;Upload!Q27&amp;Upload!R27&amp;Upload!S27&amp;Upload!T27)),ISNUMBER(SEARCH("Anti Tarnish",Upload!P27&amp;Upload!Q27&amp;Upload!R27&amp;Upload!S27&amp;Upload!T27))))),"",0.0012*C37)</f>
        <v/>
      </c>
      <c r="Q37" s="15" t="str">
        <f>IF(OR(E37="",NOT(OR(ISNUMBER(SEARCH("Epóxico MT",Upload!P27&amp;Upload!Q27&amp;Upload!R27&amp;Upload!S27&amp;Upload!T27))))),"",E37*0.000035)</f>
        <v/>
      </c>
      <c r="R37" s="15" t="str">
        <f>IF(OR(F37="",NOT(OR(ISNUMBER(SEARCH("Epóxico BT",Upload!Q27&amp;Upload!R27&amp;Upload!S27&amp;Upload!T27&amp;Upload!U27))))),"",F37*0.000035)</f>
        <v/>
      </c>
      <c r="S37" s="15" t="str">
        <f>IF(OR(G37="",NOT(OR(ISNUMBER(SEARCH("Epóxico Rojo",Upload!R27&amp;Upload!S27&amp;Upload!T27&amp;Upload!U27&amp;Upload!V27))))),"",G37*0.000035)</f>
        <v/>
      </c>
    </row>
    <row r="38" spans="1:19" x14ac:dyDescent="0.2">
      <c r="A38" s="9" t="e">
        <f t="shared" ca="1" si="0"/>
        <v>#NAME?</v>
      </c>
      <c r="B38" s="9">
        <f>Upload!E28</f>
        <v>0</v>
      </c>
      <c r="C38" s="9">
        <f>Upload!AE28</f>
        <v>0</v>
      </c>
      <c r="D38" s="9">
        <f>Upload!AF28</f>
        <v>0</v>
      </c>
      <c r="E38" s="9">
        <f>Upload!AG28</f>
        <v>0</v>
      </c>
      <c r="F38" s="9" t="str">
        <f>Upload!X28</f>
        <v/>
      </c>
      <c r="G38" s="9" t="str">
        <f>Upload!Z28</f>
        <v/>
      </c>
      <c r="H38" s="9" t="str">
        <f>Upload!W28</f>
        <v>(seleccione)</v>
      </c>
      <c r="I38" s="9" t="str">
        <f>Upload!Y28</f>
        <v>(seleccione)</v>
      </c>
      <c r="K38" s="15" t="str">
        <f t="shared" si="1"/>
        <v/>
      </c>
      <c r="L38" s="15" t="str">
        <f t="shared" si="2"/>
        <v/>
      </c>
      <c r="M38" s="15" t="str">
        <f t="shared" si="3"/>
        <v/>
      </c>
      <c r="N38" s="15" t="str">
        <f t="shared" si="4"/>
        <v/>
      </c>
      <c r="O38" s="15" t="str">
        <f t="shared" si="5"/>
        <v/>
      </c>
      <c r="P38" s="15" t="str">
        <f>IF(OR(C38="",NOT(OR(ISNUMBER(SEARCH("Antitarnish",Upload!P28&amp;Upload!Q28&amp;Upload!R28&amp;Upload!S28&amp;Upload!T28)),ISNUMBER(SEARCH("Anti Tarnish",Upload!P28&amp;Upload!Q28&amp;Upload!R28&amp;Upload!S28&amp;Upload!T28))))),"",0.0012*C38)</f>
        <v/>
      </c>
      <c r="Q38" s="15" t="str">
        <f>IF(OR(E38="",NOT(OR(ISNUMBER(SEARCH("Epóxico MT",Upload!P28&amp;Upload!Q28&amp;Upload!R28&amp;Upload!S28&amp;Upload!T28))))),"",E38*0.000035)</f>
        <v/>
      </c>
      <c r="R38" s="15" t="str">
        <f>IF(OR(F38="",NOT(OR(ISNUMBER(SEARCH("Epóxico BT",Upload!Q28&amp;Upload!R28&amp;Upload!S28&amp;Upload!T28&amp;Upload!U28))))),"",F38*0.000035)</f>
        <v/>
      </c>
      <c r="S38" s="15" t="str">
        <f>IF(OR(G38="",NOT(OR(ISNUMBER(SEARCH("Epóxico Rojo",Upload!R28&amp;Upload!S28&amp;Upload!T28&amp;Upload!U28&amp;Upload!V28))))),"",G38*0.000035)</f>
        <v/>
      </c>
    </row>
    <row r="39" spans="1:19" x14ac:dyDescent="0.2">
      <c r="A39" s="9" t="e">
        <f t="shared" ca="1" si="0"/>
        <v>#NAME?</v>
      </c>
      <c r="B39" s="9">
        <f>Upload!E29</f>
        <v>0</v>
      </c>
      <c r="C39" s="9">
        <f>Upload!AE29</f>
        <v>0</v>
      </c>
      <c r="D39" s="9">
        <f>Upload!AF29</f>
        <v>0</v>
      </c>
      <c r="E39" s="9">
        <f>Upload!AG29</f>
        <v>0</v>
      </c>
      <c r="F39" s="9" t="str">
        <f>Upload!X29</f>
        <v/>
      </c>
      <c r="G39" s="9" t="str">
        <f>Upload!Z29</f>
        <v/>
      </c>
      <c r="H39" s="9" t="str">
        <f>Upload!W29</f>
        <v>(seleccione)</v>
      </c>
      <c r="I39" s="9" t="str">
        <f>Upload!Y29</f>
        <v>(seleccione)</v>
      </c>
      <c r="K39" s="15" t="str">
        <f t="shared" si="1"/>
        <v/>
      </c>
      <c r="L39" s="15" t="str">
        <f t="shared" si="2"/>
        <v/>
      </c>
      <c r="M39" s="15" t="str">
        <f t="shared" si="3"/>
        <v/>
      </c>
      <c r="N39" s="15" t="str">
        <f t="shared" si="4"/>
        <v/>
      </c>
      <c r="O39" s="15" t="str">
        <f t="shared" si="5"/>
        <v/>
      </c>
      <c r="P39" s="15" t="str">
        <f>IF(OR(C39="",NOT(OR(ISNUMBER(SEARCH("Antitarnish",Upload!P29&amp;Upload!Q29&amp;Upload!R29&amp;Upload!S29&amp;Upload!T29)),ISNUMBER(SEARCH("Anti Tarnish",Upload!P29&amp;Upload!Q29&amp;Upload!R29&amp;Upload!S29&amp;Upload!T29))))),"",0.0012*C39)</f>
        <v/>
      </c>
      <c r="Q39" s="15" t="str">
        <f>IF(OR(E39="",NOT(OR(ISNUMBER(SEARCH("Epóxico MT",Upload!P29&amp;Upload!Q29&amp;Upload!R29&amp;Upload!S29&amp;Upload!T29))))),"",E39*0.000035)</f>
        <v/>
      </c>
      <c r="R39" s="15" t="str">
        <f>IF(OR(F39="",NOT(OR(ISNUMBER(SEARCH("Epóxico BT",Upload!Q29&amp;Upload!R29&amp;Upload!S29&amp;Upload!T29&amp;Upload!U29))))),"",F39*0.000035)</f>
        <v/>
      </c>
      <c r="S39" s="15" t="str">
        <f>IF(OR(G39="",NOT(OR(ISNUMBER(SEARCH("Epóxico Rojo",Upload!R29&amp;Upload!S29&amp;Upload!T29&amp;Upload!U29&amp;Upload!V29))))),"",G39*0.000035)</f>
        <v/>
      </c>
    </row>
    <row r="40" spans="1:19" x14ac:dyDescent="0.2">
      <c r="A40" s="9" t="e">
        <f t="shared" ca="1" si="0"/>
        <v>#NAME?</v>
      </c>
      <c r="B40" s="9">
        <f>Upload!E30</f>
        <v>0</v>
      </c>
      <c r="C40" s="9">
        <f>Upload!AE30</f>
        <v>0</v>
      </c>
      <c r="D40" s="9">
        <f>Upload!AF30</f>
        <v>0</v>
      </c>
      <c r="E40" s="9">
        <f>Upload!AG30</f>
        <v>0</v>
      </c>
      <c r="F40" s="9" t="str">
        <f>Upload!X30</f>
        <v/>
      </c>
      <c r="G40" s="9" t="str">
        <f>Upload!Z30</f>
        <v/>
      </c>
      <c r="H40" s="9" t="str">
        <f>Upload!W30</f>
        <v>(seleccione)</v>
      </c>
      <c r="I40" s="9" t="str">
        <f>Upload!Y30</f>
        <v>(seleccione)</v>
      </c>
      <c r="K40" s="15" t="str">
        <f t="shared" si="1"/>
        <v/>
      </c>
      <c r="L40" s="15" t="str">
        <f t="shared" si="2"/>
        <v/>
      </c>
      <c r="M40" s="15" t="str">
        <f t="shared" si="3"/>
        <v/>
      </c>
      <c r="N40" s="15" t="str">
        <f t="shared" si="4"/>
        <v/>
      </c>
      <c r="O40" s="15" t="str">
        <f t="shared" si="5"/>
        <v/>
      </c>
      <c r="P40" s="15" t="str">
        <f>IF(OR(C40="",NOT(OR(ISNUMBER(SEARCH("Antitarnish",Upload!P30&amp;Upload!Q30&amp;Upload!R30&amp;Upload!S30&amp;Upload!T30)),ISNUMBER(SEARCH("Anti Tarnish",Upload!P30&amp;Upload!Q30&amp;Upload!R30&amp;Upload!S30&amp;Upload!T30))))),"",0.0012*C40)</f>
        <v/>
      </c>
      <c r="Q40" s="15" t="str">
        <f>IF(OR(E40="",NOT(OR(ISNUMBER(SEARCH("Epóxico MT",Upload!P30&amp;Upload!Q30&amp;Upload!R30&amp;Upload!S30&amp;Upload!T30))))),"",E40*0.000035)</f>
        <v/>
      </c>
      <c r="R40" s="15" t="str">
        <f>IF(OR(F40="",NOT(OR(ISNUMBER(SEARCH("Epóxico BT",Upload!Q30&amp;Upload!R30&amp;Upload!S30&amp;Upload!T30&amp;Upload!U30))))),"",F40*0.000035)</f>
        <v/>
      </c>
      <c r="S40" s="15" t="str">
        <f>IF(OR(G40="",NOT(OR(ISNUMBER(SEARCH("Epóxico Rojo",Upload!R30&amp;Upload!S30&amp;Upload!T30&amp;Upload!U30&amp;Upload!V30))))),"",G40*0.000035)</f>
        <v/>
      </c>
    </row>
    <row r="41" spans="1:19" x14ac:dyDescent="0.2">
      <c r="A41" s="9" t="e">
        <f t="shared" ca="1" si="0"/>
        <v>#NAME?</v>
      </c>
      <c r="B41" s="9">
        <f>Upload!E31</f>
        <v>0</v>
      </c>
      <c r="C41" s="9">
        <f>Upload!AE31</f>
        <v>0</v>
      </c>
      <c r="D41" s="9">
        <f>Upload!AF31</f>
        <v>0</v>
      </c>
      <c r="E41" s="9">
        <f>Upload!AG31</f>
        <v>0</v>
      </c>
      <c r="F41" s="9" t="str">
        <f>Upload!X31</f>
        <v/>
      </c>
      <c r="G41" s="9" t="str">
        <f>Upload!Z31</f>
        <v/>
      </c>
      <c r="H41" s="9" t="str">
        <f>Upload!W31</f>
        <v>(seleccione)</v>
      </c>
      <c r="I41" s="9" t="str">
        <f>Upload!Y31</f>
        <v>(seleccione)</v>
      </c>
      <c r="K41" s="15" t="str">
        <f t="shared" si="1"/>
        <v/>
      </c>
      <c r="L41" s="15" t="str">
        <f t="shared" si="2"/>
        <v/>
      </c>
      <c r="M41" s="15" t="str">
        <f t="shared" si="3"/>
        <v/>
      </c>
      <c r="N41" s="15" t="str">
        <f t="shared" si="4"/>
        <v/>
      </c>
      <c r="O41" s="15" t="str">
        <f t="shared" si="5"/>
        <v/>
      </c>
      <c r="P41" s="15" t="str">
        <f>IF(OR(C41="",NOT(OR(ISNUMBER(SEARCH("Antitarnish",Upload!P31&amp;Upload!Q31&amp;Upload!R31&amp;Upload!S31&amp;Upload!T31)),ISNUMBER(SEARCH("Anti Tarnish",Upload!P31&amp;Upload!Q31&amp;Upload!R31&amp;Upload!S31&amp;Upload!T31))))),"",0.0012*C41)</f>
        <v/>
      </c>
      <c r="Q41" s="15" t="str">
        <f>IF(OR(E41="",NOT(OR(ISNUMBER(SEARCH("Epóxico MT",Upload!P31&amp;Upload!Q31&amp;Upload!R31&amp;Upload!S31&amp;Upload!T31))))),"",E41*0.000035)</f>
        <v/>
      </c>
      <c r="R41" s="15" t="str">
        <f>IF(OR(F41="",NOT(OR(ISNUMBER(SEARCH("Epóxico BT",Upload!Q31&amp;Upload!R31&amp;Upload!S31&amp;Upload!T31&amp;Upload!U31))))),"",F41*0.000035)</f>
        <v/>
      </c>
      <c r="S41" s="15" t="str">
        <f>IF(OR(G41="",NOT(OR(ISNUMBER(SEARCH("Epóxico Rojo",Upload!R31&amp;Upload!S31&amp;Upload!T31&amp;Upload!U31&amp;Upload!V31))))),"",G41*0.000035)</f>
        <v/>
      </c>
    </row>
    <row r="42" spans="1:19" x14ac:dyDescent="0.2">
      <c r="A42" s="9" t="e">
        <f t="shared" ca="1" si="0"/>
        <v>#NAME?</v>
      </c>
      <c r="B42" s="9">
        <f>Upload!E32</f>
        <v>0</v>
      </c>
      <c r="C42" s="9">
        <f>Upload!AE32</f>
        <v>0</v>
      </c>
      <c r="D42" s="9">
        <f>Upload!AF32</f>
        <v>0</v>
      </c>
      <c r="E42" s="9">
        <f>Upload!AG32</f>
        <v>0</v>
      </c>
      <c r="F42" s="9" t="str">
        <f>Upload!X32</f>
        <v/>
      </c>
      <c r="G42" s="9" t="str">
        <f>Upload!Z32</f>
        <v/>
      </c>
      <c r="H42" s="9" t="str">
        <f>Upload!W32</f>
        <v>(seleccione)</v>
      </c>
      <c r="I42" s="9" t="str">
        <f>Upload!Y32</f>
        <v>(seleccione)</v>
      </c>
      <c r="K42" s="15" t="str">
        <f t="shared" si="1"/>
        <v/>
      </c>
      <c r="L42" s="15" t="str">
        <f t="shared" si="2"/>
        <v/>
      </c>
      <c r="M42" s="15" t="str">
        <f t="shared" si="3"/>
        <v/>
      </c>
      <c r="N42" s="15" t="str">
        <f t="shared" si="4"/>
        <v/>
      </c>
      <c r="O42" s="15" t="str">
        <f t="shared" si="5"/>
        <v/>
      </c>
      <c r="P42" s="15" t="str">
        <f>IF(OR(C42="",NOT(OR(ISNUMBER(SEARCH("Antitarnish",Upload!P32&amp;Upload!Q32&amp;Upload!R32&amp;Upload!S32&amp;Upload!T32)),ISNUMBER(SEARCH("Anti Tarnish",Upload!P32&amp;Upload!Q32&amp;Upload!R32&amp;Upload!S32&amp;Upload!T32))))),"",0.0012*C42)</f>
        <v/>
      </c>
      <c r="Q42" s="15" t="str">
        <f>IF(OR(E42="",NOT(OR(ISNUMBER(SEARCH("Epóxico MT",Upload!P32&amp;Upload!Q32&amp;Upload!R32&amp;Upload!S32&amp;Upload!T32))))),"",E42*0.000035)</f>
        <v/>
      </c>
      <c r="R42" s="15" t="str">
        <f>IF(OR(F42="",NOT(OR(ISNUMBER(SEARCH("Epóxico BT",Upload!Q32&amp;Upload!R32&amp;Upload!S32&amp;Upload!T32&amp;Upload!U32))))),"",F42*0.000035)</f>
        <v/>
      </c>
      <c r="S42" s="15" t="str">
        <f>IF(OR(G42="",NOT(OR(ISNUMBER(SEARCH("Epóxico Rojo",Upload!R32&amp;Upload!S32&amp;Upload!T32&amp;Upload!U32&amp;Upload!V32))))),"",G42*0.000035)</f>
        <v/>
      </c>
    </row>
    <row r="43" spans="1:19" x14ac:dyDescent="0.2">
      <c r="A43" s="9" t="e">
        <f t="shared" ca="1" si="0"/>
        <v>#NAME?</v>
      </c>
      <c r="B43" s="9">
        <f>Upload!E33</f>
        <v>0</v>
      </c>
      <c r="C43" s="9">
        <f>Upload!AE33</f>
        <v>0</v>
      </c>
      <c r="D43" s="9">
        <f>Upload!AF33</f>
        <v>0</v>
      </c>
      <c r="E43" s="9">
        <f>Upload!AG33</f>
        <v>0</v>
      </c>
      <c r="F43" s="9" t="str">
        <f>Upload!X33</f>
        <v/>
      </c>
      <c r="G43" s="9" t="str">
        <f>Upload!Z33</f>
        <v/>
      </c>
      <c r="H43" s="9" t="str">
        <f>Upload!W33</f>
        <v>(seleccione)</v>
      </c>
      <c r="I43" s="9" t="str">
        <f>Upload!Y33</f>
        <v>(seleccione)</v>
      </c>
      <c r="K43" s="15" t="str">
        <f t="shared" si="1"/>
        <v/>
      </c>
      <c r="L43" s="15" t="str">
        <f t="shared" si="2"/>
        <v/>
      </c>
      <c r="M43" s="15" t="str">
        <f t="shared" si="3"/>
        <v/>
      </c>
      <c r="N43" s="15" t="str">
        <f t="shared" si="4"/>
        <v/>
      </c>
      <c r="O43" s="15" t="str">
        <f t="shared" si="5"/>
        <v/>
      </c>
      <c r="P43" s="15" t="str">
        <f>IF(OR(C43="",NOT(OR(ISNUMBER(SEARCH("Antitarnish",Upload!P33&amp;Upload!Q33&amp;Upload!R33&amp;Upload!S33&amp;Upload!T33)),ISNUMBER(SEARCH("Anti Tarnish",Upload!P33&amp;Upload!Q33&amp;Upload!R33&amp;Upload!S33&amp;Upload!T33))))),"",0.0012*C43)</f>
        <v/>
      </c>
      <c r="Q43" s="15" t="str">
        <f>IF(OR(E43="",NOT(OR(ISNUMBER(SEARCH("Epóxico MT",Upload!P33&amp;Upload!Q33&amp;Upload!R33&amp;Upload!S33&amp;Upload!T33))))),"",E43*0.000035)</f>
        <v/>
      </c>
      <c r="R43" s="15" t="str">
        <f>IF(OR(F43="",NOT(OR(ISNUMBER(SEARCH("Epóxico BT",Upload!Q33&amp;Upload!R33&amp;Upload!S33&amp;Upload!T33&amp;Upload!U33))))),"",F43*0.000035)</f>
        <v/>
      </c>
      <c r="S43" s="15" t="str">
        <f>IF(OR(G43="",NOT(OR(ISNUMBER(SEARCH("Epóxico Rojo",Upload!R33&amp;Upload!S33&amp;Upload!T33&amp;Upload!U33&amp;Upload!V33))))),"",G43*0.000035)</f>
        <v/>
      </c>
    </row>
    <row r="44" spans="1:19" x14ac:dyDescent="0.2">
      <c r="A44" s="9" t="e">
        <f t="shared" ca="1" si="0"/>
        <v>#NAME?</v>
      </c>
      <c r="B44" s="9">
        <f>Upload!E34</f>
        <v>0</v>
      </c>
      <c r="C44" s="9">
        <f>Upload!AE34</f>
        <v>0</v>
      </c>
      <c r="D44" s="9">
        <f>Upload!AF34</f>
        <v>0</v>
      </c>
      <c r="E44" s="9">
        <f>Upload!AG34</f>
        <v>0</v>
      </c>
      <c r="F44" s="9" t="str">
        <f>Upload!X34</f>
        <v/>
      </c>
      <c r="G44" s="9" t="str">
        <f>Upload!Z34</f>
        <v/>
      </c>
      <c r="H44" s="9" t="str">
        <f>Upload!W34</f>
        <v>(seleccione)</v>
      </c>
      <c r="I44" s="9" t="str">
        <f>Upload!Y34</f>
        <v>(seleccione)</v>
      </c>
      <c r="K44" s="15" t="str">
        <f t="shared" si="1"/>
        <v/>
      </c>
      <c r="L44" s="15" t="str">
        <f t="shared" si="2"/>
        <v/>
      </c>
      <c r="M44" s="15" t="str">
        <f t="shared" si="3"/>
        <v/>
      </c>
      <c r="N44" s="15" t="str">
        <f t="shared" si="4"/>
        <v/>
      </c>
      <c r="O44" s="15" t="str">
        <f t="shared" si="5"/>
        <v/>
      </c>
      <c r="P44" s="15" t="str">
        <f>IF(OR(C44="",NOT(OR(ISNUMBER(SEARCH("Antitarnish",Upload!P34&amp;Upload!Q34&amp;Upload!R34&amp;Upload!S34&amp;Upload!T34)),ISNUMBER(SEARCH("Anti Tarnish",Upload!P34&amp;Upload!Q34&amp;Upload!R34&amp;Upload!S34&amp;Upload!T34))))),"",0.0012*C44)</f>
        <v/>
      </c>
      <c r="Q44" s="15" t="str">
        <f>IF(OR(E44="",NOT(OR(ISNUMBER(SEARCH("Epóxico MT",Upload!P34&amp;Upload!Q34&amp;Upload!R34&amp;Upload!S34&amp;Upload!T34))))),"",E44*0.000035)</f>
        <v/>
      </c>
      <c r="R44" s="15" t="str">
        <f>IF(OR(F44="",NOT(OR(ISNUMBER(SEARCH("Epóxico BT",Upload!Q34&amp;Upload!R34&amp;Upload!S34&amp;Upload!T34&amp;Upload!U34))))),"",F44*0.000035)</f>
        <v/>
      </c>
      <c r="S44" s="15" t="str">
        <f>IF(OR(G44="",NOT(OR(ISNUMBER(SEARCH("Epóxico Rojo",Upload!R34&amp;Upload!S34&amp;Upload!T34&amp;Upload!U34&amp;Upload!V34))))),"",G44*0.000035)</f>
        <v/>
      </c>
    </row>
    <row r="45" spans="1:19" x14ac:dyDescent="0.2">
      <c r="A45" s="9" t="e">
        <f t="shared" ca="1" si="0"/>
        <v>#NAME?</v>
      </c>
      <c r="B45" s="9">
        <f>Upload!E35</f>
        <v>0</v>
      </c>
      <c r="C45" s="9">
        <f>Upload!AE35</f>
        <v>0</v>
      </c>
      <c r="D45" s="9">
        <f>Upload!AF35</f>
        <v>0</v>
      </c>
      <c r="E45" s="9">
        <f>Upload!AG35</f>
        <v>0</v>
      </c>
      <c r="F45" s="9" t="str">
        <f>Upload!X35</f>
        <v/>
      </c>
      <c r="G45" s="9" t="str">
        <f>Upload!Z35</f>
        <v/>
      </c>
      <c r="H45" s="9" t="str">
        <f>Upload!W35</f>
        <v>(seleccione)</v>
      </c>
      <c r="I45" s="9" t="str">
        <f>Upload!Y35</f>
        <v>(seleccione)</v>
      </c>
      <c r="K45" s="15" t="str">
        <f t="shared" si="1"/>
        <v/>
      </c>
      <c r="L45" s="15" t="str">
        <f t="shared" si="2"/>
        <v/>
      </c>
      <c r="M45" s="15" t="str">
        <f t="shared" si="3"/>
        <v/>
      </c>
      <c r="N45" s="15" t="str">
        <f t="shared" si="4"/>
        <v/>
      </c>
      <c r="O45" s="15" t="str">
        <f t="shared" si="5"/>
        <v/>
      </c>
      <c r="P45" s="15" t="str">
        <f>IF(OR(C45="",NOT(OR(ISNUMBER(SEARCH("Antitarnish",Upload!P35&amp;Upload!Q35&amp;Upload!R35&amp;Upload!S35&amp;Upload!T35)),ISNUMBER(SEARCH("Anti Tarnish",Upload!P35&amp;Upload!Q35&amp;Upload!R35&amp;Upload!S35&amp;Upload!T35))))),"",0.0012*C45)</f>
        <v/>
      </c>
      <c r="Q45" s="15" t="str">
        <f>IF(OR(E45="",NOT(OR(ISNUMBER(SEARCH("Epóxico MT",Upload!P35&amp;Upload!Q35&amp;Upload!R35&amp;Upload!S35&amp;Upload!T35))))),"",E45*0.000035)</f>
        <v/>
      </c>
      <c r="R45" s="15" t="str">
        <f>IF(OR(F45="",NOT(OR(ISNUMBER(SEARCH("Epóxico BT",Upload!Q35&amp;Upload!R35&amp;Upload!S35&amp;Upload!T35&amp;Upload!U35))))),"",F45*0.000035)</f>
        <v/>
      </c>
      <c r="S45" s="15" t="str">
        <f>IF(OR(G45="",NOT(OR(ISNUMBER(SEARCH("Epóxico Rojo",Upload!R35&amp;Upload!S35&amp;Upload!T35&amp;Upload!U35&amp;Upload!V35))))),"",G45*0.000035)</f>
        <v/>
      </c>
    </row>
    <row r="46" spans="1:19" x14ac:dyDescent="0.2">
      <c r="A46" s="9" t="e">
        <f t="shared" ca="1" si="0"/>
        <v>#NAME?</v>
      </c>
      <c r="B46" s="9">
        <f>Upload!E36</f>
        <v>0</v>
      </c>
      <c r="C46" s="9">
        <f>Upload!AE36</f>
        <v>0</v>
      </c>
      <c r="D46" s="9">
        <f>Upload!AF36</f>
        <v>0</v>
      </c>
      <c r="E46" s="9">
        <f>Upload!AG36</f>
        <v>0</v>
      </c>
      <c r="F46" s="9" t="str">
        <f>Upload!X36</f>
        <v/>
      </c>
      <c r="G46" s="9" t="str">
        <f>Upload!Z36</f>
        <v/>
      </c>
      <c r="H46" s="9" t="str">
        <f>Upload!W36</f>
        <v>(seleccione)</v>
      </c>
      <c r="I46" s="9" t="str">
        <f>Upload!Y36</f>
        <v>(seleccione)</v>
      </c>
      <c r="K46" s="15" t="str">
        <f t="shared" si="1"/>
        <v/>
      </c>
      <c r="L46" s="15" t="str">
        <f t="shared" si="2"/>
        <v/>
      </c>
      <c r="M46" s="15" t="str">
        <f t="shared" si="3"/>
        <v/>
      </c>
      <c r="N46" s="15" t="str">
        <f t="shared" si="4"/>
        <v/>
      </c>
      <c r="O46" s="15" t="str">
        <f t="shared" si="5"/>
        <v/>
      </c>
      <c r="P46" s="15" t="str">
        <f>IF(OR(C46="",NOT(OR(ISNUMBER(SEARCH("Antitarnish",Upload!P36&amp;Upload!Q36&amp;Upload!R36&amp;Upload!S36&amp;Upload!T36)),ISNUMBER(SEARCH("Anti Tarnish",Upload!P36&amp;Upload!Q36&amp;Upload!R36&amp;Upload!S36&amp;Upload!T36))))),"",0.0012*C46)</f>
        <v/>
      </c>
      <c r="Q46" s="15" t="str">
        <f>IF(OR(E46="",NOT(OR(ISNUMBER(SEARCH("Epóxico MT",Upload!P36&amp;Upload!Q36&amp;Upload!R36&amp;Upload!S36&amp;Upload!T36))))),"",E46*0.000035)</f>
        <v/>
      </c>
      <c r="R46" s="15" t="str">
        <f>IF(OR(F46="",NOT(OR(ISNUMBER(SEARCH("Epóxico BT",Upload!Q36&amp;Upload!R36&amp;Upload!S36&amp;Upload!T36&amp;Upload!U36))))),"",F46*0.000035)</f>
        <v/>
      </c>
      <c r="S46" s="15" t="str">
        <f>IF(OR(G46="",NOT(OR(ISNUMBER(SEARCH("Epóxico Rojo",Upload!R36&amp;Upload!S36&amp;Upload!T36&amp;Upload!U36&amp;Upload!V36))))),"",G46*0.000035)</f>
        <v/>
      </c>
    </row>
    <row r="47" spans="1:19" x14ac:dyDescent="0.2">
      <c r="A47" s="9" t="e">
        <f t="shared" ca="1" si="0"/>
        <v>#NAME?</v>
      </c>
      <c r="B47" s="9">
        <f>Upload!E37</f>
        <v>0</v>
      </c>
      <c r="C47" s="9">
        <f>Upload!AE37</f>
        <v>0</v>
      </c>
      <c r="D47" s="9">
        <f>Upload!AF37</f>
        <v>0</v>
      </c>
      <c r="E47" s="9">
        <f>Upload!AG37</f>
        <v>0</v>
      </c>
      <c r="F47" s="9" t="str">
        <f>Upload!X37</f>
        <v/>
      </c>
      <c r="G47" s="9" t="str">
        <f>Upload!Z37</f>
        <v/>
      </c>
      <c r="H47" s="9" t="str">
        <f>Upload!W37</f>
        <v>(seleccione)</v>
      </c>
      <c r="I47" s="9" t="str">
        <f>Upload!Y37</f>
        <v>(seleccione)</v>
      </c>
      <c r="K47" s="15" t="str">
        <f t="shared" si="1"/>
        <v/>
      </c>
      <c r="L47" s="15" t="str">
        <f t="shared" si="2"/>
        <v/>
      </c>
      <c r="M47" s="15" t="str">
        <f t="shared" si="3"/>
        <v/>
      </c>
      <c r="N47" s="15" t="str">
        <f t="shared" si="4"/>
        <v/>
      </c>
      <c r="O47" s="15" t="str">
        <f t="shared" si="5"/>
        <v/>
      </c>
      <c r="P47" s="15" t="str">
        <f>IF(OR(C47="",NOT(OR(ISNUMBER(SEARCH("Antitarnish",Upload!P37&amp;Upload!Q37&amp;Upload!R37&amp;Upload!S37&amp;Upload!T37)),ISNUMBER(SEARCH("Anti Tarnish",Upload!P37&amp;Upload!Q37&amp;Upload!R37&amp;Upload!S37&amp;Upload!T37))))),"",0.0012*C47)</f>
        <v/>
      </c>
      <c r="Q47" s="15" t="str">
        <f>IF(OR(E47="",NOT(OR(ISNUMBER(SEARCH("Epóxico MT",Upload!P37&amp;Upload!Q37&amp;Upload!R37&amp;Upload!S37&amp;Upload!T37))))),"",E47*0.000035)</f>
        <v/>
      </c>
      <c r="R47" s="15" t="str">
        <f>IF(OR(F47="",NOT(OR(ISNUMBER(SEARCH("Epóxico BT",Upload!Q37&amp;Upload!R37&amp;Upload!S37&amp;Upload!T37&amp;Upload!U37))))),"",F47*0.000035)</f>
        <v/>
      </c>
      <c r="S47" s="15" t="str">
        <f>IF(OR(G47="",NOT(OR(ISNUMBER(SEARCH("Epóxico Rojo",Upload!R37&amp;Upload!S37&amp;Upload!T37&amp;Upload!U37&amp;Upload!V37))))),"",G47*0.000035)</f>
        <v/>
      </c>
    </row>
    <row r="48" spans="1:19" x14ac:dyDescent="0.2">
      <c r="A48" s="9" t="e">
        <f t="shared" ca="1" si="0"/>
        <v>#NAME?</v>
      </c>
      <c r="B48" s="9">
        <f>Upload!E38</f>
        <v>0</v>
      </c>
      <c r="C48" s="9">
        <f>Upload!AE38</f>
        <v>0</v>
      </c>
      <c r="D48" s="9">
        <f>Upload!AF38</f>
        <v>0</v>
      </c>
      <c r="E48" s="9">
        <f>Upload!AG38</f>
        <v>0</v>
      </c>
      <c r="F48" s="9" t="str">
        <f>Upload!X38</f>
        <v/>
      </c>
      <c r="G48" s="9" t="str">
        <f>Upload!Z38</f>
        <v/>
      </c>
      <c r="H48" s="9" t="str">
        <f>Upload!W38</f>
        <v>(seleccione)</v>
      </c>
      <c r="I48" s="9" t="str">
        <f>Upload!Y38</f>
        <v>(seleccione)</v>
      </c>
      <c r="K48" s="15" t="str">
        <f t="shared" si="1"/>
        <v/>
      </c>
      <c r="L48" s="15" t="str">
        <f t="shared" si="2"/>
        <v/>
      </c>
      <c r="M48" s="15" t="str">
        <f t="shared" si="3"/>
        <v/>
      </c>
      <c r="N48" s="15" t="str">
        <f t="shared" si="4"/>
        <v/>
      </c>
      <c r="O48" s="15" t="str">
        <f t="shared" si="5"/>
        <v/>
      </c>
      <c r="P48" s="15" t="str">
        <f>IF(OR(C48="",NOT(OR(ISNUMBER(SEARCH("Antitarnish",Upload!P38&amp;Upload!Q38&amp;Upload!R38&amp;Upload!S38&amp;Upload!T38)),ISNUMBER(SEARCH("Anti Tarnish",Upload!P38&amp;Upload!Q38&amp;Upload!R38&amp;Upload!S38&amp;Upload!T38))))),"",0.0012*C48)</f>
        <v/>
      </c>
      <c r="Q48" s="15" t="str">
        <f>IF(OR(E48="",NOT(OR(ISNUMBER(SEARCH("Epóxico MT",Upload!P38&amp;Upload!Q38&amp;Upload!R38&amp;Upload!S38&amp;Upload!T38))))),"",E48*0.000035)</f>
        <v/>
      </c>
      <c r="R48" s="15" t="str">
        <f>IF(OR(F48="",NOT(OR(ISNUMBER(SEARCH("Epóxico BT",Upload!Q38&amp;Upload!R38&amp;Upload!S38&amp;Upload!T38&amp;Upload!U38))))),"",F48*0.000035)</f>
        <v/>
      </c>
      <c r="S48" s="15" t="str">
        <f>IF(OR(G48="",NOT(OR(ISNUMBER(SEARCH("Epóxico Rojo",Upload!R38&amp;Upload!S38&amp;Upload!T38&amp;Upload!U38&amp;Upload!V38))))),"",G48*0.000035)</f>
        <v/>
      </c>
    </row>
    <row r="49" spans="1:19" x14ac:dyDescent="0.2">
      <c r="A49" s="9" t="e">
        <f t="shared" ca="1" si="0"/>
        <v>#NAME?</v>
      </c>
      <c r="B49" s="9">
        <f>Upload!E39</f>
        <v>0</v>
      </c>
      <c r="C49" s="9">
        <f>Upload!AE39</f>
        <v>0</v>
      </c>
      <c r="D49" s="9">
        <f>Upload!AF39</f>
        <v>0</v>
      </c>
      <c r="E49" s="9">
        <f>Upload!AG39</f>
        <v>0</v>
      </c>
      <c r="F49" s="9" t="str">
        <f>Upload!X39</f>
        <v/>
      </c>
      <c r="G49" s="9" t="str">
        <f>Upload!Z39</f>
        <v/>
      </c>
      <c r="H49" s="9" t="str">
        <f>Upload!W39</f>
        <v>(seleccione)</v>
      </c>
      <c r="I49" s="9" t="str">
        <f>Upload!Y39</f>
        <v>(seleccione)</v>
      </c>
      <c r="K49" s="15" t="str">
        <f t="shared" si="1"/>
        <v/>
      </c>
      <c r="L49" s="15" t="str">
        <f t="shared" si="2"/>
        <v/>
      </c>
      <c r="M49" s="15" t="str">
        <f t="shared" si="3"/>
        <v/>
      </c>
      <c r="N49" s="15" t="str">
        <f t="shared" si="4"/>
        <v/>
      </c>
      <c r="O49" s="15" t="str">
        <f t="shared" si="5"/>
        <v/>
      </c>
      <c r="P49" s="15" t="str">
        <f>IF(OR(C49="",NOT(OR(ISNUMBER(SEARCH("Antitarnish",Upload!P39&amp;Upload!Q39&amp;Upload!R39&amp;Upload!S39&amp;Upload!T39)),ISNUMBER(SEARCH("Anti Tarnish",Upload!P39&amp;Upload!Q39&amp;Upload!R39&amp;Upload!S39&amp;Upload!T39))))),"",0.0012*C49)</f>
        <v/>
      </c>
      <c r="Q49" s="15" t="str">
        <f>IF(OR(E49="",NOT(OR(ISNUMBER(SEARCH("Epóxico MT",Upload!P39&amp;Upload!Q39&amp;Upload!R39&amp;Upload!S39&amp;Upload!T39))))),"",E49*0.000035)</f>
        <v/>
      </c>
      <c r="R49" s="15" t="str">
        <f>IF(OR(F49="",NOT(OR(ISNUMBER(SEARCH("Epóxico BT",Upload!Q39&amp;Upload!R39&amp;Upload!S39&amp;Upload!T39&amp;Upload!U39))))),"",F49*0.000035)</f>
        <v/>
      </c>
      <c r="S49" s="15" t="str">
        <f>IF(OR(G49="",NOT(OR(ISNUMBER(SEARCH("Epóxico Rojo",Upload!R39&amp;Upload!S39&amp;Upload!T39&amp;Upload!U39&amp;Upload!V39))))),"",G49*0.000035)</f>
        <v/>
      </c>
    </row>
    <row r="50" spans="1:19" x14ac:dyDescent="0.2">
      <c r="A50" s="9" t="e">
        <f t="shared" ca="1" si="0"/>
        <v>#NAME?</v>
      </c>
      <c r="B50" s="9">
        <f>Upload!E40</f>
        <v>0</v>
      </c>
      <c r="C50" s="9">
        <f>Upload!AE40</f>
        <v>0</v>
      </c>
      <c r="D50" s="9">
        <f>Upload!AF40</f>
        <v>0</v>
      </c>
      <c r="E50" s="9">
        <f>Upload!AG40</f>
        <v>0</v>
      </c>
      <c r="F50" s="9" t="str">
        <f>Upload!X40</f>
        <v/>
      </c>
      <c r="G50" s="9" t="str">
        <f>Upload!Z40</f>
        <v/>
      </c>
      <c r="H50" s="9" t="str">
        <f>Upload!W40</f>
        <v>(seleccione)</v>
      </c>
      <c r="I50" s="9" t="str">
        <f>Upload!Y40</f>
        <v>(seleccione)</v>
      </c>
      <c r="K50" s="15" t="str">
        <f t="shared" si="1"/>
        <v/>
      </c>
      <c r="L50" s="15" t="str">
        <f t="shared" si="2"/>
        <v/>
      </c>
      <c r="M50" s="15" t="str">
        <f t="shared" si="3"/>
        <v/>
      </c>
      <c r="N50" s="15" t="str">
        <f t="shared" si="4"/>
        <v/>
      </c>
      <c r="O50" s="15" t="str">
        <f t="shared" si="5"/>
        <v/>
      </c>
      <c r="P50" s="15" t="str">
        <f>IF(OR(C50="",NOT(OR(ISNUMBER(SEARCH("Antitarnish",Upload!P40&amp;Upload!Q40&amp;Upload!R40&amp;Upload!S40&amp;Upload!T40)),ISNUMBER(SEARCH("Anti Tarnish",Upload!P40&amp;Upload!Q40&amp;Upload!R40&amp;Upload!S40&amp;Upload!T40))))),"",0.0012*C50)</f>
        <v/>
      </c>
      <c r="Q50" s="15" t="str">
        <f>IF(OR(E50="",NOT(OR(ISNUMBER(SEARCH("Epóxico MT",Upload!P40&amp;Upload!Q40&amp;Upload!R40&amp;Upload!S40&amp;Upload!T40))))),"",E50*0.000035)</f>
        <v/>
      </c>
      <c r="R50" s="15" t="str">
        <f>IF(OR(F50="",NOT(OR(ISNUMBER(SEARCH("Epóxico BT",Upload!Q40&amp;Upload!R40&amp;Upload!S40&amp;Upload!T40&amp;Upload!U40))))),"",F50*0.000035)</f>
        <v/>
      </c>
      <c r="S50" s="15" t="str">
        <f>IF(OR(G50="",NOT(OR(ISNUMBER(SEARCH("Epóxico Rojo",Upload!R40&amp;Upload!S40&amp;Upload!T40&amp;Upload!U40&amp;Upload!V40))))),"",G50*0.000035)</f>
        <v/>
      </c>
    </row>
    <row r="51" spans="1:19" x14ac:dyDescent="0.2">
      <c r="A51" s="9" t="e">
        <f t="shared" ca="1" si="0"/>
        <v>#NAME?</v>
      </c>
      <c r="B51" s="9">
        <f>Upload!E41</f>
        <v>0</v>
      </c>
      <c r="C51" s="9">
        <f>Upload!AE41</f>
        <v>0</v>
      </c>
      <c r="D51" s="9">
        <f>Upload!AF41</f>
        <v>0</v>
      </c>
      <c r="E51" s="9">
        <f>Upload!AG41</f>
        <v>0</v>
      </c>
      <c r="F51" s="9" t="str">
        <f>Upload!X41</f>
        <v/>
      </c>
      <c r="G51" s="9" t="str">
        <f>Upload!Z41</f>
        <v/>
      </c>
      <c r="H51" s="9" t="str">
        <f>Upload!W41</f>
        <v>(seleccione)</v>
      </c>
      <c r="I51" s="9" t="str">
        <f>Upload!Y41</f>
        <v>(seleccione)</v>
      </c>
      <c r="K51" s="15" t="str">
        <f t="shared" si="1"/>
        <v/>
      </c>
      <c r="L51" s="15" t="str">
        <f t="shared" si="2"/>
        <v/>
      </c>
      <c r="M51" s="15" t="str">
        <f t="shared" si="3"/>
        <v/>
      </c>
      <c r="N51" s="15" t="str">
        <f t="shared" si="4"/>
        <v/>
      </c>
      <c r="O51" s="15" t="str">
        <f t="shared" si="5"/>
        <v/>
      </c>
      <c r="P51" s="15" t="str">
        <f>IF(OR(C51="",NOT(OR(ISNUMBER(SEARCH("Antitarnish",Upload!P41&amp;Upload!Q41&amp;Upload!R41&amp;Upload!S41&amp;Upload!T41)),ISNUMBER(SEARCH("Anti Tarnish",Upload!P41&amp;Upload!Q41&amp;Upload!R41&amp;Upload!S41&amp;Upload!T41))))),"",0.0012*C51)</f>
        <v/>
      </c>
      <c r="Q51" s="15" t="str">
        <f>IF(OR(E51="",NOT(OR(ISNUMBER(SEARCH("Epóxico MT",Upload!P41&amp;Upload!Q41&amp;Upload!R41&amp;Upload!S41&amp;Upload!T41))))),"",E51*0.000035)</f>
        <v/>
      </c>
      <c r="R51" s="15" t="str">
        <f>IF(OR(F51="",NOT(OR(ISNUMBER(SEARCH("Epóxico BT",Upload!Q41&amp;Upload!R41&amp;Upload!S41&amp;Upload!T41&amp;Upload!U41))))),"",F51*0.000035)</f>
        <v/>
      </c>
      <c r="S51" s="15" t="str">
        <f>IF(OR(G51="",NOT(OR(ISNUMBER(SEARCH("Epóxico Rojo",Upload!R41&amp;Upload!S41&amp;Upload!T41&amp;Upload!U41&amp;Upload!V41))))),"",G51*0.000035)</f>
        <v/>
      </c>
    </row>
    <row r="52" spans="1:19" x14ac:dyDescent="0.2">
      <c r="A52" s="9" t="e">
        <f t="shared" ca="1" si="0"/>
        <v>#NAME?</v>
      </c>
      <c r="B52" s="9">
        <f>Upload!E42</f>
        <v>0</v>
      </c>
      <c r="C52" s="9">
        <f>Upload!AE42</f>
        <v>0</v>
      </c>
      <c r="D52" s="9">
        <f>Upload!AF42</f>
        <v>0</v>
      </c>
      <c r="E52" s="9">
        <f>Upload!AG42</f>
        <v>0</v>
      </c>
      <c r="F52" s="9" t="str">
        <f>Upload!X42</f>
        <v/>
      </c>
      <c r="G52" s="9" t="str">
        <f>Upload!Z42</f>
        <v/>
      </c>
      <c r="H52" s="9" t="str">
        <f>Upload!W42</f>
        <v>(seleccione)</v>
      </c>
      <c r="I52" s="9" t="str">
        <f>Upload!Y42</f>
        <v>(seleccione)</v>
      </c>
      <c r="K52" s="15" t="str">
        <f t="shared" si="1"/>
        <v/>
      </c>
      <c r="L52" s="15" t="str">
        <f t="shared" si="2"/>
        <v/>
      </c>
      <c r="M52" s="15" t="str">
        <f t="shared" si="3"/>
        <v/>
      </c>
      <c r="N52" s="15" t="str">
        <f t="shared" si="4"/>
        <v/>
      </c>
      <c r="O52" s="15" t="str">
        <f t="shared" si="5"/>
        <v/>
      </c>
      <c r="P52" s="15" t="str">
        <f>IF(OR(C52="",NOT(OR(ISNUMBER(SEARCH("Antitarnish",Upload!P42&amp;Upload!Q42&amp;Upload!R42&amp;Upload!S42&amp;Upload!T42)),ISNUMBER(SEARCH("Anti Tarnish",Upload!P42&amp;Upload!Q42&amp;Upload!R42&amp;Upload!S42&amp;Upload!T42))))),"",0.0012*C52)</f>
        <v/>
      </c>
      <c r="Q52" s="15" t="str">
        <f>IF(OR(E52="",NOT(OR(ISNUMBER(SEARCH("Epóxico MT",Upload!P42&amp;Upload!Q42&amp;Upload!R42&amp;Upload!S42&amp;Upload!T42))))),"",E52*0.000035)</f>
        <v/>
      </c>
      <c r="R52" s="15" t="str">
        <f>IF(OR(F52="",NOT(OR(ISNUMBER(SEARCH("Epóxico BT",Upload!Q42&amp;Upload!R42&amp;Upload!S42&amp;Upload!T42&amp;Upload!U42))))),"",F52*0.000035)</f>
        <v/>
      </c>
      <c r="S52" s="15" t="str">
        <f>IF(OR(G52="",NOT(OR(ISNUMBER(SEARCH("Epóxico Rojo",Upload!R42&amp;Upload!S42&amp;Upload!T42&amp;Upload!U42&amp;Upload!V42))))),"",G52*0.000035)</f>
        <v/>
      </c>
    </row>
    <row r="53" spans="1:19" x14ac:dyDescent="0.2">
      <c r="A53" s="9" t="e">
        <f t="shared" ca="1" si="0"/>
        <v>#NAME?</v>
      </c>
      <c r="B53" s="9">
        <f>Upload!E43</f>
        <v>0</v>
      </c>
      <c r="C53" s="9">
        <f>Upload!AE43</f>
        <v>0</v>
      </c>
      <c r="D53" s="9">
        <f>Upload!AF43</f>
        <v>0</v>
      </c>
      <c r="E53" s="9">
        <f>Upload!AG43</f>
        <v>0</v>
      </c>
      <c r="F53" s="9" t="str">
        <f>Upload!X43</f>
        <v/>
      </c>
      <c r="G53" s="9" t="str">
        <f>Upload!Z43</f>
        <v/>
      </c>
      <c r="H53" s="9" t="str">
        <f>Upload!W43</f>
        <v>(seleccione)</v>
      </c>
      <c r="I53" s="9" t="str">
        <f>Upload!Y43</f>
        <v>(seleccione)</v>
      </c>
      <c r="K53" s="15" t="str">
        <f t="shared" si="1"/>
        <v/>
      </c>
      <c r="L53" s="15" t="str">
        <f t="shared" si="2"/>
        <v/>
      </c>
      <c r="M53" s="15" t="str">
        <f t="shared" si="3"/>
        <v/>
      </c>
      <c r="N53" s="15" t="str">
        <f t="shared" si="4"/>
        <v/>
      </c>
      <c r="O53" s="15" t="str">
        <f t="shared" si="5"/>
        <v/>
      </c>
      <c r="P53" s="15" t="str">
        <f>IF(OR(C53="",NOT(OR(ISNUMBER(SEARCH("Antitarnish",Upload!P43&amp;Upload!Q43&amp;Upload!R43&amp;Upload!S43&amp;Upload!T43)),ISNUMBER(SEARCH("Anti Tarnish",Upload!P43&amp;Upload!Q43&amp;Upload!R43&amp;Upload!S43&amp;Upload!T43))))),"",0.0012*C53)</f>
        <v/>
      </c>
      <c r="Q53" s="15" t="str">
        <f>IF(OR(E53="",NOT(OR(ISNUMBER(SEARCH("Epóxico MT",Upload!P43&amp;Upload!Q43&amp;Upload!R43&amp;Upload!S43&amp;Upload!T43))))),"",E53*0.000035)</f>
        <v/>
      </c>
      <c r="R53" s="15" t="str">
        <f>IF(OR(F53="",NOT(OR(ISNUMBER(SEARCH("Epóxico BT",Upload!Q43&amp;Upload!R43&amp;Upload!S43&amp;Upload!T43&amp;Upload!U43))))),"",F53*0.000035)</f>
        <v/>
      </c>
      <c r="S53" s="15" t="str">
        <f>IF(OR(G53="",NOT(OR(ISNUMBER(SEARCH("Epóxico Rojo",Upload!R43&amp;Upload!S43&amp;Upload!T43&amp;Upload!U43&amp;Upload!V43))))),"",G53*0.000035)</f>
        <v/>
      </c>
    </row>
    <row r="54" spans="1:19" x14ac:dyDescent="0.2">
      <c r="A54" s="9" t="e">
        <f t="shared" ca="1" si="0"/>
        <v>#NAME?</v>
      </c>
      <c r="B54" s="9">
        <f>Upload!E44</f>
        <v>0</v>
      </c>
      <c r="C54" s="9">
        <f>Upload!AE44</f>
        <v>0</v>
      </c>
      <c r="D54" s="9">
        <f>Upload!AF44</f>
        <v>0</v>
      </c>
      <c r="E54" s="9">
        <f>Upload!AG44</f>
        <v>0</v>
      </c>
      <c r="F54" s="9" t="str">
        <f>Upload!X44</f>
        <v/>
      </c>
      <c r="G54" s="9" t="str">
        <f>Upload!Z44</f>
        <v/>
      </c>
      <c r="H54" s="9" t="str">
        <f>Upload!W44</f>
        <v>(seleccione)</v>
      </c>
      <c r="I54" s="9" t="str">
        <f>Upload!Y44</f>
        <v>(seleccione)</v>
      </c>
      <c r="K54" s="15" t="str">
        <f t="shared" si="1"/>
        <v/>
      </c>
      <c r="L54" s="15" t="str">
        <f t="shared" si="2"/>
        <v/>
      </c>
      <c r="M54" s="15" t="str">
        <f t="shared" si="3"/>
        <v/>
      </c>
      <c r="N54" s="15" t="str">
        <f t="shared" si="4"/>
        <v/>
      </c>
      <c r="O54" s="15" t="str">
        <f t="shared" si="5"/>
        <v/>
      </c>
      <c r="P54" s="15" t="str">
        <f>IF(OR(C54="",NOT(OR(ISNUMBER(SEARCH("Antitarnish",Upload!P44&amp;Upload!Q44&amp;Upload!R44&amp;Upload!S44&amp;Upload!T44)),ISNUMBER(SEARCH("Anti Tarnish",Upload!P44&amp;Upload!Q44&amp;Upload!R44&amp;Upload!S44&amp;Upload!T44))))),"",0.0012*C54)</f>
        <v/>
      </c>
      <c r="Q54" s="15" t="str">
        <f>IF(OR(E54="",NOT(OR(ISNUMBER(SEARCH("Epóxico MT",Upload!P44&amp;Upload!Q44&amp;Upload!R44&amp;Upload!S44&amp;Upload!T44))))),"",E54*0.000035)</f>
        <v/>
      </c>
      <c r="R54" s="15" t="str">
        <f>IF(OR(F54="",NOT(OR(ISNUMBER(SEARCH("Epóxico BT",Upload!Q44&amp;Upload!R44&amp;Upload!S44&amp;Upload!T44&amp;Upload!U44))))),"",F54*0.000035)</f>
        <v/>
      </c>
      <c r="S54" s="15" t="str">
        <f>IF(OR(G54="",NOT(OR(ISNUMBER(SEARCH("Epóxico Rojo",Upload!R44&amp;Upload!S44&amp;Upload!T44&amp;Upload!U44&amp;Upload!V44))))),"",G54*0.000035)</f>
        <v/>
      </c>
    </row>
    <row r="55" spans="1:19" x14ac:dyDescent="0.2">
      <c r="A55" s="9" t="e">
        <f t="shared" ca="1" si="0"/>
        <v>#NAME?</v>
      </c>
      <c r="B55" s="9">
        <f>Upload!E45</f>
        <v>0</v>
      </c>
      <c r="C55" s="9">
        <f>Upload!AE45</f>
        <v>0</v>
      </c>
      <c r="D55" s="9">
        <f>Upload!AF45</f>
        <v>0</v>
      </c>
      <c r="E55" s="9">
        <f>Upload!AG45</f>
        <v>0</v>
      </c>
      <c r="F55" s="9" t="str">
        <f>Upload!X45</f>
        <v/>
      </c>
      <c r="G55" s="9" t="str">
        <f>Upload!Z45</f>
        <v/>
      </c>
      <c r="H55" s="9" t="str">
        <f>Upload!W45</f>
        <v>(seleccione)</v>
      </c>
      <c r="I55" s="9" t="str">
        <f>Upload!Y45</f>
        <v>(seleccione)</v>
      </c>
      <c r="K55" s="15" t="str">
        <f t="shared" si="1"/>
        <v/>
      </c>
      <c r="L55" s="15" t="str">
        <f t="shared" si="2"/>
        <v/>
      </c>
      <c r="M55" s="15" t="str">
        <f t="shared" si="3"/>
        <v/>
      </c>
      <c r="N55" s="15" t="str">
        <f t="shared" si="4"/>
        <v/>
      </c>
      <c r="O55" s="15" t="str">
        <f t="shared" si="5"/>
        <v/>
      </c>
      <c r="P55" s="15" t="str">
        <f>IF(OR(C55="",NOT(OR(ISNUMBER(SEARCH("Antitarnish",Upload!P45&amp;Upload!Q45&amp;Upload!R45&amp;Upload!S45&amp;Upload!T45)),ISNUMBER(SEARCH("Anti Tarnish",Upload!P45&amp;Upload!Q45&amp;Upload!R45&amp;Upload!S45&amp;Upload!T45))))),"",0.0012*C55)</f>
        <v/>
      </c>
      <c r="Q55" s="15" t="str">
        <f>IF(OR(E55="",NOT(OR(ISNUMBER(SEARCH("Epóxico MT",Upload!P45&amp;Upload!Q45&amp;Upload!R45&amp;Upload!S45&amp;Upload!T45))))),"",E55*0.000035)</f>
        <v/>
      </c>
      <c r="R55" s="15" t="str">
        <f>IF(OR(F55="",NOT(OR(ISNUMBER(SEARCH("Epóxico BT",Upload!Q45&amp;Upload!R45&amp;Upload!S45&amp;Upload!T45&amp;Upload!U45))))),"",F55*0.000035)</f>
        <v/>
      </c>
      <c r="S55" s="15" t="str">
        <f>IF(OR(G55="",NOT(OR(ISNUMBER(SEARCH("Epóxico Rojo",Upload!R45&amp;Upload!S45&amp;Upload!T45&amp;Upload!U45&amp;Upload!V45))))),"",G55*0.000035)</f>
        <v/>
      </c>
    </row>
    <row r="56" spans="1:19" x14ac:dyDescent="0.2">
      <c r="A56" s="9" t="e">
        <f t="shared" ca="1" si="0"/>
        <v>#NAME?</v>
      </c>
      <c r="B56" s="9">
        <f>Upload!E46</f>
        <v>0</v>
      </c>
      <c r="C56" s="9">
        <f>Upload!AE46</f>
        <v>0</v>
      </c>
      <c r="D56" s="9">
        <f>Upload!AF46</f>
        <v>0</v>
      </c>
      <c r="E56" s="9">
        <f>Upload!AG46</f>
        <v>0</v>
      </c>
      <c r="F56" s="9" t="str">
        <f>Upload!X46</f>
        <v/>
      </c>
      <c r="G56" s="9" t="str">
        <f>Upload!Z46</f>
        <v/>
      </c>
      <c r="H56" s="9" t="str">
        <f>Upload!W46</f>
        <v>(seleccione)</v>
      </c>
      <c r="I56" s="9" t="str">
        <f>Upload!Y46</f>
        <v>(seleccione)</v>
      </c>
      <c r="K56" s="15" t="str">
        <f t="shared" si="1"/>
        <v/>
      </c>
      <c r="L56" s="15" t="str">
        <f t="shared" si="2"/>
        <v/>
      </c>
      <c r="M56" s="15" t="str">
        <f t="shared" si="3"/>
        <v/>
      </c>
      <c r="N56" s="15" t="str">
        <f t="shared" si="4"/>
        <v/>
      </c>
      <c r="O56" s="15" t="str">
        <f t="shared" si="5"/>
        <v/>
      </c>
      <c r="P56" s="15" t="str">
        <f>IF(OR(C56="",NOT(OR(ISNUMBER(SEARCH("Antitarnish",Upload!P46&amp;Upload!Q46&amp;Upload!R46&amp;Upload!S46&amp;Upload!T46)),ISNUMBER(SEARCH("Anti Tarnish",Upload!P46&amp;Upload!Q46&amp;Upload!R46&amp;Upload!S46&amp;Upload!T46))))),"",0.0012*C56)</f>
        <v/>
      </c>
      <c r="Q56" s="15" t="str">
        <f>IF(OR(E56="",NOT(OR(ISNUMBER(SEARCH("Epóxico MT",Upload!P46&amp;Upload!Q46&amp;Upload!R46&amp;Upload!S46&amp;Upload!T46))))),"",E56*0.000035)</f>
        <v/>
      </c>
      <c r="R56" s="15" t="str">
        <f>IF(OR(F56="",NOT(OR(ISNUMBER(SEARCH("Epóxico BT",Upload!Q46&amp;Upload!R46&amp;Upload!S46&amp;Upload!T46&amp;Upload!U46))))),"",F56*0.000035)</f>
        <v/>
      </c>
      <c r="S56" s="15" t="str">
        <f>IF(OR(G56="",NOT(OR(ISNUMBER(SEARCH("Epóxico Rojo",Upload!R46&amp;Upload!S46&amp;Upload!T46&amp;Upload!U46&amp;Upload!V46))))),"",G56*0.000035)</f>
        <v/>
      </c>
    </row>
    <row r="57" spans="1:19" x14ac:dyDescent="0.2">
      <c r="A57" s="9" t="e">
        <f t="shared" ca="1" si="0"/>
        <v>#NAME?</v>
      </c>
      <c r="B57" s="9">
        <f>Upload!E47</f>
        <v>0</v>
      </c>
      <c r="C57" s="9">
        <f>Upload!AE47</f>
        <v>0</v>
      </c>
      <c r="D57" s="9">
        <f>Upload!AF47</f>
        <v>0</v>
      </c>
      <c r="E57" s="9">
        <f>Upload!AG47</f>
        <v>0</v>
      </c>
      <c r="F57" s="9" t="str">
        <f>Upload!X47</f>
        <v/>
      </c>
      <c r="G57" s="9" t="str">
        <f>Upload!Z47</f>
        <v/>
      </c>
      <c r="H57" s="9" t="str">
        <f>Upload!W47</f>
        <v>(seleccione)</v>
      </c>
      <c r="I57" s="9" t="str">
        <f>Upload!Y47</f>
        <v>(seleccione)</v>
      </c>
      <c r="K57" s="15" t="str">
        <f t="shared" si="1"/>
        <v/>
      </c>
      <c r="L57" s="15" t="str">
        <f t="shared" si="2"/>
        <v/>
      </c>
      <c r="M57" s="15" t="str">
        <f t="shared" si="3"/>
        <v/>
      </c>
      <c r="N57" s="15" t="str">
        <f t="shared" si="4"/>
        <v/>
      </c>
      <c r="O57" s="15" t="str">
        <f t="shared" si="5"/>
        <v/>
      </c>
      <c r="P57" s="15" t="str">
        <f>IF(OR(C57="",NOT(OR(ISNUMBER(SEARCH("Antitarnish",Upload!P47&amp;Upload!Q47&amp;Upload!R47&amp;Upload!S47&amp;Upload!T47)),ISNUMBER(SEARCH("Anti Tarnish",Upload!P47&amp;Upload!Q47&amp;Upload!R47&amp;Upload!S47&amp;Upload!T47))))),"",0.0012*C57)</f>
        <v/>
      </c>
      <c r="Q57" s="15" t="str">
        <f>IF(OR(E57="",NOT(OR(ISNUMBER(SEARCH("Epóxico MT",Upload!P47&amp;Upload!Q47&amp;Upload!R47&amp;Upload!S47&amp;Upload!T47))))),"",E57*0.000035)</f>
        <v/>
      </c>
      <c r="R57" s="15" t="str">
        <f>IF(OR(F57="",NOT(OR(ISNUMBER(SEARCH("Epóxico BT",Upload!Q47&amp;Upload!R47&amp;Upload!S47&amp;Upload!T47&amp;Upload!U47))))),"",F57*0.000035)</f>
        <v/>
      </c>
      <c r="S57" s="15" t="str">
        <f>IF(OR(G57="",NOT(OR(ISNUMBER(SEARCH("Epóxico Rojo",Upload!R47&amp;Upload!S47&amp;Upload!T47&amp;Upload!U47&amp;Upload!V47))))),"",G57*0.000035)</f>
        <v/>
      </c>
    </row>
    <row r="58" spans="1:19" x14ac:dyDescent="0.2">
      <c r="A58" s="9" t="e">
        <f t="shared" ca="1" si="0"/>
        <v>#NAME?</v>
      </c>
      <c r="B58" s="9">
        <f>Upload!E48</f>
        <v>0</v>
      </c>
      <c r="C58" s="9">
        <f>Upload!AE48</f>
        <v>0</v>
      </c>
      <c r="D58" s="9">
        <f>Upload!AF48</f>
        <v>0</v>
      </c>
      <c r="E58" s="9">
        <f>Upload!AG48</f>
        <v>0</v>
      </c>
      <c r="F58" s="9" t="str">
        <f>Upload!X48</f>
        <v/>
      </c>
      <c r="G58" s="9" t="str">
        <f>Upload!Z48</f>
        <v/>
      </c>
      <c r="H58" s="9" t="str">
        <f>Upload!W48</f>
        <v>(seleccione)</v>
      </c>
      <c r="I58" s="9" t="str">
        <f>Upload!Y48</f>
        <v>(seleccione)</v>
      </c>
      <c r="K58" s="15" t="str">
        <f t="shared" si="1"/>
        <v/>
      </c>
      <c r="L58" s="15" t="str">
        <f t="shared" si="2"/>
        <v/>
      </c>
      <c r="M58" s="15" t="str">
        <f t="shared" si="3"/>
        <v/>
      </c>
      <c r="N58" s="15" t="str">
        <f t="shared" si="4"/>
        <v/>
      </c>
      <c r="O58" s="15" t="str">
        <f t="shared" si="5"/>
        <v/>
      </c>
      <c r="P58" s="15" t="str">
        <f>IF(OR(C58="",NOT(OR(ISNUMBER(SEARCH("Antitarnish",Upload!P48&amp;Upload!Q48&amp;Upload!R48&amp;Upload!S48&amp;Upload!T48)),ISNUMBER(SEARCH("Anti Tarnish",Upload!P48&amp;Upload!Q48&amp;Upload!R48&amp;Upload!S48&amp;Upload!T48))))),"",0.0012*C58)</f>
        <v/>
      </c>
      <c r="Q58" s="15" t="str">
        <f>IF(OR(E58="",NOT(OR(ISNUMBER(SEARCH("Epóxico MT",Upload!P48&amp;Upload!Q48&amp;Upload!R48&amp;Upload!S48&amp;Upload!T48))))),"",E58*0.000035)</f>
        <v/>
      </c>
      <c r="R58" s="15" t="str">
        <f>IF(OR(F58="",NOT(OR(ISNUMBER(SEARCH("Epóxico BT",Upload!Q48&amp;Upload!R48&amp;Upload!S48&amp;Upload!T48&amp;Upload!U48))))),"",F58*0.000035)</f>
        <v/>
      </c>
      <c r="S58" s="15" t="str">
        <f>IF(OR(G58="",NOT(OR(ISNUMBER(SEARCH("Epóxico Rojo",Upload!R48&amp;Upload!S48&amp;Upload!T48&amp;Upload!U48&amp;Upload!V48))))),"",G58*0.000035)</f>
        <v/>
      </c>
    </row>
    <row r="59" spans="1:19" x14ac:dyDescent="0.2">
      <c r="A59" s="9" t="e">
        <f t="shared" ca="1" si="0"/>
        <v>#NAME?</v>
      </c>
      <c r="B59" s="9">
        <f>Upload!E49</f>
        <v>0</v>
      </c>
      <c r="C59" s="9">
        <f>Upload!AE49</f>
        <v>0</v>
      </c>
      <c r="D59" s="9">
        <f>Upload!AF49</f>
        <v>0</v>
      </c>
      <c r="E59" s="9">
        <f>Upload!AG49</f>
        <v>0</v>
      </c>
      <c r="F59" s="9" t="str">
        <f>Upload!X49</f>
        <v/>
      </c>
      <c r="G59" s="9" t="str">
        <f>Upload!Z49</f>
        <v/>
      </c>
      <c r="H59" s="9" t="str">
        <f>Upload!W49</f>
        <v>(seleccione)</v>
      </c>
      <c r="I59" s="9" t="str">
        <f>Upload!Y49</f>
        <v>(seleccione)</v>
      </c>
      <c r="K59" s="15" t="str">
        <f t="shared" si="1"/>
        <v/>
      </c>
      <c r="L59" s="15" t="str">
        <f t="shared" si="2"/>
        <v/>
      </c>
      <c r="M59" s="15" t="str">
        <f t="shared" si="3"/>
        <v/>
      </c>
      <c r="N59" s="15" t="str">
        <f t="shared" si="4"/>
        <v/>
      </c>
      <c r="O59" s="15" t="str">
        <f t="shared" si="5"/>
        <v/>
      </c>
      <c r="P59" s="15" t="str">
        <f>IF(OR(C59="",NOT(OR(ISNUMBER(SEARCH("Antitarnish",Upload!P49&amp;Upload!Q49&amp;Upload!R49&amp;Upload!S49&amp;Upload!T49)),ISNUMBER(SEARCH("Anti Tarnish",Upload!P49&amp;Upload!Q49&amp;Upload!R49&amp;Upload!S49&amp;Upload!T49))))),"",0.0012*C59)</f>
        <v/>
      </c>
      <c r="Q59" s="15" t="str">
        <f>IF(OR(E59="",NOT(OR(ISNUMBER(SEARCH("Epóxico MT",Upload!P49&amp;Upload!Q49&amp;Upload!R49&amp;Upload!S49&amp;Upload!T49))))),"",E59*0.000035)</f>
        <v/>
      </c>
      <c r="R59" s="15" t="str">
        <f>IF(OR(F59="",NOT(OR(ISNUMBER(SEARCH("Epóxico BT",Upload!Q49&amp;Upload!R49&amp;Upload!S49&amp;Upload!T49&amp;Upload!U49))))),"",F59*0.000035)</f>
        <v/>
      </c>
      <c r="S59" s="15" t="str">
        <f>IF(OR(G59="",NOT(OR(ISNUMBER(SEARCH("Epóxico Rojo",Upload!R49&amp;Upload!S49&amp;Upload!T49&amp;Upload!U49&amp;Upload!V49))))),"",G59*0.000035)</f>
        <v/>
      </c>
    </row>
    <row r="60" spans="1:19" x14ac:dyDescent="0.2">
      <c r="A60" s="9" t="e">
        <f t="shared" ca="1" si="0"/>
        <v>#NAME?</v>
      </c>
      <c r="B60" s="9">
        <f>Upload!E50</f>
        <v>0</v>
      </c>
      <c r="C60" s="9">
        <f>Upload!AE50</f>
        <v>0</v>
      </c>
      <c r="D60" s="9">
        <f>Upload!AF50</f>
        <v>0</v>
      </c>
      <c r="E60" s="9">
        <f>Upload!AG50</f>
        <v>0</v>
      </c>
      <c r="F60" s="9" t="str">
        <f>Upload!X50</f>
        <v/>
      </c>
      <c r="G60" s="9" t="str">
        <f>Upload!Z50</f>
        <v/>
      </c>
      <c r="H60" s="9" t="str">
        <f>Upload!W50</f>
        <v>(seleccione)</v>
      </c>
      <c r="I60" s="9" t="str">
        <f>Upload!Y50</f>
        <v>(seleccione)</v>
      </c>
      <c r="K60" s="15" t="str">
        <f t="shared" si="1"/>
        <v/>
      </c>
      <c r="L60" s="15" t="str">
        <f t="shared" si="2"/>
        <v/>
      </c>
      <c r="M60" s="15" t="str">
        <f t="shared" si="3"/>
        <v/>
      </c>
      <c r="N60" s="15" t="str">
        <f t="shared" si="4"/>
        <v/>
      </c>
      <c r="O60" s="15" t="str">
        <f t="shared" si="5"/>
        <v/>
      </c>
      <c r="P60" s="15" t="str">
        <f>IF(OR(C60="",NOT(OR(ISNUMBER(SEARCH("Antitarnish",Upload!P50&amp;Upload!Q50&amp;Upload!R50&amp;Upload!S50&amp;Upload!T50)),ISNUMBER(SEARCH("Anti Tarnish",Upload!P50&amp;Upload!Q50&amp;Upload!R50&amp;Upload!S50&amp;Upload!T50))))),"",0.0012*C60)</f>
        <v/>
      </c>
      <c r="Q60" s="15" t="str">
        <f>IF(OR(E60="",NOT(OR(ISNUMBER(SEARCH("Epóxico MT",Upload!P50&amp;Upload!Q50&amp;Upload!R50&amp;Upload!S50&amp;Upload!T50))))),"",E60*0.000035)</f>
        <v/>
      </c>
      <c r="R60" s="15" t="str">
        <f>IF(OR(F60="",NOT(OR(ISNUMBER(SEARCH("Epóxico BT",Upload!Q50&amp;Upload!R50&amp;Upload!S50&amp;Upload!T50&amp;Upload!U50))))),"",F60*0.000035)</f>
        <v/>
      </c>
      <c r="S60" s="15" t="str">
        <f>IF(OR(G60="",NOT(OR(ISNUMBER(SEARCH("Epóxico Rojo",Upload!R50&amp;Upload!S50&amp;Upload!T50&amp;Upload!U50&amp;Upload!V50))))),"",G60*0.000035)</f>
        <v/>
      </c>
    </row>
    <row r="61" spans="1:19" x14ac:dyDescent="0.2">
      <c r="A61" s="9" t="e">
        <f t="shared" ca="1" si="0"/>
        <v>#NAME?</v>
      </c>
      <c r="B61" s="9">
        <f>Upload!E51</f>
        <v>0</v>
      </c>
      <c r="C61" s="9">
        <f>Upload!AE51</f>
        <v>0</v>
      </c>
      <c r="D61" s="9">
        <f>Upload!AF51</f>
        <v>0</v>
      </c>
      <c r="E61" s="9">
        <f>Upload!AG51</f>
        <v>0</v>
      </c>
      <c r="F61" s="9" t="str">
        <f>Upload!X51</f>
        <v/>
      </c>
      <c r="G61" s="9" t="str">
        <f>Upload!Z51</f>
        <v/>
      </c>
      <c r="H61" s="9" t="str">
        <f>Upload!W51</f>
        <v>(seleccione)</v>
      </c>
      <c r="I61" s="9" t="str">
        <f>Upload!Y51</f>
        <v>(seleccione)</v>
      </c>
      <c r="K61" s="15" t="str">
        <f t="shared" si="1"/>
        <v/>
      </c>
      <c r="L61" s="15" t="str">
        <f t="shared" si="2"/>
        <v/>
      </c>
      <c r="M61" s="15" t="str">
        <f t="shared" si="3"/>
        <v/>
      </c>
      <c r="N61" s="15" t="str">
        <f t="shared" si="4"/>
        <v/>
      </c>
      <c r="O61" s="15" t="str">
        <f t="shared" si="5"/>
        <v/>
      </c>
      <c r="P61" s="15" t="str">
        <f>IF(OR(C61="",NOT(OR(ISNUMBER(SEARCH("Antitarnish",Upload!P51&amp;Upload!Q51&amp;Upload!R51&amp;Upload!S51&amp;Upload!T51)),ISNUMBER(SEARCH("Anti Tarnish",Upload!P51&amp;Upload!Q51&amp;Upload!R51&amp;Upload!S51&amp;Upload!T51))))),"",0.0012*C61)</f>
        <v/>
      </c>
      <c r="Q61" s="15" t="str">
        <f>IF(OR(E61="",NOT(OR(ISNUMBER(SEARCH("Epóxico MT",Upload!P51&amp;Upload!Q51&amp;Upload!R51&amp;Upload!S51&amp;Upload!T51))))),"",E61*0.000035)</f>
        <v/>
      </c>
      <c r="R61" s="15" t="str">
        <f>IF(OR(F61="",NOT(OR(ISNUMBER(SEARCH("Epóxico BT",Upload!Q51&amp;Upload!R51&amp;Upload!S51&amp;Upload!T51&amp;Upload!U51))))),"",F61*0.000035)</f>
        <v/>
      </c>
      <c r="S61" s="15" t="str">
        <f>IF(OR(G61="",NOT(OR(ISNUMBER(SEARCH("Epóxico Rojo",Upload!R51&amp;Upload!S51&amp;Upload!T51&amp;Upload!U51&amp;Upload!V51))))),"",G61*0.000035)</f>
        <v/>
      </c>
    </row>
    <row r="62" spans="1:19" x14ac:dyDescent="0.2">
      <c r="A62" s="9" t="e">
        <f t="shared" ca="1" si="0"/>
        <v>#NAME?</v>
      </c>
      <c r="B62" s="9">
        <f>Upload!E52</f>
        <v>0</v>
      </c>
      <c r="C62" s="9">
        <f>Upload!AE52</f>
        <v>0</v>
      </c>
      <c r="D62" s="9">
        <f>Upload!AF52</f>
        <v>0</v>
      </c>
      <c r="E62" s="9">
        <f>Upload!AG52</f>
        <v>0</v>
      </c>
      <c r="F62" s="9" t="str">
        <f>Upload!X52</f>
        <v/>
      </c>
      <c r="G62" s="9" t="str">
        <f>Upload!Z52</f>
        <v/>
      </c>
      <c r="H62" s="9" t="str">
        <f>Upload!W52</f>
        <v>(seleccione)</v>
      </c>
      <c r="I62" s="9" t="str">
        <f>Upload!Y52</f>
        <v>(seleccione)</v>
      </c>
      <c r="K62" s="15" t="str">
        <f t="shared" si="1"/>
        <v/>
      </c>
      <c r="L62" s="15" t="str">
        <f t="shared" si="2"/>
        <v/>
      </c>
      <c r="M62" s="15" t="str">
        <f t="shared" si="3"/>
        <v/>
      </c>
      <c r="N62" s="15" t="str">
        <f t="shared" si="4"/>
        <v/>
      </c>
      <c r="O62" s="15" t="str">
        <f t="shared" si="5"/>
        <v/>
      </c>
      <c r="P62" s="15" t="str">
        <f>IF(OR(C62="",NOT(OR(ISNUMBER(SEARCH("Antitarnish",Upload!P52&amp;Upload!Q52&amp;Upload!R52&amp;Upload!S52&amp;Upload!T52)),ISNUMBER(SEARCH("Anti Tarnish",Upload!P52&amp;Upload!Q52&amp;Upload!R52&amp;Upload!S52&amp;Upload!T52))))),"",0.0012*C62)</f>
        <v/>
      </c>
      <c r="Q62" s="15" t="str">
        <f>IF(OR(E62="",NOT(OR(ISNUMBER(SEARCH("Epóxico MT",Upload!P52&amp;Upload!Q52&amp;Upload!R52&amp;Upload!S52&amp;Upload!T52))))),"",E62*0.000035)</f>
        <v/>
      </c>
      <c r="R62" s="15" t="str">
        <f>IF(OR(F62="",NOT(OR(ISNUMBER(SEARCH("Epóxico BT",Upload!Q52&amp;Upload!R52&amp;Upload!S52&amp;Upload!T52&amp;Upload!U52))))),"",F62*0.000035)</f>
        <v/>
      </c>
      <c r="S62" s="15" t="str">
        <f>IF(OR(G62="",NOT(OR(ISNUMBER(SEARCH("Epóxico Rojo",Upload!R52&amp;Upload!S52&amp;Upload!T52&amp;Upload!U52&amp;Upload!V52))))),"",G62*0.000035)</f>
        <v/>
      </c>
    </row>
    <row r="63" spans="1:19" x14ac:dyDescent="0.2">
      <c r="A63" s="9" t="e">
        <f t="shared" ca="1" si="0"/>
        <v>#NAME?</v>
      </c>
      <c r="B63" s="9">
        <f>Upload!E53</f>
        <v>0</v>
      </c>
      <c r="C63" s="9">
        <f>Upload!AE53</f>
        <v>0</v>
      </c>
      <c r="D63" s="9">
        <f>Upload!AF53</f>
        <v>0</v>
      </c>
      <c r="E63" s="9">
        <f>Upload!AG53</f>
        <v>0</v>
      </c>
      <c r="F63" s="9" t="str">
        <f>Upload!X53</f>
        <v/>
      </c>
      <c r="G63" s="9" t="str">
        <f>Upload!Z53</f>
        <v/>
      </c>
      <c r="H63" s="9" t="str">
        <f>Upload!W53</f>
        <v>(seleccione)</v>
      </c>
      <c r="I63" s="9" t="str">
        <f>Upload!Y53</f>
        <v>(seleccione)</v>
      </c>
      <c r="K63" s="15" t="str">
        <f t="shared" si="1"/>
        <v/>
      </c>
      <c r="L63" s="15" t="str">
        <f t="shared" si="2"/>
        <v/>
      </c>
      <c r="M63" s="15" t="str">
        <f t="shared" si="3"/>
        <v/>
      </c>
      <c r="N63" s="15" t="str">
        <f t="shared" si="4"/>
        <v/>
      </c>
      <c r="O63" s="15" t="str">
        <f t="shared" si="5"/>
        <v/>
      </c>
      <c r="P63" s="15" t="str">
        <f>IF(OR(C63="",NOT(OR(ISNUMBER(SEARCH("Antitarnish",Upload!P53&amp;Upload!Q53&amp;Upload!R53&amp;Upload!S53&amp;Upload!T53)),ISNUMBER(SEARCH("Anti Tarnish",Upload!P53&amp;Upload!Q53&amp;Upload!R53&amp;Upload!S53&amp;Upload!T53))))),"",0.0012*C63)</f>
        <v/>
      </c>
      <c r="Q63" s="15" t="str">
        <f>IF(OR(E63="",NOT(OR(ISNUMBER(SEARCH("Epóxico MT",Upload!P53&amp;Upload!Q53&amp;Upload!R53&amp;Upload!S53&amp;Upload!T53))))),"",E63*0.000035)</f>
        <v/>
      </c>
      <c r="R63" s="15" t="str">
        <f>IF(OR(F63="",NOT(OR(ISNUMBER(SEARCH("Epóxico BT",Upload!Q53&amp;Upload!R53&amp;Upload!S53&amp;Upload!T53&amp;Upload!U53))))),"",F63*0.000035)</f>
        <v/>
      </c>
      <c r="S63" s="15" t="str">
        <f>IF(OR(G63="",NOT(OR(ISNUMBER(SEARCH("Epóxico Rojo",Upload!R53&amp;Upload!S53&amp;Upload!T53&amp;Upload!U53&amp;Upload!V53))))),"",G63*0.000035)</f>
        <v/>
      </c>
    </row>
    <row r="64" spans="1:19" x14ac:dyDescent="0.2">
      <c r="A64" s="9" t="e">
        <f t="shared" ca="1" si="0"/>
        <v>#NAME?</v>
      </c>
      <c r="B64" s="9">
        <f>Upload!E54</f>
        <v>0</v>
      </c>
      <c r="C64" s="9">
        <f>Upload!AE54</f>
        <v>0</v>
      </c>
      <c r="D64" s="9">
        <f>Upload!AF54</f>
        <v>0</v>
      </c>
      <c r="E64" s="9">
        <f>Upload!AG54</f>
        <v>0</v>
      </c>
      <c r="F64" s="9" t="str">
        <f>Upload!X54</f>
        <v/>
      </c>
      <c r="G64" s="9" t="str">
        <f>Upload!Z54</f>
        <v/>
      </c>
      <c r="H64" s="9" t="str">
        <f>Upload!W54</f>
        <v>(seleccione)</v>
      </c>
      <c r="I64" s="9" t="str">
        <f>Upload!Y54</f>
        <v>(seleccione)</v>
      </c>
      <c r="K64" s="15" t="str">
        <f t="shared" si="1"/>
        <v/>
      </c>
      <c r="L64" s="15" t="str">
        <f t="shared" si="2"/>
        <v/>
      </c>
      <c r="M64" s="15" t="str">
        <f t="shared" si="3"/>
        <v/>
      </c>
      <c r="N64" s="15" t="str">
        <f t="shared" si="4"/>
        <v/>
      </c>
      <c r="O64" s="15" t="str">
        <f t="shared" si="5"/>
        <v/>
      </c>
      <c r="P64" s="15" t="str">
        <f>IF(OR(C64="",NOT(OR(ISNUMBER(SEARCH("Antitarnish",Upload!P54&amp;Upload!Q54&amp;Upload!R54&amp;Upload!S54&amp;Upload!T54)),ISNUMBER(SEARCH("Anti Tarnish",Upload!P54&amp;Upload!Q54&amp;Upload!R54&amp;Upload!S54&amp;Upload!T54))))),"",0.0012*C64)</f>
        <v/>
      </c>
      <c r="Q64" s="15" t="str">
        <f>IF(OR(E64="",NOT(OR(ISNUMBER(SEARCH("Epóxico MT",Upload!P54&amp;Upload!Q54&amp;Upload!R54&amp;Upload!S54&amp;Upload!T54))))),"",E64*0.000035)</f>
        <v/>
      </c>
      <c r="R64" s="15" t="str">
        <f>IF(OR(F64="",NOT(OR(ISNUMBER(SEARCH("Epóxico BT",Upload!Q54&amp;Upload!R54&amp;Upload!S54&amp;Upload!T54&amp;Upload!U54))))),"",F64*0.000035)</f>
        <v/>
      </c>
      <c r="S64" s="15" t="str">
        <f>IF(OR(G64="",NOT(OR(ISNUMBER(SEARCH("Epóxico Rojo",Upload!R54&amp;Upload!S54&amp;Upload!T54&amp;Upload!U54&amp;Upload!V54))))),"",G64*0.000035)</f>
        <v/>
      </c>
    </row>
    <row r="65" spans="1:19" x14ac:dyDescent="0.2">
      <c r="A65" s="9" t="e">
        <f t="shared" ca="1" si="0"/>
        <v>#NAME?</v>
      </c>
      <c r="B65" s="9">
        <f>Upload!E55</f>
        <v>0</v>
      </c>
      <c r="C65" s="9">
        <f>Upload!AE55</f>
        <v>0</v>
      </c>
      <c r="D65" s="9">
        <f>Upload!AF55</f>
        <v>0</v>
      </c>
      <c r="E65" s="9">
        <f>Upload!AG55</f>
        <v>0</v>
      </c>
      <c r="F65" s="9" t="str">
        <f>Upload!X55</f>
        <v/>
      </c>
      <c r="G65" s="9" t="str">
        <f>Upload!Z55</f>
        <v/>
      </c>
      <c r="H65" s="9" t="str">
        <f>Upload!W55</f>
        <v>(seleccione)</v>
      </c>
      <c r="I65" s="9" t="str">
        <f>Upload!Y55</f>
        <v>(seleccione)</v>
      </c>
      <c r="K65" s="15" t="str">
        <f t="shared" si="1"/>
        <v/>
      </c>
      <c r="L65" s="15" t="str">
        <f t="shared" si="2"/>
        <v/>
      </c>
      <c r="M65" s="15" t="str">
        <f t="shared" si="3"/>
        <v/>
      </c>
      <c r="N65" s="15" t="str">
        <f t="shared" si="4"/>
        <v/>
      </c>
      <c r="O65" s="15" t="str">
        <f t="shared" si="5"/>
        <v/>
      </c>
      <c r="P65" s="15" t="str">
        <f>IF(OR(C65="",NOT(OR(ISNUMBER(SEARCH("Antitarnish",Upload!P55&amp;Upload!Q55&amp;Upload!R55&amp;Upload!S55&amp;Upload!T55)),ISNUMBER(SEARCH("Anti Tarnish",Upload!P55&amp;Upload!Q55&amp;Upload!R55&amp;Upload!S55&amp;Upload!T55))))),"",0.0012*C65)</f>
        <v/>
      </c>
      <c r="Q65" s="15" t="str">
        <f>IF(OR(E65="",NOT(OR(ISNUMBER(SEARCH("Epóxico MT",Upload!P55&amp;Upload!Q55&amp;Upload!R55&amp;Upload!S55&amp;Upload!T55))))),"",E65*0.000035)</f>
        <v/>
      </c>
      <c r="R65" s="15" t="str">
        <f>IF(OR(F65="",NOT(OR(ISNUMBER(SEARCH("Epóxico BT",Upload!Q55&amp;Upload!R55&amp;Upload!S55&amp;Upload!T55&amp;Upload!U55))))),"",F65*0.000035)</f>
        <v/>
      </c>
      <c r="S65" s="15" t="str">
        <f>IF(OR(G65="",NOT(OR(ISNUMBER(SEARCH("Epóxico Rojo",Upload!R55&amp;Upload!S55&amp;Upload!T55&amp;Upload!U55&amp;Upload!V55))))),"",G65*0.000035)</f>
        <v/>
      </c>
    </row>
    <row r="66" spans="1:19" x14ac:dyDescent="0.2">
      <c r="A66" s="9" t="e">
        <f t="shared" ca="1" si="0"/>
        <v>#NAME?</v>
      </c>
      <c r="B66" s="9">
        <f>Upload!E56</f>
        <v>0</v>
      </c>
      <c r="C66" s="9">
        <f>Upload!AE56</f>
        <v>0</v>
      </c>
      <c r="D66" s="9">
        <f>Upload!AF56</f>
        <v>0</v>
      </c>
      <c r="E66" s="9">
        <f>Upload!AG56</f>
        <v>0</v>
      </c>
      <c r="F66" s="9" t="str">
        <f>Upload!X56</f>
        <v/>
      </c>
      <c r="G66" s="9" t="str">
        <f>Upload!Z56</f>
        <v/>
      </c>
      <c r="H66" s="9" t="str">
        <f>Upload!W56</f>
        <v>(seleccione)</v>
      </c>
      <c r="I66" s="9" t="str">
        <f>Upload!Y56</f>
        <v>(seleccione)</v>
      </c>
      <c r="K66" s="15" t="str">
        <f t="shared" si="1"/>
        <v/>
      </c>
      <c r="L66" s="15" t="str">
        <f t="shared" si="2"/>
        <v/>
      </c>
      <c r="M66" s="15" t="str">
        <f t="shared" si="3"/>
        <v/>
      </c>
      <c r="N66" s="15" t="str">
        <f t="shared" si="4"/>
        <v/>
      </c>
      <c r="O66" s="15" t="str">
        <f t="shared" si="5"/>
        <v/>
      </c>
      <c r="P66" s="15" t="str">
        <f>IF(OR(C66="",NOT(OR(ISNUMBER(SEARCH("Antitarnish",Upload!P56&amp;Upload!Q56&amp;Upload!R56&amp;Upload!S56&amp;Upload!T56)),ISNUMBER(SEARCH("Anti Tarnish",Upload!P56&amp;Upload!Q56&amp;Upload!R56&amp;Upload!S56&amp;Upload!T56))))),"",0.0012*C66)</f>
        <v/>
      </c>
      <c r="Q66" s="15" t="str">
        <f>IF(OR(E66="",NOT(OR(ISNUMBER(SEARCH("Epóxico MT",Upload!P56&amp;Upload!Q56&amp;Upload!R56&amp;Upload!S56&amp;Upload!T56))))),"",E66*0.000035)</f>
        <v/>
      </c>
      <c r="R66" s="15" t="str">
        <f>IF(OR(F66="",NOT(OR(ISNUMBER(SEARCH("Epóxico BT",Upload!Q56&amp;Upload!R56&amp;Upload!S56&amp;Upload!T56&amp;Upload!U56))))),"",F66*0.000035)</f>
        <v/>
      </c>
      <c r="S66" s="15" t="str">
        <f>IF(OR(G66="",NOT(OR(ISNUMBER(SEARCH("Epóxico Rojo",Upload!R56&amp;Upload!S56&amp;Upload!T56&amp;Upload!U56&amp;Upload!V56))))),"",G66*0.000035)</f>
        <v/>
      </c>
    </row>
    <row r="67" spans="1:19" x14ac:dyDescent="0.2">
      <c r="A67" s="9" t="e">
        <f t="shared" ca="1" si="0"/>
        <v>#NAME?</v>
      </c>
      <c r="B67" s="9">
        <f>Upload!E57</f>
        <v>0</v>
      </c>
      <c r="C67" s="9">
        <f>Upload!AE57</f>
        <v>0</v>
      </c>
      <c r="D67" s="9">
        <f>Upload!AF57</f>
        <v>0</v>
      </c>
      <c r="E67" s="9">
        <f>Upload!AG57</f>
        <v>0</v>
      </c>
      <c r="F67" s="9" t="str">
        <f>Upload!X57</f>
        <v/>
      </c>
      <c r="G67" s="9" t="str">
        <f>Upload!Z57</f>
        <v/>
      </c>
      <c r="H67" s="9" t="str">
        <f>Upload!W57</f>
        <v>(seleccione)</v>
      </c>
      <c r="I67" s="9" t="str">
        <f>Upload!Y57</f>
        <v>(seleccione)</v>
      </c>
      <c r="K67" s="15" t="str">
        <f t="shared" si="1"/>
        <v/>
      </c>
      <c r="L67" s="15" t="str">
        <f t="shared" si="2"/>
        <v/>
      </c>
      <c r="M67" s="15" t="str">
        <f t="shared" si="3"/>
        <v/>
      </c>
      <c r="N67" s="15" t="str">
        <f t="shared" si="4"/>
        <v/>
      </c>
      <c r="O67" s="15" t="str">
        <f t="shared" si="5"/>
        <v/>
      </c>
      <c r="P67" s="15" t="str">
        <f>IF(OR(C67="",NOT(OR(ISNUMBER(SEARCH("Antitarnish",Upload!P57&amp;Upload!Q57&amp;Upload!R57&amp;Upload!S57&amp;Upload!T57)),ISNUMBER(SEARCH("Anti Tarnish",Upload!P57&amp;Upload!Q57&amp;Upload!R57&amp;Upload!S57&amp;Upload!T57))))),"",0.0012*C67)</f>
        <v/>
      </c>
      <c r="Q67" s="15" t="str">
        <f>IF(OR(E67="",NOT(OR(ISNUMBER(SEARCH("Epóxico MT",Upload!P57&amp;Upload!Q57&amp;Upload!R57&amp;Upload!S57&amp;Upload!T57))))),"",E67*0.000035)</f>
        <v/>
      </c>
      <c r="R67" s="15" t="str">
        <f>IF(OR(F67="",NOT(OR(ISNUMBER(SEARCH("Epóxico BT",Upload!Q57&amp;Upload!R57&amp;Upload!S57&amp;Upload!T57&amp;Upload!U57))))),"",F67*0.000035)</f>
        <v/>
      </c>
      <c r="S67" s="15" t="str">
        <f>IF(OR(G67="",NOT(OR(ISNUMBER(SEARCH("Epóxico Rojo",Upload!R57&amp;Upload!S57&amp;Upload!T57&amp;Upload!U57&amp;Upload!V57))))),"",G67*0.000035)</f>
        <v/>
      </c>
    </row>
    <row r="68" spans="1:19" x14ac:dyDescent="0.2">
      <c r="A68" s="9" t="e">
        <f t="shared" ca="1" si="0"/>
        <v>#NAME?</v>
      </c>
      <c r="B68" s="9">
        <f>Upload!E58</f>
        <v>0</v>
      </c>
      <c r="C68" s="9">
        <f>Upload!AE58</f>
        <v>0</v>
      </c>
      <c r="D68" s="9">
        <f>Upload!AF58</f>
        <v>0</v>
      </c>
      <c r="E68" s="9">
        <f>Upload!AG58</f>
        <v>0</v>
      </c>
      <c r="F68" s="9" t="str">
        <f>Upload!X58</f>
        <v/>
      </c>
      <c r="G68" s="9" t="str">
        <f>Upload!Z58</f>
        <v/>
      </c>
      <c r="H68" s="9" t="str">
        <f>Upload!W58</f>
        <v>(seleccione)</v>
      </c>
      <c r="I68" s="9" t="str">
        <f>Upload!Y58</f>
        <v>(seleccione)</v>
      </c>
      <c r="K68" s="15" t="str">
        <f t="shared" si="1"/>
        <v/>
      </c>
      <c r="L68" s="15" t="str">
        <f t="shared" si="2"/>
        <v/>
      </c>
      <c r="M68" s="15" t="str">
        <f t="shared" si="3"/>
        <v/>
      </c>
      <c r="N68" s="15" t="str">
        <f t="shared" si="4"/>
        <v/>
      </c>
      <c r="O68" s="15" t="str">
        <f t="shared" si="5"/>
        <v/>
      </c>
      <c r="P68" s="15" t="str">
        <f>IF(OR(C68="",NOT(OR(ISNUMBER(SEARCH("Antitarnish",Upload!P58&amp;Upload!Q58&amp;Upload!R58&amp;Upload!S58&amp;Upload!T58)),ISNUMBER(SEARCH("Anti Tarnish",Upload!P58&amp;Upload!Q58&amp;Upload!R58&amp;Upload!S58&amp;Upload!T58))))),"",0.0012*C68)</f>
        <v/>
      </c>
      <c r="Q68" s="15" t="str">
        <f>IF(OR(E68="",NOT(OR(ISNUMBER(SEARCH("Epóxico MT",Upload!P58&amp;Upload!Q58&amp;Upload!R58&amp;Upload!S58&amp;Upload!T58))))),"",E68*0.000035)</f>
        <v/>
      </c>
      <c r="R68" s="15" t="str">
        <f>IF(OR(F68="",NOT(OR(ISNUMBER(SEARCH("Epóxico BT",Upload!Q58&amp;Upload!R58&amp;Upload!S58&amp;Upload!T58&amp;Upload!U58))))),"",F68*0.000035)</f>
        <v/>
      </c>
      <c r="S68" s="15" t="str">
        <f>IF(OR(G68="",NOT(OR(ISNUMBER(SEARCH("Epóxico Rojo",Upload!R58&amp;Upload!S58&amp;Upload!T58&amp;Upload!U58&amp;Upload!V58))))),"",G68*0.000035)</f>
        <v/>
      </c>
    </row>
    <row r="69" spans="1:19" x14ac:dyDescent="0.2">
      <c r="A69" s="9" t="e">
        <f t="shared" ca="1" si="0"/>
        <v>#NAME?</v>
      </c>
      <c r="B69" s="9">
        <f>Upload!E59</f>
        <v>0</v>
      </c>
      <c r="C69" s="9">
        <f>Upload!AE59</f>
        <v>0</v>
      </c>
      <c r="D69" s="9">
        <f>Upload!AF59</f>
        <v>0</v>
      </c>
      <c r="E69" s="9">
        <f>Upload!AG59</f>
        <v>0</v>
      </c>
      <c r="F69" s="9" t="str">
        <f>Upload!X59</f>
        <v/>
      </c>
      <c r="G69" s="9" t="str">
        <f>Upload!Z59</f>
        <v/>
      </c>
      <c r="H69" s="9" t="str">
        <f>Upload!W59</f>
        <v>(seleccione)</v>
      </c>
      <c r="I69" s="9" t="str">
        <f>Upload!Y59</f>
        <v>(seleccione)</v>
      </c>
      <c r="K69" s="15" t="str">
        <f t="shared" si="1"/>
        <v/>
      </c>
      <c r="L69" s="15" t="str">
        <f t="shared" si="2"/>
        <v/>
      </c>
      <c r="M69" s="15" t="str">
        <f t="shared" si="3"/>
        <v/>
      </c>
      <c r="N69" s="15" t="str">
        <f t="shared" si="4"/>
        <v/>
      </c>
      <c r="O69" s="15" t="str">
        <f t="shared" si="5"/>
        <v/>
      </c>
      <c r="P69" s="15" t="str">
        <f>IF(OR(C69="",NOT(OR(ISNUMBER(SEARCH("Antitarnish",Upload!P59&amp;Upload!Q59&amp;Upload!R59&amp;Upload!S59&amp;Upload!T59)),ISNUMBER(SEARCH("Anti Tarnish",Upload!P59&amp;Upload!Q59&amp;Upload!R59&amp;Upload!S59&amp;Upload!T59))))),"",0.0012*C69)</f>
        <v/>
      </c>
      <c r="Q69" s="15" t="str">
        <f>IF(OR(E69="",NOT(OR(ISNUMBER(SEARCH("Epóxico MT",Upload!P59&amp;Upload!Q59&amp;Upload!R59&amp;Upload!S59&amp;Upload!T59))))),"",E69*0.000035)</f>
        <v/>
      </c>
      <c r="R69" s="15" t="str">
        <f>IF(OR(F69="",NOT(OR(ISNUMBER(SEARCH("Epóxico BT",Upload!Q59&amp;Upload!R59&amp;Upload!S59&amp;Upload!T59&amp;Upload!U59))))),"",F69*0.000035)</f>
        <v/>
      </c>
      <c r="S69" s="15" t="str">
        <f>IF(OR(G69="",NOT(OR(ISNUMBER(SEARCH("Epóxico Rojo",Upload!R59&amp;Upload!S59&amp;Upload!T59&amp;Upload!U59&amp;Upload!V59))))),"",G69*0.000035)</f>
        <v/>
      </c>
    </row>
    <row r="70" spans="1:19" x14ac:dyDescent="0.2">
      <c r="A70" s="9" t="e">
        <f t="shared" ca="1" si="0"/>
        <v>#NAME?</v>
      </c>
      <c r="B70" s="9">
        <f>Upload!E60</f>
        <v>0</v>
      </c>
      <c r="C70" s="9">
        <f>Upload!AE60</f>
        <v>0</v>
      </c>
      <c r="D70" s="9">
        <f>Upload!AF60</f>
        <v>0</v>
      </c>
      <c r="E70" s="9">
        <f>Upload!AG60</f>
        <v>0</v>
      </c>
      <c r="F70" s="9" t="str">
        <f>Upload!X60</f>
        <v/>
      </c>
      <c r="G70" s="9" t="str">
        <f>Upload!Z60</f>
        <v/>
      </c>
      <c r="H70" s="9" t="str">
        <f>Upload!W60</f>
        <v>(seleccione)</v>
      </c>
      <c r="I70" s="9" t="str">
        <f>Upload!Y60</f>
        <v>(seleccione)</v>
      </c>
      <c r="K70" s="15" t="str">
        <f t="shared" si="1"/>
        <v/>
      </c>
      <c r="L70" s="15" t="str">
        <f t="shared" si="2"/>
        <v/>
      </c>
      <c r="M70" s="15" t="str">
        <f t="shared" si="3"/>
        <v/>
      </c>
      <c r="N70" s="15" t="str">
        <f t="shared" si="4"/>
        <v/>
      </c>
      <c r="O70" s="15" t="str">
        <f t="shared" si="5"/>
        <v/>
      </c>
      <c r="P70" s="15" t="str">
        <f>IF(OR(C70="",NOT(OR(ISNUMBER(SEARCH("Antitarnish",Upload!P60&amp;Upload!Q60&amp;Upload!R60&amp;Upload!S60&amp;Upload!T60)),ISNUMBER(SEARCH("Anti Tarnish",Upload!P60&amp;Upload!Q60&amp;Upload!R60&amp;Upload!S60&amp;Upload!T60))))),"",0.0012*C70)</f>
        <v/>
      </c>
      <c r="Q70" s="15" t="str">
        <f>IF(OR(E70="",NOT(OR(ISNUMBER(SEARCH("Epóxico MT",Upload!P60&amp;Upload!Q60&amp;Upload!R60&amp;Upload!S60&amp;Upload!T60))))),"",E70*0.000035)</f>
        <v/>
      </c>
      <c r="R70" s="15" t="str">
        <f>IF(OR(F70="",NOT(OR(ISNUMBER(SEARCH("Epóxico BT",Upload!Q60&amp;Upload!R60&amp;Upload!S60&amp;Upload!T60&amp;Upload!U60))))),"",F70*0.000035)</f>
        <v/>
      </c>
      <c r="S70" s="15" t="str">
        <f>IF(OR(G70="",NOT(OR(ISNUMBER(SEARCH("Epóxico Rojo",Upload!R60&amp;Upload!S60&amp;Upload!T60&amp;Upload!U60&amp;Upload!V60))))),"",G70*0.000035)</f>
        <v/>
      </c>
    </row>
    <row r="71" spans="1:19" x14ac:dyDescent="0.2">
      <c r="A71" s="9" t="e">
        <f t="shared" ca="1" si="0"/>
        <v>#NAME?</v>
      </c>
      <c r="B71" s="9">
        <f>Upload!E61</f>
        <v>0</v>
      </c>
      <c r="C71" s="9">
        <f>Upload!AE61</f>
        <v>0</v>
      </c>
      <c r="D71" s="9">
        <f>Upload!AF61</f>
        <v>0</v>
      </c>
      <c r="E71" s="9">
        <f>Upload!AG61</f>
        <v>0</v>
      </c>
      <c r="F71" s="9" t="str">
        <f>Upload!X61</f>
        <v/>
      </c>
      <c r="G71" s="9" t="str">
        <f>Upload!Z61</f>
        <v/>
      </c>
      <c r="H71" s="9" t="str">
        <f>Upload!W61</f>
        <v>(seleccione)</v>
      </c>
      <c r="I71" s="9" t="str">
        <f>Upload!Y61</f>
        <v>(seleccione)</v>
      </c>
      <c r="K71" s="15" t="str">
        <f t="shared" si="1"/>
        <v/>
      </c>
      <c r="L71" s="15" t="str">
        <f t="shared" si="2"/>
        <v/>
      </c>
      <c r="M71" s="15" t="str">
        <f t="shared" si="3"/>
        <v/>
      </c>
      <c r="N71" s="15" t="str">
        <f t="shared" si="4"/>
        <v/>
      </c>
      <c r="O71" s="15" t="str">
        <f t="shared" si="5"/>
        <v/>
      </c>
      <c r="P71" s="15" t="str">
        <f>IF(OR(C71="",NOT(OR(ISNUMBER(SEARCH("Antitarnish",Upload!P61&amp;Upload!Q61&amp;Upload!R61&amp;Upload!S61&amp;Upload!T61)),ISNUMBER(SEARCH("Anti Tarnish",Upload!P61&amp;Upload!Q61&amp;Upload!R61&amp;Upload!S61&amp;Upload!T61))))),"",0.0012*C71)</f>
        <v/>
      </c>
      <c r="Q71" s="15" t="str">
        <f>IF(OR(E71="",NOT(OR(ISNUMBER(SEARCH("Epóxico MT",Upload!P61&amp;Upload!Q61&amp;Upload!R61&amp;Upload!S61&amp;Upload!T61))))),"",E71*0.000035)</f>
        <v/>
      </c>
      <c r="R71" s="15" t="str">
        <f>IF(OR(F71="",NOT(OR(ISNUMBER(SEARCH("Epóxico BT",Upload!Q61&amp;Upload!R61&amp;Upload!S61&amp;Upload!T61&amp;Upload!U61))))),"",F71*0.000035)</f>
        <v/>
      </c>
      <c r="S71" s="15" t="str">
        <f>IF(OR(G71="",NOT(OR(ISNUMBER(SEARCH("Epóxico Rojo",Upload!R61&amp;Upload!S61&amp;Upload!T61&amp;Upload!U61&amp;Upload!V61))))),"",G71*0.000035)</f>
        <v/>
      </c>
    </row>
    <row r="72" spans="1:19" x14ac:dyDescent="0.2">
      <c r="A72" s="9" t="e">
        <f t="shared" ca="1" si="0"/>
        <v>#NAME?</v>
      </c>
      <c r="B72" s="9">
        <f>Upload!E62</f>
        <v>0</v>
      </c>
      <c r="C72" s="9">
        <f>Upload!AE62</f>
        <v>0</v>
      </c>
      <c r="D72" s="9">
        <f>Upload!AF62</f>
        <v>0</v>
      </c>
      <c r="E72" s="9">
        <f>Upload!AG62</f>
        <v>0</v>
      </c>
      <c r="F72" s="9" t="str">
        <f>Upload!X62</f>
        <v/>
      </c>
      <c r="G72" s="9" t="str">
        <f>Upload!Z62</f>
        <v/>
      </c>
      <c r="H72" s="9" t="str">
        <f>Upload!W62</f>
        <v>(seleccione)</v>
      </c>
      <c r="I72" s="9" t="str">
        <f>Upload!Y62</f>
        <v>(seleccione)</v>
      </c>
      <c r="K72" s="15" t="str">
        <f t="shared" si="1"/>
        <v/>
      </c>
      <c r="L72" s="15" t="str">
        <f t="shared" si="2"/>
        <v/>
      </c>
      <c r="M72" s="15" t="str">
        <f t="shared" si="3"/>
        <v/>
      </c>
      <c r="N72" s="15" t="str">
        <f t="shared" si="4"/>
        <v/>
      </c>
      <c r="O72" s="15" t="str">
        <f t="shared" si="5"/>
        <v/>
      </c>
      <c r="P72" s="15" t="str">
        <f>IF(OR(C72="",NOT(OR(ISNUMBER(SEARCH("Antitarnish",Upload!P62&amp;Upload!Q62&amp;Upload!R62&amp;Upload!S62&amp;Upload!T62)),ISNUMBER(SEARCH("Anti Tarnish",Upload!P62&amp;Upload!Q62&amp;Upload!R62&amp;Upload!S62&amp;Upload!T62))))),"",0.0012*C72)</f>
        <v/>
      </c>
      <c r="Q72" s="15" t="str">
        <f>IF(OR(E72="",NOT(OR(ISNUMBER(SEARCH("Epóxico MT",Upload!P62&amp;Upload!Q62&amp;Upload!R62&amp;Upload!S62&amp;Upload!T62))))),"",E72*0.000035)</f>
        <v/>
      </c>
      <c r="R72" s="15" t="str">
        <f>IF(OR(F72="",NOT(OR(ISNUMBER(SEARCH("Epóxico BT",Upload!Q62&amp;Upload!R62&amp;Upload!S62&amp;Upload!T62&amp;Upload!U62))))),"",F72*0.000035)</f>
        <v/>
      </c>
      <c r="S72" s="15" t="str">
        <f>IF(OR(G72="",NOT(OR(ISNUMBER(SEARCH("Epóxico Rojo",Upload!R62&amp;Upload!S62&amp;Upload!T62&amp;Upload!U62&amp;Upload!V62))))),"",G72*0.000035)</f>
        <v/>
      </c>
    </row>
    <row r="73" spans="1:19" x14ac:dyDescent="0.2">
      <c r="A73" s="9" t="e">
        <f t="shared" ca="1" si="0"/>
        <v>#NAME?</v>
      </c>
      <c r="B73" s="9">
        <f>Upload!E63</f>
        <v>0</v>
      </c>
      <c r="C73" s="9">
        <f>Upload!AE63</f>
        <v>0</v>
      </c>
      <c r="D73" s="9">
        <f>Upload!AF63</f>
        <v>0</v>
      </c>
      <c r="E73" s="9">
        <f>Upload!AG63</f>
        <v>0</v>
      </c>
      <c r="F73" s="9" t="str">
        <f>Upload!X63</f>
        <v/>
      </c>
      <c r="G73" s="9" t="str">
        <f>Upload!Z63</f>
        <v/>
      </c>
      <c r="H73" s="9" t="str">
        <f>Upload!W63</f>
        <v>(seleccione)</v>
      </c>
      <c r="I73" s="9" t="str">
        <f>Upload!Y63</f>
        <v>(seleccione)</v>
      </c>
      <c r="K73" s="15" t="str">
        <f t="shared" si="1"/>
        <v/>
      </c>
      <c r="L73" s="15" t="str">
        <f t="shared" si="2"/>
        <v/>
      </c>
      <c r="M73" s="15" t="str">
        <f t="shared" si="3"/>
        <v/>
      </c>
      <c r="N73" s="15" t="str">
        <f t="shared" si="4"/>
        <v/>
      </c>
      <c r="O73" s="15" t="str">
        <f t="shared" si="5"/>
        <v/>
      </c>
      <c r="P73" s="15" t="str">
        <f>IF(OR(C73="",NOT(OR(ISNUMBER(SEARCH("Antitarnish",Upload!P63&amp;Upload!Q63&amp;Upload!R63&amp;Upload!S63&amp;Upload!T63)),ISNUMBER(SEARCH("Anti Tarnish",Upload!P63&amp;Upload!Q63&amp;Upload!R63&amp;Upload!S63&amp;Upload!T63))))),"",0.0012*C73)</f>
        <v/>
      </c>
      <c r="Q73" s="15" t="str">
        <f>IF(OR(E73="",NOT(OR(ISNUMBER(SEARCH("Epóxico MT",Upload!P63&amp;Upload!Q63&amp;Upload!R63&amp;Upload!S63&amp;Upload!T63))))),"",E73*0.000035)</f>
        <v/>
      </c>
      <c r="R73" s="15" t="str">
        <f>IF(OR(F73="",NOT(OR(ISNUMBER(SEARCH("Epóxico BT",Upload!Q63&amp;Upload!R63&amp;Upload!S63&amp;Upload!T63&amp;Upload!U63))))),"",F73*0.000035)</f>
        <v/>
      </c>
      <c r="S73" s="15" t="str">
        <f>IF(OR(G73="",NOT(OR(ISNUMBER(SEARCH("Epóxico Rojo",Upload!R63&amp;Upload!S63&amp;Upload!T63&amp;Upload!U63&amp;Upload!V63))))),"",G73*0.000035)</f>
        <v/>
      </c>
    </row>
    <row r="74" spans="1:19" x14ac:dyDescent="0.2">
      <c r="A74" s="9" t="e">
        <f t="shared" ca="1" si="0"/>
        <v>#NAME?</v>
      </c>
      <c r="B74" s="9">
        <f>Upload!E64</f>
        <v>0</v>
      </c>
      <c r="C74" s="9">
        <f>Upload!AE64</f>
        <v>0</v>
      </c>
      <c r="D74" s="9">
        <f>Upload!AF64</f>
        <v>0</v>
      </c>
      <c r="E74" s="9">
        <f>Upload!AG64</f>
        <v>0</v>
      </c>
      <c r="F74" s="9" t="str">
        <f>Upload!X64</f>
        <v/>
      </c>
      <c r="G74" s="9" t="str">
        <f>Upload!Z64</f>
        <v/>
      </c>
      <c r="H74" s="9" t="str">
        <f>Upload!W64</f>
        <v>(seleccione)</v>
      </c>
      <c r="I74" s="9" t="str">
        <f>Upload!Y64</f>
        <v>(seleccione)</v>
      </c>
      <c r="K74" s="15" t="str">
        <f t="shared" si="1"/>
        <v/>
      </c>
      <c r="L74" s="15" t="str">
        <f t="shared" si="2"/>
        <v/>
      </c>
      <c r="M74" s="15" t="str">
        <f t="shared" si="3"/>
        <v/>
      </c>
      <c r="N74" s="15" t="str">
        <f t="shared" si="4"/>
        <v/>
      </c>
      <c r="O74" s="15" t="str">
        <f t="shared" si="5"/>
        <v/>
      </c>
      <c r="P74" s="15" t="str">
        <f>IF(OR(C74="",NOT(OR(ISNUMBER(SEARCH("Antitarnish",Upload!P64&amp;Upload!Q64&amp;Upload!R64&amp;Upload!S64&amp;Upload!T64)),ISNUMBER(SEARCH("Anti Tarnish",Upload!P64&amp;Upload!Q64&amp;Upload!R64&amp;Upload!S64&amp;Upload!T64))))),"",0.0012*C74)</f>
        <v/>
      </c>
      <c r="Q74" s="15" t="str">
        <f>IF(OR(E74="",NOT(OR(ISNUMBER(SEARCH("Epóxico MT",Upload!P64&amp;Upload!Q64&amp;Upload!R64&amp;Upload!S64&amp;Upload!T64))))),"",E74*0.000035)</f>
        <v/>
      </c>
      <c r="R74" s="15" t="str">
        <f>IF(OR(F74="",NOT(OR(ISNUMBER(SEARCH("Epóxico BT",Upload!Q64&amp;Upload!R64&amp;Upload!S64&amp;Upload!T64&amp;Upload!U64))))),"",F74*0.000035)</f>
        <v/>
      </c>
      <c r="S74" s="15" t="str">
        <f>IF(OR(G74="",NOT(OR(ISNUMBER(SEARCH("Epóxico Rojo",Upload!R64&amp;Upload!S64&amp;Upload!T64&amp;Upload!U64&amp;Upload!V64))))),"",G74*0.000035)</f>
        <v/>
      </c>
    </row>
    <row r="75" spans="1:19" x14ac:dyDescent="0.2">
      <c r="A75" s="9" t="e">
        <f t="shared" ca="1" si="0"/>
        <v>#NAME?</v>
      </c>
      <c r="B75" s="9">
        <f>Upload!E65</f>
        <v>0</v>
      </c>
      <c r="C75" s="9">
        <f>Upload!AE65</f>
        <v>0</v>
      </c>
      <c r="D75" s="9">
        <f>Upload!AF65</f>
        <v>0</v>
      </c>
      <c r="E75" s="9">
        <f>Upload!AG65</f>
        <v>0</v>
      </c>
      <c r="F75" s="9" t="str">
        <f>Upload!X65</f>
        <v/>
      </c>
      <c r="G75" s="9" t="str">
        <f>Upload!Z65</f>
        <v/>
      </c>
      <c r="H75" s="9" t="str">
        <f>Upload!W65</f>
        <v>(seleccione)</v>
      </c>
      <c r="I75" s="9" t="str">
        <f>Upload!Y65</f>
        <v>(seleccione)</v>
      </c>
      <c r="K75" s="15" t="str">
        <f t="shared" si="1"/>
        <v/>
      </c>
      <c r="L75" s="15" t="str">
        <f t="shared" si="2"/>
        <v/>
      </c>
      <c r="M75" s="15" t="str">
        <f t="shared" si="3"/>
        <v/>
      </c>
      <c r="N75" s="15" t="str">
        <f t="shared" si="4"/>
        <v/>
      </c>
      <c r="O75" s="15" t="str">
        <f t="shared" si="5"/>
        <v/>
      </c>
      <c r="P75" s="15" t="str">
        <f>IF(OR(C75="",NOT(OR(ISNUMBER(SEARCH("Antitarnish",Upload!P65&amp;Upload!Q65&amp;Upload!R65&amp;Upload!S65&amp;Upload!T65)),ISNUMBER(SEARCH("Anti Tarnish",Upload!P65&amp;Upload!Q65&amp;Upload!R65&amp;Upload!S65&amp;Upload!T65))))),"",0.0012*C75)</f>
        <v/>
      </c>
      <c r="Q75" s="15" t="str">
        <f>IF(OR(E75="",NOT(OR(ISNUMBER(SEARCH("Epóxico MT",Upload!P65&amp;Upload!Q65&amp;Upload!R65&amp;Upload!S65&amp;Upload!T65))))),"",E75*0.000035)</f>
        <v/>
      </c>
      <c r="R75" s="15" t="str">
        <f>IF(OR(F75="",NOT(OR(ISNUMBER(SEARCH("Epóxico BT",Upload!Q65&amp;Upload!R65&amp;Upload!S65&amp;Upload!T65&amp;Upload!U65))))),"",F75*0.000035)</f>
        <v/>
      </c>
      <c r="S75" s="15" t="str">
        <f>IF(OR(G75="",NOT(OR(ISNUMBER(SEARCH("Epóxico Rojo",Upload!R65&amp;Upload!S65&amp;Upload!T65&amp;Upload!U65&amp;Upload!V65))))),"",G75*0.000035)</f>
        <v/>
      </c>
    </row>
    <row r="76" spans="1:19" x14ac:dyDescent="0.2">
      <c r="A76" s="9" t="e">
        <f t="shared" ca="1" si="0"/>
        <v>#NAME?</v>
      </c>
      <c r="B76" s="9">
        <f>Upload!E66</f>
        <v>0</v>
      </c>
      <c r="C76" s="9">
        <f>Upload!AE66</f>
        <v>0</v>
      </c>
      <c r="D76" s="9">
        <f>Upload!AF66</f>
        <v>0</v>
      </c>
      <c r="E76" s="9">
        <f>Upload!AG66</f>
        <v>0</v>
      </c>
      <c r="F76" s="9" t="str">
        <f>Upload!X66</f>
        <v/>
      </c>
      <c r="G76" s="9" t="str">
        <f>Upload!Z66</f>
        <v/>
      </c>
      <c r="H76" s="9" t="str">
        <f>Upload!W66</f>
        <v>(seleccione)</v>
      </c>
      <c r="I76" s="9" t="str">
        <f>Upload!Y66</f>
        <v>(seleccione)</v>
      </c>
      <c r="K76" s="15" t="str">
        <f t="shared" si="1"/>
        <v/>
      </c>
      <c r="L76" s="15" t="str">
        <f t="shared" si="2"/>
        <v/>
      </c>
      <c r="M76" s="15" t="str">
        <f t="shared" si="3"/>
        <v/>
      </c>
      <c r="N76" s="15" t="str">
        <f t="shared" si="4"/>
        <v/>
      </c>
      <c r="O76" s="15" t="str">
        <f t="shared" si="5"/>
        <v/>
      </c>
      <c r="P76" s="15" t="str">
        <f>IF(OR(C76="",NOT(OR(ISNUMBER(SEARCH("Antitarnish",Upload!P66&amp;Upload!Q66&amp;Upload!R66&amp;Upload!S66&amp;Upload!T66)),ISNUMBER(SEARCH("Anti Tarnish",Upload!P66&amp;Upload!Q66&amp;Upload!R66&amp;Upload!S66&amp;Upload!T66))))),"",0.0012*C76)</f>
        <v/>
      </c>
      <c r="Q76" s="15" t="str">
        <f>IF(OR(E76="",NOT(OR(ISNUMBER(SEARCH("Epóxico MT",Upload!P66&amp;Upload!Q66&amp;Upload!R66&amp;Upload!S66&amp;Upload!T66))))),"",E76*0.000035)</f>
        <v/>
      </c>
      <c r="R76" s="15" t="str">
        <f>IF(OR(F76="",NOT(OR(ISNUMBER(SEARCH("Epóxico BT",Upload!Q66&amp;Upload!R66&amp;Upload!S66&amp;Upload!T66&amp;Upload!U66))))),"",F76*0.000035)</f>
        <v/>
      </c>
      <c r="S76" s="15" t="str">
        <f>IF(OR(G76="",NOT(OR(ISNUMBER(SEARCH("Epóxico Rojo",Upload!R66&amp;Upload!S66&amp;Upload!T66&amp;Upload!U66&amp;Upload!V66))))),"",G76*0.000035)</f>
        <v/>
      </c>
    </row>
    <row r="77" spans="1:19" x14ac:dyDescent="0.2">
      <c r="A77" s="9" t="e">
        <f t="shared" ca="1" si="0"/>
        <v>#NAME?</v>
      </c>
      <c r="B77" s="9">
        <f>Upload!E67</f>
        <v>0</v>
      </c>
      <c r="C77" s="9">
        <f>Upload!AE67</f>
        <v>0</v>
      </c>
      <c r="D77" s="9">
        <f>Upload!AF67</f>
        <v>0</v>
      </c>
      <c r="E77" s="9">
        <f>Upload!AG67</f>
        <v>0</v>
      </c>
      <c r="F77" s="9" t="str">
        <f>Upload!X67</f>
        <v/>
      </c>
      <c r="G77" s="9" t="str">
        <f>Upload!Z67</f>
        <v/>
      </c>
      <c r="H77" s="9" t="str">
        <f>Upload!W67</f>
        <v>(seleccione)</v>
      </c>
      <c r="I77" s="9" t="str">
        <f>Upload!Y67</f>
        <v>(seleccione)</v>
      </c>
      <c r="K77" s="15" t="str">
        <f t="shared" si="1"/>
        <v/>
      </c>
      <c r="L77" s="15" t="str">
        <f t="shared" si="2"/>
        <v/>
      </c>
      <c r="M77" s="15" t="str">
        <f t="shared" si="3"/>
        <v/>
      </c>
      <c r="N77" s="15" t="str">
        <f t="shared" si="4"/>
        <v/>
      </c>
      <c r="O77" s="15" t="str">
        <f t="shared" si="5"/>
        <v/>
      </c>
      <c r="P77" s="15" t="str">
        <f>IF(OR(C77="",NOT(OR(ISNUMBER(SEARCH("Antitarnish",Upload!P67&amp;Upload!Q67&amp;Upload!R67&amp;Upload!S67&amp;Upload!T67)),ISNUMBER(SEARCH("Anti Tarnish",Upload!P67&amp;Upload!Q67&amp;Upload!R67&amp;Upload!S67&amp;Upload!T67))))),"",0.0012*C77)</f>
        <v/>
      </c>
      <c r="Q77" s="15" t="str">
        <f>IF(OR(E77="",NOT(OR(ISNUMBER(SEARCH("Epóxico MT",Upload!P67&amp;Upload!Q67&amp;Upload!R67&amp;Upload!S67&amp;Upload!T67))))),"",E77*0.000035)</f>
        <v/>
      </c>
      <c r="R77" s="15" t="str">
        <f>IF(OR(F77="",NOT(OR(ISNUMBER(SEARCH("Epóxico BT",Upload!Q67&amp;Upload!R67&amp;Upload!S67&amp;Upload!T67&amp;Upload!U67))))),"",F77*0.000035)</f>
        <v/>
      </c>
      <c r="S77" s="15" t="str">
        <f>IF(OR(G77="",NOT(OR(ISNUMBER(SEARCH("Epóxico Rojo",Upload!R67&amp;Upload!S67&amp;Upload!T67&amp;Upload!U67&amp;Upload!V67))))),"",G77*0.000035)</f>
        <v/>
      </c>
    </row>
    <row r="78" spans="1:19" x14ac:dyDescent="0.2">
      <c r="A78" s="9" t="e">
        <f t="shared" ca="1" si="0"/>
        <v>#NAME?</v>
      </c>
      <c r="B78" s="9">
        <f>Upload!E68</f>
        <v>0</v>
      </c>
      <c r="C78" s="9">
        <f>Upload!AE68</f>
        <v>0</v>
      </c>
      <c r="D78" s="9">
        <f>Upload!AF68</f>
        <v>0</v>
      </c>
      <c r="E78" s="9">
        <f>Upload!AG68</f>
        <v>0</v>
      </c>
      <c r="F78" s="9" t="str">
        <f>Upload!X68</f>
        <v/>
      </c>
      <c r="G78" s="9" t="str">
        <f>Upload!Z68</f>
        <v/>
      </c>
      <c r="H78" s="9" t="str">
        <f>Upload!W68</f>
        <v>(seleccione)</v>
      </c>
      <c r="I78" s="9" t="str">
        <f>Upload!Y68</f>
        <v>(seleccione)</v>
      </c>
      <c r="K78" s="15" t="str">
        <f t="shared" si="1"/>
        <v/>
      </c>
      <c r="L78" s="15" t="str">
        <f t="shared" si="2"/>
        <v/>
      </c>
      <c r="M78" s="15" t="str">
        <f t="shared" si="3"/>
        <v/>
      </c>
      <c r="N78" s="15" t="str">
        <f t="shared" si="4"/>
        <v/>
      </c>
      <c r="O78" s="15" t="str">
        <f t="shared" si="5"/>
        <v/>
      </c>
      <c r="P78" s="15" t="str">
        <f>IF(OR(C78="",NOT(OR(ISNUMBER(SEARCH("Antitarnish",Upload!P68&amp;Upload!Q68&amp;Upload!R68&amp;Upload!S68&amp;Upload!T68)),ISNUMBER(SEARCH("Anti Tarnish",Upload!P68&amp;Upload!Q68&amp;Upload!R68&amp;Upload!S68&amp;Upload!T68))))),"",0.0012*C78)</f>
        <v/>
      </c>
      <c r="Q78" s="15" t="str">
        <f>IF(OR(E78="",NOT(OR(ISNUMBER(SEARCH("Epóxico MT",Upload!P68&amp;Upload!Q68&amp;Upload!R68&amp;Upload!S68&amp;Upload!T68))))),"",E78*0.000035)</f>
        <v/>
      </c>
      <c r="R78" s="15" t="str">
        <f>IF(OR(F78="",NOT(OR(ISNUMBER(SEARCH("Epóxico BT",Upload!Q68&amp;Upload!R68&amp;Upload!S68&amp;Upload!T68&amp;Upload!U68))))),"",F78*0.000035)</f>
        <v/>
      </c>
      <c r="S78" s="15" t="str">
        <f>IF(OR(G78="",NOT(OR(ISNUMBER(SEARCH("Epóxico Rojo",Upload!R68&amp;Upload!S68&amp;Upload!T68&amp;Upload!U68&amp;Upload!V68))))),"",G78*0.000035)</f>
        <v/>
      </c>
    </row>
    <row r="79" spans="1:19" x14ac:dyDescent="0.2">
      <c r="A79" s="9" t="e">
        <f t="shared" ca="1" si="0"/>
        <v>#NAME?</v>
      </c>
      <c r="B79" s="9">
        <f>Upload!E69</f>
        <v>0</v>
      </c>
      <c r="C79" s="9">
        <f>Upload!AE69</f>
        <v>0</v>
      </c>
      <c r="D79" s="9">
        <f>Upload!AF69</f>
        <v>0</v>
      </c>
      <c r="E79" s="9">
        <f>Upload!AG69</f>
        <v>0</v>
      </c>
      <c r="F79" s="9" t="str">
        <f>Upload!X69</f>
        <v/>
      </c>
      <c r="G79" s="9" t="str">
        <f>Upload!Z69</f>
        <v/>
      </c>
      <c r="H79" s="9" t="str">
        <f>Upload!W69</f>
        <v>(seleccione)</v>
      </c>
      <c r="I79" s="9" t="str">
        <f>Upload!Y69</f>
        <v>(seleccione)</v>
      </c>
      <c r="K79" s="15" t="str">
        <f t="shared" si="1"/>
        <v/>
      </c>
      <c r="L79" s="15" t="str">
        <f t="shared" si="2"/>
        <v/>
      </c>
      <c r="M79" s="15" t="str">
        <f t="shared" si="3"/>
        <v/>
      </c>
      <c r="N79" s="15" t="str">
        <f t="shared" si="4"/>
        <v/>
      </c>
      <c r="O79" s="15" t="str">
        <f t="shared" si="5"/>
        <v/>
      </c>
      <c r="P79" s="15" t="str">
        <f>IF(OR(C79="",NOT(OR(ISNUMBER(SEARCH("Antitarnish",Upload!P69&amp;Upload!Q69&amp;Upload!R69&amp;Upload!S69&amp;Upload!T69)),ISNUMBER(SEARCH("Anti Tarnish",Upload!P69&amp;Upload!Q69&amp;Upload!R69&amp;Upload!S69&amp;Upload!T69))))),"",0.0012*C79)</f>
        <v/>
      </c>
      <c r="Q79" s="15" t="str">
        <f>IF(OR(E79="",NOT(OR(ISNUMBER(SEARCH("Epóxico MT",Upload!P69&amp;Upload!Q69&amp;Upload!R69&amp;Upload!S69&amp;Upload!T69))))),"",E79*0.000035)</f>
        <v/>
      </c>
      <c r="R79" s="15" t="str">
        <f>IF(OR(F79="",NOT(OR(ISNUMBER(SEARCH("Epóxico BT",Upload!Q69&amp;Upload!R69&amp;Upload!S69&amp;Upload!T69&amp;Upload!U69))))),"",F79*0.000035)</f>
        <v/>
      </c>
      <c r="S79" s="15" t="str">
        <f>IF(OR(G79="",NOT(OR(ISNUMBER(SEARCH("Epóxico Rojo",Upload!R69&amp;Upload!S69&amp;Upload!T69&amp;Upload!U69&amp;Upload!V69))))),"",G79*0.000035)</f>
        <v/>
      </c>
    </row>
    <row r="80" spans="1:19" x14ac:dyDescent="0.2">
      <c r="A80" s="9" t="e">
        <f t="shared" ca="1" si="0"/>
        <v>#NAME?</v>
      </c>
      <c r="B80" s="9">
        <f>Upload!E70</f>
        <v>0</v>
      </c>
      <c r="C80" s="9">
        <f>Upload!AE70</f>
        <v>0</v>
      </c>
      <c r="D80" s="9">
        <f>Upload!AF70</f>
        <v>0</v>
      </c>
      <c r="E80" s="9">
        <f>Upload!AG70</f>
        <v>0</v>
      </c>
      <c r="F80" s="9" t="str">
        <f>Upload!X70</f>
        <v/>
      </c>
      <c r="G80" s="9" t="str">
        <f>Upload!Z70</f>
        <v/>
      </c>
      <c r="H80" s="9" t="str">
        <f>Upload!W70</f>
        <v>(seleccione)</v>
      </c>
      <c r="I80" s="9" t="str">
        <f>Upload!Y70</f>
        <v>(seleccione)</v>
      </c>
      <c r="K80" s="15" t="str">
        <f t="shared" si="1"/>
        <v/>
      </c>
      <c r="L80" s="15" t="str">
        <f t="shared" si="2"/>
        <v/>
      </c>
      <c r="M80" s="15" t="str">
        <f t="shared" si="3"/>
        <v/>
      </c>
      <c r="N80" s="15" t="str">
        <f t="shared" si="4"/>
        <v/>
      </c>
      <c r="O80" s="15" t="str">
        <f t="shared" si="5"/>
        <v/>
      </c>
      <c r="P80" s="15" t="str">
        <f>IF(OR(C80="",NOT(OR(ISNUMBER(SEARCH("Antitarnish",Upload!P70&amp;Upload!Q70&amp;Upload!R70&amp;Upload!S70&amp;Upload!T70)),ISNUMBER(SEARCH("Anti Tarnish",Upload!P70&amp;Upload!Q70&amp;Upload!R70&amp;Upload!S70&amp;Upload!T70))))),"",0.0012*C80)</f>
        <v/>
      </c>
      <c r="Q80" s="15" t="str">
        <f>IF(OR(E80="",NOT(OR(ISNUMBER(SEARCH("Epóxico MT",Upload!P70&amp;Upload!Q70&amp;Upload!R70&amp;Upload!S70&amp;Upload!T70))))),"",E80*0.000035)</f>
        <v/>
      </c>
      <c r="R80" s="15" t="str">
        <f>IF(OR(F80="",NOT(OR(ISNUMBER(SEARCH("Epóxico BT",Upload!Q70&amp;Upload!R70&amp;Upload!S70&amp;Upload!T70&amp;Upload!U70))))),"",F80*0.000035)</f>
        <v/>
      </c>
      <c r="S80" s="15" t="str">
        <f>IF(OR(G80="",NOT(OR(ISNUMBER(SEARCH("Epóxico Rojo",Upload!R70&amp;Upload!S70&amp;Upload!T70&amp;Upload!U70&amp;Upload!V70))))),"",G80*0.000035)</f>
        <v/>
      </c>
    </row>
    <row r="81" spans="1:19" x14ac:dyDescent="0.2">
      <c r="A81" s="9" t="e">
        <f t="shared" ca="1" si="0"/>
        <v>#NAME?</v>
      </c>
      <c r="B81" s="9">
        <f>Upload!E71</f>
        <v>0</v>
      </c>
      <c r="C81" s="9">
        <f>Upload!AE71</f>
        <v>0</v>
      </c>
      <c r="D81" s="9">
        <f>Upload!AF71</f>
        <v>0</v>
      </c>
      <c r="E81" s="9">
        <f>Upload!AG71</f>
        <v>0</v>
      </c>
      <c r="F81" s="9" t="str">
        <f>Upload!X71</f>
        <v/>
      </c>
      <c r="G81" s="9" t="str">
        <f>Upload!Z71</f>
        <v/>
      </c>
      <c r="H81" s="9" t="str">
        <f>Upload!W71</f>
        <v>(seleccione)</v>
      </c>
      <c r="I81" s="9" t="str">
        <f>Upload!Y71</f>
        <v>(seleccione)</v>
      </c>
      <c r="K81" s="15" t="str">
        <f t="shared" si="1"/>
        <v/>
      </c>
      <c r="L81" s="15" t="str">
        <f t="shared" si="2"/>
        <v/>
      </c>
      <c r="M81" s="15" t="str">
        <f t="shared" si="3"/>
        <v/>
      </c>
      <c r="N81" s="15" t="str">
        <f t="shared" si="4"/>
        <v/>
      </c>
      <c r="O81" s="15" t="str">
        <f t="shared" si="5"/>
        <v/>
      </c>
      <c r="P81" s="15" t="str">
        <f>IF(OR(C81="",NOT(OR(ISNUMBER(SEARCH("Antitarnish",Upload!P71&amp;Upload!Q71&amp;Upload!R71&amp;Upload!S71&amp;Upload!T71)),ISNUMBER(SEARCH("Anti Tarnish",Upload!P71&amp;Upload!Q71&amp;Upload!R71&amp;Upload!S71&amp;Upload!T71))))),"",0.0012*C81)</f>
        <v/>
      </c>
      <c r="Q81" s="15" t="str">
        <f>IF(OR(E81="",NOT(OR(ISNUMBER(SEARCH("Epóxico MT",Upload!P71&amp;Upload!Q71&amp;Upload!R71&amp;Upload!S71&amp;Upload!T71))))),"",E81*0.000035)</f>
        <v/>
      </c>
      <c r="R81" s="15" t="str">
        <f>IF(OR(F81="",NOT(OR(ISNUMBER(SEARCH("Epóxico BT",Upload!Q71&amp;Upload!R71&amp;Upload!S71&amp;Upload!T71&amp;Upload!U71))))),"",F81*0.000035)</f>
        <v/>
      </c>
      <c r="S81" s="15" t="str">
        <f>IF(OR(G81="",NOT(OR(ISNUMBER(SEARCH("Epóxico Rojo",Upload!R71&amp;Upload!S71&amp;Upload!T71&amp;Upload!U71&amp;Upload!V71))))),"",G81*0.000035)</f>
        <v/>
      </c>
    </row>
    <row r="82" spans="1:19" x14ac:dyDescent="0.2">
      <c r="A82" s="9" t="e">
        <f t="shared" ca="1" si="0"/>
        <v>#NAME?</v>
      </c>
      <c r="B82" s="9">
        <f>Upload!E72</f>
        <v>0</v>
      </c>
      <c r="C82" s="9">
        <f>Upload!AE72</f>
        <v>0</v>
      </c>
      <c r="D82" s="9">
        <f>Upload!AF72</f>
        <v>0</v>
      </c>
      <c r="E82" s="9">
        <f>Upload!AG72</f>
        <v>0</v>
      </c>
      <c r="F82" s="9" t="str">
        <f>Upload!X72</f>
        <v/>
      </c>
      <c r="G82" s="9" t="str">
        <f>Upload!Z72</f>
        <v/>
      </c>
      <c r="H82" s="9" t="str">
        <f>Upload!W72</f>
        <v>(seleccione)</v>
      </c>
      <c r="I82" s="9" t="str">
        <f>Upload!Y72</f>
        <v>(seleccione)</v>
      </c>
      <c r="K82" s="15" t="str">
        <f t="shared" si="1"/>
        <v/>
      </c>
      <c r="L82" s="15" t="str">
        <f t="shared" si="2"/>
        <v/>
      </c>
      <c r="M82" s="15" t="str">
        <f t="shared" si="3"/>
        <v/>
      </c>
      <c r="N82" s="15" t="str">
        <f t="shared" si="4"/>
        <v/>
      </c>
      <c r="O82" s="15" t="str">
        <f t="shared" si="5"/>
        <v/>
      </c>
      <c r="P82" s="15" t="str">
        <f>IF(OR(C82="",NOT(OR(ISNUMBER(SEARCH("Antitarnish",Upload!P72&amp;Upload!Q72&amp;Upload!R72&amp;Upload!S72&amp;Upload!T72)),ISNUMBER(SEARCH("Anti Tarnish",Upload!P72&amp;Upload!Q72&amp;Upload!R72&amp;Upload!S72&amp;Upload!T72))))),"",0.0012*C82)</f>
        <v/>
      </c>
      <c r="Q82" s="15" t="str">
        <f>IF(OR(E82="",NOT(OR(ISNUMBER(SEARCH("Epóxico MT",Upload!P72&amp;Upload!Q72&amp;Upload!R72&amp;Upload!S72&amp;Upload!T72))))),"",E82*0.000035)</f>
        <v/>
      </c>
      <c r="R82" s="15" t="str">
        <f>IF(OR(F82="",NOT(OR(ISNUMBER(SEARCH("Epóxico BT",Upload!Q72&amp;Upload!R72&amp;Upload!S72&amp;Upload!T72&amp;Upload!U72))))),"",F82*0.000035)</f>
        <v/>
      </c>
      <c r="S82" s="15" t="str">
        <f>IF(OR(G82="",NOT(OR(ISNUMBER(SEARCH("Epóxico Rojo",Upload!R72&amp;Upload!S72&amp;Upload!T72&amp;Upload!U72&amp;Upload!V72))))),"",G82*0.000035)</f>
        <v/>
      </c>
    </row>
    <row r="83" spans="1:19" x14ac:dyDescent="0.2">
      <c r="A83" s="9" t="e">
        <f t="shared" ref="A83:A146" ca="1" si="6">_xludf.ROW()-18</f>
        <v>#NAME?</v>
      </c>
      <c r="B83" s="9">
        <f>Upload!E73</f>
        <v>0</v>
      </c>
      <c r="C83" s="9">
        <f>Upload!AE73</f>
        <v>0</v>
      </c>
      <c r="D83" s="9">
        <f>Upload!AF73</f>
        <v>0</v>
      </c>
      <c r="E83" s="9">
        <f>Upload!AG73</f>
        <v>0</v>
      </c>
      <c r="F83" s="9" t="str">
        <f>Upload!X73</f>
        <v/>
      </c>
      <c r="G83" s="9" t="str">
        <f>Upload!Z73</f>
        <v/>
      </c>
      <c r="H83" s="9" t="str">
        <f>Upload!W73</f>
        <v>(seleccione)</v>
      </c>
      <c r="I83" s="9" t="str">
        <f>Upload!Y73</f>
        <v>(seleccione)</v>
      </c>
      <c r="K83" s="15" t="str">
        <f t="shared" ref="K83:K146" si="7">IFERROR(IF(OR(D83="",IF(ISNUMBER(SEARCH("Plata",H83)),F83,IF(ISNUMBER(SEARCH("Plata",I83)),G83,""))=""),"",$D$6*D83*(IF(ISNUMBER(SEARCH("Plata",H83)),F83,IF(ISNUMBER(SEARCH("Plata",I83)),G83,"")))/10000000),"")</f>
        <v/>
      </c>
      <c r="L83" s="15" t="str">
        <f t="shared" ref="L83:L146" si="8">IFERROR(IF(OR(D83="",IF(OR(ISNUMBER(SEARCH("Estaño",H83)),ISNUMBER(SEARCH("Estañ",H83)),ISNUMBER(SEARCH("Tin",H83))),F83,IF(OR(ISNUMBER(SEARCH("Estaño",I83)),ISNUMBER(SEARCH("Estañ",I83)),ISNUMBER(SEARCH("Tin",I83))),G83,""))=""),"",$D$7*D83*(IF(OR(ISNUMBER(SEARCH("Estaño",H83)),ISNUMBER(SEARCH("Estañ",H83)),ISNUMBER(SEARCH("Tin",H83))),F83,IF(OR(ISNUMBER(SEARCH("Estaño",I83)),ISNUMBER(SEARCH("Estañ",I83)),ISNUMBER(SEARCH("Tin",I83))),G83,"")))/10000000),"")</f>
        <v/>
      </c>
      <c r="M83" s="15" t="str">
        <f t="shared" ref="M83:M146" si="9">IFERROR(IF(OR(D83="",IF(OR(ISNUMBER(SEARCH("Níquel",H83)),ISNUMBER(SEARCH("Niquel",H83))),F83,IF(OR(ISNUMBER(SEARCH("Níquel",I83)),ISNUMBER(SEARCH("Niquel",I83))),G83,""))=""),"",$D$8*D83*(IF(OR(ISNUMBER(SEARCH("Níquel",H83)),ISNUMBER(SEARCH("Niquel",H83))),F83,IF(OR(ISNUMBER(SEARCH("Níquel",I83)),ISNUMBER(SEARCH("Niquel",I83))),G83,"")))/10000000),"")</f>
        <v/>
      </c>
      <c r="N83" s="15" t="str">
        <f t="shared" ref="N83:N146" si="10">IFERROR(IF(OR(D83="",IF(ISNUMBER(SEARCH("Zinc",H83)),F83,IF(ISNUMBER(SEARCH("Zinc",I83)),G83,""))=""),"",$D$9*D83*(IF(ISNUMBER(SEARCH("Zinc",H83)),F83,IF(ISNUMBER(SEARCH("Zinc",I83)),G83,"")))/10000000),"")</f>
        <v/>
      </c>
      <c r="O83" s="15" t="str">
        <f t="shared" ref="O83:O146" si="11">IFERROR(IF(OR(D83="",IF(OR(ISNUMBER(SEARCH("Cobre",H83)),ISNUMBER(SEARCH("Bondal",H83))),F83,IF(OR(ISNUMBER(SEARCH("Cobre",I83)),ISNUMBER(SEARCH("Bondal",I83))),G83,""))=""),"",$D$10*D83*(IF(OR(ISNUMBER(SEARCH("Cobre",H83)),ISNUMBER(SEARCH("Bondal",H83))),F83,IF(OR(ISNUMBER(SEARCH("Cobre",I83)),ISNUMBER(SEARCH("Bondal",I83))),G83,"")))/10000000),"")</f>
        <v/>
      </c>
      <c r="P83" s="15" t="str">
        <f>IF(OR(C83="",NOT(OR(ISNUMBER(SEARCH("Antitarnish",Upload!P73&amp;Upload!Q73&amp;Upload!R73&amp;Upload!S73&amp;Upload!T73)),ISNUMBER(SEARCH("Anti Tarnish",Upload!P73&amp;Upload!Q73&amp;Upload!R73&amp;Upload!S73&amp;Upload!T73))))),"",0.0012*C83)</f>
        <v/>
      </c>
      <c r="Q83" s="15" t="str">
        <f>IF(OR(E83="",NOT(OR(ISNUMBER(SEARCH("Epóxico MT",Upload!P73&amp;Upload!Q73&amp;Upload!R73&amp;Upload!S73&amp;Upload!T73))))),"",E83*0.000035)</f>
        <v/>
      </c>
      <c r="R83" s="15" t="str">
        <f>IF(OR(F83="",NOT(OR(ISNUMBER(SEARCH("Epóxico BT",Upload!Q73&amp;Upload!R73&amp;Upload!S73&amp;Upload!T73&amp;Upload!U73))))),"",F83*0.000035)</f>
        <v/>
      </c>
      <c r="S83" s="15" t="str">
        <f>IF(OR(G83="",NOT(OR(ISNUMBER(SEARCH("Epóxico Rojo",Upload!R73&amp;Upload!S73&amp;Upload!T73&amp;Upload!U73&amp;Upload!V73))))),"",G83*0.000035)</f>
        <v/>
      </c>
    </row>
    <row r="84" spans="1:19" x14ac:dyDescent="0.2">
      <c r="A84" s="9" t="e">
        <f t="shared" ca="1" si="6"/>
        <v>#NAME?</v>
      </c>
      <c r="B84" s="9">
        <f>Upload!E74</f>
        <v>0</v>
      </c>
      <c r="C84" s="9">
        <f>Upload!AE74</f>
        <v>0</v>
      </c>
      <c r="D84" s="9">
        <f>Upload!AF74</f>
        <v>0</v>
      </c>
      <c r="E84" s="9">
        <f>Upload!AG74</f>
        <v>0</v>
      </c>
      <c r="F84" s="9" t="str">
        <f>Upload!X74</f>
        <v/>
      </c>
      <c r="G84" s="9" t="str">
        <f>Upload!Z74</f>
        <v/>
      </c>
      <c r="H84" s="9" t="str">
        <f>Upload!W74</f>
        <v>(seleccione)</v>
      </c>
      <c r="I84" s="9" t="str">
        <f>Upload!Y74</f>
        <v>(seleccione)</v>
      </c>
      <c r="K84" s="15" t="str">
        <f t="shared" si="7"/>
        <v/>
      </c>
      <c r="L84" s="15" t="str">
        <f t="shared" si="8"/>
        <v/>
      </c>
      <c r="M84" s="15" t="str">
        <f t="shared" si="9"/>
        <v/>
      </c>
      <c r="N84" s="15" t="str">
        <f t="shared" si="10"/>
        <v/>
      </c>
      <c r="O84" s="15" t="str">
        <f t="shared" si="11"/>
        <v/>
      </c>
      <c r="P84" s="15" t="str">
        <f>IF(OR(C84="",NOT(OR(ISNUMBER(SEARCH("Antitarnish",Upload!P74&amp;Upload!Q74&amp;Upload!R74&amp;Upload!S74&amp;Upload!T74)),ISNUMBER(SEARCH("Anti Tarnish",Upload!P74&amp;Upload!Q74&amp;Upload!R74&amp;Upload!S74&amp;Upload!T74))))),"",0.0012*C84)</f>
        <v/>
      </c>
      <c r="Q84" s="15" t="str">
        <f>IF(OR(E84="",NOT(OR(ISNUMBER(SEARCH("Epóxico MT",Upload!P74&amp;Upload!Q74&amp;Upload!R74&amp;Upload!S74&amp;Upload!T74))))),"",E84*0.000035)</f>
        <v/>
      </c>
      <c r="R84" s="15" t="str">
        <f>IF(OR(F84="",NOT(OR(ISNUMBER(SEARCH("Epóxico BT",Upload!Q74&amp;Upload!R74&amp;Upload!S74&amp;Upload!T74&amp;Upload!U74))))),"",F84*0.000035)</f>
        <v/>
      </c>
      <c r="S84" s="15" t="str">
        <f>IF(OR(G84="",NOT(OR(ISNUMBER(SEARCH("Epóxico Rojo",Upload!R74&amp;Upload!S74&amp;Upload!T74&amp;Upload!U74&amp;Upload!V74))))),"",G84*0.000035)</f>
        <v/>
      </c>
    </row>
    <row r="85" spans="1:19" x14ac:dyDescent="0.2">
      <c r="A85" s="9" t="e">
        <f t="shared" ca="1" si="6"/>
        <v>#NAME?</v>
      </c>
      <c r="B85" s="9">
        <f>Upload!E75</f>
        <v>0</v>
      </c>
      <c r="C85" s="9">
        <f>Upload!AE75</f>
        <v>0</v>
      </c>
      <c r="D85" s="9">
        <f>Upload!AF75</f>
        <v>0</v>
      </c>
      <c r="E85" s="9">
        <f>Upload!AG75</f>
        <v>0</v>
      </c>
      <c r="F85" s="9" t="str">
        <f>Upload!X75</f>
        <v/>
      </c>
      <c r="G85" s="9" t="str">
        <f>Upload!Z75</f>
        <v/>
      </c>
      <c r="H85" s="9" t="str">
        <f>Upload!W75</f>
        <v>(seleccione)</v>
      </c>
      <c r="I85" s="9" t="str">
        <f>Upload!Y75</f>
        <v>(seleccione)</v>
      </c>
      <c r="K85" s="15" t="str">
        <f t="shared" si="7"/>
        <v/>
      </c>
      <c r="L85" s="15" t="str">
        <f t="shared" si="8"/>
        <v/>
      </c>
      <c r="M85" s="15" t="str">
        <f t="shared" si="9"/>
        <v/>
      </c>
      <c r="N85" s="15" t="str">
        <f t="shared" si="10"/>
        <v/>
      </c>
      <c r="O85" s="15" t="str">
        <f t="shared" si="11"/>
        <v/>
      </c>
      <c r="P85" s="15" t="str">
        <f>IF(OR(C85="",NOT(OR(ISNUMBER(SEARCH("Antitarnish",Upload!P75&amp;Upload!Q75&amp;Upload!R75&amp;Upload!S75&amp;Upload!T75)),ISNUMBER(SEARCH("Anti Tarnish",Upload!P75&amp;Upload!Q75&amp;Upload!R75&amp;Upload!S75&amp;Upload!T75))))),"",0.0012*C85)</f>
        <v/>
      </c>
      <c r="Q85" s="15" t="str">
        <f>IF(OR(E85="",NOT(OR(ISNUMBER(SEARCH("Epóxico MT",Upload!P75&amp;Upload!Q75&amp;Upload!R75&amp;Upload!S75&amp;Upload!T75))))),"",E85*0.000035)</f>
        <v/>
      </c>
      <c r="R85" s="15" t="str">
        <f>IF(OR(F85="",NOT(OR(ISNUMBER(SEARCH("Epóxico BT",Upload!Q75&amp;Upload!R75&amp;Upload!S75&amp;Upload!T75&amp;Upload!U75))))),"",F85*0.000035)</f>
        <v/>
      </c>
      <c r="S85" s="15" t="str">
        <f>IF(OR(G85="",NOT(OR(ISNUMBER(SEARCH("Epóxico Rojo",Upload!R75&amp;Upload!S75&amp;Upload!T75&amp;Upload!U75&amp;Upload!V75))))),"",G85*0.000035)</f>
        <v/>
      </c>
    </row>
    <row r="86" spans="1:19" x14ac:dyDescent="0.2">
      <c r="A86" s="9" t="e">
        <f t="shared" ca="1" si="6"/>
        <v>#NAME?</v>
      </c>
      <c r="B86" s="9">
        <f>Upload!E76</f>
        <v>0</v>
      </c>
      <c r="C86" s="9">
        <f>Upload!AE76</f>
        <v>0</v>
      </c>
      <c r="D86" s="9">
        <f>Upload!AF76</f>
        <v>0</v>
      </c>
      <c r="E86" s="9">
        <f>Upload!AG76</f>
        <v>0</v>
      </c>
      <c r="F86" s="9" t="str">
        <f>Upload!X76</f>
        <v/>
      </c>
      <c r="G86" s="9" t="str">
        <f>Upload!Z76</f>
        <v/>
      </c>
      <c r="H86" s="9" t="str">
        <f>Upload!W76</f>
        <v>(seleccione)</v>
      </c>
      <c r="I86" s="9" t="str">
        <f>Upload!Y76</f>
        <v>(seleccione)</v>
      </c>
      <c r="K86" s="15" t="str">
        <f t="shared" si="7"/>
        <v/>
      </c>
      <c r="L86" s="15" t="str">
        <f t="shared" si="8"/>
        <v/>
      </c>
      <c r="M86" s="15" t="str">
        <f t="shared" si="9"/>
        <v/>
      </c>
      <c r="N86" s="15" t="str">
        <f t="shared" si="10"/>
        <v/>
      </c>
      <c r="O86" s="15" t="str">
        <f t="shared" si="11"/>
        <v/>
      </c>
      <c r="P86" s="15" t="str">
        <f>IF(OR(C86="",NOT(OR(ISNUMBER(SEARCH("Antitarnish",Upload!P76&amp;Upload!Q76&amp;Upload!R76&amp;Upload!S76&amp;Upload!T76)),ISNUMBER(SEARCH("Anti Tarnish",Upload!P76&amp;Upload!Q76&amp;Upload!R76&amp;Upload!S76&amp;Upload!T76))))),"",0.0012*C86)</f>
        <v/>
      </c>
      <c r="Q86" s="15" t="str">
        <f>IF(OR(E86="",NOT(OR(ISNUMBER(SEARCH("Epóxico MT",Upload!P76&amp;Upload!Q76&amp;Upload!R76&amp;Upload!S76&amp;Upload!T76))))),"",E86*0.000035)</f>
        <v/>
      </c>
      <c r="R86" s="15" t="str">
        <f>IF(OR(F86="",NOT(OR(ISNUMBER(SEARCH("Epóxico BT",Upload!Q76&amp;Upload!R76&amp;Upload!S76&amp;Upload!T76&amp;Upload!U76))))),"",F86*0.000035)</f>
        <v/>
      </c>
      <c r="S86" s="15" t="str">
        <f>IF(OR(G86="",NOT(OR(ISNUMBER(SEARCH("Epóxico Rojo",Upload!R76&amp;Upload!S76&amp;Upload!T76&amp;Upload!U76&amp;Upload!V76))))),"",G86*0.000035)</f>
        <v/>
      </c>
    </row>
    <row r="87" spans="1:19" x14ac:dyDescent="0.2">
      <c r="A87" s="9" t="e">
        <f t="shared" ca="1" si="6"/>
        <v>#NAME?</v>
      </c>
      <c r="B87" s="9">
        <f>Upload!E77</f>
        <v>0</v>
      </c>
      <c r="C87" s="9">
        <f>Upload!AE77</f>
        <v>0</v>
      </c>
      <c r="D87" s="9">
        <f>Upload!AF77</f>
        <v>0</v>
      </c>
      <c r="E87" s="9">
        <f>Upload!AG77</f>
        <v>0</v>
      </c>
      <c r="F87" s="9" t="str">
        <f>Upload!X77</f>
        <v/>
      </c>
      <c r="G87" s="9" t="str">
        <f>Upload!Z77</f>
        <v/>
      </c>
      <c r="H87" s="9" t="str">
        <f>Upload!W77</f>
        <v>(seleccione)</v>
      </c>
      <c r="I87" s="9" t="str">
        <f>Upload!Y77</f>
        <v>(seleccione)</v>
      </c>
      <c r="K87" s="15" t="str">
        <f t="shared" si="7"/>
        <v/>
      </c>
      <c r="L87" s="15" t="str">
        <f t="shared" si="8"/>
        <v/>
      </c>
      <c r="M87" s="15" t="str">
        <f t="shared" si="9"/>
        <v/>
      </c>
      <c r="N87" s="15" t="str">
        <f t="shared" si="10"/>
        <v/>
      </c>
      <c r="O87" s="15" t="str">
        <f t="shared" si="11"/>
        <v/>
      </c>
      <c r="P87" s="15" t="str">
        <f>IF(OR(C87="",NOT(OR(ISNUMBER(SEARCH("Antitarnish",Upload!P77&amp;Upload!Q77&amp;Upload!R77&amp;Upload!S77&amp;Upload!T77)),ISNUMBER(SEARCH("Anti Tarnish",Upload!P77&amp;Upload!Q77&amp;Upload!R77&amp;Upload!S77&amp;Upload!T77))))),"",0.0012*C87)</f>
        <v/>
      </c>
      <c r="Q87" s="15" t="str">
        <f>IF(OR(E87="",NOT(OR(ISNUMBER(SEARCH("Epóxico MT",Upload!P77&amp;Upload!Q77&amp;Upload!R77&amp;Upload!S77&amp;Upload!T77))))),"",E87*0.000035)</f>
        <v/>
      </c>
      <c r="R87" s="15" t="str">
        <f>IF(OR(F87="",NOT(OR(ISNUMBER(SEARCH("Epóxico BT",Upload!Q77&amp;Upload!R77&amp;Upload!S77&amp;Upload!T77&amp;Upload!U77))))),"",F87*0.000035)</f>
        <v/>
      </c>
      <c r="S87" s="15" t="str">
        <f>IF(OR(G87="",NOT(OR(ISNUMBER(SEARCH("Epóxico Rojo",Upload!R77&amp;Upload!S77&amp;Upload!T77&amp;Upload!U77&amp;Upload!V77))))),"",G87*0.000035)</f>
        <v/>
      </c>
    </row>
    <row r="88" spans="1:19" x14ac:dyDescent="0.2">
      <c r="A88" s="9" t="e">
        <f t="shared" ca="1" si="6"/>
        <v>#NAME?</v>
      </c>
      <c r="B88" s="9">
        <f>Upload!E78</f>
        <v>0</v>
      </c>
      <c r="C88" s="9">
        <f>Upload!AE78</f>
        <v>0</v>
      </c>
      <c r="D88" s="9">
        <f>Upload!AF78</f>
        <v>0</v>
      </c>
      <c r="E88" s="9">
        <f>Upload!AG78</f>
        <v>0</v>
      </c>
      <c r="F88" s="9" t="str">
        <f>Upload!X78</f>
        <v/>
      </c>
      <c r="G88" s="9" t="str">
        <f>Upload!Z78</f>
        <v/>
      </c>
      <c r="H88" s="9" t="str">
        <f>Upload!W78</f>
        <v>(seleccione)</v>
      </c>
      <c r="I88" s="9" t="str">
        <f>Upload!Y78</f>
        <v>(seleccione)</v>
      </c>
      <c r="K88" s="15" t="str">
        <f t="shared" si="7"/>
        <v/>
      </c>
      <c r="L88" s="15" t="str">
        <f t="shared" si="8"/>
        <v/>
      </c>
      <c r="M88" s="15" t="str">
        <f t="shared" si="9"/>
        <v/>
      </c>
      <c r="N88" s="15" t="str">
        <f t="shared" si="10"/>
        <v/>
      </c>
      <c r="O88" s="15" t="str">
        <f t="shared" si="11"/>
        <v/>
      </c>
      <c r="P88" s="15" t="str">
        <f>IF(OR(C88="",NOT(OR(ISNUMBER(SEARCH("Antitarnish",Upload!P78&amp;Upload!Q78&amp;Upload!R78&amp;Upload!S78&amp;Upload!T78)),ISNUMBER(SEARCH("Anti Tarnish",Upload!P78&amp;Upload!Q78&amp;Upload!R78&amp;Upload!S78&amp;Upload!T78))))),"",0.0012*C88)</f>
        <v/>
      </c>
      <c r="Q88" s="15" t="str">
        <f>IF(OR(E88="",NOT(OR(ISNUMBER(SEARCH("Epóxico MT",Upload!P78&amp;Upload!Q78&amp;Upload!R78&amp;Upload!S78&amp;Upload!T78))))),"",E88*0.000035)</f>
        <v/>
      </c>
      <c r="R88" s="15" t="str">
        <f>IF(OR(F88="",NOT(OR(ISNUMBER(SEARCH("Epóxico BT",Upload!Q78&amp;Upload!R78&amp;Upload!S78&amp;Upload!T78&amp;Upload!U78))))),"",F88*0.000035)</f>
        <v/>
      </c>
      <c r="S88" s="15" t="str">
        <f>IF(OR(G88="",NOT(OR(ISNUMBER(SEARCH("Epóxico Rojo",Upload!R78&amp;Upload!S78&amp;Upload!T78&amp;Upload!U78&amp;Upload!V78))))),"",G88*0.000035)</f>
        <v/>
      </c>
    </row>
    <row r="89" spans="1:19" x14ac:dyDescent="0.2">
      <c r="A89" s="9" t="e">
        <f t="shared" ca="1" si="6"/>
        <v>#NAME?</v>
      </c>
      <c r="B89" s="9">
        <f>Upload!E79</f>
        <v>0</v>
      </c>
      <c r="C89" s="9">
        <f>Upload!AE79</f>
        <v>0</v>
      </c>
      <c r="D89" s="9">
        <f>Upload!AF79</f>
        <v>0</v>
      </c>
      <c r="E89" s="9">
        <f>Upload!AG79</f>
        <v>0</v>
      </c>
      <c r="F89" s="9" t="str">
        <f>Upload!X79</f>
        <v/>
      </c>
      <c r="G89" s="9" t="str">
        <f>Upload!Z79</f>
        <v/>
      </c>
      <c r="H89" s="9" t="str">
        <f>Upload!W79</f>
        <v>(seleccione)</v>
      </c>
      <c r="I89" s="9" t="str">
        <f>Upload!Y79</f>
        <v>(seleccione)</v>
      </c>
      <c r="K89" s="15" t="str">
        <f t="shared" si="7"/>
        <v/>
      </c>
      <c r="L89" s="15" t="str">
        <f t="shared" si="8"/>
        <v/>
      </c>
      <c r="M89" s="15" t="str">
        <f t="shared" si="9"/>
        <v/>
      </c>
      <c r="N89" s="15" t="str">
        <f t="shared" si="10"/>
        <v/>
      </c>
      <c r="O89" s="15" t="str">
        <f t="shared" si="11"/>
        <v/>
      </c>
      <c r="P89" s="15" t="str">
        <f>IF(OR(C89="",NOT(OR(ISNUMBER(SEARCH("Antitarnish",Upload!P79&amp;Upload!Q79&amp;Upload!R79&amp;Upload!S79&amp;Upload!T79)),ISNUMBER(SEARCH("Anti Tarnish",Upload!P79&amp;Upload!Q79&amp;Upload!R79&amp;Upload!S79&amp;Upload!T79))))),"",0.0012*C89)</f>
        <v/>
      </c>
      <c r="Q89" s="15" t="str">
        <f>IF(OR(E89="",NOT(OR(ISNUMBER(SEARCH("Epóxico MT",Upload!P79&amp;Upload!Q79&amp;Upload!R79&amp;Upload!S79&amp;Upload!T79))))),"",E89*0.000035)</f>
        <v/>
      </c>
      <c r="R89" s="15" t="str">
        <f>IF(OR(F89="",NOT(OR(ISNUMBER(SEARCH("Epóxico BT",Upload!Q79&amp;Upload!R79&amp;Upload!S79&amp;Upload!T79&amp;Upload!U79))))),"",F89*0.000035)</f>
        <v/>
      </c>
      <c r="S89" s="15" t="str">
        <f>IF(OR(G89="",NOT(OR(ISNUMBER(SEARCH("Epóxico Rojo",Upload!R79&amp;Upload!S79&amp;Upload!T79&amp;Upload!U79&amp;Upload!V79))))),"",G89*0.000035)</f>
        <v/>
      </c>
    </row>
    <row r="90" spans="1:19" x14ac:dyDescent="0.2">
      <c r="A90" s="9" t="e">
        <f t="shared" ca="1" si="6"/>
        <v>#NAME?</v>
      </c>
      <c r="B90" s="9">
        <f>Upload!E80</f>
        <v>0</v>
      </c>
      <c r="C90" s="9">
        <f>Upload!AE80</f>
        <v>0</v>
      </c>
      <c r="D90" s="9">
        <f>Upload!AF80</f>
        <v>0</v>
      </c>
      <c r="E90" s="9">
        <f>Upload!AG80</f>
        <v>0</v>
      </c>
      <c r="F90" s="9" t="str">
        <f>Upload!X80</f>
        <v/>
      </c>
      <c r="G90" s="9" t="str">
        <f>Upload!Z80</f>
        <v/>
      </c>
      <c r="H90" s="9" t="str">
        <f>Upload!W80</f>
        <v>(seleccione)</v>
      </c>
      <c r="I90" s="9" t="str">
        <f>Upload!Y80</f>
        <v>(seleccione)</v>
      </c>
      <c r="K90" s="15" t="str">
        <f t="shared" si="7"/>
        <v/>
      </c>
      <c r="L90" s="15" t="str">
        <f t="shared" si="8"/>
        <v/>
      </c>
      <c r="M90" s="15" t="str">
        <f t="shared" si="9"/>
        <v/>
      </c>
      <c r="N90" s="15" t="str">
        <f t="shared" si="10"/>
        <v/>
      </c>
      <c r="O90" s="15" t="str">
        <f t="shared" si="11"/>
        <v/>
      </c>
      <c r="P90" s="15" t="str">
        <f>IF(OR(C90="",NOT(OR(ISNUMBER(SEARCH("Antitarnish",Upload!P80&amp;Upload!Q80&amp;Upload!R80&amp;Upload!S80&amp;Upload!T80)),ISNUMBER(SEARCH("Anti Tarnish",Upload!P80&amp;Upload!Q80&amp;Upload!R80&amp;Upload!S80&amp;Upload!T80))))),"",0.0012*C90)</f>
        <v/>
      </c>
      <c r="Q90" s="15" t="str">
        <f>IF(OR(E90="",NOT(OR(ISNUMBER(SEARCH("Epóxico MT",Upload!P80&amp;Upload!Q80&amp;Upload!R80&amp;Upload!S80&amp;Upload!T80))))),"",E90*0.000035)</f>
        <v/>
      </c>
      <c r="R90" s="15" t="str">
        <f>IF(OR(F90="",NOT(OR(ISNUMBER(SEARCH("Epóxico BT",Upload!Q80&amp;Upload!R80&amp;Upload!S80&amp;Upload!T80&amp;Upload!U80))))),"",F90*0.000035)</f>
        <v/>
      </c>
      <c r="S90" s="15" t="str">
        <f>IF(OR(G90="",NOT(OR(ISNUMBER(SEARCH("Epóxico Rojo",Upload!R80&amp;Upload!S80&amp;Upload!T80&amp;Upload!U80&amp;Upload!V80))))),"",G90*0.000035)</f>
        <v/>
      </c>
    </row>
    <row r="91" spans="1:19" x14ac:dyDescent="0.2">
      <c r="A91" s="9" t="e">
        <f t="shared" ca="1" si="6"/>
        <v>#NAME?</v>
      </c>
      <c r="B91" s="9">
        <f>Upload!E81</f>
        <v>0</v>
      </c>
      <c r="C91" s="9">
        <f>Upload!AE81</f>
        <v>0</v>
      </c>
      <c r="D91" s="9">
        <f>Upload!AF81</f>
        <v>0</v>
      </c>
      <c r="E91" s="9">
        <f>Upload!AG81</f>
        <v>0</v>
      </c>
      <c r="F91" s="9" t="str">
        <f>Upload!X81</f>
        <v/>
      </c>
      <c r="G91" s="9" t="str">
        <f>Upload!Z81</f>
        <v/>
      </c>
      <c r="H91" s="9" t="str">
        <f>Upload!W81</f>
        <v>(seleccione)</v>
      </c>
      <c r="I91" s="9" t="str">
        <f>Upload!Y81</f>
        <v>(seleccione)</v>
      </c>
      <c r="K91" s="15" t="str">
        <f t="shared" si="7"/>
        <v/>
      </c>
      <c r="L91" s="15" t="str">
        <f t="shared" si="8"/>
        <v/>
      </c>
      <c r="M91" s="15" t="str">
        <f t="shared" si="9"/>
        <v/>
      </c>
      <c r="N91" s="15" t="str">
        <f t="shared" si="10"/>
        <v/>
      </c>
      <c r="O91" s="15" t="str">
        <f t="shared" si="11"/>
        <v/>
      </c>
      <c r="P91" s="15" t="str">
        <f>IF(OR(C91="",NOT(OR(ISNUMBER(SEARCH("Antitarnish",Upload!P81&amp;Upload!Q81&amp;Upload!R81&amp;Upload!S81&amp;Upload!T81)),ISNUMBER(SEARCH("Anti Tarnish",Upload!P81&amp;Upload!Q81&amp;Upload!R81&amp;Upload!S81&amp;Upload!T81))))),"",0.0012*C91)</f>
        <v/>
      </c>
      <c r="Q91" s="15" t="str">
        <f>IF(OR(E91="",NOT(OR(ISNUMBER(SEARCH("Epóxico MT",Upload!P81&amp;Upload!Q81&amp;Upload!R81&amp;Upload!S81&amp;Upload!T81))))),"",E91*0.000035)</f>
        <v/>
      </c>
      <c r="R91" s="15" t="str">
        <f>IF(OR(F91="",NOT(OR(ISNUMBER(SEARCH("Epóxico BT",Upload!Q81&amp;Upload!R81&amp;Upload!S81&amp;Upload!T81&amp;Upload!U81))))),"",F91*0.000035)</f>
        <v/>
      </c>
      <c r="S91" s="15" t="str">
        <f>IF(OR(G91="",NOT(OR(ISNUMBER(SEARCH("Epóxico Rojo",Upload!R81&amp;Upload!S81&amp;Upload!T81&amp;Upload!U81&amp;Upload!V81))))),"",G91*0.000035)</f>
        <v/>
      </c>
    </row>
    <row r="92" spans="1:19" x14ac:dyDescent="0.2">
      <c r="A92" s="9" t="e">
        <f t="shared" ca="1" si="6"/>
        <v>#NAME?</v>
      </c>
      <c r="B92" s="9">
        <f>Upload!E82</f>
        <v>0</v>
      </c>
      <c r="C92" s="9">
        <f>Upload!AE82</f>
        <v>0</v>
      </c>
      <c r="D92" s="9">
        <f>Upload!AF82</f>
        <v>0</v>
      </c>
      <c r="E92" s="9">
        <f>Upload!AG82</f>
        <v>0</v>
      </c>
      <c r="F92" s="9" t="str">
        <f>Upload!X82</f>
        <v/>
      </c>
      <c r="G92" s="9" t="str">
        <f>Upload!Z82</f>
        <v/>
      </c>
      <c r="H92" s="9" t="str">
        <f>Upload!W82</f>
        <v>(seleccione)</v>
      </c>
      <c r="I92" s="9" t="str">
        <f>Upload!Y82</f>
        <v>(seleccione)</v>
      </c>
      <c r="K92" s="15" t="str">
        <f t="shared" si="7"/>
        <v/>
      </c>
      <c r="L92" s="15" t="str">
        <f t="shared" si="8"/>
        <v/>
      </c>
      <c r="M92" s="15" t="str">
        <f t="shared" si="9"/>
        <v/>
      </c>
      <c r="N92" s="15" t="str">
        <f t="shared" si="10"/>
        <v/>
      </c>
      <c r="O92" s="15" t="str">
        <f t="shared" si="11"/>
        <v/>
      </c>
      <c r="P92" s="15" t="str">
        <f>IF(OR(C92="",NOT(OR(ISNUMBER(SEARCH("Antitarnish",Upload!P82&amp;Upload!Q82&amp;Upload!R82&amp;Upload!S82&amp;Upload!T82)),ISNUMBER(SEARCH("Anti Tarnish",Upload!P82&amp;Upload!Q82&amp;Upload!R82&amp;Upload!S82&amp;Upload!T82))))),"",0.0012*C92)</f>
        <v/>
      </c>
      <c r="Q92" s="15" t="str">
        <f>IF(OR(E92="",NOT(OR(ISNUMBER(SEARCH("Epóxico MT",Upload!P82&amp;Upload!Q82&amp;Upload!R82&amp;Upload!S82&amp;Upload!T82))))),"",E92*0.000035)</f>
        <v/>
      </c>
      <c r="R92" s="15" t="str">
        <f>IF(OR(F92="",NOT(OR(ISNUMBER(SEARCH("Epóxico BT",Upload!Q82&amp;Upload!R82&amp;Upload!S82&amp;Upload!T82&amp;Upload!U82))))),"",F92*0.000035)</f>
        <v/>
      </c>
      <c r="S92" s="15" t="str">
        <f>IF(OR(G92="",NOT(OR(ISNUMBER(SEARCH("Epóxico Rojo",Upload!R82&amp;Upload!S82&amp;Upload!T82&amp;Upload!U82&amp;Upload!V82))))),"",G92*0.000035)</f>
        <v/>
      </c>
    </row>
    <row r="93" spans="1:19" x14ac:dyDescent="0.2">
      <c r="A93" s="9" t="e">
        <f t="shared" ca="1" si="6"/>
        <v>#NAME?</v>
      </c>
      <c r="B93" s="9">
        <f>Upload!E83</f>
        <v>0</v>
      </c>
      <c r="C93" s="9">
        <f>Upload!AE83</f>
        <v>0</v>
      </c>
      <c r="D93" s="9">
        <f>Upload!AF83</f>
        <v>0</v>
      </c>
      <c r="E93" s="9">
        <f>Upload!AG83</f>
        <v>0</v>
      </c>
      <c r="F93" s="9" t="str">
        <f>Upload!X83</f>
        <v/>
      </c>
      <c r="G93" s="9" t="str">
        <f>Upload!Z83</f>
        <v/>
      </c>
      <c r="H93" s="9" t="str">
        <f>Upload!W83</f>
        <v>(seleccione)</v>
      </c>
      <c r="I93" s="9" t="str">
        <f>Upload!Y83</f>
        <v>(seleccione)</v>
      </c>
      <c r="K93" s="15" t="str">
        <f t="shared" si="7"/>
        <v/>
      </c>
      <c r="L93" s="15" t="str">
        <f t="shared" si="8"/>
        <v/>
      </c>
      <c r="M93" s="15" t="str">
        <f t="shared" si="9"/>
        <v/>
      </c>
      <c r="N93" s="15" t="str">
        <f t="shared" si="10"/>
        <v/>
      </c>
      <c r="O93" s="15" t="str">
        <f t="shared" si="11"/>
        <v/>
      </c>
      <c r="P93" s="15" t="str">
        <f>IF(OR(C93="",NOT(OR(ISNUMBER(SEARCH("Antitarnish",Upload!P83&amp;Upload!Q83&amp;Upload!R83&amp;Upload!S83&amp;Upload!T83)),ISNUMBER(SEARCH("Anti Tarnish",Upload!P83&amp;Upload!Q83&amp;Upload!R83&amp;Upload!S83&amp;Upload!T83))))),"",0.0012*C93)</f>
        <v/>
      </c>
      <c r="Q93" s="15" t="str">
        <f>IF(OR(E93="",NOT(OR(ISNUMBER(SEARCH("Epóxico MT",Upload!P83&amp;Upload!Q83&amp;Upload!R83&amp;Upload!S83&amp;Upload!T83))))),"",E93*0.000035)</f>
        <v/>
      </c>
      <c r="R93" s="15" t="str">
        <f>IF(OR(F93="",NOT(OR(ISNUMBER(SEARCH("Epóxico BT",Upload!Q83&amp;Upload!R83&amp;Upload!S83&amp;Upload!T83&amp;Upload!U83))))),"",F93*0.000035)</f>
        <v/>
      </c>
      <c r="S93" s="15" t="str">
        <f>IF(OR(G93="",NOT(OR(ISNUMBER(SEARCH("Epóxico Rojo",Upload!R83&amp;Upload!S83&amp;Upload!T83&amp;Upload!U83&amp;Upload!V83))))),"",G93*0.000035)</f>
        <v/>
      </c>
    </row>
    <row r="94" spans="1:19" x14ac:dyDescent="0.2">
      <c r="A94" s="9" t="e">
        <f t="shared" ca="1" si="6"/>
        <v>#NAME?</v>
      </c>
      <c r="B94" s="9">
        <f>Upload!E84</f>
        <v>0</v>
      </c>
      <c r="C94" s="9">
        <f>Upload!AE84</f>
        <v>0</v>
      </c>
      <c r="D94" s="9">
        <f>Upload!AF84</f>
        <v>0</v>
      </c>
      <c r="E94" s="9">
        <f>Upload!AG84</f>
        <v>0</v>
      </c>
      <c r="F94" s="9" t="str">
        <f>Upload!X84</f>
        <v/>
      </c>
      <c r="G94" s="9" t="str">
        <f>Upload!Z84</f>
        <v/>
      </c>
      <c r="H94" s="9" t="str">
        <f>Upload!W84</f>
        <v>(seleccione)</v>
      </c>
      <c r="I94" s="9" t="str">
        <f>Upload!Y84</f>
        <v>(seleccione)</v>
      </c>
      <c r="K94" s="15" t="str">
        <f t="shared" si="7"/>
        <v/>
      </c>
      <c r="L94" s="15" t="str">
        <f t="shared" si="8"/>
        <v/>
      </c>
      <c r="M94" s="15" t="str">
        <f t="shared" si="9"/>
        <v/>
      </c>
      <c r="N94" s="15" t="str">
        <f t="shared" si="10"/>
        <v/>
      </c>
      <c r="O94" s="15" t="str">
        <f t="shared" si="11"/>
        <v/>
      </c>
      <c r="P94" s="15" t="str">
        <f>IF(OR(C94="",NOT(OR(ISNUMBER(SEARCH("Antitarnish",Upload!P84&amp;Upload!Q84&amp;Upload!R84&amp;Upload!S84&amp;Upload!T84)),ISNUMBER(SEARCH("Anti Tarnish",Upload!P84&amp;Upload!Q84&amp;Upload!R84&amp;Upload!S84&amp;Upload!T84))))),"",0.0012*C94)</f>
        <v/>
      </c>
      <c r="Q94" s="15" t="str">
        <f>IF(OR(E94="",NOT(OR(ISNUMBER(SEARCH("Epóxico MT",Upload!P84&amp;Upload!Q84&amp;Upload!R84&amp;Upload!S84&amp;Upload!T84))))),"",E94*0.000035)</f>
        <v/>
      </c>
      <c r="R94" s="15" t="str">
        <f>IF(OR(F94="",NOT(OR(ISNUMBER(SEARCH("Epóxico BT",Upload!Q84&amp;Upload!R84&amp;Upload!S84&amp;Upload!T84&amp;Upload!U84))))),"",F94*0.000035)</f>
        <v/>
      </c>
      <c r="S94" s="15" t="str">
        <f>IF(OR(G94="",NOT(OR(ISNUMBER(SEARCH("Epóxico Rojo",Upload!R84&amp;Upload!S84&amp;Upload!T84&amp;Upload!U84&amp;Upload!V84))))),"",G94*0.000035)</f>
        <v/>
      </c>
    </row>
    <row r="95" spans="1:19" x14ac:dyDescent="0.2">
      <c r="A95" s="9" t="e">
        <f t="shared" ca="1" si="6"/>
        <v>#NAME?</v>
      </c>
      <c r="B95" s="9">
        <f>Upload!E85</f>
        <v>0</v>
      </c>
      <c r="C95" s="9">
        <f>Upload!AE85</f>
        <v>0</v>
      </c>
      <c r="D95" s="9">
        <f>Upload!AF85</f>
        <v>0</v>
      </c>
      <c r="E95" s="9">
        <f>Upload!AG85</f>
        <v>0</v>
      </c>
      <c r="F95" s="9" t="str">
        <f>Upload!X85</f>
        <v/>
      </c>
      <c r="G95" s="9" t="str">
        <f>Upload!Z85</f>
        <v/>
      </c>
      <c r="H95" s="9" t="str">
        <f>Upload!W85</f>
        <v>(seleccione)</v>
      </c>
      <c r="I95" s="9" t="str">
        <f>Upload!Y85</f>
        <v>(seleccione)</v>
      </c>
      <c r="K95" s="15" t="str">
        <f t="shared" si="7"/>
        <v/>
      </c>
      <c r="L95" s="15" t="str">
        <f t="shared" si="8"/>
        <v/>
      </c>
      <c r="M95" s="15" t="str">
        <f t="shared" si="9"/>
        <v/>
      </c>
      <c r="N95" s="15" t="str">
        <f t="shared" si="10"/>
        <v/>
      </c>
      <c r="O95" s="15" t="str">
        <f t="shared" si="11"/>
        <v/>
      </c>
      <c r="P95" s="15" t="str">
        <f>IF(OR(C95="",NOT(OR(ISNUMBER(SEARCH("Antitarnish",Upload!P85&amp;Upload!Q85&amp;Upload!R85&amp;Upload!S85&amp;Upload!T85)),ISNUMBER(SEARCH("Anti Tarnish",Upload!P85&amp;Upload!Q85&amp;Upload!R85&amp;Upload!S85&amp;Upload!T85))))),"",0.0012*C95)</f>
        <v/>
      </c>
      <c r="Q95" s="15" t="str">
        <f>IF(OR(E95="",NOT(OR(ISNUMBER(SEARCH("Epóxico MT",Upload!P85&amp;Upload!Q85&amp;Upload!R85&amp;Upload!S85&amp;Upload!T85))))),"",E95*0.000035)</f>
        <v/>
      </c>
      <c r="R95" s="15" t="str">
        <f>IF(OR(F95="",NOT(OR(ISNUMBER(SEARCH("Epóxico BT",Upload!Q85&amp;Upload!R85&amp;Upload!S85&amp;Upload!T85&amp;Upload!U85))))),"",F95*0.000035)</f>
        <v/>
      </c>
      <c r="S95" s="15" t="str">
        <f>IF(OR(G95="",NOT(OR(ISNUMBER(SEARCH("Epóxico Rojo",Upload!R85&amp;Upload!S85&amp;Upload!T85&amp;Upload!U85&amp;Upload!V85))))),"",G95*0.000035)</f>
        <v/>
      </c>
    </row>
    <row r="96" spans="1:19" x14ac:dyDescent="0.2">
      <c r="A96" s="9" t="e">
        <f t="shared" ca="1" si="6"/>
        <v>#NAME?</v>
      </c>
      <c r="B96" s="9">
        <f>Upload!E86</f>
        <v>0</v>
      </c>
      <c r="C96" s="9">
        <f>Upload!AE86</f>
        <v>0</v>
      </c>
      <c r="D96" s="9">
        <f>Upload!AF86</f>
        <v>0</v>
      </c>
      <c r="E96" s="9">
        <f>Upload!AG86</f>
        <v>0</v>
      </c>
      <c r="F96" s="9" t="str">
        <f>Upload!X86</f>
        <v/>
      </c>
      <c r="G96" s="9" t="str">
        <f>Upload!Z86</f>
        <v/>
      </c>
      <c r="H96" s="9" t="str">
        <f>Upload!W86</f>
        <v>(seleccione)</v>
      </c>
      <c r="I96" s="9" t="str">
        <f>Upload!Y86</f>
        <v>(seleccione)</v>
      </c>
      <c r="K96" s="15" t="str">
        <f t="shared" si="7"/>
        <v/>
      </c>
      <c r="L96" s="15" t="str">
        <f t="shared" si="8"/>
        <v/>
      </c>
      <c r="M96" s="15" t="str">
        <f t="shared" si="9"/>
        <v/>
      </c>
      <c r="N96" s="15" t="str">
        <f t="shared" si="10"/>
        <v/>
      </c>
      <c r="O96" s="15" t="str">
        <f t="shared" si="11"/>
        <v/>
      </c>
      <c r="P96" s="15" t="str">
        <f>IF(OR(C96="",NOT(OR(ISNUMBER(SEARCH("Antitarnish",Upload!P86&amp;Upload!Q86&amp;Upload!R86&amp;Upload!S86&amp;Upload!T86)),ISNUMBER(SEARCH("Anti Tarnish",Upload!P86&amp;Upload!Q86&amp;Upload!R86&amp;Upload!S86&amp;Upload!T86))))),"",0.0012*C96)</f>
        <v/>
      </c>
      <c r="Q96" s="15" t="str">
        <f>IF(OR(E96="",NOT(OR(ISNUMBER(SEARCH("Epóxico MT",Upload!P86&amp;Upload!Q86&amp;Upload!R86&amp;Upload!S86&amp;Upload!T86))))),"",E96*0.000035)</f>
        <v/>
      </c>
      <c r="R96" s="15" t="str">
        <f>IF(OR(F96="",NOT(OR(ISNUMBER(SEARCH("Epóxico BT",Upload!Q86&amp;Upload!R86&amp;Upload!S86&amp;Upload!T86&amp;Upload!U86))))),"",F96*0.000035)</f>
        <v/>
      </c>
      <c r="S96" s="15" t="str">
        <f>IF(OR(G96="",NOT(OR(ISNUMBER(SEARCH("Epóxico Rojo",Upload!R86&amp;Upload!S86&amp;Upload!T86&amp;Upload!U86&amp;Upload!V86))))),"",G96*0.000035)</f>
        <v/>
      </c>
    </row>
    <row r="97" spans="1:19" x14ac:dyDescent="0.2">
      <c r="A97" s="9" t="e">
        <f t="shared" ca="1" si="6"/>
        <v>#NAME?</v>
      </c>
      <c r="B97" s="9">
        <f>Upload!E87</f>
        <v>0</v>
      </c>
      <c r="C97" s="9">
        <f>Upload!AE87</f>
        <v>0</v>
      </c>
      <c r="D97" s="9">
        <f>Upload!AF87</f>
        <v>0</v>
      </c>
      <c r="E97" s="9">
        <f>Upload!AG87</f>
        <v>0</v>
      </c>
      <c r="F97" s="9" t="str">
        <f>Upload!X87</f>
        <v/>
      </c>
      <c r="G97" s="9" t="str">
        <f>Upload!Z87</f>
        <v/>
      </c>
      <c r="H97" s="9" t="str">
        <f>Upload!W87</f>
        <v>(seleccione)</v>
      </c>
      <c r="I97" s="9" t="str">
        <f>Upload!Y87</f>
        <v>(seleccione)</v>
      </c>
      <c r="K97" s="15" t="str">
        <f t="shared" si="7"/>
        <v/>
      </c>
      <c r="L97" s="15" t="str">
        <f t="shared" si="8"/>
        <v/>
      </c>
      <c r="M97" s="15" t="str">
        <f t="shared" si="9"/>
        <v/>
      </c>
      <c r="N97" s="15" t="str">
        <f t="shared" si="10"/>
        <v/>
      </c>
      <c r="O97" s="15" t="str">
        <f t="shared" si="11"/>
        <v/>
      </c>
      <c r="P97" s="15" t="str">
        <f>IF(OR(C97="",NOT(OR(ISNUMBER(SEARCH("Antitarnish",Upload!P87&amp;Upload!Q87&amp;Upload!R87&amp;Upload!S87&amp;Upload!T87)),ISNUMBER(SEARCH("Anti Tarnish",Upload!P87&amp;Upload!Q87&amp;Upload!R87&amp;Upload!S87&amp;Upload!T87))))),"",0.0012*C97)</f>
        <v/>
      </c>
      <c r="Q97" s="15" t="str">
        <f>IF(OR(E97="",NOT(OR(ISNUMBER(SEARCH("Epóxico MT",Upload!P87&amp;Upload!Q87&amp;Upload!R87&amp;Upload!S87&amp;Upload!T87))))),"",E97*0.000035)</f>
        <v/>
      </c>
      <c r="R97" s="15" t="str">
        <f>IF(OR(F97="",NOT(OR(ISNUMBER(SEARCH("Epóxico BT",Upload!Q87&amp;Upload!R87&amp;Upload!S87&amp;Upload!T87&amp;Upload!U87))))),"",F97*0.000035)</f>
        <v/>
      </c>
      <c r="S97" s="15" t="str">
        <f>IF(OR(G97="",NOT(OR(ISNUMBER(SEARCH("Epóxico Rojo",Upload!R87&amp;Upload!S87&amp;Upload!T87&amp;Upload!U87&amp;Upload!V87))))),"",G97*0.000035)</f>
        <v/>
      </c>
    </row>
    <row r="98" spans="1:19" x14ac:dyDescent="0.2">
      <c r="A98" s="9" t="e">
        <f t="shared" ca="1" si="6"/>
        <v>#NAME?</v>
      </c>
      <c r="B98" s="9">
        <f>Upload!E88</f>
        <v>0</v>
      </c>
      <c r="C98" s="9">
        <f>Upload!AE88</f>
        <v>0</v>
      </c>
      <c r="D98" s="9">
        <f>Upload!AF88</f>
        <v>0</v>
      </c>
      <c r="E98" s="9">
        <f>Upload!AG88</f>
        <v>0</v>
      </c>
      <c r="F98" s="9" t="str">
        <f>Upload!X88</f>
        <v/>
      </c>
      <c r="G98" s="9" t="str">
        <f>Upload!Z88</f>
        <v/>
      </c>
      <c r="H98" s="9" t="str">
        <f>Upload!W88</f>
        <v>(seleccione)</v>
      </c>
      <c r="I98" s="9" t="str">
        <f>Upload!Y88</f>
        <v>(seleccione)</v>
      </c>
      <c r="K98" s="15" t="str">
        <f t="shared" si="7"/>
        <v/>
      </c>
      <c r="L98" s="15" t="str">
        <f t="shared" si="8"/>
        <v/>
      </c>
      <c r="M98" s="15" t="str">
        <f t="shared" si="9"/>
        <v/>
      </c>
      <c r="N98" s="15" t="str">
        <f t="shared" si="10"/>
        <v/>
      </c>
      <c r="O98" s="15" t="str">
        <f t="shared" si="11"/>
        <v/>
      </c>
      <c r="P98" s="15" t="str">
        <f>IF(OR(C98="",NOT(OR(ISNUMBER(SEARCH("Antitarnish",Upload!P88&amp;Upload!Q88&amp;Upload!R88&amp;Upload!S88&amp;Upload!T88)),ISNUMBER(SEARCH("Anti Tarnish",Upload!P88&amp;Upload!Q88&amp;Upload!R88&amp;Upload!S88&amp;Upload!T88))))),"",0.0012*C98)</f>
        <v/>
      </c>
      <c r="Q98" s="15" t="str">
        <f>IF(OR(E98="",NOT(OR(ISNUMBER(SEARCH("Epóxico MT",Upload!P88&amp;Upload!Q88&amp;Upload!R88&amp;Upload!S88&amp;Upload!T88))))),"",E98*0.000035)</f>
        <v/>
      </c>
      <c r="R98" s="15" t="str">
        <f>IF(OR(F98="",NOT(OR(ISNUMBER(SEARCH("Epóxico BT",Upload!Q88&amp;Upload!R88&amp;Upload!S88&amp;Upload!T88&amp;Upload!U88))))),"",F98*0.000035)</f>
        <v/>
      </c>
      <c r="S98" s="15" t="str">
        <f>IF(OR(G98="",NOT(OR(ISNUMBER(SEARCH("Epóxico Rojo",Upload!R88&amp;Upload!S88&amp;Upload!T88&amp;Upload!U88&amp;Upload!V88))))),"",G98*0.000035)</f>
        <v/>
      </c>
    </row>
    <row r="99" spans="1:19" x14ac:dyDescent="0.2">
      <c r="A99" s="9" t="e">
        <f t="shared" ca="1" si="6"/>
        <v>#NAME?</v>
      </c>
      <c r="B99" s="9">
        <f>Upload!E89</f>
        <v>0</v>
      </c>
      <c r="C99" s="9">
        <f>Upload!AE89</f>
        <v>0</v>
      </c>
      <c r="D99" s="9">
        <f>Upload!AF89</f>
        <v>0</v>
      </c>
      <c r="E99" s="9">
        <f>Upload!AG89</f>
        <v>0</v>
      </c>
      <c r="F99" s="9" t="str">
        <f>Upload!X89</f>
        <v/>
      </c>
      <c r="G99" s="9" t="str">
        <f>Upload!Z89</f>
        <v/>
      </c>
      <c r="H99" s="9" t="str">
        <f>Upload!W89</f>
        <v>(seleccione)</v>
      </c>
      <c r="I99" s="9" t="str">
        <f>Upload!Y89</f>
        <v>(seleccione)</v>
      </c>
      <c r="K99" s="15" t="str">
        <f t="shared" si="7"/>
        <v/>
      </c>
      <c r="L99" s="15" t="str">
        <f t="shared" si="8"/>
        <v/>
      </c>
      <c r="M99" s="15" t="str">
        <f t="shared" si="9"/>
        <v/>
      </c>
      <c r="N99" s="15" t="str">
        <f t="shared" si="10"/>
        <v/>
      </c>
      <c r="O99" s="15" t="str">
        <f t="shared" si="11"/>
        <v/>
      </c>
      <c r="P99" s="15" t="str">
        <f>IF(OR(C99="",NOT(OR(ISNUMBER(SEARCH("Antitarnish",Upload!P89&amp;Upload!Q89&amp;Upload!R89&amp;Upload!S89&amp;Upload!T89)),ISNUMBER(SEARCH("Anti Tarnish",Upload!P89&amp;Upload!Q89&amp;Upload!R89&amp;Upload!S89&amp;Upload!T89))))),"",0.0012*C99)</f>
        <v/>
      </c>
      <c r="Q99" s="15" t="str">
        <f>IF(OR(E99="",NOT(OR(ISNUMBER(SEARCH("Epóxico MT",Upload!P89&amp;Upload!Q89&amp;Upload!R89&amp;Upload!S89&amp;Upload!T89))))),"",E99*0.000035)</f>
        <v/>
      </c>
      <c r="R99" s="15" t="str">
        <f>IF(OR(F99="",NOT(OR(ISNUMBER(SEARCH("Epóxico BT",Upload!Q89&amp;Upload!R89&amp;Upload!S89&amp;Upload!T89&amp;Upload!U89))))),"",F99*0.000035)</f>
        <v/>
      </c>
      <c r="S99" s="15" t="str">
        <f>IF(OR(G99="",NOT(OR(ISNUMBER(SEARCH("Epóxico Rojo",Upload!R89&amp;Upload!S89&amp;Upload!T89&amp;Upload!U89&amp;Upload!V89))))),"",G99*0.000035)</f>
        <v/>
      </c>
    </row>
    <row r="100" spans="1:19" x14ac:dyDescent="0.2">
      <c r="A100" s="9" t="e">
        <f t="shared" ca="1" si="6"/>
        <v>#NAME?</v>
      </c>
      <c r="B100" s="9">
        <f>Upload!E90</f>
        <v>0</v>
      </c>
      <c r="C100" s="9">
        <f>Upload!AE90</f>
        <v>0</v>
      </c>
      <c r="D100" s="9">
        <f>Upload!AF90</f>
        <v>0</v>
      </c>
      <c r="E100" s="9">
        <f>Upload!AG90</f>
        <v>0</v>
      </c>
      <c r="F100" s="9" t="str">
        <f>Upload!X90</f>
        <v/>
      </c>
      <c r="G100" s="9" t="str">
        <f>Upload!Z90</f>
        <v/>
      </c>
      <c r="H100" s="9" t="str">
        <f>Upload!W90</f>
        <v>(seleccione)</v>
      </c>
      <c r="I100" s="9" t="str">
        <f>Upload!Y90</f>
        <v>(seleccione)</v>
      </c>
      <c r="K100" s="15" t="str">
        <f t="shared" si="7"/>
        <v/>
      </c>
      <c r="L100" s="15" t="str">
        <f t="shared" si="8"/>
        <v/>
      </c>
      <c r="M100" s="15" t="str">
        <f t="shared" si="9"/>
        <v/>
      </c>
      <c r="N100" s="15" t="str">
        <f t="shared" si="10"/>
        <v/>
      </c>
      <c r="O100" s="15" t="str">
        <f t="shared" si="11"/>
        <v/>
      </c>
      <c r="P100" s="15" t="str">
        <f>IF(OR(C100="",NOT(OR(ISNUMBER(SEARCH("Antitarnish",Upload!P90&amp;Upload!Q90&amp;Upload!R90&amp;Upload!S90&amp;Upload!T90)),ISNUMBER(SEARCH("Anti Tarnish",Upload!P90&amp;Upload!Q90&amp;Upload!R90&amp;Upload!S90&amp;Upload!T90))))),"",0.0012*C100)</f>
        <v/>
      </c>
      <c r="Q100" s="15" t="str">
        <f>IF(OR(E100="",NOT(OR(ISNUMBER(SEARCH("Epóxico MT",Upload!P90&amp;Upload!Q90&amp;Upload!R90&amp;Upload!S90&amp;Upload!T90))))),"",E100*0.000035)</f>
        <v/>
      </c>
      <c r="R100" s="15" t="str">
        <f>IF(OR(F100="",NOT(OR(ISNUMBER(SEARCH("Epóxico BT",Upload!Q90&amp;Upload!R90&amp;Upload!S90&amp;Upload!T90&amp;Upload!U90))))),"",F100*0.000035)</f>
        <v/>
      </c>
      <c r="S100" s="15" t="str">
        <f>IF(OR(G100="",NOT(OR(ISNUMBER(SEARCH("Epóxico Rojo",Upload!R90&amp;Upload!S90&amp;Upload!T90&amp;Upload!U90&amp;Upload!V90))))),"",G100*0.000035)</f>
        <v/>
      </c>
    </row>
    <row r="101" spans="1:19" x14ac:dyDescent="0.2">
      <c r="A101" s="9" t="e">
        <f t="shared" ca="1" si="6"/>
        <v>#NAME?</v>
      </c>
      <c r="B101" s="9">
        <f>Upload!E91</f>
        <v>0</v>
      </c>
      <c r="C101" s="9">
        <f>Upload!AE91</f>
        <v>0</v>
      </c>
      <c r="D101" s="9">
        <f>Upload!AF91</f>
        <v>0</v>
      </c>
      <c r="E101" s="9">
        <f>Upload!AG91</f>
        <v>0</v>
      </c>
      <c r="F101" s="9" t="str">
        <f>Upload!X91</f>
        <v/>
      </c>
      <c r="G101" s="9" t="str">
        <f>Upload!Z91</f>
        <v/>
      </c>
      <c r="H101" s="9" t="str">
        <f>Upload!W91</f>
        <v>(seleccione)</v>
      </c>
      <c r="I101" s="9" t="str">
        <f>Upload!Y91</f>
        <v>(seleccione)</v>
      </c>
      <c r="K101" s="15" t="str">
        <f t="shared" si="7"/>
        <v/>
      </c>
      <c r="L101" s="15" t="str">
        <f t="shared" si="8"/>
        <v/>
      </c>
      <c r="M101" s="15" t="str">
        <f t="shared" si="9"/>
        <v/>
      </c>
      <c r="N101" s="15" t="str">
        <f t="shared" si="10"/>
        <v/>
      </c>
      <c r="O101" s="15" t="str">
        <f t="shared" si="11"/>
        <v/>
      </c>
      <c r="P101" s="15" t="str">
        <f>IF(OR(C101="",NOT(OR(ISNUMBER(SEARCH("Antitarnish",Upload!P91&amp;Upload!Q91&amp;Upload!R91&amp;Upload!S91&amp;Upload!T91)),ISNUMBER(SEARCH("Anti Tarnish",Upload!P91&amp;Upload!Q91&amp;Upload!R91&amp;Upload!S91&amp;Upload!T91))))),"",0.0012*C101)</f>
        <v/>
      </c>
      <c r="Q101" s="15" t="str">
        <f>IF(OR(E101="",NOT(OR(ISNUMBER(SEARCH("Epóxico MT",Upload!P91&amp;Upload!Q91&amp;Upload!R91&amp;Upload!S91&amp;Upload!T91))))),"",E101*0.000035)</f>
        <v/>
      </c>
      <c r="R101" s="15" t="str">
        <f>IF(OR(F101="",NOT(OR(ISNUMBER(SEARCH("Epóxico BT",Upload!Q91&amp;Upload!R91&amp;Upload!S91&amp;Upload!T91&amp;Upload!U91))))),"",F101*0.000035)</f>
        <v/>
      </c>
      <c r="S101" s="15" t="str">
        <f>IF(OR(G101="",NOT(OR(ISNUMBER(SEARCH("Epóxico Rojo",Upload!R91&amp;Upload!S91&amp;Upload!T91&amp;Upload!U91&amp;Upload!V91))))),"",G101*0.000035)</f>
        <v/>
      </c>
    </row>
    <row r="102" spans="1:19" x14ac:dyDescent="0.2">
      <c r="A102" s="9" t="e">
        <f t="shared" ca="1" si="6"/>
        <v>#NAME?</v>
      </c>
      <c r="B102" s="9">
        <f>Upload!E92</f>
        <v>0</v>
      </c>
      <c r="C102" s="9">
        <f>Upload!AE92</f>
        <v>0</v>
      </c>
      <c r="D102" s="9">
        <f>Upload!AF92</f>
        <v>0</v>
      </c>
      <c r="E102" s="9">
        <f>Upload!AG92</f>
        <v>0</v>
      </c>
      <c r="F102" s="9" t="str">
        <f>Upload!X92</f>
        <v/>
      </c>
      <c r="G102" s="9" t="str">
        <f>Upload!Z92</f>
        <v/>
      </c>
      <c r="H102" s="9" t="str">
        <f>Upload!W92</f>
        <v>(seleccione)</v>
      </c>
      <c r="I102" s="9" t="str">
        <f>Upload!Y92</f>
        <v>(seleccione)</v>
      </c>
      <c r="K102" s="15" t="str">
        <f t="shared" si="7"/>
        <v/>
      </c>
      <c r="L102" s="15" t="str">
        <f t="shared" si="8"/>
        <v/>
      </c>
      <c r="M102" s="15" t="str">
        <f t="shared" si="9"/>
        <v/>
      </c>
      <c r="N102" s="15" t="str">
        <f t="shared" si="10"/>
        <v/>
      </c>
      <c r="O102" s="15" t="str">
        <f t="shared" si="11"/>
        <v/>
      </c>
      <c r="P102" s="15" t="str">
        <f>IF(OR(C102="",NOT(OR(ISNUMBER(SEARCH("Antitarnish",Upload!P92&amp;Upload!Q92&amp;Upload!R92&amp;Upload!S92&amp;Upload!T92)),ISNUMBER(SEARCH("Anti Tarnish",Upload!P92&amp;Upload!Q92&amp;Upload!R92&amp;Upload!S92&amp;Upload!T92))))),"",0.0012*C102)</f>
        <v/>
      </c>
      <c r="Q102" s="15" t="str">
        <f>IF(OR(E102="",NOT(OR(ISNUMBER(SEARCH("Epóxico MT",Upload!P92&amp;Upload!Q92&amp;Upload!R92&amp;Upload!S92&amp;Upload!T92))))),"",E102*0.000035)</f>
        <v/>
      </c>
      <c r="R102" s="15" t="str">
        <f>IF(OR(F102="",NOT(OR(ISNUMBER(SEARCH("Epóxico BT",Upload!Q92&amp;Upload!R92&amp;Upload!S92&amp;Upload!T92&amp;Upload!U92))))),"",F102*0.000035)</f>
        <v/>
      </c>
      <c r="S102" s="15" t="str">
        <f>IF(OR(G102="",NOT(OR(ISNUMBER(SEARCH("Epóxico Rojo",Upload!R92&amp;Upload!S92&amp;Upload!T92&amp;Upload!U92&amp;Upload!V92))))),"",G102*0.000035)</f>
        <v/>
      </c>
    </row>
    <row r="103" spans="1:19" x14ac:dyDescent="0.2">
      <c r="A103" s="9" t="e">
        <f t="shared" ca="1" si="6"/>
        <v>#NAME?</v>
      </c>
      <c r="B103" s="9">
        <f>Upload!E93</f>
        <v>0</v>
      </c>
      <c r="C103" s="9">
        <f>Upload!AE93</f>
        <v>0</v>
      </c>
      <c r="D103" s="9">
        <f>Upload!AF93</f>
        <v>0</v>
      </c>
      <c r="E103" s="9">
        <f>Upload!AG93</f>
        <v>0</v>
      </c>
      <c r="F103" s="9" t="str">
        <f>Upload!X93</f>
        <v/>
      </c>
      <c r="G103" s="9" t="str">
        <f>Upload!Z93</f>
        <v/>
      </c>
      <c r="H103" s="9" t="str">
        <f>Upload!W93</f>
        <v>(seleccione)</v>
      </c>
      <c r="I103" s="9" t="str">
        <f>Upload!Y93</f>
        <v>(seleccione)</v>
      </c>
      <c r="K103" s="15" t="str">
        <f t="shared" si="7"/>
        <v/>
      </c>
      <c r="L103" s="15" t="str">
        <f t="shared" si="8"/>
        <v/>
      </c>
      <c r="M103" s="15" t="str">
        <f t="shared" si="9"/>
        <v/>
      </c>
      <c r="N103" s="15" t="str">
        <f t="shared" si="10"/>
        <v/>
      </c>
      <c r="O103" s="15" t="str">
        <f t="shared" si="11"/>
        <v/>
      </c>
      <c r="P103" s="15" t="str">
        <f>IF(OR(C103="",NOT(OR(ISNUMBER(SEARCH("Antitarnish",Upload!P93&amp;Upload!Q93&amp;Upload!R93&amp;Upload!S93&amp;Upload!T93)),ISNUMBER(SEARCH("Anti Tarnish",Upload!P93&amp;Upload!Q93&amp;Upload!R93&amp;Upload!S93&amp;Upload!T93))))),"",0.0012*C103)</f>
        <v/>
      </c>
      <c r="Q103" s="15" t="str">
        <f>IF(OR(E103="",NOT(OR(ISNUMBER(SEARCH("Epóxico MT",Upload!P93&amp;Upload!Q93&amp;Upload!R93&amp;Upload!S93&amp;Upload!T93))))),"",E103*0.000035)</f>
        <v/>
      </c>
      <c r="R103" s="15" t="str">
        <f>IF(OR(F103="",NOT(OR(ISNUMBER(SEARCH("Epóxico BT",Upload!Q93&amp;Upload!R93&amp;Upload!S93&amp;Upload!T93&amp;Upload!U93))))),"",F103*0.000035)</f>
        <v/>
      </c>
      <c r="S103" s="15" t="str">
        <f>IF(OR(G103="",NOT(OR(ISNUMBER(SEARCH("Epóxico Rojo",Upload!R93&amp;Upload!S93&amp;Upload!T93&amp;Upload!U93&amp;Upload!V93))))),"",G103*0.000035)</f>
        <v/>
      </c>
    </row>
    <row r="104" spans="1:19" x14ac:dyDescent="0.2">
      <c r="A104" s="9" t="e">
        <f t="shared" ca="1" si="6"/>
        <v>#NAME?</v>
      </c>
      <c r="B104" s="9">
        <f>Upload!E94</f>
        <v>0</v>
      </c>
      <c r="C104" s="9">
        <f>Upload!AE94</f>
        <v>0</v>
      </c>
      <c r="D104" s="9">
        <f>Upload!AF94</f>
        <v>0</v>
      </c>
      <c r="E104" s="9">
        <f>Upload!AG94</f>
        <v>0</v>
      </c>
      <c r="F104" s="9" t="str">
        <f>Upload!X94</f>
        <v/>
      </c>
      <c r="G104" s="9" t="str">
        <f>Upload!Z94</f>
        <v/>
      </c>
      <c r="H104" s="9" t="str">
        <f>Upload!W94</f>
        <v>(seleccione)</v>
      </c>
      <c r="I104" s="9" t="str">
        <f>Upload!Y94</f>
        <v>(seleccione)</v>
      </c>
      <c r="K104" s="15" t="str">
        <f t="shared" si="7"/>
        <v/>
      </c>
      <c r="L104" s="15" t="str">
        <f t="shared" si="8"/>
        <v/>
      </c>
      <c r="M104" s="15" t="str">
        <f t="shared" si="9"/>
        <v/>
      </c>
      <c r="N104" s="15" t="str">
        <f t="shared" si="10"/>
        <v/>
      </c>
      <c r="O104" s="15" t="str">
        <f t="shared" si="11"/>
        <v/>
      </c>
      <c r="P104" s="15" t="str">
        <f>IF(OR(C104="",NOT(OR(ISNUMBER(SEARCH("Antitarnish",Upload!P94&amp;Upload!Q94&amp;Upload!R94&amp;Upload!S94&amp;Upload!T94)),ISNUMBER(SEARCH("Anti Tarnish",Upload!P94&amp;Upload!Q94&amp;Upload!R94&amp;Upload!S94&amp;Upload!T94))))),"",0.0012*C104)</f>
        <v/>
      </c>
      <c r="Q104" s="15" t="str">
        <f>IF(OR(E104="",NOT(OR(ISNUMBER(SEARCH("Epóxico MT",Upload!P94&amp;Upload!Q94&amp;Upload!R94&amp;Upload!S94&amp;Upload!T94))))),"",E104*0.000035)</f>
        <v/>
      </c>
      <c r="R104" s="15" t="str">
        <f>IF(OR(F104="",NOT(OR(ISNUMBER(SEARCH("Epóxico BT",Upload!Q94&amp;Upload!R94&amp;Upload!S94&amp;Upload!T94&amp;Upload!U94))))),"",F104*0.000035)</f>
        <v/>
      </c>
      <c r="S104" s="15" t="str">
        <f>IF(OR(G104="",NOT(OR(ISNUMBER(SEARCH("Epóxico Rojo",Upload!R94&amp;Upload!S94&amp;Upload!T94&amp;Upload!U94&amp;Upload!V94))))),"",G104*0.000035)</f>
        <v/>
      </c>
    </row>
    <row r="105" spans="1:19" x14ac:dyDescent="0.2">
      <c r="A105" s="9" t="e">
        <f t="shared" ca="1" si="6"/>
        <v>#NAME?</v>
      </c>
      <c r="B105" s="9">
        <f>Upload!E95</f>
        <v>0</v>
      </c>
      <c r="C105" s="9">
        <f>Upload!AE95</f>
        <v>0</v>
      </c>
      <c r="D105" s="9">
        <f>Upload!AF95</f>
        <v>0</v>
      </c>
      <c r="E105" s="9">
        <f>Upload!AG95</f>
        <v>0</v>
      </c>
      <c r="F105" s="9" t="str">
        <f>Upload!X95</f>
        <v/>
      </c>
      <c r="G105" s="9" t="str">
        <f>Upload!Z95</f>
        <v/>
      </c>
      <c r="H105" s="9" t="str">
        <f>Upload!W95</f>
        <v>(seleccione)</v>
      </c>
      <c r="I105" s="9" t="str">
        <f>Upload!Y95</f>
        <v>(seleccione)</v>
      </c>
      <c r="K105" s="15" t="str">
        <f t="shared" si="7"/>
        <v/>
      </c>
      <c r="L105" s="15" t="str">
        <f t="shared" si="8"/>
        <v/>
      </c>
      <c r="M105" s="15" t="str">
        <f t="shared" si="9"/>
        <v/>
      </c>
      <c r="N105" s="15" t="str">
        <f t="shared" si="10"/>
        <v/>
      </c>
      <c r="O105" s="15" t="str">
        <f t="shared" si="11"/>
        <v/>
      </c>
      <c r="P105" s="15" t="str">
        <f>IF(OR(C105="",NOT(OR(ISNUMBER(SEARCH("Antitarnish",Upload!P95&amp;Upload!Q95&amp;Upload!R95&amp;Upload!S95&amp;Upload!T95)),ISNUMBER(SEARCH("Anti Tarnish",Upload!P95&amp;Upload!Q95&amp;Upload!R95&amp;Upload!S95&amp;Upload!T95))))),"",0.0012*C105)</f>
        <v/>
      </c>
      <c r="Q105" s="15" t="str">
        <f>IF(OR(E105="",NOT(OR(ISNUMBER(SEARCH("Epóxico MT",Upload!P95&amp;Upload!Q95&amp;Upload!R95&amp;Upload!S95&amp;Upload!T95))))),"",E105*0.000035)</f>
        <v/>
      </c>
      <c r="R105" s="15" t="str">
        <f>IF(OR(F105="",NOT(OR(ISNUMBER(SEARCH("Epóxico BT",Upload!Q95&amp;Upload!R95&amp;Upload!S95&amp;Upload!T95&amp;Upload!U95))))),"",F105*0.000035)</f>
        <v/>
      </c>
      <c r="S105" s="15" t="str">
        <f>IF(OR(G105="",NOT(OR(ISNUMBER(SEARCH("Epóxico Rojo",Upload!R95&amp;Upload!S95&amp;Upload!T95&amp;Upload!U95&amp;Upload!V95))))),"",G105*0.000035)</f>
        <v/>
      </c>
    </row>
    <row r="106" spans="1:19" x14ac:dyDescent="0.2">
      <c r="A106" s="9" t="e">
        <f t="shared" ca="1" si="6"/>
        <v>#NAME?</v>
      </c>
      <c r="B106" s="9">
        <f>Upload!E96</f>
        <v>0</v>
      </c>
      <c r="C106" s="9">
        <f>Upload!AE96</f>
        <v>0</v>
      </c>
      <c r="D106" s="9">
        <f>Upload!AF96</f>
        <v>0</v>
      </c>
      <c r="E106" s="9">
        <f>Upload!AG96</f>
        <v>0</v>
      </c>
      <c r="F106" s="9" t="str">
        <f>Upload!X96</f>
        <v/>
      </c>
      <c r="G106" s="9" t="str">
        <f>Upload!Z96</f>
        <v/>
      </c>
      <c r="H106" s="9" t="str">
        <f>Upload!W96</f>
        <v>(seleccione)</v>
      </c>
      <c r="I106" s="9" t="str">
        <f>Upload!Y96</f>
        <v>(seleccione)</v>
      </c>
      <c r="K106" s="15" t="str">
        <f t="shared" si="7"/>
        <v/>
      </c>
      <c r="L106" s="15" t="str">
        <f t="shared" si="8"/>
        <v/>
      </c>
      <c r="M106" s="15" t="str">
        <f t="shared" si="9"/>
        <v/>
      </c>
      <c r="N106" s="15" t="str">
        <f t="shared" si="10"/>
        <v/>
      </c>
      <c r="O106" s="15" t="str">
        <f t="shared" si="11"/>
        <v/>
      </c>
      <c r="P106" s="15" t="str">
        <f>IF(OR(C106="",NOT(OR(ISNUMBER(SEARCH("Antitarnish",Upload!P96&amp;Upload!Q96&amp;Upload!R96&amp;Upload!S96&amp;Upload!T96)),ISNUMBER(SEARCH("Anti Tarnish",Upload!P96&amp;Upload!Q96&amp;Upload!R96&amp;Upload!S96&amp;Upload!T96))))),"",0.0012*C106)</f>
        <v/>
      </c>
      <c r="Q106" s="15" t="str">
        <f>IF(OR(E106="",NOT(OR(ISNUMBER(SEARCH("Epóxico MT",Upload!P96&amp;Upload!Q96&amp;Upload!R96&amp;Upload!S96&amp;Upload!T96))))),"",E106*0.000035)</f>
        <v/>
      </c>
      <c r="R106" s="15" t="str">
        <f>IF(OR(F106="",NOT(OR(ISNUMBER(SEARCH("Epóxico BT",Upload!Q96&amp;Upload!R96&amp;Upload!S96&amp;Upload!T96&amp;Upload!U96))))),"",F106*0.000035)</f>
        <v/>
      </c>
      <c r="S106" s="15" t="str">
        <f>IF(OR(G106="",NOT(OR(ISNUMBER(SEARCH("Epóxico Rojo",Upload!R96&amp;Upload!S96&amp;Upload!T96&amp;Upload!U96&amp;Upload!V96))))),"",G106*0.000035)</f>
        <v/>
      </c>
    </row>
    <row r="107" spans="1:19" x14ac:dyDescent="0.2">
      <c r="A107" s="9" t="e">
        <f t="shared" ca="1" si="6"/>
        <v>#NAME?</v>
      </c>
      <c r="B107" s="9">
        <f>Upload!E97</f>
        <v>0</v>
      </c>
      <c r="C107" s="9">
        <f>Upload!AE97</f>
        <v>0</v>
      </c>
      <c r="D107" s="9">
        <f>Upload!AF97</f>
        <v>0</v>
      </c>
      <c r="E107" s="9">
        <f>Upload!AG97</f>
        <v>0</v>
      </c>
      <c r="F107" s="9" t="str">
        <f>Upload!X97</f>
        <v/>
      </c>
      <c r="G107" s="9" t="str">
        <f>Upload!Z97</f>
        <v/>
      </c>
      <c r="H107" s="9" t="str">
        <f>Upload!W97</f>
        <v>(seleccione)</v>
      </c>
      <c r="I107" s="9" t="str">
        <f>Upload!Y97</f>
        <v>(seleccione)</v>
      </c>
      <c r="K107" s="15" t="str">
        <f t="shared" si="7"/>
        <v/>
      </c>
      <c r="L107" s="15" t="str">
        <f t="shared" si="8"/>
        <v/>
      </c>
      <c r="M107" s="15" t="str">
        <f t="shared" si="9"/>
        <v/>
      </c>
      <c r="N107" s="15" t="str">
        <f t="shared" si="10"/>
        <v/>
      </c>
      <c r="O107" s="15" t="str">
        <f t="shared" si="11"/>
        <v/>
      </c>
      <c r="P107" s="15" t="str">
        <f>IF(OR(C107="",NOT(OR(ISNUMBER(SEARCH("Antitarnish",Upload!P97&amp;Upload!Q97&amp;Upload!R97&amp;Upload!S97&amp;Upload!T97)),ISNUMBER(SEARCH("Anti Tarnish",Upload!P97&amp;Upload!Q97&amp;Upload!R97&amp;Upload!S97&amp;Upload!T97))))),"",0.0012*C107)</f>
        <v/>
      </c>
      <c r="Q107" s="15" t="str">
        <f>IF(OR(E107="",NOT(OR(ISNUMBER(SEARCH("Epóxico MT",Upload!P97&amp;Upload!Q97&amp;Upload!R97&amp;Upload!S97&amp;Upload!T97))))),"",E107*0.000035)</f>
        <v/>
      </c>
      <c r="R107" s="15" t="str">
        <f>IF(OR(F107="",NOT(OR(ISNUMBER(SEARCH("Epóxico BT",Upload!Q97&amp;Upload!R97&amp;Upload!S97&amp;Upload!T97&amp;Upload!U97))))),"",F107*0.000035)</f>
        <v/>
      </c>
      <c r="S107" s="15" t="str">
        <f>IF(OR(G107="",NOT(OR(ISNUMBER(SEARCH("Epóxico Rojo",Upload!R97&amp;Upload!S97&amp;Upload!T97&amp;Upload!U97&amp;Upload!V97))))),"",G107*0.000035)</f>
        <v/>
      </c>
    </row>
    <row r="108" spans="1:19" x14ac:dyDescent="0.2">
      <c r="A108" s="9" t="e">
        <f t="shared" ca="1" si="6"/>
        <v>#NAME?</v>
      </c>
      <c r="B108" s="9">
        <f>Upload!E98</f>
        <v>0</v>
      </c>
      <c r="C108" s="9">
        <f>Upload!AE98</f>
        <v>0</v>
      </c>
      <c r="D108" s="9">
        <f>Upload!AF98</f>
        <v>0</v>
      </c>
      <c r="E108" s="9">
        <f>Upload!AG98</f>
        <v>0</v>
      </c>
      <c r="F108" s="9" t="str">
        <f>Upload!X98</f>
        <v/>
      </c>
      <c r="G108" s="9" t="str">
        <f>Upload!Z98</f>
        <v/>
      </c>
      <c r="H108" s="9" t="str">
        <f>Upload!W98</f>
        <v>(seleccione)</v>
      </c>
      <c r="I108" s="9" t="str">
        <f>Upload!Y98</f>
        <v>(seleccione)</v>
      </c>
      <c r="K108" s="15" t="str">
        <f t="shared" si="7"/>
        <v/>
      </c>
      <c r="L108" s="15" t="str">
        <f t="shared" si="8"/>
        <v/>
      </c>
      <c r="M108" s="15" t="str">
        <f t="shared" si="9"/>
        <v/>
      </c>
      <c r="N108" s="15" t="str">
        <f t="shared" si="10"/>
        <v/>
      </c>
      <c r="O108" s="15" t="str">
        <f t="shared" si="11"/>
        <v/>
      </c>
      <c r="P108" s="15" t="str">
        <f>IF(OR(C108="",NOT(OR(ISNUMBER(SEARCH("Antitarnish",Upload!P98&amp;Upload!Q98&amp;Upload!R98&amp;Upload!S98&amp;Upload!T98)),ISNUMBER(SEARCH("Anti Tarnish",Upload!P98&amp;Upload!Q98&amp;Upload!R98&amp;Upload!S98&amp;Upload!T98))))),"",0.0012*C108)</f>
        <v/>
      </c>
      <c r="Q108" s="15" t="str">
        <f>IF(OR(E108="",NOT(OR(ISNUMBER(SEARCH("Epóxico MT",Upload!P98&amp;Upload!Q98&amp;Upload!R98&amp;Upload!S98&amp;Upload!T98))))),"",E108*0.000035)</f>
        <v/>
      </c>
      <c r="R108" s="15" t="str">
        <f>IF(OR(F108="",NOT(OR(ISNUMBER(SEARCH("Epóxico BT",Upload!Q98&amp;Upload!R98&amp;Upload!S98&amp;Upload!T98&amp;Upload!U98))))),"",F108*0.000035)</f>
        <v/>
      </c>
      <c r="S108" s="15" t="str">
        <f>IF(OR(G108="",NOT(OR(ISNUMBER(SEARCH("Epóxico Rojo",Upload!R98&amp;Upload!S98&amp;Upload!T98&amp;Upload!U98&amp;Upload!V98))))),"",G108*0.000035)</f>
        <v/>
      </c>
    </row>
    <row r="109" spans="1:19" x14ac:dyDescent="0.2">
      <c r="A109" s="9" t="e">
        <f t="shared" ca="1" si="6"/>
        <v>#NAME?</v>
      </c>
      <c r="B109" s="9">
        <f>Upload!E99</f>
        <v>0</v>
      </c>
      <c r="C109" s="9">
        <f>Upload!AE99</f>
        <v>0</v>
      </c>
      <c r="D109" s="9">
        <f>Upload!AF99</f>
        <v>0</v>
      </c>
      <c r="E109" s="9">
        <f>Upload!AG99</f>
        <v>0</v>
      </c>
      <c r="F109" s="9" t="str">
        <f>Upload!X99</f>
        <v/>
      </c>
      <c r="G109" s="9" t="str">
        <f>Upload!Z99</f>
        <v/>
      </c>
      <c r="H109" s="9" t="str">
        <f>Upload!W99</f>
        <v>(seleccione)</v>
      </c>
      <c r="I109" s="9" t="str">
        <f>Upload!Y99</f>
        <v>(seleccione)</v>
      </c>
      <c r="K109" s="15" t="str">
        <f t="shared" si="7"/>
        <v/>
      </c>
      <c r="L109" s="15" t="str">
        <f t="shared" si="8"/>
        <v/>
      </c>
      <c r="M109" s="15" t="str">
        <f t="shared" si="9"/>
        <v/>
      </c>
      <c r="N109" s="15" t="str">
        <f t="shared" si="10"/>
        <v/>
      </c>
      <c r="O109" s="15" t="str">
        <f t="shared" si="11"/>
        <v/>
      </c>
      <c r="P109" s="15" t="str">
        <f>IF(OR(C109="",NOT(OR(ISNUMBER(SEARCH("Antitarnish",Upload!P99&amp;Upload!Q99&amp;Upload!R99&amp;Upload!S99&amp;Upload!T99)),ISNUMBER(SEARCH("Anti Tarnish",Upload!P99&amp;Upload!Q99&amp;Upload!R99&amp;Upload!S99&amp;Upload!T99))))),"",0.0012*C109)</f>
        <v/>
      </c>
      <c r="Q109" s="15" t="str">
        <f>IF(OR(E109="",NOT(OR(ISNUMBER(SEARCH("Epóxico MT",Upload!P99&amp;Upload!Q99&amp;Upload!R99&amp;Upload!S99&amp;Upload!T99))))),"",E109*0.000035)</f>
        <v/>
      </c>
      <c r="R109" s="15" t="str">
        <f>IF(OR(F109="",NOT(OR(ISNUMBER(SEARCH("Epóxico BT",Upload!Q99&amp;Upload!R99&amp;Upload!S99&amp;Upload!T99&amp;Upload!U99))))),"",F109*0.000035)</f>
        <v/>
      </c>
      <c r="S109" s="15" t="str">
        <f>IF(OR(G109="",NOT(OR(ISNUMBER(SEARCH("Epóxico Rojo",Upload!R99&amp;Upload!S99&amp;Upload!T99&amp;Upload!U99&amp;Upload!V99))))),"",G109*0.000035)</f>
        <v/>
      </c>
    </row>
    <row r="110" spans="1:19" x14ac:dyDescent="0.2">
      <c r="A110" s="9" t="e">
        <f t="shared" ca="1" si="6"/>
        <v>#NAME?</v>
      </c>
      <c r="B110" s="9">
        <f>Upload!E100</f>
        <v>0</v>
      </c>
      <c r="C110" s="9">
        <f>Upload!AE100</f>
        <v>0</v>
      </c>
      <c r="D110" s="9">
        <f>Upload!AF100</f>
        <v>0</v>
      </c>
      <c r="E110" s="9">
        <f>Upload!AG100</f>
        <v>0</v>
      </c>
      <c r="F110" s="9" t="str">
        <f>Upload!X100</f>
        <v/>
      </c>
      <c r="G110" s="9" t="str">
        <f>Upload!Z100</f>
        <v/>
      </c>
      <c r="H110" s="9" t="str">
        <f>Upload!W100</f>
        <v>(seleccione)</v>
      </c>
      <c r="I110" s="9" t="str">
        <f>Upload!Y100</f>
        <v>(seleccione)</v>
      </c>
      <c r="K110" s="15" t="str">
        <f t="shared" si="7"/>
        <v/>
      </c>
      <c r="L110" s="15" t="str">
        <f t="shared" si="8"/>
        <v/>
      </c>
      <c r="M110" s="15" t="str">
        <f t="shared" si="9"/>
        <v/>
      </c>
      <c r="N110" s="15" t="str">
        <f t="shared" si="10"/>
        <v/>
      </c>
      <c r="O110" s="15" t="str">
        <f t="shared" si="11"/>
        <v/>
      </c>
      <c r="P110" s="15" t="str">
        <f>IF(OR(C110="",NOT(OR(ISNUMBER(SEARCH("Antitarnish",Upload!P100&amp;Upload!Q100&amp;Upload!R100&amp;Upload!S100&amp;Upload!T100)),ISNUMBER(SEARCH("Anti Tarnish",Upload!P100&amp;Upload!Q100&amp;Upload!R100&amp;Upload!S100&amp;Upload!T100))))),"",0.0012*C110)</f>
        <v/>
      </c>
      <c r="Q110" s="15" t="str">
        <f>IF(OR(E110="",NOT(OR(ISNUMBER(SEARCH("Epóxico MT",Upload!P100&amp;Upload!Q100&amp;Upload!R100&amp;Upload!S100&amp;Upload!T100))))),"",E110*0.000035)</f>
        <v/>
      </c>
      <c r="R110" s="15" t="str">
        <f>IF(OR(F110="",NOT(OR(ISNUMBER(SEARCH("Epóxico BT",Upload!Q100&amp;Upload!R100&amp;Upload!S100&amp;Upload!T100&amp;Upload!U100))))),"",F110*0.000035)</f>
        <v/>
      </c>
      <c r="S110" s="15" t="str">
        <f>IF(OR(G110="",NOT(OR(ISNUMBER(SEARCH("Epóxico Rojo",Upload!R100&amp;Upload!S100&amp;Upload!T100&amp;Upload!U100&amp;Upload!V100))))),"",G110*0.000035)</f>
        <v/>
      </c>
    </row>
    <row r="111" spans="1:19" x14ac:dyDescent="0.2">
      <c r="A111" s="9" t="e">
        <f t="shared" ca="1" si="6"/>
        <v>#NAME?</v>
      </c>
      <c r="B111" s="9">
        <f>Upload!E101</f>
        <v>0</v>
      </c>
      <c r="C111" s="9">
        <f>Upload!AE101</f>
        <v>0</v>
      </c>
      <c r="D111" s="9">
        <f>Upload!AF101</f>
        <v>0</v>
      </c>
      <c r="E111" s="9">
        <f>Upload!AG101</f>
        <v>0</v>
      </c>
      <c r="F111" s="9" t="str">
        <f>Upload!X101</f>
        <v/>
      </c>
      <c r="G111" s="9" t="str">
        <f>Upload!Z101</f>
        <v/>
      </c>
      <c r="H111" s="9" t="str">
        <f>Upload!W101</f>
        <v>(seleccione)</v>
      </c>
      <c r="I111" s="9" t="str">
        <f>Upload!Y101</f>
        <v>(seleccione)</v>
      </c>
      <c r="K111" s="15" t="str">
        <f t="shared" si="7"/>
        <v/>
      </c>
      <c r="L111" s="15" t="str">
        <f t="shared" si="8"/>
        <v/>
      </c>
      <c r="M111" s="15" t="str">
        <f t="shared" si="9"/>
        <v/>
      </c>
      <c r="N111" s="15" t="str">
        <f t="shared" si="10"/>
        <v/>
      </c>
      <c r="O111" s="15" t="str">
        <f t="shared" si="11"/>
        <v/>
      </c>
      <c r="P111" s="15" t="str">
        <f>IF(OR(C111="",NOT(OR(ISNUMBER(SEARCH("Antitarnish",Upload!P101&amp;Upload!Q101&amp;Upload!R101&amp;Upload!S101&amp;Upload!T101)),ISNUMBER(SEARCH("Anti Tarnish",Upload!P101&amp;Upload!Q101&amp;Upload!R101&amp;Upload!S101&amp;Upload!T101))))),"",0.0012*C111)</f>
        <v/>
      </c>
      <c r="Q111" s="15" t="str">
        <f>IF(OR(E111="",NOT(OR(ISNUMBER(SEARCH("Epóxico MT",Upload!P101&amp;Upload!Q101&amp;Upload!R101&amp;Upload!S101&amp;Upload!T101))))),"",E111*0.000035)</f>
        <v/>
      </c>
      <c r="R111" s="15" t="str">
        <f>IF(OR(F111="",NOT(OR(ISNUMBER(SEARCH("Epóxico BT",Upload!Q101&amp;Upload!R101&amp;Upload!S101&amp;Upload!T101&amp;Upload!U101))))),"",F111*0.000035)</f>
        <v/>
      </c>
      <c r="S111" s="15" t="str">
        <f>IF(OR(G111="",NOT(OR(ISNUMBER(SEARCH("Epóxico Rojo",Upload!R101&amp;Upload!S101&amp;Upload!T101&amp;Upload!U101&amp;Upload!V101))))),"",G111*0.000035)</f>
        <v/>
      </c>
    </row>
    <row r="112" spans="1:19" x14ac:dyDescent="0.2">
      <c r="A112" s="9" t="e">
        <f t="shared" ca="1" si="6"/>
        <v>#NAME?</v>
      </c>
      <c r="B112" s="9">
        <f>Upload!E102</f>
        <v>0</v>
      </c>
      <c r="C112" s="9">
        <f>Upload!AE102</f>
        <v>0</v>
      </c>
      <c r="D112" s="9">
        <f>Upload!AF102</f>
        <v>0</v>
      </c>
      <c r="E112" s="9">
        <f>Upload!AG102</f>
        <v>0</v>
      </c>
      <c r="F112" s="9" t="str">
        <f>Upload!X102</f>
        <v/>
      </c>
      <c r="G112" s="9" t="str">
        <f>Upload!Z102</f>
        <v/>
      </c>
      <c r="H112" s="9" t="str">
        <f>Upload!W102</f>
        <v>(seleccione)</v>
      </c>
      <c r="I112" s="9" t="str">
        <f>Upload!Y102</f>
        <v>(seleccione)</v>
      </c>
      <c r="K112" s="15" t="str">
        <f t="shared" si="7"/>
        <v/>
      </c>
      <c r="L112" s="15" t="str">
        <f t="shared" si="8"/>
        <v/>
      </c>
      <c r="M112" s="15" t="str">
        <f t="shared" si="9"/>
        <v/>
      </c>
      <c r="N112" s="15" t="str">
        <f t="shared" si="10"/>
        <v/>
      </c>
      <c r="O112" s="15" t="str">
        <f t="shared" si="11"/>
        <v/>
      </c>
      <c r="P112" s="15" t="str">
        <f>IF(OR(C112="",NOT(OR(ISNUMBER(SEARCH("Antitarnish",Upload!P102&amp;Upload!Q102&amp;Upload!R102&amp;Upload!S102&amp;Upload!T102)),ISNUMBER(SEARCH("Anti Tarnish",Upload!P102&amp;Upload!Q102&amp;Upload!R102&amp;Upload!S102&amp;Upload!T102))))),"",0.0012*C112)</f>
        <v/>
      </c>
      <c r="Q112" s="15" t="str">
        <f>IF(OR(E112="",NOT(OR(ISNUMBER(SEARCH("Epóxico MT",Upload!P102&amp;Upload!Q102&amp;Upload!R102&amp;Upload!S102&amp;Upload!T102))))),"",E112*0.000035)</f>
        <v/>
      </c>
      <c r="R112" s="15" t="str">
        <f>IF(OR(F112="",NOT(OR(ISNUMBER(SEARCH("Epóxico BT",Upload!Q102&amp;Upload!R102&amp;Upload!S102&amp;Upload!T102&amp;Upload!U102))))),"",F112*0.000035)</f>
        <v/>
      </c>
      <c r="S112" s="15" t="str">
        <f>IF(OR(G112="",NOT(OR(ISNUMBER(SEARCH("Epóxico Rojo",Upload!R102&amp;Upload!S102&amp;Upload!T102&amp;Upload!U102&amp;Upload!V102))))),"",G112*0.000035)</f>
        <v/>
      </c>
    </row>
    <row r="113" spans="1:19" x14ac:dyDescent="0.2">
      <c r="A113" s="9" t="e">
        <f t="shared" ca="1" si="6"/>
        <v>#NAME?</v>
      </c>
      <c r="B113" s="9">
        <f>Upload!E103</f>
        <v>0</v>
      </c>
      <c r="C113" s="9">
        <f>Upload!AE103</f>
        <v>0</v>
      </c>
      <c r="D113" s="9">
        <f>Upload!AF103</f>
        <v>0</v>
      </c>
      <c r="E113" s="9">
        <f>Upload!AG103</f>
        <v>0</v>
      </c>
      <c r="F113" s="9" t="str">
        <f>Upload!X103</f>
        <v/>
      </c>
      <c r="G113" s="9" t="str">
        <f>Upload!Z103</f>
        <v/>
      </c>
      <c r="H113" s="9" t="str">
        <f>Upload!W103</f>
        <v>(seleccione)</v>
      </c>
      <c r="I113" s="9" t="str">
        <f>Upload!Y103</f>
        <v>(seleccione)</v>
      </c>
      <c r="K113" s="15" t="str">
        <f t="shared" si="7"/>
        <v/>
      </c>
      <c r="L113" s="15" t="str">
        <f t="shared" si="8"/>
        <v/>
      </c>
      <c r="M113" s="15" t="str">
        <f t="shared" si="9"/>
        <v/>
      </c>
      <c r="N113" s="15" t="str">
        <f t="shared" si="10"/>
        <v/>
      </c>
      <c r="O113" s="15" t="str">
        <f t="shared" si="11"/>
        <v/>
      </c>
      <c r="P113" s="15" t="str">
        <f>IF(OR(C113="",NOT(OR(ISNUMBER(SEARCH("Antitarnish",Upload!P103&amp;Upload!Q103&amp;Upload!R103&amp;Upload!S103&amp;Upload!T103)),ISNUMBER(SEARCH("Anti Tarnish",Upload!P103&amp;Upload!Q103&amp;Upload!R103&amp;Upload!S103&amp;Upload!T103))))),"",0.0012*C113)</f>
        <v/>
      </c>
      <c r="Q113" s="15" t="str">
        <f>IF(OR(E113="",NOT(OR(ISNUMBER(SEARCH("Epóxico MT",Upload!P103&amp;Upload!Q103&amp;Upload!R103&amp;Upload!S103&amp;Upload!T103))))),"",E113*0.000035)</f>
        <v/>
      </c>
      <c r="R113" s="15" t="str">
        <f>IF(OR(F113="",NOT(OR(ISNUMBER(SEARCH("Epóxico BT",Upload!Q103&amp;Upload!R103&amp;Upload!S103&amp;Upload!T103&amp;Upload!U103))))),"",F113*0.000035)</f>
        <v/>
      </c>
      <c r="S113" s="15" t="str">
        <f>IF(OR(G113="",NOT(OR(ISNUMBER(SEARCH("Epóxico Rojo",Upload!R103&amp;Upload!S103&amp;Upload!T103&amp;Upload!U103&amp;Upload!V103))))),"",G113*0.000035)</f>
        <v/>
      </c>
    </row>
    <row r="114" spans="1:19" x14ac:dyDescent="0.2">
      <c r="A114" s="9" t="e">
        <f t="shared" ca="1" si="6"/>
        <v>#NAME?</v>
      </c>
      <c r="B114" s="9">
        <f>Upload!E104</f>
        <v>0</v>
      </c>
      <c r="C114" s="9">
        <f>Upload!AE104</f>
        <v>0</v>
      </c>
      <c r="D114" s="9">
        <f>Upload!AF104</f>
        <v>0</v>
      </c>
      <c r="E114" s="9">
        <f>Upload!AG104</f>
        <v>0</v>
      </c>
      <c r="F114" s="9" t="str">
        <f>Upload!X104</f>
        <v/>
      </c>
      <c r="G114" s="9" t="str">
        <f>Upload!Z104</f>
        <v/>
      </c>
      <c r="H114" s="9" t="str">
        <f>Upload!W104</f>
        <v>(seleccione)</v>
      </c>
      <c r="I114" s="9" t="str">
        <f>Upload!Y104</f>
        <v>(seleccione)</v>
      </c>
      <c r="K114" s="15" t="str">
        <f t="shared" si="7"/>
        <v/>
      </c>
      <c r="L114" s="15" t="str">
        <f t="shared" si="8"/>
        <v/>
      </c>
      <c r="M114" s="15" t="str">
        <f t="shared" si="9"/>
        <v/>
      </c>
      <c r="N114" s="15" t="str">
        <f t="shared" si="10"/>
        <v/>
      </c>
      <c r="O114" s="15" t="str">
        <f t="shared" si="11"/>
        <v/>
      </c>
      <c r="P114" s="15" t="str">
        <f>IF(OR(C114="",NOT(OR(ISNUMBER(SEARCH("Antitarnish",Upload!P104&amp;Upload!Q104&amp;Upload!R104&amp;Upload!S104&amp;Upload!T104)),ISNUMBER(SEARCH("Anti Tarnish",Upload!P104&amp;Upload!Q104&amp;Upload!R104&amp;Upload!S104&amp;Upload!T104))))),"",0.0012*C114)</f>
        <v/>
      </c>
      <c r="Q114" s="15" t="str">
        <f>IF(OR(E114="",NOT(OR(ISNUMBER(SEARCH("Epóxico MT",Upload!P104&amp;Upload!Q104&amp;Upload!R104&amp;Upload!S104&amp;Upload!T104))))),"",E114*0.000035)</f>
        <v/>
      </c>
      <c r="R114" s="15" t="str">
        <f>IF(OR(F114="",NOT(OR(ISNUMBER(SEARCH("Epóxico BT",Upload!Q104&amp;Upload!R104&amp;Upload!S104&amp;Upload!T104&amp;Upload!U104))))),"",F114*0.000035)</f>
        <v/>
      </c>
      <c r="S114" s="15" t="str">
        <f>IF(OR(G114="",NOT(OR(ISNUMBER(SEARCH("Epóxico Rojo",Upload!R104&amp;Upload!S104&amp;Upload!T104&amp;Upload!U104&amp;Upload!V104))))),"",G114*0.000035)</f>
        <v/>
      </c>
    </row>
    <row r="115" spans="1:19" x14ac:dyDescent="0.2">
      <c r="A115" s="9" t="e">
        <f t="shared" ca="1" si="6"/>
        <v>#NAME?</v>
      </c>
      <c r="B115" s="9">
        <f>Upload!E105</f>
        <v>0</v>
      </c>
      <c r="C115" s="9">
        <f>Upload!AE105</f>
        <v>0</v>
      </c>
      <c r="D115" s="9">
        <f>Upload!AF105</f>
        <v>0</v>
      </c>
      <c r="E115" s="9">
        <f>Upload!AG105</f>
        <v>0</v>
      </c>
      <c r="F115" s="9" t="str">
        <f>Upload!X105</f>
        <v/>
      </c>
      <c r="G115" s="9" t="str">
        <f>Upload!Z105</f>
        <v/>
      </c>
      <c r="H115" s="9" t="str">
        <f>Upload!W105</f>
        <v>(seleccione)</v>
      </c>
      <c r="I115" s="9" t="str">
        <f>Upload!Y105</f>
        <v>(seleccione)</v>
      </c>
      <c r="K115" s="15" t="str">
        <f t="shared" si="7"/>
        <v/>
      </c>
      <c r="L115" s="15" t="str">
        <f t="shared" si="8"/>
        <v/>
      </c>
      <c r="M115" s="15" t="str">
        <f t="shared" si="9"/>
        <v/>
      </c>
      <c r="N115" s="15" t="str">
        <f t="shared" si="10"/>
        <v/>
      </c>
      <c r="O115" s="15" t="str">
        <f t="shared" si="11"/>
        <v/>
      </c>
      <c r="P115" s="15" t="str">
        <f>IF(OR(C115="",NOT(OR(ISNUMBER(SEARCH("Antitarnish",Upload!P105&amp;Upload!Q105&amp;Upload!R105&amp;Upload!S105&amp;Upload!T105)),ISNUMBER(SEARCH("Anti Tarnish",Upload!P105&amp;Upload!Q105&amp;Upload!R105&amp;Upload!S105&amp;Upload!T105))))),"",0.0012*C115)</f>
        <v/>
      </c>
      <c r="Q115" s="15" t="str">
        <f>IF(OR(E115="",NOT(OR(ISNUMBER(SEARCH("Epóxico MT",Upload!P105&amp;Upload!Q105&amp;Upload!R105&amp;Upload!S105&amp;Upload!T105))))),"",E115*0.000035)</f>
        <v/>
      </c>
      <c r="R115" s="15" t="str">
        <f>IF(OR(F115="",NOT(OR(ISNUMBER(SEARCH("Epóxico BT",Upload!Q105&amp;Upload!R105&amp;Upload!S105&amp;Upload!T105&amp;Upload!U105))))),"",F115*0.000035)</f>
        <v/>
      </c>
      <c r="S115" s="15" t="str">
        <f>IF(OR(G115="",NOT(OR(ISNUMBER(SEARCH("Epóxico Rojo",Upload!R105&amp;Upload!S105&amp;Upload!T105&amp;Upload!U105&amp;Upload!V105))))),"",G115*0.000035)</f>
        <v/>
      </c>
    </row>
    <row r="116" spans="1:19" x14ac:dyDescent="0.2">
      <c r="A116" s="9" t="e">
        <f t="shared" ca="1" si="6"/>
        <v>#NAME?</v>
      </c>
      <c r="B116" s="9">
        <f>Upload!E106</f>
        <v>0</v>
      </c>
      <c r="C116" s="9">
        <f>Upload!AE106</f>
        <v>0</v>
      </c>
      <c r="D116" s="9">
        <f>Upload!AF106</f>
        <v>0</v>
      </c>
      <c r="E116" s="9">
        <f>Upload!AG106</f>
        <v>0</v>
      </c>
      <c r="F116" s="9" t="str">
        <f>Upload!X106</f>
        <v/>
      </c>
      <c r="G116" s="9" t="str">
        <f>Upload!Z106</f>
        <v/>
      </c>
      <c r="H116" s="9" t="str">
        <f>Upload!W106</f>
        <v>(seleccione)</v>
      </c>
      <c r="I116" s="9" t="str">
        <f>Upload!Y106</f>
        <v>(seleccione)</v>
      </c>
      <c r="K116" s="15" t="str">
        <f t="shared" si="7"/>
        <v/>
      </c>
      <c r="L116" s="15" t="str">
        <f t="shared" si="8"/>
        <v/>
      </c>
      <c r="M116" s="15" t="str">
        <f t="shared" si="9"/>
        <v/>
      </c>
      <c r="N116" s="15" t="str">
        <f t="shared" si="10"/>
        <v/>
      </c>
      <c r="O116" s="15" t="str">
        <f t="shared" si="11"/>
        <v/>
      </c>
      <c r="P116" s="15" t="str">
        <f>IF(OR(C116="",NOT(OR(ISNUMBER(SEARCH("Antitarnish",Upload!P106&amp;Upload!Q106&amp;Upload!R106&amp;Upload!S106&amp;Upload!T106)),ISNUMBER(SEARCH("Anti Tarnish",Upload!P106&amp;Upload!Q106&amp;Upload!R106&amp;Upload!S106&amp;Upload!T106))))),"",0.0012*C116)</f>
        <v/>
      </c>
      <c r="Q116" s="15" t="str">
        <f>IF(OR(E116="",NOT(OR(ISNUMBER(SEARCH("Epóxico MT",Upload!P106&amp;Upload!Q106&amp;Upload!R106&amp;Upload!S106&amp;Upload!T106))))),"",E116*0.000035)</f>
        <v/>
      </c>
      <c r="R116" s="15" t="str">
        <f>IF(OR(F116="",NOT(OR(ISNUMBER(SEARCH("Epóxico BT",Upload!Q106&amp;Upload!R106&amp;Upload!S106&amp;Upload!T106&amp;Upload!U106))))),"",F116*0.000035)</f>
        <v/>
      </c>
      <c r="S116" s="15" t="str">
        <f>IF(OR(G116="",NOT(OR(ISNUMBER(SEARCH("Epóxico Rojo",Upload!R106&amp;Upload!S106&amp;Upload!T106&amp;Upload!U106&amp;Upload!V106))))),"",G116*0.000035)</f>
        <v/>
      </c>
    </row>
    <row r="117" spans="1:19" x14ac:dyDescent="0.2">
      <c r="A117" s="9" t="e">
        <f t="shared" ca="1" si="6"/>
        <v>#NAME?</v>
      </c>
      <c r="B117" s="9">
        <f>Upload!E107</f>
        <v>0</v>
      </c>
      <c r="C117" s="9">
        <f>Upload!AE107</f>
        <v>0</v>
      </c>
      <c r="D117" s="9">
        <f>Upload!AF107</f>
        <v>0</v>
      </c>
      <c r="E117" s="9">
        <f>Upload!AG107</f>
        <v>0</v>
      </c>
      <c r="F117" s="9" t="str">
        <f>Upload!X107</f>
        <v/>
      </c>
      <c r="G117" s="9" t="str">
        <f>Upload!Z107</f>
        <v/>
      </c>
      <c r="H117" s="9" t="str">
        <f>Upload!W107</f>
        <v>(seleccione)</v>
      </c>
      <c r="I117" s="9" t="str">
        <f>Upload!Y107</f>
        <v>(seleccione)</v>
      </c>
      <c r="K117" s="15" t="str">
        <f t="shared" si="7"/>
        <v/>
      </c>
      <c r="L117" s="15" t="str">
        <f t="shared" si="8"/>
        <v/>
      </c>
      <c r="M117" s="15" t="str">
        <f t="shared" si="9"/>
        <v/>
      </c>
      <c r="N117" s="15" t="str">
        <f t="shared" si="10"/>
        <v/>
      </c>
      <c r="O117" s="15" t="str">
        <f t="shared" si="11"/>
        <v/>
      </c>
      <c r="P117" s="15" t="str">
        <f>IF(OR(C117="",NOT(OR(ISNUMBER(SEARCH("Antitarnish",Upload!P107&amp;Upload!Q107&amp;Upload!R107&amp;Upload!S107&amp;Upload!T107)),ISNUMBER(SEARCH("Anti Tarnish",Upload!P107&amp;Upload!Q107&amp;Upload!R107&amp;Upload!S107&amp;Upload!T107))))),"",0.0012*C117)</f>
        <v/>
      </c>
      <c r="Q117" s="15" t="str">
        <f>IF(OR(E117="",NOT(OR(ISNUMBER(SEARCH("Epóxico MT",Upload!P107&amp;Upload!Q107&amp;Upload!R107&amp;Upload!S107&amp;Upload!T107))))),"",E117*0.000035)</f>
        <v/>
      </c>
      <c r="R117" s="15" t="str">
        <f>IF(OR(F117="",NOT(OR(ISNUMBER(SEARCH("Epóxico BT",Upload!Q107&amp;Upload!R107&amp;Upload!S107&amp;Upload!T107&amp;Upload!U107))))),"",F117*0.000035)</f>
        <v/>
      </c>
      <c r="S117" s="15" t="str">
        <f>IF(OR(G117="",NOT(OR(ISNUMBER(SEARCH("Epóxico Rojo",Upload!R107&amp;Upload!S107&amp;Upload!T107&amp;Upload!U107&amp;Upload!V107))))),"",G117*0.000035)</f>
        <v/>
      </c>
    </row>
    <row r="118" spans="1:19" x14ac:dyDescent="0.2">
      <c r="A118" s="9" t="e">
        <f t="shared" ca="1" si="6"/>
        <v>#NAME?</v>
      </c>
      <c r="B118" s="9">
        <f>Upload!E108</f>
        <v>0</v>
      </c>
      <c r="C118" s="9">
        <f>Upload!AE108</f>
        <v>0</v>
      </c>
      <c r="D118" s="9">
        <f>Upload!AF108</f>
        <v>0</v>
      </c>
      <c r="E118" s="9">
        <f>Upload!AG108</f>
        <v>0</v>
      </c>
      <c r="F118" s="9" t="str">
        <f>Upload!X108</f>
        <v/>
      </c>
      <c r="G118" s="9" t="str">
        <f>Upload!Z108</f>
        <v/>
      </c>
      <c r="H118" s="9" t="str">
        <f>Upload!W108</f>
        <v>(seleccione)</v>
      </c>
      <c r="I118" s="9" t="str">
        <f>Upload!Y108</f>
        <v>(seleccione)</v>
      </c>
      <c r="K118" s="15" t="str">
        <f t="shared" si="7"/>
        <v/>
      </c>
      <c r="L118" s="15" t="str">
        <f t="shared" si="8"/>
        <v/>
      </c>
      <c r="M118" s="15" t="str">
        <f t="shared" si="9"/>
        <v/>
      </c>
      <c r="N118" s="15" t="str">
        <f t="shared" si="10"/>
        <v/>
      </c>
      <c r="O118" s="15" t="str">
        <f t="shared" si="11"/>
        <v/>
      </c>
      <c r="P118" s="15" t="str">
        <f>IF(OR(C118="",NOT(OR(ISNUMBER(SEARCH("Antitarnish",Upload!P108&amp;Upload!Q108&amp;Upload!R108&amp;Upload!S108&amp;Upload!T108)),ISNUMBER(SEARCH("Anti Tarnish",Upload!P108&amp;Upload!Q108&amp;Upload!R108&amp;Upload!S108&amp;Upload!T108))))),"",0.0012*C118)</f>
        <v/>
      </c>
      <c r="Q118" s="15" t="str">
        <f>IF(OR(E118="",NOT(OR(ISNUMBER(SEARCH("Epóxico MT",Upload!P108&amp;Upload!Q108&amp;Upload!R108&amp;Upload!S108&amp;Upload!T108))))),"",E118*0.000035)</f>
        <v/>
      </c>
      <c r="R118" s="15" t="str">
        <f>IF(OR(F118="",NOT(OR(ISNUMBER(SEARCH("Epóxico BT",Upload!Q108&amp;Upload!R108&amp;Upload!S108&amp;Upload!T108&amp;Upload!U108))))),"",F118*0.000035)</f>
        <v/>
      </c>
      <c r="S118" s="15" t="str">
        <f>IF(OR(G118="",NOT(OR(ISNUMBER(SEARCH("Epóxico Rojo",Upload!R108&amp;Upload!S108&amp;Upload!T108&amp;Upload!U108&amp;Upload!V108))))),"",G118*0.000035)</f>
        <v/>
      </c>
    </row>
    <row r="119" spans="1:19" x14ac:dyDescent="0.2">
      <c r="A119" s="9" t="e">
        <f t="shared" ca="1" si="6"/>
        <v>#NAME?</v>
      </c>
      <c r="B119" s="9">
        <f>Upload!E109</f>
        <v>0</v>
      </c>
      <c r="C119" s="9">
        <f>Upload!AE109</f>
        <v>0</v>
      </c>
      <c r="D119" s="9">
        <f>Upload!AF109</f>
        <v>0</v>
      </c>
      <c r="E119" s="9">
        <f>Upload!AG109</f>
        <v>0</v>
      </c>
      <c r="F119" s="9" t="str">
        <f>Upload!X109</f>
        <v/>
      </c>
      <c r="G119" s="9" t="str">
        <f>Upload!Z109</f>
        <v/>
      </c>
      <c r="H119" s="9" t="str">
        <f>Upload!W109</f>
        <v>(seleccione)</v>
      </c>
      <c r="I119" s="9" t="str">
        <f>Upload!Y109</f>
        <v>(seleccione)</v>
      </c>
      <c r="K119" s="15" t="str">
        <f t="shared" si="7"/>
        <v/>
      </c>
      <c r="L119" s="15" t="str">
        <f t="shared" si="8"/>
        <v/>
      </c>
      <c r="M119" s="15" t="str">
        <f t="shared" si="9"/>
        <v/>
      </c>
      <c r="N119" s="15" t="str">
        <f t="shared" si="10"/>
        <v/>
      </c>
      <c r="O119" s="15" t="str">
        <f t="shared" si="11"/>
        <v/>
      </c>
      <c r="P119" s="15" t="str">
        <f>IF(OR(C119="",NOT(OR(ISNUMBER(SEARCH("Antitarnish",Upload!P109&amp;Upload!Q109&amp;Upload!R109&amp;Upload!S109&amp;Upload!T109)),ISNUMBER(SEARCH("Anti Tarnish",Upload!P109&amp;Upload!Q109&amp;Upload!R109&amp;Upload!S109&amp;Upload!T109))))),"",0.0012*C119)</f>
        <v/>
      </c>
      <c r="Q119" s="15" t="str">
        <f>IF(OR(E119="",NOT(OR(ISNUMBER(SEARCH("Epóxico MT",Upload!P109&amp;Upload!Q109&amp;Upload!R109&amp;Upload!S109&amp;Upload!T109))))),"",E119*0.000035)</f>
        <v/>
      </c>
      <c r="R119" s="15" t="str">
        <f>IF(OR(F119="",NOT(OR(ISNUMBER(SEARCH("Epóxico BT",Upload!Q109&amp;Upload!R109&amp;Upload!S109&amp;Upload!T109&amp;Upload!U109))))),"",F119*0.000035)</f>
        <v/>
      </c>
      <c r="S119" s="15" t="str">
        <f>IF(OR(G119="",NOT(OR(ISNUMBER(SEARCH("Epóxico Rojo",Upload!R109&amp;Upload!S109&amp;Upload!T109&amp;Upload!U109&amp;Upload!V109))))),"",G119*0.000035)</f>
        <v/>
      </c>
    </row>
    <row r="120" spans="1:19" x14ac:dyDescent="0.2">
      <c r="A120" s="9" t="e">
        <f t="shared" ca="1" si="6"/>
        <v>#NAME?</v>
      </c>
      <c r="B120" s="9">
        <f>Upload!E110</f>
        <v>0</v>
      </c>
      <c r="C120" s="9">
        <f>Upload!AE110</f>
        <v>0</v>
      </c>
      <c r="D120" s="9">
        <f>Upload!AF110</f>
        <v>0</v>
      </c>
      <c r="E120" s="9">
        <f>Upload!AG110</f>
        <v>0</v>
      </c>
      <c r="F120" s="9" t="str">
        <f>Upload!X110</f>
        <v/>
      </c>
      <c r="G120" s="9" t="str">
        <f>Upload!Z110</f>
        <v/>
      </c>
      <c r="H120" s="9" t="str">
        <f>Upload!W110</f>
        <v>(seleccione)</v>
      </c>
      <c r="I120" s="9" t="str">
        <f>Upload!Y110</f>
        <v>(seleccione)</v>
      </c>
      <c r="K120" s="15" t="str">
        <f t="shared" si="7"/>
        <v/>
      </c>
      <c r="L120" s="15" t="str">
        <f t="shared" si="8"/>
        <v/>
      </c>
      <c r="M120" s="15" t="str">
        <f t="shared" si="9"/>
        <v/>
      </c>
      <c r="N120" s="15" t="str">
        <f t="shared" si="10"/>
        <v/>
      </c>
      <c r="O120" s="15" t="str">
        <f t="shared" si="11"/>
        <v/>
      </c>
      <c r="P120" s="15" t="str">
        <f>IF(OR(C120="",NOT(OR(ISNUMBER(SEARCH("Antitarnish",Upload!P110&amp;Upload!Q110&amp;Upload!R110&amp;Upload!S110&amp;Upload!T110)),ISNUMBER(SEARCH("Anti Tarnish",Upload!P110&amp;Upload!Q110&amp;Upload!R110&amp;Upload!S110&amp;Upload!T110))))),"",0.0012*C120)</f>
        <v/>
      </c>
      <c r="Q120" s="15" t="str">
        <f>IF(OR(E120="",NOT(OR(ISNUMBER(SEARCH("Epóxico MT",Upload!P110&amp;Upload!Q110&amp;Upload!R110&amp;Upload!S110&amp;Upload!T110))))),"",E120*0.000035)</f>
        <v/>
      </c>
      <c r="R120" s="15" t="str">
        <f>IF(OR(F120="",NOT(OR(ISNUMBER(SEARCH("Epóxico BT",Upload!Q110&amp;Upload!R110&amp;Upload!S110&amp;Upload!T110&amp;Upload!U110))))),"",F120*0.000035)</f>
        <v/>
      </c>
      <c r="S120" s="15" t="str">
        <f>IF(OR(G120="",NOT(OR(ISNUMBER(SEARCH("Epóxico Rojo",Upload!R110&amp;Upload!S110&amp;Upload!T110&amp;Upload!U110&amp;Upload!V110))))),"",G120*0.000035)</f>
        <v/>
      </c>
    </row>
    <row r="121" spans="1:19" x14ac:dyDescent="0.2">
      <c r="A121" s="9" t="e">
        <f t="shared" ca="1" si="6"/>
        <v>#NAME?</v>
      </c>
      <c r="B121" s="9">
        <f>Upload!E111</f>
        <v>0</v>
      </c>
      <c r="C121" s="9">
        <f>Upload!AE111</f>
        <v>0</v>
      </c>
      <c r="D121" s="9">
        <f>Upload!AF111</f>
        <v>0</v>
      </c>
      <c r="E121" s="9">
        <f>Upload!AG111</f>
        <v>0</v>
      </c>
      <c r="F121" s="9" t="str">
        <f>Upload!X111</f>
        <v/>
      </c>
      <c r="G121" s="9" t="str">
        <f>Upload!Z111</f>
        <v/>
      </c>
      <c r="H121" s="9" t="str">
        <f>Upload!W111</f>
        <v>(seleccione)</v>
      </c>
      <c r="I121" s="9" t="str">
        <f>Upload!Y111</f>
        <v>(seleccione)</v>
      </c>
      <c r="K121" s="15" t="str">
        <f t="shared" si="7"/>
        <v/>
      </c>
      <c r="L121" s="15" t="str">
        <f t="shared" si="8"/>
        <v/>
      </c>
      <c r="M121" s="15" t="str">
        <f t="shared" si="9"/>
        <v/>
      </c>
      <c r="N121" s="15" t="str">
        <f t="shared" si="10"/>
        <v/>
      </c>
      <c r="O121" s="15" t="str">
        <f t="shared" si="11"/>
        <v/>
      </c>
      <c r="P121" s="15" t="str">
        <f>IF(OR(C121="",NOT(OR(ISNUMBER(SEARCH("Antitarnish",Upload!P111&amp;Upload!Q111&amp;Upload!R111&amp;Upload!S111&amp;Upload!T111)),ISNUMBER(SEARCH("Anti Tarnish",Upload!P111&amp;Upload!Q111&amp;Upload!R111&amp;Upload!S111&amp;Upload!T111))))),"",0.0012*C121)</f>
        <v/>
      </c>
      <c r="Q121" s="15" t="str">
        <f>IF(OR(E121="",NOT(OR(ISNUMBER(SEARCH("Epóxico MT",Upload!P111&amp;Upload!Q111&amp;Upload!R111&amp;Upload!S111&amp;Upload!T111))))),"",E121*0.000035)</f>
        <v/>
      </c>
      <c r="R121" s="15" t="str">
        <f>IF(OR(F121="",NOT(OR(ISNUMBER(SEARCH("Epóxico BT",Upload!Q111&amp;Upload!R111&amp;Upload!S111&amp;Upload!T111&amp;Upload!U111))))),"",F121*0.000035)</f>
        <v/>
      </c>
      <c r="S121" s="15" t="str">
        <f>IF(OR(G121="",NOT(OR(ISNUMBER(SEARCH("Epóxico Rojo",Upload!R111&amp;Upload!S111&amp;Upload!T111&amp;Upload!U111&amp;Upload!V111))))),"",G121*0.000035)</f>
        <v/>
      </c>
    </row>
    <row r="122" spans="1:19" x14ac:dyDescent="0.2">
      <c r="A122" s="9" t="e">
        <f t="shared" ca="1" si="6"/>
        <v>#NAME?</v>
      </c>
      <c r="B122" s="9">
        <f>Upload!E112</f>
        <v>0</v>
      </c>
      <c r="C122" s="9">
        <f>Upload!AE112</f>
        <v>0</v>
      </c>
      <c r="D122" s="9">
        <f>Upload!AF112</f>
        <v>0</v>
      </c>
      <c r="E122" s="9">
        <f>Upload!AG112</f>
        <v>0</v>
      </c>
      <c r="F122" s="9" t="str">
        <f>Upload!X112</f>
        <v/>
      </c>
      <c r="G122" s="9" t="str">
        <f>Upload!Z112</f>
        <v/>
      </c>
      <c r="H122" s="9" t="str">
        <f>Upload!W112</f>
        <v>(seleccione)</v>
      </c>
      <c r="I122" s="9" t="str">
        <f>Upload!Y112</f>
        <v>(seleccione)</v>
      </c>
      <c r="K122" s="15" t="str">
        <f t="shared" si="7"/>
        <v/>
      </c>
      <c r="L122" s="15" t="str">
        <f t="shared" si="8"/>
        <v/>
      </c>
      <c r="M122" s="15" t="str">
        <f t="shared" si="9"/>
        <v/>
      </c>
      <c r="N122" s="15" t="str">
        <f t="shared" si="10"/>
        <v/>
      </c>
      <c r="O122" s="15" t="str">
        <f t="shared" si="11"/>
        <v/>
      </c>
      <c r="P122" s="15" t="str">
        <f>IF(OR(C122="",NOT(OR(ISNUMBER(SEARCH("Antitarnish",Upload!P112&amp;Upload!Q112&amp;Upload!R112&amp;Upload!S112&amp;Upload!T112)),ISNUMBER(SEARCH("Anti Tarnish",Upload!P112&amp;Upload!Q112&amp;Upload!R112&amp;Upload!S112&amp;Upload!T112))))),"",0.0012*C122)</f>
        <v/>
      </c>
      <c r="Q122" s="15" t="str">
        <f>IF(OR(E122="",NOT(OR(ISNUMBER(SEARCH("Epóxico MT",Upload!P112&amp;Upload!Q112&amp;Upload!R112&amp;Upload!S112&amp;Upload!T112))))),"",E122*0.000035)</f>
        <v/>
      </c>
      <c r="R122" s="15" t="str">
        <f>IF(OR(F122="",NOT(OR(ISNUMBER(SEARCH("Epóxico BT",Upload!Q112&amp;Upload!R112&amp;Upload!S112&amp;Upload!T112&amp;Upload!U112))))),"",F122*0.000035)</f>
        <v/>
      </c>
      <c r="S122" s="15" t="str">
        <f>IF(OR(G122="",NOT(OR(ISNUMBER(SEARCH("Epóxico Rojo",Upload!R112&amp;Upload!S112&amp;Upload!T112&amp;Upload!U112&amp;Upload!V112))))),"",G122*0.000035)</f>
        <v/>
      </c>
    </row>
    <row r="123" spans="1:19" x14ac:dyDescent="0.2">
      <c r="A123" s="9" t="e">
        <f t="shared" ca="1" si="6"/>
        <v>#NAME?</v>
      </c>
      <c r="B123" s="9">
        <f>Upload!E113</f>
        <v>0</v>
      </c>
      <c r="C123" s="9">
        <f>Upload!AE113</f>
        <v>0</v>
      </c>
      <c r="D123" s="9">
        <f>Upload!AF113</f>
        <v>0</v>
      </c>
      <c r="E123" s="9">
        <f>Upload!AG113</f>
        <v>0</v>
      </c>
      <c r="F123" s="9" t="str">
        <f>Upload!X113</f>
        <v/>
      </c>
      <c r="G123" s="9" t="str">
        <f>Upload!Z113</f>
        <v/>
      </c>
      <c r="H123" s="9" t="str">
        <f>Upload!W113</f>
        <v>(seleccione)</v>
      </c>
      <c r="I123" s="9" t="str">
        <f>Upload!Y113</f>
        <v>(seleccione)</v>
      </c>
      <c r="K123" s="15" t="str">
        <f t="shared" si="7"/>
        <v/>
      </c>
      <c r="L123" s="15" t="str">
        <f t="shared" si="8"/>
        <v/>
      </c>
      <c r="M123" s="15" t="str">
        <f t="shared" si="9"/>
        <v/>
      </c>
      <c r="N123" s="15" t="str">
        <f t="shared" si="10"/>
        <v/>
      </c>
      <c r="O123" s="15" t="str">
        <f t="shared" si="11"/>
        <v/>
      </c>
      <c r="P123" s="15" t="str">
        <f>IF(OR(C123="",NOT(OR(ISNUMBER(SEARCH("Antitarnish",Upload!P113&amp;Upload!Q113&amp;Upload!R113&amp;Upload!S113&amp;Upload!T113)),ISNUMBER(SEARCH("Anti Tarnish",Upload!P113&amp;Upload!Q113&amp;Upload!R113&amp;Upload!S113&amp;Upload!T113))))),"",0.0012*C123)</f>
        <v/>
      </c>
      <c r="Q123" s="15" t="str">
        <f>IF(OR(E123="",NOT(OR(ISNUMBER(SEARCH("Epóxico MT",Upload!P113&amp;Upload!Q113&amp;Upload!R113&amp;Upload!S113&amp;Upload!T113))))),"",E123*0.000035)</f>
        <v/>
      </c>
      <c r="R123" s="15" t="str">
        <f>IF(OR(F123="",NOT(OR(ISNUMBER(SEARCH("Epóxico BT",Upload!Q113&amp;Upload!R113&amp;Upload!S113&amp;Upload!T113&amp;Upload!U113))))),"",F123*0.000035)</f>
        <v/>
      </c>
      <c r="S123" s="15" t="str">
        <f>IF(OR(G123="",NOT(OR(ISNUMBER(SEARCH("Epóxico Rojo",Upload!R113&amp;Upload!S113&amp;Upload!T113&amp;Upload!U113&amp;Upload!V113))))),"",G123*0.000035)</f>
        <v/>
      </c>
    </row>
    <row r="124" spans="1:19" x14ac:dyDescent="0.2">
      <c r="A124" s="9" t="e">
        <f t="shared" ca="1" si="6"/>
        <v>#NAME?</v>
      </c>
      <c r="B124" s="9">
        <f>Upload!E114</f>
        <v>0</v>
      </c>
      <c r="C124" s="9">
        <f>Upload!AE114</f>
        <v>0</v>
      </c>
      <c r="D124" s="9">
        <f>Upload!AF114</f>
        <v>0</v>
      </c>
      <c r="E124" s="9">
        <f>Upload!AG114</f>
        <v>0</v>
      </c>
      <c r="F124" s="9" t="str">
        <f>Upload!X114</f>
        <v/>
      </c>
      <c r="G124" s="9" t="str">
        <f>Upload!Z114</f>
        <v/>
      </c>
      <c r="H124" s="9" t="str">
        <f>Upload!W114</f>
        <v>(seleccione)</v>
      </c>
      <c r="I124" s="9" t="str">
        <f>Upload!Y114</f>
        <v>(seleccione)</v>
      </c>
      <c r="K124" s="15" t="str">
        <f t="shared" si="7"/>
        <v/>
      </c>
      <c r="L124" s="15" t="str">
        <f t="shared" si="8"/>
        <v/>
      </c>
      <c r="M124" s="15" t="str">
        <f t="shared" si="9"/>
        <v/>
      </c>
      <c r="N124" s="15" t="str">
        <f t="shared" si="10"/>
        <v/>
      </c>
      <c r="O124" s="15" t="str">
        <f t="shared" si="11"/>
        <v/>
      </c>
      <c r="P124" s="15" t="str">
        <f>IF(OR(C124="",NOT(OR(ISNUMBER(SEARCH("Antitarnish",Upload!P114&amp;Upload!Q114&amp;Upload!R114&amp;Upload!S114&amp;Upload!T114)),ISNUMBER(SEARCH("Anti Tarnish",Upload!P114&amp;Upload!Q114&amp;Upload!R114&amp;Upload!S114&amp;Upload!T114))))),"",0.0012*C124)</f>
        <v/>
      </c>
      <c r="Q124" s="15" t="str">
        <f>IF(OR(E124="",NOT(OR(ISNUMBER(SEARCH("Epóxico MT",Upload!P114&amp;Upload!Q114&amp;Upload!R114&amp;Upload!S114&amp;Upload!T114))))),"",E124*0.000035)</f>
        <v/>
      </c>
      <c r="R124" s="15" t="str">
        <f>IF(OR(F124="",NOT(OR(ISNUMBER(SEARCH("Epóxico BT",Upload!Q114&amp;Upload!R114&amp;Upload!S114&amp;Upload!T114&amp;Upload!U114))))),"",F124*0.000035)</f>
        <v/>
      </c>
      <c r="S124" s="15" t="str">
        <f>IF(OR(G124="",NOT(OR(ISNUMBER(SEARCH("Epóxico Rojo",Upload!R114&amp;Upload!S114&amp;Upload!T114&amp;Upload!U114&amp;Upload!V114))))),"",G124*0.000035)</f>
        <v/>
      </c>
    </row>
    <row r="125" spans="1:19" x14ac:dyDescent="0.2">
      <c r="A125" s="9" t="e">
        <f t="shared" ca="1" si="6"/>
        <v>#NAME?</v>
      </c>
      <c r="B125" s="9">
        <f>Upload!E115</f>
        <v>0</v>
      </c>
      <c r="C125" s="9">
        <f>Upload!AE115</f>
        <v>0</v>
      </c>
      <c r="D125" s="9">
        <f>Upload!AF115</f>
        <v>0</v>
      </c>
      <c r="E125" s="9">
        <f>Upload!AG115</f>
        <v>0</v>
      </c>
      <c r="F125" s="9" t="str">
        <f>Upload!X115</f>
        <v/>
      </c>
      <c r="G125" s="9" t="str">
        <f>Upload!Z115</f>
        <v/>
      </c>
      <c r="H125" s="9" t="str">
        <f>Upload!W115</f>
        <v>(seleccione)</v>
      </c>
      <c r="I125" s="9" t="str">
        <f>Upload!Y115</f>
        <v>(seleccione)</v>
      </c>
      <c r="K125" s="15" t="str">
        <f t="shared" si="7"/>
        <v/>
      </c>
      <c r="L125" s="15" t="str">
        <f t="shared" si="8"/>
        <v/>
      </c>
      <c r="M125" s="15" t="str">
        <f t="shared" si="9"/>
        <v/>
      </c>
      <c r="N125" s="15" t="str">
        <f t="shared" si="10"/>
        <v/>
      </c>
      <c r="O125" s="15" t="str">
        <f t="shared" si="11"/>
        <v/>
      </c>
      <c r="P125" s="15" t="str">
        <f>IF(OR(C125="",NOT(OR(ISNUMBER(SEARCH("Antitarnish",Upload!P115&amp;Upload!Q115&amp;Upload!R115&amp;Upload!S115&amp;Upload!T115)),ISNUMBER(SEARCH("Anti Tarnish",Upload!P115&amp;Upload!Q115&amp;Upload!R115&amp;Upload!S115&amp;Upload!T115))))),"",0.0012*C125)</f>
        <v/>
      </c>
      <c r="Q125" s="15" t="str">
        <f>IF(OR(E125="",NOT(OR(ISNUMBER(SEARCH("Epóxico MT",Upload!P115&amp;Upload!Q115&amp;Upload!R115&amp;Upload!S115&amp;Upload!T115))))),"",E125*0.000035)</f>
        <v/>
      </c>
      <c r="R125" s="15" t="str">
        <f>IF(OR(F125="",NOT(OR(ISNUMBER(SEARCH("Epóxico BT",Upload!Q115&amp;Upload!R115&amp;Upload!S115&amp;Upload!T115&amp;Upload!U115))))),"",F125*0.000035)</f>
        <v/>
      </c>
      <c r="S125" s="15" t="str">
        <f>IF(OR(G125="",NOT(OR(ISNUMBER(SEARCH("Epóxico Rojo",Upload!R115&amp;Upload!S115&amp;Upload!T115&amp;Upload!U115&amp;Upload!V115))))),"",G125*0.000035)</f>
        <v/>
      </c>
    </row>
    <row r="126" spans="1:19" x14ac:dyDescent="0.2">
      <c r="A126" s="9" t="e">
        <f t="shared" ca="1" si="6"/>
        <v>#NAME?</v>
      </c>
      <c r="B126" s="9">
        <f>Upload!E116</f>
        <v>0</v>
      </c>
      <c r="C126" s="9">
        <f>Upload!AE116</f>
        <v>0</v>
      </c>
      <c r="D126" s="9">
        <f>Upload!AF116</f>
        <v>0</v>
      </c>
      <c r="E126" s="9">
        <f>Upload!AG116</f>
        <v>0</v>
      </c>
      <c r="F126" s="9" t="str">
        <f>Upload!X116</f>
        <v/>
      </c>
      <c r="G126" s="9" t="str">
        <f>Upload!Z116</f>
        <v/>
      </c>
      <c r="H126" s="9" t="str">
        <f>Upload!W116</f>
        <v>(seleccione)</v>
      </c>
      <c r="I126" s="9" t="str">
        <f>Upload!Y116</f>
        <v>(seleccione)</v>
      </c>
      <c r="K126" s="15" t="str">
        <f t="shared" si="7"/>
        <v/>
      </c>
      <c r="L126" s="15" t="str">
        <f t="shared" si="8"/>
        <v/>
      </c>
      <c r="M126" s="15" t="str">
        <f t="shared" si="9"/>
        <v/>
      </c>
      <c r="N126" s="15" t="str">
        <f t="shared" si="10"/>
        <v/>
      </c>
      <c r="O126" s="15" t="str">
        <f t="shared" si="11"/>
        <v/>
      </c>
      <c r="P126" s="15" t="str">
        <f>IF(OR(C126="",NOT(OR(ISNUMBER(SEARCH("Antitarnish",Upload!P116&amp;Upload!Q116&amp;Upload!R116&amp;Upload!S116&amp;Upload!T116)),ISNUMBER(SEARCH("Anti Tarnish",Upload!P116&amp;Upload!Q116&amp;Upload!R116&amp;Upload!S116&amp;Upload!T116))))),"",0.0012*C126)</f>
        <v/>
      </c>
      <c r="Q126" s="15" t="str">
        <f>IF(OR(E126="",NOT(OR(ISNUMBER(SEARCH("Epóxico MT",Upload!P116&amp;Upload!Q116&amp;Upload!R116&amp;Upload!S116&amp;Upload!T116))))),"",E126*0.000035)</f>
        <v/>
      </c>
      <c r="R126" s="15" t="str">
        <f>IF(OR(F126="",NOT(OR(ISNUMBER(SEARCH("Epóxico BT",Upload!Q116&amp;Upload!R116&amp;Upload!S116&amp;Upload!T116&amp;Upload!U116))))),"",F126*0.000035)</f>
        <v/>
      </c>
      <c r="S126" s="15" t="str">
        <f>IF(OR(G126="",NOT(OR(ISNUMBER(SEARCH("Epóxico Rojo",Upload!R116&amp;Upload!S116&amp;Upload!T116&amp;Upload!U116&amp;Upload!V116))))),"",G126*0.000035)</f>
        <v/>
      </c>
    </row>
    <row r="127" spans="1:19" x14ac:dyDescent="0.2">
      <c r="A127" s="9" t="e">
        <f t="shared" ca="1" si="6"/>
        <v>#NAME?</v>
      </c>
      <c r="B127" s="9">
        <f>Upload!E117</f>
        <v>0</v>
      </c>
      <c r="C127" s="9">
        <f>Upload!AE117</f>
        <v>0</v>
      </c>
      <c r="D127" s="9">
        <f>Upload!AF117</f>
        <v>0</v>
      </c>
      <c r="E127" s="9">
        <f>Upload!AG117</f>
        <v>0</v>
      </c>
      <c r="F127" s="9" t="str">
        <f>Upload!X117</f>
        <v/>
      </c>
      <c r="G127" s="9" t="str">
        <f>Upload!Z117</f>
        <v/>
      </c>
      <c r="H127" s="9" t="str">
        <f>Upload!W117</f>
        <v>(seleccione)</v>
      </c>
      <c r="I127" s="9" t="str">
        <f>Upload!Y117</f>
        <v>(seleccione)</v>
      </c>
      <c r="K127" s="15" t="str">
        <f t="shared" si="7"/>
        <v/>
      </c>
      <c r="L127" s="15" t="str">
        <f t="shared" si="8"/>
        <v/>
      </c>
      <c r="M127" s="15" t="str">
        <f t="shared" si="9"/>
        <v/>
      </c>
      <c r="N127" s="15" t="str">
        <f t="shared" si="10"/>
        <v/>
      </c>
      <c r="O127" s="15" t="str">
        <f t="shared" si="11"/>
        <v/>
      </c>
      <c r="P127" s="15" t="str">
        <f>IF(OR(C127="",NOT(OR(ISNUMBER(SEARCH("Antitarnish",Upload!P117&amp;Upload!Q117&amp;Upload!R117&amp;Upload!S117&amp;Upload!T117)),ISNUMBER(SEARCH("Anti Tarnish",Upload!P117&amp;Upload!Q117&amp;Upload!R117&amp;Upload!S117&amp;Upload!T117))))),"",0.0012*C127)</f>
        <v/>
      </c>
      <c r="Q127" s="15" t="str">
        <f>IF(OR(E127="",NOT(OR(ISNUMBER(SEARCH("Epóxico MT",Upload!P117&amp;Upload!Q117&amp;Upload!R117&amp;Upload!S117&amp;Upload!T117))))),"",E127*0.000035)</f>
        <v/>
      </c>
      <c r="R127" s="15" t="str">
        <f>IF(OR(F127="",NOT(OR(ISNUMBER(SEARCH("Epóxico BT",Upload!Q117&amp;Upload!R117&amp;Upload!S117&amp;Upload!T117&amp;Upload!U117))))),"",F127*0.000035)</f>
        <v/>
      </c>
      <c r="S127" s="15" t="str">
        <f>IF(OR(G127="",NOT(OR(ISNUMBER(SEARCH("Epóxico Rojo",Upload!R117&amp;Upload!S117&amp;Upload!T117&amp;Upload!U117&amp;Upload!V117))))),"",G127*0.000035)</f>
        <v/>
      </c>
    </row>
    <row r="128" spans="1:19" x14ac:dyDescent="0.2">
      <c r="A128" s="9" t="e">
        <f t="shared" ca="1" si="6"/>
        <v>#NAME?</v>
      </c>
      <c r="B128" s="9">
        <f>Upload!E118</f>
        <v>0</v>
      </c>
      <c r="C128" s="9">
        <f>Upload!AE118</f>
        <v>0</v>
      </c>
      <c r="D128" s="9">
        <f>Upload!AF118</f>
        <v>0</v>
      </c>
      <c r="E128" s="9">
        <f>Upload!AG118</f>
        <v>0</v>
      </c>
      <c r="F128" s="9" t="str">
        <f>Upload!X118</f>
        <v/>
      </c>
      <c r="G128" s="9" t="str">
        <f>Upload!Z118</f>
        <v/>
      </c>
      <c r="H128" s="9" t="str">
        <f>Upload!W118</f>
        <v>(seleccione)</v>
      </c>
      <c r="I128" s="9" t="str">
        <f>Upload!Y118</f>
        <v>(seleccione)</v>
      </c>
      <c r="K128" s="15" t="str">
        <f t="shared" si="7"/>
        <v/>
      </c>
      <c r="L128" s="15" t="str">
        <f t="shared" si="8"/>
        <v/>
      </c>
      <c r="M128" s="15" t="str">
        <f t="shared" si="9"/>
        <v/>
      </c>
      <c r="N128" s="15" t="str">
        <f t="shared" si="10"/>
        <v/>
      </c>
      <c r="O128" s="15" t="str">
        <f t="shared" si="11"/>
        <v/>
      </c>
      <c r="P128" s="15" t="str">
        <f>IF(OR(C128="",NOT(OR(ISNUMBER(SEARCH("Antitarnish",Upload!P118&amp;Upload!Q118&amp;Upload!R118&amp;Upload!S118&amp;Upload!T118)),ISNUMBER(SEARCH("Anti Tarnish",Upload!P118&amp;Upload!Q118&amp;Upload!R118&amp;Upload!S118&amp;Upload!T118))))),"",0.0012*C128)</f>
        <v/>
      </c>
      <c r="Q128" s="15" t="str">
        <f>IF(OR(E128="",NOT(OR(ISNUMBER(SEARCH("Epóxico MT",Upload!P118&amp;Upload!Q118&amp;Upload!R118&amp;Upload!S118&amp;Upload!T118))))),"",E128*0.000035)</f>
        <v/>
      </c>
      <c r="R128" s="15" t="str">
        <f>IF(OR(F128="",NOT(OR(ISNUMBER(SEARCH("Epóxico BT",Upload!Q118&amp;Upload!R118&amp;Upload!S118&amp;Upload!T118&amp;Upload!U118))))),"",F128*0.000035)</f>
        <v/>
      </c>
      <c r="S128" s="15" t="str">
        <f>IF(OR(G128="",NOT(OR(ISNUMBER(SEARCH("Epóxico Rojo",Upload!R118&amp;Upload!S118&amp;Upload!T118&amp;Upload!U118&amp;Upload!V118))))),"",G128*0.000035)</f>
        <v/>
      </c>
    </row>
    <row r="129" spans="1:19" x14ac:dyDescent="0.2">
      <c r="A129" s="9" t="e">
        <f t="shared" ca="1" si="6"/>
        <v>#NAME?</v>
      </c>
      <c r="B129" s="9">
        <f>Upload!E119</f>
        <v>0</v>
      </c>
      <c r="C129" s="9">
        <f>Upload!AE119</f>
        <v>0</v>
      </c>
      <c r="D129" s="9">
        <f>Upload!AF119</f>
        <v>0</v>
      </c>
      <c r="E129" s="9">
        <f>Upload!AG119</f>
        <v>0</v>
      </c>
      <c r="F129" s="9" t="str">
        <f>Upload!X119</f>
        <v/>
      </c>
      <c r="G129" s="9" t="str">
        <f>Upload!Z119</f>
        <v/>
      </c>
      <c r="H129" s="9" t="str">
        <f>Upload!W119</f>
        <v>(seleccione)</v>
      </c>
      <c r="I129" s="9" t="str">
        <f>Upload!Y119</f>
        <v>(seleccione)</v>
      </c>
      <c r="K129" s="15" t="str">
        <f t="shared" si="7"/>
        <v/>
      </c>
      <c r="L129" s="15" t="str">
        <f t="shared" si="8"/>
        <v/>
      </c>
      <c r="M129" s="15" t="str">
        <f t="shared" si="9"/>
        <v/>
      </c>
      <c r="N129" s="15" t="str">
        <f t="shared" si="10"/>
        <v/>
      </c>
      <c r="O129" s="15" t="str">
        <f t="shared" si="11"/>
        <v/>
      </c>
      <c r="P129" s="15" t="str">
        <f>IF(OR(C129="",NOT(OR(ISNUMBER(SEARCH("Antitarnish",Upload!P119&amp;Upload!Q119&amp;Upload!R119&amp;Upload!S119&amp;Upload!T119)),ISNUMBER(SEARCH("Anti Tarnish",Upload!P119&amp;Upload!Q119&amp;Upload!R119&amp;Upload!S119&amp;Upload!T119))))),"",0.0012*C129)</f>
        <v/>
      </c>
      <c r="Q129" s="15" t="str">
        <f>IF(OR(E129="",NOT(OR(ISNUMBER(SEARCH("Epóxico MT",Upload!P119&amp;Upload!Q119&amp;Upload!R119&amp;Upload!S119&amp;Upload!T119))))),"",E129*0.000035)</f>
        <v/>
      </c>
      <c r="R129" s="15" t="str">
        <f>IF(OR(F129="",NOT(OR(ISNUMBER(SEARCH("Epóxico BT",Upload!Q119&amp;Upload!R119&amp;Upload!S119&amp;Upload!T119&amp;Upload!U119))))),"",F129*0.000035)</f>
        <v/>
      </c>
      <c r="S129" s="15" t="str">
        <f>IF(OR(G129="",NOT(OR(ISNUMBER(SEARCH("Epóxico Rojo",Upload!R119&amp;Upload!S119&amp;Upload!T119&amp;Upload!U119&amp;Upload!V119))))),"",G129*0.000035)</f>
        <v/>
      </c>
    </row>
    <row r="130" spans="1:19" x14ac:dyDescent="0.2">
      <c r="A130" s="9" t="e">
        <f t="shared" ca="1" si="6"/>
        <v>#NAME?</v>
      </c>
      <c r="B130" s="9">
        <f>Upload!E120</f>
        <v>0</v>
      </c>
      <c r="C130" s="9">
        <f>Upload!AE120</f>
        <v>0</v>
      </c>
      <c r="D130" s="9">
        <f>Upload!AF120</f>
        <v>0</v>
      </c>
      <c r="E130" s="9">
        <f>Upload!AG120</f>
        <v>0</v>
      </c>
      <c r="F130" s="9" t="str">
        <f>Upload!X120</f>
        <v/>
      </c>
      <c r="G130" s="9" t="str">
        <f>Upload!Z120</f>
        <v/>
      </c>
      <c r="H130" s="9" t="str">
        <f>Upload!W120</f>
        <v>(seleccione)</v>
      </c>
      <c r="I130" s="9" t="str">
        <f>Upload!Y120</f>
        <v>(seleccione)</v>
      </c>
      <c r="K130" s="15" t="str">
        <f t="shared" si="7"/>
        <v/>
      </c>
      <c r="L130" s="15" t="str">
        <f t="shared" si="8"/>
        <v/>
      </c>
      <c r="M130" s="15" t="str">
        <f t="shared" si="9"/>
        <v/>
      </c>
      <c r="N130" s="15" t="str">
        <f t="shared" si="10"/>
        <v/>
      </c>
      <c r="O130" s="15" t="str">
        <f t="shared" si="11"/>
        <v/>
      </c>
      <c r="P130" s="15" t="str">
        <f>IF(OR(C130="",NOT(OR(ISNUMBER(SEARCH("Antitarnish",Upload!P120&amp;Upload!Q120&amp;Upload!R120&amp;Upload!S120&amp;Upload!T120)),ISNUMBER(SEARCH("Anti Tarnish",Upload!P120&amp;Upload!Q120&amp;Upload!R120&amp;Upload!S120&amp;Upload!T120))))),"",0.0012*C130)</f>
        <v/>
      </c>
      <c r="Q130" s="15" t="str">
        <f>IF(OR(E130="",NOT(OR(ISNUMBER(SEARCH("Epóxico MT",Upload!P120&amp;Upload!Q120&amp;Upload!R120&amp;Upload!S120&amp;Upload!T120))))),"",E130*0.000035)</f>
        <v/>
      </c>
      <c r="R130" s="15" t="str">
        <f>IF(OR(F130="",NOT(OR(ISNUMBER(SEARCH("Epóxico BT",Upload!Q120&amp;Upload!R120&amp;Upload!S120&amp;Upload!T120&amp;Upload!U120))))),"",F130*0.000035)</f>
        <v/>
      </c>
      <c r="S130" s="15" t="str">
        <f>IF(OR(G130="",NOT(OR(ISNUMBER(SEARCH("Epóxico Rojo",Upload!R120&amp;Upload!S120&amp;Upload!T120&amp;Upload!U120&amp;Upload!V120))))),"",G130*0.000035)</f>
        <v/>
      </c>
    </row>
    <row r="131" spans="1:19" x14ac:dyDescent="0.2">
      <c r="A131" s="9" t="e">
        <f t="shared" ca="1" si="6"/>
        <v>#NAME?</v>
      </c>
      <c r="B131" s="9">
        <f>Upload!E121</f>
        <v>0</v>
      </c>
      <c r="C131" s="9">
        <f>Upload!AE121</f>
        <v>0</v>
      </c>
      <c r="D131" s="9">
        <f>Upload!AF121</f>
        <v>0</v>
      </c>
      <c r="E131" s="9">
        <f>Upload!AG121</f>
        <v>0</v>
      </c>
      <c r="F131" s="9" t="str">
        <f>Upload!X121</f>
        <v/>
      </c>
      <c r="G131" s="9" t="str">
        <f>Upload!Z121</f>
        <v/>
      </c>
      <c r="H131" s="9" t="str">
        <f>Upload!W121</f>
        <v>(seleccione)</v>
      </c>
      <c r="I131" s="9" t="str">
        <f>Upload!Y121</f>
        <v>(seleccione)</v>
      </c>
      <c r="K131" s="15" t="str">
        <f t="shared" si="7"/>
        <v/>
      </c>
      <c r="L131" s="15" t="str">
        <f t="shared" si="8"/>
        <v/>
      </c>
      <c r="M131" s="15" t="str">
        <f t="shared" si="9"/>
        <v/>
      </c>
      <c r="N131" s="15" t="str">
        <f t="shared" si="10"/>
        <v/>
      </c>
      <c r="O131" s="15" t="str">
        <f t="shared" si="11"/>
        <v/>
      </c>
      <c r="P131" s="15" t="str">
        <f>IF(OR(C131="",NOT(OR(ISNUMBER(SEARCH("Antitarnish",Upload!P121&amp;Upload!Q121&amp;Upload!R121&amp;Upload!S121&amp;Upload!T121)),ISNUMBER(SEARCH("Anti Tarnish",Upload!P121&amp;Upload!Q121&amp;Upload!R121&amp;Upload!S121&amp;Upload!T121))))),"",0.0012*C131)</f>
        <v/>
      </c>
      <c r="Q131" s="15" t="str">
        <f>IF(OR(E131="",NOT(OR(ISNUMBER(SEARCH("Epóxico MT",Upload!P121&amp;Upload!Q121&amp;Upload!R121&amp;Upload!S121&amp;Upload!T121))))),"",E131*0.000035)</f>
        <v/>
      </c>
      <c r="R131" s="15" t="str">
        <f>IF(OR(F131="",NOT(OR(ISNUMBER(SEARCH("Epóxico BT",Upload!Q121&amp;Upload!R121&amp;Upload!S121&amp;Upload!T121&amp;Upload!U121))))),"",F131*0.000035)</f>
        <v/>
      </c>
      <c r="S131" s="15" t="str">
        <f>IF(OR(G131="",NOT(OR(ISNUMBER(SEARCH("Epóxico Rojo",Upload!R121&amp;Upload!S121&amp;Upload!T121&amp;Upload!U121&amp;Upload!V121))))),"",G131*0.000035)</f>
        <v/>
      </c>
    </row>
    <row r="132" spans="1:19" x14ac:dyDescent="0.2">
      <c r="A132" s="9" t="e">
        <f t="shared" ca="1" si="6"/>
        <v>#NAME?</v>
      </c>
      <c r="B132" s="9">
        <f>Upload!E122</f>
        <v>0</v>
      </c>
      <c r="C132" s="9">
        <f>Upload!AE122</f>
        <v>0</v>
      </c>
      <c r="D132" s="9">
        <f>Upload!AF122</f>
        <v>0</v>
      </c>
      <c r="E132" s="9">
        <f>Upload!AG122</f>
        <v>0</v>
      </c>
      <c r="F132" s="9" t="str">
        <f>Upload!X122</f>
        <v/>
      </c>
      <c r="G132" s="9" t="str">
        <f>Upload!Z122</f>
        <v/>
      </c>
      <c r="H132" s="9" t="str">
        <f>Upload!W122</f>
        <v>(seleccione)</v>
      </c>
      <c r="I132" s="9" t="str">
        <f>Upload!Y122</f>
        <v>(seleccione)</v>
      </c>
      <c r="K132" s="15" t="str">
        <f t="shared" si="7"/>
        <v/>
      </c>
      <c r="L132" s="15" t="str">
        <f t="shared" si="8"/>
        <v/>
      </c>
      <c r="M132" s="15" t="str">
        <f t="shared" si="9"/>
        <v/>
      </c>
      <c r="N132" s="15" t="str">
        <f t="shared" si="10"/>
        <v/>
      </c>
      <c r="O132" s="15" t="str">
        <f t="shared" si="11"/>
        <v/>
      </c>
      <c r="P132" s="15" t="str">
        <f>IF(OR(C132="",NOT(OR(ISNUMBER(SEARCH("Antitarnish",Upload!P122&amp;Upload!Q122&amp;Upload!R122&amp;Upload!S122&amp;Upload!T122)),ISNUMBER(SEARCH("Anti Tarnish",Upload!P122&amp;Upload!Q122&amp;Upload!R122&amp;Upload!S122&amp;Upload!T122))))),"",0.0012*C132)</f>
        <v/>
      </c>
      <c r="Q132" s="15" t="str">
        <f>IF(OR(E132="",NOT(OR(ISNUMBER(SEARCH("Epóxico MT",Upload!P122&amp;Upload!Q122&amp;Upload!R122&amp;Upload!S122&amp;Upload!T122))))),"",E132*0.000035)</f>
        <v/>
      </c>
      <c r="R132" s="15" t="str">
        <f>IF(OR(F132="",NOT(OR(ISNUMBER(SEARCH("Epóxico BT",Upload!Q122&amp;Upload!R122&amp;Upload!S122&amp;Upload!T122&amp;Upload!U122))))),"",F132*0.000035)</f>
        <v/>
      </c>
      <c r="S132" s="15" t="str">
        <f>IF(OR(G132="",NOT(OR(ISNUMBER(SEARCH("Epóxico Rojo",Upload!R122&amp;Upload!S122&amp;Upload!T122&amp;Upload!U122&amp;Upload!V122))))),"",G132*0.000035)</f>
        <v/>
      </c>
    </row>
    <row r="133" spans="1:19" x14ac:dyDescent="0.2">
      <c r="A133" s="9" t="e">
        <f t="shared" ca="1" si="6"/>
        <v>#NAME?</v>
      </c>
      <c r="B133" s="9">
        <f>Upload!E123</f>
        <v>0</v>
      </c>
      <c r="C133" s="9">
        <f>Upload!AE123</f>
        <v>0</v>
      </c>
      <c r="D133" s="9">
        <f>Upload!AF123</f>
        <v>0</v>
      </c>
      <c r="E133" s="9">
        <f>Upload!AG123</f>
        <v>0</v>
      </c>
      <c r="F133" s="9" t="str">
        <f>Upload!X123</f>
        <v/>
      </c>
      <c r="G133" s="9" t="str">
        <f>Upload!Z123</f>
        <v/>
      </c>
      <c r="H133" s="9" t="str">
        <f>Upload!W123</f>
        <v>(seleccione)</v>
      </c>
      <c r="I133" s="9" t="str">
        <f>Upload!Y123</f>
        <v>(seleccione)</v>
      </c>
      <c r="K133" s="15" t="str">
        <f t="shared" si="7"/>
        <v/>
      </c>
      <c r="L133" s="15" t="str">
        <f t="shared" si="8"/>
        <v/>
      </c>
      <c r="M133" s="15" t="str">
        <f t="shared" si="9"/>
        <v/>
      </c>
      <c r="N133" s="15" t="str">
        <f t="shared" si="10"/>
        <v/>
      </c>
      <c r="O133" s="15" t="str">
        <f t="shared" si="11"/>
        <v/>
      </c>
      <c r="P133" s="15" t="str">
        <f>IF(OR(C133="",NOT(OR(ISNUMBER(SEARCH("Antitarnish",Upload!P123&amp;Upload!Q123&amp;Upload!R123&amp;Upload!S123&amp;Upload!T123)),ISNUMBER(SEARCH("Anti Tarnish",Upload!P123&amp;Upload!Q123&amp;Upload!R123&amp;Upload!S123&amp;Upload!T123))))),"",0.0012*C133)</f>
        <v/>
      </c>
      <c r="Q133" s="15" t="str">
        <f>IF(OR(E133="",NOT(OR(ISNUMBER(SEARCH("Epóxico MT",Upload!P123&amp;Upload!Q123&amp;Upload!R123&amp;Upload!S123&amp;Upload!T123))))),"",E133*0.000035)</f>
        <v/>
      </c>
      <c r="R133" s="15" t="str">
        <f>IF(OR(F133="",NOT(OR(ISNUMBER(SEARCH("Epóxico BT",Upload!Q123&amp;Upload!R123&amp;Upload!S123&amp;Upload!T123&amp;Upload!U123))))),"",F133*0.000035)</f>
        <v/>
      </c>
      <c r="S133" s="15" t="str">
        <f>IF(OR(G133="",NOT(OR(ISNUMBER(SEARCH("Epóxico Rojo",Upload!R123&amp;Upload!S123&amp;Upload!T123&amp;Upload!U123&amp;Upload!V123))))),"",G133*0.000035)</f>
        <v/>
      </c>
    </row>
    <row r="134" spans="1:19" x14ac:dyDescent="0.2">
      <c r="A134" s="9" t="e">
        <f t="shared" ca="1" si="6"/>
        <v>#NAME?</v>
      </c>
      <c r="B134" s="9">
        <f>Upload!E124</f>
        <v>0</v>
      </c>
      <c r="C134" s="9">
        <f>Upload!AE124</f>
        <v>0</v>
      </c>
      <c r="D134" s="9">
        <f>Upload!AF124</f>
        <v>0</v>
      </c>
      <c r="E134" s="9">
        <f>Upload!AG124</f>
        <v>0</v>
      </c>
      <c r="F134" s="9" t="str">
        <f>Upload!X124</f>
        <v/>
      </c>
      <c r="G134" s="9" t="str">
        <f>Upload!Z124</f>
        <v/>
      </c>
      <c r="H134" s="9" t="str">
        <f>Upload!W124</f>
        <v>(seleccione)</v>
      </c>
      <c r="I134" s="9" t="str">
        <f>Upload!Y124</f>
        <v>(seleccione)</v>
      </c>
      <c r="K134" s="15" t="str">
        <f t="shared" si="7"/>
        <v/>
      </c>
      <c r="L134" s="15" t="str">
        <f t="shared" si="8"/>
        <v/>
      </c>
      <c r="M134" s="15" t="str">
        <f t="shared" si="9"/>
        <v/>
      </c>
      <c r="N134" s="15" t="str">
        <f t="shared" si="10"/>
        <v/>
      </c>
      <c r="O134" s="15" t="str">
        <f t="shared" si="11"/>
        <v/>
      </c>
      <c r="P134" s="15" t="str">
        <f>IF(OR(C134="",NOT(OR(ISNUMBER(SEARCH("Antitarnish",Upload!P124&amp;Upload!Q124&amp;Upload!R124&amp;Upload!S124&amp;Upload!T124)),ISNUMBER(SEARCH("Anti Tarnish",Upload!P124&amp;Upload!Q124&amp;Upload!R124&amp;Upload!S124&amp;Upload!T124))))),"",0.0012*C134)</f>
        <v/>
      </c>
      <c r="Q134" s="15" t="str">
        <f>IF(OR(E134="",NOT(OR(ISNUMBER(SEARCH("Epóxico MT",Upload!P124&amp;Upload!Q124&amp;Upload!R124&amp;Upload!S124&amp;Upload!T124))))),"",E134*0.000035)</f>
        <v/>
      </c>
      <c r="R134" s="15" t="str">
        <f>IF(OR(F134="",NOT(OR(ISNUMBER(SEARCH("Epóxico BT",Upload!Q124&amp;Upload!R124&amp;Upload!S124&amp;Upload!T124&amp;Upload!U124))))),"",F134*0.000035)</f>
        <v/>
      </c>
      <c r="S134" s="15" t="str">
        <f>IF(OR(G134="",NOT(OR(ISNUMBER(SEARCH("Epóxico Rojo",Upload!R124&amp;Upload!S124&amp;Upload!T124&amp;Upload!U124&amp;Upload!V124))))),"",G134*0.000035)</f>
        <v/>
      </c>
    </row>
    <row r="135" spans="1:19" x14ac:dyDescent="0.2">
      <c r="A135" s="9" t="e">
        <f t="shared" ca="1" si="6"/>
        <v>#NAME?</v>
      </c>
      <c r="B135" s="9">
        <f>Upload!E125</f>
        <v>0</v>
      </c>
      <c r="C135" s="9">
        <f>Upload!AE125</f>
        <v>0</v>
      </c>
      <c r="D135" s="9">
        <f>Upload!AF125</f>
        <v>0</v>
      </c>
      <c r="E135" s="9">
        <f>Upload!AG125</f>
        <v>0</v>
      </c>
      <c r="F135" s="9" t="str">
        <f>Upload!X125</f>
        <v/>
      </c>
      <c r="G135" s="9" t="str">
        <f>Upload!Z125</f>
        <v/>
      </c>
      <c r="H135" s="9" t="str">
        <f>Upload!W125</f>
        <v>(seleccione)</v>
      </c>
      <c r="I135" s="9" t="str">
        <f>Upload!Y125</f>
        <v>(seleccione)</v>
      </c>
      <c r="K135" s="15" t="str">
        <f t="shared" si="7"/>
        <v/>
      </c>
      <c r="L135" s="15" t="str">
        <f t="shared" si="8"/>
        <v/>
      </c>
      <c r="M135" s="15" t="str">
        <f t="shared" si="9"/>
        <v/>
      </c>
      <c r="N135" s="15" t="str">
        <f t="shared" si="10"/>
        <v/>
      </c>
      <c r="O135" s="15" t="str">
        <f t="shared" si="11"/>
        <v/>
      </c>
      <c r="P135" s="15" t="str">
        <f>IF(OR(C135="",NOT(OR(ISNUMBER(SEARCH("Antitarnish",Upload!P125&amp;Upload!Q125&amp;Upload!R125&amp;Upload!S125&amp;Upload!T125)),ISNUMBER(SEARCH("Anti Tarnish",Upload!P125&amp;Upload!Q125&amp;Upload!R125&amp;Upload!S125&amp;Upload!T125))))),"",0.0012*C135)</f>
        <v/>
      </c>
      <c r="Q135" s="15" t="str">
        <f>IF(OR(E135="",NOT(OR(ISNUMBER(SEARCH("Epóxico MT",Upload!P125&amp;Upload!Q125&amp;Upload!R125&amp;Upload!S125&amp;Upload!T125))))),"",E135*0.000035)</f>
        <v/>
      </c>
      <c r="R135" s="15" t="str">
        <f>IF(OR(F135="",NOT(OR(ISNUMBER(SEARCH("Epóxico BT",Upload!Q125&amp;Upload!R125&amp;Upload!S125&amp;Upload!T125&amp;Upload!U125))))),"",F135*0.000035)</f>
        <v/>
      </c>
      <c r="S135" s="15" t="str">
        <f>IF(OR(G135="",NOT(OR(ISNUMBER(SEARCH("Epóxico Rojo",Upload!R125&amp;Upload!S125&amp;Upload!T125&amp;Upload!U125&amp;Upload!V125))))),"",G135*0.000035)</f>
        <v/>
      </c>
    </row>
    <row r="136" spans="1:19" x14ac:dyDescent="0.2">
      <c r="A136" s="9" t="e">
        <f t="shared" ca="1" si="6"/>
        <v>#NAME?</v>
      </c>
      <c r="B136" s="9">
        <f>Upload!E126</f>
        <v>0</v>
      </c>
      <c r="C136" s="9">
        <f>Upload!AE126</f>
        <v>0</v>
      </c>
      <c r="D136" s="9">
        <f>Upload!AF126</f>
        <v>0</v>
      </c>
      <c r="E136" s="9">
        <f>Upload!AG126</f>
        <v>0</v>
      </c>
      <c r="F136" s="9" t="str">
        <f>Upload!X126</f>
        <v/>
      </c>
      <c r="G136" s="9" t="str">
        <f>Upload!Z126</f>
        <v/>
      </c>
      <c r="H136" s="9" t="str">
        <f>Upload!W126</f>
        <v>(seleccione)</v>
      </c>
      <c r="I136" s="9" t="str">
        <f>Upload!Y126</f>
        <v>(seleccione)</v>
      </c>
      <c r="K136" s="15" t="str">
        <f t="shared" si="7"/>
        <v/>
      </c>
      <c r="L136" s="15" t="str">
        <f t="shared" si="8"/>
        <v/>
      </c>
      <c r="M136" s="15" t="str">
        <f t="shared" si="9"/>
        <v/>
      </c>
      <c r="N136" s="15" t="str">
        <f t="shared" si="10"/>
        <v/>
      </c>
      <c r="O136" s="15" t="str">
        <f t="shared" si="11"/>
        <v/>
      </c>
      <c r="P136" s="15" t="str">
        <f>IF(OR(C136="",NOT(OR(ISNUMBER(SEARCH("Antitarnish",Upload!P126&amp;Upload!Q126&amp;Upload!R126&amp;Upload!S126&amp;Upload!T126)),ISNUMBER(SEARCH("Anti Tarnish",Upload!P126&amp;Upload!Q126&amp;Upload!R126&amp;Upload!S126&amp;Upload!T126))))),"",0.0012*C136)</f>
        <v/>
      </c>
      <c r="Q136" s="15" t="str">
        <f>IF(OR(E136="",NOT(OR(ISNUMBER(SEARCH("Epóxico MT",Upload!P126&amp;Upload!Q126&amp;Upload!R126&amp;Upload!S126&amp;Upload!T126))))),"",E136*0.000035)</f>
        <v/>
      </c>
      <c r="R136" s="15" t="str">
        <f>IF(OR(F136="",NOT(OR(ISNUMBER(SEARCH("Epóxico BT",Upload!Q126&amp;Upload!R126&amp;Upload!S126&amp;Upload!T126&amp;Upload!U126))))),"",F136*0.000035)</f>
        <v/>
      </c>
      <c r="S136" s="15" t="str">
        <f>IF(OR(G136="",NOT(OR(ISNUMBER(SEARCH("Epóxico Rojo",Upload!R126&amp;Upload!S126&amp;Upload!T126&amp;Upload!U126&amp;Upload!V126))))),"",G136*0.000035)</f>
        <v/>
      </c>
    </row>
    <row r="137" spans="1:19" x14ac:dyDescent="0.2">
      <c r="A137" s="9" t="e">
        <f t="shared" ca="1" si="6"/>
        <v>#NAME?</v>
      </c>
      <c r="B137" s="9">
        <f>Upload!E127</f>
        <v>0</v>
      </c>
      <c r="C137" s="9">
        <f>Upload!AE127</f>
        <v>0</v>
      </c>
      <c r="D137" s="9">
        <f>Upload!AF127</f>
        <v>0</v>
      </c>
      <c r="E137" s="9">
        <f>Upload!AG127</f>
        <v>0</v>
      </c>
      <c r="F137" s="9" t="str">
        <f>Upload!X127</f>
        <v/>
      </c>
      <c r="G137" s="9" t="str">
        <f>Upload!Z127</f>
        <v/>
      </c>
      <c r="H137" s="9" t="str">
        <f>Upload!W127</f>
        <v>(seleccione)</v>
      </c>
      <c r="I137" s="9" t="str">
        <f>Upload!Y127</f>
        <v>(seleccione)</v>
      </c>
      <c r="K137" s="15" t="str">
        <f t="shared" si="7"/>
        <v/>
      </c>
      <c r="L137" s="15" t="str">
        <f t="shared" si="8"/>
        <v/>
      </c>
      <c r="M137" s="15" t="str">
        <f t="shared" si="9"/>
        <v/>
      </c>
      <c r="N137" s="15" t="str">
        <f t="shared" si="10"/>
        <v/>
      </c>
      <c r="O137" s="15" t="str">
        <f t="shared" si="11"/>
        <v/>
      </c>
      <c r="P137" s="15" t="str">
        <f>IF(OR(C137="",NOT(OR(ISNUMBER(SEARCH("Antitarnish",Upload!P127&amp;Upload!Q127&amp;Upload!R127&amp;Upload!S127&amp;Upload!T127)),ISNUMBER(SEARCH("Anti Tarnish",Upload!P127&amp;Upload!Q127&amp;Upload!R127&amp;Upload!S127&amp;Upload!T127))))),"",0.0012*C137)</f>
        <v/>
      </c>
      <c r="Q137" s="15" t="str">
        <f>IF(OR(E137="",NOT(OR(ISNUMBER(SEARCH("Epóxico MT",Upload!P127&amp;Upload!Q127&amp;Upload!R127&amp;Upload!S127&amp;Upload!T127))))),"",E137*0.000035)</f>
        <v/>
      </c>
      <c r="R137" s="15" t="str">
        <f>IF(OR(F137="",NOT(OR(ISNUMBER(SEARCH("Epóxico BT",Upload!Q127&amp;Upload!R127&amp;Upload!S127&amp;Upload!T127&amp;Upload!U127))))),"",F137*0.000035)</f>
        <v/>
      </c>
      <c r="S137" s="15" t="str">
        <f>IF(OR(G137="",NOT(OR(ISNUMBER(SEARCH("Epóxico Rojo",Upload!R127&amp;Upload!S127&amp;Upload!T127&amp;Upload!U127&amp;Upload!V127))))),"",G137*0.000035)</f>
        <v/>
      </c>
    </row>
    <row r="138" spans="1:19" x14ac:dyDescent="0.2">
      <c r="A138" s="9" t="e">
        <f t="shared" ca="1" si="6"/>
        <v>#NAME?</v>
      </c>
      <c r="B138" s="9">
        <f>Upload!E128</f>
        <v>0</v>
      </c>
      <c r="C138" s="9">
        <f>Upload!AE128</f>
        <v>0</v>
      </c>
      <c r="D138" s="9">
        <f>Upload!AF128</f>
        <v>0</v>
      </c>
      <c r="E138" s="9">
        <f>Upload!AG128</f>
        <v>0</v>
      </c>
      <c r="F138" s="9" t="str">
        <f>Upload!X128</f>
        <v/>
      </c>
      <c r="G138" s="9" t="str">
        <f>Upload!Z128</f>
        <v/>
      </c>
      <c r="H138" s="9" t="str">
        <f>Upload!W128</f>
        <v>(seleccione)</v>
      </c>
      <c r="I138" s="9" t="str">
        <f>Upload!Y128</f>
        <v>(seleccione)</v>
      </c>
      <c r="K138" s="15" t="str">
        <f t="shared" si="7"/>
        <v/>
      </c>
      <c r="L138" s="15" t="str">
        <f t="shared" si="8"/>
        <v/>
      </c>
      <c r="M138" s="15" t="str">
        <f t="shared" si="9"/>
        <v/>
      </c>
      <c r="N138" s="15" t="str">
        <f t="shared" si="10"/>
        <v/>
      </c>
      <c r="O138" s="15" t="str">
        <f t="shared" si="11"/>
        <v/>
      </c>
      <c r="P138" s="15" t="str">
        <f>IF(OR(C138="",NOT(OR(ISNUMBER(SEARCH("Antitarnish",Upload!P128&amp;Upload!Q128&amp;Upload!R128&amp;Upload!S128&amp;Upload!T128)),ISNUMBER(SEARCH("Anti Tarnish",Upload!P128&amp;Upload!Q128&amp;Upload!R128&amp;Upload!S128&amp;Upload!T128))))),"",0.0012*C138)</f>
        <v/>
      </c>
      <c r="Q138" s="15" t="str">
        <f>IF(OR(E138="",NOT(OR(ISNUMBER(SEARCH("Epóxico MT",Upload!P128&amp;Upload!Q128&amp;Upload!R128&amp;Upload!S128&amp;Upload!T128))))),"",E138*0.000035)</f>
        <v/>
      </c>
      <c r="R138" s="15" t="str">
        <f>IF(OR(F138="",NOT(OR(ISNUMBER(SEARCH("Epóxico BT",Upload!Q128&amp;Upload!R128&amp;Upload!S128&amp;Upload!T128&amp;Upload!U128))))),"",F138*0.000035)</f>
        <v/>
      </c>
      <c r="S138" s="15" t="str">
        <f>IF(OR(G138="",NOT(OR(ISNUMBER(SEARCH("Epóxico Rojo",Upload!R128&amp;Upload!S128&amp;Upload!T128&amp;Upload!U128&amp;Upload!V128))))),"",G138*0.000035)</f>
        <v/>
      </c>
    </row>
    <row r="139" spans="1:19" x14ac:dyDescent="0.2">
      <c r="A139" s="9" t="e">
        <f t="shared" ca="1" si="6"/>
        <v>#NAME?</v>
      </c>
      <c r="B139" s="9">
        <f>Upload!E129</f>
        <v>0</v>
      </c>
      <c r="C139" s="9">
        <f>Upload!AE129</f>
        <v>0</v>
      </c>
      <c r="D139" s="9">
        <f>Upload!AF129</f>
        <v>0</v>
      </c>
      <c r="E139" s="9">
        <f>Upload!AG129</f>
        <v>0</v>
      </c>
      <c r="F139" s="9" t="str">
        <f>Upload!X129</f>
        <v/>
      </c>
      <c r="G139" s="9" t="str">
        <f>Upload!Z129</f>
        <v/>
      </c>
      <c r="H139" s="9" t="str">
        <f>Upload!W129</f>
        <v>(seleccione)</v>
      </c>
      <c r="I139" s="9" t="str">
        <f>Upload!Y129</f>
        <v>(seleccione)</v>
      </c>
      <c r="K139" s="15" t="str">
        <f t="shared" si="7"/>
        <v/>
      </c>
      <c r="L139" s="15" t="str">
        <f t="shared" si="8"/>
        <v/>
      </c>
      <c r="M139" s="15" t="str">
        <f t="shared" si="9"/>
        <v/>
      </c>
      <c r="N139" s="15" t="str">
        <f t="shared" si="10"/>
        <v/>
      </c>
      <c r="O139" s="15" t="str">
        <f t="shared" si="11"/>
        <v/>
      </c>
      <c r="P139" s="15" t="str">
        <f>IF(OR(C139="",NOT(OR(ISNUMBER(SEARCH("Antitarnish",Upload!P129&amp;Upload!Q129&amp;Upload!R129&amp;Upload!S129&amp;Upload!T129)),ISNUMBER(SEARCH("Anti Tarnish",Upload!P129&amp;Upload!Q129&amp;Upload!R129&amp;Upload!S129&amp;Upload!T129))))),"",0.0012*C139)</f>
        <v/>
      </c>
      <c r="Q139" s="15" t="str">
        <f>IF(OR(E139="",NOT(OR(ISNUMBER(SEARCH("Epóxico MT",Upload!P129&amp;Upload!Q129&amp;Upload!R129&amp;Upload!S129&amp;Upload!T129))))),"",E139*0.000035)</f>
        <v/>
      </c>
      <c r="R139" s="15" t="str">
        <f>IF(OR(F139="",NOT(OR(ISNUMBER(SEARCH("Epóxico BT",Upload!Q129&amp;Upload!R129&amp;Upload!S129&amp;Upload!T129&amp;Upload!U129))))),"",F139*0.000035)</f>
        <v/>
      </c>
      <c r="S139" s="15" t="str">
        <f>IF(OR(G139="",NOT(OR(ISNUMBER(SEARCH("Epóxico Rojo",Upload!R129&amp;Upload!S129&amp;Upload!T129&amp;Upload!U129&amp;Upload!V129))))),"",G139*0.000035)</f>
        <v/>
      </c>
    </row>
    <row r="140" spans="1:19" x14ac:dyDescent="0.2">
      <c r="A140" s="9" t="e">
        <f t="shared" ca="1" si="6"/>
        <v>#NAME?</v>
      </c>
      <c r="B140" s="9">
        <f>Upload!E130</f>
        <v>0</v>
      </c>
      <c r="C140" s="9">
        <f>Upload!AE130</f>
        <v>0</v>
      </c>
      <c r="D140" s="9">
        <f>Upload!AF130</f>
        <v>0</v>
      </c>
      <c r="E140" s="9">
        <f>Upload!AG130</f>
        <v>0</v>
      </c>
      <c r="F140" s="9" t="str">
        <f>Upload!X130</f>
        <v/>
      </c>
      <c r="G140" s="9" t="str">
        <f>Upload!Z130</f>
        <v/>
      </c>
      <c r="H140" s="9" t="str">
        <f>Upload!W130</f>
        <v>(seleccione)</v>
      </c>
      <c r="I140" s="9" t="str">
        <f>Upload!Y130</f>
        <v>(seleccione)</v>
      </c>
      <c r="K140" s="15" t="str">
        <f t="shared" si="7"/>
        <v/>
      </c>
      <c r="L140" s="15" t="str">
        <f t="shared" si="8"/>
        <v/>
      </c>
      <c r="M140" s="15" t="str">
        <f t="shared" si="9"/>
        <v/>
      </c>
      <c r="N140" s="15" t="str">
        <f t="shared" si="10"/>
        <v/>
      </c>
      <c r="O140" s="15" t="str">
        <f t="shared" si="11"/>
        <v/>
      </c>
      <c r="P140" s="15" t="str">
        <f>IF(OR(C140="",NOT(OR(ISNUMBER(SEARCH("Antitarnish",Upload!P130&amp;Upload!Q130&amp;Upload!R130&amp;Upload!S130&amp;Upload!T130)),ISNUMBER(SEARCH("Anti Tarnish",Upload!P130&amp;Upload!Q130&amp;Upload!R130&amp;Upload!S130&amp;Upload!T130))))),"",0.0012*C140)</f>
        <v/>
      </c>
      <c r="Q140" s="15" t="str">
        <f>IF(OR(E140="",NOT(OR(ISNUMBER(SEARCH("Epóxico MT",Upload!P130&amp;Upload!Q130&amp;Upload!R130&amp;Upload!S130&amp;Upload!T130))))),"",E140*0.000035)</f>
        <v/>
      </c>
      <c r="R140" s="15" t="str">
        <f>IF(OR(F140="",NOT(OR(ISNUMBER(SEARCH("Epóxico BT",Upload!Q130&amp;Upload!R130&amp;Upload!S130&amp;Upload!T130&amp;Upload!U130))))),"",F140*0.000035)</f>
        <v/>
      </c>
      <c r="S140" s="15" t="str">
        <f>IF(OR(G140="",NOT(OR(ISNUMBER(SEARCH("Epóxico Rojo",Upload!R130&amp;Upload!S130&amp;Upload!T130&amp;Upload!U130&amp;Upload!V130))))),"",G140*0.000035)</f>
        <v/>
      </c>
    </row>
    <row r="141" spans="1:19" x14ac:dyDescent="0.2">
      <c r="A141" s="9" t="e">
        <f t="shared" ca="1" si="6"/>
        <v>#NAME?</v>
      </c>
      <c r="B141" s="9">
        <f>Upload!E131</f>
        <v>0</v>
      </c>
      <c r="C141" s="9">
        <f>Upload!AE131</f>
        <v>0</v>
      </c>
      <c r="D141" s="9">
        <f>Upload!AF131</f>
        <v>0</v>
      </c>
      <c r="E141" s="9">
        <f>Upload!AG131</f>
        <v>0</v>
      </c>
      <c r="F141" s="9" t="str">
        <f>Upload!X131</f>
        <v/>
      </c>
      <c r="G141" s="9" t="str">
        <f>Upload!Z131</f>
        <v/>
      </c>
      <c r="H141" s="9" t="str">
        <f>Upload!W131</f>
        <v>(seleccione)</v>
      </c>
      <c r="I141" s="9" t="str">
        <f>Upload!Y131</f>
        <v>(seleccione)</v>
      </c>
      <c r="K141" s="15" t="str">
        <f t="shared" si="7"/>
        <v/>
      </c>
      <c r="L141" s="15" t="str">
        <f t="shared" si="8"/>
        <v/>
      </c>
      <c r="M141" s="15" t="str">
        <f t="shared" si="9"/>
        <v/>
      </c>
      <c r="N141" s="15" t="str">
        <f t="shared" si="10"/>
        <v/>
      </c>
      <c r="O141" s="15" t="str">
        <f t="shared" si="11"/>
        <v/>
      </c>
      <c r="P141" s="15" t="str">
        <f>IF(OR(C141="",NOT(OR(ISNUMBER(SEARCH("Antitarnish",Upload!P131&amp;Upload!Q131&amp;Upload!R131&amp;Upload!S131&amp;Upload!T131)),ISNUMBER(SEARCH("Anti Tarnish",Upload!P131&amp;Upload!Q131&amp;Upload!R131&amp;Upload!S131&amp;Upload!T131))))),"",0.0012*C141)</f>
        <v/>
      </c>
      <c r="Q141" s="15" t="str">
        <f>IF(OR(E141="",NOT(OR(ISNUMBER(SEARCH("Epóxico MT",Upload!P131&amp;Upload!Q131&amp;Upload!R131&amp;Upload!S131&amp;Upload!T131))))),"",E141*0.000035)</f>
        <v/>
      </c>
      <c r="R141" s="15" t="str">
        <f>IF(OR(F141="",NOT(OR(ISNUMBER(SEARCH("Epóxico BT",Upload!Q131&amp;Upload!R131&amp;Upload!S131&amp;Upload!T131&amp;Upload!U131))))),"",F141*0.000035)</f>
        <v/>
      </c>
      <c r="S141" s="15" t="str">
        <f>IF(OR(G141="",NOT(OR(ISNUMBER(SEARCH("Epóxico Rojo",Upload!R131&amp;Upload!S131&amp;Upload!T131&amp;Upload!U131&amp;Upload!V131))))),"",G141*0.000035)</f>
        <v/>
      </c>
    </row>
    <row r="142" spans="1:19" x14ac:dyDescent="0.2">
      <c r="A142" s="9" t="e">
        <f t="shared" ca="1" si="6"/>
        <v>#NAME?</v>
      </c>
      <c r="B142" s="9">
        <f>Upload!E132</f>
        <v>0</v>
      </c>
      <c r="C142" s="9">
        <f>Upload!AE132</f>
        <v>0</v>
      </c>
      <c r="D142" s="9">
        <f>Upload!AF132</f>
        <v>0</v>
      </c>
      <c r="E142" s="9">
        <f>Upload!AG132</f>
        <v>0</v>
      </c>
      <c r="F142" s="9" t="str">
        <f>Upload!X132</f>
        <v/>
      </c>
      <c r="G142" s="9" t="str">
        <f>Upload!Z132</f>
        <v/>
      </c>
      <c r="H142" s="9" t="str">
        <f>Upload!W132</f>
        <v>(seleccione)</v>
      </c>
      <c r="I142" s="9" t="str">
        <f>Upload!Y132</f>
        <v>(seleccione)</v>
      </c>
      <c r="K142" s="15" t="str">
        <f t="shared" si="7"/>
        <v/>
      </c>
      <c r="L142" s="15" t="str">
        <f t="shared" si="8"/>
        <v/>
      </c>
      <c r="M142" s="15" t="str">
        <f t="shared" si="9"/>
        <v/>
      </c>
      <c r="N142" s="15" t="str">
        <f t="shared" si="10"/>
        <v/>
      </c>
      <c r="O142" s="15" t="str">
        <f t="shared" si="11"/>
        <v/>
      </c>
      <c r="P142" s="15" t="str">
        <f>IF(OR(C142="",NOT(OR(ISNUMBER(SEARCH("Antitarnish",Upload!P132&amp;Upload!Q132&amp;Upload!R132&amp;Upload!S132&amp;Upload!T132)),ISNUMBER(SEARCH("Anti Tarnish",Upload!P132&amp;Upload!Q132&amp;Upload!R132&amp;Upload!S132&amp;Upload!T132))))),"",0.0012*C142)</f>
        <v/>
      </c>
      <c r="Q142" s="15" t="str">
        <f>IF(OR(E142="",NOT(OR(ISNUMBER(SEARCH("Epóxico MT",Upload!P132&amp;Upload!Q132&amp;Upload!R132&amp;Upload!S132&amp;Upload!T132))))),"",E142*0.000035)</f>
        <v/>
      </c>
      <c r="R142" s="15" t="str">
        <f>IF(OR(F142="",NOT(OR(ISNUMBER(SEARCH("Epóxico BT",Upload!Q132&amp;Upload!R132&amp;Upload!S132&amp;Upload!T132&amp;Upload!U132))))),"",F142*0.000035)</f>
        <v/>
      </c>
      <c r="S142" s="15" t="str">
        <f>IF(OR(G142="",NOT(OR(ISNUMBER(SEARCH("Epóxico Rojo",Upload!R132&amp;Upload!S132&amp;Upload!T132&amp;Upload!U132&amp;Upload!V132))))),"",G142*0.000035)</f>
        <v/>
      </c>
    </row>
    <row r="143" spans="1:19" x14ac:dyDescent="0.2">
      <c r="A143" s="9" t="e">
        <f t="shared" ca="1" si="6"/>
        <v>#NAME?</v>
      </c>
      <c r="B143" s="9">
        <f>Upload!E133</f>
        <v>0</v>
      </c>
      <c r="C143" s="9">
        <f>Upload!AE133</f>
        <v>0</v>
      </c>
      <c r="D143" s="9">
        <f>Upload!AF133</f>
        <v>0</v>
      </c>
      <c r="E143" s="9">
        <f>Upload!AG133</f>
        <v>0</v>
      </c>
      <c r="F143" s="9" t="str">
        <f>Upload!X133</f>
        <v/>
      </c>
      <c r="G143" s="9" t="str">
        <f>Upload!Z133</f>
        <v/>
      </c>
      <c r="H143" s="9" t="str">
        <f>Upload!W133</f>
        <v>(seleccione)</v>
      </c>
      <c r="I143" s="9" t="str">
        <f>Upload!Y133</f>
        <v>(seleccione)</v>
      </c>
      <c r="K143" s="15" t="str">
        <f t="shared" si="7"/>
        <v/>
      </c>
      <c r="L143" s="15" t="str">
        <f t="shared" si="8"/>
        <v/>
      </c>
      <c r="M143" s="15" t="str">
        <f t="shared" si="9"/>
        <v/>
      </c>
      <c r="N143" s="15" t="str">
        <f t="shared" si="10"/>
        <v/>
      </c>
      <c r="O143" s="15" t="str">
        <f t="shared" si="11"/>
        <v/>
      </c>
      <c r="P143" s="15" t="str">
        <f>IF(OR(C143="",NOT(OR(ISNUMBER(SEARCH("Antitarnish",Upload!P133&amp;Upload!Q133&amp;Upload!R133&amp;Upload!S133&amp;Upload!T133)),ISNUMBER(SEARCH("Anti Tarnish",Upload!P133&amp;Upload!Q133&amp;Upload!R133&amp;Upload!S133&amp;Upload!T133))))),"",0.0012*C143)</f>
        <v/>
      </c>
      <c r="Q143" s="15" t="str">
        <f>IF(OR(E143="",NOT(OR(ISNUMBER(SEARCH("Epóxico MT",Upload!P133&amp;Upload!Q133&amp;Upload!R133&amp;Upload!S133&amp;Upload!T133))))),"",E143*0.000035)</f>
        <v/>
      </c>
      <c r="R143" s="15" t="str">
        <f>IF(OR(F143="",NOT(OR(ISNUMBER(SEARCH("Epóxico BT",Upload!Q133&amp;Upload!R133&amp;Upload!S133&amp;Upload!T133&amp;Upload!U133))))),"",F143*0.000035)</f>
        <v/>
      </c>
      <c r="S143" s="15" t="str">
        <f>IF(OR(G143="",NOT(OR(ISNUMBER(SEARCH("Epóxico Rojo",Upload!R133&amp;Upload!S133&amp;Upload!T133&amp;Upload!U133&amp;Upload!V133))))),"",G143*0.000035)</f>
        <v/>
      </c>
    </row>
    <row r="144" spans="1:19" x14ac:dyDescent="0.2">
      <c r="A144" s="9" t="e">
        <f t="shared" ca="1" si="6"/>
        <v>#NAME?</v>
      </c>
      <c r="B144" s="9">
        <f>Upload!E134</f>
        <v>0</v>
      </c>
      <c r="C144" s="9">
        <f>Upload!AE134</f>
        <v>0</v>
      </c>
      <c r="D144" s="9">
        <f>Upload!AF134</f>
        <v>0</v>
      </c>
      <c r="E144" s="9">
        <f>Upload!AG134</f>
        <v>0</v>
      </c>
      <c r="F144" s="9" t="str">
        <f>Upload!X134</f>
        <v/>
      </c>
      <c r="G144" s="9" t="str">
        <f>Upload!Z134</f>
        <v/>
      </c>
      <c r="H144" s="9" t="str">
        <f>Upload!W134</f>
        <v>(seleccione)</v>
      </c>
      <c r="I144" s="9" t="str">
        <f>Upload!Y134</f>
        <v>(seleccione)</v>
      </c>
      <c r="K144" s="15" t="str">
        <f t="shared" si="7"/>
        <v/>
      </c>
      <c r="L144" s="15" t="str">
        <f t="shared" si="8"/>
        <v/>
      </c>
      <c r="M144" s="15" t="str">
        <f t="shared" si="9"/>
        <v/>
      </c>
      <c r="N144" s="15" t="str">
        <f t="shared" si="10"/>
        <v/>
      </c>
      <c r="O144" s="15" t="str">
        <f t="shared" si="11"/>
        <v/>
      </c>
      <c r="P144" s="15" t="str">
        <f>IF(OR(C144="",NOT(OR(ISNUMBER(SEARCH("Antitarnish",Upload!P134&amp;Upload!Q134&amp;Upload!R134&amp;Upload!S134&amp;Upload!T134)),ISNUMBER(SEARCH("Anti Tarnish",Upload!P134&amp;Upload!Q134&amp;Upload!R134&amp;Upload!S134&amp;Upload!T134))))),"",0.0012*C144)</f>
        <v/>
      </c>
      <c r="Q144" s="15" t="str">
        <f>IF(OR(E144="",NOT(OR(ISNUMBER(SEARCH("Epóxico MT",Upload!P134&amp;Upload!Q134&amp;Upload!R134&amp;Upload!S134&amp;Upload!T134))))),"",E144*0.000035)</f>
        <v/>
      </c>
      <c r="R144" s="15" t="str">
        <f>IF(OR(F144="",NOT(OR(ISNUMBER(SEARCH("Epóxico BT",Upload!Q134&amp;Upload!R134&amp;Upload!S134&amp;Upload!T134&amp;Upload!U134))))),"",F144*0.000035)</f>
        <v/>
      </c>
      <c r="S144" s="15" t="str">
        <f>IF(OR(G144="",NOT(OR(ISNUMBER(SEARCH("Epóxico Rojo",Upload!R134&amp;Upload!S134&amp;Upload!T134&amp;Upload!U134&amp;Upload!V134))))),"",G144*0.000035)</f>
        <v/>
      </c>
    </row>
    <row r="145" spans="1:19" x14ac:dyDescent="0.2">
      <c r="A145" s="9" t="e">
        <f t="shared" ca="1" si="6"/>
        <v>#NAME?</v>
      </c>
      <c r="B145" s="9">
        <f>Upload!E135</f>
        <v>0</v>
      </c>
      <c r="C145" s="9">
        <f>Upload!AE135</f>
        <v>0</v>
      </c>
      <c r="D145" s="9">
        <f>Upload!AF135</f>
        <v>0</v>
      </c>
      <c r="E145" s="9">
        <f>Upload!AG135</f>
        <v>0</v>
      </c>
      <c r="F145" s="9" t="str">
        <f>Upload!X135</f>
        <v/>
      </c>
      <c r="G145" s="9" t="str">
        <f>Upload!Z135</f>
        <v/>
      </c>
      <c r="H145" s="9" t="str">
        <f>Upload!W135</f>
        <v>(seleccione)</v>
      </c>
      <c r="I145" s="9" t="str">
        <f>Upload!Y135</f>
        <v>(seleccione)</v>
      </c>
      <c r="K145" s="15" t="str">
        <f t="shared" si="7"/>
        <v/>
      </c>
      <c r="L145" s="15" t="str">
        <f t="shared" si="8"/>
        <v/>
      </c>
      <c r="M145" s="15" t="str">
        <f t="shared" si="9"/>
        <v/>
      </c>
      <c r="N145" s="15" t="str">
        <f t="shared" si="10"/>
        <v/>
      </c>
      <c r="O145" s="15" t="str">
        <f t="shared" si="11"/>
        <v/>
      </c>
      <c r="P145" s="15" t="str">
        <f>IF(OR(C145="",NOT(OR(ISNUMBER(SEARCH("Antitarnish",Upload!P135&amp;Upload!Q135&amp;Upload!R135&amp;Upload!S135&amp;Upload!T135)),ISNUMBER(SEARCH("Anti Tarnish",Upload!P135&amp;Upload!Q135&amp;Upload!R135&amp;Upload!S135&amp;Upload!T135))))),"",0.0012*C145)</f>
        <v/>
      </c>
      <c r="Q145" s="15" t="str">
        <f>IF(OR(E145="",NOT(OR(ISNUMBER(SEARCH("Epóxico MT",Upload!P135&amp;Upload!Q135&amp;Upload!R135&amp;Upload!S135&amp;Upload!T135))))),"",E145*0.000035)</f>
        <v/>
      </c>
      <c r="R145" s="15" t="str">
        <f>IF(OR(F145="",NOT(OR(ISNUMBER(SEARCH("Epóxico BT",Upload!Q135&amp;Upload!R135&amp;Upload!S135&amp;Upload!T135&amp;Upload!U135))))),"",F145*0.000035)</f>
        <v/>
      </c>
      <c r="S145" s="15" t="str">
        <f>IF(OR(G145="",NOT(OR(ISNUMBER(SEARCH("Epóxico Rojo",Upload!R135&amp;Upload!S135&amp;Upload!T135&amp;Upload!U135&amp;Upload!V135))))),"",G145*0.000035)</f>
        <v/>
      </c>
    </row>
    <row r="146" spans="1:19" x14ac:dyDescent="0.2">
      <c r="A146" s="9" t="e">
        <f t="shared" ca="1" si="6"/>
        <v>#NAME?</v>
      </c>
      <c r="B146" s="9">
        <f>Upload!E136</f>
        <v>0</v>
      </c>
      <c r="C146" s="9">
        <f>Upload!AE136</f>
        <v>0</v>
      </c>
      <c r="D146" s="9">
        <f>Upload!AF136</f>
        <v>0</v>
      </c>
      <c r="E146" s="9">
        <f>Upload!AG136</f>
        <v>0</v>
      </c>
      <c r="F146" s="9" t="str">
        <f>Upload!X136</f>
        <v/>
      </c>
      <c r="G146" s="9" t="str">
        <f>Upload!Z136</f>
        <v/>
      </c>
      <c r="H146" s="9" t="str">
        <f>Upload!W136</f>
        <v>(seleccione)</v>
      </c>
      <c r="I146" s="9" t="str">
        <f>Upload!Y136</f>
        <v>(seleccione)</v>
      </c>
      <c r="K146" s="15" t="str">
        <f t="shared" si="7"/>
        <v/>
      </c>
      <c r="L146" s="15" t="str">
        <f t="shared" si="8"/>
        <v/>
      </c>
      <c r="M146" s="15" t="str">
        <f t="shared" si="9"/>
        <v/>
      </c>
      <c r="N146" s="15" t="str">
        <f t="shared" si="10"/>
        <v/>
      </c>
      <c r="O146" s="15" t="str">
        <f t="shared" si="11"/>
        <v/>
      </c>
      <c r="P146" s="15" t="str">
        <f>IF(OR(C146="",NOT(OR(ISNUMBER(SEARCH("Antitarnish",Upload!P136&amp;Upload!Q136&amp;Upload!R136&amp;Upload!S136&amp;Upload!T136)),ISNUMBER(SEARCH("Anti Tarnish",Upload!P136&amp;Upload!Q136&amp;Upload!R136&amp;Upload!S136&amp;Upload!T136))))),"",0.0012*C146)</f>
        <v/>
      </c>
      <c r="Q146" s="15" t="str">
        <f>IF(OR(E146="",NOT(OR(ISNUMBER(SEARCH("Epóxico MT",Upload!P136&amp;Upload!Q136&amp;Upload!R136&amp;Upload!S136&amp;Upload!T136))))),"",E146*0.000035)</f>
        <v/>
      </c>
      <c r="R146" s="15" t="str">
        <f>IF(OR(F146="",NOT(OR(ISNUMBER(SEARCH("Epóxico BT",Upload!Q136&amp;Upload!R136&amp;Upload!S136&amp;Upload!T136&amp;Upload!U136))))),"",F146*0.000035)</f>
        <v/>
      </c>
      <c r="S146" s="15" t="str">
        <f>IF(OR(G146="",NOT(OR(ISNUMBER(SEARCH("Epóxico Rojo",Upload!R136&amp;Upload!S136&amp;Upload!T136&amp;Upload!U136&amp;Upload!V136))))),"",G146*0.000035)</f>
        <v/>
      </c>
    </row>
    <row r="147" spans="1:19" x14ac:dyDescent="0.2">
      <c r="A147" s="9" t="e">
        <f t="shared" ref="A147:A210" ca="1" si="12">_xludf.ROW()-18</f>
        <v>#NAME?</v>
      </c>
      <c r="B147" s="9">
        <f>Upload!E137</f>
        <v>0</v>
      </c>
      <c r="C147" s="9">
        <f>Upload!AE137</f>
        <v>0</v>
      </c>
      <c r="D147" s="9">
        <f>Upload!AF137</f>
        <v>0</v>
      </c>
      <c r="E147" s="9">
        <f>Upload!AG137</f>
        <v>0</v>
      </c>
      <c r="F147" s="9" t="str">
        <f>Upload!X137</f>
        <v/>
      </c>
      <c r="G147" s="9" t="str">
        <f>Upload!Z137</f>
        <v/>
      </c>
      <c r="H147" s="9" t="str">
        <f>Upload!W137</f>
        <v>(seleccione)</v>
      </c>
      <c r="I147" s="9" t="str">
        <f>Upload!Y137</f>
        <v>(seleccione)</v>
      </c>
      <c r="K147" s="15" t="str">
        <f t="shared" ref="K147:K210" si="13">IFERROR(IF(OR(D147="",IF(ISNUMBER(SEARCH("Plata",H147)),F147,IF(ISNUMBER(SEARCH("Plata",I147)),G147,""))=""),"",$D$6*D147*(IF(ISNUMBER(SEARCH("Plata",H147)),F147,IF(ISNUMBER(SEARCH("Plata",I147)),G147,"")))/10000000),"")</f>
        <v/>
      </c>
      <c r="L147" s="15" t="str">
        <f t="shared" ref="L147:L210" si="14">IFERROR(IF(OR(D147="",IF(OR(ISNUMBER(SEARCH("Estaño",H147)),ISNUMBER(SEARCH("Estañ",H147)),ISNUMBER(SEARCH("Tin",H147))),F147,IF(OR(ISNUMBER(SEARCH("Estaño",I147)),ISNUMBER(SEARCH("Estañ",I147)),ISNUMBER(SEARCH("Tin",I147))),G147,""))=""),"",$D$7*D147*(IF(OR(ISNUMBER(SEARCH("Estaño",H147)),ISNUMBER(SEARCH("Estañ",H147)),ISNUMBER(SEARCH("Tin",H147))),F147,IF(OR(ISNUMBER(SEARCH("Estaño",I147)),ISNUMBER(SEARCH("Estañ",I147)),ISNUMBER(SEARCH("Tin",I147))),G147,"")))/10000000),"")</f>
        <v/>
      </c>
      <c r="M147" s="15" t="str">
        <f t="shared" ref="M147:M210" si="15">IFERROR(IF(OR(D147="",IF(OR(ISNUMBER(SEARCH("Níquel",H147)),ISNUMBER(SEARCH("Niquel",H147))),F147,IF(OR(ISNUMBER(SEARCH("Níquel",I147)),ISNUMBER(SEARCH("Niquel",I147))),G147,""))=""),"",$D$8*D147*(IF(OR(ISNUMBER(SEARCH("Níquel",H147)),ISNUMBER(SEARCH("Niquel",H147))),F147,IF(OR(ISNUMBER(SEARCH("Níquel",I147)),ISNUMBER(SEARCH("Niquel",I147))),G147,"")))/10000000),"")</f>
        <v/>
      </c>
      <c r="N147" s="15" t="str">
        <f t="shared" ref="N147:N210" si="16">IFERROR(IF(OR(D147="",IF(ISNUMBER(SEARCH("Zinc",H147)),F147,IF(ISNUMBER(SEARCH("Zinc",I147)),G147,""))=""),"",$D$9*D147*(IF(ISNUMBER(SEARCH("Zinc",H147)),F147,IF(ISNUMBER(SEARCH("Zinc",I147)),G147,"")))/10000000),"")</f>
        <v/>
      </c>
      <c r="O147" s="15" t="str">
        <f t="shared" ref="O147:O210" si="17">IFERROR(IF(OR(D147="",IF(OR(ISNUMBER(SEARCH("Cobre",H147)),ISNUMBER(SEARCH("Bondal",H147))),F147,IF(OR(ISNUMBER(SEARCH("Cobre",I147)),ISNUMBER(SEARCH("Bondal",I147))),G147,""))=""),"",$D$10*D147*(IF(OR(ISNUMBER(SEARCH("Cobre",H147)),ISNUMBER(SEARCH("Bondal",H147))),F147,IF(OR(ISNUMBER(SEARCH("Cobre",I147)),ISNUMBER(SEARCH("Bondal",I147))),G147,"")))/10000000),"")</f>
        <v/>
      </c>
      <c r="P147" s="15" t="str">
        <f>IF(OR(C147="",NOT(OR(ISNUMBER(SEARCH("Antitarnish",Upload!P137&amp;Upload!Q137&amp;Upload!R137&amp;Upload!S137&amp;Upload!T137)),ISNUMBER(SEARCH("Anti Tarnish",Upload!P137&amp;Upload!Q137&amp;Upload!R137&amp;Upload!S137&amp;Upload!T137))))),"",0.0012*C147)</f>
        <v/>
      </c>
      <c r="Q147" s="15" t="str">
        <f>IF(OR(E147="",NOT(OR(ISNUMBER(SEARCH("Epóxico MT",Upload!P137&amp;Upload!Q137&amp;Upload!R137&amp;Upload!S137&amp;Upload!T137))))),"",E147*0.000035)</f>
        <v/>
      </c>
      <c r="R147" s="15" t="str">
        <f>IF(OR(F147="",NOT(OR(ISNUMBER(SEARCH("Epóxico BT",Upload!Q137&amp;Upload!R137&amp;Upload!S137&amp;Upload!T137&amp;Upload!U137))))),"",F147*0.000035)</f>
        <v/>
      </c>
      <c r="S147" s="15" t="str">
        <f>IF(OR(G147="",NOT(OR(ISNUMBER(SEARCH("Epóxico Rojo",Upload!R137&amp;Upload!S137&amp;Upload!T137&amp;Upload!U137&amp;Upload!V137))))),"",G147*0.000035)</f>
        <v/>
      </c>
    </row>
    <row r="148" spans="1:19" x14ac:dyDescent="0.2">
      <c r="A148" s="9" t="e">
        <f t="shared" ca="1" si="12"/>
        <v>#NAME?</v>
      </c>
      <c r="B148" s="9">
        <f>Upload!E138</f>
        <v>0</v>
      </c>
      <c r="C148" s="9">
        <f>Upload!AE138</f>
        <v>0</v>
      </c>
      <c r="D148" s="9">
        <f>Upload!AF138</f>
        <v>0</v>
      </c>
      <c r="E148" s="9">
        <f>Upload!AG138</f>
        <v>0</v>
      </c>
      <c r="F148" s="9" t="str">
        <f>Upload!X138</f>
        <v/>
      </c>
      <c r="G148" s="9" t="str">
        <f>Upload!Z138</f>
        <v/>
      </c>
      <c r="H148" s="9" t="str">
        <f>Upload!W138</f>
        <v>(seleccione)</v>
      </c>
      <c r="I148" s="9" t="str">
        <f>Upload!Y138</f>
        <v>(seleccione)</v>
      </c>
      <c r="K148" s="15" t="str">
        <f t="shared" si="13"/>
        <v/>
      </c>
      <c r="L148" s="15" t="str">
        <f t="shared" si="14"/>
        <v/>
      </c>
      <c r="M148" s="15" t="str">
        <f t="shared" si="15"/>
        <v/>
      </c>
      <c r="N148" s="15" t="str">
        <f t="shared" si="16"/>
        <v/>
      </c>
      <c r="O148" s="15" t="str">
        <f t="shared" si="17"/>
        <v/>
      </c>
      <c r="P148" s="15" t="str">
        <f>IF(OR(C148="",NOT(OR(ISNUMBER(SEARCH("Antitarnish",Upload!P138&amp;Upload!Q138&amp;Upload!R138&amp;Upload!S138&amp;Upload!T138)),ISNUMBER(SEARCH("Anti Tarnish",Upload!P138&amp;Upload!Q138&amp;Upload!R138&amp;Upload!S138&amp;Upload!T138))))),"",0.0012*C148)</f>
        <v/>
      </c>
      <c r="Q148" s="15" t="str">
        <f>IF(OR(E148="",NOT(OR(ISNUMBER(SEARCH("Epóxico MT",Upload!P138&amp;Upload!Q138&amp;Upload!R138&amp;Upload!S138&amp;Upload!T138))))),"",E148*0.000035)</f>
        <v/>
      </c>
      <c r="R148" s="15" t="str">
        <f>IF(OR(F148="",NOT(OR(ISNUMBER(SEARCH("Epóxico BT",Upload!Q138&amp;Upload!R138&amp;Upload!S138&amp;Upload!T138&amp;Upload!U138))))),"",F148*0.000035)</f>
        <v/>
      </c>
      <c r="S148" s="15" t="str">
        <f>IF(OR(G148="",NOT(OR(ISNUMBER(SEARCH("Epóxico Rojo",Upload!R138&amp;Upload!S138&amp;Upload!T138&amp;Upload!U138&amp;Upload!V138))))),"",G148*0.000035)</f>
        <v/>
      </c>
    </row>
    <row r="149" spans="1:19" x14ac:dyDescent="0.2">
      <c r="A149" s="9" t="e">
        <f t="shared" ca="1" si="12"/>
        <v>#NAME?</v>
      </c>
      <c r="B149" s="9">
        <f>Upload!E139</f>
        <v>0</v>
      </c>
      <c r="C149" s="9">
        <f>Upload!AE139</f>
        <v>0</v>
      </c>
      <c r="D149" s="9">
        <f>Upload!AF139</f>
        <v>0</v>
      </c>
      <c r="E149" s="9">
        <f>Upload!AG139</f>
        <v>0</v>
      </c>
      <c r="F149" s="9" t="str">
        <f>Upload!X139</f>
        <v/>
      </c>
      <c r="G149" s="9" t="str">
        <f>Upload!Z139</f>
        <v/>
      </c>
      <c r="H149" s="9" t="str">
        <f>Upload!W139</f>
        <v>(seleccione)</v>
      </c>
      <c r="I149" s="9" t="str">
        <f>Upload!Y139</f>
        <v>(seleccione)</v>
      </c>
      <c r="K149" s="15" t="str">
        <f t="shared" si="13"/>
        <v/>
      </c>
      <c r="L149" s="15" t="str">
        <f t="shared" si="14"/>
        <v/>
      </c>
      <c r="M149" s="15" t="str">
        <f t="shared" si="15"/>
        <v/>
      </c>
      <c r="N149" s="15" t="str">
        <f t="shared" si="16"/>
        <v/>
      </c>
      <c r="O149" s="15" t="str">
        <f t="shared" si="17"/>
        <v/>
      </c>
      <c r="P149" s="15" t="str">
        <f>IF(OR(C149="",NOT(OR(ISNUMBER(SEARCH("Antitarnish",Upload!P139&amp;Upload!Q139&amp;Upload!R139&amp;Upload!S139&amp;Upload!T139)),ISNUMBER(SEARCH("Anti Tarnish",Upload!P139&amp;Upload!Q139&amp;Upload!R139&amp;Upload!S139&amp;Upload!T139))))),"",0.0012*C149)</f>
        <v/>
      </c>
      <c r="Q149" s="15" t="str">
        <f>IF(OR(E149="",NOT(OR(ISNUMBER(SEARCH("Epóxico MT",Upload!P139&amp;Upload!Q139&amp;Upload!R139&amp;Upload!S139&amp;Upload!T139))))),"",E149*0.000035)</f>
        <v/>
      </c>
      <c r="R149" s="15" t="str">
        <f>IF(OR(F149="",NOT(OR(ISNUMBER(SEARCH("Epóxico BT",Upload!Q139&amp;Upload!R139&amp;Upload!S139&amp;Upload!T139&amp;Upload!U139))))),"",F149*0.000035)</f>
        <v/>
      </c>
      <c r="S149" s="15" t="str">
        <f>IF(OR(G149="",NOT(OR(ISNUMBER(SEARCH("Epóxico Rojo",Upload!R139&amp;Upload!S139&amp;Upload!T139&amp;Upload!U139&amp;Upload!V139))))),"",G149*0.000035)</f>
        <v/>
      </c>
    </row>
    <row r="150" spans="1:19" x14ac:dyDescent="0.2">
      <c r="A150" s="9" t="e">
        <f t="shared" ca="1" si="12"/>
        <v>#NAME?</v>
      </c>
      <c r="B150" s="9">
        <f>Upload!E140</f>
        <v>0</v>
      </c>
      <c r="C150" s="9">
        <f>Upload!AE140</f>
        <v>0</v>
      </c>
      <c r="D150" s="9">
        <f>Upload!AF140</f>
        <v>0</v>
      </c>
      <c r="E150" s="9">
        <f>Upload!AG140</f>
        <v>0</v>
      </c>
      <c r="F150" s="9" t="str">
        <f>Upload!X140</f>
        <v/>
      </c>
      <c r="G150" s="9" t="str">
        <f>Upload!Z140</f>
        <v/>
      </c>
      <c r="H150" s="9" t="str">
        <f>Upload!W140</f>
        <v>(seleccione)</v>
      </c>
      <c r="I150" s="9" t="str">
        <f>Upload!Y140</f>
        <v>(seleccione)</v>
      </c>
      <c r="K150" s="15" t="str">
        <f t="shared" si="13"/>
        <v/>
      </c>
      <c r="L150" s="15" t="str">
        <f t="shared" si="14"/>
        <v/>
      </c>
      <c r="M150" s="15" t="str">
        <f t="shared" si="15"/>
        <v/>
      </c>
      <c r="N150" s="15" t="str">
        <f t="shared" si="16"/>
        <v/>
      </c>
      <c r="O150" s="15" t="str">
        <f t="shared" si="17"/>
        <v/>
      </c>
      <c r="P150" s="15" t="str">
        <f>IF(OR(C150="",NOT(OR(ISNUMBER(SEARCH("Antitarnish",Upload!P140&amp;Upload!Q140&amp;Upload!R140&amp;Upload!S140&amp;Upload!T140)),ISNUMBER(SEARCH("Anti Tarnish",Upload!P140&amp;Upload!Q140&amp;Upload!R140&amp;Upload!S140&amp;Upload!T140))))),"",0.0012*C150)</f>
        <v/>
      </c>
      <c r="Q150" s="15" t="str">
        <f>IF(OR(E150="",NOT(OR(ISNUMBER(SEARCH("Epóxico MT",Upload!P140&amp;Upload!Q140&amp;Upload!R140&amp;Upload!S140&amp;Upload!T140))))),"",E150*0.000035)</f>
        <v/>
      </c>
      <c r="R150" s="15" t="str">
        <f>IF(OR(F150="",NOT(OR(ISNUMBER(SEARCH("Epóxico BT",Upload!Q140&amp;Upload!R140&amp;Upload!S140&amp;Upload!T140&amp;Upload!U140))))),"",F150*0.000035)</f>
        <v/>
      </c>
      <c r="S150" s="15" t="str">
        <f>IF(OR(G150="",NOT(OR(ISNUMBER(SEARCH("Epóxico Rojo",Upload!R140&amp;Upload!S140&amp;Upload!T140&amp;Upload!U140&amp;Upload!V140))))),"",G150*0.000035)</f>
        <v/>
      </c>
    </row>
    <row r="151" spans="1:19" x14ac:dyDescent="0.2">
      <c r="A151" s="9" t="e">
        <f t="shared" ca="1" si="12"/>
        <v>#NAME?</v>
      </c>
      <c r="B151" s="9">
        <f>Upload!E141</f>
        <v>0</v>
      </c>
      <c r="C151" s="9">
        <f>Upload!AE141</f>
        <v>0</v>
      </c>
      <c r="D151" s="9">
        <f>Upload!AF141</f>
        <v>0</v>
      </c>
      <c r="E151" s="9">
        <f>Upload!AG141</f>
        <v>0</v>
      </c>
      <c r="F151" s="9" t="str">
        <f>Upload!X141</f>
        <v/>
      </c>
      <c r="G151" s="9" t="str">
        <f>Upload!Z141</f>
        <v/>
      </c>
      <c r="H151" s="9" t="str">
        <f>Upload!W141</f>
        <v>(seleccione)</v>
      </c>
      <c r="I151" s="9" t="str">
        <f>Upload!Y141</f>
        <v>(seleccione)</v>
      </c>
      <c r="K151" s="15" t="str">
        <f t="shared" si="13"/>
        <v/>
      </c>
      <c r="L151" s="15" t="str">
        <f t="shared" si="14"/>
        <v/>
      </c>
      <c r="M151" s="15" t="str">
        <f t="shared" si="15"/>
        <v/>
      </c>
      <c r="N151" s="15" t="str">
        <f t="shared" si="16"/>
        <v/>
      </c>
      <c r="O151" s="15" t="str">
        <f t="shared" si="17"/>
        <v/>
      </c>
      <c r="P151" s="15" t="str">
        <f>IF(OR(C151="",NOT(OR(ISNUMBER(SEARCH("Antitarnish",Upload!P141&amp;Upload!Q141&amp;Upload!R141&amp;Upload!S141&amp;Upload!T141)),ISNUMBER(SEARCH("Anti Tarnish",Upload!P141&amp;Upload!Q141&amp;Upload!R141&amp;Upload!S141&amp;Upload!T141))))),"",0.0012*C151)</f>
        <v/>
      </c>
      <c r="Q151" s="15" t="str">
        <f>IF(OR(E151="",NOT(OR(ISNUMBER(SEARCH("Epóxico MT",Upload!P141&amp;Upload!Q141&amp;Upload!R141&amp;Upload!S141&amp;Upload!T141))))),"",E151*0.000035)</f>
        <v/>
      </c>
      <c r="R151" s="15" t="str">
        <f>IF(OR(F151="",NOT(OR(ISNUMBER(SEARCH("Epóxico BT",Upload!Q141&amp;Upload!R141&amp;Upload!S141&amp;Upload!T141&amp;Upload!U141))))),"",F151*0.000035)</f>
        <v/>
      </c>
      <c r="S151" s="15" t="str">
        <f>IF(OR(G151="",NOT(OR(ISNUMBER(SEARCH("Epóxico Rojo",Upload!R141&amp;Upload!S141&amp;Upload!T141&amp;Upload!U141&amp;Upload!V141))))),"",G151*0.000035)</f>
        <v/>
      </c>
    </row>
    <row r="152" spans="1:19" x14ac:dyDescent="0.2">
      <c r="A152" s="9" t="e">
        <f t="shared" ca="1" si="12"/>
        <v>#NAME?</v>
      </c>
      <c r="B152" s="9">
        <f>Upload!E142</f>
        <v>0</v>
      </c>
      <c r="C152" s="9">
        <f>Upload!AE142</f>
        <v>0</v>
      </c>
      <c r="D152" s="9">
        <f>Upload!AF142</f>
        <v>0</v>
      </c>
      <c r="E152" s="9">
        <f>Upload!AG142</f>
        <v>0</v>
      </c>
      <c r="F152" s="9" t="str">
        <f>Upload!X142</f>
        <v/>
      </c>
      <c r="G152" s="9" t="str">
        <f>Upload!Z142</f>
        <v/>
      </c>
      <c r="H152" s="9" t="str">
        <f>Upload!W142</f>
        <v>(seleccione)</v>
      </c>
      <c r="I152" s="9" t="str">
        <f>Upload!Y142</f>
        <v>(seleccione)</v>
      </c>
      <c r="K152" s="15" t="str">
        <f t="shared" si="13"/>
        <v/>
      </c>
      <c r="L152" s="15" t="str">
        <f t="shared" si="14"/>
        <v/>
      </c>
      <c r="M152" s="15" t="str">
        <f t="shared" si="15"/>
        <v/>
      </c>
      <c r="N152" s="15" t="str">
        <f t="shared" si="16"/>
        <v/>
      </c>
      <c r="O152" s="15" t="str">
        <f t="shared" si="17"/>
        <v/>
      </c>
      <c r="P152" s="15" t="str">
        <f>IF(OR(C152="",NOT(OR(ISNUMBER(SEARCH("Antitarnish",Upload!P142&amp;Upload!Q142&amp;Upload!R142&amp;Upload!S142&amp;Upload!T142)),ISNUMBER(SEARCH("Anti Tarnish",Upload!P142&amp;Upload!Q142&amp;Upload!R142&amp;Upload!S142&amp;Upload!T142))))),"",0.0012*C152)</f>
        <v/>
      </c>
      <c r="Q152" s="15" t="str">
        <f>IF(OR(E152="",NOT(OR(ISNUMBER(SEARCH("Epóxico MT",Upload!P142&amp;Upload!Q142&amp;Upload!R142&amp;Upload!S142&amp;Upload!T142))))),"",E152*0.000035)</f>
        <v/>
      </c>
      <c r="R152" s="15" t="str">
        <f>IF(OR(F152="",NOT(OR(ISNUMBER(SEARCH("Epóxico BT",Upload!Q142&amp;Upload!R142&amp;Upload!S142&amp;Upload!T142&amp;Upload!U142))))),"",F152*0.000035)</f>
        <v/>
      </c>
      <c r="S152" s="15" t="str">
        <f>IF(OR(G152="",NOT(OR(ISNUMBER(SEARCH("Epóxico Rojo",Upload!R142&amp;Upload!S142&amp;Upload!T142&amp;Upload!U142&amp;Upload!V142))))),"",G152*0.000035)</f>
        <v/>
      </c>
    </row>
    <row r="153" spans="1:19" x14ac:dyDescent="0.2">
      <c r="A153" s="9" t="e">
        <f t="shared" ca="1" si="12"/>
        <v>#NAME?</v>
      </c>
      <c r="B153" s="9">
        <f>Upload!E143</f>
        <v>0</v>
      </c>
      <c r="C153" s="9">
        <f>Upload!AE143</f>
        <v>0</v>
      </c>
      <c r="D153" s="9">
        <f>Upload!AF143</f>
        <v>0</v>
      </c>
      <c r="E153" s="9">
        <f>Upload!AG143</f>
        <v>0</v>
      </c>
      <c r="F153" s="9" t="str">
        <f>Upload!X143</f>
        <v/>
      </c>
      <c r="G153" s="9" t="str">
        <f>Upload!Z143</f>
        <v/>
      </c>
      <c r="H153" s="9" t="str">
        <f>Upload!W143</f>
        <v>(seleccione)</v>
      </c>
      <c r="I153" s="9" t="str">
        <f>Upload!Y143</f>
        <v>(seleccione)</v>
      </c>
      <c r="K153" s="15" t="str">
        <f t="shared" si="13"/>
        <v/>
      </c>
      <c r="L153" s="15" t="str">
        <f t="shared" si="14"/>
        <v/>
      </c>
      <c r="M153" s="15" t="str">
        <f t="shared" si="15"/>
        <v/>
      </c>
      <c r="N153" s="15" t="str">
        <f t="shared" si="16"/>
        <v/>
      </c>
      <c r="O153" s="15" t="str">
        <f t="shared" si="17"/>
        <v/>
      </c>
      <c r="P153" s="15" t="str">
        <f>IF(OR(C153="",NOT(OR(ISNUMBER(SEARCH("Antitarnish",Upload!P143&amp;Upload!Q143&amp;Upload!R143&amp;Upload!S143&amp;Upload!T143)),ISNUMBER(SEARCH("Anti Tarnish",Upload!P143&amp;Upload!Q143&amp;Upload!R143&amp;Upload!S143&amp;Upload!T143))))),"",0.0012*C153)</f>
        <v/>
      </c>
      <c r="Q153" s="15" t="str">
        <f>IF(OR(E153="",NOT(OR(ISNUMBER(SEARCH("Epóxico MT",Upload!P143&amp;Upload!Q143&amp;Upload!R143&amp;Upload!S143&amp;Upload!T143))))),"",E153*0.000035)</f>
        <v/>
      </c>
      <c r="R153" s="15" t="str">
        <f>IF(OR(F153="",NOT(OR(ISNUMBER(SEARCH("Epóxico BT",Upload!Q143&amp;Upload!R143&amp;Upload!S143&amp;Upload!T143&amp;Upload!U143))))),"",F153*0.000035)</f>
        <v/>
      </c>
      <c r="S153" s="15" t="str">
        <f>IF(OR(G153="",NOT(OR(ISNUMBER(SEARCH("Epóxico Rojo",Upload!R143&amp;Upload!S143&amp;Upload!T143&amp;Upload!U143&amp;Upload!V143))))),"",G153*0.000035)</f>
        <v/>
      </c>
    </row>
    <row r="154" spans="1:19" x14ac:dyDescent="0.2">
      <c r="A154" s="9" t="e">
        <f t="shared" ca="1" si="12"/>
        <v>#NAME?</v>
      </c>
      <c r="B154" s="9">
        <f>Upload!E144</f>
        <v>0</v>
      </c>
      <c r="C154" s="9">
        <f>Upload!AE144</f>
        <v>0</v>
      </c>
      <c r="D154" s="9">
        <f>Upload!AF144</f>
        <v>0</v>
      </c>
      <c r="E154" s="9">
        <f>Upload!AG144</f>
        <v>0</v>
      </c>
      <c r="F154" s="9" t="str">
        <f>Upload!X144</f>
        <v/>
      </c>
      <c r="G154" s="9" t="str">
        <f>Upload!Z144</f>
        <v/>
      </c>
      <c r="H154" s="9" t="str">
        <f>Upload!W144</f>
        <v>(seleccione)</v>
      </c>
      <c r="I154" s="9" t="str">
        <f>Upload!Y144</f>
        <v>(seleccione)</v>
      </c>
      <c r="K154" s="15" t="str">
        <f t="shared" si="13"/>
        <v/>
      </c>
      <c r="L154" s="15" t="str">
        <f t="shared" si="14"/>
        <v/>
      </c>
      <c r="M154" s="15" t="str">
        <f t="shared" si="15"/>
        <v/>
      </c>
      <c r="N154" s="15" t="str">
        <f t="shared" si="16"/>
        <v/>
      </c>
      <c r="O154" s="15" t="str">
        <f t="shared" si="17"/>
        <v/>
      </c>
      <c r="P154" s="15" t="str">
        <f>IF(OR(C154="",NOT(OR(ISNUMBER(SEARCH("Antitarnish",Upload!P144&amp;Upload!Q144&amp;Upload!R144&amp;Upload!S144&amp;Upload!T144)),ISNUMBER(SEARCH("Anti Tarnish",Upload!P144&amp;Upload!Q144&amp;Upload!R144&amp;Upload!S144&amp;Upload!T144))))),"",0.0012*C154)</f>
        <v/>
      </c>
      <c r="Q154" s="15" t="str">
        <f>IF(OR(E154="",NOT(OR(ISNUMBER(SEARCH("Epóxico MT",Upload!P144&amp;Upload!Q144&amp;Upload!R144&amp;Upload!S144&amp;Upload!T144))))),"",E154*0.000035)</f>
        <v/>
      </c>
      <c r="R154" s="15" t="str">
        <f>IF(OR(F154="",NOT(OR(ISNUMBER(SEARCH("Epóxico BT",Upload!Q144&amp;Upload!R144&amp;Upload!S144&amp;Upload!T144&amp;Upload!U144))))),"",F154*0.000035)</f>
        <v/>
      </c>
      <c r="S154" s="15" t="str">
        <f>IF(OR(G154="",NOT(OR(ISNUMBER(SEARCH("Epóxico Rojo",Upload!R144&amp;Upload!S144&amp;Upload!T144&amp;Upload!U144&amp;Upload!V144))))),"",G154*0.000035)</f>
        <v/>
      </c>
    </row>
    <row r="155" spans="1:19" x14ac:dyDescent="0.2">
      <c r="A155" s="9" t="e">
        <f t="shared" ca="1" si="12"/>
        <v>#NAME?</v>
      </c>
      <c r="B155" s="9">
        <f>Upload!E145</f>
        <v>0</v>
      </c>
      <c r="C155" s="9">
        <f>Upload!AE145</f>
        <v>0</v>
      </c>
      <c r="D155" s="9">
        <f>Upload!AF145</f>
        <v>0</v>
      </c>
      <c r="E155" s="9">
        <f>Upload!AG145</f>
        <v>0</v>
      </c>
      <c r="F155" s="9" t="str">
        <f>Upload!X145</f>
        <v/>
      </c>
      <c r="G155" s="9" t="str">
        <f>Upload!Z145</f>
        <v/>
      </c>
      <c r="H155" s="9" t="str">
        <f>Upload!W145</f>
        <v>(seleccione)</v>
      </c>
      <c r="I155" s="9" t="str">
        <f>Upload!Y145</f>
        <v>(seleccione)</v>
      </c>
      <c r="K155" s="15" t="str">
        <f t="shared" si="13"/>
        <v/>
      </c>
      <c r="L155" s="15" t="str">
        <f t="shared" si="14"/>
        <v/>
      </c>
      <c r="M155" s="15" t="str">
        <f t="shared" si="15"/>
        <v/>
      </c>
      <c r="N155" s="15" t="str">
        <f t="shared" si="16"/>
        <v/>
      </c>
      <c r="O155" s="15" t="str">
        <f t="shared" si="17"/>
        <v/>
      </c>
      <c r="P155" s="15" t="str">
        <f>IF(OR(C155="",NOT(OR(ISNUMBER(SEARCH("Antitarnish",Upload!P145&amp;Upload!Q145&amp;Upload!R145&amp;Upload!S145&amp;Upload!T145)),ISNUMBER(SEARCH("Anti Tarnish",Upload!P145&amp;Upload!Q145&amp;Upload!R145&amp;Upload!S145&amp;Upload!T145))))),"",0.0012*C155)</f>
        <v/>
      </c>
      <c r="Q155" s="15" t="str">
        <f>IF(OR(E155="",NOT(OR(ISNUMBER(SEARCH("Epóxico MT",Upload!P145&amp;Upload!Q145&amp;Upload!R145&amp;Upload!S145&amp;Upload!T145))))),"",E155*0.000035)</f>
        <v/>
      </c>
      <c r="R155" s="15" t="str">
        <f>IF(OR(F155="",NOT(OR(ISNUMBER(SEARCH("Epóxico BT",Upload!Q145&amp;Upload!R145&amp;Upload!S145&amp;Upload!T145&amp;Upload!U145))))),"",F155*0.000035)</f>
        <v/>
      </c>
      <c r="S155" s="15" t="str">
        <f>IF(OR(G155="",NOT(OR(ISNUMBER(SEARCH("Epóxico Rojo",Upload!R145&amp;Upload!S145&amp;Upload!T145&amp;Upload!U145&amp;Upload!V145))))),"",G155*0.000035)</f>
        <v/>
      </c>
    </row>
    <row r="156" spans="1:19" x14ac:dyDescent="0.2">
      <c r="A156" s="9" t="e">
        <f t="shared" ca="1" si="12"/>
        <v>#NAME?</v>
      </c>
      <c r="B156" s="9">
        <f>Upload!E146</f>
        <v>0</v>
      </c>
      <c r="C156" s="9">
        <f>Upload!AE146</f>
        <v>0</v>
      </c>
      <c r="D156" s="9">
        <f>Upload!AF146</f>
        <v>0</v>
      </c>
      <c r="E156" s="9">
        <f>Upload!AG146</f>
        <v>0</v>
      </c>
      <c r="F156" s="9" t="str">
        <f>Upload!X146</f>
        <v/>
      </c>
      <c r="G156" s="9" t="str">
        <f>Upload!Z146</f>
        <v/>
      </c>
      <c r="H156" s="9" t="str">
        <f>Upload!W146</f>
        <v>(seleccione)</v>
      </c>
      <c r="I156" s="9" t="str">
        <f>Upload!Y146</f>
        <v>(seleccione)</v>
      </c>
      <c r="K156" s="15" t="str">
        <f t="shared" si="13"/>
        <v/>
      </c>
      <c r="L156" s="15" t="str">
        <f t="shared" si="14"/>
        <v/>
      </c>
      <c r="M156" s="15" t="str">
        <f t="shared" si="15"/>
        <v/>
      </c>
      <c r="N156" s="15" t="str">
        <f t="shared" si="16"/>
        <v/>
      </c>
      <c r="O156" s="15" t="str">
        <f t="shared" si="17"/>
        <v/>
      </c>
      <c r="P156" s="15" t="str">
        <f>IF(OR(C156="",NOT(OR(ISNUMBER(SEARCH("Antitarnish",Upload!P146&amp;Upload!Q146&amp;Upload!R146&amp;Upload!S146&amp;Upload!T146)),ISNUMBER(SEARCH("Anti Tarnish",Upload!P146&amp;Upload!Q146&amp;Upload!R146&amp;Upload!S146&amp;Upload!T146))))),"",0.0012*C156)</f>
        <v/>
      </c>
      <c r="Q156" s="15" t="str">
        <f>IF(OR(E156="",NOT(OR(ISNUMBER(SEARCH("Epóxico MT",Upload!P146&amp;Upload!Q146&amp;Upload!R146&amp;Upload!S146&amp;Upload!T146))))),"",E156*0.000035)</f>
        <v/>
      </c>
      <c r="R156" s="15" t="str">
        <f>IF(OR(F156="",NOT(OR(ISNUMBER(SEARCH("Epóxico BT",Upload!Q146&amp;Upload!R146&amp;Upload!S146&amp;Upload!T146&amp;Upload!U146))))),"",F156*0.000035)</f>
        <v/>
      </c>
      <c r="S156" s="15" t="str">
        <f>IF(OR(G156="",NOT(OR(ISNUMBER(SEARCH("Epóxico Rojo",Upload!R146&amp;Upload!S146&amp;Upload!T146&amp;Upload!U146&amp;Upload!V146))))),"",G156*0.000035)</f>
        <v/>
      </c>
    </row>
    <row r="157" spans="1:19" x14ac:dyDescent="0.2">
      <c r="A157" s="9" t="e">
        <f t="shared" ca="1" si="12"/>
        <v>#NAME?</v>
      </c>
      <c r="B157" s="9">
        <f>Upload!E147</f>
        <v>0</v>
      </c>
      <c r="C157" s="9">
        <f>Upload!AE147</f>
        <v>0</v>
      </c>
      <c r="D157" s="9">
        <f>Upload!AF147</f>
        <v>0</v>
      </c>
      <c r="E157" s="9">
        <f>Upload!AG147</f>
        <v>0</v>
      </c>
      <c r="F157" s="9" t="str">
        <f>Upload!X147</f>
        <v/>
      </c>
      <c r="G157" s="9" t="str">
        <f>Upload!Z147</f>
        <v/>
      </c>
      <c r="H157" s="9" t="str">
        <f>Upload!W147</f>
        <v>(seleccione)</v>
      </c>
      <c r="I157" s="9" t="str">
        <f>Upload!Y147</f>
        <v>(seleccione)</v>
      </c>
      <c r="K157" s="15" t="str">
        <f t="shared" si="13"/>
        <v/>
      </c>
      <c r="L157" s="15" t="str">
        <f t="shared" si="14"/>
        <v/>
      </c>
      <c r="M157" s="15" t="str">
        <f t="shared" si="15"/>
        <v/>
      </c>
      <c r="N157" s="15" t="str">
        <f t="shared" si="16"/>
        <v/>
      </c>
      <c r="O157" s="15" t="str">
        <f t="shared" si="17"/>
        <v/>
      </c>
      <c r="P157" s="15" t="str">
        <f>IF(OR(C157="",NOT(OR(ISNUMBER(SEARCH("Antitarnish",Upload!P147&amp;Upload!Q147&amp;Upload!R147&amp;Upload!S147&amp;Upload!T147)),ISNUMBER(SEARCH("Anti Tarnish",Upload!P147&amp;Upload!Q147&amp;Upload!R147&amp;Upload!S147&amp;Upload!T147))))),"",0.0012*C157)</f>
        <v/>
      </c>
      <c r="Q157" s="15" t="str">
        <f>IF(OR(E157="",NOT(OR(ISNUMBER(SEARCH("Epóxico MT",Upload!P147&amp;Upload!Q147&amp;Upload!R147&amp;Upload!S147&amp;Upload!T147))))),"",E157*0.000035)</f>
        <v/>
      </c>
      <c r="R157" s="15" t="str">
        <f>IF(OR(F157="",NOT(OR(ISNUMBER(SEARCH("Epóxico BT",Upload!Q147&amp;Upload!R147&amp;Upload!S147&amp;Upload!T147&amp;Upload!U147))))),"",F157*0.000035)</f>
        <v/>
      </c>
      <c r="S157" s="15" t="str">
        <f>IF(OR(G157="",NOT(OR(ISNUMBER(SEARCH("Epóxico Rojo",Upload!R147&amp;Upload!S147&amp;Upload!T147&amp;Upload!U147&amp;Upload!V147))))),"",G157*0.000035)</f>
        <v/>
      </c>
    </row>
    <row r="158" spans="1:19" x14ac:dyDescent="0.2">
      <c r="A158" s="9" t="e">
        <f t="shared" ca="1" si="12"/>
        <v>#NAME?</v>
      </c>
      <c r="B158" s="9">
        <f>Upload!E148</f>
        <v>0</v>
      </c>
      <c r="C158" s="9">
        <f>Upload!AE148</f>
        <v>0</v>
      </c>
      <c r="D158" s="9">
        <f>Upload!AF148</f>
        <v>0</v>
      </c>
      <c r="E158" s="9">
        <f>Upload!AG148</f>
        <v>0</v>
      </c>
      <c r="F158" s="9" t="str">
        <f>Upload!X148</f>
        <v/>
      </c>
      <c r="G158" s="9" t="str">
        <f>Upload!Z148</f>
        <v/>
      </c>
      <c r="H158" s="9" t="str">
        <f>Upload!W148</f>
        <v>(seleccione)</v>
      </c>
      <c r="I158" s="9" t="str">
        <f>Upload!Y148</f>
        <v>(seleccione)</v>
      </c>
      <c r="K158" s="15" t="str">
        <f t="shared" si="13"/>
        <v/>
      </c>
      <c r="L158" s="15" t="str">
        <f t="shared" si="14"/>
        <v/>
      </c>
      <c r="M158" s="15" t="str">
        <f t="shared" si="15"/>
        <v/>
      </c>
      <c r="N158" s="15" t="str">
        <f t="shared" si="16"/>
        <v/>
      </c>
      <c r="O158" s="15" t="str">
        <f t="shared" si="17"/>
        <v/>
      </c>
      <c r="P158" s="15" t="str">
        <f>IF(OR(C158="",NOT(OR(ISNUMBER(SEARCH("Antitarnish",Upload!P148&amp;Upload!Q148&amp;Upload!R148&amp;Upload!S148&amp;Upload!T148)),ISNUMBER(SEARCH("Anti Tarnish",Upload!P148&amp;Upload!Q148&amp;Upload!R148&amp;Upload!S148&amp;Upload!T148))))),"",0.0012*C158)</f>
        <v/>
      </c>
      <c r="Q158" s="15" t="str">
        <f>IF(OR(E158="",NOT(OR(ISNUMBER(SEARCH("Epóxico MT",Upload!P148&amp;Upload!Q148&amp;Upload!R148&amp;Upload!S148&amp;Upload!T148))))),"",E158*0.000035)</f>
        <v/>
      </c>
      <c r="R158" s="15" t="str">
        <f>IF(OR(F158="",NOT(OR(ISNUMBER(SEARCH("Epóxico BT",Upload!Q148&amp;Upload!R148&amp;Upload!S148&amp;Upload!T148&amp;Upload!U148))))),"",F158*0.000035)</f>
        <v/>
      </c>
      <c r="S158" s="15" t="str">
        <f>IF(OR(G158="",NOT(OR(ISNUMBER(SEARCH("Epóxico Rojo",Upload!R148&amp;Upload!S148&amp;Upload!T148&amp;Upload!U148&amp;Upload!V148))))),"",G158*0.000035)</f>
        <v/>
      </c>
    </row>
    <row r="159" spans="1:19" x14ac:dyDescent="0.2">
      <c r="A159" s="9" t="e">
        <f t="shared" ca="1" si="12"/>
        <v>#NAME?</v>
      </c>
      <c r="B159" s="9">
        <f>Upload!E149</f>
        <v>0</v>
      </c>
      <c r="C159" s="9">
        <f>Upload!AE149</f>
        <v>0</v>
      </c>
      <c r="D159" s="9">
        <f>Upload!AF149</f>
        <v>0</v>
      </c>
      <c r="E159" s="9">
        <f>Upload!AG149</f>
        <v>0</v>
      </c>
      <c r="F159" s="9" t="str">
        <f>Upload!X149</f>
        <v/>
      </c>
      <c r="G159" s="9" t="str">
        <f>Upload!Z149</f>
        <v/>
      </c>
      <c r="H159" s="9" t="str">
        <f>Upload!W149</f>
        <v>(seleccione)</v>
      </c>
      <c r="I159" s="9" t="str">
        <f>Upload!Y149</f>
        <v>(seleccione)</v>
      </c>
      <c r="K159" s="15" t="str">
        <f t="shared" si="13"/>
        <v/>
      </c>
      <c r="L159" s="15" t="str">
        <f t="shared" si="14"/>
        <v/>
      </c>
      <c r="M159" s="15" t="str">
        <f t="shared" si="15"/>
        <v/>
      </c>
      <c r="N159" s="15" t="str">
        <f t="shared" si="16"/>
        <v/>
      </c>
      <c r="O159" s="15" t="str">
        <f t="shared" si="17"/>
        <v/>
      </c>
      <c r="P159" s="15" t="str">
        <f>IF(OR(C159="",NOT(OR(ISNUMBER(SEARCH("Antitarnish",Upload!P149&amp;Upload!Q149&amp;Upload!R149&amp;Upload!S149&amp;Upload!T149)),ISNUMBER(SEARCH("Anti Tarnish",Upload!P149&amp;Upload!Q149&amp;Upload!R149&amp;Upload!S149&amp;Upload!T149))))),"",0.0012*C159)</f>
        <v/>
      </c>
      <c r="Q159" s="15" t="str">
        <f>IF(OR(E159="",NOT(OR(ISNUMBER(SEARCH("Epóxico MT",Upload!P149&amp;Upload!Q149&amp;Upload!R149&amp;Upload!S149&amp;Upload!T149))))),"",E159*0.000035)</f>
        <v/>
      </c>
      <c r="R159" s="15" t="str">
        <f>IF(OR(F159="",NOT(OR(ISNUMBER(SEARCH("Epóxico BT",Upload!Q149&amp;Upload!R149&amp;Upload!S149&amp;Upload!T149&amp;Upload!U149))))),"",F159*0.000035)</f>
        <v/>
      </c>
      <c r="S159" s="15" t="str">
        <f>IF(OR(G159="",NOT(OR(ISNUMBER(SEARCH("Epóxico Rojo",Upload!R149&amp;Upload!S149&amp;Upload!T149&amp;Upload!U149&amp;Upload!V149))))),"",G159*0.000035)</f>
        <v/>
      </c>
    </row>
    <row r="160" spans="1:19" x14ac:dyDescent="0.2">
      <c r="A160" s="9" t="e">
        <f t="shared" ca="1" si="12"/>
        <v>#NAME?</v>
      </c>
      <c r="B160" s="9">
        <f>Upload!E150</f>
        <v>0</v>
      </c>
      <c r="C160" s="9">
        <f>Upload!AE150</f>
        <v>0</v>
      </c>
      <c r="D160" s="9">
        <f>Upload!AF150</f>
        <v>0</v>
      </c>
      <c r="E160" s="9">
        <f>Upload!AG150</f>
        <v>0</v>
      </c>
      <c r="F160" s="9" t="str">
        <f>Upload!X150</f>
        <v/>
      </c>
      <c r="G160" s="9" t="str">
        <f>Upload!Z150</f>
        <v/>
      </c>
      <c r="H160" s="9" t="str">
        <f>Upload!W150</f>
        <v>(seleccione)</v>
      </c>
      <c r="I160" s="9" t="str">
        <f>Upload!Y150</f>
        <v>(seleccione)</v>
      </c>
      <c r="K160" s="15" t="str">
        <f t="shared" si="13"/>
        <v/>
      </c>
      <c r="L160" s="15" t="str">
        <f t="shared" si="14"/>
        <v/>
      </c>
      <c r="M160" s="15" t="str">
        <f t="shared" si="15"/>
        <v/>
      </c>
      <c r="N160" s="15" t="str">
        <f t="shared" si="16"/>
        <v/>
      </c>
      <c r="O160" s="15" t="str">
        <f t="shared" si="17"/>
        <v/>
      </c>
      <c r="P160" s="15" t="str">
        <f>IF(OR(C160="",NOT(OR(ISNUMBER(SEARCH("Antitarnish",Upload!P150&amp;Upload!Q150&amp;Upload!R150&amp;Upload!S150&amp;Upload!T150)),ISNUMBER(SEARCH("Anti Tarnish",Upload!P150&amp;Upload!Q150&amp;Upload!R150&amp;Upload!S150&amp;Upload!T150))))),"",0.0012*C160)</f>
        <v/>
      </c>
      <c r="Q160" s="15" t="str">
        <f>IF(OR(E160="",NOT(OR(ISNUMBER(SEARCH("Epóxico MT",Upload!P150&amp;Upload!Q150&amp;Upload!R150&amp;Upload!S150&amp;Upload!T150))))),"",E160*0.000035)</f>
        <v/>
      </c>
      <c r="R160" s="15" t="str">
        <f>IF(OR(F160="",NOT(OR(ISNUMBER(SEARCH("Epóxico BT",Upload!Q150&amp;Upload!R150&amp;Upload!S150&amp;Upload!T150&amp;Upload!U150))))),"",F160*0.000035)</f>
        <v/>
      </c>
      <c r="S160" s="15" t="str">
        <f>IF(OR(G160="",NOT(OR(ISNUMBER(SEARCH("Epóxico Rojo",Upload!R150&amp;Upload!S150&amp;Upload!T150&amp;Upload!U150&amp;Upload!V150))))),"",G160*0.000035)</f>
        <v/>
      </c>
    </row>
    <row r="161" spans="1:19" x14ac:dyDescent="0.2">
      <c r="A161" s="9" t="e">
        <f t="shared" ca="1" si="12"/>
        <v>#NAME?</v>
      </c>
      <c r="B161" s="9">
        <f>Upload!E151</f>
        <v>0</v>
      </c>
      <c r="C161" s="9">
        <f>Upload!AE151</f>
        <v>0</v>
      </c>
      <c r="D161" s="9">
        <f>Upload!AF151</f>
        <v>0</v>
      </c>
      <c r="E161" s="9">
        <f>Upload!AG151</f>
        <v>0</v>
      </c>
      <c r="F161" s="9" t="str">
        <f>Upload!X151</f>
        <v/>
      </c>
      <c r="G161" s="9" t="str">
        <f>Upload!Z151</f>
        <v/>
      </c>
      <c r="H161" s="9" t="str">
        <f>Upload!W151</f>
        <v>(seleccione)</v>
      </c>
      <c r="I161" s="9" t="str">
        <f>Upload!Y151</f>
        <v>(seleccione)</v>
      </c>
      <c r="K161" s="15" t="str">
        <f t="shared" si="13"/>
        <v/>
      </c>
      <c r="L161" s="15" t="str">
        <f t="shared" si="14"/>
        <v/>
      </c>
      <c r="M161" s="15" t="str">
        <f t="shared" si="15"/>
        <v/>
      </c>
      <c r="N161" s="15" t="str">
        <f t="shared" si="16"/>
        <v/>
      </c>
      <c r="O161" s="15" t="str">
        <f t="shared" si="17"/>
        <v/>
      </c>
      <c r="P161" s="15" t="str">
        <f>IF(OR(C161="",NOT(OR(ISNUMBER(SEARCH("Antitarnish",Upload!P151&amp;Upload!Q151&amp;Upload!R151&amp;Upload!S151&amp;Upload!T151)),ISNUMBER(SEARCH("Anti Tarnish",Upload!P151&amp;Upload!Q151&amp;Upload!R151&amp;Upload!S151&amp;Upload!T151))))),"",0.0012*C161)</f>
        <v/>
      </c>
      <c r="Q161" s="15" t="str">
        <f>IF(OR(E161="",NOT(OR(ISNUMBER(SEARCH("Epóxico MT",Upload!P151&amp;Upload!Q151&amp;Upload!R151&amp;Upload!S151&amp;Upload!T151))))),"",E161*0.000035)</f>
        <v/>
      </c>
      <c r="R161" s="15" t="str">
        <f>IF(OR(F161="",NOT(OR(ISNUMBER(SEARCH("Epóxico BT",Upload!Q151&amp;Upload!R151&amp;Upload!S151&amp;Upload!T151&amp;Upload!U151))))),"",F161*0.000035)</f>
        <v/>
      </c>
      <c r="S161" s="15" t="str">
        <f>IF(OR(G161="",NOT(OR(ISNUMBER(SEARCH("Epóxico Rojo",Upload!R151&amp;Upload!S151&amp;Upload!T151&amp;Upload!U151&amp;Upload!V151))))),"",G161*0.000035)</f>
        <v/>
      </c>
    </row>
    <row r="162" spans="1:19" x14ac:dyDescent="0.2">
      <c r="A162" s="9" t="e">
        <f t="shared" ca="1" si="12"/>
        <v>#NAME?</v>
      </c>
      <c r="B162" s="9">
        <f>Upload!E152</f>
        <v>0</v>
      </c>
      <c r="C162" s="9">
        <f>Upload!AE152</f>
        <v>0</v>
      </c>
      <c r="D162" s="9">
        <f>Upload!AF152</f>
        <v>0</v>
      </c>
      <c r="E162" s="9">
        <f>Upload!AG152</f>
        <v>0</v>
      </c>
      <c r="F162" s="9" t="str">
        <f>Upload!X152</f>
        <v/>
      </c>
      <c r="G162" s="9" t="str">
        <f>Upload!Z152</f>
        <v/>
      </c>
      <c r="H162" s="9" t="str">
        <f>Upload!W152</f>
        <v>(seleccione)</v>
      </c>
      <c r="I162" s="9" t="str">
        <f>Upload!Y152</f>
        <v>(seleccione)</v>
      </c>
      <c r="K162" s="15" t="str">
        <f t="shared" si="13"/>
        <v/>
      </c>
      <c r="L162" s="15" t="str">
        <f t="shared" si="14"/>
        <v/>
      </c>
      <c r="M162" s="15" t="str">
        <f t="shared" si="15"/>
        <v/>
      </c>
      <c r="N162" s="15" t="str">
        <f t="shared" si="16"/>
        <v/>
      </c>
      <c r="O162" s="15" t="str">
        <f t="shared" si="17"/>
        <v/>
      </c>
      <c r="P162" s="15" t="str">
        <f>IF(OR(C162="",NOT(OR(ISNUMBER(SEARCH("Antitarnish",Upload!P152&amp;Upload!Q152&amp;Upload!R152&amp;Upload!S152&amp;Upload!T152)),ISNUMBER(SEARCH("Anti Tarnish",Upload!P152&amp;Upload!Q152&amp;Upload!R152&amp;Upload!S152&amp;Upload!T152))))),"",0.0012*C162)</f>
        <v/>
      </c>
      <c r="Q162" s="15" t="str">
        <f>IF(OR(E162="",NOT(OR(ISNUMBER(SEARCH("Epóxico MT",Upload!P152&amp;Upload!Q152&amp;Upload!R152&amp;Upload!S152&amp;Upload!T152))))),"",E162*0.000035)</f>
        <v/>
      </c>
      <c r="R162" s="15" t="str">
        <f>IF(OR(F162="",NOT(OR(ISNUMBER(SEARCH("Epóxico BT",Upload!Q152&amp;Upload!R152&amp;Upload!S152&amp;Upload!T152&amp;Upload!U152))))),"",F162*0.000035)</f>
        <v/>
      </c>
      <c r="S162" s="15" t="str">
        <f>IF(OR(G162="",NOT(OR(ISNUMBER(SEARCH("Epóxico Rojo",Upload!R152&amp;Upload!S152&amp;Upload!T152&amp;Upload!U152&amp;Upload!V152))))),"",G162*0.000035)</f>
        <v/>
      </c>
    </row>
    <row r="163" spans="1:19" x14ac:dyDescent="0.2">
      <c r="A163" s="9" t="e">
        <f t="shared" ca="1" si="12"/>
        <v>#NAME?</v>
      </c>
      <c r="B163" s="9">
        <f>Upload!E153</f>
        <v>0</v>
      </c>
      <c r="C163" s="9">
        <f>Upload!AE153</f>
        <v>0</v>
      </c>
      <c r="D163" s="9">
        <f>Upload!AF153</f>
        <v>0</v>
      </c>
      <c r="E163" s="9">
        <f>Upload!AG153</f>
        <v>0</v>
      </c>
      <c r="F163" s="9" t="str">
        <f>Upload!X153</f>
        <v/>
      </c>
      <c r="G163" s="9" t="str">
        <f>Upload!Z153</f>
        <v/>
      </c>
      <c r="H163" s="9" t="str">
        <f>Upload!W153</f>
        <v>(seleccione)</v>
      </c>
      <c r="I163" s="9" t="str">
        <f>Upload!Y153</f>
        <v>(seleccione)</v>
      </c>
      <c r="K163" s="15" t="str">
        <f t="shared" si="13"/>
        <v/>
      </c>
      <c r="L163" s="15" t="str">
        <f t="shared" si="14"/>
        <v/>
      </c>
      <c r="M163" s="15" t="str">
        <f t="shared" si="15"/>
        <v/>
      </c>
      <c r="N163" s="15" t="str">
        <f t="shared" si="16"/>
        <v/>
      </c>
      <c r="O163" s="15" t="str">
        <f t="shared" si="17"/>
        <v/>
      </c>
      <c r="P163" s="15" t="str">
        <f>IF(OR(C163="",NOT(OR(ISNUMBER(SEARCH("Antitarnish",Upload!P153&amp;Upload!Q153&amp;Upload!R153&amp;Upload!S153&amp;Upload!T153)),ISNUMBER(SEARCH("Anti Tarnish",Upload!P153&amp;Upload!Q153&amp;Upload!R153&amp;Upload!S153&amp;Upload!T153))))),"",0.0012*C163)</f>
        <v/>
      </c>
      <c r="Q163" s="15" t="str">
        <f>IF(OR(E163="",NOT(OR(ISNUMBER(SEARCH("Epóxico MT",Upload!P153&amp;Upload!Q153&amp;Upload!R153&amp;Upload!S153&amp;Upload!T153))))),"",E163*0.000035)</f>
        <v/>
      </c>
      <c r="R163" s="15" t="str">
        <f>IF(OR(F163="",NOT(OR(ISNUMBER(SEARCH("Epóxico BT",Upload!Q153&amp;Upload!R153&amp;Upload!S153&amp;Upload!T153&amp;Upload!U153))))),"",F163*0.000035)</f>
        <v/>
      </c>
      <c r="S163" s="15" t="str">
        <f>IF(OR(G163="",NOT(OR(ISNUMBER(SEARCH("Epóxico Rojo",Upload!R153&amp;Upload!S153&amp;Upload!T153&amp;Upload!U153&amp;Upload!V153))))),"",G163*0.000035)</f>
        <v/>
      </c>
    </row>
    <row r="164" spans="1:19" x14ac:dyDescent="0.2">
      <c r="A164" s="9" t="e">
        <f t="shared" ca="1" si="12"/>
        <v>#NAME?</v>
      </c>
      <c r="B164" s="9">
        <f>Upload!E154</f>
        <v>0</v>
      </c>
      <c r="C164" s="9">
        <f>Upload!AE154</f>
        <v>0</v>
      </c>
      <c r="D164" s="9">
        <f>Upload!AF154</f>
        <v>0</v>
      </c>
      <c r="E164" s="9">
        <f>Upload!AG154</f>
        <v>0</v>
      </c>
      <c r="F164" s="9" t="str">
        <f>Upload!X154</f>
        <v/>
      </c>
      <c r="G164" s="9" t="str">
        <f>Upload!Z154</f>
        <v/>
      </c>
      <c r="H164" s="9" t="str">
        <f>Upload!W154</f>
        <v>(seleccione)</v>
      </c>
      <c r="I164" s="9" t="str">
        <f>Upload!Y154</f>
        <v>(seleccione)</v>
      </c>
      <c r="K164" s="15" t="str">
        <f t="shared" si="13"/>
        <v/>
      </c>
      <c r="L164" s="15" t="str">
        <f t="shared" si="14"/>
        <v/>
      </c>
      <c r="M164" s="15" t="str">
        <f t="shared" si="15"/>
        <v/>
      </c>
      <c r="N164" s="15" t="str">
        <f t="shared" si="16"/>
        <v/>
      </c>
      <c r="O164" s="15" t="str">
        <f t="shared" si="17"/>
        <v/>
      </c>
      <c r="P164" s="15" t="str">
        <f>IF(OR(C164="",NOT(OR(ISNUMBER(SEARCH("Antitarnish",Upload!P154&amp;Upload!Q154&amp;Upload!R154&amp;Upload!S154&amp;Upload!T154)),ISNUMBER(SEARCH("Anti Tarnish",Upload!P154&amp;Upload!Q154&amp;Upload!R154&amp;Upload!S154&amp;Upload!T154))))),"",0.0012*C164)</f>
        <v/>
      </c>
      <c r="Q164" s="15" t="str">
        <f>IF(OR(E164="",NOT(OR(ISNUMBER(SEARCH("Epóxico MT",Upload!P154&amp;Upload!Q154&amp;Upload!R154&amp;Upload!S154&amp;Upload!T154))))),"",E164*0.000035)</f>
        <v/>
      </c>
      <c r="R164" s="15" t="str">
        <f>IF(OR(F164="",NOT(OR(ISNUMBER(SEARCH("Epóxico BT",Upload!Q154&amp;Upload!R154&amp;Upload!S154&amp;Upload!T154&amp;Upload!U154))))),"",F164*0.000035)</f>
        <v/>
      </c>
      <c r="S164" s="15" t="str">
        <f>IF(OR(G164="",NOT(OR(ISNUMBER(SEARCH("Epóxico Rojo",Upload!R154&amp;Upload!S154&amp;Upload!T154&amp;Upload!U154&amp;Upload!V154))))),"",G164*0.000035)</f>
        <v/>
      </c>
    </row>
    <row r="165" spans="1:19" x14ac:dyDescent="0.2">
      <c r="A165" s="9" t="e">
        <f t="shared" ca="1" si="12"/>
        <v>#NAME?</v>
      </c>
      <c r="B165" s="9">
        <f>Upload!E155</f>
        <v>0</v>
      </c>
      <c r="C165" s="9">
        <f>Upload!AE155</f>
        <v>0</v>
      </c>
      <c r="D165" s="9">
        <f>Upload!AF155</f>
        <v>0</v>
      </c>
      <c r="E165" s="9">
        <f>Upload!AG155</f>
        <v>0</v>
      </c>
      <c r="F165" s="9" t="str">
        <f>Upload!X155</f>
        <v/>
      </c>
      <c r="G165" s="9" t="str">
        <f>Upload!Z155</f>
        <v/>
      </c>
      <c r="H165" s="9" t="str">
        <f>Upload!W155</f>
        <v>(seleccione)</v>
      </c>
      <c r="I165" s="9" t="str">
        <f>Upload!Y155</f>
        <v>(seleccione)</v>
      </c>
      <c r="K165" s="15" t="str">
        <f t="shared" si="13"/>
        <v/>
      </c>
      <c r="L165" s="15" t="str">
        <f t="shared" si="14"/>
        <v/>
      </c>
      <c r="M165" s="15" t="str">
        <f t="shared" si="15"/>
        <v/>
      </c>
      <c r="N165" s="15" t="str">
        <f t="shared" si="16"/>
        <v/>
      </c>
      <c r="O165" s="15" t="str">
        <f t="shared" si="17"/>
        <v/>
      </c>
      <c r="P165" s="15" t="str">
        <f>IF(OR(C165="",NOT(OR(ISNUMBER(SEARCH("Antitarnish",Upload!P155&amp;Upload!Q155&amp;Upload!R155&amp;Upload!S155&amp;Upload!T155)),ISNUMBER(SEARCH("Anti Tarnish",Upload!P155&amp;Upload!Q155&amp;Upload!R155&amp;Upload!S155&amp;Upload!T155))))),"",0.0012*C165)</f>
        <v/>
      </c>
      <c r="Q165" s="15" t="str">
        <f>IF(OR(E165="",NOT(OR(ISNUMBER(SEARCH("Epóxico MT",Upload!P155&amp;Upload!Q155&amp;Upload!R155&amp;Upload!S155&amp;Upload!T155))))),"",E165*0.000035)</f>
        <v/>
      </c>
      <c r="R165" s="15" t="str">
        <f>IF(OR(F165="",NOT(OR(ISNUMBER(SEARCH("Epóxico BT",Upload!Q155&amp;Upload!R155&amp;Upload!S155&amp;Upload!T155&amp;Upload!U155))))),"",F165*0.000035)</f>
        <v/>
      </c>
      <c r="S165" s="15" t="str">
        <f>IF(OR(G165="",NOT(OR(ISNUMBER(SEARCH("Epóxico Rojo",Upload!R155&amp;Upload!S155&amp;Upload!T155&amp;Upload!U155&amp;Upload!V155))))),"",G165*0.000035)</f>
        <v/>
      </c>
    </row>
    <row r="166" spans="1:19" x14ac:dyDescent="0.2">
      <c r="A166" s="9" t="e">
        <f t="shared" ca="1" si="12"/>
        <v>#NAME?</v>
      </c>
      <c r="B166" s="9">
        <f>Upload!E156</f>
        <v>0</v>
      </c>
      <c r="C166" s="9">
        <f>Upload!AE156</f>
        <v>0</v>
      </c>
      <c r="D166" s="9">
        <f>Upload!AF156</f>
        <v>0</v>
      </c>
      <c r="E166" s="9">
        <f>Upload!AG156</f>
        <v>0</v>
      </c>
      <c r="F166" s="9" t="str">
        <f>Upload!X156</f>
        <v/>
      </c>
      <c r="G166" s="9" t="str">
        <f>Upload!Z156</f>
        <v/>
      </c>
      <c r="H166" s="9" t="str">
        <f>Upload!W156</f>
        <v>(seleccione)</v>
      </c>
      <c r="I166" s="9" t="str">
        <f>Upload!Y156</f>
        <v>(seleccione)</v>
      </c>
      <c r="K166" s="15" t="str">
        <f t="shared" si="13"/>
        <v/>
      </c>
      <c r="L166" s="15" t="str">
        <f t="shared" si="14"/>
        <v/>
      </c>
      <c r="M166" s="15" t="str">
        <f t="shared" si="15"/>
        <v/>
      </c>
      <c r="N166" s="15" t="str">
        <f t="shared" si="16"/>
        <v/>
      </c>
      <c r="O166" s="15" t="str">
        <f t="shared" si="17"/>
        <v/>
      </c>
      <c r="P166" s="15" t="str">
        <f>IF(OR(C166="",NOT(OR(ISNUMBER(SEARCH("Antitarnish",Upload!P156&amp;Upload!Q156&amp;Upload!R156&amp;Upload!S156&amp;Upload!T156)),ISNUMBER(SEARCH("Anti Tarnish",Upload!P156&amp;Upload!Q156&amp;Upload!R156&amp;Upload!S156&amp;Upload!T156))))),"",0.0012*C166)</f>
        <v/>
      </c>
      <c r="Q166" s="15" t="str">
        <f>IF(OR(E166="",NOT(OR(ISNUMBER(SEARCH("Epóxico MT",Upload!P156&amp;Upload!Q156&amp;Upload!R156&amp;Upload!S156&amp;Upload!T156))))),"",E166*0.000035)</f>
        <v/>
      </c>
      <c r="R166" s="15" t="str">
        <f>IF(OR(F166="",NOT(OR(ISNUMBER(SEARCH("Epóxico BT",Upload!Q156&amp;Upload!R156&amp;Upload!S156&amp;Upload!T156&amp;Upload!U156))))),"",F166*0.000035)</f>
        <v/>
      </c>
      <c r="S166" s="15" t="str">
        <f>IF(OR(G166="",NOT(OR(ISNUMBER(SEARCH("Epóxico Rojo",Upload!R156&amp;Upload!S156&amp;Upload!T156&amp;Upload!U156&amp;Upload!V156))))),"",G166*0.000035)</f>
        <v/>
      </c>
    </row>
    <row r="167" spans="1:19" x14ac:dyDescent="0.2">
      <c r="A167" s="9" t="e">
        <f t="shared" ca="1" si="12"/>
        <v>#NAME?</v>
      </c>
      <c r="B167" s="9">
        <f>Upload!E157</f>
        <v>0</v>
      </c>
      <c r="C167" s="9">
        <f>Upload!AE157</f>
        <v>0</v>
      </c>
      <c r="D167" s="9">
        <f>Upload!AF157</f>
        <v>0</v>
      </c>
      <c r="E167" s="9">
        <f>Upload!AG157</f>
        <v>0</v>
      </c>
      <c r="F167" s="9" t="str">
        <f>Upload!X157</f>
        <v/>
      </c>
      <c r="G167" s="9" t="str">
        <f>Upload!Z157</f>
        <v/>
      </c>
      <c r="H167" s="9" t="str">
        <f>Upload!W157</f>
        <v>(seleccione)</v>
      </c>
      <c r="I167" s="9" t="str">
        <f>Upload!Y157</f>
        <v>(seleccione)</v>
      </c>
      <c r="K167" s="15" t="str">
        <f t="shared" si="13"/>
        <v/>
      </c>
      <c r="L167" s="15" t="str">
        <f t="shared" si="14"/>
        <v/>
      </c>
      <c r="M167" s="15" t="str">
        <f t="shared" si="15"/>
        <v/>
      </c>
      <c r="N167" s="15" t="str">
        <f t="shared" si="16"/>
        <v/>
      </c>
      <c r="O167" s="15" t="str">
        <f t="shared" si="17"/>
        <v/>
      </c>
      <c r="P167" s="15" t="str">
        <f>IF(OR(C167="",NOT(OR(ISNUMBER(SEARCH("Antitarnish",Upload!P157&amp;Upload!Q157&amp;Upload!R157&amp;Upload!S157&amp;Upload!T157)),ISNUMBER(SEARCH("Anti Tarnish",Upload!P157&amp;Upload!Q157&amp;Upload!R157&amp;Upload!S157&amp;Upload!T157))))),"",0.0012*C167)</f>
        <v/>
      </c>
      <c r="Q167" s="15" t="str">
        <f>IF(OR(E167="",NOT(OR(ISNUMBER(SEARCH("Epóxico MT",Upload!P157&amp;Upload!Q157&amp;Upload!R157&amp;Upload!S157&amp;Upload!T157))))),"",E167*0.000035)</f>
        <v/>
      </c>
      <c r="R167" s="15" t="str">
        <f>IF(OR(F167="",NOT(OR(ISNUMBER(SEARCH("Epóxico BT",Upload!Q157&amp;Upload!R157&amp;Upload!S157&amp;Upload!T157&amp;Upload!U157))))),"",F167*0.000035)</f>
        <v/>
      </c>
      <c r="S167" s="15" t="str">
        <f>IF(OR(G167="",NOT(OR(ISNUMBER(SEARCH("Epóxico Rojo",Upload!R157&amp;Upload!S157&amp;Upload!T157&amp;Upload!U157&amp;Upload!V157))))),"",G167*0.000035)</f>
        <v/>
      </c>
    </row>
    <row r="168" spans="1:19" x14ac:dyDescent="0.2">
      <c r="A168" s="9" t="e">
        <f t="shared" ca="1" si="12"/>
        <v>#NAME?</v>
      </c>
      <c r="B168" s="9">
        <f>Upload!E158</f>
        <v>0</v>
      </c>
      <c r="C168" s="9">
        <f>Upload!AE158</f>
        <v>0</v>
      </c>
      <c r="D168" s="9">
        <f>Upload!AF158</f>
        <v>0</v>
      </c>
      <c r="E168" s="9">
        <f>Upload!AG158</f>
        <v>0</v>
      </c>
      <c r="F168" s="9" t="str">
        <f>Upload!X158</f>
        <v/>
      </c>
      <c r="G168" s="9" t="str">
        <f>Upload!Z158</f>
        <v/>
      </c>
      <c r="H168" s="9" t="str">
        <f>Upload!W158</f>
        <v>(seleccione)</v>
      </c>
      <c r="I168" s="9" t="str">
        <f>Upload!Y158</f>
        <v>(seleccione)</v>
      </c>
      <c r="K168" s="15" t="str">
        <f t="shared" si="13"/>
        <v/>
      </c>
      <c r="L168" s="15" t="str">
        <f t="shared" si="14"/>
        <v/>
      </c>
      <c r="M168" s="15" t="str">
        <f t="shared" si="15"/>
        <v/>
      </c>
      <c r="N168" s="15" t="str">
        <f t="shared" si="16"/>
        <v/>
      </c>
      <c r="O168" s="15" t="str">
        <f t="shared" si="17"/>
        <v/>
      </c>
      <c r="P168" s="15" t="str">
        <f>IF(OR(C168="",NOT(OR(ISNUMBER(SEARCH("Antitarnish",Upload!P158&amp;Upload!Q158&amp;Upload!R158&amp;Upload!S158&amp;Upload!T158)),ISNUMBER(SEARCH("Anti Tarnish",Upload!P158&amp;Upload!Q158&amp;Upload!R158&amp;Upload!S158&amp;Upload!T158))))),"",0.0012*C168)</f>
        <v/>
      </c>
      <c r="Q168" s="15" t="str">
        <f>IF(OR(E168="",NOT(OR(ISNUMBER(SEARCH("Epóxico MT",Upload!P158&amp;Upload!Q158&amp;Upload!R158&amp;Upload!S158&amp;Upload!T158))))),"",E168*0.000035)</f>
        <v/>
      </c>
      <c r="R168" s="15" t="str">
        <f>IF(OR(F168="",NOT(OR(ISNUMBER(SEARCH("Epóxico BT",Upload!Q158&amp;Upload!R158&amp;Upload!S158&amp;Upload!T158&amp;Upload!U158))))),"",F168*0.000035)</f>
        <v/>
      </c>
      <c r="S168" s="15" t="str">
        <f>IF(OR(G168="",NOT(OR(ISNUMBER(SEARCH("Epóxico Rojo",Upload!R158&amp;Upload!S158&amp;Upload!T158&amp;Upload!U158&amp;Upload!V158))))),"",G168*0.000035)</f>
        <v/>
      </c>
    </row>
    <row r="169" spans="1:19" x14ac:dyDescent="0.2">
      <c r="A169" s="9" t="e">
        <f t="shared" ca="1" si="12"/>
        <v>#NAME?</v>
      </c>
      <c r="B169" s="9">
        <f>Upload!E159</f>
        <v>0</v>
      </c>
      <c r="C169" s="9">
        <f>Upload!AE159</f>
        <v>0</v>
      </c>
      <c r="D169" s="9">
        <f>Upload!AF159</f>
        <v>0</v>
      </c>
      <c r="E169" s="9">
        <f>Upload!AG159</f>
        <v>0</v>
      </c>
      <c r="F169" s="9" t="str">
        <f>Upload!X159</f>
        <v/>
      </c>
      <c r="G169" s="9" t="str">
        <f>Upload!Z159</f>
        <v/>
      </c>
      <c r="H169" s="9" t="str">
        <f>Upload!W159</f>
        <v>(seleccione)</v>
      </c>
      <c r="I169" s="9" t="str">
        <f>Upload!Y159</f>
        <v>(seleccione)</v>
      </c>
      <c r="K169" s="15" t="str">
        <f t="shared" si="13"/>
        <v/>
      </c>
      <c r="L169" s="15" t="str">
        <f t="shared" si="14"/>
        <v/>
      </c>
      <c r="M169" s="15" t="str">
        <f t="shared" si="15"/>
        <v/>
      </c>
      <c r="N169" s="15" t="str">
        <f t="shared" si="16"/>
        <v/>
      </c>
      <c r="O169" s="15" t="str">
        <f t="shared" si="17"/>
        <v/>
      </c>
      <c r="P169" s="15" t="str">
        <f>IF(OR(C169="",NOT(OR(ISNUMBER(SEARCH("Antitarnish",Upload!P159&amp;Upload!Q159&amp;Upload!R159&amp;Upload!S159&amp;Upload!T159)),ISNUMBER(SEARCH("Anti Tarnish",Upload!P159&amp;Upload!Q159&amp;Upload!R159&amp;Upload!S159&amp;Upload!T159))))),"",0.0012*C169)</f>
        <v/>
      </c>
      <c r="Q169" s="15" t="str">
        <f>IF(OR(E169="",NOT(OR(ISNUMBER(SEARCH("Epóxico MT",Upload!P159&amp;Upload!Q159&amp;Upload!R159&amp;Upload!S159&amp;Upload!T159))))),"",E169*0.000035)</f>
        <v/>
      </c>
      <c r="R169" s="15" t="str">
        <f>IF(OR(F169="",NOT(OR(ISNUMBER(SEARCH("Epóxico BT",Upload!Q159&amp;Upload!R159&amp;Upload!S159&amp;Upload!T159&amp;Upload!U159))))),"",F169*0.000035)</f>
        <v/>
      </c>
      <c r="S169" s="15" t="str">
        <f>IF(OR(G169="",NOT(OR(ISNUMBER(SEARCH("Epóxico Rojo",Upload!R159&amp;Upload!S159&amp;Upload!T159&amp;Upload!U159&amp;Upload!V159))))),"",G169*0.000035)</f>
        <v/>
      </c>
    </row>
    <row r="170" spans="1:19" x14ac:dyDescent="0.2">
      <c r="A170" s="9" t="e">
        <f t="shared" ca="1" si="12"/>
        <v>#NAME?</v>
      </c>
      <c r="B170" s="9">
        <f>Upload!E160</f>
        <v>0</v>
      </c>
      <c r="C170" s="9">
        <f>Upload!AE160</f>
        <v>0</v>
      </c>
      <c r="D170" s="9">
        <f>Upload!AF160</f>
        <v>0</v>
      </c>
      <c r="E170" s="9">
        <f>Upload!AG160</f>
        <v>0</v>
      </c>
      <c r="F170" s="9" t="str">
        <f>Upload!X160</f>
        <v/>
      </c>
      <c r="G170" s="9" t="str">
        <f>Upload!Z160</f>
        <v/>
      </c>
      <c r="H170" s="9" t="str">
        <f>Upload!W160</f>
        <v>(seleccione)</v>
      </c>
      <c r="I170" s="9" t="str">
        <f>Upload!Y160</f>
        <v>(seleccione)</v>
      </c>
      <c r="K170" s="15" t="str">
        <f t="shared" si="13"/>
        <v/>
      </c>
      <c r="L170" s="15" t="str">
        <f t="shared" si="14"/>
        <v/>
      </c>
      <c r="M170" s="15" t="str">
        <f t="shared" si="15"/>
        <v/>
      </c>
      <c r="N170" s="15" t="str">
        <f t="shared" si="16"/>
        <v/>
      </c>
      <c r="O170" s="15" t="str">
        <f t="shared" si="17"/>
        <v/>
      </c>
      <c r="P170" s="15" t="str">
        <f>IF(OR(C170="",NOT(OR(ISNUMBER(SEARCH("Antitarnish",Upload!P160&amp;Upload!Q160&amp;Upload!R160&amp;Upload!S160&amp;Upload!T160)),ISNUMBER(SEARCH("Anti Tarnish",Upload!P160&amp;Upload!Q160&amp;Upload!R160&amp;Upload!S160&amp;Upload!T160))))),"",0.0012*C170)</f>
        <v/>
      </c>
      <c r="Q170" s="15" t="str">
        <f>IF(OR(E170="",NOT(OR(ISNUMBER(SEARCH("Epóxico MT",Upload!P160&amp;Upload!Q160&amp;Upload!R160&amp;Upload!S160&amp;Upload!T160))))),"",E170*0.000035)</f>
        <v/>
      </c>
      <c r="R170" s="15" t="str">
        <f>IF(OR(F170="",NOT(OR(ISNUMBER(SEARCH("Epóxico BT",Upload!Q160&amp;Upload!R160&amp;Upload!S160&amp;Upload!T160&amp;Upload!U160))))),"",F170*0.000035)</f>
        <v/>
      </c>
      <c r="S170" s="15" t="str">
        <f>IF(OR(G170="",NOT(OR(ISNUMBER(SEARCH("Epóxico Rojo",Upload!R160&amp;Upload!S160&amp;Upload!T160&amp;Upload!U160&amp;Upload!V160))))),"",G170*0.000035)</f>
        <v/>
      </c>
    </row>
    <row r="171" spans="1:19" x14ac:dyDescent="0.2">
      <c r="A171" s="9" t="e">
        <f t="shared" ca="1" si="12"/>
        <v>#NAME?</v>
      </c>
      <c r="B171" s="9">
        <f>Upload!E161</f>
        <v>0</v>
      </c>
      <c r="C171" s="9">
        <f>Upload!AE161</f>
        <v>0</v>
      </c>
      <c r="D171" s="9">
        <f>Upload!AF161</f>
        <v>0</v>
      </c>
      <c r="E171" s="9">
        <f>Upload!AG161</f>
        <v>0</v>
      </c>
      <c r="F171" s="9" t="str">
        <f>Upload!X161</f>
        <v/>
      </c>
      <c r="G171" s="9" t="str">
        <f>Upload!Z161</f>
        <v/>
      </c>
      <c r="H171" s="9" t="str">
        <f>Upload!W161</f>
        <v>(seleccione)</v>
      </c>
      <c r="I171" s="9" t="str">
        <f>Upload!Y161</f>
        <v>(seleccione)</v>
      </c>
      <c r="K171" s="15" t="str">
        <f t="shared" si="13"/>
        <v/>
      </c>
      <c r="L171" s="15" t="str">
        <f t="shared" si="14"/>
        <v/>
      </c>
      <c r="M171" s="15" t="str">
        <f t="shared" si="15"/>
        <v/>
      </c>
      <c r="N171" s="15" t="str">
        <f t="shared" si="16"/>
        <v/>
      </c>
      <c r="O171" s="15" t="str">
        <f t="shared" si="17"/>
        <v/>
      </c>
      <c r="P171" s="15" t="str">
        <f>IF(OR(C171="",NOT(OR(ISNUMBER(SEARCH("Antitarnish",Upload!P161&amp;Upload!Q161&amp;Upload!R161&amp;Upload!S161&amp;Upload!T161)),ISNUMBER(SEARCH("Anti Tarnish",Upload!P161&amp;Upload!Q161&amp;Upload!R161&amp;Upload!S161&amp;Upload!T161))))),"",0.0012*C171)</f>
        <v/>
      </c>
      <c r="Q171" s="15" t="str">
        <f>IF(OR(E171="",NOT(OR(ISNUMBER(SEARCH("Epóxico MT",Upload!P161&amp;Upload!Q161&amp;Upload!R161&amp;Upload!S161&amp;Upload!T161))))),"",E171*0.000035)</f>
        <v/>
      </c>
      <c r="R171" s="15" t="str">
        <f>IF(OR(F171="",NOT(OR(ISNUMBER(SEARCH("Epóxico BT",Upload!Q161&amp;Upload!R161&amp;Upload!S161&amp;Upload!T161&amp;Upload!U161))))),"",F171*0.000035)</f>
        <v/>
      </c>
      <c r="S171" s="15" t="str">
        <f>IF(OR(G171="",NOT(OR(ISNUMBER(SEARCH("Epóxico Rojo",Upload!R161&amp;Upload!S161&amp;Upload!T161&amp;Upload!U161&amp;Upload!V161))))),"",G171*0.000035)</f>
        <v/>
      </c>
    </row>
    <row r="172" spans="1:19" x14ac:dyDescent="0.2">
      <c r="A172" s="9" t="e">
        <f t="shared" ca="1" si="12"/>
        <v>#NAME?</v>
      </c>
      <c r="B172" s="9">
        <f>Upload!E162</f>
        <v>0</v>
      </c>
      <c r="C172" s="9">
        <f>Upload!AE162</f>
        <v>0</v>
      </c>
      <c r="D172" s="9">
        <f>Upload!AF162</f>
        <v>0</v>
      </c>
      <c r="E172" s="9">
        <f>Upload!AG162</f>
        <v>0</v>
      </c>
      <c r="F172" s="9" t="str">
        <f>Upload!X162</f>
        <v/>
      </c>
      <c r="G172" s="9" t="str">
        <f>Upload!Z162</f>
        <v/>
      </c>
      <c r="H172" s="9" t="str">
        <f>Upload!W162</f>
        <v>(seleccione)</v>
      </c>
      <c r="I172" s="9" t="str">
        <f>Upload!Y162</f>
        <v>(seleccione)</v>
      </c>
      <c r="K172" s="15" t="str">
        <f t="shared" si="13"/>
        <v/>
      </c>
      <c r="L172" s="15" t="str">
        <f t="shared" si="14"/>
        <v/>
      </c>
      <c r="M172" s="15" t="str">
        <f t="shared" si="15"/>
        <v/>
      </c>
      <c r="N172" s="15" t="str">
        <f t="shared" si="16"/>
        <v/>
      </c>
      <c r="O172" s="15" t="str">
        <f t="shared" si="17"/>
        <v/>
      </c>
      <c r="P172" s="15" t="str">
        <f>IF(OR(C172="",NOT(OR(ISNUMBER(SEARCH("Antitarnish",Upload!P162&amp;Upload!Q162&amp;Upload!R162&amp;Upload!S162&amp;Upload!T162)),ISNUMBER(SEARCH("Anti Tarnish",Upload!P162&amp;Upload!Q162&amp;Upload!R162&amp;Upload!S162&amp;Upload!T162))))),"",0.0012*C172)</f>
        <v/>
      </c>
      <c r="Q172" s="15" t="str">
        <f>IF(OR(E172="",NOT(OR(ISNUMBER(SEARCH("Epóxico MT",Upload!P162&amp;Upload!Q162&amp;Upload!R162&amp;Upload!S162&amp;Upload!T162))))),"",E172*0.000035)</f>
        <v/>
      </c>
      <c r="R172" s="15" t="str">
        <f>IF(OR(F172="",NOT(OR(ISNUMBER(SEARCH("Epóxico BT",Upload!Q162&amp;Upload!R162&amp;Upload!S162&amp;Upload!T162&amp;Upload!U162))))),"",F172*0.000035)</f>
        <v/>
      </c>
      <c r="S172" s="15" t="str">
        <f>IF(OR(G172="",NOT(OR(ISNUMBER(SEARCH("Epóxico Rojo",Upload!R162&amp;Upload!S162&amp;Upload!T162&amp;Upload!U162&amp;Upload!V162))))),"",G172*0.000035)</f>
        <v/>
      </c>
    </row>
    <row r="173" spans="1:19" x14ac:dyDescent="0.2">
      <c r="A173" s="9" t="e">
        <f t="shared" ca="1" si="12"/>
        <v>#NAME?</v>
      </c>
      <c r="B173" s="9">
        <f>Upload!E163</f>
        <v>0</v>
      </c>
      <c r="C173" s="9">
        <f>Upload!AE163</f>
        <v>0</v>
      </c>
      <c r="D173" s="9">
        <f>Upload!AF163</f>
        <v>0</v>
      </c>
      <c r="E173" s="9">
        <f>Upload!AG163</f>
        <v>0</v>
      </c>
      <c r="F173" s="9" t="str">
        <f>Upload!X163</f>
        <v/>
      </c>
      <c r="G173" s="9" t="str">
        <f>Upload!Z163</f>
        <v/>
      </c>
      <c r="H173" s="9" t="str">
        <f>Upload!W163</f>
        <v>(seleccione)</v>
      </c>
      <c r="I173" s="9" t="str">
        <f>Upload!Y163</f>
        <v>(seleccione)</v>
      </c>
      <c r="K173" s="15" t="str">
        <f t="shared" si="13"/>
        <v/>
      </c>
      <c r="L173" s="15" t="str">
        <f t="shared" si="14"/>
        <v/>
      </c>
      <c r="M173" s="15" t="str">
        <f t="shared" si="15"/>
        <v/>
      </c>
      <c r="N173" s="15" t="str">
        <f t="shared" si="16"/>
        <v/>
      </c>
      <c r="O173" s="15" t="str">
        <f t="shared" si="17"/>
        <v/>
      </c>
      <c r="P173" s="15" t="str">
        <f>IF(OR(C173="",NOT(OR(ISNUMBER(SEARCH("Antitarnish",Upload!P163&amp;Upload!Q163&amp;Upload!R163&amp;Upload!S163&amp;Upload!T163)),ISNUMBER(SEARCH("Anti Tarnish",Upload!P163&amp;Upload!Q163&amp;Upload!R163&amp;Upload!S163&amp;Upload!T163))))),"",0.0012*C173)</f>
        <v/>
      </c>
      <c r="Q173" s="15" t="str">
        <f>IF(OR(E173="",NOT(OR(ISNUMBER(SEARCH("Epóxico MT",Upload!P163&amp;Upload!Q163&amp;Upload!R163&amp;Upload!S163&amp;Upload!T163))))),"",E173*0.000035)</f>
        <v/>
      </c>
      <c r="R173" s="15" t="str">
        <f>IF(OR(F173="",NOT(OR(ISNUMBER(SEARCH("Epóxico BT",Upload!Q163&amp;Upload!R163&amp;Upload!S163&amp;Upload!T163&amp;Upload!U163))))),"",F173*0.000035)</f>
        <v/>
      </c>
      <c r="S173" s="15" t="str">
        <f>IF(OR(G173="",NOT(OR(ISNUMBER(SEARCH("Epóxico Rojo",Upload!R163&amp;Upload!S163&amp;Upload!T163&amp;Upload!U163&amp;Upload!V163))))),"",G173*0.000035)</f>
        <v/>
      </c>
    </row>
    <row r="174" spans="1:19" x14ac:dyDescent="0.2">
      <c r="A174" s="9" t="e">
        <f t="shared" ca="1" si="12"/>
        <v>#NAME?</v>
      </c>
      <c r="B174" s="9">
        <f>Upload!E164</f>
        <v>0</v>
      </c>
      <c r="C174" s="9">
        <f>Upload!AE164</f>
        <v>0</v>
      </c>
      <c r="D174" s="9">
        <f>Upload!AF164</f>
        <v>0</v>
      </c>
      <c r="E174" s="9">
        <f>Upload!AG164</f>
        <v>0</v>
      </c>
      <c r="F174" s="9" t="str">
        <f>Upload!X164</f>
        <v/>
      </c>
      <c r="G174" s="9" t="str">
        <f>Upload!Z164</f>
        <v/>
      </c>
      <c r="H174" s="9" t="str">
        <f>Upload!W164</f>
        <v>(seleccione)</v>
      </c>
      <c r="I174" s="9" t="str">
        <f>Upload!Y164</f>
        <v>(seleccione)</v>
      </c>
      <c r="K174" s="15" t="str">
        <f t="shared" si="13"/>
        <v/>
      </c>
      <c r="L174" s="15" t="str">
        <f t="shared" si="14"/>
        <v/>
      </c>
      <c r="M174" s="15" t="str">
        <f t="shared" si="15"/>
        <v/>
      </c>
      <c r="N174" s="15" t="str">
        <f t="shared" si="16"/>
        <v/>
      </c>
      <c r="O174" s="15" t="str">
        <f t="shared" si="17"/>
        <v/>
      </c>
      <c r="P174" s="15" t="str">
        <f>IF(OR(C174="",NOT(OR(ISNUMBER(SEARCH("Antitarnish",Upload!P164&amp;Upload!Q164&amp;Upload!R164&amp;Upload!S164&amp;Upload!T164)),ISNUMBER(SEARCH("Anti Tarnish",Upload!P164&amp;Upload!Q164&amp;Upload!R164&amp;Upload!S164&amp;Upload!T164))))),"",0.0012*C174)</f>
        <v/>
      </c>
      <c r="Q174" s="15" t="str">
        <f>IF(OR(E174="",NOT(OR(ISNUMBER(SEARCH("Epóxico MT",Upload!P164&amp;Upload!Q164&amp;Upload!R164&amp;Upload!S164&amp;Upload!T164))))),"",E174*0.000035)</f>
        <v/>
      </c>
      <c r="R174" s="15" t="str">
        <f>IF(OR(F174="",NOT(OR(ISNUMBER(SEARCH("Epóxico BT",Upload!Q164&amp;Upload!R164&amp;Upload!S164&amp;Upload!T164&amp;Upload!U164))))),"",F174*0.000035)</f>
        <v/>
      </c>
      <c r="S174" s="15" t="str">
        <f>IF(OR(G174="",NOT(OR(ISNUMBER(SEARCH("Epóxico Rojo",Upload!R164&amp;Upload!S164&amp;Upload!T164&amp;Upload!U164&amp;Upload!V164))))),"",G174*0.000035)</f>
        <v/>
      </c>
    </row>
    <row r="175" spans="1:19" x14ac:dyDescent="0.2">
      <c r="A175" s="9" t="e">
        <f t="shared" ca="1" si="12"/>
        <v>#NAME?</v>
      </c>
      <c r="B175" s="9">
        <f>Upload!E165</f>
        <v>0</v>
      </c>
      <c r="C175" s="9">
        <f>Upload!AE165</f>
        <v>0</v>
      </c>
      <c r="D175" s="9">
        <f>Upload!AF165</f>
        <v>0</v>
      </c>
      <c r="E175" s="9">
        <f>Upload!AG165</f>
        <v>0</v>
      </c>
      <c r="F175" s="9" t="str">
        <f>Upload!X165</f>
        <v/>
      </c>
      <c r="G175" s="9" t="str">
        <f>Upload!Z165</f>
        <v/>
      </c>
      <c r="H175" s="9" t="str">
        <f>Upload!W165</f>
        <v>(seleccione)</v>
      </c>
      <c r="I175" s="9" t="str">
        <f>Upload!Y165</f>
        <v>(seleccione)</v>
      </c>
      <c r="K175" s="15" t="str">
        <f t="shared" si="13"/>
        <v/>
      </c>
      <c r="L175" s="15" t="str">
        <f t="shared" si="14"/>
        <v/>
      </c>
      <c r="M175" s="15" t="str">
        <f t="shared" si="15"/>
        <v/>
      </c>
      <c r="N175" s="15" t="str">
        <f t="shared" si="16"/>
        <v/>
      </c>
      <c r="O175" s="15" t="str">
        <f t="shared" si="17"/>
        <v/>
      </c>
      <c r="P175" s="15" t="str">
        <f>IF(OR(C175="",NOT(OR(ISNUMBER(SEARCH("Antitarnish",Upload!P165&amp;Upload!Q165&amp;Upload!R165&amp;Upload!S165&amp;Upload!T165)),ISNUMBER(SEARCH("Anti Tarnish",Upload!P165&amp;Upload!Q165&amp;Upload!R165&amp;Upload!S165&amp;Upload!T165))))),"",0.0012*C175)</f>
        <v/>
      </c>
      <c r="Q175" s="15" t="str">
        <f>IF(OR(E175="",NOT(OR(ISNUMBER(SEARCH("Epóxico MT",Upload!P165&amp;Upload!Q165&amp;Upload!R165&amp;Upload!S165&amp;Upload!T165))))),"",E175*0.000035)</f>
        <v/>
      </c>
      <c r="R175" s="15" t="str">
        <f>IF(OR(F175="",NOT(OR(ISNUMBER(SEARCH("Epóxico BT",Upload!Q165&amp;Upload!R165&amp;Upload!S165&amp;Upload!T165&amp;Upload!U165))))),"",F175*0.000035)</f>
        <v/>
      </c>
      <c r="S175" s="15" t="str">
        <f>IF(OR(G175="",NOT(OR(ISNUMBER(SEARCH("Epóxico Rojo",Upload!R165&amp;Upload!S165&amp;Upload!T165&amp;Upload!U165&amp;Upload!V165))))),"",G175*0.000035)</f>
        <v/>
      </c>
    </row>
    <row r="176" spans="1:19" x14ac:dyDescent="0.2">
      <c r="A176" s="9" t="e">
        <f t="shared" ca="1" si="12"/>
        <v>#NAME?</v>
      </c>
      <c r="B176" s="9">
        <f>Upload!E166</f>
        <v>0</v>
      </c>
      <c r="C176" s="9">
        <f>Upload!AE166</f>
        <v>0</v>
      </c>
      <c r="D176" s="9">
        <f>Upload!AF166</f>
        <v>0</v>
      </c>
      <c r="E176" s="9">
        <f>Upload!AG166</f>
        <v>0</v>
      </c>
      <c r="F176" s="9" t="str">
        <f>Upload!X166</f>
        <v/>
      </c>
      <c r="G176" s="9" t="str">
        <f>Upload!Z166</f>
        <v/>
      </c>
      <c r="H176" s="9" t="str">
        <f>Upload!W166</f>
        <v>(seleccione)</v>
      </c>
      <c r="I176" s="9" t="str">
        <f>Upload!Y166</f>
        <v>(seleccione)</v>
      </c>
      <c r="K176" s="15" t="str">
        <f t="shared" si="13"/>
        <v/>
      </c>
      <c r="L176" s="15" t="str">
        <f t="shared" si="14"/>
        <v/>
      </c>
      <c r="M176" s="15" t="str">
        <f t="shared" si="15"/>
        <v/>
      </c>
      <c r="N176" s="15" t="str">
        <f t="shared" si="16"/>
        <v/>
      </c>
      <c r="O176" s="15" t="str">
        <f t="shared" si="17"/>
        <v/>
      </c>
      <c r="P176" s="15" t="str">
        <f>IF(OR(C176="",NOT(OR(ISNUMBER(SEARCH("Antitarnish",Upload!P166&amp;Upload!Q166&amp;Upload!R166&amp;Upload!S166&amp;Upload!T166)),ISNUMBER(SEARCH("Anti Tarnish",Upload!P166&amp;Upload!Q166&amp;Upload!R166&amp;Upload!S166&amp;Upload!T166))))),"",0.0012*C176)</f>
        <v/>
      </c>
      <c r="Q176" s="15" t="str">
        <f>IF(OR(E176="",NOT(OR(ISNUMBER(SEARCH("Epóxico MT",Upload!P166&amp;Upload!Q166&amp;Upload!R166&amp;Upload!S166&amp;Upload!T166))))),"",E176*0.000035)</f>
        <v/>
      </c>
      <c r="R176" s="15" t="str">
        <f>IF(OR(F176="",NOT(OR(ISNUMBER(SEARCH("Epóxico BT",Upload!Q166&amp;Upload!R166&amp;Upload!S166&amp;Upload!T166&amp;Upload!U166))))),"",F176*0.000035)</f>
        <v/>
      </c>
      <c r="S176" s="15" t="str">
        <f>IF(OR(G176="",NOT(OR(ISNUMBER(SEARCH("Epóxico Rojo",Upload!R166&amp;Upload!S166&amp;Upload!T166&amp;Upload!U166&amp;Upload!V166))))),"",G176*0.000035)</f>
        <v/>
      </c>
    </row>
    <row r="177" spans="1:19" x14ac:dyDescent="0.2">
      <c r="A177" s="9" t="e">
        <f t="shared" ca="1" si="12"/>
        <v>#NAME?</v>
      </c>
      <c r="B177" s="9">
        <f>Upload!E167</f>
        <v>0</v>
      </c>
      <c r="C177" s="9">
        <f>Upload!AE167</f>
        <v>0</v>
      </c>
      <c r="D177" s="9">
        <f>Upload!AF167</f>
        <v>0</v>
      </c>
      <c r="E177" s="9">
        <f>Upload!AG167</f>
        <v>0</v>
      </c>
      <c r="F177" s="9" t="str">
        <f>Upload!X167</f>
        <v/>
      </c>
      <c r="G177" s="9" t="str">
        <f>Upload!Z167</f>
        <v/>
      </c>
      <c r="H177" s="9" t="str">
        <f>Upload!W167</f>
        <v>(seleccione)</v>
      </c>
      <c r="I177" s="9" t="str">
        <f>Upload!Y167</f>
        <v>(seleccione)</v>
      </c>
      <c r="K177" s="15" t="str">
        <f t="shared" si="13"/>
        <v/>
      </c>
      <c r="L177" s="15" t="str">
        <f t="shared" si="14"/>
        <v/>
      </c>
      <c r="M177" s="15" t="str">
        <f t="shared" si="15"/>
        <v/>
      </c>
      <c r="N177" s="15" t="str">
        <f t="shared" si="16"/>
        <v/>
      </c>
      <c r="O177" s="15" t="str">
        <f t="shared" si="17"/>
        <v/>
      </c>
      <c r="P177" s="15" t="str">
        <f>IF(OR(C177="",NOT(OR(ISNUMBER(SEARCH("Antitarnish",Upload!P167&amp;Upload!Q167&amp;Upload!R167&amp;Upload!S167&amp;Upload!T167)),ISNUMBER(SEARCH("Anti Tarnish",Upload!P167&amp;Upload!Q167&amp;Upload!R167&amp;Upload!S167&amp;Upload!T167))))),"",0.0012*C177)</f>
        <v/>
      </c>
      <c r="Q177" s="15" t="str">
        <f>IF(OR(E177="",NOT(OR(ISNUMBER(SEARCH("Epóxico MT",Upload!P167&amp;Upload!Q167&amp;Upload!R167&amp;Upload!S167&amp;Upload!T167))))),"",E177*0.000035)</f>
        <v/>
      </c>
      <c r="R177" s="15" t="str">
        <f>IF(OR(F177="",NOT(OR(ISNUMBER(SEARCH("Epóxico BT",Upload!Q167&amp;Upload!R167&amp;Upload!S167&amp;Upload!T167&amp;Upload!U167))))),"",F177*0.000035)</f>
        <v/>
      </c>
      <c r="S177" s="15" t="str">
        <f>IF(OR(G177="",NOT(OR(ISNUMBER(SEARCH("Epóxico Rojo",Upload!R167&amp;Upload!S167&amp;Upload!T167&amp;Upload!U167&amp;Upload!V167))))),"",G177*0.000035)</f>
        <v/>
      </c>
    </row>
    <row r="178" spans="1:19" x14ac:dyDescent="0.2">
      <c r="A178" s="9" t="e">
        <f t="shared" ca="1" si="12"/>
        <v>#NAME?</v>
      </c>
      <c r="B178" s="9">
        <f>Upload!E168</f>
        <v>0</v>
      </c>
      <c r="C178" s="9">
        <f>Upload!AE168</f>
        <v>0</v>
      </c>
      <c r="D178" s="9">
        <f>Upload!AF168</f>
        <v>0</v>
      </c>
      <c r="E178" s="9">
        <f>Upload!AG168</f>
        <v>0</v>
      </c>
      <c r="F178" s="9" t="str">
        <f>Upload!X168</f>
        <v/>
      </c>
      <c r="G178" s="9" t="str">
        <f>Upload!Z168</f>
        <v/>
      </c>
      <c r="H178" s="9" t="str">
        <f>Upload!W168</f>
        <v>(seleccione)</v>
      </c>
      <c r="I178" s="9" t="str">
        <f>Upload!Y168</f>
        <v>(seleccione)</v>
      </c>
      <c r="K178" s="15" t="str">
        <f t="shared" si="13"/>
        <v/>
      </c>
      <c r="L178" s="15" t="str">
        <f t="shared" si="14"/>
        <v/>
      </c>
      <c r="M178" s="15" t="str">
        <f t="shared" si="15"/>
        <v/>
      </c>
      <c r="N178" s="15" t="str">
        <f t="shared" si="16"/>
        <v/>
      </c>
      <c r="O178" s="15" t="str">
        <f t="shared" si="17"/>
        <v/>
      </c>
      <c r="P178" s="15" t="str">
        <f>IF(OR(C178="",NOT(OR(ISNUMBER(SEARCH("Antitarnish",Upload!P168&amp;Upload!Q168&amp;Upload!R168&amp;Upload!S168&amp;Upload!T168)),ISNUMBER(SEARCH("Anti Tarnish",Upload!P168&amp;Upload!Q168&amp;Upload!R168&amp;Upload!S168&amp;Upload!T168))))),"",0.0012*C178)</f>
        <v/>
      </c>
      <c r="Q178" s="15" t="str">
        <f>IF(OR(E178="",NOT(OR(ISNUMBER(SEARCH("Epóxico MT",Upload!P168&amp;Upload!Q168&amp;Upload!R168&amp;Upload!S168&amp;Upload!T168))))),"",E178*0.000035)</f>
        <v/>
      </c>
      <c r="R178" s="15" t="str">
        <f>IF(OR(F178="",NOT(OR(ISNUMBER(SEARCH("Epóxico BT",Upload!Q168&amp;Upload!R168&amp;Upload!S168&amp;Upload!T168&amp;Upload!U168))))),"",F178*0.000035)</f>
        <v/>
      </c>
      <c r="S178" s="15" t="str">
        <f>IF(OR(G178="",NOT(OR(ISNUMBER(SEARCH("Epóxico Rojo",Upload!R168&amp;Upload!S168&amp;Upload!T168&amp;Upload!U168&amp;Upload!V168))))),"",G178*0.000035)</f>
        <v/>
      </c>
    </row>
    <row r="179" spans="1:19" x14ac:dyDescent="0.2">
      <c r="A179" s="9" t="e">
        <f t="shared" ca="1" si="12"/>
        <v>#NAME?</v>
      </c>
      <c r="B179" s="9">
        <f>Upload!E169</f>
        <v>0</v>
      </c>
      <c r="C179" s="9">
        <f>Upload!AE169</f>
        <v>0</v>
      </c>
      <c r="D179" s="9">
        <f>Upload!AF169</f>
        <v>0</v>
      </c>
      <c r="E179" s="9">
        <f>Upload!AG169</f>
        <v>0</v>
      </c>
      <c r="F179" s="9" t="str">
        <f>Upload!X169</f>
        <v/>
      </c>
      <c r="G179" s="9" t="str">
        <f>Upload!Z169</f>
        <v/>
      </c>
      <c r="H179" s="9" t="str">
        <f>Upload!W169</f>
        <v>(seleccione)</v>
      </c>
      <c r="I179" s="9" t="str">
        <f>Upload!Y169</f>
        <v>(seleccione)</v>
      </c>
      <c r="K179" s="15" t="str">
        <f t="shared" si="13"/>
        <v/>
      </c>
      <c r="L179" s="15" t="str">
        <f t="shared" si="14"/>
        <v/>
      </c>
      <c r="M179" s="15" t="str">
        <f t="shared" si="15"/>
        <v/>
      </c>
      <c r="N179" s="15" t="str">
        <f t="shared" si="16"/>
        <v/>
      </c>
      <c r="O179" s="15" t="str">
        <f t="shared" si="17"/>
        <v/>
      </c>
      <c r="P179" s="15" t="str">
        <f>IF(OR(C179="",NOT(OR(ISNUMBER(SEARCH("Antitarnish",Upload!P169&amp;Upload!Q169&amp;Upload!R169&amp;Upload!S169&amp;Upload!T169)),ISNUMBER(SEARCH("Anti Tarnish",Upload!P169&amp;Upload!Q169&amp;Upload!R169&amp;Upload!S169&amp;Upload!T169))))),"",0.0012*C179)</f>
        <v/>
      </c>
      <c r="Q179" s="15" t="str">
        <f>IF(OR(E179="",NOT(OR(ISNUMBER(SEARCH("Epóxico MT",Upload!P169&amp;Upload!Q169&amp;Upload!R169&amp;Upload!S169&amp;Upload!T169))))),"",E179*0.000035)</f>
        <v/>
      </c>
      <c r="R179" s="15" t="str">
        <f>IF(OR(F179="",NOT(OR(ISNUMBER(SEARCH("Epóxico BT",Upload!Q169&amp;Upload!R169&amp;Upload!S169&amp;Upload!T169&amp;Upload!U169))))),"",F179*0.000035)</f>
        <v/>
      </c>
      <c r="S179" s="15" t="str">
        <f>IF(OR(G179="",NOT(OR(ISNUMBER(SEARCH("Epóxico Rojo",Upload!R169&amp;Upload!S169&amp;Upload!T169&amp;Upload!U169&amp;Upload!V169))))),"",G179*0.000035)</f>
        <v/>
      </c>
    </row>
    <row r="180" spans="1:19" x14ac:dyDescent="0.2">
      <c r="A180" s="9" t="e">
        <f t="shared" ca="1" si="12"/>
        <v>#NAME?</v>
      </c>
      <c r="B180" s="9">
        <f>Upload!E170</f>
        <v>0</v>
      </c>
      <c r="C180" s="9">
        <f>Upload!AE170</f>
        <v>0</v>
      </c>
      <c r="D180" s="9">
        <f>Upload!AF170</f>
        <v>0</v>
      </c>
      <c r="E180" s="9">
        <f>Upload!AG170</f>
        <v>0</v>
      </c>
      <c r="F180" s="9" t="str">
        <f>Upload!X170</f>
        <v/>
      </c>
      <c r="G180" s="9" t="str">
        <f>Upload!Z170</f>
        <v/>
      </c>
      <c r="H180" s="9" t="str">
        <f>Upload!W170</f>
        <v>(seleccione)</v>
      </c>
      <c r="I180" s="9" t="str">
        <f>Upload!Y170</f>
        <v>(seleccione)</v>
      </c>
      <c r="K180" s="15" t="str">
        <f t="shared" si="13"/>
        <v/>
      </c>
      <c r="L180" s="15" t="str">
        <f t="shared" si="14"/>
        <v/>
      </c>
      <c r="M180" s="15" t="str">
        <f t="shared" si="15"/>
        <v/>
      </c>
      <c r="N180" s="15" t="str">
        <f t="shared" si="16"/>
        <v/>
      </c>
      <c r="O180" s="15" t="str">
        <f t="shared" si="17"/>
        <v/>
      </c>
      <c r="P180" s="15" t="str">
        <f>IF(OR(C180="",NOT(OR(ISNUMBER(SEARCH("Antitarnish",Upload!P170&amp;Upload!Q170&amp;Upload!R170&amp;Upload!S170&amp;Upload!T170)),ISNUMBER(SEARCH("Anti Tarnish",Upload!P170&amp;Upload!Q170&amp;Upload!R170&amp;Upload!S170&amp;Upload!T170))))),"",0.0012*C180)</f>
        <v/>
      </c>
      <c r="Q180" s="15" t="str">
        <f>IF(OR(E180="",NOT(OR(ISNUMBER(SEARCH("Epóxico MT",Upload!P170&amp;Upload!Q170&amp;Upload!R170&amp;Upload!S170&amp;Upload!T170))))),"",E180*0.000035)</f>
        <v/>
      </c>
      <c r="R180" s="15" t="str">
        <f>IF(OR(F180="",NOT(OR(ISNUMBER(SEARCH("Epóxico BT",Upload!Q170&amp;Upload!R170&amp;Upload!S170&amp;Upload!T170&amp;Upload!U170))))),"",F180*0.000035)</f>
        <v/>
      </c>
      <c r="S180" s="15" t="str">
        <f>IF(OR(G180="",NOT(OR(ISNUMBER(SEARCH("Epóxico Rojo",Upload!R170&amp;Upload!S170&amp;Upload!T170&amp;Upload!U170&amp;Upload!V170))))),"",G180*0.000035)</f>
        <v/>
      </c>
    </row>
    <row r="181" spans="1:19" x14ac:dyDescent="0.2">
      <c r="A181" s="9" t="e">
        <f t="shared" ca="1" si="12"/>
        <v>#NAME?</v>
      </c>
      <c r="B181" s="9">
        <f>Upload!E171</f>
        <v>0</v>
      </c>
      <c r="C181" s="9">
        <f>Upload!AE171</f>
        <v>0</v>
      </c>
      <c r="D181" s="9">
        <f>Upload!AF171</f>
        <v>0</v>
      </c>
      <c r="E181" s="9">
        <f>Upload!AG171</f>
        <v>0</v>
      </c>
      <c r="F181" s="9" t="str">
        <f>Upload!X171</f>
        <v/>
      </c>
      <c r="G181" s="9" t="str">
        <f>Upload!Z171</f>
        <v/>
      </c>
      <c r="H181" s="9" t="str">
        <f>Upload!W171</f>
        <v>(seleccione)</v>
      </c>
      <c r="I181" s="9" t="str">
        <f>Upload!Y171</f>
        <v>(seleccione)</v>
      </c>
      <c r="K181" s="15" t="str">
        <f t="shared" si="13"/>
        <v/>
      </c>
      <c r="L181" s="15" t="str">
        <f t="shared" si="14"/>
        <v/>
      </c>
      <c r="M181" s="15" t="str">
        <f t="shared" si="15"/>
        <v/>
      </c>
      <c r="N181" s="15" t="str">
        <f t="shared" si="16"/>
        <v/>
      </c>
      <c r="O181" s="15" t="str">
        <f t="shared" si="17"/>
        <v/>
      </c>
      <c r="P181" s="15" t="str">
        <f>IF(OR(C181="",NOT(OR(ISNUMBER(SEARCH("Antitarnish",Upload!P171&amp;Upload!Q171&amp;Upload!R171&amp;Upload!S171&amp;Upload!T171)),ISNUMBER(SEARCH("Anti Tarnish",Upload!P171&amp;Upload!Q171&amp;Upload!R171&amp;Upload!S171&amp;Upload!T171))))),"",0.0012*C181)</f>
        <v/>
      </c>
      <c r="Q181" s="15" t="str">
        <f>IF(OR(E181="",NOT(OR(ISNUMBER(SEARCH("Epóxico MT",Upload!P171&amp;Upload!Q171&amp;Upload!R171&amp;Upload!S171&amp;Upload!T171))))),"",E181*0.000035)</f>
        <v/>
      </c>
      <c r="R181" s="15" t="str">
        <f>IF(OR(F181="",NOT(OR(ISNUMBER(SEARCH("Epóxico BT",Upload!Q171&amp;Upload!R171&amp;Upload!S171&amp;Upload!T171&amp;Upload!U171))))),"",F181*0.000035)</f>
        <v/>
      </c>
      <c r="S181" s="15" t="str">
        <f>IF(OR(G181="",NOT(OR(ISNUMBER(SEARCH("Epóxico Rojo",Upload!R171&amp;Upload!S171&amp;Upload!T171&amp;Upload!U171&amp;Upload!V171))))),"",G181*0.000035)</f>
        <v/>
      </c>
    </row>
    <row r="182" spans="1:19" x14ac:dyDescent="0.2">
      <c r="A182" s="9" t="e">
        <f t="shared" ca="1" si="12"/>
        <v>#NAME?</v>
      </c>
      <c r="B182" s="9">
        <f>Upload!E172</f>
        <v>0</v>
      </c>
      <c r="C182" s="9">
        <f>Upload!AE172</f>
        <v>0</v>
      </c>
      <c r="D182" s="9">
        <f>Upload!AF172</f>
        <v>0</v>
      </c>
      <c r="E182" s="9">
        <f>Upload!AG172</f>
        <v>0</v>
      </c>
      <c r="F182" s="9" t="str">
        <f>Upload!X172</f>
        <v/>
      </c>
      <c r="G182" s="9" t="str">
        <f>Upload!Z172</f>
        <v/>
      </c>
      <c r="H182" s="9" t="str">
        <f>Upload!W172</f>
        <v>(seleccione)</v>
      </c>
      <c r="I182" s="9" t="str">
        <f>Upload!Y172</f>
        <v>(seleccione)</v>
      </c>
      <c r="K182" s="15" t="str">
        <f t="shared" si="13"/>
        <v/>
      </c>
      <c r="L182" s="15" t="str">
        <f t="shared" si="14"/>
        <v/>
      </c>
      <c r="M182" s="15" t="str">
        <f t="shared" si="15"/>
        <v/>
      </c>
      <c r="N182" s="15" t="str">
        <f t="shared" si="16"/>
        <v/>
      </c>
      <c r="O182" s="15" t="str">
        <f t="shared" si="17"/>
        <v/>
      </c>
      <c r="P182" s="15" t="str">
        <f>IF(OR(C182="",NOT(OR(ISNUMBER(SEARCH("Antitarnish",Upload!P172&amp;Upload!Q172&amp;Upload!R172&amp;Upload!S172&amp;Upload!T172)),ISNUMBER(SEARCH("Anti Tarnish",Upload!P172&amp;Upload!Q172&amp;Upload!R172&amp;Upload!S172&amp;Upload!T172))))),"",0.0012*C182)</f>
        <v/>
      </c>
      <c r="Q182" s="15" t="str">
        <f>IF(OR(E182="",NOT(OR(ISNUMBER(SEARCH("Epóxico MT",Upload!P172&amp;Upload!Q172&amp;Upload!R172&amp;Upload!S172&amp;Upload!T172))))),"",E182*0.000035)</f>
        <v/>
      </c>
      <c r="R182" s="15" t="str">
        <f>IF(OR(F182="",NOT(OR(ISNUMBER(SEARCH("Epóxico BT",Upload!Q172&amp;Upload!R172&amp;Upload!S172&amp;Upload!T172&amp;Upload!U172))))),"",F182*0.000035)</f>
        <v/>
      </c>
      <c r="S182" s="15" t="str">
        <f>IF(OR(G182="",NOT(OR(ISNUMBER(SEARCH("Epóxico Rojo",Upload!R172&amp;Upload!S172&amp;Upload!T172&amp;Upload!U172&amp;Upload!V172))))),"",G182*0.000035)</f>
        <v/>
      </c>
    </row>
    <row r="183" spans="1:19" x14ac:dyDescent="0.2">
      <c r="A183" s="9" t="e">
        <f t="shared" ca="1" si="12"/>
        <v>#NAME?</v>
      </c>
      <c r="B183" s="9">
        <f>Upload!E173</f>
        <v>0</v>
      </c>
      <c r="C183" s="9">
        <f>Upload!AE173</f>
        <v>0</v>
      </c>
      <c r="D183" s="9">
        <f>Upload!AF173</f>
        <v>0</v>
      </c>
      <c r="E183" s="9">
        <f>Upload!AG173</f>
        <v>0</v>
      </c>
      <c r="F183" s="9" t="str">
        <f>Upload!X173</f>
        <v/>
      </c>
      <c r="G183" s="9" t="str">
        <f>Upload!Z173</f>
        <v/>
      </c>
      <c r="H183" s="9" t="str">
        <f>Upload!W173</f>
        <v>(seleccione)</v>
      </c>
      <c r="I183" s="9" t="str">
        <f>Upload!Y173</f>
        <v>(seleccione)</v>
      </c>
      <c r="K183" s="15" t="str">
        <f t="shared" si="13"/>
        <v/>
      </c>
      <c r="L183" s="15" t="str">
        <f t="shared" si="14"/>
        <v/>
      </c>
      <c r="M183" s="15" t="str">
        <f t="shared" si="15"/>
        <v/>
      </c>
      <c r="N183" s="15" t="str">
        <f t="shared" si="16"/>
        <v/>
      </c>
      <c r="O183" s="15" t="str">
        <f t="shared" si="17"/>
        <v/>
      </c>
      <c r="P183" s="15" t="str">
        <f>IF(OR(C183="",NOT(OR(ISNUMBER(SEARCH("Antitarnish",Upload!P173&amp;Upload!Q173&amp;Upload!R173&amp;Upload!S173&amp;Upload!T173)),ISNUMBER(SEARCH("Anti Tarnish",Upload!P173&amp;Upload!Q173&amp;Upload!R173&amp;Upload!S173&amp;Upload!T173))))),"",0.0012*C183)</f>
        <v/>
      </c>
      <c r="Q183" s="15" t="str">
        <f>IF(OR(E183="",NOT(OR(ISNUMBER(SEARCH("Epóxico MT",Upload!P173&amp;Upload!Q173&amp;Upload!R173&amp;Upload!S173&amp;Upload!T173))))),"",E183*0.000035)</f>
        <v/>
      </c>
      <c r="R183" s="15" t="str">
        <f>IF(OR(F183="",NOT(OR(ISNUMBER(SEARCH("Epóxico BT",Upload!Q173&amp;Upload!R173&amp;Upload!S173&amp;Upload!T173&amp;Upload!U173))))),"",F183*0.000035)</f>
        <v/>
      </c>
      <c r="S183" s="15" t="str">
        <f>IF(OR(G183="",NOT(OR(ISNUMBER(SEARCH("Epóxico Rojo",Upload!R173&amp;Upload!S173&amp;Upload!T173&amp;Upload!U173&amp;Upload!V173))))),"",G183*0.000035)</f>
        <v/>
      </c>
    </row>
    <row r="184" spans="1:19" x14ac:dyDescent="0.2">
      <c r="A184" s="9" t="e">
        <f t="shared" ca="1" si="12"/>
        <v>#NAME?</v>
      </c>
      <c r="B184" s="9">
        <f>Upload!E174</f>
        <v>0</v>
      </c>
      <c r="C184" s="9">
        <f>Upload!AE174</f>
        <v>0</v>
      </c>
      <c r="D184" s="9">
        <f>Upload!AF174</f>
        <v>0</v>
      </c>
      <c r="E184" s="9">
        <f>Upload!AG174</f>
        <v>0</v>
      </c>
      <c r="F184" s="9" t="str">
        <f>Upload!X174</f>
        <v/>
      </c>
      <c r="G184" s="9" t="str">
        <f>Upload!Z174</f>
        <v/>
      </c>
      <c r="H184" s="9" t="str">
        <f>Upload!W174</f>
        <v>(seleccione)</v>
      </c>
      <c r="I184" s="9" t="str">
        <f>Upload!Y174</f>
        <v>(seleccione)</v>
      </c>
      <c r="K184" s="15" t="str">
        <f t="shared" si="13"/>
        <v/>
      </c>
      <c r="L184" s="15" t="str">
        <f t="shared" si="14"/>
        <v/>
      </c>
      <c r="M184" s="15" t="str">
        <f t="shared" si="15"/>
        <v/>
      </c>
      <c r="N184" s="15" t="str">
        <f t="shared" si="16"/>
        <v/>
      </c>
      <c r="O184" s="15" t="str">
        <f t="shared" si="17"/>
        <v/>
      </c>
      <c r="P184" s="15" t="str">
        <f>IF(OR(C184="",NOT(OR(ISNUMBER(SEARCH("Antitarnish",Upload!P174&amp;Upload!Q174&amp;Upload!R174&amp;Upload!S174&amp;Upload!T174)),ISNUMBER(SEARCH("Anti Tarnish",Upload!P174&amp;Upload!Q174&amp;Upload!R174&amp;Upload!S174&amp;Upload!T174))))),"",0.0012*C184)</f>
        <v/>
      </c>
      <c r="Q184" s="15" t="str">
        <f>IF(OR(E184="",NOT(OR(ISNUMBER(SEARCH("Epóxico MT",Upload!P174&amp;Upload!Q174&amp;Upload!R174&amp;Upload!S174&amp;Upload!T174))))),"",E184*0.000035)</f>
        <v/>
      </c>
      <c r="R184" s="15" t="str">
        <f>IF(OR(F184="",NOT(OR(ISNUMBER(SEARCH("Epóxico BT",Upload!Q174&amp;Upload!R174&amp;Upload!S174&amp;Upload!T174&amp;Upload!U174))))),"",F184*0.000035)</f>
        <v/>
      </c>
      <c r="S184" s="15" t="str">
        <f>IF(OR(G184="",NOT(OR(ISNUMBER(SEARCH("Epóxico Rojo",Upload!R174&amp;Upload!S174&amp;Upload!T174&amp;Upload!U174&amp;Upload!V174))))),"",G184*0.000035)</f>
        <v/>
      </c>
    </row>
    <row r="185" spans="1:19" x14ac:dyDescent="0.2">
      <c r="A185" s="9" t="e">
        <f t="shared" ca="1" si="12"/>
        <v>#NAME?</v>
      </c>
      <c r="B185" s="9">
        <f>Upload!E175</f>
        <v>0</v>
      </c>
      <c r="C185" s="9">
        <f>Upload!AE175</f>
        <v>0</v>
      </c>
      <c r="D185" s="9">
        <f>Upload!AF175</f>
        <v>0</v>
      </c>
      <c r="E185" s="9">
        <f>Upload!AG175</f>
        <v>0</v>
      </c>
      <c r="F185" s="9" t="str">
        <f>Upload!X175</f>
        <v/>
      </c>
      <c r="G185" s="9" t="str">
        <f>Upload!Z175</f>
        <v/>
      </c>
      <c r="H185" s="9" t="str">
        <f>Upload!W175</f>
        <v>(seleccione)</v>
      </c>
      <c r="I185" s="9" t="str">
        <f>Upload!Y175</f>
        <v>(seleccione)</v>
      </c>
      <c r="K185" s="15" t="str">
        <f t="shared" si="13"/>
        <v/>
      </c>
      <c r="L185" s="15" t="str">
        <f t="shared" si="14"/>
        <v/>
      </c>
      <c r="M185" s="15" t="str">
        <f t="shared" si="15"/>
        <v/>
      </c>
      <c r="N185" s="15" t="str">
        <f t="shared" si="16"/>
        <v/>
      </c>
      <c r="O185" s="15" t="str">
        <f t="shared" si="17"/>
        <v/>
      </c>
      <c r="P185" s="15" t="str">
        <f>IF(OR(C185="",NOT(OR(ISNUMBER(SEARCH("Antitarnish",Upload!P175&amp;Upload!Q175&amp;Upload!R175&amp;Upload!S175&amp;Upload!T175)),ISNUMBER(SEARCH("Anti Tarnish",Upload!P175&amp;Upload!Q175&amp;Upload!R175&amp;Upload!S175&amp;Upload!T175))))),"",0.0012*C185)</f>
        <v/>
      </c>
      <c r="Q185" s="15" t="str">
        <f>IF(OR(E185="",NOT(OR(ISNUMBER(SEARCH("Epóxico MT",Upload!P175&amp;Upload!Q175&amp;Upload!R175&amp;Upload!S175&amp;Upload!T175))))),"",E185*0.000035)</f>
        <v/>
      </c>
      <c r="R185" s="15" t="str">
        <f>IF(OR(F185="",NOT(OR(ISNUMBER(SEARCH("Epóxico BT",Upload!Q175&amp;Upload!R175&amp;Upload!S175&amp;Upload!T175&amp;Upload!U175))))),"",F185*0.000035)</f>
        <v/>
      </c>
      <c r="S185" s="15" t="str">
        <f>IF(OR(G185="",NOT(OR(ISNUMBER(SEARCH("Epóxico Rojo",Upload!R175&amp;Upload!S175&amp;Upload!T175&amp;Upload!U175&amp;Upload!V175))))),"",G185*0.000035)</f>
        <v/>
      </c>
    </row>
    <row r="186" spans="1:19" x14ac:dyDescent="0.2">
      <c r="A186" s="9" t="e">
        <f t="shared" ca="1" si="12"/>
        <v>#NAME?</v>
      </c>
      <c r="B186" s="9">
        <f>Upload!E176</f>
        <v>0</v>
      </c>
      <c r="C186" s="9">
        <f>Upload!AE176</f>
        <v>0</v>
      </c>
      <c r="D186" s="9">
        <f>Upload!AF176</f>
        <v>0</v>
      </c>
      <c r="E186" s="9">
        <f>Upload!AG176</f>
        <v>0</v>
      </c>
      <c r="F186" s="9" t="str">
        <f>Upload!X176</f>
        <v/>
      </c>
      <c r="G186" s="9" t="str">
        <f>Upload!Z176</f>
        <v/>
      </c>
      <c r="H186" s="9" t="str">
        <f>Upload!W176</f>
        <v>(seleccione)</v>
      </c>
      <c r="I186" s="9" t="str">
        <f>Upload!Y176</f>
        <v>(seleccione)</v>
      </c>
      <c r="K186" s="15" t="str">
        <f t="shared" si="13"/>
        <v/>
      </c>
      <c r="L186" s="15" t="str">
        <f t="shared" si="14"/>
        <v/>
      </c>
      <c r="M186" s="15" t="str">
        <f t="shared" si="15"/>
        <v/>
      </c>
      <c r="N186" s="15" t="str">
        <f t="shared" si="16"/>
        <v/>
      </c>
      <c r="O186" s="15" t="str">
        <f t="shared" si="17"/>
        <v/>
      </c>
      <c r="P186" s="15" t="str">
        <f>IF(OR(C186="",NOT(OR(ISNUMBER(SEARCH("Antitarnish",Upload!P176&amp;Upload!Q176&amp;Upload!R176&amp;Upload!S176&amp;Upload!T176)),ISNUMBER(SEARCH("Anti Tarnish",Upload!P176&amp;Upload!Q176&amp;Upload!R176&amp;Upload!S176&amp;Upload!T176))))),"",0.0012*C186)</f>
        <v/>
      </c>
      <c r="Q186" s="15" t="str">
        <f>IF(OR(E186="",NOT(OR(ISNUMBER(SEARCH("Epóxico MT",Upload!P176&amp;Upload!Q176&amp;Upload!R176&amp;Upload!S176&amp;Upload!T176))))),"",E186*0.000035)</f>
        <v/>
      </c>
      <c r="R186" s="15" t="str">
        <f>IF(OR(F186="",NOT(OR(ISNUMBER(SEARCH("Epóxico BT",Upload!Q176&amp;Upload!R176&amp;Upload!S176&amp;Upload!T176&amp;Upload!U176))))),"",F186*0.000035)</f>
        <v/>
      </c>
      <c r="S186" s="15" t="str">
        <f>IF(OR(G186="",NOT(OR(ISNUMBER(SEARCH("Epóxico Rojo",Upload!R176&amp;Upload!S176&amp;Upload!T176&amp;Upload!U176&amp;Upload!V176))))),"",G186*0.000035)</f>
        <v/>
      </c>
    </row>
    <row r="187" spans="1:19" x14ac:dyDescent="0.2">
      <c r="A187" s="9" t="e">
        <f t="shared" ca="1" si="12"/>
        <v>#NAME?</v>
      </c>
      <c r="B187" s="9">
        <f>Upload!E177</f>
        <v>0</v>
      </c>
      <c r="C187" s="9">
        <f>Upload!AE177</f>
        <v>0</v>
      </c>
      <c r="D187" s="9">
        <f>Upload!AF177</f>
        <v>0</v>
      </c>
      <c r="E187" s="9">
        <f>Upload!AG177</f>
        <v>0</v>
      </c>
      <c r="F187" s="9" t="str">
        <f>Upload!X177</f>
        <v/>
      </c>
      <c r="G187" s="9" t="str">
        <f>Upload!Z177</f>
        <v/>
      </c>
      <c r="H187" s="9" t="str">
        <f>Upload!W177</f>
        <v>(seleccione)</v>
      </c>
      <c r="I187" s="9" t="str">
        <f>Upload!Y177</f>
        <v>(seleccione)</v>
      </c>
      <c r="K187" s="15" t="str">
        <f t="shared" si="13"/>
        <v/>
      </c>
      <c r="L187" s="15" t="str">
        <f t="shared" si="14"/>
        <v/>
      </c>
      <c r="M187" s="15" t="str">
        <f t="shared" si="15"/>
        <v/>
      </c>
      <c r="N187" s="15" t="str">
        <f t="shared" si="16"/>
        <v/>
      </c>
      <c r="O187" s="15" t="str">
        <f t="shared" si="17"/>
        <v/>
      </c>
      <c r="P187" s="15" t="str">
        <f>IF(OR(C187="",NOT(OR(ISNUMBER(SEARCH("Antitarnish",Upload!P177&amp;Upload!Q177&amp;Upload!R177&amp;Upload!S177&amp;Upload!T177)),ISNUMBER(SEARCH("Anti Tarnish",Upload!P177&amp;Upload!Q177&amp;Upload!R177&amp;Upload!S177&amp;Upload!T177))))),"",0.0012*C187)</f>
        <v/>
      </c>
      <c r="Q187" s="15" t="str">
        <f>IF(OR(E187="",NOT(OR(ISNUMBER(SEARCH("Epóxico MT",Upload!P177&amp;Upload!Q177&amp;Upload!R177&amp;Upload!S177&amp;Upload!T177))))),"",E187*0.000035)</f>
        <v/>
      </c>
      <c r="R187" s="15" t="str">
        <f>IF(OR(F187="",NOT(OR(ISNUMBER(SEARCH("Epóxico BT",Upload!Q177&amp;Upload!R177&amp;Upload!S177&amp;Upload!T177&amp;Upload!U177))))),"",F187*0.000035)</f>
        <v/>
      </c>
      <c r="S187" s="15" t="str">
        <f>IF(OR(G187="",NOT(OR(ISNUMBER(SEARCH("Epóxico Rojo",Upload!R177&amp;Upload!S177&amp;Upload!T177&amp;Upload!U177&amp;Upload!V177))))),"",G187*0.000035)</f>
        <v/>
      </c>
    </row>
    <row r="188" spans="1:19" x14ac:dyDescent="0.2">
      <c r="A188" s="9" t="e">
        <f t="shared" ca="1" si="12"/>
        <v>#NAME?</v>
      </c>
      <c r="B188" s="9">
        <f>Upload!E178</f>
        <v>0</v>
      </c>
      <c r="C188" s="9">
        <f>Upload!AE178</f>
        <v>0</v>
      </c>
      <c r="D188" s="9">
        <f>Upload!AF178</f>
        <v>0</v>
      </c>
      <c r="E188" s="9">
        <f>Upload!AG178</f>
        <v>0</v>
      </c>
      <c r="F188" s="9" t="str">
        <f>Upload!X178</f>
        <v/>
      </c>
      <c r="G188" s="9" t="str">
        <f>Upload!Z178</f>
        <v/>
      </c>
      <c r="H188" s="9" t="str">
        <f>Upload!W178</f>
        <v>(seleccione)</v>
      </c>
      <c r="I188" s="9" t="str">
        <f>Upload!Y178</f>
        <v>(seleccione)</v>
      </c>
      <c r="K188" s="15" t="str">
        <f t="shared" si="13"/>
        <v/>
      </c>
      <c r="L188" s="15" t="str">
        <f t="shared" si="14"/>
        <v/>
      </c>
      <c r="M188" s="15" t="str">
        <f t="shared" si="15"/>
        <v/>
      </c>
      <c r="N188" s="15" t="str">
        <f t="shared" si="16"/>
        <v/>
      </c>
      <c r="O188" s="15" t="str">
        <f t="shared" si="17"/>
        <v/>
      </c>
      <c r="P188" s="15" t="str">
        <f>IF(OR(C188="",NOT(OR(ISNUMBER(SEARCH("Antitarnish",Upload!P178&amp;Upload!Q178&amp;Upload!R178&amp;Upload!S178&amp;Upload!T178)),ISNUMBER(SEARCH("Anti Tarnish",Upload!P178&amp;Upload!Q178&amp;Upload!R178&amp;Upload!S178&amp;Upload!T178))))),"",0.0012*C188)</f>
        <v/>
      </c>
      <c r="Q188" s="15" t="str">
        <f>IF(OR(E188="",NOT(OR(ISNUMBER(SEARCH("Epóxico MT",Upload!P178&amp;Upload!Q178&amp;Upload!R178&amp;Upload!S178&amp;Upload!T178))))),"",E188*0.000035)</f>
        <v/>
      </c>
      <c r="R188" s="15" t="str">
        <f>IF(OR(F188="",NOT(OR(ISNUMBER(SEARCH("Epóxico BT",Upload!Q178&amp;Upload!R178&amp;Upload!S178&amp;Upload!T178&amp;Upload!U178))))),"",F188*0.000035)</f>
        <v/>
      </c>
      <c r="S188" s="15" t="str">
        <f>IF(OR(G188="",NOT(OR(ISNUMBER(SEARCH("Epóxico Rojo",Upload!R178&amp;Upload!S178&amp;Upload!T178&amp;Upload!U178&amp;Upload!V178))))),"",G188*0.000035)</f>
        <v/>
      </c>
    </row>
    <row r="189" spans="1:19" x14ac:dyDescent="0.2">
      <c r="A189" s="9" t="e">
        <f t="shared" ca="1" si="12"/>
        <v>#NAME?</v>
      </c>
      <c r="B189" s="9">
        <f>Upload!E179</f>
        <v>0</v>
      </c>
      <c r="C189" s="9">
        <f>Upload!AE179</f>
        <v>0</v>
      </c>
      <c r="D189" s="9">
        <f>Upload!AF179</f>
        <v>0</v>
      </c>
      <c r="E189" s="9">
        <f>Upload!AG179</f>
        <v>0</v>
      </c>
      <c r="F189" s="9" t="str">
        <f>Upload!X179</f>
        <v/>
      </c>
      <c r="G189" s="9" t="str">
        <f>Upload!Z179</f>
        <v/>
      </c>
      <c r="H189" s="9" t="str">
        <f>Upload!W179</f>
        <v>(seleccione)</v>
      </c>
      <c r="I189" s="9" t="str">
        <f>Upload!Y179</f>
        <v>(seleccione)</v>
      </c>
      <c r="K189" s="15" t="str">
        <f t="shared" si="13"/>
        <v/>
      </c>
      <c r="L189" s="15" t="str">
        <f t="shared" si="14"/>
        <v/>
      </c>
      <c r="M189" s="15" t="str">
        <f t="shared" si="15"/>
        <v/>
      </c>
      <c r="N189" s="15" t="str">
        <f t="shared" si="16"/>
        <v/>
      </c>
      <c r="O189" s="15" t="str">
        <f t="shared" si="17"/>
        <v/>
      </c>
      <c r="P189" s="15" t="str">
        <f>IF(OR(C189="",NOT(OR(ISNUMBER(SEARCH("Antitarnish",Upload!P179&amp;Upload!Q179&amp;Upload!R179&amp;Upload!S179&amp;Upload!T179)),ISNUMBER(SEARCH("Anti Tarnish",Upload!P179&amp;Upload!Q179&amp;Upload!R179&amp;Upload!S179&amp;Upload!T179))))),"",0.0012*C189)</f>
        <v/>
      </c>
      <c r="Q189" s="15" t="str">
        <f>IF(OR(E189="",NOT(OR(ISNUMBER(SEARCH("Epóxico MT",Upload!P179&amp;Upload!Q179&amp;Upload!R179&amp;Upload!S179&amp;Upload!T179))))),"",E189*0.000035)</f>
        <v/>
      </c>
      <c r="R189" s="15" t="str">
        <f>IF(OR(F189="",NOT(OR(ISNUMBER(SEARCH("Epóxico BT",Upload!Q179&amp;Upload!R179&amp;Upload!S179&amp;Upload!T179&amp;Upload!U179))))),"",F189*0.000035)</f>
        <v/>
      </c>
      <c r="S189" s="15" t="str">
        <f>IF(OR(G189="",NOT(OR(ISNUMBER(SEARCH("Epóxico Rojo",Upload!R179&amp;Upload!S179&amp;Upload!T179&amp;Upload!U179&amp;Upload!V179))))),"",G189*0.000035)</f>
        <v/>
      </c>
    </row>
    <row r="190" spans="1:19" x14ac:dyDescent="0.2">
      <c r="A190" s="9" t="e">
        <f t="shared" ca="1" si="12"/>
        <v>#NAME?</v>
      </c>
      <c r="B190" s="9">
        <f>Upload!E180</f>
        <v>0</v>
      </c>
      <c r="C190" s="9">
        <f>Upload!AE180</f>
        <v>0</v>
      </c>
      <c r="D190" s="9">
        <f>Upload!AF180</f>
        <v>0</v>
      </c>
      <c r="E190" s="9">
        <f>Upload!AG180</f>
        <v>0</v>
      </c>
      <c r="F190" s="9" t="str">
        <f>Upload!X180</f>
        <v/>
      </c>
      <c r="G190" s="9" t="str">
        <f>Upload!Z180</f>
        <v/>
      </c>
      <c r="H190" s="9" t="str">
        <f>Upload!W180</f>
        <v>(seleccione)</v>
      </c>
      <c r="I190" s="9" t="str">
        <f>Upload!Y180</f>
        <v>(seleccione)</v>
      </c>
      <c r="K190" s="15" t="str">
        <f t="shared" si="13"/>
        <v/>
      </c>
      <c r="L190" s="15" t="str">
        <f t="shared" si="14"/>
        <v/>
      </c>
      <c r="M190" s="15" t="str">
        <f t="shared" si="15"/>
        <v/>
      </c>
      <c r="N190" s="15" t="str">
        <f t="shared" si="16"/>
        <v/>
      </c>
      <c r="O190" s="15" t="str">
        <f t="shared" si="17"/>
        <v/>
      </c>
      <c r="P190" s="15" t="str">
        <f>IF(OR(C190="",NOT(OR(ISNUMBER(SEARCH("Antitarnish",Upload!P180&amp;Upload!Q180&amp;Upload!R180&amp;Upload!S180&amp;Upload!T180)),ISNUMBER(SEARCH("Anti Tarnish",Upload!P180&amp;Upload!Q180&amp;Upload!R180&amp;Upload!S180&amp;Upload!T180))))),"",0.0012*C190)</f>
        <v/>
      </c>
      <c r="Q190" s="15" t="str">
        <f>IF(OR(E190="",NOT(OR(ISNUMBER(SEARCH("Epóxico MT",Upload!P180&amp;Upload!Q180&amp;Upload!R180&amp;Upload!S180&amp;Upload!T180))))),"",E190*0.000035)</f>
        <v/>
      </c>
      <c r="R190" s="15" t="str">
        <f>IF(OR(F190="",NOT(OR(ISNUMBER(SEARCH("Epóxico BT",Upload!Q180&amp;Upload!R180&amp;Upload!S180&amp;Upload!T180&amp;Upload!U180))))),"",F190*0.000035)</f>
        <v/>
      </c>
      <c r="S190" s="15" t="str">
        <f>IF(OR(G190="",NOT(OR(ISNUMBER(SEARCH("Epóxico Rojo",Upload!R180&amp;Upload!S180&amp;Upload!T180&amp;Upload!U180&amp;Upload!V180))))),"",G190*0.000035)</f>
        <v/>
      </c>
    </row>
    <row r="191" spans="1:19" x14ac:dyDescent="0.2">
      <c r="A191" s="9" t="e">
        <f t="shared" ca="1" si="12"/>
        <v>#NAME?</v>
      </c>
      <c r="B191" s="9">
        <f>Upload!E181</f>
        <v>0</v>
      </c>
      <c r="C191" s="9">
        <f>Upload!AE181</f>
        <v>0</v>
      </c>
      <c r="D191" s="9">
        <f>Upload!AF181</f>
        <v>0</v>
      </c>
      <c r="E191" s="9">
        <f>Upload!AG181</f>
        <v>0</v>
      </c>
      <c r="F191" s="9" t="str">
        <f>Upload!X181</f>
        <v/>
      </c>
      <c r="G191" s="9" t="str">
        <f>Upload!Z181</f>
        <v/>
      </c>
      <c r="H191" s="9" t="str">
        <f>Upload!W181</f>
        <v>(seleccione)</v>
      </c>
      <c r="I191" s="9" t="str">
        <f>Upload!Y181</f>
        <v>(seleccione)</v>
      </c>
      <c r="K191" s="15" t="str">
        <f t="shared" si="13"/>
        <v/>
      </c>
      <c r="L191" s="15" t="str">
        <f t="shared" si="14"/>
        <v/>
      </c>
      <c r="M191" s="15" t="str">
        <f t="shared" si="15"/>
        <v/>
      </c>
      <c r="N191" s="15" t="str">
        <f t="shared" si="16"/>
        <v/>
      </c>
      <c r="O191" s="15" t="str">
        <f t="shared" si="17"/>
        <v/>
      </c>
      <c r="P191" s="15" t="str">
        <f>IF(OR(C191="",NOT(OR(ISNUMBER(SEARCH("Antitarnish",Upload!P181&amp;Upload!Q181&amp;Upload!R181&amp;Upload!S181&amp;Upload!T181)),ISNUMBER(SEARCH("Anti Tarnish",Upload!P181&amp;Upload!Q181&amp;Upload!R181&amp;Upload!S181&amp;Upload!T181))))),"",0.0012*C191)</f>
        <v/>
      </c>
      <c r="Q191" s="15" t="str">
        <f>IF(OR(E191="",NOT(OR(ISNUMBER(SEARCH("Epóxico MT",Upload!P181&amp;Upload!Q181&amp;Upload!R181&amp;Upload!S181&amp;Upload!T181))))),"",E191*0.000035)</f>
        <v/>
      </c>
      <c r="R191" s="15" t="str">
        <f>IF(OR(F191="",NOT(OR(ISNUMBER(SEARCH("Epóxico BT",Upload!Q181&amp;Upload!R181&amp;Upload!S181&amp;Upload!T181&amp;Upload!U181))))),"",F191*0.000035)</f>
        <v/>
      </c>
      <c r="S191" s="15" t="str">
        <f>IF(OR(G191="",NOT(OR(ISNUMBER(SEARCH("Epóxico Rojo",Upload!R181&amp;Upload!S181&amp;Upload!T181&amp;Upload!U181&amp;Upload!V181))))),"",G191*0.000035)</f>
        <v/>
      </c>
    </row>
    <row r="192" spans="1:19" x14ac:dyDescent="0.2">
      <c r="A192" s="9" t="e">
        <f t="shared" ca="1" si="12"/>
        <v>#NAME?</v>
      </c>
      <c r="B192" s="9">
        <f>Upload!E182</f>
        <v>0</v>
      </c>
      <c r="C192" s="9">
        <f>Upload!AE182</f>
        <v>0</v>
      </c>
      <c r="D192" s="9">
        <f>Upload!AF182</f>
        <v>0</v>
      </c>
      <c r="E192" s="9">
        <f>Upload!AG182</f>
        <v>0</v>
      </c>
      <c r="F192" s="9" t="str">
        <f>Upload!X182</f>
        <v/>
      </c>
      <c r="G192" s="9" t="str">
        <f>Upload!Z182</f>
        <v/>
      </c>
      <c r="H192" s="9" t="str">
        <f>Upload!W182</f>
        <v>(seleccione)</v>
      </c>
      <c r="I192" s="9" t="str">
        <f>Upload!Y182</f>
        <v>(seleccione)</v>
      </c>
      <c r="K192" s="15" t="str">
        <f t="shared" si="13"/>
        <v/>
      </c>
      <c r="L192" s="15" t="str">
        <f t="shared" si="14"/>
        <v/>
      </c>
      <c r="M192" s="15" t="str">
        <f t="shared" si="15"/>
        <v/>
      </c>
      <c r="N192" s="15" t="str">
        <f t="shared" si="16"/>
        <v/>
      </c>
      <c r="O192" s="15" t="str">
        <f t="shared" si="17"/>
        <v/>
      </c>
      <c r="P192" s="15" t="str">
        <f>IF(OR(C192="",NOT(OR(ISNUMBER(SEARCH("Antitarnish",Upload!P182&amp;Upload!Q182&amp;Upload!R182&amp;Upload!S182&amp;Upload!T182)),ISNUMBER(SEARCH("Anti Tarnish",Upload!P182&amp;Upload!Q182&amp;Upload!R182&amp;Upload!S182&amp;Upload!T182))))),"",0.0012*C192)</f>
        <v/>
      </c>
      <c r="Q192" s="15" t="str">
        <f>IF(OR(E192="",NOT(OR(ISNUMBER(SEARCH("Epóxico MT",Upload!P182&amp;Upload!Q182&amp;Upload!R182&amp;Upload!S182&amp;Upload!T182))))),"",E192*0.000035)</f>
        <v/>
      </c>
      <c r="R192" s="15" t="str">
        <f>IF(OR(F192="",NOT(OR(ISNUMBER(SEARCH("Epóxico BT",Upload!Q182&amp;Upload!R182&amp;Upload!S182&amp;Upload!T182&amp;Upload!U182))))),"",F192*0.000035)</f>
        <v/>
      </c>
      <c r="S192" s="15" t="str">
        <f>IF(OR(G192="",NOT(OR(ISNUMBER(SEARCH("Epóxico Rojo",Upload!R182&amp;Upload!S182&amp;Upload!T182&amp;Upload!U182&amp;Upload!V182))))),"",G192*0.000035)</f>
        <v/>
      </c>
    </row>
    <row r="193" spans="1:19" x14ac:dyDescent="0.2">
      <c r="A193" s="9" t="e">
        <f t="shared" ca="1" si="12"/>
        <v>#NAME?</v>
      </c>
      <c r="B193" s="9">
        <f>Upload!E183</f>
        <v>0</v>
      </c>
      <c r="C193" s="9">
        <f>Upload!AE183</f>
        <v>0</v>
      </c>
      <c r="D193" s="9">
        <f>Upload!AF183</f>
        <v>0</v>
      </c>
      <c r="E193" s="9">
        <f>Upload!AG183</f>
        <v>0</v>
      </c>
      <c r="F193" s="9" t="str">
        <f>Upload!X183</f>
        <v/>
      </c>
      <c r="G193" s="9" t="str">
        <f>Upload!Z183</f>
        <v/>
      </c>
      <c r="H193" s="9" t="str">
        <f>Upload!W183</f>
        <v>(seleccione)</v>
      </c>
      <c r="I193" s="9" t="str">
        <f>Upload!Y183</f>
        <v>(seleccione)</v>
      </c>
      <c r="K193" s="15" t="str">
        <f t="shared" si="13"/>
        <v/>
      </c>
      <c r="L193" s="15" t="str">
        <f t="shared" si="14"/>
        <v/>
      </c>
      <c r="M193" s="15" t="str">
        <f t="shared" si="15"/>
        <v/>
      </c>
      <c r="N193" s="15" t="str">
        <f t="shared" si="16"/>
        <v/>
      </c>
      <c r="O193" s="15" t="str">
        <f t="shared" si="17"/>
        <v/>
      </c>
      <c r="P193" s="15" t="str">
        <f>IF(OR(C193="",NOT(OR(ISNUMBER(SEARCH("Antitarnish",Upload!P183&amp;Upload!Q183&amp;Upload!R183&amp;Upload!S183&amp;Upload!T183)),ISNUMBER(SEARCH("Anti Tarnish",Upload!P183&amp;Upload!Q183&amp;Upload!R183&amp;Upload!S183&amp;Upload!T183))))),"",0.0012*C193)</f>
        <v/>
      </c>
      <c r="Q193" s="15" t="str">
        <f>IF(OR(E193="",NOT(OR(ISNUMBER(SEARCH("Epóxico MT",Upload!P183&amp;Upload!Q183&amp;Upload!R183&amp;Upload!S183&amp;Upload!T183))))),"",E193*0.000035)</f>
        <v/>
      </c>
      <c r="R193" s="15" t="str">
        <f>IF(OR(F193="",NOT(OR(ISNUMBER(SEARCH("Epóxico BT",Upload!Q183&amp;Upload!R183&amp;Upload!S183&amp;Upload!T183&amp;Upload!U183))))),"",F193*0.000035)</f>
        <v/>
      </c>
      <c r="S193" s="15" t="str">
        <f>IF(OR(G193="",NOT(OR(ISNUMBER(SEARCH("Epóxico Rojo",Upload!R183&amp;Upload!S183&amp;Upload!T183&amp;Upload!U183&amp;Upload!V183))))),"",G193*0.000035)</f>
        <v/>
      </c>
    </row>
    <row r="194" spans="1:19" x14ac:dyDescent="0.2">
      <c r="A194" s="9" t="e">
        <f t="shared" ca="1" si="12"/>
        <v>#NAME?</v>
      </c>
      <c r="B194" s="9">
        <f>Upload!E184</f>
        <v>0</v>
      </c>
      <c r="C194" s="9">
        <f>Upload!AE184</f>
        <v>0</v>
      </c>
      <c r="D194" s="9">
        <f>Upload!AF184</f>
        <v>0</v>
      </c>
      <c r="E194" s="9">
        <f>Upload!AG184</f>
        <v>0</v>
      </c>
      <c r="F194" s="9" t="str">
        <f>Upload!X184</f>
        <v/>
      </c>
      <c r="G194" s="9" t="str">
        <f>Upload!Z184</f>
        <v/>
      </c>
      <c r="H194" s="9" t="str">
        <f>Upload!W184</f>
        <v>(seleccione)</v>
      </c>
      <c r="I194" s="9" t="str">
        <f>Upload!Y184</f>
        <v>(seleccione)</v>
      </c>
      <c r="K194" s="15" t="str">
        <f t="shared" si="13"/>
        <v/>
      </c>
      <c r="L194" s="15" t="str">
        <f t="shared" si="14"/>
        <v/>
      </c>
      <c r="M194" s="15" t="str">
        <f t="shared" si="15"/>
        <v/>
      </c>
      <c r="N194" s="15" t="str">
        <f t="shared" si="16"/>
        <v/>
      </c>
      <c r="O194" s="15" t="str">
        <f t="shared" si="17"/>
        <v/>
      </c>
      <c r="P194" s="15" t="str">
        <f>IF(OR(C194="",NOT(OR(ISNUMBER(SEARCH("Antitarnish",Upload!P184&amp;Upload!Q184&amp;Upload!R184&amp;Upload!S184&amp;Upload!T184)),ISNUMBER(SEARCH("Anti Tarnish",Upload!P184&amp;Upload!Q184&amp;Upload!R184&amp;Upload!S184&amp;Upload!T184))))),"",0.0012*C194)</f>
        <v/>
      </c>
      <c r="Q194" s="15" t="str">
        <f>IF(OR(E194="",NOT(OR(ISNUMBER(SEARCH("Epóxico MT",Upload!P184&amp;Upload!Q184&amp;Upload!R184&amp;Upload!S184&amp;Upload!T184))))),"",E194*0.000035)</f>
        <v/>
      </c>
      <c r="R194" s="15" t="str">
        <f>IF(OR(F194="",NOT(OR(ISNUMBER(SEARCH("Epóxico BT",Upload!Q184&amp;Upload!R184&amp;Upload!S184&amp;Upload!T184&amp;Upload!U184))))),"",F194*0.000035)</f>
        <v/>
      </c>
      <c r="S194" s="15" t="str">
        <f>IF(OR(G194="",NOT(OR(ISNUMBER(SEARCH("Epóxico Rojo",Upload!R184&amp;Upload!S184&amp;Upload!T184&amp;Upload!U184&amp;Upload!V184))))),"",G194*0.000035)</f>
        <v/>
      </c>
    </row>
    <row r="195" spans="1:19" x14ac:dyDescent="0.2">
      <c r="A195" s="9" t="e">
        <f t="shared" ca="1" si="12"/>
        <v>#NAME?</v>
      </c>
      <c r="B195" s="9">
        <f>Upload!E185</f>
        <v>0</v>
      </c>
      <c r="C195" s="9">
        <f>Upload!AE185</f>
        <v>0</v>
      </c>
      <c r="D195" s="9">
        <f>Upload!AF185</f>
        <v>0</v>
      </c>
      <c r="E195" s="9">
        <f>Upload!AG185</f>
        <v>0</v>
      </c>
      <c r="F195" s="9" t="str">
        <f>Upload!X185</f>
        <v/>
      </c>
      <c r="G195" s="9" t="str">
        <f>Upload!Z185</f>
        <v/>
      </c>
      <c r="H195" s="9" t="str">
        <f>Upload!W185</f>
        <v>(seleccione)</v>
      </c>
      <c r="I195" s="9" t="str">
        <f>Upload!Y185</f>
        <v>(seleccione)</v>
      </c>
      <c r="K195" s="15" t="str">
        <f t="shared" si="13"/>
        <v/>
      </c>
      <c r="L195" s="15" t="str">
        <f t="shared" si="14"/>
        <v/>
      </c>
      <c r="M195" s="15" t="str">
        <f t="shared" si="15"/>
        <v/>
      </c>
      <c r="N195" s="15" t="str">
        <f t="shared" si="16"/>
        <v/>
      </c>
      <c r="O195" s="15" t="str">
        <f t="shared" si="17"/>
        <v/>
      </c>
      <c r="P195" s="15" t="str">
        <f>IF(OR(C195="",NOT(OR(ISNUMBER(SEARCH("Antitarnish",Upload!P185&amp;Upload!Q185&amp;Upload!R185&amp;Upload!S185&amp;Upload!T185)),ISNUMBER(SEARCH("Anti Tarnish",Upload!P185&amp;Upload!Q185&amp;Upload!R185&amp;Upload!S185&amp;Upload!T185))))),"",0.0012*C195)</f>
        <v/>
      </c>
      <c r="Q195" s="15" t="str">
        <f>IF(OR(E195="",NOT(OR(ISNUMBER(SEARCH("Epóxico MT",Upload!P185&amp;Upload!Q185&amp;Upload!R185&amp;Upload!S185&amp;Upload!T185))))),"",E195*0.000035)</f>
        <v/>
      </c>
      <c r="R195" s="15" t="str">
        <f>IF(OR(F195="",NOT(OR(ISNUMBER(SEARCH("Epóxico BT",Upload!Q185&amp;Upload!R185&amp;Upload!S185&amp;Upload!T185&amp;Upload!U185))))),"",F195*0.000035)</f>
        <v/>
      </c>
      <c r="S195" s="15" t="str">
        <f>IF(OR(G195="",NOT(OR(ISNUMBER(SEARCH("Epóxico Rojo",Upload!R185&amp;Upload!S185&amp;Upload!T185&amp;Upload!U185&amp;Upload!V185))))),"",G195*0.000035)</f>
        <v/>
      </c>
    </row>
    <row r="196" spans="1:19" x14ac:dyDescent="0.2">
      <c r="A196" s="9" t="e">
        <f t="shared" ca="1" si="12"/>
        <v>#NAME?</v>
      </c>
      <c r="B196" s="9">
        <f>Upload!E186</f>
        <v>0</v>
      </c>
      <c r="C196" s="9">
        <f>Upload!AE186</f>
        <v>0</v>
      </c>
      <c r="D196" s="9">
        <f>Upload!AF186</f>
        <v>0</v>
      </c>
      <c r="E196" s="9">
        <f>Upload!AG186</f>
        <v>0</v>
      </c>
      <c r="F196" s="9" t="str">
        <f>Upload!X186</f>
        <v/>
      </c>
      <c r="G196" s="9" t="str">
        <f>Upload!Z186</f>
        <v/>
      </c>
      <c r="H196" s="9" t="str">
        <f>Upload!W186</f>
        <v>(seleccione)</v>
      </c>
      <c r="I196" s="9" t="str">
        <f>Upload!Y186</f>
        <v>(seleccione)</v>
      </c>
      <c r="K196" s="15" t="str">
        <f t="shared" si="13"/>
        <v/>
      </c>
      <c r="L196" s="15" t="str">
        <f t="shared" si="14"/>
        <v/>
      </c>
      <c r="M196" s="15" t="str">
        <f t="shared" si="15"/>
        <v/>
      </c>
      <c r="N196" s="15" t="str">
        <f t="shared" si="16"/>
        <v/>
      </c>
      <c r="O196" s="15" t="str">
        <f t="shared" si="17"/>
        <v/>
      </c>
      <c r="P196" s="15" t="str">
        <f>IF(OR(C196="",NOT(OR(ISNUMBER(SEARCH("Antitarnish",Upload!P186&amp;Upload!Q186&amp;Upload!R186&amp;Upload!S186&amp;Upload!T186)),ISNUMBER(SEARCH("Anti Tarnish",Upload!P186&amp;Upload!Q186&amp;Upload!R186&amp;Upload!S186&amp;Upload!T186))))),"",0.0012*C196)</f>
        <v/>
      </c>
      <c r="Q196" s="15" t="str">
        <f>IF(OR(E196="",NOT(OR(ISNUMBER(SEARCH("Epóxico MT",Upload!P186&amp;Upload!Q186&amp;Upload!R186&amp;Upload!S186&amp;Upload!T186))))),"",E196*0.000035)</f>
        <v/>
      </c>
      <c r="R196" s="15" t="str">
        <f>IF(OR(F196="",NOT(OR(ISNUMBER(SEARCH("Epóxico BT",Upload!Q186&amp;Upload!R186&amp;Upload!S186&amp;Upload!T186&amp;Upload!U186))))),"",F196*0.000035)</f>
        <v/>
      </c>
      <c r="S196" s="15" t="str">
        <f>IF(OR(G196="",NOT(OR(ISNUMBER(SEARCH("Epóxico Rojo",Upload!R186&amp;Upload!S186&amp;Upload!T186&amp;Upload!U186&amp;Upload!V186))))),"",G196*0.000035)</f>
        <v/>
      </c>
    </row>
    <row r="197" spans="1:19" x14ac:dyDescent="0.2">
      <c r="A197" s="9" t="e">
        <f t="shared" ca="1" si="12"/>
        <v>#NAME?</v>
      </c>
      <c r="B197" s="9">
        <f>Upload!E187</f>
        <v>0</v>
      </c>
      <c r="C197" s="9">
        <f>Upload!AE187</f>
        <v>0</v>
      </c>
      <c r="D197" s="9">
        <f>Upload!AF187</f>
        <v>0</v>
      </c>
      <c r="E197" s="9">
        <f>Upload!AG187</f>
        <v>0</v>
      </c>
      <c r="F197" s="9" t="str">
        <f>Upload!X187</f>
        <v/>
      </c>
      <c r="G197" s="9" t="str">
        <f>Upload!Z187</f>
        <v/>
      </c>
      <c r="H197" s="9" t="str">
        <f>Upload!W187</f>
        <v>(seleccione)</v>
      </c>
      <c r="I197" s="9" t="str">
        <f>Upload!Y187</f>
        <v>(seleccione)</v>
      </c>
      <c r="K197" s="15" t="str">
        <f t="shared" si="13"/>
        <v/>
      </c>
      <c r="L197" s="15" t="str">
        <f t="shared" si="14"/>
        <v/>
      </c>
      <c r="M197" s="15" t="str">
        <f t="shared" si="15"/>
        <v/>
      </c>
      <c r="N197" s="15" t="str">
        <f t="shared" si="16"/>
        <v/>
      </c>
      <c r="O197" s="15" t="str">
        <f t="shared" si="17"/>
        <v/>
      </c>
      <c r="P197" s="15" t="str">
        <f>IF(OR(C197="",NOT(OR(ISNUMBER(SEARCH("Antitarnish",Upload!P187&amp;Upload!Q187&amp;Upload!R187&amp;Upload!S187&amp;Upload!T187)),ISNUMBER(SEARCH("Anti Tarnish",Upload!P187&amp;Upload!Q187&amp;Upload!R187&amp;Upload!S187&amp;Upload!T187))))),"",0.0012*C197)</f>
        <v/>
      </c>
      <c r="Q197" s="15" t="str">
        <f>IF(OR(E197="",NOT(OR(ISNUMBER(SEARCH("Epóxico MT",Upload!P187&amp;Upload!Q187&amp;Upload!R187&amp;Upload!S187&amp;Upload!T187))))),"",E197*0.000035)</f>
        <v/>
      </c>
      <c r="R197" s="15" t="str">
        <f>IF(OR(F197="",NOT(OR(ISNUMBER(SEARCH("Epóxico BT",Upload!Q187&amp;Upload!R187&amp;Upload!S187&amp;Upload!T187&amp;Upload!U187))))),"",F197*0.000035)</f>
        <v/>
      </c>
      <c r="S197" s="15" t="str">
        <f>IF(OR(G197="",NOT(OR(ISNUMBER(SEARCH("Epóxico Rojo",Upload!R187&amp;Upload!S187&amp;Upload!T187&amp;Upload!U187&amp;Upload!V187))))),"",G197*0.000035)</f>
        <v/>
      </c>
    </row>
    <row r="198" spans="1:19" x14ac:dyDescent="0.2">
      <c r="A198" s="9" t="e">
        <f t="shared" ca="1" si="12"/>
        <v>#NAME?</v>
      </c>
      <c r="B198" s="9">
        <f>Upload!E188</f>
        <v>0</v>
      </c>
      <c r="C198" s="9">
        <f>Upload!AE188</f>
        <v>0</v>
      </c>
      <c r="D198" s="9">
        <f>Upload!AF188</f>
        <v>0</v>
      </c>
      <c r="E198" s="9">
        <f>Upload!AG188</f>
        <v>0</v>
      </c>
      <c r="F198" s="9" t="str">
        <f>Upload!X188</f>
        <v/>
      </c>
      <c r="G198" s="9" t="str">
        <f>Upload!Z188</f>
        <v/>
      </c>
      <c r="H198" s="9" t="str">
        <f>Upload!W188</f>
        <v>(seleccione)</v>
      </c>
      <c r="I198" s="9" t="str">
        <f>Upload!Y188</f>
        <v>(seleccione)</v>
      </c>
      <c r="K198" s="15" t="str">
        <f t="shared" si="13"/>
        <v/>
      </c>
      <c r="L198" s="15" t="str">
        <f t="shared" si="14"/>
        <v/>
      </c>
      <c r="M198" s="15" t="str">
        <f t="shared" si="15"/>
        <v/>
      </c>
      <c r="N198" s="15" t="str">
        <f t="shared" si="16"/>
        <v/>
      </c>
      <c r="O198" s="15" t="str">
        <f t="shared" si="17"/>
        <v/>
      </c>
      <c r="P198" s="15" t="str">
        <f>IF(OR(C198="",NOT(OR(ISNUMBER(SEARCH("Antitarnish",Upload!P188&amp;Upload!Q188&amp;Upload!R188&amp;Upload!S188&amp;Upload!T188)),ISNUMBER(SEARCH("Anti Tarnish",Upload!P188&amp;Upload!Q188&amp;Upload!R188&amp;Upload!S188&amp;Upload!T188))))),"",0.0012*C198)</f>
        <v/>
      </c>
      <c r="Q198" s="15" t="str">
        <f>IF(OR(E198="",NOT(OR(ISNUMBER(SEARCH("Epóxico MT",Upload!P188&amp;Upload!Q188&amp;Upload!R188&amp;Upload!S188&amp;Upload!T188))))),"",E198*0.000035)</f>
        <v/>
      </c>
      <c r="R198" s="15" t="str">
        <f>IF(OR(F198="",NOT(OR(ISNUMBER(SEARCH("Epóxico BT",Upload!Q188&amp;Upload!R188&amp;Upload!S188&amp;Upload!T188&amp;Upload!U188))))),"",F198*0.000035)</f>
        <v/>
      </c>
      <c r="S198" s="15" t="str">
        <f>IF(OR(G198="",NOT(OR(ISNUMBER(SEARCH("Epóxico Rojo",Upload!R188&amp;Upload!S188&amp;Upload!T188&amp;Upload!U188&amp;Upload!V188))))),"",G198*0.000035)</f>
        <v/>
      </c>
    </row>
    <row r="199" spans="1:19" x14ac:dyDescent="0.2">
      <c r="A199" s="9" t="e">
        <f t="shared" ca="1" si="12"/>
        <v>#NAME?</v>
      </c>
      <c r="B199" s="9">
        <f>Upload!E189</f>
        <v>0</v>
      </c>
      <c r="C199" s="9">
        <f>Upload!AE189</f>
        <v>0</v>
      </c>
      <c r="D199" s="9">
        <f>Upload!AF189</f>
        <v>0</v>
      </c>
      <c r="E199" s="9">
        <f>Upload!AG189</f>
        <v>0</v>
      </c>
      <c r="F199" s="9" t="str">
        <f>Upload!X189</f>
        <v/>
      </c>
      <c r="G199" s="9" t="str">
        <f>Upload!Z189</f>
        <v/>
      </c>
      <c r="H199" s="9" t="str">
        <f>Upload!W189</f>
        <v>(seleccione)</v>
      </c>
      <c r="I199" s="9" t="str">
        <f>Upload!Y189</f>
        <v>(seleccione)</v>
      </c>
      <c r="K199" s="15" t="str">
        <f t="shared" si="13"/>
        <v/>
      </c>
      <c r="L199" s="15" t="str">
        <f t="shared" si="14"/>
        <v/>
      </c>
      <c r="M199" s="15" t="str">
        <f t="shared" si="15"/>
        <v/>
      </c>
      <c r="N199" s="15" t="str">
        <f t="shared" si="16"/>
        <v/>
      </c>
      <c r="O199" s="15" t="str">
        <f t="shared" si="17"/>
        <v/>
      </c>
      <c r="P199" s="15" t="str">
        <f>IF(OR(C199="",NOT(OR(ISNUMBER(SEARCH("Antitarnish",Upload!P189&amp;Upload!Q189&amp;Upload!R189&amp;Upload!S189&amp;Upload!T189)),ISNUMBER(SEARCH("Anti Tarnish",Upload!P189&amp;Upload!Q189&amp;Upload!R189&amp;Upload!S189&amp;Upload!T189))))),"",0.0012*C199)</f>
        <v/>
      </c>
      <c r="Q199" s="15" t="str">
        <f>IF(OR(E199="",NOT(OR(ISNUMBER(SEARCH("Epóxico MT",Upload!P189&amp;Upload!Q189&amp;Upload!R189&amp;Upload!S189&amp;Upload!T189))))),"",E199*0.000035)</f>
        <v/>
      </c>
      <c r="R199" s="15" t="str">
        <f>IF(OR(F199="",NOT(OR(ISNUMBER(SEARCH("Epóxico BT",Upload!Q189&amp;Upload!R189&amp;Upload!S189&amp;Upload!T189&amp;Upload!U189))))),"",F199*0.000035)</f>
        <v/>
      </c>
      <c r="S199" s="15" t="str">
        <f>IF(OR(G199="",NOT(OR(ISNUMBER(SEARCH("Epóxico Rojo",Upload!R189&amp;Upload!S189&amp;Upload!T189&amp;Upload!U189&amp;Upload!V189))))),"",G199*0.000035)</f>
        <v/>
      </c>
    </row>
    <row r="200" spans="1:19" x14ac:dyDescent="0.2">
      <c r="A200" s="9" t="e">
        <f t="shared" ca="1" si="12"/>
        <v>#NAME?</v>
      </c>
      <c r="B200" s="9">
        <f>Upload!E190</f>
        <v>0</v>
      </c>
      <c r="C200" s="9">
        <f>Upload!AE190</f>
        <v>0</v>
      </c>
      <c r="D200" s="9">
        <f>Upload!AF190</f>
        <v>0</v>
      </c>
      <c r="E200" s="9">
        <f>Upload!AG190</f>
        <v>0</v>
      </c>
      <c r="F200" s="9" t="str">
        <f>Upload!X190</f>
        <v/>
      </c>
      <c r="G200" s="9" t="str">
        <f>Upload!Z190</f>
        <v/>
      </c>
      <c r="H200" s="9" t="str">
        <f>Upload!W190</f>
        <v>(seleccione)</v>
      </c>
      <c r="I200" s="9" t="str">
        <f>Upload!Y190</f>
        <v>(seleccione)</v>
      </c>
      <c r="K200" s="15" t="str">
        <f t="shared" si="13"/>
        <v/>
      </c>
      <c r="L200" s="15" t="str">
        <f t="shared" si="14"/>
        <v/>
      </c>
      <c r="M200" s="15" t="str">
        <f t="shared" si="15"/>
        <v/>
      </c>
      <c r="N200" s="15" t="str">
        <f t="shared" si="16"/>
        <v/>
      </c>
      <c r="O200" s="15" t="str">
        <f t="shared" si="17"/>
        <v/>
      </c>
      <c r="P200" s="15" t="str">
        <f>IF(OR(C200="",NOT(OR(ISNUMBER(SEARCH("Antitarnish",Upload!P190&amp;Upload!Q190&amp;Upload!R190&amp;Upload!S190&amp;Upload!T190)),ISNUMBER(SEARCH("Anti Tarnish",Upload!P190&amp;Upload!Q190&amp;Upload!R190&amp;Upload!S190&amp;Upload!T190))))),"",0.0012*C200)</f>
        <v/>
      </c>
      <c r="Q200" s="15" t="str">
        <f>IF(OR(E200="",NOT(OR(ISNUMBER(SEARCH("Epóxico MT",Upload!P190&amp;Upload!Q190&amp;Upload!R190&amp;Upload!S190&amp;Upload!T190))))),"",E200*0.000035)</f>
        <v/>
      </c>
      <c r="R200" s="15" t="str">
        <f>IF(OR(F200="",NOT(OR(ISNUMBER(SEARCH("Epóxico BT",Upload!Q190&amp;Upload!R190&amp;Upload!S190&amp;Upload!T190&amp;Upload!U190))))),"",F200*0.000035)</f>
        <v/>
      </c>
      <c r="S200" s="15" t="str">
        <f>IF(OR(G200="",NOT(OR(ISNUMBER(SEARCH("Epóxico Rojo",Upload!R190&amp;Upload!S190&amp;Upload!T190&amp;Upload!U190&amp;Upload!V190))))),"",G200*0.000035)</f>
        <v/>
      </c>
    </row>
    <row r="201" spans="1:19" x14ac:dyDescent="0.2">
      <c r="A201" s="9" t="e">
        <f t="shared" ca="1" si="12"/>
        <v>#NAME?</v>
      </c>
      <c r="B201" s="9">
        <f>Upload!E191</f>
        <v>0</v>
      </c>
      <c r="C201" s="9">
        <f>Upload!AE191</f>
        <v>0</v>
      </c>
      <c r="D201" s="9">
        <f>Upload!AF191</f>
        <v>0</v>
      </c>
      <c r="E201" s="9">
        <f>Upload!AG191</f>
        <v>0</v>
      </c>
      <c r="F201" s="9" t="str">
        <f>Upload!X191</f>
        <v/>
      </c>
      <c r="G201" s="9" t="str">
        <f>Upload!Z191</f>
        <v/>
      </c>
      <c r="H201" s="9" t="str">
        <f>Upload!W191</f>
        <v>(seleccione)</v>
      </c>
      <c r="I201" s="9" t="str">
        <f>Upload!Y191</f>
        <v>(seleccione)</v>
      </c>
      <c r="K201" s="15" t="str">
        <f t="shared" si="13"/>
        <v/>
      </c>
      <c r="L201" s="15" t="str">
        <f t="shared" si="14"/>
        <v/>
      </c>
      <c r="M201" s="15" t="str">
        <f t="shared" si="15"/>
        <v/>
      </c>
      <c r="N201" s="15" t="str">
        <f t="shared" si="16"/>
        <v/>
      </c>
      <c r="O201" s="15" t="str">
        <f t="shared" si="17"/>
        <v/>
      </c>
      <c r="P201" s="15" t="str">
        <f>IF(OR(C201="",NOT(OR(ISNUMBER(SEARCH("Antitarnish",Upload!P191&amp;Upload!Q191&amp;Upload!R191&amp;Upload!S191&amp;Upload!T191)),ISNUMBER(SEARCH("Anti Tarnish",Upload!P191&amp;Upload!Q191&amp;Upload!R191&amp;Upload!S191&amp;Upload!T191))))),"",0.0012*C201)</f>
        <v/>
      </c>
      <c r="Q201" s="15" t="str">
        <f>IF(OR(E201="",NOT(OR(ISNUMBER(SEARCH("Epóxico MT",Upload!P191&amp;Upload!Q191&amp;Upload!R191&amp;Upload!S191&amp;Upload!T191))))),"",E201*0.000035)</f>
        <v/>
      </c>
      <c r="R201" s="15" t="str">
        <f>IF(OR(F201="",NOT(OR(ISNUMBER(SEARCH("Epóxico BT",Upload!Q191&amp;Upload!R191&amp;Upload!S191&amp;Upload!T191&amp;Upload!U191))))),"",F201*0.000035)</f>
        <v/>
      </c>
      <c r="S201" s="15" t="str">
        <f>IF(OR(G201="",NOT(OR(ISNUMBER(SEARCH("Epóxico Rojo",Upload!R191&amp;Upload!S191&amp;Upload!T191&amp;Upload!U191&amp;Upload!V191))))),"",G201*0.000035)</f>
        <v/>
      </c>
    </row>
    <row r="202" spans="1:19" x14ac:dyDescent="0.2">
      <c r="A202" s="9" t="e">
        <f t="shared" ca="1" si="12"/>
        <v>#NAME?</v>
      </c>
      <c r="B202" s="9">
        <f>Upload!E192</f>
        <v>0</v>
      </c>
      <c r="C202" s="9">
        <f>Upload!AE192</f>
        <v>0</v>
      </c>
      <c r="D202" s="9">
        <f>Upload!AF192</f>
        <v>0</v>
      </c>
      <c r="E202" s="9">
        <f>Upload!AG192</f>
        <v>0</v>
      </c>
      <c r="F202" s="9" t="str">
        <f>Upload!X192</f>
        <v/>
      </c>
      <c r="G202" s="9" t="str">
        <f>Upload!Z192</f>
        <v/>
      </c>
      <c r="H202" s="9" t="str">
        <f>Upload!W192</f>
        <v>(seleccione)</v>
      </c>
      <c r="I202" s="9" t="str">
        <f>Upload!Y192</f>
        <v>(seleccione)</v>
      </c>
      <c r="K202" s="15" t="str">
        <f t="shared" si="13"/>
        <v/>
      </c>
      <c r="L202" s="15" t="str">
        <f t="shared" si="14"/>
        <v/>
      </c>
      <c r="M202" s="15" t="str">
        <f t="shared" si="15"/>
        <v/>
      </c>
      <c r="N202" s="15" t="str">
        <f t="shared" si="16"/>
        <v/>
      </c>
      <c r="O202" s="15" t="str">
        <f t="shared" si="17"/>
        <v/>
      </c>
      <c r="P202" s="15" t="str">
        <f>IF(OR(C202="",NOT(OR(ISNUMBER(SEARCH("Antitarnish",Upload!P192&amp;Upload!Q192&amp;Upload!R192&amp;Upload!S192&amp;Upload!T192)),ISNUMBER(SEARCH("Anti Tarnish",Upload!P192&amp;Upload!Q192&amp;Upload!R192&amp;Upload!S192&amp;Upload!T192))))),"",0.0012*C202)</f>
        <v/>
      </c>
      <c r="Q202" s="15" t="str">
        <f>IF(OR(E202="",NOT(OR(ISNUMBER(SEARCH("Epóxico MT",Upload!P192&amp;Upload!Q192&amp;Upload!R192&amp;Upload!S192&amp;Upload!T192))))),"",E202*0.000035)</f>
        <v/>
      </c>
      <c r="R202" s="15" t="str">
        <f>IF(OR(F202="",NOT(OR(ISNUMBER(SEARCH("Epóxico BT",Upload!Q192&amp;Upload!R192&amp;Upload!S192&amp;Upload!T192&amp;Upload!U192))))),"",F202*0.000035)</f>
        <v/>
      </c>
      <c r="S202" s="15" t="str">
        <f>IF(OR(G202="",NOT(OR(ISNUMBER(SEARCH("Epóxico Rojo",Upload!R192&amp;Upload!S192&amp;Upload!T192&amp;Upload!U192&amp;Upload!V192))))),"",G202*0.000035)</f>
        <v/>
      </c>
    </row>
    <row r="203" spans="1:19" x14ac:dyDescent="0.2">
      <c r="A203" s="9" t="e">
        <f t="shared" ca="1" si="12"/>
        <v>#NAME?</v>
      </c>
      <c r="B203" s="9">
        <f>Upload!E193</f>
        <v>0</v>
      </c>
      <c r="C203" s="9">
        <f>Upload!AE193</f>
        <v>0</v>
      </c>
      <c r="D203" s="9">
        <f>Upload!AF193</f>
        <v>0</v>
      </c>
      <c r="E203" s="9">
        <f>Upload!AG193</f>
        <v>0</v>
      </c>
      <c r="F203" s="9" t="str">
        <f>Upload!X193</f>
        <v/>
      </c>
      <c r="G203" s="9" t="str">
        <f>Upload!Z193</f>
        <v/>
      </c>
      <c r="H203" s="9" t="str">
        <f>Upload!W193</f>
        <v>(seleccione)</v>
      </c>
      <c r="I203" s="9" t="str">
        <f>Upload!Y193</f>
        <v>(seleccione)</v>
      </c>
      <c r="K203" s="15" t="str">
        <f t="shared" si="13"/>
        <v/>
      </c>
      <c r="L203" s="15" t="str">
        <f t="shared" si="14"/>
        <v/>
      </c>
      <c r="M203" s="15" t="str">
        <f t="shared" si="15"/>
        <v/>
      </c>
      <c r="N203" s="15" t="str">
        <f t="shared" si="16"/>
        <v/>
      </c>
      <c r="O203" s="15" t="str">
        <f t="shared" si="17"/>
        <v/>
      </c>
      <c r="P203" s="15" t="str">
        <f>IF(OR(C203="",NOT(OR(ISNUMBER(SEARCH("Antitarnish",Upload!P193&amp;Upload!Q193&amp;Upload!R193&amp;Upload!S193&amp;Upload!T193)),ISNUMBER(SEARCH("Anti Tarnish",Upload!P193&amp;Upload!Q193&amp;Upload!R193&amp;Upload!S193&amp;Upload!T193))))),"",0.0012*C203)</f>
        <v/>
      </c>
      <c r="Q203" s="15" t="str">
        <f>IF(OR(E203="",NOT(OR(ISNUMBER(SEARCH("Epóxico MT",Upload!P193&amp;Upload!Q193&amp;Upload!R193&amp;Upload!S193&amp;Upload!T193))))),"",E203*0.000035)</f>
        <v/>
      </c>
      <c r="R203" s="15" t="str">
        <f>IF(OR(F203="",NOT(OR(ISNUMBER(SEARCH("Epóxico BT",Upload!Q193&amp;Upload!R193&amp;Upload!S193&amp;Upload!T193&amp;Upload!U193))))),"",F203*0.000035)</f>
        <v/>
      </c>
      <c r="S203" s="15" t="str">
        <f>IF(OR(G203="",NOT(OR(ISNUMBER(SEARCH("Epóxico Rojo",Upload!R193&amp;Upload!S193&amp;Upload!T193&amp;Upload!U193&amp;Upload!V193))))),"",G203*0.000035)</f>
        <v/>
      </c>
    </row>
    <row r="204" spans="1:19" x14ac:dyDescent="0.2">
      <c r="A204" s="9" t="e">
        <f t="shared" ca="1" si="12"/>
        <v>#NAME?</v>
      </c>
      <c r="B204" s="9">
        <f>Upload!E194</f>
        <v>0</v>
      </c>
      <c r="C204" s="9">
        <f>Upload!AE194</f>
        <v>0</v>
      </c>
      <c r="D204" s="9">
        <f>Upload!AF194</f>
        <v>0</v>
      </c>
      <c r="E204" s="9">
        <f>Upload!AG194</f>
        <v>0</v>
      </c>
      <c r="F204" s="9" t="str">
        <f>Upload!X194</f>
        <v/>
      </c>
      <c r="G204" s="9" t="str">
        <f>Upload!Z194</f>
        <v/>
      </c>
      <c r="H204" s="9" t="str">
        <f>Upload!W194</f>
        <v>(seleccione)</v>
      </c>
      <c r="I204" s="9" t="str">
        <f>Upload!Y194</f>
        <v>(seleccione)</v>
      </c>
      <c r="K204" s="15" t="str">
        <f t="shared" si="13"/>
        <v/>
      </c>
      <c r="L204" s="15" t="str">
        <f t="shared" si="14"/>
        <v/>
      </c>
      <c r="M204" s="15" t="str">
        <f t="shared" si="15"/>
        <v/>
      </c>
      <c r="N204" s="15" t="str">
        <f t="shared" si="16"/>
        <v/>
      </c>
      <c r="O204" s="15" t="str">
        <f t="shared" si="17"/>
        <v/>
      </c>
      <c r="P204" s="15" t="str">
        <f>IF(OR(C204="",NOT(OR(ISNUMBER(SEARCH("Antitarnish",Upload!P194&amp;Upload!Q194&amp;Upload!R194&amp;Upload!S194&amp;Upload!T194)),ISNUMBER(SEARCH("Anti Tarnish",Upload!P194&amp;Upload!Q194&amp;Upload!R194&amp;Upload!S194&amp;Upload!T194))))),"",0.0012*C204)</f>
        <v/>
      </c>
      <c r="Q204" s="15" t="str">
        <f>IF(OR(E204="",NOT(OR(ISNUMBER(SEARCH("Epóxico MT",Upload!P194&amp;Upload!Q194&amp;Upload!R194&amp;Upload!S194&amp;Upload!T194))))),"",E204*0.000035)</f>
        <v/>
      </c>
      <c r="R204" s="15" t="str">
        <f>IF(OR(F204="",NOT(OR(ISNUMBER(SEARCH("Epóxico BT",Upload!Q194&amp;Upload!R194&amp;Upload!S194&amp;Upload!T194&amp;Upload!U194))))),"",F204*0.000035)</f>
        <v/>
      </c>
      <c r="S204" s="15" t="str">
        <f>IF(OR(G204="",NOT(OR(ISNUMBER(SEARCH("Epóxico Rojo",Upload!R194&amp;Upload!S194&amp;Upload!T194&amp;Upload!U194&amp;Upload!V194))))),"",G204*0.000035)</f>
        <v/>
      </c>
    </row>
    <row r="205" spans="1:19" x14ac:dyDescent="0.2">
      <c r="A205" s="9" t="e">
        <f t="shared" ca="1" si="12"/>
        <v>#NAME?</v>
      </c>
      <c r="B205" s="9">
        <f>Upload!E195</f>
        <v>0</v>
      </c>
      <c r="C205" s="9">
        <f>Upload!AE195</f>
        <v>0</v>
      </c>
      <c r="D205" s="9">
        <f>Upload!AF195</f>
        <v>0</v>
      </c>
      <c r="E205" s="9">
        <f>Upload!AG195</f>
        <v>0</v>
      </c>
      <c r="F205" s="9" t="str">
        <f>Upload!X195</f>
        <v/>
      </c>
      <c r="G205" s="9" t="str">
        <f>Upload!Z195</f>
        <v/>
      </c>
      <c r="H205" s="9" t="str">
        <f>Upload!W195</f>
        <v>(seleccione)</v>
      </c>
      <c r="I205" s="9" t="str">
        <f>Upload!Y195</f>
        <v>(seleccione)</v>
      </c>
      <c r="K205" s="15" t="str">
        <f t="shared" si="13"/>
        <v/>
      </c>
      <c r="L205" s="15" t="str">
        <f t="shared" si="14"/>
        <v/>
      </c>
      <c r="M205" s="15" t="str">
        <f t="shared" si="15"/>
        <v/>
      </c>
      <c r="N205" s="15" t="str">
        <f t="shared" si="16"/>
        <v/>
      </c>
      <c r="O205" s="15" t="str">
        <f t="shared" si="17"/>
        <v/>
      </c>
      <c r="P205" s="15" t="str">
        <f>IF(OR(C205="",NOT(OR(ISNUMBER(SEARCH("Antitarnish",Upload!P195&amp;Upload!Q195&amp;Upload!R195&amp;Upload!S195&amp;Upload!T195)),ISNUMBER(SEARCH("Anti Tarnish",Upload!P195&amp;Upload!Q195&amp;Upload!R195&amp;Upload!S195&amp;Upload!T195))))),"",0.0012*C205)</f>
        <v/>
      </c>
      <c r="Q205" s="15" t="str">
        <f>IF(OR(E205="",NOT(OR(ISNUMBER(SEARCH("Epóxico MT",Upload!P195&amp;Upload!Q195&amp;Upload!R195&amp;Upload!S195&amp;Upload!T195))))),"",E205*0.000035)</f>
        <v/>
      </c>
      <c r="R205" s="15" t="str">
        <f>IF(OR(F205="",NOT(OR(ISNUMBER(SEARCH("Epóxico BT",Upload!Q195&amp;Upload!R195&amp;Upload!S195&amp;Upload!T195&amp;Upload!U195))))),"",F205*0.000035)</f>
        <v/>
      </c>
      <c r="S205" s="15" t="str">
        <f>IF(OR(G205="",NOT(OR(ISNUMBER(SEARCH("Epóxico Rojo",Upload!R195&amp;Upload!S195&amp;Upload!T195&amp;Upload!U195&amp;Upload!V195))))),"",G205*0.000035)</f>
        <v/>
      </c>
    </row>
    <row r="206" spans="1:19" x14ac:dyDescent="0.2">
      <c r="A206" s="9" t="e">
        <f t="shared" ca="1" si="12"/>
        <v>#NAME?</v>
      </c>
      <c r="B206" s="9">
        <f>Upload!E196</f>
        <v>0</v>
      </c>
      <c r="C206" s="9">
        <f>Upload!AE196</f>
        <v>0</v>
      </c>
      <c r="D206" s="9">
        <f>Upload!AF196</f>
        <v>0</v>
      </c>
      <c r="E206" s="9">
        <f>Upload!AG196</f>
        <v>0</v>
      </c>
      <c r="F206" s="9" t="str">
        <f>Upload!X196</f>
        <v/>
      </c>
      <c r="G206" s="9" t="str">
        <f>Upload!Z196</f>
        <v/>
      </c>
      <c r="H206" s="9" t="str">
        <f>Upload!W196</f>
        <v>(seleccione)</v>
      </c>
      <c r="I206" s="9" t="str">
        <f>Upload!Y196</f>
        <v>(seleccione)</v>
      </c>
      <c r="K206" s="15" t="str">
        <f t="shared" si="13"/>
        <v/>
      </c>
      <c r="L206" s="15" t="str">
        <f t="shared" si="14"/>
        <v/>
      </c>
      <c r="M206" s="15" t="str">
        <f t="shared" si="15"/>
        <v/>
      </c>
      <c r="N206" s="15" t="str">
        <f t="shared" si="16"/>
        <v/>
      </c>
      <c r="O206" s="15" t="str">
        <f t="shared" si="17"/>
        <v/>
      </c>
      <c r="P206" s="15" t="str">
        <f>IF(OR(C206="",NOT(OR(ISNUMBER(SEARCH("Antitarnish",Upload!P196&amp;Upload!Q196&amp;Upload!R196&amp;Upload!S196&amp;Upload!T196)),ISNUMBER(SEARCH("Anti Tarnish",Upload!P196&amp;Upload!Q196&amp;Upload!R196&amp;Upload!S196&amp;Upload!T196))))),"",0.0012*C206)</f>
        <v/>
      </c>
      <c r="Q206" s="15" t="str">
        <f>IF(OR(E206="",NOT(OR(ISNUMBER(SEARCH("Epóxico MT",Upload!P196&amp;Upload!Q196&amp;Upload!R196&amp;Upload!S196&amp;Upload!T196))))),"",E206*0.000035)</f>
        <v/>
      </c>
      <c r="R206" s="15" t="str">
        <f>IF(OR(F206="",NOT(OR(ISNUMBER(SEARCH("Epóxico BT",Upload!Q196&amp;Upload!R196&amp;Upload!S196&amp;Upload!T196&amp;Upload!U196))))),"",F206*0.000035)</f>
        <v/>
      </c>
      <c r="S206" s="15" t="str">
        <f>IF(OR(G206="",NOT(OR(ISNUMBER(SEARCH("Epóxico Rojo",Upload!R196&amp;Upload!S196&amp;Upload!T196&amp;Upload!U196&amp;Upload!V196))))),"",G206*0.000035)</f>
        <v/>
      </c>
    </row>
    <row r="207" spans="1:19" x14ac:dyDescent="0.2">
      <c r="A207" s="9" t="e">
        <f t="shared" ca="1" si="12"/>
        <v>#NAME?</v>
      </c>
      <c r="B207" s="9">
        <f>Upload!E197</f>
        <v>0</v>
      </c>
      <c r="C207" s="9">
        <f>Upload!AE197</f>
        <v>0</v>
      </c>
      <c r="D207" s="9">
        <f>Upload!AF197</f>
        <v>0</v>
      </c>
      <c r="E207" s="9">
        <f>Upload!AG197</f>
        <v>0</v>
      </c>
      <c r="F207" s="9" t="str">
        <f>Upload!X197</f>
        <v/>
      </c>
      <c r="G207" s="9" t="str">
        <f>Upload!Z197</f>
        <v/>
      </c>
      <c r="H207" s="9" t="str">
        <f>Upload!W197</f>
        <v>(seleccione)</v>
      </c>
      <c r="I207" s="9" t="str">
        <f>Upload!Y197</f>
        <v>(seleccione)</v>
      </c>
      <c r="K207" s="15" t="str">
        <f t="shared" si="13"/>
        <v/>
      </c>
      <c r="L207" s="15" t="str">
        <f t="shared" si="14"/>
        <v/>
      </c>
      <c r="M207" s="15" t="str">
        <f t="shared" si="15"/>
        <v/>
      </c>
      <c r="N207" s="15" t="str">
        <f t="shared" si="16"/>
        <v/>
      </c>
      <c r="O207" s="15" t="str">
        <f t="shared" si="17"/>
        <v/>
      </c>
      <c r="P207" s="15" t="str">
        <f>IF(OR(C207="",NOT(OR(ISNUMBER(SEARCH("Antitarnish",Upload!P197&amp;Upload!Q197&amp;Upload!R197&amp;Upload!S197&amp;Upload!T197)),ISNUMBER(SEARCH("Anti Tarnish",Upload!P197&amp;Upload!Q197&amp;Upload!R197&amp;Upload!S197&amp;Upload!T197))))),"",0.0012*C207)</f>
        <v/>
      </c>
      <c r="Q207" s="15" t="str">
        <f>IF(OR(E207="",NOT(OR(ISNUMBER(SEARCH("Epóxico MT",Upload!P197&amp;Upload!Q197&amp;Upload!R197&amp;Upload!S197&amp;Upload!T197))))),"",E207*0.000035)</f>
        <v/>
      </c>
      <c r="R207" s="15" t="str">
        <f>IF(OR(F207="",NOT(OR(ISNUMBER(SEARCH("Epóxico BT",Upload!Q197&amp;Upload!R197&amp;Upload!S197&amp;Upload!T197&amp;Upload!U197))))),"",F207*0.000035)</f>
        <v/>
      </c>
      <c r="S207" s="15" t="str">
        <f>IF(OR(G207="",NOT(OR(ISNUMBER(SEARCH("Epóxico Rojo",Upload!R197&amp;Upload!S197&amp;Upload!T197&amp;Upload!U197&amp;Upload!V197))))),"",G207*0.000035)</f>
        <v/>
      </c>
    </row>
    <row r="208" spans="1:19" x14ac:dyDescent="0.2">
      <c r="A208" s="9" t="e">
        <f t="shared" ca="1" si="12"/>
        <v>#NAME?</v>
      </c>
      <c r="B208" s="9">
        <f>Upload!E198</f>
        <v>0</v>
      </c>
      <c r="C208" s="9">
        <f>Upload!AE198</f>
        <v>0</v>
      </c>
      <c r="D208" s="9">
        <f>Upload!AF198</f>
        <v>0</v>
      </c>
      <c r="E208" s="9">
        <f>Upload!AG198</f>
        <v>0</v>
      </c>
      <c r="F208" s="9" t="str">
        <f>Upload!X198</f>
        <v/>
      </c>
      <c r="G208" s="9" t="str">
        <f>Upload!Z198</f>
        <v/>
      </c>
      <c r="H208" s="9" t="str">
        <f>Upload!W198</f>
        <v>(seleccione)</v>
      </c>
      <c r="I208" s="9" t="str">
        <f>Upload!Y198</f>
        <v>(seleccione)</v>
      </c>
      <c r="K208" s="15" t="str">
        <f t="shared" si="13"/>
        <v/>
      </c>
      <c r="L208" s="15" t="str">
        <f t="shared" si="14"/>
        <v/>
      </c>
      <c r="M208" s="15" t="str">
        <f t="shared" si="15"/>
        <v/>
      </c>
      <c r="N208" s="15" t="str">
        <f t="shared" si="16"/>
        <v/>
      </c>
      <c r="O208" s="15" t="str">
        <f t="shared" si="17"/>
        <v/>
      </c>
      <c r="P208" s="15" t="str">
        <f>IF(OR(C208="",NOT(OR(ISNUMBER(SEARCH("Antitarnish",Upload!P198&amp;Upload!Q198&amp;Upload!R198&amp;Upload!S198&amp;Upload!T198)),ISNUMBER(SEARCH("Anti Tarnish",Upload!P198&amp;Upload!Q198&amp;Upload!R198&amp;Upload!S198&amp;Upload!T198))))),"",0.0012*C208)</f>
        <v/>
      </c>
      <c r="Q208" s="15" t="str">
        <f>IF(OR(E208="",NOT(OR(ISNUMBER(SEARCH("Epóxico MT",Upload!P198&amp;Upload!Q198&amp;Upload!R198&amp;Upload!S198&amp;Upload!T198))))),"",E208*0.000035)</f>
        <v/>
      </c>
      <c r="R208" s="15" t="str">
        <f>IF(OR(F208="",NOT(OR(ISNUMBER(SEARCH("Epóxico BT",Upload!Q198&amp;Upload!R198&amp;Upload!S198&amp;Upload!T198&amp;Upload!U198))))),"",F208*0.000035)</f>
        <v/>
      </c>
      <c r="S208" s="15" t="str">
        <f>IF(OR(G208="",NOT(OR(ISNUMBER(SEARCH("Epóxico Rojo",Upload!R198&amp;Upload!S198&amp;Upload!T198&amp;Upload!U198&amp;Upload!V198))))),"",G208*0.000035)</f>
        <v/>
      </c>
    </row>
    <row r="209" spans="1:19" x14ac:dyDescent="0.2">
      <c r="A209" s="9" t="e">
        <f t="shared" ca="1" si="12"/>
        <v>#NAME?</v>
      </c>
      <c r="B209" s="9">
        <f>Upload!E199</f>
        <v>0</v>
      </c>
      <c r="C209" s="9">
        <f>Upload!AE199</f>
        <v>0</v>
      </c>
      <c r="D209" s="9">
        <f>Upload!AF199</f>
        <v>0</v>
      </c>
      <c r="E209" s="9">
        <f>Upload!AG199</f>
        <v>0</v>
      </c>
      <c r="F209" s="9" t="str">
        <f>Upload!X199</f>
        <v/>
      </c>
      <c r="G209" s="9" t="str">
        <f>Upload!Z199</f>
        <v/>
      </c>
      <c r="H209" s="9" t="str">
        <f>Upload!W199</f>
        <v>(seleccione)</v>
      </c>
      <c r="I209" s="9" t="str">
        <f>Upload!Y199</f>
        <v>(seleccione)</v>
      </c>
      <c r="K209" s="15" t="str">
        <f t="shared" si="13"/>
        <v/>
      </c>
      <c r="L209" s="15" t="str">
        <f t="shared" si="14"/>
        <v/>
      </c>
      <c r="M209" s="15" t="str">
        <f t="shared" si="15"/>
        <v/>
      </c>
      <c r="N209" s="15" t="str">
        <f t="shared" si="16"/>
        <v/>
      </c>
      <c r="O209" s="15" t="str">
        <f t="shared" si="17"/>
        <v/>
      </c>
      <c r="P209" s="15" t="str">
        <f>IF(OR(C209="",NOT(OR(ISNUMBER(SEARCH("Antitarnish",Upload!P199&amp;Upload!Q199&amp;Upload!R199&amp;Upload!S199&amp;Upload!T199)),ISNUMBER(SEARCH("Anti Tarnish",Upload!P199&amp;Upload!Q199&amp;Upload!R199&amp;Upload!S199&amp;Upload!T199))))),"",0.0012*C209)</f>
        <v/>
      </c>
      <c r="Q209" s="15" t="str">
        <f>IF(OR(E209="",NOT(OR(ISNUMBER(SEARCH("Epóxico MT",Upload!P199&amp;Upload!Q199&amp;Upload!R199&amp;Upload!S199&amp;Upload!T199))))),"",E209*0.000035)</f>
        <v/>
      </c>
      <c r="R209" s="15" t="str">
        <f>IF(OR(F209="",NOT(OR(ISNUMBER(SEARCH("Epóxico BT",Upload!Q199&amp;Upload!R199&amp;Upload!S199&amp;Upload!T199&amp;Upload!U199))))),"",F209*0.000035)</f>
        <v/>
      </c>
      <c r="S209" s="15" t="str">
        <f>IF(OR(G209="",NOT(OR(ISNUMBER(SEARCH("Epóxico Rojo",Upload!R199&amp;Upload!S199&amp;Upload!T199&amp;Upload!U199&amp;Upload!V199))))),"",G209*0.000035)</f>
        <v/>
      </c>
    </row>
    <row r="210" spans="1:19" x14ac:dyDescent="0.2">
      <c r="A210" s="9" t="e">
        <f t="shared" ca="1" si="12"/>
        <v>#NAME?</v>
      </c>
      <c r="B210" s="9">
        <f>Upload!E200</f>
        <v>0</v>
      </c>
      <c r="C210" s="9">
        <f>Upload!AE200</f>
        <v>0</v>
      </c>
      <c r="D210" s="9">
        <f>Upload!AF200</f>
        <v>0</v>
      </c>
      <c r="E210" s="9">
        <f>Upload!AG200</f>
        <v>0</v>
      </c>
      <c r="F210" s="9" t="str">
        <f>Upload!X200</f>
        <v/>
      </c>
      <c r="G210" s="9" t="str">
        <f>Upload!Z200</f>
        <v/>
      </c>
      <c r="H210" s="9" t="str">
        <f>Upload!W200</f>
        <v>(seleccione)</v>
      </c>
      <c r="I210" s="9" t="str">
        <f>Upload!Y200</f>
        <v>(seleccione)</v>
      </c>
      <c r="K210" s="15" t="str">
        <f t="shared" si="13"/>
        <v/>
      </c>
      <c r="L210" s="15" t="str">
        <f t="shared" si="14"/>
        <v/>
      </c>
      <c r="M210" s="15" t="str">
        <f t="shared" si="15"/>
        <v/>
      </c>
      <c r="N210" s="15" t="str">
        <f t="shared" si="16"/>
        <v/>
      </c>
      <c r="O210" s="15" t="str">
        <f t="shared" si="17"/>
        <v/>
      </c>
      <c r="P210" s="15" t="str">
        <f>IF(OR(C210="",NOT(OR(ISNUMBER(SEARCH("Antitarnish",Upload!P200&amp;Upload!Q200&amp;Upload!R200&amp;Upload!S200&amp;Upload!T200)),ISNUMBER(SEARCH("Anti Tarnish",Upload!P200&amp;Upload!Q200&amp;Upload!R200&amp;Upload!S200&amp;Upload!T200))))),"",0.0012*C210)</f>
        <v/>
      </c>
      <c r="Q210" s="15" t="str">
        <f>IF(OR(E210="",NOT(OR(ISNUMBER(SEARCH("Epóxico MT",Upload!P200&amp;Upload!Q200&amp;Upload!R200&amp;Upload!S200&amp;Upload!T200))))),"",E210*0.000035)</f>
        <v/>
      </c>
      <c r="R210" s="15" t="str">
        <f>IF(OR(F210="",NOT(OR(ISNUMBER(SEARCH("Epóxico BT",Upload!Q200&amp;Upload!R200&amp;Upload!S200&amp;Upload!T200&amp;Upload!U200))))),"",F210*0.000035)</f>
        <v/>
      </c>
      <c r="S210" s="15" t="str">
        <f>IF(OR(G210="",NOT(OR(ISNUMBER(SEARCH("Epóxico Rojo",Upload!R200&amp;Upload!S200&amp;Upload!T200&amp;Upload!U200&amp;Upload!V200))))),"",G210*0.000035)</f>
        <v/>
      </c>
    </row>
    <row r="211" spans="1:19" x14ac:dyDescent="0.2">
      <c r="A211" s="9" t="e">
        <f t="shared" ref="A211:A274" ca="1" si="18">_xludf.ROW()-18</f>
        <v>#NAME?</v>
      </c>
      <c r="B211" s="9">
        <f>Upload!E201</f>
        <v>0</v>
      </c>
      <c r="C211" s="9">
        <f>Upload!AE201</f>
        <v>0</v>
      </c>
      <c r="D211" s="9">
        <f>Upload!AF201</f>
        <v>0</v>
      </c>
      <c r="E211" s="9">
        <f>Upload!AG201</f>
        <v>0</v>
      </c>
      <c r="F211" s="9" t="str">
        <f>Upload!X201</f>
        <v/>
      </c>
      <c r="G211" s="9" t="str">
        <f>Upload!Z201</f>
        <v/>
      </c>
      <c r="H211" s="9" t="str">
        <f>Upload!W201</f>
        <v>(seleccione)</v>
      </c>
      <c r="I211" s="9" t="str">
        <f>Upload!Y201</f>
        <v>(seleccione)</v>
      </c>
      <c r="K211" s="15" t="str">
        <f t="shared" ref="K211:K274" si="19">IFERROR(IF(OR(D211="",IF(ISNUMBER(SEARCH("Plata",H211)),F211,IF(ISNUMBER(SEARCH("Plata",I211)),G211,""))=""),"",$D$6*D211*(IF(ISNUMBER(SEARCH("Plata",H211)),F211,IF(ISNUMBER(SEARCH("Plata",I211)),G211,"")))/10000000),"")</f>
        <v/>
      </c>
      <c r="L211" s="15" t="str">
        <f t="shared" ref="L211:L274" si="20">IFERROR(IF(OR(D211="",IF(OR(ISNUMBER(SEARCH("Estaño",H211)),ISNUMBER(SEARCH("Estañ",H211)),ISNUMBER(SEARCH("Tin",H211))),F211,IF(OR(ISNUMBER(SEARCH("Estaño",I211)),ISNUMBER(SEARCH("Estañ",I211)),ISNUMBER(SEARCH("Tin",I211))),G211,""))=""),"",$D$7*D211*(IF(OR(ISNUMBER(SEARCH("Estaño",H211)),ISNUMBER(SEARCH("Estañ",H211)),ISNUMBER(SEARCH("Tin",H211))),F211,IF(OR(ISNUMBER(SEARCH("Estaño",I211)),ISNUMBER(SEARCH("Estañ",I211)),ISNUMBER(SEARCH("Tin",I211))),G211,"")))/10000000),"")</f>
        <v/>
      </c>
      <c r="M211" s="15" t="str">
        <f t="shared" ref="M211:M274" si="21">IFERROR(IF(OR(D211="",IF(OR(ISNUMBER(SEARCH("Níquel",H211)),ISNUMBER(SEARCH("Niquel",H211))),F211,IF(OR(ISNUMBER(SEARCH("Níquel",I211)),ISNUMBER(SEARCH("Niquel",I211))),G211,""))=""),"",$D$8*D211*(IF(OR(ISNUMBER(SEARCH("Níquel",H211)),ISNUMBER(SEARCH("Niquel",H211))),F211,IF(OR(ISNUMBER(SEARCH("Níquel",I211)),ISNUMBER(SEARCH("Niquel",I211))),G211,"")))/10000000),"")</f>
        <v/>
      </c>
      <c r="N211" s="15" t="str">
        <f t="shared" ref="N211:N274" si="22">IFERROR(IF(OR(D211="",IF(ISNUMBER(SEARCH("Zinc",H211)),F211,IF(ISNUMBER(SEARCH("Zinc",I211)),G211,""))=""),"",$D$9*D211*(IF(ISNUMBER(SEARCH("Zinc",H211)),F211,IF(ISNUMBER(SEARCH("Zinc",I211)),G211,"")))/10000000),"")</f>
        <v/>
      </c>
      <c r="O211" s="15" t="str">
        <f t="shared" ref="O211:O274" si="23">IFERROR(IF(OR(D211="",IF(OR(ISNUMBER(SEARCH("Cobre",H211)),ISNUMBER(SEARCH("Bondal",H211))),F211,IF(OR(ISNUMBER(SEARCH("Cobre",I211)),ISNUMBER(SEARCH("Bondal",I211))),G211,""))=""),"",$D$10*D211*(IF(OR(ISNUMBER(SEARCH("Cobre",H211)),ISNUMBER(SEARCH("Bondal",H211))),F211,IF(OR(ISNUMBER(SEARCH("Cobre",I211)),ISNUMBER(SEARCH("Bondal",I211))),G211,"")))/10000000),"")</f>
        <v/>
      </c>
      <c r="P211" s="15" t="str">
        <f>IF(OR(C211="",NOT(OR(ISNUMBER(SEARCH("Antitarnish",Upload!P201&amp;Upload!Q201&amp;Upload!R201&amp;Upload!S201&amp;Upload!T201)),ISNUMBER(SEARCH("Anti Tarnish",Upload!P201&amp;Upload!Q201&amp;Upload!R201&amp;Upload!S201&amp;Upload!T201))))),"",0.0012*C211)</f>
        <v/>
      </c>
      <c r="Q211" s="15" t="str">
        <f>IF(OR(E211="",NOT(OR(ISNUMBER(SEARCH("Epóxico MT",Upload!P201&amp;Upload!Q201&amp;Upload!R201&amp;Upload!S201&amp;Upload!T201))))),"",E211*0.000035)</f>
        <v/>
      </c>
      <c r="R211" s="15" t="str">
        <f>IF(OR(F211="",NOT(OR(ISNUMBER(SEARCH("Epóxico BT",Upload!Q201&amp;Upload!R201&amp;Upload!S201&amp;Upload!T201&amp;Upload!U201))))),"",F211*0.000035)</f>
        <v/>
      </c>
      <c r="S211" s="15" t="str">
        <f>IF(OR(G211="",NOT(OR(ISNUMBER(SEARCH("Epóxico Rojo",Upload!R201&amp;Upload!S201&amp;Upload!T201&amp;Upload!U201&amp;Upload!V201))))),"",G211*0.000035)</f>
        <v/>
      </c>
    </row>
    <row r="212" spans="1:19" x14ac:dyDescent="0.2">
      <c r="A212" s="9" t="e">
        <f t="shared" ca="1" si="18"/>
        <v>#NAME?</v>
      </c>
      <c r="B212" s="9">
        <f>Upload!E202</f>
        <v>0</v>
      </c>
      <c r="C212" s="9">
        <f>Upload!AE202</f>
        <v>0</v>
      </c>
      <c r="D212" s="9">
        <f>Upload!AF202</f>
        <v>0</v>
      </c>
      <c r="E212" s="9">
        <f>Upload!AG202</f>
        <v>0</v>
      </c>
      <c r="F212" s="9" t="str">
        <f>Upload!X202</f>
        <v/>
      </c>
      <c r="G212" s="9" t="str">
        <f>Upload!Z202</f>
        <v/>
      </c>
      <c r="H212" s="9" t="str">
        <f>Upload!W202</f>
        <v>(seleccione)</v>
      </c>
      <c r="I212" s="9" t="str">
        <f>Upload!Y202</f>
        <v>(seleccione)</v>
      </c>
      <c r="K212" s="15" t="str">
        <f t="shared" si="19"/>
        <v/>
      </c>
      <c r="L212" s="15" t="str">
        <f t="shared" si="20"/>
        <v/>
      </c>
      <c r="M212" s="15" t="str">
        <f t="shared" si="21"/>
        <v/>
      </c>
      <c r="N212" s="15" t="str">
        <f t="shared" si="22"/>
        <v/>
      </c>
      <c r="O212" s="15" t="str">
        <f t="shared" si="23"/>
        <v/>
      </c>
      <c r="P212" s="15" t="str">
        <f>IF(OR(C212="",NOT(OR(ISNUMBER(SEARCH("Antitarnish",Upload!P202&amp;Upload!Q202&amp;Upload!R202&amp;Upload!S202&amp;Upload!T202)),ISNUMBER(SEARCH("Anti Tarnish",Upload!P202&amp;Upload!Q202&amp;Upload!R202&amp;Upload!S202&amp;Upload!T202))))),"",0.0012*C212)</f>
        <v/>
      </c>
      <c r="Q212" s="15" t="str">
        <f>IF(OR(E212="",NOT(OR(ISNUMBER(SEARCH("Epóxico MT",Upload!P202&amp;Upload!Q202&amp;Upload!R202&amp;Upload!S202&amp;Upload!T202))))),"",E212*0.000035)</f>
        <v/>
      </c>
      <c r="R212" s="15" t="str">
        <f>IF(OR(F212="",NOT(OR(ISNUMBER(SEARCH("Epóxico BT",Upload!Q202&amp;Upload!R202&amp;Upload!S202&amp;Upload!T202&amp;Upload!U202))))),"",F212*0.000035)</f>
        <v/>
      </c>
      <c r="S212" s="15" t="str">
        <f>IF(OR(G212="",NOT(OR(ISNUMBER(SEARCH("Epóxico Rojo",Upload!R202&amp;Upload!S202&amp;Upload!T202&amp;Upload!U202&amp;Upload!V202))))),"",G212*0.000035)</f>
        <v/>
      </c>
    </row>
    <row r="213" spans="1:19" x14ac:dyDescent="0.2">
      <c r="A213" s="9" t="e">
        <f t="shared" ca="1" si="18"/>
        <v>#NAME?</v>
      </c>
      <c r="B213" s="9">
        <f>Upload!E203</f>
        <v>0</v>
      </c>
      <c r="C213" s="9">
        <f>Upload!AE203</f>
        <v>0</v>
      </c>
      <c r="D213" s="9">
        <f>Upload!AF203</f>
        <v>0</v>
      </c>
      <c r="E213" s="9">
        <f>Upload!AG203</f>
        <v>0</v>
      </c>
      <c r="F213" s="9" t="str">
        <f>Upload!X203</f>
        <v/>
      </c>
      <c r="G213" s="9" t="str">
        <f>Upload!Z203</f>
        <v/>
      </c>
      <c r="H213" s="9" t="str">
        <f>Upload!W203</f>
        <v>(seleccione)</v>
      </c>
      <c r="I213" s="9" t="str">
        <f>Upload!Y203</f>
        <v>(seleccione)</v>
      </c>
      <c r="K213" s="15" t="str">
        <f t="shared" si="19"/>
        <v/>
      </c>
      <c r="L213" s="15" t="str">
        <f t="shared" si="20"/>
        <v/>
      </c>
      <c r="M213" s="15" t="str">
        <f t="shared" si="21"/>
        <v/>
      </c>
      <c r="N213" s="15" t="str">
        <f t="shared" si="22"/>
        <v/>
      </c>
      <c r="O213" s="15" t="str">
        <f t="shared" si="23"/>
        <v/>
      </c>
      <c r="P213" s="15" t="str">
        <f>IF(OR(C213="",NOT(OR(ISNUMBER(SEARCH("Antitarnish",Upload!P203&amp;Upload!Q203&amp;Upload!R203&amp;Upload!S203&amp;Upload!T203)),ISNUMBER(SEARCH("Anti Tarnish",Upload!P203&amp;Upload!Q203&amp;Upload!R203&amp;Upload!S203&amp;Upload!T203))))),"",0.0012*C213)</f>
        <v/>
      </c>
      <c r="Q213" s="15" t="str">
        <f>IF(OR(E213="",NOT(OR(ISNUMBER(SEARCH("Epóxico MT",Upload!P203&amp;Upload!Q203&amp;Upload!R203&amp;Upload!S203&amp;Upload!T203))))),"",E213*0.000035)</f>
        <v/>
      </c>
      <c r="R213" s="15" t="str">
        <f>IF(OR(F213="",NOT(OR(ISNUMBER(SEARCH("Epóxico BT",Upload!Q203&amp;Upload!R203&amp;Upload!S203&amp;Upload!T203&amp;Upload!U203))))),"",F213*0.000035)</f>
        <v/>
      </c>
      <c r="S213" s="15" t="str">
        <f>IF(OR(G213="",NOT(OR(ISNUMBER(SEARCH("Epóxico Rojo",Upload!R203&amp;Upload!S203&amp;Upload!T203&amp;Upload!U203&amp;Upload!V203))))),"",G213*0.000035)</f>
        <v/>
      </c>
    </row>
    <row r="214" spans="1:19" x14ac:dyDescent="0.2">
      <c r="A214" s="9" t="e">
        <f t="shared" ca="1" si="18"/>
        <v>#NAME?</v>
      </c>
      <c r="B214" s="9">
        <f>Upload!E204</f>
        <v>0</v>
      </c>
      <c r="C214" s="9">
        <f>Upload!AE204</f>
        <v>0</v>
      </c>
      <c r="D214" s="9">
        <f>Upload!AF204</f>
        <v>0</v>
      </c>
      <c r="E214" s="9">
        <f>Upload!AG204</f>
        <v>0</v>
      </c>
      <c r="F214" s="9" t="str">
        <f>Upload!X204</f>
        <v/>
      </c>
      <c r="G214" s="9" t="str">
        <f>Upload!Z204</f>
        <v/>
      </c>
      <c r="H214" s="9" t="str">
        <f>Upload!W204</f>
        <v>(seleccione)</v>
      </c>
      <c r="I214" s="9" t="str">
        <f>Upload!Y204</f>
        <v>(seleccione)</v>
      </c>
      <c r="K214" s="15" t="str">
        <f t="shared" si="19"/>
        <v/>
      </c>
      <c r="L214" s="15" t="str">
        <f t="shared" si="20"/>
        <v/>
      </c>
      <c r="M214" s="15" t="str">
        <f t="shared" si="21"/>
        <v/>
      </c>
      <c r="N214" s="15" t="str">
        <f t="shared" si="22"/>
        <v/>
      </c>
      <c r="O214" s="15" t="str">
        <f t="shared" si="23"/>
        <v/>
      </c>
      <c r="P214" s="15" t="str">
        <f>IF(OR(C214="",NOT(OR(ISNUMBER(SEARCH("Antitarnish",Upload!P204&amp;Upload!Q204&amp;Upload!R204&amp;Upload!S204&amp;Upload!T204)),ISNUMBER(SEARCH("Anti Tarnish",Upload!P204&amp;Upload!Q204&amp;Upload!R204&amp;Upload!S204&amp;Upload!T204))))),"",0.0012*C214)</f>
        <v/>
      </c>
      <c r="Q214" s="15" t="str">
        <f>IF(OR(E214="",NOT(OR(ISNUMBER(SEARCH("Epóxico MT",Upload!P204&amp;Upload!Q204&amp;Upload!R204&amp;Upload!S204&amp;Upload!T204))))),"",E214*0.000035)</f>
        <v/>
      </c>
      <c r="R214" s="15" t="str">
        <f>IF(OR(F214="",NOT(OR(ISNUMBER(SEARCH("Epóxico BT",Upload!Q204&amp;Upload!R204&amp;Upload!S204&amp;Upload!T204&amp;Upload!U204))))),"",F214*0.000035)</f>
        <v/>
      </c>
      <c r="S214" s="15" t="str">
        <f>IF(OR(G214="",NOT(OR(ISNUMBER(SEARCH("Epóxico Rojo",Upload!R204&amp;Upload!S204&amp;Upload!T204&amp;Upload!U204&amp;Upload!V204))))),"",G214*0.000035)</f>
        <v/>
      </c>
    </row>
    <row r="215" spans="1:19" x14ac:dyDescent="0.2">
      <c r="A215" s="9" t="e">
        <f t="shared" ca="1" si="18"/>
        <v>#NAME?</v>
      </c>
      <c r="B215" s="9">
        <f>Upload!E205</f>
        <v>0</v>
      </c>
      <c r="C215" s="9">
        <f>Upload!AE205</f>
        <v>0</v>
      </c>
      <c r="D215" s="9">
        <f>Upload!AF205</f>
        <v>0</v>
      </c>
      <c r="E215" s="9">
        <f>Upload!AG205</f>
        <v>0</v>
      </c>
      <c r="F215" s="9" t="str">
        <f>Upload!X205</f>
        <v/>
      </c>
      <c r="G215" s="9" t="str">
        <f>Upload!Z205</f>
        <v/>
      </c>
      <c r="H215" s="9" t="str">
        <f>Upload!W205</f>
        <v>(seleccione)</v>
      </c>
      <c r="I215" s="9" t="str">
        <f>Upload!Y205</f>
        <v>(seleccione)</v>
      </c>
      <c r="K215" s="15" t="str">
        <f t="shared" si="19"/>
        <v/>
      </c>
      <c r="L215" s="15" t="str">
        <f t="shared" si="20"/>
        <v/>
      </c>
      <c r="M215" s="15" t="str">
        <f t="shared" si="21"/>
        <v/>
      </c>
      <c r="N215" s="15" t="str">
        <f t="shared" si="22"/>
        <v/>
      </c>
      <c r="O215" s="15" t="str">
        <f t="shared" si="23"/>
        <v/>
      </c>
      <c r="P215" s="15" t="str">
        <f>IF(OR(C215="",NOT(OR(ISNUMBER(SEARCH("Antitarnish",Upload!P205&amp;Upload!Q205&amp;Upload!R205&amp;Upload!S205&amp;Upload!T205)),ISNUMBER(SEARCH("Anti Tarnish",Upload!P205&amp;Upload!Q205&amp;Upload!R205&amp;Upload!S205&amp;Upload!T205))))),"",0.0012*C215)</f>
        <v/>
      </c>
      <c r="Q215" s="15" t="str">
        <f>IF(OR(E215="",NOT(OR(ISNUMBER(SEARCH("Epóxico MT",Upload!P205&amp;Upload!Q205&amp;Upload!R205&amp;Upload!S205&amp;Upload!T205))))),"",E215*0.000035)</f>
        <v/>
      </c>
      <c r="R215" s="15" t="str">
        <f>IF(OR(F215="",NOT(OR(ISNUMBER(SEARCH("Epóxico BT",Upload!Q205&amp;Upload!R205&amp;Upload!S205&amp;Upload!T205&amp;Upload!U205))))),"",F215*0.000035)</f>
        <v/>
      </c>
      <c r="S215" s="15" t="str">
        <f>IF(OR(G215="",NOT(OR(ISNUMBER(SEARCH("Epóxico Rojo",Upload!R205&amp;Upload!S205&amp;Upload!T205&amp;Upload!U205&amp;Upload!V205))))),"",G215*0.000035)</f>
        <v/>
      </c>
    </row>
    <row r="216" spans="1:19" x14ac:dyDescent="0.2">
      <c r="A216" s="9" t="e">
        <f t="shared" ca="1" si="18"/>
        <v>#NAME?</v>
      </c>
      <c r="B216" s="9">
        <f>Upload!E206</f>
        <v>0</v>
      </c>
      <c r="C216" s="9">
        <f>Upload!AE206</f>
        <v>0</v>
      </c>
      <c r="D216" s="9">
        <f>Upload!AF206</f>
        <v>0</v>
      </c>
      <c r="E216" s="9">
        <f>Upload!AG206</f>
        <v>0</v>
      </c>
      <c r="F216" s="9" t="str">
        <f>Upload!X206</f>
        <v/>
      </c>
      <c r="G216" s="9" t="str">
        <f>Upload!Z206</f>
        <v/>
      </c>
      <c r="H216" s="9" t="str">
        <f>Upload!W206</f>
        <v>(seleccione)</v>
      </c>
      <c r="I216" s="9" t="str">
        <f>Upload!Y206</f>
        <v>(seleccione)</v>
      </c>
      <c r="K216" s="15" t="str">
        <f t="shared" si="19"/>
        <v/>
      </c>
      <c r="L216" s="15" t="str">
        <f t="shared" si="20"/>
        <v/>
      </c>
      <c r="M216" s="15" t="str">
        <f t="shared" si="21"/>
        <v/>
      </c>
      <c r="N216" s="15" t="str">
        <f t="shared" si="22"/>
        <v/>
      </c>
      <c r="O216" s="15" t="str">
        <f t="shared" si="23"/>
        <v/>
      </c>
      <c r="P216" s="15" t="str">
        <f>IF(OR(C216="",NOT(OR(ISNUMBER(SEARCH("Antitarnish",Upload!P206&amp;Upload!Q206&amp;Upload!R206&amp;Upload!S206&amp;Upload!T206)),ISNUMBER(SEARCH("Anti Tarnish",Upload!P206&amp;Upload!Q206&amp;Upload!R206&amp;Upload!S206&amp;Upload!T206))))),"",0.0012*C216)</f>
        <v/>
      </c>
      <c r="Q216" s="15" t="str">
        <f>IF(OR(E216="",NOT(OR(ISNUMBER(SEARCH("Epóxico MT",Upload!P206&amp;Upload!Q206&amp;Upload!R206&amp;Upload!S206&amp;Upload!T206))))),"",E216*0.000035)</f>
        <v/>
      </c>
      <c r="R216" s="15" t="str">
        <f>IF(OR(F216="",NOT(OR(ISNUMBER(SEARCH("Epóxico BT",Upload!Q206&amp;Upload!R206&amp;Upload!S206&amp;Upload!T206&amp;Upload!U206))))),"",F216*0.000035)</f>
        <v/>
      </c>
      <c r="S216" s="15" t="str">
        <f>IF(OR(G216="",NOT(OR(ISNUMBER(SEARCH("Epóxico Rojo",Upload!R206&amp;Upload!S206&amp;Upload!T206&amp;Upload!U206&amp;Upload!V206))))),"",G216*0.000035)</f>
        <v/>
      </c>
    </row>
    <row r="217" spans="1:19" x14ac:dyDescent="0.2">
      <c r="A217" s="9" t="e">
        <f t="shared" ca="1" si="18"/>
        <v>#NAME?</v>
      </c>
      <c r="B217" s="9">
        <f>Upload!E207</f>
        <v>0</v>
      </c>
      <c r="C217" s="9">
        <f>Upload!AE207</f>
        <v>0</v>
      </c>
      <c r="D217" s="9">
        <f>Upload!AF207</f>
        <v>0</v>
      </c>
      <c r="E217" s="9">
        <f>Upload!AG207</f>
        <v>0</v>
      </c>
      <c r="F217" s="9" t="str">
        <f>Upload!X207</f>
        <v/>
      </c>
      <c r="G217" s="9" t="str">
        <f>Upload!Z207</f>
        <v/>
      </c>
      <c r="H217" s="9" t="str">
        <f>Upload!W207</f>
        <v>(seleccione)</v>
      </c>
      <c r="I217" s="9" t="str">
        <f>Upload!Y207</f>
        <v>(seleccione)</v>
      </c>
      <c r="K217" s="15" t="str">
        <f t="shared" si="19"/>
        <v/>
      </c>
      <c r="L217" s="15" t="str">
        <f t="shared" si="20"/>
        <v/>
      </c>
      <c r="M217" s="15" t="str">
        <f t="shared" si="21"/>
        <v/>
      </c>
      <c r="N217" s="15" t="str">
        <f t="shared" si="22"/>
        <v/>
      </c>
      <c r="O217" s="15" t="str">
        <f t="shared" si="23"/>
        <v/>
      </c>
      <c r="P217" s="15" t="str">
        <f>IF(OR(C217="",NOT(OR(ISNUMBER(SEARCH("Antitarnish",Upload!P207&amp;Upload!Q207&amp;Upload!R207&amp;Upload!S207&amp;Upload!T207)),ISNUMBER(SEARCH("Anti Tarnish",Upload!P207&amp;Upload!Q207&amp;Upload!R207&amp;Upload!S207&amp;Upload!T207))))),"",0.0012*C217)</f>
        <v/>
      </c>
      <c r="Q217" s="15" t="str">
        <f>IF(OR(E217="",NOT(OR(ISNUMBER(SEARCH("Epóxico MT",Upload!P207&amp;Upload!Q207&amp;Upload!R207&amp;Upload!S207&amp;Upload!T207))))),"",E217*0.000035)</f>
        <v/>
      </c>
      <c r="R217" s="15" t="str">
        <f>IF(OR(F217="",NOT(OR(ISNUMBER(SEARCH("Epóxico BT",Upload!Q207&amp;Upload!R207&amp;Upload!S207&amp;Upload!T207&amp;Upload!U207))))),"",F217*0.000035)</f>
        <v/>
      </c>
      <c r="S217" s="15" t="str">
        <f>IF(OR(G217="",NOT(OR(ISNUMBER(SEARCH("Epóxico Rojo",Upload!R207&amp;Upload!S207&amp;Upload!T207&amp;Upload!U207&amp;Upload!V207))))),"",G217*0.000035)</f>
        <v/>
      </c>
    </row>
    <row r="218" spans="1:19" x14ac:dyDescent="0.2">
      <c r="A218" s="9" t="e">
        <f t="shared" ca="1" si="18"/>
        <v>#NAME?</v>
      </c>
      <c r="B218" s="9">
        <f>Upload!E208</f>
        <v>0</v>
      </c>
      <c r="C218" s="9">
        <f>Upload!AE208</f>
        <v>0</v>
      </c>
      <c r="D218" s="9">
        <f>Upload!AF208</f>
        <v>0</v>
      </c>
      <c r="E218" s="9">
        <f>Upload!AG208</f>
        <v>0</v>
      </c>
      <c r="F218" s="9" t="str">
        <f>Upload!X208</f>
        <v/>
      </c>
      <c r="G218" s="9" t="str">
        <f>Upload!Z208</f>
        <v/>
      </c>
      <c r="H218" s="9" t="str">
        <f>Upload!W208</f>
        <v>(seleccione)</v>
      </c>
      <c r="I218" s="9" t="str">
        <f>Upload!Y208</f>
        <v>(seleccione)</v>
      </c>
      <c r="K218" s="15" t="str">
        <f t="shared" si="19"/>
        <v/>
      </c>
      <c r="L218" s="15" t="str">
        <f t="shared" si="20"/>
        <v/>
      </c>
      <c r="M218" s="15" t="str">
        <f t="shared" si="21"/>
        <v/>
      </c>
      <c r="N218" s="15" t="str">
        <f t="shared" si="22"/>
        <v/>
      </c>
      <c r="O218" s="15" t="str">
        <f t="shared" si="23"/>
        <v/>
      </c>
      <c r="P218" s="15" t="str">
        <f>IF(OR(C218="",NOT(OR(ISNUMBER(SEARCH("Antitarnish",Upload!P208&amp;Upload!Q208&amp;Upload!R208&amp;Upload!S208&amp;Upload!T208)),ISNUMBER(SEARCH("Anti Tarnish",Upload!P208&amp;Upload!Q208&amp;Upload!R208&amp;Upload!S208&amp;Upload!T208))))),"",0.0012*C218)</f>
        <v/>
      </c>
      <c r="Q218" s="15" t="str">
        <f>IF(OR(E218="",NOT(OR(ISNUMBER(SEARCH("Epóxico MT",Upload!P208&amp;Upload!Q208&amp;Upload!R208&amp;Upload!S208&amp;Upload!T208))))),"",E218*0.000035)</f>
        <v/>
      </c>
      <c r="R218" s="15" t="str">
        <f>IF(OR(F218="",NOT(OR(ISNUMBER(SEARCH("Epóxico BT",Upload!Q208&amp;Upload!R208&amp;Upload!S208&amp;Upload!T208&amp;Upload!U208))))),"",F218*0.000035)</f>
        <v/>
      </c>
      <c r="S218" s="15" t="str">
        <f>IF(OR(G218="",NOT(OR(ISNUMBER(SEARCH("Epóxico Rojo",Upload!R208&amp;Upload!S208&amp;Upload!T208&amp;Upload!U208&amp;Upload!V208))))),"",G218*0.000035)</f>
        <v/>
      </c>
    </row>
    <row r="219" spans="1:19" x14ac:dyDescent="0.2">
      <c r="A219" s="9" t="e">
        <f t="shared" ca="1" si="18"/>
        <v>#NAME?</v>
      </c>
      <c r="B219" s="9">
        <f>Upload!E209</f>
        <v>0</v>
      </c>
      <c r="C219" s="9">
        <f>Upload!AE209</f>
        <v>0</v>
      </c>
      <c r="D219" s="9">
        <f>Upload!AF209</f>
        <v>0</v>
      </c>
      <c r="E219" s="9">
        <f>Upload!AG209</f>
        <v>0</v>
      </c>
      <c r="F219" s="9" t="str">
        <f>Upload!X209</f>
        <v/>
      </c>
      <c r="G219" s="9" t="str">
        <f>Upload!Z209</f>
        <v/>
      </c>
      <c r="H219" s="9" t="str">
        <f>Upload!W209</f>
        <v>(seleccione)</v>
      </c>
      <c r="I219" s="9" t="str">
        <f>Upload!Y209</f>
        <v>(seleccione)</v>
      </c>
      <c r="K219" s="15" t="str">
        <f t="shared" si="19"/>
        <v/>
      </c>
      <c r="L219" s="15" t="str">
        <f t="shared" si="20"/>
        <v/>
      </c>
      <c r="M219" s="15" t="str">
        <f t="shared" si="21"/>
        <v/>
      </c>
      <c r="N219" s="15" t="str">
        <f t="shared" si="22"/>
        <v/>
      </c>
      <c r="O219" s="15" t="str">
        <f t="shared" si="23"/>
        <v/>
      </c>
      <c r="P219" s="15" t="str">
        <f>IF(OR(C219="",NOT(OR(ISNUMBER(SEARCH("Antitarnish",Upload!P209&amp;Upload!Q209&amp;Upload!R209&amp;Upload!S209&amp;Upload!T209)),ISNUMBER(SEARCH("Anti Tarnish",Upload!P209&amp;Upload!Q209&amp;Upload!R209&amp;Upload!S209&amp;Upload!T209))))),"",0.0012*C219)</f>
        <v/>
      </c>
      <c r="Q219" s="15" t="str">
        <f>IF(OR(E219="",NOT(OR(ISNUMBER(SEARCH("Epóxico MT",Upload!P209&amp;Upload!Q209&amp;Upload!R209&amp;Upload!S209&amp;Upload!T209))))),"",E219*0.000035)</f>
        <v/>
      </c>
      <c r="R219" s="15" t="str">
        <f>IF(OR(F219="",NOT(OR(ISNUMBER(SEARCH("Epóxico BT",Upload!Q209&amp;Upload!R209&amp;Upload!S209&amp;Upload!T209&amp;Upload!U209))))),"",F219*0.000035)</f>
        <v/>
      </c>
      <c r="S219" s="15" t="str">
        <f>IF(OR(G219="",NOT(OR(ISNUMBER(SEARCH("Epóxico Rojo",Upload!R209&amp;Upload!S209&amp;Upload!T209&amp;Upload!U209&amp;Upload!V209))))),"",G219*0.000035)</f>
        <v/>
      </c>
    </row>
    <row r="220" spans="1:19" x14ac:dyDescent="0.2">
      <c r="A220" s="9" t="e">
        <f t="shared" ca="1" si="18"/>
        <v>#NAME?</v>
      </c>
      <c r="B220" s="9">
        <f>Upload!E210</f>
        <v>0</v>
      </c>
      <c r="C220" s="9">
        <f>Upload!AE210</f>
        <v>0</v>
      </c>
      <c r="D220" s="9">
        <f>Upload!AF210</f>
        <v>0</v>
      </c>
      <c r="E220" s="9">
        <f>Upload!AG210</f>
        <v>0</v>
      </c>
      <c r="F220" s="9" t="str">
        <f>Upload!X210</f>
        <v/>
      </c>
      <c r="G220" s="9" t="str">
        <f>Upload!Z210</f>
        <v/>
      </c>
      <c r="H220" s="9" t="str">
        <f>Upload!W210</f>
        <v>(seleccione)</v>
      </c>
      <c r="I220" s="9" t="str">
        <f>Upload!Y210</f>
        <v>(seleccione)</v>
      </c>
      <c r="K220" s="15" t="str">
        <f t="shared" si="19"/>
        <v/>
      </c>
      <c r="L220" s="15" t="str">
        <f t="shared" si="20"/>
        <v/>
      </c>
      <c r="M220" s="15" t="str">
        <f t="shared" si="21"/>
        <v/>
      </c>
      <c r="N220" s="15" t="str">
        <f t="shared" si="22"/>
        <v/>
      </c>
      <c r="O220" s="15" t="str">
        <f t="shared" si="23"/>
        <v/>
      </c>
      <c r="P220" s="15" t="str">
        <f>IF(OR(C220="",NOT(OR(ISNUMBER(SEARCH("Antitarnish",Upload!P210&amp;Upload!Q210&amp;Upload!R210&amp;Upload!S210&amp;Upload!T210)),ISNUMBER(SEARCH("Anti Tarnish",Upload!P210&amp;Upload!Q210&amp;Upload!R210&amp;Upload!S210&amp;Upload!T210))))),"",0.0012*C220)</f>
        <v/>
      </c>
      <c r="Q220" s="15" t="str">
        <f>IF(OR(E220="",NOT(OR(ISNUMBER(SEARCH("Epóxico MT",Upload!P210&amp;Upload!Q210&amp;Upload!R210&amp;Upload!S210&amp;Upload!T210))))),"",E220*0.000035)</f>
        <v/>
      </c>
      <c r="R220" s="15" t="str">
        <f>IF(OR(F220="",NOT(OR(ISNUMBER(SEARCH("Epóxico BT",Upload!Q210&amp;Upload!R210&amp;Upload!S210&amp;Upload!T210&amp;Upload!U210))))),"",F220*0.000035)</f>
        <v/>
      </c>
      <c r="S220" s="15" t="str">
        <f>IF(OR(G220="",NOT(OR(ISNUMBER(SEARCH("Epóxico Rojo",Upload!R210&amp;Upload!S210&amp;Upload!T210&amp;Upload!U210&amp;Upload!V210))))),"",G220*0.000035)</f>
        <v/>
      </c>
    </row>
    <row r="221" spans="1:19" x14ac:dyDescent="0.2">
      <c r="A221" s="9" t="e">
        <f t="shared" ca="1" si="18"/>
        <v>#NAME?</v>
      </c>
      <c r="B221" s="9">
        <f>Upload!E211</f>
        <v>0</v>
      </c>
      <c r="C221" s="9">
        <f>Upload!AE211</f>
        <v>0</v>
      </c>
      <c r="D221" s="9">
        <f>Upload!AF211</f>
        <v>0</v>
      </c>
      <c r="E221" s="9">
        <f>Upload!AG211</f>
        <v>0</v>
      </c>
      <c r="F221" s="9" t="str">
        <f>Upload!X211</f>
        <v/>
      </c>
      <c r="G221" s="9" t="str">
        <f>Upload!Z211</f>
        <v/>
      </c>
      <c r="H221" s="9" t="str">
        <f>Upload!W211</f>
        <v>(seleccione)</v>
      </c>
      <c r="I221" s="9" t="str">
        <f>Upload!Y211</f>
        <v>(seleccione)</v>
      </c>
      <c r="K221" s="15" t="str">
        <f t="shared" si="19"/>
        <v/>
      </c>
      <c r="L221" s="15" t="str">
        <f t="shared" si="20"/>
        <v/>
      </c>
      <c r="M221" s="15" t="str">
        <f t="shared" si="21"/>
        <v/>
      </c>
      <c r="N221" s="15" t="str">
        <f t="shared" si="22"/>
        <v/>
      </c>
      <c r="O221" s="15" t="str">
        <f t="shared" si="23"/>
        <v/>
      </c>
      <c r="P221" s="15" t="str">
        <f>IF(OR(C221="",NOT(OR(ISNUMBER(SEARCH("Antitarnish",Upload!P211&amp;Upload!Q211&amp;Upload!R211&amp;Upload!S211&amp;Upload!T211)),ISNUMBER(SEARCH("Anti Tarnish",Upload!P211&amp;Upload!Q211&amp;Upload!R211&amp;Upload!S211&amp;Upload!T211))))),"",0.0012*C221)</f>
        <v/>
      </c>
      <c r="Q221" s="15" t="str">
        <f>IF(OR(E221="",NOT(OR(ISNUMBER(SEARCH("Epóxico MT",Upload!P211&amp;Upload!Q211&amp;Upload!R211&amp;Upload!S211&amp;Upload!T211))))),"",E221*0.000035)</f>
        <v/>
      </c>
      <c r="R221" s="15" t="str">
        <f>IF(OR(F221="",NOT(OR(ISNUMBER(SEARCH("Epóxico BT",Upload!Q211&amp;Upload!R211&amp;Upload!S211&amp;Upload!T211&amp;Upload!U211))))),"",F221*0.000035)</f>
        <v/>
      </c>
      <c r="S221" s="15" t="str">
        <f>IF(OR(G221="",NOT(OR(ISNUMBER(SEARCH("Epóxico Rojo",Upload!R211&amp;Upload!S211&amp;Upload!T211&amp;Upload!U211&amp;Upload!V211))))),"",G221*0.000035)</f>
        <v/>
      </c>
    </row>
    <row r="222" spans="1:19" x14ac:dyDescent="0.2">
      <c r="A222" s="9" t="e">
        <f t="shared" ca="1" si="18"/>
        <v>#NAME?</v>
      </c>
      <c r="B222" s="9">
        <f>Upload!E212</f>
        <v>0</v>
      </c>
      <c r="C222" s="9">
        <f>Upload!AE212</f>
        <v>0</v>
      </c>
      <c r="D222" s="9">
        <f>Upload!AF212</f>
        <v>0</v>
      </c>
      <c r="E222" s="9">
        <f>Upload!AG212</f>
        <v>0</v>
      </c>
      <c r="F222" s="9" t="str">
        <f>Upload!X212</f>
        <v/>
      </c>
      <c r="G222" s="9" t="str">
        <f>Upload!Z212</f>
        <v/>
      </c>
      <c r="H222" s="9" t="str">
        <f>Upload!W212</f>
        <v>(seleccione)</v>
      </c>
      <c r="I222" s="9" t="str">
        <f>Upload!Y212</f>
        <v>(seleccione)</v>
      </c>
      <c r="K222" s="15" t="str">
        <f t="shared" si="19"/>
        <v/>
      </c>
      <c r="L222" s="15" t="str">
        <f t="shared" si="20"/>
        <v/>
      </c>
      <c r="M222" s="15" t="str">
        <f t="shared" si="21"/>
        <v/>
      </c>
      <c r="N222" s="15" t="str">
        <f t="shared" si="22"/>
        <v/>
      </c>
      <c r="O222" s="15" t="str">
        <f t="shared" si="23"/>
        <v/>
      </c>
      <c r="P222" s="15" t="str">
        <f>IF(OR(C222="",NOT(OR(ISNUMBER(SEARCH("Antitarnish",Upload!P212&amp;Upload!Q212&amp;Upload!R212&amp;Upload!S212&amp;Upload!T212)),ISNUMBER(SEARCH("Anti Tarnish",Upload!P212&amp;Upload!Q212&amp;Upload!R212&amp;Upload!S212&amp;Upload!T212))))),"",0.0012*C222)</f>
        <v/>
      </c>
      <c r="Q222" s="15" t="str">
        <f>IF(OR(E222="",NOT(OR(ISNUMBER(SEARCH("Epóxico MT",Upload!P212&amp;Upload!Q212&amp;Upload!R212&amp;Upload!S212&amp;Upload!T212))))),"",E222*0.000035)</f>
        <v/>
      </c>
      <c r="R222" s="15" t="str">
        <f>IF(OR(F222="",NOT(OR(ISNUMBER(SEARCH("Epóxico BT",Upload!Q212&amp;Upload!R212&amp;Upload!S212&amp;Upload!T212&amp;Upload!U212))))),"",F222*0.000035)</f>
        <v/>
      </c>
      <c r="S222" s="15" t="str">
        <f>IF(OR(G222="",NOT(OR(ISNUMBER(SEARCH("Epóxico Rojo",Upload!R212&amp;Upload!S212&amp;Upload!T212&amp;Upload!U212&amp;Upload!V212))))),"",G222*0.000035)</f>
        <v/>
      </c>
    </row>
    <row r="223" spans="1:19" x14ac:dyDescent="0.2">
      <c r="A223" s="9" t="e">
        <f t="shared" ca="1" si="18"/>
        <v>#NAME?</v>
      </c>
      <c r="B223" s="9">
        <f>Upload!E213</f>
        <v>0</v>
      </c>
      <c r="C223" s="9">
        <f>Upload!AE213</f>
        <v>0</v>
      </c>
      <c r="D223" s="9">
        <f>Upload!AF213</f>
        <v>0</v>
      </c>
      <c r="E223" s="9">
        <f>Upload!AG213</f>
        <v>0</v>
      </c>
      <c r="F223" s="9" t="str">
        <f>Upload!X213</f>
        <v/>
      </c>
      <c r="G223" s="9" t="str">
        <f>Upload!Z213</f>
        <v/>
      </c>
      <c r="H223" s="9" t="str">
        <f>Upload!W213</f>
        <v>(seleccione)</v>
      </c>
      <c r="I223" s="9" t="str">
        <f>Upload!Y213</f>
        <v>(seleccione)</v>
      </c>
      <c r="K223" s="15" t="str">
        <f t="shared" si="19"/>
        <v/>
      </c>
      <c r="L223" s="15" t="str">
        <f t="shared" si="20"/>
        <v/>
      </c>
      <c r="M223" s="15" t="str">
        <f t="shared" si="21"/>
        <v/>
      </c>
      <c r="N223" s="15" t="str">
        <f t="shared" si="22"/>
        <v/>
      </c>
      <c r="O223" s="15" t="str">
        <f t="shared" si="23"/>
        <v/>
      </c>
      <c r="P223" s="15" t="str">
        <f>IF(OR(C223="",NOT(OR(ISNUMBER(SEARCH("Antitarnish",Upload!P213&amp;Upload!Q213&amp;Upload!R213&amp;Upload!S213&amp;Upload!T213)),ISNUMBER(SEARCH("Anti Tarnish",Upload!P213&amp;Upload!Q213&amp;Upload!R213&amp;Upload!S213&amp;Upload!T213))))),"",0.0012*C223)</f>
        <v/>
      </c>
      <c r="Q223" s="15" t="str">
        <f>IF(OR(E223="",NOT(OR(ISNUMBER(SEARCH("Epóxico MT",Upload!P213&amp;Upload!Q213&amp;Upload!R213&amp;Upload!S213&amp;Upload!T213))))),"",E223*0.000035)</f>
        <v/>
      </c>
      <c r="R223" s="15" t="str">
        <f>IF(OR(F223="",NOT(OR(ISNUMBER(SEARCH("Epóxico BT",Upload!Q213&amp;Upload!R213&amp;Upload!S213&amp;Upload!T213&amp;Upload!U213))))),"",F223*0.000035)</f>
        <v/>
      </c>
      <c r="S223" s="15" t="str">
        <f>IF(OR(G223="",NOT(OR(ISNUMBER(SEARCH("Epóxico Rojo",Upload!R213&amp;Upload!S213&amp;Upload!T213&amp;Upload!U213&amp;Upload!V213))))),"",G223*0.000035)</f>
        <v/>
      </c>
    </row>
    <row r="224" spans="1:19" x14ac:dyDescent="0.2">
      <c r="A224" s="9" t="e">
        <f t="shared" ca="1" si="18"/>
        <v>#NAME?</v>
      </c>
      <c r="B224" s="9">
        <f>Upload!E214</f>
        <v>0</v>
      </c>
      <c r="C224" s="9">
        <f>Upload!AE214</f>
        <v>0</v>
      </c>
      <c r="D224" s="9">
        <f>Upload!AF214</f>
        <v>0</v>
      </c>
      <c r="E224" s="9">
        <f>Upload!AG214</f>
        <v>0</v>
      </c>
      <c r="F224" s="9" t="str">
        <f>Upload!X214</f>
        <v/>
      </c>
      <c r="G224" s="9" t="str">
        <f>Upload!Z214</f>
        <v/>
      </c>
      <c r="H224" s="9" t="str">
        <f>Upload!W214</f>
        <v>(seleccione)</v>
      </c>
      <c r="I224" s="9" t="str">
        <f>Upload!Y214</f>
        <v>(seleccione)</v>
      </c>
      <c r="K224" s="15" t="str">
        <f t="shared" si="19"/>
        <v/>
      </c>
      <c r="L224" s="15" t="str">
        <f t="shared" si="20"/>
        <v/>
      </c>
      <c r="M224" s="15" t="str">
        <f t="shared" si="21"/>
        <v/>
      </c>
      <c r="N224" s="15" t="str">
        <f t="shared" si="22"/>
        <v/>
      </c>
      <c r="O224" s="15" t="str">
        <f t="shared" si="23"/>
        <v/>
      </c>
      <c r="P224" s="15" t="str">
        <f>IF(OR(C224="",NOT(OR(ISNUMBER(SEARCH("Antitarnish",Upload!P214&amp;Upload!Q214&amp;Upload!R214&amp;Upload!S214&amp;Upload!T214)),ISNUMBER(SEARCH("Anti Tarnish",Upload!P214&amp;Upload!Q214&amp;Upload!R214&amp;Upload!S214&amp;Upload!T214))))),"",0.0012*C224)</f>
        <v/>
      </c>
      <c r="Q224" s="15" t="str">
        <f>IF(OR(E224="",NOT(OR(ISNUMBER(SEARCH("Epóxico MT",Upload!P214&amp;Upload!Q214&amp;Upload!R214&amp;Upload!S214&amp;Upload!T214))))),"",E224*0.000035)</f>
        <v/>
      </c>
      <c r="R224" s="15" t="str">
        <f>IF(OR(F224="",NOT(OR(ISNUMBER(SEARCH("Epóxico BT",Upload!Q214&amp;Upload!R214&amp;Upload!S214&amp;Upload!T214&amp;Upload!U214))))),"",F224*0.000035)</f>
        <v/>
      </c>
      <c r="S224" s="15" t="str">
        <f>IF(OR(G224="",NOT(OR(ISNUMBER(SEARCH("Epóxico Rojo",Upload!R214&amp;Upload!S214&amp;Upload!T214&amp;Upload!U214&amp;Upload!V214))))),"",G224*0.000035)</f>
        <v/>
      </c>
    </row>
    <row r="225" spans="1:19" x14ac:dyDescent="0.2">
      <c r="A225" s="9" t="e">
        <f t="shared" ca="1" si="18"/>
        <v>#NAME?</v>
      </c>
      <c r="B225" s="9">
        <f>Upload!E215</f>
        <v>0</v>
      </c>
      <c r="C225" s="9">
        <f>Upload!AE215</f>
        <v>0</v>
      </c>
      <c r="D225" s="9">
        <f>Upload!AF215</f>
        <v>0</v>
      </c>
      <c r="E225" s="9">
        <f>Upload!AG215</f>
        <v>0</v>
      </c>
      <c r="F225" s="9" t="str">
        <f>Upload!X215</f>
        <v/>
      </c>
      <c r="G225" s="9" t="str">
        <f>Upload!Z215</f>
        <v/>
      </c>
      <c r="H225" s="9" t="str">
        <f>Upload!W215</f>
        <v>(seleccione)</v>
      </c>
      <c r="I225" s="9" t="str">
        <f>Upload!Y215</f>
        <v>(seleccione)</v>
      </c>
      <c r="K225" s="15" t="str">
        <f t="shared" si="19"/>
        <v/>
      </c>
      <c r="L225" s="15" t="str">
        <f t="shared" si="20"/>
        <v/>
      </c>
      <c r="M225" s="15" t="str">
        <f t="shared" si="21"/>
        <v/>
      </c>
      <c r="N225" s="15" t="str">
        <f t="shared" si="22"/>
        <v/>
      </c>
      <c r="O225" s="15" t="str">
        <f t="shared" si="23"/>
        <v/>
      </c>
      <c r="P225" s="15" t="str">
        <f>IF(OR(C225="",NOT(OR(ISNUMBER(SEARCH("Antitarnish",Upload!P215&amp;Upload!Q215&amp;Upload!R215&amp;Upload!S215&amp;Upload!T215)),ISNUMBER(SEARCH("Anti Tarnish",Upload!P215&amp;Upload!Q215&amp;Upload!R215&amp;Upload!S215&amp;Upload!T215))))),"",0.0012*C225)</f>
        <v/>
      </c>
      <c r="Q225" s="15" t="str">
        <f>IF(OR(E225="",NOT(OR(ISNUMBER(SEARCH("Epóxico MT",Upload!P215&amp;Upload!Q215&amp;Upload!R215&amp;Upload!S215&amp;Upload!T215))))),"",E225*0.000035)</f>
        <v/>
      </c>
      <c r="R225" s="15" t="str">
        <f>IF(OR(F225="",NOT(OR(ISNUMBER(SEARCH("Epóxico BT",Upload!Q215&amp;Upload!R215&amp;Upload!S215&amp;Upload!T215&amp;Upload!U215))))),"",F225*0.000035)</f>
        <v/>
      </c>
      <c r="S225" s="15" t="str">
        <f>IF(OR(G225="",NOT(OR(ISNUMBER(SEARCH("Epóxico Rojo",Upload!R215&amp;Upload!S215&amp;Upload!T215&amp;Upload!U215&amp;Upload!V215))))),"",G225*0.000035)</f>
        <v/>
      </c>
    </row>
    <row r="226" spans="1:19" x14ac:dyDescent="0.2">
      <c r="A226" s="9" t="e">
        <f t="shared" ca="1" si="18"/>
        <v>#NAME?</v>
      </c>
      <c r="B226" s="9">
        <f>Upload!E216</f>
        <v>0</v>
      </c>
      <c r="C226" s="9">
        <f>Upload!AE216</f>
        <v>0</v>
      </c>
      <c r="D226" s="9">
        <f>Upload!AF216</f>
        <v>0</v>
      </c>
      <c r="E226" s="9">
        <f>Upload!AG216</f>
        <v>0</v>
      </c>
      <c r="F226" s="9" t="str">
        <f>Upload!X216</f>
        <v/>
      </c>
      <c r="G226" s="9" t="str">
        <f>Upload!Z216</f>
        <v/>
      </c>
      <c r="H226" s="9" t="str">
        <f>Upload!W216</f>
        <v>(seleccione)</v>
      </c>
      <c r="I226" s="9" t="str">
        <f>Upload!Y216</f>
        <v>(seleccione)</v>
      </c>
      <c r="K226" s="15" t="str">
        <f t="shared" si="19"/>
        <v/>
      </c>
      <c r="L226" s="15" t="str">
        <f t="shared" si="20"/>
        <v/>
      </c>
      <c r="M226" s="15" t="str">
        <f t="shared" si="21"/>
        <v/>
      </c>
      <c r="N226" s="15" t="str">
        <f t="shared" si="22"/>
        <v/>
      </c>
      <c r="O226" s="15" t="str">
        <f t="shared" si="23"/>
        <v/>
      </c>
      <c r="P226" s="15" t="str">
        <f>IF(OR(C226="",NOT(OR(ISNUMBER(SEARCH("Antitarnish",Upload!P216&amp;Upload!Q216&amp;Upload!R216&amp;Upload!S216&amp;Upload!T216)),ISNUMBER(SEARCH("Anti Tarnish",Upload!P216&amp;Upload!Q216&amp;Upload!R216&amp;Upload!S216&amp;Upload!T216))))),"",0.0012*C226)</f>
        <v/>
      </c>
      <c r="Q226" s="15" t="str">
        <f>IF(OR(E226="",NOT(OR(ISNUMBER(SEARCH("Epóxico MT",Upload!P216&amp;Upload!Q216&amp;Upload!R216&amp;Upload!S216&amp;Upload!T216))))),"",E226*0.000035)</f>
        <v/>
      </c>
      <c r="R226" s="15" t="str">
        <f>IF(OR(F226="",NOT(OR(ISNUMBER(SEARCH("Epóxico BT",Upload!Q216&amp;Upload!R216&amp;Upload!S216&amp;Upload!T216&amp;Upload!U216))))),"",F226*0.000035)</f>
        <v/>
      </c>
      <c r="S226" s="15" t="str">
        <f>IF(OR(G226="",NOT(OR(ISNUMBER(SEARCH("Epóxico Rojo",Upload!R216&amp;Upload!S216&amp;Upload!T216&amp;Upload!U216&amp;Upload!V216))))),"",G226*0.000035)</f>
        <v/>
      </c>
    </row>
    <row r="227" spans="1:19" x14ac:dyDescent="0.2">
      <c r="A227" s="9" t="e">
        <f t="shared" ca="1" si="18"/>
        <v>#NAME?</v>
      </c>
      <c r="B227" s="9">
        <f>Upload!E217</f>
        <v>0</v>
      </c>
      <c r="C227" s="9">
        <f>Upload!AE217</f>
        <v>0</v>
      </c>
      <c r="D227" s="9">
        <f>Upload!AF217</f>
        <v>0</v>
      </c>
      <c r="E227" s="9">
        <f>Upload!AG217</f>
        <v>0</v>
      </c>
      <c r="F227" s="9" t="str">
        <f>Upload!X217</f>
        <v/>
      </c>
      <c r="G227" s="9" t="str">
        <f>Upload!Z217</f>
        <v/>
      </c>
      <c r="H227" s="9" t="str">
        <f>Upload!W217</f>
        <v>(seleccione)</v>
      </c>
      <c r="I227" s="9" t="str">
        <f>Upload!Y217</f>
        <v>(seleccione)</v>
      </c>
      <c r="K227" s="15" t="str">
        <f t="shared" si="19"/>
        <v/>
      </c>
      <c r="L227" s="15" t="str">
        <f t="shared" si="20"/>
        <v/>
      </c>
      <c r="M227" s="15" t="str">
        <f t="shared" si="21"/>
        <v/>
      </c>
      <c r="N227" s="15" t="str">
        <f t="shared" si="22"/>
        <v/>
      </c>
      <c r="O227" s="15" t="str">
        <f t="shared" si="23"/>
        <v/>
      </c>
      <c r="P227" s="15" t="str">
        <f>IF(OR(C227="",NOT(OR(ISNUMBER(SEARCH("Antitarnish",Upload!P217&amp;Upload!Q217&amp;Upload!R217&amp;Upload!S217&amp;Upload!T217)),ISNUMBER(SEARCH("Anti Tarnish",Upload!P217&amp;Upload!Q217&amp;Upload!R217&amp;Upload!S217&amp;Upload!T217))))),"",0.0012*C227)</f>
        <v/>
      </c>
      <c r="Q227" s="15" t="str">
        <f>IF(OR(E227="",NOT(OR(ISNUMBER(SEARCH("Epóxico MT",Upload!P217&amp;Upload!Q217&amp;Upload!R217&amp;Upload!S217&amp;Upload!T217))))),"",E227*0.000035)</f>
        <v/>
      </c>
      <c r="R227" s="15" t="str">
        <f>IF(OR(F227="",NOT(OR(ISNUMBER(SEARCH("Epóxico BT",Upload!Q217&amp;Upload!R217&amp;Upload!S217&amp;Upload!T217&amp;Upload!U217))))),"",F227*0.000035)</f>
        <v/>
      </c>
      <c r="S227" s="15" t="str">
        <f>IF(OR(G227="",NOT(OR(ISNUMBER(SEARCH("Epóxico Rojo",Upload!R217&amp;Upload!S217&amp;Upload!T217&amp;Upload!U217&amp;Upload!V217))))),"",G227*0.000035)</f>
        <v/>
      </c>
    </row>
    <row r="228" spans="1:19" x14ac:dyDescent="0.2">
      <c r="A228" s="9" t="e">
        <f t="shared" ca="1" si="18"/>
        <v>#NAME?</v>
      </c>
      <c r="B228" s="9">
        <f>Upload!E218</f>
        <v>0</v>
      </c>
      <c r="C228" s="9">
        <f>Upload!AE218</f>
        <v>0</v>
      </c>
      <c r="D228" s="9">
        <f>Upload!AF218</f>
        <v>0</v>
      </c>
      <c r="E228" s="9">
        <f>Upload!AG218</f>
        <v>0</v>
      </c>
      <c r="F228" s="9" t="str">
        <f>Upload!X218</f>
        <v/>
      </c>
      <c r="G228" s="9" t="str">
        <f>Upload!Z218</f>
        <v/>
      </c>
      <c r="H228" s="9" t="str">
        <f>Upload!W218</f>
        <v>(seleccione)</v>
      </c>
      <c r="I228" s="9" t="str">
        <f>Upload!Y218</f>
        <v>(seleccione)</v>
      </c>
      <c r="K228" s="15" t="str">
        <f t="shared" si="19"/>
        <v/>
      </c>
      <c r="L228" s="15" t="str">
        <f t="shared" si="20"/>
        <v/>
      </c>
      <c r="M228" s="15" t="str">
        <f t="shared" si="21"/>
        <v/>
      </c>
      <c r="N228" s="15" t="str">
        <f t="shared" si="22"/>
        <v/>
      </c>
      <c r="O228" s="15" t="str">
        <f t="shared" si="23"/>
        <v/>
      </c>
      <c r="P228" s="15" t="str">
        <f>IF(OR(C228="",NOT(OR(ISNUMBER(SEARCH("Antitarnish",Upload!P218&amp;Upload!Q218&amp;Upload!R218&amp;Upload!S218&amp;Upload!T218)),ISNUMBER(SEARCH("Anti Tarnish",Upload!P218&amp;Upload!Q218&amp;Upload!R218&amp;Upload!S218&amp;Upload!T218))))),"",0.0012*C228)</f>
        <v/>
      </c>
      <c r="Q228" s="15" t="str">
        <f>IF(OR(E228="",NOT(OR(ISNUMBER(SEARCH("Epóxico MT",Upload!P218&amp;Upload!Q218&amp;Upload!R218&amp;Upload!S218&amp;Upload!T218))))),"",E228*0.000035)</f>
        <v/>
      </c>
      <c r="R228" s="15" t="str">
        <f>IF(OR(F228="",NOT(OR(ISNUMBER(SEARCH("Epóxico BT",Upload!Q218&amp;Upload!R218&amp;Upload!S218&amp;Upload!T218&amp;Upload!U218))))),"",F228*0.000035)</f>
        <v/>
      </c>
      <c r="S228" s="15" t="str">
        <f>IF(OR(G228="",NOT(OR(ISNUMBER(SEARCH("Epóxico Rojo",Upload!R218&amp;Upload!S218&amp;Upload!T218&amp;Upload!U218&amp;Upload!V218))))),"",G228*0.000035)</f>
        <v/>
      </c>
    </row>
    <row r="229" spans="1:19" x14ac:dyDescent="0.2">
      <c r="A229" s="9" t="e">
        <f t="shared" ca="1" si="18"/>
        <v>#NAME?</v>
      </c>
      <c r="B229" s="9">
        <f>Upload!E219</f>
        <v>0</v>
      </c>
      <c r="C229" s="9">
        <f>Upload!AE219</f>
        <v>0</v>
      </c>
      <c r="D229" s="9">
        <f>Upload!AF219</f>
        <v>0</v>
      </c>
      <c r="E229" s="9">
        <f>Upload!AG219</f>
        <v>0</v>
      </c>
      <c r="F229" s="9" t="str">
        <f>Upload!X219</f>
        <v/>
      </c>
      <c r="G229" s="9" t="str">
        <f>Upload!Z219</f>
        <v/>
      </c>
      <c r="H229" s="9" t="str">
        <f>Upload!W219</f>
        <v>(seleccione)</v>
      </c>
      <c r="I229" s="9" t="str">
        <f>Upload!Y219</f>
        <v>(seleccione)</v>
      </c>
      <c r="K229" s="15" t="str">
        <f t="shared" si="19"/>
        <v/>
      </c>
      <c r="L229" s="15" t="str">
        <f t="shared" si="20"/>
        <v/>
      </c>
      <c r="M229" s="15" t="str">
        <f t="shared" si="21"/>
        <v/>
      </c>
      <c r="N229" s="15" t="str">
        <f t="shared" si="22"/>
        <v/>
      </c>
      <c r="O229" s="15" t="str">
        <f t="shared" si="23"/>
        <v/>
      </c>
      <c r="P229" s="15" t="str">
        <f>IF(OR(C229="",NOT(OR(ISNUMBER(SEARCH("Antitarnish",Upload!P219&amp;Upload!Q219&amp;Upload!R219&amp;Upload!S219&amp;Upload!T219)),ISNUMBER(SEARCH("Anti Tarnish",Upload!P219&amp;Upload!Q219&amp;Upload!R219&amp;Upload!S219&amp;Upload!T219))))),"",0.0012*C229)</f>
        <v/>
      </c>
      <c r="Q229" s="15" t="str">
        <f>IF(OR(E229="",NOT(OR(ISNUMBER(SEARCH("Epóxico MT",Upload!P219&amp;Upload!Q219&amp;Upload!R219&amp;Upload!S219&amp;Upload!T219))))),"",E229*0.000035)</f>
        <v/>
      </c>
      <c r="R229" s="15" t="str">
        <f>IF(OR(F229="",NOT(OR(ISNUMBER(SEARCH("Epóxico BT",Upload!Q219&amp;Upload!R219&amp;Upload!S219&amp;Upload!T219&amp;Upload!U219))))),"",F229*0.000035)</f>
        <v/>
      </c>
      <c r="S229" s="15" t="str">
        <f>IF(OR(G229="",NOT(OR(ISNUMBER(SEARCH("Epóxico Rojo",Upload!R219&amp;Upload!S219&amp;Upload!T219&amp;Upload!U219&amp;Upload!V219))))),"",G229*0.000035)</f>
        <v/>
      </c>
    </row>
    <row r="230" spans="1:19" x14ac:dyDescent="0.2">
      <c r="A230" s="9" t="e">
        <f t="shared" ca="1" si="18"/>
        <v>#NAME?</v>
      </c>
      <c r="B230" s="9">
        <f>Upload!E220</f>
        <v>0</v>
      </c>
      <c r="C230" s="9">
        <f>Upload!AE220</f>
        <v>0</v>
      </c>
      <c r="D230" s="9">
        <f>Upload!AF220</f>
        <v>0</v>
      </c>
      <c r="E230" s="9">
        <f>Upload!AG220</f>
        <v>0</v>
      </c>
      <c r="F230" s="9" t="str">
        <f>Upload!X220</f>
        <v/>
      </c>
      <c r="G230" s="9" t="str">
        <f>Upload!Z220</f>
        <v/>
      </c>
      <c r="H230" s="9" t="str">
        <f>Upload!W220</f>
        <v>(seleccione)</v>
      </c>
      <c r="I230" s="9" t="str">
        <f>Upload!Y220</f>
        <v>(seleccione)</v>
      </c>
      <c r="K230" s="15" t="str">
        <f t="shared" si="19"/>
        <v/>
      </c>
      <c r="L230" s="15" t="str">
        <f t="shared" si="20"/>
        <v/>
      </c>
      <c r="M230" s="15" t="str">
        <f t="shared" si="21"/>
        <v/>
      </c>
      <c r="N230" s="15" t="str">
        <f t="shared" si="22"/>
        <v/>
      </c>
      <c r="O230" s="15" t="str">
        <f t="shared" si="23"/>
        <v/>
      </c>
      <c r="P230" s="15" t="str">
        <f>IF(OR(C230="",NOT(OR(ISNUMBER(SEARCH("Antitarnish",Upload!P220&amp;Upload!Q220&amp;Upload!R220&amp;Upload!S220&amp;Upload!T220)),ISNUMBER(SEARCH("Anti Tarnish",Upload!P220&amp;Upload!Q220&amp;Upload!R220&amp;Upload!S220&amp;Upload!T220))))),"",0.0012*C230)</f>
        <v/>
      </c>
      <c r="Q230" s="15" t="str">
        <f>IF(OR(E230="",NOT(OR(ISNUMBER(SEARCH("Epóxico MT",Upload!P220&amp;Upload!Q220&amp;Upload!R220&amp;Upload!S220&amp;Upload!T220))))),"",E230*0.000035)</f>
        <v/>
      </c>
      <c r="R230" s="15" t="str">
        <f>IF(OR(F230="",NOT(OR(ISNUMBER(SEARCH("Epóxico BT",Upload!Q220&amp;Upload!R220&amp;Upload!S220&amp;Upload!T220&amp;Upload!U220))))),"",F230*0.000035)</f>
        <v/>
      </c>
      <c r="S230" s="15" t="str">
        <f>IF(OR(G230="",NOT(OR(ISNUMBER(SEARCH("Epóxico Rojo",Upload!R220&amp;Upload!S220&amp;Upload!T220&amp;Upload!U220&amp;Upload!V220))))),"",G230*0.000035)</f>
        <v/>
      </c>
    </row>
    <row r="231" spans="1:19" x14ac:dyDescent="0.2">
      <c r="A231" s="9" t="e">
        <f t="shared" ca="1" si="18"/>
        <v>#NAME?</v>
      </c>
      <c r="B231" s="9">
        <f>Upload!E221</f>
        <v>0</v>
      </c>
      <c r="C231" s="9">
        <f>Upload!AE221</f>
        <v>0</v>
      </c>
      <c r="D231" s="9">
        <f>Upload!AF221</f>
        <v>0</v>
      </c>
      <c r="E231" s="9">
        <f>Upload!AG221</f>
        <v>0</v>
      </c>
      <c r="F231" s="9" t="str">
        <f>Upload!X221</f>
        <v/>
      </c>
      <c r="G231" s="9" t="str">
        <f>Upload!Z221</f>
        <v/>
      </c>
      <c r="H231" s="9" t="str">
        <f>Upload!W221</f>
        <v>(seleccione)</v>
      </c>
      <c r="I231" s="9" t="str">
        <f>Upload!Y221</f>
        <v>(seleccione)</v>
      </c>
      <c r="K231" s="15" t="str">
        <f t="shared" si="19"/>
        <v/>
      </c>
      <c r="L231" s="15" t="str">
        <f t="shared" si="20"/>
        <v/>
      </c>
      <c r="M231" s="15" t="str">
        <f t="shared" si="21"/>
        <v/>
      </c>
      <c r="N231" s="15" t="str">
        <f t="shared" si="22"/>
        <v/>
      </c>
      <c r="O231" s="15" t="str">
        <f t="shared" si="23"/>
        <v/>
      </c>
      <c r="P231" s="15" t="str">
        <f>IF(OR(C231="",NOT(OR(ISNUMBER(SEARCH("Antitarnish",Upload!P221&amp;Upload!Q221&amp;Upload!R221&amp;Upload!S221&amp;Upload!T221)),ISNUMBER(SEARCH("Anti Tarnish",Upload!P221&amp;Upload!Q221&amp;Upload!R221&amp;Upload!S221&amp;Upload!T221))))),"",0.0012*C231)</f>
        <v/>
      </c>
      <c r="Q231" s="15" t="str">
        <f>IF(OR(E231="",NOT(OR(ISNUMBER(SEARCH("Epóxico MT",Upload!P221&amp;Upload!Q221&amp;Upload!R221&amp;Upload!S221&amp;Upload!T221))))),"",E231*0.000035)</f>
        <v/>
      </c>
      <c r="R231" s="15" t="str">
        <f>IF(OR(F231="",NOT(OR(ISNUMBER(SEARCH("Epóxico BT",Upload!Q221&amp;Upload!R221&amp;Upload!S221&amp;Upload!T221&amp;Upload!U221))))),"",F231*0.000035)</f>
        <v/>
      </c>
      <c r="S231" s="15" t="str">
        <f>IF(OR(G231="",NOT(OR(ISNUMBER(SEARCH("Epóxico Rojo",Upload!R221&amp;Upload!S221&amp;Upload!T221&amp;Upload!U221&amp;Upload!V221))))),"",G231*0.000035)</f>
        <v/>
      </c>
    </row>
    <row r="232" spans="1:19" x14ac:dyDescent="0.2">
      <c r="A232" s="9" t="e">
        <f t="shared" ca="1" si="18"/>
        <v>#NAME?</v>
      </c>
      <c r="B232" s="9">
        <f>Upload!E222</f>
        <v>0</v>
      </c>
      <c r="C232" s="9">
        <f>Upload!AE222</f>
        <v>0</v>
      </c>
      <c r="D232" s="9">
        <f>Upload!AF222</f>
        <v>0</v>
      </c>
      <c r="E232" s="9">
        <f>Upload!AG222</f>
        <v>0</v>
      </c>
      <c r="F232" s="9" t="str">
        <f>Upload!X222</f>
        <v/>
      </c>
      <c r="G232" s="9" t="str">
        <f>Upload!Z222</f>
        <v/>
      </c>
      <c r="H232" s="9" t="str">
        <f>Upload!W222</f>
        <v>(seleccione)</v>
      </c>
      <c r="I232" s="9" t="str">
        <f>Upload!Y222</f>
        <v>(seleccione)</v>
      </c>
      <c r="K232" s="15" t="str">
        <f t="shared" si="19"/>
        <v/>
      </c>
      <c r="L232" s="15" t="str">
        <f t="shared" si="20"/>
        <v/>
      </c>
      <c r="M232" s="15" t="str">
        <f t="shared" si="21"/>
        <v/>
      </c>
      <c r="N232" s="15" t="str">
        <f t="shared" si="22"/>
        <v/>
      </c>
      <c r="O232" s="15" t="str">
        <f t="shared" si="23"/>
        <v/>
      </c>
      <c r="P232" s="15" t="str">
        <f>IF(OR(C232="",NOT(OR(ISNUMBER(SEARCH("Antitarnish",Upload!P222&amp;Upload!Q222&amp;Upload!R222&amp;Upload!S222&amp;Upload!T222)),ISNUMBER(SEARCH("Anti Tarnish",Upload!P222&amp;Upload!Q222&amp;Upload!R222&amp;Upload!S222&amp;Upload!T222))))),"",0.0012*C232)</f>
        <v/>
      </c>
      <c r="Q232" s="15" t="str">
        <f>IF(OR(E232="",NOT(OR(ISNUMBER(SEARCH("Epóxico MT",Upload!P222&amp;Upload!Q222&amp;Upload!R222&amp;Upload!S222&amp;Upload!T222))))),"",E232*0.000035)</f>
        <v/>
      </c>
      <c r="R232" s="15" t="str">
        <f>IF(OR(F232="",NOT(OR(ISNUMBER(SEARCH("Epóxico BT",Upload!Q222&amp;Upload!R222&amp;Upload!S222&amp;Upload!T222&amp;Upload!U222))))),"",F232*0.000035)</f>
        <v/>
      </c>
      <c r="S232" s="15" t="str">
        <f>IF(OR(G232="",NOT(OR(ISNUMBER(SEARCH("Epóxico Rojo",Upload!R222&amp;Upload!S222&amp;Upload!T222&amp;Upload!U222&amp;Upload!V222))))),"",G232*0.000035)</f>
        <v/>
      </c>
    </row>
    <row r="233" spans="1:19" x14ac:dyDescent="0.2">
      <c r="A233" s="9" t="e">
        <f t="shared" ca="1" si="18"/>
        <v>#NAME?</v>
      </c>
      <c r="B233" s="9">
        <f>Upload!E223</f>
        <v>0</v>
      </c>
      <c r="C233" s="9">
        <f>Upload!AE223</f>
        <v>0</v>
      </c>
      <c r="D233" s="9">
        <f>Upload!AF223</f>
        <v>0</v>
      </c>
      <c r="E233" s="9">
        <f>Upload!AG223</f>
        <v>0</v>
      </c>
      <c r="F233" s="9" t="str">
        <f>Upload!X223</f>
        <v/>
      </c>
      <c r="G233" s="9" t="str">
        <f>Upload!Z223</f>
        <v/>
      </c>
      <c r="H233" s="9" t="str">
        <f>Upload!W223</f>
        <v>(seleccione)</v>
      </c>
      <c r="I233" s="9" t="str">
        <f>Upload!Y223</f>
        <v>(seleccione)</v>
      </c>
      <c r="K233" s="15" t="str">
        <f t="shared" si="19"/>
        <v/>
      </c>
      <c r="L233" s="15" t="str">
        <f t="shared" si="20"/>
        <v/>
      </c>
      <c r="M233" s="15" t="str">
        <f t="shared" si="21"/>
        <v/>
      </c>
      <c r="N233" s="15" t="str">
        <f t="shared" si="22"/>
        <v/>
      </c>
      <c r="O233" s="15" t="str">
        <f t="shared" si="23"/>
        <v/>
      </c>
      <c r="P233" s="15" t="str">
        <f>IF(OR(C233="",NOT(OR(ISNUMBER(SEARCH("Antitarnish",Upload!P223&amp;Upload!Q223&amp;Upload!R223&amp;Upload!S223&amp;Upload!T223)),ISNUMBER(SEARCH("Anti Tarnish",Upload!P223&amp;Upload!Q223&amp;Upload!R223&amp;Upload!S223&amp;Upload!T223))))),"",0.0012*C233)</f>
        <v/>
      </c>
      <c r="Q233" s="15" t="str">
        <f>IF(OR(E233="",NOT(OR(ISNUMBER(SEARCH("Epóxico MT",Upload!P223&amp;Upload!Q223&amp;Upload!R223&amp;Upload!S223&amp;Upload!T223))))),"",E233*0.000035)</f>
        <v/>
      </c>
      <c r="R233" s="15" t="str">
        <f>IF(OR(F233="",NOT(OR(ISNUMBER(SEARCH("Epóxico BT",Upload!Q223&amp;Upload!R223&amp;Upload!S223&amp;Upload!T223&amp;Upload!U223))))),"",F233*0.000035)</f>
        <v/>
      </c>
      <c r="S233" s="15" t="str">
        <f>IF(OR(G233="",NOT(OR(ISNUMBER(SEARCH("Epóxico Rojo",Upload!R223&amp;Upload!S223&amp;Upload!T223&amp;Upload!U223&amp;Upload!V223))))),"",G233*0.000035)</f>
        <v/>
      </c>
    </row>
    <row r="234" spans="1:19" x14ac:dyDescent="0.2">
      <c r="A234" s="9" t="e">
        <f t="shared" ca="1" si="18"/>
        <v>#NAME?</v>
      </c>
      <c r="B234" s="9">
        <f>Upload!E224</f>
        <v>0</v>
      </c>
      <c r="C234" s="9">
        <f>Upload!AE224</f>
        <v>0</v>
      </c>
      <c r="D234" s="9">
        <f>Upload!AF224</f>
        <v>0</v>
      </c>
      <c r="E234" s="9">
        <f>Upload!AG224</f>
        <v>0</v>
      </c>
      <c r="F234" s="9" t="str">
        <f>Upload!X224</f>
        <v/>
      </c>
      <c r="G234" s="9" t="str">
        <f>Upload!Z224</f>
        <v/>
      </c>
      <c r="H234" s="9" t="str">
        <f>Upload!W224</f>
        <v>(seleccione)</v>
      </c>
      <c r="I234" s="9" t="str">
        <f>Upload!Y224</f>
        <v>(seleccione)</v>
      </c>
      <c r="K234" s="15" t="str">
        <f t="shared" si="19"/>
        <v/>
      </c>
      <c r="L234" s="15" t="str">
        <f t="shared" si="20"/>
        <v/>
      </c>
      <c r="M234" s="15" t="str">
        <f t="shared" si="21"/>
        <v/>
      </c>
      <c r="N234" s="15" t="str">
        <f t="shared" si="22"/>
        <v/>
      </c>
      <c r="O234" s="15" t="str">
        <f t="shared" si="23"/>
        <v/>
      </c>
      <c r="P234" s="15" t="str">
        <f>IF(OR(C234="",NOT(OR(ISNUMBER(SEARCH("Antitarnish",Upload!P224&amp;Upload!Q224&amp;Upload!R224&amp;Upload!S224&amp;Upload!T224)),ISNUMBER(SEARCH("Anti Tarnish",Upload!P224&amp;Upload!Q224&amp;Upload!R224&amp;Upload!S224&amp;Upload!T224))))),"",0.0012*C234)</f>
        <v/>
      </c>
      <c r="Q234" s="15" t="str">
        <f>IF(OR(E234="",NOT(OR(ISNUMBER(SEARCH("Epóxico MT",Upload!P224&amp;Upload!Q224&amp;Upload!R224&amp;Upload!S224&amp;Upload!T224))))),"",E234*0.000035)</f>
        <v/>
      </c>
      <c r="R234" s="15" t="str">
        <f>IF(OR(F234="",NOT(OR(ISNUMBER(SEARCH("Epóxico BT",Upload!Q224&amp;Upload!R224&amp;Upload!S224&amp;Upload!T224&amp;Upload!U224))))),"",F234*0.000035)</f>
        <v/>
      </c>
      <c r="S234" s="15" t="str">
        <f>IF(OR(G234="",NOT(OR(ISNUMBER(SEARCH("Epóxico Rojo",Upload!R224&amp;Upload!S224&amp;Upload!T224&amp;Upload!U224&amp;Upload!V224))))),"",G234*0.000035)</f>
        <v/>
      </c>
    </row>
    <row r="235" spans="1:19" x14ac:dyDescent="0.2">
      <c r="A235" s="9" t="e">
        <f t="shared" ca="1" si="18"/>
        <v>#NAME?</v>
      </c>
      <c r="B235" s="9">
        <f>Upload!E225</f>
        <v>0</v>
      </c>
      <c r="C235" s="9">
        <f>Upload!AE225</f>
        <v>0</v>
      </c>
      <c r="D235" s="9">
        <f>Upload!AF225</f>
        <v>0</v>
      </c>
      <c r="E235" s="9">
        <f>Upload!AG225</f>
        <v>0</v>
      </c>
      <c r="F235" s="9" t="str">
        <f>Upload!X225</f>
        <v/>
      </c>
      <c r="G235" s="9" t="str">
        <f>Upload!Z225</f>
        <v/>
      </c>
      <c r="H235" s="9" t="str">
        <f>Upload!W225</f>
        <v>(seleccione)</v>
      </c>
      <c r="I235" s="9" t="str">
        <f>Upload!Y225</f>
        <v>(seleccione)</v>
      </c>
      <c r="K235" s="15" t="str">
        <f t="shared" si="19"/>
        <v/>
      </c>
      <c r="L235" s="15" t="str">
        <f t="shared" si="20"/>
        <v/>
      </c>
      <c r="M235" s="15" t="str">
        <f t="shared" si="21"/>
        <v/>
      </c>
      <c r="N235" s="15" t="str">
        <f t="shared" si="22"/>
        <v/>
      </c>
      <c r="O235" s="15" t="str">
        <f t="shared" si="23"/>
        <v/>
      </c>
      <c r="P235" s="15" t="str">
        <f>IF(OR(C235="",NOT(OR(ISNUMBER(SEARCH("Antitarnish",Upload!P225&amp;Upload!Q225&amp;Upload!R225&amp;Upload!S225&amp;Upload!T225)),ISNUMBER(SEARCH("Anti Tarnish",Upload!P225&amp;Upload!Q225&amp;Upload!R225&amp;Upload!S225&amp;Upload!T225))))),"",0.0012*C235)</f>
        <v/>
      </c>
      <c r="Q235" s="15" t="str">
        <f>IF(OR(E235="",NOT(OR(ISNUMBER(SEARCH("Epóxico MT",Upload!P225&amp;Upload!Q225&amp;Upload!R225&amp;Upload!S225&amp;Upload!T225))))),"",E235*0.000035)</f>
        <v/>
      </c>
      <c r="R235" s="15" t="str">
        <f>IF(OR(F235="",NOT(OR(ISNUMBER(SEARCH("Epóxico BT",Upload!Q225&amp;Upload!R225&amp;Upload!S225&amp;Upload!T225&amp;Upload!U225))))),"",F235*0.000035)</f>
        <v/>
      </c>
      <c r="S235" s="15" t="str">
        <f>IF(OR(G235="",NOT(OR(ISNUMBER(SEARCH("Epóxico Rojo",Upload!R225&amp;Upload!S225&amp;Upload!T225&amp;Upload!U225&amp;Upload!V225))))),"",G235*0.000035)</f>
        <v/>
      </c>
    </row>
    <row r="236" spans="1:19" x14ac:dyDescent="0.2">
      <c r="A236" s="9" t="e">
        <f t="shared" ca="1" si="18"/>
        <v>#NAME?</v>
      </c>
      <c r="B236" s="9">
        <f>Upload!E226</f>
        <v>0</v>
      </c>
      <c r="C236" s="9">
        <f>Upload!AE226</f>
        <v>0</v>
      </c>
      <c r="D236" s="9">
        <f>Upload!AF226</f>
        <v>0</v>
      </c>
      <c r="E236" s="9">
        <f>Upload!AG226</f>
        <v>0</v>
      </c>
      <c r="F236" s="9" t="str">
        <f>Upload!X226</f>
        <v/>
      </c>
      <c r="G236" s="9" t="str">
        <f>Upload!Z226</f>
        <v/>
      </c>
      <c r="H236" s="9" t="str">
        <f>Upload!W226</f>
        <v>(seleccione)</v>
      </c>
      <c r="I236" s="9" t="str">
        <f>Upload!Y226</f>
        <v>(seleccione)</v>
      </c>
      <c r="K236" s="15" t="str">
        <f t="shared" si="19"/>
        <v/>
      </c>
      <c r="L236" s="15" t="str">
        <f t="shared" si="20"/>
        <v/>
      </c>
      <c r="M236" s="15" t="str">
        <f t="shared" si="21"/>
        <v/>
      </c>
      <c r="N236" s="15" t="str">
        <f t="shared" si="22"/>
        <v/>
      </c>
      <c r="O236" s="15" t="str">
        <f t="shared" si="23"/>
        <v/>
      </c>
      <c r="P236" s="15" t="str">
        <f>IF(OR(C236="",NOT(OR(ISNUMBER(SEARCH("Antitarnish",Upload!P226&amp;Upload!Q226&amp;Upload!R226&amp;Upload!S226&amp;Upload!T226)),ISNUMBER(SEARCH("Anti Tarnish",Upload!P226&amp;Upload!Q226&amp;Upload!R226&amp;Upload!S226&amp;Upload!T226))))),"",0.0012*C236)</f>
        <v/>
      </c>
      <c r="Q236" s="15" t="str">
        <f>IF(OR(E236="",NOT(OR(ISNUMBER(SEARCH("Epóxico MT",Upload!P226&amp;Upload!Q226&amp;Upload!R226&amp;Upload!S226&amp;Upload!T226))))),"",E236*0.000035)</f>
        <v/>
      </c>
      <c r="R236" s="15" t="str">
        <f>IF(OR(F236="",NOT(OR(ISNUMBER(SEARCH("Epóxico BT",Upload!Q226&amp;Upload!R226&amp;Upload!S226&amp;Upload!T226&amp;Upload!U226))))),"",F236*0.000035)</f>
        <v/>
      </c>
      <c r="S236" s="15" t="str">
        <f>IF(OR(G236="",NOT(OR(ISNUMBER(SEARCH("Epóxico Rojo",Upload!R226&amp;Upload!S226&amp;Upload!T226&amp;Upload!U226&amp;Upload!V226))))),"",G236*0.000035)</f>
        <v/>
      </c>
    </row>
    <row r="237" spans="1:19" x14ac:dyDescent="0.2">
      <c r="A237" s="9" t="e">
        <f t="shared" ca="1" si="18"/>
        <v>#NAME?</v>
      </c>
      <c r="B237" s="9">
        <f>Upload!E227</f>
        <v>0</v>
      </c>
      <c r="C237" s="9">
        <f>Upload!AE227</f>
        <v>0</v>
      </c>
      <c r="D237" s="9">
        <f>Upload!AF227</f>
        <v>0</v>
      </c>
      <c r="E237" s="9">
        <f>Upload!AG227</f>
        <v>0</v>
      </c>
      <c r="F237" s="9" t="str">
        <f>Upload!X227</f>
        <v/>
      </c>
      <c r="G237" s="9" t="str">
        <f>Upload!Z227</f>
        <v/>
      </c>
      <c r="H237" s="9" t="str">
        <f>Upload!W227</f>
        <v>(seleccione)</v>
      </c>
      <c r="I237" s="9" t="str">
        <f>Upload!Y227</f>
        <v>(seleccione)</v>
      </c>
      <c r="K237" s="15" t="str">
        <f t="shared" si="19"/>
        <v/>
      </c>
      <c r="L237" s="15" t="str">
        <f t="shared" si="20"/>
        <v/>
      </c>
      <c r="M237" s="15" t="str">
        <f t="shared" si="21"/>
        <v/>
      </c>
      <c r="N237" s="15" t="str">
        <f t="shared" si="22"/>
        <v/>
      </c>
      <c r="O237" s="15" t="str">
        <f t="shared" si="23"/>
        <v/>
      </c>
      <c r="P237" s="15" t="str">
        <f>IF(OR(C237="",NOT(OR(ISNUMBER(SEARCH("Antitarnish",Upload!P227&amp;Upload!Q227&amp;Upload!R227&amp;Upload!S227&amp;Upload!T227)),ISNUMBER(SEARCH("Anti Tarnish",Upload!P227&amp;Upload!Q227&amp;Upload!R227&amp;Upload!S227&amp;Upload!T227))))),"",0.0012*C237)</f>
        <v/>
      </c>
      <c r="Q237" s="15" t="str">
        <f>IF(OR(E237="",NOT(OR(ISNUMBER(SEARCH("Epóxico MT",Upload!P227&amp;Upload!Q227&amp;Upload!R227&amp;Upload!S227&amp;Upload!T227))))),"",E237*0.000035)</f>
        <v/>
      </c>
      <c r="R237" s="15" t="str">
        <f>IF(OR(F237="",NOT(OR(ISNUMBER(SEARCH("Epóxico BT",Upload!Q227&amp;Upload!R227&amp;Upload!S227&amp;Upload!T227&amp;Upload!U227))))),"",F237*0.000035)</f>
        <v/>
      </c>
      <c r="S237" s="15" t="str">
        <f>IF(OR(G237="",NOT(OR(ISNUMBER(SEARCH("Epóxico Rojo",Upload!R227&amp;Upload!S227&amp;Upload!T227&amp;Upload!U227&amp;Upload!V227))))),"",G237*0.000035)</f>
        <v/>
      </c>
    </row>
    <row r="238" spans="1:19" x14ac:dyDescent="0.2">
      <c r="A238" s="9" t="e">
        <f t="shared" ca="1" si="18"/>
        <v>#NAME?</v>
      </c>
      <c r="B238" s="9">
        <f>Upload!E228</f>
        <v>0</v>
      </c>
      <c r="C238" s="9">
        <f>Upload!AE228</f>
        <v>0</v>
      </c>
      <c r="D238" s="9">
        <f>Upload!AF228</f>
        <v>0</v>
      </c>
      <c r="E238" s="9">
        <f>Upload!AG228</f>
        <v>0</v>
      </c>
      <c r="F238" s="9" t="str">
        <f>Upload!X228</f>
        <v/>
      </c>
      <c r="G238" s="9" t="str">
        <f>Upload!Z228</f>
        <v/>
      </c>
      <c r="H238" s="9" t="str">
        <f>Upload!W228</f>
        <v>(seleccione)</v>
      </c>
      <c r="I238" s="9" t="str">
        <f>Upload!Y228</f>
        <v>(seleccione)</v>
      </c>
      <c r="K238" s="15" t="str">
        <f t="shared" si="19"/>
        <v/>
      </c>
      <c r="L238" s="15" t="str">
        <f t="shared" si="20"/>
        <v/>
      </c>
      <c r="M238" s="15" t="str">
        <f t="shared" si="21"/>
        <v/>
      </c>
      <c r="N238" s="15" t="str">
        <f t="shared" si="22"/>
        <v/>
      </c>
      <c r="O238" s="15" t="str">
        <f t="shared" si="23"/>
        <v/>
      </c>
      <c r="P238" s="15" t="str">
        <f>IF(OR(C238="",NOT(OR(ISNUMBER(SEARCH("Antitarnish",Upload!P228&amp;Upload!Q228&amp;Upload!R228&amp;Upload!S228&amp;Upload!T228)),ISNUMBER(SEARCH("Anti Tarnish",Upload!P228&amp;Upload!Q228&amp;Upload!R228&amp;Upload!S228&amp;Upload!T228))))),"",0.0012*C238)</f>
        <v/>
      </c>
      <c r="Q238" s="15" t="str">
        <f>IF(OR(E238="",NOT(OR(ISNUMBER(SEARCH("Epóxico MT",Upload!P228&amp;Upload!Q228&amp;Upload!R228&amp;Upload!S228&amp;Upload!T228))))),"",E238*0.000035)</f>
        <v/>
      </c>
      <c r="R238" s="15" t="str">
        <f>IF(OR(F238="",NOT(OR(ISNUMBER(SEARCH("Epóxico BT",Upload!Q228&amp;Upload!R228&amp;Upload!S228&amp;Upload!T228&amp;Upload!U228))))),"",F238*0.000035)</f>
        <v/>
      </c>
      <c r="S238" s="15" t="str">
        <f>IF(OR(G238="",NOT(OR(ISNUMBER(SEARCH("Epóxico Rojo",Upload!R228&amp;Upload!S228&amp;Upload!T228&amp;Upload!U228&amp;Upload!V228))))),"",G238*0.000035)</f>
        <v/>
      </c>
    </row>
    <row r="239" spans="1:19" x14ac:dyDescent="0.2">
      <c r="A239" s="9" t="e">
        <f t="shared" ca="1" si="18"/>
        <v>#NAME?</v>
      </c>
      <c r="B239" s="9">
        <f>Upload!E229</f>
        <v>0</v>
      </c>
      <c r="C239" s="9">
        <f>Upload!AE229</f>
        <v>0</v>
      </c>
      <c r="D239" s="9">
        <f>Upload!AF229</f>
        <v>0</v>
      </c>
      <c r="E239" s="9">
        <f>Upload!AG229</f>
        <v>0</v>
      </c>
      <c r="F239" s="9" t="str">
        <f>Upload!X229</f>
        <v/>
      </c>
      <c r="G239" s="9" t="str">
        <f>Upload!Z229</f>
        <v/>
      </c>
      <c r="H239" s="9" t="str">
        <f>Upload!W229</f>
        <v>(seleccione)</v>
      </c>
      <c r="I239" s="9" t="str">
        <f>Upload!Y229</f>
        <v>(seleccione)</v>
      </c>
      <c r="K239" s="15" t="str">
        <f t="shared" si="19"/>
        <v/>
      </c>
      <c r="L239" s="15" t="str">
        <f t="shared" si="20"/>
        <v/>
      </c>
      <c r="M239" s="15" t="str">
        <f t="shared" si="21"/>
        <v/>
      </c>
      <c r="N239" s="15" t="str">
        <f t="shared" si="22"/>
        <v/>
      </c>
      <c r="O239" s="15" t="str">
        <f t="shared" si="23"/>
        <v/>
      </c>
      <c r="P239" s="15" t="str">
        <f>IF(OR(C239="",NOT(OR(ISNUMBER(SEARCH("Antitarnish",Upload!P229&amp;Upload!Q229&amp;Upload!R229&amp;Upload!S229&amp;Upload!T229)),ISNUMBER(SEARCH("Anti Tarnish",Upload!P229&amp;Upload!Q229&amp;Upload!R229&amp;Upload!S229&amp;Upload!T229))))),"",0.0012*C239)</f>
        <v/>
      </c>
      <c r="Q239" s="15" t="str">
        <f>IF(OR(E239="",NOT(OR(ISNUMBER(SEARCH("Epóxico MT",Upload!P229&amp;Upload!Q229&amp;Upload!R229&amp;Upload!S229&amp;Upload!T229))))),"",E239*0.000035)</f>
        <v/>
      </c>
      <c r="R239" s="15" t="str">
        <f>IF(OR(F239="",NOT(OR(ISNUMBER(SEARCH("Epóxico BT",Upload!Q229&amp;Upload!R229&amp;Upload!S229&amp;Upload!T229&amp;Upload!U229))))),"",F239*0.000035)</f>
        <v/>
      </c>
      <c r="S239" s="15" t="str">
        <f>IF(OR(G239="",NOT(OR(ISNUMBER(SEARCH("Epóxico Rojo",Upload!R229&amp;Upload!S229&amp;Upload!T229&amp;Upload!U229&amp;Upload!V229))))),"",G239*0.000035)</f>
        <v/>
      </c>
    </row>
    <row r="240" spans="1:19" x14ac:dyDescent="0.2">
      <c r="A240" s="9" t="e">
        <f t="shared" ca="1" si="18"/>
        <v>#NAME?</v>
      </c>
      <c r="B240" s="9">
        <f>Upload!E230</f>
        <v>0</v>
      </c>
      <c r="C240" s="9">
        <f>Upload!AE230</f>
        <v>0</v>
      </c>
      <c r="D240" s="9">
        <f>Upload!AF230</f>
        <v>0</v>
      </c>
      <c r="E240" s="9">
        <f>Upload!AG230</f>
        <v>0</v>
      </c>
      <c r="F240" s="9" t="str">
        <f>Upload!X230</f>
        <v/>
      </c>
      <c r="G240" s="9" t="str">
        <f>Upload!Z230</f>
        <v/>
      </c>
      <c r="H240" s="9" t="str">
        <f>Upload!W230</f>
        <v>(seleccione)</v>
      </c>
      <c r="I240" s="9" t="str">
        <f>Upload!Y230</f>
        <v>(seleccione)</v>
      </c>
      <c r="K240" s="15" t="str">
        <f t="shared" si="19"/>
        <v/>
      </c>
      <c r="L240" s="15" t="str">
        <f t="shared" si="20"/>
        <v/>
      </c>
      <c r="M240" s="15" t="str">
        <f t="shared" si="21"/>
        <v/>
      </c>
      <c r="N240" s="15" t="str">
        <f t="shared" si="22"/>
        <v/>
      </c>
      <c r="O240" s="15" t="str">
        <f t="shared" si="23"/>
        <v/>
      </c>
      <c r="P240" s="15" t="str">
        <f>IF(OR(C240="",NOT(OR(ISNUMBER(SEARCH("Antitarnish",Upload!P230&amp;Upload!Q230&amp;Upload!R230&amp;Upload!S230&amp;Upload!T230)),ISNUMBER(SEARCH("Anti Tarnish",Upload!P230&amp;Upload!Q230&amp;Upload!R230&amp;Upload!S230&amp;Upload!T230))))),"",0.0012*C240)</f>
        <v/>
      </c>
      <c r="Q240" s="15" t="str">
        <f>IF(OR(E240="",NOT(OR(ISNUMBER(SEARCH("Epóxico MT",Upload!P230&amp;Upload!Q230&amp;Upload!R230&amp;Upload!S230&amp;Upload!T230))))),"",E240*0.000035)</f>
        <v/>
      </c>
      <c r="R240" s="15" t="str">
        <f>IF(OR(F240="",NOT(OR(ISNUMBER(SEARCH("Epóxico BT",Upload!Q230&amp;Upload!R230&amp;Upload!S230&amp;Upload!T230&amp;Upload!U230))))),"",F240*0.000035)</f>
        <v/>
      </c>
      <c r="S240" s="15" t="str">
        <f>IF(OR(G240="",NOT(OR(ISNUMBER(SEARCH("Epóxico Rojo",Upload!R230&amp;Upload!S230&amp;Upload!T230&amp;Upload!U230&amp;Upload!V230))))),"",G240*0.000035)</f>
        <v/>
      </c>
    </row>
    <row r="241" spans="1:19" x14ac:dyDescent="0.2">
      <c r="A241" s="9" t="e">
        <f t="shared" ca="1" si="18"/>
        <v>#NAME?</v>
      </c>
      <c r="B241" s="9">
        <f>Upload!E231</f>
        <v>0</v>
      </c>
      <c r="C241" s="9">
        <f>Upload!AE231</f>
        <v>0</v>
      </c>
      <c r="D241" s="9">
        <f>Upload!AF231</f>
        <v>0</v>
      </c>
      <c r="E241" s="9">
        <f>Upload!AG231</f>
        <v>0</v>
      </c>
      <c r="F241" s="9" t="str">
        <f>Upload!X231</f>
        <v/>
      </c>
      <c r="G241" s="9" t="str">
        <f>Upload!Z231</f>
        <v/>
      </c>
      <c r="H241" s="9" t="str">
        <f>Upload!W231</f>
        <v>(seleccione)</v>
      </c>
      <c r="I241" s="9" t="str">
        <f>Upload!Y231</f>
        <v>(seleccione)</v>
      </c>
      <c r="K241" s="15" t="str">
        <f t="shared" si="19"/>
        <v/>
      </c>
      <c r="L241" s="15" t="str">
        <f t="shared" si="20"/>
        <v/>
      </c>
      <c r="M241" s="15" t="str">
        <f t="shared" si="21"/>
        <v/>
      </c>
      <c r="N241" s="15" t="str">
        <f t="shared" si="22"/>
        <v/>
      </c>
      <c r="O241" s="15" t="str">
        <f t="shared" si="23"/>
        <v/>
      </c>
      <c r="P241" s="15" t="str">
        <f>IF(OR(C241="",NOT(OR(ISNUMBER(SEARCH("Antitarnish",Upload!P231&amp;Upload!Q231&amp;Upload!R231&amp;Upload!S231&amp;Upload!T231)),ISNUMBER(SEARCH("Anti Tarnish",Upload!P231&amp;Upload!Q231&amp;Upload!R231&amp;Upload!S231&amp;Upload!T231))))),"",0.0012*C241)</f>
        <v/>
      </c>
      <c r="Q241" s="15" t="str">
        <f>IF(OR(E241="",NOT(OR(ISNUMBER(SEARCH("Epóxico MT",Upload!P231&amp;Upload!Q231&amp;Upload!R231&amp;Upload!S231&amp;Upload!T231))))),"",E241*0.000035)</f>
        <v/>
      </c>
      <c r="R241" s="15" t="str">
        <f>IF(OR(F241="",NOT(OR(ISNUMBER(SEARCH("Epóxico BT",Upload!Q231&amp;Upload!R231&amp;Upload!S231&amp;Upload!T231&amp;Upload!U231))))),"",F241*0.000035)</f>
        <v/>
      </c>
      <c r="S241" s="15" t="str">
        <f>IF(OR(G241="",NOT(OR(ISNUMBER(SEARCH("Epóxico Rojo",Upload!R231&amp;Upload!S231&amp;Upload!T231&amp;Upload!U231&amp;Upload!V231))))),"",G241*0.000035)</f>
        <v/>
      </c>
    </row>
    <row r="242" spans="1:19" x14ac:dyDescent="0.2">
      <c r="A242" s="9" t="e">
        <f t="shared" ca="1" si="18"/>
        <v>#NAME?</v>
      </c>
      <c r="B242" s="9">
        <f>Upload!E232</f>
        <v>0</v>
      </c>
      <c r="C242" s="9">
        <f>Upload!AE232</f>
        <v>0</v>
      </c>
      <c r="D242" s="9">
        <f>Upload!AF232</f>
        <v>0</v>
      </c>
      <c r="E242" s="9">
        <f>Upload!AG232</f>
        <v>0</v>
      </c>
      <c r="F242" s="9" t="str">
        <f>Upload!X232</f>
        <v/>
      </c>
      <c r="G242" s="9" t="str">
        <f>Upload!Z232</f>
        <v/>
      </c>
      <c r="H242" s="9" t="str">
        <f>Upload!W232</f>
        <v>(seleccione)</v>
      </c>
      <c r="I242" s="9" t="str">
        <f>Upload!Y232</f>
        <v>(seleccione)</v>
      </c>
      <c r="K242" s="15" t="str">
        <f t="shared" si="19"/>
        <v/>
      </c>
      <c r="L242" s="15" t="str">
        <f t="shared" si="20"/>
        <v/>
      </c>
      <c r="M242" s="15" t="str">
        <f t="shared" si="21"/>
        <v/>
      </c>
      <c r="N242" s="15" t="str">
        <f t="shared" si="22"/>
        <v/>
      </c>
      <c r="O242" s="15" t="str">
        <f t="shared" si="23"/>
        <v/>
      </c>
      <c r="P242" s="15" t="str">
        <f>IF(OR(C242="",NOT(OR(ISNUMBER(SEARCH("Antitarnish",Upload!P232&amp;Upload!Q232&amp;Upload!R232&amp;Upload!S232&amp;Upload!T232)),ISNUMBER(SEARCH("Anti Tarnish",Upload!P232&amp;Upload!Q232&amp;Upload!R232&amp;Upload!S232&amp;Upload!T232))))),"",0.0012*C242)</f>
        <v/>
      </c>
      <c r="Q242" s="15" t="str">
        <f>IF(OR(E242="",NOT(OR(ISNUMBER(SEARCH("Epóxico MT",Upload!P232&amp;Upload!Q232&amp;Upload!R232&amp;Upload!S232&amp;Upload!T232))))),"",E242*0.000035)</f>
        <v/>
      </c>
      <c r="R242" s="15" t="str">
        <f>IF(OR(F242="",NOT(OR(ISNUMBER(SEARCH("Epóxico BT",Upload!Q232&amp;Upload!R232&amp;Upload!S232&amp;Upload!T232&amp;Upload!U232))))),"",F242*0.000035)</f>
        <v/>
      </c>
      <c r="S242" s="15" t="str">
        <f>IF(OR(G242="",NOT(OR(ISNUMBER(SEARCH("Epóxico Rojo",Upload!R232&amp;Upload!S232&amp;Upload!T232&amp;Upload!U232&amp;Upload!V232))))),"",G242*0.000035)</f>
        <v/>
      </c>
    </row>
    <row r="243" spans="1:19" x14ac:dyDescent="0.2">
      <c r="A243" s="9" t="e">
        <f t="shared" ca="1" si="18"/>
        <v>#NAME?</v>
      </c>
      <c r="B243" s="9">
        <f>Upload!E233</f>
        <v>0</v>
      </c>
      <c r="C243" s="9">
        <f>Upload!AE233</f>
        <v>0</v>
      </c>
      <c r="D243" s="9">
        <f>Upload!AF233</f>
        <v>0</v>
      </c>
      <c r="E243" s="9">
        <f>Upload!AG233</f>
        <v>0</v>
      </c>
      <c r="F243" s="9" t="str">
        <f>Upload!X233</f>
        <v/>
      </c>
      <c r="G243" s="9" t="str">
        <f>Upload!Z233</f>
        <v/>
      </c>
      <c r="H243" s="9" t="str">
        <f>Upload!W233</f>
        <v>(seleccione)</v>
      </c>
      <c r="I243" s="9" t="str">
        <f>Upload!Y233</f>
        <v>(seleccione)</v>
      </c>
      <c r="K243" s="15" t="str">
        <f t="shared" si="19"/>
        <v/>
      </c>
      <c r="L243" s="15" t="str">
        <f t="shared" si="20"/>
        <v/>
      </c>
      <c r="M243" s="15" t="str">
        <f t="shared" si="21"/>
        <v/>
      </c>
      <c r="N243" s="15" t="str">
        <f t="shared" si="22"/>
        <v/>
      </c>
      <c r="O243" s="15" t="str">
        <f t="shared" si="23"/>
        <v/>
      </c>
      <c r="P243" s="15" t="str">
        <f>IF(OR(C243="",NOT(OR(ISNUMBER(SEARCH("Antitarnish",Upload!P233&amp;Upload!Q233&amp;Upload!R233&amp;Upload!S233&amp;Upload!T233)),ISNUMBER(SEARCH("Anti Tarnish",Upload!P233&amp;Upload!Q233&amp;Upload!R233&amp;Upload!S233&amp;Upload!T233))))),"",0.0012*C243)</f>
        <v/>
      </c>
      <c r="Q243" s="15" t="str">
        <f>IF(OR(E243="",NOT(OR(ISNUMBER(SEARCH("Epóxico MT",Upload!P233&amp;Upload!Q233&amp;Upload!R233&amp;Upload!S233&amp;Upload!T233))))),"",E243*0.000035)</f>
        <v/>
      </c>
      <c r="R243" s="15" t="str">
        <f>IF(OR(F243="",NOT(OR(ISNUMBER(SEARCH("Epóxico BT",Upload!Q233&amp;Upload!R233&amp;Upload!S233&amp;Upload!T233&amp;Upload!U233))))),"",F243*0.000035)</f>
        <v/>
      </c>
      <c r="S243" s="15" t="str">
        <f>IF(OR(G243="",NOT(OR(ISNUMBER(SEARCH("Epóxico Rojo",Upload!R233&amp;Upload!S233&amp;Upload!T233&amp;Upload!U233&amp;Upload!V233))))),"",G243*0.000035)</f>
        <v/>
      </c>
    </row>
    <row r="244" spans="1:19" x14ac:dyDescent="0.2">
      <c r="A244" s="9" t="e">
        <f t="shared" ca="1" si="18"/>
        <v>#NAME?</v>
      </c>
      <c r="B244" s="9">
        <f>Upload!E234</f>
        <v>0</v>
      </c>
      <c r="C244" s="9">
        <f>Upload!AE234</f>
        <v>0</v>
      </c>
      <c r="D244" s="9">
        <f>Upload!AF234</f>
        <v>0</v>
      </c>
      <c r="E244" s="9">
        <f>Upload!AG234</f>
        <v>0</v>
      </c>
      <c r="F244" s="9" t="str">
        <f>Upload!X234</f>
        <v/>
      </c>
      <c r="G244" s="9" t="str">
        <f>Upload!Z234</f>
        <v/>
      </c>
      <c r="H244" s="9" t="str">
        <f>Upload!W234</f>
        <v>(seleccione)</v>
      </c>
      <c r="I244" s="9" t="str">
        <f>Upload!Y234</f>
        <v>(seleccione)</v>
      </c>
      <c r="K244" s="15" t="str">
        <f t="shared" si="19"/>
        <v/>
      </c>
      <c r="L244" s="15" t="str">
        <f t="shared" si="20"/>
        <v/>
      </c>
      <c r="M244" s="15" t="str">
        <f t="shared" si="21"/>
        <v/>
      </c>
      <c r="N244" s="15" t="str">
        <f t="shared" si="22"/>
        <v/>
      </c>
      <c r="O244" s="15" t="str">
        <f t="shared" si="23"/>
        <v/>
      </c>
      <c r="P244" s="15" t="str">
        <f>IF(OR(C244="",NOT(OR(ISNUMBER(SEARCH("Antitarnish",Upload!P234&amp;Upload!Q234&amp;Upload!R234&amp;Upload!S234&amp;Upload!T234)),ISNUMBER(SEARCH("Anti Tarnish",Upload!P234&amp;Upload!Q234&amp;Upload!R234&amp;Upload!S234&amp;Upload!T234))))),"",0.0012*C244)</f>
        <v/>
      </c>
      <c r="Q244" s="15" t="str">
        <f>IF(OR(E244="",NOT(OR(ISNUMBER(SEARCH("Epóxico MT",Upload!P234&amp;Upload!Q234&amp;Upload!R234&amp;Upload!S234&amp;Upload!T234))))),"",E244*0.000035)</f>
        <v/>
      </c>
      <c r="R244" s="15" t="str">
        <f>IF(OR(F244="",NOT(OR(ISNUMBER(SEARCH("Epóxico BT",Upload!Q234&amp;Upload!R234&amp;Upload!S234&amp;Upload!T234&amp;Upload!U234))))),"",F244*0.000035)</f>
        <v/>
      </c>
      <c r="S244" s="15" t="str">
        <f>IF(OR(G244="",NOT(OR(ISNUMBER(SEARCH("Epóxico Rojo",Upload!R234&amp;Upload!S234&amp;Upload!T234&amp;Upload!U234&amp;Upload!V234))))),"",G244*0.000035)</f>
        <v/>
      </c>
    </row>
    <row r="245" spans="1:19" x14ac:dyDescent="0.2">
      <c r="A245" s="9" t="e">
        <f t="shared" ca="1" si="18"/>
        <v>#NAME?</v>
      </c>
      <c r="B245" s="9">
        <f>Upload!E235</f>
        <v>0</v>
      </c>
      <c r="C245" s="9">
        <f>Upload!AE235</f>
        <v>0</v>
      </c>
      <c r="D245" s="9">
        <f>Upload!AF235</f>
        <v>0</v>
      </c>
      <c r="E245" s="9">
        <f>Upload!AG235</f>
        <v>0</v>
      </c>
      <c r="F245" s="9" t="str">
        <f>Upload!X235</f>
        <v/>
      </c>
      <c r="G245" s="9" t="str">
        <f>Upload!Z235</f>
        <v/>
      </c>
      <c r="H245" s="9" t="str">
        <f>Upload!W235</f>
        <v>(seleccione)</v>
      </c>
      <c r="I245" s="9" t="str">
        <f>Upload!Y235</f>
        <v>(seleccione)</v>
      </c>
      <c r="K245" s="15" t="str">
        <f t="shared" si="19"/>
        <v/>
      </c>
      <c r="L245" s="15" t="str">
        <f t="shared" si="20"/>
        <v/>
      </c>
      <c r="M245" s="15" t="str">
        <f t="shared" si="21"/>
        <v/>
      </c>
      <c r="N245" s="15" t="str">
        <f t="shared" si="22"/>
        <v/>
      </c>
      <c r="O245" s="15" t="str">
        <f t="shared" si="23"/>
        <v/>
      </c>
      <c r="P245" s="15" t="str">
        <f>IF(OR(C245="",NOT(OR(ISNUMBER(SEARCH("Antitarnish",Upload!P235&amp;Upload!Q235&amp;Upload!R235&amp;Upload!S235&amp;Upload!T235)),ISNUMBER(SEARCH("Anti Tarnish",Upload!P235&amp;Upload!Q235&amp;Upload!R235&amp;Upload!S235&amp;Upload!T235))))),"",0.0012*C245)</f>
        <v/>
      </c>
      <c r="Q245" s="15" t="str">
        <f>IF(OR(E245="",NOT(OR(ISNUMBER(SEARCH("Epóxico MT",Upload!P235&amp;Upload!Q235&amp;Upload!R235&amp;Upload!S235&amp;Upload!T235))))),"",E245*0.000035)</f>
        <v/>
      </c>
      <c r="R245" s="15" t="str">
        <f>IF(OR(F245="",NOT(OR(ISNUMBER(SEARCH("Epóxico BT",Upload!Q235&amp;Upload!R235&amp;Upload!S235&amp;Upload!T235&amp;Upload!U235))))),"",F245*0.000035)</f>
        <v/>
      </c>
      <c r="S245" s="15" t="str">
        <f>IF(OR(G245="",NOT(OR(ISNUMBER(SEARCH("Epóxico Rojo",Upload!R235&amp;Upload!S235&amp;Upload!T235&amp;Upload!U235&amp;Upload!V235))))),"",G245*0.000035)</f>
        <v/>
      </c>
    </row>
    <row r="246" spans="1:19" x14ac:dyDescent="0.2">
      <c r="A246" s="9" t="e">
        <f t="shared" ca="1" si="18"/>
        <v>#NAME?</v>
      </c>
      <c r="B246" s="9">
        <f>Upload!E236</f>
        <v>0</v>
      </c>
      <c r="C246" s="9">
        <f>Upload!AE236</f>
        <v>0</v>
      </c>
      <c r="D246" s="9">
        <f>Upload!AF236</f>
        <v>0</v>
      </c>
      <c r="E246" s="9">
        <f>Upload!AG236</f>
        <v>0</v>
      </c>
      <c r="F246" s="9" t="str">
        <f>Upload!X236</f>
        <v/>
      </c>
      <c r="G246" s="9" t="str">
        <f>Upload!Z236</f>
        <v/>
      </c>
      <c r="H246" s="9" t="str">
        <f>Upload!W236</f>
        <v>(seleccione)</v>
      </c>
      <c r="I246" s="9" t="str">
        <f>Upload!Y236</f>
        <v>(seleccione)</v>
      </c>
      <c r="K246" s="15" t="str">
        <f t="shared" si="19"/>
        <v/>
      </c>
      <c r="L246" s="15" t="str">
        <f t="shared" si="20"/>
        <v/>
      </c>
      <c r="M246" s="15" t="str">
        <f t="shared" si="21"/>
        <v/>
      </c>
      <c r="N246" s="15" t="str">
        <f t="shared" si="22"/>
        <v/>
      </c>
      <c r="O246" s="15" t="str">
        <f t="shared" si="23"/>
        <v/>
      </c>
      <c r="P246" s="15" t="str">
        <f>IF(OR(C246="",NOT(OR(ISNUMBER(SEARCH("Antitarnish",Upload!P236&amp;Upload!Q236&amp;Upload!R236&amp;Upload!S236&amp;Upload!T236)),ISNUMBER(SEARCH("Anti Tarnish",Upload!P236&amp;Upload!Q236&amp;Upload!R236&amp;Upload!S236&amp;Upload!T236))))),"",0.0012*C246)</f>
        <v/>
      </c>
      <c r="Q246" s="15" t="str">
        <f>IF(OR(E246="",NOT(OR(ISNUMBER(SEARCH("Epóxico MT",Upload!P236&amp;Upload!Q236&amp;Upload!R236&amp;Upload!S236&amp;Upload!T236))))),"",E246*0.000035)</f>
        <v/>
      </c>
      <c r="R246" s="15" t="str">
        <f>IF(OR(F246="",NOT(OR(ISNUMBER(SEARCH("Epóxico BT",Upload!Q236&amp;Upload!R236&amp;Upload!S236&amp;Upload!T236&amp;Upload!U236))))),"",F246*0.000035)</f>
        <v/>
      </c>
      <c r="S246" s="15" t="str">
        <f>IF(OR(G246="",NOT(OR(ISNUMBER(SEARCH("Epóxico Rojo",Upload!R236&amp;Upload!S236&amp;Upload!T236&amp;Upload!U236&amp;Upload!V236))))),"",G246*0.000035)</f>
        <v/>
      </c>
    </row>
    <row r="247" spans="1:19" x14ac:dyDescent="0.2">
      <c r="A247" s="9" t="e">
        <f t="shared" ca="1" si="18"/>
        <v>#NAME?</v>
      </c>
      <c r="B247" s="9">
        <f>Upload!E237</f>
        <v>0</v>
      </c>
      <c r="C247" s="9">
        <f>Upload!AE237</f>
        <v>0</v>
      </c>
      <c r="D247" s="9">
        <f>Upload!AF237</f>
        <v>0</v>
      </c>
      <c r="E247" s="9">
        <f>Upload!AG237</f>
        <v>0</v>
      </c>
      <c r="F247" s="9" t="str">
        <f>Upload!X237</f>
        <v/>
      </c>
      <c r="G247" s="9" t="str">
        <f>Upload!Z237</f>
        <v/>
      </c>
      <c r="H247" s="9" t="str">
        <f>Upload!W237</f>
        <v>(seleccione)</v>
      </c>
      <c r="I247" s="9" t="str">
        <f>Upload!Y237</f>
        <v>(seleccione)</v>
      </c>
      <c r="K247" s="15" t="str">
        <f t="shared" si="19"/>
        <v/>
      </c>
      <c r="L247" s="15" t="str">
        <f t="shared" si="20"/>
        <v/>
      </c>
      <c r="M247" s="15" t="str">
        <f t="shared" si="21"/>
        <v/>
      </c>
      <c r="N247" s="15" t="str">
        <f t="shared" si="22"/>
        <v/>
      </c>
      <c r="O247" s="15" t="str">
        <f t="shared" si="23"/>
        <v/>
      </c>
      <c r="P247" s="15" t="str">
        <f>IF(OR(C247="",NOT(OR(ISNUMBER(SEARCH("Antitarnish",Upload!P237&amp;Upload!Q237&amp;Upload!R237&amp;Upload!S237&amp;Upload!T237)),ISNUMBER(SEARCH("Anti Tarnish",Upload!P237&amp;Upload!Q237&amp;Upload!R237&amp;Upload!S237&amp;Upload!T237))))),"",0.0012*C247)</f>
        <v/>
      </c>
      <c r="Q247" s="15" t="str">
        <f>IF(OR(E247="",NOT(OR(ISNUMBER(SEARCH("Epóxico MT",Upload!P237&amp;Upload!Q237&amp;Upload!R237&amp;Upload!S237&amp;Upload!T237))))),"",E247*0.000035)</f>
        <v/>
      </c>
      <c r="R247" s="15" t="str">
        <f>IF(OR(F247="",NOT(OR(ISNUMBER(SEARCH("Epóxico BT",Upload!Q237&amp;Upload!R237&amp;Upload!S237&amp;Upload!T237&amp;Upload!U237))))),"",F247*0.000035)</f>
        <v/>
      </c>
      <c r="S247" s="15" t="str">
        <f>IF(OR(G247="",NOT(OR(ISNUMBER(SEARCH("Epóxico Rojo",Upload!R237&amp;Upload!S237&amp;Upload!T237&amp;Upload!U237&amp;Upload!V237))))),"",G247*0.000035)</f>
        <v/>
      </c>
    </row>
    <row r="248" spans="1:19" x14ac:dyDescent="0.2">
      <c r="A248" s="9" t="e">
        <f t="shared" ca="1" si="18"/>
        <v>#NAME?</v>
      </c>
      <c r="B248" s="9">
        <f>Upload!E238</f>
        <v>0</v>
      </c>
      <c r="C248" s="9">
        <f>Upload!AE238</f>
        <v>0</v>
      </c>
      <c r="D248" s="9">
        <f>Upload!AF238</f>
        <v>0</v>
      </c>
      <c r="E248" s="9">
        <f>Upload!AG238</f>
        <v>0</v>
      </c>
      <c r="F248" s="9" t="str">
        <f>Upload!X238</f>
        <v/>
      </c>
      <c r="G248" s="9" t="str">
        <f>Upload!Z238</f>
        <v/>
      </c>
      <c r="H248" s="9" t="str">
        <f>Upload!W238</f>
        <v>(seleccione)</v>
      </c>
      <c r="I248" s="9" t="str">
        <f>Upload!Y238</f>
        <v>(seleccione)</v>
      </c>
      <c r="K248" s="15" t="str">
        <f t="shared" si="19"/>
        <v/>
      </c>
      <c r="L248" s="15" t="str">
        <f t="shared" si="20"/>
        <v/>
      </c>
      <c r="M248" s="15" t="str">
        <f t="shared" si="21"/>
        <v/>
      </c>
      <c r="N248" s="15" t="str">
        <f t="shared" si="22"/>
        <v/>
      </c>
      <c r="O248" s="15" t="str">
        <f t="shared" si="23"/>
        <v/>
      </c>
      <c r="P248" s="15" t="str">
        <f>IF(OR(C248="",NOT(OR(ISNUMBER(SEARCH("Antitarnish",Upload!P238&amp;Upload!Q238&amp;Upload!R238&amp;Upload!S238&amp;Upload!T238)),ISNUMBER(SEARCH("Anti Tarnish",Upload!P238&amp;Upload!Q238&amp;Upload!R238&amp;Upload!S238&amp;Upload!T238))))),"",0.0012*C248)</f>
        <v/>
      </c>
      <c r="Q248" s="15" t="str">
        <f>IF(OR(E248="",NOT(OR(ISNUMBER(SEARCH("Epóxico MT",Upload!P238&amp;Upload!Q238&amp;Upload!R238&amp;Upload!S238&amp;Upload!T238))))),"",E248*0.000035)</f>
        <v/>
      </c>
      <c r="R248" s="15" t="str">
        <f>IF(OR(F248="",NOT(OR(ISNUMBER(SEARCH("Epóxico BT",Upload!Q238&amp;Upload!R238&amp;Upload!S238&amp;Upload!T238&amp;Upload!U238))))),"",F248*0.000035)</f>
        <v/>
      </c>
      <c r="S248" s="15" t="str">
        <f>IF(OR(G248="",NOT(OR(ISNUMBER(SEARCH("Epóxico Rojo",Upload!R238&amp;Upload!S238&amp;Upload!T238&amp;Upload!U238&amp;Upload!V238))))),"",G248*0.000035)</f>
        <v/>
      </c>
    </row>
    <row r="249" spans="1:19" x14ac:dyDescent="0.2">
      <c r="A249" s="9" t="e">
        <f t="shared" ca="1" si="18"/>
        <v>#NAME?</v>
      </c>
      <c r="B249" s="9">
        <f>Upload!E239</f>
        <v>0</v>
      </c>
      <c r="C249" s="9">
        <f>Upload!AE239</f>
        <v>0</v>
      </c>
      <c r="D249" s="9">
        <f>Upload!AF239</f>
        <v>0</v>
      </c>
      <c r="E249" s="9">
        <f>Upload!AG239</f>
        <v>0</v>
      </c>
      <c r="F249" s="9" t="str">
        <f>Upload!X239</f>
        <v/>
      </c>
      <c r="G249" s="9" t="str">
        <f>Upload!Z239</f>
        <v/>
      </c>
      <c r="H249" s="9" t="str">
        <f>Upload!W239</f>
        <v>(seleccione)</v>
      </c>
      <c r="I249" s="9" t="str">
        <f>Upload!Y239</f>
        <v>(seleccione)</v>
      </c>
      <c r="K249" s="15" t="str">
        <f t="shared" si="19"/>
        <v/>
      </c>
      <c r="L249" s="15" t="str">
        <f t="shared" si="20"/>
        <v/>
      </c>
      <c r="M249" s="15" t="str">
        <f t="shared" si="21"/>
        <v/>
      </c>
      <c r="N249" s="15" t="str">
        <f t="shared" si="22"/>
        <v/>
      </c>
      <c r="O249" s="15" t="str">
        <f t="shared" si="23"/>
        <v/>
      </c>
      <c r="P249" s="15" t="str">
        <f>IF(OR(C249="",NOT(OR(ISNUMBER(SEARCH("Antitarnish",Upload!P239&amp;Upload!Q239&amp;Upload!R239&amp;Upload!S239&amp;Upload!T239)),ISNUMBER(SEARCH("Anti Tarnish",Upload!P239&amp;Upload!Q239&amp;Upload!R239&amp;Upload!S239&amp;Upload!T239))))),"",0.0012*C249)</f>
        <v/>
      </c>
      <c r="Q249" s="15" t="str">
        <f>IF(OR(E249="",NOT(OR(ISNUMBER(SEARCH("Epóxico MT",Upload!P239&amp;Upload!Q239&amp;Upload!R239&amp;Upload!S239&amp;Upload!T239))))),"",E249*0.000035)</f>
        <v/>
      </c>
      <c r="R249" s="15" t="str">
        <f>IF(OR(F249="",NOT(OR(ISNUMBER(SEARCH("Epóxico BT",Upload!Q239&amp;Upload!R239&amp;Upload!S239&amp;Upload!T239&amp;Upload!U239))))),"",F249*0.000035)</f>
        <v/>
      </c>
      <c r="S249" s="15" t="str">
        <f>IF(OR(G249="",NOT(OR(ISNUMBER(SEARCH("Epóxico Rojo",Upload!R239&amp;Upload!S239&amp;Upload!T239&amp;Upload!U239&amp;Upload!V239))))),"",G249*0.000035)</f>
        <v/>
      </c>
    </row>
    <row r="250" spans="1:19" x14ac:dyDescent="0.2">
      <c r="A250" s="9" t="e">
        <f t="shared" ca="1" si="18"/>
        <v>#NAME?</v>
      </c>
      <c r="B250" s="9">
        <f>Upload!E240</f>
        <v>0</v>
      </c>
      <c r="C250" s="9">
        <f>Upload!AE240</f>
        <v>0</v>
      </c>
      <c r="D250" s="9">
        <f>Upload!AF240</f>
        <v>0</v>
      </c>
      <c r="E250" s="9">
        <f>Upload!AG240</f>
        <v>0</v>
      </c>
      <c r="F250" s="9" t="str">
        <f>Upload!X240</f>
        <v/>
      </c>
      <c r="G250" s="9" t="str">
        <f>Upload!Z240</f>
        <v/>
      </c>
      <c r="H250" s="9" t="str">
        <f>Upload!W240</f>
        <v>(seleccione)</v>
      </c>
      <c r="I250" s="9" t="str">
        <f>Upload!Y240</f>
        <v>(seleccione)</v>
      </c>
      <c r="K250" s="15" t="str">
        <f t="shared" si="19"/>
        <v/>
      </c>
      <c r="L250" s="15" t="str">
        <f t="shared" si="20"/>
        <v/>
      </c>
      <c r="M250" s="15" t="str">
        <f t="shared" si="21"/>
        <v/>
      </c>
      <c r="N250" s="15" t="str">
        <f t="shared" si="22"/>
        <v/>
      </c>
      <c r="O250" s="15" t="str">
        <f t="shared" si="23"/>
        <v/>
      </c>
      <c r="P250" s="15" t="str">
        <f>IF(OR(C250="",NOT(OR(ISNUMBER(SEARCH("Antitarnish",Upload!P240&amp;Upload!Q240&amp;Upload!R240&amp;Upload!S240&amp;Upload!T240)),ISNUMBER(SEARCH("Anti Tarnish",Upload!P240&amp;Upload!Q240&amp;Upload!R240&amp;Upload!S240&amp;Upload!T240))))),"",0.0012*C250)</f>
        <v/>
      </c>
      <c r="Q250" s="15" t="str">
        <f>IF(OR(E250="",NOT(OR(ISNUMBER(SEARCH("Epóxico MT",Upload!P240&amp;Upload!Q240&amp;Upload!R240&amp;Upload!S240&amp;Upload!T240))))),"",E250*0.000035)</f>
        <v/>
      </c>
      <c r="R250" s="15" t="str">
        <f>IF(OR(F250="",NOT(OR(ISNUMBER(SEARCH("Epóxico BT",Upload!Q240&amp;Upload!R240&amp;Upload!S240&amp;Upload!T240&amp;Upload!U240))))),"",F250*0.000035)</f>
        <v/>
      </c>
      <c r="S250" s="15" t="str">
        <f>IF(OR(G250="",NOT(OR(ISNUMBER(SEARCH("Epóxico Rojo",Upload!R240&amp;Upload!S240&amp;Upload!T240&amp;Upload!U240&amp;Upload!V240))))),"",G250*0.000035)</f>
        <v/>
      </c>
    </row>
    <row r="251" spans="1:19" x14ac:dyDescent="0.2">
      <c r="A251" s="9" t="e">
        <f t="shared" ca="1" si="18"/>
        <v>#NAME?</v>
      </c>
      <c r="B251" s="9">
        <f>Upload!E241</f>
        <v>0</v>
      </c>
      <c r="C251" s="9">
        <f>Upload!AE241</f>
        <v>0</v>
      </c>
      <c r="D251" s="9">
        <f>Upload!AF241</f>
        <v>0</v>
      </c>
      <c r="E251" s="9">
        <f>Upload!AG241</f>
        <v>0</v>
      </c>
      <c r="F251" s="9" t="str">
        <f>Upload!X241</f>
        <v/>
      </c>
      <c r="G251" s="9" t="str">
        <f>Upload!Z241</f>
        <v/>
      </c>
      <c r="H251" s="9" t="str">
        <f>Upload!W241</f>
        <v>(seleccione)</v>
      </c>
      <c r="I251" s="9" t="str">
        <f>Upload!Y241</f>
        <v>(seleccione)</v>
      </c>
      <c r="K251" s="15" t="str">
        <f t="shared" si="19"/>
        <v/>
      </c>
      <c r="L251" s="15" t="str">
        <f t="shared" si="20"/>
        <v/>
      </c>
      <c r="M251" s="15" t="str">
        <f t="shared" si="21"/>
        <v/>
      </c>
      <c r="N251" s="15" t="str">
        <f t="shared" si="22"/>
        <v/>
      </c>
      <c r="O251" s="15" t="str">
        <f t="shared" si="23"/>
        <v/>
      </c>
      <c r="P251" s="15" t="str">
        <f>IF(OR(C251="",NOT(OR(ISNUMBER(SEARCH("Antitarnish",Upload!P241&amp;Upload!Q241&amp;Upload!R241&amp;Upload!S241&amp;Upload!T241)),ISNUMBER(SEARCH("Anti Tarnish",Upload!P241&amp;Upload!Q241&amp;Upload!R241&amp;Upload!S241&amp;Upload!T241))))),"",0.0012*C251)</f>
        <v/>
      </c>
      <c r="Q251" s="15" t="str">
        <f>IF(OR(E251="",NOT(OR(ISNUMBER(SEARCH("Epóxico MT",Upload!P241&amp;Upload!Q241&amp;Upload!R241&amp;Upload!S241&amp;Upload!T241))))),"",E251*0.000035)</f>
        <v/>
      </c>
      <c r="R251" s="15" t="str">
        <f>IF(OR(F251="",NOT(OR(ISNUMBER(SEARCH("Epóxico BT",Upload!Q241&amp;Upload!R241&amp;Upload!S241&amp;Upload!T241&amp;Upload!U241))))),"",F251*0.000035)</f>
        <v/>
      </c>
      <c r="S251" s="15" t="str">
        <f>IF(OR(G251="",NOT(OR(ISNUMBER(SEARCH("Epóxico Rojo",Upload!R241&amp;Upload!S241&amp;Upload!T241&amp;Upload!U241&amp;Upload!V241))))),"",G251*0.000035)</f>
        <v/>
      </c>
    </row>
    <row r="252" spans="1:19" x14ac:dyDescent="0.2">
      <c r="A252" s="9" t="e">
        <f t="shared" ca="1" si="18"/>
        <v>#NAME?</v>
      </c>
      <c r="B252" s="9">
        <f>Upload!E242</f>
        <v>0</v>
      </c>
      <c r="C252" s="9">
        <f>Upload!AE242</f>
        <v>0</v>
      </c>
      <c r="D252" s="9">
        <f>Upload!AF242</f>
        <v>0</v>
      </c>
      <c r="E252" s="9">
        <f>Upload!AG242</f>
        <v>0</v>
      </c>
      <c r="F252" s="9" t="str">
        <f>Upload!X242</f>
        <v/>
      </c>
      <c r="G252" s="9" t="str">
        <f>Upload!Z242</f>
        <v/>
      </c>
      <c r="H252" s="9" t="str">
        <f>Upload!W242</f>
        <v>(seleccione)</v>
      </c>
      <c r="I252" s="9" t="str">
        <f>Upload!Y242</f>
        <v>(seleccione)</v>
      </c>
      <c r="K252" s="15" t="str">
        <f t="shared" si="19"/>
        <v/>
      </c>
      <c r="L252" s="15" t="str">
        <f t="shared" si="20"/>
        <v/>
      </c>
      <c r="M252" s="15" t="str">
        <f t="shared" si="21"/>
        <v/>
      </c>
      <c r="N252" s="15" t="str">
        <f t="shared" si="22"/>
        <v/>
      </c>
      <c r="O252" s="15" t="str">
        <f t="shared" si="23"/>
        <v/>
      </c>
      <c r="P252" s="15" t="str">
        <f>IF(OR(C252="",NOT(OR(ISNUMBER(SEARCH("Antitarnish",Upload!P242&amp;Upload!Q242&amp;Upload!R242&amp;Upload!S242&amp;Upload!T242)),ISNUMBER(SEARCH("Anti Tarnish",Upload!P242&amp;Upload!Q242&amp;Upload!R242&amp;Upload!S242&amp;Upload!T242))))),"",0.0012*C252)</f>
        <v/>
      </c>
      <c r="Q252" s="15" t="str">
        <f>IF(OR(E252="",NOT(OR(ISNUMBER(SEARCH("Epóxico MT",Upload!P242&amp;Upload!Q242&amp;Upload!R242&amp;Upload!S242&amp;Upload!T242))))),"",E252*0.000035)</f>
        <v/>
      </c>
      <c r="R252" s="15" t="str">
        <f>IF(OR(F252="",NOT(OR(ISNUMBER(SEARCH("Epóxico BT",Upload!Q242&amp;Upload!R242&amp;Upload!S242&amp;Upload!T242&amp;Upload!U242))))),"",F252*0.000035)</f>
        <v/>
      </c>
      <c r="S252" s="15" t="str">
        <f>IF(OR(G252="",NOT(OR(ISNUMBER(SEARCH("Epóxico Rojo",Upload!R242&amp;Upload!S242&amp;Upload!T242&amp;Upload!U242&amp;Upload!V242))))),"",G252*0.000035)</f>
        <v/>
      </c>
    </row>
    <row r="253" spans="1:19" x14ac:dyDescent="0.2">
      <c r="A253" s="9" t="e">
        <f t="shared" ca="1" si="18"/>
        <v>#NAME?</v>
      </c>
      <c r="B253" s="9">
        <f>Upload!E243</f>
        <v>0</v>
      </c>
      <c r="C253" s="9">
        <f>Upload!AE243</f>
        <v>0</v>
      </c>
      <c r="D253" s="9">
        <f>Upload!AF243</f>
        <v>0</v>
      </c>
      <c r="E253" s="9">
        <f>Upload!AG243</f>
        <v>0</v>
      </c>
      <c r="F253" s="9" t="str">
        <f>Upload!X243</f>
        <v/>
      </c>
      <c r="G253" s="9" t="str">
        <f>Upload!Z243</f>
        <v/>
      </c>
      <c r="H253" s="9" t="str">
        <f>Upload!W243</f>
        <v>(seleccione)</v>
      </c>
      <c r="I253" s="9" t="str">
        <f>Upload!Y243</f>
        <v>(seleccione)</v>
      </c>
      <c r="K253" s="15" t="str">
        <f t="shared" si="19"/>
        <v/>
      </c>
      <c r="L253" s="15" t="str">
        <f t="shared" si="20"/>
        <v/>
      </c>
      <c r="M253" s="15" t="str">
        <f t="shared" si="21"/>
        <v/>
      </c>
      <c r="N253" s="15" t="str">
        <f t="shared" si="22"/>
        <v/>
      </c>
      <c r="O253" s="15" t="str">
        <f t="shared" si="23"/>
        <v/>
      </c>
      <c r="P253" s="15" t="str">
        <f>IF(OR(C253="",NOT(OR(ISNUMBER(SEARCH("Antitarnish",Upload!P243&amp;Upload!Q243&amp;Upload!R243&amp;Upload!S243&amp;Upload!T243)),ISNUMBER(SEARCH("Anti Tarnish",Upload!P243&amp;Upload!Q243&amp;Upload!R243&amp;Upload!S243&amp;Upload!T243))))),"",0.0012*C253)</f>
        <v/>
      </c>
      <c r="Q253" s="15" t="str">
        <f>IF(OR(E253="",NOT(OR(ISNUMBER(SEARCH("Epóxico MT",Upload!P243&amp;Upload!Q243&amp;Upload!R243&amp;Upload!S243&amp;Upload!T243))))),"",E253*0.000035)</f>
        <v/>
      </c>
      <c r="R253" s="15" t="str">
        <f>IF(OR(F253="",NOT(OR(ISNUMBER(SEARCH("Epóxico BT",Upload!Q243&amp;Upload!R243&amp;Upload!S243&amp;Upload!T243&amp;Upload!U243))))),"",F253*0.000035)</f>
        <v/>
      </c>
      <c r="S253" s="15" t="str">
        <f>IF(OR(G253="",NOT(OR(ISNUMBER(SEARCH("Epóxico Rojo",Upload!R243&amp;Upload!S243&amp;Upload!T243&amp;Upload!U243&amp;Upload!V243))))),"",G253*0.000035)</f>
        <v/>
      </c>
    </row>
    <row r="254" spans="1:19" x14ac:dyDescent="0.2">
      <c r="A254" s="9" t="e">
        <f t="shared" ca="1" si="18"/>
        <v>#NAME?</v>
      </c>
      <c r="B254" s="9">
        <f>Upload!E244</f>
        <v>0</v>
      </c>
      <c r="C254" s="9">
        <f>Upload!AE244</f>
        <v>0</v>
      </c>
      <c r="D254" s="9">
        <f>Upload!AF244</f>
        <v>0</v>
      </c>
      <c r="E254" s="9">
        <f>Upload!AG244</f>
        <v>0</v>
      </c>
      <c r="F254" s="9" t="str">
        <f>Upload!X244</f>
        <v/>
      </c>
      <c r="G254" s="9" t="str">
        <f>Upload!Z244</f>
        <v/>
      </c>
      <c r="H254" s="9" t="str">
        <f>Upload!W244</f>
        <v>(seleccione)</v>
      </c>
      <c r="I254" s="9" t="str">
        <f>Upload!Y244</f>
        <v>(seleccione)</v>
      </c>
      <c r="K254" s="15" t="str">
        <f t="shared" si="19"/>
        <v/>
      </c>
      <c r="L254" s="15" t="str">
        <f t="shared" si="20"/>
        <v/>
      </c>
      <c r="M254" s="15" t="str">
        <f t="shared" si="21"/>
        <v/>
      </c>
      <c r="N254" s="15" t="str">
        <f t="shared" si="22"/>
        <v/>
      </c>
      <c r="O254" s="15" t="str">
        <f t="shared" si="23"/>
        <v/>
      </c>
      <c r="P254" s="15" t="str">
        <f>IF(OR(C254="",NOT(OR(ISNUMBER(SEARCH("Antitarnish",Upload!P244&amp;Upload!Q244&amp;Upload!R244&amp;Upload!S244&amp;Upload!T244)),ISNUMBER(SEARCH("Anti Tarnish",Upload!P244&amp;Upload!Q244&amp;Upload!R244&amp;Upload!S244&amp;Upload!T244))))),"",0.0012*C254)</f>
        <v/>
      </c>
      <c r="Q254" s="15" t="str">
        <f>IF(OR(E254="",NOT(OR(ISNUMBER(SEARCH("Epóxico MT",Upload!P244&amp;Upload!Q244&amp;Upload!R244&amp;Upload!S244&amp;Upload!T244))))),"",E254*0.000035)</f>
        <v/>
      </c>
      <c r="R254" s="15" t="str">
        <f>IF(OR(F254="",NOT(OR(ISNUMBER(SEARCH("Epóxico BT",Upload!Q244&amp;Upload!R244&amp;Upload!S244&amp;Upload!T244&amp;Upload!U244))))),"",F254*0.000035)</f>
        <v/>
      </c>
      <c r="S254" s="15" t="str">
        <f>IF(OR(G254="",NOT(OR(ISNUMBER(SEARCH("Epóxico Rojo",Upload!R244&amp;Upload!S244&amp;Upload!T244&amp;Upload!U244&amp;Upload!V244))))),"",G254*0.000035)</f>
        <v/>
      </c>
    </row>
    <row r="255" spans="1:19" x14ac:dyDescent="0.2">
      <c r="A255" s="9" t="e">
        <f t="shared" ca="1" si="18"/>
        <v>#NAME?</v>
      </c>
      <c r="B255" s="9">
        <f>Upload!E245</f>
        <v>0</v>
      </c>
      <c r="C255" s="9">
        <f>Upload!AE245</f>
        <v>0</v>
      </c>
      <c r="D255" s="9">
        <f>Upload!AF245</f>
        <v>0</v>
      </c>
      <c r="E255" s="9">
        <f>Upload!AG245</f>
        <v>0</v>
      </c>
      <c r="F255" s="9" t="str">
        <f>Upload!X245</f>
        <v/>
      </c>
      <c r="G255" s="9" t="str">
        <f>Upload!Z245</f>
        <v/>
      </c>
      <c r="H255" s="9" t="str">
        <f>Upload!W245</f>
        <v>(seleccione)</v>
      </c>
      <c r="I255" s="9" t="str">
        <f>Upload!Y245</f>
        <v>(seleccione)</v>
      </c>
      <c r="K255" s="15" t="str">
        <f t="shared" si="19"/>
        <v/>
      </c>
      <c r="L255" s="15" t="str">
        <f t="shared" si="20"/>
        <v/>
      </c>
      <c r="M255" s="15" t="str">
        <f t="shared" si="21"/>
        <v/>
      </c>
      <c r="N255" s="15" t="str">
        <f t="shared" si="22"/>
        <v/>
      </c>
      <c r="O255" s="15" t="str">
        <f t="shared" si="23"/>
        <v/>
      </c>
      <c r="P255" s="15" t="str">
        <f>IF(OR(C255="",NOT(OR(ISNUMBER(SEARCH("Antitarnish",Upload!P245&amp;Upload!Q245&amp;Upload!R245&amp;Upload!S245&amp;Upload!T245)),ISNUMBER(SEARCH("Anti Tarnish",Upload!P245&amp;Upload!Q245&amp;Upload!R245&amp;Upload!S245&amp;Upload!T245))))),"",0.0012*C255)</f>
        <v/>
      </c>
      <c r="Q255" s="15" t="str">
        <f>IF(OR(E255="",NOT(OR(ISNUMBER(SEARCH("Epóxico MT",Upload!P245&amp;Upload!Q245&amp;Upload!R245&amp;Upload!S245&amp;Upload!T245))))),"",E255*0.000035)</f>
        <v/>
      </c>
      <c r="R255" s="15" t="str">
        <f>IF(OR(F255="",NOT(OR(ISNUMBER(SEARCH("Epóxico BT",Upload!Q245&amp;Upload!R245&amp;Upload!S245&amp;Upload!T245&amp;Upload!U245))))),"",F255*0.000035)</f>
        <v/>
      </c>
      <c r="S255" s="15" t="str">
        <f>IF(OR(G255="",NOT(OR(ISNUMBER(SEARCH("Epóxico Rojo",Upload!R245&amp;Upload!S245&amp;Upload!T245&amp;Upload!U245&amp;Upload!V245))))),"",G255*0.000035)</f>
        <v/>
      </c>
    </row>
    <row r="256" spans="1:19" x14ac:dyDescent="0.2">
      <c r="A256" s="9" t="e">
        <f t="shared" ca="1" si="18"/>
        <v>#NAME?</v>
      </c>
      <c r="B256" s="9">
        <f>Upload!E246</f>
        <v>0</v>
      </c>
      <c r="C256" s="9">
        <f>Upload!AE246</f>
        <v>0</v>
      </c>
      <c r="D256" s="9">
        <f>Upload!AF246</f>
        <v>0</v>
      </c>
      <c r="E256" s="9">
        <f>Upload!AG246</f>
        <v>0</v>
      </c>
      <c r="F256" s="9" t="str">
        <f>Upload!X246</f>
        <v/>
      </c>
      <c r="G256" s="9" t="str">
        <f>Upload!Z246</f>
        <v/>
      </c>
      <c r="H256" s="9" t="str">
        <f>Upload!W246</f>
        <v>(seleccione)</v>
      </c>
      <c r="I256" s="9" t="str">
        <f>Upload!Y246</f>
        <v>(seleccione)</v>
      </c>
      <c r="K256" s="15" t="str">
        <f t="shared" si="19"/>
        <v/>
      </c>
      <c r="L256" s="15" t="str">
        <f t="shared" si="20"/>
        <v/>
      </c>
      <c r="M256" s="15" t="str">
        <f t="shared" si="21"/>
        <v/>
      </c>
      <c r="N256" s="15" t="str">
        <f t="shared" si="22"/>
        <v/>
      </c>
      <c r="O256" s="15" t="str">
        <f t="shared" si="23"/>
        <v/>
      </c>
      <c r="P256" s="15" t="str">
        <f>IF(OR(C256="",NOT(OR(ISNUMBER(SEARCH("Antitarnish",Upload!P246&amp;Upload!Q246&amp;Upload!R246&amp;Upload!S246&amp;Upload!T246)),ISNUMBER(SEARCH("Anti Tarnish",Upload!P246&amp;Upload!Q246&amp;Upload!R246&amp;Upload!S246&amp;Upload!T246))))),"",0.0012*C256)</f>
        <v/>
      </c>
      <c r="Q256" s="15" t="str">
        <f>IF(OR(E256="",NOT(OR(ISNUMBER(SEARCH("Epóxico MT",Upload!P246&amp;Upload!Q246&amp;Upload!R246&amp;Upload!S246&amp;Upload!T246))))),"",E256*0.000035)</f>
        <v/>
      </c>
      <c r="R256" s="15" t="str">
        <f>IF(OR(F256="",NOT(OR(ISNUMBER(SEARCH("Epóxico BT",Upload!Q246&amp;Upload!R246&amp;Upload!S246&amp;Upload!T246&amp;Upload!U246))))),"",F256*0.000035)</f>
        <v/>
      </c>
      <c r="S256" s="15" t="str">
        <f>IF(OR(G256="",NOT(OR(ISNUMBER(SEARCH("Epóxico Rojo",Upload!R246&amp;Upload!S246&amp;Upload!T246&amp;Upload!U246&amp;Upload!V246))))),"",G256*0.000035)</f>
        <v/>
      </c>
    </row>
    <row r="257" spans="1:19" x14ac:dyDescent="0.2">
      <c r="A257" s="9" t="e">
        <f t="shared" ca="1" si="18"/>
        <v>#NAME?</v>
      </c>
      <c r="B257" s="9">
        <f>Upload!E247</f>
        <v>0</v>
      </c>
      <c r="C257" s="9">
        <f>Upload!AE247</f>
        <v>0</v>
      </c>
      <c r="D257" s="9">
        <f>Upload!AF247</f>
        <v>0</v>
      </c>
      <c r="E257" s="9">
        <f>Upload!AG247</f>
        <v>0</v>
      </c>
      <c r="F257" s="9" t="str">
        <f>Upload!X247</f>
        <v/>
      </c>
      <c r="G257" s="9" t="str">
        <f>Upload!Z247</f>
        <v/>
      </c>
      <c r="H257" s="9" t="str">
        <f>Upload!W247</f>
        <v>(seleccione)</v>
      </c>
      <c r="I257" s="9" t="str">
        <f>Upload!Y247</f>
        <v>(seleccione)</v>
      </c>
      <c r="K257" s="15" t="str">
        <f t="shared" si="19"/>
        <v/>
      </c>
      <c r="L257" s="15" t="str">
        <f t="shared" si="20"/>
        <v/>
      </c>
      <c r="M257" s="15" t="str">
        <f t="shared" si="21"/>
        <v/>
      </c>
      <c r="N257" s="15" t="str">
        <f t="shared" si="22"/>
        <v/>
      </c>
      <c r="O257" s="15" t="str">
        <f t="shared" si="23"/>
        <v/>
      </c>
      <c r="P257" s="15" t="str">
        <f>IF(OR(C257="",NOT(OR(ISNUMBER(SEARCH("Antitarnish",Upload!P247&amp;Upload!Q247&amp;Upload!R247&amp;Upload!S247&amp;Upload!T247)),ISNUMBER(SEARCH("Anti Tarnish",Upload!P247&amp;Upload!Q247&amp;Upload!R247&amp;Upload!S247&amp;Upload!T247))))),"",0.0012*C257)</f>
        <v/>
      </c>
      <c r="Q257" s="15" t="str">
        <f>IF(OR(E257="",NOT(OR(ISNUMBER(SEARCH("Epóxico MT",Upload!P247&amp;Upload!Q247&amp;Upload!R247&amp;Upload!S247&amp;Upload!T247))))),"",E257*0.000035)</f>
        <v/>
      </c>
      <c r="R257" s="15" t="str">
        <f>IF(OR(F257="",NOT(OR(ISNUMBER(SEARCH("Epóxico BT",Upload!Q247&amp;Upload!R247&amp;Upload!S247&amp;Upload!T247&amp;Upload!U247))))),"",F257*0.000035)</f>
        <v/>
      </c>
      <c r="S257" s="15" t="str">
        <f>IF(OR(G257="",NOT(OR(ISNUMBER(SEARCH("Epóxico Rojo",Upload!R247&amp;Upload!S247&amp;Upload!T247&amp;Upload!U247&amp;Upload!V247))))),"",G257*0.000035)</f>
        <v/>
      </c>
    </row>
    <row r="258" spans="1:19" x14ac:dyDescent="0.2">
      <c r="A258" s="9" t="e">
        <f t="shared" ca="1" si="18"/>
        <v>#NAME?</v>
      </c>
      <c r="B258" s="9">
        <f>Upload!E248</f>
        <v>0</v>
      </c>
      <c r="C258" s="9">
        <f>Upload!AE248</f>
        <v>0</v>
      </c>
      <c r="D258" s="9">
        <f>Upload!AF248</f>
        <v>0</v>
      </c>
      <c r="E258" s="9">
        <f>Upload!AG248</f>
        <v>0</v>
      </c>
      <c r="F258" s="9" t="str">
        <f>Upload!X248</f>
        <v/>
      </c>
      <c r="G258" s="9" t="str">
        <f>Upload!Z248</f>
        <v/>
      </c>
      <c r="H258" s="9" t="str">
        <f>Upload!W248</f>
        <v>(seleccione)</v>
      </c>
      <c r="I258" s="9" t="str">
        <f>Upload!Y248</f>
        <v>(seleccione)</v>
      </c>
      <c r="K258" s="15" t="str">
        <f t="shared" si="19"/>
        <v/>
      </c>
      <c r="L258" s="15" t="str">
        <f t="shared" si="20"/>
        <v/>
      </c>
      <c r="M258" s="15" t="str">
        <f t="shared" si="21"/>
        <v/>
      </c>
      <c r="N258" s="15" t="str">
        <f t="shared" si="22"/>
        <v/>
      </c>
      <c r="O258" s="15" t="str">
        <f t="shared" si="23"/>
        <v/>
      </c>
      <c r="P258" s="15" t="str">
        <f>IF(OR(C258="",NOT(OR(ISNUMBER(SEARCH("Antitarnish",Upload!P248&amp;Upload!Q248&amp;Upload!R248&amp;Upload!S248&amp;Upload!T248)),ISNUMBER(SEARCH("Anti Tarnish",Upload!P248&amp;Upload!Q248&amp;Upload!R248&amp;Upload!S248&amp;Upload!T248))))),"",0.0012*C258)</f>
        <v/>
      </c>
      <c r="Q258" s="15" t="str">
        <f>IF(OR(E258="",NOT(OR(ISNUMBER(SEARCH("Epóxico MT",Upload!P248&amp;Upload!Q248&amp;Upload!R248&amp;Upload!S248&amp;Upload!T248))))),"",E258*0.000035)</f>
        <v/>
      </c>
      <c r="R258" s="15" t="str">
        <f>IF(OR(F258="",NOT(OR(ISNUMBER(SEARCH("Epóxico BT",Upload!Q248&amp;Upload!R248&amp;Upload!S248&amp;Upload!T248&amp;Upload!U248))))),"",F258*0.000035)</f>
        <v/>
      </c>
      <c r="S258" s="15" t="str">
        <f>IF(OR(G258="",NOT(OR(ISNUMBER(SEARCH("Epóxico Rojo",Upload!R248&amp;Upload!S248&amp;Upload!T248&amp;Upload!U248&amp;Upload!V248))))),"",G258*0.000035)</f>
        <v/>
      </c>
    </row>
    <row r="259" spans="1:19" x14ac:dyDescent="0.2">
      <c r="A259" s="9" t="e">
        <f t="shared" ca="1" si="18"/>
        <v>#NAME?</v>
      </c>
      <c r="B259" s="9">
        <f>Upload!E249</f>
        <v>0</v>
      </c>
      <c r="C259" s="9">
        <f>Upload!AE249</f>
        <v>0</v>
      </c>
      <c r="D259" s="9">
        <f>Upload!AF249</f>
        <v>0</v>
      </c>
      <c r="E259" s="9">
        <f>Upload!AG249</f>
        <v>0</v>
      </c>
      <c r="F259" s="9" t="str">
        <f>Upload!X249</f>
        <v/>
      </c>
      <c r="G259" s="9" t="str">
        <f>Upload!Z249</f>
        <v/>
      </c>
      <c r="H259" s="9" t="str">
        <f>Upload!W249</f>
        <v>(seleccione)</v>
      </c>
      <c r="I259" s="9" t="str">
        <f>Upload!Y249</f>
        <v>(seleccione)</v>
      </c>
      <c r="K259" s="15" t="str">
        <f t="shared" si="19"/>
        <v/>
      </c>
      <c r="L259" s="15" t="str">
        <f t="shared" si="20"/>
        <v/>
      </c>
      <c r="M259" s="15" t="str">
        <f t="shared" si="21"/>
        <v/>
      </c>
      <c r="N259" s="15" t="str">
        <f t="shared" si="22"/>
        <v/>
      </c>
      <c r="O259" s="15" t="str">
        <f t="shared" si="23"/>
        <v/>
      </c>
      <c r="P259" s="15" t="str">
        <f>IF(OR(C259="",NOT(OR(ISNUMBER(SEARCH("Antitarnish",Upload!P249&amp;Upload!Q249&amp;Upload!R249&amp;Upload!S249&amp;Upload!T249)),ISNUMBER(SEARCH("Anti Tarnish",Upload!P249&amp;Upload!Q249&amp;Upload!R249&amp;Upload!S249&amp;Upload!T249))))),"",0.0012*C259)</f>
        <v/>
      </c>
      <c r="Q259" s="15" t="str">
        <f>IF(OR(E259="",NOT(OR(ISNUMBER(SEARCH("Epóxico MT",Upload!P249&amp;Upload!Q249&amp;Upload!R249&amp;Upload!S249&amp;Upload!T249))))),"",E259*0.000035)</f>
        <v/>
      </c>
      <c r="R259" s="15" t="str">
        <f>IF(OR(F259="",NOT(OR(ISNUMBER(SEARCH("Epóxico BT",Upload!Q249&amp;Upload!R249&amp;Upload!S249&amp;Upload!T249&amp;Upload!U249))))),"",F259*0.000035)</f>
        <v/>
      </c>
      <c r="S259" s="15" t="str">
        <f>IF(OR(G259="",NOT(OR(ISNUMBER(SEARCH("Epóxico Rojo",Upload!R249&amp;Upload!S249&amp;Upload!T249&amp;Upload!U249&amp;Upload!V249))))),"",G259*0.000035)</f>
        <v/>
      </c>
    </row>
    <row r="260" spans="1:19" x14ac:dyDescent="0.2">
      <c r="A260" s="9" t="e">
        <f t="shared" ca="1" si="18"/>
        <v>#NAME?</v>
      </c>
      <c r="B260" s="9">
        <f>Upload!E250</f>
        <v>0</v>
      </c>
      <c r="C260" s="9">
        <f>Upload!AE250</f>
        <v>0</v>
      </c>
      <c r="D260" s="9">
        <f>Upload!AF250</f>
        <v>0</v>
      </c>
      <c r="E260" s="9">
        <f>Upload!AG250</f>
        <v>0</v>
      </c>
      <c r="F260" s="9" t="str">
        <f>Upload!X250</f>
        <v/>
      </c>
      <c r="G260" s="9" t="str">
        <f>Upload!Z250</f>
        <v/>
      </c>
      <c r="H260" s="9" t="str">
        <f>Upload!W250</f>
        <v>(seleccione)</v>
      </c>
      <c r="I260" s="9" t="str">
        <f>Upload!Y250</f>
        <v>(seleccione)</v>
      </c>
      <c r="K260" s="15" t="str">
        <f t="shared" si="19"/>
        <v/>
      </c>
      <c r="L260" s="15" t="str">
        <f t="shared" si="20"/>
        <v/>
      </c>
      <c r="M260" s="15" t="str">
        <f t="shared" si="21"/>
        <v/>
      </c>
      <c r="N260" s="15" t="str">
        <f t="shared" si="22"/>
        <v/>
      </c>
      <c r="O260" s="15" t="str">
        <f t="shared" si="23"/>
        <v/>
      </c>
      <c r="P260" s="15" t="str">
        <f>IF(OR(C260="",NOT(OR(ISNUMBER(SEARCH("Antitarnish",Upload!P250&amp;Upload!Q250&amp;Upload!R250&amp;Upload!S250&amp;Upload!T250)),ISNUMBER(SEARCH("Anti Tarnish",Upload!P250&amp;Upload!Q250&amp;Upload!R250&amp;Upload!S250&amp;Upload!T250))))),"",0.0012*C260)</f>
        <v/>
      </c>
      <c r="Q260" s="15" t="str">
        <f>IF(OR(E260="",NOT(OR(ISNUMBER(SEARCH("Epóxico MT",Upload!P250&amp;Upload!Q250&amp;Upload!R250&amp;Upload!S250&amp;Upload!T250))))),"",E260*0.000035)</f>
        <v/>
      </c>
      <c r="R260" s="15" t="str">
        <f>IF(OR(F260="",NOT(OR(ISNUMBER(SEARCH("Epóxico BT",Upload!Q250&amp;Upload!R250&amp;Upload!S250&amp;Upload!T250&amp;Upload!U250))))),"",F260*0.000035)</f>
        <v/>
      </c>
      <c r="S260" s="15" t="str">
        <f>IF(OR(G260="",NOT(OR(ISNUMBER(SEARCH("Epóxico Rojo",Upload!R250&amp;Upload!S250&amp;Upload!T250&amp;Upload!U250&amp;Upload!V250))))),"",G260*0.000035)</f>
        <v/>
      </c>
    </row>
    <row r="261" spans="1:19" x14ac:dyDescent="0.2">
      <c r="A261" s="9" t="e">
        <f t="shared" ca="1" si="18"/>
        <v>#NAME?</v>
      </c>
      <c r="B261" s="9">
        <f>Upload!E251</f>
        <v>0</v>
      </c>
      <c r="C261" s="9">
        <f>Upload!AE251</f>
        <v>0</v>
      </c>
      <c r="D261" s="9">
        <f>Upload!AF251</f>
        <v>0</v>
      </c>
      <c r="E261" s="9">
        <f>Upload!AG251</f>
        <v>0</v>
      </c>
      <c r="F261" s="9" t="str">
        <f>Upload!X251</f>
        <v/>
      </c>
      <c r="G261" s="9" t="str">
        <f>Upload!Z251</f>
        <v/>
      </c>
      <c r="H261" s="9" t="str">
        <f>Upload!W251</f>
        <v>(seleccione)</v>
      </c>
      <c r="I261" s="9" t="str">
        <f>Upload!Y251</f>
        <v>(seleccione)</v>
      </c>
      <c r="K261" s="15" t="str">
        <f t="shared" si="19"/>
        <v/>
      </c>
      <c r="L261" s="15" t="str">
        <f t="shared" si="20"/>
        <v/>
      </c>
      <c r="M261" s="15" t="str">
        <f t="shared" si="21"/>
        <v/>
      </c>
      <c r="N261" s="15" t="str">
        <f t="shared" si="22"/>
        <v/>
      </c>
      <c r="O261" s="15" t="str">
        <f t="shared" si="23"/>
        <v/>
      </c>
      <c r="P261" s="15" t="str">
        <f>IF(OR(C261="",NOT(OR(ISNUMBER(SEARCH("Antitarnish",Upload!P251&amp;Upload!Q251&amp;Upload!R251&amp;Upload!S251&amp;Upload!T251)),ISNUMBER(SEARCH("Anti Tarnish",Upload!P251&amp;Upload!Q251&amp;Upload!R251&amp;Upload!S251&amp;Upload!T251))))),"",0.0012*C261)</f>
        <v/>
      </c>
      <c r="Q261" s="15" t="str">
        <f>IF(OR(E261="",NOT(OR(ISNUMBER(SEARCH("Epóxico MT",Upload!P251&amp;Upload!Q251&amp;Upload!R251&amp;Upload!S251&amp;Upload!T251))))),"",E261*0.000035)</f>
        <v/>
      </c>
      <c r="R261" s="15" t="str">
        <f>IF(OR(F261="",NOT(OR(ISNUMBER(SEARCH("Epóxico BT",Upload!Q251&amp;Upload!R251&amp;Upload!S251&amp;Upload!T251&amp;Upload!U251))))),"",F261*0.000035)</f>
        <v/>
      </c>
      <c r="S261" s="15" t="str">
        <f>IF(OR(G261="",NOT(OR(ISNUMBER(SEARCH("Epóxico Rojo",Upload!R251&amp;Upload!S251&amp;Upload!T251&amp;Upload!U251&amp;Upload!V251))))),"",G261*0.000035)</f>
        <v/>
      </c>
    </row>
    <row r="262" spans="1:19" x14ac:dyDescent="0.2">
      <c r="A262" s="9" t="e">
        <f t="shared" ca="1" si="18"/>
        <v>#NAME?</v>
      </c>
      <c r="B262" s="9">
        <f>Upload!E252</f>
        <v>0</v>
      </c>
      <c r="C262" s="9">
        <f>Upload!AE252</f>
        <v>0</v>
      </c>
      <c r="D262" s="9">
        <f>Upload!AF252</f>
        <v>0</v>
      </c>
      <c r="E262" s="9">
        <f>Upload!AG252</f>
        <v>0</v>
      </c>
      <c r="F262" s="9" t="str">
        <f>Upload!X252</f>
        <v/>
      </c>
      <c r="G262" s="9" t="str">
        <f>Upload!Z252</f>
        <v/>
      </c>
      <c r="H262" s="9" t="str">
        <f>Upload!W252</f>
        <v>(seleccione)</v>
      </c>
      <c r="I262" s="9" t="str">
        <f>Upload!Y252</f>
        <v>(seleccione)</v>
      </c>
      <c r="K262" s="15" t="str">
        <f t="shared" si="19"/>
        <v/>
      </c>
      <c r="L262" s="15" t="str">
        <f t="shared" si="20"/>
        <v/>
      </c>
      <c r="M262" s="15" t="str">
        <f t="shared" si="21"/>
        <v/>
      </c>
      <c r="N262" s="15" t="str">
        <f t="shared" si="22"/>
        <v/>
      </c>
      <c r="O262" s="15" t="str">
        <f t="shared" si="23"/>
        <v/>
      </c>
      <c r="P262" s="15" t="str">
        <f>IF(OR(C262="",NOT(OR(ISNUMBER(SEARCH("Antitarnish",Upload!P252&amp;Upload!Q252&amp;Upload!R252&amp;Upload!S252&amp;Upload!T252)),ISNUMBER(SEARCH("Anti Tarnish",Upload!P252&amp;Upload!Q252&amp;Upload!R252&amp;Upload!S252&amp;Upload!T252))))),"",0.0012*C262)</f>
        <v/>
      </c>
      <c r="Q262" s="15" t="str">
        <f>IF(OR(E262="",NOT(OR(ISNUMBER(SEARCH("Epóxico MT",Upload!P252&amp;Upload!Q252&amp;Upload!R252&amp;Upload!S252&amp;Upload!T252))))),"",E262*0.000035)</f>
        <v/>
      </c>
      <c r="R262" s="15" t="str">
        <f>IF(OR(F262="",NOT(OR(ISNUMBER(SEARCH("Epóxico BT",Upload!Q252&amp;Upload!R252&amp;Upload!S252&amp;Upload!T252&amp;Upload!U252))))),"",F262*0.000035)</f>
        <v/>
      </c>
      <c r="S262" s="15" t="str">
        <f>IF(OR(G262="",NOT(OR(ISNUMBER(SEARCH("Epóxico Rojo",Upload!R252&amp;Upload!S252&amp;Upload!T252&amp;Upload!U252&amp;Upload!V252))))),"",G262*0.000035)</f>
        <v/>
      </c>
    </row>
    <row r="263" spans="1:19" x14ac:dyDescent="0.2">
      <c r="A263" s="9" t="e">
        <f t="shared" ca="1" si="18"/>
        <v>#NAME?</v>
      </c>
      <c r="B263" s="9">
        <f>Upload!E253</f>
        <v>0</v>
      </c>
      <c r="C263" s="9">
        <f>Upload!AE253</f>
        <v>0</v>
      </c>
      <c r="D263" s="9">
        <f>Upload!AF253</f>
        <v>0</v>
      </c>
      <c r="E263" s="9">
        <f>Upload!AG253</f>
        <v>0</v>
      </c>
      <c r="F263" s="9" t="str">
        <f>Upload!X253</f>
        <v/>
      </c>
      <c r="G263" s="9" t="str">
        <f>Upload!Z253</f>
        <v/>
      </c>
      <c r="H263" s="9" t="str">
        <f>Upload!W253</f>
        <v>(seleccione)</v>
      </c>
      <c r="I263" s="9" t="str">
        <f>Upload!Y253</f>
        <v>(seleccione)</v>
      </c>
      <c r="K263" s="15" t="str">
        <f t="shared" si="19"/>
        <v/>
      </c>
      <c r="L263" s="15" t="str">
        <f t="shared" si="20"/>
        <v/>
      </c>
      <c r="M263" s="15" t="str">
        <f t="shared" si="21"/>
        <v/>
      </c>
      <c r="N263" s="15" t="str">
        <f t="shared" si="22"/>
        <v/>
      </c>
      <c r="O263" s="15" t="str">
        <f t="shared" si="23"/>
        <v/>
      </c>
      <c r="P263" s="15" t="str">
        <f>IF(OR(C263="",NOT(OR(ISNUMBER(SEARCH("Antitarnish",Upload!P253&amp;Upload!Q253&amp;Upload!R253&amp;Upload!S253&amp;Upload!T253)),ISNUMBER(SEARCH("Anti Tarnish",Upload!P253&amp;Upload!Q253&amp;Upload!R253&amp;Upload!S253&amp;Upload!T253))))),"",0.0012*C263)</f>
        <v/>
      </c>
      <c r="Q263" s="15" t="str">
        <f>IF(OR(E263="",NOT(OR(ISNUMBER(SEARCH("Epóxico MT",Upload!P253&amp;Upload!Q253&amp;Upload!R253&amp;Upload!S253&amp;Upload!T253))))),"",E263*0.000035)</f>
        <v/>
      </c>
      <c r="R263" s="15" t="str">
        <f>IF(OR(F263="",NOT(OR(ISNUMBER(SEARCH("Epóxico BT",Upload!Q253&amp;Upload!R253&amp;Upload!S253&amp;Upload!T253&amp;Upload!U253))))),"",F263*0.000035)</f>
        <v/>
      </c>
      <c r="S263" s="15" t="str">
        <f>IF(OR(G263="",NOT(OR(ISNUMBER(SEARCH("Epóxico Rojo",Upload!R253&amp;Upload!S253&amp;Upload!T253&amp;Upload!U253&amp;Upload!V253))))),"",G263*0.000035)</f>
        <v/>
      </c>
    </row>
    <row r="264" spans="1:19" x14ac:dyDescent="0.2">
      <c r="A264" s="9" t="e">
        <f t="shared" ca="1" si="18"/>
        <v>#NAME?</v>
      </c>
      <c r="B264" s="9">
        <f>Upload!E254</f>
        <v>0</v>
      </c>
      <c r="C264" s="9">
        <f>Upload!AE254</f>
        <v>0</v>
      </c>
      <c r="D264" s="9">
        <f>Upload!AF254</f>
        <v>0</v>
      </c>
      <c r="E264" s="9">
        <f>Upload!AG254</f>
        <v>0</v>
      </c>
      <c r="F264" s="9" t="str">
        <f>Upload!X254</f>
        <v/>
      </c>
      <c r="G264" s="9" t="str">
        <f>Upload!Z254</f>
        <v/>
      </c>
      <c r="H264" s="9" t="str">
        <f>Upload!W254</f>
        <v>(seleccione)</v>
      </c>
      <c r="I264" s="9" t="str">
        <f>Upload!Y254</f>
        <v>(seleccione)</v>
      </c>
      <c r="K264" s="15" t="str">
        <f t="shared" si="19"/>
        <v/>
      </c>
      <c r="L264" s="15" t="str">
        <f t="shared" si="20"/>
        <v/>
      </c>
      <c r="M264" s="15" t="str">
        <f t="shared" si="21"/>
        <v/>
      </c>
      <c r="N264" s="15" t="str">
        <f t="shared" si="22"/>
        <v/>
      </c>
      <c r="O264" s="15" t="str">
        <f t="shared" si="23"/>
        <v/>
      </c>
      <c r="P264" s="15" t="str">
        <f>IF(OR(C264="",NOT(OR(ISNUMBER(SEARCH("Antitarnish",Upload!P254&amp;Upload!Q254&amp;Upload!R254&amp;Upload!S254&amp;Upload!T254)),ISNUMBER(SEARCH("Anti Tarnish",Upload!P254&amp;Upload!Q254&amp;Upload!R254&amp;Upload!S254&amp;Upload!T254))))),"",0.0012*C264)</f>
        <v/>
      </c>
      <c r="Q264" s="15" t="str">
        <f>IF(OR(E264="",NOT(OR(ISNUMBER(SEARCH("Epóxico MT",Upload!P254&amp;Upload!Q254&amp;Upload!R254&amp;Upload!S254&amp;Upload!T254))))),"",E264*0.000035)</f>
        <v/>
      </c>
      <c r="R264" s="15" t="str">
        <f>IF(OR(F264="",NOT(OR(ISNUMBER(SEARCH("Epóxico BT",Upload!Q254&amp;Upload!R254&amp;Upload!S254&amp;Upload!T254&amp;Upload!U254))))),"",F264*0.000035)</f>
        <v/>
      </c>
      <c r="S264" s="15" t="str">
        <f>IF(OR(G264="",NOT(OR(ISNUMBER(SEARCH("Epóxico Rojo",Upload!R254&amp;Upload!S254&amp;Upload!T254&amp;Upload!U254&amp;Upload!V254))))),"",G264*0.000035)</f>
        <v/>
      </c>
    </row>
    <row r="265" spans="1:19" x14ac:dyDescent="0.2">
      <c r="A265" s="9" t="e">
        <f t="shared" ca="1" si="18"/>
        <v>#NAME?</v>
      </c>
      <c r="B265" s="9">
        <f>Upload!E255</f>
        <v>0</v>
      </c>
      <c r="C265" s="9">
        <f>Upload!AE255</f>
        <v>0</v>
      </c>
      <c r="D265" s="9">
        <f>Upload!AF255</f>
        <v>0</v>
      </c>
      <c r="E265" s="9">
        <f>Upload!AG255</f>
        <v>0</v>
      </c>
      <c r="F265" s="9" t="str">
        <f>Upload!X255</f>
        <v/>
      </c>
      <c r="G265" s="9" t="str">
        <f>Upload!Z255</f>
        <v/>
      </c>
      <c r="H265" s="9" t="str">
        <f>Upload!W255</f>
        <v>(seleccione)</v>
      </c>
      <c r="I265" s="9" t="str">
        <f>Upload!Y255</f>
        <v>(seleccione)</v>
      </c>
      <c r="K265" s="15" t="str">
        <f t="shared" si="19"/>
        <v/>
      </c>
      <c r="L265" s="15" t="str">
        <f t="shared" si="20"/>
        <v/>
      </c>
      <c r="M265" s="15" t="str">
        <f t="shared" si="21"/>
        <v/>
      </c>
      <c r="N265" s="15" t="str">
        <f t="shared" si="22"/>
        <v/>
      </c>
      <c r="O265" s="15" t="str">
        <f t="shared" si="23"/>
        <v/>
      </c>
      <c r="P265" s="15" t="str">
        <f>IF(OR(C265="",NOT(OR(ISNUMBER(SEARCH("Antitarnish",Upload!P255&amp;Upload!Q255&amp;Upload!R255&amp;Upload!S255&amp;Upload!T255)),ISNUMBER(SEARCH("Anti Tarnish",Upload!P255&amp;Upload!Q255&amp;Upload!R255&amp;Upload!S255&amp;Upload!T255))))),"",0.0012*C265)</f>
        <v/>
      </c>
      <c r="Q265" s="15" t="str">
        <f>IF(OR(E265="",NOT(OR(ISNUMBER(SEARCH("Epóxico MT",Upload!P255&amp;Upload!Q255&amp;Upload!R255&amp;Upload!S255&amp;Upload!T255))))),"",E265*0.000035)</f>
        <v/>
      </c>
      <c r="R265" s="15" t="str">
        <f>IF(OR(F265="",NOT(OR(ISNUMBER(SEARCH("Epóxico BT",Upload!Q255&amp;Upload!R255&amp;Upload!S255&amp;Upload!T255&amp;Upload!U255))))),"",F265*0.000035)</f>
        <v/>
      </c>
      <c r="S265" s="15" t="str">
        <f>IF(OR(G265="",NOT(OR(ISNUMBER(SEARCH("Epóxico Rojo",Upload!R255&amp;Upload!S255&amp;Upload!T255&amp;Upload!U255&amp;Upload!V255))))),"",G265*0.000035)</f>
        <v/>
      </c>
    </row>
    <row r="266" spans="1:19" x14ac:dyDescent="0.2">
      <c r="A266" s="9" t="e">
        <f t="shared" ca="1" si="18"/>
        <v>#NAME?</v>
      </c>
      <c r="B266" s="9">
        <f>Upload!E256</f>
        <v>0</v>
      </c>
      <c r="C266" s="9">
        <f>Upload!AE256</f>
        <v>0</v>
      </c>
      <c r="D266" s="9">
        <f>Upload!AF256</f>
        <v>0</v>
      </c>
      <c r="E266" s="9">
        <f>Upload!AG256</f>
        <v>0</v>
      </c>
      <c r="F266" s="9" t="str">
        <f>Upload!X256</f>
        <v/>
      </c>
      <c r="G266" s="9" t="str">
        <f>Upload!Z256</f>
        <v/>
      </c>
      <c r="H266" s="9" t="str">
        <f>Upload!W256</f>
        <v>(seleccione)</v>
      </c>
      <c r="I266" s="9" t="str">
        <f>Upload!Y256</f>
        <v>(seleccione)</v>
      </c>
      <c r="K266" s="15" t="str">
        <f t="shared" si="19"/>
        <v/>
      </c>
      <c r="L266" s="15" t="str">
        <f t="shared" si="20"/>
        <v/>
      </c>
      <c r="M266" s="15" t="str">
        <f t="shared" si="21"/>
        <v/>
      </c>
      <c r="N266" s="15" t="str">
        <f t="shared" si="22"/>
        <v/>
      </c>
      <c r="O266" s="15" t="str">
        <f t="shared" si="23"/>
        <v/>
      </c>
      <c r="P266" s="15" t="str">
        <f>IF(OR(C266="",NOT(OR(ISNUMBER(SEARCH("Antitarnish",Upload!P256&amp;Upload!Q256&amp;Upload!R256&amp;Upload!S256&amp;Upload!T256)),ISNUMBER(SEARCH("Anti Tarnish",Upload!P256&amp;Upload!Q256&amp;Upload!R256&amp;Upload!S256&amp;Upload!T256))))),"",0.0012*C266)</f>
        <v/>
      </c>
      <c r="Q266" s="15" t="str">
        <f>IF(OR(E266="",NOT(OR(ISNUMBER(SEARCH("Epóxico MT",Upload!P256&amp;Upload!Q256&amp;Upload!R256&amp;Upload!S256&amp;Upload!T256))))),"",E266*0.000035)</f>
        <v/>
      </c>
      <c r="R266" s="15" t="str">
        <f>IF(OR(F266="",NOT(OR(ISNUMBER(SEARCH("Epóxico BT",Upload!Q256&amp;Upload!R256&amp;Upload!S256&amp;Upload!T256&amp;Upload!U256))))),"",F266*0.000035)</f>
        <v/>
      </c>
      <c r="S266" s="15" t="str">
        <f>IF(OR(G266="",NOT(OR(ISNUMBER(SEARCH("Epóxico Rojo",Upload!R256&amp;Upload!S256&amp;Upload!T256&amp;Upload!U256&amp;Upload!V256))))),"",G266*0.000035)</f>
        <v/>
      </c>
    </row>
    <row r="267" spans="1:19" x14ac:dyDescent="0.2">
      <c r="A267" s="9" t="e">
        <f t="shared" ca="1" si="18"/>
        <v>#NAME?</v>
      </c>
      <c r="B267" s="9">
        <f>Upload!E257</f>
        <v>0</v>
      </c>
      <c r="C267" s="9">
        <f>Upload!AE257</f>
        <v>0</v>
      </c>
      <c r="D267" s="9">
        <f>Upload!AF257</f>
        <v>0</v>
      </c>
      <c r="E267" s="9">
        <f>Upload!AG257</f>
        <v>0</v>
      </c>
      <c r="F267" s="9" t="str">
        <f>Upload!X257</f>
        <v/>
      </c>
      <c r="G267" s="9" t="str">
        <f>Upload!Z257</f>
        <v/>
      </c>
      <c r="H267" s="9" t="str">
        <f>Upload!W257</f>
        <v>(seleccione)</v>
      </c>
      <c r="I267" s="9" t="str">
        <f>Upload!Y257</f>
        <v>(seleccione)</v>
      </c>
      <c r="K267" s="15" t="str">
        <f t="shared" si="19"/>
        <v/>
      </c>
      <c r="L267" s="15" t="str">
        <f t="shared" si="20"/>
        <v/>
      </c>
      <c r="M267" s="15" t="str">
        <f t="shared" si="21"/>
        <v/>
      </c>
      <c r="N267" s="15" t="str">
        <f t="shared" si="22"/>
        <v/>
      </c>
      <c r="O267" s="15" t="str">
        <f t="shared" si="23"/>
        <v/>
      </c>
      <c r="P267" s="15" t="str">
        <f>IF(OR(C267="",NOT(OR(ISNUMBER(SEARCH("Antitarnish",Upload!P257&amp;Upload!Q257&amp;Upload!R257&amp;Upload!S257&amp;Upload!T257)),ISNUMBER(SEARCH("Anti Tarnish",Upload!P257&amp;Upload!Q257&amp;Upload!R257&amp;Upload!S257&amp;Upload!T257))))),"",0.0012*C267)</f>
        <v/>
      </c>
      <c r="Q267" s="15" t="str">
        <f>IF(OR(E267="",NOT(OR(ISNUMBER(SEARCH("Epóxico MT",Upload!P257&amp;Upload!Q257&amp;Upload!R257&amp;Upload!S257&amp;Upload!T257))))),"",E267*0.000035)</f>
        <v/>
      </c>
      <c r="R267" s="15" t="str">
        <f>IF(OR(F267="",NOT(OR(ISNUMBER(SEARCH("Epóxico BT",Upload!Q257&amp;Upload!R257&amp;Upload!S257&amp;Upload!T257&amp;Upload!U257))))),"",F267*0.000035)</f>
        <v/>
      </c>
      <c r="S267" s="15" t="str">
        <f>IF(OR(G267="",NOT(OR(ISNUMBER(SEARCH("Epóxico Rojo",Upload!R257&amp;Upload!S257&amp;Upload!T257&amp;Upload!U257&amp;Upload!V257))))),"",G267*0.000035)</f>
        <v/>
      </c>
    </row>
    <row r="268" spans="1:19" x14ac:dyDescent="0.2">
      <c r="A268" s="9" t="e">
        <f t="shared" ca="1" si="18"/>
        <v>#NAME?</v>
      </c>
      <c r="B268" s="9">
        <f>Upload!E258</f>
        <v>0</v>
      </c>
      <c r="C268" s="9">
        <f>Upload!AE258</f>
        <v>0</v>
      </c>
      <c r="D268" s="9">
        <f>Upload!AF258</f>
        <v>0</v>
      </c>
      <c r="E268" s="9">
        <f>Upload!AG258</f>
        <v>0</v>
      </c>
      <c r="F268" s="9" t="str">
        <f>Upload!X258</f>
        <v/>
      </c>
      <c r="G268" s="9" t="str">
        <f>Upload!Z258</f>
        <v/>
      </c>
      <c r="H268" s="9" t="str">
        <f>Upload!W258</f>
        <v>(seleccione)</v>
      </c>
      <c r="I268" s="9" t="str">
        <f>Upload!Y258</f>
        <v>(seleccione)</v>
      </c>
      <c r="K268" s="15" t="str">
        <f t="shared" si="19"/>
        <v/>
      </c>
      <c r="L268" s="15" t="str">
        <f t="shared" si="20"/>
        <v/>
      </c>
      <c r="M268" s="15" t="str">
        <f t="shared" si="21"/>
        <v/>
      </c>
      <c r="N268" s="15" t="str">
        <f t="shared" si="22"/>
        <v/>
      </c>
      <c r="O268" s="15" t="str">
        <f t="shared" si="23"/>
        <v/>
      </c>
      <c r="P268" s="15" t="str">
        <f>IF(OR(C268="",NOT(OR(ISNUMBER(SEARCH("Antitarnish",Upload!P258&amp;Upload!Q258&amp;Upload!R258&amp;Upload!S258&amp;Upload!T258)),ISNUMBER(SEARCH("Anti Tarnish",Upload!P258&amp;Upload!Q258&amp;Upload!R258&amp;Upload!S258&amp;Upload!T258))))),"",0.0012*C268)</f>
        <v/>
      </c>
      <c r="Q268" s="15" t="str">
        <f>IF(OR(E268="",NOT(OR(ISNUMBER(SEARCH("Epóxico MT",Upload!P258&amp;Upload!Q258&amp;Upload!R258&amp;Upload!S258&amp;Upload!T258))))),"",E268*0.000035)</f>
        <v/>
      </c>
      <c r="R268" s="15" t="str">
        <f>IF(OR(F268="",NOT(OR(ISNUMBER(SEARCH("Epóxico BT",Upload!Q258&amp;Upload!R258&amp;Upload!S258&amp;Upload!T258&amp;Upload!U258))))),"",F268*0.000035)</f>
        <v/>
      </c>
      <c r="S268" s="15" t="str">
        <f>IF(OR(G268="",NOT(OR(ISNUMBER(SEARCH("Epóxico Rojo",Upload!R258&amp;Upload!S258&amp;Upload!T258&amp;Upload!U258&amp;Upload!V258))))),"",G268*0.000035)</f>
        <v/>
      </c>
    </row>
    <row r="269" spans="1:19" x14ac:dyDescent="0.2">
      <c r="A269" s="9" t="e">
        <f t="shared" ca="1" si="18"/>
        <v>#NAME?</v>
      </c>
      <c r="B269" s="9">
        <f>Upload!E259</f>
        <v>0</v>
      </c>
      <c r="C269" s="9">
        <f>Upload!AE259</f>
        <v>0</v>
      </c>
      <c r="D269" s="9">
        <f>Upload!AF259</f>
        <v>0</v>
      </c>
      <c r="E269" s="9">
        <f>Upload!AG259</f>
        <v>0</v>
      </c>
      <c r="F269" s="9" t="str">
        <f>Upload!X259</f>
        <v/>
      </c>
      <c r="G269" s="9" t="str">
        <f>Upload!Z259</f>
        <v/>
      </c>
      <c r="H269" s="9" t="str">
        <f>Upload!W259</f>
        <v>(seleccione)</v>
      </c>
      <c r="I269" s="9" t="str">
        <f>Upload!Y259</f>
        <v>(seleccione)</v>
      </c>
      <c r="K269" s="15" t="str">
        <f t="shared" si="19"/>
        <v/>
      </c>
      <c r="L269" s="15" t="str">
        <f t="shared" si="20"/>
        <v/>
      </c>
      <c r="M269" s="15" t="str">
        <f t="shared" si="21"/>
        <v/>
      </c>
      <c r="N269" s="15" t="str">
        <f t="shared" si="22"/>
        <v/>
      </c>
      <c r="O269" s="15" t="str">
        <f t="shared" si="23"/>
        <v/>
      </c>
      <c r="P269" s="15" t="str">
        <f>IF(OR(C269="",NOT(OR(ISNUMBER(SEARCH("Antitarnish",Upload!P259&amp;Upload!Q259&amp;Upload!R259&amp;Upload!S259&amp;Upload!T259)),ISNUMBER(SEARCH("Anti Tarnish",Upload!P259&amp;Upload!Q259&amp;Upload!R259&amp;Upload!S259&amp;Upload!T259))))),"",0.0012*C269)</f>
        <v/>
      </c>
      <c r="Q269" s="15" t="str">
        <f>IF(OR(E269="",NOT(OR(ISNUMBER(SEARCH("Epóxico MT",Upload!P259&amp;Upload!Q259&amp;Upload!R259&amp;Upload!S259&amp;Upload!T259))))),"",E269*0.000035)</f>
        <v/>
      </c>
      <c r="R269" s="15" t="str">
        <f>IF(OR(F269="",NOT(OR(ISNUMBER(SEARCH("Epóxico BT",Upload!Q259&amp;Upload!R259&amp;Upload!S259&amp;Upload!T259&amp;Upload!U259))))),"",F269*0.000035)</f>
        <v/>
      </c>
      <c r="S269" s="15" t="str">
        <f>IF(OR(G269="",NOT(OR(ISNUMBER(SEARCH("Epóxico Rojo",Upload!R259&amp;Upload!S259&amp;Upload!T259&amp;Upload!U259&amp;Upload!V259))))),"",G269*0.000035)</f>
        <v/>
      </c>
    </row>
    <row r="270" spans="1:19" x14ac:dyDescent="0.2">
      <c r="A270" s="9" t="e">
        <f t="shared" ca="1" si="18"/>
        <v>#NAME?</v>
      </c>
      <c r="B270" s="9">
        <f>Upload!E260</f>
        <v>0</v>
      </c>
      <c r="C270" s="9">
        <f>Upload!AE260</f>
        <v>0</v>
      </c>
      <c r="D270" s="9">
        <f>Upload!AF260</f>
        <v>0</v>
      </c>
      <c r="E270" s="9">
        <f>Upload!AG260</f>
        <v>0</v>
      </c>
      <c r="F270" s="9" t="str">
        <f>Upload!X260</f>
        <v/>
      </c>
      <c r="G270" s="9" t="str">
        <f>Upload!Z260</f>
        <v/>
      </c>
      <c r="H270" s="9" t="str">
        <f>Upload!W260</f>
        <v>(seleccione)</v>
      </c>
      <c r="I270" s="9" t="str">
        <f>Upload!Y260</f>
        <v>(seleccione)</v>
      </c>
      <c r="K270" s="15" t="str">
        <f t="shared" si="19"/>
        <v/>
      </c>
      <c r="L270" s="15" t="str">
        <f t="shared" si="20"/>
        <v/>
      </c>
      <c r="M270" s="15" t="str">
        <f t="shared" si="21"/>
        <v/>
      </c>
      <c r="N270" s="15" t="str">
        <f t="shared" si="22"/>
        <v/>
      </c>
      <c r="O270" s="15" t="str">
        <f t="shared" si="23"/>
        <v/>
      </c>
      <c r="P270" s="15" t="str">
        <f>IF(OR(C270="",NOT(OR(ISNUMBER(SEARCH("Antitarnish",Upload!P260&amp;Upload!Q260&amp;Upload!R260&amp;Upload!S260&amp;Upload!T260)),ISNUMBER(SEARCH("Anti Tarnish",Upload!P260&amp;Upload!Q260&amp;Upload!R260&amp;Upload!S260&amp;Upload!T260))))),"",0.0012*C270)</f>
        <v/>
      </c>
      <c r="Q270" s="15" t="str">
        <f>IF(OR(E270="",NOT(OR(ISNUMBER(SEARCH("Epóxico MT",Upload!P260&amp;Upload!Q260&amp;Upload!R260&amp;Upload!S260&amp;Upload!T260))))),"",E270*0.000035)</f>
        <v/>
      </c>
      <c r="R270" s="15" t="str">
        <f>IF(OR(F270="",NOT(OR(ISNUMBER(SEARCH("Epóxico BT",Upload!Q260&amp;Upload!R260&amp;Upload!S260&amp;Upload!T260&amp;Upload!U260))))),"",F270*0.000035)</f>
        <v/>
      </c>
      <c r="S270" s="15" t="str">
        <f>IF(OR(G270="",NOT(OR(ISNUMBER(SEARCH("Epóxico Rojo",Upload!R260&amp;Upload!S260&amp;Upload!T260&amp;Upload!U260&amp;Upload!V260))))),"",G270*0.000035)</f>
        <v/>
      </c>
    </row>
    <row r="271" spans="1:19" x14ac:dyDescent="0.2">
      <c r="A271" s="9" t="e">
        <f t="shared" ca="1" si="18"/>
        <v>#NAME?</v>
      </c>
      <c r="B271" s="9">
        <f>Upload!E261</f>
        <v>0</v>
      </c>
      <c r="C271" s="9">
        <f>Upload!AE261</f>
        <v>0</v>
      </c>
      <c r="D271" s="9">
        <f>Upload!AF261</f>
        <v>0</v>
      </c>
      <c r="E271" s="9">
        <f>Upload!AG261</f>
        <v>0</v>
      </c>
      <c r="F271" s="9" t="str">
        <f>Upload!X261</f>
        <v/>
      </c>
      <c r="G271" s="9" t="str">
        <f>Upload!Z261</f>
        <v/>
      </c>
      <c r="H271" s="9" t="str">
        <f>Upload!W261</f>
        <v>(seleccione)</v>
      </c>
      <c r="I271" s="9" t="str">
        <f>Upload!Y261</f>
        <v>(seleccione)</v>
      </c>
      <c r="K271" s="15" t="str">
        <f t="shared" si="19"/>
        <v/>
      </c>
      <c r="L271" s="15" t="str">
        <f t="shared" si="20"/>
        <v/>
      </c>
      <c r="M271" s="15" t="str">
        <f t="shared" si="21"/>
        <v/>
      </c>
      <c r="N271" s="15" t="str">
        <f t="shared" si="22"/>
        <v/>
      </c>
      <c r="O271" s="15" t="str">
        <f t="shared" si="23"/>
        <v/>
      </c>
      <c r="P271" s="15" t="str">
        <f>IF(OR(C271="",NOT(OR(ISNUMBER(SEARCH("Antitarnish",Upload!P261&amp;Upload!Q261&amp;Upload!R261&amp;Upload!S261&amp;Upload!T261)),ISNUMBER(SEARCH("Anti Tarnish",Upload!P261&amp;Upload!Q261&amp;Upload!R261&amp;Upload!S261&amp;Upload!T261))))),"",0.0012*C271)</f>
        <v/>
      </c>
      <c r="Q271" s="15" t="str">
        <f>IF(OR(E271="",NOT(OR(ISNUMBER(SEARCH("Epóxico MT",Upload!P261&amp;Upload!Q261&amp;Upload!R261&amp;Upload!S261&amp;Upload!T261))))),"",E271*0.000035)</f>
        <v/>
      </c>
      <c r="R271" s="15" t="str">
        <f>IF(OR(F271="",NOT(OR(ISNUMBER(SEARCH("Epóxico BT",Upload!Q261&amp;Upload!R261&amp;Upload!S261&amp;Upload!T261&amp;Upload!U261))))),"",F271*0.000035)</f>
        <v/>
      </c>
      <c r="S271" s="15" t="str">
        <f>IF(OR(G271="",NOT(OR(ISNUMBER(SEARCH("Epóxico Rojo",Upload!R261&amp;Upload!S261&amp;Upload!T261&amp;Upload!U261&amp;Upload!V261))))),"",G271*0.000035)</f>
        <v/>
      </c>
    </row>
    <row r="272" spans="1:19" x14ac:dyDescent="0.2">
      <c r="A272" s="9" t="e">
        <f t="shared" ca="1" si="18"/>
        <v>#NAME?</v>
      </c>
      <c r="B272" s="9">
        <f>Upload!E262</f>
        <v>0</v>
      </c>
      <c r="C272" s="9">
        <f>Upload!AE262</f>
        <v>0</v>
      </c>
      <c r="D272" s="9">
        <f>Upload!AF262</f>
        <v>0</v>
      </c>
      <c r="E272" s="9">
        <f>Upload!AG262</f>
        <v>0</v>
      </c>
      <c r="F272" s="9" t="str">
        <f>Upload!X262</f>
        <v/>
      </c>
      <c r="G272" s="9" t="str">
        <f>Upload!Z262</f>
        <v/>
      </c>
      <c r="H272" s="9" t="str">
        <f>Upload!W262</f>
        <v>(seleccione)</v>
      </c>
      <c r="I272" s="9" t="str">
        <f>Upload!Y262</f>
        <v>(seleccione)</v>
      </c>
      <c r="K272" s="15" t="str">
        <f t="shared" si="19"/>
        <v/>
      </c>
      <c r="L272" s="15" t="str">
        <f t="shared" si="20"/>
        <v/>
      </c>
      <c r="M272" s="15" t="str">
        <f t="shared" si="21"/>
        <v/>
      </c>
      <c r="N272" s="15" t="str">
        <f t="shared" si="22"/>
        <v/>
      </c>
      <c r="O272" s="15" t="str">
        <f t="shared" si="23"/>
        <v/>
      </c>
      <c r="P272" s="15" t="str">
        <f>IF(OR(C272="",NOT(OR(ISNUMBER(SEARCH("Antitarnish",Upload!P262&amp;Upload!Q262&amp;Upload!R262&amp;Upload!S262&amp;Upload!T262)),ISNUMBER(SEARCH("Anti Tarnish",Upload!P262&amp;Upload!Q262&amp;Upload!R262&amp;Upload!S262&amp;Upload!T262))))),"",0.0012*C272)</f>
        <v/>
      </c>
      <c r="Q272" s="15" t="str">
        <f>IF(OR(E272="",NOT(OR(ISNUMBER(SEARCH("Epóxico MT",Upload!P262&amp;Upload!Q262&amp;Upload!R262&amp;Upload!S262&amp;Upload!T262))))),"",E272*0.000035)</f>
        <v/>
      </c>
      <c r="R272" s="15" t="str">
        <f>IF(OR(F272="",NOT(OR(ISNUMBER(SEARCH("Epóxico BT",Upload!Q262&amp;Upload!R262&amp;Upload!S262&amp;Upload!T262&amp;Upload!U262))))),"",F272*0.000035)</f>
        <v/>
      </c>
      <c r="S272" s="15" t="str">
        <f>IF(OR(G272="",NOT(OR(ISNUMBER(SEARCH("Epóxico Rojo",Upload!R262&amp;Upload!S262&amp;Upload!T262&amp;Upload!U262&amp;Upload!V262))))),"",G272*0.000035)</f>
        <v/>
      </c>
    </row>
    <row r="273" spans="1:19" x14ac:dyDescent="0.2">
      <c r="A273" s="9" t="e">
        <f t="shared" ca="1" si="18"/>
        <v>#NAME?</v>
      </c>
      <c r="B273" s="9">
        <f>Upload!E263</f>
        <v>0</v>
      </c>
      <c r="C273" s="9">
        <f>Upload!AE263</f>
        <v>0</v>
      </c>
      <c r="D273" s="9">
        <f>Upload!AF263</f>
        <v>0</v>
      </c>
      <c r="E273" s="9">
        <f>Upload!AG263</f>
        <v>0</v>
      </c>
      <c r="F273" s="9" t="str">
        <f>Upload!X263</f>
        <v/>
      </c>
      <c r="G273" s="9" t="str">
        <f>Upload!Z263</f>
        <v/>
      </c>
      <c r="H273" s="9" t="str">
        <f>Upload!W263</f>
        <v>(seleccione)</v>
      </c>
      <c r="I273" s="9" t="str">
        <f>Upload!Y263</f>
        <v>(seleccione)</v>
      </c>
      <c r="K273" s="15" t="str">
        <f t="shared" si="19"/>
        <v/>
      </c>
      <c r="L273" s="15" t="str">
        <f t="shared" si="20"/>
        <v/>
      </c>
      <c r="M273" s="15" t="str">
        <f t="shared" si="21"/>
        <v/>
      </c>
      <c r="N273" s="15" t="str">
        <f t="shared" si="22"/>
        <v/>
      </c>
      <c r="O273" s="15" t="str">
        <f t="shared" si="23"/>
        <v/>
      </c>
      <c r="P273" s="15" t="str">
        <f>IF(OR(C273="",NOT(OR(ISNUMBER(SEARCH("Antitarnish",Upload!P263&amp;Upload!Q263&amp;Upload!R263&amp;Upload!S263&amp;Upload!T263)),ISNUMBER(SEARCH("Anti Tarnish",Upload!P263&amp;Upload!Q263&amp;Upload!R263&amp;Upload!S263&amp;Upload!T263))))),"",0.0012*C273)</f>
        <v/>
      </c>
      <c r="Q273" s="15" t="str">
        <f>IF(OR(E273="",NOT(OR(ISNUMBER(SEARCH("Epóxico MT",Upload!P263&amp;Upload!Q263&amp;Upload!R263&amp;Upload!S263&amp;Upload!T263))))),"",E273*0.000035)</f>
        <v/>
      </c>
      <c r="R273" s="15" t="str">
        <f>IF(OR(F273="",NOT(OR(ISNUMBER(SEARCH("Epóxico BT",Upload!Q263&amp;Upload!R263&amp;Upload!S263&amp;Upload!T263&amp;Upload!U263))))),"",F273*0.000035)</f>
        <v/>
      </c>
      <c r="S273" s="15" t="str">
        <f>IF(OR(G273="",NOT(OR(ISNUMBER(SEARCH("Epóxico Rojo",Upload!R263&amp;Upload!S263&amp;Upload!T263&amp;Upload!U263&amp;Upload!V263))))),"",G273*0.000035)</f>
        <v/>
      </c>
    </row>
    <row r="274" spans="1:19" x14ac:dyDescent="0.2">
      <c r="A274" s="9" t="e">
        <f t="shared" ca="1" si="18"/>
        <v>#NAME?</v>
      </c>
      <c r="B274" s="9">
        <f>Upload!E264</f>
        <v>0</v>
      </c>
      <c r="C274" s="9">
        <f>Upload!AE264</f>
        <v>0</v>
      </c>
      <c r="D274" s="9">
        <f>Upload!AF264</f>
        <v>0</v>
      </c>
      <c r="E274" s="9">
        <f>Upload!AG264</f>
        <v>0</v>
      </c>
      <c r="F274" s="9" t="str">
        <f>Upload!X264</f>
        <v/>
      </c>
      <c r="G274" s="9" t="str">
        <f>Upload!Z264</f>
        <v/>
      </c>
      <c r="H274" s="9" t="str">
        <f>Upload!W264</f>
        <v>(seleccione)</v>
      </c>
      <c r="I274" s="9" t="str">
        <f>Upload!Y264</f>
        <v>(seleccione)</v>
      </c>
      <c r="K274" s="15" t="str">
        <f t="shared" si="19"/>
        <v/>
      </c>
      <c r="L274" s="15" t="str">
        <f t="shared" si="20"/>
        <v/>
      </c>
      <c r="M274" s="15" t="str">
        <f t="shared" si="21"/>
        <v/>
      </c>
      <c r="N274" s="15" t="str">
        <f t="shared" si="22"/>
        <v/>
      </c>
      <c r="O274" s="15" t="str">
        <f t="shared" si="23"/>
        <v/>
      </c>
      <c r="P274" s="15" t="str">
        <f>IF(OR(C274="",NOT(OR(ISNUMBER(SEARCH("Antitarnish",Upload!P264&amp;Upload!Q264&amp;Upload!R264&amp;Upload!S264&amp;Upload!T264)),ISNUMBER(SEARCH("Anti Tarnish",Upload!P264&amp;Upload!Q264&amp;Upload!R264&amp;Upload!S264&amp;Upload!T264))))),"",0.0012*C274)</f>
        <v/>
      </c>
      <c r="Q274" s="15" t="str">
        <f>IF(OR(E274="",NOT(OR(ISNUMBER(SEARCH("Epóxico MT",Upload!P264&amp;Upload!Q264&amp;Upload!R264&amp;Upload!S264&amp;Upload!T264))))),"",E274*0.000035)</f>
        <v/>
      </c>
      <c r="R274" s="15" t="str">
        <f>IF(OR(F274="",NOT(OR(ISNUMBER(SEARCH("Epóxico BT",Upload!Q264&amp;Upload!R264&amp;Upload!S264&amp;Upload!T264&amp;Upload!U264))))),"",F274*0.000035)</f>
        <v/>
      </c>
      <c r="S274" s="15" t="str">
        <f>IF(OR(G274="",NOT(OR(ISNUMBER(SEARCH("Epóxico Rojo",Upload!R264&amp;Upload!S264&amp;Upload!T264&amp;Upload!U264&amp;Upload!V264))))),"",G274*0.000035)</f>
        <v/>
      </c>
    </row>
    <row r="275" spans="1:19" x14ac:dyDescent="0.2">
      <c r="A275" s="9" t="e">
        <f t="shared" ref="A275:A338" ca="1" si="24">_xludf.ROW()-18</f>
        <v>#NAME?</v>
      </c>
      <c r="B275" s="9">
        <f>Upload!E265</f>
        <v>0</v>
      </c>
      <c r="C275" s="9">
        <f>Upload!AE265</f>
        <v>0</v>
      </c>
      <c r="D275" s="9">
        <f>Upload!AF265</f>
        <v>0</v>
      </c>
      <c r="E275" s="9">
        <f>Upload!AG265</f>
        <v>0</v>
      </c>
      <c r="F275" s="9" t="str">
        <f>Upload!X265</f>
        <v/>
      </c>
      <c r="G275" s="9" t="str">
        <f>Upload!Z265</f>
        <v/>
      </c>
      <c r="H275" s="9" t="str">
        <f>Upload!W265</f>
        <v>(seleccione)</v>
      </c>
      <c r="I275" s="9" t="str">
        <f>Upload!Y265</f>
        <v>(seleccione)</v>
      </c>
      <c r="K275" s="15" t="str">
        <f t="shared" ref="K275:K303" si="25">IFERROR(IF(OR(D275="",IF(ISNUMBER(SEARCH("Plata",H275)),F275,IF(ISNUMBER(SEARCH("Plata",I275)),G275,""))=""),"",$D$6*D275*(IF(ISNUMBER(SEARCH("Plata",H275)),F275,IF(ISNUMBER(SEARCH("Plata",I275)),G275,"")))/10000000),"")</f>
        <v/>
      </c>
      <c r="L275" s="15" t="str">
        <f t="shared" ref="L275:L303" si="26">IFERROR(IF(OR(D275="",IF(OR(ISNUMBER(SEARCH("Estaño",H275)),ISNUMBER(SEARCH("Estañ",H275)),ISNUMBER(SEARCH("Tin",H275))),F275,IF(OR(ISNUMBER(SEARCH("Estaño",I275)),ISNUMBER(SEARCH("Estañ",I275)),ISNUMBER(SEARCH("Tin",I275))),G275,""))=""),"",$D$7*D275*(IF(OR(ISNUMBER(SEARCH("Estaño",H275)),ISNUMBER(SEARCH("Estañ",H275)),ISNUMBER(SEARCH("Tin",H275))),F275,IF(OR(ISNUMBER(SEARCH("Estaño",I275)),ISNUMBER(SEARCH("Estañ",I275)),ISNUMBER(SEARCH("Tin",I275))),G275,"")))/10000000),"")</f>
        <v/>
      </c>
      <c r="M275" s="15" t="str">
        <f t="shared" ref="M275:M303" si="27">IFERROR(IF(OR(D275="",IF(OR(ISNUMBER(SEARCH("Níquel",H275)),ISNUMBER(SEARCH("Niquel",H275))),F275,IF(OR(ISNUMBER(SEARCH("Níquel",I275)),ISNUMBER(SEARCH("Niquel",I275))),G275,""))=""),"",$D$8*D275*(IF(OR(ISNUMBER(SEARCH("Níquel",H275)),ISNUMBER(SEARCH("Niquel",H275))),F275,IF(OR(ISNUMBER(SEARCH("Níquel",I275)),ISNUMBER(SEARCH("Niquel",I275))),G275,"")))/10000000),"")</f>
        <v/>
      </c>
      <c r="N275" s="15" t="str">
        <f t="shared" ref="N275:N303" si="28">IFERROR(IF(OR(D275="",IF(ISNUMBER(SEARCH("Zinc",H275)),F275,IF(ISNUMBER(SEARCH("Zinc",I275)),G275,""))=""),"",$D$9*D275*(IF(ISNUMBER(SEARCH("Zinc",H275)),F275,IF(ISNUMBER(SEARCH("Zinc",I275)),G275,"")))/10000000),"")</f>
        <v/>
      </c>
      <c r="O275" s="15" t="str">
        <f t="shared" ref="O275:O303" si="29">IFERROR(IF(OR(D275="",IF(OR(ISNUMBER(SEARCH("Cobre",H275)),ISNUMBER(SEARCH("Bondal",H275))),F275,IF(OR(ISNUMBER(SEARCH("Cobre",I275)),ISNUMBER(SEARCH("Bondal",I275))),G275,""))=""),"",$D$10*D275*(IF(OR(ISNUMBER(SEARCH("Cobre",H275)),ISNUMBER(SEARCH("Bondal",H275))),F275,IF(OR(ISNUMBER(SEARCH("Cobre",I275)),ISNUMBER(SEARCH("Bondal",I275))),G275,"")))/10000000),"")</f>
        <v/>
      </c>
      <c r="P275" s="15" t="str">
        <f>IF(OR(C275="",NOT(OR(ISNUMBER(SEARCH("Antitarnish",Upload!P265&amp;Upload!Q265&amp;Upload!R265&amp;Upload!S265&amp;Upload!T265)),ISNUMBER(SEARCH("Anti Tarnish",Upload!P265&amp;Upload!Q265&amp;Upload!R265&amp;Upload!S265&amp;Upload!T265))))),"",0.0012*C275)</f>
        <v/>
      </c>
      <c r="Q275" s="15" t="str">
        <f>IF(OR(E275="",NOT(OR(ISNUMBER(SEARCH("Epóxico MT",Upload!P265&amp;Upload!Q265&amp;Upload!R265&amp;Upload!S265&amp;Upload!T265))))),"",E275*0.000035)</f>
        <v/>
      </c>
      <c r="R275" s="15" t="str">
        <f>IF(OR(F275="",NOT(OR(ISNUMBER(SEARCH("Epóxico BT",Upload!Q265&amp;Upload!R265&amp;Upload!S265&amp;Upload!T265&amp;Upload!U265))))),"",F275*0.000035)</f>
        <v/>
      </c>
      <c r="S275" s="15" t="str">
        <f>IF(OR(G275="",NOT(OR(ISNUMBER(SEARCH("Epóxico Rojo",Upload!R265&amp;Upload!S265&amp;Upload!T265&amp;Upload!U265&amp;Upload!V265))))),"",G275*0.000035)</f>
        <v/>
      </c>
    </row>
    <row r="276" spans="1:19" x14ac:dyDescent="0.2">
      <c r="A276" s="9" t="e">
        <f t="shared" ca="1" si="24"/>
        <v>#NAME?</v>
      </c>
      <c r="B276" s="9">
        <f>Upload!E266</f>
        <v>0</v>
      </c>
      <c r="C276" s="9">
        <f>Upload!AE266</f>
        <v>0</v>
      </c>
      <c r="D276" s="9">
        <f>Upload!AF266</f>
        <v>0</v>
      </c>
      <c r="E276" s="9">
        <f>Upload!AG266</f>
        <v>0</v>
      </c>
      <c r="F276" s="9" t="str">
        <f>Upload!X266</f>
        <v/>
      </c>
      <c r="G276" s="9" t="str">
        <f>Upload!Z266</f>
        <v/>
      </c>
      <c r="H276" s="9" t="str">
        <f>Upload!W266</f>
        <v>(seleccione)</v>
      </c>
      <c r="I276" s="9" t="str">
        <f>Upload!Y266</f>
        <v>(seleccione)</v>
      </c>
      <c r="K276" s="15" t="str">
        <f t="shared" si="25"/>
        <v/>
      </c>
      <c r="L276" s="15" t="str">
        <f t="shared" si="26"/>
        <v/>
      </c>
      <c r="M276" s="15" t="str">
        <f t="shared" si="27"/>
        <v/>
      </c>
      <c r="N276" s="15" t="str">
        <f t="shared" si="28"/>
        <v/>
      </c>
      <c r="O276" s="15" t="str">
        <f t="shared" si="29"/>
        <v/>
      </c>
      <c r="P276" s="15" t="str">
        <f>IF(OR(C276="",NOT(OR(ISNUMBER(SEARCH("Antitarnish",Upload!P266&amp;Upload!Q266&amp;Upload!R266&amp;Upload!S266&amp;Upload!T266)),ISNUMBER(SEARCH("Anti Tarnish",Upload!P266&amp;Upload!Q266&amp;Upload!R266&amp;Upload!S266&amp;Upload!T266))))),"",0.0012*C276)</f>
        <v/>
      </c>
      <c r="Q276" s="15" t="str">
        <f>IF(OR(E276="",NOT(OR(ISNUMBER(SEARCH("Epóxico MT",Upload!P266&amp;Upload!Q266&amp;Upload!R266&amp;Upload!S266&amp;Upload!T266))))),"",E276*0.000035)</f>
        <v/>
      </c>
      <c r="R276" s="15" t="str">
        <f>IF(OR(F276="",NOT(OR(ISNUMBER(SEARCH("Epóxico BT",Upload!Q266&amp;Upload!R266&amp;Upload!S266&amp;Upload!T266&amp;Upload!U266))))),"",F276*0.000035)</f>
        <v/>
      </c>
      <c r="S276" s="15" t="str">
        <f>IF(OR(G276="",NOT(OR(ISNUMBER(SEARCH("Epóxico Rojo",Upload!R266&amp;Upload!S266&amp;Upload!T266&amp;Upload!U266&amp;Upload!V266))))),"",G276*0.000035)</f>
        <v/>
      </c>
    </row>
    <row r="277" spans="1:19" x14ac:dyDescent="0.2">
      <c r="A277" s="9" t="e">
        <f t="shared" ca="1" si="24"/>
        <v>#NAME?</v>
      </c>
      <c r="B277" s="9">
        <f>Upload!E267</f>
        <v>0</v>
      </c>
      <c r="C277" s="9">
        <f>Upload!AE267</f>
        <v>0</v>
      </c>
      <c r="D277" s="9">
        <f>Upload!AF267</f>
        <v>0</v>
      </c>
      <c r="E277" s="9">
        <f>Upload!AG267</f>
        <v>0</v>
      </c>
      <c r="F277" s="9" t="str">
        <f>Upload!X267</f>
        <v/>
      </c>
      <c r="G277" s="9" t="str">
        <f>Upload!Z267</f>
        <v/>
      </c>
      <c r="H277" s="9" t="str">
        <f>Upload!W267</f>
        <v>(seleccione)</v>
      </c>
      <c r="I277" s="9" t="str">
        <f>Upload!Y267</f>
        <v>(seleccione)</v>
      </c>
      <c r="K277" s="15" t="str">
        <f t="shared" si="25"/>
        <v/>
      </c>
      <c r="L277" s="15" t="str">
        <f t="shared" si="26"/>
        <v/>
      </c>
      <c r="M277" s="15" t="str">
        <f t="shared" si="27"/>
        <v/>
      </c>
      <c r="N277" s="15" t="str">
        <f t="shared" si="28"/>
        <v/>
      </c>
      <c r="O277" s="15" t="str">
        <f t="shared" si="29"/>
        <v/>
      </c>
      <c r="P277" s="15" t="str">
        <f>IF(OR(C277="",NOT(OR(ISNUMBER(SEARCH("Antitarnish",Upload!P267&amp;Upload!Q267&amp;Upload!R267&amp;Upload!S267&amp;Upload!T267)),ISNUMBER(SEARCH("Anti Tarnish",Upload!P267&amp;Upload!Q267&amp;Upload!R267&amp;Upload!S267&amp;Upload!T267))))),"",0.0012*C277)</f>
        <v/>
      </c>
      <c r="Q277" s="15" t="str">
        <f>IF(OR(E277="",NOT(OR(ISNUMBER(SEARCH("Epóxico MT",Upload!P267&amp;Upload!Q267&amp;Upload!R267&amp;Upload!S267&amp;Upload!T267))))),"",E277*0.000035)</f>
        <v/>
      </c>
      <c r="R277" s="15" t="str">
        <f>IF(OR(F277="",NOT(OR(ISNUMBER(SEARCH("Epóxico BT",Upload!Q267&amp;Upload!R267&amp;Upload!S267&amp;Upload!T267&amp;Upload!U267))))),"",F277*0.000035)</f>
        <v/>
      </c>
      <c r="S277" s="15" t="str">
        <f>IF(OR(G277="",NOT(OR(ISNUMBER(SEARCH("Epóxico Rojo",Upload!R267&amp;Upload!S267&amp;Upload!T267&amp;Upload!U267&amp;Upload!V267))))),"",G277*0.000035)</f>
        <v/>
      </c>
    </row>
    <row r="278" spans="1:19" x14ac:dyDescent="0.2">
      <c r="A278" s="9" t="e">
        <f t="shared" ca="1" si="24"/>
        <v>#NAME?</v>
      </c>
      <c r="B278" s="9">
        <f>Upload!E268</f>
        <v>0</v>
      </c>
      <c r="C278" s="9">
        <f>Upload!AE268</f>
        <v>0</v>
      </c>
      <c r="D278" s="9">
        <f>Upload!AF268</f>
        <v>0</v>
      </c>
      <c r="E278" s="9">
        <f>Upload!AG268</f>
        <v>0</v>
      </c>
      <c r="F278" s="9" t="str">
        <f>Upload!X268</f>
        <v/>
      </c>
      <c r="G278" s="9" t="str">
        <f>Upload!Z268</f>
        <v/>
      </c>
      <c r="H278" s="9" t="str">
        <f>Upload!W268</f>
        <v>(seleccione)</v>
      </c>
      <c r="I278" s="9" t="str">
        <f>Upload!Y268</f>
        <v>(seleccione)</v>
      </c>
      <c r="K278" s="15" t="str">
        <f t="shared" si="25"/>
        <v/>
      </c>
      <c r="L278" s="15" t="str">
        <f t="shared" si="26"/>
        <v/>
      </c>
      <c r="M278" s="15" t="str">
        <f t="shared" si="27"/>
        <v/>
      </c>
      <c r="N278" s="15" t="str">
        <f t="shared" si="28"/>
        <v/>
      </c>
      <c r="O278" s="15" t="str">
        <f t="shared" si="29"/>
        <v/>
      </c>
      <c r="P278" s="15" t="str">
        <f>IF(OR(C278="",NOT(OR(ISNUMBER(SEARCH("Antitarnish",Upload!P268&amp;Upload!Q268&amp;Upload!R268&amp;Upload!S268&amp;Upload!T268)),ISNUMBER(SEARCH("Anti Tarnish",Upload!P268&amp;Upload!Q268&amp;Upload!R268&amp;Upload!S268&amp;Upload!T268))))),"",0.0012*C278)</f>
        <v/>
      </c>
      <c r="Q278" s="15" t="str">
        <f>IF(OR(E278="",NOT(OR(ISNUMBER(SEARCH("Epóxico MT",Upload!P268&amp;Upload!Q268&amp;Upload!R268&amp;Upload!S268&amp;Upload!T268))))),"",E278*0.000035)</f>
        <v/>
      </c>
      <c r="R278" s="15" t="str">
        <f>IF(OR(F278="",NOT(OR(ISNUMBER(SEARCH("Epóxico BT",Upload!Q268&amp;Upload!R268&amp;Upload!S268&amp;Upload!T268&amp;Upload!U268))))),"",F278*0.000035)</f>
        <v/>
      </c>
      <c r="S278" s="15" t="str">
        <f>IF(OR(G278="",NOT(OR(ISNUMBER(SEARCH("Epóxico Rojo",Upload!R268&amp;Upload!S268&amp;Upload!T268&amp;Upload!U268&amp;Upload!V268))))),"",G278*0.000035)</f>
        <v/>
      </c>
    </row>
    <row r="279" spans="1:19" x14ac:dyDescent="0.2">
      <c r="A279" s="9" t="e">
        <f t="shared" ca="1" si="24"/>
        <v>#NAME?</v>
      </c>
      <c r="B279" s="9">
        <f>Upload!E269</f>
        <v>0</v>
      </c>
      <c r="C279" s="9">
        <f>Upload!AE269</f>
        <v>0</v>
      </c>
      <c r="D279" s="9">
        <f>Upload!AF269</f>
        <v>0</v>
      </c>
      <c r="E279" s="9">
        <f>Upload!AG269</f>
        <v>0</v>
      </c>
      <c r="F279" s="9" t="str">
        <f>Upload!X269</f>
        <v/>
      </c>
      <c r="G279" s="9" t="str">
        <f>Upload!Z269</f>
        <v/>
      </c>
      <c r="H279" s="9" t="str">
        <f>Upload!W269</f>
        <v>(seleccione)</v>
      </c>
      <c r="I279" s="9" t="str">
        <f>Upload!Y269</f>
        <v>(seleccione)</v>
      </c>
      <c r="K279" s="15" t="str">
        <f t="shared" si="25"/>
        <v/>
      </c>
      <c r="L279" s="15" t="str">
        <f t="shared" si="26"/>
        <v/>
      </c>
      <c r="M279" s="15" t="str">
        <f t="shared" si="27"/>
        <v/>
      </c>
      <c r="N279" s="15" t="str">
        <f t="shared" si="28"/>
        <v/>
      </c>
      <c r="O279" s="15" t="str">
        <f t="shared" si="29"/>
        <v/>
      </c>
      <c r="P279" s="15" t="str">
        <f>IF(OR(C279="",NOT(OR(ISNUMBER(SEARCH("Antitarnish",Upload!P269&amp;Upload!Q269&amp;Upload!R269&amp;Upload!S269&amp;Upload!T269)),ISNUMBER(SEARCH("Anti Tarnish",Upload!P269&amp;Upload!Q269&amp;Upload!R269&amp;Upload!S269&amp;Upload!T269))))),"",0.0012*C279)</f>
        <v/>
      </c>
      <c r="Q279" s="15" t="str">
        <f>IF(OR(E279="",NOT(OR(ISNUMBER(SEARCH("Epóxico MT",Upload!P269&amp;Upload!Q269&amp;Upload!R269&amp;Upload!S269&amp;Upload!T269))))),"",E279*0.000035)</f>
        <v/>
      </c>
      <c r="R279" s="15" t="str">
        <f>IF(OR(F279="",NOT(OR(ISNUMBER(SEARCH("Epóxico BT",Upload!Q269&amp;Upload!R269&amp;Upload!S269&amp;Upload!T269&amp;Upload!U269))))),"",F279*0.000035)</f>
        <v/>
      </c>
      <c r="S279" s="15" t="str">
        <f>IF(OR(G279="",NOT(OR(ISNUMBER(SEARCH("Epóxico Rojo",Upload!R269&amp;Upload!S269&amp;Upload!T269&amp;Upload!U269&amp;Upload!V269))))),"",G279*0.000035)</f>
        <v/>
      </c>
    </row>
    <row r="280" spans="1:19" x14ac:dyDescent="0.2">
      <c r="A280" s="9" t="e">
        <f t="shared" ca="1" si="24"/>
        <v>#NAME?</v>
      </c>
      <c r="B280" s="9">
        <f>Upload!E270</f>
        <v>0</v>
      </c>
      <c r="C280" s="9">
        <f>Upload!AE270</f>
        <v>0</v>
      </c>
      <c r="D280" s="9">
        <f>Upload!AF270</f>
        <v>0</v>
      </c>
      <c r="E280" s="9">
        <f>Upload!AG270</f>
        <v>0</v>
      </c>
      <c r="F280" s="9" t="str">
        <f>Upload!X270</f>
        <v/>
      </c>
      <c r="G280" s="9" t="str">
        <f>Upload!Z270</f>
        <v/>
      </c>
      <c r="H280" s="9" t="str">
        <f>Upload!W270</f>
        <v>(seleccione)</v>
      </c>
      <c r="I280" s="9" t="str">
        <f>Upload!Y270</f>
        <v>(seleccione)</v>
      </c>
      <c r="K280" s="15" t="str">
        <f t="shared" si="25"/>
        <v/>
      </c>
      <c r="L280" s="15" t="str">
        <f t="shared" si="26"/>
        <v/>
      </c>
      <c r="M280" s="15" t="str">
        <f t="shared" si="27"/>
        <v/>
      </c>
      <c r="N280" s="15" t="str">
        <f t="shared" si="28"/>
        <v/>
      </c>
      <c r="O280" s="15" t="str">
        <f t="shared" si="29"/>
        <v/>
      </c>
      <c r="P280" s="15" t="str">
        <f>IF(OR(C280="",NOT(OR(ISNUMBER(SEARCH("Antitarnish",Upload!P270&amp;Upload!Q270&amp;Upload!R270&amp;Upload!S270&amp;Upload!T270)),ISNUMBER(SEARCH("Anti Tarnish",Upload!P270&amp;Upload!Q270&amp;Upload!R270&amp;Upload!S270&amp;Upload!T270))))),"",0.0012*C280)</f>
        <v/>
      </c>
      <c r="Q280" s="15" t="str">
        <f>IF(OR(E280="",NOT(OR(ISNUMBER(SEARCH("Epóxico MT",Upload!P270&amp;Upload!Q270&amp;Upload!R270&amp;Upload!S270&amp;Upload!T270))))),"",E280*0.000035)</f>
        <v/>
      </c>
      <c r="R280" s="15" t="str">
        <f>IF(OR(F280="",NOT(OR(ISNUMBER(SEARCH("Epóxico BT",Upload!Q270&amp;Upload!R270&amp;Upload!S270&amp;Upload!T270&amp;Upload!U270))))),"",F280*0.000035)</f>
        <v/>
      </c>
      <c r="S280" s="15" t="str">
        <f>IF(OR(G280="",NOT(OR(ISNUMBER(SEARCH("Epóxico Rojo",Upload!R270&amp;Upload!S270&amp;Upload!T270&amp;Upload!U270&amp;Upload!V270))))),"",G280*0.000035)</f>
        <v/>
      </c>
    </row>
    <row r="281" spans="1:19" x14ac:dyDescent="0.2">
      <c r="A281" s="9" t="e">
        <f t="shared" ca="1" si="24"/>
        <v>#NAME?</v>
      </c>
      <c r="B281" s="9">
        <f>Upload!E271</f>
        <v>0</v>
      </c>
      <c r="C281" s="9">
        <f>Upload!AE271</f>
        <v>0</v>
      </c>
      <c r="D281" s="9">
        <f>Upload!AF271</f>
        <v>0</v>
      </c>
      <c r="E281" s="9">
        <f>Upload!AG271</f>
        <v>0</v>
      </c>
      <c r="F281" s="9" t="str">
        <f>Upload!X271</f>
        <v/>
      </c>
      <c r="G281" s="9" t="str">
        <f>Upload!Z271</f>
        <v/>
      </c>
      <c r="H281" s="9" t="str">
        <f>Upload!W271</f>
        <v>(seleccione)</v>
      </c>
      <c r="I281" s="9" t="str">
        <f>Upload!Y271</f>
        <v>(seleccione)</v>
      </c>
      <c r="K281" s="15" t="str">
        <f t="shared" si="25"/>
        <v/>
      </c>
      <c r="L281" s="15" t="str">
        <f t="shared" si="26"/>
        <v/>
      </c>
      <c r="M281" s="15" t="str">
        <f t="shared" si="27"/>
        <v/>
      </c>
      <c r="N281" s="15" t="str">
        <f t="shared" si="28"/>
        <v/>
      </c>
      <c r="O281" s="15" t="str">
        <f t="shared" si="29"/>
        <v/>
      </c>
      <c r="P281" s="15" t="str">
        <f>IF(OR(C281="",NOT(OR(ISNUMBER(SEARCH("Antitarnish",Upload!P271&amp;Upload!Q271&amp;Upload!R271&amp;Upload!S271&amp;Upload!T271)),ISNUMBER(SEARCH("Anti Tarnish",Upload!P271&amp;Upload!Q271&amp;Upload!R271&amp;Upload!S271&amp;Upload!T271))))),"",0.0012*C281)</f>
        <v/>
      </c>
      <c r="Q281" s="15" t="str">
        <f>IF(OR(E281="",NOT(OR(ISNUMBER(SEARCH("Epóxico MT",Upload!P271&amp;Upload!Q271&amp;Upload!R271&amp;Upload!S271&amp;Upload!T271))))),"",E281*0.000035)</f>
        <v/>
      </c>
      <c r="R281" s="15" t="str">
        <f>IF(OR(F281="",NOT(OR(ISNUMBER(SEARCH("Epóxico BT",Upload!Q271&amp;Upload!R271&amp;Upload!S271&amp;Upload!T271&amp;Upload!U271))))),"",F281*0.000035)</f>
        <v/>
      </c>
      <c r="S281" s="15" t="str">
        <f>IF(OR(G281="",NOT(OR(ISNUMBER(SEARCH("Epóxico Rojo",Upload!R271&amp;Upload!S271&amp;Upload!T271&amp;Upload!U271&amp;Upload!V271))))),"",G281*0.000035)</f>
        <v/>
      </c>
    </row>
    <row r="282" spans="1:19" x14ac:dyDescent="0.2">
      <c r="A282" s="9" t="e">
        <f t="shared" ca="1" si="24"/>
        <v>#NAME?</v>
      </c>
      <c r="B282" s="9">
        <f>Upload!E272</f>
        <v>0</v>
      </c>
      <c r="C282" s="9">
        <f>Upload!AE272</f>
        <v>0</v>
      </c>
      <c r="D282" s="9">
        <f>Upload!AF272</f>
        <v>0</v>
      </c>
      <c r="E282" s="9">
        <f>Upload!AG272</f>
        <v>0</v>
      </c>
      <c r="F282" s="9" t="str">
        <f>Upload!X272</f>
        <v/>
      </c>
      <c r="G282" s="9" t="str">
        <f>Upload!Z272</f>
        <v/>
      </c>
      <c r="H282" s="9" t="str">
        <f>Upload!W272</f>
        <v>(seleccione)</v>
      </c>
      <c r="I282" s="9" t="str">
        <f>Upload!Y272</f>
        <v>(seleccione)</v>
      </c>
      <c r="K282" s="15" t="str">
        <f t="shared" si="25"/>
        <v/>
      </c>
      <c r="L282" s="15" t="str">
        <f t="shared" si="26"/>
        <v/>
      </c>
      <c r="M282" s="15" t="str">
        <f t="shared" si="27"/>
        <v/>
      </c>
      <c r="N282" s="15" t="str">
        <f t="shared" si="28"/>
        <v/>
      </c>
      <c r="O282" s="15" t="str">
        <f t="shared" si="29"/>
        <v/>
      </c>
      <c r="P282" s="15" t="str">
        <f>IF(OR(C282="",NOT(OR(ISNUMBER(SEARCH("Antitarnish",Upload!P272&amp;Upload!Q272&amp;Upload!R272&amp;Upload!S272&amp;Upload!T272)),ISNUMBER(SEARCH("Anti Tarnish",Upload!P272&amp;Upload!Q272&amp;Upload!R272&amp;Upload!S272&amp;Upload!T272))))),"",0.0012*C282)</f>
        <v/>
      </c>
      <c r="Q282" s="15" t="str">
        <f>IF(OR(E282="",NOT(OR(ISNUMBER(SEARCH("Epóxico MT",Upload!P272&amp;Upload!Q272&amp;Upload!R272&amp;Upload!S272&amp;Upload!T272))))),"",E282*0.000035)</f>
        <v/>
      </c>
      <c r="R282" s="15" t="str">
        <f>IF(OR(F282="",NOT(OR(ISNUMBER(SEARCH("Epóxico BT",Upload!Q272&amp;Upload!R272&amp;Upload!S272&amp;Upload!T272&amp;Upload!U272))))),"",F282*0.000035)</f>
        <v/>
      </c>
      <c r="S282" s="15" t="str">
        <f>IF(OR(G282="",NOT(OR(ISNUMBER(SEARCH("Epóxico Rojo",Upload!R272&amp;Upload!S272&amp;Upload!T272&amp;Upload!U272&amp;Upload!V272))))),"",G282*0.000035)</f>
        <v/>
      </c>
    </row>
    <row r="283" spans="1:19" x14ac:dyDescent="0.2">
      <c r="A283" s="9" t="e">
        <f t="shared" ca="1" si="24"/>
        <v>#NAME?</v>
      </c>
      <c r="B283" s="9">
        <f>Upload!E273</f>
        <v>0</v>
      </c>
      <c r="C283" s="9">
        <f>Upload!AE273</f>
        <v>0</v>
      </c>
      <c r="D283" s="9">
        <f>Upload!AF273</f>
        <v>0</v>
      </c>
      <c r="E283" s="9">
        <f>Upload!AG273</f>
        <v>0</v>
      </c>
      <c r="F283" s="9" t="str">
        <f>Upload!X273</f>
        <v/>
      </c>
      <c r="G283" s="9" t="str">
        <f>Upload!Z273</f>
        <v/>
      </c>
      <c r="H283" s="9" t="str">
        <f>Upload!W273</f>
        <v>(seleccione)</v>
      </c>
      <c r="I283" s="9" t="str">
        <f>Upload!Y273</f>
        <v>(seleccione)</v>
      </c>
      <c r="K283" s="15" t="str">
        <f t="shared" si="25"/>
        <v/>
      </c>
      <c r="L283" s="15" t="str">
        <f t="shared" si="26"/>
        <v/>
      </c>
      <c r="M283" s="15" t="str">
        <f t="shared" si="27"/>
        <v/>
      </c>
      <c r="N283" s="15" t="str">
        <f t="shared" si="28"/>
        <v/>
      </c>
      <c r="O283" s="15" t="str">
        <f t="shared" si="29"/>
        <v/>
      </c>
      <c r="P283" s="15" t="str">
        <f>IF(OR(C283="",NOT(OR(ISNUMBER(SEARCH("Antitarnish",Upload!P273&amp;Upload!Q273&amp;Upload!R273&amp;Upload!S273&amp;Upload!T273)),ISNUMBER(SEARCH("Anti Tarnish",Upload!P273&amp;Upload!Q273&amp;Upload!R273&amp;Upload!S273&amp;Upload!T273))))),"",0.0012*C283)</f>
        <v/>
      </c>
      <c r="Q283" s="15" t="str">
        <f>IF(OR(E283="",NOT(OR(ISNUMBER(SEARCH("Epóxico MT",Upload!P273&amp;Upload!Q273&amp;Upload!R273&amp;Upload!S273&amp;Upload!T273))))),"",E283*0.000035)</f>
        <v/>
      </c>
      <c r="R283" s="15" t="str">
        <f>IF(OR(F283="",NOT(OR(ISNUMBER(SEARCH("Epóxico BT",Upload!Q273&amp;Upload!R273&amp;Upload!S273&amp;Upload!T273&amp;Upload!U273))))),"",F283*0.000035)</f>
        <v/>
      </c>
      <c r="S283" s="15" t="str">
        <f>IF(OR(G283="",NOT(OR(ISNUMBER(SEARCH("Epóxico Rojo",Upload!R273&amp;Upload!S273&amp;Upload!T273&amp;Upload!U273&amp;Upload!V273))))),"",G283*0.000035)</f>
        <v/>
      </c>
    </row>
    <row r="284" spans="1:19" x14ac:dyDescent="0.2">
      <c r="A284" s="9" t="e">
        <f t="shared" ca="1" si="24"/>
        <v>#NAME?</v>
      </c>
      <c r="B284" s="9">
        <f>Upload!E274</f>
        <v>0</v>
      </c>
      <c r="C284" s="9">
        <f>Upload!AE274</f>
        <v>0</v>
      </c>
      <c r="D284" s="9">
        <f>Upload!AF274</f>
        <v>0</v>
      </c>
      <c r="E284" s="9">
        <f>Upload!AG274</f>
        <v>0</v>
      </c>
      <c r="F284" s="9" t="str">
        <f>Upload!X274</f>
        <v/>
      </c>
      <c r="G284" s="9" t="str">
        <f>Upload!Z274</f>
        <v/>
      </c>
      <c r="H284" s="9" t="str">
        <f>Upload!W274</f>
        <v>(seleccione)</v>
      </c>
      <c r="I284" s="9" t="str">
        <f>Upload!Y274</f>
        <v>(seleccione)</v>
      </c>
      <c r="K284" s="15" t="str">
        <f t="shared" si="25"/>
        <v/>
      </c>
      <c r="L284" s="15" t="str">
        <f t="shared" si="26"/>
        <v/>
      </c>
      <c r="M284" s="15" t="str">
        <f t="shared" si="27"/>
        <v/>
      </c>
      <c r="N284" s="15" t="str">
        <f t="shared" si="28"/>
        <v/>
      </c>
      <c r="O284" s="15" t="str">
        <f t="shared" si="29"/>
        <v/>
      </c>
      <c r="P284" s="15" t="str">
        <f>IF(OR(C284="",NOT(OR(ISNUMBER(SEARCH("Antitarnish",Upload!P274&amp;Upload!Q274&amp;Upload!R274&amp;Upload!S274&amp;Upload!T274)),ISNUMBER(SEARCH("Anti Tarnish",Upload!P274&amp;Upload!Q274&amp;Upload!R274&amp;Upload!S274&amp;Upload!T274))))),"",0.0012*C284)</f>
        <v/>
      </c>
      <c r="Q284" s="15" t="str">
        <f>IF(OR(E284="",NOT(OR(ISNUMBER(SEARCH("Epóxico MT",Upload!P274&amp;Upload!Q274&amp;Upload!R274&amp;Upload!S274&amp;Upload!T274))))),"",E284*0.000035)</f>
        <v/>
      </c>
      <c r="R284" s="15" t="str">
        <f>IF(OR(F284="",NOT(OR(ISNUMBER(SEARCH("Epóxico BT",Upload!Q274&amp;Upload!R274&amp;Upload!S274&amp;Upload!T274&amp;Upload!U274))))),"",F284*0.000035)</f>
        <v/>
      </c>
      <c r="S284" s="15" t="str">
        <f>IF(OR(G284="",NOT(OR(ISNUMBER(SEARCH("Epóxico Rojo",Upload!R274&amp;Upload!S274&amp;Upload!T274&amp;Upload!U274&amp;Upload!V274))))),"",G284*0.000035)</f>
        <v/>
      </c>
    </row>
    <row r="285" spans="1:19" x14ac:dyDescent="0.2">
      <c r="A285" s="9" t="e">
        <f t="shared" ca="1" si="24"/>
        <v>#NAME?</v>
      </c>
      <c r="B285" s="9">
        <f>Upload!E275</f>
        <v>0</v>
      </c>
      <c r="C285" s="9">
        <f>Upload!AE275</f>
        <v>0</v>
      </c>
      <c r="D285" s="9">
        <f>Upload!AF275</f>
        <v>0</v>
      </c>
      <c r="E285" s="9">
        <f>Upload!AG275</f>
        <v>0</v>
      </c>
      <c r="F285" s="9" t="str">
        <f>Upload!X275</f>
        <v/>
      </c>
      <c r="G285" s="9" t="str">
        <f>Upload!Z275</f>
        <v/>
      </c>
      <c r="H285" s="9" t="str">
        <f>Upload!W275</f>
        <v>(seleccione)</v>
      </c>
      <c r="I285" s="9" t="str">
        <f>Upload!Y275</f>
        <v>(seleccione)</v>
      </c>
      <c r="K285" s="15" t="str">
        <f t="shared" si="25"/>
        <v/>
      </c>
      <c r="L285" s="15" t="str">
        <f t="shared" si="26"/>
        <v/>
      </c>
      <c r="M285" s="15" t="str">
        <f t="shared" si="27"/>
        <v/>
      </c>
      <c r="N285" s="15" t="str">
        <f t="shared" si="28"/>
        <v/>
      </c>
      <c r="O285" s="15" t="str">
        <f t="shared" si="29"/>
        <v/>
      </c>
      <c r="P285" s="15" t="str">
        <f>IF(OR(C285="",NOT(OR(ISNUMBER(SEARCH("Antitarnish",Upload!P275&amp;Upload!Q275&amp;Upload!R275&amp;Upload!S275&amp;Upload!T275)),ISNUMBER(SEARCH("Anti Tarnish",Upload!P275&amp;Upload!Q275&amp;Upload!R275&amp;Upload!S275&amp;Upload!T275))))),"",0.0012*C285)</f>
        <v/>
      </c>
      <c r="Q285" s="15" t="str">
        <f>IF(OR(E285="",NOT(OR(ISNUMBER(SEARCH("Epóxico MT",Upload!P275&amp;Upload!Q275&amp;Upload!R275&amp;Upload!S275&amp;Upload!T275))))),"",E285*0.000035)</f>
        <v/>
      </c>
      <c r="R285" s="15" t="str">
        <f>IF(OR(F285="",NOT(OR(ISNUMBER(SEARCH("Epóxico BT",Upload!Q275&amp;Upload!R275&amp;Upload!S275&amp;Upload!T275&amp;Upload!U275))))),"",F285*0.000035)</f>
        <v/>
      </c>
      <c r="S285" s="15" t="str">
        <f>IF(OR(G285="",NOT(OR(ISNUMBER(SEARCH("Epóxico Rojo",Upload!R275&amp;Upload!S275&amp;Upload!T275&amp;Upload!U275&amp;Upload!V275))))),"",G285*0.000035)</f>
        <v/>
      </c>
    </row>
    <row r="286" spans="1:19" x14ac:dyDescent="0.2">
      <c r="A286" s="9" t="e">
        <f t="shared" ca="1" si="24"/>
        <v>#NAME?</v>
      </c>
      <c r="B286" s="9">
        <f>Upload!E276</f>
        <v>0</v>
      </c>
      <c r="C286" s="9">
        <f>Upload!AE276</f>
        <v>0</v>
      </c>
      <c r="D286" s="9">
        <f>Upload!AF276</f>
        <v>0</v>
      </c>
      <c r="E286" s="9">
        <f>Upload!AG276</f>
        <v>0</v>
      </c>
      <c r="F286" s="9" t="str">
        <f>Upload!X276</f>
        <v/>
      </c>
      <c r="G286" s="9" t="str">
        <f>Upload!Z276</f>
        <v/>
      </c>
      <c r="H286" s="9" t="str">
        <f>Upload!W276</f>
        <v>(seleccione)</v>
      </c>
      <c r="I286" s="9" t="str">
        <f>Upload!Y276</f>
        <v>(seleccione)</v>
      </c>
      <c r="K286" s="15" t="str">
        <f t="shared" si="25"/>
        <v/>
      </c>
      <c r="L286" s="15" t="str">
        <f t="shared" si="26"/>
        <v/>
      </c>
      <c r="M286" s="15" t="str">
        <f t="shared" si="27"/>
        <v/>
      </c>
      <c r="N286" s="15" t="str">
        <f t="shared" si="28"/>
        <v/>
      </c>
      <c r="O286" s="15" t="str">
        <f t="shared" si="29"/>
        <v/>
      </c>
      <c r="P286" s="15" t="str">
        <f>IF(OR(C286="",NOT(OR(ISNUMBER(SEARCH("Antitarnish",Upload!P276&amp;Upload!Q276&amp;Upload!R276&amp;Upload!S276&amp;Upload!T276)),ISNUMBER(SEARCH("Anti Tarnish",Upload!P276&amp;Upload!Q276&amp;Upload!R276&amp;Upload!S276&amp;Upload!T276))))),"",0.0012*C286)</f>
        <v/>
      </c>
      <c r="Q286" s="15" t="str">
        <f>IF(OR(E286="",NOT(OR(ISNUMBER(SEARCH("Epóxico MT",Upload!P276&amp;Upload!Q276&amp;Upload!R276&amp;Upload!S276&amp;Upload!T276))))),"",E286*0.000035)</f>
        <v/>
      </c>
      <c r="R286" s="15" t="str">
        <f>IF(OR(F286="",NOT(OR(ISNUMBER(SEARCH("Epóxico BT",Upload!Q276&amp;Upload!R276&amp;Upload!S276&amp;Upload!T276&amp;Upload!U276))))),"",F286*0.000035)</f>
        <v/>
      </c>
      <c r="S286" s="15" t="str">
        <f>IF(OR(G286="",NOT(OR(ISNUMBER(SEARCH("Epóxico Rojo",Upload!R276&amp;Upload!S276&amp;Upload!T276&amp;Upload!U276&amp;Upload!V276))))),"",G286*0.000035)</f>
        <v/>
      </c>
    </row>
    <row r="287" spans="1:19" x14ac:dyDescent="0.2">
      <c r="A287" s="9" t="e">
        <f t="shared" ca="1" si="24"/>
        <v>#NAME?</v>
      </c>
      <c r="B287" s="9">
        <f>Upload!E277</f>
        <v>0</v>
      </c>
      <c r="C287" s="9">
        <f>Upload!AE277</f>
        <v>0</v>
      </c>
      <c r="D287" s="9">
        <f>Upload!AF277</f>
        <v>0</v>
      </c>
      <c r="E287" s="9">
        <f>Upload!AG277</f>
        <v>0</v>
      </c>
      <c r="F287" s="9" t="str">
        <f>Upload!X277</f>
        <v/>
      </c>
      <c r="G287" s="9" t="str">
        <f>Upload!Z277</f>
        <v/>
      </c>
      <c r="H287" s="9" t="str">
        <f>Upload!W277</f>
        <v>(seleccione)</v>
      </c>
      <c r="I287" s="9" t="str">
        <f>Upload!Y277</f>
        <v>(seleccione)</v>
      </c>
      <c r="K287" s="15" t="str">
        <f t="shared" si="25"/>
        <v/>
      </c>
      <c r="L287" s="15" t="str">
        <f t="shared" si="26"/>
        <v/>
      </c>
      <c r="M287" s="15" t="str">
        <f t="shared" si="27"/>
        <v/>
      </c>
      <c r="N287" s="15" t="str">
        <f t="shared" si="28"/>
        <v/>
      </c>
      <c r="O287" s="15" t="str">
        <f t="shared" si="29"/>
        <v/>
      </c>
      <c r="P287" s="15" t="str">
        <f>IF(OR(C287="",NOT(OR(ISNUMBER(SEARCH("Antitarnish",Upload!P277&amp;Upload!Q277&amp;Upload!R277&amp;Upload!S277&amp;Upload!T277)),ISNUMBER(SEARCH("Anti Tarnish",Upload!P277&amp;Upload!Q277&amp;Upload!R277&amp;Upload!S277&amp;Upload!T277))))),"",0.0012*C287)</f>
        <v/>
      </c>
      <c r="Q287" s="15" t="str">
        <f>IF(OR(E287="",NOT(OR(ISNUMBER(SEARCH("Epóxico MT",Upload!P277&amp;Upload!Q277&amp;Upload!R277&amp;Upload!S277&amp;Upload!T277))))),"",E287*0.000035)</f>
        <v/>
      </c>
      <c r="R287" s="15" t="str">
        <f>IF(OR(F287="",NOT(OR(ISNUMBER(SEARCH("Epóxico BT",Upload!Q277&amp;Upload!R277&amp;Upload!S277&amp;Upload!T277&amp;Upload!U277))))),"",F287*0.000035)</f>
        <v/>
      </c>
      <c r="S287" s="15" t="str">
        <f>IF(OR(G287="",NOT(OR(ISNUMBER(SEARCH("Epóxico Rojo",Upload!R277&amp;Upload!S277&amp;Upload!T277&amp;Upload!U277&amp;Upload!V277))))),"",G287*0.000035)</f>
        <v/>
      </c>
    </row>
    <row r="288" spans="1:19" x14ac:dyDescent="0.2">
      <c r="A288" s="9" t="e">
        <f t="shared" ca="1" si="24"/>
        <v>#NAME?</v>
      </c>
      <c r="B288" s="9">
        <f>Upload!E278</f>
        <v>0</v>
      </c>
      <c r="C288" s="9">
        <f>Upload!AE278</f>
        <v>0</v>
      </c>
      <c r="D288" s="9">
        <f>Upload!AF278</f>
        <v>0</v>
      </c>
      <c r="E288" s="9">
        <f>Upload!AG278</f>
        <v>0</v>
      </c>
      <c r="F288" s="9" t="str">
        <f>Upload!X278</f>
        <v/>
      </c>
      <c r="G288" s="9" t="str">
        <f>Upload!Z278</f>
        <v/>
      </c>
      <c r="H288" s="9" t="str">
        <f>Upload!W278</f>
        <v>(seleccione)</v>
      </c>
      <c r="I288" s="9" t="str">
        <f>Upload!Y278</f>
        <v>(seleccione)</v>
      </c>
      <c r="K288" s="15" t="str">
        <f t="shared" si="25"/>
        <v/>
      </c>
      <c r="L288" s="15" t="str">
        <f t="shared" si="26"/>
        <v/>
      </c>
      <c r="M288" s="15" t="str">
        <f t="shared" si="27"/>
        <v/>
      </c>
      <c r="N288" s="15" t="str">
        <f t="shared" si="28"/>
        <v/>
      </c>
      <c r="O288" s="15" t="str">
        <f t="shared" si="29"/>
        <v/>
      </c>
      <c r="P288" s="15" t="str">
        <f>IF(OR(C288="",NOT(OR(ISNUMBER(SEARCH("Antitarnish",Upload!P278&amp;Upload!Q278&amp;Upload!R278&amp;Upload!S278&amp;Upload!T278)),ISNUMBER(SEARCH("Anti Tarnish",Upload!P278&amp;Upload!Q278&amp;Upload!R278&amp;Upload!S278&amp;Upload!T278))))),"",0.0012*C288)</f>
        <v/>
      </c>
      <c r="Q288" s="15" t="str">
        <f>IF(OR(E288="",NOT(OR(ISNUMBER(SEARCH("Epóxico MT",Upload!P278&amp;Upload!Q278&amp;Upload!R278&amp;Upload!S278&amp;Upload!T278))))),"",E288*0.000035)</f>
        <v/>
      </c>
      <c r="R288" s="15" t="str">
        <f>IF(OR(F288="",NOT(OR(ISNUMBER(SEARCH("Epóxico BT",Upload!Q278&amp;Upload!R278&amp;Upload!S278&amp;Upload!T278&amp;Upload!U278))))),"",F288*0.000035)</f>
        <v/>
      </c>
      <c r="S288" s="15" t="str">
        <f>IF(OR(G288="",NOT(OR(ISNUMBER(SEARCH("Epóxico Rojo",Upload!R278&amp;Upload!S278&amp;Upload!T278&amp;Upload!U278&amp;Upload!V278))))),"",G288*0.000035)</f>
        <v/>
      </c>
    </row>
    <row r="289" spans="1:19" x14ac:dyDescent="0.2">
      <c r="A289" s="9" t="e">
        <f t="shared" ca="1" si="24"/>
        <v>#NAME?</v>
      </c>
      <c r="B289" s="9">
        <f>Upload!E279</f>
        <v>0</v>
      </c>
      <c r="C289" s="9">
        <f>Upload!AE279</f>
        <v>0</v>
      </c>
      <c r="D289" s="9">
        <f>Upload!AF279</f>
        <v>0</v>
      </c>
      <c r="E289" s="9">
        <f>Upload!AG279</f>
        <v>0</v>
      </c>
      <c r="F289" s="9" t="str">
        <f>Upload!X279</f>
        <v/>
      </c>
      <c r="G289" s="9" t="str">
        <f>Upload!Z279</f>
        <v/>
      </c>
      <c r="H289" s="9" t="str">
        <f>Upload!W279</f>
        <v>(seleccione)</v>
      </c>
      <c r="I289" s="9" t="str">
        <f>Upload!Y279</f>
        <v>(seleccione)</v>
      </c>
      <c r="K289" s="15" t="str">
        <f t="shared" si="25"/>
        <v/>
      </c>
      <c r="L289" s="15" t="str">
        <f t="shared" si="26"/>
        <v/>
      </c>
      <c r="M289" s="15" t="str">
        <f t="shared" si="27"/>
        <v/>
      </c>
      <c r="N289" s="15" t="str">
        <f t="shared" si="28"/>
        <v/>
      </c>
      <c r="O289" s="15" t="str">
        <f t="shared" si="29"/>
        <v/>
      </c>
      <c r="P289" s="15" t="str">
        <f>IF(OR(C289="",NOT(OR(ISNUMBER(SEARCH("Antitarnish",Upload!P279&amp;Upload!Q279&amp;Upload!R279&amp;Upload!S279&amp;Upload!T279)),ISNUMBER(SEARCH("Anti Tarnish",Upload!P279&amp;Upload!Q279&amp;Upload!R279&amp;Upload!S279&amp;Upload!T279))))),"",0.0012*C289)</f>
        <v/>
      </c>
      <c r="Q289" s="15" t="str">
        <f>IF(OR(E289="",NOT(OR(ISNUMBER(SEARCH("Epóxico MT",Upload!P279&amp;Upload!Q279&amp;Upload!R279&amp;Upload!S279&amp;Upload!T279))))),"",E289*0.000035)</f>
        <v/>
      </c>
      <c r="R289" s="15" t="str">
        <f>IF(OR(F289="",NOT(OR(ISNUMBER(SEARCH("Epóxico BT",Upload!Q279&amp;Upload!R279&amp;Upload!S279&amp;Upload!T279&amp;Upload!U279))))),"",F289*0.000035)</f>
        <v/>
      </c>
      <c r="S289" s="15" t="str">
        <f>IF(OR(G289="",NOT(OR(ISNUMBER(SEARCH("Epóxico Rojo",Upload!R279&amp;Upload!S279&amp;Upload!T279&amp;Upload!U279&amp;Upload!V279))))),"",G289*0.000035)</f>
        <v/>
      </c>
    </row>
    <row r="290" spans="1:19" x14ac:dyDescent="0.2">
      <c r="A290" s="9" t="e">
        <f t="shared" ca="1" si="24"/>
        <v>#NAME?</v>
      </c>
      <c r="B290" s="9">
        <f>Upload!E280</f>
        <v>0</v>
      </c>
      <c r="C290" s="9">
        <f>Upload!AE280</f>
        <v>0</v>
      </c>
      <c r="D290" s="9">
        <f>Upload!AF280</f>
        <v>0</v>
      </c>
      <c r="E290" s="9">
        <f>Upload!AG280</f>
        <v>0</v>
      </c>
      <c r="F290" s="9" t="str">
        <f>Upload!X280</f>
        <v/>
      </c>
      <c r="G290" s="9" t="str">
        <f>Upload!Z280</f>
        <v/>
      </c>
      <c r="H290" s="9" t="str">
        <f>Upload!W280</f>
        <v>(seleccione)</v>
      </c>
      <c r="I290" s="9" t="str">
        <f>Upload!Y280</f>
        <v>(seleccione)</v>
      </c>
      <c r="K290" s="15" t="str">
        <f t="shared" si="25"/>
        <v/>
      </c>
      <c r="L290" s="15" t="str">
        <f t="shared" si="26"/>
        <v/>
      </c>
      <c r="M290" s="15" t="str">
        <f t="shared" si="27"/>
        <v/>
      </c>
      <c r="N290" s="15" t="str">
        <f t="shared" si="28"/>
        <v/>
      </c>
      <c r="O290" s="15" t="str">
        <f t="shared" si="29"/>
        <v/>
      </c>
      <c r="P290" s="15" t="str">
        <f>IF(OR(C290="",NOT(OR(ISNUMBER(SEARCH("Antitarnish",Upload!P280&amp;Upload!Q280&amp;Upload!R280&amp;Upload!S280&amp;Upload!T280)),ISNUMBER(SEARCH("Anti Tarnish",Upload!P280&amp;Upload!Q280&amp;Upload!R280&amp;Upload!S280&amp;Upload!T280))))),"",0.0012*C290)</f>
        <v/>
      </c>
      <c r="Q290" s="15" t="str">
        <f>IF(OR(E290="",NOT(OR(ISNUMBER(SEARCH("Epóxico MT",Upload!P280&amp;Upload!Q280&amp;Upload!R280&amp;Upload!S280&amp;Upload!T280))))),"",E290*0.000035)</f>
        <v/>
      </c>
      <c r="R290" s="15" t="str">
        <f>IF(OR(F290="",NOT(OR(ISNUMBER(SEARCH("Epóxico BT",Upload!Q280&amp;Upload!R280&amp;Upload!S280&amp;Upload!T280&amp;Upload!U280))))),"",F290*0.000035)</f>
        <v/>
      </c>
      <c r="S290" s="15" t="str">
        <f>IF(OR(G290="",NOT(OR(ISNUMBER(SEARCH("Epóxico Rojo",Upload!R280&amp;Upload!S280&amp;Upload!T280&amp;Upload!U280&amp;Upload!V280))))),"",G290*0.000035)</f>
        <v/>
      </c>
    </row>
    <row r="291" spans="1:19" x14ac:dyDescent="0.2">
      <c r="A291" s="9" t="e">
        <f t="shared" ca="1" si="24"/>
        <v>#NAME?</v>
      </c>
      <c r="B291" s="9">
        <f>Upload!E281</f>
        <v>0</v>
      </c>
      <c r="C291" s="9">
        <f>Upload!AE281</f>
        <v>0</v>
      </c>
      <c r="D291" s="9">
        <f>Upload!AF281</f>
        <v>0</v>
      </c>
      <c r="E291" s="9">
        <f>Upload!AG281</f>
        <v>0</v>
      </c>
      <c r="F291" s="9" t="str">
        <f>Upload!X281</f>
        <v/>
      </c>
      <c r="G291" s="9" t="str">
        <f>Upload!Z281</f>
        <v/>
      </c>
      <c r="H291" s="9" t="str">
        <f>Upload!W281</f>
        <v>(seleccione)</v>
      </c>
      <c r="I291" s="9" t="str">
        <f>Upload!Y281</f>
        <v>(seleccione)</v>
      </c>
      <c r="K291" s="15" t="str">
        <f t="shared" si="25"/>
        <v/>
      </c>
      <c r="L291" s="15" t="str">
        <f t="shared" si="26"/>
        <v/>
      </c>
      <c r="M291" s="15" t="str">
        <f t="shared" si="27"/>
        <v/>
      </c>
      <c r="N291" s="15" t="str">
        <f t="shared" si="28"/>
        <v/>
      </c>
      <c r="O291" s="15" t="str">
        <f t="shared" si="29"/>
        <v/>
      </c>
      <c r="P291" s="15" t="str">
        <f>IF(OR(C291="",NOT(OR(ISNUMBER(SEARCH("Antitarnish",Upload!P281&amp;Upload!Q281&amp;Upload!R281&amp;Upload!S281&amp;Upload!T281)),ISNUMBER(SEARCH("Anti Tarnish",Upload!P281&amp;Upload!Q281&amp;Upload!R281&amp;Upload!S281&amp;Upload!T281))))),"",0.0012*C291)</f>
        <v/>
      </c>
      <c r="Q291" s="15" t="str">
        <f>IF(OR(E291="",NOT(OR(ISNUMBER(SEARCH("Epóxico MT",Upload!P281&amp;Upload!Q281&amp;Upload!R281&amp;Upload!S281&amp;Upload!T281))))),"",E291*0.000035)</f>
        <v/>
      </c>
      <c r="R291" s="15" t="str">
        <f>IF(OR(F291="",NOT(OR(ISNUMBER(SEARCH("Epóxico BT",Upload!Q281&amp;Upload!R281&amp;Upload!S281&amp;Upload!T281&amp;Upload!U281))))),"",F291*0.000035)</f>
        <v/>
      </c>
      <c r="S291" s="15" t="str">
        <f>IF(OR(G291="",NOT(OR(ISNUMBER(SEARCH("Epóxico Rojo",Upload!R281&amp;Upload!S281&amp;Upload!T281&amp;Upload!U281&amp;Upload!V281))))),"",G291*0.000035)</f>
        <v/>
      </c>
    </row>
    <row r="292" spans="1:19" x14ac:dyDescent="0.2">
      <c r="A292" s="9" t="e">
        <f t="shared" ca="1" si="24"/>
        <v>#NAME?</v>
      </c>
      <c r="B292" s="9">
        <f>Upload!E282</f>
        <v>0</v>
      </c>
      <c r="C292" s="9">
        <f>Upload!AE282</f>
        <v>0</v>
      </c>
      <c r="D292" s="9">
        <f>Upload!AF282</f>
        <v>0</v>
      </c>
      <c r="E292" s="9">
        <f>Upload!AG282</f>
        <v>0</v>
      </c>
      <c r="F292" s="9" t="str">
        <f>Upload!X282</f>
        <v/>
      </c>
      <c r="G292" s="9" t="str">
        <f>Upload!Z282</f>
        <v/>
      </c>
      <c r="H292" s="9" t="str">
        <f>Upload!W282</f>
        <v>(seleccione)</v>
      </c>
      <c r="I292" s="9" t="str">
        <f>Upload!Y282</f>
        <v>(seleccione)</v>
      </c>
      <c r="K292" s="15" t="str">
        <f t="shared" si="25"/>
        <v/>
      </c>
      <c r="L292" s="15" t="str">
        <f t="shared" si="26"/>
        <v/>
      </c>
      <c r="M292" s="15" t="str">
        <f t="shared" si="27"/>
        <v/>
      </c>
      <c r="N292" s="15" t="str">
        <f t="shared" si="28"/>
        <v/>
      </c>
      <c r="O292" s="15" t="str">
        <f t="shared" si="29"/>
        <v/>
      </c>
      <c r="P292" s="15" t="str">
        <f>IF(OR(C292="",NOT(OR(ISNUMBER(SEARCH("Antitarnish",Upload!P282&amp;Upload!Q282&amp;Upload!R282&amp;Upload!S282&amp;Upload!T282)),ISNUMBER(SEARCH("Anti Tarnish",Upload!P282&amp;Upload!Q282&amp;Upload!R282&amp;Upload!S282&amp;Upload!T282))))),"",0.0012*C292)</f>
        <v/>
      </c>
      <c r="Q292" s="15" t="str">
        <f>IF(OR(E292="",NOT(OR(ISNUMBER(SEARCH("Epóxico MT",Upload!P282&amp;Upload!Q282&amp;Upload!R282&amp;Upload!S282&amp;Upload!T282))))),"",E292*0.000035)</f>
        <v/>
      </c>
      <c r="R292" s="15" t="str">
        <f>IF(OR(F292="",NOT(OR(ISNUMBER(SEARCH("Epóxico BT",Upload!Q282&amp;Upload!R282&amp;Upload!S282&amp;Upload!T282&amp;Upload!U282))))),"",F292*0.000035)</f>
        <v/>
      </c>
      <c r="S292" s="15" t="str">
        <f>IF(OR(G292="",NOT(OR(ISNUMBER(SEARCH("Epóxico Rojo",Upload!R282&amp;Upload!S282&amp;Upload!T282&amp;Upload!U282&amp;Upload!V282))))),"",G292*0.000035)</f>
        <v/>
      </c>
    </row>
    <row r="293" spans="1:19" x14ac:dyDescent="0.2">
      <c r="A293" s="9" t="e">
        <f t="shared" ca="1" si="24"/>
        <v>#NAME?</v>
      </c>
      <c r="B293" s="9">
        <f>Upload!E283</f>
        <v>0</v>
      </c>
      <c r="C293" s="9">
        <f>Upload!AE283</f>
        <v>0</v>
      </c>
      <c r="D293" s="9">
        <f>Upload!AF283</f>
        <v>0</v>
      </c>
      <c r="E293" s="9">
        <f>Upload!AG283</f>
        <v>0</v>
      </c>
      <c r="F293" s="9" t="str">
        <f>Upload!X283</f>
        <v/>
      </c>
      <c r="G293" s="9" t="str">
        <f>Upload!Z283</f>
        <v/>
      </c>
      <c r="H293" s="9" t="str">
        <f>Upload!W283</f>
        <v>(seleccione)</v>
      </c>
      <c r="I293" s="9" t="str">
        <f>Upload!Y283</f>
        <v>(seleccione)</v>
      </c>
      <c r="K293" s="15" t="str">
        <f t="shared" si="25"/>
        <v/>
      </c>
      <c r="L293" s="15" t="str">
        <f t="shared" si="26"/>
        <v/>
      </c>
      <c r="M293" s="15" t="str">
        <f t="shared" si="27"/>
        <v/>
      </c>
      <c r="N293" s="15" t="str">
        <f t="shared" si="28"/>
        <v/>
      </c>
      <c r="O293" s="15" t="str">
        <f t="shared" si="29"/>
        <v/>
      </c>
      <c r="P293" s="15" t="str">
        <f>IF(OR(C293="",NOT(OR(ISNUMBER(SEARCH("Antitarnish",Upload!P283&amp;Upload!Q283&amp;Upload!R283&amp;Upload!S283&amp;Upload!T283)),ISNUMBER(SEARCH("Anti Tarnish",Upload!P283&amp;Upload!Q283&amp;Upload!R283&amp;Upload!S283&amp;Upload!T283))))),"",0.0012*C293)</f>
        <v/>
      </c>
      <c r="Q293" s="15" t="str">
        <f>IF(OR(E293="",NOT(OR(ISNUMBER(SEARCH("Epóxico MT",Upload!P283&amp;Upload!Q283&amp;Upload!R283&amp;Upload!S283&amp;Upload!T283))))),"",E293*0.000035)</f>
        <v/>
      </c>
      <c r="R293" s="15" t="str">
        <f>IF(OR(F293="",NOT(OR(ISNUMBER(SEARCH("Epóxico BT",Upload!Q283&amp;Upload!R283&amp;Upload!S283&amp;Upload!T283&amp;Upload!U283))))),"",F293*0.000035)</f>
        <v/>
      </c>
      <c r="S293" s="15" t="str">
        <f>IF(OR(G293="",NOT(OR(ISNUMBER(SEARCH("Epóxico Rojo",Upload!R283&amp;Upload!S283&amp;Upload!T283&amp;Upload!U283&amp;Upload!V283))))),"",G293*0.000035)</f>
        <v/>
      </c>
    </row>
    <row r="294" spans="1:19" x14ac:dyDescent="0.2">
      <c r="A294" s="9" t="e">
        <f t="shared" ca="1" si="24"/>
        <v>#NAME?</v>
      </c>
      <c r="B294" s="9">
        <f>Upload!E284</f>
        <v>0</v>
      </c>
      <c r="C294" s="9">
        <f>Upload!AE284</f>
        <v>0</v>
      </c>
      <c r="D294" s="9">
        <f>Upload!AF284</f>
        <v>0</v>
      </c>
      <c r="E294" s="9">
        <f>Upload!AG284</f>
        <v>0</v>
      </c>
      <c r="F294" s="9" t="str">
        <f>Upload!X284</f>
        <v/>
      </c>
      <c r="G294" s="9" t="str">
        <f>Upload!Z284</f>
        <v/>
      </c>
      <c r="H294" s="9" t="str">
        <f>Upload!W284</f>
        <v>(seleccione)</v>
      </c>
      <c r="I294" s="9" t="str">
        <f>Upload!Y284</f>
        <v>(seleccione)</v>
      </c>
      <c r="K294" s="15" t="str">
        <f t="shared" si="25"/>
        <v/>
      </c>
      <c r="L294" s="15" t="str">
        <f t="shared" si="26"/>
        <v/>
      </c>
      <c r="M294" s="15" t="str">
        <f t="shared" si="27"/>
        <v/>
      </c>
      <c r="N294" s="15" t="str">
        <f t="shared" si="28"/>
        <v/>
      </c>
      <c r="O294" s="15" t="str">
        <f t="shared" si="29"/>
        <v/>
      </c>
      <c r="P294" s="15" t="str">
        <f>IF(OR(C294="",NOT(OR(ISNUMBER(SEARCH("Antitarnish",Upload!P284&amp;Upload!Q284&amp;Upload!R284&amp;Upload!S284&amp;Upload!T284)),ISNUMBER(SEARCH("Anti Tarnish",Upload!P284&amp;Upload!Q284&amp;Upload!R284&amp;Upload!S284&amp;Upload!T284))))),"",0.0012*C294)</f>
        <v/>
      </c>
      <c r="Q294" s="15" t="str">
        <f>IF(OR(E294="",NOT(OR(ISNUMBER(SEARCH("Epóxico MT",Upload!P284&amp;Upload!Q284&amp;Upload!R284&amp;Upload!S284&amp;Upload!T284))))),"",E294*0.000035)</f>
        <v/>
      </c>
      <c r="R294" s="15" t="str">
        <f>IF(OR(F294="",NOT(OR(ISNUMBER(SEARCH("Epóxico BT",Upload!Q284&amp;Upload!R284&amp;Upload!S284&amp;Upload!T284&amp;Upload!U284))))),"",F294*0.000035)</f>
        <v/>
      </c>
      <c r="S294" s="15" t="str">
        <f>IF(OR(G294="",NOT(OR(ISNUMBER(SEARCH("Epóxico Rojo",Upload!R284&amp;Upload!S284&amp;Upload!T284&amp;Upload!U284&amp;Upload!V284))))),"",G294*0.000035)</f>
        <v/>
      </c>
    </row>
    <row r="295" spans="1:19" x14ac:dyDescent="0.2">
      <c r="A295" s="9" t="e">
        <f t="shared" ca="1" si="24"/>
        <v>#NAME?</v>
      </c>
      <c r="B295" s="9">
        <f>Upload!E285</f>
        <v>0</v>
      </c>
      <c r="C295" s="9">
        <f>Upload!AE285</f>
        <v>0</v>
      </c>
      <c r="D295" s="9">
        <f>Upload!AF285</f>
        <v>0</v>
      </c>
      <c r="E295" s="9">
        <f>Upload!AG285</f>
        <v>0</v>
      </c>
      <c r="F295" s="9" t="str">
        <f>Upload!X285</f>
        <v/>
      </c>
      <c r="G295" s="9" t="str">
        <f>Upload!Z285</f>
        <v/>
      </c>
      <c r="H295" s="9" t="str">
        <f>Upload!W285</f>
        <v>(seleccione)</v>
      </c>
      <c r="I295" s="9" t="str">
        <f>Upload!Y285</f>
        <v>(seleccione)</v>
      </c>
      <c r="K295" s="15" t="str">
        <f t="shared" si="25"/>
        <v/>
      </c>
      <c r="L295" s="15" t="str">
        <f t="shared" si="26"/>
        <v/>
      </c>
      <c r="M295" s="15" t="str">
        <f t="shared" si="27"/>
        <v/>
      </c>
      <c r="N295" s="15" t="str">
        <f t="shared" si="28"/>
        <v/>
      </c>
      <c r="O295" s="15" t="str">
        <f t="shared" si="29"/>
        <v/>
      </c>
      <c r="P295" s="15" t="str">
        <f>IF(OR(C295="",NOT(OR(ISNUMBER(SEARCH("Antitarnish",Upload!P285&amp;Upload!Q285&amp;Upload!R285&amp;Upload!S285&amp;Upload!T285)),ISNUMBER(SEARCH("Anti Tarnish",Upload!P285&amp;Upload!Q285&amp;Upload!R285&amp;Upload!S285&amp;Upload!T285))))),"",0.0012*C295)</f>
        <v/>
      </c>
      <c r="Q295" s="15" t="str">
        <f>IF(OR(E295="",NOT(OR(ISNUMBER(SEARCH("Epóxico MT",Upload!P285&amp;Upload!Q285&amp;Upload!R285&amp;Upload!S285&amp;Upload!T285))))),"",E295*0.000035)</f>
        <v/>
      </c>
      <c r="R295" s="15" t="str">
        <f>IF(OR(F295="",NOT(OR(ISNUMBER(SEARCH("Epóxico BT",Upload!Q285&amp;Upload!R285&amp;Upload!S285&amp;Upload!T285&amp;Upload!U285))))),"",F295*0.000035)</f>
        <v/>
      </c>
      <c r="S295" s="15" t="str">
        <f>IF(OR(G295="",NOT(OR(ISNUMBER(SEARCH("Epóxico Rojo",Upload!R285&amp;Upload!S285&amp;Upload!T285&amp;Upload!U285&amp;Upload!V285))))),"",G295*0.000035)</f>
        <v/>
      </c>
    </row>
    <row r="296" spans="1:19" x14ac:dyDescent="0.2">
      <c r="A296" s="9" t="e">
        <f t="shared" ca="1" si="24"/>
        <v>#NAME?</v>
      </c>
      <c r="B296" s="9">
        <f>Upload!E286</f>
        <v>0</v>
      </c>
      <c r="C296" s="9">
        <f>Upload!AE286</f>
        <v>0</v>
      </c>
      <c r="D296" s="9">
        <f>Upload!AF286</f>
        <v>0</v>
      </c>
      <c r="E296" s="9">
        <f>Upload!AG286</f>
        <v>0</v>
      </c>
      <c r="F296" s="9" t="str">
        <f>Upload!X286</f>
        <v/>
      </c>
      <c r="G296" s="9" t="str">
        <f>Upload!Z286</f>
        <v/>
      </c>
      <c r="H296" s="9" t="str">
        <f>Upload!W286</f>
        <v>(seleccione)</v>
      </c>
      <c r="I296" s="9" t="str">
        <f>Upload!Y286</f>
        <v>(seleccione)</v>
      </c>
      <c r="K296" s="15" t="str">
        <f t="shared" si="25"/>
        <v/>
      </c>
      <c r="L296" s="15" t="str">
        <f t="shared" si="26"/>
        <v/>
      </c>
      <c r="M296" s="15" t="str">
        <f t="shared" si="27"/>
        <v/>
      </c>
      <c r="N296" s="15" t="str">
        <f t="shared" si="28"/>
        <v/>
      </c>
      <c r="O296" s="15" t="str">
        <f t="shared" si="29"/>
        <v/>
      </c>
      <c r="P296" s="15" t="str">
        <f>IF(OR(C296="",NOT(OR(ISNUMBER(SEARCH("Antitarnish",Upload!P286&amp;Upload!Q286&amp;Upload!R286&amp;Upload!S286&amp;Upload!T286)),ISNUMBER(SEARCH("Anti Tarnish",Upload!P286&amp;Upload!Q286&amp;Upload!R286&amp;Upload!S286&amp;Upload!T286))))),"",0.0012*C296)</f>
        <v/>
      </c>
      <c r="Q296" s="15" t="str">
        <f>IF(OR(E296="",NOT(OR(ISNUMBER(SEARCH("Epóxico MT",Upload!P286&amp;Upload!Q286&amp;Upload!R286&amp;Upload!S286&amp;Upload!T286))))),"",E296*0.000035)</f>
        <v/>
      </c>
      <c r="R296" s="15" t="str">
        <f>IF(OR(F296="",NOT(OR(ISNUMBER(SEARCH("Epóxico BT",Upload!Q286&amp;Upload!R286&amp;Upload!S286&amp;Upload!T286&amp;Upload!U286))))),"",F296*0.000035)</f>
        <v/>
      </c>
      <c r="S296" s="15" t="str">
        <f>IF(OR(G296="",NOT(OR(ISNUMBER(SEARCH("Epóxico Rojo",Upload!R286&amp;Upload!S286&amp;Upload!T286&amp;Upload!U286&amp;Upload!V286))))),"",G296*0.000035)</f>
        <v/>
      </c>
    </row>
    <row r="297" spans="1:19" x14ac:dyDescent="0.2">
      <c r="A297" s="9" t="e">
        <f t="shared" ca="1" si="24"/>
        <v>#NAME?</v>
      </c>
      <c r="B297" s="9">
        <f>Upload!E287</f>
        <v>0</v>
      </c>
      <c r="C297" s="9">
        <f>Upload!AE287</f>
        <v>0</v>
      </c>
      <c r="D297" s="9">
        <f>Upload!AF287</f>
        <v>0</v>
      </c>
      <c r="E297" s="9">
        <f>Upload!AG287</f>
        <v>0</v>
      </c>
      <c r="F297" s="9" t="str">
        <f>Upload!X287</f>
        <v/>
      </c>
      <c r="G297" s="9" t="str">
        <f>Upload!Z287</f>
        <v/>
      </c>
      <c r="H297" s="9" t="str">
        <f>Upload!W287</f>
        <v>(seleccione)</v>
      </c>
      <c r="I297" s="9" t="str">
        <f>Upload!Y287</f>
        <v>(seleccione)</v>
      </c>
      <c r="K297" s="15" t="str">
        <f t="shared" si="25"/>
        <v/>
      </c>
      <c r="L297" s="15" t="str">
        <f t="shared" si="26"/>
        <v/>
      </c>
      <c r="M297" s="15" t="str">
        <f t="shared" si="27"/>
        <v/>
      </c>
      <c r="N297" s="15" t="str">
        <f t="shared" si="28"/>
        <v/>
      </c>
      <c r="O297" s="15" t="str">
        <f t="shared" si="29"/>
        <v/>
      </c>
      <c r="P297" s="15" t="str">
        <f>IF(OR(C297="",NOT(OR(ISNUMBER(SEARCH("Antitarnish",Upload!P287&amp;Upload!Q287&amp;Upload!R287&amp;Upload!S287&amp;Upload!T287)),ISNUMBER(SEARCH("Anti Tarnish",Upload!P287&amp;Upload!Q287&amp;Upload!R287&amp;Upload!S287&amp;Upload!T287))))),"",0.0012*C297)</f>
        <v/>
      </c>
      <c r="Q297" s="15" t="str">
        <f>IF(OR(E297="",NOT(OR(ISNUMBER(SEARCH("Epóxico MT",Upload!P287&amp;Upload!Q287&amp;Upload!R287&amp;Upload!S287&amp;Upload!T287))))),"",E297*0.000035)</f>
        <v/>
      </c>
      <c r="R297" s="15" t="str">
        <f>IF(OR(F297="",NOT(OR(ISNUMBER(SEARCH("Epóxico BT",Upload!Q287&amp;Upload!R287&amp;Upload!S287&amp;Upload!T287&amp;Upload!U287))))),"",F297*0.000035)</f>
        <v/>
      </c>
      <c r="S297" s="15" t="str">
        <f>IF(OR(G297="",NOT(OR(ISNUMBER(SEARCH("Epóxico Rojo",Upload!R287&amp;Upload!S287&amp;Upload!T287&amp;Upload!U287&amp;Upload!V287))))),"",G297*0.000035)</f>
        <v/>
      </c>
    </row>
    <row r="298" spans="1:19" x14ac:dyDescent="0.2">
      <c r="A298" s="9" t="e">
        <f t="shared" ca="1" si="24"/>
        <v>#NAME?</v>
      </c>
      <c r="B298" s="9">
        <f>Upload!E288</f>
        <v>0</v>
      </c>
      <c r="C298" s="9">
        <f>Upload!AE288</f>
        <v>0</v>
      </c>
      <c r="D298" s="9">
        <f>Upload!AF288</f>
        <v>0</v>
      </c>
      <c r="E298" s="9">
        <f>Upload!AG288</f>
        <v>0</v>
      </c>
      <c r="F298" s="9" t="str">
        <f>Upload!X288</f>
        <v/>
      </c>
      <c r="G298" s="9" t="str">
        <f>Upload!Z288</f>
        <v/>
      </c>
      <c r="H298" s="9" t="str">
        <f>Upload!W288</f>
        <v>(seleccione)</v>
      </c>
      <c r="I298" s="9" t="str">
        <f>Upload!Y288</f>
        <v>(seleccione)</v>
      </c>
      <c r="K298" s="15" t="str">
        <f t="shared" si="25"/>
        <v/>
      </c>
      <c r="L298" s="15" t="str">
        <f t="shared" si="26"/>
        <v/>
      </c>
      <c r="M298" s="15" t="str">
        <f t="shared" si="27"/>
        <v/>
      </c>
      <c r="N298" s="15" t="str">
        <f t="shared" si="28"/>
        <v/>
      </c>
      <c r="O298" s="15" t="str">
        <f t="shared" si="29"/>
        <v/>
      </c>
      <c r="P298" s="15" t="str">
        <f>IF(OR(C298="",NOT(OR(ISNUMBER(SEARCH("Antitarnish",Upload!P288&amp;Upload!Q288&amp;Upload!R288&amp;Upload!S288&amp;Upload!T288)),ISNUMBER(SEARCH("Anti Tarnish",Upload!P288&amp;Upload!Q288&amp;Upload!R288&amp;Upload!S288&amp;Upload!T288))))),"",0.0012*C298)</f>
        <v/>
      </c>
      <c r="Q298" s="15" t="str">
        <f>IF(OR(E298="",NOT(OR(ISNUMBER(SEARCH("Epóxico MT",Upload!P288&amp;Upload!Q288&amp;Upload!R288&amp;Upload!S288&amp;Upload!T288))))),"",E298*0.000035)</f>
        <v/>
      </c>
      <c r="R298" s="15" t="str">
        <f>IF(OR(F298="",NOT(OR(ISNUMBER(SEARCH("Epóxico BT",Upload!Q288&amp;Upload!R288&amp;Upload!S288&amp;Upload!T288&amp;Upload!U288))))),"",F298*0.000035)</f>
        <v/>
      </c>
      <c r="S298" s="15" t="str">
        <f>IF(OR(G298="",NOT(OR(ISNUMBER(SEARCH("Epóxico Rojo",Upload!R288&amp;Upload!S288&amp;Upload!T288&amp;Upload!U288&amp;Upload!V288))))),"",G298*0.000035)</f>
        <v/>
      </c>
    </row>
    <row r="299" spans="1:19" x14ac:dyDescent="0.2">
      <c r="A299" s="9" t="e">
        <f t="shared" ca="1" si="24"/>
        <v>#NAME?</v>
      </c>
      <c r="B299" s="9">
        <f>Upload!E289</f>
        <v>0</v>
      </c>
      <c r="C299" s="9">
        <f>Upload!AE289</f>
        <v>0</v>
      </c>
      <c r="D299" s="9">
        <f>Upload!AF289</f>
        <v>0</v>
      </c>
      <c r="E299" s="9">
        <f>Upload!AG289</f>
        <v>0</v>
      </c>
      <c r="F299" s="9" t="str">
        <f>Upload!X289</f>
        <v/>
      </c>
      <c r="G299" s="9" t="str">
        <f>Upload!Z289</f>
        <v/>
      </c>
      <c r="H299" s="9" t="str">
        <f>Upload!W289</f>
        <v>(seleccione)</v>
      </c>
      <c r="I299" s="9" t="str">
        <f>Upload!Y289</f>
        <v>(seleccione)</v>
      </c>
      <c r="K299" s="15" t="str">
        <f t="shared" si="25"/>
        <v/>
      </c>
      <c r="L299" s="15" t="str">
        <f t="shared" si="26"/>
        <v/>
      </c>
      <c r="M299" s="15" t="str">
        <f t="shared" si="27"/>
        <v/>
      </c>
      <c r="N299" s="15" t="str">
        <f t="shared" si="28"/>
        <v/>
      </c>
      <c r="O299" s="15" t="str">
        <f t="shared" si="29"/>
        <v/>
      </c>
      <c r="P299" s="15" t="str">
        <f>IF(OR(C299="",NOT(OR(ISNUMBER(SEARCH("Antitarnish",Upload!P289&amp;Upload!Q289&amp;Upload!R289&amp;Upload!S289&amp;Upload!T289)),ISNUMBER(SEARCH("Anti Tarnish",Upload!P289&amp;Upload!Q289&amp;Upload!R289&amp;Upload!S289&amp;Upload!T289))))),"",0.0012*C299)</f>
        <v/>
      </c>
      <c r="Q299" s="15" t="str">
        <f>IF(OR(E299="",NOT(OR(ISNUMBER(SEARCH("Epóxico MT",Upload!P289&amp;Upload!Q289&amp;Upload!R289&amp;Upload!S289&amp;Upload!T289))))),"",E299*0.000035)</f>
        <v/>
      </c>
      <c r="R299" s="15" t="str">
        <f>IF(OR(F299="",NOT(OR(ISNUMBER(SEARCH("Epóxico BT",Upload!Q289&amp;Upload!R289&amp;Upload!S289&amp;Upload!T289&amp;Upload!U289))))),"",F299*0.000035)</f>
        <v/>
      </c>
      <c r="S299" s="15" t="str">
        <f>IF(OR(G299="",NOT(OR(ISNUMBER(SEARCH("Epóxico Rojo",Upload!R289&amp;Upload!S289&amp;Upload!T289&amp;Upload!U289&amp;Upload!V289))))),"",G299*0.000035)</f>
        <v/>
      </c>
    </row>
    <row r="300" spans="1:19" x14ac:dyDescent="0.2">
      <c r="A300" s="9" t="e">
        <f t="shared" ca="1" si="24"/>
        <v>#NAME?</v>
      </c>
      <c r="B300" s="9">
        <f>Upload!E290</f>
        <v>0</v>
      </c>
      <c r="C300" s="9">
        <f>Upload!AE290</f>
        <v>0</v>
      </c>
      <c r="D300" s="9">
        <f>Upload!AF290</f>
        <v>0</v>
      </c>
      <c r="E300" s="9">
        <f>Upload!AG290</f>
        <v>0</v>
      </c>
      <c r="F300" s="9" t="str">
        <f>Upload!X290</f>
        <v/>
      </c>
      <c r="G300" s="9" t="str">
        <f>Upload!Z290</f>
        <v/>
      </c>
      <c r="H300" s="9" t="str">
        <f>Upload!W290</f>
        <v>(seleccione)</v>
      </c>
      <c r="I300" s="9" t="str">
        <f>Upload!Y290</f>
        <v>(seleccione)</v>
      </c>
      <c r="K300" s="15" t="str">
        <f t="shared" si="25"/>
        <v/>
      </c>
      <c r="L300" s="15" t="str">
        <f t="shared" si="26"/>
        <v/>
      </c>
      <c r="M300" s="15" t="str">
        <f t="shared" si="27"/>
        <v/>
      </c>
      <c r="N300" s="15" t="str">
        <f t="shared" si="28"/>
        <v/>
      </c>
      <c r="O300" s="15" t="str">
        <f t="shared" si="29"/>
        <v/>
      </c>
      <c r="P300" s="15" t="str">
        <f>IF(OR(C300="",NOT(OR(ISNUMBER(SEARCH("Antitarnish",Upload!P290&amp;Upload!Q290&amp;Upload!R290&amp;Upload!S290&amp;Upload!T290)),ISNUMBER(SEARCH("Anti Tarnish",Upload!P290&amp;Upload!Q290&amp;Upload!R290&amp;Upload!S290&amp;Upload!T290))))),"",0.0012*C300)</f>
        <v/>
      </c>
      <c r="Q300" s="15" t="str">
        <f>IF(OR(E300="",NOT(OR(ISNUMBER(SEARCH("Epóxico MT",Upload!P290&amp;Upload!Q290&amp;Upload!R290&amp;Upload!S290&amp;Upload!T290))))),"",E300*0.000035)</f>
        <v/>
      </c>
      <c r="R300" s="15" t="str">
        <f>IF(OR(F300="",NOT(OR(ISNUMBER(SEARCH("Epóxico BT",Upload!Q290&amp;Upload!R290&amp;Upload!S290&amp;Upload!T290&amp;Upload!U290))))),"",F300*0.000035)</f>
        <v/>
      </c>
      <c r="S300" s="15" t="str">
        <f>IF(OR(G300="",NOT(OR(ISNUMBER(SEARCH("Epóxico Rojo",Upload!R290&amp;Upload!S290&amp;Upload!T290&amp;Upload!U290&amp;Upload!V290))))),"",G300*0.000035)</f>
        <v/>
      </c>
    </row>
    <row r="301" spans="1:19" x14ac:dyDescent="0.2">
      <c r="A301" s="9" t="e">
        <f t="shared" ca="1" si="24"/>
        <v>#NAME?</v>
      </c>
      <c r="B301" s="9">
        <f>Upload!E291</f>
        <v>0</v>
      </c>
      <c r="C301" s="9">
        <f>Upload!AE291</f>
        <v>0</v>
      </c>
      <c r="D301" s="9">
        <f>Upload!AF291</f>
        <v>0</v>
      </c>
      <c r="E301" s="9">
        <f>Upload!AG291</f>
        <v>0</v>
      </c>
      <c r="F301" s="9" t="str">
        <f>Upload!X291</f>
        <v/>
      </c>
      <c r="G301" s="9" t="str">
        <f>Upload!Z291</f>
        <v/>
      </c>
      <c r="H301" s="9" t="str">
        <f>Upload!W291</f>
        <v>(seleccione)</v>
      </c>
      <c r="I301" s="9" t="str">
        <f>Upload!Y291</f>
        <v>(seleccione)</v>
      </c>
      <c r="K301" s="15" t="str">
        <f t="shared" si="25"/>
        <v/>
      </c>
      <c r="L301" s="15" t="str">
        <f t="shared" si="26"/>
        <v/>
      </c>
      <c r="M301" s="15" t="str">
        <f t="shared" si="27"/>
        <v/>
      </c>
      <c r="N301" s="15" t="str">
        <f t="shared" si="28"/>
        <v/>
      </c>
      <c r="O301" s="15" t="str">
        <f t="shared" si="29"/>
        <v/>
      </c>
      <c r="P301" s="15" t="str">
        <f>IF(OR(C301="",NOT(OR(ISNUMBER(SEARCH("Antitarnish",Upload!P291&amp;Upload!Q291&amp;Upload!R291&amp;Upload!S291&amp;Upload!T291)),ISNUMBER(SEARCH("Anti Tarnish",Upload!P291&amp;Upload!Q291&amp;Upload!R291&amp;Upload!S291&amp;Upload!T291))))),"",0.0012*C301)</f>
        <v/>
      </c>
      <c r="Q301" s="15" t="str">
        <f>IF(OR(E301="",NOT(OR(ISNUMBER(SEARCH("Epóxico MT",Upload!P291&amp;Upload!Q291&amp;Upload!R291&amp;Upload!S291&amp;Upload!T291))))),"",E301*0.000035)</f>
        <v/>
      </c>
      <c r="R301" s="15" t="str">
        <f>IF(OR(F301="",NOT(OR(ISNUMBER(SEARCH("Epóxico BT",Upload!Q291&amp;Upload!R291&amp;Upload!S291&amp;Upload!T291&amp;Upload!U291))))),"",F301*0.000035)</f>
        <v/>
      </c>
      <c r="S301" s="15" t="str">
        <f>IF(OR(G301="",NOT(OR(ISNUMBER(SEARCH("Epóxico Rojo",Upload!R291&amp;Upload!S291&amp;Upload!T291&amp;Upload!U291&amp;Upload!V291))))),"",G301*0.000035)</f>
        <v/>
      </c>
    </row>
    <row r="302" spans="1:19" x14ac:dyDescent="0.2">
      <c r="A302" s="9" t="e">
        <f t="shared" ca="1" si="24"/>
        <v>#NAME?</v>
      </c>
      <c r="B302" s="9">
        <f>Upload!E292</f>
        <v>0</v>
      </c>
      <c r="C302" s="9">
        <f>Upload!AE292</f>
        <v>0</v>
      </c>
      <c r="D302" s="9">
        <f>Upload!AF292</f>
        <v>0</v>
      </c>
      <c r="E302" s="9">
        <f>Upload!AG292</f>
        <v>0</v>
      </c>
      <c r="F302" s="9" t="str">
        <f>Upload!X292</f>
        <v/>
      </c>
      <c r="G302" s="9" t="str">
        <f>Upload!Z292</f>
        <v/>
      </c>
      <c r="H302" s="9" t="str">
        <f>Upload!W292</f>
        <v>(seleccione)</v>
      </c>
      <c r="I302" s="9" t="str">
        <f>Upload!Y292</f>
        <v>(seleccione)</v>
      </c>
      <c r="K302" s="15" t="str">
        <f t="shared" si="25"/>
        <v/>
      </c>
      <c r="L302" s="15" t="str">
        <f t="shared" si="26"/>
        <v/>
      </c>
      <c r="M302" s="15" t="str">
        <f t="shared" si="27"/>
        <v/>
      </c>
      <c r="N302" s="15" t="str">
        <f t="shared" si="28"/>
        <v/>
      </c>
      <c r="O302" s="15" t="str">
        <f t="shared" si="29"/>
        <v/>
      </c>
      <c r="P302" s="15" t="str">
        <f>IF(OR(C302="",NOT(OR(ISNUMBER(SEARCH("Antitarnish",Upload!P292&amp;Upload!Q292&amp;Upload!R292&amp;Upload!S292&amp;Upload!T292)),ISNUMBER(SEARCH("Anti Tarnish",Upload!P292&amp;Upload!Q292&amp;Upload!R292&amp;Upload!S292&amp;Upload!T292))))),"",0.0012*C302)</f>
        <v/>
      </c>
      <c r="Q302" s="15" t="str">
        <f>IF(OR(E302="",NOT(OR(ISNUMBER(SEARCH("Epóxico MT",Upload!P292&amp;Upload!Q292&amp;Upload!R292&amp;Upload!S292&amp;Upload!T292))))),"",E302*0.000035)</f>
        <v/>
      </c>
      <c r="R302" s="15" t="str">
        <f>IF(OR(F302="",NOT(OR(ISNUMBER(SEARCH("Epóxico BT",Upload!Q292&amp;Upload!R292&amp;Upload!S292&amp;Upload!T292&amp;Upload!U292))))),"",F302*0.000035)</f>
        <v/>
      </c>
      <c r="S302" s="15" t="str">
        <f>IF(OR(G302="",NOT(OR(ISNUMBER(SEARCH("Epóxico Rojo",Upload!R292&amp;Upload!S292&amp;Upload!T292&amp;Upload!U292&amp;Upload!V292))))),"",G302*0.000035)</f>
        <v/>
      </c>
    </row>
    <row r="303" spans="1:19" x14ac:dyDescent="0.2">
      <c r="A303" s="9" t="e">
        <f t="shared" ca="1" si="24"/>
        <v>#NAME?</v>
      </c>
      <c r="B303" s="9">
        <f>Upload!E293</f>
        <v>0</v>
      </c>
      <c r="C303" s="9">
        <f>Upload!AE293</f>
        <v>0</v>
      </c>
      <c r="D303" s="9">
        <f>Upload!AF293</f>
        <v>0</v>
      </c>
      <c r="E303" s="9">
        <f>Upload!AG293</f>
        <v>0</v>
      </c>
      <c r="F303" s="9" t="str">
        <f>Upload!X293</f>
        <v/>
      </c>
      <c r="G303" s="9" t="str">
        <f>Upload!Z293</f>
        <v/>
      </c>
      <c r="H303" s="9" t="str">
        <f>Upload!W293</f>
        <v>(seleccione)</v>
      </c>
      <c r="I303" s="9" t="str">
        <f>Upload!Y293</f>
        <v>(seleccione)</v>
      </c>
      <c r="K303" s="15" t="str">
        <f t="shared" si="25"/>
        <v/>
      </c>
      <c r="L303" s="15" t="str">
        <f t="shared" si="26"/>
        <v/>
      </c>
      <c r="M303" s="15" t="str">
        <f t="shared" si="27"/>
        <v/>
      </c>
      <c r="N303" s="15" t="str">
        <f t="shared" si="28"/>
        <v/>
      </c>
      <c r="O303" s="15" t="str">
        <f t="shared" si="29"/>
        <v/>
      </c>
      <c r="P303" s="15" t="str">
        <f>IF(OR(C303="",NOT(OR(ISNUMBER(SEARCH("Antitarnish",Upload!P293&amp;Upload!Q293&amp;Upload!R293&amp;Upload!S293&amp;Upload!T293)),ISNUMBER(SEARCH("Anti Tarnish",Upload!P293&amp;Upload!Q293&amp;Upload!R293&amp;Upload!S293&amp;Upload!T293))))),"",0.0012*C303)</f>
        <v/>
      </c>
      <c r="Q303" s="15" t="str">
        <f>IF(OR(E303="",NOT(OR(ISNUMBER(SEARCH("Epóxico MT",Upload!P293&amp;Upload!Q293&amp;Upload!R293&amp;Upload!S293&amp;Upload!T293))))),"",E303*0.000035)</f>
        <v/>
      </c>
      <c r="R303" s="15" t="str">
        <f>IF(OR(F303="",NOT(OR(ISNUMBER(SEARCH("Epóxico BT",Upload!Q293&amp;Upload!R293&amp;Upload!S293&amp;Upload!T293&amp;Upload!U293))))),"",F303*0.000035)</f>
        <v/>
      </c>
      <c r="S303" s="15" t="str">
        <f>IF(OR(G303="",NOT(OR(ISNUMBER(SEARCH("Epóxico Rojo",Upload!R293&amp;Upload!S293&amp;Upload!T293&amp;Upload!U293&amp;Upload!V293))))),"",G303*0.000035)</f>
        <v/>
      </c>
    </row>
    <row r="304" spans="1:19" x14ac:dyDescent="0.2">
      <c r="A304" s="9" t="e">
        <f t="shared" ca="1" si="24"/>
        <v>#NAME?</v>
      </c>
      <c r="B304" s="9">
        <f>Upload!E294</f>
        <v>0</v>
      </c>
      <c r="C304" s="9">
        <f>Upload!AE294</f>
        <v>0</v>
      </c>
      <c r="D304" s="9">
        <f>Upload!AF294</f>
        <v>0</v>
      </c>
      <c r="E304" s="9">
        <f>Upload!AG294</f>
        <v>0</v>
      </c>
      <c r="F304" s="9" t="str">
        <f>Upload!X294</f>
        <v/>
      </c>
      <c r="G304" s="9" t="str">
        <f>Upload!Z294</f>
        <v/>
      </c>
      <c r="H304" s="9" t="str">
        <f>Upload!W294</f>
        <v>(seleccione)</v>
      </c>
      <c r="I304" s="9" t="str">
        <f>Upload!Y294</f>
        <v>(seleccione)</v>
      </c>
      <c r="K304" s="15" t="str">
        <f t="shared" ref="K304:K367" si="30">IFERROR(IF(OR(D304="",IF(ISNUMBER(SEARCH("Plata",H304)),F304,IF(ISNUMBER(SEARCH("Plata",I304)),G304,""))=""),"",$D$6*D304*(IF(ISNUMBER(SEARCH("Plata",H304)),F304,IF(ISNUMBER(SEARCH("Plata",I304)),G304,"")))/10000000),"")</f>
        <v/>
      </c>
      <c r="L304" s="15" t="str">
        <f t="shared" ref="L304:L367" si="31">IFERROR(IF(OR(D304="",IF(OR(ISNUMBER(SEARCH("Estaño",H304)),ISNUMBER(SEARCH("Estañ",H304)),ISNUMBER(SEARCH("Tin",H304))),F304,IF(OR(ISNUMBER(SEARCH("Estaño",I304)),ISNUMBER(SEARCH("Estañ",I304)),ISNUMBER(SEARCH("Tin",I304))),G304,""))=""),"",$D$7*D304*(IF(OR(ISNUMBER(SEARCH("Estaño",H304)),ISNUMBER(SEARCH("Estañ",H304)),ISNUMBER(SEARCH("Tin",H304))),F304,IF(OR(ISNUMBER(SEARCH("Estaño",I304)),ISNUMBER(SEARCH("Estañ",I304)),ISNUMBER(SEARCH("Tin",I304))),G304,"")))/10000000),"")</f>
        <v/>
      </c>
      <c r="M304" s="15" t="str">
        <f t="shared" ref="M304:M367" si="32">IFERROR(IF(OR(D304="",IF(OR(ISNUMBER(SEARCH("Níquel",H304)),ISNUMBER(SEARCH("Niquel",H304))),F304,IF(OR(ISNUMBER(SEARCH("Níquel",I304)),ISNUMBER(SEARCH("Niquel",I304))),G304,""))=""),"",$D$8*D304*(IF(OR(ISNUMBER(SEARCH("Níquel",H304)),ISNUMBER(SEARCH("Niquel",H304))),F304,IF(OR(ISNUMBER(SEARCH("Níquel",I304)),ISNUMBER(SEARCH("Niquel",I304))),G304,"")))/10000000),"")</f>
        <v/>
      </c>
      <c r="N304" s="15" t="str">
        <f t="shared" ref="N304:N367" si="33">IFERROR(IF(OR(D304="",IF(ISNUMBER(SEARCH("Zinc",H304)),F304,IF(ISNUMBER(SEARCH("Zinc",I304)),G304,""))=""),"",$D$9*D304*(IF(ISNUMBER(SEARCH("Zinc",H304)),F304,IF(ISNUMBER(SEARCH("Zinc",I304)),G304,"")))/10000000),"")</f>
        <v/>
      </c>
      <c r="O304" s="15" t="str">
        <f t="shared" ref="O304:O367" si="34">IFERROR(IF(OR(D304="",IF(OR(ISNUMBER(SEARCH("Cobre",H304)),ISNUMBER(SEARCH("Bondal",H304))),F304,IF(OR(ISNUMBER(SEARCH("Cobre",I304)),ISNUMBER(SEARCH("Bondal",I304))),G304,""))=""),"",$D$10*D304*(IF(OR(ISNUMBER(SEARCH("Cobre",H304)),ISNUMBER(SEARCH("Bondal",H304))),F304,IF(OR(ISNUMBER(SEARCH("Cobre",I304)),ISNUMBER(SEARCH("Bondal",I304))),G304,"")))/10000000),"")</f>
        <v/>
      </c>
      <c r="P304" s="15" t="str">
        <f>IF(OR(C304="",NOT(OR(ISNUMBER(SEARCH("Antitarnish",Upload!P294&amp;Upload!Q294&amp;Upload!R294&amp;Upload!S294&amp;Upload!T294)),ISNUMBER(SEARCH("Anti Tarnish",Upload!P294&amp;Upload!Q294&amp;Upload!R294&amp;Upload!S294&amp;Upload!T294))))),"",0.0012*C304)</f>
        <v/>
      </c>
      <c r="Q304" s="15" t="str">
        <f>IF(OR(E304="",NOT(OR(ISNUMBER(SEARCH("Epóxico MT",Upload!P294&amp;Upload!Q294&amp;Upload!R294&amp;Upload!S294&amp;Upload!T294))))),"",E304*0.000035)</f>
        <v/>
      </c>
      <c r="R304" s="15" t="str">
        <f>IF(OR(F304="",NOT(OR(ISNUMBER(SEARCH("Epóxico BT",Upload!Q294&amp;Upload!R294&amp;Upload!S294&amp;Upload!T294&amp;Upload!U294))))),"",F304*0.000035)</f>
        <v/>
      </c>
      <c r="S304" s="15" t="str">
        <f>IF(OR(G304="",NOT(OR(ISNUMBER(SEARCH("Epóxico Rojo",Upload!R294&amp;Upload!S294&amp;Upload!T294&amp;Upload!U294&amp;Upload!V294))))),"",G304*0.000035)</f>
        <v/>
      </c>
    </row>
    <row r="305" spans="1:19" x14ac:dyDescent="0.2">
      <c r="A305" s="9" t="e">
        <f t="shared" ca="1" si="24"/>
        <v>#NAME?</v>
      </c>
      <c r="B305" s="9">
        <f>Upload!E295</f>
        <v>0</v>
      </c>
      <c r="C305" s="9">
        <f>Upload!AE295</f>
        <v>0</v>
      </c>
      <c r="D305" s="9">
        <f>Upload!AF295</f>
        <v>0</v>
      </c>
      <c r="E305" s="9">
        <f>Upload!AG295</f>
        <v>0</v>
      </c>
      <c r="F305" s="9" t="str">
        <f>Upload!X295</f>
        <v/>
      </c>
      <c r="G305" s="9" t="str">
        <f>Upload!Z295</f>
        <v/>
      </c>
      <c r="H305" s="9" t="str">
        <f>Upload!W295</f>
        <v>(seleccione)</v>
      </c>
      <c r="I305" s="9" t="str">
        <f>Upload!Y295</f>
        <v>(seleccione)</v>
      </c>
      <c r="K305" s="15" t="str">
        <f t="shared" si="30"/>
        <v/>
      </c>
      <c r="L305" s="15" t="str">
        <f t="shared" si="31"/>
        <v/>
      </c>
      <c r="M305" s="15" t="str">
        <f t="shared" si="32"/>
        <v/>
      </c>
      <c r="N305" s="15" t="str">
        <f t="shared" si="33"/>
        <v/>
      </c>
      <c r="O305" s="15" t="str">
        <f t="shared" si="34"/>
        <v/>
      </c>
      <c r="P305" s="15" t="str">
        <f>IF(OR(C305="",NOT(OR(ISNUMBER(SEARCH("Antitarnish",Upload!P295&amp;Upload!Q295&amp;Upload!R295&amp;Upload!S295&amp;Upload!T295)),ISNUMBER(SEARCH("Anti Tarnish",Upload!P295&amp;Upload!Q295&amp;Upload!R295&amp;Upload!S295&amp;Upload!T295))))),"",0.0012*C305)</f>
        <v/>
      </c>
      <c r="Q305" s="15" t="str">
        <f>IF(OR(E305="",NOT(OR(ISNUMBER(SEARCH("Epóxico MT",Upload!P295&amp;Upload!Q295&amp;Upload!R295&amp;Upload!S295&amp;Upload!T295))))),"",E305*0.000035)</f>
        <v/>
      </c>
      <c r="R305" s="15" t="str">
        <f>IF(OR(F305="",NOT(OR(ISNUMBER(SEARCH("Epóxico BT",Upload!Q295&amp;Upload!R295&amp;Upload!S295&amp;Upload!T295&amp;Upload!U295))))),"",F305*0.000035)</f>
        <v/>
      </c>
      <c r="S305" s="15" t="str">
        <f>IF(OR(G305="",NOT(OR(ISNUMBER(SEARCH("Epóxico Rojo",Upload!R295&amp;Upload!S295&amp;Upload!T295&amp;Upload!U295&amp;Upload!V295))))),"",G305*0.000035)</f>
        <v/>
      </c>
    </row>
    <row r="306" spans="1:19" x14ac:dyDescent="0.2">
      <c r="A306" s="9" t="e">
        <f t="shared" ca="1" si="24"/>
        <v>#NAME?</v>
      </c>
      <c r="B306" s="9">
        <f>Upload!E296</f>
        <v>0</v>
      </c>
      <c r="C306" s="9">
        <f>Upload!AE296</f>
        <v>0</v>
      </c>
      <c r="D306" s="9">
        <f>Upload!AF296</f>
        <v>0</v>
      </c>
      <c r="E306" s="9">
        <f>Upload!AG296</f>
        <v>0</v>
      </c>
      <c r="F306" s="9" t="str">
        <f>Upload!X296</f>
        <v/>
      </c>
      <c r="G306" s="9" t="str">
        <f>Upload!Z296</f>
        <v/>
      </c>
      <c r="H306" s="9" t="str">
        <f>Upload!W296</f>
        <v>(seleccione)</v>
      </c>
      <c r="I306" s="9" t="str">
        <f>Upload!Y296</f>
        <v>(seleccione)</v>
      </c>
      <c r="K306" s="15" t="str">
        <f t="shared" si="30"/>
        <v/>
      </c>
      <c r="L306" s="15" t="str">
        <f t="shared" si="31"/>
        <v/>
      </c>
      <c r="M306" s="15" t="str">
        <f t="shared" si="32"/>
        <v/>
      </c>
      <c r="N306" s="15" t="str">
        <f t="shared" si="33"/>
        <v/>
      </c>
      <c r="O306" s="15" t="str">
        <f t="shared" si="34"/>
        <v/>
      </c>
      <c r="P306" s="15" t="str">
        <f>IF(OR(C306="",NOT(OR(ISNUMBER(SEARCH("Antitarnish",Upload!P296&amp;Upload!Q296&amp;Upload!R296&amp;Upload!S296&amp;Upload!T296)),ISNUMBER(SEARCH("Anti Tarnish",Upload!P296&amp;Upload!Q296&amp;Upload!R296&amp;Upload!S296&amp;Upload!T296))))),"",0.0012*C306)</f>
        <v/>
      </c>
      <c r="Q306" s="15" t="str">
        <f>IF(OR(E306="",NOT(OR(ISNUMBER(SEARCH("Epóxico MT",Upload!P296&amp;Upload!Q296&amp;Upload!R296&amp;Upload!S296&amp;Upload!T296))))),"",E306*0.000035)</f>
        <v/>
      </c>
      <c r="R306" s="15" t="str">
        <f>IF(OR(F306="",NOT(OR(ISNUMBER(SEARCH("Epóxico BT",Upload!Q296&amp;Upload!R296&amp;Upload!S296&amp;Upload!T296&amp;Upload!U296))))),"",F306*0.000035)</f>
        <v/>
      </c>
      <c r="S306" s="15" t="str">
        <f>IF(OR(G306="",NOT(OR(ISNUMBER(SEARCH("Epóxico Rojo",Upload!R296&amp;Upload!S296&amp;Upload!T296&amp;Upload!U296&amp;Upload!V296))))),"",G306*0.000035)</f>
        <v/>
      </c>
    </row>
    <row r="307" spans="1:19" x14ac:dyDescent="0.2">
      <c r="A307" s="9" t="e">
        <f t="shared" ca="1" si="24"/>
        <v>#NAME?</v>
      </c>
      <c r="B307" s="9">
        <f>Upload!E297</f>
        <v>0</v>
      </c>
      <c r="C307" s="9">
        <f>Upload!AE297</f>
        <v>0</v>
      </c>
      <c r="D307" s="9">
        <f>Upload!AF297</f>
        <v>0</v>
      </c>
      <c r="E307" s="9">
        <f>Upload!AG297</f>
        <v>0</v>
      </c>
      <c r="F307" s="9" t="str">
        <f>Upload!X297</f>
        <v/>
      </c>
      <c r="G307" s="9" t="str">
        <f>Upload!Z297</f>
        <v/>
      </c>
      <c r="H307" s="9" t="str">
        <f>Upload!W297</f>
        <v>(seleccione)</v>
      </c>
      <c r="I307" s="9" t="str">
        <f>Upload!Y297</f>
        <v>(seleccione)</v>
      </c>
      <c r="K307" s="15" t="str">
        <f t="shared" si="30"/>
        <v/>
      </c>
      <c r="L307" s="15" t="str">
        <f t="shared" si="31"/>
        <v/>
      </c>
      <c r="M307" s="15" t="str">
        <f t="shared" si="32"/>
        <v/>
      </c>
      <c r="N307" s="15" t="str">
        <f t="shared" si="33"/>
        <v/>
      </c>
      <c r="O307" s="15" t="str">
        <f t="shared" si="34"/>
        <v/>
      </c>
      <c r="P307" s="15" t="str">
        <f>IF(OR(C307="",NOT(OR(ISNUMBER(SEARCH("Antitarnish",Upload!P297&amp;Upload!Q297&amp;Upload!R297&amp;Upload!S297&amp;Upload!T297)),ISNUMBER(SEARCH("Anti Tarnish",Upload!P297&amp;Upload!Q297&amp;Upload!R297&amp;Upload!S297&amp;Upload!T297))))),"",0.0012*C307)</f>
        <v/>
      </c>
      <c r="Q307" s="15" t="str">
        <f>IF(OR(E307="",NOT(OR(ISNUMBER(SEARCH("Epóxico MT",Upload!P297&amp;Upload!Q297&amp;Upload!R297&amp;Upload!S297&amp;Upload!T297))))),"",E307*0.000035)</f>
        <v/>
      </c>
      <c r="R307" s="15" t="str">
        <f>IF(OR(F307="",NOT(OR(ISNUMBER(SEARCH("Epóxico BT",Upload!Q297&amp;Upload!R297&amp;Upload!S297&amp;Upload!T297&amp;Upload!U297))))),"",F307*0.000035)</f>
        <v/>
      </c>
      <c r="S307" s="15" t="str">
        <f>IF(OR(G307="",NOT(OR(ISNUMBER(SEARCH("Epóxico Rojo",Upload!R297&amp;Upload!S297&amp;Upload!T297&amp;Upload!U297&amp;Upload!V297))))),"",G307*0.000035)</f>
        <v/>
      </c>
    </row>
    <row r="308" spans="1:19" x14ac:dyDescent="0.2">
      <c r="A308" s="9" t="e">
        <f t="shared" ca="1" si="24"/>
        <v>#NAME?</v>
      </c>
      <c r="B308" s="9">
        <f>Upload!E298</f>
        <v>0</v>
      </c>
      <c r="C308" s="9">
        <f>Upload!AE298</f>
        <v>0</v>
      </c>
      <c r="D308" s="9">
        <f>Upload!AF298</f>
        <v>0</v>
      </c>
      <c r="E308" s="9">
        <f>Upload!AG298</f>
        <v>0</v>
      </c>
      <c r="F308" s="9" t="str">
        <f>Upload!X298</f>
        <v/>
      </c>
      <c r="G308" s="9" t="str">
        <f>Upload!Z298</f>
        <v/>
      </c>
      <c r="H308" s="9" t="str">
        <f>Upload!W298</f>
        <v>(seleccione)</v>
      </c>
      <c r="I308" s="9" t="str">
        <f>Upload!Y298</f>
        <v>(seleccione)</v>
      </c>
      <c r="K308" s="15" t="str">
        <f t="shared" si="30"/>
        <v/>
      </c>
      <c r="L308" s="15" t="str">
        <f t="shared" si="31"/>
        <v/>
      </c>
      <c r="M308" s="15" t="str">
        <f t="shared" si="32"/>
        <v/>
      </c>
      <c r="N308" s="15" t="str">
        <f t="shared" si="33"/>
        <v/>
      </c>
      <c r="O308" s="15" t="str">
        <f t="shared" si="34"/>
        <v/>
      </c>
      <c r="P308" s="15" t="str">
        <f>IF(OR(C308="",NOT(OR(ISNUMBER(SEARCH("Antitarnish",Upload!P298&amp;Upload!Q298&amp;Upload!R298&amp;Upload!S298&amp;Upload!T298)),ISNUMBER(SEARCH("Anti Tarnish",Upload!P298&amp;Upload!Q298&amp;Upload!R298&amp;Upload!S298&amp;Upload!T298))))),"",0.0012*C308)</f>
        <v/>
      </c>
      <c r="Q308" s="15" t="str">
        <f>IF(OR(E308="",NOT(OR(ISNUMBER(SEARCH("Epóxico MT",Upload!P298&amp;Upload!Q298&amp;Upload!R298&amp;Upload!S298&amp;Upload!T298))))),"",E308*0.000035)</f>
        <v/>
      </c>
      <c r="R308" s="15" t="str">
        <f>IF(OR(F308="",NOT(OR(ISNUMBER(SEARCH("Epóxico BT",Upload!Q298&amp;Upload!R298&amp;Upload!S298&amp;Upload!T298&amp;Upload!U298))))),"",F308*0.000035)</f>
        <v/>
      </c>
      <c r="S308" s="15" t="str">
        <f>IF(OR(G308="",NOT(OR(ISNUMBER(SEARCH("Epóxico Rojo",Upload!R298&amp;Upload!S298&amp;Upload!T298&amp;Upload!U298&amp;Upload!V298))))),"",G308*0.000035)</f>
        <v/>
      </c>
    </row>
    <row r="309" spans="1:19" x14ac:dyDescent="0.2">
      <c r="A309" s="9" t="e">
        <f t="shared" ca="1" si="24"/>
        <v>#NAME?</v>
      </c>
      <c r="B309" s="9">
        <f>Upload!E299</f>
        <v>0</v>
      </c>
      <c r="C309" s="9">
        <f>Upload!AE299</f>
        <v>0</v>
      </c>
      <c r="D309" s="9">
        <f>Upload!AF299</f>
        <v>0</v>
      </c>
      <c r="E309" s="9">
        <f>Upload!AG299</f>
        <v>0</v>
      </c>
      <c r="F309" s="9" t="str">
        <f>Upload!X299</f>
        <v/>
      </c>
      <c r="G309" s="9" t="str">
        <f>Upload!Z299</f>
        <v/>
      </c>
      <c r="H309" s="9" t="str">
        <f>Upload!W299</f>
        <v>(seleccione)</v>
      </c>
      <c r="I309" s="9" t="str">
        <f>Upload!Y299</f>
        <v>(seleccione)</v>
      </c>
      <c r="K309" s="15" t="str">
        <f t="shared" si="30"/>
        <v/>
      </c>
      <c r="L309" s="15" t="str">
        <f t="shared" si="31"/>
        <v/>
      </c>
      <c r="M309" s="15" t="str">
        <f t="shared" si="32"/>
        <v/>
      </c>
      <c r="N309" s="15" t="str">
        <f t="shared" si="33"/>
        <v/>
      </c>
      <c r="O309" s="15" t="str">
        <f t="shared" si="34"/>
        <v/>
      </c>
      <c r="P309" s="15" t="str">
        <f>IF(OR(C309="",NOT(OR(ISNUMBER(SEARCH("Antitarnish",Upload!P299&amp;Upload!Q299&amp;Upload!R299&amp;Upload!S299&amp;Upload!T299)),ISNUMBER(SEARCH("Anti Tarnish",Upload!P299&amp;Upload!Q299&amp;Upload!R299&amp;Upload!S299&amp;Upload!T299))))),"",0.0012*C309)</f>
        <v/>
      </c>
      <c r="Q309" s="15" t="str">
        <f>IF(OR(E309="",NOT(OR(ISNUMBER(SEARCH("Epóxico MT",Upload!P299&amp;Upload!Q299&amp;Upload!R299&amp;Upload!S299&amp;Upload!T299))))),"",E309*0.000035)</f>
        <v/>
      </c>
      <c r="R309" s="15" t="str">
        <f>IF(OR(F309="",NOT(OR(ISNUMBER(SEARCH("Epóxico BT",Upload!Q299&amp;Upload!R299&amp;Upload!S299&amp;Upload!T299&amp;Upload!U299))))),"",F309*0.000035)</f>
        <v/>
      </c>
      <c r="S309" s="15" t="str">
        <f>IF(OR(G309="",NOT(OR(ISNUMBER(SEARCH("Epóxico Rojo",Upload!R299&amp;Upload!S299&amp;Upload!T299&amp;Upload!U299&amp;Upload!V299))))),"",G309*0.000035)</f>
        <v/>
      </c>
    </row>
    <row r="310" spans="1:19" x14ac:dyDescent="0.2">
      <c r="A310" s="9" t="e">
        <f t="shared" ca="1" si="24"/>
        <v>#NAME?</v>
      </c>
      <c r="B310" s="9">
        <f>Upload!E300</f>
        <v>0</v>
      </c>
      <c r="C310" s="9">
        <f>Upload!AE300</f>
        <v>0</v>
      </c>
      <c r="D310" s="9">
        <f>Upload!AF300</f>
        <v>0</v>
      </c>
      <c r="E310" s="9">
        <f>Upload!AG300</f>
        <v>0</v>
      </c>
      <c r="F310" s="9" t="str">
        <f>Upload!X300</f>
        <v/>
      </c>
      <c r="G310" s="9" t="str">
        <f>Upload!Z300</f>
        <v/>
      </c>
      <c r="H310" s="9" t="str">
        <f>Upload!W300</f>
        <v>(seleccione)</v>
      </c>
      <c r="I310" s="9" t="str">
        <f>Upload!Y300</f>
        <v>(seleccione)</v>
      </c>
      <c r="K310" s="15" t="str">
        <f t="shared" si="30"/>
        <v/>
      </c>
      <c r="L310" s="15" t="str">
        <f t="shared" si="31"/>
        <v/>
      </c>
      <c r="M310" s="15" t="str">
        <f t="shared" si="32"/>
        <v/>
      </c>
      <c r="N310" s="15" t="str">
        <f t="shared" si="33"/>
        <v/>
      </c>
      <c r="O310" s="15" t="str">
        <f t="shared" si="34"/>
        <v/>
      </c>
      <c r="P310" s="15" t="str">
        <f>IF(OR(C310="",NOT(OR(ISNUMBER(SEARCH("Antitarnish",Upload!P300&amp;Upload!Q300&amp;Upload!R300&amp;Upload!S300&amp;Upload!T300)),ISNUMBER(SEARCH("Anti Tarnish",Upload!P300&amp;Upload!Q300&amp;Upload!R300&amp;Upload!S300&amp;Upload!T300))))),"",0.0012*C310)</f>
        <v/>
      </c>
      <c r="Q310" s="15" t="str">
        <f>IF(OR(E310="",NOT(OR(ISNUMBER(SEARCH("Epóxico MT",Upload!P300&amp;Upload!Q300&amp;Upload!R300&amp;Upload!S300&amp;Upload!T300))))),"",E310*0.000035)</f>
        <v/>
      </c>
      <c r="R310" s="15" t="str">
        <f>IF(OR(F310="",NOT(OR(ISNUMBER(SEARCH("Epóxico BT",Upload!Q300&amp;Upload!R300&amp;Upload!S300&amp;Upload!T300&amp;Upload!U300))))),"",F310*0.000035)</f>
        <v/>
      </c>
      <c r="S310" s="15" t="str">
        <f>IF(OR(G310="",NOT(OR(ISNUMBER(SEARCH("Epóxico Rojo",Upload!R300&amp;Upload!S300&amp;Upload!T300&amp;Upload!U300&amp;Upload!V300))))),"",G310*0.000035)</f>
        <v/>
      </c>
    </row>
    <row r="311" spans="1:19" x14ac:dyDescent="0.2">
      <c r="A311" s="9" t="e">
        <f t="shared" ca="1" si="24"/>
        <v>#NAME?</v>
      </c>
      <c r="B311" s="9">
        <f>Upload!E301</f>
        <v>0</v>
      </c>
      <c r="C311" s="9">
        <f>Upload!AE301</f>
        <v>0</v>
      </c>
      <c r="D311" s="9">
        <f>Upload!AF301</f>
        <v>0</v>
      </c>
      <c r="E311" s="9">
        <f>Upload!AG301</f>
        <v>0</v>
      </c>
      <c r="F311" s="9" t="str">
        <f>Upload!X301</f>
        <v/>
      </c>
      <c r="G311" s="9" t="str">
        <f>Upload!Z301</f>
        <v/>
      </c>
      <c r="H311" s="9" t="str">
        <f>Upload!W301</f>
        <v>(seleccione)</v>
      </c>
      <c r="I311" s="9" t="str">
        <f>Upload!Y301</f>
        <v>(seleccione)</v>
      </c>
      <c r="K311" s="15" t="str">
        <f t="shared" si="30"/>
        <v/>
      </c>
      <c r="L311" s="15" t="str">
        <f t="shared" si="31"/>
        <v/>
      </c>
      <c r="M311" s="15" t="str">
        <f t="shared" si="32"/>
        <v/>
      </c>
      <c r="N311" s="15" t="str">
        <f t="shared" si="33"/>
        <v/>
      </c>
      <c r="O311" s="15" t="str">
        <f t="shared" si="34"/>
        <v/>
      </c>
      <c r="P311" s="15" t="str">
        <f>IF(OR(C311="",NOT(OR(ISNUMBER(SEARCH("Antitarnish",Upload!P301&amp;Upload!Q301&amp;Upload!R301&amp;Upload!S301&amp;Upload!T301)),ISNUMBER(SEARCH("Anti Tarnish",Upload!P301&amp;Upload!Q301&amp;Upload!R301&amp;Upload!S301&amp;Upload!T301))))),"",0.0012*C311)</f>
        <v/>
      </c>
      <c r="Q311" s="15" t="str">
        <f>IF(OR(E311="",NOT(OR(ISNUMBER(SEARCH("Epóxico MT",Upload!P301&amp;Upload!Q301&amp;Upload!R301&amp;Upload!S301&amp;Upload!T301))))),"",E311*0.000035)</f>
        <v/>
      </c>
      <c r="R311" s="15" t="str">
        <f>IF(OR(F311="",NOT(OR(ISNUMBER(SEARCH("Epóxico BT",Upload!Q301&amp;Upload!R301&amp;Upload!S301&amp;Upload!T301&amp;Upload!U301))))),"",F311*0.000035)</f>
        <v/>
      </c>
      <c r="S311" s="15" t="str">
        <f>IF(OR(G311="",NOT(OR(ISNUMBER(SEARCH("Epóxico Rojo",Upload!R301&amp;Upload!S301&amp;Upload!T301&amp;Upload!U301&amp;Upload!V301))))),"",G311*0.000035)</f>
        <v/>
      </c>
    </row>
    <row r="312" spans="1:19" x14ac:dyDescent="0.2">
      <c r="A312" s="9" t="e">
        <f t="shared" ca="1" si="24"/>
        <v>#NAME?</v>
      </c>
      <c r="B312" s="9">
        <f>Upload!E302</f>
        <v>0</v>
      </c>
      <c r="C312" s="9">
        <f>Upload!AE302</f>
        <v>0</v>
      </c>
      <c r="D312" s="9">
        <f>Upload!AF302</f>
        <v>0</v>
      </c>
      <c r="E312" s="9">
        <f>Upload!AG302</f>
        <v>0</v>
      </c>
      <c r="F312" s="9" t="str">
        <f>Upload!X302</f>
        <v/>
      </c>
      <c r="G312" s="9" t="str">
        <f>Upload!Z302</f>
        <v/>
      </c>
      <c r="H312" s="9" t="str">
        <f>Upload!W302</f>
        <v>(seleccione)</v>
      </c>
      <c r="I312" s="9" t="str">
        <f>Upload!Y302</f>
        <v>(seleccione)</v>
      </c>
      <c r="K312" s="15" t="str">
        <f t="shared" si="30"/>
        <v/>
      </c>
      <c r="L312" s="15" t="str">
        <f t="shared" si="31"/>
        <v/>
      </c>
      <c r="M312" s="15" t="str">
        <f t="shared" si="32"/>
        <v/>
      </c>
      <c r="N312" s="15" t="str">
        <f t="shared" si="33"/>
        <v/>
      </c>
      <c r="O312" s="15" t="str">
        <f t="shared" si="34"/>
        <v/>
      </c>
      <c r="P312" s="15" t="str">
        <f>IF(OR(C312="",NOT(OR(ISNUMBER(SEARCH("Antitarnish",Upload!P302&amp;Upload!Q302&amp;Upload!R302&amp;Upload!S302&amp;Upload!T302)),ISNUMBER(SEARCH("Anti Tarnish",Upload!P302&amp;Upload!Q302&amp;Upload!R302&amp;Upload!S302&amp;Upload!T302))))),"",0.0012*C312)</f>
        <v/>
      </c>
      <c r="Q312" s="15" t="str">
        <f>IF(OR(E312="",NOT(OR(ISNUMBER(SEARCH("Epóxico MT",Upload!P302&amp;Upload!Q302&amp;Upload!R302&amp;Upload!S302&amp;Upload!T302))))),"",E312*0.000035)</f>
        <v/>
      </c>
      <c r="R312" s="15" t="str">
        <f>IF(OR(F312="",NOT(OR(ISNUMBER(SEARCH("Epóxico BT",Upload!Q302&amp;Upload!R302&amp;Upload!S302&amp;Upload!T302&amp;Upload!U302))))),"",F312*0.000035)</f>
        <v/>
      </c>
      <c r="S312" s="15" t="str">
        <f>IF(OR(G312="",NOT(OR(ISNUMBER(SEARCH("Epóxico Rojo",Upload!R302&amp;Upload!S302&amp;Upload!T302&amp;Upload!U302&amp;Upload!V302))))),"",G312*0.000035)</f>
        <v/>
      </c>
    </row>
    <row r="313" spans="1:19" x14ac:dyDescent="0.2">
      <c r="A313" s="9" t="e">
        <f t="shared" ca="1" si="24"/>
        <v>#NAME?</v>
      </c>
      <c r="B313" s="9">
        <f>Upload!E303</f>
        <v>0</v>
      </c>
      <c r="C313" s="9">
        <f>Upload!AE303</f>
        <v>0</v>
      </c>
      <c r="D313" s="9">
        <f>Upload!AF303</f>
        <v>0</v>
      </c>
      <c r="E313" s="9">
        <f>Upload!AG303</f>
        <v>0</v>
      </c>
      <c r="F313" s="9" t="str">
        <f>Upload!X303</f>
        <v/>
      </c>
      <c r="G313" s="9" t="str">
        <f>Upload!Z303</f>
        <v/>
      </c>
      <c r="H313" s="9" t="str">
        <f>Upload!W303</f>
        <v>(seleccione)</v>
      </c>
      <c r="I313" s="9" t="str">
        <f>Upload!Y303</f>
        <v>(seleccione)</v>
      </c>
      <c r="K313" s="15" t="str">
        <f t="shared" si="30"/>
        <v/>
      </c>
      <c r="L313" s="15" t="str">
        <f t="shared" si="31"/>
        <v/>
      </c>
      <c r="M313" s="15" t="str">
        <f t="shared" si="32"/>
        <v/>
      </c>
      <c r="N313" s="15" t="str">
        <f t="shared" si="33"/>
        <v/>
      </c>
      <c r="O313" s="15" t="str">
        <f t="shared" si="34"/>
        <v/>
      </c>
      <c r="P313" s="15" t="str">
        <f>IF(OR(C313="",NOT(OR(ISNUMBER(SEARCH("Antitarnish",Upload!P303&amp;Upload!Q303&amp;Upload!R303&amp;Upload!S303&amp;Upload!T303)),ISNUMBER(SEARCH("Anti Tarnish",Upload!P303&amp;Upload!Q303&amp;Upload!R303&amp;Upload!S303&amp;Upload!T303))))),"",0.0012*C313)</f>
        <v/>
      </c>
      <c r="Q313" s="15" t="str">
        <f>IF(OR(E313="",NOT(OR(ISNUMBER(SEARCH("Epóxico MT",Upload!P303&amp;Upload!Q303&amp;Upload!R303&amp;Upload!S303&amp;Upload!T303))))),"",E313*0.000035)</f>
        <v/>
      </c>
      <c r="R313" s="15" t="str">
        <f>IF(OR(F313="",NOT(OR(ISNUMBER(SEARCH("Epóxico BT",Upload!Q303&amp;Upload!R303&amp;Upload!S303&amp;Upload!T303&amp;Upload!U303))))),"",F313*0.000035)</f>
        <v/>
      </c>
      <c r="S313" s="15" t="str">
        <f>IF(OR(G313="",NOT(OR(ISNUMBER(SEARCH("Epóxico Rojo",Upload!R303&amp;Upload!S303&amp;Upload!T303&amp;Upload!U303&amp;Upload!V303))))),"",G313*0.000035)</f>
        <v/>
      </c>
    </row>
    <row r="314" spans="1:19" x14ac:dyDescent="0.2">
      <c r="A314" s="9" t="e">
        <f t="shared" ca="1" si="24"/>
        <v>#NAME?</v>
      </c>
      <c r="B314" s="9">
        <f>Upload!E304</f>
        <v>0</v>
      </c>
      <c r="C314" s="9">
        <f>Upload!AE304</f>
        <v>0</v>
      </c>
      <c r="D314" s="9">
        <f>Upload!AF304</f>
        <v>0</v>
      </c>
      <c r="E314" s="9">
        <f>Upload!AG304</f>
        <v>0</v>
      </c>
      <c r="F314" s="9" t="str">
        <f>Upload!X304</f>
        <v/>
      </c>
      <c r="G314" s="9" t="str">
        <f>Upload!Z304</f>
        <v/>
      </c>
      <c r="H314" s="9" t="str">
        <f>Upload!W304</f>
        <v>(seleccione)</v>
      </c>
      <c r="I314" s="9" t="str">
        <f>Upload!Y304</f>
        <v>(seleccione)</v>
      </c>
      <c r="K314" s="15" t="str">
        <f t="shared" si="30"/>
        <v/>
      </c>
      <c r="L314" s="15" t="str">
        <f t="shared" si="31"/>
        <v/>
      </c>
      <c r="M314" s="15" t="str">
        <f t="shared" si="32"/>
        <v/>
      </c>
      <c r="N314" s="15" t="str">
        <f t="shared" si="33"/>
        <v/>
      </c>
      <c r="O314" s="15" t="str">
        <f t="shared" si="34"/>
        <v/>
      </c>
      <c r="P314" s="15" t="str">
        <f>IF(OR(C314="",NOT(OR(ISNUMBER(SEARCH("Antitarnish",Upload!P304&amp;Upload!Q304&amp;Upload!R304&amp;Upload!S304&amp;Upload!T304)),ISNUMBER(SEARCH("Anti Tarnish",Upload!P304&amp;Upload!Q304&amp;Upload!R304&amp;Upload!S304&amp;Upload!T304))))),"",0.0012*C314)</f>
        <v/>
      </c>
      <c r="Q314" s="15" t="str">
        <f>IF(OR(E314="",NOT(OR(ISNUMBER(SEARCH("Epóxico MT",Upload!P304&amp;Upload!Q304&amp;Upload!R304&amp;Upload!S304&amp;Upload!T304))))),"",E314*0.000035)</f>
        <v/>
      </c>
      <c r="R314" s="15" t="str">
        <f>IF(OR(F314="",NOT(OR(ISNUMBER(SEARCH("Epóxico BT",Upload!Q304&amp;Upload!R304&amp;Upload!S304&amp;Upload!T304&amp;Upload!U304))))),"",F314*0.000035)</f>
        <v/>
      </c>
      <c r="S314" s="15" t="str">
        <f>IF(OR(G314="",NOT(OR(ISNUMBER(SEARCH("Epóxico Rojo",Upload!R304&amp;Upload!S304&amp;Upload!T304&amp;Upload!U304&amp;Upload!V304))))),"",G314*0.000035)</f>
        <v/>
      </c>
    </row>
    <row r="315" spans="1:19" x14ac:dyDescent="0.2">
      <c r="A315" s="9" t="e">
        <f t="shared" ca="1" si="24"/>
        <v>#NAME?</v>
      </c>
      <c r="B315" s="9">
        <f>Upload!E305</f>
        <v>0</v>
      </c>
      <c r="C315" s="9">
        <f>Upload!AE305</f>
        <v>0</v>
      </c>
      <c r="D315" s="9">
        <f>Upload!AF305</f>
        <v>0</v>
      </c>
      <c r="E315" s="9">
        <f>Upload!AG305</f>
        <v>0</v>
      </c>
      <c r="F315" s="9" t="str">
        <f>Upload!X305</f>
        <v/>
      </c>
      <c r="G315" s="9" t="str">
        <f>Upload!Z305</f>
        <v/>
      </c>
      <c r="H315" s="9" t="str">
        <f>Upload!W305</f>
        <v>(seleccione)</v>
      </c>
      <c r="I315" s="9" t="str">
        <f>Upload!Y305</f>
        <v>(seleccione)</v>
      </c>
      <c r="K315" s="15" t="str">
        <f t="shared" si="30"/>
        <v/>
      </c>
      <c r="L315" s="15" t="str">
        <f t="shared" si="31"/>
        <v/>
      </c>
      <c r="M315" s="15" t="str">
        <f t="shared" si="32"/>
        <v/>
      </c>
      <c r="N315" s="15" t="str">
        <f t="shared" si="33"/>
        <v/>
      </c>
      <c r="O315" s="15" t="str">
        <f t="shared" si="34"/>
        <v/>
      </c>
      <c r="P315" s="15" t="str">
        <f>IF(OR(C315="",NOT(OR(ISNUMBER(SEARCH("Antitarnish",Upload!P305&amp;Upload!Q305&amp;Upload!R305&amp;Upload!S305&amp;Upload!T305)),ISNUMBER(SEARCH("Anti Tarnish",Upload!P305&amp;Upload!Q305&amp;Upload!R305&amp;Upload!S305&amp;Upload!T305))))),"",0.0012*C315)</f>
        <v/>
      </c>
      <c r="Q315" s="15" t="str">
        <f>IF(OR(E315="",NOT(OR(ISNUMBER(SEARCH("Epóxico MT",Upload!P305&amp;Upload!Q305&amp;Upload!R305&amp;Upload!S305&amp;Upload!T305))))),"",E315*0.000035)</f>
        <v/>
      </c>
      <c r="R315" s="15" t="str">
        <f>IF(OR(F315="",NOT(OR(ISNUMBER(SEARCH("Epóxico BT",Upload!Q305&amp;Upload!R305&amp;Upload!S305&amp;Upload!T305&amp;Upload!U305))))),"",F315*0.000035)</f>
        <v/>
      </c>
      <c r="S315" s="15" t="str">
        <f>IF(OR(G315="",NOT(OR(ISNUMBER(SEARCH("Epóxico Rojo",Upload!R305&amp;Upload!S305&amp;Upload!T305&amp;Upload!U305&amp;Upload!V305))))),"",G315*0.000035)</f>
        <v/>
      </c>
    </row>
    <row r="316" spans="1:19" x14ac:dyDescent="0.2">
      <c r="A316" s="9" t="e">
        <f t="shared" ca="1" si="24"/>
        <v>#NAME?</v>
      </c>
      <c r="B316" s="9">
        <f>Upload!E306</f>
        <v>0</v>
      </c>
      <c r="C316" s="9">
        <f>Upload!AE306</f>
        <v>0</v>
      </c>
      <c r="D316" s="9">
        <f>Upload!AF306</f>
        <v>0</v>
      </c>
      <c r="E316" s="9">
        <f>Upload!AG306</f>
        <v>0</v>
      </c>
      <c r="F316" s="9" t="str">
        <f>Upload!X306</f>
        <v/>
      </c>
      <c r="G316" s="9" t="str">
        <f>Upload!Z306</f>
        <v/>
      </c>
      <c r="H316" s="9" t="str">
        <f>Upload!W306</f>
        <v>(seleccione)</v>
      </c>
      <c r="I316" s="9" t="str">
        <f>Upload!Y306</f>
        <v>(seleccione)</v>
      </c>
      <c r="K316" s="15" t="str">
        <f t="shared" si="30"/>
        <v/>
      </c>
      <c r="L316" s="15" t="str">
        <f t="shared" si="31"/>
        <v/>
      </c>
      <c r="M316" s="15" t="str">
        <f t="shared" si="32"/>
        <v/>
      </c>
      <c r="N316" s="15" t="str">
        <f t="shared" si="33"/>
        <v/>
      </c>
      <c r="O316" s="15" t="str">
        <f t="shared" si="34"/>
        <v/>
      </c>
      <c r="P316" s="15" t="str">
        <f>IF(OR(C316="",NOT(OR(ISNUMBER(SEARCH("Antitarnish",Upload!P306&amp;Upload!Q306&amp;Upload!R306&amp;Upload!S306&amp;Upload!T306)),ISNUMBER(SEARCH("Anti Tarnish",Upload!P306&amp;Upload!Q306&amp;Upload!R306&amp;Upload!S306&amp;Upload!T306))))),"",0.0012*C316)</f>
        <v/>
      </c>
      <c r="Q316" s="15" t="str">
        <f>IF(OR(E316="",NOT(OR(ISNUMBER(SEARCH("Epóxico MT",Upload!P306&amp;Upload!Q306&amp;Upload!R306&amp;Upload!S306&amp;Upload!T306))))),"",E316*0.000035)</f>
        <v/>
      </c>
      <c r="R316" s="15" t="str">
        <f>IF(OR(F316="",NOT(OR(ISNUMBER(SEARCH("Epóxico BT",Upload!Q306&amp;Upload!R306&amp;Upload!S306&amp;Upload!T306&amp;Upload!U306))))),"",F316*0.000035)</f>
        <v/>
      </c>
      <c r="S316" s="15" t="str">
        <f>IF(OR(G316="",NOT(OR(ISNUMBER(SEARCH("Epóxico Rojo",Upload!R306&amp;Upload!S306&amp;Upload!T306&amp;Upload!U306&amp;Upload!V306))))),"",G316*0.000035)</f>
        <v/>
      </c>
    </row>
    <row r="317" spans="1:19" x14ac:dyDescent="0.2">
      <c r="A317" s="9" t="e">
        <f t="shared" ca="1" si="24"/>
        <v>#NAME?</v>
      </c>
      <c r="B317" s="9">
        <f>Upload!E307</f>
        <v>0</v>
      </c>
      <c r="C317" s="9">
        <f>Upload!AE307</f>
        <v>0</v>
      </c>
      <c r="D317" s="9">
        <f>Upload!AF307</f>
        <v>0</v>
      </c>
      <c r="E317" s="9">
        <f>Upload!AG307</f>
        <v>0</v>
      </c>
      <c r="F317" s="9" t="str">
        <f>Upload!X307</f>
        <v/>
      </c>
      <c r="G317" s="9" t="str">
        <f>Upload!Z307</f>
        <v/>
      </c>
      <c r="H317" s="9" t="str">
        <f>Upload!W307</f>
        <v>(seleccione)</v>
      </c>
      <c r="I317" s="9" t="str">
        <f>Upload!Y307</f>
        <v>(seleccione)</v>
      </c>
      <c r="K317" s="15" t="str">
        <f t="shared" si="30"/>
        <v/>
      </c>
      <c r="L317" s="15" t="str">
        <f t="shared" si="31"/>
        <v/>
      </c>
      <c r="M317" s="15" t="str">
        <f t="shared" si="32"/>
        <v/>
      </c>
      <c r="N317" s="15" t="str">
        <f t="shared" si="33"/>
        <v/>
      </c>
      <c r="O317" s="15" t="str">
        <f t="shared" si="34"/>
        <v/>
      </c>
      <c r="P317" s="15" t="str">
        <f>IF(OR(C317="",NOT(OR(ISNUMBER(SEARCH("Antitarnish",Upload!P307&amp;Upload!Q307&amp;Upload!R307&amp;Upload!S307&amp;Upload!T307)),ISNUMBER(SEARCH("Anti Tarnish",Upload!P307&amp;Upload!Q307&amp;Upload!R307&amp;Upload!S307&amp;Upload!T307))))),"",0.0012*C317)</f>
        <v/>
      </c>
      <c r="Q317" s="15" t="str">
        <f>IF(OR(E317="",NOT(OR(ISNUMBER(SEARCH("Epóxico MT",Upload!P307&amp;Upload!Q307&amp;Upload!R307&amp;Upload!S307&amp;Upload!T307))))),"",E317*0.000035)</f>
        <v/>
      </c>
      <c r="R317" s="15" t="str">
        <f>IF(OR(F317="",NOT(OR(ISNUMBER(SEARCH("Epóxico BT",Upload!Q307&amp;Upload!R307&amp;Upload!S307&amp;Upload!T307&amp;Upload!U307))))),"",F317*0.000035)</f>
        <v/>
      </c>
      <c r="S317" s="15" t="str">
        <f>IF(OR(G317="",NOT(OR(ISNUMBER(SEARCH("Epóxico Rojo",Upload!R307&amp;Upload!S307&amp;Upload!T307&amp;Upload!U307&amp;Upload!V307))))),"",G317*0.000035)</f>
        <v/>
      </c>
    </row>
    <row r="318" spans="1:19" x14ac:dyDescent="0.2">
      <c r="A318" s="9" t="e">
        <f t="shared" ca="1" si="24"/>
        <v>#NAME?</v>
      </c>
      <c r="B318" s="9">
        <f>Upload!E308</f>
        <v>0</v>
      </c>
      <c r="C318" s="9">
        <f>Upload!AE308</f>
        <v>0</v>
      </c>
      <c r="D318" s="9">
        <f>Upload!AF308</f>
        <v>0</v>
      </c>
      <c r="E318" s="9">
        <f>Upload!AG308</f>
        <v>0</v>
      </c>
      <c r="F318" s="9" t="str">
        <f>Upload!X308</f>
        <v/>
      </c>
      <c r="G318" s="9" t="str">
        <f>Upload!Z308</f>
        <v/>
      </c>
      <c r="H318" s="9" t="str">
        <f>Upload!W308</f>
        <v>(seleccione)</v>
      </c>
      <c r="I318" s="9" t="str">
        <f>Upload!Y308</f>
        <v>(seleccione)</v>
      </c>
      <c r="K318" s="15" t="str">
        <f t="shared" si="30"/>
        <v/>
      </c>
      <c r="L318" s="15" t="str">
        <f t="shared" si="31"/>
        <v/>
      </c>
      <c r="M318" s="15" t="str">
        <f t="shared" si="32"/>
        <v/>
      </c>
      <c r="N318" s="15" t="str">
        <f t="shared" si="33"/>
        <v/>
      </c>
      <c r="O318" s="15" t="str">
        <f t="shared" si="34"/>
        <v/>
      </c>
      <c r="P318" s="15" t="str">
        <f>IF(OR(C318="",NOT(OR(ISNUMBER(SEARCH("Antitarnish",Upload!P308&amp;Upload!Q308&amp;Upload!R308&amp;Upload!S308&amp;Upload!T308)),ISNUMBER(SEARCH("Anti Tarnish",Upload!P308&amp;Upload!Q308&amp;Upload!R308&amp;Upload!S308&amp;Upload!T308))))),"",0.0012*C318)</f>
        <v/>
      </c>
      <c r="Q318" s="15" t="str">
        <f>IF(OR(E318="",NOT(OR(ISNUMBER(SEARCH("Epóxico MT",Upload!P308&amp;Upload!Q308&amp;Upload!R308&amp;Upload!S308&amp;Upload!T308))))),"",E318*0.000035)</f>
        <v/>
      </c>
      <c r="R318" s="15" t="str">
        <f>IF(OR(F318="",NOT(OR(ISNUMBER(SEARCH("Epóxico BT",Upload!Q308&amp;Upload!R308&amp;Upload!S308&amp;Upload!T308&amp;Upload!U308))))),"",F318*0.000035)</f>
        <v/>
      </c>
      <c r="S318" s="15" t="str">
        <f>IF(OR(G318="",NOT(OR(ISNUMBER(SEARCH("Epóxico Rojo",Upload!R308&amp;Upload!S308&amp;Upload!T308&amp;Upload!U308&amp;Upload!V308))))),"",G318*0.000035)</f>
        <v/>
      </c>
    </row>
    <row r="319" spans="1:19" x14ac:dyDescent="0.2">
      <c r="A319" s="9" t="e">
        <f t="shared" ca="1" si="24"/>
        <v>#NAME?</v>
      </c>
      <c r="B319" s="9">
        <f>Upload!E309</f>
        <v>0</v>
      </c>
      <c r="C319" s="9">
        <f>Upload!AE309</f>
        <v>0</v>
      </c>
      <c r="D319" s="9">
        <f>Upload!AF309</f>
        <v>0</v>
      </c>
      <c r="E319" s="9">
        <f>Upload!AG309</f>
        <v>0</v>
      </c>
      <c r="F319" s="9" t="str">
        <f>Upload!X309</f>
        <v/>
      </c>
      <c r="G319" s="9" t="str">
        <f>Upload!Z309</f>
        <v/>
      </c>
      <c r="H319" s="9" t="str">
        <f>Upload!W309</f>
        <v>(seleccione)</v>
      </c>
      <c r="I319" s="9" t="str">
        <f>Upload!Y309</f>
        <v>(seleccione)</v>
      </c>
      <c r="K319" s="15" t="str">
        <f t="shared" si="30"/>
        <v/>
      </c>
      <c r="L319" s="15" t="str">
        <f t="shared" si="31"/>
        <v/>
      </c>
      <c r="M319" s="15" t="str">
        <f t="shared" si="32"/>
        <v/>
      </c>
      <c r="N319" s="15" t="str">
        <f t="shared" si="33"/>
        <v/>
      </c>
      <c r="O319" s="15" t="str">
        <f t="shared" si="34"/>
        <v/>
      </c>
      <c r="P319" s="15" t="str">
        <f>IF(OR(C319="",NOT(OR(ISNUMBER(SEARCH("Antitarnish",Upload!P309&amp;Upload!Q309&amp;Upload!R309&amp;Upload!S309&amp;Upload!T309)),ISNUMBER(SEARCH("Anti Tarnish",Upload!P309&amp;Upload!Q309&amp;Upload!R309&amp;Upload!S309&amp;Upload!T309))))),"",0.0012*C319)</f>
        <v/>
      </c>
      <c r="Q319" s="15" t="str">
        <f>IF(OR(E319="",NOT(OR(ISNUMBER(SEARCH("Epóxico MT",Upload!P309&amp;Upload!Q309&amp;Upload!R309&amp;Upload!S309&amp;Upload!T309))))),"",E319*0.000035)</f>
        <v/>
      </c>
      <c r="R319" s="15" t="str">
        <f>IF(OR(F319="",NOT(OR(ISNUMBER(SEARCH("Epóxico BT",Upload!Q309&amp;Upload!R309&amp;Upload!S309&amp;Upload!T309&amp;Upload!U309))))),"",F319*0.000035)</f>
        <v/>
      </c>
      <c r="S319" s="15" t="str">
        <f>IF(OR(G319="",NOT(OR(ISNUMBER(SEARCH("Epóxico Rojo",Upload!R309&amp;Upload!S309&amp;Upload!T309&amp;Upload!U309&amp;Upload!V309))))),"",G319*0.000035)</f>
        <v/>
      </c>
    </row>
    <row r="320" spans="1:19" x14ac:dyDescent="0.2">
      <c r="A320" s="9" t="e">
        <f t="shared" ca="1" si="24"/>
        <v>#NAME?</v>
      </c>
      <c r="B320" s="9">
        <f>Upload!E310</f>
        <v>0</v>
      </c>
      <c r="C320" s="9">
        <f>Upload!AE310</f>
        <v>0</v>
      </c>
      <c r="D320" s="9">
        <f>Upload!AF310</f>
        <v>0</v>
      </c>
      <c r="E320" s="9">
        <f>Upload!AG310</f>
        <v>0</v>
      </c>
      <c r="F320" s="9" t="str">
        <f>Upload!X310</f>
        <v/>
      </c>
      <c r="G320" s="9" t="str">
        <f>Upload!Z310</f>
        <v/>
      </c>
      <c r="H320" s="9" t="str">
        <f>Upload!W310</f>
        <v>(seleccione)</v>
      </c>
      <c r="I320" s="9" t="str">
        <f>Upload!Y310</f>
        <v>(seleccione)</v>
      </c>
      <c r="K320" s="15" t="str">
        <f t="shared" si="30"/>
        <v/>
      </c>
      <c r="L320" s="15" t="str">
        <f t="shared" si="31"/>
        <v/>
      </c>
      <c r="M320" s="15" t="str">
        <f t="shared" si="32"/>
        <v/>
      </c>
      <c r="N320" s="15" t="str">
        <f t="shared" si="33"/>
        <v/>
      </c>
      <c r="O320" s="15" t="str">
        <f t="shared" si="34"/>
        <v/>
      </c>
      <c r="P320" s="15" t="str">
        <f>IF(OR(C320="",NOT(OR(ISNUMBER(SEARCH("Antitarnish",Upload!P310&amp;Upload!Q310&amp;Upload!R310&amp;Upload!S310&amp;Upload!T310)),ISNUMBER(SEARCH("Anti Tarnish",Upload!P310&amp;Upload!Q310&amp;Upload!R310&amp;Upload!S310&amp;Upload!T310))))),"",0.0012*C320)</f>
        <v/>
      </c>
      <c r="Q320" s="15" t="str">
        <f>IF(OR(E320="",NOT(OR(ISNUMBER(SEARCH("Epóxico MT",Upload!P310&amp;Upload!Q310&amp;Upload!R310&amp;Upload!S310&amp;Upload!T310))))),"",E320*0.000035)</f>
        <v/>
      </c>
      <c r="R320" s="15" t="str">
        <f>IF(OR(F320="",NOT(OR(ISNUMBER(SEARCH("Epóxico BT",Upload!Q310&amp;Upload!R310&amp;Upload!S310&amp;Upload!T310&amp;Upload!U310))))),"",F320*0.000035)</f>
        <v/>
      </c>
      <c r="S320" s="15" t="str">
        <f>IF(OR(G320="",NOT(OR(ISNUMBER(SEARCH("Epóxico Rojo",Upload!R310&amp;Upload!S310&amp;Upload!T310&amp;Upload!U310&amp;Upload!V310))))),"",G320*0.000035)</f>
        <v/>
      </c>
    </row>
    <row r="321" spans="1:19" x14ac:dyDescent="0.2">
      <c r="A321" s="9" t="e">
        <f t="shared" ca="1" si="24"/>
        <v>#NAME?</v>
      </c>
      <c r="B321" s="9">
        <f>Upload!E311</f>
        <v>0</v>
      </c>
      <c r="C321" s="9">
        <f>Upload!AE311</f>
        <v>0</v>
      </c>
      <c r="D321" s="9">
        <f>Upload!AF311</f>
        <v>0</v>
      </c>
      <c r="E321" s="9">
        <f>Upload!AG311</f>
        <v>0</v>
      </c>
      <c r="F321" s="9" t="str">
        <f>Upload!X311</f>
        <v/>
      </c>
      <c r="G321" s="9" t="str">
        <f>Upload!Z311</f>
        <v/>
      </c>
      <c r="H321" s="9" t="str">
        <f>Upload!W311</f>
        <v>(seleccione)</v>
      </c>
      <c r="I321" s="9" t="str">
        <f>Upload!Y311</f>
        <v>(seleccione)</v>
      </c>
      <c r="K321" s="15" t="str">
        <f t="shared" si="30"/>
        <v/>
      </c>
      <c r="L321" s="15" t="str">
        <f t="shared" si="31"/>
        <v/>
      </c>
      <c r="M321" s="15" t="str">
        <f t="shared" si="32"/>
        <v/>
      </c>
      <c r="N321" s="15" t="str">
        <f t="shared" si="33"/>
        <v/>
      </c>
      <c r="O321" s="15" t="str">
        <f t="shared" si="34"/>
        <v/>
      </c>
      <c r="P321" s="15" t="str">
        <f>IF(OR(C321="",NOT(OR(ISNUMBER(SEARCH("Antitarnish",Upload!P311&amp;Upload!Q311&amp;Upload!R311&amp;Upload!S311&amp;Upload!T311)),ISNUMBER(SEARCH("Anti Tarnish",Upload!P311&amp;Upload!Q311&amp;Upload!R311&amp;Upload!S311&amp;Upload!T311))))),"",0.0012*C321)</f>
        <v/>
      </c>
      <c r="Q321" s="15" t="str">
        <f>IF(OR(E321="",NOT(OR(ISNUMBER(SEARCH("Epóxico MT",Upload!P311&amp;Upload!Q311&amp;Upload!R311&amp;Upload!S311&amp;Upload!T311))))),"",E321*0.000035)</f>
        <v/>
      </c>
      <c r="R321" s="15" t="str">
        <f>IF(OR(F321="",NOT(OR(ISNUMBER(SEARCH("Epóxico BT",Upload!Q311&amp;Upload!R311&amp;Upload!S311&amp;Upload!T311&amp;Upload!U311))))),"",F321*0.000035)</f>
        <v/>
      </c>
      <c r="S321" s="15" t="str">
        <f>IF(OR(G321="",NOT(OR(ISNUMBER(SEARCH("Epóxico Rojo",Upload!R311&amp;Upload!S311&amp;Upload!T311&amp;Upload!U311&amp;Upload!V311))))),"",G321*0.000035)</f>
        <v/>
      </c>
    </row>
    <row r="322" spans="1:19" x14ac:dyDescent="0.2">
      <c r="A322" s="9" t="e">
        <f t="shared" ca="1" si="24"/>
        <v>#NAME?</v>
      </c>
      <c r="B322" s="9">
        <f>Upload!E312</f>
        <v>0</v>
      </c>
      <c r="C322" s="9">
        <f>Upload!AE312</f>
        <v>0</v>
      </c>
      <c r="D322" s="9">
        <f>Upload!AF312</f>
        <v>0</v>
      </c>
      <c r="E322" s="9">
        <f>Upload!AG312</f>
        <v>0</v>
      </c>
      <c r="F322" s="9" t="str">
        <f>Upload!X312</f>
        <v/>
      </c>
      <c r="G322" s="9" t="str">
        <f>Upload!Z312</f>
        <v/>
      </c>
      <c r="H322" s="9" t="str">
        <f>Upload!W312</f>
        <v>(seleccione)</v>
      </c>
      <c r="I322" s="9" t="str">
        <f>Upload!Y312</f>
        <v>(seleccione)</v>
      </c>
      <c r="K322" s="15" t="str">
        <f t="shared" si="30"/>
        <v/>
      </c>
      <c r="L322" s="15" t="str">
        <f t="shared" si="31"/>
        <v/>
      </c>
      <c r="M322" s="15" t="str">
        <f t="shared" si="32"/>
        <v/>
      </c>
      <c r="N322" s="15" t="str">
        <f t="shared" si="33"/>
        <v/>
      </c>
      <c r="O322" s="15" t="str">
        <f t="shared" si="34"/>
        <v/>
      </c>
      <c r="P322" s="15" t="str">
        <f>IF(OR(C322="",NOT(OR(ISNUMBER(SEARCH("Antitarnish",Upload!P312&amp;Upload!Q312&amp;Upload!R312&amp;Upload!S312&amp;Upload!T312)),ISNUMBER(SEARCH("Anti Tarnish",Upload!P312&amp;Upload!Q312&amp;Upload!R312&amp;Upload!S312&amp;Upload!T312))))),"",0.0012*C322)</f>
        <v/>
      </c>
      <c r="Q322" s="15" t="str">
        <f>IF(OR(E322="",NOT(OR(ISNUMBER(SEARCH("Epóxico MT",Upload!P312&amp;Upload!Q312&amp;Upload!R312&amp;Upload!S312&amp;Upload!T312))))),"",E322*0.000035)</f>
        <v/>
      </c>
      <c r="R322" s="15" t="str">
        <f>IF(OR(F322="",NOT(OR(ISNUMBER(SEARCH("Epóxico BT",Upload!Q312&amp;Upload!R312&amp;Upload!S312&amp;Upload!T312&amp;Upload!U312))))),"",F322*0.000035)</f>
        <v/>
      </c>
      <c r="S322" s="15" t="str">
        <f>IF(OR(G322="",NOT(OR(ISNUMBER(SEARCH("Epóxico Rojo",Upload!R312&amp;Upload!S312&amp;Upload!T312&amp;Upload!U312&amp;Upload!V312))))),"",G322*0.000035)</f>
        <v/>
      </c>
    </row>
    <row r="323" spans="1:19" x14ac:dyDescent="0.2">
      <c r="A323" s="9" t="e">
        <f t="shared" ca="1" si="24"/>
        <v>#NAME?</v>
      </c>
      <c r="B323" s="9">
        <f>Upload!E313</f>
        <v>0</v>
      </c>
      <c r="C323" s="9">
        <f>Upload!AE313</f>
        <v>0</v>
      </c>
      <c r="D323" s="9">
        <f>Upload!AF313</f>
        <v>0</v>
      </c>
      <c r="E323" s="9">
        <f>Upload!AG313</f>
        <v>0</v>
      </c>
      <c r="F323" s="9" t="str">
        <f>Upload!X313</f>
        <v/>
      </c>
      <c r="G323" s="9" t="str">
        <f>Upload!Z313</f>
        <v/>
      </c>
      <c r="H323" s="9" t="str">
        <f>Upload!W313</f>
        <v>(seleccione)</v>
      </c>
      <c r="I323" s="9" t="str">
        <f>Upload!Y313</f>
        <v>(seleccione)</v>
      </c>
      <c r="K323" s="15" t="str">
        <f t="shared" si="30"/>
        <v/>
      </c>
      <c r="L323" s="15" t="str">
        <f t="shared" si="31"/>
        <v/>
      </c>
      <c r="M323" s="15" t="str">
        <f t="shared" si="32"/>
        <v/>
      </c>
      <c r="N323" s="15" t="str">
        <f t="shared" si="33"/>
        <v/>
      </c>
      <c r="O323" s="15" t="str">
        <f t="shared" si="34"/>
        <v/>
      </c>
      <c r="P323" s="15" t="str">
        <f>IF(OR(C323="",NOT(OR(ISNUMBER(SEARCH("Antitarnish",Upload!P313&amp;Upload!Q313&amp;Upload!R313&amp;Upload!S313&amp;Upload!T313)),ISNUMBER(SEARCH("Anti Tarnish",Upload!P313&amp;Upload!Q313&amp;Upload!R313&amp;Upload!S313&amp;Upload!T313))))),"",0.0012*C323)</f>
        <v/>
      </c>
      <c r="Q323" s="15" t="str">
        <f>IF(OR(E323="",NOT(OR(ISNUMBER(SEARCH("Epóxico MT",Upload!P313&amp;Upload!Q313&amp;Upload!R313&amp;Upload!S313&amp;Upload!T313))))),"",E323*0.000035)</f>
        <v/>
      </c>
      <c r="R323" s="15" t="str">
        <f>IF(OR(F323="",NOT(OR(ISNUMBER(SEARCH("Epóxico BT",Upload!Q313&amp;Upload!R313&amp;Upload!S313&amp;Upload!T313&amp;Upload!U313))))),"",F323*0.000035)</f>
        <v/>
      </c>
      <c r="S323" s="15" t="str">
        <f>IF(OR(G323="",NOT(OR(ISNUMBER(SEARCH("Epóxico Rojo",Upload!R313&amp;Upload!S313&amp;Upload!T313&amp;Upload!U313&amp;Upload!V313))))),"",G323*0.000035)</f>
        <v/>
      </c>
    </row>
    <row r="324" spans="1:19" x14ac:dyDescent="0.2">
      <c r="A324" s="9" t="e">
        <f t="shared" ca="1" si="24"/>
        <v>#NAME?</v>
      </c>
      <c r="B324" s="9">
        <f>Upload!E314</f>
        <v>0</v>
      </c>
      <c r="C324" s="9">
        <f>Upload!AE314</f>
        <v>0</v>
      </c>
      <c r="D324" s="9">
        <f>Upload!AF314</f>
        <v>0</v>
      </c>
      <c r="E324" s="9">
        <f>Upload!AG314</f>
        <v>0</v>
      </c>
      <c r="F324" s="9" t="str">
        <f>Upload!X314</f>
        <v/>
      </c>
      <c r="G324" s="9" t="str">
        <f>Upload!Z314</f>
        <v/>
      </c>
      <c r="H324" s="9" t="str">
        <f>Upload!W314</f>
        <v>(seleccione)</v>
      </c>
      <c r="I324" s="9" t="str">
        <f>Upload!Y314</f>
        <v>(seleccione)</v>
      </c>
      <c r="K324" s="15" t="str">
        <f t="shared" si="30"/>
        <v/>
      </c>
      <c r="L324" s="15" t="str">
        <f t="shared" si="31"/>
        <v/>
      </c>
      <c r="M324" s="15" t="str">
        <f t="shared" si="32"/>
        <v/>
      </c>
      <c r="N324" s="15" t="str">
        <f t="shared" si="33"/>
        <v/>
      </c>
      <c r="O324" s="15" t="str">
        <f t="shared" si="34"/>
        <v/>
      </c>
      <c r="P324" s="15" t="str">
        <f>IF(OR(C324="",NOT(OR(ISNUMBER(SEARCH("Antitarnish",Upload!P314&amp;Upload!Q314&amp;Upload!R314&amp;Upload!S314&amp;Upload!T314)),ISNUMBER(SEARCH("Anti Tarnish",Upload!P314&amp;Upload!Q314&amp;Upload!R314&amp;Upload!S314&amp;Upload!T314))))),"",0.0012*C324)</f>
        <v/>
      </c>
      <c r="Q324" s="15" t="str">
        <f>IF(OR(E324="",NOT(OR(ISNUMBER(SEARCH("Epóxico MT",Upload!P314&amp;Upload!Q314&amp;Upload!R314&amp;Upload!S314&amp;Upload!T314))))),"",E324*0.000035)</f>
        <v/>
      </c>
      <c r="R324" s="15" t="str">
        <f>IF(OR(F324="",NOT(OR(ISNUMBER(SEARCH("Epóxico BT",Upload!Q314&amp;Upload!R314&amp;Upload!S314&amp;Upload!T314&amp;Upload!U314))))),"",F324*0.000035)</f>
        <v/>
      </c>
      <c r="S324" s="15" t="str">
        <f>IF(OR(G324="",NOT(OR(ISNUMBER(SEARCH("Epóxico Rojo",Upload!R314&amp;Upload!S314&amp;Upload!T314&amp;Upload!U314&amp;Upload!V314))))),"",G324*0.000035)</f>
        <v/>
      </c>
    </row>
    <row r="325" spans="1:19" x14ac:dyDescent="0.2">
      <c r="A325" s="9" t="e">
        <f t="shared" ca="1" si="24"/>
        <v>#NAME?</v>
      </c>
      <c r="B325" s="9">
        <f>Upload!E315</f>
        <v>0</v>
      </c>
      <c r="C325" s="9">
        <f>Upload!AE315</f>
        <v>0</v>
      </c>
      <c r="D325" s="9">
        <f>Upload!AF315</f>
        <v>0</v>
      </c>
      <c r="E325" s="9">
        <f>Upload!AG315</f>
        <v>0</v>
      </c>
      <c r="F325" s="9" t="str">
        <f>Upload!X315</f>
        <v/>
      </c>
      <c r="G325" s="9" t="str">
        <f>Upload!Z315</f>
        <v/>
      </c>
      <c r="H325" s="9" t="str">
        <f>Upload!W315</f>
        <v>(seleccione)</v>
      </c>
      <c r="I325" s="9" t="str">
        <f>Upload!Y315</f>
        <v>(seleccione)</v>
      </c>
      <c r="K325" s="15" t="str">
        <f t="shared" si="30"/>
        <v/>
      </c>
      <c r="L325" s="15" t="str">
        <f t="shared" si="31"/>
        <v/>
      </c>
      <c r="M325" s="15" t="str">
        <f t="shared" si="32"/>
        <v/>
      </c>
      <c r="N325" s="15" t="str">
        <f t="shared" si="33"/>
        <v/>
      </c>
      <c r="O325" s="15" t="str">
        <f t="shared" si="34"/>
        <v/>
      </c>
      <c r="P325" s="15" t="str">
        <f>IF(OR(C325="",NOT(OR(ISNUMBER(SEARCH("Antitarnish",Upload!P315&amp;Upload!Q315&amp;Upload!R315&amp;Upload!S315&amp;Upload!T315)),ISNUMBER(SEARCH("Anti Tarnish",Upload!P315&amp;Upload!Q315&amp;Upload!R315&amp;Upload!S315&amp;Upload!T315))))),"",0.0012*C325)</f>
        <v/>
      </c>
      <c r="Q325" s="15" t="str">
        <f>IF(OR(E325="",NOT(OR(ISNUMBER(SEARCH("Epóxico MT",Upload!P315&amp;Upload!Q315&amp;Upload!R315&amp;Upload!S315&amp;Upload!T315))))),"",E325*0.000035)</f>
        <v/>
      </c>
      <c r="R325" s="15" t="str">
        <f>IF(OR(F325="",NOT(OR(ISNUMBER(SEARCH("Epóxico BT",Upload!Q315&amp;Upload!R315&amp;Upload!S315&amp;Upload!T315&amp;Upload!U315))))),"",F325*0.000035)</f>
        <v/>
      </c>
      <c r="S325" s="15" t="str">
        <f>IF(OR(G325="",NOT(OR(ISNUMBER(SEARCH("Epóxico Rojo",Upload!R315&amp;Upload!S315&amp;Upload!T315&amp;Upload!U315&amp;Upload!V315))))),"",G325*0.000035)</f>
        <v/>
      </c>
    </row>
    <row r="326" spans="1:19" x14ac:dyDescent="0.2">
      <c r="A326" s="9" t="e">
        <f t="shared" ca="1" si="24"/>
        <v>#NAME?</v>
      </c>
      <c r="B326" s="9">
        <f>Upload!E316</f>
        <v>0</v>
      </c>
      <c r="C326" s="9">
        <f>Upload!AE316</f>
        <v>0</v>
      </c>
      <c r="D326" s="9">
        <f>Upload!AF316</f>
        <v>0</v>
      </c>
      <c r="E326" s="9">
        <f>Upload!AG316</f>
        <v>0</v>
      </c>
      <c r="F326" s="9" t="str">
        <f>Upload!X316</f>
        <v/>
      </c>
      <c r="G326" s="9" t="str">
        <f>Upload!Z316</f>
        <v/>
      </c>
      <c r="H326" s="9" t="str">
        <f>Upload!W316</f>
        <v>(seleccione)</v>
      </c>
      <c r="I326" s="9" t="str">
        <f>Upload!Y316</f>
        <v>(seleccione)</v>
      </c>
      <c r="K326" s="15" t="str">
        <f t="shared" si="30"/>
        <v/>
      </c>
      <c r="L326" s="15" t="str">
        <f t="shared" si="31"/>
        <v/>
      </c>
      <c r="M326" s="15" t="str">
        <f t="shared" si="32"/>
        <v/>
      </c>
      <c r="N326" s="15" t="str">
        <f t="shared" si="33"/>
        <v/>
      </c>
      <c r="O326" s="15" t="str">
        <f t="shared" si="34"/>
        <v/>
      </c>
      <c r="P326" s="15" t="str">
        <f>IF(OR(C326="",NOT(OR(ISNUMBER(SEARCH("Antitarnish",Upload!P316&amp;Upload!Q316&amp;Upload!R316&amp;Upload!S316&amp;Upload!T316)),ISNUMBER(SEARCH("Anti Tarnish",Upload!P316&amp;Upload!Q316&amp;Upload!R316&amp;Upload!S316&amp;Upload!T316))))),"",0.0012*C326)</f>
        <v/>
      </c>
      <c r="Q326" s="15" t="str">
        <f>IF(OR(E326="",NOT(OR(ISNUMBER(SEARCH("Epóxico MT",Upload!P316&amp;Upload!Q316&amp;Upload!R316&amp;Upload!S316&amp;Upload!T316))))),"",E326*0.000035)</f>
        <v/>
      </c>
      <c r="R326" s="15" t="str">
        <f>IF(OR(F326="",NOT(OR(ISNUMBER(SEARCH("Epóxico BT",Upload!Q316&amp;Upload!R316&amp;Upload!S316&amp;Upload!T316&amp;Upload!U316))))),"",F326*0.000035)</f>
        <v/>
      </c>
      <c r="S326" s="15" t="str">
        <f>IF(OR(G326="",NOT(OR(ISNUMBER(SEARCH("Epóxico Rojo",Upload!R316&amp;Upload!S316&amp;Upload!T316&amp;Upload!U316&amp;Upload!V316))))),"",G326*0.000035)</f>
        <v/>
      </c>
    </row>
    <row r="327" spans="1:19" x14ac:dyDescent="0.2">
      <c r="A327" s="9" t="e">
        <f t="shared" ca="1" si="24"/>
        <v>#NAME?</v>
      </c>
      <c r="B327" s="9">
        <f>Upload!E317</f>
        <v>0</v>
      </c>
      <c r="C327" s="9">
        <f>Upload!AE317</f>
        <v>0</v>
      </c>
      <c r="D327" s="9">
        <f>Upload!AF317</f>
        <v>0</v>
      </c>
      <c r="E327" s="9">
        <f>Upload!AG317</f>
        <v>0</v>
      </c>
      <c r="F327" s="9" t="str">
        <f>Upload!X317</f>
        <v/>
      </c>
      <c r="G327" s="9" t="str">
        <f>Upload!Z317</f>
        <v/>
      </c>
      <c r="H327" s="9" t="str">
        <f>Upload!W317</f>
        <v>(seleccione)</v>
      </c>
      <c r="I327" s="9" t="str">
        <f>Upload!Y317</f>
        <v>(seleccione)</v>
      </c>
      <c r="K327" s="15" t="str">
        <f t="shared" si="30"/>
        <v/>
      </c>
      <c r="L327" s="15" t="str">
        <f t="shared" si="31"/>
        <v/>
      </c>
      <c r="M327" s="15" t="str">
        <f t="shared" si="32"/>
        <v/>
      </c>
      <c r="N327" s="15" t="str">
        <f t="shared" si="33"/>
        <v/>
      </c>
      <c r="O327" s="15" t="str">
        <f t="shared" si="34"/>
        <v/>
      </c>
      <c r="P327" s="15" t="str">
        <f>IF(OR(C327="",NOT(OR(ISNUMBER(SEARCH("Antitarnish",Upload!P317&amp;Upload!Q317&amp;Upload!R317&amp;Upload!S317&amp;Upload!T317)),ISNUMBER(SEARCH("Anti Tarnish",Upload!P317&amp;Upload!Q317&amp;Upload!R317&amp;Upload!S317&amp;Upload!T317))))),"",0.0012*C327)</f>
        <v/>
      </c>
      <c r="Q327" s="15" t="str">
        <f>IF(OR(E327="",NOT(OR(ISNUMBER(SEARCH("Epóxico MT",Upload!P317&amp;Upload!Q317&amp;Upload!R317&amp;Upload!S317&amp;Upload!T317))))),"",E327*0.000035)</f>
        <v/>
      </c>
      <c r="R327" s="15" t="str">
        <f>IF(OR(F327="",NOT(OR(ISNUMBER(SEARCH("Epóxico BT",Upload!Q317&amp;Upload!R317&amp;Upload!S317&amp;Upload!T317&amp;Upload!U317))))),"",F327*0.000035)</f>
        <v/>
      </c>
      <c r="S327" s="15" t="str">
        <f>IF(OR(G327="",NOT(OR(ISNUMBER(SEARCH("Epóxico Rojo",Upload!R317&amp;Upload!S317&amp;Upload!T317&amp;Upload!U317&amp;Upload!V317))))),"",G327*0.000035)</f>
        <v/>
      </c>
    </row>
    <row r="328" spans="1:19" x14ac:dyDescent="0.2">
      <c r="A328" s="9" t="e">
        <f t="shared" ca="1" si="24"/>
        <v>#NAME?</v>
      </c>
      <c r="B328" s="9">
        <f>Upload!E318</f>
        <v>0</v>
      </c>
      <c r="C328" s="9">
        <f>Upload!AE318</f>
        <v>0</v>
      </c>
      <c r="D328" s="9">
        <f>Upload!AF318</f>
        <v>0</v>
      </c>
      <c r="E328" s="9">
        <f>Upload!AG318</f>
        <v>0</v>
      </c>
      <c r="F328" s="9" t="str">
        <f>Upload!X318</f>
        <v/>
      </c>
      <c r="G328" s="9" t="str">
        <f>Upload!Z318</f>
        <v/>
      </c>
      <c r="H328" s="9" t="str">
        <f>Upload!W318</f>
        <v>(seleccione)</v>
      </c>
      <c r="I328" s="9" t="str">
        <f>Upload!Y318</f>
        <v>(seleccione)</v>
      </c>
      <c r="K328" s="15" t="str">
        <f t="shared" si="30"/>
        <v/>
      </c>
      <c r="L328" s="15" t="str">
        <f t="shared" si="31"/>
        <v/>
      </c>
      <c r="M328" s="15" t="str">
        <f t="shared" si="32"/>
        <v/>
      </c>
      <c r="N328" s="15" t="str">
        <f t="shared" si="33"/>
        <v/>
      </c>
      <c r="O328" s="15" t="str">
        <f t="shared" si="34"/>
        <v/>
      </c>
      <c r="P328" s="15" t="str">
        <f>IF(OR(C328="",NOT(OR(ISNUMBER(SEARCH("Antitarnish",Upload!P318&amp;Upload!Q318&amp;Upload!R318&amp;Upload!S318&amp;Upload!T318)),ISNUMBER(SEARCH("Anti Tarnish",Upload!P318&amp;Upload!Q318&amp;Upload!R318&amp;Upload!S318&amp;Upload!T318))))),"",0.0012*C328)</f>
        <v/>
      </c>
      <c r="Q328" s="15" t="str">
        <f>IF(OR(E328="",NOT(OR(ISNUMBER(SEARCH("Epóxico MT",Upload!P318&amp;Upload!Q318&amp;Upload!R318&amp;Upload!S318&amp;Upload!T318))))),"",E328*0.000035)</f>
        <v/>
      </c>
      <c r="R328" s="15" t="str">
        <f>IF(OR(F328="",NOT(OR(ISNUMBER(SEARCH("Epóxico BT",Upload!Q318&amp;Upload!R318&amp;Upload!S318&amp;Upload!T318&amp;Upload!U318))))),"",F328*0.000035)</f>
        <v/>
      </c>
      <c r="S328" s="15" t="str">
        <f>IF(OR(G328="",NOT(OR(ISNUMBER(SEARCH("Epóxico Rojo",Upload!R318&amp;Upload!S318&amp;Upload!T318&amp;Upload!U318&amp;Upload!V318))))),"",G328*0.000035)</f>
        <v/>
      </c>
    </row>
    <row r="329" spans="1:19" x14ac:dyDescent="0.2">
      <c r="A329" s="9" t="e">
        <f t="shared" ca="1" si="24"/>
        <v>#NAME?</v>
      </c>
      <c r="B329" s="9">
        <f>Upload!E319</f>
        <v>0</v>
      </c>
      <c r="C329" s="9">
        <f>Upload!AE319</f>
        <v>0</v>
      </c>
      <c r="D329" s="9">
        <f>Upload!AF319</f>
        <v>0</v>
      </c>
      <c r="E329" s="9">
        <f>Upload!AG319</f>
        <v>0</v>
      </c>
      <c r="F329" s="9" t="str">
        <f>Upload!X319</f>
        <v/>
      </c>
      <c r="G329" s="9" t="str">
        <f>Upload!Z319</f>
        <v/>
      </c>
      <c r="H329" s="9" t="str">
        <f>Upload!W319</f>
        <v>(seleccione)</v>
      </c>
      <c r="I329" s="9" t="str">
        <f>Upload!Y319</f>
        <v>(seleccione)</v>
      </c>
      <c r="K329" s="15" t="str">
        <f t="shared" si="30"/>
        <v/>
      </c>
      <c r="L329" s="15" t="str">
        <f t="shared" si="31"/>
        <v/>
      </c>
      <c r="M329" s="15" t="str">
        <f t="shared" si="32"/>
        <v/>
      </c>
      <c r="N329" s="15" t="str">
        <f t="shared" si="33"/>
        <v/>
      </c>
      <c r="O329" s="15" t="str">
        <f t="shared" si="34"/>
        <v/>
      </c>
      <c r="P329" s="15" t="str">
        <f>IF(OR(C329="",NOT(OR(ISNUMBER(SEARCH("Antitarnish",Upload!P319&amp;Upload!Q319&amp;Upload!R319&amp;Upload!S319&amp;Upload!T319)),ISNUMBER(SEARCH("Anti Tarnish",Upload!P319&amp;Upload!Q319&amp;Upload!R319&amp;Upload!S319&amp;Upload!T319))))),"",0.0012*C329)</f>
        <v/>
      </c>
      <c r="Q329" s="15" t="str">
        <f>IF(OR(E329="",NOT(OR(ISNUMBER(SEARCH("Epóxico MT",Upload!P319&amp;Upload!Q319&amp;Upload!R319&amp;Upload!S319&amp;Upload!T319))))),"",E329*0.000035)</f>
        <v/>
      </c>
      <c r="R329" s="15" t="str">
        <f>IF(OR(F329="",NOT(OR(ISNUMBER(SEARCH("Epóxico BT",Upload!Q319&amp;Upload!R319&amp;Upload!S319&amp;Upload!T319&amp;Upload!U319))))),"",F329*0.000035)</f>
        <v/>
      </c>
      <c r="S329" s="15" t="str">
        <f>IF(OR(G329="",NOT(OR(ISNUMBER(SEARCH("Epóxico Rojo",Upload!R319&amp;Upload!S319&amp;Upload!T319&amp;Upload!U319&amp;Upload!V319))))),"",G329*0.000035)</f>
        <v/>
      </c>
    </row>
    <row r="330" spans="1:19" x14ac:dyDescent="0.2">
      <c r="A330" s="9" t="e">
        <f t="shared" ca="1" si="24"/>
        <v>#NAME?</v>
      </c>
      <c r="B330" s="9">
        <f>Upload!E320</f>
        <v>0</v>
      </c>
      <c r="C330" s="9">
        <f>Upload!AE320</f>
        <v>0</v>
      </c>
      <c r="D330" s="9">
        <f>Upload!AF320</f>
        <v>0</v>
      </c>
      <c r="E330" s="9">
        <f>Upload!AG320</f>
        <v>0</v>
      </c>
      <c r="F330" s="9" t="str">
        <f>Upload!X320</f>
        <v/>
      </c>
      <c r="G330" s="9" t="str">
        <f>Upload!Z320</f>
        <v/>
      </c>
      <c r="H330" s="9" t="str">
        <f>Upload!W320</f>
        <v>(seleccione)</v>
      </c>
      <c r="I330" s="9" t="str">
        <f>Upload!Y320</f>
        <v>(seleccione)</v>
      </c>
      <c r="K330" s="15" t="str">
        <f t="shared" si="30"/>
        <v/>
      </c>
      <c r="L330" s="15" t="str">
        <f t="shared" si="31"/>
        <v/>
      </c>
      <c r="M330" s="15" t="str">
        <f t="shared" si="32"/>
        <v/>
      </c>
      <c r="N330" s="15" t="str">
        <f t="shared" si="33"/>
        <v/>
      </c>
      <c r="O330" s="15" t="str">
        <f t="shared" si="34"/>
        <v/>
      </c>
      <c r="P330" s="15" t="str">
        <f>IF(OR(C330="",NOT(OR(ISNUMBER(SEARCH("Antitarnish",Upload!P320&amp;Upload!Q320&amp;Upload!R320&amp;Upload!S320&amp;Upload!T320)),ISNUMBER(SEARCH("Anti Tarnish",Upload!P320&amp;Upload!Q320&amp;Upload!R320&amp;Upload!S320&amp;Upload!T320))))),"",0.0012*C330)</f>
        <v/>
      </c>
      <c r="Q330" s="15" t="str">
        <f>IF(OR(E330="",NOT(OR(ISNUMBER(SEARCH("Epóxico MT",Upload!P320&amp;Upload!Q320&amp;Upload!R320&amp;Upload!S320&amp;Upload!T320))))),"",E330*0.000035)</f>
        <v/>
      </c>
      <c r="R330" s="15" t="str">
        <f>IF(OR(F330="",NOT(OR(ISNUMBER(SEARCH("Epóxico BT",Upload!Q320&amp;Upload!R320&amp;Upload!S320&amp;Upload!T320&amp;Upload!U320))))),"",F330*0.000035)</f>
        <v/>
      </c>
      <c r="S330" s="15" t="str">
        <f>IF(OR(G330="",NOT(OR(ISNUMBER(SEARCH("Epóxico Rojo",Upload!R320&amp;Upload!S320&amp;Upload!T320&amp;Upload!U320&amp;Upload!V320))))),"",G330*0.000035)</f>
        <v/>
      </c>
    </row>
    <row r="331" spans="1:19" x14ac:dyDescent="0.2">
      <c r="A331" s="9" t="e">
        <f t="shared" ca="1" si="24"/>
        <v>#NAME?</v>
      </c>
      <c r="B331" s="9">
        <f>Upload!E321</f>
        <v>0</v>
      </c>
      <c r="C331" s="9">
        <f>Upload!AE321</f>
        <v>0</v>
      </c>
      <c r="D331" s="9">
        <f>Upload!AF321</f>
        <v>0</v>
      </c>
      <c r="E331" s="9">
        <f>Upload!AG321</f>
        <v>0</v>
      </c>
      <c r="F331" s="9" t="str">
        <f>Upload!X321</f>
        <v/>
      </c>
      <c r="G331" s="9" t="str">
        <f>Upload!Z321</f>
        <v/>
      </c>
      <c r="H331" s="9" t="str">
        <f>Upload!W321</f>
        <v>(seleccione)</v>
      </c>
      <c r="I331" s="9" t="str">
        <f>Upload!Y321</f>
        <v>(seleccione)</v>
      </c>
      <c r="K331" s="15" t="str">
        <f t="shared" si="30"/>
        <v/>
      </c>
      <c r="L331" s="15" t="str">
        <f t="shared" si="31"/>
        <v/>
      </c>
      <c r="M331" s="15" t="str">
        <f t="shared" si="32"/>
        <v/>
      </c>
      <c r="N331" s="15" t="str">
        <f t="shared" si="33"/>
        <v/>
      </c>
      <c r="O331" s="15" t="str">
        <f t="shared" si="34"/>
        <v/>
      </c>
      <c r="P331" s="15" t="str">
        <f>IF(OR(C331="",NOT(OR(ISNUMBER(SEARCH("Antitarnish",Upload!P321&amp;Upload!Q321&amp;Upload!R321&amp;Upload!S321&amp;Upload!T321)),ISNUMBER(SEARCH("Anti Tarnish",Upload!P321&amp;Upload!Q321&amp;Upload!R321&amp;Upload!S321&amp;Upload!T321))))),"",0.0012*C331)</f>
        <v/>
      </c>
      <c r="Q331" s="15" t="str">
        <f>IF(OR(E331="",NOT(OR(ISNUMBER(SEARCH("Epóxico MT",Upload!P321&amp;Upload!Q321&amp;Upload!R321&amp;Upload!S321&amp;Upload!T321))))),"",E331*0.000035)</f>
        <v/>
      </c>
      <c r="R331" s="15" t="str">
        <f>IF(OR(F331="",NOT(OR(ISNUMBER(SEARCH("Epóxico BT",Upload!Q321&amp;Upload!R321&amp;Upload!S321&amp;Upload!T321&amp;Upload!U321))))),"",F331*0.000035)</f>
        <v/>
      </c>
      <c r="S331" s="15" t="str">
        <f>IF(OR(G331="",NOT(OR(ISNUMBER(SEARCH("Epóxico Rojo",Upload!R321&amp;Upload!S321&amp;Upload!T321&amp;Upload!U321&amp;Upload!V321))))),"",G331*0.000035)</f>
        <v/>
      </c>
    </row>
    <row r="332" spans="1:19" x14ac:dyDescent="0.2">
      <c r="A332" s="9" t="e">
        <f t="shared" ca="1" si="24"/>
        <v>#NAME?</v>
      </c>
      <c r="B332" s="9">
        <f>Upload!E322</f>
        <v>0</v>
      </c>
      <c r="C332" s="9">
        <f>Upload!AE322</f>
        <v>0</v>
      </c>
      <c r="D332" s="9">
        <f>Upload!AF322</f>
        <v>0</v>
      </c>
      <c r="E332" s="9">
        <f>Upload!AG322</f>
        <v>0</v>
      </c>
      <c r="F332" s="9" t="str">
        <f>Upload!X322</f>
        <v/>
      </c>
      <c r="G332" s="9" t="str">
        <f>Upload!Z322</f>
        <v/>
      </c>
      <c r="H332" s="9" t="str">
        <f>Upload!W322</f>
        <v>(seleccione)</v>
      </c>
      <c r="I332" s="9" t="str">
        <f>Upload!Y322</f>
        <v>(seleccione)</v>
      </c>
      <c r="K332" s="15" t="str">
        <f t="shared" si="30"/>
        <v/>
      </c>
      <c r="L332" s="15" t="str">
        <f t="shared" si="31"/>
        <v/>
      </c>
      <c r="M332" s="15" t="str">
        <f t="shared" si="32"/>
        <v/>
      </c>
      <c r="N332" s="15" t="str">
        <f t="shared" si="33"/>
        <v/>
      </c>
      <c r="O332" s="15" t="str">
        <f t="shared" si="34"/>
        <v/>
      </c>
      <c r="P332" s="15" t="str">
        <f>IF(OR(C332="",NOT(OR(ISNUMBER(SEARCH("Antitarnish",Upload!P322&amp;Upload!Q322&amp;Upload!R322&amp;Upload!S322&amp;Upload!T322)),ISNUMBER(SEARCH("Anti Tarnish",Upload!P322&amp;Upload!Q322&amp;Upload!R322&amp;Upload!S322&amp;Upload!T322))))),"",0.0012*C332)</f>
        <v/>
      </c>
      <c r="Q332" s="15" t="str">
        <f>IF(OR(E332="",NOT(OR(ISNUMBER(SEARCH("Epóxico MT",Upload!P322&amp;Upload!Q322&amp;Upload!R322&amp;Upload!S322&amp;Upload!T322))))),"",E332*0.000035)</f>
        <v/>
      </c>
      <c r="R332" s="15" t="str">
        <f>IF(OR(F332="",NOT(OR(ISNUMBER(SEARCH("Epóxico BT",Upload!Q322&amp;Upload!R322&amp;Upload!S322&amp;Upload!T322&amp;Upload!U322))))),"",F332*0.000035)</f>
        <v/>
      </c>
      <c r="S332" s="15" t="str">
        <f>IF(OR(G332="",NOT(OR(ISNUMBER(SEARCH("Epóxico Rojo",Upload!R322&amp;Upload!S322&amp;Upload!T322&amp;Upload!U322&amp;Upload!V322))))),"",G332*0.000035)</f>
        <v/>
      </c>
    </row>
    <row r="333" spans="1:19" x14ac:dyDescent="0.2">
      <c r="A333" s="9" t="e">
        <f t="shared" ca="1" si="24"/>
        <v>#NAME?</v>
      </c>
      <c r="B333" s="9">
        <f>Upload!E323</f>
        <v>0</v>
      </c>
      <c r="C333" s="9">
        <f>Upload!AE323</f>
        <v>0</v>
      </c>
      <c r="D333" s="9">
        <f>Upload!AF323</f>
        <v>0</v>
      </c>
      <c r="E333" s="9">
        <f>Upload!AG323</f>
        <v>0</v>
      </c>
      <c r="F333" s="9" t="str">
        <f>Upload!X323</f>
        <v/>
      </c>
      <c r="G333" s="9" t="str">
        <f>Upload!Z323</f>
        <v/>
      </c>
      <c r="H333" s="9" t="str">
        <f>Upload!W323</f>
        <v>(seleccione)</v>
      </c>
      <c r="I333" s="9" t="str">
        <f>Upload!Y323</f>
        <v>(seleccione)</v>
      </c>
      <c r="K333" s="15" t="str">
        <f t="shared" si="30"/>
        <v/>
      </c>
      <c r="L333" s="15" t="str">
        <f t="shared" si="31"/>
        <v/>
      </c>
      <c r="M333" s="15" t="str">
        <f t="shared" si="32"/>
        <v/>
      </c>
      <c r="N333" s="15" t="str">
        <f t="shared" si="33"/>
        <v/>
      </c>
      <c r="O333" s="15" t="str">
        <f t="shared" si="34"/>
        <v/>
      </c>
      <c r="P333" s="15" t="str">
        <f>IF(OR(C333="",NOT(OR(ISNUMBER(SEARCH("Antitarnish",Upload!P323&amp;Upload!Q323&amp;Upload!R323&amp;Upload!S323&amp;Upload!T323)),ISNUMBER(SEARCH("Anti Tarnish",Upload!P323&amp;Upload!Q323&amp;Upload!R323&amp;Upload!S323&amp;Upload!T323))))),"",0.0012*C333)</f>
        <v/>
      </c>
      <c r="Q333" s="15" t="str">
        <f>IF(OR(E333="",NOT(OR(ISNUMBER(SEARCH("Epóxico MT",Upload!P323&amp;Upload!Q323&amp;Upload!R323&amp;Upload!S323&amp;Upload!T323))))),"",E333*0.000035)</f>
        <v/>
      </c>
      <c r="R333" s="15" t="str">
        <f>IF(OR(F333="",NOT(OR(ISNUMBER(SEARCH("Epóxico BT",Upload!Q323&amp;Upload!R323&amp;Upload!S323&amp;Upload!T323&amp;Upload!U323))))),"",F333*0.000035)</f>
        <v/>
      </c>
      <c r="S333" s="15" t="str">
        <f>IF(OR(G333="",NOT(OR(ISNUMBER(SEARCH("Epóxico Rojo",Upload!R323&amp;Upload!S323&amp;Upload!T323&amp;Upload!U323&amp;Upload!V323))))),"",G333*0.000035)</f>
        <v/>
      </c>
    </row>
    <row r="334" spans="1:19" x14ac:dyDescent="0.2">
      <c r="A334" s="9" t="e">
        <f t="shared" ca="1" si="24"/>
        <v>#NAME?</v>
      </c>
      <c r="B334" s="9">
        <f>Upload!E324</f>
        <v>0</v>
      </c>
      <c r="C334" s="9">
        <f>Upload!AE324</f>
        <v>0</v>
      </c>
      <c r="D334" s="9">
        <f>Upload!AF324</f>
        <v>0</v>
      </c>
      <c r="E334" s="9">
        <f>Upload!AG324</f>
        <v>0</v>
      </c>
      <c r="F334" s="9" t="str">
        <f>Upload!X324</f>
        <v/>
      </c>
      <c r="G334" s="9" t="str">
        <f>Upload!Z324</f>
        <v/>
      </c>
      <c r="H334" s="9" t="str">
        <f>Upload!W324</f>
        <v>(seleccione)</v>
      </c>
      <c r="I334" s="9" t="str">
        <f>Upload!Y324</f>
        <v>(seleccione)</v>
      </c>
      <c r="K334" s="15" t="str">
        <f t="shared" si="30"/>
        <v/>
      </c>
      <c r="L334" s="15" t="str">
        <f t="shared" si="31"/>
        <v/>
      </c>
      <c r="M334" s="15" t="str">
        <f t="shared" si="32"/>
        <v/>
      </c>
      <c r="N334" s="15" t="str">
        <f t="shared" si="33"/>
        <v/>
      </c>
      <c r="O334" s="15" t="str">
        <f t="shared" si="34"/>
        <v/>
      </c>
      <c r="P334" s="15" t="str">
        <f>IF(OR(C334="",NOT(OR(ISNUMBER(SEARCH("Antitarnish",Upload!P324&amp;Upload!Q324&amp;Upload!R324&amp;Upload!S324&amp;Upload!T324)),ISNUMBER(SEARCH("Anti Tarnish",Upload!P324&amp;Upload!Q324&amp;Upload!R324&amp;Upload!S324&amp;Upload!T324))))),"",0.0012*C334)</f>
        <v/>
      </c>
      <c r="Q334" s="15" t="str">
        <f>IF(OR(E334="",NOT(OR(ISNUMBER(SEARCH("Epóxico MT",Upload!P324&amp;Upload!Q324&amp;Upload!R324&amp;Upload!S324&amp;Upload!T324))))),"",E334*0.000035)</f>
        <v/>
      </c>
      <c r="R334" s="15" t="str">
        <f>IF(OR(F334="",NOT(OR(ISNUMBER(SEARCH("Epóxico BT",Upload!Q324&amp;Upload!R324&amp;Upload!S324&amp;Upload!T324&amp;Upload!U324))))),"",F334*0.000035)</f>
        <v/>
      </c>
      <c r="S334" s="15" t="str">
        <f>IF(OR(G334="",NOT(OR(ISNUMBER(SEARCH("Epóxico Rojo",Upload!R324&amp;Upload!S324&amp;Upload!T324&amp;Upload!U324&amp;Upload!V324))))),"",G334*0.000035)</f>
        <v/>
      </c>
    </row>
    <row r="335" spans="1:19" x14ac:dyDescent="0.2">
      <c r="A335" s="9" t="e">
        <f t="shared" ca="1" si="24"/>
        <v>#NAME?</v>
      </c>
      <c r="B335" s="9">
        <f>Upload!E325</f>
        <v>0</v>
      </c>
      <c r="C335" s="9">
        <f>Upload!AE325</f>
        <v>0</v>
      </c>
      <c r="D335" s="9">
        <f>Upload!AF325</f>
        <v>0</v>
      </c>
      <c r="E335" s="9">
        <f>Upload!AG325</f>
        <v>0</v>
      </c>
      <c r="F335" s="9" t="str">
        <f>Upload!X325</f>
        <v/>
      </c>
      <c r="G335" s="9" t="str">
        <f>Upload!Z325</f>
        <v/>
      </c>
      <c r="H335" s="9" t="str">
        <f>Upload!W325</f>
        <v>(seleccione)</v>
      </c>
      <c r="I335" s="9" t="str">
        <f>Upload!Y325</f>
        <v>(seleccione)</v>
      </c>
      <c r="K335" s="15" t="str">
        <f t="shared" si="30"/>
        <v/>
      </c>
      <c r="L335" s="15" t="str">
        <f t="shared" si="31"/>
        <v/>
      </c>
      <c r="M335" s="15" t="str">
        <f t="shared" si="32"/>
        <v/>
      </c>
      <c r="N335" s="15" t="str">
        <f t="shared" si="33"/>
        <v/>
      </c>
      <c r="O335" s="15" t="str">
        <f t="shared" si="34"/>
        <v/>
      </c>
      <c r="P335" s="15" t="str">
        <f>IF(OR(C335="",NOT(OR(ISNUMBER(SEARCH("Antitarnish",Upload!P325&amp;Upload!Q325&amp;Upload!R325&amp;Upload!S325&amp;Upload!T325)),ISNUMBER(SEARCH("Anti Tarnish",Upload!P325&amp;Upload!Q325&amp;Upload!R325&amp;Upload!S325&amp;Upload!T325))))),"",0.0012*C335)</f>
        <v/>
      </c>
      <c r="Q335" s="15" t="str">
        <f>IF(OR(E335="",NOT(OR(ISNUMBER(SEARCH("Epóxico MT",Upload!P325&amp;Upload!Q325&amp;Upload!R325&amp;Upload!S325&amp;Upload!T325))))),"",E335*0.000035)</f>
        <v/>
      </c>
      <c r="R335" s="15" t="str">
        <f>IF(OR(F335="",NOT(OR(ISNUMBER(SEARCH("Epóxico BT",Upload!Q325&amp;Upload!R325&amp;Upload!S325&amp;Upload!T325&amp;Upload!U325))))),"",F335*0.000035)</f>
        <v/>
      </c>
      <c r="S335" s="15" t="str">
        <f>IF(OR(G335="",NOT(OR(ISNUMBER(SEARCH("Epóxico Rojo",Upload!R325&amp;Upload!S325&amp;Upload!T325&amp;Upload!U325&amp;Upload!V325))))),"",G335*0.000035)</f>
        <v/>
      </c>
    </row>
    <row r="336" spans="1:19" x14ac:dyDescent="0.2">
      <c r="A336" s="9" t="e">
        <f t="shared" ca="1" si="24"/>
        <v>#NAME?</v>
      </c>
      <c r="B336" s="9">
        <f>Upload!E326</f>
        <v>0</v>
      </c>
      <c r="C336" s="9">
        <f>Upload!AE326</f>
        <v>0</v>
      </c>
      <c r="D336" s="9">
        <f>Upload!AF326</f>
        <v>0</v>
      </c>
      <c r="E336" s="9">
        <f>Upload!AG326</f>
        <v>0</v>
      </c>
      <c r="F336" s="9" t="str">
        <f>Upload!X326</f>
        <v/>
      </c>
      <c r="G336" s="9" t="str">
        <f>Upload!Z326</f>
        <v/>
      </c>
      <c r="H336" s="9" t="str">
        <f>Upload!W326</f>
        <v>(seleccione)</v>
      </c>
      <c r="I336" s="9" t="str">
        <f>Upload!Y326</f>
        <v>(seleccione)</v>
      </c>
      <c r="K336" s="15" t="str">
        <f t="shared" si="30"/>
        <v/>
      </c>
      <c r="L336" s="15" t="str">
        <f t="shared" si="31"/>
        <v/>
      </c>
      <c r="M336" s="15" t="str">
        <f t="shared" si="32"/>
        <v/>
      </c>
      <c r="N336" s="15" t="str">
        <f t="shared" si="33"/>
        <v/>
      </c>
      <c r="O336" s="15" t="str">
        <f t="shared" si="34"/>
        <v/>
      </c>
      <c r="P336" s="15" t="str">
        <f>IF(OR(C336="",NOT(OR(ISNUMBER(SEARCH("Antitarnish",Upload!P326&amp;Upload!Q326&amp;Upload!R326&amp;Upload!S326&amp;Upload!T326)),ISNUMBER(SEARCH("Anti Tarnish",Upload!P326&amp;Upload!Q326&amp;Upload!R326&amp;Upload!S326&amp;Upload!T326))))),"",0.0012*C336)</f>
        <v/>
      </c>
      <c r="Q336" s="15" t="str">
        <f>IF(OR(E336="",NOT(OR(ISNUMBER(SEARCH("Epóxico MT",Upload!P326&amp;Upload!Q326&amp;Upload!R326&amp;Upload!S326&amp;Upload!T326))))),"",E336*0.000035)</f>
        <v/>
      </c>
      <c r="R336" s="15" t="str">
        <f>IF(OR(F336="",NOT(OR(ISNUMBER(SEARCH("Epóxico BT",Upload!Q326&amp;Upload!R326&amp;Upload!S326&amp;Upload!T326&amp;Upload!U326))))),"",F336*0.000035)</f>
        <v/>
      </c>
      <c r="S336" s="15" t="str">
        <f>IF(OR(G336="",NOT(OR(ISNUMBER(SEARCH("Epóxico Rojo",Upload!R326&amp;Upload!S326&amp;Upload!T326&amp;Upload!U326&amp;Upload!V326))))),"",G336*0.000035)</f>
        <v/>
      </c>
    </row>
    <row r="337" spans="1:19" x14ac:dyDescent="0.2">
      <c r="A337" s="9" t="e">
        <f t="shared" ca="1" si="24"/>
        <v>#NAME?</v>
      </c>
      <c r="B337" s="9">
        <f>Upload!E327</f>
        <v>0</v>
      </c>
      <c r="C337" s="9">
        <f>Upload!AE327</f>
        <v>0</v>
      </c>
      <c r="D337" s="9">
        <f>Upload!AF327</f>
        <v>0</v>
      </c>
      <c r="E337" s="9">
        <f>Upload!AG327</f>
        <v>0</v>
      </c>
      <c r="F337" s="9" t="str">
        <f>Upload!X327</f>
        <v/>
      </c>
      <c r="G337" s="9" t="str">
        <f>Upload!Z327</f>
        <v/>
      </c>
      <c r="H337" s="9" t="str">
        <f>Upload!W327</f>
        <v>(seleccione)</v>
      </c>
      <c r="I337" s="9" t="str">
        <f>Upload!Y327</f>
        <v>(seleccione)</v>
      </c>
      <c r="K337" s="15" t="str">
        <f t="shared" si="30"/>
        <v/>
      </c>
      <c r="L337" s="15" t="str">
        <f t="shared" si="31"/>
        <v/>
      </c>
      <c r="M337" s="15" t="str">
        <f t="shared" si="32"/>
        <v/>
      </c>
      <c r="N337" s="15" t="str">
        <f t="shared" si="33"/>
        <v/>
      </c>
      <c r="O337" s="15" t="str">
        <f t="shared" si="34"/>
        <v/>
      </c>
      <c r="P337" s="15" t="str">
        <f>IF(OR(C337="",NOT(OR(ISNUMBER(SEARCH("Antitarnish",Upload!P327&amp;Upload!Q327&amp;Upload!R327&amp;Upload!S327&amp;Upload!T327)),ISNUMBER(SEARCH("Anti Tarnish",Upload!P327&amp;Upload!Q327&amp;Upload!R327&amp;Upload!S327&amp;Upload!T327))))),"",0.0012*C337)</f>
        <v/>
      </c>
      <c r="Q337" s="15" t="str">
        <f>IF(OR(E337="",NOT(OR(ISNUMBER(SEARCH("Epóxico MT",Upload!P327&amp;Upload!Q327&amp;Upload!R327&amp;Upload!S327&amp;Upload!T327))))),"",E337*0.000035)</f>
        <v/>
      </c>
      <c r="R337" s="15" t="str">
        <f>IF(OR(F337="",NOT(OR(ISNUMBER(SEARCH("Epóxico BT",Upload!Q327&amp;Upload!R327&amp;Upload!S327&amp;Upload!T327&amp;Upload!U327))))),"",F337*0.000035)</f>
        <v/>
      </c>
      <c r="S337" s="15" t="str">
        <f>IF(OR(G337="",NOT(OR(ISNUMBER(SEARCH("Epóxico Rojo",Upload!R327&amp;Upload!S327&amp;Upload!T327&amp;Upload!U327&amp;Upload!V327))))),"",G337*0.000035)</f>
        <v/>
      </c>
    </row>
    <row r="338" spans="1:19" x14ac:dyDescent="0.2">
      <c r="A338" s="9" t="e">
        <f t="shared" ca="1" si="24"/>
        <v>#NAME?</v>
      </c>
      <c r="B338" s="9">
        <f>Upload!E328</f>
        <v>0</v>
      </c>
      <c r="C338" s="9">
        <f>Upload!AE328</f>
        <v>0</v>
      </c>
      <c r="D338" s="9">
        <f>Upload!AF328</f>
        <v>0</v>
      </c>
      <c r="E338" s="9">
        <f>Upload!AG328</f>
        <v>0</v>
      </c>
      <c r="F338" s="9" t="str">
        <f>Upload!X328</f>
        <v/>
      </c>
      <c r="G338" s="9" t="str">
        <f>Upload!Z328</f>
        <v/>
      </c>
      <c r="H338" s="9" t="str">
        <f>Upload!W328</f>
        <v>(seleccione)</v>
      </c>
      <c r="I338" s="9" t="str">
        <f>Upload!Y328</f>
        <v>(seleccione)</v>
      </c>
      <c r="K338" s="15" t="str">
        <f t="shared" si="30"/>
        <v/>
      </c>
      <c r="L338" s="15" t="str">
        <f t="shared" si="31"/>
        <v/>
      </c>
      <c r="M338" s="15" t="str">
        <f t="shared" si="32"/>
        <v/>
      </c>
      <c r="N338" s="15" t="str">
        <f t="shared" si="33"/>
        <v/>
      </c>
      <c r="O338" s="15" t="str">
        <f t="shared" si="34"/>
        <v/>
      </c>
      <c r="P338" s="15" t="str">
        <f>IF(OR(C338="",NOT(OR(ISNUMBER(SEARCH("Antitarnish",Upload!P328&amp;Upload!Q328&amp;Upload!R328&amp;Upload!S328&amp;Upload!T328)),ISNUMBER(SEARCH("Anti Tarnish",Upload!P328&amp;Upload!Q328&amp;Upload!R328&amp;Upload!S328&amp;Upload!T328))))),"",0.0012*C338)</f>
        <v/>
      </c>
      <c r="Q338" s="15" t="str">
        <f>IF(OR(E338="",NOT(OR(ISNUMBER(SEARCH("Epóxico MT",Upload!P328&amp;Upload!Q328&amp;Upload!R328&amp;Upload!S328&amp;Upload!T328))))),"",E338*0.000035)</f>
        <v/>
      </c>
      <c r="R338" s="15" t="str">
        <f>IF(OR(F338="",NOT(OR(ISNUMBER(SEARCH("Epóxico BT",Upload!Q328&amp;Upload!R328&amp;Upload!S328&amp;Upload!T328&amp;Upload!U328))))),"",F338*0.000035)</f>
        <v/>
      </c>
      <c r="S338" s="15" t="str">
        <f>IF(OR(G338="",NOT(OR(ISNUMBER(SEARCH("Epóxico Rojo",Upload!R328&amp;Upload!S328&amp;Upload!T328&amp;Upload!U328&amp;Upload!V328))))),"",G338*0.000035)</f>
        <v/>
      </c>
    </row>
    <row r="339" spans="1:19" x14ac:dyDescent="0.2">
      <c r="A339" s="9" t="e">
        <f t="shared" ref="A339:A402" ca="1" si="35">_xludf.ROW()-18</f>
        <v>#NAME?</v>
      </c>
      <c r="B339" s="9">
        <f>Upload!E329</f>
        <v>0</v>
      </c>
      <c r="C339" s="9">
        <f>Upload!AE329</f>
        <v>0</v>
      </c>
      <c r="D339" s="9">
        <f>Upload!AF329</f>
        <v>0</v>
      </c>
      <c r="E339" s="9">
        <f>Upload!AG329</f>
        <v>0</v>
      </c>
      <c r="F339" s="9" t="str">
        <f>Upload!X329</f>
        <v/>
      </c>
      <c r="G339" s="9" t="str">
        <f>Upload!Z329</f>
        <v/>
      </c>
      <c r="H339" s="9" t="str">
        <f>Upload!W329</f>
        <v>(seleccione)</v>
      </c>
      <c r="I339" s="9" t="str">
        <f>Upload!Y329</f>
        <v>(seleccione)</v>
      </c>
      <c r="K339" s="15" t="str">
        <f t="shared" si="30"/>
        <v/>
      </c>
      <c r="L339" s="15" t="str">
        <f t="shared" si="31"/>
        <v/>
      </c>
      <c r="M339" s="15" t="str">
        <f t="shared" si="32"/>
        <v/>
      </c>
      <c r="N339" s="15" t="str">
        <f t="shared" si="33"/>
        <v/>
      </c>
      <c r="O339" s="15" t="str">
        <f t="shared" si="34"/>
        <v/>
      </c>
      <c r="P339" s="15" t="str">
        <f>IF(OR(C339="",NOT(OR(ISNUMBER(SEARCH("Antitarnish",Upload!P329&amp;Upload!Q329&amp;Upload!R329&amp;Upload!S329&amp;Upload!T329)),ISNUMBER(SEARCH("Anti Tarnish",Upload!P329&amp;Upload!Q329&amp;Upload!R329&amp;Upload!S329&amp;Upload!T329))))),"",0.0012*C339)</f>
        <v/>
      </c>
      <c r="Q339" s="15" t="str">
        <f>IF(OR(E339="",NOT(OR(ISNUMBER(SEARCH("Epóxico MT",Upload!P329&amp;Upload!Q329&amp;Upload!R329&amp;Upload!S329&amp;Upload!T329))))),"",E339*0.000035)</f>
        <v/>
      </c>
      <c r="R339" s="15" t="str">
        <f>IF(OR(F339="",NOT(OR(ISNUMBER(SEARCH("Epóxico BT",Upload!Q329&amp;Upload!R329&amp;Upload!S329&amp;Upload!T329&amp;Upload!U329))))),"",F339*0.000035)</f>
        <v/>
      </c>
      <c r="S339" s="15" t="str">
        <f>IF(OR(G339="",NOT(OR(ISNUMBER(SEARCH("Epóxico Rojo",Upload!R329&amp;Upload!S329&amp;Upload!T329&amp;Upload!U329&amp;Upload!V329))))),"",G339*0.000035)</f>
        <v/>
      </c>
    </row>
    <row r="340" spans="1:19" x14ac:dyDescent="0.2">
      <c r="A340" s="9" t="e">
        <f t="shared" ca="1" si="35"/>
        <v>#NAME?</v>
      </c>
      <c r="B340" s="9">
        <f>Upload!E330</f>
        <v>0</v>
      </c>
      <c r="C340" s="9">
        <f>Upload!AE330</f>
        <v>0</v>
      </c>
      <c r="D340" s="9">
        <f>Upload!AF330</f>
        <v>0</v>
      </c>
      <c r="E340" s="9">
        <f>Upload!AG330</f>
        <v>0</v>
      </c>
      <c r="F340" s="9" t="str">
        <f>Upload!X330</f>
        <v/>
      </c>
      <c r="G340" s="9" t="str">
        <f>Upload!Z330</f>
        <v/>
      </c>
      <c r="H340" s="9" t="str">
        <f>Upload!W330</f>
        <v>(seleccione)</v>
      </c>
      <c r="I340" s="9" t="str">
        <f>Upload!Y330</f>
        <v>(seleccione)</v>
      </c>
      <c r="K340" s="15" t="str">
        <f t="shared" si="30"/>
        <v/>
      </c>
      <c r="L340" s="15" t="str">
        <f t="shared" si="31"/>
        <v/>
      </c>
      <c r="M340" s="15" t="str">
        <f t="shared" si="32"/>
        <v/>
      </c>
      <c r="N340" s="15" t="str">
        <f t="shared" si="33"/>
        <v/>
      </c>
      <c r="O340" s="15" t="str">
        <f t="shared" si="34"/>
        <v/>
      </c>
      <c r="P340" s="15" t="str">
        <f>IF(OR(C340="",NOT(OR(ISNUMBER(SEARCH("Antitarnish",Upload!P330&amp;Upload!Q330&amp;Upload!R330&amp;Upload!S330&amp;Upload!T330)),ISNUMBER(SEARCH("Anti Tarnish",Upload!P330&amp;Upload!Q330&amp;Upload!R330&amp;Upload!S330&amp;Upload!T330))))),"",0.0012*C340)</f>
        <v/>
      </c>
      <c r="Q340" s="15" t="str">
        <f>IF(OR(E340="",NOT(OR(ISNUMBER(SEARCH("Epóxico MT",Upload!P330&amp;Upload!Q330&amp;Upload!R330&amp;Upload!S330&amp;Upload!T330))))),"",E340*0.000035)</f>
        <v/>
      </c>
      <c r="R340" s="15" t="str">
        <f>IF(OR(F340="",NOT(OR(ISNUMBER(SEARCH("Epóxico BT",Upload!Q330&amp;Upload!R330&amp;Upload!S330&amp;Upload!T330&amp;Upload!U330))))),"",F340*0.000035)</f>
        <v/>
      </c>
      <c r="S340" s="15" t="str">
        <f>IF(OR(G340="",NOT(OR(ISNUMBER(SEARCH("Epóxico Rojo",Upload!R330&amp;Upload!S330&amp;Upload!T330&amp;Upload!U330&amp;Upload!V330))))),"",G340*0.000035)</f>
        <v/>
      </c>
    </row>
    <row r="341" spans="1:19" x14ac:dyDescent="0.2">
      <c r="A341" s="9" t="e">
        <f t="shared" ca="1" si="35"/>
        <v>#NAME?</v>
      </c>
      <c r="B341" s="9">
        <f>Upload!E331</f>
        <v>0</v>
      </c>
      <c r="C341" s="9">
        <f>Upload!AE331</f>
        <v>0</v>
      </c>
      <c r="D341" s="9">
        <f>Upload!AF331</f>
        <v>0</v>
      </c>
      <c r="E341" s="9">
        <f>Upload!AG331</f>
        <v>0</v>
      </c>
      <c r="F341" s="9" t="str">
        <f>Upload!X331</f>
        <v/>
      </c>
      <c r="G341" s="9" t="str">
        <f>Upload!Z331</f>
        <v/>
      </c>
      <c r="H341" s="9" t="str">
        <f>Upload!W331</f>
        <v>(seleccione)</v>
      </c>
      <c r="I341" s="9" t="str">
        <f>Upload!Y331</f>
        <v>(seleccione)</v>
      </c>
      <c r="K341" s="15" t="str">
        <f t="shared" si="30"/>
        <v/>
      </c>
      <c r="L341" s="15" t="str">
        <f t="shared" si="31"/>
        <v/>
      </c>
      <c r="M341" s="15" t="str">
        <f t="shared" si="32"/>
        <v/>
      </c>
      <c r="N341" s="15" t="str">
        <f t="shared" si="33"/>
        <v/>
      </c>
      <c r="O341" s="15" t="str">
        <f t="shared" si="34"/>
        <v/>
      </c>
      <c r="P341" s="15" t="str">
        <f>IF(OR(C341="",NOT(OR(ISNUMBER(SEARCH("Antitarnish",Upload!P331&amp;Upload!Q331&amp;Upload!R331&amp;Upload!S331&amp;Upload!T331)),ISNUMBER(SEARCH("Anti Tarnish",Upload!P331&amp;Upload!Q331&amp;Upload!R331&amp;Upload!S331&amp;Upload!T331))))),"",0.0012*C341)</f>
        <v/>
      </c>
      <c r="Q341" s="15" t="str">
        <f>IF(OR(E341="",NOT(OR(ISNUMBER(SEARCH("Epóxico MT",Upload!P331&amp;Upload!Q331&amp;Upload!R331&amp;Upload!S331&amp;Upload!T331))))),"",E341*0.000035)</f>
        <v/>
      </c>
      <c r="R341" s="15" t="str">
        <f>IF(OR(F341="",NOT(OR(ISNUMBER(SEARCH("Epóxico BT",Upload!Q331&amp;Upload!R331&amp;Upload!S331&amp;Upload!T331&amp;Upload!U331))))),"",F341*0.000035)</f>
        <v/>
      </c>
      <c r="S341" s="15" t="str">
        <f>IF(OR(G341="",NOT(OR(ISNUMBER(SEARCH("Epóxico Rojo",Upload!R331&amp;Upload!S331&amp;Upload!T331&amp;Upload!U331&amp;Upload!V331))))),"",G341*0.000035)</f>
        <v/>
      </c>
    </row>
    <row r="342" spans="1:19" x14ac:dyDescent="0.2">
      <c r="A342" s="9" t="e">
        <f t="shared" ca="1" si="35"/>
        <v>#NAME?</v>
      </c>
      <c r="B342" s="9">
        <f>Upload!E332</f>
        <v>0</v>
      </c>
      <c r="C342" s="9">
        <f>Upload!AE332</f>
        <v>0</v>
      </c>
      <c r="D342" s="9">
        <f>Upload!AF332</f>
        <v>0</v>
      </c>
      <c r="E342" s="9">
        <f>Upload!AG332</f>
        <v>0</v>
      </c>
      <c r="F342" s="9" t="str">
        <f>Upload!X332</f>
        <v/>
      </c>
      <c r="G342" s="9" t="str">
        <f>Upload!Z332</f>
        <v/>
      </c>
      <c r="H342" s="9" t="str">
        <f>Upload!W332</f>
        <v>(seleccione)</v>
      </c>
      <c r="I342" s="9" t="str">
        <f>Upload!Y332</f>
        <v>(seleccione)</v>
      </c>
      <c r="K342" s="15" t="str">
        <f t="shared" si="30"/>
        <v/>
      </c>
      <c r="L342" s="15" t="str">
        <f t="shared" si="31"/>
        <v/>
      </c>
      <c r="M342" s="15" t="str">
        <f t="shared" si="32"/>
        <v/>
      </c>
      <c r="N342" s="15" t="str">
        <f t="shared" si="33"/>
        <v/>
      </c>
      <c r="O342" s="15" t="str">
        <f t="shared" si="34"/>
        <v/>
      </c>
      <c r="P342" s="15" t="str">
        <f>IF(OR(C342="",NOT(OR(ISNUMBER(SEARCH("Antitarnish",Upload!P332&amp;Upload!Q332&amp;Upload!R332&amp;Upload!S332&amp;Upload!T332)),ISNUMBER(SEARCH("Anti Tarnish",Upload!P332&amp;Upload!Q332&amp;Upload!R332&amp;Upload!S332&amp;Upload!T332))))),"",0.0012*C342)</f>
        <v/>
      </c>
      <c r="Q342" s="15" t="str">
        <f>IF(OR(E342="",NOT(OR(ISNUMBER(SEARCH("Epóxico MT",Upload!P332&amp;Upload!Q332&amp;Upload!R332&amp;Upload!S332&amp;Upload!T332))))),"",E342*0.000035)</f>
        <v/>
      </c>
      <c r="R342" s="15" t="str">
        <f>IF(OR(F342="",NOT(OR(ISNUMBER(SEARCH("Epóxico BT",Upload!Q332&amp;Upload!R332&amp;Upload!S332&amp;Upload!T332&amp;Upload!U332))))),"",F342*0.000035)</f>
        <v/>
      </c>
      <c r="S342" s="15" t="str">
        <f>IF(OR(G342="",NOT(OR(ISNUMBER(SEARCH("Epóxico Rojo",Upload!R332&amp;Upload!S332&amp;Upload!T332&amp;Upload!U332&amp;Upload!V332))))),"",G342*0.000035)</f>
        <v/>
      </c>
    </row>
    <row r="343" spans="1:19" x14ac:dyDescent="0.2">
      <c r="A343" s="9" t="e">
        <f t="shared" ca="1" si="35"/>
        <v>#NAME?</v>
      </c>
      <c r="B343" s="9">
        <f>Upload!E333</f>
        <v>0</v>
      </c>
      <c r="C343" s="9">
        <f>Upload!AE333</f>
        <v>0</v>
      </c>
      <c r="D343" s="9">
        <f>Upload!AF333</f>
        <v>0</v>
      </c>
      <c r="E343" s="9">
        <f>Upload!AG333</f>
        <v>0</v>
      </c>
      <c r="F343" s="9" t="str">
        <f>Upload!X333</f>
        <v/>
      </c>
      <c r="G343" s="9" t="str">
        <f>Upload!Z333</f>
        <v/>
      </c>
      <c r="H343" s="9" t="str">
        <f>Upload!W333</f>
        <v>(seleccione)</v>
      </c>
      <c r="I343" s="9" t="str">
        <f>Upload!Y333</f>
        <v>(seleccione)</v>
      </c>
      <c r="K343" s="15" t="str">
        <f t="shared" si="30"/>
        <v/>
      </c>
      <c r="L343" s="15" t="str">
        <f t="shared" si="31"/>
        <v/>
      </c>
      <c r="M343" s="15" t="str">
        <f t="shared" si="32"/>
        <v/>
      </c>
      <c r="N343" s="15" t="str">
        <f t="shared" si="33"/>
        <v/>
      </c>
      <c r="O343" s="15" t="str">
        <f t="shared" si="34"/>
        <v/>
      </c>
      <c r="P343" s="15" t="str">
        <f>IF(OR(C343="",NOT(OR(ISNUMBER(SEARCH("Antitarnish",Upload!P333&amp;Upload!Q333&amp;Upload!R333&amp;Upload!S333&amp;Upload!T333)),ISNUMBER(SEARCH("Anti Tarnish",Upload!P333&amp;Upload!Q333&amp;Upload!R333&amp;Upload!S333&amp;Upload!T333))))),"",0.0012*C343)</f>
        <v/>
      </c>
      <c r="Q343" s="15" t="str">
        <f>IF(OR(E343="",NOT(OR(ISNUMBER(SEARCH("Epóxico MT",Upload!P333&amp;Upload!Q333&amp;Upload!R333&amp;Upload!S333&amp;Upload!T333))))),"",E343*0.000035)</f>
        <v/>
      </c>
      <c r="R343" s="15" t="str">
        <f>IF(OR(F343="",NOT(OR(ISNUMBER(SEARCH("Epóxico BT",Upload!Q333&amp;Upload!R333&amp;Upload!S333&amp;Upload!T333&amp;Upload!U333))))),"",F343*0.000035)</f>
        <v/>
      </c>
      <c r="S343" s="15" t="str">
        <f>IF(OR(G343="",NOT(OR(ISNUMBER(SEARCH("Epóxico Rojo",Upload!R333&amp;Upload!S333&amp;Upload!T333&amp;Upload!U333&amp;Upload!V333))))),"",G343*0.000035)</f>
        <v/>
      </c>
    </row>
    <row r="344" spans="1:19" x14ac:dyDescent="0.2">
      <c r="A344" s="9" t="e">
        <f t="shared" ca="1" si="35"/>
        <v>#NAME?</v>
      </c>
      <c r="B344" s="9">
        <f>Upload!E334</f>
        <v>0</v>
      </c>
      <c r="C344" s="9">
        <f>Upload!AE334</f>
        <v>0</v>
      </c>
      <c r="D344" s="9">
        <f>Upload!AF334</f>
        <v>0</v>
      </c>
      <c r="E344" s="9">
        <f>Upload!AG334</f>
        <v>0</v>
      </c>
      <c r="F344" s="9" t="str">
        <f>Upload!X334</f>
        <v/>
      </c>
      <c r="G344" s="9" t="str">
        <f>Upload!Z334</f>
        <v/>
      </c>
      <c r="H344" s="9" t="str">
        <f>Upload!W334</f>
        <v>(seleccione)</v>
      </c>
      <c r="I344" s="9" t="str">
        <f>Upload!Y334</f>
        <v>(seleccione)</v>
      </c>
      <c r="K344" s="15" t="str">
        <f t="shared" si="30"/>
        <v/>
      </c>
      <c r="L344" s="15" t="str">
        <f t="shared" si="31"/>
        <v/>
      </c>
      <c r="M344" s="15" t="str">
        <f t="shared" si="32"/>
        <v/>
      </c>
      <c r="N344" s="15" t="str">
        <f t="shared" si="33"/>
        <v/>
      </c>
      <c r="O344" s="15" t="str">
        <f t="shared" si="34"/>
        <v/>
      </c>
      <c r="P344" s="15" t="str">
        <f>IF(OR(C344="",NOT(OR(ISNUMBER(SEARCH("Antitarnish",Upload!P334&amp;Upload!Q334&amp;Upload!R334&amp;Upload!S334&amp;Upload!T334)),ISNUMBER(SEARCH("Anti Tarnish",Upload!P334&amp;Upload!Q334&amp;Upload!R334&amp;Upload!S334&amp;Upload!T334))))),"",0.0012*C344)</f>
        <v/>
      </c>
      <c r="Q344" s="15" t="str">
        <f>IF(OR(E344="",NOT(OR(ISNUMBER(SEARCH("Epóxico MT",Upload!P334&amp;Upload!Q334&amp;Upload!R334&amp;Upload!S334&amp;Upload!T334))))),"",E344*0.000035)</f>
        <v/>
      </c>
      <c r="R344" s="15" t="str">
        <f>IF(OR(F344="",NOT(OR(ISNUMBER(SEARCH("Epóxico BT",Upload!Q334&amp;Upload!R334&amp;Upload!S334&amp;Upload!T334&amp;Upload!U334))))),"",F344*0.000035)</f>
        <v/>
      </c>
      <c r="S344" s="15" t="str">
        <f>IF(OR(G344="",NOT(OR(ISNUMBER(SEARCH("Epóxico Rojo",Upload!R334&amp;Upload!S334&amp;Upload!T334&amp;Upload!U334&amp;Upload!V334))))),"",G344*0.000035)</f>
        <v/>
      </c>
    </row>
    <row r="345" spans="1:19" x14ac:dyDescent="0.2">
      <c r="A345" s="9" t="e">
        <f t="shared" ca="1" si="35"/>
        <v>#NAME?</v>
      </c>
      <c r="B345" s="9">
        <f>Upload!E335</f>
        <v>0</v>
      </c>
      <c r="C345" s="9">
        <f>Upload!AE335</f>
        <v>0</v>
      </c>
      <c r="D345" s="9">
        <f>Upload!AF335</f>
        <v>0</v>
      </c>
      <c r="E345" s="9">
        <f>Upload!AG335</f>
        <v>0</v>
      </c>
      <c r="F345" s="9" t="str">
        <f>Upload!X335</f>
        <v/>
      </c>
      <c r="G345" s="9" t="str">
        <f>Upload!Z335</f>
        <v/>
      </c>
      <c r="H345" s="9" t="str">
        <f>Upload!W335</f>
        <v>(seleccione)</v>
      </c>
      <c r="I345" s="9" t="str">
        <f>Upload!Y335</f>
        <v>(seleccione)</v>
      </c>
      <c r="K345" s="15" t="str">
        <f t="shared" si="30"/>
        <v/>
      </c>
      <c r="L345" s="15" t="str">
        <f t="shared" si="31"/>
        <v/>
      </c>
      <c r="M345" s="15" t="str">
        <f t="shared" si="32"/>
        <v/>
      </c>
      <c r="N345" s="15" t="str">
        <f t="shared" si="33"/>
        <v/>
      </c>
      <c r="O345" s="15" t="str">
        <f t="shared" si="34"/>
        <v/>
      </c>
      <c r="P345" s="15" t="str">
        <f>IF(OR(C345="",NOT(OR(ISNUMBER(SEARCH("Antitarnish",Upload!P335&amp;Upload!Q335&amp;Upload!R335&amp;Upload!S335&amp;Upload!T335)),ISNUMBER(SEARCH("Anti Tarnish",Upload!P335&amp;Upload!Q335&amp;Upload!R335&amp;Upload!S335&amp;Upload!T335))))),"",0.0012*C345)</f>
        <v/>
      </c>
      <c r="Q345" s="15" t="str">
        <f>IF(OR(E345="",NOT(OR(ISNUMBER(SEARCH("Epóxico MT",Upload!P335&amp;Upload!Q335&amp;Upload!R335&amp;Upload!S335&amp;Upload!T335))))),"",E345*0.000035)</f>
        <v/>
      </c>
      <c r="R345" s="15" t="str">
        <f>IF(OR(F345="",NOT(OR(ISNUMBER(SEARCH("Epóxico BT",Upload!Q335&amp;Upload!R335&amp;Upload!S335&amp;Upload!T335&amp;Upload!U335))))),"",F345*0.000035)</f>
        <v/>
      </c>
      <c r="S345" s="15" t="str">
        <f>IF(OR(G345="",NOT(OR(ISNUMBER(SEARCH("Epóxico Rojo",Upload!R335&amp;Upload!S335&amp;Upload!T335&amp;Upload!U335&amp;Upload!V335))))),"",G345*0.000035)</f>
        <v/>
      </c>
    </row>
    <row r="346" spans="1:19" x14ac:dyDescent="0.2">
      <c r="A346" s="9" t="e">
        <f t="shared" ca="1" si="35"/>
        <v>#NAME?</v>
      </c>
      <c r="B346" s="9">
        <f>Upload!E336</f>
        <v>0</v>
      </c>
      <c r="C346" s="9">
        <f>Upload!AE336</f>
        <v>0</v>
      </c>
      <c r="D346" s="9">
        <f>Upload!AF336</f>
        <v>0</v>
      </c>
      <c r="E346" s="9">
        <f>Upload!AG336</f>
        <v>0</v>
      </c>
      <c r="F346" s="9" t="str">
        <f>Upload!X336</f>
        <v/>
      </c>
      <c r="G346" s="9" t="str">
        <f>Upload!Z336</f>
        <v/>
      </c>
      <c r="H346" s="9" t="str">
        <f>Upload!W336</f>
        <v>(seleccione)</v>
      </c>
      <c r="I346" s="9" t="str">
        <f>Upload!Y336</f>
        <v>(seleccione)</v>
      </c>
      <c r="K346" s="15" t="str">
        <f t="shared" si="30"/>
        <v/>
      </c>
      <c r="L346" s="15" t="str">
        <f t="shared" si="31"/>
        <v/>
      </c>
      <c r="M346" s="15" t="str">
        <f t="shared" si="32"/>
        <v/>
      </c>
      <c r="N346" s="15" t="str">
        <f t="shared" si="33"/>
        <v/>
      </c>
      <c r="O346" s="15" t="str">
        <f t="shared" si="34"/>
        <v/>
      </c>
      <c r="P346" s="15" t="str">
        <f>IF(OR(C346="",NOT(OR(ISNUMBER(SEARCH("Antitarnish",Upload!P336&amp;Upload!Q336&amp;Upload!R336&amp;Upload!S336&amp;Upload!T336)),ISNUMBER(SEARCH("Anti Tarnish",Upload!P336&amp;Upload!Q336&amp;Upload!R336&amp;Upload!S336&amp;Upload!T336))))),"",0.0012*C346)</f>
        <v/>
      </c>
      <c r="Q346" s="15" t="str">
        <f>IF(OR(E346="",NOT(OR(ISNUMBER(SEARCH("Epóxico MT",Upload!P336&amp;Upload!Q336&amp;Upload!R336&amp;Upload!S336&amp;Upload!T336))))),"",E346*0.000035)</f>
        <v/>
      </c>
      <c r="R346" s="15" t="str">
        <f>IF(OR(F346="",NOT(OR(ISNUMBER(SEARCH("Epóxico BT",Upload!Q336&amp;Upload!R336&amp;Upload!S336&amp;Upload!T336&amp;Upload!U336))))),"",F346*0.000035)</f>
        <v/>
      </c>
      <c r="S346" s="15" t="str">
        <f>IF(OR(G346="",NOT(OR(ISNUMBER(SEARCH("Epóxico Rojo",Upload!R336&amp;Upload!S336&amp;Upload!T336&amp;Upload!U336&amp;Upload!V336))))),"",G346*0.000035)</f>
        <v/>
      </c>
    </row>
    <row r="347" spans="1:19" x14ac:dyDescent="0.2">
      <c r="A347" s="9" t="e">
        <f t="shared" ca="1" si="35"/>
        <v>#NAME?</v>
      </c>
      <c r="B347" s="9">
        <f>Upload!E337</f>
        <v>0</v>
      </c>
      <c r="C347" s="9">
        <f>Upload!AE337</f>
        <v>0</v>
      </c>
      <c r="D347" s="9">
        <f>Upload!AF337</f>
        <v>0</v>
      </c>
      <c r="E347" s="9">
        <f>Upload!AG337</f>
        <v>0</v>
      </c>
      <c r="F347" s="9" t="str">
        <f>Upload!X337</f>
        <v/>
      </c>
      <c r="G347" s="9" t="str">
        <f>Upload!Z337</f>
        <v/>
      </c>
      <c r="H347" s="9" t="str">
        <f>Upload!W337</f>
        <v>(seleccione)</v>
      </c>
      <c r="I347" s="9" t="str">
        <f>Upload!Y337</f>
        <v>(seleccione)</v>
      </c>
      <c r="K347" s="15" t="str">
        <f t="shared" si="30"/>
        <v/>
      </c>
      <c r="L347" s="15" t="str">
        <f t="shared" si="31"/>
        <v/>
      </c>
      <c r="M347" s="15" t="str">
        <f t="shared" si="32"/>
        <v/>
      </c>
      <c r="N347" s="15" t="str">
        <f t="shared" si="33"/>
        <v/>
      </c>
      <c r="O347" s="15" t="str">
        <f t="shared" si="34"/>
        <v/>
      </c>
      <c r="P347" s="15" t="str">
        <f>IF(OR(C347="",NOT(OR(ISNUMBER(SEARCH("Antitarnish",Upload!P337&amp;Upload!Q337&amp;Upload!R337&amp;Upload!S337&amp;Upload!T337)),ISNUMBER(SEARCH("Anti Tarnish",Upload!P337&amp;Upload!Q337&amp;Upload!R337&amp;Upload!S337&amp;Upload!T337))))),"",0.0012*C347)</f>
        <v/>
      </c>
      <c r="Q347" s="15" t="str">
        <f>IF(OR(E347="",NOT(OR(ISNUMBER(SEARCH("Epóxico MT",Upload!P337&amp;Upload!Q337&amp;Upload!R337&amp;Upload!S337&amp;Upload!T337))))),"",E347*0.000035)</f>
        <v/>
      </c>
      <c r="R347" s="15" t="str">
        <f>IF(OR(F347="",NOT(OR(ISNUMBER(SEARCH("Epóxico BT",Upload!Q337&amp;Upload!R337&amp;Upload!S337&amp;Upload!T337&amp;Upload!U337))))),"",F347*0.000035)</f>
        <v/>
      </c>
      <c r="S347" s="15" t="str">
        <f>IF(OR(G347="",NOT(OR(ISNUMBER(SEARCH("Epóxico Rojo",Upload!R337&amp;Upload!S337&amp;Upload!T337&amp;Upload!U337&amp;Upload!V337))))),"",G347*0.000035)</f>
        <v/>
      </c>
    </row>
    <row r="348" spans="1:19" x14ac:dyDescent="0.2">
      <c r="A348" s="9" t="e">
        <f t="shared" ca="1" si="35"/>
        <v>#NAME?</v>
      </c>
      <c r="B348" s="9">
        <f>Upload!E338</f>
        <v>0</v>
      </c>
      <c r="C348" s="9">
        <f>Upload!AE338</f>
        <v>0</v>
      </c>
      <c r="D348" s="9">
        <f>Upload!AF338</f>
        <v>0</v>
      </c>
      <c r="E348" s="9">
        <f>Upload!AG338</f>
        <v>0</v>
      </c>
      <c r="F348" s="9" t="str">
        <f>Upload!X338</f>
        <v/>
      </c>
      <c r="G348" s="9" t="str">
        <f>Upload!Z338</f>
        <v/>
      </c>
      <c r="H348" s="9" t="str">
        <f>Upload!W338</f>
        <v>(seleccione)</v>
      </c>
      <c r="I348" s="9" t="str">
        <f>Upload!Y338</f>
        <v>(seleccione)</v>
      </c>
      <c r="K348" s="15" t="str">
        <f t="shared" si="30"/>
        <v/>
      </c>
      <c r="L348" s="15" t="str">
        <f t="shared" si="31"/>
        <v/>
      </c>
      <c r="M348" s="15" t="str">
        <f t="shared" si="32"/>
        <v/>
      </c>
      <c r="N348" s="15" t="str">
        <f t="shared" si="33"/>
        <v/>
      </c>
      <c r="O348" s="15" t="str">
        <f t="shared" si="34"/>
        <v/>
      </c>
      <c r="P348" s="15" t="str">
        <f>IF(OR(C348="",NOT(OR(ISNUMBER(SEARCH("Antitarnish",Upload!P338&amp;Upload!Q338&amp;Upload!R338&amp;Upload!S338&amp;Upload!T338)),ISNUMBER(SEARCH("Anti Tarnish",Upload!P338&amp;Upload!Q338&amp;Upload!R338&amp;Upload!S338&amp;Upload!T338))))),"",0.0012*C348)</f>
        <v/>
      </c>
      <c r="Q348" s="15" t="str">
        <f>IF(OR(E348="",NOT(OR(ISNUMBER(SEARCH("Epóxico MT",Upload!P338&amp;Upload!Q338&amp;Upload!R338&amp;Upload!S338&amp;Upload!T338))))),"",E348*0.000035)</f>
        <v/>
      </c>
      <c r="R348" s="15" t="str">
        <f>IF(OR(F348="",NOT(OR(ISNUMBER(SEARCH("Epóxico BT",Upload!Q338&amp;Upload!R338&amp;Upload!S338&amp;Upload!T338&amp;Upload!U338))))),"",F348*0.000035)</f>
        <v/>
      </c>
      <c r="S348" s="15" t="str">
        <f>IF(OR(G348="",NOT(OR(ISNUMBER(SEARCH("Epóxico Rojo",Upload!R338&amp;Upload!S338&amp;Upload!T338&amp;Upload!U338&amp;Upload!V338))))),"",G348*0.000035)</f>
        <v/>
      </c>
    </row>
    <row r="349" spans="1:19" x14ac:dyDescent="0.2">
      <c r="A349" s="9" t="e">
        <f t="shared" ca="1" si="35"/>
        <v>#NAME?</v>
      </c>
      <c r="B349" s="9">
        <f>Upload!E339</f>
        <v>0</v>
      </c>
      <c r="C349" s="9">
        <f>Upload!AE339</f>
        <v>0</v>
      </c>
      <c r="D349" s="9">
        <f>Upload!AF339</f>
        <v>0</v>
      </c>
      <c r="E349" s="9">
        <f>Upload!AG339</f>
        <v>0</v>
      </c>
      <c r="F349" s="9" t="str">
        <f>Upload!X339</f>
        <v/>
      </c>
      <c r="G349" s="9" t="str">
        <f>Upload!Z339</f>
        <v/>
      </c>
      <c r="H349" s="9" t="str">
        <f>Upload!W339</f>
        <v>(seleccione)</v>
      </c>
      <c r="I349" s="9" t="str">
        <f>Upload!Y339</f>
        <v>(seleccione)</v>
      </c>
      <c r="K349" s="15" t="str">
        <f t="shared" si="30"/>
        <v/>
      </c>
      <c r="L349" s="15" t="str">
        <f t="shared" si="31"/>
        <v/>
      </c>
      <c r="M349" s="15" t="str">
        <f t="shared" si="32"/>
        <v/>
      </c>
      <c r="N349" s="15" t="str">
        <f t="shared" si="33"/>
        <v/>
      </c>
      <c r="O349" s="15" t="str">
        <f t="shared" si="34"/>
        <v/>
      </c>
      <c r="P349" s="15" t="str">
        <f>IF(OR(C349="",NOT(OR(ISNUMBER(SEARCH("Antitarnish",Upload!P339&amp;Upload!Q339&amp;Upload!R339&amp;Upload!S339&amp;Upload!T339)),ISNUMBER(SEARCH("Anti Tarnish",Upload!P339&amp;Upload!Q339&amp;Upload!R339&amp;Upload!S339&amp;Upload!T339))))),"",0.0012*C349)</f>
        <v/>
      </c>
      <c r="Q349" s="15" t="str">
        <f>IF(OR(E349="",NOT(OR(ISNUMBER(SEARCH("Epóxico MT",Upload!P339&amp;Upload!Q339&amp;Upload!R339&amp;Upload!S339&amp;Upload!T339))))),"",E349*0.000035)</f>
        <v/>
      </c>
      <c r="R349" s="15" t="str">
        <f>IF(OR(F349="",NOT(OR(ISNUMBER(SEARCH("Epóxico BT",Upload!Q339&amp;Upload!R339&amp;Upload!S339&amp;Upload!T339&amp;Upload!U339))))),"",F349*0.000035)</f>
        <v/>
      </c>
      <c r="S349" s="15" t="str">
        <f>IF(OR(G349="",NOT(OR(ISNUMBER(SEARCH("Epóxico Rojo",Upload!R339&amp;Upload!S339&amp;Upload!T339&amp;Upload!U339&amp;Upload!V339))))),"",G349*0.000035)</f>
        <v/>
      </c>
    </row>
    <row r="350" spans="1:19" x14ac:dyDescent="0.2">
      <c r="A350" s="9" t="e">
        <f t="shared" ca="1" si="35"/>
        <v>#NAME?</v>
      </c>
      <c r="B350" s="9">
        <f>Upload!E340</f>
        <v>0</v>
      </c>
      <c r="C350" s="9">
        <f>Upload!AE340</f>
        <v>0</v>
      </c>
      <c r="D350" s="9">
        <f>Upload!AF340</f>
        <v>0</v>
      </c>
      <c r="E350" s="9">
        <f>Upload!AG340</f>
        <v>0</v>
      </c>
      <c r="F350" s="9" t="str">
        <f>Upload!X340</f>
        <v/>
      </c>
      <c r="G350" s="9" t="str">
        <f>Upload!Z340</f>
        <v/>
      </c>
      <c r="H350" s="9" t="str">
        <f>Upload!W340</f>
        <v>(seleccione)</v>
      </c>
      <c r="I350" s="9" t="str">
        <f>Upload!Y340</f>
        <v>(seleccione)</v>
      </c>
      <c r="K350" s="15" t="str">
        <f t="shared" si="30"/>
        <v/>
      </c>
      <c r="L350" s="15" t="str">
        <f t="shared" si="31"/>
        <v/>
      </c>
      <c r="M350" s="15" t="str">
        <f t="shared" si="32"/>
        <v/>
      </c>
      <c r="N350" s="15" t="str">
        <f t="shared" si="33"/>
        <v/>
      </c>
      <c r="O350" s="15" t="str">
        <f t="shared" si="34"/>
        <v/>
      </c>
      <c r="P350" s="15" t="str">
        <f>IF(OR(C350="",NOT(OR(ISNUMBER(SEARCH("Antitarnish",Upload!P340&amp;Upload!Q340&amp;Upload!R340&amp;Upload!S340&amp;Upload!T340)),ISNUMBER(SEARCH("Anti Tarnish",Upload!P340&amp;Upload!Q340&amp;Upload!R340&amp;Upload!S340&amp;Upload!T340))))),"",0.0012*C350)</f>
        <v/>
      </c>
      <c r="Q350" s="15" t="str">
        <f>IF(OR(E350="",NOT(OR(ISNUMBER(SEARCH("Epóxico MT",Upload!P340&amp;Upload!Q340&amp;Upload!R340&amp;Upload!S340&amp;Upload!T340))))),"",E350*0.000035)</f>
        <v/>
      </c>
      <c r="R350" s="15" t="str">
        <f>IF(OR(F350="",NOT(OR(ISNUMBER(SEARCH("Epóxico BT",Upload!Q340&amp;Upload!R340&amp;Upload!S340&amp;Upload!T340&amp;Upload!U340))))),"",F350*0.000035)</f>
        <v/>
      </c>
      <c r="S350" s="15" t="str">
        <f>IF(OR(G350="",NOT(OR(ISNUMBER(SEARCH("Epóxico Rojo",Upload!R340&amp;Upload!S340&amp;Upload!T340&amp;Upload!U340&amp;Upload!V340))))),"",G350*0.000035)</f>
        <v/>
      </c>
    </row>
    <row r="351" spans="1:19" x14ac:dyDescent="0.2">
      <c r="A351" s="9" t="e">
        <f t="shared" ca="1" si="35"/>
        <v>#NAME?</v>
      </c>
      <c r="B351" s="9">
        <f>Upload!E341</f>
        <v>0</v>
      </c>
      <c r="C351" s="9">
        <f>Upload!AE341</f>
        <v>0</v>
      </c>
      <c r="D351" s="9">
        <f>Upload!AF341</f>
        <v>0</v>
      </c>
      <c r="E351" s="9">
        <f>Upload!AG341</f>
        <v>0</v>
      </c>
      <c r="F351" s="9" t="str">
        <f>Upload!X341</f>
        <v/>
      </c>
      <c r="G351" s="9" t="str">
        <f>Upload!Z341</f>
        <v/>
      </c>
      <c r="H351" s="9" t="str">
        <f>Upload!W341</f>
        <v>(seleccione)</v>
      </c>
      <c r="I351" s="9" t="str">
        <f>Upload!Y341</f>
        <v>(seleccione)</v>
      </c>
      <c r="K351" s="15" t="str">
        <f t="shared" si="30"/>
        <v/>
      </c>
      <c r="L351" s="15" t="str">
        <f t="shared" si="31"/>
        <v/>
      </c>
      <c r="M351" s="15" t="str">
        <f t="shared" si="32"/>
        <v/>
      </c>
      <c r="N351" s="15" t="str">
        <f t="shared" si="33"/>
        <v/>
      </c>
      <c r="O351" s="15" t="str">
        <f t="shared" si="34"/>
        <v/>
      </c>
      <c r="P351" s="15" t="str">
        <f>IF(OR(C351="",NOT(OR(ISNUMBER(SEARCH("Antitarnish",Upload!P341&amp;Upload!Q341&amp;Upload!R341&amp;Upload!S341&amp;Upload!T341)),ISNUMBER(SEARCH("Anti Tarnish",Upload!P341&amp;Upload!Q341&amp;Upload!R341&amp;Upload!S341&amp;Upload!T341))))),"",0.0012*C351)</f>
        <v/>
      </c>
      <c r="Q351" s="15" t="str">
        <f>IF(OR(E351="",NOT(OR(ISNUMBER(SEARCH("Epóxico MT",Upload!P341&amp;Upload!Q341&amp;Upload!R341&amp;Upload!S341&amp;Upload!T341))))),"",E351*0.000035)</f>
        <v/>
      </c>
      <c r="R351" s="15" t="str">
        <f>IF(OR(F351="",NOT(OR(ISNUMBER(SEARCH("Epóxico BT",Upload!Q341&amp;Upload!R341&amp;Upload!S341&amp;Upload!T341&amp;Upload!U341))))),"",F351*0.000035)</f>
        <v/>
      </c>
      <c r="S351" s="15" t="str">
        <f>IF(OR(G351="",NOT(OR(ISNUMBER(SEARCH("Epóxico Rojo",Upload!R341&amp;Upload!S341&amp;Upload!T341&amp;Upload!U341&amp;Upload!V341))))),"",G351*0.000035)</f>
        <v/>
      </c>
    </row>
    <row r="352" spans="1:19" x14ac:dyDescent="0.2">
      <c r="A352" s="9" t="e">
        <f t="shared" ca="1" si="35"/>
        <v>#NAME?</v>
      </c>
      <c r="B352" s="9">
        <f>Upload!E342</f>
        <v>0</v>
      </c>
      <c r="C352" s="9">
        <f>Upload!AE342</f>
        <v>0</v>
      </c>
      <c r="D352" s="9">
        <f>Upload!AF342</f>
        <v>0</v>
      </c>
      <c r="E352" s="9">
        <f>Upload!AG342</f>
        <v>0</v>
      </c>
      <c r="F352" s="9" t="str">
        <f>Upload!X342</f>
        <v/>
      </c>
      <c r="G352" s="9" t="str">
        <f>Upload!Z342</f>
        <v/>
      </c>
      <c r="H352" s="9" t="str">
        <f>Upload!W342</f>
        <v>(seleccione)</v>
      </c>
      <c r="I352" s="9" t="str">
        <f>Upload!Y342</f>
        <v>(seleccione)</v>
      </c>
      <c r="K352" s="15" t="str">
        <f t="shared" si="30"/>
        <v/>
      </c>
      <c r="L352" s="15" t="str">
        <f t="shared" si="31"/>
        <v/>
      </c>
      <c r="M352" s="15" t="str">
        <f t="shared" si="32"/>
        <v/>
      </c>
      <c r="N352" s="15" t="str">
        <f t="shared" si="33"/>
        <v/>
      </c>
      <c r="O352" s="15" t="str">
        <f t="shared" si="34"/>
        <v/>
      </c>
      <c r="P352" s="15" t="str">
        <f>IF(OR(C352="",NOT(OR(ISNUMBER(SEARCH("Antitarnish",Upload!P342&amp;Upload!Q342&amp;Upload!R342&amp;Upload!S342&amp;Upload!T342)),ISNUMBER(SEARCH("Anti Tarnish",Upload!P342&amp;Upload!Q342&amp;Upload!R342&amp;Upload!S342&amp;Upload!T342))))),"",0.0012*C352)</f>
        <v/>
      </c>
      <c r="Q352" s="15" t="str">
        <f>IF(OR(E352="",NOT(OR(ISNUMBER(SEARCH("Epóxico MT",Upload!P342&amp;Upload!Q342&amp;Upload!R342&amp;Upload!S342&amp;Upload!T342))))),"",E352*0.000035)</f>
        <v/>
      </c>
      <c r="R352" s="15" t="str">
        <f>IF(OR(F352="",NOT(OR(ISNUMBER(SEARCH("Epóxico BT",Upload!Q342&amp;Upload!R342&amp;Upload!S342&amp;Upload!T342&amp;Upload!U342))))),"",F352*0.000035)</f>
        <v/>
      </c>
      <c r="S352" s="15" t="str">
        <f>IF(OR(G352="",NOT(OR(ISNUMBER(SEARCH("Epóxico Rojo",Upload!R342&amp;Upload!S342&amp;Upload!T342&amp;Upload!U342&amp;Upload!V342))))),"",G352*0.000035)</f>
        <v/>
      </c>
    </row>
    <row r="353" spans="1:19" x14ac:dyDescent="0.2">
      <c r="A353" s="9" t="e">
        <f t="shared" ca="1" si="35"/>
        <v>#NAME?</v>
      </c>
      <c r="B353" s="9">
        <f>Upload!E343</f>
        <v>0</v>
      </c>
      <c r="C353" s="9">
        <f>Upload!AE343</f>
        <v>0</v>
      </c>
      <c r="D353" s="9">
        <f>Upload!AF343</f>
        <v>0</v>
      </c>
      <c r="E353" s="9">
        <f>Upload!AG343</f>
        <v>0</v>
      </c>
      <c r="F353" s="9" t="str">
        <f>Upload!X343</f>
        <v/>
      </c>
      <c r="G353" s="9" t="str">
        <f>Upload!Z343</f>
        <v/>
      </c>
      <c r="H353" s="9" t="str">
        <f>Upload!W343</f>
        <v>(seleccione)</v>
      </c>
      <c r="I353" s="9" t="str">
        <f>Upload!Y343</f>
        <v>(seleccione)</v>
      </c>
      <c r="K353" s="15" t="str">
        <f t="shared" si="30"/>
        <v/>
      </c>
      <c r="L353" s="15" t="str">
        <f t="shared" si="31"/>
        <v/>
      </c>
      <c r="M353" s="15" t="str">
        <f t="shared" si="32"/>
        <v/>
      </c>
      <c r="N353" s="15" t="str">
        <f t="shared" si="33"/>
        <v/>
      </c>
      <c r="O353" s="15" t="str">
        <f t="shared" si="34"/>
        <v/>
      </c>
      <c r="P353" s="15" t="str">
        <f>IF(OR(C353="",NOT(OR(ISNUMBER(SEARCH("Antitarnish",Upload!P343&amp;Upload!Q343&amp;Upload!R343&amp;Upload!S343&amp;Upload!T343)),ISNUMBER(SEARCH("Anti Tarnish",Upload!P343&amp;Upload!Q343&amp;Upload!R343&amp;Upload!S343&amp;Upload!T343))))),"",0.0012*C353)</f>
        <v/>
      </c>
      <c r="Q353" s="15" t="str">
        <f>IF(OR(E353="",NOT(OR(ISNUMBER(SEARCH("Epóxico MT",Upload!P343&amp;Upload!Q343&amp;Upload!R343&amp;Upload!S343&amp;Upload!T343))))),"",E353*0.000035)</f>
        <v/>
      </c>
      <c r="R353" s="15" t="str">
        <f>IF(OR(F353="",NOT(OR(ISNUMBER(SEARCH("Epóxico BT",Upload!Q343&amp;Upload!R343&amp;Upload!S343&amp;Upload!T343&amp;Upload!U343))))),"",F353*0.000035)</f>
        <v/>
      </c>
      <c r="S353" s="15" t="str">
        <f>IF(OR(G353="",NOT(OR(ISNUMBER(SEARCH("Epóxico Rojo",Upload!R343&amp;Upload!S343&amp;Upload!T343&amp;Upload!U343&amp;Upload!V343))))),"",G353*0.000035)</f>
        <v/>
      </c>
    </row>
    <row r="354" spans="1:19" x14ac:dyDescent="0.2">
      <c r="A354" s="9" t="e">
        <f t="shared" ca="1" si="35"/>
        <v>#NAME?</v>
      </c>
      <c r="B354" s="9">
        <f>Upload!E344</f>
        <v>0</v>
      </c>
      <c r="C354" s="9">
        <f>Upload!AE344</f>
        <v>0</v>
      </c>
      <c r="D354" s="9">
        <f>Upload!AF344</f>
        <v>0</v>
      </c>
      <c r="E354" s="9">
        <f>Upload!AG344</f>
        <v>0</v>
      </c>
      <c r="F354" s="9" t="str">
        <f>Upload!X344</f>
        <v/>
      </c>
      <c r="G354" s="9" t="str">
        <f>Upload!Z344</f>
        <v/>
      </c>
      <c r="H354" s="9" t="str">
        <f>Upload!W344</f>
        <v>(seleccione)</v>
      </c>
      <c r="I354" s="9" t="str">
        <f>Upload!Y344</f>
        <v>(seleccione)</v>
      </c>
      <c r="K354" s="15" t="str">
        <f t="shared" si="30"/>
        <v/>
      </c>
      <c r="L354" s="15" t="str">
        <f t="shared" si="31"/>
        <v/>
      </c>
      <c r="M354" s="15" t="str">
        <f t="shared" si="32"/>
        <v/>
      </c>
      <c r="N354" s="15" t="str">
        <f t="shared" si="33"/>
        <v/>
      </c>
      <c r="O354" s="15" t="str">
        <f t="shared" si="34"/>
        <v/>
      </c>
      <c r="P354" s="15" t="str">
        <f>IF(OR(C354="",NOT(OR(ISNUMBER(SEARCH("Antitarnish",Upload!P344&amp;Upload!Q344&amp;Upload!R344&amp;Upload!S344&amp;Upload!T344)),ISNUMBER(SEARCH("Anti Tarnish",Upload!P344&amp;Upload!Q344&amp;Upload!R344&amp;Upload!S344&amp;Upload!T344))))),"",0.0012*C354)</f>
        <v/>
      </c>
      <c r="Q354" s="15" t="str">
        <f>IF(OR(E354="",NOT(OR(ISNUMBER(SEARCH("Epóxico MT",Upload!P344&amp;Upload!Q344&amp;Upload!R344&amp;Upload!S344&amp;Upload!T344))))),"",E354*0.000035)</f>
        <v/>
      </c>
      <c r="R354" s="15" t="str">
        <f>IF(OR(F354="",NOT(OR(ISNUMBER(SEARCH("Epóxico BT",Upload!Q344&amp;Upload!R344&amp;Upload!S344&amp;Upload!T344&amp;Upload!U344))))),"",F354*0.000035)</f>
        <v/>
      </c>
      <c r="S354" s="15" t="str">
        <f>IF(OR(G354="",NOT(OR(ISNUMBER(SEARCH("Epóxico Rojo",Upload!R344&amp;Upload!S344&amp;Upload!T344&amp;Upload!U344&amp;Upload!V344))))),"",G354*0.000035)</f>
        <v/>
      </c>
    </row>
    <row r="355" spans="1:19" x14ac:dyDescent="0.2">
      <c r="A355" s="9" t="e">
        <f t="shared" ca="1" si="35"/>
        <v>#NAME?</v>
      </c>
      <c r="B355" s="9">
        <f>Upload!E345</f>
        <v>0</v>
      </c>
      <c r="C355" s="9">
        <f>Upload!AE345</f>
        <v>0</v>
      </c>
      <c r="D355" s="9">
        <f>Upload!AF345</f>
        <v>0</v>
      </c>
      <c r="E355" s="9">
        <f>Upload!AG345</f>
        <v>0</v>
      </c>
      <c r="F355" s="9" t="str">
        <f>Upload!X345</f>
        <v/>
      </c>
      <c r="G355" s="9" t="str">
        <f>Upload!Z345</f>
        <v/>
      </c>
      <c r="H355" s="9" t="str">
        <f>Upload!W345</f>
        <v>(seleccione)</v>
      </c>
      <c r="I355" s="9" t="str">
        <f>Upload!Y345</f>
        <v>(seleccione)</v>
      </c>
      <c r="K355" s="15" t="str">
        <f t="shared" si="30"/>
        <v/>
      </c>
      <c r="L355" s="15" t="str">
        <f t="shared" si="31"/>
        <v/>
      </c>
      <c r="M355" s="15" t="str">
        <f t="shared" si="32"/>
        <v/>
      </c>
      <c r="N355" s="15" t="str">
        <f t="shared" si="33"/>
        <v/>
      </c>
      <c r="O355" s="15" t="str">
        <f t="shared" si="34"/>
        <v/>
      </c>
      <c r="P355" s="15" t="str">
        <f>IF(OR(C355="",NOT(OR(ISNUMBER(SEARCH("Antitarnish",Upload!P345&amp;Upload!Q345&amp;Upload!R345&amp;Upload!S345&amp;Upload!T345)),ISNUMBER(SEARCH("Anti Tarnish",Upload!P345&amp;Upload!Q345&amp;Upload!R345&amp;Upload!S345&amp;Upload!T345))))),"",0.0012*C355)</f>
        <v/>
      </c>
      <c r="Q355" s="15" t="str">
        <f>IF(OR(E355="",NOT(OR(ISNUMBER(SEARCH("Epóxico MT",Upload!P345&amp;Upload!Q345&amp;Upload!R345&amp;Upload!S345&amp;Upload!T345))))),"",E355*0.000035)</f>
        <v/>
      </c>
      <c r="R355" s="15" t="str">
        <f>IF(OR(F355="",NOT(OR(ISNUMBER(SEARCH("Epóxico BT",Upload!Q345&amp;Upload!R345&amp;Upload!S345&amp;Upload!T345&amp;Upload!U345))))),"",F355*0.000035)</f>
        <v/>
      </c>
      <c r="S355" s="15" t="str">
        <f>IF(OR(G355="",NOT(OR(ISNUMBER(SEARCH("Epóxico Rojo",Upload!R345&amp;Upload!S345&amp;Upload!T345&amp;Upload!U345&amp;Upload!V345))))),"",G355*0.000035)</f>
        <v/>
      </c>
    </row>
    <row r="356" spans="1:19" x14ac:dyDescent="0.2">
      <c r="A356" s="9" t="e">
        <f t="shared" ca="1" si="35"/>
        <v>#NAME?</v>
      </c>
      <c r="B356" s="9">
        <f>Upload!E346</f>
        <v>0</v>
      </c>
      <c r="C356" s="9">
        <f>Upload!AE346</f>
        <v>0</v>
      </c>
      <c r="D356" s="9">
        <f>Upload!AF346</f>
        <v>0</v>
      </c>
      <c r="E356" s="9">
        <f>Upload!AG346</f>
        <v>0</v>
      </c>
      <c r="F356" s="9" t="str">
        <f>Upload!X346</f>
        <v/>
      </c>
      <c r="G356" s="9" t="str">
        <f>Upload!Z346</f>
        <v/>
      </c>
      <c r="H356" s="9" t="str">
        <f>Upload!W346</f>
        <v>(seleccione)</v>
      </c>
      <c r="I356" s="9" t="str">
        <f>Upload!Y346</f>
        <v>(seleccione)</v>
      </c>
      <c r="K356" s="15" t="str">
        <f t="shared" si="30"/>
        <v/>
      </c>
      <c r="L356" s="15" t="str">
        <f t="shared" si="31"/>
        <v/>
      </c>
      <c r="M356" s="15" t="str">
        <f t="shared" si="32"/>
        <v/>
      </c>
      <c r="N356" s="15" t="str">
        <f t="shared" si="33"/>
        <v/>
      </c>
      <c r="O356" s="15" t="str">
        <f t="shared" si="34"/>
        <v/>
      </c>
      <c r="P356" s="15" t="str">
        <f>IF(OR(C356="",NOT(OR(ISNUMBER(SEARCH("Antitarnish",Upload!P346&amp;Upload!Q346&amp;Upload!R346&amp;Upload!S346&amp;Upload!T346)),ISNUMBER(SEARCH("Anti Tarnish",Upload!P346&amp;Upload!Q346&amp;Upload!R346&amp;Upload!S346&amp;Upload!T346))))),"",0.0012*C356)</f>
        <v/>
      </c>
      <c r="Q356" s="15" t="str">
        <f>IF(OR(E356="",NOT(OR(ISNUMBER(SEARCH("Epóxico MT",Upload!P346&amp;Upload!Q346&amp;Upload!R346&amp;Upload!S346&amp;Upload!T346))))),"",E356*0.000035)</f>
        <v/>
      </c>
      <c r="R356" s="15" t="str">
        <f>IF(OR(F356="",NOT(OR(ISNUMBER(SEARCH("Epóxico BT",Upload!Q346&amp;Upload!R346&amp;Upload!S346&amp;Upload!T346&amp;Upload!U346))))),"",F356*0.000035)</f>
        <v/>
      </c>
      <c r="S356" s="15" t="str">
        <f>IF(OR(G356="",NOT(OR(ISNUMBER(SEARCH("Epóxico Rojo",Upload!R346&amp;Upload!S346&amp;Upload!T346&amp;Upload!U346&amp;Upload!V346))))),"",G356*0.000035)</f>
        <v/>
      </c>
    </row>
    <row r="357" spans="1:19" x14ac:dyDescent="0.2">
      <c r="A357" s="9" t="e">
        <f t="shared" ca="1" si="35"/>
        <v>#NAME?</v>
      </c>
      <c r="B357" s="9">
        <f>Upload!E347</f>
        <v>0</v>
      </c>
      <c r="C357" s="9">
        <f>Upload!AE347</f>
        <v>0</v>
      </c>
      <c r="D357" s="9">
        <f>Upload!AF347</f>
        <v>0</v>
      </c>
      <c r="E357" s="9">
        <f>Upload!AG347</f>
        <v>0</v>
      </c>
      <c r="F357" s="9" t="str">
        <f>Upload!X347</f>
        <v/>
      </c>
      <c r="G357" s="9" t="str">
        <f>Upload!Z347</f>
        <v/>
      </c>
      <c r="H357" s="9" t="str">
        <f>Upload!W347</f>
        <v>(seleccione)</v>
      </c>
      <c r="I357" s="9" t="str">
        <f>Upload!Y347</f>
        <v>(seleccione)</v>
      </c>
      <c r="K357" s="15" t="str">
        <f t="shared" si="30"/>
        <v/>
      </c>
      <c r="L357" s="15" t="str">
        <f t="shared" si="31"/>
        <v/>
      </c>
      <c r="M357" s="15" t="str">
        <f t="shared" si="32"/>
        <v/>
      </c>
      <c r="N357" s="15" t="str">
        <f t="shared" si="33"/>
        <v/>
      </c>
      <c r="O357" s="15" t="str">
        <f t="shared" si="34"/>
        <v/>
      </c>
      <c r="P357" s="15" t="str">
        <f>IF(OR(C357="",NOT(OR(ISNUMBER(SEARCH("Antitarnish",Upload!P347&amp;Upload!Q347&amp;Upload!R347&amp;Upload!S347&amp;Upload!T347)),ISNUMBER(SEARCH("Anti Tarnish",Upload!P347&amp;Upload!Q347&amp;Upload!R347&amp;Upload!S347&amp;Upload!T347))))),"",0.0012*C357)</f>
        <v/>
      </c>
      <c r="Q357" s="15" t="str">
        <f>IF(OR(E357="",NOT(OR(ISNUMBER(SEARCH("Epóxico MT",Upload!P347&amp;Upload!Q347&amp;Upload!R347&amp;Upload!S347&amp;Upload!T347))))),"",E357*0.000035)</f>
        <v/>
      </c>
      <c r="R357" s="15" t="str">
        <f>IF(OR(F357="",NOT(OR(ISNUMBER(SEARCH("Epóxico BT",Upload!Q347&amp;Upload!R347&amp;Upload!S347&amp;Upload!T347&amp;Upload!U347))))),"",F357*0.000035)</f>
        <v/>
      </c>
      <c r="S357" s="15" t="str">
        <f>IF(OR(G357="",NOT(OR(ISNUMBER(SEARCH("Epóxico Rojo",Upload!R347&amp;Upload!S347&amp;Upload!T347&amp;Upload!U347&amp;Upload!V347))))),"",G357*0.000035)</f>
        <v/>
      </c>
    </row>
    <row r="358" spans="1:19" x14ac:dyDescent="0.2">
      <c r="A358" s="9" t="e">
        <f t="shared" ca="1" si="35"/>
        <v>#NAME?</v>
      </c>
      <c r="B358" s="9">
        <f>Upload!E348</f>
        <v>0</v>
      </c>
      <c r="C358" s="9">
        <f>Upload!AE348</f>
        <v>0</v>
      </c>
      <c r="D358" s="9">
        <f>Upload!AF348</f>
        <v>0</v>
      </c>
      <c r="E358" s="9">
        <f>Upload!AG348</f>
        <v>0</v>
      </c>
      <c r="F358" s="9" t="str">
        <f>Upload!X348</f>
        <v/>
      </c>
      <c r="G358" s="9" t="str">
        <f>Upload!Z348</f>
        <v/>
      </c>
      <c r="H358" s="9" t="str">
        <f>Upload!W348</f>
        <v>(seleccione)</v>
      </c>
      <c r="I358" s="9" t="str">
        <f>Upload!Y348</f>
        <v>(seleccione)</v>
      </c>
      <c r="K358" s="15" t="str">
        <f t="shared" si="30"/>
        <v/>
      </c>
      <c r="L358" s="15" t="str">
        <f t="shared" si="31"/>
        <v/>
      </c>
      <c r="M358" s="15" t="str">
        <f t="shared" si="32"/>
        <v/>
      </c>
      <c r="N358" s="15" t="str">
        <f t="shared" si="33"/>
        <v/>
      </c>
      <c r="O358" s="15" t="str">
        <f t="shared" si="34"/>
        <v/>
      </c>
      <c r="P358" s="15" t="str">
        <f>IF(OR(C358="",NOT(OR(ISNUMBER(SEARCH("Antitarnish",Upload!P348&amp;Upload!Q348&amp;Upload!R348&amp;Upload!S348&amp;Upload!T348)),ISNUMBER(SEARCH("Anti Tarnish",Upload!P348&amp;Upload!Q348&amp;Upload!R348&amp;Upload!S348&amp;Upload!T348))))),"",0.0012*C358)</f>
        <v/>
      </c>
      <c r="Q358" s="15" t="str">
        <f>IF(OR(E358="",NOT(OR(ISNUMBER(SEARCH("Epóxico MT",Upload!P348&amp;Upload!Q348&amp;Upload!R348&amp;Upload!S348&amp;Upload!T348))))),"",E358*0.000035)</f>
        <v/>
      </c>
      <c r="R358" s="15" t="str">
        <f>IF(OR(F358="",NOT(OR(ISNUMBER(SEARCH("Epóxico BT",Upload!Q348&amp;Upload!R348&amp;Upload!S348&amp;Upload!T348&amp;Upload!U348))))),"",F358*0.000035)</f>
        <v/>
      </c>
      <c r="S358" s="15" t="str">
        <f>IF(OR(G358="",NOT(OR(ISNUMBER(SEARCH("Epóxico Rojo",Upload!R348&amp;Upload!S348&amp;Upload!T348&amp;Upload!U348&amp;Upload!V348))))),"",G358*0.000035)</f>
        <v/>
      </c>
    </row>
    <row r="359" spans="1:19" x14ac:dyDescent="0.2">
      <c r="A359" s="9" t="e">
        <f t="shared" ca="1" si="35"/>
        <v>#NAME?</v>
      </c>
      <c r="B359" s="9">
        <f>Upload!E349</f>
        <v>0</v>
      </c>
      <c r="C359" s="9">
        <f>Upload!AE349</f>
        <v>0</v>
      </c>
      <c r="D359" s="9">
        <f>Upload!AF349</f>
        <v>0</v>
      </c>
      <c r="E359" s="9">
        <f>Upload!AG349</f>
        <v>0</v>
      </c>
      <c r="F359" s="9" t="str">
        <f>Upload!X349</f>
        <v/>
      </c>
      <c r="G359" s="9" t="str">
        <f>Upload!Z349</f>
        <v/>
      </c>
      <c r="H359" s="9" t="str">
        <f>Upload!W349</f>
        <v>(seleccione)</v>
      </c>
      <c r="I359" s="9" t="str">
        <f>Upload!Y349</f>
        <v>(seleccione)</v>
      </c>
      <c r="K359" s="15" t="str">
        <f t="shared" si="30"/>
        <v/>
      </c>
      <c r="L359" s="15" t="str">
        <f t="shared" si="31"/>
        <v/>
      </c>
      <c r="M359" s="15" t="str">
        <f t="shared" si="32"/>
        <v/>
      </c>
      <c r="N359" s="15" t="str">
        <f t="shared" si="33"/>
        <v/>
      </c>
      <c r="O359" s="15" t="str">
        <f t="shared" si="34"/>
        <v/>
      </c>
      <c r="P359" s="15" t="str">
        <f>IF(OR(C359="",NOT(OR(ISNUMBER(SEARCH("Antitarnish",Upload!P349&amp;Upload!Q349&amp;Upload!R349&amp;Upload!S349&amp;Upload!T349)),ISNUMBER(SEARCH("Anti Tarnish",Upload!P349&amp;Upload!Q349&amp;Upload!R349&amp;Upload!S349&amp;Upload!T349))))),"",0.0012*C359)</f>
        <v/>
      </c>
      <c r="Q359" s="15" t="str">
        <f>IF(OR(E359="",NOT(OR(ISNUMBER(SEARCH("Epóxico MT",Upload!P349&amp;Upload!Q349&amp;Upload!R349&amp;Upload!S349&amp;Upload!T349))))),"",E359*0.000035)</f>
        <v/>
      </c>
      <c r="R359" s="15" t="str">
        <f>IF(OR(F359="",NOT(OR(ISNUMBER(SEARCH("Epóxico BT",Upload!Q349&amp;Upload!R349&amp;Upload!S349&amp;Upload!T349&amp;Upload!U349))))),"",F359*0.000035)</f>
        <v/>
      </c>
      <c r="S359" s="15" t="str">
        <f>IF(OR(G359="",NOT(OR(ISNUMBER(SEARCH("Epóxico Rojo",Upload!R349&amp;Upload!S349&amp;Upload!T349&amp;Upload!U349&amp;Upload!V349))))),"",G359*0.000035)</f>
        <v/>
      </c>
    </row>
    <row r="360" spans="1:19" x14ac:dyDescent="0.2">
      <c r="A360" s="9" t="e">
        <f t="shared" ca="1" si="35"/>
        <v>#NAME?</v>
      </c>
      <c r="B360" s="9">
        <f>Upload!E350</f>
        <v>0</v>
      </c>
      <c r="C360" s="9">
        <f>Upload!AE350</f>
        <v>0</v>
      </c>
      <c r="D360" s="9">
        <f>Upload!AF350</f>
        <v>0</v>
      </c>
      <c r="E360" s="9">
        <f>Upload!AG350</f>
        <v>0</v>
      </c>
      <c r="F360" s="9" t="str">
        <f>Upload!X350</f>
        <v/>
      </c>
      <c r="G360" s="9" t="str">
        <f>Upload!Z350</f>
        <v/>
      </c>
      <c r="H360" s="9" t="str">
        <f>Upload!W350</f>
        <v>(seleccione)</v>
      </c>
      <c r="I360" s="9" t="str">
        <f>Upload!Y350</f>
        <v>(seleccione)</v>
      </c>
      <c r="K360" s="15" t="str">
        <f t="shared" si="30"/>
        <v/>
      </c>
      <c r="L360" s="15" t="str">
        <f t="shared" si="31"/>
        <v/>
      </c>
      <c r="M360" s="15" t="str">
        <f t="shared" si="32"/>
        <v/>
      </c>
      <c r="N360" s="15" t="str">
        <f t="shared" si="33"/>
        <v/>
      </c>
      <c r="O360" s="15" t="str">
        <f t="shared" si="34"/>
        <v/>
      </c>
      <c r="P360" s="15" t="str">
        <f>IF(OR(C360="",NOT(OR(ISNUMBER(SEARCH("Antitarnish",Upload!P350&amp;Upload!Q350&amp;Upload!R350&amp;Upload!S350&amp;Upload!T350)),ISNUMBER(SEARCH("Anti Tarnish",Upload!P350&amp;Upload!Q350&amp;Upload!R350&amp;Upload!S350&amp;Upload!T350))))),"",0.0012*C360)</f>
        <v/>
      </c>
      <c r="Q360" s="15" t="str">
        <f>IF(OR(E360="",NOT(OR(ISNUMBER(SEARCH("Epóxico MT",Upload!P350&amp;Upload!Q350&amp;Upload!R350&amp;Upload!S350&amp;Upload!T350))))),"",E360*0.000035)</f>
        <v/>
      </c>
      <c r="R360" s="15" t="str">
        <f>IF(OR(F360="",NOT(OR(ISNUMBER(SEARCH("Epóxico BT",Upload!Q350&amp;Upload!R350&amp;Upload!S350&amp;Upload!T350&amp;Upload!U350))))),"",F360*0.000035)</f>
        <v/>
      </c>
      <c r="S360" s="15" t="str">
        <f>IF(OR(G360="",NOT(OR(ISNUMBER(SEARCH("Epóxico Rojo",Upload!R350&amp;Upload!S350&amp;Upload!T350&amp;Upload!U350&amp;Upload!V350))))),"",G360*0.000035)</f>
        <v/>
      </c>
    </row>
    <row r="361" spans="1:19" x14ac:dyDescent="0.2">
      <c r="A361" s="9" t="e">
        <f t="shared" ca="1" si="35"/>
        <v>#NAME?</v>
      </c>
      <c r="B361" s="9">
        <f>Upload!E351</f>
        <v>0</v>
      </c>
      <c r="C361" s="9">
        <f>Upload!AE351</f>
        <v>0</v>
      </c>
      <c r="D361" s="9">
        <f>Upload!AF351</f>
        <v>0</v>
      </c>
      <c r="E361" s="9">
        <f>Upload!AG351</f>
        <v>0</v>
      </c>
      <c r="F361" s="9" t="str">
        <f>Upload!X351</f>
        <v/>
      </c>
      <c r="G361" s="9" t="str">
        <f>Upload!Z351</f>
        <v/>
      </c>
      <c r="H361" s="9" t="str">
        <f>Upload!W351</f>
        <v>(seleccione)</v>
      </c>
      <c r="I361" s="9" t="str">
        <f>Upload!Y351</f>
        <v>(seleccione)</v>
      </c>
      <c r="K361" s="15" t="str">
        <f t="shared" si="30"/>
        <v/>
      </c>
      <c r="L361" s="15" t="str">
        <f t="shared" si="31"/>
        <v/>
      </c>
      <c r="M361" s="15" t="str">
        <f t="shared" si="32"/>
        <v/>
      </c>
      <c r="N361" s="15" t="str">
        <f t="shared" si="33"/>
        <v/>
      </c>
      <c r="O361" s="15" t="str">
        <f t="shared" si="34"/>
        <v/>
      </c>
      <c r="P361" s="15" t="str">
        <f>IF(OR(C361="",NOT(OR(ISNUMBER(SEARCH("Antitarnish",Upload!P351&amp;Upload!Q351&amp;Upload!R351&amp;Upload!S351&amp;Upload!T351)),ISNUMBER(SEARCH("Anti Tarnish",Upload!P351&amp;Upload!Q351&amp;Upload!R351&amp;Upload!S351&amp;Upload!T351))))),"",0.0012*C361)</f>
        <v/>
      </c>
      <c r="Q361" s="15" t="str">
        <f>IF(OR(E361="",NOT(OR(ISNUMBER(SEARCH("Epóxico MT",Upload!P351&amp;Upload!Q351&amp;Upload!R351&amp;Upload!S351&amp;Upload!T351))))),"",E361*0.000035)</f>
        <v/>
      </c>
      <c r="R361" s="15" t="str">
        <f>IF(OR(F361="",NOT(OR(ISNUMBER(SEARCH("Epóxico BT",Upload!Q351&amp;Upload!R351&amp;Upload!S351&amp;Upload!T351&amp;Upload!U351))))),"",F361*0.000035)</f>
        <v/>
      </c>
      <c r="S361" s="15" t="str">
        <f>IF(OR(G361="",NOT(OR(ISNUMBER(SEARCH("Epóxico Rojo",Upload!R351&amp;Upload!S351&amp;Upload!T351&amp;Upload!U351&amp;Upload!V351))))),"",G361*0.000035)</f>
        <v/>
      </c>
    </row>
    <row r="362" spans="1:19" x14ac:dyDescent="0.2">
      <c r="A362" s="9" t="e">
        <f t="shared" ca="1" si="35"/>
        <v>#NAME?</v>
      </c>
      <c r="B362" s="9">
        <f>Upload!E352</f>
        <v>0</v>
      </c>
      <c r="C362" s="9">
        <f>Upload!AE352</f>
        <v>0</v>
      </c>
      <c r="D362" s="9">
        <f>Upload!AF352</f>
        <v>0</v>
      </c>
      <c r="E362" s="9">
        <f>Upload!AG352</f>
        <v>0</v>
      </c>
      <c r="F362" s="9" t="str">
        <f>Upload!X352</f>
        <v/>
      </c>
      <c r="G362" s="9" t="str">
        <f>Upload!Z352</f>
        <v/>
      </c>
      <c r="H362" s="9" t="str">
        <f>Upload!W352</f>
        <v>(seleccione)</v>
      </c>
      <c r="I362" s="9" t="str">
        <f>Upload!Y352</f>
        <v>(seleccione)</v>
      </c>
      <c r="K362" s="15" t="str">
        <f t="shared" si="30"/>
        <v/>
      </c>
      <c r="L362" s="15" t="str">
        <f t="shared" si="31"/>
        <v/>
      </c>
      <c r="M362" s="15" t="str">
        <f t="shared" si="32"/>
        <v/>
      </c>
      <c r="N362" s="15" t="str">
        <f t="shared" si="33"/>
        <v/>
      </c>
      <c r="O362" s="15" t="str">
        <f t="shared" si="34"/>
        <v/>
      </c>
      <c r="P362" s="15" t="str">
        <f>IF(OR(C362="",NOT(OR(ISNUMBER(SEARCH("Antitarnish",Upload!P352&amp;Upload!Q352&amp;Upload!R352&amp;Upload!S352&amp;Upload!T352)),ISNUMBER(SEARCH("Anti Tarnish",Upload!P352&amp;Upload!Q352&amp;Upload!R352&amp;Upload!S352&amp;Upload!T352))))),"",0.0012*C362)</f>
        <v/>
      </c>
      <c r="Q362" s="15" t="str">
        <f>IF(OR(E362="",NOT(OR(ISNUMBER(SEARCH("Epóxico MT",Upload!P352&amp;Upload!Q352&amp;Upload!R352&amp;Upload!S352&amp;Upload!T352))))),"",E362*0.000035)</f>
        <v/>
      </c>
      <c r="R362" s="15" t="str">
        <f>IF(OR(F362="",NOT(OR(ISNUMBER(SEARCH("Epóxico BT",Upload!Q352&amp;Upload!R352&amp;Upload!S352&amp;Upload!T352&amp;Upload!U352))))),"",F362*0.000035)</f>
        <v/>
      </c>
      <c r="S362" s="15" t="str">
        <f>IF(OR(G362="",NOT(OR(ISNUMBER(SEARCH("Epóxico Rojo",Upload!R352&amp;Upload!S352&amp;Upload!T352&amp;Upload!U352&amp;Upload!V352))))),"",G362*0.000035)</f>
        <v/>
      </c>
    </row>
    <row r="363" spans="1:19" x14ac:dyDescent="0.2">
      <c r="A363" s="9" t="e">
        <f t="shared" ca="1" si="35"/>
        <v>#NAME?</v>
      </c>
      <c r="B363" s="9">
        <f>Upload!E353</f>
        <v>0</v>
      </c>
      <c r="C363" s="9">
        <f>Upload!AE353</f>
        <v>0</v>
      </c>
      <c r="D363" s="9">
        <f>Upload!AF353</f>
        <v>0</v>
      </c>
      <c r="E363" s="9">
        <f>Upload!AG353</f>
        <v>0</v>
      </c>
      <c r="F363" s="9" t="str">
        <f>Upload!X353</f>
        <v/>
      </c>
      <c r="G363" s="9" t="str">
        <f>Upload!Z353</f>
        <v/>
      </c>
      <c r="H363" s="9" t="str">
        <f>Upload!W353</f>
        <v>(seleccione)</v>
      </c>
      <c r="I363" s="9" t="str">
        <f>Upload!Y353</f>
        <v>(seleccione)</v>
      </c>
      <c r="K363" s="15" t="str">
        <f t="shared" si="30"/>
        <v/>
      </c>
      <c r="L363" s="15" t="str">
        <f t="shared" si="31"/>
        <v/>
      </c>
      <c r="M363" s="15" t="str">
        <f t="shared" si="32"/>
        <v/>
      </c>
      <c r="N363" s="15" t="str">
        <f t="shared" si="33"/>
        <v/>
      </c>
      <c r="O363" s="15" t="str">
        <f t="shared" si="34"/>
        <v/>
      </c>
      <c r="P363" s="15" t="str">
        <f>IF(OR(C363="",NOT(OR(ISNUMBER(SEARCH("Antitarnish",Upload!P353&amp;Upload!Q353&amp;Upload!R353&amp;Upload!S353&amp;Upload!T353)),ISNUMBER(SEARCH("Anti Tarnish",Upload!P353&amp;Upload!Q353&amp;Upload!R353&amp;Upload!S353&amp;Upload!T353))))),"",0.0012*C363)</f>
        <v/>
      </c>
      <c r="Q363" s="15" t="str">
        <f>IF(OR(E363="",NOT(OR(ISNUMBER(SEARCH("Epóxico MT",Upload!P353&amp;Upload!Q353&amp;Upload!R353&amp;Upload!S353&amp;Upload!T353))))),"",E363*0.000035)</f>
        <v/>
      </c>
      <c r="R363" s="15" t="str">
        <f>IF(OR(F363="",NOT(OR(ISNUMBER(SEARCH("Epóxico BT",Upload!Q353&amp;Upload!R353&amp;Upload!S353&amp;Upload!T353&amp;Upload!U353))))),"",F363*0.000035)</f>
        <v/>
      </c>
      <c r="S363" s="15" t="str">
        <f>IF(OR(G363="",NOT(OR(ISNUMBER(SEARCH("Epóxico Rojo",Upload!R353&amp;Upload!S353&amp;Upload!T353&amp;Upload!U353&amp;Upload!V353))))),"",G363*0.000035)</f>
        <v/>
      </c>
    </row>
    <row r="364" spans="1:19" x14ac:dyDescent="0.2">
      <c r="A364" s="9" t="e">
        <f t="shared" ca="1" si="35"/>
        <v>#NAME?</v>
      </c>
      <c r="B364" s="9">
        <f>Upload!E354</f>
        <v>0</v>
      </c>
      <c r="C364" s="9">
        <f>Upload!AE354</f>
        <v>0</v>
      </c>
      <c r="D364" s="9">
        <f>Upload!AF354</f>
        <v>0</v>
      </c>
      <c r="E364" s="9">
        <f>Upload!AG354</f>
        <v>0</v>
      </c>
      <c r="F364" s="9" t="str">
        <f>Upload!X354</f>
        <v/>
      </c>
      <c r="G364" s="9" t="str">
        <f>Upload!Z354</f>
        <v/>
      </c>
      <c r="H364" s="9" t="str">
        <f>Upload!W354</f>
        <v>(seleccione)</v>
      </c>
      <c r="I364" s="9" t="str">
        <f>Upload!Y354</f>
        <v>(seleccione)</v>
      </c>
      <c r="K364" s="15" t="str">
        <f t="shared" si="30"/>
        <v/>
      </c>
      <c r="L364" s="15" t="str">
        <f t="shared" si="31"/>
        <v/>
      </c>
      <c r="M364" s="15" t="str">
        <f t="shared" si="32"/>
        <v/>
      </c>
      <c r="N364" s="15" t="str">
        <f t="shared" si="33"/>
        <v/>
      </c>
      <c r="O364" s="15" t="str">
        <f t="shared" si="34"/>
        <v/>
      </c>
      <c r="P364" s="15" t="str">
        <f>IF(OR(C364="",NOT(OR(ISNUMBER(SEARCH("Antitarnish",Upload!P354&amp;Upload!Q354&amp;Upload!R354&amp;Upload!S354&amp;Upload!T354)),ISNUMBER(SEARCH("Anti Tarnish",Upload!P354&amp;Upload!Q354&amp;Upload!R354&amp;Upload!S354&amp;Upload!T354))))),"",0.0012*C364)</f>
        <v/>
      </c>
      <c r="Q364" s="15" t="str">
        <f>IF(OR(E364="",NOT(OR(ISNUMBER(SEARCH("Epóxico MT",Upload!P354&amp;Upload!Q354&amp;Upload!R354&amp;Upload!S354&amp;Upload!T354))))),"",E364*0.000035)</f>
        <v/>
      </c>
      <c r="R364" s="15" t="str">
        <f>IF(OR(F364="",NOT(OR(ISNUMBER(SEARCH("Epóxico BT",Upload!Q354&amp;Upload!R354&amp;Upload!S354&amp;Upload!T354&amp;Upload!U354))))),"",F364*0.000035)</f>
        <v/>
      </c>
      <c r="S364" s="15" t="str">
        <f>IF(OR(G364="",NOT(OR(ISNUMBER(SEARCH("Epóxico Rojo",Upload!R354&amp;Upload!S354&amp;Upload!T354&amp;Upload!U354&amp;Upload!V354))))),"",G364*0.000035)</f>
        <v/>
      </c>
    </row>
    <row r="365" spans="1:19" x14ac:dyDescent="0.2">
      <c r="A365" s="9" t="e">
        <f t="shared" ca="1" si="35"/>
        <v>#NAME?</v>
      </c>
      <c r="B365" s="9">
        <f>Upload!E355</f>
        <v>0</v>
      </c>
      <c r="C365" s="9">
        <f>Upload!AE355</f>
        <v>0</v>
      </c>
      <c r="D365" s="9">
        <f>Upload!AF355</f>
        <v>0</v>
      </c>
      <c r="E365" s="9">
        <f>Upload!AG355</f>
        <v>0</v>
      </c>
      <c r="F365" s="9" t="str">
        <f>Upload!X355</f>
        <v/>
      </c>
      <c r="G365" s="9" t="str">
        <f>Upload!Z355</f>
        <v/>
      </c>
      <c r="H365" s="9" t="str">
        <f>Upload!W355</f>
        <v>(seleccione)</v>
      </c>
      <c r="I365" s="9" t="str">
        <f>Upload!Y355</f>
        <v>(seleccione)</v>
      </c>
      <c r="K365" s="15" t="str">
        <f t="shared" si="30"/>
        <v/>
      </c>
      <c r="L365" s="15" t="str">
        <f t="shared" si="31"/>
        <v/>
      </c>
      <c r="M365" s="15" t="str">
        <f t="shared" si="32"/>
        <v/>
      </c>
      <c r="N365" s="15" t="str">
        <f t="shared" si="33"/>
        <v/>
      </c>
      <c r="O365" s="15" t="str">
        <f t="shared" si="34"/>
        <v/>
      </c>
      <c r="P365" s="15" t="str">
        <f>IF(OR(C365="",NOT(OR(ISNUMBER(SEARCH("Antitarnish",Upload!P355&amp;Upload!Q355&amp;Upload!R355&amp;Upload!S355&amp;Upload!T355)),ISNUMBER(SEARCH("Anti Tarnish",Upload!P355&amp;Upload!Q355&amp;Upload!R355&amp;Upload!S355&amp;Upload!T355))))),"",0.0012*C365)</f>
        <v/>
      </c>
      <c r="Q365" s="15" t="str">
        <f>IF(OR(E365="",NOT(OR(ISNUMBER(SEARCH("Epóxico MT",Upload!P355&amp;Upload!Q355&amp;Upload!R355&amp;Upload!S355&amp;Upload!T355))))),"",E365*0.000035)</f>
        <v/>
      </c>
      <c r="R365" s="15" t="str">
        <f>IF(OR(F365="",NOT(OR(ISNUMBER(SEARCH("Epóxico BT",Upload!Q355&amp;Upload!R355&amp;Upload!S355&amp;Upload!T355&amp;Upload!U355))))),"",F365*0.000035)</f>
        <v/>
      </c>
      <c r="S365" s="15" t="str">
        <f>IF(OR(G365="",NOT(OR(ISNUMBER(SEARCH("Epóxico Rojo",Upload!R355&amp;Upload!S355&amp;Upload!T355&amp;Upload!U355&amp;Upload!V355))))),"",G365*0.000035)</f>
        <v/>
      </c>
    </row>
    <row r="366" spans="1:19" x14ac:dyDescent="0.2">
      <c r="A366" s="9" t="e">
        <f t="shared" ca="1" si="35"/>
        <v>#NAME?</v>
      </c>
      <c r="B366" s="9">
        <f>Upload!E356</f>
        <v>0</v>
      </c>
      <c r="C366" s="9">
        <f>Upload!AE356</f>
        <v>0</v>
      </c>
      <c r="D366" s="9">
        <f>Upload!AF356</f>
        <v>0</v>
      </c>
      <c r="E366" s="9">
        <f>Upload!AG356</f>
        <v>0</v>
      </c>
      <c r="F366" s="9" t="str">
        <f>Upload!X356</f>
        <v/>
      </c>
      <c r="G366" s="9" t="str">
        <f>Upload!Z356</f>
        <v/>
      </c>
      <c r="H366" s="9" t="str">
        <f>Upload!W356</f>
        <v>(seleccione)</v>
      </c>
      <c r="I366" s="9" t="str">
        <f>Upload!Y356</f>
        <v>(seleccione)</v>
      </c>
      <c r="K366" s="15" t="str">
        <f t="shared" si="30"/>
        <v/>
      </c>
      <c r="L366" s="15" t="str">
        <f t="shared" si="31"/>
        <v/>
      </c>
      <c r="M366" s="15" t="str">
        <f t="shared" si="32"/>
        <v/>
      </c>
      <c r="N366" s="15" t="str">
        <f t="shared" si="33"/>
        <v/>
      </c>
      <c r="O366" s="15" t="str">
        <f t="shared" si="34"/>
        <v/>
      </c>
      <c r="P366" s="15" t="str">
        <f>IF(OR(C366="",NOT(OR(ISNUMBER(SEARCH("Antitarnish",Upload!P356&amp;Upload!Q356&amp;Upload!R356&amp;Upload!S356&amp;Upload!T356)),ISNUMBER(SEARCH("Anti Tarnish",Upload!P356&amp;Upload!Q356&amp;Upload!R356&amp;Upload!S356&amp;Upload!T356))))),"",0.0012*C366)</f>
        <v/>
      </c>
      <c r="Q366" s="15" t="str">
        <f>IF(OR(E366="",NOT(OR(ISNUMBER(SEARCH("Epóxico MT",Upload!P356&amp;Upload!Q356&amp;Upload!R356&amp;Upload!S356&amp;Upload!T356))))),"",E366*0.000035)</f>
        <v/>
      </c>
      <c r="R366" s="15" t="str">
        <f>IF(OR(F366="",NOT(OR(ISNUMBER(SEARCH("Epóxico BT",Upload!Q356&amp;Upload!R356&amp;Upload!S356&amp;Upload!T356&amp;Upload!U356))))),"",F366*0.000035)</f>
        <v/>
      </c>
      <c r="S366" s="15" t="str">
        <f>IF(OR(G366="",NOT(OR(ISNUMBER(SEARCH("Epóxico Rojo",Upload!R356&amp;Upload!S356&amp;Upload!T356&amp;Upload!U356&amp;Upload!V356))))),"",G366*0.000035)</f>
        <v/>
      </c>
    </row>
    <row r="367" spans="1:19" x14ac:dyDescent="0.2">
      <c r="A367" s="9" t="e">
        <f t="shared" ca="1" si="35"/>
        <v>#NAME?</v>
      </c>
      <c r="B367" s="9">
        <f>Upload!E357</f>
        <v>0</v>
      </c>
      <c r="C367" s="9">
        <f>Upload!AE357</f>
        <v>0</v>
      </c>
      <c r="D367" s="9">
        <f>Upload!AF357</f>
        <v>0</v>
      </c>
      <c r="E367" s="9">
        <f>Upload!AG357</f>
        <v>0</v>
      </c>
      <c r="F367" s="9" t="str">
        <f>Upload!X357</f>
        <v/>
      </c>
      <c r="G367" s="9" t="str">
        <f>Upload!Z357</f>
        <v/>
      </c>
      <c r="H367" s="9" t="str">
        <f>Upload!W357</f>
        <v>(seleccione)</v>
      </c>
      <c r="I367" s="9" t="str">
        <f>Upload!Y357</f>
        <v>(seleccione)</v>
      </c>
      <c r="K367" s="15" t="str">
        <f t="shared" si="30"/>
        <v/>
      </c>
      <c r="L367" s="15" t="str">
        <f t="shared" si="31"/>
        <v/>
      </c>
      <c r="M367" s="15" t="str">
        <f t="shared" si="32"/>
        <v/>
      </c>
      <c r="N367" s="15" t="str">
        <f t="shared" si="33"/>
        <v/>
      </c>
      <c r="O367" s="15" t="str">
        <f t="shared" si="34"/>
        <v/>
      </c>
      <c r="P367" s="15" t="str">
        <f>IF(OR(C367="",NOT(OR(ISNUMBER(SEARCH("Antitarnish",Upload!P357&amp;Upload!Q357&amp;Upload!R357&amp;Upload!S357&amp;Upload!T357)),ISNUMBER(SEARCH("Anti Tarnish",Upload!P357&amp;Upload!Q357&amp;Upload!R357&amp;Upload!S357&amp;Upload!T357))))),"",0.0012*C367)</f>
        <v/>
      </c>
      <c r="Q367" s="15" t="str">
        <f>IF(OR(E367="",NOT(OR(ISNUMBER(SEARCH("Epóxico MT",Upload!P357&amp;Upload!Q357&amp;Upload!R357&amp;Upload!S357&amp;Upload!T357))))),"",E367*0.000035)</f>
        <v/>
      </c>
      <c r="R367" s="15" t="str">
        <f>IF(OR(F367="",NOT(OR(ISNUMBER(SEARCH("Epóxico BT",Upload!Q357&amp;Upload!R357&amp;Upload!S357&amp;Upload!T357&amp;Upload!U357))))),"",F367*0.000035)</f>
        <v/>
      </c>
      <c r="S367" s="15" t="str">
        <f>IF(OR(G367="",NOT(OR(ISNUMBER(SEARCH("Epóxico Rojo",Upload!R357&amp;Upload!S357&amp;Upload!T357&amp;Upload!U357&amp;Upload!V357))))),"",G367*0.000035)</f>
        <v/>
      </c>
    </row>
    <row r="368" spans="1:19" x14ac:dyDescent="0.2">
      <c r="A368" s="9" t="e">
        <f t="shared" ca="1" si="35"/>
        <v>#NAME?</v>
      </c>
      <c r="B368" s="9">
        <f>Upload!E358</f>
        <v>0</v>
      </c>
      <c r="C368" s="9">
        <f>Upload!AE358</f>
        <v>0</v>
      </c>
      <c r="D368" s="9">
        <f>Upload!AF358</f>
        <v>0</v>
      </c>
      <c r="E368" s="9">
        <f>Upload!AG358</f>
        <v>0</v>
      </c>
      <c r="F368" s="9" t="str">
        <f>Upload!X358</f>
        <v/>
      </c>
      <c r="G368" s="9" t="str">
        <f>Upload!Z358</f>
        <v/>
      </c>
      <c r="H368" s="9" t="str">
        <f>Upload!W358</f>
        <v>(seleccione)</v>
      </c>
      <c r="I368" s="9" t="str">
        <f>Upload!Y358</f>
        <v>(seleccione)</v>
      </c>
      <c r="K368" s="15" t="str">
        <f t="shared" ref="K368:K431" si="36">IFERROR(IF(OR(D368="",IF(ISNUMBER(SEARCH("Plata",H368)),F368,IF(ISNUMBER(SEARCH("Plata",I368)),G368,""))=""),"",$D$6*D368*(IF(ISNUMBER(SEARCH("Plata",H368)),F368,IF(ISNUMBER(SEARCH("Plata",I368)),G368,"")))/10000000),"")</f>
        <v/>
      </c>
      <c r="L368" s="15" t="str">
        <f t="shared" ref="L368:L431" si="37">IFERROR(IF(OR(D368="",IF(OR(ISNUMBER(SEARCH("Estaño",H368)),ISNUMBER(SEARCH("Estañ",H368)),ISNUMBER(SEARCH("Tin",H368))),F368,IF(OR(ISNUMBER(SEARCH("Estaño",I368)),ISNUMBER(SEARCH("Estañ",I368)),ISNUMBER(SEARCH("Tin",I368))),G368,""))=""),"",$D$7*D368*(IF(OR(ISNUMBER(SEARCH("Estaño",H368)),ISNUMBER(SEARCH("Estañ",H368)),ISNUMBER(SEARCH("Tin",H368))),F368,IF(OR(ISNUMBER(SEARCH("Estaño",I368)),ISNUMBER(SEARCH("Estañ",I368)),ISNUMBER(SEARCH("Tin",I368))),G368,"")))/10000000),"")</f>
        <v/>
      </c>
      <c r="M368" s="15" t="str">
        <f t="shared" ref="M368:M431" si="38">IFERROR(IF(OR(D368="",IF(OR(ISNUMBER(SEARCH("Níquel",H368)),ISNUMBER(SEARCH("Niquel",H368))),F368,IF(OR(ISNUMBER(SEARCH("Níquel",I368)),ISNUMBER(SEARCH("Niquel",I368))),G368,""))=""),"",$D$8*D368*(IF(OR(ISNUMBER(SEARCH("Níquel",H368)),ISNUMBER(SEARCH("Niquel",H368))),F368,IF(OR(ISNUMBER(SEARCH("Níquel",I368)),ISNUMBER(SEARCH("Niquel",I368))),G368,"")))/10000000),"")</f>
        <v/>
      </c>
      <c r="N368" s="15" t="str">
        <f t="shared" ref="N368:N431" si="39">IFERROR(IF(OR(D368="",IF(ISNUMBER(SEARCH("Zinc",H368)),F368,IF(ISNUMBER(SEARCH("Zinc",I368)),G368,""))=""),"",$D$9*D368*(IF(ISNUMBER(SEARCH("Zinc",H368)),F368,IF(ISNUMBER(SEARCH("Zinc",I368)),G368,"")))/10000000),"")</f>
        <v/>
      </c>
      <c r="O368" s="15" t="str">
        <f t="shared" ref="O368:O431" si="40">IFERROR(IF(OR(D368="",IF(OR(ISNUMBER(SEARCH("Cobre",H368)),ISNUMBER(SEARCH("Bondal",H368))),F368,IF(OR(ISNUMBER(SEARCH("Cobre",I368)),ISNUMBER(SEARCH("Bondal",I368))),G368,""))=""),"",$D$10*D368*(IF(OR(ISNUMBER(SEARCH("Cobre",H368)),ISNUMBER(SEARCH("Bondal",H368))),F368,IF(OR(ISNUMBER(SEARCH("Cobre",I368)),ISNUMBER(SEARCH("Bondal",I368))),G368,"")))/10000000),"")</f>
        <v/>
      </c>
      <c r="P368" s="15" t="str">
        <f>IF(OR(C368="",NOT(OR(ISNUMBER(SEARCH("Antitarnish",Upload!P358&amp;Upload!Q358&amp;Upload!R358&amp;Upload!S358&amp;Upload!T358)),ISNUMBER(SEARCH("Anti Tarnish",Upload!P358&amp;Upload!Q358&amp;Upload!R358&amp;Upload!S358&amp;Upload!T358))))),"",0.0012*C368)</f>
        <v/>
      </c>
      <c r="Q368" s="15" t="str">
        <f>IF(OR(E368="",NOT(OR(ISNUMBER(SEARCH("Epóxico MT",Upload!P358&amp;Upload!Q358&amp;Upload!R358&amp;Upload!S358&amp;Upload!T358))))),"",E368*0.000035)</f>
        <v/>
      </c>
      <c r="R368" s="15" t="str">
        <f>IF(OR(F368="",NOT(OR(ISNUMBER(SEARCH("Epóxico BT",Upload!Q358&amp;Upload!R358&amp;Upload!S358&amp;Upload!T358&amp;Upload!U358))))),"",F368*0.000035)</f>
        <v/>
      </c>
      <c r="S368" s="15" t="str">
        <f>IF(OR(G368="",NOT(OR(ISNUMBER(SEARCH("Epóxico Rojo",Upload!R358&amp;Upload!S358&amp;Upload!T358&amp;Upload!U358&amp;Upload!V358))))),"",G368*0.000035)</f>
        <v/>
      </c>
    </row>
    <row r="369" spans="1:19" x14ac:dyDescent="0.2">
      <c r="A369" s="9" t="e">
        <f t="shared" ca="1" si="35"/>
        <v>#NAME?</v>
      </c>
      <c r="B369" s="9">
        <f>Upload!E359</f>
        <v>0</v>
      </c>
      <c r="C369" s="9">
        <f>Upload!AE359</f>
        <v>0</v>
      </c>
      <c r="D369" s="9">
        <f>Upload!AF359</f>
        <v>0</v>
      </c>
      <c r="E369" s="9">
        <f>Upload!AG359</f>
        <v>0</v>
      </c>
      <c r="F369" s="9" t="str">
        <f>Upload!X359</f>
        <v/>
      </c>
      <c r="G369" s="9" t="str">
        <f>Upload!Z359</f>
        <v/>
      </c>
      <c r="H369" s="9" t="str">
        <f>Upload!W359</f>
        <v>(seleccione)</v>
      </c>
      <c r="I369" s="9" t="str">
        <f>Upload!Y359</f>
        <v>(seleccione)</v>
      </c>
      <c r="K369" s="15" t="str">
        <f t="shared" si="36"/>
        <v/>
      </c>
      <c r="L369" s="15" t="str">
        <f t="shared" si="37"/>
        <v/>
      </c>
      <c r="M369" s="15" t="str">
        <f t="shared" si="38"/>
        <v/>
      </c>
      <c r="N369" s="15" t="str">
        <f t="shared" si="39"/>
        <v/>
      </c>
      <c r="O369" s="15" t="str">
        <f t="shared" si="40"/>
        <v/>
      </c>
      <c r="P369" s="15" t="str">
        <f>IF(OR(C369="",NOT(OR(ISNUMBER(SEARCH("Antitarnish",Upload!P359&amp;Upload!Q359&amp;Upload!R359&amp;Upload!S359&amp;Upload!T359)),ISNUMBER(SEARCH("Anti Tarnish",Upload!P359&amp;Upload!Q359&amp;Upload!R359&amp;Upload!S359&amp;Upload!T359))))),"",0.0012*C369)</f>
        <v/>
      </c>
      <c r="Q369" s="15" t="str">
        <f>IF(OR(E369="",NOT(OR(ISNUMBER(SEARCH("Epóxico MT",Upload!P359&amp;Upload!Q359&amp;Upload!R359&amp;Upload!S359&amp;Upload!T359))))),"",E369*0.000035)</f>
        <v/>
      </c>
      <c r="R369" s="15" t="str">
        <f>IF(OR(F369="",NOT(OR(ISNUMBER(SEARCH("Epóxico BT",Upload!Q359&amp;Upload!R359&amp;Upload!S359&amp;Upload!T359&amp;Upload!U359))))),"",F369*0.000035)</f>
        <v/>
      </c>
      <c r="S369" s="15" t="str">
        <f>IF(OR(G369="",NOT(OR(ISNUMBER(SEARCH("Epóxico Rojo",Upload!R359&amp;Upload!S359&amp;Upload!T359&amp;Upload!U359&amp;Upload!V359))))),"",G369*0.000035)</f>
        <v/>
      </c>
    </row>
    <row r="370" spans="1:19" x14ac:dyDescent="0.2">
      <c r="A370" s="9" t="e">
        <f t="shared" ca="1" si="35"/>
        <v>#NAME?</v>
      </c>
      <c r="B370" s="9">
        <f>Upload!E360</f>
        <v>0</v>
      </c>
      <c r="C370" s="9">
        <f>Upload!AE360</f>
        <v>0</v>
      </c>
      <c r="D370" s="9">
        <f>Upload!AF360</f>
        <v>0</v>
      </c>
      <c r="E370" s="9">
        <f>Upload!AG360</f>
        <v>0</v>
      </c>
      <c r="F370" s="9" t="str">
        <f>Upload!X360</f>
        <v/>
      </c>
      <c r="G370" s="9" t="str">
        <f>Upload!Z360</f>
        <v/>
      </c>
      <c r="H370" s="9" t="str">
        <f>Upload!W360</f>
        <v>(seleccione)</v>
      </c>
      <c r="I370" s="9" t="str">
        <f>Upload!Y360</f>
        <v>(seleccione)</v>
      </c>
      <c r="K370" s="15" t="str">
        <f t="shared" si="36"/>
        <v/>
      </c>
      <c r="L370" s="15" t="str">
        <f t="shared" si="37"/>
        <v/>
      </c>
      <c r="M370" s="15" t="str">
        <f t="shared" si="38"/>
        <v/>
      </c>
      <c r="N370" s="15" t="str">
        <f t="shared" si="39"/>
        <v/>
      </c>
      <c r="O370" s="15" t="str">
        <f t="shared" si="40"/>
        <v/>
      </c>
      <c r="P370" s="15" t="str">
        <f>IF(OR(C370="",NOT(OR(ISNUMBER(SEARCH("Antitarnish",Upload!P360&amp;Upload!Q360&amp;Upload!R360&amp;Upload!S360&amp;Upload!T360)),ISNUMBER(SEARCH("Anti Tarnish",Upload!P360&amp;Upload!Q360&amp;Upload!R360&amp;Upload!S360&amp;Upload!T360))))),"",0.0012*C370)</f>
        <v/>
      </c>
      <c r="Q370" s="15" t="str">
        <f>IF(OR(E370="",NOT(OR(ISNUMBER(SEARCH("Epóxico MT",Upload!P360&amp;Upload!Q360&amp;Upload!R360&amp;Upload!S360&amp;Upload!T360))))),"",E370*0.000035)</f>
        <v/>
      </c>
      <c r="R370" s="15" t="str">
        <f>IF(OR(F370="",NOT(OR(ISNUMBER(SEARCH("Epóxico BT",Upload!Q360&amp;Upload!R360&amp;Upload!S360&amp;Upload!T360&amp;Upload!U360))))),"",F370*0.000035)</f>
        <v/>
      </c>
      <c r="S370" s="15" t="str">
        <f>IF(OR(G370="",NOT(OR(ISNUMBER(SEARCH("Epóxico Rojo",Upload!R360&amp;Upload!S360&amp;Upload!T360&amp;Upload!U360&amp;Upload!V360))))),"",G370*0.000035)</f>
        <v/>
      </c>
    </row>
    <row r="371" spans="1:19" x14ac:dyDescent="0.2">
      <c r="A371" s="9" t="e">
        <f t="shared" ca="1" si="35"/>
        <v>#NAME?</v>
      </c>
      <c r="B371" s="9">
        <f>Upload!E361</f>
        <v>0</v>
      </c>
      <c r="C371" s="9">
        <f>Upload!AE361</f>
        <v>0</v>
      </c>
      <c r="D371" s="9">
        <f>Upload!AF361</f>
        <v>0</v>
      </c>
      <c r="E371" s="9">
        <f>Upload!AG361</f>
        <v>0</v>
      </c>
      <c r="F371" s="9" t="str">
        <f>Upload!X361</f>
        <v/>
      </c>
      <c r="G371" s="9" t="str">
        <f>Upload!Z361</f>
        <v/>
      </c>
      <c r="H371" s="9" t="str">
        <f>Upload!W361</f>
        <v>(seleccione)</v>
      </c>
      <c r="I371" s="9" t="str">
        <f>Upload!Y361</f>
        <v>(seleccione)</v>
      </c>
      <c r="K371" s="15" t="str">
        <f t="shared" si="36"/>
        <v/>
      </c>
      <c r="L371" s="15" t="str">
        <f t="shared" si="37"/>
        <v/>
      </c>
      <c r="M371" s="15" t="str">
        <f t="shared" si="38"/>
        <v/>
      </c>
      <c r="N371" s="15" t="str">
        <f t="shared" si="39"/>
        <v/>
      </c>
      <c r="O371" s="15" t="str">
        <f t="shared" si="40"/>
        <v/>
      </c>
      <c r="P371" s="15" t="str">
        <f>IF(OR(C371="",NOT(OR(ISNUMBER(SEARCH("Antitarnish",Upload!P361&amp;Upload!Q361&amp;Upload!R361&amp;Upload!S361&amp;Upload!T361)),ISNUMBER(SEARCH("Anti Tarnish",Upload!P361&amp;Upload!Q361&amp;Upload!R361&amp;Upload!S361&amp;Upload!T361))))),"",0.0012*C371)</f>
        <v/>
      </c>
      <c r="Q371" s="15" t="str">
        <f>IF(OR(E371="",NOT(OR(ISNUMBER(SEARCH("Epóxico MT",Upload!P361&amp;Upload!Q361&amp;Upload!R361&amp;Upload!S361&amp;Upload!T361))))),"",E371*0.000035)</f>
        <v/>
      </c>
      <c r="R371" s="15" t="str">
        <f>IF(OR(F371="",NOT(OR(ISNUMBER(SEARCH("Epóxico BT",Upload!Q361&amp;Upload!R361&amp;Upload!S361&amp;Upload!T361&amp;Upload!U361))))),"",F371*0.000035)</f>
        <v/>
      </c>
      <c r="S371" s="15" t="str">
        <f>IF(OR(G371="",NOT(OR(ISNUMBER(SEARCH("Epóxico Rojo",Upload!R361&amp;Upload!S361&amp;Upload!T361&amp;Upload!U361&amp;Upload!V361))))),"",G371*0.000035)</f>
        <v/>
      </c>
    </row>
    <row r="372" spans="1:19" x14ac:dyDescent="0.2">
      <c r="A372" s="9" t="e">
        <f t="shared" ca="1" si="35"/>
        <v>#NAME?</v>
      </c>
      <c r="B372" s="9">
        <f>Upload!E362</f>
        <v>0</v>
      </c>
      <c r="C372" s="9">
        <f>Upload!AE362</f>
        <v>0</v>
      </c>
      <c r="D372" s="9">
        <f>Upload!AF362</f>
        <v>0</v>
      </c>
      <c r="E372" s="9">
        <f>Upload!AG362</f>
        <v>0</v>
      </c>
      <c r="F372" s="9" t="str">
        <f>Upload!X362</f>
        <v/>
      </c>
      <c r="G372" s="9" t="str">
        <f>Upload!Z362</f>
        <v/>
      </c>
      <c r="H372" s="9" t="str">
        <f>Upload!W362</f>
        <v>(seleccione)</v>
      </c>
      <c r="I372" s="9" t="str">
        <f>Upload!Y362</f>
        <v>(seleccione)</v>
      </c>
      <c r="K372" s="15" t="str">
        <f t="shared" si="36"/>
        <v/>
      </c>
      <c r="L372" s="15" t="str">
        <f t="shared" si="37"/>
        <v/>
      </c>
      <c r="M372" s="15" t="str">
        <f t="shared" si="38"/>
        <v/>
      </c>
      <c r="N372" s="15" t="str">
        <f t="shared" si="39"/>
        <v/>
      </c>
      <c r="O372" s="15" t="str">
        <f t="shared" si="40"/>
        <v/>
      </c>
      <c r="P372" s="15" t="str">
        <f>IF(OR(C372="",NOT(OR(ISNUMBER(SEARCH("Antitarnish",Upload!P362&amp;Upload!Q362&amp;Upload!R362&amp;Upload!S362&amp;Upload!T362)),ISNUMBER(SEARCH("Anti Tarnish",Upload!P362&amp;Upload!Q362&amp;Upload!R362&amp;Upload!S362&amp;Upload!T362))))),"",0.0012*C372)</f>
        <v/>
      </c>
      <c r="Q372" s="15" t="str">
        <f>IF(OR(E372="",NOT(OR(ISNUMBER(SEARCH("Epóxico MT",Upload!P362&amp;Upload!Q362&amp;Upload!R362&amp;Upload!S362&amp;Upload!T362))))),"",E372*0.000035)</f>
        <v/>
      </c>
      <c r="R372" s="15" t="str">
        <f>IF(OR(F372="",NOT(OR(ISNUMBER(SEARCH("Epóxico BT",Upload!Q362&amp;Upload!R362&amp;Upload!S362&amp;Upload!T362&amp;Upload!U362))))),"",F372*0.000035)</f>
        <v/>
      </c>
      <c r="S372" s="15" t="str">
        <f>IF(OR(G372="",NOT(OR(ISNUMBER(SEARCH("Epóxico Rojo",Upload!R362&amp;Upload!S362&amp;Upload!T362&amp;Upload!U362&amp;Upload!V362))))),"",G372*0.000035)</f>
        <v/>
      </c>
    </row>
    <row r="373" spans="1:19" x14ac:dyDescent="0.2">
      <c r="A373" s="9" t="e">
        <f t="shared" ca="1" si="35"/>
        <v>#NAME?</v>
      </c>
      <c r="B373" s="9">
        <f>Upload!E363</f>
        <v>0</v>
      </c>
      <c r="C373" s="9">
        <f>Upload!AE363</f>
        <v>0</v>
      </c>
      <c r="D373" s="9">
        <f>Upload!AF363</f>
        <v>0</v>
      </c>
      <c r="E373" s="9">
        <f>Upload!AG363</f>
        <v>0</v>
      </c>
      <c r="F373" s="9" t="str">
        <f>Upload!X363</f>
        <v/>
      </c>
      <c r="G373" s="9" t="str">
        <f>Upload!Z363</f>
        <v/>
      </c>
      <c r="H373" s="9" t="str">
        <f>Upload!W363</f>
        <v>(seleccione)</v>
      </c>
      <c r="I373" s="9" t="str">
        <f>Upload!Y363</f>
        <v>(seleccione)</v>
      </c>
      <c r="K373" s="15" t="str">
        <f t="shared" si="36"/>
        <v/>
      </c>
      <c r="L373" s="15" t="str">
        <f t="shared" si="37"/>
        <v/>
      </c>
      <c r="M373" s="15" t="str">
        <f t="shared" si="38"/>
        <v/>
      </c>
      <c r="N373" s="15" t="str">
        <f t="shared" si="39"/>
        <v/>
      </c>
      <c r="O373" s="15" t="str">
        <f t="shared" si="40"/>
        <v/>
      </c>
      <c r="P373" s="15" t="str">
        <f>IF(OR(C373="",NOT(OR(ISNUMBER(SEARCH("Antitarnish",Upload!P363&amp;Upload!Q363&amp;Upload!R363&amp;Upload!S363&amp;Upload!T363)),ISNUMBER(SEARCH("Anti Tarnish",Upload!P363&amp;Upload!Q363&amp;Upload!R363&amp;Upload!S363&amp;Upload!T363))))),"",0.0012*C373)</f>
        <v/>
      </c>
      <c r="Q373" s="15" t="str">
        <f>IF(OR(E373="",NOT(OR(ISNUMBER(SEARCH("Epóxico MT",Upload!P363&amp;Upload!Q363&amp;Upload!R363&amp;Upload!S363&amp;Upload!T363))))),"",E373*0.000035)</f>
        <v/>
      </c>
      <c r="R373" s="15" t="str">
        <f>IF(OR(F373="",NOT(OR(ISNUMBER(SEARCH("Epóxico BT",Upload!Q363&amp;Upload!R363&amp;Upload!S363&amp;Upload!T363&amp;Upload!U363))))),"",F373*0.000035)</f>
        <v/>
      </c>
      <c r="S373" s="15" t="str">
        <f>IF(OR(G373="",NOT(OR(ISNUMBER(SEARCH("Epóxico Rojo",Upload!R363&amp;Upload!S363&amp;Upload!T363&amp;Upload!U363&amp;Upload!V363))))),"",G373*0.000035)</f>
        <v/>
      </c>
    </row>
    <row r="374" spans="1:19" x14ac:dyDescent="0.2">
      <c r="A374" s="9" t="e">
        <f t="shared" ca="1" si="35"/>
        <v>#NAME?</v>
      </c>
      <c r="B374" s="9">
        <f>Upload!E364</f>
        <v>0</v>
      </c>
      <c r="C374" s="9">
        <f>Upload!AE364</f>
        <v>0</v>
      </c>
      <c r="D374" s="9">
        <f>Upload!AF364</f>
        <v>0</v>
      </c>
      <c r="E374" s="9">
        <f>Upload!AG364</f>
        <v>0</v>
      </c>
      <c r="F374" s="9" t="str">
        <f>Upload!X364</f>
        <v/>
      </c>
      <c r="G374" s="9" t="str">
        <f>Upload!Z364</f>
        <v/>
      </c>
      <c r="H374" s="9" t="str">
        <f>Upload!W364</f>
        <v>(seleccione)</v>
      </c>
      <c r="I374" s="9" t="str">
        <f>Upload!Y364</f>
        <v>(seleccione)</v>
      </c>
      <c r="K374" s="15" t="str">
        <f t="shared" si="36"/>
        <v/>
      </c>
      <c r="L374" s="15" t="str">
        <f t="shared" si="37"/>
        <v/>
      </c>
      <c r="M374" s="15" t="str">
        <f t="shared" si="38"/>
        <v/>
      </c>
      <c r="N374" s="15" t="str">
        <f t="shared" si="39"/>
        <v/>
      </c>
      <c r="O374" s="15" t="str">
        <f t="shared" si="40"/>
        <v/>
      </c>
      <c r="P374" s="15" t="str">
        <f>IF(OR(C374="",NOT(OR(ISNUMBER(SEARCH("Antitarnish",Upload!P364&amp;Upload!Q364&amp;Upload!R364&amp;Upload!S364&amp;Upload!T364)),ISNUMBER(SEARCH("Anti Tarnish",Upload!P364&amp;Upload!Q364&amp;Upload!R364&amp;Upload!S364&amp;Upload!T364))))),"",0.0012*C374)</f>
        <v/>
      </c>
      <c r="Q374" s="15" t="str">
        <f>IF(OR(E374="",NOT(OR(ISNUMBER(SEARCH("Epóxico MT",Upload!P364&amp;Upload!Q364&amp;Upload!R364&amp;Upload!S364&amp;Upload!T364))))),"",E374*0.000035)</f>
        <v/>
      </c>
      <c r="R374" s="15" t="str">
        <f>IF(OR(F374="",NOT(OR(ISNUMBER(SEARCH("Epóxico BT",Upload!Q364&amp;Upload!R364&amp;Upload!S364&amp;Upload!T364&amp;Upload!U364))))),"",F374*0.000035)</f>
        <v/>
      </c>
      <c r="S374" s="15" t="str">
        <f>IF(OR(G374="",NOT(OR(ISNUMBER(SEARCH("Epóxico Rojo",Upload!R364&amp;Upload!S364&amp;Upload!T364&amp;Upload!U364&amp;Upload!V364))))),"",G374*0.000035)</f>
        <v/>
      </c>
    </row>
    <row r="375" spans="1:19" x14ac:dyDescent="0.2">
      <c r="A375" s="9" t="e">
        <f t="shared" ca="1" si="35"/>
        <v>#NAME?</v>
      </c>
      <c r="B375" s="9">
        <f>Upload!E365</f>
        <v>0</v>
      </c>
      <c r="C375" s="9">
        <f>Upload!AE365</f>
        <v>0</v>
      </c>
      <c r="D375" s="9">
        <f>Upload!AF365</f>
        <v>0</v>
      </c>
      <c r="E375" s="9">
        <f>Upload!AG365</f>
        <v>0</v>
      </c>
      <c r="F375" s="9" t="str">
        <f>Upload!X365</f>
        <v/>
      </c>
      <c r="G375" s="9" t="str">
        <f>Upload!Z365</f>
        <v/>
      </c>
      <c r="H375" s="9" t="str">
        <f>Upload!W365</f>
        <v>(seleccione)</v>
      </c>
      <c r="I375" s="9" t="str">
        <f>Upload!Y365</f>
        <v>(seleccione)</v>
      </c>
      <c r="K375" s="15" t="str">
        <f t="shared" si="36"/>
        <v/>
      </c>
      <c r="L375" s="15" t="str">
        <f t="shared" si="37"/>
        <v/>
      </c>
      <c r="M375" s="15" t="str">
        <f t="shared" si="38"/>
        <v/>
      </c>
      <c r="N375" s="15" t="str">
        <f t="shared" si="39"/>
        <v/>
      </c>
      <c r="O375" s="15" t="str">
        <f t="shared" si="40"/>
        <v/>
      </c>
      <c r="P375" s="15" t="str">
        <f>IF(OR(C375="",NOT(OR(ISNUMBER(SEARCH("Antitarnish",Upload!P365&amp;Upload!Q365&amp;Upload!R365&amp;Upload!S365&amp;Upload!T365)),ISNUMBER(SEARCH("Anti Tarnish",Upload!P365&amp;Upload!Q365&amp;Upload!R365&amp;Upload!S365&amp;Upload!T365))))),"",0.0012*C375)</f>
        <v/>
      </c>
      <c r="Q375" s="15" t="str">
        <f>IF(OR(E375="",NOT(OR(ISNUMBER(SEARCH("Epóxico MT",Upload!P365&amp;Upload!Q365&amp;Upload!R365&amp;Upload!S365&amp;Upload!T365))))),"",E375*0.000035)</f>
        <v/>
      </c>
      <c r="R375" s="15" t="str">
        <f>IF(OR(F375="",NOT(OR(ISNUMBER(SEARCH("Epóxico BT",Upload!Q365&amp;Upload!R365&amp;Upload!S365&amp;Upload!T365&amp;Upload!U365))))),"",F375*0.000035)</f>
        <v/>
      </c>
      <c r="S375" s="15" t="str">
        <f>IF(OR(G375="",NOT(OR(ISNUMBER(SEARCH("Epóxico Rojo",Upload!R365&amp;Upload!S365&amp;Upload!T365&amp;Upload!U365&amp;Upload!V365))))),"",G375*0.000035)</f>
        <v/>
      </c>
    </row>
    <row r="376" spans="1:19" x14ac:dyDescent="0.2">
      <c r="A376" s="9" t="e">
        <f t="shared" ca="1" si="35"/>
        <v>#NAME?</v>
      </c>
      <c r="B376" s="9">
        <f>Upload!E366</f>
        <v>0</v>
      </c>
      <c r="C376" s="9">
        <f>Upload!AE366</f>
        <v>0</v>
      </c>
      <c r="D376" s="9">
        <f>Upload!AF366</f>
        <v>0</v>
      </c>
      <c r="E376" s="9">
        <f>Upload!AG366</f>
        <v>0</v>
      </c>
      <c r="F376" s="9" t="str">
        <f>Upload!X366</f>
        <v/>
      </c>
      <c r="G376" s="9" t="str">
        <f>Upload!Z366</f>
        <v/>
      </c>
      <c r="H376" s="9" t="str">
        <f>Upload!W366</f>
        <v>(seleccione)</v>
      </c>
      <c r="I376" s="9" t="str">
        <f>Upload!Y366</f>
        <v>(seleccione)</v>
      </c>
      <c r="K376" s="15" t="str">
        <f t="shared" si="36"/>
        <v/>
      </c>
      <c r="L376" s="15" t="str">
        <f t="shared" si="37"/>
        <v/>
      </c>
      <c r="M376" s="15" t="str">
        <f t="shared" si="38"/>
        <v/>
      </c>
      <c r="N376" s="15" t="str">
        <f t="shared" si="39"/>
        <v/>
      </c>
      <c r="O376" s="15" t="str">
        <f t="shared" si="40"/>
        <v/>
      </c>
      <c r="P376" s="15" t="str">
        <f>IF(OR(C376="",NOT(OR(ISNUMBER(SEARCH("Antitarnish",Upload!P366&amp;Upload!Q366&amp;Upload!R366&amp;Upload!S366&amp;Upload!T366)),ISNUMBER(SEARCH("Anti Tarnish",Upload!P366&amp;Upload!Q366&amp;Upload!R366&amp;Upload!S366&amp;Upload!T366))))),"",0.0012*C376)</f>
        <v/>
      </c>
      <c r="Q376" s="15" t="str">
        <f>IF(OR(E376="",NOT(OR(ISNUMBER(SEARCH("Epóxico MT",Upload!P366&amp;Upload!Q366&amp;Upload!R366&amp;Upload!S366&amp;Upload!T366))))),"",E376*0.000035)</f>
        <v/>
      </c>
      <c r="R376" s="15" t="str">
        <f>IF(OR(F376="",NOT(OR(ISNUMBER(SEARCH("Epóxico BT",Upload!Q366&amp;Upload!R366&amp;Upload!S366&amp;Upload!T366&amp;Upload!U366))))),"",F376*0.000035)</f>
        <v/>
      </c>
      <c r="S376" s="15" t="str">
        <f>IF(OR(G376="",NOT(OR(ISNUMBER(SEARCH("Epóxico Rojo",Upload!R366&amp;Upload!S366&amp;Upload!T366&amp;Upload!U366&amp;Upload!V366))))),"",G376*0.000035)</f>
        <v/>
      </c>
    </row>
    <row r="377" spans="1:19" x14ac:dyDescent="0.2">
      <c r="A377" s="9" t="e">
        <f t="shared" ca="1" si="35"/>
        <v>#NAME?</v>
      </c>
      <c r="B377" s="9">
        <f>Upload!E367</f>
        <v>0</v>
      </c>
      <c r="C377" s="9">
        <f>Upload!AE367</f>
        <v>0</v>
      </c>
      <c r="D377" s="9">
        <f>Upload!AF367</f>
        <v>0</v>
      </c>
      <c r="E377" s="9">
        <f>Upload!AG367</f>
        <v>0</v>
      </c>
      <c r="F377" s="9" t="str">
        <f>Upload!X367</f>
        <v/>
      </c>
      <c r="G377" s="9" t="str">
        <f>Upload!Z367</f>
        <v/>
      </c>
      <c r="H377" s="9" t="str">
        <f>Upload!W367</f>
        <v>(seleccione)</v>
      </c>
      <c r="I377" s="9" t="str">
        <f>Upload!Y367</f>
        <v>(seleccione)</v>
      </c>
      <c r="K377" s="15" t="str">
        <f t="shared" si="36"/>
        <v/>
      </c>
      <c r="L377" s="15" t="str">
        <f t="shared" si="37"/>
        <v/>
      </c>
      <c r="M377" s="15" t="str">
        <f t="shared" si="38"/>
        <v/>
      </c>
      <c r="N377" s="15" t="str">
        <f t="shared" si="39"/>
        <v/>
      </c>
      <c r="O377" s="15" t="str">
        <f t="shared" si="40"/>
        <v/>
      </c>
      <c r="P377" s="15" t="str">
        <f>IF(OR(C377="",NOT(OR(ISNUMBER(SEARCH("Antitarnish",Upload!P367&amp;Upload!Q367&amp;Upload!R367&amp;Upload!S367&amp;Upload!T367)),ISNUMBER(SEARCH("Anti Tarnish",Upload!P367&amp;Upload!Q367&amp;Upload!R367&amp;Upload!S367&amp;Upload!T367))))),"",0.0012*C377)</f>
        <v/>
      </c>
      <c r="Q377" s="15" t="str">
        <f>IF(OR(E377="",NOT(OR(ISNUMBER(SEARCH("Epóxico MT",Upload!P367&amp;Upload!Q367&amp;Upload!R367&amp;Upload!S367&amp;Upload!T367))))),"",E377*0.000035)</f>
        <v/>
      </c>
      <c r="R377" s="15" t="str">
        <f>IF(OR(F377="",NOT(OR(ISNUMBER(SEARCH("Epóxico BT",Upload!Q367&amp;Upload!R367&amp;Upload!S367&amp;Upload!T367&amp;Upload!U367))))),"",F377*0.000035)</f>
        <v/>
      </c>
      <c r="S377" s="15" t="str">
        <f>IF(OR(G377="",NOT(OR(ISNUMBER(SEARCH("Epóxico Rojo",Upload!R367&amp;Upload!S367&amp;Upload!T367&amp;Upload!U367&amp;Upload!V367))))),"",G377*0.000035)</f>
        <v/>
      </c>
    </row>
    <row r="378" spans="1:19" x14ac:dyDescent="0.2">
      <c r="A378" s="9" t="e">
        <f t="shared" ca="1" si="35"/>
        <v>#NAME?</v>
      </c>
      <c r="B378" s="9">
        <f>Upload!E368</f>
        <v>0</v>
      </c>
      <c r="C378" s="9">
        <f>Upload!AE368</f>
        <v>0</v>
      </c>
      <c r="D378" s="9">
        <f>Upload!AF368</f>
        <v>0</v>
      </c>
      <c r="E378" s="9">
        <f>Upload!AG368</f>
        <v>0</v>
      </c>
      <c r="F378" s="9" t="str">
        <f>Upload!X368</f>
        <v/>
      </c>
      <c r="G378" s="9" t="str">
        <f>Upload!Z368</f>
        <v/>
      </c>
      <c r="H378" s="9" t="str">
        <f>Upload!W368</f>
        <v>(seleccione)</v>
      </c>
      <c r="I378" s="9" t="str">
        <f>Upload!Y368</f>
        <v>(seleccione)</v>
      </c>
      <c r="K378" s="15" t="str">
        <f t="shared" si="36"/>
        <v/>
      </c>
      <c r="L378" s="15" t="str">
        <f t="shared" si="37"/>
        <v/>
      </c>
      <c r="M378" s="15" t="str">
        <f t="shared" si="38"/>
        <v/>
      </c>
      <c r="N378" s="15" t="str">
        <f t="shared" si="39"/>
        <v/>
      </c>
      <c r="O378" s="15" t="str">
        <f t="shared" si="40"/>
        <v/>
      </c>
      <c r="P378" s="15" t="str">
        <f>IF(OR(C378="",NOT(OR(ISNUMBER(SEARCH("Antitarnish",Upload!P368&amp;Upload!Q368&amp;Upload!R368&amp;Upload!S368&amp;Upload!T368)),ISNUMBER(SEARCH("Anti Tarnish",Upload!P368&amp;Upload!Q368&amp;Upload!R368&amp;Upload!S368&amp;Upload!T368))))),"",0.0012*C378)</f>
        <v/>
      </c>
      <c r="Q378" s="15" t="str">
        <f>IF(OR(E378="",NOT(OR(ISNUMBER(SEARCH("Epóxico MT",Upload!P368&amp;Upload!Q368&amp;Upload!R368&amp;Upload!S368&amp;Upload!T368))))),"",E378*0.000035)</f>
        <v/>
      </c>
      <c r="R378" s="15" t="str">
        <f>IF(OR(F378="",NOT(OR(ISNUMBER(SEARCH("Epóxico BT",Upload!Q368&amp;Upload!R368&amp;Upload!S368&amp;Upload!T368&amp;Upload!U368))))),"",F378*0.000035)</f>
        <v/>
      </c>
      <c r="S378" s="15" t="str">
        <f>IF(OR(G378="",NOT(OR(ISNUMBER(SEARCH("Epóxico Rojo",Upload!R368&amp;Upload!S368&amp;Upload!T368&amp;Upload!U368&amp;Upload!V368))))),"",G378*0.000035)</f>
        <v/>
      </c>
    </row>
    <row r="379" spans="1:19" x14ac:dyDescent="0.2">
      <c r="A379" s="9" t="e">
        <f t="shared" ca="1" si="35"/>
        <v>#NAME?</v>
      </c>
      <c r="B379" s="9">
        <f>Upload!E369</f>
        <v>0</v>
      </c>
      <c r="C379" s="9">
        <f>Upload!AE369</f>
        <v>0</v>
      </c>
      <c r="D379" s="9">
        <f>Upload!AF369</f>
        <v>0</v>
      </c>
      <c r="E379" s="9">
        <f>Upload!AG369</f>
        <v>0</v>
      </c>
      <c r="F379" s="9" t="str">
        <f>Upload!X369</f>
        <v/>
      </c>
      <c r="G379" s="9" t="str">
        <f>Upload!Z369</f>
        <v/>
      </c>
      <c r="H379" s="9" t="str">
        <f>Upload!W369</f>
        <v>(seleccione)</v>
      </c>
      <c r="I379" s="9" t="str">
        <f>Upload!Y369</f>
        <v>(seleccione)</v>
      </c>
      <c r="K379" s="15" t="str">
        <f t="shared" si="36"/>
        <v/>
      </c>
      <c r="L379" s="15" t="str">
        <f t="shared" si="37"/>
        <v/>
      </c>
      <c r="M379" s="15" t="str">
        <f t="shared" si="38"/>
        <v/>
      </c>
      <c r="N379" s="15" t="str">
        <f t="shared" si="39"/>
        <v/>
      </c>
      <c r="O379" s="15" t="str">
        <f t="shared" si="40"/>
        <v/>
      </c>
      <c r="P379" s="15" t="str">
        <f>IF(OR(C379="",NOT(OR(ISNUMBER(SEARCH("Antitarnish",Upload!P369&amp;Upload!Q369&amp;Upload!R369&amp;Upload!S369&amp;Upload!T369)),ISNUMBER(SEARCH("Anti Tarnish",Upload!P369&amp;Upload!Q369&amp;Upload!R369&amp;Upload!S369&amp;Upload!T369))))),"",0.0012*C379)</f>
        <v/>
      </c>
      <c r="Q379" s="15" t="str">
        <f>IF(OR(E379="",NOT(OR(ISNUMBER(SEARCH("Epóxico MT",Upload!P369&amp;Upload!Q369&amp;Upload!R369&amp;Upload!S369&amp;Upload!T369))))),"",E379*0.000035)</f>
        <v/>
      </c>
      <c r="R379" s="15" t="str">
        <f>IF(OR(F379="",NOT(OR(ISNUMBER(SEARCH("Epóxico BT",Upload!Q369&amp;Upload!R369&amp;Upload!S369&amp;Upload!T369&amp;Upload!U369))))),"",F379*0.000035)</f>
        <v/>
      </c>
      <c r="S379" s="15" t="str">
        <f>IF(OR(G379="",NOT(OR(ISNUMBER(SEARCH("Epóxico Rojo",Upload!R369&amp;Upload!S369&amp;Upload!T369&amp;Upload!U369&amp;Upload!V369))))),"",G379*0.000035)</f>
        <v/>
      </c>
    </row>
    <row r="380" spans="1:19" x14ac:dyDescent="0.2">
      <c r="A380" s="9" t="e">
        <f t="shared" ca="1" si="35"/>
        <v>#NAME?</v>
      </c>
      <c r="B380" s="9">
        <f>Upload!E370</f>
        <v>0</v>
      </c>
      <c r="C380" s="9">
        <f>Upload!AE370</f>
        <v>0</v>
      </c>
      <c r="D380" s="9">
        <f>Upload!AF370</f>
        <v>0</v>
      </c>
      <c r="E380" s="9">
        <f>Upload!AG370</f>
        <v>0</v>
      </c>
      <c r="F380" s="9" t="str">
        <f>Upload!X370</f>
        <v/>
      </c>
      <c r="G380" s="9" t="str">
        <f>Upload!Z370</f>
        <v/>
      </c>
      <c r="H380" s="9" t="str">
        <f>Upload!W370</f>
        <v>(seleccione)</v>
      </c>
      <c r="I380" s="9" t="str">
        <f>Upload!Y370</f>
        <v>(seleccione)</v>
      </c>
      <c r="K380" s="15" t="str">
        <f t="shared" si="36"/>
        <v/>
      </c>
      <c r="L380" s="15" t="str">
        <f t="shared" si="37"/>
        <v/>
      </c>
      <c r="M380" s="15" t="str">
        <f t="shared" si="38"/>
        <v/>
      </c>
      <c r="N380" s="15" t="str">
        <f t="shared" si="39"/>
        <v/>
      </c>
      <c r="O380" s="15" t="str">
        <f t="shared" si="40"/>
        <v/>
      </c>
      <c r="P380" s="15" t="str">
        <f>IF(OR(C380="",NOT(OR(ISNUMBER(SEARCH("Antitarnish",Upload!P370&amp;Upload!Q370&amp;Upload!R370&amp;Upload!S370&amp;Upload!T370)),ISNUMBER(SEARCH("Anti Tarnish",Upload!P370&amp;Upload!Q370&amp;Upload!R370&amp;Upload!S370&amp;Upload!T370))))),"",0.0012*C380)</f>
        <v/>
      </c>
      <c r="Q380" s="15" t="str">
        <f>IF(OR(E380="",NOT(OR(ISNUMBER(SEARCH("Epóxico MT",Upload!P370&amp;Upload!Q370&amp;Upload!R370&amp;Upload!S370&amp;Upload!T370))))),"",E380*0.000035)</f>
        <v/>
      </c>
      <c r="R380" s="15" t="str">
        <f>IF(OR(F380="",NOT(OR(ISNUMBER(SEARCH("Epóxico BT",Upload!Q370&amp;Upload!R370&amp;Upload!S370&amp;Upload!T370&amp;Upload!U370))))),"",F380*0.000035)</f>
        <v/>
      </c>
      <c r="S380" s="15" t="str">
        <f>IF(OR(G380="",NOT(OR(ISNUMBER(SEARCH("Epóxico Rojo",Upload!R370&amp;Upload!S370&amp;Upload!T370&amp;Upload!U370&amp;Upload!V370))))),"",G380*0.000035)</f>
        <v/>
      </c>
    </row>
    <row r="381" spans="1:19" x14ac:dyDescent="0.2">
      <c r="A381" s="9" t="e">
        <f t="shared" ca="1" si="35"/>
        <v>#NAME?</v>
      </c>
      <c r="B381" s="9">
        <f>Upload!E371</f>
        <v>0</v>
      </c>
      <c r="C381" s="9">
        <f>Upload!AE371</f>
        <v>0</v>
      </c>
      <c r="D381" s="9">
        <f>Upload!AF371</f>
        <v>0</v>
      </c>
      <c r="E381" s="9">
        <f>Upload!AG371</f>
        <v>0</v>
      </c>
      <c r="F381" s="9" t="str">
        <f>Upload!X371</f>
        <v/>
      </c>
      <c r="G381" s="9" t="str">
        <f>Upload!Z371</f>
        <v/>
      </c>
      <c r="H381" s="9" t="str">
        <f>Upload!W371</f>
        <v>(seleccione)</v>
      </c>
      <c r="I381" s="9" t="str">
        <f>Upload!Y371</f>
        <v>(seleccione)</v>
      </c>
      <c r="K381" s="15" t="str">
        <f t="shared" si="36"/>
        <v/>
      </c>
      <c r="L381" s="15" t="str">
        <f t="shared" si="37"/>
        <v/>
      </c>
      <c r="M381" s="15" t="str">
        <f t="shared" si="38"/>
        <v/>
      </c>
      <c r="N381" s="15" t="str">
        <f t="shared" si="39"/>
        <v/>
      </c>
      <c r="O381" s="15" t="str">
        <f t="shared" si="40"/>
        <v/>
      </c>
      <c r="P381" s="15" t="str">
        <f>IF(OR(C381="",NOT(OR(ISNUMBER(SEARCH("Antitarnish",Upload!P371&amp;Upload!Q371&amp;Upload!R371&amp;Upload!S371&amp;Upload!T371)),ISNUMBER(SEARCH("Anti Tarnish",Upload!P371&amp;Upload!Q371&amp;Upload!R371&amp;Upload!S371&amp;Upload!T371))))),"",0.0012*C381)</f>
        <v/>
      </c>
      <c r="Q381" s="15" t="str">
        <f>IF(OR(E381="",NOT(OR(ISNUMBER(SEARCH("Epóxico MT",Upload!P371&amp;Upload!Q371&amp;Upload!R371&amp;Upload!S371&amp;Upload!T371))))),"",E381*0.000035)</f>
        <v/>
      </c>
      <c r="R381" s="15" t="str">
        <f>IF(OR(F381="",NOT(OR(ISNUMBER(SEARCH("Epóxico BT",Upload!Q371&amp;Upload!R371&amp;Upload!S371&amp;Upload!T371&amp;Upload!U371))))),"",F381*0.000035)</f>
        <v/>
      </c>
      <c r="S381" s="15" t="str">
        <f>IF(OR(G381="",NOT(OR(ISNUMBER(SEARCH("Epóxico Rojo",Upload!R371&amp;Upload!S371&amp;Upload!T371&amp;Upload!U371&amp;Upload!V371))))),"",G381*0.000035)</f>
        <v/>
      </c>
    </row>
    <row r="382" spans="1:19" x14ac:dyDescent="0.2">
      <c r="A382" s="9" t="e">
        <f t="shared" ca="1" si="35"/>
        <v>#NAME?</v>
      </c>
      <c r="B382" s="9">
        <f>Upload!E372</f>
        <v>0</v>
      </c>
      <c r="C382" s="9">
        <f>Upload!AE372</f>
        <v>0</v>
      </c>
      <c r="D382" s="9">
        <f>Upload!AF372</f>
        <v>0</v>
      </c>
      <c r="E382" s="9">
        <f>Upload!AG372</f>
        <v>0</v>
      </c>
      <c r="F382" s="9" t="str">
        <f>Upload!X372</f>
        <v/>
      </c>
      <c r="G382" s="9" t="str">
        <f>Upload!Z372</f>
        <v/>
      </c>
      <c r="H382" s="9" t="str">
        <f>Upload!W372</f>
        <v>(seleccione)</v>
      </c>
      <c r="I382" s="9" t="str">
        <f>Upload!Y372</f>
        <v>(seleccione)</v>
      </c>
      <c r="K382" s="15" t="str">
        <f t="shared" si="36"/>
        <v/>
      </c>
      <c r="L382" s="15" t="str">
        <f t="shared" si="37"/>
        <v/>
      </c>
      <c r="M382" s="15" t="str">
        <f t="shared" si="38"/>
        <v/>
      </c>
      <c r="N382" s="15" t="str">
        <f t="shared" si="39"/>
        <v/>
      </c>
      <c r="O382" s="15" t="str">
        <f t="shared" si="40"/>
        <v/>
      </c>
      <c r="P382" s="15" t="str">
        <f>IF(OR(C382="",NOT(OR(ISNUMBER(SEARCH("Antitarnish",Upload!P372&amp;Upload!Q372&amp;Upload!R372&amp;Upload!S372&amp;Upload!T372)),ISNUMBER(SEARCH("Anti Tarnish",Upload!P372&amp;Upload!Q372&amp;Upload!R372&amp;Upload!S372&amp;Upload!T372))))),"",0.0012*C382)</f>
        <v/>
      </c>
      <c r="Q382" s="15" t="str">
        <f>IF(OR(E382="",NOT(OR(ISNUMBER(SEARCH("Epóxico MT",Upload!P372&amp;Upload!Q372&amp;Upload!R372&amp;Upload!S372&amp;Upload!T372))))),"",E382*0.000035)</f>
        <v/>
      </c>
      <c r="R382" s="15" t="str">
        <f>IF(OR(F382="",NOT(OR(ISNUMBER(SEARCH("Epóxico BT",Upload!Q372&amp;Upload!R372&amp;Upload!S372&amp;Upload!T372&amp;Upload!U372))))),"",F382*0.000035)</f>
        <v/>
      </c>
      <c r="S382" s="15" t="str">
        <f>IF(OR(G382="",NOT(OR(ISNUMBER(SEARCH("Epóxico Rojo",Upload!R372&amp;Upload!S372&amp;Upload!T372&amp;Upload!U372&amp;Upload!V372))))),"",G382*0.000035)</f>
        <v/>
      </c>
    </row>
    <row r="383" spans="1:19" x14ac:dyDescent="0.2">
      <c r="A383" s="9" t="e">
        <f t="shared" ca="1" si="35"/>
        <v>#NAME?</v>
      </c>
      <c r="B383" s="9">
        <f>Upload!E373</f>
        <v>0</v>
      </c>
      <c r="C383" s="9">
        <f>Upload!AE373</f>
        <v>0</v>
      </c>
      <c r="D383" s="9">
        <f>Upload!AF373</f>
        <v>0</v>
      </c>
      <c r="E383" s="9">
        <f>Upload!AG373</f>
        <v>0</v>
      </c>
      <c r="F383" s="9" t="str">
        <f>Upload!X373</f>
        <v/>
      </c>
      <c r="G383" s="9" t="str">
        <f>Upload!Z373</f>
        <v/>
      </c>
      <c r="H383" s="9" t="str">
        <f>Upload!W373</f>
        <v>(seleccione)</v>
      </c>
      <c r="I383" s="9" t="str">
        <f>Upload!Y373</f>
        <v>(seleccione)</v>
      </c>
      <c r="K383" s="15" t="str">
        <f t="shared" si="36"/>
        <v/>
      </c>
      <c r="L383" s="15" t="str">
        <f t="shared" si="37"/>
        <v/>
      </c>
      <c r="M383" s="15" t="str">
        <f t="shared" si="38"/>
        <v/>
      </c>
      <c r="N383" s="15" t="str">
        <f t="shared" si="39"/>
        <v/>
      </c>
      <c r="O383" s="15" t="str">
        <f t="shared" si="40"/>
        <v/>
      </c>
      <c r="P383" s="15" t="str">
        <f>IF(OR(C383="",NOT(OR(ISNUMBER(SEARCH("Antitarnish",Upload!P373&amp;Upload!Q373&amp;Upload!R373&amp;Upload!S373&amp;Upload!T373)),ISNUMBER(SEARCH("Anti Tarnish",Upload!P373&amp;Upload!Q373&amp;Upload!R373&amp;Upload!S373&amp;Upload!T373))))),"",0.0012*C383)</f>
        <v/>
      </c>
      <c r="Q383" s="15" t="str">
        <f>IF(OR(E383="",NOT(OR(ISNUMBER(SEARCH("Epóxico MT",Upload!P373&amp;Upload!Q373&amp;Upload!R373&amp;Upload!S373&amp;Upload!T373))))),"",E383*0.000035)</f>
        <v/>
      </c>
      <c r="R383" s="15" t="str">
        <f>IF(OR(F383="",NOT(OR(ISNUMBER(SEARCH("Epóxico BT",Upload!Q373&amp;Upload!R373&amp;Upload!S373&amp;Upload!T373&amp;Upload!U373))))),"",F383*0.000035)</f>
        <v/>
      </c>
      <c r="S383" s="15" t="str">
        <f>IF(OR(G383="",NOT(OR(ISNUMBER(SEARCH("Epóxico Rojo",Upload!R373&amp;Upload!S373&amp;Upload!T373&amp;Upload!U373&amp;Upload!V373))))),"",G383*0.000035)</f>
        <v/>
      </c>
    </row>
    <row r="384" spans="1:19" x14ac:dyDescent="0.2">
      <c r="A384" s="9" t="e">
        <f t="shared" ca="1" si="35"/>
        <v>#NAME?</v>
      </c>
      <c r="B384" s="9">
        <f>Upload!E374</f>
        <v>0</v>
      </c>
      <c r="C384" s="9">
        <f>Upload!AE374</f>
        <v>0</v>
      </c>
      <c r="D384" s="9">
        <f>Upload!AF374</f>
        <v>0</v>
      </c>
      <c r="E384" s="9">
        <f>Upload!AG374</f>
        <v>0</v>
      </c>
      <c r="F384" s="9" t="str">
        <f>Upload!X374</f>
        <v/>
      </c>
      <c r="G384" s="9" t="str">
        <f>Upload!Z374</f>
        <v/>
      </c>
      <c r="H384" s="9" t="str">
        <f>Upload!W374</f>
        <v>(seleccione)</v>
      </c>
      <c r="I384" s="9" t="str">
        <f>Upload!Y374</f>
        <v>(seleccione)</v>
      </c>
      <c r="K384" s="15" t="str">
        <f t="shared" si="36"/>
        <v/>
      </c>
      <c r="L384" s="15" t="str">
        <f t="shared" si="37"/>
        <v/>
      </c>
      <c r="M384" s="15" t="str">
        <f t="shared" si="38"/>
        <v/>
      </c>
      <c r="N384" s="15" t="str">
        <f t="shared" si="39"/>
        <v/>
      </c>
      <c r="O384" s="15" t="str">
        <f t="shared" si="40"/>
        <v/>
      </c>
      <c r="P384" s="15" t="str">
        <f>IF(OR(C384="",NOT(OR(ISNUMBER(SEARCH("Antitarnish",Upload!P374&amp;Upload!Q374&amp;Upload!R374&amp;Upload!S374&amp;Upload!T374)),ISNUMBER(SEARCH("Anti Tarnish",Upload!P374&amp;Upload!Q374&amp;Upload!R374&amp;Upload!S374&amp;Upload!T374))))),"",0.0012*C384)</f>
        <v/>
      </c>
      <c r="Q384" s="15" t="str">
        <f>IF(OR(E384="",NOT(OR(ISNUMBER(SEARCH("Epóxico MT",Upload!P374&amp;Upload!Q374&amp;Upload!R374&amp;Upload!S374&amp;Upload!T374))))),"",E384*0.000035)</f>
        <v/>
      </c>
      <c r="R384" s="15" t="str">
        <f>IF(OR(F384="",NOT(OR(ISNUMBER(SEARCH("Epóxico BT",Upload!Q374&amp;Upload!R374&amp;Upload!S374&amp;Upload!T374&amp;Upload!U374))))),"",F384*0.000035)</f>
        <v/>
      </c>
      <c r="S384" s="15" t="str">
        <f>IF(OR(G384="",NOT(OR(ISNUMBER(SEARCH("Epóxico Rojo",Upload!R374&amp;Upload!S374&amp;Upload!T374&amp;Upload!U374&amp;Upload!V374))))),"",G384*0.000035)</f>
        <v/>
      </c>
    </row>
    <row r="385" spans="1:19" x14ac:dyDescent="0.2">
      <c r="A385" s="9" t="e">
        <f t="shared" ca="1" si="35"/>
        <v>#NAME?</v>
      </c>
      <c r="B385" s="9">
        <f>Upload!E375</f>
        <v>0</v>
      </c>
      <c r="C385" s="9">
        <f>Upload!AE375</f>
        <v>0</v>
      </c>
      <c r="D385" s="9">
        <f>Upload!AF375</f>
        <v>0</v>
      </c>
      <c r="E385" s="9">
        <f>Upload!AG375</f>
        <v>0</v>
      </c>
      <c r="F385" s="9" t="str">
        <f>Upload!X375</f>
        <v/>
      </c>
      <c r="G385" s="9" t="str">
        <f>Upload!Z375</f>
        <v/>
      </c>
      <c r="H385" s="9" t="str">
        <f>Upload!W375</f>
        <v>(seleccione)</v>
      </c>
      <c r="I385" s="9" t="str">
        <f>Upload!Y375</f>
        <v>(seleccione)</v>
      </c>
      <c r="K385" s="15" t="str">
        <f t="shared" si="36"/>
        <v/>
      </c>
      <c r="L385" s="15" t="str">
        <f t="shared" si="37"/>
        <v/>
      </c>
      <c r="M385" s="15" t="str">
        <f t="shared" si="38"/>
        <v/>
      </c>
      <c r="N385" s="15" t="str">
        <f t="shared" si="39"/>
        <v/>
      </c>
      <c r="O385" s="15" t="str">
        <f t="shared" si="40"/>
        <v/>
      </c>
      <c r="P385" s="15" t="str">
        <f>IF(OR(C385="",NOT(OR(ISNUMBER(SEARCH("Antitarnish",Upload!P375&amp;Upload!Q375&amp;Upload!R375&amp;Upload!S375&amp;Upload!T375)),ISNUMBER(SEARCH("Anti Tarnish",Upload!P375&amp;Upload!Q375&amp;Upload!R375&amp;Upload!S375&amp;Upload!T375))))),"",0.0012*C385)</f>
        <v/>
      </c>
      <c r="Q385" s="15" t="str">
        <f>IF(OR(E385="",NOT(OR(ISNUMBER(SEARCH("Epóxico MT",Upload!P375&amp;Upload!Q375&amp;Upload!R375&amp;Upload!S375&amp;Upload!T375))))),"",E385*0.000035)</f>
        <v/>
      </c>
      <c r="R385" s="15" t="str">
        <f>IF(OR(F385="",NOT(OR(ISNUMBER(SEARCH("Epóxico BT",Upload!Q375&amp;Upload!R375&amp;Upload!S375&amp;Upload!T375&amp;Upload!U375))))),"",F385*0.000035)</f>
        <v/>
      </c>
      <c r="S385" s="15" t="str">
        <f>IF(OR(G385="",NOT(OR(ISNUMBER(SEARCH("Epóxico Rojo",Upload!R375&amp;Upload!S375&amp;Upload!T375&amp;Upload!U375&amp;Upload!V375))))),"",G385*0.000035)</f>
        <v/>
      </c>
    </row>
    <row r="386" spans="1:19" x14ac:dyDescent="0.2">
      <c r="A386" s="9" t="e">
        <f t="shared" ca="1" si="35"/>
        <v>#NAME?</v>
      </c>
      <c r="B386" s="9">
        <f>Upload!E376</f>
        <v>0</v>
      </c>
      <c r="C386" s="9">
        <f>Upload!AE376</f>
        <v>0</v>
      </c>
      <c r="D386" s="9">
        <f>Upload!AF376</f>
        <v>0</v>
      </c>
      <c r="E386" s="9">
        <f>Upload!AG376</f>
        <v>0</v>
      </c>
      <c r="F386" s="9" t="str">
        <f>Upload!X376</f>
        <v/>
      </c>
      <c r="G386" s="9" t="str">
        <f>Upload!Z376</f>
        <v/>
      </c>
      <c r="H386" s="9" t="str">
        <f>Upload!W376</f>
        <v>(seleccione)</v>
      </c>
      <c r="I386" s="9" t="str">
        <f>Upload!Y376</f>
        <v>(seleccione)</v>
      </c>
      <c r="K386" s="15" t="str">
        <f t="shared" si="36"/>
        <v/>
      </c>
      <c r="L386" s="15" t="str">
        <f t="shared" si="37"/>
        <v/>
      </c>
      <c r="M386" s="15" t="str">
        <f t="shared" si="38"/>
        <v/>
      </c>
      <c r="N386" s="15" t="str">
        <f t="shared" si="39"/>
        <v/>
      </c>
      <c r="O386" s="15" t="str">
        <f t="shared" si="40"/>
        <v/>
      </c>
      <c r="P386" s="15" t="str">
        <f>IF(OR(C386="",NOT(OR(ISNUMBER(SEARCH("Antitarnish",Upload!P376&amp;Upload!Q376&amp;Upload!R376&amp;Upload!S376&amp;Upload!T376)),ISNUMBER(SEARCH("Anti Tarnish",Upload!P376&amp;Upload!Q376&amp;Upload!R376&amp;Upload!S376&amp;Upload!T376))))),"",0.0012*C386)</f>
        <v/>
      </c>
      <c r="Q386" s="15" t="str">
        <f>IF(OR(E386="",NOT(OR(ISNUMBER(SEARCH("Epóxico MT",Upload!P376&amp;Upload!Q376&amp;Upload!R376&amp;Upload!S376&amp;Upload!T376))))),"",E386*0.000035)</f>
        <v/>
      </c>
      <c r="R386" s="15" t="str">
        <f>IF(OR(F386="",NOT(OR(ISNUMBER(SEARCH("Epóxico BT",Upload!Q376&amp;Upload!R376&amp;Upload!S376&amp;Upload!T376&amp;Upload!U376))))),"",F386*0.000035)</f>
        <v/>
      </c>
      <c r="S386" s="15" t="str">
        <f>IF(OR(G386="",NOT(OR(ISNUMBER(SEARCH("Epóxico Rojo",Upload!R376&amp;Upload!S376&amp;Upload!T376&amp;Upload!U376&amp;Upload!V376))))),"",G386*0.000035)</f>
        <v/>
      </c>
    </row>
    <row r="387" spans="1:19" x14ac:dyDescent="0.2">
      <c r="A387" s="9" t="e">
        <f t="shared" ca="1" si="35"/>
        <v>#NAME?</v>
      </c>
      <c r="B387" s="9">
        <f>Upload!E377</f>
        <v>0</v>
      </c>
      <c r="C387" s="9">
        <f>Upload!AE377</f>
        <v>0</v>
      </c>
      <c r="D387" s="9">
        <f>Upload!AF377</f>
        <v>0</v>
      </c>
      <c r="E387" s="9">
        <f>Upload!AG377</f>
        <v>0</v>
      </c>
      <c r="F387" s="9" t="str">
        <f>Upload!X377</f>
        <v/>
      </c>
      <c r="G387" s="9" t="str">
        <f>Upload!Z377</f>
        <v/>
      </c>
      <c r="H387" s="9" t="str">
        <f>Upload!W377</f>
        <v>(seleccione)</v>
      </c>
      <c r="I387" s="9" t="str">
        <f>Upload!Y377</f>
        <v>(seleccione)</v>
      </c>
      <c r="K387" s="15" t="str">
        <f t="shared" si="36"/>
        <v/>
      </c>
      <c r="L387" s="15" t="str">
        <f t="shared" si="37"/>
        <v/>
      </c>
      <c r="M387" s="15" t="str">
        <f t="shared" si="38"/>
        <v/>
      </c>
      <c r="N387" s="15" t="str">
        <f t="shared" si="39"/>
        <v/>
      </c>
      <c r="O387" s="15" t="str">
        <f t="shared" si="40"/>
        <v/>
      </c>
      <c r="P387" s="15" t="str">
        <f>IF(OR(C387="",NOT(OR(ISNUMBER(SEARCH("Antitarnish",Upload!P377&amp;Upload!Q377&amp;Upload!R377&amp;Upload!S377&amp;Upload!T377)),ISNUMBER(SEARCH("Anti Tarnish",Upload!P377&amp;Upload!Q377&amp;Upload!R377&amp;Upload!S377&amp;Upload!T377))))),"",0.0012*C387)</f>
        <v/>
      </c>
      <c r="Q387" s="15" t="str">
        <f>IF(OR(E387="",NOT(OR(ISNUMBER(SEARCH("Epóxico MT",Upload!P377&amp;Upload!Q377&amp;Upload!R377&amp;Upload!S377&amp;Upload!T377))))),"",E387*0.000035)</f>
        <v/>
      </c>
      <c r="R387" s="15" t="str">
        <f>IF(OR(F387="",NOT(OR(ISNUMBER(SEARCH("Epóxico BT",Upload!Q377&amp;Upload!R377&amp;Upload!S377&amp;Upload!T377&amp;Upload!U377))))),"",F387*0.000035)</f>
        <v/>
      </c>
      <c r="S387" s="15" t="str">
        <f>IF(OR(G387="",NOT(OR(ISNUMBER(SEARCH("Epóxico Rojo",Upload!R377&amp;Upload!S377&amp;Upload!T377&amp;Upload!U377&amp;Upload!V377))))),"",G387*0.000035)</f>
        <v/>
      </c>
    </row>
    <row r="388" spans="1:19" x14ac:dyDescent="0.2">
      <c r="A388" s="9" t="e">
        <f t="shared" ca="1" si="35"/>
        <v>#NAME?</v>
      </c>
      <c r="B388" s="9">
        <f>Upload!E378</f>
        <v>0</v>
      </c>
      <c r="C388" s="9">
        <f>Upload!AE378</f>
        <v>0</v>
      </c>
      <c r="D388" s="9">
        <f>Upload!AF378</f>
        <v>0</v>
      </c>
      <c r="E388" s="9">
        <f>Upload!AG378</f>
        <v>0</v>
      </c>
      <c r="F388" s="9" t="str">
        <f>Upload!X378</f>
        <v/>
      </c>
      <c r="G388" s="9" t="str">
        <f>Upload!Z378</f>
        <v/>
      </c>
      <c r="H388" s="9" t="str">
        <f>Upload!W378</f>
        <v>(seleccione)</v>
      </c>
      <c r="I388" s="9" t="str">
        <f>Upload!Y378</f>
        <v>(seleccione)</v>
      </c>
      <c r="K388" s="15" t="str">
        <f t="shared" si="36"/>
        <v/>
      </c>
      <c r="L388" s="15" t="str">
        <f t="shared" si="37"/>
        <v/>
      </c>
      <c r="M388" s="15" t="str">
        <f t="shared" si="38"/>
        <v/>
      </c>
      <c r="N388" s="15" t="str">
        <f t="shared" si="39"/>
        <v/>
      </c>
      <c r="O388" s="15" t="str">
        <f t="shared" si="40"/>
        <v/>
      </c>
      <c r="P388" s="15" t="str">
        <f>IF(OR(C388="",NOT(OR(ISNUMBER(SEARCH("Antitarnish",Upload!P378&amp;Upload!Q378&amp;Upload!R378&amp;Upload!S378&amp;Upload!T378)),ISNUMBER(SEARCH("Anti Tarnish",Upload!P378&amp;Upload!Q378&amp;Upload!R378&amp;Upload!S378&amp;Upload!T378))))),"",0.0012*C388)</f>
        <v/>
      </c>
      <c r="Q388" s="15" t="str">
        <f>IF(OR(E388="",NOT(OR(ISNUMBER(SEARCH("Epóxico MT",Upload!P378&amp;Upload!Q378&amp;Upload!R378&amp;Upload!S378&amp;Upload!T378))))),"",E388*0.000035)</f>
        <v/>
      </c>
      <c r="R388" s="15" t="str">
        <f>IF(OR(F388="",NOT(OR(ISNUMBER(SEARCH("Epóxico BT",Upload!Q378&amp;Upload!R378&amp;Upload!S378&amp;Upload!T378&amp;Upload!U378))))),"",F388*0.000035)</f>
        <v/>
      </c>
      <c r="S388" s="15" t="str">
        <f>IF(OR(G388="",NOT(OR(ISNUMBER(SEARCH("Epóxico Rojo",Upload!R378&amp;Upload!S378&amp;Upload!T378&amp;Upload!U378&amp;Upload!V378))))),"",G388*0.000035)</f>
        <v/>
      </c>
    </row>
    <row r="389" spans="1:19" x14ac:dyDescent="0.2">
      <c r="A389" s="9" t="e">
        <f t="shared" ca="1" si="35"/>
        <v>#NAME?</v>
      </c>
      <c r="B389" s="9">
        <f>Upload!E379</f>
        <v>0</v>
      </c>
      <c r="C389" s="9">
        <f>Upload!AE379</f>
        <v>0</v>
      </c>
      <c r="D389" s="9">
        <f>Upload!AF379</f>
        <v>0</v>
      </c>
      <c r="E389" s="9">
        <f>Upload!AG379</f>
        <v>0</v>
      </c>
      <c r="F389" s="9" t="str">
        <f>Upload!X379</f>
        <v/>
      </c>
      <c r="G389" s="9" t="str">
        <f>Upload!Z379</f>
        <v/>
      </c>
      <c r="H389" s="9" t="str">
        <f>Upload!W379</f>
        <v>(seleccione)</v>
      </c>
      <c r="I389" s="9" t="str">
        <f>Upload!Y379</f>
        <v>(seleccione)</v>
      </c>
      <c r="K389" s="15" t="str">
        <f t="shared" si="36"/>
        <v/>
      </c>
      <c r="L389" s="15" t="str">
        <f t="shared" si="37"/>
        <v/>
      </c>
      <c r="M389" s="15" t="str">
        <f t="shared" si="38"/>
        <v/>
      </c>
      <c r="N389" s="15" t="str">
        <f t="shared" si="39"/>
        <v/>
      </c>
      <c r="O389" s="15" t="str">
        <f t="shared" si="40"/>
        <v/>
      </c>
      <c r="P389" s="15" t="str">
        <f>IF(OR(C389="",NOT(OR(ISNUMBER(SEARCH("Antitarnish",Upload!P379&amp;Upload!Q379&amp;Upload!R379&amp;Upload!S379&amp;Upload!T379)),ISNUMBER(SEARCH("Anti Tarnish",Upload!P379&amp;Upload!Q379&amp;Upload!R379&amp;Upload!S379&amp;Upload!T379))))),"",0.0012*C389)</f>
        <v/>
      </c>
      <c r="Q389" s="15" t="str">
        <f>IF(OR(E389="",NOT(OR(ISNUMBER(SEARCH("Epóxico MT",Upload!P379&amp;Upload!Q379&amp;Upload!R379&amp;Upload!S379&amp;Upload!T379))))),"",E389*0.000035)</f>
        <v/>
      </c>
      <c r="R389" s="15" t="str">
        <f>IF(OR(F389="",NOT(OR(ISNUMBER(SEARCH("Epóxico BT",Upload!Q379&amp;Upload!R379&amp;Upload!S379&amp;Upload!T379&amp;Upload!U379))))),"",F389*0.000035)</f>
        <v/>
      </c>
      <c r="S389" s="15" t="str">
        <f>IF(OR(G389="",NOT(OR(ISNUMBER(SEARCH("Epóxico Rojo",Upload!R379&amp;Upload!S379&amp;Upload!T379&amp;Upload!U379&amp;Upload!V379))))),"",G389*0.000035)</f>
        <v/>
      </c>
    </row>
    <row r="390" spans="1:19" x14ac:dyDescent="0.2">
      <c r="A390" s="9" t="e">
        <f t="shared" ca="1" si="35"/>
        <v>#NAME?</v>
      </c>
      <c r="B390" s="9">
        <f>Upload!E380</f>
        <v>0</v>
      </c>
      <c r="C390" s="9">
        <f>Upload!AE380</f>
        <v>0</v>
      </c>
      <c r="D390" s="9">
        <f>Upload!AF380</f>
        <v>0</v>
      </c>
      <c r="E390" s="9">
        <f>Upload!AG380</f>
        <v>0</v>
      </c>
      <c r="F390" s="9" t="str">
        <f>Upload!X380</f>
        <v/>
      </c>
      <c r="G390" s="9" t="str">
        <f>Upload!Z380</f>
        <v/>
      </c>
      <c r="H390" s="9" t="str">
        <f>Upload!W380</f>
        <v>(seleccione)</v>
      </c>
      <c r="I390" s="9" t="str">
        <f>Upload!Y380</f>
        <v>(seleccione)</v>
      </c>
      <c r="K390" s="15" t="str">
        <f t="shared" si="36"/>
        <v/>
      </c>
      <c r="L390" s="15" t="str">
        <f t="shared" si="37"/>
        <v/>
      </c>
      <c r="M390" s="15" t="str">
        <f t="shared" si="38"/>
        <v/>
      </c>
      <c r="N390" s="15" t="str">
        <f t="shared" si="39"/>
        <v/>
      </c>
      <c r="O390" s="15" t="str">
        <f t="shared" si="40"/>
        <v/>
      </c>
      <c r="P390" s="15" t="str">
        <f>IF(OR(C390="",NOT(OR(ISNUMBER(SEARCH("Antitarnish",Upload!P380&amp;Upload!Q380&amp;Upload!R380&amp;Upload!S380&amp;Upload!T380)),ISNUMBER(SEARCH("Anti Tarnish",Upload!P380&amp;Upload!Q380&amp;Upload!R380&amp;Upload!S380&amp;Upload!T380))))),"",0.0012*C390)</f>
        <v/>
      </c>
      <c r="Q390" s="15" t="str">
        <f>IF(OR(E390="",NOT(OR(ISNUMBER(SEARCH("Epóxico MT",Upload!P380&amp;Upload!Q380&amp;Upload!R380&amp;Upload!S380&amp;Upload!T380))))),"",E390*0.000035)</f>
        <v/>
      </c>
      <c r="R390" s="15" t="str">
        <f>IF(OR(F390="",NOT(OR(ISNUMBER(SEARCH("Epóxico BT",Upload!Q380&amp;Upload!R380&amp;Upload!S380&amp;Upload!T380&amp;Upload!U380))))),"",F390*0.000035)</f>
        <v/>
      </c>
      <c r="S390" s="15" t="str">
        <f>IF(OR(G390="",NOT(OR(ISNUMBER(SEARCH("Epóxico Rojo",Upload!R380&amp;Upload!S380&amp;Upload!T380&amp;Upload!U380&amp;Upload!V380))))),"",G390*0.000035)</f>
        <v/>
      </c>
    </row>
    <row r="391" spans="1:19" x14ac:dyDescent="0.2">
      <c r="A391" s="9" t="e">
        <f t="shared" ca="1" si="35"/>
        <v>#NAME?</v>
      </c>
      <c r="B391" s="9">
        <f>Upload!E381</f>
        <v>0</v>
      </c>
      <c r="C391" s="9">
        <f>Upload!AE381</f>
        <v>0</v>
      </c>
      <c r="D391" s="9">
        <f>Upload!AF381</f>
        <v>0</v>
      </c>
      <c r="E391" s="9">
        <f>Upload!AG381</f>
        <v>0</v>
      </c>
      <c r="F391" s="9" t="str">
        <f>Upload!X381</f>
        <v/>
      </c>
      <c r="G391" s="9" t="str">
        <f>Upload!Z381</f>
        <v/>
      </c>
      <c r="H391" s="9" t="str">
        <f>Upload!W381</f>
        <v>(seleccione)</v>
      </c>
      <c r="I391" s="9" t="str">
        <f>Upload!Y381</f>
        <v>(seleccione)</v>
      </c>
      <c r="K391" s="15" t="str">
        <f t="shared" si="36"/>
        <v/>
      </c>
      <c r="L391" s="15" t="str">
        <f t="shared" si="37"/>
        <v/>
      </c>
      <c r="M391" s="15" t="str">
        <f t="shared" si="38"/>
        <v/>
      </c>
      <c r="N391" s="15" t="str">
        <f t="shared" si="39"/>
        <v/>
      </c>
      <c r="O391" s="15" t="str">
        <f t="shared" si="40"/>
        <v/>
      </c>
      <c r="P391" s="15" t="str">
        <f>IF(OR(C391="",NOT(OR(ISNUMBER(SEARCH("Antitarnish",Upload!P381&amp;Upload!Q381&amp;Upload!R381&amp;Upload!S381&amp;Upload!T381)),ISNUMBER(SEARCH("Anti Tarnish",Upload!P381&amp;Upload!Q381&amp;Upload!R381&amp;Upload!S381&amp;Upload!T381))))),"",0.0012*C391)</f>
        <v/>
      </c>
      <c r="Q391" s="15" t="str">
        <f>IF(OR(E391="",NOT(OR(ISNUMBER(SEARCH("Epóxico MT",Upload!P381&amp;Upload!Q381&amp;Upload!R381&amp;Upload!S381&amp;Upload!T381))))),"",E391*0.000035)</f>
        <v/>
      </c>
      <c r="R391" s="15" t="str">
        <f>IF(OR(F391="",NOT(OR(ISNUMBER(SEARCH("Epóxico BT",Upload!Q381&amp;Upload!R381&amp;Upload!S381&amp;Upload!T381&amp;Upload!U381))))),"",F391*0.000035)</f>
        <v/>
      </c>
      <c r="S391" s="15" t="str">
        <f>IF(OR(G391="",NOT(OR(ISNUMBER(SEARCH("Epóxico Rojo",Upload!R381&amp;Upload!S381&amp;Upload!T381&amp;Upload!U381&amp;Upload!V381))))),"",G391*0.000035)</f>
        <v/>
      </c>
    </row>
    <row r="392" spans="1:19" x14ac:dyDescent="0.2">
      <c r="A392" s="9" t="e">
        <f t="shared" ca="1" si="35"/>
        <v>#NAME?</v>
      </c>
      <c r="B392" s="9">
        <f>Upload!E382</f>
        <v>0</v>
      </c>
      <c r="C392" s="9">
        <f>Upload!AE382</f>
        <v>0</v>
      </c>
      <c r="D392" s="9">
        <f>Upload!AF382</f>
        <v>0</v>
      </c>
      <c r="E392" s="9">
        <f>Upload!AG382</f>
        <v>0</v>
      </c>
      <c r="F392" s="9" t="str">
        <f>Upload!X382</f>
        <v/>
      </c>
      <c r="G392" s="9" t="str">
        <f>Upload!Z382</f>
        <v/>
      </c>
      <c r="H392" s="9" t="str">
        <f>Upload!W382</f>
        <v>(seleccione)</v>
      </c>
      <c r="I392" s="9" t="str">
        <f>Upload!Y382</f>
        <v>(seleccione)</v>
      </c>
      <c r="K392" s="15" t="str">
        <f t="shared" si="36"/>
        <v/>
      </c>
      <c r="L392" s="15" t="str">
        <f t="shared" si="37"/>
        <v/>
      </c>
      <c r="M392" s="15" t="str">
        <f t="shared" si="38"/>
        <v/>
      </c>
      <c r="N392" s="15" t="str">
        <f t="shared" si="39"/>
        <v/>
      </c>
      <c r="O392" s="15" t="str">
        <f t="shared" si="40"/>
        <v/>
      </c>
      <c r="P392" s="15" t="str">
        <f>IF(OR(C392="",NOT(OR(ISNUMBER(SEARCH("Antitarnish",Upload!P382&amp;Upload!Q382&amp;Upload!R382&amp;Upload!S382&amp;Upload!T382)),ISNUMBER(SEARCH("Anti Tarnish",Upload!P382&amp;Upload!Q382&amp;Upload!R382&amp;Upload!S382&amp;Upload!T382))))),"",0.0012*C392)</f>
        <v/>
      </c>
      <c r="Q392" s="15" t="str">
        <f>IF(OR(E392="",NOT(OR(ISNUMBER(SEARCH("Epóxico MT",Upload!P382&amp;Upload!Q382&amp;Upload!R382&amp;Upload!S382&amp;Upload!T382))))),"",E392*0.000035)</f>
        <v/>
      </c>
      <c r="R392" s="15" t="str">
        <f>IF(OR(F392="",NOT(OR(ISNUMBER(SEARCH("Epóxico BT",Upload!Q382&amp;Upload!R382&amp;Upload!S382&amp;Upload!T382&amp;Upload!U382))))),"",F392*0.000035)</f>
        <v/>
      </c>
      <c r="S392" s="15" t="str">
        <f>IF(OR(G392="",NOT(OR(ISNUMBER(SEARCH("Epóxico Rojo",Upload!R382&amp;Upload!S382&amp;Upload!T382&amp;Upload!U382&amp;Upload!V382))))),"",G392*0.000035)</f>
        <v/>
      </c>
    </row>
    <row r="393" spans="1:19" x14ac:dyDescent="0.2">
      <c r="A393" s="9" t="e">
        <f t="shared" ca="1" si="35"/>
        <v>#NAME?</v>
      </c>
      <c r="B393" s="9">
        <f>Upload!E383</f>
        <v>0</v>
      </c>
      <c r="C393" s="9">
        <f>Upload!AE383</f>
        <v>0</v>
      </c>
      <c r="D393" s="9">
        <f>Upload!AF383</f>
        <v>0</v>
      </c>
      <c r="E393" s="9">
        <f>Upload!AG383</f>
        <v>0</v>
      </c>
      <c r="F393" s="9" t="str">
        <f>Upload!X383</f>
        <v/>
      </c>
      <c r="G393" s="9" t="str">
        <f>Upload!Z383</f>
        <v/>
      </c>
      <c r="H393" s="9" t="str">
        <f>Upload!W383</f>
        <v>(seleccione)</v>
      </c>
      <c r="I393" s="9" t="str">
        <f>Upload!Y383</f>
        <v>(seleccione)</v>
      </c>
      <c r="K393" s="15" t="str">
        <f t="shared" si="36"/>
        <v/>
      </c>
      <c r="L393" s="15" t="str">
        <f t="shared" si="37"/>
        <v/>
      </c>
      <c r="M393" s="15" t="str">
        <f t="shared" si="38"/>
        <v/>
      </c>
      <c r="N393" s="15" t="str">
        <f t="shared" si="39"/>
        <v/>
      </c>
      <c r="O393" s="15" t="str">
        <f t="shared" si="40"/>
        <v/>
      </c>
      <c r="P393" s="15" t="str">
        <f>IF(OR(C393="",NOT(OR(ISNUMBER(SEARCH("Antitarnish",Upload!P383&amp;Upload!Q383&amp;Upload!R383&amp;Upload!S383&amp;Upload!T383)),ISNUMBER(SEARCH("Anti Tarnish",Upload!P383&amp;Upload!Q383&amp;Upload!R383&amp;Upload!S383&amp;Upload!T383))))),"",0.0012*C393)</f>
        <v/>
      </c>
      <c r="Q393" s="15" t="str">
        <f>IF(OR(E393="",NOT(OR(ISNUMBER(SEARCH("Epóxico MT",Upload!P383&amp;Upload!Q383&amp;Upload!R383&amp;Upload!S383&amp;Upload!T383))))),"",E393*0.000035)</f>
        <v/>
      </c>
      <c r="R393" s="15" t="str">
        <f>IF(OR(F393="",NOT(OR(ISNUMBER(SEARCH("Epóxico BT",Upload!Q383&amp;Upload!R383&amp;Upload!S383&amp;Upload!T383&amp;Upload!U383))))),"",F393*0.000035)</f>
        <v/>
      </c>
      <c r="S393" s="15" t="str">
        <f>IF(OR(G393="",NOT(OR(ISNUMBER(SEARCH("Epóxico Rojo",Upload!R383&amp;Upload!S383&amp;Upload!T383&amp;Upload!U383&amp;Upload!V383))))),"",G393*0.000035)</f>
        <v/>
      </c>
    </row>
    <row r="394" spans="1:19" x14ac:dyDescent="0.2">
      <c r="A394" s="9" t="e">
        <f t="shared" ca="1" si="35"/>
        <v>#NAME?</v>
      </c>
      <c r="B394" s="9">
        <f>Upload!E384</f>
        <v>0</v>
      </c>
      <c r="C394" s="9">
        <f>Upload!AE384</f>
        <v>0</v>
      </c>
      <c r="D394" s="9">
        <f>Upload!AF384</f>
        <v>0</v>
      </c>
      <c r="E394" s="9">
        <f>Upload!AG384</f>
        <v>0</v>
      </c>
      <c r="F394" s="9" t="str">
        <f>Upload!X384</f>
        <v/>
      </c>
      <c r="G394" s="9" t="str">
        <f>Upload!Z384</f>
        <v/>
      </c>
      <c r="H394" s="9" t="str">
        <f>Upload!W384</f>
        <v>(seleccione)</v>
      </c>
      <c r="I394" s="9" t="str">
        <f>Upload!Y384</f>
        <v>(seleccione)</v>
      </c>
      <c r="K394" s="15" t="str">
        <f t="shared" si="36"/>
        <v/>
      </c>
      <c r="L394" s="15" t="str">
        <f t="shared" si="37"/>
        <v/>
      </c>
      <c r="M394" s="15" t="str">
        <f t="shared" si="38"/>
        <v/>
      </c>
      <c r="N394" s="15" t="str">
        <f t="shared" si="39"/>
        <v/>
      </c>
      <c r="O394" s="15" t="str">
        <f t="shared" si="40"/>
        <v/>
      </c>
      <c r="P394" s="15" t="str">
        <f>IF(OR(C394="",NOT(OR(ISNUMBER(SEARCH("Antitarnish",Upload!P384&amp;Upload!Q384&amp;Upload!R384&amp;Upload!S384&amp;Upload!T384)),ISNUMBER(SEARCH("Anti Tarnish",Upload!P384&amp;Upload!Q384&amp;Upload!R384&amp;Upload!S384&amp;Upload!T384))))),"",0.0012*C394)</f>
        <v/>
      </c>
      <c r="Q394" s="15" t="str">
        <f>IF(OR(E394="",NOT(OR(ISNUMBER(SEARCH("Epóxico MT",Upload!P384&amp;Upload!Q384&amp;Upload!R384&amp;Upload!S384&amp;Upload!T384))))),"",E394*0.000035)</f>
        <v/>
      </c>
      <c r="R394" s="15" t="str">
        <f>IF(OR(F394="",NOT(OR(ISNUMBER(SEARCH("Epóxico BT",Upload!Q384&amp;Upload!R384&amp;Upload!S384&amp;Upload!T384&amp;Upload!U384))))),"",F394*0.000035)</f>
        <v/>
      </c>
      <c r="S394" s="15" t="str">
        <f>IF(OR(G394="",NOT(OR(ISNUMBER(SEARCH("Epóxico Rojo",Upload!R384&amp;Upload!S384&amp;Upload!T384&amp;Upload!U384&amp;Upload!V384))))),"",G394*0.000035)</f>
        <v/>
      </c>
    </row>
    <row r="395" spans="1:19" x14ac:dyDescent="0.2">
      <c r="A395" s="9" t="e">
        <f t="shared" ca="1" si="35"/>
        <v>#NAME?</v>
      </c>
      <c r="B395" s="9">
        <f>Upload!E385</f>
        <v>0</v>
      </c>
      <c r="C395" s="9">
        <f>Upload!AE385</f>
        <v>0</v>
      </c>
      <c r="D395" s="9">
        <f>Upload!AF385</f>
        <v>0</v>
      </c>
      <c r="E395" s="9">
        <f>Upload!AG385</f>
        <v>0</v>
      </c>
      <c r="F395" s="9" t="str">
        <f>Upload!X385</f>
        <v/>
      </c>
      <c r="G395" s="9" t="str">
        <f>Upload!Z385</f>
        <v/>
      </c>
      <c r="H395" s="9" t="str">
        <f>Upload!W385</f>
        <v>(seleccione)</v>
      </c>
      <c r="I395" s="9" t="str">
        <f>Upload!Y385</f>
        <v>(seleccione)</v>
      </c>
      <c r="K395" s="15" t="str">
        <f t="shared" si="36"/>
        <v/>
      </c>
      <c r="L395" s="15" t="str">
        <f t="shared" si="37"/>
        <v/>
      </c>
      <c r="M395" s="15" t="str">
        <f t="shared" si="38"/>
        <v/>
      </c>
      <c r="N395" s="15" t="str">
        <f t="shared" si="39"/>
        <v/>
      </c>
      <c r="O395" s="15" t="str">
        <f t="shared" si="40"/>
        <v/>
      </c>
      <c r="P395" s="15" t="str">
        <f>IF(OR(C395="",NOT(OR(ISNUMBER(SEARCH("Antitarnish",Upload!P385&amp;Upload!Q385&amp;Upload!R385&amp;Upload!S385&amp;Upload!T385)),ISNUMBER(SEARCH("Anti Tarnish",Upload!P385&amp;Upload!Q385&amp;Upload!R385&amp;Upload!S385&amp;Upload!T385))))),"",0.0012*C395)</f>
        <v/>
      </c>
      <c r="Q395" s="15" t="str">
        <f>IF(OR(E395="",NOT(OR(ISNUMBER(SEARCH("Epóxico MT",Upload!P385&amp;Upload!Q385&amp;Upload!R385&amp;Upload!S385&amp;Upload!T385))))),"",E395*0.000035)</f>
        <v/>
      </c>
      <c r="R395" s="15" t="str">
        <f>IF(OR(F395="",NOT(OR(ISNUMBER(SEARCH("Epóxico BT",Upload!Q385&amp;Upload!R385&amp;Upload!S385&amp;Upload!T385&amp;Upload!U385))))),"",F395*0.000035)</f>
        <v/>
      </c>
      <c r="S395" s="15" t="str">
        <f>IF(OR(G395="",NOT(OR(ISNUMBER(SEARCH("Epóxico Rojo",Upload!R385&amp;Upload!S385&amp;Upload!T385&amp;Upload!U385&amp;Upload!V385))))),"",G395*0.000035)</f>
        <v/>
      </c>
    </row>
    <row r="396" spans="1:19" x14ac:dyDescent="0.2">
      <c r="A396" s="9" t="e">
        <f t="shared" ca="1" si="35"/>
        <v>#NAME?</v>
      </c>
      <c r="B396" s="9">
        <f>Upload!E386</f>
        <v>0</v>
      </c>
      <c r="C396" s="9">
        <f>Upload!AE386</f>
        <v>0</v>
      </c>
      <c r="D396" s="9">
        <f>Upload!AF386</f>
        <v>0</v>
      </c>
      <c r="E396" s="9">
        <f>Upload!AG386</f>
        <v>0</v>
      </c>
      <c r="F396" s="9" t="str">
        <f>Upload!X386</f>
        <v/>
      </c>
      <c r="G396" s="9" t="str">
        <f>Upload!Z386</f>
        <v/>
      </c>
      <c r="H396" s="9" t="str">
        <f>Upload!W386</f>
        <v>(seleccione)</v>
      </c>
      <c r="I396" s="9" t="str">
        <f>Upload!Y386</f>
        <v>(seleccione)</v>
      </c>
      <c r="K396" s="15" t="str">
        <f t="shared" si="36"/>
        <v/>
      </c>
      <c r="L396" s="15" t="str">
        <f t="shared" si="37"/>
        <v/>
      </c>
      <c r="M396" s="15" t="str">
        <f t="shared" si="38"/>
        <v/>
      </c>
      <c r="N396" s="15" t="str">
        <f t="shared" si="39"/>
        <v/>
      </c>
      <c r="O396" s="15" t="str">
        <f t="shared" si="40"/>
        <v/>
      </c>
      <c r="P396" s="15" t="str">
        <f>IF(OR(C396="",NOT(OR(ISNUMBER(SEARCH("Antitarnish",Upload!P386&amp;Upload!Q386&amp;Upload!R386&amp;Upload!S386&amp;Upload!T386)),ISNUMBER(SEARCH("Anti Tarnish",Upload!P386&amp;Upload!Q386&amp;Upload!R386&amp;Upload!S386&amp;Upload!T386))))),"",0.0012*C396)</f>
        <v/>
      </c>
      <c r="Q396" s="15" t="str">
        <f>IF(OR(E396="",NOT(OR(ISNUMBER(SEARCH("Epóxico MT",Upload!P386&amp;Upload!Q386&amp;Upload!R386&amp;Upload!S386&amp;Upload!T386))))),"",E396*0.000035)</f>
        <v/>
      </c>
      <c r="R396" s="15" t="str">
        <f>IF(OR(F396="",NOT(OR(ISNUMBER(SEARCH("Epóxico BT",Upload!Q386&amp;Upload!R386&amp;Upload!S386&amp;Upload!T386&amp;Upload!U386))))),"",F396*0.000035)</f>
        <v/>
      </c>
      <c r="S396" s="15" t="str">
        <f>IF(OR(G396="",NOT(OR(ISNUMBER(SEARCH("Epóxico Rojo",Upload!R386&amp;Upload!S386&amp;Upload!T386&amp;Upload!U386&amp;Upload!V386))))),"",G396*0.000035)</f>
        <v/>
      </c>
    </row>
    <row r="397" spans="1:19" x14ac:dyDescent="0.2">
      <c r="A397" s="9" t="e">
        <f t="shared" ca="1" si="35"/>
        <v>#NAME?</v>
      </c>
      <c r="B397" s="9">
        <f>Upload!E387</f>
        <v>0</v>
      </c>
      <c r="C397" s="9">
        <f>Upload!AE387</f>
        <v>0</v>
      </c>
      <c r="D397" s="9">
        <f>Upload!AF387</f>
        <v>0</v>
      </c>
      <c r="E397" s="9">
        <f>Upload!AG387</f>
        <v>0</v>
      </c>
      <c r="F397" s="9" t="str">
        <f>Upload!X387</f>
        <v/>
      </c>
      <c r="G397" s="9" t="str">
        <f>Upload!Z387</f>
        <v/>
      </c>
      <c r="H397" s="9" t="str">
        <f>Upload!W387</f>
        <v>(seleccione)</v>
      </c>
      <c r="I397" s="9" t="str">
        <f>Upload!Y387</f>
        <v>(seleccione)</v>
      </c>
      <c r="K397" s="15" t="str">
        <f t="shared" si="36"/>
        <v/>
      </c>
      <c r="L397" s="15" t="str">
        <f t="shared" si="37"/>
        <v/>
      </c>
      <c r="M397" s="15" t="str">
        <f t="shared" si="38"/>
        <v/>
      </c>
      <c r="N397" s="15" t="str">
        <f t="shared" si="39"/>
        <v/>
      </c>
      <c r="O397" s="15" t="str">
        <f t="shared" si="40"/>
        <v/>
      </c>
      <c r="P397" s="15" t="str">
        <f>IF(OR(C397="",NOT(OR(ISNUMBER(SEARCH("Antitarnish",Upload!P387&amp;Upload!Q387&amp;Upload!R387&amp;Upload!S387&amp;Upload!T387)),ISNUMBER(SEARCH("Anti Tarnish",Upload!P387&amp;Upload!Q387&amp;Upload!R387&amp;Upload!S387&amp;Upload!T387))))),"",0.0012*C397)</f>
        <v/>
      </c>
      <c r="Q397" s="15" t="str">
        <f>IF(OR(E397="",NOT(OR(ISNUMBER(SEARCH("Epóxico MT",Upload!P387&amp;Upload!Q387&amp;Upload!R387&amp;Upload!S387&amp;Upload!T387))))),"",E397*0.000035)</f>
        <v/>
      </c>
      <c r="R397" s="15" t="str">
        <f>IF(OR(F397="",NOT(OR(ISNUMBER(SEARCH("Epóxico BT",Upload!Q387&amp;Upload!R387&amp;Upload!S387&amp;Upload!T387&amp;Upload!U387))))),"",F397*0.000035)</f>
        <v/>
      </c>
      <c r="S397" s="15" t="str">
        <f>IF(OR(G397="",NOT(OR(ISNUMBER(SEARCH("Epóxico Rojo",Upload!R387&amp;Upload!S387&amp;Upload!T387&amp;Upload!U387&amp;Upload!V387))))),"",G397*0.000035)</f>
        <v/>
      </c>
    </row>
    <row r="398" spans="1:19" x14ac:dyDescent="0.2">
      <c r="A398" s="9" t="e">
        <f t="shared" ca="1" si="35"/>
        <v>#NAME?</v>
      </c>
      <c r="B398" s="9">
        <f>Upload!E388</f>
        <v>0</v>
      </c>
      <c r="C398" s="9">
        <f>Upload!AE388</f>
        <v>0</v>
      </c>
      <c r="D398" s="9">
        <f>Upload!AF388</f>
        <v>0</v>
      </c>
      <c r="E398" s="9">
        <f>Upload!AG388</f>
        <v>0</v>
      </c>
      <c r="F398" s="9" t="str">
        <f>Upload!X388</f>
        <v/>
      </c>
      <c r="G398" s="9" t="str">
        <f>Upload!Z388</f>
        <v/>
      </c>
      <c r="H398" s="9" t="str">
        <f>Upload!W388</f>
        <v>(seleccione)</v>
      </c>
      <c r="I398" s="9" t="str">
        <f>Upload!Y388</f>
        <v>(seleccione)</v>
      </c>
      <c r="K398" s="15" t="str">
        <f t="shared" si="36"/>
        <v/>
      </c>
      <c r="L398" s="15" t="str">
        <f t="shared" si="37"/>
        <v/>
      </c>
      <c r="M398" s="15" t="str">
        <f t="shared" si="38"/>
        <v/>
      </c>
      <c r="N398" s="15" t="str">
        <f t="shared" si="39"/>
        <v/>
      </c>
      <c r="O398" s="15" t="str">
        <f t="shared" si="40"/>
        <v/>
      </c>
      <c r="P398" s="15" t="str">
        <f>IF(OR(C398="",NOT(OR(ISNUMBER(SEARCH("Antitarnish",Upload!P388&amp;Upload!Q388&amp;Upload!R388&amp;Upload!S388&amp;Upload!T388)),ISNUMBER(SEARCH("Anti Tarnish",Upload!P388&amp;Upload!Q388&amp;Upload!R388&amp;Upload!S388&amp;Upload!T388))))),"",0.0012*C398)</f>
        <v/>
      </c>
      <c r="Q398" s="15" t="str">
        <f>IF(OR(E398="",NOT(OR(ISNUMBER(SEARCH("Epóxico MT",Upload!P388&amp;Upload!Q388&amp;Upload!R388&amp;Upload!S388&amp;Upload!T388))))),"",E398*0.000035)</f>
        <v/>
      </c>
      <c r="R398" s="15" t="str">
        <f>IF(OR(F398="",NOT(OR(ISNUMBER(SEARCH("Epóxico BT",Upload!Q388&amp;Upload!R388&amp;Upload!S388&amp;Upload!T388&amp;Upload!U388))))),"",F398*0.000035)</f>
        <v/>
      </c>
      <c r="S398" s="15" t="str">
        <f>IF(OR(G398="",NOT(OR(ISNUMBER(SEARCH("Epóxico Rojo",Upload!R388&amp;Upload!S388&amp;Upload!T388&amp;Upload!U388&amp;Upload!V388))))),"",G398*0.000035)</f>
        <v/>
      </c>
    </row>
    <row r="399" spans="1:19" x14ac:dyDescent="0.2">
      <c r="A399" s="9" t="e">
        <f t="shared" ca="1" si="35"/>
        <v>#NAME?</v>
      </c>
      <c r="B399" s="9">
        <f>Upload!E389</f>
        <v>0</v>
      </c>
      <c r="C399" s="9">
        <f>Upload!AE389</f>
        <v>0</v>
      </c>
      <c r="D399" s="9">
        <f>Upload!AF389</f>
        <v>0</v>
      </c>
      <c r="E399" s="9">
        <f>Upload!AG389</f>
        <v>0</v>
      </c>
      <c r="F399" s="9" t="str">
        <f>Upload!X389</f>
        <v/>
      </c>
      <c r="G399" s="9" t="str">
        <f>Upload!Z389</f>
        <v/>
      </c>
      <c r="H399" s="9" t="str">
        <f>Upload!W389</f>
        <v>(seleccione)</v>
      </c>
      <c r="I399" s="9" t="str">
        <f>Upload!Y389</f>
        <v>(seleccione)</v>
      </c>
      <c r="K399" s="15" t="str">
        <f t="shared" si="36"/>
        <v/>
      </c>
      <c r="L399" s="15" t="str">
        <f t="shared" si="37"/>
        <v/>
      </c>
      <c r="M399" s="15" t="str">
        <f t="shared" si="38"/>
        <v/>
      </c>
      <c r="N399" s="15" t="str">
        <f t="shared" si="39"/>
        <v/>
      </c>
      <c r="O399" s="15" t="str">
        <f t="shared" si="40"/>
        <v/>
      </c>
      <c r="P399" s="15" t="str">
        <f>IF(OR(C399="",NOT(OR(ISNUMBER(SEARCH("Antitarnish",Upload!P389&amp;Upload!Q389&amp;Upload!R389&amp;Upload!S389&amp;Upload!T389)),ISNUMBER(SEARCH("Anti Tarnish",Upload!P389&amp;Upload!Q389&amp;Upload!R389&amp;Upload!S389&amp;Upload!T389))))),"",0.0012*C399)</f>
        <v/>
      </c>
      <c r="Q399" s="15" t="str">
        <f>IF(OR(E399="",NOT(OR(ISNUMBER(SEARCH("Epóxico MT",Upload!P389&amp;Upload!Q389&amp;Upload!R389&amp;Upload!S389&amp;Upload!T389))))),"",E399*0.000035)</f>
        <v/>
      </c>
      <c r="R399" s="15" t="str">
        <f>IF(OR(F399="",NOT(OR(ISNUMBER(SEARCH("Epóxico BT",Upload!Q389&amp;Upload!R389&amp;Upload!S389&amp;Upload!T389&amp;Upload!U389))))),"",F399*0.000035)</f>
        <v/>
      </c>
      <c r="S399" s="15" t="str">
        <f>IF(OR(G399="",NOT(OR(ISNUMBER(SEARCH("Epóxico Rojo",Upload!R389&amp;Upload!S389&amp;Upload!T389&amp;Upload!U389&amp;Upload!V389))))),"",G399*0.000035)</f>
        <v/>
      </c>
    </row>
    <row r="400" spans="1:19" x14ac:dyDescent="0.2">
      <c r="A400" s="9" t="e">
        <f t="shared" ca="1" si="35"/>
        <v>#NAME?</v>
      </c>
      <c r="B400" s="9">
        <f>Upload!E390</f>
        <v>0</v>
      </c>
      <c r="C400" s="9">
        <f>Upload!AE390</f>
        <v>0</v>
      </c>
      <c r="D400" s="9">
        <f>Upload!AF390</f>
        <v>0</v>
      </c>
      <c r="E400" s="9">
        <f>Upload!AG390</f>
        <v>0</v>
      </c>
      <c r="F400" s="9" t="str">
        <f>Upload!X390</f>
        <v/>
      </c>
      <c r="G400" s="9" t="str">
        <f>Upload!Z390</f>
        <v/>
      </c>
      <c r="H400" s="9" t="str">
        <f>Upload!W390</f>
        <v>(seleccione)</v>
      </c>
      <c r="I400" s="9" t="str">
        <f>Upload!Y390</f>
        <v>(seleccione)</v>
      </c>
      <c r="K400" s="15" t="str">
        <f t="shared" si="36"/>
        <v/>
      </c>
      <c r="L400" s="15" t="str">
        <f t="shared" si="37"/>
        <v/>
      </c>
      <c r="M400" s="15" t="str">
        <f t="shared" si="38"/>
        <v/>
      </c>
      <c r="N400" s="15" t="str">
        <f t="shared" si="39"/>
        <v/>
      </c>
      <c r="O400" s="15" t="str">
        <f t="shared" si="40"/>
        <v/>
      </c>
      <c r="P400" s="15" t="str">
        <f>IF(OR(C400="",NOT(OR(ISNUMBER(SEARCH("Antitarnish",Upload!P390&amp;Upload!Q390&amp;Upload!R390&amp;Upload!S390&amp;Upload!T390)),ISNUMBER(SEARCH("Anti Tarnish",Upload!P390&amp;Upload!Q390&amp;Upload!R390&amp;Upload!S390&amp;Upload!T390))))),"",0.0012*C400)</f>
        <v/>
      </c>
      <c r="Q400" s="15" t="str">
        <f>IF(OR(E400="",NOT(OR(ISNUMBER(SEARCH("Epóxico MT",Upload!P390&amp;Upload!Q390&amp;Upload!R390&amp;Upload!S390&amp;Upload!T390))))),"",E400*0.000035)</f>
        <v/>
      </c>
      <c r="R400" s="15" t="str">
        <f>IF(OR(F400="",NOT(OR(ISNUMBER(SEARCH("Epóxico BT",Upload!Q390&amp;Upload!R390&amp;Upload!S390&amp;Upload!T390&amp;Upload!U390))))),"",F400*0.000035)</f>
        <v/>
      </c>
      <c r="S400" s="15" t="str">
        <f>IF(OR(G400="",NOT(OR(ISNUMBER(SEARCH("Epóxico Rojo",Upload!R390&amp;Upload!S390&amp;Upload!T390&amp;Upload!U390&amp;Upload!V390))))),"",G400*0.000035)</f>
        <v/>
      </c>
    </row>
    <row r="401" spans="1:19" x14ac:dyDescent="0.2">
      <c r="A401" s="9" t="e">
        <f t="shared" ca="1" si="35"/>
        <v>#NAME?</v>
      </c>
      <c r="B401" s="9">
        <f>Upload!E391</f>
        <v>0</v>
      </c>
      <c r="C401" s="9">
        <f>Upload!AE391</f>
        <v>0</v>
      </c>
      <c r="D401" s="9">
        <f>Upload!AF391</f>
        <v>0</v>
      </c>
      <c r="E401" s="9">
        <f>Upload!AG391</f>
        <v>0</v>
      </c>
      <c r="F401" s="9" t="str">
        <f>Upload!X391</f>
        <v/>
      </c>
      <c r="G401" s="9" t="str">
        <f>Upload!Z391</f>
        <v/>
      </c>
      <c r="H401" s="9" t="str">
        <f>Upload!W391</f>
        <v>(seleccione)</v>
      </c>
      <c r="I401" s="9" t="str">
        <f>Upload!Y391</f>
        <v>(seleccione)</v>
      </c>
      <c r="K401" s="15" t="str">
        <f t="shared" si="36"/>
        <v/>
      </c>
      <c r="L401" s="15" t="str">
        <f t="shared" si="37"/>
        <v/>
      </c>
      <c r="M401" s="15" t="str">
        <f t="shared" si="38"/>
        <v/>
      </c>
      <c r="N401" s="15" t="str">
        <f t="shared" si="39"/>
        <v/>
      </c>
      <c r="O401" s="15" t="str">
        <f t="shared" si="40"/>
        <v/>
      </c>
      <c r="P401" s="15" t="str">
        <f>IF(OR(C401="",NOT(OR(ISNUMBER(SEARCH("Antitarnish",Upload!P391&amp;Upload!Q391&amp;Upload!R391&amp;Upload!S391&amp;Upload!T391)),ISNUMBER(SEARCH("Anti Tarnish",Upload!P391&amp;Upload!Q391&amp;Upload!R391&amp;Upload!S391&amp;Upload!T391))))),"",0.0012*C401)</f>
        <v/>
      </c>
      <c r="Q401" s="15" t="str">
        <f>IF(OR(E401="",NOT(OR(ISNUMBER(SEARCH("Epóxico MT",Upload!P391&amp;Upload!Q391&amp;Upload!R391&amp;Upload!S391&amp;Upload!T391))))),"",E401*0.000035)</f>
        <v/>
      </c>
      <c r="R401" s="15" t="str">
        <f>IF(OR(F401="",NOT(OR(ISNUMBER(SEARCH("Epóxico BT",Upload!Q391&amp;Upload!R391&amp;Upload!S391&amp;Upload!T391&amp;Upload!U391))))),"",F401*0.000035)</f>
        <v/>
      </c>
      <c r="S401" s="15" t="str">
        <f>IF(OR(G401="",NOT(OR(ISNUMBER(SEARCH("Epóxico Rojo",Upload!R391&amp;Upload!S391&amp;Upload!T391&amp;Upload!U391&amp;Upload!V391))))),"",G401*0.000035)</f>
        <v/>
      </c>
    </row>
    <row r="402" spans="1:19" x14ac:dyDescent="0.2">
      <c r="A402" s="9" t="e">
        <f t="shared" ca="1" si="35"/>
        <v>#NAME?</v>
      </c>
      <c r="B402" s="9">
        <f>Upload!E392</f>
        <v>0</v>
      </c>
      <c r="C402" s="9">
        <f>Upload!AE392</f>
        <v>0</v>
      </c>
      <c r="D402" s="9">
        <f>Upload!AF392</f>
        <v>0</v>
      </c>
      <c r="E402" s="9">
        <f>Upload!AG392</f>
        <v>0</v>
      </c>
      <c r="F402" s="9" t="str">
        <f>Upload!X392</f>
        <v/>
      </c>
      <c r="G402" s="9" t="str">
        <f>Upload!Z392</f>
        <v/>
      </c>
      <c r="H402" s="9" t="str">
        <f>Upload!W392</f>
        <v>(seleccione)</v>
      </c>
      <c r="I402" s="9" t="str">
        <f>Upload!Y392</f>
        <v>(seleccione)</v>
      </c>
      <c r="K402" s="15" t="str">
        <f t="shared" si="36"/>
        <v/>
      </c>
      <c r="L402" s="15" t="str">
        <f t="shared" si="37"/>
        <v/>
      </c>
      <c r="M402" s="15" t="str">
        <f t="shared" si="38"/>
        <v/>
      </c>
      <c r="N402" s="15" t="str">
        <f t="shared" si="39"/>
        <v/>
      </c>
      <c r="O402" s="15" t="str">
        <f t="shared" si="40"/>
        <v/>
      </c>
      <c r="P402" s="15" t="str">
        <f>IF(OR(C402="",NOT(OR(ISNUMBER(SEARCH("Antitarnish",Upload!P392&amp;Upload!Q392&amp;Upload!R392&amp;Upload!S392&amp;Upload!T392)),ISNUMBER(SEARCH("Anti Tarnish",Upload!P392&amp;Upload!Q392&amp;Upload!R392&amp;Upload!S392&amp;Upload!T392))))),"",0.0012*C402)</f>
        <v/>
      </c>
      <c r="Q402" s="15" t="str">
        <f>IF(OR(E402="",NOT(OR(ISNUMBER(SEARCH("Epóxico MT",Upload!P392&amp;Upload!Q392&amp;Upload!R392&amp;Upload!S392&amp;Upload!T392))))),"",E402*0.000035)</f>
        <v/>
      </c>
      <c r="R402" s="15" t="str">
        <f>IF(OR(F402="",NOT(OR(ISNUMBER(SEARCH("Epóxico BT",Upload!Q392&amp;Upload!R392&amp;Upload!S392&amp;Upload!T392&amp;Upload!U392))))),"",F402*0.000035)</f>
        <v/>
      </c>
      <c r="S402" s="15" t="str">
        <f>IF(OR(G402="",NOT(OR(ISNUMBER(SEARCH("Epóxico Rojo",Upload!R392&amp;Upload!S392&amp;Upload!T392&amp;Upload!U392&amp;Upload!V392))))),"",G402*0.000035)</f>
        <v/>
      </c>
    </row>
    <row r="403" spans="1:19" x14ac:dyDescent="0.2">
      <c r="A403" s="9" t="e">
        <f t="shared" ref="A403:A466" ca="1" si="41">_xludf.ROW()-18</f>
        <v>#NAME?</v>
      </c>
      <c r="B403" s="9">
        <f>Upload!E393</f>
        <v>0</v>
      </c>
      <c r="C403" s="9">
        <f>Upload!AE393</f>
        <v>0</v>
      </c>
      <c r="D403" s="9">
        <f>Upload!AF393</f>
        <v>0</v>
      </c>
      <c r="E403" s="9">
        <f>Upload!AG393</f>
        <v>0</v>
      </c>
      <c r="F403" s="9" t="str">
        <f>Upload!X393</f>
        <v/>
      </c>
      <c r="G403" s="9" t="str">
        <f>Upload!Z393</f>
        <v/>
      </c>
      <c r="H403" s="9" t="str">
        <f>Upload!W393</f>
        <v>(seleccione)</v>
      </c>
      <c r="I403" s="9" t="str">
        <f>Upload!Y393</f>
        <v>(seleccione)</v>
      </c>
      <c r="K403" s="15" t="str">
        <f t="shared" si="36"/>
        <v/>
      </c>
      <c r="L403" s="15" t="str">
        <f t="shared" si="37"/>
        <v/>
      </c>
      <c r="M403" s="15" t="str">
        <f t="shared" si="38"/>
        <v/>
      </c>
      <c r="N403" s="15" t="str">
        <f t="shared" si="39"/>
        <v/>
      </c>
      <c r="O403" s="15" t="str">
        <f t="shared" si="40"/>
        <v/>
      </c>
      <c r="P403" s="15" t="str">
        <f>IF(OR(C403="",NOT(OR(ISNUMBER(SEARCH("Antitarnish",Upload!P393&amp;Upload!Q393&amp;Upload!R393&amp;Upload!S393&amp;Upload!T393)),ISNUMBER(SEARCH("Anti Tarnish",Upload!P393&amp;Upload!Q393&amp;Upload!R393&amp;Upload!S393&amp;Upload!T393))))),"",0.0012*C403)</f>
        <v/>
      </c>
      <c r="Q403" s="15" t="str">
        <f>IF(OR(E403="",NOT(OR(ISNUMBER(SEARCH("Epóxico MT",Upload!P393&amp;Upload!Q393&amp;Upload!R393&amp;Upload!S393&amp;Upload!T393))))),"",E403*0.000035)</f>
        <v/>
      </c>
      <c r="R403" s="15" t="str">
        <f>IF(OR(F403="",NOT(OR(ISNUMBER(SEARCH("Epóxico BT",Upload!Q393&amp;Upload!R393&amp;Upload!S393&amp;Upload!T393&amp;Upload!U393))))),"",F403*0.000035)</f>
        <v/>
      </c>
      <c r="S403" s="15" t="str">
        <f>IF(OR(G403="",NOT(OR(ISNUMBER(SEARCH("Epóxico Rojo",Upload!R393&amp;Upload!S393&amp;Upload!T393&amp;Upload!U393&amp;Upload!V393))))),"",G403*0.000035)</f>
        <v/>
      </c>
    </row>
    <row r="404" spans="1:19" x14ac:dyDescent="0.2">
      <c r="A404" s="9" t="e">
        <f t="shared" ca="1" si="41"/>
        <v>#NAME?</v>
      </c>
      <c r="B404" s="9">
        <f>Upload!E394</f>
        <v>0</v>
      </c>
      <c r="C404" s="9">
        <f>Upload!AE394</f>
        <v>0</v>
      </c>
      <c r="D404" s="9">
        <f>Upload!AF394</f>
        <v>0</v>
      </c>
      <c r="E404" s="9">
        <f>Upload!AG394</f>
        <v>0</v>
      </c>
      <c r="F404" s="9" t="str">
        <f>Upload!X394</f>
        <v/>
      </c>
      <c r="G404" s="9" t="str">
        <f>Upload!Z394</f>
        <v/>
      </c>
      <c r="H404" s="9" t="str">
        <f>Upload!W394</f>
        <v>(seleccione)</v>
      </c>
      <c r="I404" s="9" t="str">
        <f>Upload!Y394</f>
        <v>(seleccione)</v>
      </c>
      <c r="K404" s="15" t="str">
        <f t="shared" si="36"/>
        <v/>
      </c>
      <c r="L404" s="15" t="str">
        <f t="shared" si="37"/>
        <v/>
      </c>
      <c r="M404" s="15" t="str">
        <f t="shared" si="38"/>
        <v/>
      </c>
      <c r="N404" s="15" t="str">
        <f t="shared" si="39"/>
        <v/>
      </c>
      <c r="O404" s="15" t="str">
        <f t="shared" si="40"/>
        <v/>
      </c>
      <c r="P404" s="15" t="str">
        <f>IF(OR(C404="",NOT(OR(ISNUMBER(SEARCH("Antitarnish",Upload!P394&amp;Upload!Q394&amp;Upload!R394&amp;Upload!S394&amp;Upload!T394)),ISNUMBER(SEARCH("Anti Tarnish",Upload!P394&amp;Upload!Q394&amp;Upload!R394&amp;Upload!S394&amp;Upload!T394))))),"",0.0012*C404)</f>
        <v/>
      </c>
      <c r="Q404" s="15" t="str">
        <f>IF(OR(E404="",NOT(OR(ISNUMBER(SEARCH("Epóxico MT",Upload!P394&amp;Upload!Q394&amp;Upload!R394&amp;Upload!S394&amp;Upload!T394))))),"",E404*0.000035)</f>
        <v/>
      </c>
      <c r="R404" s="15" t="str">
        <f>IF(OR(F404="",NOT(OR(ISNUMBER(SEARCH("Epóxico BT",Upload!Q394&amp;Upload!R394&amp;Upload!S394&amp;Upload!T394&amp;Upload!U394))))),"",F404*0.000035)</f>
        <v/>
      </c>
      <c r="S404" s="15" t="str">
        <f>IF(OR(G404="",NOT(OR(ISNUMBER(SEARCH("Epóxico Rojo",Upload!R394&amp;Upload!S394&amp;Upload!T394&amp;Upload!U394&amp;Upload!V394))))),"",G404*0.000035)</f>
        <v/>
      </c>
    </row>
    <row r="405" spans="1:19" x14ac:dyDescent="0.2">
      <c r="A405" s="9" t="e">
        <f t="shared" ca="1" si="41"/>
        <v>#NAME?</v>
      </c>
      <c r="B405" s="9">
        <f>Upload!E395</f>
        <v>0</v>
      </c>
      <c r="C405" s="9">
        <f>Upload!AE395</f>
        <v>0</v>
      </c>
      <c r="D405" s="9">
        <f>Upload!AF395</f>
        <v>0</v>
      </c>
      <c r="E405" s="9">
        <f>Upload!AG395</f>
        <v>0</v>
      </c>
      <c r="F405" s="9" t="str">
        <f>Upload!X395</f>
        <v/>
      </c>
      <c r="G405" s="9" t="str">
        <f>Upload!Z395</f>
        <v/>
      </c>
      <c r="H405" s="9" t="str">
        <f>Upload!W395</f>
        <v>(seleccione)</v>
      </c>
      <c r="I405" s="9" t="str">
        <f>Upload!Y395</f>
        <v>(seleccione)</v>
      </c>
      <c r="K405" s="15" t="str">
        <f t="shared" si="36"/>
        <v/>
      </c>
      <c r="L405" s="15" t="str">
        <f t="shared" si="37"/>
        <v/>
      </c>
      <c r="M405" s="15" t="str">
        <f t="shared" si="38"/>
        <v/>
      </c>
      <c r="N405" s="15" t="str">
        <f t="shared" si="39"/>
        <v/>
      </c>
      <c r="O405" s="15" t="str">
        <f t="shared" si="40"/>
        <v/>
      </c>
      <c r="P405" s="15" t="str">
        <f>IF(OR(C405="",NOT(OR(ISNUMBER(SEARCH("Antitarnish",Upload!P395&amp;Upload!Q395&amp;Upload!R395&amp;Upload!S395&amp;Upload!T395)),ISNUMBER(SEARCH("Anti Tarnish",Upload!P395&amp;Upload!Q395&amp;Upload!R395&amp;Upload!S395&amp;Upload!T395))))),"",0.0012*C405)</f>
        <v/>
      </c>
      <c r="Q405" s="15" t="str">
        <f>IF(OR(E405="",NOT(OR(ISNUMBER(SEARCH("Epóxico MT",Upload!P395&amp;Upload!Q395&amp;Upload!R395&amp;Upload!S395&amp;Upload!T395))))),"",E405*0.000035)</f>
        <v/>
      </c>
      <c r="R405" s="15" t="str">
        <f>IF(OR(F405="",NOT(OR(ISNUMBER(SEARCH("Epóxico BT",Upload!Q395&amp;Upload!R395&amp;Upload!S395&amp;Upload!T395&amp;Upload!U395))))),"",F405*0.000035)</f>
        <v/>
      </c>
      <c r="S405" s="15" t="str">
        <f>IF(OR(G405="",NOT(OR(ISNUMBER(SEARCH("Epóxico Rojo",Upload!R395&amp;Upload!S395&amp;Upload!T395&amp;Upload!U395&amp;Upload!V395))))),"",G405*0.000035)</f>
        <v/>
      </c>
    </row>
    <row r="406" spans="1:19" x14ac:dyDescent="0.2">
      <c r="A406" s="9" t="e">
        <f t="shared" ca="1" si="41"/>
        <v>#NAME?</v>
      </c>
      <c r="B406" s="9">
        <f>Upload!E396</f>
        <v>0</v>
      </c>
      <c r="C406" s="9">
        <f>Upload!AE396</f>
        <v>0</v>
      </c>
      <c r="D406" s="9">
        <f>Upload!AF396</f>
        <v>0</v>
      </c>
      <c r="E406" s="9">
        <f>Upload!AG396</f>
        <v>0</v>
      </c>
      <c r="F406" s="9" t="str">
        <f>Upload!X396</f>
        <v/>
      </c>
      <c r="G406" s="9" t="str">
        <f>Upload!Z396</f>
        <v/>
      </c>
      <c r="H406" s="9" t="str">
        <f>Upload!W396</f>
        <v>(seleccione)</v>
      </c>
      <c r="I406" s="9" t="str">
        <f>Upload!Y396</f>
        <v>(seleccione)</v>
      </c>
      <c r="K406" s="15" t="str">
        <f t="shared" si="36"/>
        <v/>
      </c>
      <c r="L406" s="15" t="str">
        <f t="shared" si="37"/>
        <v/>
      </c>
      <c r="M406" s="15" t="str">
        <f t="shared" si="38"/>
        <v/>
      </c>
      <c r="N406" s="15" t="str">
        <f t="shared" si="39"/>
        <v/>
      </c>
      <c r="O406" s="15" t="str">
        <f t="shared" si="40"/>
        <v/>
      </c>
      <c r="P406" s="15" t="str">
        <f>IF(OR(C406="",NOT(OR(ISNUMBER(SEARCH("Antitarnish",Upload!P396&amp;Upload!Q396&amp;Upload!R396&amp;Upload!S396&amp;Upload!T396)),ISNUMBER(SEARCH("Anti Tarnish",Upload!P396&amp;Upload!Q396&amp;Upload!R396&amp;Upload!S396&amp;Upload!T396))))),"",0.0012*C406)</f>
        <v/>
      </c>
      <c r="Q406" s="15" t="str">
        <f>IF(OR(E406="",NOT(OR(ISNUMBER(SEARCH("Epóxico MT",Upload!P396&amp;Upload!Q396&amp;Upload!R396&amp;Upload!S396&amp;Upload!T396))))),"",E406*0.000035)</f>
        <v/>
      </c>
      <c r="R406" s="15" t="str">
        <f>IF(OR(F406="",NOT(OR(ISNUMBER(SEARCH("Epóxico BT",Upload!Q396&amp;Upload!R396&amp;Upload!S396&amp;Upload!T396&amp;Upload!U396))))),"",F406*0.000035)</f>
        <v/>
      </c>
      <c r="S406" s="15" t="str">
        <f>IF(OR(G406="",NOT(OR(ISNUMBER(SEARCH("Epóxico Rojo",Upload!R396&amp;Upload!S396&amp;Upload!T396&amp;Upload!U396&amp;Upload!V396))))),"",G406*0.000035)</f>
        <v/>
      </c>
    </row>
    <row r="407" spans="1:19" x14ac:dyDescent="0.2">
      <c r="A407" s="9" t="e">
        <f t="shared" ca="1" si="41"/>
        <v>#NAME?</v>
      </c>
      <c r="B407" s="9">
        <f>Upload!E397</f>
        <v>0</v>
      </c>
      <c r="C407" s="9">
        <f>Upload!AE397</f>
        <v>0</v>
      </c>
      <c r="D407" s="9">
        <f>Upload!AF397</f>
        <v>0</v>
      </c>
      <c r="E407" s="9">
        <f>Upload!AG397</f>
        <v>0</v>
      </c>
      <c r="F407" s="9" t="str">
        <f>Upload!X397</f>
        <v/>
      </c>
      <c r="G407" s="9" t="str">
        <f>Upload!Z397</f>
        <v/>
      </c>
      <c r="H407" s="9" t="str">
        <f>Upload!W397</f>
        <v>(seleccione)</v>
      </c>
      <c r="I407" s="9" t="str">
        <f>Upload!Y397</f>
        <v>(seleccione)</v>
      </c>
      <c r="K407" s="15" t="str">
        <f t="shared" si="36"/>
        <v/>
      </c>
      <c r="L407" s="15" t="str">
        <f t="shared" si="37"/>
        <v/>
      </c>
      <c r="M407" s="15" t="str">
        <f t="shared" si="38"/>
        <v/>
      </c>
      <c r="N407" s="15" t="str">
        <f t="shared" si="39"/>
        <v/>
      </c>
      <c r="O407" s="15" t="str">
        <f t="shared" si="40"/>
        <v/>
      </c>
      <c r="P407" s="15" t="str">
        <f>IF(OR(C407="",NOT(OR(ISNUMBER(SEARCH("Antitarnish",Upload!P397&amp;Upload!Q397&amp;Upload!R397&amp;Upload!S397&amp;Upload!T397)),ISNUMBER(SEARCH("Anti Tarnish",Upload!P397&amp;Upload!Q397&amp;Upload!R397&amp;Upload!S397&amp;Upload!T397))))),"",0.0012*C407)</f>
        <v/>
      </c>
      <c r="Q407" s="15" t="str">
        <f>IF(OR(E407="",NOT(OR(ISNUMBER(SEARCH("Epóxico MT",Upload!P397&amp;Upload!Q397&amp;Upload!R397&amp;Upload!S397&amp;Upload!T397))))),"",E407*0.000035)</f>
        <v/>
      </c>
      <c r="R407" s="15" t="str">
        <f>IF(OR(F407="",NOT(OR(ISNUMBER(SEARCH("Epóxico BT",Upload!Q397&amp;Upload!R397&amp;Upload!S397&amp;Upload!T397&amp;Upload!U397))))),"",F407*0.000035)</f>
        <v/>
      </c>
      <c r="S407" s="15" t="str">
        <f>IF(OR(G407="",NOT(OR(ISNUMBER(SEARCH("Epóxico Rojo",Upload!R397&amp;Upload!S397&amp;Upload!T397&amp;Upload!U397&amp;Upload!V397))))),"",G407*0.000035)</f>
        <v/>
      </c>
    </row>
    <row r="408" spans="1:19" x14ac:dyDescent="0.2">
      <c r="A408" s="9" t="e">
        <f t="shared" ca="1" si="41"/>
        <v>#NAME?</v>
      </c>
      <c r="B408" s="9">
        <f>Upload!E398</f>
        <v>0</v>
      </c>
      <c r="C408" s="9">
        <f>Upload!AE398</f>
        <v>0</v>
      </c>
      <c r="D408" s="9">
        <f>Upload!AF398</f>
        <v>0</v>
      </c>
      <c r="E408" s="9">
        <f>Upload!AG398</f>
        <v>0</v>
      </c>
      <c r="F408" s="9" t="str">
        <f>Upload!X398</f>
        <v/>
      </c>
      <c r="G408" s="9" t="str">
        <f>Upload!Z398</f>
        <v/>
      </c>
      <c r="H408" s="9" t="str">
        <f>Upload!W398</f>
        <v>(seleccione)</v>
      </c>
      <c r="I408" s="9" t="str">
        <f>Upload!Y398</f>
        <v>(seleccione)</v>
      </c>
      <c r="K408" s="15" t="str">
        <f t="shared" si="36"/>
        <v/>
      </c>
      <c r="L408" s="15" t="str">
        <f t="shared" si="37"/>
        <v/>
      </c>
      <c r="M408" s="15" t="str">
        <f t="shared" si="38"/>
        <v/>
      </c>
      <c r="N408" s="15" t="str">
        <f t="shared" si="39"/>
        <v/>
      </c>
      <c r="O408" s="15" t="str">
        <f t="shared" si="40"/>
        <v/>
      </c>
      <c r="P408" s="15" t="str">
        <f>IF(OR(C408="",NOT(OR(ISNUMBER(SEARCH("Antitarnish",Upload!P398&amp;Upload!Q398&amp;Upload!R398&amp;Upload!S398&amp;Upload!T398)),ISNUMBER(SEARCH("Anti Tarnish",Upload!P398&amp;Upload!Q398&amp;Upload!R398&amp;Upload!S398&amp;Upload!T398))))),"",0.0012*C408)</f>
        <v/>
      </c>
      <c r="Q408" s="15" t="str">
        <f>IF(OR(E408="",NOT(OR(ISNUMBER(SEARCH("Epóxico MT",Upload!P398&amp;Upload!Q398&amp;Upload!R398&amp;Upload!S398&amp;Upload!T398))))),"",E408*0.000035)</f>
        <v/>
      </c>
      <c r="R408" s="15" t="str">
        <f>IF(OR(F408="",NOT(OR(ISNUMBER(SEARCH("Epóxico BT",Upload!Q398&amp;Upload!R398&amp;Upload!S398&amp;Upload!T398&amp;Upload!U398))))),"",F408*0.000035)</f>
        <v/>
      </c>
      <c r="S408" s="15" t="str">
        <f>IF(OR(G408="",NOT(OR(ISNUMBER(SEARCH("Epóxico Rojo",Upload!R398&amp;Upload!S398&amp;Upload!T398&amp;Upload!U398&amp;Upload!V398))))),"",G408*0.000035)</f>
        <v/>
      </c>
    </row>
    <row r="409" spans="1:19" x14ac:dyDescent="0.2">
      <c r="A409" s="9" t="e">
        <f t="shared" ca="1" si="41"/>
        <v>#NAME?</v>
      </c>
      <c r="B409" s="9">
        <f>Upload!E399</f>
        <v>0</v>
      </c>
      <c r="C409" s="9">
        <f>Upload!AE399</f>
        <v>0</v>
      </c>
      <c r="D409" s="9">
        <f>Upload!AF399</f>
        <v>0</v>
      </c>
      <c r="E409" s="9">
        <f>Upload!AG399</f>
        <v>0</v>
      </c>
      <c r="F409" s="9" t="str">
        <f>Upload!X399</f>
        <v/>
      </c>
      <c r="G409" s="9" t="str">
        <f>Upload!Z399</f>
        <v/>
      </c>
      <c r="H409" s="9" t="str">
        <f>Upload!W399</f>
        <v>(seleccione)</v>
      </c>
      <c r="I409" s="9" t="str">
        <f>Upload!Y399</f>
        <v>(seleccione)</v>
      </c>
      <c r="K409" s="15" t="str">
        <f t="shared" si="36"/>
        <v/>
      </c>
      <c r="L409" s="15" t="str">
        <f t="shared" si="37"/>
        <v/>
      </c>
      <c r="M409" s="15" t="str">
        <f t="shared" si="38"/>
        <v/>
      </c>
      <c r="N409" s="15" t="str">
        <f t="shared" si="39"/>
        <v/>
      </c>
      <c r="O409" s="15" t="str">
        <f t="shared" si="40"/>
        <v/>
      </c>
      <c r="P409" s="15" t="str">
        <f>IF(OR(C409="",NOT(OR(ISNUMBER(SEARCH("Antitarnish",Upload!P399&amp;Upload!Q399&amp;Upload!R399&amp;Upload!S399&amp;Upload!T399)),ISNUMBER(SEARCH("Anti Tarnish",Upload!P399&amp;Upload!Q399&amp;Upload!R399&amp;Upload!S399&amp;Upload!T399))))),"",0.0012*C409)</f>
        <v/>
      </c>
      <c r="Q409" s="15" t="str">
        <f>IF(OR(E409="",NOT(OR(ISNUMBER(SEARCH("Epóxico MT",Upload!P399&amp;Upload!Q399&amp;Upload!R399&amp;Upload!S399&amp;Upload!T399))))),"",E409*0.000035)</f>
        <v/>
      </c>
      <c r="R409" s="15" t="str">
        <f>IF(OR(F409="",NOT(OR(ISNUMBER(SEARCH("Epóxico BT",Upload!Q399&amp;Upload!R399&amp;Upload!S399&amp;Upload!T399&amp;Upload!U399))))),"",F409*0.000035)</f>
        <v/>
      </c>
      <c r="S409" s="15" t="str">
        <f>IF(OR(G409="",NOT(OR(ISNUMBER(SEARCH("Epóxico Rojo",Upload!R399&amp;Upload!S399&amp;Upload!T399&amp;Upload!U399&amp;Upload!V399))))),"",G409*0.000035)</f>
        <v/>
      </c>
    </row>
    <row r="410" spans="1:19" x14ac:dyDescent="0.2">
      <c r="A410" s="9" t="e">
        <f t="shared" ca="1" si="41"/>
        <v>#NAME?</v>
      </c>
      <c r="B410" s="9">
        <f>Upload!E400</f>
        <v>0</v>
      </c>
      <c r="C410" s="9">
        <f>Upload!AE400</f>
        <v>0</v>
      </c>
      <c r="D410" s="9">
        <f>Upload!AF400</f>
        <v>0</v>
      </c>
      <c r="E410" s="9">
        <f>Upload!AG400</f>
        <v>0</v>
      </c>
      <c r="F410" s="9" t="str">
        <f>Upload!X400</f>
        <v/>
      </c>
      <c r="G410" s="9" t="str">
        <f>Upload!Z400</f>
        <v/>
      </c>
      <c r="H410" s="9" t="str">
        <f>Upload!W400</f>
        <v>(seleccione)</v>
      </c>
      <c r="I410" s="9" t="str">
        <f>Upload!Y400</f>
        <v>(seleccione)</v>
      </c>
      <c r="K410" s="15" t="str">
        <f t="shared" si="36"/>
        <v/>
      </c>
      <c r="L410" s="15" t="str">
        <f t="shared" si="37"/>
        <v/>
      </c>
      <c r="M410" s="15" t="str">
        <f t="shared" si="38"/>
        <v/>
      </c>
      <c r="N410" s="15" t="str">
        <f t="shared" si="39"/>
        <v/>
      </c>
      <c r="O410" s="15" t="str">
        <f t="shared" si="40"/>
        <v/>
      </c>
      <c r="P410" s="15" t="str">
        <f>IF(OR(C410="",NOT(OR(ISNUMBER(SEARCH("Antitarnish",Upload!P400&amp;Upload!Q400&amp;Upload!R400&amp;Upload!S400&amp;Upload!T400)),ISNUMBER(SEARCH("Anti Tarnish",Upload!P400&amp;Upload!Q400&amp;Upload!R400&amp;Upload!S400&amp;Upload!T400))))),"",0.0012*C410)</f>
        <v/>
      </c>
      <c r="Q410" s="15" t="str">
        <f>IF(OR(E410="",NOT(OR(ISNUMBER(SEARCH("Epóxico MT",Upload!P400&amp;Upload!Q400&amp;Upload!R400&amp;Upload!S400&amp;Upload!T400))))),"",E410*0.000035)</f>
        <v/>
      </c>
      <c r="R410" s="15" t="str">
        <f>IF(OR(F410="",NOT(OR(ISNUMBER(SEARCH("Epóxico BT",Upload!Q400&amp;Upload!R400&amp;Upload!S400&amp;Upload!T400&amp;Upload!U400))))),"",F410*0.000035)</f>
        <v/>
      </c>
      <c r="S410" s="15" t="str">
        <f>IF(OR(G410="",NOT(OR(ISNUMBER(SEARCH("Epóxico Rojo",Upload!R400&amp;Upload!S400&amp;Upload!T400&amp;Upload!U400&amp;Upload!V400))))),"",G410*0.000035)</f>
        <v/>
      </c>
    </row>
    <row r="411" spans="1:19" x14ac:dyDescent="0.2">
      <c r="A411" s="9" t="e">
        <f t="shared" ca="1" si="41"/>
        <v>#NAME?</v>
      </c>
      <c r="B411" s="9">
        <f>Upload!E401</f>
        <v>0</v>
      </c>
      <c r="C411" s="9">
        <f>Upload!AE401</f>
        <v>0</v>
      </c>
      <c r="D411" s="9">
        <f>Upload!AF401</f>
        <v>0</v>
      </c>
      <c r="E411" s="9">
        <f>Upload!AG401</f>
        <v>0</v>
      </c>
      <c r="F411" s="9" t="str">
        <f>Upload!X401</f>
        <v/>
      </c>
      <c r="G411" s="9" t="str">
        <f>Upload!Z401</f>
        <v/>
      </c>
      <c r="H411" s="9" t="str">
        <f>Upload!W401</f>
        <v>(seleccione)</v>
      </c>
      <c r="I411" s="9" t="str">
        <f>Upload!Y401</f>
        <v>(seleccione)</v>
      </c>
      <c r="K411" s="15" t="str">
        <f t="shared" si="36"/>
        <v/>
      </c>
      <c r="L411" s="15" t="str">
        <f t="shared" si="37"/>
        <v/>
      </c>
      <c r="M411" s="15" t="str">
        <f t="shared" si="38"/>
        <v/>
      </c>
      <c r="N411" s="15" t="str">
        <f t="shared" si="39"/>
        <v/>
      </c>
      <c r="O411" s="15" t="str">
        <f t="shared" si="40"/>
        <v/>
      </c>
      <c r="P411" s="15" t="str">
        <f>IF(OR(C411="",NOT(OR(ISNUMBER(SEARCH("Antitarnish",Upload!P401&amp;Upload!Q401&amp;Upload!R401&amp;Upload!S401&amp;Upload!T401)),ISNUMBER(SEARCH("Anti Tarnish",Upload!P401&amp;Upload!Q401&amp;Upload!R401&amp;Upload!S401&amp;Upload!T401))))),"",0.0012*C411)</f>
        <v/>
      </c>
      <c r="Q411" s="15" t="str">
        <f>IF(OR(E411="",NOT(OR(ISNUMBER(SEARCH("Epóxico MT",Upload!P401&amp;Upload!Q401&amp;Upload!R401&amp;Upload!S401&amp;Upload!T401))))),"",E411*0.000035)</f>
        <v/>
      </c>
      <c r="R411" s="15" t="str">
        <f>IF(OR(F411="",NOT(OR(ISNUMBER(SEARCH("Epóxico BT",Upload!Q401&amp;Upload!R401&amp;Upload!S401&amp;Upload!T401&amp;Upload!U401))))),"",F411*0.000035)</f>
        <v/>
      </c>
      <c r="S411" s="15" t="str">
        <f>IF(OR(G411="",NOT(OR(ISNUMBER(SEARCH("Epóxico Rojo",Upload!R401&amp;Upload!S401&amp;Upload!T401&amp;Upload!U401&amp;Upload!V401))))),"",G411*0.000035)</f>
        <v/>
      </c>
    </row>
    <row r="412" spans="1:19" x14ac:dyDescent="0.2">
      <c r="A412" s="9" t="e">
        <f t="shared" ca="1" si="41"/>
        <v>#NAME?</v>
      </c>
      <c r="B412" s="9">
        <f>Upload!E402</f>
        <v>0</v>
      </c>
      <c r="C412" s="9">
        <f>Upload!AE402</f>
        <v>0</v>
      </c>
      <c r="D412" s="9">
        <f>Upload!AF402</f>
        <v>0</v>
      </c>
      <c r="E412" s="9">
        <f>Upload!AG402</f>
        <v>0</v>
      </c>
      <c r="F412" s="9" t="str">
        <f>Upload!X402</f>
        <v/>
      </c>
      <c r="G412" s="9" t="str">
        <f>Upload!Z402</f>
        <v/>
      </c>
      <c r="H412" s="9" t="str">
        <f>Upload!W402</f>
        <v>(seleccione)</v>
      </c>
      <c r="I412" s="9" t="str">
        <f>Upload!Y402</f>
        <v>(seleccione)</v>
      </c>
      <c r="K412" s="15" t="str">
        <f t="shared" si="36"/>
        <v/>
      </c>
      <c r="L412" s="15" t="str">
        <f t="shared" si="37"/>
        <v/>
      </c>
      <c r="M412" s="15" t="str">
        <f t="shared" si="38"/>
        <v/>
      </c>
      <c r="N412" s="15" t="str">
        <f t="shared" si="39"/>
        <v/>
      </c>
      <c r="O412" s="15" t="str">
        <f t="shared" si="40"/>
        <v/>
      </c>
      <c r="P412" s="15" t="str">
        <f>IF(OR(C412="",NOT(OR(ISNUMBER(SEARCH("Antitarnish",Upload!P402&amp;Upload!Q402&amp;Upload!R402&amp;Upload!S402&amp;Upload!T402)),ISNUMBER(SEARCH("Anti Tarnish",Upload!P402&amp;Upload!Q402&amp;Upload!R402&amp;Upload!S402&amp;Upload!T402))))),"",0.0012*C412)</f>
        <v/>
      </c>
      <c r="Q412" s="15" t="str">
        <f>IF(OR(E412="",NOT(OR(ISNUMBER(SEARCH("Epóxico MT",Upload!P402&amp;Upload!Q402&amp;Upload!R402&amp;Upload!S402&amp;Upload!T402))))),"",E412*0.000035)</f>
        <v/>
      </c>
      <c r="R412" s="15" t="str">
        <f>IF(OR(F412="",NOT(OR(ISNUMBER(SEARCH("Epóxico BT",Upload!Q402&amp;Upload!R402&amp;Upload!S402&amp;Upload!T402&amp;Upload!U402))))),"",F412*0.000035)</f>
        <v/>
      </c>
      <c r="S412" s="15" t="str">
        <f>IF(OR(G412="",NOT(OR(ISNUMBER(SEARCH("Epóxico Rojo",Upload!R402&amp;Upload!S402&amp;Upload!T402&amp;Upload!U402&amp;Upload!V402))))),"",G412*0.000035)</f>
        <v/>
      </c>
    </row>
    <row r="413" spans="1:19" x14ac:dyDescent="0.2">
      <c r="A413" s="9" t="e">
        <f t="shared" ca="1" si="41"/>
        <v>#NAME?</v>
      </c>
      <c r="B413" s="9">
        <f>Upload!E403</f>
        <v>0</v>
      </c>
      <c r="C413" s="9">
        <f>Upload!AE403</f>
        <v>0</v>
      </c>
      <c r="D413" s="9">
        <f>Upload!AF403</f>
        <v>0</v>
      </c>
      <c r="E413" s="9">
        <f>Upload!AG403</f>
        <v>0</v>
      </c>
      <c r="F413" s="9" t="str">
        <f>Upload!X403</f>
        <v/>
      </c>
      <c r="G413" s="9" t="str">
        <f>Upload!Z403</f>
        <v/>
      </c>
      <c r="H413" s="9" t="str">
        <f>Upload!W403</f>
        <v>(seleccione)</v>
      </c>
      <c r="I413" s="9" t="str">
        <f>Upload!Y403</f>
        <v>(seleccione)</v>
      </c>
      <c r="K413" s="15" t="str">
        <f t="shared" si="36"/>
        <v/>
      </c>
      <c r="L413" s="15" t="str">
        <f t="shared" si="37"/>
        <v/>
      </c>
      <c r="M413" s="15" t="str">
        <f t="shared" si="38"/>
        <v/>
      </c>
      <c r="N413" s="15" t="str">
        <f t="shared" si="39"/>
        <v/>
      </c>
      <c r="O413" s="15" t="str">
        <f t="shared" si="40"/>
        <v/>
      </c>
      <c r="P413" s="15" t="str">
        <f>IF(OR(C413="",NOT(OR(ISNUMBER(SEARCH("Antitarnish",Upload!P403&amp;Upload!Q403&amp;Upload!R403&amp;Upload!S403&amp;Upload!T403)),ISNUMBER(SEARCH("Anti Tarnish",Upload!P403&amp;Upload!Q403&amp;Upload!R403&amp;Upload!S403&amp;Upload!T403))))),"",0.0012*C413)</f>
        <v/>
      </c>
      <c r="Q413" s="15" t="str">
        <f>IF(OR(E413="",NOT(OR(ISNUMBER(SEARCH("Epóxico MT",Upload!P403&amp;Upload!Q403&amp;Upload!R403&amp;Upload!S403&amp;Upload!T403))))),"",E413*0.000035)</f>
        <v/>
      </c>
      <c r="R413" s="15" t="str">
        <f>IF(OR(F413="",NOT(OR(ISNUMBER(SEARCH("Epóxico BT",Upload!Q403&amp;Upload!R403&amp;Upload!S403&amp;Upload!T403&amp;Upload!U403))))),"",F413*0.000035)</f>
        <v/>
      </c>
      <c r="S413" s="15" t="str">
        <f>IF(OR(G413="",NOT(OR(ISNUMBER(SEARCH("Epóxico Rojo",Upload!R403&amp;Upload!S403&amp;Upload!T403&amp;Upload!U403&amp;Upload!V403))))),"",G413*0.000035)</f>
        <v/>
      </c>
    </row>
    <row r="414" spans="1:19" x14ac:dyDescent="0.2">
      <c r="A414" s="9" t="e">
        <f t="shared" ca="1" si="41"/>
        <v>#NAME?</v>
      </c>
      <c r="B414" s="9">
        <f>Upload!E404</f>
        <v>0</v>
      </c>
      <c r="C414" s="9">
        <f>Upload!AE404</f>
        <v>0</v>
      </c>
      <c r="D414" s="9">
        <f>Upload!AF404</f>
        <v>0</v>
      </c>
      <c r="E414" s="9">
        <f>Upload!AG404</f>
        <v>0</v>
      </c>
      <c r="F414" s="9" t="str">
        <f>Upload!X404</f>
        <v/>
      </c>
      <c r="G414" s="9" t="str">
        <f>Upload!Z404</f>
        <v/>
      </c>
      <c r="H414" s="9" t="str">
        <f>Upload!W404</f>
        <v>(seleccione)</v>
      </c>
      <c r="I414" s="9" t="str">
        <f>Upload!Y404</f>
        <v>(seleccione)</v>
      </c>
      <c r="K414" s="15" t="str">
        <f t="shared" si="36"/>
        <v/>
      </c>
      <c r="L414" s="15" t="str">
        <f t="shared" si="37"/>
        <v/>
      </c>
      <c r="M414" s="15" t="str">
        <f t="shared" si="38"/>
        <v/>
      </c>
      <c r="N414" s="15" t="str">
        <f t="shared" si="39"/>
        <v/>
      </c>
      <c r="O414" s="15" t="str">
        <f t="shared" si="40"/>
        <v/>
      </c>
      <c r="P414" s="15" t="str">
        <f>IF(OR(C414="",NOT(OR(ISNUMBER(SEARCH("Antitarnish",Upload!P404&amp;Upload!Q404&amp;Upload!R404&amp;Upload!S404&amp;Upload!T404)),ISNUMBER(SEARCH("Anti Tarnish",Upload!P404&amp;Upload!Q404&amp;Upload!R404&amp;Upload!S404&amp;Upload!T404))))),"",0.0012*C414)</f>
        <v/>
      </c>
      <c r="Q414" s="15" t="str">
        <f>IF(OR(E414="",NOT(OR(ISNUMBER(SEARCH("Epóxico MT",Upload!P404&amp;Upload!Q404&amp;Upload!R404&amp;Upload!S404&amp;Upload!T404))))),"",E414*0.000035)</f>
        <v/>
      </c>
      <c r="R414" s="15" t="str">
        <f>IF(OR(F414="",NOT(OR(ISNUMBER(SEARCH("Epóxico BT",Upload!Q404&amp;Upload!R404&amp;Upload!S404&amp;Upload!T404&amp;Upload!U404))))),"",F414*0.000035)</f>
        <v/>
      </c>
      <c r="S414" s="15" t="str">
        <f>IF(OR(G414="",NOT(OR(ISNUMBER(SEARCH("Epóxico Rojo",Upload!R404&amp;Upload!S404&amp;Upload!T404&amp;Upload!U404&amp;Upload!V404))))),"",G414*0.000035)</f>
        <v/>
      </c>
    </row>
    <row r="415" spans="1:19" x14ac:dyDescent="0.2">
      <c r="A415" s="9" t="e">
        <f t="shared" ca="1" si="41"/>
        <v>#NAME?</v>
      </c>
      <c r="B415" s="9">
        <f>Upload!E405</f>
        <v>0</v>
      </c>
      <c r="C415" s="9">
        <f>Upload!AE405</f>
        <v>0</v>
      </c>
      <c r="D415" s="9">
        <f>Upload!AF405</f>
        <v>0</v>
      </c>
      <c r="E415" s="9">
        <f>Upload!AG405</f>
        <v>0</v>
      </c>
      <c r="F415" s="9" t="str">
        <f>Upload!X405</f>
        <v/>
      </c>
      <c r="G415" s="9" t="str">
        <f>Upload!Z405</f>
        <v/>
      </c>
      <c r="H415" s="9" t="str">
        <f>Upload!W405</f>
        <v>(seleccione)</v>
      </c>
      <c r="I415" s="9" t="str">
        <f>Upload!Y405</f>
        <v>(seleccione)</v>
      </c>
      <c r="K415" s="15" t="str">
        <f t="shared" si="36"/>
        <v/>
      </c>
      <c r="L415" s="15" t="str">
        <f t="shared" si="37"/>
        <v/>
      </c>
      <c r="M415" s="15" t="str">
        <f t="shared" si="38"/>
        <v/>
      </c>
      <c r="N415" s="15" t="str">
        <f t="shared" si="39"/>
        <v/>
      </c>
      <c r="O415" s="15" t="str">
        <f t="shared" si="40"/>
        <v/>
      </c>
      <c r="P415" s="15" t="str">
        <f>IF(OR(C415="",NOT(OR(ISNUMBER(SEARCH("Antitarnish",Upload!P405&amp;Upload!Q405&amp;Upload!R405&amp;Upload!S405&amp;Upload!T405)),ISNUMBER(SEARCH("Anti Tarnish",Upload!P405&amp;Upload!Q405&amp;Upload!R405&amp;Upload!S405&amp;Upload!T405))))),"",0.0012*C415)</f>
        <v/>
      </c>
      <c r="Q415" s="15" t="str">
        <f>IF(OR(E415="",NOT(OR(ISNUMBER(SEARCH("Epóxico MT",Upload!P405&amp;Upload!Q405&amp;Upload!R405&amp;Upload!S405&amp;Upload!T405))))),"",E415*0.000035)</f>
        <v/>
      </c>
      <c r="R415" s="15" t="str">
        <f>IF(OR(F415="",NOT(OR(ISNUMBER(SEARCH("Epóxico BT",Upload!Q405&amp;Upload!R405&amp;Upload!S405&amp;Upload!T405&amp;Upload!U405))))),"",F415*0.000035)</f>
        <v/>
      </c>
      <c r="S415" s="15" t="str">
        <f>IF(OR(G415="",NOT(OR(ISNUMBER(SEARCH("Epóxico Rojo",Upload!R405&amp;Upload!S405&amp;Upload!T405&amp;Upload!U405&amp;Upload!V405))))),"",G415*0.000035)</f>
        <v/>
      </c>
    </row>
    <row r="416" spans="1:19" x14ac:dyDescent="0.2">
      <c r="A416" s="9" t="e">
        <f t="shared" ca="1" si="41"/>
        <v>#NAME?</v>
      </c>
      <c r="B416" s="9">
        <f>Upload!E406</f>
        <v>0</v>
      </c>
      <c r="C416" s="9">
        <f>Upload!AE406</f>
        <v>0</v>
      </c>
      <c r="D416" s="9">
        <f>Upload!AF406</f>
        <v>0</v>
      </c>
      <c r="E416" s="9">
        <f>Upload!AG406</f>
        <v>0</v>
      </c>
      <c r="F416" s="9" t="str">
        <f>Upload!X406</f>
        <v/>
      </c>
      <c r="G416" s="9" t="str">
        <f>Upload!Z406</f>
        <v/>
      </c>
      <c r="H416" s="9" t="str">
        <f>Upload!W406</f>
        <v>(seleccione)</v>
      </c>
      <c r="I416" s="9" t="str">
        <f>Upload!Y406</f>
        <v>(seleccione)</v>
      </c>
      <c r="K416" s="15" t="str">
        <f t="shared" si="36"/>
        <v/>
      </c>
      <c r="L416" s="15" t="str">
        <f t="shared" si="37"/>
        <v/>
      </c>
      <c r="M416" s="15" t="str">
        <f t="shared" si="38"/>
        <v/>
      </c>
      <c r="N416" s="15" t="str">
        <f t="shared" si="39"/>
        <v/>
      </c>
      <c r="O416" s="15" t="str">
        <f t="shared" si="40"/>
        <v/>
      </c>
      <c r="P416" s="15" t="str">
        <f>IF(OR(C416="",NOT(OR(ISNUMBER(SEARCH("Antitarnish",Upload!P406&amp;Upload!Q406&amp;Upload!R406&amp;Upload!S406&amp;Upload!T406)),ISNUMBER(SEARCH("Anti Tarnish",Upload!P406&amp;Upload!Q406&amp;Upload!R406&amp;Upload!S406&amp;Upload!T406))))),"",0.0012*C416)</f>
        <v/>
      </c>
      <c r="Q416" s="15" t="str">
        <f>IF(OR(E416="",NOT(OR(ISNUMBER(SEARCH("Epóxico MT",Upload!P406&amp;Upload!Q406&amp;Upload!R406&amp;Upload!S406&amp;Upload!T406))))),"",E416*0.000035)</f>
        <v/>
      </c>
      <c r="R416" s="15" t="str">
        <f>IF(OR(F416="",NOT(OR(ISNUMBER(SEARCH("Epóxico BT",Upload!Q406&amp;Upload!R406&amp;Upload!S406&amp;Upload!T406&amp;Upload!U406))))),"",F416*0.000035)</f>
        <v/>
      </c>
      <c r="S416" s="15" t="str">
        <f>IF(OR(G416="",NOT(OR(ISNUMBER(SEARCH("Epóxico Rojo",Upload!R406&amp;Upload!S406&amp;Upload!T406&amp;Upload!U406&amp;Upload!V406))))),"",G416*0.000035)</f>
        <v/>
      </c>
    </row>
    <row r="417" spans="1:19" x14ac:dyDescent="0.2">
      <c r="A417" s="9" t="e">
        <f t="shared" ca="1" si="41"/>
        <v>#NAME?</v>
      </c>
      <c r="B417" s="9">
        <f>Upload!E407</f>
        <v>0</v>
      </c>
      <c r="C417" s="9">
        <f>Upload!AE407</f>
        <v>0</v>
      </c>
      <c r="D417" s="9">
        <f>Upload!AF407</f>
        <v>0</v>
      </c>
      <c r="E417" s="9">
        <f>Upload!AG407</f>
        <v>0</v>
      </c>
      <c r="F417" s="9" t="str">
        <f>Upload!X407</f>
        <v/>
      </c>
      <c r="G417" s="9" t="str">
        <f>Upload!Z407</f>
        <v/>
      </c>
      <c r="H417" s="9" t="str">
        <f>Upload!W407</f>
        <v>(seleccione)</v>
      </c>
      <c r="I417" s="9" t="str">
        <f>Upload!Y407</f>
        <v>(seleccione)</v>
      </c>
      <c r="K417" s="15" t="str">
        <f t="shared" si="36"/>
        <v/>
      </c>
      <c r="L417" s="15" t="str">
        <f t="shared" si="37"/>
        <v/>
      </c>
      <c r="M417" s="15" t="str">
        <f t="shared" si="38"/>
        <v/>
      </c>
      <c r="N417" s="15" t="str">
        <f t="shared" si="39"/>
        <v/>
      </c>
      <c r="O417" s="15" t="str">
        <f t="shared" si="40"/>
        <v/>
      </c>
      <c r="P417" s="15" t="str">
        <f>IF(OR(C417="",NOT(OR(ISNUMBER(SEARCH("Antitarnish",Upload!P407&amp;Upload!Q407&amp;Upload!R407&amp;Upload!S407&amp;Upload!T407)),ISNUMBER(SEARCH("Anti Tarnish",Upload!P407&amp;Upload!Q407&amp;Upload!R407&amp;Upload!S407&amp;Upload!T407))))),"",0.0012*C417)</f>
        <v/>
      </c>
      <c r="Q417" s="15" t="str">
        <f>IF(OR(E417="",NOT(OR(ISNUMBER(SEARCH("Epóxico MT",Upload!P407&amp;Upload!Q407&amp;Upload!R407&amp;Upload!S407&amp;Upload!T407))))),"",E417*0.000035)</f>
        <v/>
      </c>
      <c r="R417" s="15" t="str">
        <f>IF(OR(F417="",NOT(OR(ISNUMBER(SEARCH("Epóxico BT",Upload!Q407&amp;Upload!R407&amp;Upload!S407&amp;Upload!T407&amp;Upload!U407))))),"",F417*0.000035)</f>
        <v/>
      </c>
      <c r="S417" s="15" t="str">
        <f>IF(OR(G417="",NOT(OR(ISNUMBER(SEARCH("Epóxico Rojo",Upload!R407&amp;Upload!S407&amp;Upload!T407&amp;Upload!U407&amp;Upload!V407))))),"",G417*0.000035)</f>
        <v/>
      </c>
    </row>
    <row r="418" spans="1:19" x14ac:dyDescent="0.2">
      <c r="A418" s="9" t="e">
        <f t="shared" ca="1" si="41"/>
        <v>#NAME?</v>
      </c>
      <c r="B418" s="9">
        <f>Upload!E408</f>
        <v>0</v>
      </c>
      <c r="C418" s="9">
        <f>Upload!AE408</f>
        <v>0</v>
      </c>
      <c r="D418" s="9">
        <f>Upload!AF408</f>
        <v>0</v>
      </c>
      <c r="E418" s="9">
        <f>Upload!AG408</f>
        <v>0</v>
      </c>
      <c r="F418" s="9" t="str">
        <f>Upload!X408</f>
        <v/>
      </c>
      <c r="G418" s="9" t="str">
        <f>Upload!Z408</f>
        <v/>
      </c>
      <c r="H418" s="9" t="str">
        <f>Upload!W408</f>
        <v>(seleccione)</v>
      </c>
      <c r="I418" s="9" t="str">
        <f>Upload!Y408</f>
        <v>(seleccione)</v>
      </c>
      <c r="K418" s="15" t="str">
        <f t="shared" si="36"/>
        <v/>
      </c>
      <c r="L418" s="15" t="str">
        <f t="shared" si="37"/>
        <v/>
      </c>
      <c r="M418" s="15" t="str">
        <f t="shared" si="38"/>
        <v/>
      </c>
      <c r="N418" s="15" t="str">
        <f t="shared" si="39"/>
        <v/>
      </c>
      <c r="O418" s="15" t="str">
        <f t="shared" si="40"/>
        <v/>
      </c>
      <c r="P418" s="15" t="str">
        <f>IF(OR(C418="",NOT(OR(ISNUMBER(SEARCH("Antitarnish",Upload!P408&amp;Upload!Q408&amp;Upload!R408&amp;Upload!S408&amp;Upload!T408)),ISNUMBER(SEARCH("Anti Tarnish",Upload!P408&amp;Upload!Q408&amp;Upload!R408&amp;Upload!S408&amp;Upload!T408))))),"",0.0012*C418)</f>
        <v/>
      </c>
      <c r="Q418" s="15" t="str">
        <f>IF(OR(E418="",NOT(OR(ISNUMBER(SEARCH("Epóxico MT",Upload!P408&amp;Upload!Q408&amp;Upload!R408&amp;Upload!S408&amp;Upload!T408))))),"",E418*0.000035)</f>
        <v/>
      </c>
      <c r="R418" s="15" t="str">
        <f>IF(OR(F418="",NOT(OR(ISNUMBER(SEARCH("Epóxico BT",Upload!Q408&amp;Upload!R408&amp;Upload!S408&amp;Upload!T408&amp;Upload!U408))))),"",F418*0.000035)</f>
        <v/>
      </c>
      <c r="S418" s="15" t="str">
        <f>IF(OR(G418="",NOT(OR(ISNUMBER(SEARCH("Epóxico Rojo",Upload!R408&amp;Upload!S408&amp;Upload!T408&amp;Upload!U408&amp;Upload!V408))))),"",G418*0.000035)</f>
        <v/>
      </c>
    </row>
    <row r="419" spans="1:19" x14ac:dyDescent="0.2">
      <c r="A419" s="9" t="e">
        <f t="shared" ca="1" si="41"/>
        <v>#NAME?</v>
      </c>
      <c r="B419" s="9">
        <f>Upload!E409</f>
        <v>0</v>
      </c>
      <c r="C419" s="9">
        <f>Upload!AE409</f>
        <v>0</v>
      </c>
      <c r="D419" s="9">
        <f>Upload!AF409</f>
        <v>0</v>
      </c>
      <c r="E419" s="9">
        <f>Upload!AG409</f>
        <v>0</v>
      </c>
      <c r="F419" s="9" t="str">
        <f>Upload!X409</f>
        <v/>
      </c>
      <c r="G419" s="9" t="str">
        <f>Upload!Z409</f>
        <v/>
      </c>
      <c r="H419" s="9" t="str">
        <f>Upload!W409</f>
        <v>(seleccione)</v>
      </c>
      <c r="I419" s="9" t="str">
        <f>Upload!Y409</f>
        <v>(seleccione)</v>
      </c>
      <c r="K419" s="15" t="str">
        <f t="shared" si="36"/>
        <v/>
      </c>
      <c r="L419" s="15" t="str">
        <f t="shared" si="37"/>
        <v/>
      </c>
      <c r="M419" s="15" t="str">
        <f t="shared" si="38"/>
        <v/>
      </c>
      <c r="N419" s="15" t="str">
        <f t="shared" si="39"/>
        <v/>
      </c>
      <c r="O419" s="15" t="str">
        <f t="shared" si="40"/>
        <v/>
      </c>
      <c r="P419" s="15" t="str">
        <f>IF(OR(C419="",NOT(OR(ISNUMBER(SEARCH("Antitarnish",Upload!P409&amp;Upload!Q409&amp;Upload!R409&amp;Upload!S409&amp;Upload!T409)),ISNUMBER(SEARCH("Anti Tarnish",Upload!P409&amp;Upload!Q409&amp;Upload!R409&amp;Upload!S409&amp;Upload!T409))))),"",0.0012*C419)</f>
        <v/>
      </c>
      <c r="Q419" s="15" t="str">
        <f>IF(OR(E419="",NOT(OR(ISNUMBER(SEARCH("Epóxico MT",Upload!P409&amp;Upload!Q409&amp;Upload!R409&amp;Upload!S409&amp;Upload!T409))))),"",E419*0.000035)</f>
        <v/>
      </c>
      <c r="R419" s="15" t="str">
        <f>IF(OR(F419="",NOT(OR(ISNUMBER(SEARCH("Epóxico BT",Upload!Q409&amp;Upload!R409&amp;Upload!S409&amp;Upload!T409&amp;Upload!U409))))),"",F419*0.000035)</f>
        <v/>
      </c>
      <c r="S419" s="15" t="str">
        <f>IF(OR(G419="",NOT(OR(ISNUMBER(SEARCH("Epóxico Rojo",Upload!R409&amp;Upload!S409&amp;Upload!T409&amp;Upload!U409&amp;Upload!V409))))),"",G419*0.000035)</f>
        <v/>
      </c>
    </row>
    <row r="420" spans="1:19" x14ac:dyDescent="0.2">
      <c r="A420" s="9" t="e">
        <f t="shared" ca="1" si="41"/>
        <v>#NAME?</v>
      </c>
      <c r="B420" s="9">
        <f>Upload!E410</f>
        <v>0</v>
      </c>
      <c r="C420" s="9">
        <f>Upload!AE410</f>
        <v>0</v>
      </c>
      <c r="D420" s="9">
        <f>Upload!AF410</f>
        <v>0</v>
      </c>
      <c r="E420" s="9">
        <f>Upload!AG410</f>
        <v>0</v>
      </c>
      <c r="F420" s="9" t="str">
        <f>Upload!X410</f>
        <v/>
      </c>
      <c r="G420" s="9" t="str">
        <f>Upload!Z410</f>
        <v/>
      </c>
      <c r="H420" s="9" t="str">
        <f>Upload!W410</f>
        <v>(seleccione)</v>
      </c>
      <c r="I420" s="9" t="str">
        <f>Upload!Y410</f>
        <v>(seleccione)</v>
      </c>
      <c r="K420" s="15" t="str">
        <f t="shared" si="36"/>
        <v/>
      </c>
      <c r="L420" s="15" t="str">
        <f t="shared" si="37"/>
        <v/>
      </c>
      <c r="M420" s="15" t="str">
        <f t="shared" si="38"/>
        <v/>
      </c>
      <c r="N420" s="15" t="str">
        <f t="shared" si="39"/>
        <v/>
      </c>
      <c r="O420" s="15" t="str">
        <f t="shared" si="40"/>
        <v/>
      </c>
      <c r="P420" s="15" t="str">
        <f>IF(OR(C420="",NOT(OR(ISNUMBER(SEARCH("Antitarnish",Upload!P410&amp;Upload!Q410&amp;Upload!R410&amp;Upload!S410&amp;Upload!T410)),ISNUMBER(SEARCH("Anti Tarnish",Upload!P410&amp;Upload!Q410&amp;Upload!R410&amp;Upload!S410&amp;Upload!T410))))),"",0.0012*C420)</f>
        <v/>
      </c>
      <c r="Q420" s="15" t="str">
        <f>IF(OR(E420="",NOT(OR(ISNUMBER(SEARCH("Epóxico MT",Upload!P410&amp;Upload!Q410&amp;Upload!R410&amp;Upload!S410&amp;Upload!T410))))),"",E420*0.000035)</f>
        <v/>
      </c>
      <c r="R420" s="15" t="str">
        <f>IF(OR(F420="",NOT(OR(ISNUMBER(SEARCH("Epóxico BT",Upload!Q410&amp;Upload!R410&amp;Upload!S410&amp;Upload!T410&amp;Upload!U410))))),"",F420*0.000035)</f>
        <v/>
      </c>
      <c r="S420" s="15" t="str">
        <f>IF(OR(G420="",NOT(OR(ISNUMBER(SEARCH("Epóxico Rojo",Upload!R410&amp;Upload!S410&amp;Upload!T410&amp;Upload!U410&amp;Upload!V410))))),"",G420*0.000035)</f>
        <v/>
      </c>
    </row>
    <row r="421" spans="1:19" x14ac:dyDescent="0.2">
      <c r="A421" s="9" t="e">
        <f t="shared" ca="1" si="41"/>
        <v>#NAME?</v>
      </c>
      <c r="B421" s="9">
        <f>Upload!E411</f>
        <v>0</v>
      </c>
      <c r="C421" s="9">
        <f>Upload!AE411</f>
        <v>0</v>
      </c>
      <c r="D421" s="9">
        <f>Upload!AF411</f>
        <v>0</v>
      </c>
      <c r="E421" s="9">
        <f>Upload!AG411</f>
        <v>0</v>
      </c>
      <c r="F421" s="9" t="str">
        <f>Upload!X411</f>
        <v/>
      </c>
      <c r="G421" s="9" t="str">
        <f>Upload!Z411</f>
        <v/>
      </c>
      <c r="H421" s="9" t="str">
        <f>Upload!W411</f>
        <v>(seleccione)</v>
      </c>
      <c r="I421" s="9" t="str">
        <f>Upload!Y411</f>
        <v>(seleccione)</v>
      </c>
      <c r="K421" s="15" t="str">
        <f t="shared" si="36"/>
        <v/>
      </c>
      <c r="L421" s="15" t="str">
        <f t="shared" si="37"/>
        <v/>
      </c>
      <c r="M421" s="15" t="str">
        <f t="shared" si="38"/>
        <v/>
      </c>
      <c r="N421" s="15" t="str">
        <f t="shared" si="39"/>
        <v/>
      </c>
      <c r="O421" s="15" t="str">
        <f t="shared" si="40"/>
        <v/>
      </c>
      <c r="P421" s="15" t="str">
        <f>IF(OR(C421="",NOT(OR(ISNUMBER(SEARCH("Antitarnish",Upload!P411&amp;Upload!Q411&amp;Upload!R411&amp;Upload!S411&amp;Upload!T411)),ISNUMBER(SEARCH("Anti Tarnish",Upload!P411&amp;Upload!Q411&amp;Upload!R411&amp;Upload!S411&amp;Upload!T411))))),"",0.0012*C421)</f>
        <v/>
      </c>
      <c r="Q421" s="15" t="str">
        <f>IF(OR(E421="",NOT(OR(ISNUMBER(SEARCH("Epóxico MT",Upload!P411&amp;Upload!Q411&amp;Upload!R411&amp;Upload!S411&amp;Upload!T411))))),"",E421*0.000035)</f>
        <v/>
      </c>
      <c r="R421" s="15" t="str">
        <f>IF(OR(F421="",NOT(OR(ISNUMBER(SEARCH("Epóxico BT",Upload!Q411&amp;Upload!R411&amp;Upload!S411&amp;Upload!T411&amp;Upload!U411))))),"",F421*0.000035)</f>
        <v/>
      </c>
      <c r="S421" s="15" t="str">
        <f>IF(OR(G421="",NOT(OR(ISNUMBER(SEARCH("Epóxico Rojo",Upload!R411&amp;Upload!S411&amp;Upload!T411&amp;Upload!U411&amp;Upload!V411))))),"",G421*0.000035)</f>
        <v/>
      </c>
    </row>
    <row r="422" spans="1:19" x14ac:dyDescent="0.2">
      <c r="A422" s="9" t="e">
        <f t="shared" ca="1" si="41"/>
        <v>#NAME?</v>
      </c>
      <c r="B422" s="9">
        <f>Upload!E412</f>
        <v>0</v>
      </c>
      <c r="C422" s="9">
        <f>Upload!AE412</f>
        <v>0</v>
      </c>
      <c r="D422" s="9">
        <f>Upload!AF412</f>
        <v>0</v>
      </c>
      <c r="E422" s="9">
        <f>Upload!AG412</f>
        <v>0</v>
      </c>
      <c r="F422" s="9" t="str">
        <f>Upload!X412</f>
        <v/>
      </c>
      <c r="G422" s="9" t="str">
        <f>Upload!Z412</f>
        <v/>
      </c>
      <c r="H422" s="9" t="str">
        <f>Upload!W412</f>
        <v>(seleccione)</v>
      </c>
      <c r="I422" s="9" t="str">
        <f>Upload!Y412</f>
        <v>(seleccione)</v>
      </c>
      <c r="K422" s="15" t="str">
        <f t="shared" si="36"/>
        <v/>
      </c>
      <c r="L422" s="15" t="str">
        <f t="shared" si="37"/>
        <v/>
      </c>
      <c r="M422" s="15" t="str">
        <f t="shared" si="38"/>
        <v/>
      </c>
      <c r="N422" s="15" t="str">
        <f t="shared" si="39"/>
        <v/>
      </c>
      <c r="O422" s="15" t="str">
        <f t="shared" si="40"/>
        <v/>
      </c>
      <c r="P422" s="15" t="str">
        <f>IF(OR(C422="",NOT(OR(ISNUMBER(SEARCH("Antitarnish",Upload!P412&amp;Upload!Q412&amp;Upload!R412&amp;Upload!S412&amp;Upload!T412)),ISNUMBER(SEARCH("Anti Tarnish",Upload!P412&amp;Upload!Q412&amp;Upload!R412&amp;Upload!S412&amp;Upload!T412))))),"",0.0012*C422)</f>
        <v/>
      </c>
      <c r="Q422" s="15" t="str">
        <f>IF(OR(E422="",NOT(OR(ISNUMBER(SEARCH("Epóxico MT",Upload!P412&amp;Upload!Q412&amp;Upload!R412&amp;Upload!S412&amp;Upload!T412))))),"",E422*0.000035)</f>
        <v/>
      </c>
      <c r="R422" s="15" t="str">
        <f>IF(OR(F422="",NOT(OR(ISNUMBER(SEARCH("Epóxico BT",Upload!Q412&amp;Upload!R412&amp;Upload!S412&amp;Upload!T412&amp;Upload!U412))))),"",F422*0.000035)</f>
        <v/>
      </c>
      <c r="S422" s="15" t="str">
        <f>IF(OR(G422="",NOT(OR(ISNUMBER(SEARCH("Epóxico Rojo",Upload!R412&amp;Upload!S412&amp;Upload!T412&amp;Upload!U412&amp;Upload!V412))))),"",G422*0.000035)</f>
        <v/>
      </c>
    </row>
    <row r="423" spans="1:19" x14ac:dyDescent="0.2">
      <c r="A423" s="9" t="e">
        <f t="shared" ca="1" si="41"/>
        <v>#NAME?</v>
      </c>
      <c r="B423" s="9">
        <f>Upload!E413</f>
        <v>0</v>
      </c>
      <c r="C423" s="9">
        <f>Upload!AE413</f>
        <v>0</v>
      </c>
      <c r="D423" s="9">
        <f>Upload!AF413</f>
        <v>0</v>
      </c>
      <c r="E423" s="9">
        <f>Upload!AG413</f>
        <v>0</v>
      </c>
      <c r="F423" s="9" t="str">
        <f>Upload!X413</f>
        <v/>
      </c>
      <c r="G423" s="9" t="str">
        <f>Upload!Z413</f>
        <v/>
      </c>
      <c r="H423" s="9" t="str">
        <f>Upload!W413</f>
        <v>(seleccione)</v>
      </c>
      <c r="I423" s="9" t="str">
        <f>Upload!Y413</f>
        <v>(seleccione)</v>
      </c>
      <c r="K423" s="15" t="str">
        <f t="shared" si="36"/>
        <v/>
      </c>
      <c r="L423" s="15" t="str">
        <f t="shared" si="37"/>
        <v/>
      </c>
      <c r="M423" s="15" t="str">
        <f t="shared" si="38"/>
        <v/>
      </c>
      <c r="N423" s="15" t="str">
        <f t="shared" si="39"/>
        <v/>
      </c>
      <c r="O423" s="15" t="str">
        <f t="shared" si="40"/>
        <v/>
      </c>
      <c r="P423" s="15" t="str">
        <f>IF(OR(C423="",NOT(OR(ISNUMBER(SEARCH("Antitarnish",Upload!P413&amp;Upload!Q413&amp;Upload!R413&amp;Upload!S413&amp;Upload!T413)),ISNUMBER(SEARCH("Anti Tarnish",Upload!P413&amp;Upload!Q413&amp;Upload!R413&amp;Upload!S413&amp;Upload!T413))))),"",0.0012*C423)</f>
        <v/>
      </c>
      <c r="Q423" s="15" t="str">
        <f>IF(OR(E423="",NOT(OR(ISNUMBER(SEARCH("Epóxico MT",Upload!P413&amp;Upload!Q413&amp;Upload!R413&amp;Upload!S413&amp;Upload!T413))))),"",E423*0.000035)</f>
        <v/>
      </c>
      <c r="R423" s="15" t="str">
        <f>IF(OR(F423="",NOT(OR(ISNUMBER(SEARCH("Epóxico BT",Upload!Q413&amp;Upload!R413&amp;Upload!S413&amp;Upload!T413&amp;Upload!U413))))),"",F423*0.000035)</f>
        <v/>
      </c>
      <c r="S423" s="15" t="str">
        <f>IF(OR(G423="",NOT(OR(ISNUMBER(SEARCH("Epóxico Rojo",Upload!R413&amp;Upload!S413&amp;Upload!T413&amp;Upload!U413&amp;Upload!V413))))),"",G423*0.000035)</f>
        <v/>
      </c>
    </row>
    <row r="424" spans="1:19" x14ac:dyDescent="0.2">
      <c r="A424" s="9" t="e">
        <f t="shared" ca="1" si="41"/>
        <v>#NAME?</v>
      </c>
      <c r="B424" s="9">
        <f>Upload!E414</f>
        <v>0</v>
      </c>
      <c r="C424" s="9">
        <f>Upload!AE414</f>
        <v>0</v>
      </c>
      <c r="D424" s="9">
        <f>Upload!AF414</f>
        <v>0</v>
      </c>
      <c r="E424" s="9">
        <f>Upload!AG414</f>
        <v>0</v>
      </c>
      <c r="F424" s="9" t="str">
        <f>Upload!X414</f>
        <v/>
      </c>
      <c r="G424" s="9" t="str">
        <f>Upload!Z414</f>
        <v/>
      </c>
      <c r="H424" s="9" t="str">
        <f>Upload!W414</f>
        <v>(seleccione)</v>
      </c>
      <c r="I424" s="9" t="str">
        <f>Upload!Y414</f>
        <v>(seleccione)</v>
      </c>
      <c r="K424" s="15" t="str">
        <f t="shared" si="36"/>
        <v/>
      </c>
      <c r="L424" s="15" t="str">
        <f t="shared" si="37"/>
        <v/>
      </c>
      <c r="M424" s="15" t="str">
        <f t="shared" si="38"/>
        <v/>
      </c>
      <c r="N424" s="15" t="str">
        <f t="shared" si="39"/>
        <v/>
      </c>
      <c r="O424" s="15" t="str">
        <f t="shared" si="40"/>
        <v/>
      </c>
      <c r="P424" s="15" t="str">
        <f>IF(OR(C424="",NOT(OR(ISNUMBER(SEARCH("Antitarnish",Upload!P414&amp;Upload!Q414&amp;Upload!R414&amp;Upload!S414&amp;Upload!T414)),ISNUMBER(SEARCH("Anti Tarnish",Upload!P414&amp;Upload!Q414&amp;Upload!R414&amp;Upload!S414&amp;Upload!T414))))),"",0.0012*C424)</f>
        <v/>
      </c>
      <c r="Q424" s="15" t="str">
        <f>IF(OR(E424="",NOT(OR(ISNUMBER(SEARCH("Epóxico MT",Upload!P414&amp;Upload!Q414&amp;Upload!R414&amp;Upload!S414&amp;Upload!T414))))),"",E424*0.000035)</f>
        <v/>
      </c>
      <c r="R424" s="15" t="str">
        <f>IF(OR(F424="",NOT(OR(ISNUMBER(SEARCH("Epóxico BT",Upload!Q414&amp;Upload!R414&amp;Upload!S414&amp;Upload!T414&amp;Upload!U414))))),"",F424*0.000035)</f>
        <v/>
      </c>
      <c r="S424" s="15" t="str">
        <f>IF(OR(G424="",NOT(OR(ISNUMBER(SEARCH("Epóxico Rojo",Upload!R414&amp;Upload!S414&amp;Upload!T414&amp;Upload!U414&amp;Upload!V414))))),"",G424*0.000035)</f>
        <v/>
      </c>
    </row>
    <row r="425" spans="1:19" x14ac:dyDescent="0.2">
      <c r="A425" s="9" t="e">
        <f t="shared" ca="1" si="41"/>
        <v>#NAME?</v>
      </c>
      <c r="B425" s="9">
        <f>Upload!E415</f>
        <v>0</v>
      </c>
      <c r="C425" s="9">
        <f>Upload!AE415</f>
        <v>0</v>
      </c>
      <c r="D425" s="9">
        <f>Upload!AF415</f>
        <v>0</v>
      </c>
      <c r="E425" s="9">
        <f>Upload!AG415</f>
        <v>0</v>
      </c>
      <c r="F425" s="9" t="str">
        <f>Upload!X415</f>
        <v/>
      </c>
      <c r="G425" s="9" t="str">
        <f>Upload!Z415</f>
        <v/>
      </c>
      <c r="H425" s="9" t="str">
        <f>Upload!W415</f>
        <v>(seleccione)</v>
      </c>
      <c r="I425" s="9" t="str">
        <f>Upload!Y415</f>
        <v>(seleccione)</v>
      </c>
      <c r="K425" s="15" t="str">
        <f t="shared" si="36"/>
        <v/>
      </c>
      <c r="L425" s="15" t="str">
        <f t="shared" si="37"/>
        <v/>
      </c>
      <c r="M425" s="15" t="str">
        <f t="shared" si="38"/>
        <v/>
      </c>
      <c r="N425" s="15" t="str">
        <f t="shared" si="39"/>
        <v/>
      </c>
      <c r="O425" s="15" t="str">
        <f t="shared" si="40"/>
        <v/>
      </c>
      <c r="P425" s="15" t="str">
        <f>IF(OR(C425="",NOT(OR(ISNUMBER(SEARCH("Antitarnish",Upload!P415&amp;Upload!Q415&amp;Upload!R415&amp;Upload!S415&amp;Upload!T415)),ISNUMBER(SEARCH("Anti Tarnish",Upload!P415&amp;Upload!Q415&amp;Upload!R415&amp;Upload!S415&amp;Upload!T415))))),"",0.0012*C425)</f>
        <v/>
      </c>
      <c r="Q425" s="15" t="str">
        <f>IF(OR(E425="",NOT(OR(ISNUMBER(SEARCH("Epóxico MT",Upload!P415&amp;Upload!Q415&amp;Upload!R415&amp;Upload!S415&amp;Upload!T415))))),"",E425*0.000035)</f>
        <v/>
      </c>
      <c r="R425" s="15" t="str">
        <f>IF(OR(F425="",NOT(OR(ISNUMBER(SEARCH("Epóxico BT",Upload!Q415&amp;Upload!R415&amp;Upload!S415&amp;Upload!T415&amp;Upload!U415))))),"",F425*0.000035)</f>
        <v/>
      </c>
      <c r="S425" s="15" t="str">
        <f>IF(OR(G425="",NOT(OR(ISNUMBER(SEARCH("Epóxico Rojo",Upload!R415&amp;Upload!S415&amp;Upload!T415&amp;Upload!U415&amp;Upload!V415))))),"",G425*0.000035)</f>
        <v/>
      </c>
    </row>
    <row r="426" spans="1:19" x14ac:dyDescent="0.2">
      <c r="A426" s="9" t="e">
        <f t="shared" ca="1" si="41"/>
        <v>#NAME?</v>
      </c>
      <c r="B426" s="9">
        <f>Upload!E416</f>
        <v>0</v>
      </c>
      <c r="C426" s="9">
        <f>Upload!AE416</f>
        <v>0</v>
      </c>
      <c r="D426" s="9">
        <f>Upload!AF416</f>
        <v>0</v>
      </c>
      <c r="E426" s="9">
        <f>Upload!AG416</f>
        <v>0</v>
      </c>
      <c r="F426" s="9" t="str">
        <f>Upload!X416</f>
        <v/>
      </c>
      <c r="G426" s="9" t="str">
        <f>Upload!Z416</f>
        <v/>
      </c>
      <c r="H426" s="9" t="str">
        <f>Upload!W416</f>
        <v>(seleccione)</v>
      </c>
      <c r="I426" s="9" t="str">
        <f>Upload!Y416</f>
        <v>(seleccione)</v>
      </c>
      <c r="K426" s="15" t="str">
        <f t="shared" si="36"/>
        <v/>
      </c>
      <c r="L426" s="15" t="str">
        <f t="shared" si="37"/>
        <v/>
      </c>
      <c r="M426" s="15" t="str">
        <f t="shared" si="38"/>
        <v/>
      </c>
      <c r="N426" s="15" t="str">
        <f t="shared" si="39"/>
        <v/>
      </c>
      <c r="O426" s="15" t="str">
        <f t="shared" si="40"/>
        <v/>
      </c>
      <c r="P426" s="15" t="str">
        <f>IF(OR(C426="",NOT(OR(ISNUMBER(SEARCH("Antitarnish",Upload!P416&amp;Upload!Q416&amp;Upload!R416&amp;Upload!S416&amp;Upload!T416)),ISNUMBER(SEARCH("Anti Tarnish",Upload!P416&amp;Upload!Q416&amp;Upload!R416&amp;Upload!S416&amp;Upload!T416))))),"",0.0012*C426)</f>
        <v/>
      </c>
      <c r="Q426" s="15" t="str">
        <f>IF(OR(E426="",NOT(OR(ISNUMBER(SEARCH("Epóxico MT",Upload!P416&amp;Upload!Q416&amp;Upload!R416&amp;Upload!S416&amp;Upload!T416))))),"",E426*0.000035)</f>
        <v/>
      </c>
      <c r="R426" s="15" t="str">
        <f>IF(OR(F426="",NOT(OR(ISNUMBER(SEARCH("Epóxico BT",Upload!Q416&amp;Upload!R416&amp;Upload!S416&amp;Upload!T416&amp;Upload!U416))))),"",F426*0.000035)</f>
        <v/>
      </c>
      <c r="S426" s="15" t="str">
        <f>IF(OR(G426="",NOT(OR(ISNUMBER(SEARCH("Epóxico Rojo",Upload!R416&amp;Upload!S416&amp;Upload!T416&amp;Upload!U416&amp;Upload!V416))))),"",G426*0.000035)</f>
        <v/>
      </c>
    </row>
    <row r="427" spans="1:19" x14ac:dyDescent="0.2">
      <c r="A427" s="9" t="e">
        <f t="shared" ca="1" si="41"/>
        <v>#NAME?</v>
      </c>
      <c r="B427" s="9">
        <f>Upload!E417</f>
        <v>0</v>
      </c>
      <c r="C427" s="9">
        <f>Upload!AE417</f>
        <v>0</v>
      </c>
      <c r="D427" s="9">
        <f>Upload!AF417</f>
        <v>0</v>
      </c>
      <c r="E427" s="9">
        <f>Upload!AG417</f>
        <v>0</v>
      </c>
      <c r="F427" s="9" t="str">
        <f>Upload!X417</f>
        <v/>
      </c>
      <c r="G427" s="9" t="str">
        <f>Upload!Z417</f>
        <v/>
      </c>
      <c r="H427" s="9" t="str">
        <f>Upload!W417</f>
        <v>(seleccione)</v>
      </c>
      <c r="I427" s="9" t="str">
        <f>Upload!Y417</f>
        <v>(seleccione)</v>
      </c>
      <c r="K427" s="15" t="str">
        <f t="shared" si="36"/>
        <v/>
      </c>
      <c r="L427" s="15" t="str">
        <f t="shared" si="37"/>
        <v/>
      </c>
      <c r="M427" s="15" t="str">
        <f t="shared" si="38"/>
        <v/>
      </c>
      <c r="N427" s="15" t="str">
        <f t="shared" si="39"/>
        <v/>
      </c>
      <c r="O427" s="15" t="str">
        <f t="shared" si="40"/>
        <v/>
      </c>
      <c r="P427" s="15" t="str">
        <f>IF(OR(C427="",NOT(OR(ISNUMBER(SEARCH("Antitarnish",Upload!P417&amp;Upload!Q417&amp;Upload!R417&amp;Upload!S417&amp;Upload!T417)),ISNUMBER(SEARCH("Anti Tarnish",Upload!P417&amp;Upload!Q417&amp;Upload!R417&amp;Upload!S417&amp;Upload!T417))))),"",0.0012*C427)</f>
        <v/>
      </c>
      <c r="Q427" s="15" t="str">
        <f>IF(OR(E427="",NOT(OR(ISNUMBER(SEARCH("Epóxico MT",Upload!P417&amp;Upload!Q417&amp;Upload!R417&amp;Upload!S417&amp;Upload!T417))))),"",E427*0.000035)</f>
        <v/>
      </c>
      <c r="R427" s="15" t="str">
        <f>IF(OR(F427="",NOT(OR(ISNUMBER(SEARCH("Epóxico BT",Upload!Q417&amp;Upload!R417&amp;Upload!S417&amp;Upload!T417&amp;Upload!U417))))),"",F427*0.000035)</f>
        <v/>
      </c>
      <c r="S427" s="15" t="str">
        <f>IF(OR(G427="",NOT(OR(ISNUMBER(SEARCH("Epóxico Rojo",Upload!R417&amp;Upload!S417&amp;Upload!T417&amp;Upload!U417&amp;Upload!V417))))),"",G427*0.000035)</f>
        <v/>
      </c>
    </row>
    <row r="428" spans="1:19" x14ac:dyDescent="0.2">
      <c r="A428" s="9" t="e">
        <f t="shared" ca="1" si="41"/>
        <v>#NAME?</v>
      </c>
      <c r="B428" s="9">
        <f>Upload!E418</f>
        <v>0</v>
      </c>
      <c r="C428" s="9">
        <f>Upload!AE418</f>
        <v>0</v>
      </c>
      <c r="D428" s="9">
        <f>Upload!AF418</f>
        <v>0</v>
      </c>
      <c r="E428" s="9">
        <f>Upload!AG418</f>
        <v>0</v>
      </c>
      <c r="F428" s="9" t="str">
        <f>Upload!X418</f>
        <v/>
      </c>
      <c r="G428" s="9" t="str">
        <f>Upload!Z418</f>
        <v/>
      </c>
      <c r="H428" s="9" t="str">
        <f>Upload!W418</f>
        <v>(seleccione)</v>
      </c>
      <c r="I428" s="9" t="str">
        <f>Upload!Y418</f>
        <v>(seleccione)</v>
      </c>
      <c r="K428" s="15" t="str">
        <f t="shared" si="36"/>
        <v/>
      </c>
      <c r="L428" s="15" t="str">
        <f t="shared" si="37"/>
        <v/>
      </c>
      <c r="M428" s="15" t="str">
        <f t="shared" si="38"/>
        <v/>
      </c>
      <c r="N428" s="15" t="str">
        <f t="shared" si="39"/>
        <v/>
      </c>
      <c r="O428" s="15" t="str">
        <f t="shared" si="40"/>
        <v/>
      </c>
      <c r="P428" s="15" t="str">
        <f>IF(OR(C428="",NOT(OR(ISNUMBER(SEARCH("Antitarnish",Upload!P418&amp;Upload!Q418&amp;Upload!R418&amp;Upload!S418&amp;Upload!T418)),ISNUMBER(SEARCH("Anti Tarnish",Upload!P418&amp;Upload!Q418&amp;Upload!R418&amp;Upload!S418&amp;Upload!T418))))),"",0.0012*C428)</f>
        <v/>
      </c>
      <c r="Q428" s="15" t="str">
        <f>IF(OR(E428="",NOT(OR(ISNUMBER(SEARCH("Epóxico MT",Upload!P418&amp;Upload!Q418&amp;Upload!R418&amp;Upload!S418&amp;Upload!T418))))),"",E428*0.000035)</f>
        <v/>
      </c>
      <c r="R428" s="15" t="str">
        <f>IF(OR(F428="",NOT(OR(ISNUMBER(SEARCH("Epóxico BT",Upload!Q418&amp;Upload!R418&amp;Upload!S418&amp;Upload!T418&amp;Upload!U418))))),"",F428*0.000035)</f>
        <v/>
      </c>
      <c r="S428" s="15" t="str">
        <f>IF(OR(G428="",NOT(OR(ISNUMBER(SEARCH("Epóxico Rojo",Upload!R418&amp;Upload!S418&amp;Upload!T418&amp;Upload!U418&amp;Upload!V418))))),"",G428*0.000035)</f>
        <v/>
      </c>
    </row>
    <row r="429" spans="1:19" x14ac:dyDescent="0.2">
      <c r="A429" s="9" t="e">
        <f t="shared" ca="1" si="41"/>
        <v>#NAME?</v>
      </c>
      <c r="B429" s="9">
        <f>Upload!E419</f>
        <v>0</v>
      </c>
      <c r="C429" s="9">
        <f>Upload!AE419</f>
        <v>0</v>
      </c>
      <c r="D429" s="9">
        <f>Upload!AF419</f>
        <v>0</v>
      </c>
      <c r="E429" s="9">
        <f>Upload!AG419</f>
        <v>0</v>
      </c>
      <c r="F429" s="9" t="str">
        <f>Upload!X419</f>
        <v/>
      </c>
      <c r="G429" s="9" t="str">
        <f>Upload!Z419</f>
        <v/>
      </c>
      <c r="H429" s="9" t="str">
        <f>Upload!W419</f>
        <v>(seleccione)</v>
      </c>
      <c r="I429" s="9" t="str">
        <f>Upload!Y419</f>
        <v>(seleccione)</v>
      </c>
      <c r="K429" s="15" t="str">
        <f t="shared" si="36"/>
        <v/>
      </c>
      <c r="L429" s="15" t="str">
        <f t="shared" si="37"/>
        <v/>
      </c>
      <c r="M429" s="15" t="str">
        <f t="shared" si="38"/>
        <v/>
      </c>
      <c r="N429" s="15" t="str">
        <f t="shared" si="39"/>
        <v/>
      </c>
      <c r="O429" s="15" t="str">
        <f t="shared" si="40"/>
        <v/>
      </c>
      <c r="P429" s="15" t="str">
        <f>IF(OR(C429="",NOT(OR(ISNUMBER(SEARCH("Antitarnish",Upload!P419&amp;Upload!Q419&amp;Upload!R419&amp;Upload!S419&amp;Upload!T419)),ISNUMBER(SEARCH("Anti Tarnish",Upload!P419&amp;Upload!Q419&amp;Upload!R419&amp;Upload!S419&amp;Upload!T419))))),"",0.0012*C429)</f>
        <v/>
      </c>
      <c r="Q429" s="15" t="str">
        <f>IF(OR(E429="",NOT(OR(ISNUMBER(SEARCH("Epóxico MT",Upload!P419&amp;Upload!Q419&amp;Upload!R419&amp;Upload!S419&amp;Upload!T419))))),"",E429*0.000035)</f>
        <v/>
      </c>
      <c r="R429" s="15" t="str">
        <f>IF(OR(F429="",NOT(OR(ISNUMBER(SEARCH("Epóxico BT",Upload!Q419&amp;Upload!R419&amp;Upload!S419&amp;Upload!T419&amp;Upload!U419))))),"",F429*0.000035)</f>
        <v/>
      </c>
      <c r="S429" s="15" t="str">
        <f>IF(OR(G429="",NOT(OR(ISNUMBER(SEARCH("Epóxico Rojo",Upload!R419&amp;Upload!S419&amp;Upload!T419&amp;Upload!U419&amp;Upload!V419))))),"",G429*0.000035)</f>
        <v/>
      </c>
    </row>
    <row r="430" spans="1:19" x14ac:dyDescent="0.2">
      <c r="A430" s="9" t="e">
        <f t="shared" ca="1" si="41"/>
        <v>#NAME?</v>
      </c>
      <c r="B430" s="9">
        <f>Upload!E420</f>
        <v>0</v>
      </c>
      <c r="C430" s="9">
        <f>Upload!AE420</f>
        <v>0</v>
      </c>
      <c r="D430" s="9">
        <f>Upload!AF420</f>
        <v>0</v>
      </c>
      <c r="E430" s="9">
        <f>Upload!AG420</f>
        <v>0</v>
      </c>
      <c r="F430" s="9" t="str">
        <f>Upload!X420</f>
        <v/>
      </c>
      <c r="G430" s="9" t="str">
        <f>Upload!Z420</f>
        <v/>
      </c>
      <c r="H430" s="9" t="str">
        <f>Upload!W420</f>
        <v>(seleccione)</v>
      </c>
      <c r="I430" s="9" t="str">
        <f>Upload!Y420</f>
        <v>(seleccione)</v>
      </c>
      <c r="K430" s="15" t="str">
        <f t="shared" si="36"/>
        <v/>
      </c>
      <c r="L430" s="15" t="str">
        <f t="shared" si="37"/>
        <v/>
      </c>
      <c r="M430" s="15" t="str">
        <f t="shared" si="38"/>
        <v/>
      </c>
      <c r="N430" s="15" t="str">
        <f t="shared" si="39"/>
        <v/>
      </c>
      <c r="O430" s="15" t="str">
        <f t="shared" si="40"/>
        <v/>
      </c>
      <c r="P430" s="15" t="str">
        <f>IF(OR(C430="",NOT(OR(ISNUMBER(SEARCH("Antitarnish",Upload!P420&amp;Upload!Q420&amp;Upload!R420&amp;Upload!S420&amp;Upload!T420)),ISNUMBER(SEARCH("Anti Tarnish",Upload!P420&amp;Upload!Q420&amp;Upload!R420&amp;Upload!S420&amp;Upload!T420))))),"",0.0012*C430)</f>
        <v/>
      </c>
      <c r="Q430" s="15" t="str">
        <f>IF(OR(E430="",NOT(OR(ISNUMBER(SEARCH("Epóxico MT",Upload!P420&amp;Upload!Q420&amp;Upload!R420&amp;Upload!S420&amp;Upload!T420))))),"",E430*0.000035)</f>
        <v/>
      </c>
      <c r="R430" s="15" t="str">
        <f>IF(OR(F430="",NOT(OR(ISNUMBER(SEARCH("Epóxico BT",Upload!Q420&amp;Upload!R420&amp;Upload!S420&amp;Upload!T420&amp;Upload!U420))))),"",F430*0.000035)</f>
        <v/>
      </c>
      <c r="S430" s="15" t="str">
        <f>IF(OR(G430="",NOT(OR(ISNUMBER(SEARCH("Epóxico Rojo",Upload!R420&amp;Upload!S420&amp;Upload!T420&amp;Upload!U420&amp;Upload!V420))))),"",G430*0.000035)</f>
        <v/>
      </c>
    </row>
    <row r="431" spans="1:19" x14ac:dyDescent="0.2">
      <c r="A431" s="9" t="e">
        <f t="shared" ca="1" si="41"/>
        <v>#NAME?</v>
      </c>
      <c r="B431" s="9">
        <f>Upload!E421</f>
        <v>0</v>
      </c>
      <c r="C431" s="9">
        <f>Upload!AE421</f>
        <v>0</v>
      </c>
      <c r="D431" s="9">
        <f>Upload!AF421</f>
        <v>0</v>
      </c>
      <c r="E431" s="9">
        <f>Upload!AG421</f>
        <v>0</v>
      </c>
      <c r="F431" s="9" t="str">
        <f>Upload!X421</f>
        <v/>
      </c>
      <c r="G431" s="9" t="str">
        <f>Upload!Z421</f>
        <v/>
      </c>
      <c r="H431" s="9" t="str">
        <f>Upload!W421</f>
        <v>(seleccione)</v>
      </c>
      <c r="I431" s="9" t="str">
        <f>Upload!Y421</f>
        <v>(seleccione)</v>
      </c>
      <c r="K431" s="15" t="str">
        <f t="shared" si="36"/>
        <v/>
      </c>
      <c r="L431" s="15" t="str">
        <f t="shared" si="37"/>
        <v/>
      </c>
      <c r="M431" s="15" t="str">
        <f t="shared" si="38"/>
        <v/>
      </c>
      <c r="N431" s="15" t="str">
        <f t="shared" si="39"/>
        <v/>
      </c>
      <c r="O431" s="15" t="str">
        <f t="shared" si="40"/>
        <v/>
      </c>
      <c r="P431" s="15" t="str">
        <f>IF(OR(C431="",NOT(OR(ISNUMBER(SEARCH("Antitarnish",Upload!P421&amp;Upload!Q421&amp;Upload!R421&amp;Upload!S421&amp;Upload!T421)),ISNUMBER(SEARCH("Anti Tarnish",Upload!P421&amp;Upload!Q421&amp;Upload!R421&amp;Upload!S421&amp;Upload!T421))))),"",0.0012*C431)</f>
        <v/>
      </c>
      <c r="Q431" s="15" t="str">
        <f>IF(OR(E431="",NOT(OR(ISNUMBER(SEARCH("Epóxico MT",Upload!P421&amp;Upload!Q421&amp;Upload!R421&amp;Upload!S421&amp;Upload!T421))))),"",E431*0.000035)</f>
        <v/>
      </c>
      <c r="R431" s="15" t="str">
        <f>IF(OR(F431="",NOT(OR(ISNUMBER(SEARCH("Epóxico BT",Upload!Q421&amp;Upload!R421&amp;Upload!S421&amp;Upload!T421&amp;Upload!U421))))),"",F431*0.000035)</f>
        <v/>
      </c>
      <c r="S431" s="15" t="str">
        <f>IF(OR(G431="",NOT(OR(ISNUMBER(SEARCH("Epóxico Rojo",Upload!R421&amp;Upload!S421&amp;Upload!T421&amp;Upload!U421&amp;Upload!V421))))),"",G431*0.000035)</f>
        <v/>
      </c>
    </row>
    <row r="432" spans="1:19" x14ac:dyDescent="0.2">
      <c r="A432" s="9" t="e">
        <f t="shared" ca="1" si="41"/>
        <v>#NAME?</v>
      </c>
      <c r="B432" s="9">
        <f>Upload!E422</f>
        <v>0</v>
      </c>
      <c r="C432" s="9">
        <f>Upload!AE422</f>
        <v>0</v>
      </c>
      <c r="D432" s="9">
        <f>Upload!AF422</f>
        <v>0</v>
      </c>
      <c r="E432" s="9">
        <f>Upload!AG422</f>
        <v>0</v>
      </c>
      <c r="F432" s="9" t="str">
        <f>Upload!X422</f>
        <v/>
      </c>
      <c r="G432" s="9" t="str">
        <f>Upload!Z422</f>
        <v/>
      </c>
      <c r="H432" s="9" t="str">
        <f>Upload!W422</f>
        <v>(seleccione)</v>
      </c>
      <c r="I432" s="9" t="str">
        <f>Upload!Y422</f>
        <v>(seleccione)</v>
      </c>
      <c r="K432" s="15" t="str">
        <f t="shared" ref="K432:K495" si="42">IFERROR(IF(OR(D432="",IF(ISNUMBER(SEARCH("Plata",H432)),F432,IF(ISNUMBER(SEARCH("Plata",I432)),G432,""))=""),"",$D$6*D432*(IF(ISNUMBER(SEARCH("Plata",H432)),F432,IF(ISNUMBER(SEARCH("Plata",I432)),G432,"")))/10000000),"")</f>
        <v/>
      </c>
      <c r="L432" s="15" t="str">
        <f t="shared" ref="L432:L495" si="43">IFERROR(IF(OR(D432="",IF(OR(ISNUMBER(SEARCH("Estaño",H432)),ISNUMBER(SEARCH("Estañ",H432)),ISNUMBER(SEARCH("Tin",H432))),F432,IF(OR(ISNUMBER(SEARCH("Estaño",I432)),ISNUMBER(SEARCH("Estañ",I432)),ISNUMBER(SEARCH("Tin",I432))),G432,""))=""),"",$D$7*D432*(IF(OR(ISNUMBER(SEARCH("Estaño",H432)),ISNUMBER(SEARCH("Estañ",H432)),ISNUMBER(SEARCH("Tin",H432))),F432,IF(OR(ISNUMBER(SEARCH("Estaño",I432)),ISNUMBER(SEARCH("Estañ",I432)),ISNUMBER(SEARCH("Tin",I432))),G432,"")))/10000000),"")</f>
        <v/>
      </c>
      <c r="M432" s="15" t="str">
        <f t="shared" ref="M432:M495" si="44">IFERROR(IF(OR(D432="",IF(OR(ISNUMBER(SEARCH("Níquel",H432)),ISNUMBER(SEARCH("Niquel",H432))),F432,IF(OR(ISNUMBER(SEARCH("Níquel",I432)),ISNUMBER(SEARCH("Niquel",I432))),G432,""))=""),"",$D$8*D432*(IF(OR(ISNUMBER(SEARCH("Níquel",H432)),ISNUMBER(SEARCH("Niquel",H432))),F432,IF(OR(ISNUMBER(SEARCH("Níquel",I432)),ISNUMBER(SEARCH("Niquel",I432))),G432,"")))/10000000),"")</f>
        <v/>
      </c>
      <c r="N432" s="15" t="str">
        <f t="shared" ref="N432:N495" si="45">IFERROR(IF(OR(D432="",IF(ISNUMBER(SEARCH("Zinc",H432)),F432,IF(ISNUMBER(SEARCH("Zinc",I432)),G432,""))=""),"",$D$9*D432*(IF(ISNUMBER(SEARCH("Zinc",H432)),F432,IF(ISNUMBER(SEARCH("Zinc",I432)),G432,"")))/10000000),"")</f>
        <v/>
      </c>
      <c r="O432" s="15" t="str">
        <f t="shared" ref="O432:O495" si="46">IFERROR(IF(OR(D432="",IF(OR(ISNUMBER(SEARCH("Cobre",H432)),ISNUMBER(SEARCH("Bondal",H432))),F432,IF(OR(ISNUMBER(SEARCH("Cobre",I432)),ISNUMBER(SEARCH("Bondal",I432))),G432,""))=""),"",$D$10*D432*(IF(OR(ISNUMBER(SEARCH("Cobre",H432)),ISNUMBER(SEARCH("Bondal",H432))),F432,IF(OR(ISNUMBER(SEARCH("Cobre",I432)),ISNUMBER(SEARCH("Bondal",I432))),G432,"")))/10000000),"")</f>
        <v/>
      </c>
      <c r="P432" s="15" t="str">
        <f>IF(OR(C432="",NOT(OR(ISNUMBER(SEARCH("Antitarnish",Upload!P422&amp;Upload!Q422&amp;Upload!R422&amp;Upload!S422&amp;Upload!T422)),ISNUMBER(SEARCH("Anti Tarnish",Upload!P422&amp;Upload!Q422&amp;Upload!R422&amp;Upload!S422&amp;Upload!T422))))),"",0.0012*C432)</f>
        <v/>
      </c>
      <c r="Q432" s="15" t="str">
        <f>IF(OR(E432="",NOT(OR(ISNUMBER(SEARCH("Epóxico MT",Upload!P422&amp;Upload!Q422&amp;Upload!R422&amp;Upload!S422&amp;Upload!T422))))),"",E432*0.000035)</f>
        <v/>
      </c>
      <c r="R432" s="15" t="str">
        <f>IF(OR(F432="",NOT(OR(ISNUMBER(SEARCH("Epóxico BT",Upload!Q422&amp;Upload!R422&amp;Upload!S422&amp;Upload!T422&amp;Upload!U422))))),"",F432*0.000035)</f>
        <v/>
      </c>
      <c r="S432" s="15" t="str">
        <f>IF(OR(G432="",NOT(OR(ISNUMBER(SEARCH("Epóxico Rojo",Upload!R422&amp;Upload!S422&amp;Upload!T422&amp;Upload!U422&amp;Upload!V422))))),"",G432*0.000035)</f>
        <v/>
      </c>
    </row>
    <row r="433" spans="1:19" x14ac:dyDescent="0.2">
      <c r="A433" s="9" t="e">
        <f t="shared" ca="1" si="41"/>
        <v>#NAME?</v>
      </c>
      <c r="B433" s="9">
        <f>Upload!E423</f>
        <v>0</v>
      </c>
      <c r="C433" s="9">
        <f>Upload!AE423</f>
        <v>0</v>
      </c>
      <c r="D433" s="9">
        <f>Upload!AF423</f>
        <v>0</v>
      </c>
      <c r="E433" s="9">
        <f>Upload!AG423</f>
        <v>0</v>
      </c>
      <c r="F433" s="9" t="str">
        <f>Upload!X423</f>
        <v/>
      </c>
      <c r="G433" s="9" t="str">
        <f>Upload!Z423</f>
        <v/>
      </c>
      <c r="H433" s="9" t="str">
        <f>Upload!W423</f>
        <v>(seleccione)</v>
      </c>
      <c r="I433" s="9" t="str">
        <f>Upload!Y423</f>
        <v>(seleccione)</v>
      </c>
      <c r="K433" s="15" t="str">
        <f t="shared" si="42"/>
        <v/>
      </c>
      <c r="L433" s="15" t="str">
        <f t="shared" si="43"/>
        <v/>
      </c>
      <c r="M433" s="15" t="str">
        <f t="shared" si="44"/>
        <v/>
      </c>
      <c r="N433" s="15" t="str">
        <f t="shared" si="45"/>
        <v/>
      </c>
      <c r="O433" s="15" t="str">
        <f t="shared" si="46"/>
        <v/>
      </c>
      <c r="P433" s="15" t="str">
        <f>IF(OR(C433="",NOT(OR(ISNUMBER(SEARCH("Antitarnish",Upload!P423&amp;Upload!Q423&amp;Upload!R423&amp;Upload!S423&amp;Upload!T423)),ISNUMBER(SEARCH("Anti Tarnish",Upload!P423&amp;Upload!Q423&amp;Upload!R423&amp;Upload!S423&amp;Upload!T423))))),"",0.0012*C433)</f>
        <v/>
      </c>
      <c r="Q433" s="15" t="str">
        <f>IF(OR(E433="",NOT(OR(ISNUMBER(SEARCH("Epóxico MT",Upload!P423&amp;Upload!Q423&amp;Upload!R423&amp;Upload!S423&amp;Upload!T423))))),"",E433*0.000035)</f>
        <v/>
      </c>
      <c r="R433" s="15" t="str">
        <f>IF(OR(F433="",NOT(OR(ISNUMBER(SEARCH("Epóxico BT",Upload!Q423&amp;Upload!R423&amp;Upload!S423&amp;Upload!T423&amp;Upload!U423))))),"",F433*0.000035)</f>
        <v/>
      </c>
      <c r="S433" s="15" t="str">
        <f>IF(OR(G433="",NOT(OR(ISNUMBER(SEARCH("Epóxico Rojo",Upload!R423&amp;Upload!S423&amp;Upload!T423&amp;Upload!U423&amp;Upload!V423))))),"",G433*0.000035)</f>
        <v/>
      </c>
    </row>
    <row r="434" spans="1:19" x14ac:dyDescent="0.2">
      <c r="A434" s="9" t="e">
        <f t="shared" ca="1" si="41"/>
        <v>#NAME?</v>
      </c>
      <c r="B434" s="9">
        <f>Upload!E424</f>
        <v>0</v>
      </c>
      <c r="C434" s="9">
        <f>Upload!AE424</f>
        <v>0</v>
      </c>
      <c r="D434" s="9">
        <f>Upload!AF424</f>
        <v>0</v>
      </c>
      <c r="E434" s="9">
        <f>Upload!AG424</f>
        <v>0</v>
      </c>
      <c r="F434" s="9" t="str">
        <f>Upload!X424</f>
        <v/>
      </c>
      <c r="G434" s="9" t="str">
        <f>Upload!Z424</f>
        <v/>
      </c>
      <c r="H434" s="9" t="str">
        <f>Upload!W424</f>
        <v>(seleccione)</v>
      </c>
      <c r="I434" s="9" t="str">
        <f>Upload!Y424</f>
        <v>(seleccione)</v>
      </c>
      <c r="K434" s="15" t="str">
        <f t="shared" si="42"/>
        <v/>
      </c>
      <c r="L434" s="15" t="str">
        <f t="shared" si="43"/>
        <v/>
      </c>
      <c r="M434" s="15" t="str">
        <f t="shared" si="44"/>
        <v/>
      </c>
      <c r="N434" s="15" t="str">
        <f t="shared" si="45"/>
        <v/>
      </c>
      <c r="O434" s="15" t="str">
        <f t="shared" si="46"/>
        <v/>
      </c>
      <c r="P434" s="15" t="str">
        <f>IF(OR(C434="",NOT(OR(ISNUMBER(SEARCH("Antitarnish",Upload!P424&amp;Upload!Q424&amp;Upload!R424&amp;Upload!S424&amp;Upload!T424)),ISNUMBER(SEARCH("Anti Tarnish",Upload!P424&amp;Upload!Q424&amp;Upload!R424&amp;Upload!S424&amp;Upload!T424))))),"",0.0012*C434)</f>
        <v/>
      </c>
      <c r="Q434" s="15" t="str">
        <f>IF(OR(E434="",NOT(OR(ISNUMBER(SEARCH("Epóxico MT",Upload!P424&amp;Upload!Q424&amp;Upload!R424&amp;Upload!S424&amp;Upload!T424))))),"",E434*0.000035)</f>
        <v/>
      </c>
      <c r="R434" s="15" t="str">
        <f>IF(OR(F434="",NOT(OR(ISNUMBER(SEARCH("Epóxico BT",Upload!Q424&amp;Upload!R424&amp;Upload!S424&amp;Upload!T424&amp;Upload!U424))))),"",F434*0.000035)</f>
        <v/>
      </c>
      <c r="S434" s="15" t="str">
        <f>IF(OR(G434="",NOT(OR(ISNUMBER(SEARCH("Epóxico Rojo",Upload!R424&amp;Upload!S424&amp;Upload!T424&amp;Upload!U424&amp;Upload!V424))))),"",G434*0.000035)</f>
        <v/>
      </c>
    </row>
    <row r="435" spans="1:19" x14ac:dyDescent="0.2">
      <c r="A435" s="9" t="e">
        <f t="shared" ca="1" si="41"/>
        <v>#NAME?</v>
      </c>
      <c r="B435" s="9">
        <f>Upload!E425</f>
        <v>0</v>
      </c>
      <c r="C435" s="9">
        <f>Upload!AE425</f>
        <v>0</v>
      </c>
      <c r="D435" s="9">
        <f>Upload!AF425</f>
        <v>0</v>
      </c>
      <c r="E435" s="9">
        <f>Upload!AG425</f>
        <v>0</v>
      </c>
      <c r="F435" s="9" t="str">
        <f>Upload!X425</f>
        <v/>
      </c>
      <c r="G435" s="9" t="str">
        <f>Upload!Z425</f>
        <v/>
      </c>
      <c r="H435" s="9" t="str">
        <f>Upload!W425</f>
        <v>(seleccione)</v>
      </c>
      <c r="I435" s="9" t="str">
        <f>Upload!Y425</f>
        <v>(seleccione)</v>
      </c>
      <c r="K435" s="15" t="str">
        <f t="shared" si="42"/>
        <v/>
      </c>
      <c r="L435" s="15" t="str">
        <f t="shared" si="43"/>
        <v/>
      </c>
      <c r="M435" s="15" t="str">
        <f t="shared" si="44"/>
        <v/>
      </c>
      <c r="N435" s="15" t="str">
        <f t="shared" si="45"/>
        <v/>
      </c>
      <c r="O435" s="15" t="str">
        <f t="shared" si="46"/>
        <v/>
      </c>
      <c r="P435" s="15" t="str">
        <f>IF(OR(C435="",NOT(OR(ISNUMBER(SEARCH("Antitarnish",Upload!P425&amp;Upload!Q425&amp;Upload!R425&amp;Upload!S425&amp;Upload!T425)),ISNUMBER(SEARCH("Anti Tarnish",Upload!P425&amp;Upload!Q425&amp;Upload!R425&amp;Upload!S425&amp;Upload!T425))))),"",0.0012*C435)</f>
        <v/>
      </c>
      <c r="Q435" s="15" t="str">
        <f>IF(OR(E435="",NOT(OR(ISNUMBER(SEARCH("Epóxico MT",Upload!P425&amp;Upload!Q425&amp;Upload!R425&amp;Upload!S425&amp;Upload!T425))))),"",E435*0.000035)</f>
        <v/>
      </c>
      <c r="R435" s="15" t="str">
        <f>IF(OR(F435="",NOT(OR(ISNUMBER(SEARCH("Epóxico BT",Upload!Q425&amp;Upload!R425&amp;Upload!S425&amp;Upload!T425&amp;Upload!U425))))),"",F435*0.000035)</f>
        <v/>
      </c>
      <c r="S435" s="15" t="str">
        <f>IF(OR(G435="",NOT(OR(ISNUMBER(SEARCH("Epóxico Rojo",Upload!R425&amp;Upload!S425&amp;Upload!T425&amp;Upload!U425&amp;Upload!V425))))),"",G435*0.000035)</f>
        <v/>
      </c>
    </row>
    <row r="436" spans="1:19" x14ac:dyDescent="0.2">
      <c r="A436" s="9" t="e">
        <f t="shared" ca="1" si="41"/>
        <v>#NAME?</v>
      </c>
      <c r="B436" s="9">
        <f>Upload!E426</f>
        <v>0</v>
      </c>
      <c r="C436" s="9">
        <f>Upload!AE426</f>
        <v>0</v>
      </c>
      <c r="D436" s="9">
        <f>Upload!AF426</f>
        <v>0</v>
      </c>
      <c r="E436" s="9">
        <f>Upload!AG426</f>
        <v>0</v>
      </c>
      <c r="F436" s="9" t="str">
        <f>Upload!X426</f>
        <v/>
      </c>
      <c r="G436" s="9" t="str">
        <f>Upload!Z426</f>
        <v/>
      </c>
      <c r="H436" s="9" t="str">
        <f>Upload!W426</f>
        <v>(seleccione)</v>
      </c>
      <c r="I436" s="9" t="str">
        <f>Upload!Y426</f>
        <v>(seleccione)</v>
      </c>
      <c r="K436" s="15" t="str">
        <f t="shared" si="42"/>
        <v/>
      </c>
      <c r="L436" s="15" t="str">
        <f t="shared" si="43"/>
        <v/>
      </c>
      <c r="M436" s="15" t="str">
        <f t="shared" si="44"/>
        <v/>
      </c>
      <c r="N436" s="15" t="str">
        <f t="shared" si="45"/>
        <v/>
      </c>
      <c r="O436" s="15" t="str">
        <f t="shared" si="46"/>
        <v/>
      </c>
      <c r="P436" s="15" t="str">
        <f>IF(OR(C436="",NOT(OR(ISNUMBER(SEARCH("Antitarnish",Upload!P426&amp;Upload!Q426&amp;Upload!R426&amp;Upload!S426&amp;Upload!T426)),ISNUMBER(SEARCH("Anti Tarnish",Upload!P426&amp;Upload!Q426&amp;Upload!R426&amp;Upload!S426&amp;Upload!T426))))),"",0.0012*C436)</f>
        <v/>
      </c>
      <c r="Q436" s="15" t="str">
        <f>IF(OR(E436="",NOT(OR(ISNUMBER(SEARCH("Epóxico MT",Upload!P426&amp;Upload!Q426&amp;Upload!R426&amp;Upload!S426&amp;Upload!T426))))),"",E436*0.000035)</f>
        <v/>
      </c>
      <c r="R436" s="15" t="str">
        <f>IF(OR(F436="",NOT(OR(ISNUMBER(SEARCH("Epóxico BT",Upload!Q426&amp;Upload!R426&amp;Upload!S426&amp;Upload!T426&amp;Upload!U426))))),"",F436*0.000035)</f>
        <v/>
      </c>
      <c r="S436" s="15" t="str">
        <f>IF(OR(G436="",NOT(OR(ISNUMBER(SEARCH("Epóxico Rojo",Upload!R426&amp;Upload!S426&amp;Upload!T426&amp;Upload!U426&amp;Upload!V426))))),"",G436*0.000035)</f>
        <v/>
      </c>
    </row>
    <row r="437" spans="1:19" x14ac:dyDescent="0.2">
      <c r="A437" s="9" t="e">
        <f t="shared" ca="1" si="41"/>
        <v>#NAME?</v>
      </c>
      <c r="B437" s="9">
        <f>Upload!E427</f>
        <v>0</v>
      </c>
      <c r="C437" s="9">
        <f>Upload!AE427</f>
        <v>0</v>
      </c>
      <c r="D437" s="9">
        <f>Upload!AF427</f>
        <v>0</v>
      </c>
      <c r="E437" s="9">
        <f>Upload!AG427</f>
        <v>0</v>
      </c>
      <c r="F437" s="9" t="str">
        <f>Upload!X427</f>
        <v/>
      </c>
      <c r="G437" s="9" t="str">
        <f>Upload!Z427</f>
        <v/>
      </c>
      <c r="H437" s="9" t="str">
        <f>Upload!W427</f>
        <v>(seleccione)</v>
      </c>
      <c r="I437" s="9" t="str">
        <f>Upload!Y427</f>
        <v>(seleccione)</v>
      </c>
      <c r="K437" s="15" t="str">
        <f t="shared" si="42"/>
        <v/>
      </c>
      <c r="L437" s="15" t="str">
        <f t="shared" si="43"/>
        <v/>
      </c>
      <c r="M437" s="15" t="str">
        <f t="shared" si="44"/>
        <v/>
      </c>
      <c r="N437" s="15" t="str">
        <f t="shared" si="45"/>
        <v/>
      </c>
      <c r="O437" s="15" t="str">
        <f t="shared" si="46"/>
        <v/>
      </c>
      <c r="P437" s="15" t="str">
        <f>IF(OR(C437="",NOT(OR(ISNUMBER(SEARCH("Antitarnish",Upload!P427&amp;Upload!Q427&amp;Upload!R427&amp;Upload!S427&amp;Upload!T427)),ISNUMBER(SEARCH("Anti Tarnish",Upload!P427&amp;Upload!Q427&amp;Upload!R427&amp;Upload!S427&amp;Upload!T427))))),"",0.0012*C437)</f>
        <v/>
      </c>
      <c r="Q437" s="15" t="str">
        <f>IF(OR(E437="",NOT(OR(ISNUMBER(SEARCH("Epóxico MT",Upload!P427&amp;Upload!Q427&amp;Upload!R427&amp;Upload!S427&amp;Upload!T427))))),"",E437*0.000035)</f>
        <v/>
      </c>
      <c r="R437" s="15" t="str">
        <f>IF(OR(F437="",NOT(OR(ISNUMBER(SEARCH("Epóxico BT",Upload!Q427&amp;Upload!R427&amp;Upload!S427&amp;Upload!T427&amp;Upload!U427))))),"",F437*0.000035)</f>
        <v/>
      </c>
      <c r="S437" s="15" t="str">
        <f>IF(OR(G437="",NOT(OR(ISNUMBER(SEARCH("Epóxico Rojo",Upload!R427&amp;Upload!S427&amp;Upload!T427&amp;Upload!U427&amp;Upload!V427))))),"",G437*0.000035)</f>
        <v/>
      </c>
    </row>
    <row r="438" spans="1:19" x14ac:dyDescent="0.2">
      <c r="A438" s="9" t="e">
        <f t="shared" ca="1" si="41"/>
        <v>#NAME?</v>
      </c>
      <c r="B438" s="9">
        <f>Upload!E428</f>
        <v>0</v>
      </c>
      <c r="C438" s="9">
        <f>Upload!AE428</f>
        <v>0</v>
      </c>
      <c r="D438" s="9">
        <f>Upload!AF428</f>
        <v>0</v>
      </c>
      <c r="E438" s="9">
        <f>Upload!AG428</f>
        <v>0</v>
      </c>
      <c r="F438" s="9" t="str">
        <f>Upload!X428</f>
        <v/>
      </c>
      <c r="G438" s="9" t="str">
        <f>Upload!Z428</f>
        <v/>
      </c>
      <c r="H438" s="9" t="str">
        <f>Upload!W428</f>
        <v>(seleccione)</v>
      </c>
      <c r="I438" s="9" t="str">
        <f>Upload!Y428</f>
        <v>(seleccione)</v>
      </c>
      <c r="K438" s="15" t="str">
        <f t="shared" si="42"/>
        <v/>
      </c>
      <c r="L438" s="15" t="str">
        <f t="shared" si="43"/>
        <v/>
      </c>
      <c r="M438" s="15" t="str">
        <f t="shared" si="44"/>
        <v/>
      </c>
      <c r="N438" s="15" t="str">
        <f t="shared" si="45"/>
        <v/>
      </c>
      <c r="O438" s="15" t="str">
        <f t="shared" si="46"/>
        <v/>
      </c>
      <c r="P438" s="15" t="str">
        <f>IF(OR(C438="",NOT(OR(ISNUMBER(SEARCH("Antitarnish",Upload!P428&amp;Upload!Q428&amp;Upload!R428&amp;Upload!S428&amp;Upload!T428)),ISNUMBER(SEARCH("Anti Tarnish",Upload!P428&amp;Upload!Q428&amp;Upload!R428&amp;Upload!S428&amp;Upload!T428))))),"",0.0012*C438)</f>
        <v/>
      </c>
      <c r="Q438" s="15" t="str">
        <f>IF(OR(E438="",NOT(OR(ISNUMBER(SEARCH("Epóxico MT",Upload!P428&amp;Upload!Q428&amp;Upload!R428&amp;Upload!S428&amp;Upload!T428))))),"",E438*0.000035)</f>
        <v/>
      </c>
      <c r="R438" s="15" t="str">
        <f>IF(OR(F438="",NOT(OR(ISNUMBER(SEARCH("Epóxico BT",Upload!Q428&amp;Upload!R428&amp;Upload!S428&amp;Upload!T428&amp;Upload!U428))))),"",F438*0.000035)</f>
        <v/>
      </c>
      <c r="S438" s="15" t="str">
        <f>IF(OR(G438="",NOT(OR(ISNUMBER(SEARCH("Epóxico Rojo",Upload!R428&amp;Upload!S428&amp;Upload!T428&amp;Upload!U428&amp;Upload!V428))))),"",G438*0.000035)</f>
        <v/>
      </c>
    </row>
    <row r="439" spans="1:19" x14ac:dyDescent="0.2">
      <c r="A439" s="9" t="e">
        <f t="shared" ca="1" si="41"/>
        <v>#NAME?</v>
      </c>
      <c r="B439" s="9">
        <f>Upload!E429</f>
        <v>0</v>
      </c>
      <c r="C439" s="9">
        <f>Upload!AE429</f>
        <v>0</v>
      </c>
      <c r="D439" s="9">
        <f>Upload!AF429</f>
        <v>0</v>
      </c>
      <c r="E439" s="9">
        <f>Upload!AG429</f>
        <v>0</v>
      </c>
      <c r="F439" s="9" t="str">
        <f>Upload!X429</f>
        <v/>
      </c>
      <c r="G439" s="9" t="str">
        <f>Upload!Z429</f>
        <v/>
      </c>
      <c r="H439" s="9" t="str">
        <f>Upload!W429</f>
        <v>(seleccione)</v>
      </c>
      <c r="I439" s="9" t="str">
        <f>Upload!Y429</f>
        <v>(seleccione)</v>
      </c>
      <c r="K439" s="15" t="str">
        <f t="shared" si="42"/>
        <v/>
      </c>
      <c r="L439" s="15" t="str">
        <f t="shared" si="43"/>
        <v/>
      </c>
      <c r="M439" s="15" t="str">
        <f t="shared" si="44"/>
        <v/>
      </c>
      <c r="N439" s="15" t="str">
        <f t="shared" si="45"/>
        <v/>
      </c>
      <c r="O439" s="15" t="str">
        <f t="shared" si="46"/>
        <v/>
      </c>
      <c r="P439" s="15" t="str">
        <f>IF(OR(C439="",NOT(OR(ISNUMBER(SEARCH("Antitarnish",Upload!P429&amp;Upload!Q429&amp;Upload!R429&amp;Upload!S429&amp;Upload!T429)),ISNUMBER(SEARCH("Anti Tarnish",Upload!P429&amp;Upload!Q429&amp;Upload!R429&amp;Upload!S429&amp;Upload!T429))))),"",0.0012*C439)</f>
        <v/>
      </c>
      <c r="Q439" s="15" t="str">
        <f>IF(OR(E439="",NOT(OR(ISNUMBER(SEARCH("Epóxico MT",Upload!P429&amp;Upload!Q429&amp;Upload!R429&amp;Upload!S429&amp;Upload!T429))))),"",E439*0.000035)</f>
        <v/>
      </c>
      <c r="R439" s="15" t="str">
        <f>IF(OR(F439="",NOT(OR(ISNUMBER(SEARCH("Epóxico BT",Upload!Q429&amp;Upload!R429&amp;Upload!S429&amp;Upload!T429&amp;Upload!U429))))),"",F439*0.000035)</f>
        <v/>
      </c>
      <c r="S439" s="15" t="str">
        <f>IF(OR(G439="",NOT(OR(ISNUMBER(SEARCH("Epóxico Rojo",Upload!R429&amp;Upload!S429&amp;Upload!T429&amp;Upload!U429&amp;Upload!V429))))),"",G439*0.000035)</f>
        <v/>
      </c>
    </row>
    <row r="440" spans="1:19" x14ac:dyDescent="0.2">
      <c r="A440" s="9" t="e">
        <f t="shared" ca="1" si="41"/>
        <v>#NAME?</v>
      </c>
      <c r="B440" s="9">
        <f>Upload!E430</f>
        <v>0</v>
      </c>
      <c r="C440" s="9">
        <f>Upload!AE430</f>
        <v>0</v>
      </c>
      <c r="D440" s="9">
        <f>Upload!AF430</f>
        <v>0</v>
      </c>
      <c r="E440" s="9">
        <f>Upload!AG430</f>
        <v>0</v>
      </c>
      <c r="F440" s="9" t="str">
        <f>Upload!X430</f>
        <v/>
      </c>
      <c r="G440" s="9" t="str">
        <f>Upload!Z430</f>
        <v/>
      </c>
      <c r="H440" s="9" t="str">
        <f>Upload!W430</f>
        <v>(seleccione)</v>
      </c>
      <c r="I440" s="9" t="str">
        <f>Upload!Y430</f>
        <v>(seleccione)</v>
      </c>
      <c r="K440" s="15" t="str">
        <f t="shared" si="42"/>
        <v/>
      </c>
      <c r="L440" s="15" t="str">
        <f t="shared" si="43"/>
        <v/>
      </c>
      <c r="M440" s="15" t="str">
        <f t="shared" si="44"/>
        <v/>
      </c>
      <c r="N440" s="15" t="str">
        <f t="shared" si="45"/>
        <v/>
      </c>
      <c r="O440" s="15" t="str">
        <f t="shared" si="46"/>
        <v/>
      </c>
      <c r="P440" s="15" t="str">
        <f>IF(OR(C440="",NOT(OR(ISNUMBER(SEARCH("Antitarnish",Upload!P430&amp;Upload!Q430&amp;Upload!R430&amp;Upload!S430&amp;Upload!T430)),ISNUMBER(SEARCH("Anti Tarnish",Upload!P430&amp;Upload!Q430&amp;Upload!R430&amp;Upload!S430&amp;Upload!T430))))),"",0.0012*C440)</f>
        <v/>
      </c>
      <c r="Q440" s="15" t="str">
        <f>IF(OR(E440="",NOT(OR(ISNUMBER(SEARCH("Epóxico MT",Upload!P430&amp;Upload!Q430&amp;Upload!R430&amp;Upload!S430&amp;Upload!T430))))),"",E440*0.000035)</f>
        <v/>
      </c>
      <c r="R440" s="15" t="str">
        <f>IF(OR(F440="",NOT(OR(ISNUMBER(SEARCH("Epóxico BT",Upload!Q430&amp;Upload!R430&amp;Upload!S430&amp;Upload!T430&amp;Upload!U430))))),"",F440*0.000035)</f>
        <v/>
      </c>
      <c r="S440" s="15" t="str">
        <f>IF(OR(G440="",NOT(OR(ISNUMBER(SEARCH("Epóxico Rojo",Upload!R430&amp;Upload!S430&amp;Upload!T430&amp;Upload!U430&amp;Upload!V430))))),"",G440*0.000035)</f>
        <v/>
      </c>
    </row>
    <row r="441" spans="1:19" x14ac:dyDescent="0.2">
      <c r="A441" s="9" t="e">
        <f t="shared" ca="1" si="41"/>
        <v>#NAME?</v>
      </c>
      <c r="B441" s="9">
        <f>Upload!E431</f>
        <v>0</v>
      </c>
      <c r="C441" s="9">
        <f>Upload!AE431</f>
        <v>0</v>
      </c>
      <c r="D441" s="9">
        <f>Upload!AF431</f>
        <v>0</v>
      </c>
      <c r="E441" s="9">
        <f>Upload!AG431</f>
        <v>0</v>
      </c>
      <c r="F441" s="9" t="str">
        <f>Upload!X431</f>
        <v/>
      </c>
      <c r="G441" s="9" t="str">
        <f>Upload!Z431</f>
        <v/>
      </c>
      <c r="H441" s="9" t="str">
        <f>Upload!W431</f>
        <v>(seleccione)</v>
      </c>
      <c r="I441" s="9" t="str">
        <f>Upload!Y431</f>
        <v>(seleccione)</v>
      </c>
      <c r="K441" s="15" t="str">
        <f t="shared" si="42"/>
        <v/>
      </c>
      <c r="L441" s="15" t="str">
        <f t="shared" si="43"/>
        <v/>
      </c>
      <c r="M441" s="15" t="str">
        <f t="shared" si="44"/>
        <v/>
      </c>
      <c r="N441" s="15" t="str">
        <f t="shared" si="45"/>
        <v/>
      </c>
      <c r="O441" s="15" t="str">
        <f t="shared" si="46"/>
        <v/>
      </c>
      <c r="P441" s="15" t="str">
        <f>IF(OR(C441="",NOT(OR(ISNUMBER(SEARCH("Antitarnish",Upload!P431&amp;Upload!Q431&amp;Upload!R431&amp;Upload!S431&amp;Upload!T431)),ISNUMBER(SEARCH("Anti Tarnish",Upload!P431&amp;Upload!Q431&amp;Upload!R431&amp;Upload!S431&amp;Upload!T431))))),"",0.0012*C441)</f>
        <v/>
      </c>
      <c r="Q441" s="15" t="str">
        <f>IF(OR(E441="",NOT(OR(ISNUMBER(SEARCH("Epóxico MT",Upload!P431&amp;Upload!Q431&amp;Upload!R431&amp;Upload!S431&amp;Upload!T431))))),"",E441*0.000035)</f>
        <v/>
      </c>
      <c r="R441" s="15" t="str">
        <f>IF(OR(F441="",NOT(OR(ISNUMBER(SEARCH("Epóxico BT",Upload!Q431&amp;Upload!R431&amp;Upload!S431&amp;Upload!T431&amp;Upload!U431))))),"",F441*0.000035)</f>
        <v/>
      </c>
      <c r="S441" s="15" t="str">
        <f>IF(OR(G441="",NOT(OR(ISNUMBER(SEARCH("Epóxico Rojo",Upload!R431&amp;Upload!S431&amp;Upload!T431&amp;Upload!U431&amp;Upload!V431))))),"",G441*0.000035)</f>
        <v/>
      </c>
    </row>
    <row r="442" spans="1:19" x14ac:dyDescent="0.2">
      <c r="A442" s="9" t="e">
        <f t="shared" ca="1" si="41"/>
        <v>#NAME?</v>
      </c>
      <c r="B442" s="9">
        <f>Upload!E432</f>
        <v>0</v>
      </c>
      <c r="C442" s="9">
        <f>Upload!AE432</f>
        <v>0</v>
      </c>
      <c r="D442" s="9">
        <f>Upload!AF432</f>
        <v>0</v>
      </c>
      <c r="E442" s="9">
        <f>Upload!AG432</f>
        <v>0</v>
      </c>
      <c r="F442" s="9" t="str">
        <f>Upload!X432</f>
        <v/>
      </c>
      <c r="G442" s="9" t="str">
        <f>Upload!Z432</f>
        <v/>
      </c>
      <c r="H442" s="9" t="str">
        <f>Upload!W432</f>
        <v>(seleccione)</v>
      </c>
      <c r="I442" s="9" t="str">
        <f>Upload!Y432</f>
        <v>(seleccione)</v>
      </c>
      <c r="K442" s="15" t="str">
        <f t="shared" si="42"/>
        <v/>
      </c>
      <c r="L442" s="15" t="str">
        <f t="shared" si="43"/>
        <v/>
      </c>
      <c r="M442" s="15" t="str">
        <f t="shared" si="44"/>
        <v/>
      </c>
      <c r="N442" s="15" t="str">
        <f t="shared" si="45"/>
        <v/>
      </c>
      <c r="O442" s="15" t="str">
        <f t="shared" si="46"/>
        <v/>
      </c>
      <c r="P442" s="15" t="str">
        <f>IF(OR(C442="",NOT(OR(ISNUMBER(SEARCH("Antitarnish",Upload!P432&amp;Upload!Q432&amp;Upload!R432&amp;Upload!S432&amp;Upload!T432)),ISNUMBER(SEARCH("Anti Tarnish",Upload!P432&amp;Upload!Q432&amp;Upload!R432&amp;Upload!S432&amp;Upload!T432))))),"",0.0012*C442)</f>
        <v/>
      </c>
      <c r="Q442" s="15" t="str">
        <f>IF(OR(E442="",NOT(OR(ISNUMBER(SEARCH("Epóxico MT",Upload!P432&amp;Upload!Q432&amp;Upload!R432&amp;Upload!S432&amp;Upload!T432))))),"",E442*0.000035)</f>
        <v/>
      </c>
      <c r="R442" s="15" t="str">
        <f>IF(OR(F442="",NOT(OR(ISNUMBER(SEARCH("Epóxico BT",Upload!Q432&amp;Upload!R432&amp;Upload!S432&amp;Upload!T432&amp;Upload!U432))))),"",F442*0.000035)</f>
        <v/>
      </c>
      <c r="S442" s="15" t="str">
        <f>IF(OR(G442="",NOT(OR(ISNUMBER(SEARCH("Epóxico Rojo",Upload!R432&amp;Upload!S432&amp;Upload!T432&amp;Upload!U432&amp;Upload!V432))))),"",G442*0.000035)</f>
        <v/>
      </c>
    </row>
    <row r="443" spans="1:19" x14ac:dyDescent="0.2">
      <c r="A443" s="9" t="e">
        <f t="shared" ca="1" si="41"/>
        <v>#NAME?</v>
      </c>
      <c r="B443" s="9">
        <f>Upload!E433</f>
        <v>0</v>
      </c>
      <c r="C443" s="9">
        <f>Upload!AE433</f>
        <v>0</v>
      </c>
      <c r="D443" s="9">
        <f>Upload!AF433</f>
        <v>0</v>
      </c>
      <c r="E443" s="9">
        <f>Upload!AG433</f>
        <v>0</v>
      </c>
      <c r="F443" s="9" t="str">
        <f>Upload!X433</f>
        <v/>
      </c>
      <c r="G443" s="9" t="str">
        <f>Upload!Z433</f>
        <v/>
      </c>
      <c r="H443" s="9" t="str">
        <f>Upload!W433</f>
        <v>(seleccione)</v>
      </c>
      <c r="I443" s="9" t="str">
        <f>Upload!Y433</f>
        <v>(seleccione)</v>
      </c>
      <c r="K443" s="15" t="str">
        <f t="shared" si="42"/>
        <v/>
      </c>
      <c r="L443" s="15" t="str">
        <f t="shared" si="43"/>
        <v/>
      </c>
      <c r="M443" s="15" t="str">
        <f t="shared" si="44"/>
        <v/>
      </c>
      <c r="N443" s="15" t="str">
        <f t="shared" si="45"/>
        <v/>
      </c>
      <c r="O443" s="15" t="str">
        <f t="shared" si="46"/>
        <v/>
      </c>
      <c r="P443" s="15" t="str">
        <f>IF(OR(C443="",NOT(OR(ISNUMBER(SEARCH("Antitarnish",Upload!P433&amp;Upload!Q433&amp;Upload!R433&amp;Upload!S433&amp;Upload!T433)),ISNUMBER(SEARCH("Anti Tarnish",Upload!P433&amp;Upload!Q433&amp;Upload!R433&amp;Upload!S433&amp;Upload!T433))))),"",0.0012*C443)</f>
        <v/>
      </c>
      <c r="Q443" s="15" t="str">
        <f>IF(OR(E443="",NOT(OR(ISNUMBER(SEARCH("Epóxico MT",Upload!P433&amp;Upload!Q433&amp;Upload!R433&amp;Upload!S433&amp;Upload!T433))))),"",E443*0.000035)</f>
        <v/>
      </c>
      <c r="R443" s="15" t="str">
        <f>IF(OR(F443="",NOT(OR(ISNUMBER(SEARCH("Epóxico BT",Upload!Q433&amp;Upload!R433&amp;Upload!S433&amp;Upload!T433&amp;Upload!U433))))),"",F443*0.000035)</f>
        <v/>
      </c>
      <c r="S443" s="15" t="str">
        <f>IF(OR(G443="",NOT(OR(ISNUMBER(SEARCH("Epóxico Rojo",Upload!R433&amp;Upload!S433&amp;Upload!T433&amp;Upload!U433&amp;Upload!V433))))),"",G443*0.000035)</f>
        <v/>
      </c>
    </row>
    <row r="444" spans="1:19" x14ac:dyDescent="0.2">
      <c r="A444" s="9" t="e">
        <f t="shared" ca="1" si="41"/>
        <v>#NAME?</v>
      </c>
      <c r="B444" s="9">
        <f>Upload!E434</f>
        <v>0</v>
      </c>
      <c r="C444" s="9">
        <f>Upload!AE434</f>
        <v>0</v>
      </c>
      <c r="D444" s="9">
        <f>Upload!AF434</f>
        <v>0</v>
      </c>
      <c r="E444" s="9">
        <f>Upload!AG434</f>
        <v>0</v>
      </c>
      <c r="F444" s="9" t="str">
        <f>Upload!X434</f>
        <v/>
      </c>
      <c r="G444" s="9" t="str">
        <f>Upload!Z434</f>
        <v/>
      </c>
      <c r="H444" s="9" t="str">
        <f>Upload!W434</f>
        <v>(seleccione)</v>
      </c>
      <c r="I444" s="9" t="str">
        <f>Upload!Y434</f>
        <v>(seleccione)</v>
      </c>
      <c r="K444" s="15" t="str">
        <f t="shared" si="42"/>
        <v/>
      </c>
      <c r="L444" s="15" t="str">
        <f t="shared" si="43"/>
        <v/>
      </c>
      <c r="M444" s="15" t="str">
        <f t="shared" si="44"/>
        <v/>
      </c>
      <c r="N444" s="15" t="str">
        <f t="shared" si="45"/>
        <v/>
      </c>
      <c r="O444" s="15" t="str">
        <f t="shared" si="46"/>
        <v/>
      </c>
      <c r="P444" s="15" t="str">
        <f>IF(OR(C444="",NOT(OR(ISNUMBER(SEARCH("Antitarnish",Upload!P434&amp;Upload!Q434&amp;Upload!R434&amp;Upload!S434&amp;Upload!T434)),ISNUMBER(SEARCH("Anti Tarnish",Upload!P434&amp;Upload!Q434&amp;Upload!R434&amp;Upload!S434&amp;Upload!T434))))),"",0.0012*C444)</f>
        <v/>
      </c>
      <c r="Q444" s="15" t="str">
        <f>IF(OR(E444="",NOT(OR(ISNUMBER(SEARCH("Epóxico MT",Upload!P434&amp;Upload!Q434&amp;Upload!R434&amp;Upload!S434&amp;Upload!T434))))),"",E444*0.000035)</f>
        <v/>
      </c>
      <c r="R444" s="15" t="str">
        <f>IF(OR(F444="",NOT(OR(ISNUMBER(SEARCH("Epóxico BT",Upload!Q434&amp;Upload!R434&amp;Upload!S434&amp;Upload!T434&amp;Upload!U434))))),"",F444*0.000035)</f>
        <v/>
      </c>
      <c r="S444" s="15" t="str">
        <f>IF(OR(G444="",NOT(OR(ISNUMBER(SEARCH("Epóxico Rojo",Upload!R434&amp;Upload!S434&amp;Upload!T434&amp;Upload!U434&amp;Upload!V434))))),"",G444*0.000035)</f>
        <v/>
      </c>
    </row>
    <row r="445" spans="1:19" x14ac:dyDescent="0.2">
      <c r="A445" s="9" t="e">
        <f t="shared" ca="1" si="41"/>
        <v>#NAME?</v>
      </c>
      <c r="B445" s="9">
        <f>Upload!E435</f>
        <v>0</v>
      </c>
      <c r="C445" s="9">
        <f>Upload!AE435</f>
        <v>0</v>
      </c>
      <c r="D445" s="9">
        <f>Upload!AF435</f>
        <v>0</v>
      </c>
      <c r="E445" s="9">
        <f>Upload!AG435</f>
        <v>0</v>
      </c>
      <c r="F445" s="9" t="str">
        <f>Upload!X435</f>
        <v/>
      </c>
      <c r="G445" s="9" t="str">
        <f>Upload!Z435</f>
        <v/>
      </c>
      <c r="H445" s="9" t="str">
        <f>Upload!W435</f>
        <v>(seleccione)</v>
      </c>
      <c r="I445" s="9" t="str">
        <f>Upload!Y435</f>
        <v>(seleccione)</v>
      </c>
      <c r="K445" s="15" t="str">
        <f t="shared" si="42"/>
        <v/>
      </c>
      <c r="L445" s="15" t="str">
        <f t="shared" si="43"/>
        <v/>
      </c>
      <c r="M445" s="15" t="str">
        <f t="shared" si="44"/>
        <v/>
      </c>
      <c r="N445" s="15" t="str">
        <f t="shared" si="45"/>
        <v/>
      </c>
      <c r="O445" s="15" t="str">
        <f t="shared" si="46"/>
        <v/>
      </c>
      <c r="P445" s="15" t="str">
        <f>IF(OR(C445="",NOT(OR(ISNUMBER(SEARCH("Antitarnish",Upload!P435&amp;Upload!Q435&amp;Upload!R435&amp;Upload!S435&amp;Upload!T435)),ISNUMBER(SEARCH("Anti Tarnish",Upload!P435&amp;Upload!Q435&amp;Upload!R435&amp;Upload!S435&amp;Upload!T435))))),"",0.0012*C445)</f>
        <v/>
      </c>
      <c r="Q445" s="15" t="str">
        <f>IF(OR(E445="",NOT(OR(ISNUMBER(SEARCH("Epóxico MT",Upload!P435&amp;Upload!Q435&amp;Upload!R435&amp;Upload!S435&amp;Upload!T435))))),"",E445*0.000035)</f>
        <v/>
      </c>
      <c r="R445" s="15" t="str">
        <f>IF(OR(F445="",NOT(OR(ISNUMBER(SEARCH("Epóxico BT",Upload!Q435&amp;Upload!R435&amp;Upload!S435&amp;Upload!T435&amp;Upload!U435))))),"",F445*0.000035)</f>
        <v/>
      </c>
      <c r="S445" s="15" t="str">
        <f>IF(OR(G445="",NOT(OR(ISNUMBER(SEARCH("Epóxico Rojo",Upload!R435&amp;Upload!S435&amp;Upload!T435&amp;Upload!U435&amp;Upload!V435))))),"",G445*0.000035)</f>
        <v/>
      </c>
    </row>
    <row r="446" spans="1:19" x14ac:dyDescent="0.2">
      <c r="A446" s="9" t="e">
        <f t="shared" ca="1" si="41"/>
        <v>#NAME?</v>
      </c>
      <c r="B446" s="9">
        <f>Upload!E436</f>
        <v>0</v>
      </c>
      <c r="C446" s="9">
        <f>Upload!AE436</f>
        <v>0</v>
      </c>
      <c r="D446" s="9">
        <f>Upload!AF436</f>
        <v>0</v>
      </c>
      <c r="E446" s="9">
        <f>Upload!AG436</f>
        <v>0</v>
      </c>
      <c r="F446" s="9" t="str">
        <f>Upload!X436</f>
        <v/>
      </c>
      <c r="G446" s="9" t="str">
        <f>Upload!Z436</f>
        <v/>
      </c>
      <c r="H446" s="9" t="str">
        <f>Upload!W436</f>
        <v>(seleccione)</v>
      </c>
      <c r="I446" s="9" t="str">
        <f>Upload!Y436</f>
        <v>(seleccione)</v>
      </c>
      <c r="K446" s="15" t="str">
        <f t="shared" si="42"/>
        <v/>
      </c>
      <c r="L446" s="15" t="str">
        <f t="shared" si="43"/>
        <v/>
      </c>
      <c r="M446" s="15" t="str">
        <f t="shared" si="44"/>
        <v/>
      </c>
      <c r="N446" s="15" t="str">
        <f t="shared" si="45"/>
        <v/>
      </c>
      <c r="O446" s="15" t="str">
        <f t="shared" si="46"/>
        <v/>
      </c>
      <c r="P446" s="15" t="str">
        <f>IF(OR(C446="",NOT(OR(ISNUMBER(SEARCH("Antitarnish",Upload!P436&amp;Upload!Q436&amp;Upload!R436&amp;Upload!S436&amp;Upload!T436)),ISNUMBER(SEARCH("Anti Tarnish",Upload!P436&amp;Upload!Q436&amp;Upload!R436&amp;Upload!S436&amp;Upload!T436))))),"",0.0012*C446)</f>
        <v/>
      </c>
      <c r="Q446" s="15" t="str">
        <f>IF(OR(E446="",NOT(OR(ISNUMBER(SEARCH("Epóxico MT",Upload!P436&amp;Upload!Q436&amp;Upload!R436&amp;Upload!S436&amp;Upload!T436))))),"",E446*0.000035)</f>
        <v/>
      </c>
      <c r="R446" s="15" t="str">
        <f>IF(OR(F446="",NOT(OR(ISNUMBER(SEARCH("Epóxico BT",Upload!Q436&amp;Upload!R436&amp;Upload!S436&amp;Upload!T436&amp;Upload!U436))))),"",F446*0.000035)</f>
        <v/>
      </c>
      <c r="S446" s="15" t="str">
        <f>IF(OR(G446="",NOT(OR(ISNUMBER(SEARCH("Epóxico Rojo",Upload!R436&amp;Upload!S436&amp;Upload!T436&amp;Upload!U436&amp;Upload!V436))))),"",G446*0.000035)</f>
        <v/>
      </c>
    </row>
    <row r="447" spans="1:19" x14ac:dyDescent="0.2">
      <c r="A447" s="9" t="e">
        <f t="shared" ca="1" si="41"/>
        <v>#NAME?</v>
      </c>
      <c r="B447" s="9">
        <f>Upload!E437</f>
        <v>0</v>
      </c>
      <c r="C447" s="9">
        <f>Upload!AE437</f>
        <v>0</v>
      </c>
      <c r="D447" s="9">
        <f>Upload!AF437</f>
        <v>0</v>
      </c>
      <c r="E447" s="9">
        <f>Upload!AG437</f>
        <v>0</v>
      </c>
      <c r="F447" s="9" t="str">
        <f>Upload!X437</f>
        <v/>
      </c>
      <c r="G447" s="9" t="str">
        <f>Upload!Z437</f>
        <v/>
      </c>
      <c r="H447" s="9" t="str">
        <f>Upload!W437</f>
        <v>(seleccione)</v>
      </c>
      <c r="I447" s="9" t="str">
        <f>Upload!Y437</f>
        <v>(seleccione)</v>
      </c>
      <c r="K447" s="15" t="str">
        <f t="shared" si="42"/>
        <v/>
      </c>
      <c r="L447" s="15" t="str">
        <f t="shared" si="43"/>
        <v/>
      </c>
      <c r="M447" s="15" t="str">
        <f t="shared" si="44"/>
        <v/>
      </c>
      <c r="N447" s="15" t="str">
        <f t="shared" si="45"/>
        <v/>
      </c>
      <c r="O447" s="15" t="str">
        <f t="shared" si="46"/>
        <v/>
      </c>
      <c r="P447" s="15" t="str">
        <f>IF(OR(C447="",NOT(OR(ISNUMBER(SEARCH("Antitarnish",Upload!P437&amp;Upload!Q437&amp;Upload!R437&amp;Upload!S437&amp;Upload!T437)),ISNUMBER(SEARCH("Anti Tarnish",Upload!P437&amp;Upload!Q437&amp;Upload!R437&amp;Upload!S437&amp;Upload!T437))))),"",0.0012*C447)</f>
        <v/>
      </c>
      <c r="Q447" s="15" t="str">
        <f>IF(OR(E447="",NOT(OR(ISNUMBER(SEARCH("Epóxico MT",Upload!P437&amp;Upload!Q437&amp;Upload!R437&amp;Upload!S437&amp;Upload!T437))))),"",E447*0.000035)</f>
        <v/>
      </c>
      <c r="R447" s="15" t="str">
        <f>IF(OR(F447="",NOT(OR(ISNUMBER(SEARCH("Epóxico BT",Upload!Q437&amp;Upload!R437&amp;Upload!S437&amp;Upload!T437&amp;Upload!U437))))),"",F447*0.000035)</f>
        <v/>
      </c>
      <c r="S447" s="15" t="str">
        <f>IF(OR(G447="",NOT(OR(ISNUMBER(SEARCH("Epóxico Rojo",Upload!R437&amp;Upload!S437&amp;Upload!T437&amp;Upload!U437&amp;Upload!V437))))),"",G447*0.000035)</f>
        <v/>
      </c>
    </row>
    <row r="448" spans="1:19" x14ac:dyDescent="0.2">
      <c r="A448" s="9" t="e">
        <f t="shared" ca="1" si="41"/>
        <v>#NAME?</v>
      </c>
      <c r="B448" s="9">
        <f>Upload!E438</f>
        <v>0</v>
      </c>
      <c r="C448" s="9">
        <f>Upload!AE438</f>
        <v>0</v>
      </c>
      <c r="D448" s="9">
        <f>Upload!AF438</f>
        <v>0</v>
      </c>
      <c r="E448" s="9">
        <f>Upload!AG438</f>
        <v>0</v>
      </c>
      <c r="F448" s="9" t="str">
        <f>Upload!X438</f>
        <v/>
      </c>
      <c r="G448" s="9" t="str">
        <f>Upload!Z438</f>
        <v/>
      </c>
      <c r="H448" s="9" t="str">
        <f>Upload!W438</f>
        <v>(seleccione)</v>
      </c>
      <c r="I448" s="9" t="str">
        <f>Upload!Y438</f>
        <v>(seleccione)</v>
      </c>
      <c r="K448" s="15" t="str">
        <f t="shared" si="42"/>
        <v/>
      </c>
      <c r="L448" s="15" t="str">
        <f t="shared" si="43"/>
        <v/>
      </c>
      <c r="M448" s="15" t="str">
        <f t="shared" si="44"/>
        <v/>
      </c>
      <c r="N448" s="15" t="str">
        <f t="shared" si="45"/>
        <v/>
      </c>
      <c r="O448" s="15" t="str">
        <f t="shared" si="46"/>
        <v/>
      </c>
      <c r="P448" s="15" t="str">
        <f>IF(OR(C448="",NOT(OR(ISNUMBER(SEARCH("Antitarnish",Upload!P438&amp;Upload!Q438&amp;Upload!R438&amp;Upload!S438&amp;Upload!T438)),ISNUMBER(SEARCH("Anti Tarnish",Upload!P438&amp;Upload!Q438&amp;Upload!R438&amp;Upload!S438&amp;Upload!T438))))),"",0.0012*C448)</f>
        <v/>
      </c>
      <c r="Q448" s="15" t="str">
        <f>IF(OR(E448="",NOT(OR(ISNUMBER(SEARCH("Epóxico MT",Upload!P438&amp;Upload!Q438&amp;Upload!R438&amp;Upload!S438&amp;Upload!T438))))),"",E448*0.000035)</f>
        <v/>
      </c>
      <c r="R448" s="15" t="str">
        <f>IF(OR(F448="",NOT(OR(ISNUMBER(SEARCH("Epóxico BT",Upload!Q438&amp;Upload!R438&amp;Upload!S438&amp;Upload!T438&amp;Upload!U438))))),"",F448*0.000035)</f>
        <v/>
      </c>
      <c r="S448" s="15" t="str">
        <f>IF(OR(G448="",NOT(OR(ISNUMBER(SEARCH("Epóxico Rojo",Upload!R438&amp;Upload!S438&amp;Upload!T438&amp;Upload!U438&amp;Upload!V438))))),"",G448*0.000035)</f>
        <v/>
      </c>
    </row>
    <row r="449" spans="1:19" x14ac:dyDescent="0.2">
      <c r="A449" s="9" t="e">
        <f t="shared" ca="1" si="41"/>
        <v>#NAME?</v>
      </c>
      <c r="B449" s="9">
        <f>Upload!E439</f>
        <v>0</v>
      </c>
      <c r="C449" s="9">
        <f>Upload!AE439</f>
        <v>0</v>
      </c>
      <c r="D449" s="9">
        <f>Upload!AF439</f>
        <v>0</v>
      </c>
      <c r="E449" s="9">
        <f>Upload!AG439</f>
        <v>0</v>
      </c>
      <c r="F449" s="9" t="str">
        <f>Upload!X439</f>
        <v/>
      </c>
      <c r="G449" s="9" t="str">
        <f>Upload!Z439</f>
        <v/>
      </c>
      <c r="H449" s="9" t="str">
        <f>Upload!W439</f>
        <v>(seleccione)</v>
      </c>
      <c r="I449" s="9" t="str">
        <f>Upload!Y439</f>
        <v>(seleccione)</v>
      </c>
      <c r="K449" s="15" t="str">
        <f t="shared" si="42"/>
        <v/>
      </c>
      <c r="L449" s="15" t="str">
        <f t="shared" si="43"/>
        <v/>
      </c>
      <c r="M449" s="15" t="str">
        <f t="shared" si="44"/>
        <v/>
      </c>
      <c r="N449" s="15" t="str">
        <f t="shared" si="45"/>
        <v/>
      </c>
      <c r="O449" s="15" t="str">
        <f t="shared" si="46"/>
        <v/>
      </c>
      <c r="P449" s="15" t="str">
        <f>IF(OR(C449="",NOT(OR(ISNUMBER(SEARCH("Antitarnish",Upload!P439&amp;Upload!Q439&amp;Upload!R439&amp;Upload!S439&amp;Upload!T439)),ISNUMBER(SEARCH("Anti Tarnish",Upload!P439&amp;Upload!Q439&amp;Upload!R439&amp;Upload!S439&amp;Upload!T439))))),"",0.0012*C449)</f>
        <v/>
      </c>
      <c r="Q449" s="15" t="str">
        <f>IF(OR(E449="",NOT(OR(ISNUMBER(SEARCH("Epóxico MT",Upload!P439&amp;Upload!Q439&amp;Upload!R439&amp;Upload!S439&amp;Upload!T439))))),"",E449*0.000035)</f>
        <v/>
      </c>
      <c r="R449" s="15" t="str">
        <f>IF(OR(F449="",NOT(OR(ISNUMBER(SEARCH("Epóxico BT",Upload!Q439&amp;Upload!R439&amp;Upload!S439&amp;Upload!T439&amp;Upload!U439))))),"",F449*0.000035)</f>
        <v/>
      </c>
      <c r="S449" s="15" t="str">
        <f>IF(OR(G449="",NOT(OR(ISNUMBER(SEARCH("Epóxico Rojo",Upload!R439&amp;Upload!S439&amp;Upload!T439&amp;Upload!U439&amp;Upload!V439))))),"",G449*0.000035)</f>
        <v/>
      </c>
    </row>
    <row r="450" spans="1:19" x14ac:dyDescent="0.2">
      <c r="A450" s="9" t="e">
        <f t="shared" ca="1" si="41"/>
        <v>#NAME?</v>
      </c>
      <c r="B450" s="9">
        <f>Upload!E440</f>
        <v>0</v>
      </c>
      <c r="C450" s="9">
        <f>Upload!AE440</f>
        <v>0</v>
      </c>
      <c r="D450" s="9">
        <f>Upload!AF440</f>
        <v>0</v>
      </c>
      <c r="E450" s="9">
        <f>Upload!AG440</f>
        <v>0</v>
      </c>
      <c r="F450" s="9" t="str">
        <f>Upload!X440</f>
        <v/>
      </c>
      <c r="G450" s="9" t="str">
        <f>Upload!Z440</f>
        <v/>
      </c>
      <c r="H450" s="9" t="str">
        <f>Upload!W440</f>
        <v>(seleccione)</v>
      </c>
      <c r="I450" s="9" t="str">
        <f>Upload!Y440</f>
        <v>(seleccione)</v>
      </c>
      <c r="K450" s="15" t="str">
        <f t="shared" si="42"/>
        <v/>
      </c>
      <c r="L450" s="15" t="str">
        <f t="shared" si="43"/>
        <v/>
      </c>
      <c r="M450" s="15" t="str">
        <f t="shared" si="44"/>
        <v/>
      </c>
      <c r="N450" s="15" t="str">
        <f t="shared" si="45"/>
        <v/>
      </c>
      <c r="O450" s="15" t="str">
        <f t="shared" si="46"/>
        <v/>
      </c>
      <c r="P450" s="15" t="str">
        <f>IF(OR(C450="",NOT(OR(ISNUMBER(SEARCH("Antitarnish",Upload!P440&amp;Upload!Q440&amp;Upload!R440&amp;Upload!S440&amp;Upload!T440)),ISNUMBER(SEARCH("Anti Tarnish",Upload!P440&amp;Upload!Q440&amp;Upload!R440&amp;Upload!S440&amp;Upload!T440))))),"",0.0012*C450)</f>
        <v/>
      </c>
      <c r="Q450" s="15" t="str">
        <f>IF(OR(E450="",NOT(OR(ISNUMBER(SEARCH("Epóxico MT",Upload!P440&amp;Upload!Q440&amp;Upload!R440&amp;Upload!S440&amp;Upload!T440))))),"",E450*0.000035)</f>
        <v/>
      </c>
      <c r="R450" s="15" t="str">
        <f>IF(OR(F450="",NOT(OR(ISNUMBER(SEARCH("Epóxico BT",Upload!Q440&amp;Upload!R440&amp;Upload!S440&amp;Upload!T440&amp;Upload!U440))))),"",F450*0.000035)</f>
        <v/>
      </c>
      <c r="S450" s="15" t="str">
        <f>IF(OR(G450="",NOT(OR(ISNUMBER(SEARCH("Epóxico Rojo",Upload!R440&amp;Upload!S440&amp;Upload!T440&amp;Upload!U440&amp;Upload!V440))))),"",G450*0.000035)</f>
        <v/>
      </c>
    </row>
    <row r="451" spans="1:19" x14ac:dyDescent="0.2">
      <c r="A451" s="9" t="e">
        <f t="shared" ca="1" si="41"/>
        <v>#NAME?</v>
      </c>
      <c r="B451" s="9">
        <f>Upload!E441</f>
        <v>0</v>
      </c>
      <c r="C451" s="9">
        <f>Upload!AE441</f>
        <v>0</v>
      </c>
      <c r="D451" s="9">
        <f>Upload!AF441</f>
        <v>0</v>
      </c>
      <c r="E451" s="9">
        <f>Upload!AG441</f>
        <v>0</v>
      </c>
      <c r="F451" s="9" t="str">
        <f>Upload!X441</f>
        <v/>
      </c>
      <c r="G451" s="9" t="str">
        <f>Upload!Z441</f>
        <v/>
      </c>
      <c r="H451" s="9" t="str">
        <f>Upload!W441</f>
        <v>(seleccione)</v>
      </c>
      <c r="I451" s="9" t="str">
        <f>Upload!Y441</f>
        <v>(seleccione)</v>
      </c>
      <c r="K451" s="15" t="str">
        <f t="shared" si="42"/>
        <v/>
      </c>
      <c r="L451" s="15" t="str">
        <f t="shared" si="43"/>
        <v/>
      </c>
      <c r="M451" s="15" t="str">
        <f t="shared" si="44"/>
        <v/>
      </c>
      <c r="N451" s="15" t="str">
        <f t="shared" si="45"/>
        <v/>
      </c>
      <c r="O451" s="15" t="str">
        <f t="shared" si="46"/>
        <v/>
      </c>
      <c r="P451" s="15" t="str">
        <f>IF(OR(C451="",NOT(OR(ISNUMBER(SEARCH("Antitarnish",Upload!P441&amp;Upload!Q441&amp;Upload!R441&amp;Upload!S441&amp;Upload!T441)),ISNUMBER(SEARCH("Anti Tarnish",Upload!P441&amp;Upload!Q441&amp;Upload!R441&amp;Upload!S441&amp;Upload!T441))))),"",0.0012*C451)</f>
        <v/>
      </c>
      <c r="Q451" s="15" t="str">
        <f>IF(OR(E451="",NOT(OR(ISNUMBER(SEARCH("Epóxico MT",Upload!P441&amp;Upload!Q441&amp;Upload!R441&amp;Upload!S441&amp;Upload!T441))))),"",E451*0.000035)</f>
        <v/>
      </c>
      <c r="R451" s="15" t="str">
        <f>IF(OR(F451="",NOT(OR(ISNUMBER(SEARCH("Epóxico BT",Upload!Q441&amp;Upload!R441&amp;Upload!S441&amp;Upload!T441&amp;Upload!U441))))),"",F451*0.000035)</f>
        <v/>
      </c>
      <c r="S451" s="15" t="str">
        <f>IF(OR(G451="",NOT(OR(ISNUMBER(SEARCH("Epóxico Rojo",Upload!R441&amp;Upload!S441&amp;Upload!T441&amp;Upload!U441&amp;Upload!V441))))),"",G451*0.000035)</f>
        <v/>
      </c>
    </row>
    <row r="452" spans="1:19" x14ac:dyDescent="0.2">
      <c r="A452" s="9" t="e">
        <f t="shared" ca="1" si="41"/>
        <v>#NAME?</v>
      </c>
      <c r="B452" s="9">
        <f>Upload!E442</f>
        <v>0</v>
      </c>
      <c r="C452" s="9">
        <f>Upload!AE442</f>
        <v>0</v>
      </c>
      <c r="D452" s="9">
        <f>Upload!AF442</f>
        <v>0</v>
      </c>
      <c r="E452" s="9">
        <f>Upload!AG442</f>
        <v>0</v>
      </c>
      <c r="F452" s="9" t="str">
        <f>Upload!X442</f>
        <v/>
      </c>
      <c r="G452" s="9" t="str">
        <f>Upload!Z442</f>
        <v/>
      </c>
      <c r="H452" s="9" t="str">
        <f>Upload!W442</f>
        <v>(seleccione)</v>
      </c>
      <c r="I452" s="9" t="str">
        <f>Upload!Y442</f>
        <v>(seleccione)</v>
      </c>
      <c r="K452" s="15" t="str">
        <f t="shared" si="42"/>
        <v/>
      </c>
      <c r="L452" s="15" t="str">
        <f t="shared" si="43"/>
        <v/>
      </c>
      <c r="M452" s="15" t="str">
        <f t="shared" si="44"/>
        <v/>
      </c>
      <c r="N452" s="15" t="str">
        <f t="shared" si="45"/>
        <v/>
      </c>
      <c r="O452" s="15" t="str">
        <f t="shared" si="46"/>
        <v/>
      </c>
      <c r="P452" s="15" t="str">
        <f>IF(OR(C452="",NOT(OR(ISNUMBER(SEARCH("Antitarnish",Upload!P442&amp;Upload!Q442&amp;Upload!R442&amp;Upload!S442&amp;Upload!T442)),ISNUMBER(SEARCH("Anti Tarnish",Upload!P442&amp;Upload!Q442&amp;Upload!R442&amp;Upload!S442&amp;Upload!T442))))),"",0.0012*C452)</f>
        <v/>
      </c>
      <c r="Q452" s="15" t="str">
        <f>IF(OR(E452="",NOT(OR(ISNUMBER(SEARCH("Epóxico MT",Upload!P442&amp;Upload!Q442&amp;Upload!R442&amp;Upload!S442&amp;Upload!T442))))),"",E452*0.000035)</f>
        <v/>
      </c>
      <c r="R452" s="15" t="str">
        <f>IF(OR(F452="",NOT(OR(ISNUMBER(SEARCH("Epóxico BT",Upload!Q442&amp;Upload!R442&amp;Upload!S442&amp;Upload!T442&amp;Upload!U442))))),"",F452*0.000035)</f>
        <v/>
      </c>
      <c r="S452" s="15" t="str">
        <f>IF(OR(G452="",NOT(OR(ISNUMBER(SEARCH("Epóxico Rojo",Upload!R442&amp;Upload!S442&amp;Upload!T442&amp;Upload!U442&amp;Upload!V442))))),"",G452*0.000035)</f>
        <v/>
      </c>
    </row>
    <row r="453" spans="1:19" x14ac:dyDescent="0.2">
      <c r="A453" s="9" t="e">
        <f t="shared" ca="1" si="41"/>
        <v>#NAME?</v>
      </c>
      <c r="B453" s="9">
        <f>Upload!E443</f>
        <v>0</v>
      </c>
      <c r="C453" s="9">
        <f>Upload!AE443</f>
        <v>0</v>
      </c>
      <c r="D453" s="9">
        <f>Upload!AF443</f>
        <v>0</v>
      </c>
      <c r="E453" s="9">
        <f>Upload!AG443</f>
        <v>0</v>
      </c>
      <c r="F453" s="9" t="str">
        <f>Upload!X443</f>
        <v/>
      </c>
      <c r="G453" s="9" t="str">
        <f>Upload!Z443</f>
        <v/>
      </c>
      <c r="H453" s="9" t="str">
        <f>Upload!W443</f>
        <v>(seleccione)</v>
      </c>
      <c r="I453" s="9" t="str">
        <f>Upload!Y443</f>
        <v>(seleccione)</v>
      </c>
      <c r="K453" s="15" t="str">
        <f t="shared" si="42"/>
        <v/>
      </c>
      <c r="L453" s="15" t="str">
        <f t="shared" si="43"/>
        <v/>
      </c>
      <c r="M453" s="15" t="str">
        <f t="shared" si="44"/>
        <v/>
      </c>
      <c r="N453" s="15" t="str">
        <f t="shared" si="45"/>
        <v/>
      </c>
      <c r="O453" s="15" t="str">
        <f t="shared" si="46"/>
        <v/>
      </c>
      <c r="P453" s="15" t="str">
        <f>IF(OR(C453="",NOT(OR(ISNUMBER(SEARCH("Antitarnish",Upload!P443&amp;Upload!Q443&amp;Upload!R443&amp;Upload!S443&amp;Upload!T443)),ISNUMBER(SEARCH("Anti Tarnish",Upload!P443&amp;Upload!Q443&amp;Upload!R443&amp;Upload!S443&amp;Upload!T443))))),"",0.0012*C453)</f>
        <v/>
      </c>
      <c r="Q453" s="15" t="str">
        <f>IF(OR(E453="",NOT(OR(ISNUMBER(SEARCH("Epóxico MT",Upload!P443&amp;Upload!Q443&amp;Upload!R443&amp;Upload!S443&amp;Upload!T443))))),"",E453*0.000035)</f>
        <v/>
      </c>
      <c r="R453" s="15" t="str">
        <f>IF(OR(F453="",NOT(OR(ISNUMBER(SEARCH("Epóxico BT",Upload!Q443&amp;Upload!R443&amp;Upload!S443&amp;Upload!T443&amp;Upload!U443))))),"",F453*0.000035)</f>
        <v/>
      </c>
      <c r="S453" s="15" t="str">
        <f>IF(OR(G453="",NOT(OR(ISNUMBER(SEARCH("Epóxico Rojo",Upload!R443&amp;Upload!S443&amp;Upload!T443&amp;Upload!U443&amp;Upload!V443))))),"",G453*0.000035)</f>
        <v/>
      </c>
    </row>
    <row r="454" spans="1:19" x14ac:dyDescent="0.2">
      <c r="A454" s="9" t="e">
        <f t="shared" ca="1" si="41"/>
        <v>#NAME?</v>
      </c>
      <c r="B454" s="9">
        <f>Upload!E444</f>
        <v>0</v>
      </c>
      <c r="C454" s="9">
        <f>Upload!AE444</f>
        <v>0</v>
      </c>
      <c r="D454" s="9">
        <f>Upload!AF444</f>
        <v>0</v>
      </c>
      <c r="E454" s="9">
        <f>Upload!AG444</f>
        <v>0</v>
      </c>
      <c r="F454" s="9" t="str">
        <f>Upload!X444</f>
        <v/>
      </c>
      <c r="G454" s="9" t="str">
        <f>Upload!Z444</f>
        <v/>
      </c>
      <c r="H454" s="9" t="str">
        <f>Upload!W444</f>
        <v>(seleccione)</v>
      </c>
      <c r="I454" s="9" t="str">
        <f>Upload!Y444</f>
        <v>(seleccione)</v>
      </c>
      <c r="K454" s="15" t="str">
        <f t="shared" si="42"/>
        <v/>
      </c>
      <c r="L454" s="15" t="str">
        <f t="shared" si="43"/>
        <v/>
      </c>
      <c r="M454" s="15" t="str">
        <f t="shared" si="44"/>
        <v/>
      </c>
      <c r="N454" s="15" t="str">
        <f t="shared" si="45"/>
        <v/>
      </c>
      <c r="O454" s="15" t="str">
        <f t="shared" si="46"/>
        <v/>
      </c>
      <c r="P454" s="15" t="str">
        <f>IF(OR(C454="",NOT(OR(ISNUMBER(SEARCH("Antitarnish",Upload!P444&amp;Upload!Q444&amp;Upload!R444&amp;Upload!S444&amp;Upload!T444)),ISNUMBER(SEARCH("Anti Tarnish",Upload!P444&amp;Upload!Q444&amp;Upload!R444&amp;Upload!S444&amp;Upload!T444))))),"",0.0012*C454)</f>
        <v/>
      </c>
      <c r="Q454" s="15" t="str">
        <f>IF(OR(E454="",NOT(OR(ISNUMBER(SEARCH("Epóxico MT",Upload!P444&amp;Upload!Q444&amp;Upload!R444&amp;Upload!S444&amp;Upload!T444))))),"",E454*0.000035)</f>
        <v/>
      </c>
      <c r="R454" s="15" t="str">
        <f>IF(OR(F454="",NOT(OR(ISNUMBER(SEARCH("Epóxico BT",Upload!Q444&amp;Upload!R444&amp;Upload!S444&amp;Upload!T444&amp;Upload!U444))))),"",F454*0.000035)</f>
        <v/>
      </c>
      <c r="S454" s="15" t="str">
        <f>IF(OR(G454="",NOT(OR(ISNUMBER(SEARCH("Epóxico Rojo",Upload!R444&amp;Upload!S444&amp;Upload!T444&amp;Upload!U444&amp;Upload!V444))))),"",G454*0.000035)</f>
        <v/>
      </c>
    </row>
    <row r="455" spans="1:19" x14ac:dyDescent="0.2">
      <c r="A455" s="9" t="e">
        <f t="shared" ca="1" si="41"/>
        <v>#NAME?</v>
      </c>
      <c r="B455" s="9">
        <f>Upload!E445</f>
        <v>0</v>
      </c>
      <c r="C455" s="9">
        <f>Upload!AE445</f>
        <v>0</v>
      </c>
      <c r="D455" s="9">
        <f>Upload!AF445</f>
        <v>0</v>
      </c>
      <c r="E455" s="9">
        <f>Upload!AG445</f>
        <v>0</v>
      </c>
      <c r="F455" s="9" t="str">
        <f>Upload!X445</f>
        <v/>
      </c>
      <c r="G455" s="9" t="str">
        <f>Upload!Z445</f>
        <v/>
      </c>
      <c r="H455" s="9" t="str">
        <f>Upload!W445</f>
        <v>(seleccione)</v>
      </c>
      <c r="I455" s="9" t="str">
        <f>Upload!Y445</f>
        <v>(seleccione)</v>
      </c>
      <c r="K455" s="15" t="str">
        <f t="shared" si="42"/>
        <v/>
      </c>
      <c r="L455" s="15" t="str">
        <f t="shared" si="43"/>
        <v/>
      </c>
      <c r="M455" s="15" t="str">
        <f t="shared" si="44"/>
        <v/>
      </c>
      <c r="N455" s="15" t="str">
        <f t="shared" si="45"/>
        <v/>
      </c>
      <c r="O455" s="15" t="str">
        <f t="shared" si="46"/>
        <v/>
      </c>
      <c r="P455" s="15" t="str">
        <f>IF(OR(C455="",NOT(OR(ISNUMBER(SEARCH("Antitarnish",Upload!P445&amp;Upload!Q445&amp;Upload!R445&amp;Upload!S445&amp;Upload!T445)),ISNUMBER(SEARCH("Anti Tarnish",Upload!P445&amp;Upload!Q445&amp;Upload!R445&amp;Upload!S445&amp;Upload!T445))))),"",0.0012*C455)</f>
        <v/>
      </c>
      <c r="Q455" s="15" t="str">
        <f>IF(OR(E455="",NOT(OR(ISNUMBER(SEARCH("Epóxico MT",Upload!P445&amp;Upload!Q445&amp;Upload!R445&amp;Upload!S445&amp;Upload!T445))))),"",E455*0.000035)</f>
        <v/>
      </c>
      <c r="R455" s="15" t="str">
        <f>IF(OR(F455="",NOT(OR(ISNUMBER(SEARCH("Epóxico BT",Upload!Q445&amp;Upload!R445&amp;Upload!S445&amp;Upload!T445&amp;Upload!U445))))),"",F455*0.000035)</f>
        <v/>
      </c>
      <c r="S455" s="15" t="str">
        <f>IF(OR(G455="",NOT(OR(ISNUMBER(SEARCH("Epóxico Rojo",Upload!R445&amp;Upload!S445&amp;Upload!T445&amp;Upload!U445&amp;Upload!V445))))),"",G455*0.000035)</f>
        <v/>
      </c>
    </row>
    <row r="456" spans="1:19" x14ac:dyDescent="0.2">
      <c r="A456" s="9" t="e">
        <f t="shared" ca="1" si="41"/>
        <v>#NAME?</v>
      </c>
      <c r="B456" s="9">
        <f>Upload!E446</f>
        <v>0</v>
      </c>
      <c r="C456" s="9">
        <f>Upload!AE446</f>
        <v>0</v>
      </c>
      <c r="D456" s="9">
        <f>Upload!AF446</f>
        <v>0</v>
      </c>
      <c r="E456" s="9">
        <f>Upload!AG446</f>
        <v>0</v>
      </c>
      <c r="F456" s="9" t="str">
        <f>Upload!X446</f>
        <v/>
      </c>
      <c r="G456" s="9" t="str">
        <f>Upload!Z446</f>
        <v/>
      </c>
      <c r="H456" s="9" t="str">
        <f>Upload!W446</f>
        <v>(seleccione)</v>
      </c>
      <c r="I456" s="9" t="str">
        <f>Upload!Y446</f>
        <v>(seleccione)</v>
      </c>
      <c r="K456" s="15" t="str">
        <f t="shared" si="42"/>
        <v/>
      </c>
      <c r="L456" s="15" t="str">
        <f t="shared" si="43"/>
        <v/>
      </c>
      <c r="M456" s="15" t="str">
        <f t="shared" si="44"/>
        <v/>
      </c>
      <c r="N456" s="15" t="str">
        <f t="shared" si="45"/>
        <v/>
      </c>
      <c r="O456" s="15" t="str">
        <f t="shared" si="46"/>
        <v/>
      </c>
      <c r="P456" s="15" t="str">
        <f>IF(OR(C456="",NOT(OR(ISNUMBER(SEARCH("Antitarnish",Upload!P446&amp;Upload!Q446&amp;Upload!R446&amp;Upload!S446&amp;Upload!T446)),ISNUMBER(SEARCH("Anti Tarnish",Upload!P446&amp;Upload!Q446&amp;Upload!R446&amp;Upload!S446&amp;Upload!T446))))),"",0.0012*C456)</f>
        <v/>
      </c>
      <c r="Q456" s="15" t="str">
        <f>IF(OR(E456="",NOT(OR(ISNUMBER(SEARCH("Epóxico MT",Upload!P446&amp;Upload!Q446&amp;Upload!R446&amp;Upload!S446&amp;Upload!T446))))),"",E456*0.000035)</f>
        <v/>
      </c>
      <c r="R456" s="15" t="str">
        <f>IF(OR(F456="",NOT(OR(ISNUMBER(SEARCH("Epóxico BT",Upload!Q446&amp;Upload!R446&amp;Upload!S446&amp;Upload!T446&amp;Upload!U446))))),"",F456*0.000035)</f>
        <v/>
      </c>
      <c r="S456" s="15" t="str">
        <f>IF(OR(G456="",NOT(OR(ISNUMBER(SEARCH("Epóxico Rojo",Upload!R446&amp;Upload!S446&amp;Upload!T446&amp;Upload!U446&amp;Upload!V446))))),"",G456*0.000035)</f>
        <v/>
      </c>
    </row>
    <row r="457" spans="1:19" x14ac:dyDescent="0.2">
      <c r="A457" s="9" t="e">
        <f t="shared" ca="1" si="41"/>
        <v>#NAME?</v>
      </c>
      <c r="B457" s="9">
        <f>Upload!E447</f>
        <v>0</v>
      </c>
      <c r="C457" s="9">
        <f>Upload!AE447</f>
        <v>0</v>
      </c>
      <c r="D457" s="9">
        <f>Upload!AF447</f>
        <v>0</v>
      </c>
      <c r="E457" s="9">
        <f>Upload!AG447</f>
        <v>0</v>
      </c>
      <c r="F457" s="9" t="str">
        <f>Upload!X447</f>
        <v/>
      </c>
      <c r="G457" s="9" t="str">
        <f>Upload!Z447</f>
        <v/>
      </c>
      <c r="H457" s="9" t="str">
        <f>Upload!W447</f>
        <v>(seleccione)</v>
      </c>
      <c r="I457" s="9" t="str">
        <f>Upload!Y447</f>
        <v>(seleccione)</v>
      </c>
      <c r="K457" s="15" t="str">
        <f t="shared" si="42"/>
        <v/>
      </c>
      <c r="L457" s="15" t="str">
        <f t="shared" si="43"/>
        <v/>
      </c>
      <c r="M457" s="15" t="str">
        <f t="shared" si="44"/>
        <v/>
      </c>
      <c r="N457" s="15" t="str">
        <f t="shared" si="45"/>
        <v/>
      </c>
      <c r="O457" s="15" t="str">
        <f t="shared" si="46"/>
        <v/>
      </c>
      <c r="P457" s="15" t="str">
        <f>IF(OR(C457="",NOT(OR(ISNUMBER(SEARCH("Antitarnish",Upload!P447&amp;Upload!Q447&amp;Upload!R447&amp;Upload!S447&amp;Upload!T447)),ISNUMBER(SEARCH("Anti Tarnish",Upload!P447&amp;Upload!Q447&amp;Upload!R447&amp;Upload!S447&amp;Upload!T447))))),"",0.0012*C457)</f>
        <v/>
      </c>
      <c r="Q457" s="15" t="str">
        <f>IF(OR(E457="",NOT(OR(ISNUMBER(SEARCH("Epóxico MT",Upload!P447&amp;Upload!Q447&amp;Upload!R447&amp;Upload!S447&amp;Upload!T447))))),"",E457*0.000035)</f>
        <v/>
      </c>
      <c r="R457" s="15" t="str">
        <f>IF(OR(F457="",NOT(OR(ISNUMBER(SEARCH("Epóxico BT",Upload!Q447&amp;Upload!R447&amp;Upload!S447&amp;Upload!T447&amp;Upload!U447))))),"",F457*0.000035)</f>
        <v/>
      </c>
      <c r="S457" s="15" t="str">
        <f>IF(OR(G457="",NOT(OR(ISNUMBER(SEARCH("Epóxico Rojo",Upload!R447&amp;Upload!S447&amp;Upload!T447&amp;Upload!U447&amp;Upload!V447))))),"",G457*0.000035)</f>
        <v/>
      </c>
    </row>
    <row r="458" spans="1:19" x14ac:dyDescent="0.2">
      <c r="A458" s="9" t="e">
        <f t="shared" ca="1" si="41"/>
        <v>#NAME?</v>
      </c>
      <c r="B458" s="9">
        <f>Upload!E448</f>
        <v>0</v>
      </c>
      <c r="C458" s="9">
        <f>Upload!AE448</f>
        <v>0</v>
      </c>
      <c r="D458" s="9">
        <f>Upload!AF448</f>
        <v>0</v>
      </c>
      <c r="E458" s="9">
        <f>Upload!AG448</f>
        <v>0</v>
      </c>
      <c r="F458" s="9" t="str">
        <f>Upload!X448</f>
        <v/>
      </c>
      <c r="G458" s="9" t="str">
        <f>Upload!Z448</f>
        <v/>
      </c>
      <c r="H458" s="9" t="str">
        <f>Upload!W448</f>
        <v>(seleccione)</v>
      </c>
      <c r="I458" s="9" t="str">
        <f>Upload!Y448</f>
        <v>(seleccione)</v>
      </c>
      <c r="K458" s="15" t="str">
        <f t="shared" si="42"/>
        <v/>
      </c>
      <c r="L458" s="15" t="str">
        <f t="shared" si="43"/>
        <v/>
      </c>
      <c r="M458" s="15" t="str">
        <f t="shared" si="44"/>
        <v/>
      </c>
      <c r="N458" s="15" t="str">
        <f t="shared" si="45"/>
        <v/>
      </c>
      <c r="O458" s="15" t="str">
        <f t="shared" si="46"/>
        <v/>
      </c>
      <c r="P458" s="15" t="str">
        <f>IF(OR(C458="",NOT(OR(ISNUMBER(SEARCH("Antitarnish",Upload!P448&amp;Upload!Q448&amp;Upload!R448&amp;Upload!S448&amp;Upload!T448)),ISNUMBER(SEARCH("Anti Tarnish",Upload!P448&amp;Upload!Q448&amp;Upload!R448&amp;Upload!S448&amp;Upload!T448))))),"",0.0012*C458)</f>
        <v/>
      </c>
      <c r="Q458" s="15" t="str">
        <f>IF(OR(E458="",NOT(OR(ISNUMBER(SEARCH("Epóxico MT",Upload!P448&amp;Upload!Q448&amp;Upload!R448&amp;Upload!S448&amp;Upload!T448))))),"",E458*0.000035)</f>
        <v/>
      </c>
      <c r="R458" s="15" t="str">
        <f>IF(OR(F458="",NOT(OR(ISNUMBER(SEARCH("Epóxico BT",Upload!Q448&amp;Upload!R448&amp;Upload!S448&amp;Upload!T448&amp;Upload!U448))))),"",F458*0.000035)</f>
        <v/>
      </c>
      <c r="S458" s="15" t="str">
        <f>IF(OR(G458="",NOT(OR(ISNUMBER(SEARCH("Epóxico Rojo",Upload!R448&amp;Upload!S448&amp;Upload!T448&amp;Upload!U448&amp;Upload!V448))))),"",G458*0.000035)</f>
        <v/>
      </c>
    </row>
    <row r="459" spans="1:19" x14ac:dyDescent="0.2">
      <c r="A459" s="9" t="e">
        <f t="shared" ca="1" si="41"/>
        <v>#NAME?</v>
      </c>
      <c r="B459" s="9">
        <f>Upload!E449</f>
        <v>0</v>
      </c>
      <c r="C459" s="9">
        <f>Upload!AE449</f>
        <v>0</v>
      </c>
      <c r="D459" s="9">
        <f>Upload!AF449</f>
        <v>0</v>
      </c>
      <c r="E459" s="9">
        <f>Upload!AG449</f>
        <v>0</v>
      </c>
      <c r="F459" s="9" t="str">
        <f>Upload!X449</f>
        <v/>
      </c>
      <c r="G459" s="9" t="str">
        <f>Upload!Z449</f>
        <v/>
      </c>
      <c r="H459" s="9" t="str">
        <f>Upload!W449</f>
        <v>(seleccione)</v>
      </c>
      <c r="I459" s="9" t="str">
        <f>Upload!Y449</f>
        <v>(seleccione)</v>
      </c>
      <c r="K459" s="15" t="str">
        <f t="shared" si="42"/>
        <v/>
      </c>
      <c r="L459" s="15" t="str">
        <f t="shared" si="43"/>
        <v/>
      </c>
      <c r="M459" s="15" t="str">
        <f t="shared" si="44"/>
        <v/>
      </c>
      <c r="N459" s="15" t="str">
        <f t="shared" si="45"/>
        <v/>
      </c>
      <c r="O459" s="15" t="str">
        <f t="shared" si="46"/>
        <v/>
      </c>
      <c r="P459" s="15" t="str">
        <f>IF(OR(C459="",NOT(OR(ISNUMBER(SEARCH("Antitarnish",Upload!P449&amp;Upload!Q449&amp;Upload!R449&amp;Upload!S449&amp;Upload!T449)),ISNUMBER(SEARCH("Anti Tarnish",Upload!P449&amp;Upload!Q449&amp;Upload!R449&amp;Upload!S449&amp;Upload!T449))))),"",0.0012*C459)</f>
        <v/>
      </c>
      <c r="Q459" s="15" t="str">
        <f>IF(OR(E459="",NOT(OR(ISNUMBER(SEARCH("Epóxico MT",Upload!P449&amp;Upload!Q449&amp;Upload!R449&amp;Upload!S449&amp;Upload!T449))))),"",E459*0.000035)</f>
        <v/>
      </c>
      <c r="R459" s="15" t="str">
        <f>IF(OR(F459="",NOT(OR(ISNUMBER(SEARCH("Epóxico BT",Upload!Q449&amp;Upload!R449&amp;Upload!S449&amp;Upload!T449&amp;Upload!U449))))),"",F459*0.000035)</f>
        <v/>
      </c>
      <c r="S459" s="15" t="str">
        <f>IF(OR(G459="",NOT(OR(ISNUMBER(SEARCH("Epóxico Rojo",Upload!R449&amp;Upload!S449&amp;Upload!T449&amp;Upload!U449&amp;Upload!V449))))),"",G459*0.000035)</f>
        <v/>
      </c>
    </row>
    <row r="460" spans="1:19" x14ac:dyDescent="0.2">
      <c r="A460" s="9" t="e">
        <f t="shared" ca="1" si="41"/>
        <v>#NAME?</v>
      </c>
      <c r="B460" s="9">
        <f>Upload!E450</f>
        <v>0</v>
      </c>
      <c r="C460" s="9">
        <f>Upload!AE450</f>
        <v>0</v>
      </c>
      <c r="D460" s="9">
        <f>Upload!AF450</f>
        <v>0</v>
      </c>
      <c r="E460" s="9">
        <f>Upload!AG450</f>
        <v>0</v>
      </c>
      <c r="F460" s="9" t="str">
        <f>Upload!X450</f>
        <v/>
      </c>
      <c r="G460" s="9" t="str">
        <f>Upload!Z450</f>
        <v/>
      </c>
      <c r="H460" s="9" t="str">
        <f>Upload!W450</f>
        <v>(seleccione)</v>
      </c>
      <c r="I460" s="9" t="str">
        <f>Upload!Y450</f>
        <v>(seleccione)</v>
      </c>
      <c r="K460" s="15" t="str">
        <f t="shared" si="42"/>
        <v/>
      </c>
      <c r="L460" s="15" t="str">
        <f t="shared" si="43"/>
        <v/>
      </c>
      <c r="M460" s="15" t="str">
        <f t="shared" si="44"/>
        <v/>
      </c>
      <c r="N460" s="15" t="str">
        <f t="shared" si="45"/>
        <v/>
      </c>
      <c r="O460" s="15" t="str">
        <f t="shared" si="46"/>
        <v/>
      </c>
      <c r="P460" s="15" t="str">
        <f>IF(OR(C460="",NOT(OR(ISNUMBER(SEARCH("Antitarnish",Upload!P450&amp;Upload!Q450&amp;Upload!R450&amp;Upload!S450&amp;Upload!T450)),ISNUMBER(SEARCH("Anti Tarnish",Upload!P450&amp;Upload!Q450&amp;Upload!R450&amp;Upload!S450&amp;Upload!T450))))),"",0.0012*C460)</f>
        <v/>
      </c>
      <c r="Q460" s="15" t="str">
        <f>IF(OR(E460="",NOT(OR(ISNUMBER(SEARCH("Epóxico MT",Upload!P450&amp;Upload!Q450&amp;Upload!R450&amp;Upload!S450&amp;Upload!T450))))),"",E460*0.000035)</f>
        <v/>
      </c>
      <c r="R460" s="15" t="str">
        <f>IF(OR(F460="",NOT(OR(ISNUMBER(SEARCH("Epóxico BT",Upload!Q450&amp;Upload!R450&amp;Upload!S450&amp;Upload!T450&amp;Upload!U450))))),"",F460*0.000035)</f>
        <v/>
      </c>
      <c r="S460" s="15" t="str">
        <f>IF(OR(G460="",NOT(OR(ISNUMBER(SEARCH("Epóxico Rojo",Upload!R450&amp;Upload!S450&amp;Upload!T450&amp;Upload!U450&amp;Upload!V450))))),"",G460*0.000035)</f>
        <v/>
      </c>
    </row>
    <row r="461" spans="1:19" x14ac:dyDescent="0.2">
      <c r="A461" s="9" t="e">
        <f t="shared" ca="1" si="41"/>
        <v>#NAME?</v>
      </c>
      <c r="B461" s="9">
        <f>Upload!E451</f>
        <v>0</v>
      </c>
      <c r="C461" s="9">
        <f>Upload!AE451</f>
        <v>0</v>
      </c>
      <c r="D461" s="9">
        <f>Upload!AF451</f>
        <v>0</v>
      </c>
      <c r="E461" s="9">
        <f>Upload!AG451</f>
        <v>0</v>
      </c>
      <c r="F461" s="9" t="str">
        <f>Upload!X451</f>
        <v/>
      </c>
      <c r="G461" s="9" t="str">
        <f>Upload!Z451</f>
        <v/>
      </c>
      <c r="H461" s="9" t="str">
        <f>Upload!W451</f>
        <v>(seleccione)</v>
      </c>
      <c r="I461" s="9" t="str">
        <f>Upload!Y451</f>
        <v>(seleccione)</v>
      </c>
      <c r="K461" s="15" t="str">
        <f t="shared" si="42"/>
        <v/>
      </c>
      <c r="L461" s="15" t="str">
        <f t="shared" si="43"/>
        <v/>
      </c>
      <c r="M461" s="15" t="str">
        <f t="shared" si="44"/>
        <v/>
      </c>
      <c r="N461" s="15" t="str">
        <f t="shared" si="45"/>
        <v/>
      </c>
      <c r="O461" s="15" t="str">
        <f t="shared" si="46"/>
        <v/>
      </c>
      <c r="P461" s="15" t="str">
        <f>IF(OR(C461="",NOT(OR(ISNUMBER(SEARCH("Antitarnish",Upload!P451&amp;Upload!Q451&amp;Upload!R451&amp;Upload!S451&amp;Upload!T451)),ISNUMBER(SEARCH("Anti Tarnish",Upload!P451&amp;Upload!Q451&amp;Upload!R451&amp;Upload!S451&amp;Upload!T451))))),"",0.0012*C461)</f>
        <v/>
      </c>
      <c r="Q461" s="15" t="str">
        <f>IF(OR(E461="",NOT(OR(ISNUMBER(SEARCH("Epóxico MT",Upload!P451&amp;Upload!Q451&amp;Upload!R451&amp;Upload!S451&amp;Upload!T451))))),"",E461*0.000035)</f>
        <v/>
      </c>
      <c r="R461" s="15" t="str">
        <f>IF(OR(F461="",NOT(OR(ISNUMBER(SEARCH("Epóxico BT",Upload!Q451&amp;Upload!R451&amp;Upload!S451&amp;Upload!T451&amp;Upload!U451))))),"",F461*0.000035)</f>
        <v/>
      </c>
      <c r="S461" s="15" t="str">
        <f>IF(OR(G461="",NOT(OR(ISNUMBER(SEARCH("Epóxico Rojo",Upload!R451&amp;Upload!S451&amp;Upload!T451&amp;Upload!U451&amp;Upload!V451))))),"",G461*0.000035)</f>
        <v/>
      </c>
    </row>
    <row r="462" spans="1:19" x14ac:dyDescent="0.2">
      <c r="A462" s="9" t="e">
        <f t="shared" ca="1" si="41"/>
        <v>#NAME?</v>
      </c>
      <c r="B462" s="9">
        <f>Upload!E452</f>
        <v>0</v>
      </c>
      <c r="C462" s="9">
        <f>Upload!AE452</f>
        <v>0</v>
      </c>
      <c r="D462" s="9">
        <f>Upload!AF452</f>
        <v>0</v>
      </c>
      <c r="E462" s="9">
        <f>Upload!AG452</f>
        <v>0</v>
      </c>
      <c r="F462" s="9" t="str">
        <f>Upload!X452</f>
        <v/>
      </c>
      <c r="G462" s="9" t="str">
        <f>Upload!Z452</f>
        <v/>
      </c>
      <c r="H462" s="9" t="str">
        <f>Upload!W452</f>
        <v>(seleccione)</v>
      </c>
      <c r="I462" s="9" t="str">
        <f>Upload!Y452</f>
        <v>(seleccione)</v>
      </c>
      <c r="K462" s="15" t="str">
        <f t="shared" si="42"/>
        <v/>
      </c>
      <c r="L462" s="15" t="str">
        <f t="shared" si="43"/>
        <v/>
      </c>
      <c r="M462" s="15" t="str">
        <f t="shared" si="44"/>
        <v/>
      </c>
      <c r="N462" s="15" t="str">
        <f t="shared" si="45"/>
        <v/>
      </c>
      <c r="O462" s="15" t="str">
        <f t="shared" si="46"/>
        <v/>
      </c>
      <c r="P462" s="15" t="str">
        <f>IF(OR(C462="",NOT(OR(ISNUMBER(SEARCH("Antitarnish",Upload!P452&amp;Upload!Q452&amp;Upload!R452&amp;Upload!S452&amp;Upload!T452)),ISNUMBER(SEARCH("Anti Tarnish",Upload!P452&amp;Upload!Q452&amp;Upload!R452&amp;Upload!S452&amp;Upload!T452))))),"",0.0012*C462)</f>
        <v/>
      </c>
      <c r="Q462" s="15" t="str">
        <f>IF(OR(E462="",NOT(OR(ISNUMBER(SEARCH("Epóxico MT",Upload!P452&amp;Upload!Q452&amp;Upload!R452&amp;Upload!S452&amp;Upload!T452))))),"",E462*0.000035)</f>
        <v/>
      </c>
      <c r="R462" s="15" t="str">
        <f>IF(OR(F462="",NOT(OR(ISNUMBER(SEARCH("Epóxico BT",Upload!Q452&amp;Upload!R452&amp;Upload!S452&amp;Upload!T452&amp;Upload!U452))))),"",F462*0.000035)</f>
        <v/>
      </c>
      <c r="S462" s="15" t="str">
        <f>IF(OR(G462="",NOT(OR(ISNUMBER(SEARCH("Epóxico Rojo",Upload!R452&amp;Upload!S452&amp;Upload!T452&amp;Upload!U452&amp;Upload!V452))))),"",G462*0.000035)</f>
        <v/>
      </c>
    </row>
    <row r="463" spans="1:19" x14ac:dyDescent="0.2">
      <c r="A463" s="9" t="e">
        <f t="shared" ca="1" si="41"/>
        <v>#NAME?</v>
      </c>
      <c r="B463" s="9">
        <f>Upload!E453</f>
        <v>0</v>
      </c>
      <c r="C463" s="9">
        <f>Upload!AE453</f>
        <v>0</v>
      </c>
      <c r="D463" s="9">
        <f>Upload!AF453</f>
        <v>0</v>
      </c>
      <c r="E463" s="9">
        <f>Upload!AG453</f>
        <v>0</v>
      </c>
      <c r="F463" s="9" t="str">
        <f>Upload!X453</f>
        <v/>
      </c>
      <c r="G463" s="9" t="str">
        <f>Upload!Z453</f>
        <v/>
      </c>
      <c r="H463" s="9" t="str">
        <f>Upload!W453</f>
        <v>(seleccione)</v>
      </c>
      <c r="I463" s="9" t="str">
        <f>Upload!Y453</f>
        <v>(seleccione)</v>
      </c>
      <c r="K463" s="15" t="str">
        <f t="shared" si="42"/>
        <v/>
      </c>
      <c r="L463" s="15" t="str">
        <f t="shared" si="43"/>
        <v/>
      </c>
      <c r="M463" s="15" t="str">
        <f t="shared" si="44"/>
        <v/>
      </c>
      <c r="N463" s="15" t="str">
        <f t="shared" si="45"/>
        <v/>
      </c>
      <c r="O463" s="15" t="str">
        <f t="shared" si="46"/>
        <v/>
      </c>
      <c r="P463" s="15" t="str">
        <f>IF(OR(C463="",NOT(OR(ISNUMBER(SEARCH("Antitarnish",Upload!P453&amp;Upload!Q453&amp;Upload!R453&amp;Upload!S453&amp;Upload!T453)),ISNUMBER(SEARCH("Anti Tarnish",Upload!P453&amp;Upload!Q453&amp;Upload!R453&amp;Upload!S453&amp;Upload!T453))))),"",0.0012*C463)</f>
        <v/>
      </c>
      <c r="Q463" s="15" t="str">
        <f>IF(OR(E463="",NOT(OR(ISNUMBER(SEARCH("Epóxico MT",Upload!P453&amp;Upload!Q453&amp;Upload!R453&amp;Upload!S453&amp;Upload!T453))))),"",E463*0.000035)</f>
        <v/>
      </c>
      <c r="R463" s="15" t="str">
        <f>IF(OR(F463="",NOT(OR(ISNUMBER(SEARCH("Epóxico BT",Upload!Q453&amp;Upload!R453&amp;Upload!S453&amp;Upload!T453&amp;Upload!U453))))),"",F463*0.000035)</f>
        <v/>
      </c>
      <c r="S463" s="15" t="str">
        <f>IF(OR(G463="",NOT(OR(ISNUMBER(SEARCH("Epóxico Rojo",Upload!R453&amp;Upload!S453&amp;Upload!T453&amp;Upload!U453&amp;Upload!V453))))),"",G463*0.000035)</f>
        <v/>
      </c>
    </row>
    <row r="464" spans="1:19" x14ac:dyDescent="0.2">
      <c r="A464" s="9" t="e">
        <f t="shared" ca="1" si="41"/>
        <v>#NAME?</v>
      </c>
      <c r="B464" s="9">
        <f>Upload!E454</f>
        <v>0</v>
      </c>
      <c r="C464" s="9">
        <f>Upload!AE454</f>
        <v>0</v>
      </c>
      <c r="D464" s="9">
        <f>Upload!AF454</f>
        <v>0</v>
      </c>
      <c r="E464" s="9">
        <f>Upload!AG454</f>
        <v>0</v>
      </c>
      <c r="F464" s="9" t="str">
        <f>Upload!X454</f>
        <v/>
      </c>
      <c r="G464" s="9" t="str">
        <f>Upload!Z454</f>
        <v/>
      </c>
      <c r="H464" s="9" t="str">
        <f>Upload!W454</f>
        <v>(seleccione)</v>
      </c>
      <c r="I464" s="9" t="str">
        <f>Upload!Y454</f>
        <v>(seleccione)</v>
      </c>
      <c r="K464" s="15" t="str">
        <f t="shared" si="42"/>
        <v/>
      </c>
      <c r="L464" s="15" t="str">
        <f t="shared" si="43"/>
        <v/>
      </c>
      <c r="M464" s="15" t="str">
        <f t="shared" si="44"/>
        <v/>
      </c>
      <c r="N464" s="15" t="str">
        <f t="shared" si="45"/>
        <v/>
      </c>
      <c r="O464" s="15" t="str">
        <f t="shared" si="46"/>
        <v/>
      </c>
      <c r="P464" s="15" t="str">
        <f>IF(OR(C464="",NOT(OR(ISNUMBER(SEARCH("Antitarnish",Upload!P454&amp;Upload!Q454&amp;Upload!R454&amp;Upload!S454&amp;Upload!T454)),ISNUMBER(SEARCH("Anti Tarnish",Upload!P454&amp;Upload!Q454&amp;Upload!R454&amp;Upload!S454&amp;Upload!T454))))),"",0.0012*C464)</f>
        <v/>
      </c>
      <c r="Q464" s="15" t="str">
        <f>IF(OR(E464="",NOT(OR(ISNUMBER(SEARCH("Epóxico MT",Upload!P454&amp;Upload!Q454&amp;Upload!R454&amp;Upload!S454&amp;Upload!T454))))),"",E464*0.000035)</f>
        <v/>
      </c>
      <c r="R464" s="15" t="str">
        <f>IF(OR(F464="",NOT(OR(ISNUMBER(SEARCH("Epóxico BT",Upload!Q454&amp;Upload!R454&amp;Upload!S454&amp;Upload!T454&amp;Upload!U454))))),"",F464*0.000035)</f>
        <v/>
      </c>
      <c r="S464" s="15" t="str">
        <f>IF(OR(G464="",NOT(OR(ISNUMBER(SEARCH("Epóxico Rojo",Upload!R454&amp;Upload!S454&amp;Upload!T454&amp;Upload!U454&amp;Upload!V454))))),"",G464*0.000035)</f>
        <v/>
      </c>
    </row>
    <row r="465" spans="1:19" x14ac:dyDescent="0.2">
      <c r="A465" s="9" t="e">
        <f t="shared" ca="1" si="41"/>
        <v>#NAME?</v>
      </c>
      <c r="B465" s="9">
        <f>Upload!E455</f>
        <v>0</v>
      </c>
      <c r="C465" s="9">
        <f>Upload!AE455</f>
        <v>0</v>
      </c>
      <c r="D465" s="9">
        <f>Upload!AF455</f>
        <v>0</v>
      </c>
      <c r="E465" s="9">
        <f>Upload!AG455</f>
        <v>0</v>
      </c>
      <c r="F465" s="9" t="str">
        <f>Upload!X455</f>
        <v/>
      </c>
      <c r="G465" s="9" t="str">
        <f>Upload!Z455</f>
        <v/>
      </c>
      <c r="H465" s="9" t="str">
        <f>Upload!W455</f>
        <v>(seleccione)</v>
      </c>
      <c r="I465" s="9" t="str">
        <f>Upload!Y455</f>
        <v>(seleccione)</v>
      </c>
      <c r="K465" s="15" t="str">
        <f t="shared" si="42"/>
        <v/>
      </c>
      <c r="L465" s="15" t="str">
        <f t="shared" si="43"/>
        <v/>
      </c>
      <c r="M465" s="15" t="str">
        <f t="shared" si="44"/>
        <v/>
      </c>
      <c r="N465" s="15" t="str">
        <f t="shared" si="45"/>
        <v/>
      </c>
      <c r="O465" s="15" t="str">
        <f t="shared" si="46"/>
        <v/>
      </c>
      <c r="P465" s="15" t="str">
        <f>IF(OR(C465="",NOT(OR(ISNUMBER(SEARCH("Antitarnish",Upload!P455&amp;Upload!Q455&amp;Upload!R455&amp;Upload!S455&amp;Upload!T455)),ISNUMBER(SEARCH("Anti Tarnish",Upload!P455&amp;Upload!Q455&amp;Upload!R455&amp;Upload!S455&amp;Upload!T455))))),"",0.0012*C465)</f>
        <v/>
      </c>
      <c r="Q465" s="15" t="str">
        <f>IF(OR(E465="",NOT(OR(ISNUMBER(SEARCH("Epóxico MT",Upload!P455&amp;Upload!Q455&amp;Upload!R455&amp;Upload!S455&amp;Upload!T455))))),"",E465*0.000035)</f>
        <v/>
      </c>
      <c r="R465" s="15" t="str">
        <f>IF(OR(F465="",NOT(OR(ISNUMBER(SEARCH("Epóxico BT",Upload!Q455&amp;Upload!R455&amp;Upload!S455&amp;Upload!T455&amp;Upload!U455))))),"",F465*0.000035)</f>
        <v/>
      </c>
      <c r="S465" s="15" t="str">
        <f>IF(OR(G465="",NOT(OR(ISNUMBER(SEARCH("Epóxico Rojo",Upload!R455&amp;Upload!S455&amp;Upload!T455&amp;Upload!U455&amp;Upload!V455))))),"",G465*0.000035)</f>
        <v/>
      </c>
    </row>
    <row r="466" spans="1:19" x14ac:dyDescent="0.2">
      <c r="A466" s="9" t="e">
        <f t="shared" ca="1" si="41"/>
        <v>#NAME?</v>
      </c>
      <c r="B466" s="9">
        <f>Upload!E456</f>
        <v>0</v>
      </c>
      <c r="C466" s="9">
        <f>Upload!AE456</f>
        <v>0</v>
      </c>
      <c r="D466" s="9">
        <f>Upload!AF456</f>
        <v>0</v>
      </c>
      <c r="E466" s="9">
        <f>Upload!AG456</f>
        <v>0</v>
      </c>
      <c r="F466" s="9" t="str">
        <f>Upload!X456</f>
        <v/>
      </c>
      <c r="G466" s="9" t="str">
        <f>Upload!Z456</f>
        <v/>
      </c>
      <c r="H466" s="9" t="str">
        <f>Upload!W456</f>
        <v>(seleccione)</v>
      </c>
      <c r="I466" s="9" t="str">
        <f>Upload!Y456</f>
        <v>(seleccione)</v>
      </c>
      <c r="K466" s="15" t="str">
        <f t="shared" si="42"/>
        <v/>
      </c>
      <c r="L466" s="15" t="str">
        <f t="shared" si="43"/>
        <v/>
      </c>
      <c r="M466" s="15" t="str">
        <f t="shared" si="44"/>
        <v/>
      </c>
      <c r="N466" s="15" t="str">
        <f t="shared" si="45"/>
        <v/>
      </c>
      <c r="O466" s="15" t="str">
        <f t="shared" si="46"/>
        <v/>
      </c>
      <c r="P466" s="15" t="str">
        <f>IF(OR(C466="",NOT(OR(ISNUMBER(SEARCH("Antitarnish",Upload!P456&amp;Upload!Q456&amp;Upload!R456&amp;Upload!S456&amp;Upload!T456)),ISNUMBER(SEARCH("Anti Tarnish",Upload!P456&amp;Upload!Q456&amp;Upload!R456&amp;Upload!S456&amp;Upload!T456))))),"",0.0012*C466)</f>
        <v/>
      </c>
      <c r="Q466" s="15" t="str">
        <f>IF(OR(E466="",NOT(OR(ISNUMBER(SEARCH("Epóxico MT",Upload!P456&amp;Upload!Q456&amp;Upload!R456&amp;Upload!S456&amp;Upload!T456))))),"",E466*0.000035)</f>
        <v/>
      </c>
      <c r="R466" s="15" t="str">
        <f>IF(OR(F466="",NOT(OR(ISNUMBER(SEARCH("Epóxico BT",Upload!Q456&amp;Upload!R456&amp;Upload!S456&amp;Upload!T456&amp;Upload!U456))))),"",F466*0.000035)</f>
        <v/>
      </c>
      <c r="S466" s="15" t="str">
        <f>IF(OR(G466="",NOT(OR(ISNUMBER(SEARCH("Epóxico Rojo",Upload!R456&amp;Upload!S456&amp;Upload!T456&amp;Upload!U456&amp;Upload!V456))))),"",G466*0.000035)</f>
        <v/>
      </c>
    </row>
    <row r="467" spans="1:19" x14ac:dyDescent="0.2">
      <c r="A467" s="9" t="e">
        <f t="shared" ref="A467:A518" ca="1" si="47">_xludf.ROW()-18</f>
        <v>#NAME?</v>
      </c>
      <c r="B467" s="9">
        <f>Upload!E457</f>
        <v>0</v>
      </c>
      <c r="C467" s="9">
        <f>Upload!AE457</f>
        <v>0</v>
      </c>
      <c r="D467" s="9">
        <f>Upload!AF457</f>
        <v>0</v>
      </c>
      <c r="E467" s="9">
        <f>Upload!AG457</f>
        <v>0</v>
      </c>
      <c r="F467" s="9" t="str">
        <f>Upload!X457</f>
        <v/>
      </c>
      <c r="G467" s="9" t="str">
        <f>Upload!Z457</f>
        <v/>
      </c>
      <c r="H467" s="9" t="str">
        <f>Upload!W457</f>
        <v>(seleccione)</v>
      </c>
      <c r="I467" s="9" t="str">
        <f>Upload!Y457</f>
        <v>(seleccione)</v>
      </c>
      <c r="K467" s="15" t="str">
        <f t="shared" si="42"/>
        <v/>
      </c>
      <c r="L467" s="15" t="str">
        <f t="shared" si="43"/>
        <v/>
      </c>
      <c r="M467" s="15" t="str">
        <f t="shared" si="44"/>
        <v/>
      </c>
      <c r="N467" s="15" t="str">
        <f t="shared" si="45"/>
        <v/>
      </c>
      <c r="O467" s="15" t="str">
        <f t="shared" si="46"/>
        <v/>
      </c>
      <c r="P467" s="15" t="str">
        <f>IF(OR(C467="",NOT(OR(ISNUMBER(SEARCH("Antitarnish",Upload!P457&amp;Upload!Q457&amp;Upload!R457&amp;Upload!S457&amp;Upload!T457)),ISNUMBER(SEARCH("Anti Tarnish",Upload!P457&amp;Upload!Q457&amp;Upload!R457&amp;Upload!S457&amp;Upload!T457))))),"",0.0012*C467)</f>
        <v/>
      </c>
      <c r="Q467" s="15" t="str">
        <f>IF(OR(E467="",NOT(OR(ISNUMBER(SEARCH("Epóxico MT",Upload!P457&amp;Upload!Q457&amp;Upload!R457&amp;Upload!S457&amp;Upload!T457))))),"",E467*0.000035)</f>
        <v/>
      </c>
      <c r="R467" s="15" t="str">
        <f>IF(OR(F467="",NOT(OR(ISNUMBER(SEARCH("Epóxico BT",Upload!Q457&amp;Upload!R457&amp;Upload!S457&amp;Upload!T457&amp;Upload!U457))))),"",F467*0.000035)</f>
        <v/>
      </c>
      <c r="S467" s="15" t="str">
        <f>IF(OR(G467="",NOT(OR(ISNUMBER(SEARCH("Epóxico Rojo",Upload!R457&amp;Upload!S457&amp;Upload!T457&amp;Upload!U457&amp;Upload!V457))))),"",G467*0.000035)</f>
        <v/>
      </c>
    </row>
    <row r="468" spans="1:19" x14ac:dyDescent="0.2">
      <c r="A468" s="9" t="e">
        <f t="shared" ca="1" si="47"/>
        <v>#NAME?</v>
      </c>
      <c r="B468" s="9">
        <f>Upload!E458</f>
        <v>0</v>
      </c>
      <c r="C468" s="9">
        <f>Upload!AE458</f>
        <v>0</v>
      </c>
      <c r="D468" s="9">
        <f>Upload!AF458</f>
        <v>0</v>
      </c>
      <c r="E468" s="9">
        <f>Upload!AG458</f>
        <v>0</v>
      </c>
      <c r="F468" s="9" t="str">
        <f>Upload!X458</f>
        <v/>
      </c>
      <c r="G468" s="9" t="str">
        <f>Upload!Z458</f>
        <v/>
      </c>
      <c r="H468" s="9" t="str">
        <f>Upload!W458</f>
        <v>(seleccione)</v>
      </c>
      <c r="I468" s="9" t="str">
        <f>Upload!Y458</f>
        <v>(seleccione)</v>
      </c>
      <c r="K468" s="15" t="str">
        <f t="shared" si="42"/>
        <v/>
      </c>
      <c r="L468" s="15" t="str">
        <f t="shared" si="43"/>
        <v/>
      </c>
      <c r="M468" s="15" t="str">
        <f t="shared" si="44"/>
        <v/>
      </c>
      <c r="N468" s="15" t="str">
        <f t="shared" si="45"/>
        <v/>
      </c>
      <c r="O468" s="15" t="str">
        <f t="shared" si="46"/>
        <v/>
      </c>
      <c r="P468" s="15" t="str">
        <f>IF(OR(C468="",NOT(OR(ISNUMBER(SEARCH("Antitarnish",Upload!P458&amp;Upload!Q458&amp;Upload!R458&amp;Upload!S458&amp;Upload!T458)),ISNUMBER(SEARCH("Anti Tarnish",Upload!P458&amp;Upload!Q458&amp;Upload!R458&amp;Upload!S458&amp;Upload!T458))))),"",0.0012*C468)</f>
        <v/>
      </c>
      <c r="Q468" s="15" t="str">
        <f>IF(OR(E468="",NOT(OR(ISNUMBER(SEARCH("Epóxico MT",Upload!P458&amp;Upload!Q458&amp;Upload!R458&amp;Upload!S458&amp;Upload!T458))))),"",E468*0.000035)</f>
        <v/>
      </c>
      <c r="R468" s="15" t="str">
        <f>IF(OR(F468="",NOT(OR(ISNUMBER(SEARCH("Epóxico BT",Upload!Q458&amp;Upload!R458&amp;Upload!S458&amp;Upload!T458&amp;Upload!U458))))),"",F468*0.000035)</f>
        <v/>
      </c>
      <c r="S468" s="15" t="str">
        <f>IF(OR(G468="",NOT(OR(ISNUMBER(SEARCH("Epóxico Rojo",Upload!R458&amp;Upload!S458&amp;Upload!T458&amp;Upload!U458&amp;Upload!V458))))),"",G468*0.000035)</f>
        <v/>
      </c>
    </row>
    <row r="469" spans="1:19" x14ac:dyDescent="0.2">
      <c r="A469" s="9" t="e">
        <f t="shared" ca="1" si="47"/>
        <v>#NAME?</v>
      </c>
      <c r="B469" s="9">
        <f>Upload!E459</f>
        <v>0</v>
      </c>
      <c r="C469" s="9">
        <f>Upload!AE459</f>
        <v>0</v>
      </c>
      <c r="D469" s="9">
        <f>Upload!AF459</f>
        <v>0</v>
      </c>
      <c r="E469" s="9">
        <f>Upload!AG459</f>
        <v>0</v>
      </c>
      <c r="F469" s="9" t="str">
        <f>Upload!X459</f>
        <v/>
      </c>
      <c r="G469" s="9" t="str">
        <f>Upload!Z459</f>
        <v/>
      </c>
      <c r="H469" s="9" t="str">
        <f>Upload!W459</f>
        <v>(seleccione)</v>
      </c>
      <c r="I469" s="9" t="str">
        <f>Upload!Y459</f>
        <v>(seleccione)</v>
      </c>
      <c r="K469" s="15" t="str">
        <f t="shared" si="42"/>
        <v/>
      </c>
      <c r="L469" s="15" t="str">
        <f t="shared" si="43"/>
        <v/>
      </c>
      <c r="M469" s="15" t="str">
        <f t="shared" si="44"/>
        <v/>
      </c>
      <c r="N469" s="15" t="str">
        <f t="shared" si="45"/>
        <v/>
      </c>
      <c r="O469" s="15" t="str">
        <f t="shared" si="46"/>
        <v/>
      </c>
      <c r="P469" s="15" t="str">
        <f>IF(OR(C469="",NOT(OR(ISNUMBER(SEARCH("Antitarnish",Upload!P459&amp;Upload!Q459&amp;Upload!R459&amp;Upload!S459&amp;Upload!T459)),ISNUMBER(SEARCH("Anti Tarnish",Upload!P459&amp;Upload!Q459&amp;Upload!R459&amp;Upload!S459&amp;Upload!T459))))),"",0.0012*C469)</f>
        <v/>
      </c>
      <c r="Q469" s="15" t="str">
        <f>IF(OR(E469="",NOT(OR(ISNUMBER(SEARCH("Epóxico MT",Upload!P459&amp;Upload!Q459&amp;Upload!R459&amp;Upload!S459&amp;Upload!T459))))),"",E469*0.000035)</f>
        <v/>
      </c>
      <c r="R469" s="15" t="str">
        <f>IF(OR(F469="",NOT(OR(ISNUMBER(SEARCH("Epóxico BT",Upload!Q459&amp;Upload!R459&amp;Upload!S459&amp;Upload!T459&amp;Upload!U459))))),"",F469*0.000035)</f>
        <v/>
      </c>
      <c r="S469" s="15" t="str">
        <f>IF(OR(G469="",NOT(OR(ISNUMBER(SEARCH("Epóxico Rojo",Upload!R459&amp;Upload!S459&amp;Upload!T459&amp;Upload!U459&amp;Upload!V459))))),"",G469*0.000035)</f>
        <v/>
      </c>
    </row>
    <row r="470" spans="1:19" x14ac:dyDescent="0.2">
      <c r="A470" s="9" t="e">
        <f t="shared" ca="1" si="47"/>
        <v>#NAME?</v>
      </c>
      <c r="B470" s="9">
        <f>Upload!E460</f>
        <v>0</v>
      </c>
      <c r="C470" s="9">
        <f>Upload!AE460</f>
        <v>0</v>
      </c>
      <c r="D470" s="9">
        <f>Upload!AF460</f>
        <v>0</v>
      </c>
      <c r="E470" s="9">
        <f>Upload!AG460</f>
        <v>0</v>
      </c>
      <c r="F470" s="9" t="str">
        <f>Upload!X460</f>
        <v/>
      </c>
      <c r="G470" s="9" t="str">
        <f>Upload!Z460</f>
        <v/>
      </c>
      <c r="H470" s="9" t="str">
        <f>Upload!W460</f>
        <v>(seleccione)</v>
      </c>
      <c r="I470" s="9" t="str">
        <f>Upload!Y460</f>
        <v>(seleccione)</v>
      </c>
      <c r="K470" s="15" t="str">
        <f t="shared" si="42"/>
        <v/>
      </c>
      <c r="L470" s="15" t="str">
        <f t="shared" si="43"/>
        <v/>
      </c>
      <c r="M470" s="15" t="str">
        <f t="shared" si="44"/>
        <v/>
      </c>
      <c r="N470" s="15" t="str">
        <f t="shared" si="45"/>
        <v/>
      </c>
      <c r="O470" s="15" t="str">
        <f t="shared" si="46"/>
        <v/>
      </c>
      <c r="P470" s="15" t="str">
        <f>IF(OR(C470="",NOT(OR(ISNUMBER(SEARCH("Antitarnish",Upload!P460&amp;Upload!Q460&amp;Upload!R460&amp;Upload!S460&amp;Upload!T460)),ISNUMBER(SEARCH("Anti Tarnish",Upload!P460&amp;Upload!Q460&amp;Upload!R460&amp;Upload!S460&amp;Upload!T460))))),"",0.0012*C470)</f>
        <v/>
      </c>
      <c r="Q470" s="15" t="str">
        <f>IF(OR(E470="",NOT(OR(ISNUMBER(SEARCH("Epóxico MT",Upload!P460&amp;Upload!Q460&amp;Upload!R460&amp;Upload!S460&amp;Upload!T460))))),"",E470*0.000035)</f>
        <v/>
      </c>
      <c r="R470" s="15" t="str">
        <f>IF(OR(F470="",NOT(OR(ISNUMBER(SEARCH("Epóxico BT",Upload!Q460&amp;Upload!R460&amp;Upload!S460&amp;Upload!T460&amp;Upload!U460))))),"",F470*0.000035)</f>
        <v/>
      </c>
      <c r="S470" s="15" t="str">
        <f>IF(OR(G470="",NOT(OR(ISNUMBER(SEARCH("Epóxico Rojo",Upload!R460&amp;Upload!S460&amp;Upload!T460&amp;Upload!U460&amp;Upload!V460))))),"",G470*0.000035)</f>
        <v/>
      </c>
    </row>
    <row r="471" spans="1:19" x14ac:dyDescent="0.2">
      <c r="A471" s="9" t="e">
        <f t="shared" ca="1" si="47"/>
        <v>#NAME?</v>
      </c>
      <c r="B471" s="9">
        <f>Upload!E461</f>
        <v>0</v>
      </c>
      <c r="C471" s="9">
        <f>Upload!AE461</f>
        <v>0</v>
      </c>
      <c r="D471" s="9">
        <f>Upload!AF461</f>
        <v>0</v>
      </c>
      <c r="E471" s="9">
        <f>Upload!AG461</f>
        <v>0</v>
      </c>
      <c r="F471" s="9" t="str">
        <f>Upload!X461</f>
        <v/>
      </c>
      <c r="G471" s="9" t="str">
        <f>Upload!Z461</f>
        <v/>
      </c>
      <c r="H471" s="9" t="str">
        <f>Upload!W461</f>
        <v>(seleccione)</v>
      </c>
      <c r="I471" s="9" t="str">
        <f>Upload!Y461</f>
        <v>(seleccione)</v>
      </c>
      <c r="K471" s="15" t="str">
        <f t="shared" si="42"/>
        <v/>
      </c>
      <c r="L471" s="15" t="str">
        <f t="shared" si="43"/>
        <v/>
      </c>
      <c r="M471" s="15" t="str">
        <f t="shared" si="44"/>
        <v/>
      </c>
      <c r="N471" s="15" t="str">
        <f t="shared" si="45"/>
        <v/>
      </c>
      <c r="O471" s="15" t="str">
        <f t="shared" si="46"/>
        <v/>
      </c>
      <c r="P471" s="15" t="str">
        <f>IF(OR(C471="",NOT(OR(ISNUMBER(SEARCH("Antitarnish",Upload!P461&amp;Upload!Q461&amp;Upload!R461&amp;Upload!S461&amp;Upload!T461)),ISNUMBER(SEARCH("Anti Tarnish",Upload!P461&amp;Upload!Q461&amp;Upload!R461&amp;Upload!S461&amp;Upload!T461))))),"",0.0012*C471)</f>
        <v/>
      </c>
      <c r="Q471" s="15" t="str">
        <f>IF(OR(E471="",NOT(OR(ISNUMBER(SEARCH("Epóxico MT",Upload!P461&amp;Upload!Q461&amp;Upload!R461&amp;Upload!S461&amp;Upload!T461))))),"",E471*0.000035)</f>
        <v/>
      </c>
      <c r="R471" s="15" t="str">
        <f>IF(OR(F471="",NOT(OR(ISNUMBER(SEARCH("Epóxico BT",Upload!Q461&amp;Upload!R461&amp;Upload!S461&amp;Upload!T461&amp;Upload!U461))))),"",F471*0.000035)</f>
        <v/>
      </c>
      <c r="S471" s="15" t="str">
        <f>IF(OR(G471="",NOT(OR(ISNUMBER(SEARCH("Epóxico Rojo",Upload!R461&amp;Upload!S461&amp;Upload!T461&amp;Upload!U461&amp;Upload!V461))))),"",G471*0.000035)</f>
        <v/>
      </c>
    </row>
    <row r="472" spans="1:19" x14ac:dyDescent="0.2">
      <c r="A472" s="9" t="e">
        <f t="shared" ca="1" si="47"/>
        <v>#NAME?</v>
      </c>
      <c r="B472" s="9">
        <f>Upload!E462</f>
        <v>0</v>
      </c>
      <c r="C472" s="9">
        <f>Upload!AE462</f>
        <v>0</v>
      </c>
      <c r="D472" s="9">
        <f>Upload!AF462</f>
        <v>0</v>
      </c>
      <c r="E472" s="9">
        <f>Upload!AG462</f>
        <v>0</v>
      </c>
      <c r="F472" s="9" t="str">
        <f>Upload!X462</f>
        <v/>
      </c>
      <c r="G472" s="9" t="str">
        <f>Upload!Z462</f>
        <v/>
      </c>
      <c r="H472" s="9" t="str">
        <f>Upload!W462</f>
        <v>(seleccione)</v>
      </c>
      <c r="I472" s="9" t="str">
        <f>Upload!Y462</f>
        <v>(seleccione)</v>
      </c>
      <c r="K472" s="15" t="str">
        <f t="shared" si="42"/>
        <v/>
      </c>
      <c r="L472" s="15" t="str">
        <f t="shared" si="43"/>
        <v/>
      </c>
      <c r="M472" s="15" t="str">
        <f t="shared" si="44"/>
        <v/>
      </c>
      <c r="N472" s="15" t="str">
        <f t="shared" si="45"/>
        <v/>
      </c>
      <c r="O472" s="15" t="str">
        <f t="shared" si="46"/>
        <v/>
      </c>
      <c r="P472" s="15" t="str">
        <f>IF(OR(C472="",NOT(OR(ISNUMBER(SEARCH("Antitarnish",Upload!P462&amp;Upload!Q462&amp;Upload!R462&amp;Upload!S462&amp;Upload!T462)),ISNUMBER(SEARCH("Anti Tarnish",Upload!P462&amp;Upload!Q462&amp;Upload!R462&amp;Upload!S462&amp;Upload!T462))))),"",0.0012*C472)</f>
        <v/>
      </c>
      <c r="Q472" s="15" t="str">
        <f>IF(OR(E472="",NOT(OR(ISNUMBER(SEARCH("Epóxico MT",Upload!P462&amp;Upload!Q462&amp;Upload!R462&amp;Upload!S462&amp;Upload!T462))))),"",E472*0.000035)</f>
        <v/>
      </c>
      <c r="R472" s="15" t="str">
        <f>IF(OR(F472="",NOT(OR(ISNUMBER(SEARCH("Epóxico BT",Upload!Q462&amp;Upload!R462&amp;Upload!S462&amp;Upload!T462&amp;Upload!U462))))),"",F472*0.000035)</f>
        <v/>
      </c>
      <c r="S472" s="15" t="str">
        <f>IF(OR(G472="",NOT(OR(ISNUMBER(SEARCH("Epóxico Rojo",Upload!R462&amp;Upload!S462&amp;Upload!T462&amp;Upload!U462&amp;Upload!V462))))),"",G472*0.000035)</f>
        <v/>
      </c>
    </row>
    <row r="473" spans="1:19" x14ac:dyDescent="0.2">
      <c r="A473" s="9" t="e">
        <f t="shared" ca="1" si="47"/>
        <v>#NAME?</v>
      </c>
      <c r="B473" s="9">
        <f>Upload!E463</f>
        <v>0</v>
      </c>
      <c r="C473" s="9">
        <f>Upload!AE463</f>
        <v>0</v>
      </c>
      <c r="D473" s="9">
        <f>Upload!AF463</f>
        <v>0</v>
      </c>
      <c r="E473" s="9">
        <f>Upload!AG463</f>
        <v>0</v>
      </c>
      <c r="F473" s="9" t="str">
        <f>Upload!X463</f>
        <v/>
      </c>
      <c r="G473" s="9" t="str">
        <f>Upload!Z463</f>
        <v/>
      </c>
      <c r="H473" s="9" t="str">
        <f>Upload!W463</f>
        <v>(seleccione)</v>
      </c>
      <c r="I473" s="9" t="str">
        <f>Upload!Y463</f>
        <v>(seleccione)</v>
      </c>
      <c r="K473" s="15" t="str">
        <f t="shared" si="42"/>
        <v/>
      </c>
      <c r="L473" s="15" t="str">
        <f t="shared" si="43"/>
        <v/>
      </c>
      <c r="M473" s="15" t="str">
        <f t="shared" si="44"/>
        <v/>
      </c>
      <c r="N473" s="15" t="str">
        <f t="shared" si="45"/>
        <v/>
      </c>
      <c r="O473" s="15" t="str">
        <f t="shared" si="46"/>
        <v/>
      </c>
      <c r="P473" s="15" t="str">
        <f>IF(OR(C473="",NOT(OR(ISNUMBER(SEARCH("Antitarnish",Upload!P463&amp;Upload!Q463&amp;Upload!R463&amp;Upload!S463&amp;Upload!T463)),ISNUMBER(SEARCH("Anti Tarnish",Upload!P463&amp;Upload!Q463&amp;Upload!R463&amp;Upload!S463&amp;Upload!T463))))),"",0.0012*C473)</f>
        <v/>
      </c>
      <c r="Q473" s="15" t="str">
        <f>IF(OR(E473="",NOT(OR(ISNUMBER(SEARCH("Epóxico MT",Upload!P463&amp;Upload!Q463&amp;Upload!R463&amp;Upload!S463&amp;Upload!T463))))),"",E473*0.000035)</f>
        <v/>
      </c>
      <c r="R473" s="15" t="str">
        <f>IF(OR(F473="",NOT(OR(ISNUMBER(SEARCH("Epóxico BT",Upload!Q463&amp;Upload!R463&amp;Upload!S463&amp;Upload!T463&amp;Upload!U463))))),"",F473*0.000035)</f>
        <v/>
      </c>
      <c r="S473" s="15" t="str">
        <f>IF(OR(G473="",NOT(OR(ISNUMBER(SEARCH("Epóxico Rojo",Upload!R463&amp;Upload!S463&amp;Upload!T463&amp;Upload!U463&amp;Upload!V463))))),"",G473*0.000035)</f>
        <v/>
      </c>
    </row>
    <row r="474" spans="1:19" x14ac:dyDescent="0.2">
      <c r="A474" s="9" t="e">
        <f t="shared" ca="1" si="47"/>
        <v>#NAME?</v>
      </c>
      <c r="B474" s="9">
        <f>Upload!E464</f>
        <v>0</v>
      </c>
      <c r="C474" s="9">
        <f>Upload!AE464</f>
        <v>0</v>
      </c>
      <c r="D474" s="9">
        <f>Upload!AF464</f>
        <v>0</v>
      </c>
      <c r="E474" s="9">
        <f>Upload!AG464</f>
        <v>0</v>
      </c>
      <c r="F474" s="9" t="str">
        <f>Upload!X464</f>
        <v/>
      </c>
      <c r="G474" s="9" t="str">
        <f>Upload!Z464</f>
        <v/>
      </c>
      <c r="H474" s="9" t="str">
        <f>Upload!W464</f>
        <v>(seleccione)</v>
      </c>
      <c r="I474" s="9" t="str">
        <f>Upload!Y464</f>
        <v>(seleccione)</v>
      </c>
      <c r="K474" s="15" t="str">
        <f t="shared" si="42"/>
        <v/>
      </c>
      <c r="L474" s="15" t="str">
        <f t="shared" si="43"/>
        <v/>
      </c>
      <c r="M474" s="15" t="str">
        <f t="shared" si="44"/>
        <v/>
      </c>
      <c r="N474" s="15" t="str">
        <f t="shared" si="45"/>
        <v/>
      </c>
      <c r="O474" s="15" t="str">
        <f t="shared" si="46"/>
        <v/>
      </c>
      <c r="P474" s="15" t="str">
        <f>IF(OR(C474="",NOT(OR(ISNUMBER(SEARCH("Antitarnish",Upload!P464&amp;Upload!Q464&amp;Upload!R464&amp;Upload!S464&amp;Upload!T464)),ISNUMBER(SEARCH("Anti Tarnish",Upload!P464&amp;Upload!Q464&amp;Upload!R464&amp;Upload!S464&amp;Upload!T464))))),"",0.0012*C474)</f>
        <v/>
      </c>
      <c r="Q474" s="15" t="str">
        <f>IF(OR(E474="",NOT(OR(ISNUMBER(SEARCH("Epóxico MT",Upload!P464&amp;Upload!Q464&amp;Upload!R464&amp;Upload!S464&amp;Upload!T464))))),"",E474*0.000035)</f>
        <v/>
      </c>
      <c r="R474" s="15" t="str">
        <f>IF(OR(F474="",NOT(OR(ISNUMBER(SEARCH("Epóxico BT",Upload!Q464&amp;Upload!R464&amp;Upload!S464&amp;Upload!T464&amp;Upload!U464))))),"",F474*0.000035)</f>
        <v/>
      </c>
      <c r="S474" s="15" t="str">
        <f>IF(OR(G474="",NOT(OR(ISNUMBER(SEARCH("Epóxico Rojo",Upload!R464&amp;Upload!S464&amp;Upload!T464&amp;Upload!U464&amp;Upload!V464))))),"",G474*0.000035)</f>
        <v/>
      </c>
    </row>
    <row r="475" spans="1:19" x14ac:dyDescent="0.2">
      <c r="A475" s="9" t="e">
        <f t="shared" ca="1" si="47"/>
        <v>#NAME?</v>
      </c>
      <c r="B475" s="9">
        <f>Upload!E465</f>
        <v>0</v>
      </c>
      <c r="C475" s="9">
        <f>Upload!AE465</f>
        <v>0</v>
      </c>
      <c r="D475" s="9">
        <f>Upload!AF465</f>
        <v>0</v>
      </c>
      <c r="E475" s="9">
        <f>Upload!AG465</f>
        <v>0</v>
      </c>
      <c r="F475" s="9" t="str">
        <f>Upload!X465</f>
        <v/>
      </c>
      <c r="G475" s="9" t="str">
        <f>Upload!Z465</f>
        <v/>
      </c>
      <c r="H475" s="9" t="str">
        <f>Upload!W465</f>
        <v>(seleccione)</v>
      </c>
      <c r="I475" s="9" t="str">
        <f>Upload!Y465</f>
        <v>(seleccione)</v>
      </c>
      <c r="K475" s="15" t="str">
        <f t="shared" si="42"/>
        <v/>
      </c>
      <c r="L475" s="15" t="str">
        <f t="shared" si="43"/>
        <v/>
      </c>
      <c r="M475" s="15" t="str">
        <f t="shared" si="44"/>
        <v/>
      </c>
      <c r="N475" s="15" t="str">
        <f t="shared" si="45"/>
        <v/>
      </c>
      <c r="O475" s="15" t="str">
        <f t="shared" si="46"/>
        <v/>
      </c>
      <c r="P475" s="15" t="str">
        <f>IF(OR(C475="",NOT(OR(ISNUMBER(SEARCH("Antitarnish",Upload!P465&amp;Upload!Q465&amp;Upload!R465&amp;Upload!S465&amp;Upload!T465)),ISNUMBER(SEARCH("Anti Tarnish",Upload!P465&amp;Upload!Q465&amp;Upload!R465&amp;Upload!S465&amp;Upload!T465))))),"",0.0012*C475)</f>
        <v/>
      </c>
      <c r="Q475" s="15" t="str">
        <f>IF(OR(E475="",NOT(OR(ISNUMBER(SEARCH("Epóxico MT",Upload!P465&amp;Upload!Q465&amp;Upload!R465&amp;Upload!S465&amp;Upload!T465))))),"",E475*0.000035)</f>
        <v/>
      </c>
      <c r="R475" s="15" t="str">
        <f>IF(OR(F475="",NOT(OR(ISNUMBER(SEARCH("Epóxico BT",Upload!Q465&amp;Upload!R465&amp;Upload!S465&amp;Upload!T465&amp;Upload!U465))))),"",F475*0.000035)</f>
        <v/>
      </c>
      <c r="S475" s="15" t="str">
        <f>IF(OR(G475="",NOT(OR(ISNUMBER(SEARCH("Epóxico Rojo",Upload!R465&amp;Upload!S465&amp;Upload!T465&amp;Upload!U465&amp;Upload!V465))))),"",G475*0.000035)</f>
        <v/>
      </c>
    </row>
    <row r="476" spans="1:19" x14ac:dyDescent="0.2">
      <c r="A476" s="9" t="e">
        <f t="shared" ca="1" si="47"/>
        <v>#NAME?</v>
      </c>
      <c r="B476" s="9">
        <f>Upload!E466</f>
        <v>0</v>
      </c>
      <c r="C476" s="9">
        <f>Upload!AE466</f>
        <v>0</v>
      </c>
      <c r="D476" s="9">
        <f>Upload!AF466</f>
        <v>0</v>
      </c>
      <c r="E476" s="9">
        <f>Upload!AG466</f>
        <v>0</v>
      </c>
      <c r="F476" s="9" t="str">
        <f>Upload!X466</f>
        <v/>
      </c>
      <c r="G476" s="9" t="str">
        <f>Upload!Z466</f>
        <v/>
      </c>
      <c r="H476" s="9" t="str">
        <f>Upload!W466</f>
        <v>(seleccione)</v>
      </c>
      <c r="I476" s="9" t="str">
        <f>Upload!Y466</f>
        <v>(seleccione)</v>
      </c>
      <c r="K476" s="15" t="str">
        <f t="shared" si="42"/>
        <v/>
      </c>
      <c r="L476" s="15" t="str">
        <f t="shared" si="43"/>
        <v/>
      </c>
      <c r="M476" s="15" t="str">
        <f t="shared" si="44"/>
        <v/>
      </c>
      <c r="N476" s="15" t="str">
        <f t="shared" si="45"/>
        <v/>
      </c>
      <c r="O476" s="15" t="str">
        <f t="shared" si="46"/>
        <v/>
      </c>
      <c r="P476" s="15" t="str">
        <f>IF(OR(C476="",NOT(OR(ISNUMBER(SEARCH("Antitarnish",Upload!P466&amp;Upload!Q466&amp;Upload!R466&amp;Upload!S466&amp;Upload!T466)),ISNUMBER(SEARCH("Anti Tarnish",Upload!P466&amp;Upload!Q466&amp;Upload!R466&amp;Upload!S466&amp;Upload!T466))))),"",0.0012*C476)</f>
        <v/>
      </c>
      <c r="Q476" s="15" t="str">
        <f>IF(OR(E476="",NOT(OR(ISNUMBER(SEARCH("Epóxico MT",Upload!P466&amp;Upload!Q466&amp;Upload!R466&amp;Upload!S466&amp;Upload!T466))))),"",E476*0.000035)</f>
        <v/>
      </c>
      <c r="R476" s="15" t="str">
        <f>IF(OR(F476="",NOT(OR(ISNUMBER(SEARCH("Epóxico BT",Upload!Q466&amp;Upload!R466&amp;Upload!S466&amp;Upload!T466&amp;Upload!U466))))),"",F476*0.000035)</f>
        <v/>
      </c>
      <c r="S476" s="15" t="str">
        <f>IF(OR(G476="",NOT(OR(ISNUMBER(SEARCH("Epóxico Rojo",Upload!R466&amp;Upload!S466&amp;Upload!T466&amp;Upload!U466&amp;Upload!V466))))),"",G476*0.000035)</f>
        <v/>
      </c>
    </row>
    <row r="477" spans="1:19" x14ac:dyDescent="0.2">
      <c r="A477" s="9" t="e">
        <f t="shared" ca="1" si="47"/>
        <v>#NAME?</v>
      </c>
      <c r="B477" s="9">
        <f>Upload!E467</f>
        <v>0</v>
      </c>
      <c r="C477" s="9">
        <f>Upload!AE467</f>
        <v>0</v>
      </c>
      <c r="D477" s="9">
        <f>Upload!AF467</f>
        <v>0</v>
      </c>
      <c r="E477" s="9">
        <f>Upload!AG467</f>
        <v>0</v>
      </c>
      <c r="F477" s="9" t="str">
        <f>Upload!X467</f>
        <v/>
      </c>
      <c r="G477" s="9" t="str">
        <f>Upload!Z467</f>
        <v/>
      </c>
      <c r="H477" s="9" t="str">
        <f>Upload!W467</f>
        <v>(seleccione)</v>
      </c>
      <c r="I477" s="9" t="str">
        <f>Upload!Y467</f>
        <v>(seleccione)</v>
      </c>
      <c r="K477" s="15" t="str">
        <f t="shared" si="42"/>
        <v/>
      </c>
      <c r="L477" s="15" t="str">
        <f t="shared" si="43"/>
        <v/>
      </c>
      <c r="M477" s="15" t="str">
        <f t="shared" si="44"/>
        <v/>
      </c>
      <c r="N477" s="15" t="str">
        <f t="shared" si="45"/>
        <v/>
      </c>
      <c r="O477" s="15" t="str">
        <f t="shared" si="46"/>
        <v/>
      </c>
      <c r="P477" s="15" t="str">
        <f>IF(OR(C477="",NOT(OR(ISNUMBER(SEARCH("Antitarnish",Upload!P467&amp;Upload!Q467&amp;Upload!R467&amp;Upload!S467&amp;Upload!T467)),ISNUMBER(SEARCH("Anti Tarnish",Upload!P467&amp;Upload!Q467&amp;Upload!R467&amp;Upload!S467&amp;Upload!T467))))),"",0.0012*C477)</f>
        <v/>
      </c>
      <c r="Q477" s="15" t="str">
        <f>IF(OR(E477="",NOT(OR(ISNUMBER(SEARCH("Epóxico MT",Upload!P467&amp;Upload!Q467&amp;Upload!R467&amp;Upload!S467&amp;Upload!T467))))),"",E477*0.000035)</f>
        <v/>
      </c>
      <c r="R477" s="15" t="str">
        <f>IF(OR(F477="",NOT(OR(ISNUMBER(SEARCH("Epóxico BT",Upload!Q467&amp;Upload!R467&amp;Upload!S467&amp;Upload!T467&amp;Upload!U467))))),"",F477*0.000035)</f>
        <v/>
      </c>
      <c r="S477" s="15" t="str">
        <f>IF(OR(G477="",NOT(OR(ISNUMBER(SEARCH("Epóxico Rojo",Upload!R467&amp;Upload!S467&amp;Upload!T467&amp;Upload!U467&amp;Upload!V467))))),"",G477*0.000035)</f>
        <v/>
      </c>
    </row>
    <row r="478" spans="1:19" x14ac:dyDescent="0.2">
      <c r="A478" s="9" t="e">
        <f t="shared" ca="1" si="47"/>
        <v>#NAME?</v>
      </c>
      <c r="B478" s="9">
        <f>Upload!E468</f>
        <v>0</v>
      </c>
      <c r="C478" s="9">
        <f>Upload!AE468</f>
        <v>0</v>
      </c>
      <c r="D478" s="9">
        <f>Upload!AF468</f>
        <v>0</v>
      </c>
      <c r="E478" s="9">
        <f>Upload!AG468</f>
        <v>0</v>
      </c>
      <c r="F478" s="9" t="str">
        <f>Upload!X468</f>
        <v/>
      </c>
      <c r="G478" s="9" t="str">
        <f>Upload!Z468</f>
        <v/>
      </c>
      <c r="H478" s="9" t="str">
        <f>Upload!W468</f>
        <v>(seleccione)</v>
      </c>
      <c r="I478" s="9" t="str">
        <f>Upload!Y468</f>
        <v>(seleccione)</v>
      </c>
      <c r="K478" s="15" t="str">
        <f t="shared" si="42"/>
        <v/>
      </c>
      <c r="L478" s="15" t="str">
        <f t="shared" si="43"/>
        <v/>
      </c>
      <c r="M478" s="15" t="str">
        <f t="shared" si="44"/>
        <v/>
      </c>
      <c r="N478" s="15" t="str">
        <f t="shared" si="45"/>
        <v/>
      </c>
      <c r="O478" s="15" t="str">
        <f t="shared" si="46"/>
        <v/>
      </c>
      <c r="P478" s="15" t="str">
        <f>IF(OR(C478="",NOT(OR(ISNUMBER(SEARCH("Antitarnish",Upload!P468&amp;Upload!Q468&amp;Upload!R468&amp;Upload!S468&amp;Upload!T468)),ISNUMBER(SEARCH("Anti Tarnish",Upload!P468&amp;Upload!Q468&amp;Upload!R468&amp;Upload!S468&amp;Upload!T468))))),"",0.0012*C478)</f>
        <v/>
      </c>
      <c r="Q478" s="15" t="str">
        <f>IF(OR(E478="",NOT(OR(ISNUMBER(SEARCH("Epóxico MT",Upload!P468&amp;Upload!Q468&amp;Upload!R468&amp;Upload!S468&amp;Upload!T468))))),"",E478*0.000035)</f>
        <v/>
      </c>
      <c r="R478" s="15" t="str">
        <f>IF(OR(F478="",NOT(OR(ISNUMBER(SEARCH("Epóxico BT",Upload!Q468&amp;Upload!R468&amp;Upload!S468&amp;Upload!T468&amp;Upload!U468))))),"",F478*0.000035)</f>
        <v/>
      </c>
      <c r="S478" s="15" t="str">
        <f>IF(OR(G478="",NOT(OR(ISNUMBER(SEARCH("Epóxico Rojo",Upload!R468&amp;Upload!S468&amp;Upload!T468&amp;Upload!U468&amp;Upload!V468))))),"",G478*0.000035)</f>
        <v/>
      </c>
    </row>
    <row r="479" spans="1:19" x14ac:dyDescent="0.2">
      <c r="A479" s="9" t="e">
        <f t="shared" ca="1" si="47"/>
        <v>#NAME?</v>
      </c>
      <c r="B479" s="9">
        <f>Upload!E469</f>
        <v>0</v>
      </c>
      <c r="C479" s="9">
        <f>Upload!AE469</f>
        <v>0</v>
      </c>
      <c r="D479" s="9">
        <f>Upload!AF469</f>
        <v>0</v>
      </c>
      <c r="E479" s="9">
        <f>Upload!AG469</f>
        <v>0</v>
      </c>
      <c r="F479" s="9" t="str">
        <f>Upload!X469</f>
        <v/>
      </c>
      <c r="G479" s="9" t="str">
        <f>Upload!Z469</f>
        <v/>
      </c>
      <c r="H479" s="9" t="str">
        <f>Upload!W469</f>
        <v>(seleccione)</v>
      </c>
      <c r="I479" s="9" t="str">
        <f>Upload!Y469</f>
        <v>(seleccione)</v>
      </c>
      <c r="K479" s="15" t="str">
        <f t="shared" si="42"/>
        <v/>
      </c>
      <c r="L479" s="15" t="str">
        <f t="shared" si="43"/>
        <v/>
      </c>
      <c r="M479" s="15" t="str">
        <f t="shared" si="44"/>
        <v/>
      </c>
      <c r="N479" s="15" t="str">
        <f t="shared" si="45"/>
        <v/>
      </c>
      <c r="O479" s="15" t="str">
        <f t="shared" si="46"/>
        <v/>
      </c>
      <c r="P479" s="15" t="str">
        <f>IF(OR(C479="",NOT(OR(ISNUMBER(SEARCH("Antitarnish",Upload!P469&amp;Upload!Q469&amp;Upload!R469&amp;Upload!S469&amp;Upload!T469)),ISNUMBER(SEARCH("Anti Tarnish",Upload!P469&amp;Upload!Q469&amp;Upload!R469&amp;Upload!S469&amp;Upload!T469))))),"",0.0012*C479)</f>
        <v/>
      </c>
      <c r="Q479" s="15" t="str">
        <f>IF(OR(E479="",NOT(OR(ISNUMBER(SEARCH("Epóxico MT",Upload!P469&amp;Upload!Q469&amp;Upload!R469&amp;Upload!S469&amp;Upload!T469))))),"",E479*0.000035)</f>
        <v/>
      </c>
      <c r="R479" s="15" t="str">
        <f>IF(OR(F479="",NOT(OR(ISNUMBER(SEARCH("Epóxico BT",Upload!Q469&amp;Upload!R469&amp;Upload!S469&amp;Upload!T469&amp;Upload!U469))))),"",F479*0.000035)</f>
        <v/>
      </c>
      <c r="S479" s="15" t="str">
        <f>IF(OR(G479="",NOT(OR(ISNUMBER(SEARCH("Epóxico Rojo",Upload!R469&amp;Upload!S469&amp;Upload!T469&amp;Upload!U469&amp;Upload!V469))))),"",G479*0.000035)</f>
        <v/>
      </c>
    </row>
    <row r="480" spans="1:19" x14ac:dyDescent="0.2">
      <c r="A480" s="9" t="e">
        <f t="shared" ca="1" si="47"/>
        <v>#NAME?</v>
      </c>
      <c r="B480" s="9">
        <f>Upload!E470</f>
        <v>0</v>
      </c>
      <c r="C480" s="9">
        <f>Upload!AE470</f>
        <v>0</v>
      </c>
      <c r="D480" s="9">
        <f>Upload!AF470</f>
        <v>0</v>
      </c>
      <c r="E480" s="9">
        <f>Upload!AG470</f>
        <v>0</v>
      </c>
      <c r="F480" s="9" t="str">
        <f>Upload!X470</f>
        <v/>
      </c>
      <c r="G480" s="9" t="str">
        <f>Upload!Z470</f>
        <v/>
      </c>
      <c r="H480" s="9" t="str">
        <f>Upload!W470</f>
        <v>(seleccione)</v>
      </c>
      <c r="I480" s="9" t="str">
        <f>Upload!Y470</f>
        <v>(seleccione)</v>
      </c>
      <c r="K480" s="15" t="str">
        <f t="shared" si="42"/>
        <v/>
      </c>
      <c r="L480" s="15" t="str">
        <f t="shared" si="43"/>
        <v/>
      </c>
      <c r="M480" s="15" t="str">
        <f t="shared" si="44"/>
        <v/>
      </c>
      <c r="N480" s="15" t="str">
        <f t="shared" si="45"/>
        <v/>
      </c>
      <c r="O480" s="15" t="str">
        <f t="shared" si="46"/>
        <v/>
      </c>
      <c r="P480" s="15" t="str">
        <f>IF(OR(C480="",NOT(OR(ISNUMBER(SEARCH("Antitarnish",Upload!P470&amp;Upload!Q470&amp;Upload!R470&amp;Upload!S470&amp;Upload!T470)),ISNUMBER(SEARCH("Anti Tarnish",Upload!P470&amp;Upload!Q470&amp;Upload!R470&amp;Upload!S470&amp;Upload!T470))))),"",0.0012*C480)</f>
        <v/>
      </c>
      <c r="Q480" s="15" t="str">
        <f>IF(OR(E480="",NOT(OR(ISNUMBER(SEARCH("Epóxico MT",Upload!P470&amp;Upload!Q470&amp;Upload!R470&amp;Upload!S470&amp;Upload!T470))))),"",E480*0.000035)</f>
        <v/>
      </c>
      <c r="R480" s="15" t="str">
        <f>IF(OR(F480="",NOT(OR(ISNUMBER(SEARCH("Epóxico BT",Upload!Q470&amp;Upload!R470&amp;Upload!S470&amp;Upload!T470&amp;Upload!U470))))),"",F480*0.000035)</f>
        <v/>
      </c>
      <c r="S480" s="15" t="str">
        <f>IF(OR(G480="",NOT(OR(ISNUMBER(SEARCH("Epóxico Rojo",Upload!R470&amp;Upload!S470&amp;Upload!T470&amp;Upload!U470&amp;Upload!V470))))),"",G480*0.000035)</f>
        <v/>
      </c>
    </row>
    <row r="481" spans="1:19" x14ac:dyDescent="0.2">
      <c r="A481" s="9" t="e">
        <f t="shared" ca="1" si="47"/>
        <v>#NAME?</v>
      </c>
      <c r="B481" s="9">
        <f>Upload!E471</f>
        <v>0</v>
      </c>
      <c r="C481" s="9">
        <f>Upload!AE471</f>
        <v>0</v>
      </c>
      <c r="D481" s="9">
        <f>Upload!AF471</f>
        <v>0</v>
      </c>
      <c r="E481" s="9">
        <f>Upload!AG471</f>
        <v>0</v>
      </c>
      <c r="F481" s="9" t="str">
        <f>Upload!X471</f>
        <v/>
      </c>
      <c r="G481" s="9" t="str">
        <f>Upload!Z471</f>
        <v/>
      </c>
      <c r="H481" s="9" t="str">
        <f>Upload!W471</f>
        <v>(seleccione)</v>
      </c>
      <c r="I481" s="9" t="str">
        <f>Upload!Y471</f>
        <v>(seleccione)</v>
      </c>
      <c r="K481" s="15" t="str">
        <f t="shared" si="42"/>
        <v/>
      </c>
      <c r="L481" s="15" t="str">
        <f t="shared" si="43"/>
        <v/>
      </c>
      <c r="M481" s="15" t="str">
        <f t="shared" si="44"/>
        <v/>
      </c>
      <c r="N481" s="15" t="str">
        <f t="shared" si="45"/>
        <v/>
      </c>
      <c r="O481" s="15" t="str">
        <f t="shared" si="46"/>
        <v/>
      </c>
      <c r="P481" s="15" t="str">
        <f>IF(OR(C481="",NOT(OR(ISNUMBER(SEARCH("Antitarnish",Upload!P471&amp;Upload!Q471&amp;Upload!R471&amp;Upload!S471&amp;Upload!T471)),ISNUMBER(SEARCH("Anti Tarnish",Upload!P471&amp;Upload!Q471&amp;Upload!R471&amp;Upload!S471&amp;Upload!T471))))),"",0.0012*C481)</f>
        <v/>
      </c>
      <c r="Q481" s="15" t="str">
        <f>IF(OR(E481="",NOT(OR(ISNUMBER(SEARCH("Epóxico MT",Upload!P471&amp;Upload!Q471&amp;Upload!R471&amp;Upload!S471&amp;Upload!T471))))),"",E481*0.000035)</f>
        <v/>
      </c>
      <c r="R481" s="15" t="str">
        <f>IF(OR(F481="",NOT(OR(ISNUMBER(SEARCH("Epóxico BT",Upload!Q471&amp;Upload!R471&amp;Upload!S471&amp;Upload!T471&amp;Upload!U471))))),"",F481*0.000035)</f>
        <v/>
      </c>
      <c r="S481" s="15" t="str">
        <f>IF(OR(G481="",NOT(OR(ISNUMBER(SEARCH("Epóxico Rojo",Upload!R471&amp;Upload!S471&amp;Upload!T471&amp;Upload!U471&amp;Upload!V471))))),"",G481*0.000035)</f>
        <v/>
      </c>
    </row>
    <row r="482" spans="1:19" x14ac:dyDescent="0.2">
      <c r="A482" s="9" t="e">
        <f t="shared" ca="1" si="47"/>
        <v>#NAME?</v>
      </c>
      <c r="B482" s="9">
        <f>Upload!E472</f>
        <v>0</v>
      </c>
      <c r="C482" s="9">
        <f>Upload!AE472</f>
        <v>0</v>
      </c>
      <c r="D482" s="9">
        <f>Upload!AF472</f>
        <v>0</v>
      </c>
      <c r="E482" s="9">
        <f>Upload!AG472</f>
        <v>0</v>
      </c>
      <c r="F482" s="9" t="str">
        <f>Upload!X472</f>
        <v/>
      </c>
      <c r="G482" s="9" t="str">
        <f>Upload!Z472</f>
        <v/>
      </c>
      <c r="H482" s="9" t="str">
        <f>Upload!W472</f>
        <v>(seleccione)</v>
      </c>
      <c r="I482" s="9" t="str">
        <f>Upload!Y472</f>
        <v>(seleccione)</v>
      </c>
      <c r="K482" s="15" t="str">
        <f t="shared" si="42"/>
        <v/>
      </c>
      <c r="L482" s="15" t="str">
        <f t="shared" si="43"/>
        <v/>
      </c>
      <c r="M482" s="15" t="str">
        <f t="shared" si="44"/>
        <v/>
      </c>
      <c r="N482" s="15" t="str">
        <f t="shared" si="45"/>
        <v/>
      </c>
      <c r="O482" s="15" t="str">
        <f t="shared" si="46"/>
        <v/>
      </c>
      <c r="P482" s="15" t="str">
        <f>IF(OR(C482="",NOT(OR(ISNUMBER(SEARCH("Antitarnish",Upload!P472&amp;Upload!Q472&amp;Upload!R472&amp;Upload!S472&amp;Upload!T472)),ISNUMBER(SEARCH("Anti Tarnish",Upload!P472&amp;Upload!Q472&amp;Upload!R472&amp;Upload!S472&amp;Upload!T472))))),"",0.0012*C482)</f>
        <v/>
      </c>
      <c r="Q482" s="15" t="str">
        <f>IF(OR(E482="",NOT(OR(ISNUMBER(SEARCH("Epóxico MT",Upload!P472&amp;Upload!Q472&amp;Upload!R472&amp;Upload!S472&amp;Upload!T472))))),"",E482*0.000035)</f>
        <v/>
      </c>
      <c r="R482" s="15" t="str">
        <f>IF(OR(F482="",NOT(OR(ISNUMBER(SEARCH("Epóxico BT",Upload!Q472&amp;Upload!R472&amp;Upload!S472&amp;Upload!T472&amp;Upload!U472))))),"",F482*0.000035)</f>
        <v/>
      </c>
      <c r="S482" s="15" t="str">
        <f>IF(OR(G482="",NOT(OR(ISNUMBER(SEARCH("Epóxico Rojo",Upload!R472&amp;Upload!S472&amp;Upload!T472&amp;Upload!U472&amp;Upload!V472))))),"",G482*0.000035)</f>
        <v/>
      </c>
    </row>
    <row r="483" spans="1:19" x14ac:dyDescent="0.2">
      <c r="A483" s="9" t="e">
        <f t="shared" ca="1" si="47"/>
        <v>#NAME?</v>
      </c>
      <c r="B483" s="9">
        <f>Upload!E473</f>
        <v>0</v>
      </c>
      <c r="C483" s="9">
        <f>Upload!AE473</f>
        <v>0</v>
      </c>
      <c r="D483" s="9">
        <f>Upload!AF473</f>
        <v>0</v>
      </c>
      <c r="E483" s="9">
        <f>Upload!AG473</f>
        <v>0</v>
      </c>
      <c r="F483" s="9" t="str">
        <f>Upload!X473</f>
        <v/>
      </c>
      <c r="G483" s="9" t="str">
        <f>Upload!Z473</f>
        <v/>
      </c>
      <c r="H483" s="9" t="str">
        <f>Upload!W473</f>
        <v>(seleccione)</v>
      </c>
      <c r="I483" s="9" t="str">
        <f>Upload!Y473</f>
        <v>(seleccione)</v>
      </c>
      <c r="K483" s="15" t="str">
        <f t="shared" si="42"/>
        <v/>
      </c>
      <c r="L483" s="15" t="str">
        <f t="shared" si="43"/>
        <v/>
      </c>
      <c r="M483" s="15" t="str">
        <f t="shared" si="44"/>
        <v/>
      </c>
      <c r="N483" s="15" t="str">
        <f t="shared" si="45"/>
        <v/>
      </c>
      <c r="O483" s="15" t="str">
        <f t="shared" si="46"/>
        <v/>
      </c>
      <c r="P483" s="15" t="str">
        <f>IF(OR(C483="",NOT(OR(ISNUMBER(SEARCH("Antitarnish",Upload!P473&amp;Upload!Q473&amp;Upload!R473&amp;Upload!S473&amp;Upload!T473)),ISNUMBER(SEARCH("Anti Tarnish",Upload!P473&amp;Upload!Q473&amp;Upload!R473&amp;Upload!S473&amp;Upload!T473))))),"",0.0012*C483)</f>
        <v/>
      </c>
      <c r="Q483" s="15" t="str">
        <f>IF(OR(E483="",NOT(OR(ISNUMBER(SEARCH("Epóxico MT",Upload!P473&amp;Upload!Q473&amp;Upload!R473&amp;Upload!S473&amp;Upload!T473))))),"",E483*0.000035)</f>
        <v/>
      </c>
      <c r="R483" s="15" t="str">
        <f>IF(OR(F483="",NOT(OR(ISNUMBER(SEARCH("Epóxico BT",Upload!Q473&amp;Upload!R473&amp;Upload!S473&amp;Upload!T473&amp;Upload!U473))))),"",F483*0.000035)</f>
        <v/>
      </c>
      <c r="S483" s="15" t="str">
        <f>IF(OR(G483="",NOT(OR(ISNUMBER(SEARCH("Epóxico Rojo",Upload!R473&amp;Upload!S473&amp;Upload!T473&amp;Upload!U473&amp;Upload!V473))))),"",G483*0.000035)</f>
        <v/>
      </c>
    </row>
    <row r="484" spans="1:19" x14ac:dyDescent="0.2">
      <c r="A484" s="9" t="e">
        <f t="shared" ca="1" si="47"/>
        <v>#NAME?</v>
      </c>
      <c r="B484" s="9">
        <f>Upload!E474</f>
        <v>0</v>
      </c>
      <c r="C484" s="9">
        <f>Upload!AE474</f>
        <v>0</v>
      </c>
      <c r="D484" s="9">
        <f>Upload!AF474</f>
        <v>0</v>
      </c>
      <c r="E484" s="9">
        <f>Upload!AG474</f>
        <v>0</v>
      </c>
      <c r="F484" s="9" t="str">
        <f>Upload!X474</f>
        <v/>
      </c>
      <c r="G484" s="9" t="str">
        <f>Upload!Z474</f>
        <v/>
      </c>
      <c r="H484" s="9" t="str">
        <f>Upload!W474</f>
        <v>(seleccione)</v>
      </c>
      <c r="I484" s="9" t="str">
        <f>Upload!Y474</f>
        <v>(seleccione)</v>
      </c>
      <c r="K484" s="15" t="str">
        <f t="shared" si="42"/>
        <v/>
      </c>
      <c r="L484" s="15" t="str">
        <f t="shared" si="43"/>
        <v/>
      </c>
      <c r="M484" s="15" t="str">
        <f t="shared" si="44"/>
        <v/>
      </c>
      <c r="N484" s="15" t="str">
        <f t="shared" si="45"/>
        <v/>
      </c>
      <c r="O484" s="15" t="str">
        <f t="shared" si="46"/>
        <v/>
      </c>
      <c r="P484" s="15" t="str">
        <f>IF(OR(C484="",NOT(OR(ISNUMBER(SEARCH("Antitarnish",Upload!P474&amp;Upload!Q474&amp;Upload!R474&amp;Upload!S474&amp;Upload!T474)),ISNUMBER(SEARCH("Anti Tarnish",Upload!P474&amp;Upload!Q474&amp;Upload!R474&amp;Upload!S474&amp;Upload!T474))))),"",0.0012*C484)</f>
        <v/>
      </c>
      <c r="Q484" s="15" t="str">
        <f>IF(OR(E484="",NOT(OR(ISNUMBER(SEARCH("Epóxico MT",Upload!P474&amp;Upload!Q474&amp;Upload!R474&amp;Upload!S474&amp;Upload!T474))))),"",E484*0.000035)</f>
        <v/>
      </c>
      <c r="R484" s="15" t="str">
        <f>IF(OR(F484="",NOT(OR(ISNUMBER(SEARCH("Epóxico BT",Upload!Q474&amp;Upload!R474&amp;Upload!S474&amp;Upload!T474&amp;Upload!U474))))),"",F484*0.000035)</f>
        <v/>
      </c>
      <c r="S484" s="15" t="str">
        <f>IF(OR(G484="",NOT(OR(ISNUMBER(SEARCH("Epóxico Rojo",Upload!R474&amp;Upload!S474&amp;Upload!T474&amp;Upload!U474&amp;Upload!V474))))),"",G484*0.000035)</f>
        <v/>
      </c>
    </row>
    <row r="485" spans="1:19" x14ac:dyDescent="0.2">
      <c r="A485" s="9" t="e">
        <f t="shared" ca="1" si="47"/>
        <v>#NAME?</v>
      </c>
      <c r="B485" s="9">
        <f>Upload!E475</f>
        <v>0</v>
      </c>
      <c r="C485" s="9">
        <f>Upload!AE475</f>
        <v>0</v>
      </c>
      <c r="D485" s="9">
        <f>Upload!AF475</f>
        <v>0</v>
      </c>
      <c r="E485" s="9">
        <f>Upload!AG475</f>
        <v>0</v>
      </c>
      <c r="F485" s="9" t="str">
        <f>Upload!X475</f>
        <v/>
      </c>
      <c r="G485" s="9" t="str">
        <f>Upload!Z475</f>
        <v/>
      </c>
      <c r="H485" s="9" t="str">
        <f>Upload!W475</f>
        <v>(seleccione)</v>
      </c>
      <c r="I485" s="9" t="str">
        <f>Upload!Y475</f>
        <v>(seleccione)</v>
      </c>
      <c r="K485" s="15" t="str">
        <f t="shared" si="42"/>
        <v/>
      </c>
      <c r="L485" s="15" t="str">
        <f t="shared" si="43"/>
        <v/>
      </c>
      <c r="M485" s="15" t="str">
        <f t="shared" si="44"/>
        <v/>
      </c>
      <c r="N485" s="15" t="str">
        <f t="shared" si="45"/>
        <v/>
      </c>
      <c r="O485" s="15" t="str">
        <f t="shared" si="46"/>
        <v/>
      </c>
      <c r="P485" s="15" t="str">
        <f>IF(OR(C485="",NOT(OR(ISNUMBER(SEARCH("Antitarnish",Upload!P475&amp;Upload!Q475&amp;Upload!R475&amp;Upload!S475&amp;Upload!T475)),ISNUMBER(SEARCH("Anti Tarnish",Upload!P475&amp;Upload!Q475&amp;Upload!R475&amp;Upload!S475&amp;Upload!T475))))),"",0.0012*C485)</f>
        <v/>
      </c>
      <c r="Q485" s="15" t="str">
        <f>IF(OR(E485="",NOT(OR(ISNUMBER(SEARCH("Epóxico MT",Upload!P475&amp;Upload!Q475&amp;Upload!R475&amp;Upload!S475&amp;Upload!T475))))),"",E485*0.000035)</f>
        <v/>
      </c>
      <c r="R485" s="15" t="str">
        <f>IF(OR(F485="",NOT(OR(ISNUMBER(SEARCH("Epóxico BT",Upload!Q475&amp;Upload!R475&amp;Upload!S475&amp;Upload!T475&amp;Upload!U475))))),"",F485*0.000035)</f>
        <v/>
      </c>
      <c r="S485" s="15" t="str">
        <f>IF(OR(G485="",NOT(OR(ISNUMBER(SEARCH("Epóxico Rojo",Upload!R475&amp;Upload!S475&amp;Upload!T475&amp;Upload!U475&amp;Upload!V475))))),"",G485*0.000035)</f>
        <v/>
      </c>
    </row>
    <row r="486" spans="1:19" x14ac:dyDescent="0.2">
      <c r="A486" s="9" t="e">
        <f t="shared" ca="1" si="47"/>
        <v>#NAME?</v>
      </c>
      <c r="B486" s="9">
        <f>Upload!E476</f>
        <v>0</v>
      </c>
      <c r="C486" s="9">
        <f>Upload!AE476</f>
        <v>0</v>
      </c>
      <c r="D486" s="9">
        <f>Upload!AF476</f>
        <v>0</v>
      </c>
      <c r="E486" s="9">
        <f>Upload!AG476</f>
        <v>0</v>
      </c>
      <c r="F486" s="9" t="str">
        <f>Upload!X476</f>
        <v/>
      </c>
      <c r="G486" s="9" t="str">
        <f>Upload!Z476</f>
        <v/>
      </c>
      <c r="H486" s="9" t="str">
        <f>Upload!W476</f>
        <v>(seleccione)</v>
      </c>
      <c r="I486" s="9" t="str">
        <f>Upload!Y476</f>
        <v>(seleccione)</v>
      </c>
      <c r="K486" s="15" t="str">
        <f t="shared" si="42"/>
        <v/>
      </c>
      <c r="L486" s="15" t="str">
        <f t="shared" si="43"/>
        <v/>
      </c>
      <c r="M486" s="15" t="str">
        <f t="shared" si="44"/>
        <v/>
      </c>
      <c r="N486" s="15" t="str">
        <f t="shared" si="45"/>
        <v/>
      </c>
      <c r="O486" s="15" t="str">
        <f t="shared" si="46"/>
        <v/>
      </c>
      <c r="P486" s="15" t="str">
        <f>IF(OR(C486="",NOT(OR(ISNUMBER(SEARCH("Antitarnish",Upload!P476&amp;Upload!Q476&amp;Upload!R476&amp;Upload!S476&amp;Upload!T476)),ISNUMBER(SEARCH("Anti Tarnish",Upload!P476&amp;Upload!Q476&amp;Upload!R476&amp;Upload!S476&amp;Upload!T476))))),"",0.0012*C486)</f>
        <v/>
      </c>
      <c r="Q486" s="15" t="str">
        <f>IF(OR(E486="",NOT(OR(ISNUMBER(SEARCH("Epóxico MT",Upload!P476&amp;Upload!Q476&amp;Upload!R476&amp;Upload!S476&amp;Upload!T476))))),"",E486*0.000035)</f>
        <v/>
      </c>
      <c r="R486" s="15" t="str">
        <f>IF(OR(F486="",NOT(OR(ISNUMBER(SEARCH("Epóxico BT",Upload!Q476&amp;Upload!R476&amp;Upload!S476&amp;Upload!T476&amp;Upload!U476))))),"",F486*0.000035)</f>
        <v/>
      </c>
      <c r="S486" s="15" t="str">
        <f>IF(OR(G486="",NOT(OR(ISNUMBER(SEARCH("Epóxico Rojo",Upload!R476&amp;Upload!S476&amp;Upload!T476&amp;Upload!U476&amp;Upload!V476))))),"",G486*0.000035)</f>
        <v/>
      </c>
    </row>
    <row r="487" spans="1:19" x14ac:dyDescent="0.2">
      <c r="A487" s="9" t="e">
        <f t="shared" ca="1" si="47"/>
        <v>#NAME?</v>
      </c>
      <c r="B487" s="9">
        <f>Upload!E477</f>
        <v>0</v>
      </c>
      <c r="C487" s="9">
        <f>Upload!AE477</f>
        <v>0</v>
      </c>
      <c r="D487" s="9">
        <f>Upload!AF477</f>
        <v>0</v>
      </c>
      <c r="E487" s="9">
        <f>Upload!AG477</f>
        <v>0</v>
      </c>
      <c r="F487" s="9" t="str">
        <f>Upload!X477</f>
        <v/>
      </c>
      <c r="G487" s="9" t="str">
        <f>Upload!Z477</f>
        <v/>
      </c>
      <c r="H487" s="9" t="str">
        <f>Upload!W477</f>
        <v>(seleccione)</v>
      </c>
      <c r="I487" s="9" t="str">
        <f>Upload!Y477</f>
        <v>(seleccione)</v>
      </c>
      <c r="K487" s="15" t="str">
        <f t="shared" si="42"/>
        <v/>
      </c>
      <c r="L487" s="15" t="str">
        <f t="shared" si="43"/>
        <v/>
      </c>
      <c r="M487" s="15" t="str">
        <f t="shared" si="44"/>
        <v/>
      </c>
      <c r="N487" s="15" t="str">
        <f t="shared" si="45"/>
        <v/>
      </c>
      <c r="O487" s="15" t="str">
        <f t="shared" si="46"/>
        <v/>
      </c>
      <c r="P487" s="15" t="str">
        <f>IF(OR(C487="",NOT(OR(ISNUMBER(SEARCH("Antitarnish",Upload!P477&amp;Upload!Q477&amp;Upload!R477&amp;Upload!S477&amp;Upload!T477)),ISNUMBER(SEARCH("Anti Tarnish",Upload!P477&amp;Upload!Q477&amp;Upload!R477&amp;Upload!S477&amp;Upload!T477))))),"",0.0012*C487)</f>
        <v/>
      </c>
      <c r="Q487" s="15" t="str">
        <f>IF(OR(E487="",NOT(OR(ISNUMBER(SEARCH("Epóxico MT",Upload!P477&amp;Upload!Q477&amp;Upload!R477&amp;Upload!S477&amp;Upload!T477))))),"",E487*0.000035)</f>
        <v/>
      </c>
      <c r="R487" s="15" t="str">
        <f>IF(OR(F487="",NOT(OR(ISNUMBER(SEARCH("Epóxico BT",Upload!Q477&amp;Upload!R477&amp;Upload!S477&amp;Upload!T477&amp;Upload!U477))))),"",F487*0.000035)</f>
        <v/>
      </c>
      <c r="S487" s="15" t="str">
        <f>IF(OR(G487="",NOT(OR(ISNUMBER(SEARCH("Epóxico Rojo",Upload!R477&amp;Upload!S477&amp;Upload!T477&amp;Upload!U477&amp;Upload!V477))))),"",G487*0.000035)</f>
        <v/>
      </c>
    </row>
    <row r="488" spans="1:19" x14ac:dyDescent="0.2">
      <c r="A488" s="9" t="e">
        <f t="shared" ca="1" si="47"/>
        <v>#NAME?</v>
      </c>
      <c r="B488" s="9">
        <f>Upload!E478</f>
        <v>0</v>
      </c>
      <c r="C488" s="9">
        <f>Upload!AE478</f>
        <v>0</v>
      </c>
      <c r="D488" s="9">
        <f>Upload!AF478</f>
        <v>0</v>
      </c>
      <c r="E488" s="9">
        <f>Upload!AG478</f>
        <v>0</v>
      </c>
      <c r="F488" s="9" t="str">
        <f>Upload!X478</f>
        <v/>
      </c>
      <c r="G488" s="9" t="str">
        <f>Upload!Z478</f>
        <v/>
      </c>
      <c r="H488" s="9" t="str">
        <f>Upload!W478</f>
        <v>(seleccione)</v>
      </c>
      <c r="I488" s="9" t="str">
        <f>Upload!Y478</f>
        <v>(seleccione)</v>
      </c>
      <c r="K488" s="15" t="str">
        <f t="shared" si="42"/>
        <v/>
      </c>
      <c r="L488" s="15" t="str">
        <f t="shared" si="43"/>
        <v/>
      </c>
      <c r="M488" s="15" t="str">
        <f t="shared" si="44"/>
        <v/>
      </c>
      <c r="N488" s="15" t="str">
        <f t="shared" si="45"/>
        <v/>
      </c>
      <c r="O488" s="15" t="str">
        <f t="shared" si="46"/>
        <v/>
      </c>
      <c r="P488" s="15" t="str">
        <f>IF(OR(C488="",NOT(OR(ISNUMBER(SEARCH("Antitarnish",Upload!P478&amp;Upload!Q478&amp;Upload!R478&amp;Upload!S478&amp;Upload!T478)),ISNUMBER(SEARCH("Anti Tarnish",Upload!P478&amp;Upload!Q478&amp;Upload!R478&amp;Upload!S478&amp;Upload!T478))))),"",0.0012*C488)</f>
        <v/>
      </c>
      <c r="Q488" s="15" t="str">
        <f>IF(OR(E488="",NOT(OR(ISNUMBER(SEARCH("Epóxico MT",Upload!P478&amp;Upload!Q478&amp;Upload!R478&amp;Upload!S478&amp;Upload!T478))))),"",E488*0.000035)</f>
        <v/>
      </c>
      <c r="R488" s="15" t="str">
        <f>IF(OR(F488="",NOT(OR(ISNUMBER(SEARCH("Epóxico BT",Upload!Q478&amp;Upload!R478&amp;Upload!S478&amp;Upload!T478&amp;Upload!U478))))),"",F488*0.000035)</f>
        <v/>
      </c>
      <c r="S488" s="15" t="str">
        <f>IF(OR(G488="",NOT(OR(ISNUMBER(SEARCH("Epóxico Rojo",Upload!R478&amp;Upload!S478&amp;Upload!T478&amp;Upload!U478&amp;Upload!V478))))),"",G488*0.000035)</f>
        <v/>
      </c>
    </row>
    <row r="489" spans="1:19" x14ac:dyDescent="0.2">
      <c r="A489" s="9" t="e">
        <f t="shared" ca="1" si="47"/>
        <v>#NAME?</v>
      </c>
      <c r="B489" s="9">
        <f>Upload!E479</f>
        <v>0</v>
      </c>
      <c r="C489" s="9">
        <f>Upload!AE479</f>
        <v>0</v>
      </c>
      <c r="D489" s="9">
        <f>Upload!AF479</f>
        <v>0</v>
      </c>
      <c r="E489" s="9">
        <f>Upload!AG479</f>
        <v>0</v>
      </c>
      <c r="F489" s="9" t="str">
        <f>Upload!X479</f>
        <v/>
      </c>
      <c r="G489" s="9" t="str">
        <f>Upload!Z479</f>
        <v/>
      </c>
      <c r="H489" s="9" t="str">
        <f>Upload!W479</f>
        <v>(seleccione)</v>
      </c>
      <c r="I489" s="9" t="str">
        <f>Upload!Y479</f>
        <v>(seleccione)</v>
      </c>
      <c r="K489" s="15" t="str">
        <f t="shared" si="42"/>
        <v/>
      </c>
      <c r="L489" s="15" t="str">
        <f t="shared" si="43"/>
        <v/>
      </c>
      <c r="M489" s="15" t="str">
        <f t="shared" si="44"/>
        <v/>
      </c>
      <c r="N489" s="15" t="str">
        <f t="shared" si="45"/>
        <v/>
      </c>
      <c r="O489" s="15" t="str">
        <f t="shared" si="46"/>
        <v/>
      </c>
      <c r="P489" s="15" t="str">
        <f>IF(OR(C489="",NOT(OR(ISNUMBER(SEARCH("Antitarnish",Upload!P479&amp;Upload!Q479&amp;Upload!R479&amp;Upload!S479&amp;Upload!T479)),ISNUMBER(SEARCH("Anti Tarnish",Upload!P479&amp;Upload!Q479&amp;Upload!R479&amp;Upload!S479&amp;Upload!T479))))),"",0.0012*C489)</f>
        <v/>
      </c>
      <c r="Q489" s="15" t="str">
        <f>IF(OR(E489="",NOT(OR(ISNUMBER(SEARCH("Epóxico MT",Upload!P479&amp;Upload!Q479&amp;Upload!R479&amp;Upload!S479&amp;Upload!T479))))),"",E489*0.000035)</f>
        <v/>
      </c>
      <c r="R489" s="15" t="str">
        <f>IF(OR(F489="",NOT(OR(ISNUMBER(SEARCH("Epóxico BT",Upload!Q479&amp;Upload!R479&amp;Upload!S479&amp;Upload!T479&amp;Upload!U479))))),"",F489*0.000035)</f>
        <v/>
      </c>
      <c r="S489" s="15" t="str">
        <f>IF(OR(G489="",NOT(OR(ISNUMBER(SEARCH("Epóxico Rojo",Upload!R479&amp;Upload!S479&amp;Upload!T479&amp;Upload!U479&amp;Upload!V479))))),"",G489*0.000035)</f>
        <v/>
      </c>
    </row>
    <row r="490" spans="1:19" x14ac:dyDescent="0.2">
      <c r="A490" s="9" t="e">
        <f t="shared" ca="1" si="47"/>
        <v>#NAME?</v>
      </c>
      <c r="B490" s="9">
        <f>Upload!E480</f>
        <v>0</v>
      </c>
      <c r="C490" s="9">
        <f>Upload!AE480</f>
        <v>0</v>
      </c>
      <c r="D490" s="9">
        <f>Upload!AF480</f>
        <v>0</v>
      </c>
      <c r="E490" s="9">
        <f>Upload!AG480</f>
        <v>0</v>
      </c>
      <c r="F490" s="9" t="str">
        <f>Upload!X480</f>
        <v/>
      </c>
      <c r="G490" s="9" t="str">
        <f>Upload!Z480</f>
        <v/>
      </c>
      <c r="H490" s="9" t="str">
        <f>Upload!W480</f>
        <v>(seleccione)</v>
      </c>
      <c r="I490" s="9" t="str">
        <f>Upload!Y480</f>
        <v>(seleccione)</v>
      </c>
      <c r="K490" s="15" t="str">
        <f t="shared" si="42"/>
        <v/>
      </c>
      <c r="L490" s="15" t="str">
        <f t="shared" si="43"/>
        <v/>
      </c>
      <c r="M490" s="15" t="str">
        <f t="shared" si="44"/>
        <v/>
      </c>
      <c r="N490" s="15" t="str">
        <f t="shared" si="45"/>
        <v/>
      </c>
      <c r="O490" s="15" t="str">
        <f t="shared" si="46"/>
        <v/>
      </c>
      <c r="P490" s="15" t="str">
        <f>IF(OR(C490="",NOT(OR(ISNUMBER(SEARCH("Antitarnish",Upload!P480&amp;Upload!Q480&amp;Upload!R480&amp;Upload!S480&amp;Upload!T480)),ISNUMBER(SEARCH("Anti Tarnish",Upload!P480&amp;Upload!Q480&amp;Upload!R480&amp;Upload!S480&amp;Upload!T480))))),"",0.0012*C490)</f>
        <v/>
      </c>
      <c r="Q490" s="15" t="str">
        <f>IF(OR(E490="",NOT(OR(ISNUMBER(SEARCH("Epóxico MT",Upload!P480&amp;Upload!Q480&amp;Upload!R480&amp;Upload!S480&amp;Upload!T480))))),"",E490*0.000035)</f>
        <v/>
      </c>
      <c r="R490" s="15" t="str">
        <f>IF(OR(F490="",NOT(OR(ISNUMBER(SEARCH("Epóxico BT",Upload!Q480&amp;Upload!R480&amp;Upload!S480&amp;Upload!T480&amp;Upload!U480))))),"",F490*0.000035)</f>
        <v/>
      </c>
      <c r="S490" s="15" t="str">
        <f>IF(OR(G490="",NOT(OR(ISNUMBER(SEARCH("Epóxico Rojo",Upload!R480&amp;Upload!S480&amp;Upload!T480&amp;Upload!U480&amp;Upload!V480))))),"",G490*0.000035)</f>
        <v/>
      </c>
    </row>
    <row r="491" spans="1:19" x14ac:dyDescent="0.2">
      <c r="A491" s="9" t="e">
        <f t="shared" ca="1" si="47"/>
        <v>#NAME?</v>
      </c>
      <c r="B491" s="9">
        <f>Upload!E481</f>
        <v>0</v>
      </c>
      <c r="C491" s="9">
        <f>Upload!AE481</f>
        <v>0</v>
      </c>
      <c r="D491" s="9">
        <f>Upload!AF481</f>
        <v>0</v>
      </c>
      <c r="E491" s="9">
        <f>Upload!AG481</f>
        <v>0</v>
      </c>
      <c r="F491" s="9" t="str">
        <f>Upload!X481</f>
        <v/>
      </c>
      <c r="G491" s="9" t="str">
        <f>Upload!Z481</f>
        <v/>
      </c>
      <c r="H491" s="9" t="str">
        <f>Upload!W481</f>
        <v>(seleccione)</v>
      </c>
      <c r="I491" s="9" t="str">
        <f>Upload!Y481</f>
        <v>(seleccione)</v>
      </c>
      <c r="K491" s="15" t="str">
        <f t="shared" si="42"/>
        <v/>
      </c>
      <c r="L491" s="15" t="str">
        <f t="shared" si="43"/>
        <v/>
      </c>
      <c r="M491" s="15" t="str">
        <f t="shared" si="44"/>
        <v/>
      </c>
      <c r="N491" s="15" t="str">
        <f t="shared" si="45"/>
        <v/>
      </c>
      <c r="O491" s="15" t="str">
        <f t="shared" si="46"/>
        <v/>
      </c>
      <c r="P491" s="15" t="str">
        <f>IF(OR(C491="",NOT(OR(ISNUMBER(SEARCH("Antitarnish",Upload!P481&amp;Upload!Q481&amp;Upload!R481&amp;Upload!S481&amp;Upload!T481)),ISNUMBER(SEARCH("Anti Tarnish",Upload!P481&amp;Upload!Q481&amp;Upload!R481&amp;Upload!S481&amp;Upload!T481))))),"",0.0012*C491)</f>
        <v/>
      </c>
      <c r="Q491" s="15" t="str">
        <f>IF(OR(E491="",NOT(OR(ISNUMBER(SEARCH("Epóxico MT",Upload!P481&amp;Upload!Q481&amp;Upload!R481&amp;Upload!S481&amp;Upload!T481))))),"",E491*0.000035)</f>
        <v/>
      </c>
      <c r="R491" s="15" t="str">
        <f>IF(OR(F491="",NOT(OR(ISNUMBER(SEARCH("Epóxico BT",Upload!Q481&amp;Upload!R481&amp;Upload!S481&amp;Upload!T481&amp;Upload!U481))))),"",F491*0.000035)</f>
        <v/>
      </c>
      <c r="S491" s="15" t="str">
        <f>IF(OR(G491="",NOT(OR(ISNUMBER(SEARCH("Epóxico Rojo",Upload!R481&amp;Upload!S481&amp;Upload!T481&amp;Upload!U481&amp;Upload!V481))))),"",G491*0.000035)</f>
        <v/>
      </c>
    </row>
    <row r="492" spans="1:19" x14ac:dyDescent="0.2">
      <c r="A492" s="9" t="e">
        <f t="shared" ca="1" si="47"/>
        <v>#NAME?</v>
      </c>
      <c r="B492" s="9">
        <f>Upload!E482</f>
        <v>0</v>
      </c>
      <c r="C492" s="9">
        <f>Upload!AE482</f>
        <v>0</v>
      </c>
      <c r="D492" s="9">
        <f>Upload!AF482</f>
        <v>0</v>
      </c>
      <c r="E492" s="9">
        <f>Upload!AG482</f>
        <v>0</v>
      </c>
      <c r="F492" s="9" t="str">
        <f>Upload!X482</f>
        <v/>
      </c>
      <c r="G492" s="9" t="str">
        <f>Upload!Z482</f>
        <v/>
      </c>
      <c r="H492" s="9" t="str">
        <f>Upload!W482</f>
        <v>(seleccione)</v>
      </c>
      <c r="I492" s="9" t="str">
        <f>Upload!Y482</f>
        <v>(seleccione)</v>
      </c>
      <c r="K492" s="15" t="str">
        <f t="shared" si="42"/>
        <v/>
      </c>
      <c r="L492" s="15" t="str">
        <f t="shared" si="43"/>
        <v/>
      </c>
      <c r="M492" s="15" t="str">
        <f t="shared" si="44"/>
        <v/>
      </c>
      <c r="N492" s="15" t="str">
        <f t="shared" si="45"/>
        <v/>
      </c>
      <c r="O492" s="15" t="str">
        <f t="shared" si="46"/>
        <v/>
      </c>
      <c r="P492" s="15" t="str">
        <f>IF(OR(C492="",NOT(OR(ISNUMBER(SEARCH("Antitarnish",Upload!P482&amp;Upload!Q482&amp;Upload!R482&amp;Upload!S482&amp;Upload!T482)),ISNUMBER(SEARCH("Anti Tarnish",Upload!P482&amp;Upload!Q482&amp;Upload!R482&amp;Upload!S482&amp;Upload!T482))))),"",0.0012*C492)</f>
        <v/>
      </c>
      <c r="Q492" s="15" t="str">
        <f>IF(OR(E492="",NOT(OR(ISNUMBER(SEARCH("Epóxico MT",Upload!P482&amp;Upload!Q482&amp;Upload!R482&amp;Upload!S482&amp;Upload!T482))))),"",E492*0.000035)</f>
        <v/>
      </c>
      <c r="R492" s="15" t="str">
        <f>IF(OR(F492="",NOT(OR(ISNUMBER(SEARCH("Epóxico BT",Upload!Q482&amp;Upload!R482&amp;Upload!S482&amp;Upload!T482&amp;Upload!U482))))),"",F492*0.000035)</f>
        <v/>
      </c>
      <c r="S492" s="15" t="str">
        <f>IF(OR(G492="",NOT(OR(ISNUMBER(SEARCH("Epóxico Rojo",Upload!R482&amp;Upload!S482&amp;Upload!T482&amp;Upload!U482&amp;Upload!V482))))),"",G492*0.000035)</f>
        <v/>
      </c>
    </row>
    <row r="493" spans="1:19" x14ac:dyDescent="0.2">
      <c r="A493" s="9" t="e">
        <f t="shared" ca="1" si="47"/>
        <v>#NAME?</v>
      </c>
      <c r="B493" s="9">
        <f>Upload!E483</f>
        <v>0</v>
      </c>
      <c r="C493" s="9">
        <f>Upload!AE483</f>
        <v>0</v>
      </c>
      <c r="D493" s="9">
        <f>Upload!AF483</f>
        <v>0</v>
      </c>
      <c r="E493" s="9">
        <f>Upload!AG483</f>
        <v>0</v>
      </c>
      <c r="F493" s="9" t="str">
        <f>Upload!X483</f>
        <v/>
      </c>
      <c r="G493" s="9" t="str">
        <f>Upload!Z483</f>
        <v/>
      </c>
      <c r="H493" s="9" t="str">
        <f>Upload!W483</f>
        <v>(seleccione)</v>
      </c>
      <c r="I493" s="9" t="str">
        <f>Upload!Y483</f>
        <v>(seleccione)</v>
      </c>
      <c r="K493" s="15" t="str">
        <f t="shared" si="42"/>
        <v/>
      </c>
      <c r="L493" s="15" t="str">
        <f t="shared" si="43"/>
        <v/>
      </c>
      <c r="M493" s="15" t="str">
        <f t="shared" si="44"/>
        <v/>
      </c>
      <c r="N493" s="15" t="str">
        <f t="shared" si="45"/>
        <v/>
      </c>
      <c r="O493" s="15" t="str">
        <f t="shared" si="46"/>
        <v/>
      </c>
      <c r="P493" s="15" t="str">
        <f>IF(OR(C493="",NOT(OR(ISNUMBER(SEARCH("Antitarnish",Upload!P483&amp;Upload!Q483&amp;Upload!R483&amp;Upload!S483&amp;Upload!T483)),ISNUMBER(SEARCH("Anti Tarnish",Upload!P483&amp;Upload!Q483&amp;Upload!R483&amp;Upload!S483&amp;Upload!T483))))),"",0.0012*C493)</f>
        <v/>
      </c>
      <c r="Q493" s="15" t="str">
        <f>IF(OR(E493="",NOT(OR(ISNUMBER(SEARCH("Epóxico MT",Upload!P483&amp;Upload!Q483&amp;Upload!R483&amp;Upload!S483&amp;Upload!T483))))),"",E493*0.000035)</f>
        <v/>
      </c>
      <c r="R493" s="15" t="str">
        <f>IF(OR(F493="",NOT(OR(ISNUMBER(SEARCH("Epóxico BT",Upload!Q483&amp;Upload!R483&amp;Upload!S483&amp;Upload!T483&amp;Upload!U483))))),"",F493*0.000035)</f>
        <v/>
      </c>
      <c r="S493" s="15" t="str">
        <f>IF(OR(G493="",NOT(OR(ISNUMBER(SEARCH("Epóxico Rojo",Upload!R483&amp;Upload!S483&amp;Upload!T483&amp;Upload!U483&amp;Upload!V483))))),"",G493*0.000035)</f>
        <v/>
      </c>
    </row>
    <row r="494" spans="1:19" x14ac:dyDescent="0.2">
      <c r="A494" s="9" t="e">
        <f t="shared" ca="1" si="47"/>
        <v>#NAME?</v>
      </c>
      <c r="B494" s="9">
        <f>Upload!E484</f>
        <v>0</v>
      </c>
      <c r="C494" s="9">
        <f>Upload!AE484</f>
        <v>0</v>
      </c>
      <c r="D494" s="9">
        <f>Upload!AF484</f>
        <v>0</v>
      </c>
      <c r="E494" s="9">
        <f>Upload!AG484</f>
        <v>0</v>
      </c>
      <c r="F494" s="9" t="str">
        <f>Upload!X484</f>
        <v/>
      </c>
      <c r="G494" s="9" t="str">
        <f>Upload!Z484</f>
        <v/>
      </c>
      <c r="H494" s="9" t="str">
        <f>Upload!W484</f>
        <v>(seleccione)</v>
      </c>
      <c r="I494" s="9" t="str">
        <f>Upload!Y484</f>
        <v>(seleccione)</v>
      </c>
      <c r="K494" s="15" t="str">
        <f t="shared" si="42"/>
        <v/>
      </c>
      <c r="L494" s="15" t="str">
        <f t="shared" si="43"/>
        <v/>
      </c>
      <c r="M494" s="15" t="str">
        <f t="shared" si="44"/>
        <v/>
      </c>
      <c r="N494" s="15" t="str">
        <f t="shared" si="45"/>
        <v/>
      </c>
      <c r="O494" s="15" t="str">
        <f t="shared" si="46"/>
        <v/>
      </c>
      <c r="P494" s="15" t="str">
        <f>IF(OR(C494="",NOT(OR(ISNUMBER(SEARCH("Antitarnish",Upload!P484&amp;Upload!Q484&amp;Upload!R484&amp;Upload!S484&amp;Upload!T484)),ISNUMBER(SEARCH("Anti Tarnish",Upload!P484&amp;Upload!Q484&amp;Upload!R484&amp;Upload!S484&amp;Upload!T484))))),"",0.0012*C494)</f>
        <v/>
      </c>
      <c r="Q494" s="15" t="str">
        <f>IF(OR(E494="",NOT(OR(ISNUMBER(SEARCH("Epóxico MT",Upload!P484&amp;Upload!Q484&amp;Upload!R484&amp;Upload!S484&amp;Upload!T484))))),"",E494*0.000035)</f>
        <v/>
      </c>
      <c r="R494" s="15" t="str">
        <f>IF(OR(F494="",NOT(OR(ISNUMBER(SEARCH("Epóxico BT",Upload!Q484&amp;Upload!R484&amp;Upload!S484&amp;Upload!T484&amp;Upload!U484))))),"",F494*0.000035)</f>
        <v/>
      </c>
      <c r="S494" s="15" t="str">
        <f>IF(OR(G494="",NOT(OR(ISNUMBER(SEARCH("Epóxico Rojo",Upload!R484&amp;Upload!S484&amp;Upload!T484&amp;Upload!U484&amp;Upload!V484))))),"",G494*0.000035)</f>
        <v/>
      </c>
    </row>
    <row r="495" spans="1:19" x14ac:dyDescent="0.2">
      <c r="A495" s="9" t="e">
        <f t="shared" ca="1" si="47"/>
        <v>#NAME?</v>
      </c>
      <c r="B495" s="9">
        <f>Upload!E485</f>
        <v>0</v>
      </c>
      <c r="C495" s="9">
        <f>Upload!AE485</f>
        <v>0</v>
      </c>
      <c r="D495" s="9">
        <f>Upload!AF485</f>
        <v>0</v>
      </c>
      <c r="E495" s="9">
        <f>Upload!AG485</f>
        <v>0</v>
      </c>
      <c r="F495" s="9" t="str">
        <f>Upload!X485</f>
        <v/>
      </c>
      <c r="G495" s="9" t="str">
        <f>Upload!Z485</f>
        <v/>
      </c>
      <c r="H495" s="9" t="str">
        <f>Upload!W485</f>
        <v>(seleccione)</v>
      </c>
      <c r="I495" s="9" t="str">
        <f>Upload!Y485</f>
        <v>(seleccione)</v>
      </c>
      <c r="K495" s="15" t="str">
        <f t="shared" si="42"/>
        <v/>
      </c>
      <c r="L495" s="15" t="str">
        <f t="shared" si="43"/>
        <v/>
      </c>
      <c r="M495" s="15" t="str">
        <f t="shared" si="44"/>
        <v/>
      </c>
      <c r="N495" s="15" t="str">
        <f t="shared" si="45"/>
        <v/>
      </c>
      <c r="O495" s="15" t="str">
        <f t="shared" si="46"/>
        <v/>
      </c>
      <c r="P495" s="15" t="str">
        <f>IF(OR(C495="",NOT(OR(ISNUMBER(SEARCH("Antitarnish",Upload!P485&amp;Upload!Q485&amp;Upload!R485&amp;Upload!S485&amp;Upload!T485)),ISNUMBER(SEARCH("Anti Tarnish",Upload!P485&amp;Upload!Q485&amp;Upload!R485&amp;Upload!S485&amp;Upload!T485))))),"",0.0012*C495)</f>
        <v/>
      </c>
      <c r="Q495" s="15" t="str">
        <f>IF(OR(E495="",NOT(OR(ISNUMBER(SEARCH("Epóxico MT",Upload!P485&amp;Upload!Q485&amp;Upload!R485&amp;Upload!S485&amp;Upload!T485))))),"",E495*0.000035)</f>
        <v/>
      </c>
      <c r="R495" s="15" t="str">
        <f>IF(OR(F495="",NOT(OR(ISNUMBER(SEARCH("Epóxico BT",Upload!Q485&amp;Upload!R485&amp;Upload!S485&amp;Upload!T485&amp;Upload!U485))))),"",F495*0.000035)</f>
        <v/>
      </c>
      <c r="S495" s="15" t="str">
        <f>IF(OR(G495="",NOT(OR(ISNUMBER(SEARCH("Epóxico Rojo",Upload!R485&amp;Upload!S485&amp;Upload!T485&amp;Upload!U485&amp;Upload!V485))))),"",G495*0.000035)</f>
        <v/>
      </c>
    </row>
    <row r="496" spans="1:19" x14ac:dyDescent="0.2">
      <c r="A496" s="9" t="e">
        <f t="shared" ca="1" si="47"/>
        <v>#NAME?</v>
      </c>
      <c r="B496" s="9">
        <f>Upload!E486</f>
        <v>0</v>
      </c>
      <c r="C496" s="9">
        <f>Upload!AE486</f>
        <v>0</v>
      </c>
      <c r="D496" s="9">
        <f>Upload!AF486</f>
        <v>0</v>
      </c>
      <c r="E496" s="9">
        <f>Upload!AG486</f>
        <v>0</v>
      </c>
      <c r="F496" s="9" t="str">
        <f>Upload!X486</f>
        <v/>
      </c>
      <c r="G496" s="9" t="str">
        <f>Upload!Z486</f>
        <v/>
      </c>
      <c r="H496" s="9" t="str">
        <f>Upload!W486</f>
        <v>(seleccione)</v>
      </c>
      <c r="I496" s="9" t="str">
        <f>Upload!Y486</f>
        <v>(seleccione)</v>
      </c>
      <c r="K496" s="15" t="str">
        <f t="shared" ref="K496:K508" si="48">IFERROR(IF(OR(D496="",IF(ISNUMBER(SEARCH("Plata",H496)),F496,IF(ISNUMBER(SEARCH("Plata",I496)),G496,""))=""),"",$D$6*D496*(IF(ISNUMBER(SEARCH("Plata",H496)),F496,IF(ISNUMBER(SEARCH("Plata",I496)),G496,"")))/10000000),"")</f>
        <v/>
      </c>
      <c r="L496" s="15" t="str">
        <f t="shared" ref="L496:L508" si="49">IFERROR(IF(OR(D496="",IF(OR(ISNUMBER(SEARCH("Estaño",H496)),ISNUMBER(SEARCH("Estañ",H496)),ISNUMBER(SEARCH("Tin",H496))),F496,IF(OR(ISNUMBER(SEARCH("Estaño",I496)),ISNUMBER(SEARCH("Estañ",I496)),ISNUMBER(SEARCH("Tin",I496))),G496,""))=""),"",$D$7*D496*(IF(OR(ISNUMBER(SEARCH("Estaño",H496)),ISNUMBER(SEARCH("Estañ",H496)),ISNUMBER(SEARCH("Tin",H496))),F496,IF(OR(ISNUMBER(SEARCH("Estaño",I496)),ISNUMBER(SEARCH("Estañ",I496)),ISNUMBER(SEARCH("Tin",I496))),G496,"")))/10000000),"")</f>
        <v/>
      </c>
      <c r="M496" s="15" t="str">
        <f t="shared" ref="M496:M508" si="50">IFERROR(IF(OR(D496="",IF(OR(ISNUMBER(SEARCH("Níquel",H496)),ISNUMBER(SEARCH("Niquel",H496))),F496,IF(OR(ISNUMBER(SEARCH("Níquel",I496)),ISNUMBER(SEARCH("Niquel",I496))),G496,""))=""),"",$D$8*D496*(IF(OR(ISNUMBER(SEARCH("Níquel",H496)),ISNUMBER(SEARCH("Niquel",H496))),F496,IF(OR(ISNUMBER(SEARCH("Níquel",I496)),ISNUMBER(SEARCH("Niquel",I496))),G496,"")))/10000000),"")</f>
        <v/>
      </c>
      <c r="N496" s="15" t="str">
        <f t="shared" ref="N496:N508" si="51">IFERROR(IF(OR(D496="",IF(ISNUMBER(SEARCH("Zinc",H496)),F496,IF(ISNUMBER(SEARCH("Zinc",I496)),G496,""))=""),"",$D$9*D496*(IF(ISNUMBER(SEARCH("Zinc",H496)),F496,IF(ISNUMBER(SEARCH("Zinc",I496)),G496,"")))/10000000),"")</f>
        <v/>
      </c>
      <c r="O496" s="15" t="str">
        <f t="shared" ref="O496:O508" si="52">IFERROR(IF(OR(D496="",IF(OR(ISNUMBER(SEARCH("Cobre",H496)),ISNUMBER(SEARCH("Bondal",H496))),F496,IF(OR(ISNUMBER(SEARCH("Cobre",I496)),ISNUMBER(SEARCH("Bondal",I496))),G496,""))=""),"",$D$10*D496*(IF(OR(ISNUMBER(SEARCH("Cobre",H496)),ISNUMBER(SEARCH("Bondal",H496))),F496,IF(OR(ISNUMBER(SEARCH("Cobre",I496)),ISNUMBER(SEARCH("Bondal",I496))),G496,"")))/10000000),"")</f>
        <v/>
      </c>
      <c r="P496" s="15" t="str">
        <f>IF(OR(C496="",NOT(OR(ISNUMBER(SEARCH("Antitarnish",Upload!P486&amp;Upload!Q486&amp;Upload!R486&amp;Upload!S486&amp;Upload!T486)),ISNUMBER(SEARCH("Anti Tarnish",Upload!P486&amp;Upload!Q486&amp;Upload!R486&amp;Upload!S486&amp;Upload!T486))))),"",0.0012*C496)</f>
        <v/>
      </c>
      <c r="Q496" s="15" t="str">
        <f>IF(OR(E496="",NOT(OR(ISNUMBER(SEARCH("Epóxico MT",Upload!P486&amp;Upload!Q486&amp;Upload!R486&amp;Upload!S486&amp;Upload!T486))))),"",E496*0.000035)</f>
        <v/>
      </c>
      <c r="R496" s="15" t="str">
        <f>IF(OR(F496="",NOT(OR(ISNUMBER(SEARCH("Epóxico BT",Upload!Q486&amp;Upload!R486&amp;Upload!S486&amp;Upload!T486&amp;Upload!U486))))),"",F496*0.000035)</f>
        <v/>
      </c>
      <c r="S496" s="15" t="str">
        <f>IF(OR(G496="",NOT(OR(ISNUMBER(SEARCH("Epóxico Rojo",Upload!R486&amp;Upload!S486&amp;Upload!T486&amp;Upload!U486&amp;Upload!V486))))),"",G496*0.000035)</f>
        <v/>
      </c>
    </row>
    <row r="497" spans="1:19" x14ac:dyDescent="0.2">
      <c r="A497" s="9" t="e">
        <f t="shared" ca="1" si="47"/>
        <v>#NAME?</v>
      </c>
      <c r="B497" s="9">
        <f>Upload!E487</f>
        <v>0</v>
      </c>
      <c r="C497" s="9">
        <f>Upload!AE487</f>
        <v>0</v>
      </c>
      <c r="D497" s="9">
        <f>Upload!AF487</f>
        <v>0</v>
      </c>
      <c r="E497" s="9">
        <f>Upload!AG487</f>
        <v>0</v>
      </c>
      <c r="F497" s="9" t="str">
        <f>Upload!X487</f>
        <v/>
      </c>
      <c r="G497" s="9" t="str">
        <f>Upload!Z487</f>
        <v/>
      </c>
      <c r="H497" s="9" t="str">
        <f>Upload!W487</f>
        <v>(seleccione)</v>
      </c>
      <c r="I497" s="9" t="str">
        <f>Upload!Y487</f>
        <v>(seleccione)</v>
      </c>
      <c r="K497" s="15" t="str">
        <f t="shared" si="48"/>
        <v/>
      </c>
      <c r="L497" s="15" t="str">
        <f t="shared" si="49"/>
        <v/>
      </c>
      <c r="M497" s="15" t="str">
        <f t="shared" si="50"/>
        <v/>
      </c>
      <c r="N497" s="15" t="str">
        <f t="shared" si="51"/>
        <v/>
      </c>
      <c r="O497" s="15" t="str">
        <f t="shared" si="52"/>
        <v/>
      </c>
      <c r="P497" s="15" t="str">
        <f>IF(OR(C497="",NOT(OR(ISNUMBER(SEARCH("Antitarnish",Upload!P487&amp;Upload!Q487&amp;Upload!R487&amp;Upload!S487&amp;Upload!T487)),ISNUMBER(SEARCH("Anti Tarnish",Upload!P487&amp;Upload!Q487&amp;Upload!R487&amp;Upload!S487&amp;Upload!T487))))),"",0.0012*C497)</f>
        <v/>
      </c>
      <c r="Q497" s="15" t="str">
        <f>IF(OR(E497="",NOT(OR(ISNUMBER(SEARCH("Epóxico MT",Upload!P487&amp;Upload!Q487&amp;Upload!R487&amp;Upload!S487&amp;Upload!T487))))),"",E497*0.000035)</f>
        <v/>
      </c>
      <c r="R497" s="15" t="str">
        <f>IF(OR(F497="",NOT(OR(ISNUMBER(SEARCH("Epóxico BT",Upload!Q487&amp;Upload!R487&amp;Upload!S487&amp;Upload!T487&amp;Upload!U487))))),"",F497*0.000035)</f>
        <v/>
      </c>
      <c r="S497" s="15" t="str">
        <f>IF(OR(G497="",NOT(OR(ISNUMBER(SEARCH("Epóxico Rojo",Upload!R487&amp;Upload!S487&amp;Upload!T487&amp;Upload!U487&amp;Upload!V487))))),"",G497*0.000035)</f>
        <v/>
      </c>
    </row>
    <row r="498" spans="1:19" x14ac:dyDescent="0.2">
      <c r="A498" s="9" t="e">
        <f t="shared" ca="1" si="47"/>
        <v>#NAME?</v>
      </c>
      <c r="B498" s="9">
        <f>Upload!E488</f>
        <v>0</v>
      </c>
      <c r="C498" s="9">
        <f>Upload!AE488</f>
        <v>0</v>
      </c>
      <c r="D498" s="9">
        <f>Upload!AF488</f>
        <v>0</v>
      </c>
      <c r="E498" s="9">
        <f>Upload!AG488</f>
        <v>0</v>
      </c>
      <c r="F498" s="9" t="str">
        <f>Upload!X488</f>
        <v/>
      </c>
      <c r="G498" s="9" t="str">
        <f>Upload!Z488</f>
        <v/>
      </c>
      <c r="H498" s="9" t="str">
        <f>Upload!W488</f>
        <v>(seleccione)</v>
      </c>
      <c r="I498" s="9" t="str">
        <f>Upload!Y488</f>
        <v>(seleccione)</v>
      </c>
      <c r="K498" s="15" t="str">
        <f t="shared" si="48"/>
        <v/>
      </c>
      <c r="L498" s="15" t="str">
        <f t="shared" si="49"/>
        <v/>
      </c>
      <c r="M498" s="15" t="str">
        <f t="shared" si="50"/>
        <v/>
      </c>
      <c r="N498" s="15" t="str">
        <f t="shared" si="51"/>
        <v/>
      </c>
      <c r="O498" s="15" t="str">
        <f t="shared" si="52"/>
        <v/>
      </c>
      <c r="P498" s="15" t="str">
        <f>IF(OR(C498="",NOT(OR(ISNUMBER(SEARCH("Antitarnish",Upload!P488&amp;Upload!Q488&amp;Upload!R488&amp;Upload!S488&amp;Upload!T488)),ISNUMBER(SEARCH("Anti Tarnish",Upload!P488&amp;Upload!Q488&amp;Upload!R488&amp;Upload!S488&amp;Upload!T488))))),"",0.0012*C498)</f>
        <v/>
      </c>
      <c r="Q498" s="15" t="str">
        <f>IF(OR(E498="",NOT(OR(ISNUMBER(SEARCH("Epóxico MT",Upload!P488&amp;Upload!Q488&amp;Upload!R488&amp;Upload!S488&amp;Upload!T488))))),"",E498*0.000035)</f>
        <v/>
      </c>
      <c r="R498" s="15" t="str">
        <f>IF(OR(F498="",NOT(OR(ISNUMBER(SEARCH("Epóxico BT",Upload!Q488&amp;Upload!R488&amp;Upload!S488&amp;Upload!T488&amp;Upload!U488))))),"",F498*0.000035)</f>
        <v/>
      </c>
      <c r="S498" s="15" t="str">
        <f>IF(OR(G498="",NOT(OR(ISNUMBER(SEARCH("Epóxico Rojo",Upload!R488&amp;Upload!S488&amp;Upload!T488&amp;Upload!U488&amp;Upload!V488))))),"",G498*0.000035)</f>
        <v/>
      </c>
    </row>
    <row r="499" spans="1:19" x14ac:dyDescent="0.2">
      <c r="A499" s="9" t="e">
        <f t="shared" ca="1" si="47"/>
        <v>#NAME?</v>
      </c>
      <c r="B499" s="9">
        <f>Upload!E489</f>
        <v>0</v>
      </c>
      <c r="C499" s="9">
        <f>Upload!AE489</f>
        <v>0</v>
      </c>
      <c r="D499" s="9">
        <f>Upload!AF489</f>
        <v>0</v>
      </c>
      <c r="E499" s="9">
        <f>Upload!AG489</f>
        <v>0</v>
      </c>
      <c r="F499" s="9" t="str">
        <f>Upload!X489</f>
        <v/>
      </c>
      <c r="G499" s="9" t="str">
        <f>Upload!Z489</f>
        <v/>
      </c>
      <c r="H499" s="9" t="str">
        <f>Upload!W489</f>
        <v>(seleccione)</v>
      </c>
      <c r="I499" s="9" t="str">
        <f>Upload!Y489</f>
        <v>(seleccione)</v>
      </c>
      <c r="K499" s="15" t="str">
        <f t="shared" si="48"/>
        <v/>
      </c>
      <c r="L499" s="15" t="str">
        <f t="shared" si="49"/>
        <v/>
      </c>
      <c r="M499" s="15" t="str">
        <f t="shared" si="50"/>
        <v/>
      </c>
      <c r="N499" s="15" t="str">
        <f t="shared" si="51"/>
        <v/>
      </c>
      <c r="O499" s="15" t="str">
        <f t="shared" si="52"/>
        <v/>
      </c>
      <c r="P499" s="15" t="str">
        <f>IF(OR(C499="",NOT(OR(ISNUMBER(SEARCH("Antitarnish",Upload!P489&amp;Upload!Q489&amp;Upload!R489&amp;Upload!S489&amp;Upload!T489)),ISNUMBER(SEARCH("Anti Tarnish",Upload!P489&amp;Upload!Q489&amp;Upload!R489&amp;Upload!S489&amp;Upload!T489))))),"",0.0012*C499)</f>
        <v/>
      </c>
      <c r="Q499" s="15" t="str">
        <f>IF(OR(E499="",NOT(OR(ISNUMBER(SEARCH("Epóxico MT",Upload!P489&amp;Upload!Q489&amp;Upload!R489&amp;Upload!S489&amp;Upload!T489))))),"",E499*0.000035)</f>
        <v/>
      </c>
      <c r="R499" s="15" t="str">
        <f>IF(OR(F499="",NOT(OR(ISNUMBER(SEARCH("Epóxico BT",Upload!Q489&amp;Upload!R489&amp;Upload!S489&amp;Upload!T489&amp;Upload!U489))))),"",F499*0.000035)</f>
        <v/>
      </c>
      <c r="S499" s="15" t="str">
        <f>IF(OR(G499="",NOT(OR(ISNUMBER(SEARCH("Epóxico Rojo",Upload!R489&amp;Upload!S489&amp;Upload!T489&amp;Upload!U489&amp;Upload!V489))))),"",G499*0.000035)</f>
        <v/>
      </c>
    </row>
    <row r="500" spans="1:19" x14ac:dyDescent="0.2">
      <c r="A500" s="9" t="e">
        <f t="shared" ca="1" si="47"/>
        <v>#NAME?</v>
      </c>
      <c r="B500" s="9">
        <f>Upload!E490</f>
        <v>0</v>
      </c>
      <c r="C500" s="9">
        <f>Upload!AE490</f>
        <v>0</v>
      </c>
      <c r="D500" s="9">
        <f>Upload!AF490</f>
        <v>0</v>
      </c>
      <c r="E500" s="9">
        <f>Upload!AG490</f>
        <v>0</v>
      </c>
      <c r="F500" s="9" t="str">
        <f>Upload!X490</f>
        <v/>
      </c>
      <c r="G500" s="9" t="str">
        <f>Upload!Z490</f>
        <v/>
      </c>
      <c r="H500" s="9" t="str">
        <f>Upload!W490</f>
        <v>(seleccione)</v>
      </c>
      <c r="I500" s="9" t="str">
        <f>Upload!Y490</f>
        <v>(seleccione)</v>
      </c>
      <c r="K500" s="15" t="str">
        <f t="shared" si="48"/>
        <v/>
      </c>
      <c r="L500" s="15" t="str">
        <f t="shared" si="49"/>
        <v/>
      </c>
      <c r="M500" s="15" t="str">
        <f t="shared" si="50"/>
        <v/>
      </c>
      <c r="N500" s="15" t="str">
        <f t="shared" si="51"/>
        <v/>
      </c>
      <c r="O500" s="15" t="str">
        <f t="shared" si="52"/>
        <v/>
      </c>
      <c r="P500" s="15" t="str">
        <f>IF(OR(C500="",NOT(OR(ISNUMBER(SEARCH("Antitarnish",Upload!P490&amp;Upload!Q490&amp;Upload!R490&amp;Upload!S490&amp;Upload!T490)),ISNUMBER(SEARCH("Anti Tarnish",Upload!P490&amp;Upload!Q490&amp;Upload!R490&amp;Upload!S490&amp;Upload!T490))))),"",0.0012*C500)</f>
        <v/>
      </c>
      <c r="Q500" s="15" t="str">
        <f>IF(OR(E500="",NOT(OR(ISNUMBER(SEARCH("Epóxico MT",Upload!P490&amp;Upload!Q490&amp;Upload!R490&amp;Upload!S490&amp;Upload!T490))))),"",E500*0.000035)</f>
        <v/>
      </c>
      <c r="R500" s="15" t="str">
        <f>IF(OR(F500="",NOT(OR(ISNUMBER(SEARCH("Epóxico BT",Upload!Q490&amp;Upload!R490&amp;Upload!S490&amp;Upload!T490&amp;Upload!U490))))),"",F500*0.000035)</f>
        <v/>
      </c>
      <c r="S500" s="15" t="str">
        <f>IF(OR(G500="",NOT(OR(ISNUMBER(SEARCH("Epóxico Rojo",Upload!R490&amp;Upload!S490&amp;Upload!T490&amp;Upload!U490&amp;Upload!V490))))),"",G500*0.000035)</f>
        <v/>
      </c>
    </row>
    <row r="501" spans="1:19" x14ac:dyDescent="0.2">
      <c r="A501" s="9" t="e">
        <f t="shared" ca="1" si="47"/>
        <v>#NAME?</v>
      </c>
      <c r="B501" s="9">
        <f>Upload!E491</f>
        <v>0</v>
      </c>
      <c r="C501" s="9">
        <f>Upload!AE491</f>
        <v>0</v>
      </c>
      <c r="D501" s="9">
        <f>Upload!AF491</f>
        <v>0</v>
      </c>
      <c r="E501" s="9">
        <f>Upload!AG491</f>
        <v>0</v>
      </c>
      <c r="F501" s="9" t="str">
        <f>Upload!X491</f>
        <v/>
      </c>
      <c r="G501" s="9" t="str">
        <f>Upload!Z491</f>
        <v/>
      </c>
      <c r="H501" s="9" t="str">
        <f>Upload!W491</f>
        <v>(seleccione)</v>
      </c>
      <c r="I501" s="9" t="str">
        <f>Upload!Y491</f>
        <v>(seleccione)</v>
      </c>
      <c r="K501" s="15" t="str">
        <f t="shared" si="48"/>
        <v/>
      </c>
      <c r="L501" s="15" t="str">
        <f t="shared" si="49"/>
        <v/>
      </c>
      <c r="M501" s="15" t="str">
        <f t="shared" si="50"/>
        <v/>
      </c>
      <c r="N501" s="15" t="str">
        <f t="shared" si="51"/>
        <v/>
      </c>
      <c r="O501" s="15" t="str">
        <f t="shared" si="52"/>
        <v/>
      </c>
      <c r="P501" s="15" t="str">
        <f>IF(OR(C501="",NOT(OR(ISNUMBER(SEARCH("Antitarnish",Upload!P491&amp;Upload!Q491&amp;Upload!R491&amp;Upload!S491&amp;Upload!T491)),ISNUMBER(SEARCH("Anti Tarnish",Upload!P491&amp;Upload!Q491&amp;Upload!R491&amp;Upload!S491&amp;Upload!T491))))),"",0.0012*C501)</f>
        <v/>
      </c>
      <c r="Q501" s="15" t="str">
        <f>IF(OR(E501="",NOT(OR(ISNUMBER(SEARCH("Epóxico MT",Upload!P491&amp;Upload!Q491&amp;Upload!R491&amp;Upload!S491&amp;Upload!T491))))),"",E501*0.000035)</f>
        <v/>
      </c>
      <c r="R501" s="15" t="str">
        <f>IF(OR(F501="",NOT(OR(ISNUMBER(SEARCH("Epóxico BT",Upload!Q491&amp;Upload!R491&amp;Upload!S491&amp;Upload!T491&amp;Upload!U491))))),"",F501*0.000035)</f>
        <v/>
      </c>
      <c r="S501" s="15" t="str">
        <f>IF(OR(G501="",NOT(OR(ISNUMBER(SEARCH("Epóxico Rojo",Upload!R491&amp;Upload!S491&amp;Upload!T491&amp;Upload!U491&amp;Upload!V491))))),"",G501*0.000035)</f>
        <v/>
      </c>
    </row>
    <row r="502" spans="1:19" x14ac:dyDescent="0.2">
      <c r="A502" s="9" t="e">
        <f t="shared" ca="1" si="47"/>
        <v>#NAME?</v>
      </c>
      <c r="B502" s="9">
        <f>Upload!E492</f>
        <v>0</v>
      </c>
      <c r="C502" s="9">
        <f>Upload!AE492</f>
        <v>0</v>
      </c>
      <c r="D502" s="9">
        <f>Upload!AF492</f>
        <v>0</v>
      </c>
      <c r="E502" s="9">
        <f>Upload!AG492</f>
        <v>0</v>
      </c>
      <c r="F502" s="9" t="str">
        <f>Upload!X492</f>
        <v/>
      </c>
      <c r="G502" s="9" t="str">
        <f>Upload!Z492</f>
        <v/>
      </c>
      <c r="H502" s="9" t="str">
        <f>Upload!W492</f>
        <v>(seleccione)</v>
      </c>
      <c r="I502" s="9" t="str">
        <f>Upload!Y492</f>
        <v>(seleccione)</v>
      </c>
      <c r="K502" s="15" t="str">
        <f t="shared" si="48"/>
        <v/>
      </c>
      <c r="L502" s="15" t="str">
        <f t="shared" si="49"/>
        <v/>
      </c>
      <c r="M502" s="15" t="str">
        <f t="shared" si="50"/>
        <v/>
      </c>
      <c r="N502" s="15" t="str">
        <f t="shared" si="51"/>
        <v/>
      </c>
      <c r="O502" s="15" t="str">
        <f t="shared" si="52"/>
        <v/>
      </c>
      <c r="P502" s="15" t="str">
        <f>IF(OR(C502="",NOT(OR(ISNUMBER(SEARCH("Antitarnish",Upload!P492&amp;Upload!Q492&amp;Upload!R492&amp;Upload!S492&amp;Upload!T492)),ISNUMBER(SEARCH("Anti Tarnish",Upload!P492&amp;Upload!Q492&amp;Upload!R492&amp;Upload!S492&amp;Upload!T492))))),"",0.0012*C502)</f>
        <v/>
      </c>
      <c r="Q502" s="15" t="str">
        <f>IF(OR(E502="",NOT(OR(ISNUMBER(SEARCH("Epóxico MT",Upload!P492&amp;Upload!Q492&amp;Upload!R492&amp;Upload!S492&amp;Upload!T492))))),"",E502*0.000035)</f>
        <v/>
      </c>
      <c r="R502" s="15" t="str">
        <f>IF(OR(F502="",NOT(OR(ISNUMBER(SEARCH("Epóxico BT",Upload!Q492&amp;Upload!R492&amp;Upload!S492&amp;Upload!T492&amp;Upload!U492))))),"",F502*0.000035)</f>
        <v/>
      </c>
      <c r="S502" s="15" t="str">
        <f>IF(OR(G502="",NOT(OR(ISNUMBER(SEARCH("Epóxico Rojo",Upload!R492&amp;Upload!S492&amp;Upload!T492&amp;Upload!U492&amp;Upload!V492))))),"",G502*0.000035)</f>
        <v/>
      </c>
    </row>
    <row r="503" spans="1:19" x14ac:dyDescent="0.2">
      <c r="A503" s="9" t="e">
        <f t="shared" ca="1" si="47"/>
        <v>#NAME?</v>
      </c>
      <c r="B503" s="9">
        <f>Upload!E493</f>
        <v>0</v>
      </c>
      <c r="C503" s="9">
        <f>Upload!AE493</f>
        <v>0</v>
      </c>
      <c r="D503" s="9">
        <f>Upload!AF493</f>
        <v>0</v>
      </c>
      <c r="E503" s="9">
        <f>Upload!AG493</f>
        <v>0</v>
      </c>
      <c r="F503" s="9" t="str">
        <f>Upload!X493</f>
        <v/>
      </c>
      <c r="G503" s="9" t="str">
        <f>Upload!Z493</f>
        <v/>
      </c>
      <c r="H503" s="9" t="str">
        <f>Upload!W493</f>
        <v>(seleccione)</v>
      </c>
      <c r="I503" s="9" t="str">
        <f>Upload!Y493</f>
        <v>(seleccione)</v>
      </c>
      <c r="K503" s="15" t="str">
        <f t="shared" si="48"/>
        <v/>
      </c>
      <c r="L503" s="15" t="str">
        <f t="shared" si="49"/>
        <v/>
      </c>
      <c r="M503" s="15" t="str">
        <f t="shared" si="50"/>
        <v/>
      </c>
      <c r="N503" s="15" t="str">
        <f t="shared" si="51"/>
        <v/>
      </c>
      <c r="O503" s="15" t="str">
        <f t="shared" si="52"/>
        <v/>
      </c>
      <c r="P503" s="15" t="str">
        <f>IF(OR(C503="",NOT(OR(ISNUMBER(SEARCH("Antitarnish",Upload!P493&amp;Upload!Q493&amp;Upload!R493&amp;Upload!S493&amp;Upload!T493)),ISNUMBER(SEARCH("Anti Tarnish",Upload!P493&amp;Upload!Q493&amp;Upload!R493&amp;Upload!S493&amp;Upload!T493))))),"",0.0012*C503)</f>
        <v/>
      </c>
      <c r="Q503" s="15" t="str">
        <f>IF(OR(E503="",NOT(OR(ISNUMBER(SEARCH("Epóxico MT",Upload!P493&amp;Upload!Q493&amp;Upload!R493&amp;Upload!S493&amp;Upload!T493))))),"",E503*0.000035)</f>
        <v/>
      </c>
      <c r="R503" s="15" t="str">
        <f>IF(OR(F503="",NOT(OR(ISNUMBER(SEARCH("Epóxico BT",Upload!Q493&amp;Upload!R493&amp;Upload!S493&amp;Upload!T493&amp;Upload!U493))))),"",F503*0.000035)</f>
        <v/>
      </c>
      <c r="S503" s="15" t="str">
        <f>IF(OR(G503="",NOT(OR(ISNUMBER(SEARCH("Epóxico Rojo",Upload!R493&amp;Upload!S493&amp;Upload!T493&amp;Upload!U493&amp;Upload!V493))))),"",G503*0.000035)</f>
        <v/>
      </c>
    </row>
    <row r="504" spans="1:19" x14ac:dyDescent="0.2">
      <c r="A504" s="9" t="e">
        <f t="shared" ca="1" si="47"/>
        <v>#NAME?</v>
      </c>
      <c r="B504" s="9">
        <f>Upload!E494</f>
        <v>0</v>
      </c>
      <c r="C504" s="9">
        <f>Upload!AE494</f>
        <v>0</v>
      </c>
      <c r="D504" s="9">
        <f>Upload!AF494</f>
        <v>0</v>
      </c>
      <c r="E504" s="9">
        <f>Upload!AG494</f>
        <v>0</v>
      </c>
      <c r="F504" s="9" t="str">
        <f>Upload!X494</f>
        <v/>
      </c>
      <c r="G504" s="9" t="str">
        <f>Upload!Z494</f>
        <v/>
      </c>
      <c r="H504" s="9" t="str">
        <f>Upload!W494</f>
        <v>(seleccione)</v>
      </c>
      <c r="I504" s="9" t="str">
        <f>Upload!Y494</f>
        <v>(seleccione)</v>
      </c>
      <c r="K504" s="15" t="str">
        <f t="shared" si="48"/>
        <v/>
      </c>
      <c r="L504" s="15" t="str">
        <f t="shared" si="49"/>
        <v/>
      </c>
      <c r="M504" s="15" t="str">
        <f t="shared" si="50"/>
        <v/>
      </c>
      <c r="N504" s="15" t="str">
        <f t="shared" si="51"/>
        <v/>
      </c>
      <c r="O504" s="15" t="str">
        <f t="shared" si="52"/>
        <v/>
      </c>
      <c r="P504" s="15" t="str">
        <f>IF(OR(C504="",NOT(OR(ISNUMBER(SEARCH("Antitarnish",Upload!P494&amp;Upload!Q494&amp;Upload!R494&amp;Upload!S494&amp;Upload!T494)),ISNUMBER(SEARCH("Anti Tarnish",Upload!P494&amp;Upload!Q494&amp;Upload!R494&amp;Upload!S494&amp;Upload!T494))))),"",0.0012*C504)</f>
        <v/>
      </c>
      <c r="Q504" s="15" t="str">
        <f>IF(OR(E504="",NOT(OR(ISNUMBER(SEARCH("Epóxico MT",Upload!P494&amp;Upload!Q494&amp;Upload!R494&amp;Upload!S494&amp;Upload!T494))))),"",E504*0.000035)</f>
        <v/>
      </c>
      <c r="R504" s="15" t="str">
        <f>IF(OR(F504="",NOT(OR(ISNUMBER(SEARCH("Epóxico BT",Upload!Q494&amp;Upload!R494&amp;Upload!S494&amp;Upload!T494&amp;Upload!U494))))),"",F504*0.000035)</f>
        <v/>
      </c>
      <c r="S504" s="15" t="str">
        <f>IF(OR(G504="",NOT(OR(ISNUMBER(SEARCH("Epóxico Rojo",Upload!R494&amp;Upload!S494&amp;Upload!T494&amp;Upload!U494&amp;Upload!V494))))),"",G504*0.000035)</f>
        <v/>
      </c>
    </row>
    <row r="505" spans="1:19" x14ac:dyDescent="0.2">
      <c r="A505" s="9" t="e">
        <f t="shared" ca="1" si="47"/>
        <v>#NAME?</v>
      </c>
      <c r="B505" s="9">
        <f>Upload!E495</f>
        <v>0</v>
      </c>
      <c r="C505" s="9">
        <f>Upload!AE495</f>
        <v>0</v>
      </c>
      <c r="D505" s="9">
        <f>Upload!AF495</f>
        <v>0</v>
      </c>
      <c r="E505" s="9">
        <f>Upload!AG495</f>
        <v>0</v>
      </c>
      <c r="F505" s="9" t="str">
        <f>Upload!X495</f>
        <v/>
      </c>
      <c r="G505" s="9" t="str">
        <f>Upload!Z495</f>
        <v/>
      </c>
      <c r="H505" s="9" t="str">
        <f>Upload!W495</f>
        <v>(seleccione)</v>
      </c>
      <c r="I505" s="9" t="str">
        <f>Upload!Y495</f>
        <v>(seleccione)</v>
      </c>
      <c r="K505" s="15" t="str">
        <f t="shared" si="48"/>
        <v/>
      </c>
      <c r="L505" s="15" t="str">
        <f t="shared" si="49"/>
        <v/>
      </c>
      <c r="M505" s="15" t="str">
        <f t="shared" si="50"/>
        <v/>
      </c>
      <c r="N505" s="15" t="str">
        <f t="shared" si="51"/>
        <v/>
      </c>
      <c r="O505" s="15" t="str">
        <f t="shared" si="52"/>
        <v/>
      </c>
      <c r="P505" s="15" t="str">
        <f>IF(OR(C505="",NOT(OR(ISNUMBER(SEARCH("Antitarnish",Upload!P495&amp;Upload!Q495&amp;Upload!R495&amp;Upload!S495&amp;Upload!T495)),ISNUMBER(SEARCH("Anti Tarnish",Upload!P495&amp;Upload!Q495&amp;Upload!R495&amp;Upload!S495&amp;Upload!T495))))),"",0.0012*C505)</f>
        <v/>
      </c>
      <c r="Q505" s="15" t="str">
        <f>IF(OR(E505="",NOT(OR(ISNUMBER(SEARCH("Epóxico MT",Upload!P495&amp;Upload!Q495&amp;Upload!R495&amp;Upload!S495&amp;Upload!T495))))),"",E505*0.000035)</f>
        <v/>
      </c>
      <c r="R505" s="15" t="str">
        <f>IF(OR(F505="",NOT(OR(ISNUMBER(SEARCH("Epóxico BT",Upload!Q495&amp;Upload!R495&amp;Upload!S495&amp;Upload!T495&amp;Upload!U495))))),"",F505*0.000035)</f>
        <v/>
      </c>
      <c r="S505" s="15" t="str">
        <f>IF(OR(G505="",NOT(OR(ISNUMBER(SEARCH("Epóxico Rojo",Upload!R495&amp;Upload!S495&amp;Upload!T495&amp;Upload!U495&amp;Upload!V495))))),"",G505*0.000035)</f>
        <v/>
      </c>
    </row>
    <row r="506" spans="1:19" x14ac:dyDescent="0.2">
      <c r="A506" s="9" t="e">
        <f t="shared" ca="1" si="47"/>
        <v>#NAME?</v>
      </c>
      <c r="B506" s="9">
        <f>Upload!E496</f>
        <v>0</v>
      </c>
      <c r="C506" s="9">
        <f>Upload!AE496</f>
        <v>0</v>
      </c>
      <c r="D506" s="9">
        <f>Upload!AF496</f>
        <v>0</v>
      </c>
      <c r="E506" s="9">
        <f>Upload!AG496</f>
        <v>0</v>
      </c>
      <c r="F506" s="9" t="str">
        <f>Upload!X496</f>
        <v/>
      </c>
      <c r="G506" s="9" t="str">
        <f>Upload!Z496</f>
        <v/>
      </c>
      <c r="H506" s="9" t="str">
        <f>Upload!W496</f>
        <v>(seleccione)</v>
      </c>
      <c r="I506" s="9" t="str">
        <f>Upload!Y496</f>
        <v>(seleccione)</v>
      </c>
      <c r="K506" s="15" t="str">
        <f t="shared" si="48"/>
        <v/>
      </c>
      <c r="L506" s="15" t="str">
        <f t="shared" si="49"/>
        <v/>
      </c>
      <c r="M506" s="15" t="str">
        <f t="shared" si="50"/>
        <v/>
      </c>
      <c r="N506" s="15" t="str">
        <f t="shared" si="51"/>
        <v/>
      </c>
      <c r="O506" s="15" t="str">
        <f t="shared" si="52"/>
        <v/>
      </c>
      <c r="P506" s="15" t="str">
        <f>IF(OR(C506="",NOT(OR(ISNUMBER(SEARCH("Antitarnish",Upload!P496&amp;Upload!Q496&amp;Upload!R496&amp;Upload!S496&amp;Upload!T496)),ISNUMBER(SEARCH("Anti Tarnish",Upload!P496&amp;Upload!Q496&amp;Upload!R496&amp;Upload!S496&amp;Upload!T496))))),"",0.0012*C506)</f>
        <v/>
      </c>
      <c r="Q506" s="15" t="str">
        <f>IF(OR(E506="",NOT(OR(ISNUMBER(SEARCH("Epóxico MT",Upload!P496&amp;Upload!Q496&amp;Upload!R496&amp;Upload!S496&amp;Upload!T496))))),"",E506*0.000035)</f>
        <v/>
      </c>
      <c r="R506" s="15" t="str">
        <f>IF(OR(F506="",NOT(OR(ISNUMBER(SEARCH("Epóxico BT",Upload!Q496&amp;Upload!R496&amp;Upload!S496&amp;Upload!T496&amp;Upload!U496))))),"",F506*0.000035)</f>
        <v/>
      </c>
      <c r="S506" s="15" t="str">
        <f>IF(OR(G506="",NOT(OR(ISNUMBER(SEARCH("Epóxico Rojo",Upload!R496&amp;Upload!S496&amp;Upload!T496&amp;Upload!U496&amp;Upload!V496))))),"",G506*0.000035)</f>
        <v/>
      </c>
    </row>
    <row r="507" spans="1:19" x14ac:dyDescent="0.2">
      <c r="A507" s="9" t="e">
        <f t="shared" ca="1" si="47"/>
        <v>#NAME?</v>
      </c>
      <c r="B507" s="9">
        <f>Upload!E497</f>
        <v>0</v>
      </c>
      <c r="C507" s="9">
        <f>Upload!AE497</f>
        <v>0</v>
      </c>
      <c r="D507" s="9">
        <f>Upload!AF497</f>
        <v>0</v>
      </c>
      <c r="E507" s="9">
        <f>Upload!AG497</f>
        <v>0</v>
      </c>
      <c r="F507" s="9" t="str">
        <f>Upload!X497</f>
        <v/>
      </c>
      <c r="G507" s="9" t="str">
        <f>Upload!Z497</f>
        <v/>
      </c>
      <c r="H507" s="9" t="str">
        <f>Upload!W497</f>
        <v>(seleccione)</v>
      </c>
      <c r="I507" s="9" t="str">
        <f>Upload!Y497</f>
        <v>(seleccione)</v>
      </c>
      <c r="K507" s="15" t="str">
        <f t="shared" si="48"/>
        <v/>
      </c>
      <c r="L507" s="15" t="str">
        <f t="shared" si="49"/>
        <v/>
      </c>
      <c r="M507" s="15" t="str">
        <f t="shared" si="50"/>
        <v/>
      </c>
      <c r="N507" s="15" t="str">
        <f t="shared" si="51"/>
        <v/>
      </c>
      <c r="O507" s="15" t="str">
        <f t="shared" si="52"/>
        <v/>
      </c>
      <c r="P507" s="15" t="str">
        <f>IF(OR(C507="",NOT(OR(ISNUMBER(SEARCH("Antitarnish",Upload!P497&amp;Upload!Q497&amp;Upload!R497&amp;Upload!S497&amp;Upload!T497)),ISNUMBER(SEARCH("Anti Tarnish",Upload!P497&amp;Upload!Q497&amp;Upload!R497&amp;Upload!S497&amp;Upload!T497))))),"",0.0012*C507)</f>
        <v/>
      </c>
      <c r="Q507" s="15" t="str">
        <f>IF(OR(E507="",NOT(OR(ISNUMBER(SEARCH("Epóxico MT",Upload!P497&amp;Upload!Q497&amp;Upload!R497&amp;Upload!S497&amp;Upload!T497))))),"",E507*0.000035)</f>
        <v/>
      </c>
      <c r="R507" s="15" t="str">
        <f>IF(OR(F507="",NOT(OR(ISNUMBER(SEARCH("Epóxico BT",Upload!Q497&amp;Upload!R497&amp;Upload!S497&amp;Upload!T497&amp;Upload!U497))))),"",F507*0.000035)</f>
        <v/>
      </c>
      <c r="S507" s="15" t="str">
        <f>IF(OR(G507="",NOT(OR(ISNUMBER(SEARCH("Epóxico Rojo",Upload!R497&amp;Upload!S497&amp;Upload!T497&amp;Upload!U497&amp;Upload!V497))))),"",G507*0.000035)</f>
        <v/>
      </c>
    </row>
    <row r="508" spans="1:19" x14ac:dyDescent="0.2">
      <c r="A508" s="9" t="e">
        <f t="shared" ca="1" si="47"/>
        <v>#NAME?</v>
      </c>
      <c r="B508" s="9">
        <f>Upload!E498</f>
        <v>0</v>
      </c>
      <c r="C508" s="9">
        <f>Upload!AE498</f>
        <v>0</v>
      </c>
      <c r="D508" s="9">
        <f>Upload!AF498</f>
        <v>0</v>
      </c>
      <c r="E508" s="9">
        <f>Upload!AG498</f>
        <v>0</v>
      </c>
      <c r="F508" s="9" t="str">
        <f>Upload!X498</f>
        <v/>
      </c>
      <c r="G508" s="9" t="str">
        <f>Upload!Z498</f>
        <v/>
      </c>
      <c r="H508" s="9" t="str">
        <f>Upload!W498</f>
        <v>(seleccione)</v>
      </c>
      <c r="I508" s="9" t="str">
        <f>Upload!Y498</f>
        <v>(seleccione)</v>
      </c>
      <c r="K508" s="15" t="str">
        <f t="shared" si="48"/>
        <v/>
      </c>
      <c r="L508" s="15" t="str">
        <f t="shared" si="49"/>
        <v/>
      </c>
      <c r="M508" s="15" t="str">
        <f t="shared" si="50"/>
        <v/>
      </c>
      <c r="N508" s="15" t="str">
        <f t="shared" si="51"/>
        <v/>
      </c>
      <c r="O508" s="15" t="str">
        <f t="shared" si="52"/>
        <v/>
      </c>
      <c r="P508" s="15" t="str">
        <f>IF(OR(C508="",NOT(OR(ISNUMBER(SEARCH("Antitarnish",Upload!P498&amp;Upload!Q498&amp;Upload!R498&amp;Upload!S498&amp;Upload!T498)),ISNUMBER(SEARCH("Anti Tarnish",Upload!P498&amp;Upload!Q498&amp;Upload!R498&amp;Upload!S498&amp;Upload!T498))))),"",0.0012*C508)</f>
        <v/>
      </c>
      <c r="Q508" s="15" t="str">
        <f>IF(OR(E508="",NOT(OR(ISNUMBER(SEARCH("Epóxico MT",Upload!P498&amp;Upload!Q498&amp;Upload!R498&amp;Upload!S498&amp;Upload!T498))))),"",E508*0.000035)</f>
        <v/>
      </c>
      <c r="R508" s="15" t="str">
        <f>IF(OR(F508="",NOT(OR(ISNUMBER(SEARCH("Epóxico BT",Upload!Q498&amp;Upload!R498&amp;Upload!S498&amp;Upload!T498&amp;Upload!U498))))),"",F508*0.000035)</f>
        <v/>
      </c>
      <c r="S508" s="15" t="str">
        <f>IF(OR(G508="",NOT(OR(ISNUMBER(SEARCH("Epóxico Rojo",Upload!R498&amp;Upload!S498&amp;Upload!T498&amp;Upload!U498&amp;Upload!V498))))),"",G508*0.000035)</f>
        <v/>
      </c>
    </row>
    <row r="509" spans="1:19" x14ac:dyDescent="0.2">
      <c r="A509" s="9" t="e">
        <f t="shared" ca="1" si="47"/>
        <v>#NAME?</v>
      </c>
      <c r="B509" s="9">
        <f>Upload!E499</f>
        <v>0</v>
      </c>
      <c r="C509" s="9">
        <f>Upload!AE499</f>
        <v>0</v>
      </c>
      <c r="D509" s="9">
        <f>Upload!AF499</f>
        <v>0</v>
      </c>
      <c r="E509" s="9">
        <f>Upload!AG499</f>
        <v>0</v>
      </c>
      <c r="F509" s="9" t="str">
        <f>Upload!X499</f>
        <v/>
      </c>
      <c r="G509" s="9" t="str">
        <f>Upload!Z499</f>
        <v/>
      </c>
      <c r="H509" s="9" t="str">
        <f>Upload!W499</f>
        <v>(seleccione)</v>
      </c>
      <c r="I509" s="9" t="str">
        <f>Upload!Y499</f>
        <v>(seleccione)</v>
      </c>
      <c r="K509" s="15" t="str">
        <f t="shared" ref="K509:K518" si="53">IFERROR(IF(OR(D509="",IF(ISNUMBER(SEARCH("Plata",H509)),F509,IF(ISNUMBER(SEARCH("Plata",I509)),G509,""))=""),"",$D$6*D509*(IF(ISNUMBER(SEARCH("Plata",H509)),F509,IF(ISNUMBER(SEARCH("Plata",I509)),G509,"")))/10000000),"")</f>
        <v/>
      </c>
      <c r="L509" s="15" t="str">
        <f t="shared" ref="L509:L518" si="54">IFERROR(IF(OR(D509="",IF(OR(ISNUMBER(SEARCH("Estaño",H509)),ISNUMBER(SEARCH("Estañ",H509)),ISNUMBER(SEARCH("Tin",H509))),F509,IF(OR(ISNUMBER(SEARCH("Estaño",I509)),ISNUMBER(SEARCH("Estañ",I509)),ISNUMBER(SEARCH("Tin",I509))),G509,""))=""),"",$D$7*D509*(IF(OR(ISNUMBER(SEARCH("Estaño",H509)),ISNUMBER(SEARCH("Estañ",H509)),ISNUMBER(SEARCH("Tin",H509))),F509,IF(OR(ISNUMBER(SEARCH("Estaño",I509)),ISNUMBER(SEARCH("Estañ",I509)),ISNUMBER(SEARCH("Tin",I509))),G509,"")))/10000000),"")</f>
        <v/>
      </c>
      <c r="M509" s="15" t="str">
        <f t="shared" ref="M509:M518" si="55">IFERROR(IF(OR(D509="",IF(OR(ISNUMBER(SEARCH("Níquel",H509)),ISNUMBER(SEARCH("Niquel",H509))),F509,IF(OR(ISNUMBER(SEARCH("Níquel",I509)),ISNUMBER(SEARCH("Niquel",I509))),G509,""))=""),"",$D$8*D509*(IF(OR(ISNUMBER(SEARCH("Níquel",H509)),ISNUMBER(SEARCH("Niquel",H509))),F509,IF(OR(ISNUMBER(SEARCH("Níquel",I509)),ISNUMBER(SEARCH("Niquel",I509))),G509,"")))/10000000),"")</f>
        <v/>
      </c>
      <c r="N509" s="15" t="str">
        <f t="shared" ref="N509:N518" si="56">IFERROR(IF(OR(D509="",IF(ISNUMBER(SEARCH("Zinc",H509)),F509,IF(ISNUMBER(SEARCH("Zinc",I509)),G509,""))=""),"",$D$9*D509*(IF(ISNUMBER(SEARCH("Zinc",H509)),F509,IF(ISNUMBER(SEARCH("Zinc",I509)),G509,"")))/10000000),"")</f>
        <v/>
      </c>
      <c r="O509" s="15" t="str">
        <f t="shared" ref="O509:O518" si="57">IFERROR(IF(OR(D509="",IF(OR(ISNUMBER(SEARCH("Cobre",H509)),ISNUMBER(SEARCH("Bondal",H509))),F509,IF(OR(ISNUMBER(SEARCH("Cobre",I509)),ISNUMBER(SEARCH("Bondal",I509))),G509,""))=""),"",$D$10*D509*(IF(OR(ISNUMBER(SEARCH("Cobre",H509)),ISNUMBER(SEARCH("Bondal",H509))),F509,IF(OR(ISNUMBER(SEARCH("Cobre",I509)),ISNUMBER(SEARCH("Bondal",I509))),G509,"")))/10000000),"")</f>
        <v/>
      </c>
      <c r="P509" s="15" t="str">
        <f>IF(OR(C509="",NOT(OR(ISNUMBER(SEARCH("Antitarnish",Upload!P499&amp;Upload!Q499&amp;Upload!R499&amp;Upload!S499&amp;Upload!T499)),ISNUMBER(SEARCH("Anti Tarnish",Upload!P499&amp;Upload!Q499&amp;Upload!R499&amp;Upload!S499&amp;Upload!T499))))),"",0.0012*C509)</f>
        <v/>
      </c>
      <c r="Q509" s="15" t="str">
        <f>IF(OR(E509="",NOT(OR(ISNUMBER(SEARCH("Epóxico MT",Upload!P499&amp;Upload!Q499&amp;Upload!R499&amp;Upload!S499&amp;Upload!T499))))),"",E509*0.000035)</f>
        <v/>
      </c>
      <c r="R509" s="15" t="str">
        <f>IF(OR(F509="",NOT(OR(ISNUMBER(SEARCH("Epóxico BT",Upload!Q499&amp;Upload!R499&amp;Upload!S499&amp;Upload!T499&amp;Upload!U499))))),"",F509*0.000035)</f>
        <v/>
      </c>
      <c r="S509" s="15" t="str">
        <f>IF(OR(G509="",NOT(OR(ISNUMBER(SEARCH("Epóxico Rojo",Upload!R499&amp;Upload!S499&amp;Upload!T499&amp;Upload!U499&amp;Upload!V499))))),"",G509*0.000035)</f>
        <v/>
      </c>
    </row>
    <row r="510" spans="1:19" x14ac:dyDescent="0.2">
      <c r="A510" s="9" t="e">
        <f t="shared" ca="1" si="47"/>
        <v>#NAME?</v>
      </c>
      <c r="B510" s="9">
        <f>Upload!E500</f>
        <v>0</v>
      </c>
      <c r="C510" s="9">
        <f>Upload!AE500</f>
        <v>0</v>
      </c>
      <c r="D510" s="9">
        <f>Upload!AF500</f>
        <v>0</v>
      </c>
      <c r="E510" s="9">
        <f>Upload!AG500</f>
        <v>0</v>
      </c>
      <c r="F510" s="9" t="str">
        <f>Upload!X500</f>
        <v/>
      </c>
      <c r="G510" s="9" t="str">
        <f>Upload!Z500</f>
        <v/>
      </c>
      <c r="H510" s="9" t="str">
        <f>Upload!W500</f>
        <v>(seleccione)</v>
      </c>
      <c r="I510" s="9" t="str">
        <f>Upload!Y500</f>
        <v>(seleccione)</v>
      </c>
      <c r="K510" s="15" t="str">
        <f t="shared" si="53"/>
        <v/>
      </c>
      <c r="L510" s="15" t="str">
        <f t="shared" si="54"/>
        <v/>
      </c>
      <c r="M510" s="15" t="str">
        <f t="shared" si="55"/>
        <v/>
      </c>
      <c r="N510" s="15" t="str">
        <f t="shared" si="56"/>
        <v/>
      </c>
      <c r="O510" s="15" t="str">
        <f t="shared" si="57"/>
        <v/>
      </c>
      <c r="P510" s="15" t="str">
        <f>IF(OR(C510="",NOT(OR(ISNUMBER(SEARCH("Antitarnish",Upload!P500&amp;Upload!Q500&amp;Upload!R500&amp;Upload!S500&amp;Upload!T500)),ISNUMBER(SEARCH("Anti Tarnish",Upload!P500&amp;Upload!Q500&amp;Upload!R500&amp;Upload!S500&amp;Upload!T500))))),"",0.0012*C510)</f>
        <v/>
      </c>
      <c r="Q510" s="15" t="str">
        <f>IF(OR(E510="",NOT(OR(ISNUMBER(SEARCH("Epóxico MT",Upload!P500&amp;Upload!Q500&amp;Upload!R500&amp;Upload!S500&amp;Upload!T500))))),"",E510*0.000035)</f>
        <v/>
      </c>
      <c r="R510" s="15" t="str">
        <f>IF(OR(F510="",NOT(OR(ISNUMBER(SEARCH("Epóxico BT",Upload!Q500&amp;Upload!R500&amp;Upload!S500&amp;Upload!T500&amp;Upload!U500))))),"",F510*0.000035)</f>
        <v/>
      </c>
      <c r="S510" s="15" t="str">
        <f>IF(OR(G510="",NOT(OR(ISNUMBER(SEARCH("Epóxico Rojo",Upload!R500&amp;Upload!S500&amp;Upload!T500&amp;Upload!U500&amp;Upload!V500))))),"",G510*0.000035)</f>
        <v/>
      </c>
    </row>
    <row r="511" spans="1:19" x14ac:dyDescent="0.2">
      <c r="A511" s="9" t="e">
        <f t="shared" ca="1" si="47"/>
        <v>#NAME?</v>
      </c>
      <c r="B511" s="9">
        <f>Upload!E501</f>
        <v>0</v>
      </c>
      <c r="C511" s="9">
        <f>Upload!AE501</f>
        <v>0</v>
      </c>
      <c r="D511" s="9">
        <f>Upload!AF501</f>
        <v>0</v>
      </c>
      <c r="E511" s="9">
        <f>Upload!AG501</f>
        <v>0</v>
      </c>
      <c r="F511" s="9" t="str">
        <f>Upload!X501</f>
        <v/>
      </c>
      <c r="G511" s="9" t="str">
        <f>Upload!Z501</f>
        <v/>
      </c>
      <c r="H511" s="9" t="str">
        <f>Upload!W501</f>
        <v>(seleccione)</v>
      </c>
      <c r="I511" s="9" t="str">
        <f>Upload!Y501</f>
        <v>(seleccione)</v>
      </c>
      <c r="K511" s="15" t="str">
        <f t="shared" si="53"/>
        <v/>
      </c>
      <c r="L511" s="15" t="str">
        <f t="shared" si="54"/>
        <v/>
      </c>
      <c r="M511" s="15" t="str">
        <f t="shared" si="55"/>
        <v/>
      </c>
      <c r="N511" s="15" t="str">
        <f t="shared" si="56"/>
        <v/>
      </c>
      <c r="O511" s="15" t="str">
        <f t="shared" si="57"/>
        <v/>
      </c>
      <c r="P511" s="15" t="str">
        <f>IF(OR(C511="",NOT(OR(ISNUMBER(SEARCH("Antitarnish",Upload!P501&amp;Upload!Q501&amp;Upload!R501&amp;Upload!S501&amp;Upload!T501)),ISNUMBER(SEARCH("Anti Tarnish",Upload!P501&amp;Upload!Q501&amp;Upload!R501&amp;Upload!S501&amp;Upload!T501))))),"",0.0012*C511)</f>
        <v/>
      </c>
      <c r="Q511" s="15" t="str">
        <f>IF(OR(E511="",NOT(OR(ISNUMBER(SEARCH("Epóxico MT",Upload!P501&amp;Upload!Q501&amp;Upload!R501&amp;Upload!S501&amp;Upload!T501))))),"",E511*0.000035)</f>
        <v/>
      </c>
      <c r="R511" s="15" t="str">
        <f>IF(OR(F511="",NOT(OR(ISNUMBER(SEARCH("Epóxico BT",Upload!Q501&amp;Upload!R501&amp;Upload!S501&amp;Upload!T501&amp;Upload!U501))))),"",F511*0.000035)</f>
        <v/>
      </c>
      <c r="S511" s="15" t="str">
        <f>IF(OR(G511="",NOT(OR(ISNUMBER(SEARCH("Epóxico Rojo",Upload!R501&amp;Upload!S501&amp;Upload!T501&amp;Upload!U501&amp;Upload!V501))))),"",G511*0.000035)</f>
        <v/>
      </c>
    </row>
    <row r="512" spans="1:19" x14ac:dyDescent="0.2">
      <c r="A512" s="9" t="e">
        <f t="shared" ca="1" si="47"/>
        <v>#NAME?</v>
      </c>
      <c r="B512" s="9">
        <f>Upload!E502</f>
        <v>0</v>
      </c>
      <c r="C512" s="9">
        <f>Upload!AE502</f>
        <v>0</v>
      </c>
      <c r="D512" s="9">
        <f>Upload!AF502</f>
        <v>0</v>
      </c>
      <c r="E512" s="9">
        <f>Upload!AG502</f>
        <v>0</v>
      </c>
      <c r="F512" s="9" t="str">
        <f>Upload!X502</f>
        <v/>
      </c>
      <c r="G512" s="9" t="str">
        <f>Upload!Z502</f>
        <v/>
      </c>
      <c r="H512" s="9" t="str">
        <f>Upload!W502</f>
        <v>(seleccione)</v>
      </c>
      <c r="I512" s="9" t="str">
        <f>Upload!Y502</f>
        <v>(seleccione)</v>
      </c>
      <c r="K512" s="15" t="str">
        <f t="shared" si="53"/>
        <v/>
      </c>
      <c r="L512" s="15" t="str">
        <f t="shared" si="54"/>
        <v/>
      </c>
      <c r="M512" s="15" t="str">
        <f t="shared" si="55"/>
        <v/>
      </c>
      <c r="N512" s="15" t="str">
        <f t="shared" si="56"/>
        <v/>
      </c>
      <c r="O512" s="15" t="str">
        <f t="shared" si="57"/>
        <v/>
      </c>
      <c r="P512" s="15" t="str">
        <f>IF(OR(C512="",NOT(OR(ISNUMBER(SEARCH("Antitarnish",Upload!P502&amp;Upload!Q502&amp;Upload!R502&amp;Upload!S502&amp;Upload!T502)),ISNUMBER(SEARCH("Anti Tarnish",Upload!P502&amp;Upload!Q502&amp;Upload!R502&amp;Upload!S502&amp;Upload!T502))))),"",0.0012*C512)</f>
        <v/>
      </c>
      <c r="Q512" s="15" t="str">
        <f>IF(OR(E512="",NOT(OR(ISNUMBER(SEARCH("Epóxico MT",Upload!P502&amp;Upload!Q502&amp;Upload!R502&amp;Upload!S502&amp;Upload!T502))))),"",E512*0.000035)</f>
        <v/>
      </c>
      <c r="R512" s="15" t="str">
        <f>IF(OR(F512="",NOT(OR(ISNUMBER(SEARCH("Epóxico BT",Upload!Q502&amp;Upload!R502&amp;Upload!S502&amp;Upload!T502&amp;Upload!U502))))),"",F512*0.000035)</f>
        <v/>
      </c>
      <c r="S512" s="15" t="str">
        <f>IF(OR(G512="",NOT(OR(ISNUMBER(SEARCH("Epóxico Rojo",Upload!R502&amp;Upload!S502&amp;Upload!T502&amp;Upload!U502&amp;Upload!V502))))),"",G512*0.000035)</f>
        <v/>
      </c>
    </row>
    <row r="513" spans="1:19" x14ac:dyDescent="0.2">
      <c r="A513" s="9" t="e">
        <f t="shared" ca="1" si="47"/>
        <v>#NAME?</v>
      </c>
      <c r="B513" s="9">
        <f>Upload!E503</f>
        <v>0</v>
      </c>
      <c r="C513" s="9">
        <f>Upload!AE503</f>
        <v>0</v>
      </c>
      <c r="D513" s="9">
        <f>Upload!AF503</f>
        <v>0</v>
      </c>
      <c r="E513" s="9">
        <f>Upload!AG503</f>
        <v>0</v>
      </c>
      <c r="F513" s="9" t="str">
        <f>Upload!X503</f>
        <v/>
      </c>
      <c r="G513" s="9" t="str">
        <f>Upload!Z503</f>
        <v/>
      </c>
      <c r="H513" s="9" t="str">
        <f>Upload!W503</f>
        <v>(seleccione)</v>
      </c>
      <c r="I513" s="9" t="str">
        <f>Upload!Y503</f>
        <v>(seleccione)</v>
      </c>
      <c r="K513" s="15" t="str">
        <f t="shared" si="53"/>
        <v/>
      </c>
      <c r="L513" s="15" t="str">
        <f t="shared" si="54"/>
        <v/>
      </c>
      <c r="M513" s="15" t="str">
        <f t="shared" si="55"/>
        <v/>
      </c>
      <c r="N513" s="15" t="str">
        <f t="shared" si="56"/>
        <v/>
      </c>
      <c r="O513" s="15" t="str">
        <f t="shared" si="57"/>
        <v/>
      </c>
      <c r="P513" s="15" t="str">
        <f>IF(OR(C513="",NOT(OR(ISNUMBER(SEARCH("Antitarnish",Upload!P503&amp;Upload!Q503&amp;Upload!R503&amp;Upload!S503&amp;Upload!T503)),ISNUMBER(SEARCH("Anti Tarnish",Upload!P503&amp;Upload!Q503&amp;Upload!R503&amp;Upload!S503&amp;Upload!T503))))),"",0.0012*C513)</f>
        <v/>
      </c>
      <c r="Q513" s="15" t="str">
        <f>IF(OR(E513="",NOT(OR(ISNUMBER(SEARCH("Epóxico MT",Upload!P503&amp;Upload!Q503&amp;Upload!R503&amp;Upload!S503&amp;Upload!T503))))),"",E513*0.000035)</f>
        <v/>
      </c>
      <c r="R513" s="15" t="str">
        <f>IF(OR(F513="",NOT(OR(ISNUMBER(SEARCH("Epóxico BT",Upload!Q503&amp;Upload!R503&amp;Upload!S503&amp;Upload!T503&amp;Upload!U503))))),"",F513*0.000035)</f>
        <v/>
      </c>
      <c r="S513" s="15" t="str">
        <f>IF(OR(G513="",NOT(OR(ISNUMBER(SEARCH("Epóxico Rojo",Upload!R503&amp;Upload!S503&amp;Upload!T503&amp;Upload!U503&amp;Upload!V503))))),"",G513*0.000035)</f>
        <v/>
      </c>
    </row>
    <row r="514" spans="1:19" x14ac:dyDescent="0.2">
      <c r="A514" s="9" t="e">
        <f t="shared" ca="1" si="47"/>
        <v>#NAME?</v>
      </c>
      <c r="B514" s="9">
        <f>Upload!E504</f>
        <v>0</v>
      </c>
      <c r="C514" s="9">
        <f>Upload!AE504</f>
        <v>0</v>
      </c>
      <c r="D514" s="9">
        <f>Upload!AF504</f>
        <v>0</v>
      </c>
      <c r="E514" s="9">
        <f>Upload!AG504</f>
        <v>0</v>
      </c>
      <c r="F514" s="9" t="str">
        <f>Upload!X504</f>
        <v/>
      </c>
      <c r="G514" s="9" t="str">
        <f>Upload!Z504</f>
        <v/>
      </c>
      <c r="H514" s="9" t="str">
        <f>Upload!W504</f>
        <v>(seleccione)</v>
      </c>
      <c r="I514" s="9" t="str">
        <f>Upload!Y504</f>
        <v>(seleccione)</v>
      </c>
      <c r="K514" s="15" t="str">
        <f t="shared" si="53"/>
        <v/>
      </c>
      <c r="L514" s="15" t="str">
        <f t="shared" si="54"/>
        <v/>
      </c>
      <c r="M514" s="15" t="str">
        <f t="shared" si="55"/>
        <v/>
      </c>
      <c r="N514" s="15" t="str">
        <f t="shared" si="56"/>
        <v/>
      </c>
      <c r="O514" s="15" t="str">
        <f t="shared" si="57"/>
        <v/>
      </c>
      <c r="P514" s="15" t="str">
        <f>IF(OR(C514="",NOT(OR(ISNUMBER(SEARCH("Antitarnish",Upload!P504&amp;Upload!Q504&amp;Upload!R504&amp;Upload!S504&amp;Upload!T504)),ISNUMBER(SEARCH("Anti Tarnish",Upload!P504&amp;Upload!Q504&amp;Upload!R504&amp;Upload!S504&amp;Upload!T504))))),"",0.0012*C514)</f>
        <v/>
      </c>
      <c r="Q514" s="15" t="str">
        <f>IF(OR(E514="",NOT(OR(ISNUMBER(SEARCH("Epóxico MT",Upload!P504&amp;Upload!Q504&amp;Upload!R504&amp;Upload!S504&amp;Upload!T504))))),"",E514*0.000035)</f>
        <v/>
      </c>
      <c r="R514" s="15" t="str">
        <f>IF(OR(F514="",NOT(OR(ISNUMBER(SEARCH("Epóxico BT",Upload!Q504&amp;Upload!R504&amp;Upload!S504&amp;Upload!T504&amp;Upload!U504))))),"",F514*0.000035)</f>
        <v/>
      </c>
      <c r="S514" s="15" t="str">
        <f>IF(OR(G514="",NOT(OR(ISNUMBER(SEARCH("Epóxico Rojo",Upload!R504&amp;Upload!S504&amp;Upload!T504&amp;Upload!U504&amp;Upload!V504))))),"",G514*0.000035)</f>
        <v/>
      </c>
    </row>
    <row r="515" spans="1:19" x14ac:dyDescent="0.2">
      <c r="A515" s="9" t="e">
        <f t="shared" ca="1" si="47"/>
        <v>#NAME?</v>
      </c>
      <c r="B515" s="9">
        <f>Upload!E505</f>
        <v>0</v>
      </c>
      <c r="C515" s="9">
        <f>Upload!AE505</f>
        <v>0</v>
      </c>
      <c r="D515" s="9">
        <f>Upload!AF505</f>
        <v>0</v>
      </c>
      <c r="E515" s="9">
        <f>Upload!AG505</f>
        <v>0</v>
      </c>
      <c r="F515" s="9" t="str">
        <f>Upload!X505</f>
        <v/>
      </c>
      <c r="G515" s="9" t="str">
        <f>Upload!Z505</f>
        <v/>
      </c>
      <c r="H515" s="9" t="str">
        <f>Upload!W505</f>
        <v>(seleccione)</v>
      </c>
      <c r="I515" s="9" t="str">
        <f>Upload!Y505</f>
        <v>(seleccione)</v>
      </c>
      <c r="K515" s="15" t="str">
        <f t="shared" si="53"/>
        <v/>
      </c>
      <c r="L515" s="15" t="str">
        <f t="shared" si="54"/>
        <v/>
      </c>
      <c r="M515" s="15" t="str">
        <f t="shared" si="55"/>
        <v/>
      </c>
      <c r="N515" s="15" t="str">
        <f t="shared" si="56"/>
        <v/>
      </c>
      <c r="O515" s="15" t="str">
        <f t="shared" si="57"/>
        <v/>
      </c>
      <c r="P515" s="15" t="str">
        <f>IF(OR(C515="",NOT(OR(ISNUMBER(SEARCH("Antitarnish",Upload!P505&amp;Upload!Q505&amp;Upload!R505&amp;Upload!S505&amp;Upload!T505)),ISNUMBER(SEARCH("Anti Tarnish",Upload!P505&amp;Upload!Q505&amp;Upload!R505&amp;Upload!S505&amp;Upload!T505))))),"",0.0012*C515)</f>
        <v/>
      </c>
      <c r="Q515" s="15" t="str">
        <f>IF(OR(E515="",NOT(OR(ISNUMBER(SEARCH("Epóxico MT",Upload!P505&amp;Upload!Q505&amp;Upload!R505&amp;Upload!S505&amp;Upload!T505))))),"",E515*0.000035)</f>
        <v/>
      </c>
      <c r="R515" s="15" t="str">
        <f>IF(OR(F515="",NOT(OR(ISNUMBER(SEARCH("Epóxico BT",Upload!Q505&amp;Upload!R505&amp;Upload!S505&amp;Upload!T505&amp;Upload!U505))))),"",F515*0.000035)</f>
        <v/>
      </c>
      <c r="S515" s="15" t="str">
        <f>IF(OR(G515="",NOT(OR(ISNUMBER(SEARCH("Epóxico Rojo",Upload!R505&amp;Upload!S505&amp;Upload!T505&amp;Upload!U505&amp;Upload!V505))))),"",G515*0.000035)</f>
        <v/>
      </c>
    </row>
    <row r="516" spans="1:19" x14ac:dyDescent="0.2">
      <c r="A516" s="9" t="e">
        <f t="shared" ca="1" si="47"/>
        <v>#NAME?</v>
      </c>
      <c r="B516" s="9">
        <f>Upload!E506</f>
        <v>0</v>
      </c>
      <c r="C516" s="9">
        <f>Upload!AE506</f>
        <v>0</v>
      </c>
      <c r="D516" s="9">
        <f>Upload!AF506</f>
        <v>0</v>
      </c>
      <c r="E516" s="9">
        <f>Upload!AG506</f>
        <v>0</v>
      </c>
      <c r="F516" s="9" t="str">
        <f>Upload!X506</f>
        <v/>
      </c>
      <c r="G516" s="9" t="str">
        <f>Upload!Z506</f>
        <v/>
      </c>
      <c r="H516" s="9" t="str">
        <f>Upload!W506</f>
        <v>(seleccione)</v>
      </c>
      <c r="I516" s="9" t="str">
        <f>Upload!Y506</f>
        <v>(seleccione)</v>
      </c>
      <c r="K516" s="15" t="str">
        <f t="shared" si="53"/>
        <v/>
      </c>
      <c r="L516" s="15" t="str">
        <f t="shared" si="54"/>
        <v/>
      </c>
      <c r="M516" s="15" t="str">
        <f t="shared" si="55"/>
        <v/>
      </c>
      <c r="N516" s="15" t="str">
        <f t="shared" si="56"/>
        <v/>
      </c>
      <c r="O516" s="15" t="str">
        <f t="shared" si="57"/>
        <v/>
      </c>
      <c r="P516" s="15" t="str">
        <f>IF(OR(C516="",NOT(OR(ISNUMBER(SEARCH("Antitarnish",Upload!P506&amp;Upload!Q506&amp;Upload!R506&amp;Upload!S506&amp;Upload!T506)),ISNUMBER(SEARCH("Anti Tarnish",Upload!P506&amp;Upload!Q506&amp;Upload!R506&amp;Upload!S506&amp;Upload!T506))))),"",0.0012*C516)</f>
        <v/>
      </c>
      <c r="Q516" s="15" t="str">
        <f>IF(OR(E516="",NOT(OR(ISNUMBER(SEARCH("Epóxico MT",Upload!P506&amp;Upload!Q506&amp;Upload!R506&amp;Upload!S506&amp;Upload!T506))))),"",E516*0.000035)</f>
        <v/>
      </c>
      <c r="R516" s="15" t="str">
        <f>IF(OR(F516="",NOT(OR(ISNUMBER(SEARCH("Epóxico BT",Upload!Q506&amp;Upload!R506&amp;Upload!S506&amp;Upload!T506&amp;Upload!U506))))),"",F516*0.000035)</f>
        <v/>
      </c>
      <c r="S516" s="15" t="str">
        <f>IF(OR(G516="",NOT(OR(ISNUMBER(SEARCH("Epóxico Rojo",Upload!R506&amp;Upload!S506&amp;Upload!T506&amp;Upload!U506&amp;Upload!V506))))),"",G516*0.000035)</f>
        <v/>
      </c>
    </row>
    <row r="517" spans="1:19" x14ac:dyDescent="0.2">
      <c r="A517" s="9" t="e">
        <f t="shared" ca="1" si="47"/>
        <v>#NAME?</v>
      </c>
      <c r="B517" s="9">
        <f>Upload!E507</f>
        <v>0</v>
      </c>
      <c r="C517" s="9">
        <f>Upload!AE507</f>
        <v>0</v>
      </c>
      <c r="D517" s="9">
        <f>Upload!AF507</f>
        <v>0</v>
      </c>
      <c r="E517" s="9">
        <f>Upload!AG507</f>
        <v>0</v>
      </c>
      <c r="F517" s="9" t="str">
        <f>Upload!X507</f>
        <v/>
      </c>
      <c r="G517" s="9" t="str">
        <f>Upload!Z507</f>
        <v/>
      </c>
      <c r="H517" s="9" t="str">
        <f>Upload!W507</f>
        <v>(seleccione)</v>
      </c>
      <c r="I517" s="9" t="str">
        <f>Upload!Y507</f>
        <v>(seleccione)</v>
      </c>
      <c r="K517" s="15" t="str">
        <f t="shared" si="53"/>
        <v/>
      </c>
      <c r="L517" s="15" t="str">
        <f t="shared" si="54"/>
        <v/>
      </c>
      <c r="M517" s="15" t="str">
        <f t="shared" si="55"/>
        <v/>
      </c>
      <c r="N517" s="15" t="str">
        <f t="shared" si="56"/>
        <v/>
      </c>
      <c r="O517" s="15" t="str">
        <f t="shared" si="57"/>
        <v/>
      </c>
      <c r="P517" s="15" t="str">
        <f>IF(OR(C517="",NOT(OR(ISNUMBER(SEARCH("Antitarnish",Upload!P507&amp;Upload!Q507&amp;Upload!R507&amp;Upload!S507&amp;Upload!T507)),ISNUMBER(SEARCH("Anti Tarnish",Upload!P507&amp;Upload!Q507&amp;Upload!R507&amp;Upload!S507&amp;Upload!T507))))),"",0.0012*C517)</f>
        <v/>
      </c>
      <c r="Q517" s="15" t="str">
        <f>IF(OR(E517="",NOT(OR(ISNUMBER(SEARCH("Epóxico MT",Upload!P507&amp;Upload!Q507&amp;Upload!R507&amp;Upload!S507&amp;Upload!T507))))),"",E517*0.000035)</f>
        <v/>
      </c>
      <c r="R517" s="15" t="str">
        <f>IF(OR(F517="",NOT(OR(ISNUMBER(SEARCH("Epóxico BT",Upload!Q507&amp;Upload!R507&amp;Upload!S507&amp;Upload!T507&amp;Upload!U507))))),"",F517*0.000035)</f>
        <v/>
      </c>
      <c r="S517" s="15" t="str">
        <f>IF(OR(G517="",NOT(OR(ISNUMBER(SEARCH("Epóxico Rojo",Upload!R507&amp;Upload!S507&amp;Upload!T507&amp;Upload!U507&amp;Upload!V507))))),"",G517*0.000035)</f>
        <v/>
      </c>
    </row>
    <row r="518" spans="1:19" x14ac:dyDescent="0.2">
      <c r="A518" s="9" t="e">
        <f t="shared" ca="1" si="47"/>
        <v>#NAME?</v>
      </c>
      <c r="B518" s="9">
        <f>Upload!E508</f>
        <v>0</v>
      </c>
      <c r="C518" s="9">
        <f>Upload!AE508</f>
        <v>0</v>
      </c>
      <c r="D518" s="9">
        <f>Upload!AF508</f>
        <v>0</v>
      </c>
      <c r="E518" s="9">
        <f>Upload!AG508</f>
        <v>0</v>
      </c>
      <c r="F518" s="9" t="str">
        <f>Upload!X508</f>
        <v/>
      </c>
      <c r="G518" s="9" t="str">
        <f>Upload!Z508</f>
        <v/>
      </c>
      <c r="H518" s="9" t="str">
        <f>Upload!W508</f>
        <v>(seleccione)</v>
      </c>
      <c r="I518" s="9" t="str">
        <f>Upload!Y508</f>
        <v>(seleccione)</v>
      </c>
      <c r="K518" s="15" t="str">
        <f t="shared" si="53"/>
        <v/>
      </c>
      <c r="L518" s="15" t="str">
        <f t="shared" si="54"/>
        <v/>
      </c>
      <c r="M518" s="15" t="str">
        <f t="shared" si="55"/>
        <v/>
      </c>
      <c r="N518" s="15" t="str">
        <f t="shared" si="56"/>
        <v/>
      </c>
      <c r="O518" s="15" t="str">
        <f t="shared" si="57"/>
        <v/>
      </c>
      <c r="P518" s="15" t="str">
        <f>IF(OR(C518="",NOT(OR(ISNUMBER(SEARCH("Antitarnish",Upload!P508&amp;Upload!Q508&amp;Upload!R508&amp;Upload!S508&amp;Upload!T508)),ISNUMBER(SEARCH("Anti Tarnish",Upload!P508&amp;Upload!Q508&amp;Upload!R508&amp;Upload!S508&amp;Upload!T508))))),"",0.0012*C518)</f>
        <v/>
      </c>
      <c r="Q518" s="15" t="str">
        <f>IF(OR(E518="",NOT(OR(ISNUMBER(SEARCH("Epóxico MT",Upload!P508&amp;Upload!Q508&amp;Upload!R508&amp;Upload!S508&amp;Upload!T508))))),"",E518*0.000035)</f>
        <v/>
      </c>
      <c r="R518" s="15" t="str">
        <f>IF(OR(F518="",NOT(OR(ISNUMBER(SEARCH("Epóxico BT",Upload!Q508&amp;Upload!R508&amp;Upload!S508&amp;Upload!T508&amp;Upload!U508))))),"",F518*0.000035)</f>
        <v/>
      </c>
      <c r="S518" s="15" t="str">
        <f>IF(OR(G518="",NOT(OR(ISNUMBER(SEARCH("Epóxico Rojo",Upload!R508&amp;Upload!S508&amp;Upload!T508&amp;Upload!U508&amp;Upload!V508))))),"",G518*0.000035)</f>
        <v/>
      </c>
    </row>
  </sheetData>
  <mergeCells count="1">
    <mergeCell ref="A1:O1"/>
  </mergeCells>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8">
    <tabColor rgb="FF90CAF9"/>
  </sheetPr>
  <dimension ref="A1:A160"/>
  <sheetViews>
    <sheetView zoomScaleNormal="100" workbookViewId="0">
      <pane ySplit="1" topLeftCell="A1" activePane="bottomLeft" state="frozen"/>
      <selection pane="bottomLeft" activeCell="A152" sqref="A152"/>
    </sheetView>
  </sheetViews>
  <sheetFormatPr baseColWidth="10" defaultColWidth="8.6640625" defaultRowHeight="15" x14ac:dyDescent="0.2"/>
  <cols>
    <col min="1" max="1" width="100" customWidth="1"/>
  </cols>
  <sheetData>
    <row r="1" spans="1:1">
      <c r="A1" s="1" t="inlineStr">
        <is>
          <t xml:space="preserve">STEELHEAD AUTOMATOR — PLANTILLA DE CARGA MASIVA v13</t>
        </is>
      </c>
    </row>
    <row r="3" spans="1:1">
      <c r="A3" s="5" t="inlineStr">
        <is>
          <t xml:space="preserve">Referencia rápida generada del propio archivo: 67 columnas (A–BO), 5 pares de rack.</t>
        </is>
      </c>
    </row>
    <row r="4" spans="1:1">
      <c r="A4" s="5" t="inlineStr">
        <is>
          <t xml:space="preserve">Guía completa con imágenes: docs/training/guia-plantilla-v13.html del repositorio.</t>
        </is>
      </c>
    </row>
    <row r="6" spans="1:1">
      <c r="A6" s="3" t="inlineStr">
        <is>
          <t xml:space="preserve">FLUJO COMPLETO</t>
        </is>
      </c>
    </row>
    <row r="7" spans="1:1">
      <c r="A7" s="4" t="inlineStr">
        <is>
          <t xml:space="preserve">   1. Bajar la plantilla desde el menú de la extensión (no reusar una copia vieja)</t>
        </is>
      </c>
    </row>
    <row r="8" spans="1:1">
      <c r="A8" s="4" t="inlineStr">
        <is>
          <t xml:space="preserve">   2. Actualizar Catálogos (botón de la extensión, estando dentro de Steelhead)</t>
        </is>
      </c>
    </row>
    <row r="9" spans="1:1">
      <c r="A9" s="4" t="inlineStr">
        <is>
          <t xml:space="preserve">   3. En Excel: macro RefrescarListas — pide el archivo de catálogos recién bajado</t>
        </is>
      </c>
    </row>
    <row r="10" spans="1:1">
      <c r="A10" s="4" t="inlineStr">
        <is>
          <t xml:space="preserve">   4. Llenar el encabezado y los renglones de la hoja Upload (datos desde la fila 9)</t>
        </is>
      </c>
    </row>
    <row r="11" spans="1:1">
      <c r="A11" s="4" t="inlineStr">
        <is>
          <t xml:space="preserve">   5. Macro ExportarCSV — valida y guarda el CSV</t>
        </is>
      </c>
    </row>
    <row r="12" spans="1:1">
      <c r="A12" s="4" t="inlineStr">
        <is>
          <t xml:space="preserve">   6. En Steelhead: extensión → Carga Masiva → Cargar CSV → revisar → EJECUTAR</t>
        </is>
      </c>
    </row>
    <row r="14" spans="1:1">
      <c r="A14" s="3" t="inlineStr">
        <is>
          <t xml:space="preserve">MODOS (celda H1)</t>
        </is>
      </c>
    </row>
    <row r="15" spans="1:1">
      <c r="A15" s="4" t="inlineStr">
        <is>
          <t xml:space="preserve">   COTIZACIÓN+NP — crea la cotización y los números de parte, con precios y productos</t>
        </is>
      </c>
    </row>
    <row r="16" spans="1:1">
      <c r="A16" s="4" t="inlineStr">
        <is>
          <t xml:space="preserve">   SOLO_PN       — crea o modifica números de parte, sin tocar cotizaciones</t>
        </is>
      </c>
    </row>
    <row r="17" spans="1:1">
      <c r="A17" s="4" t="inlineStr">
        <is>
          <t xml:space="preserve">   Con varios clientes en COTIZACIÓN+NP se crea UNA cotización por cliente,</t>
        </is>
      </c>
    </row>
    <row r="18" spans="1:1">
      <c r="A18" s="4" t="inlineStr">
        <is>
          <t xml:space="preserve">   nombrada "{Cliente} {Layout}". La macro avisa cuántas va a crear y confirmas.</t>
        </is>
      </c>
    </row>
    <row r="20" spans="1:1">
      <c r="A20" s="3" t="inlineStr">
        <is>
          <t xml:space="preserve">ENCABEZADO DEL LAYOUT (filas 1-4)</t>
        </is>
      </c>
    </row>
    <row r="21" spans="1:1">
      <c r="A21" s="4" t="inlineStr">
        <is>
          <t xml:space="preserve">   Modo                       H1   COTIZACIÓN+NP o SOLO_PN</t>
        </is>
      </c>
    </row>
    <row r="22" spans="1:1">
      <c r="A22" s="4" t="inlineStr">
        <is>
          <t xml:space="preserve">   Empresa Emisora            B3   ECOPLATING o PROQUIPA</t>
        </is>
      </c>
    </row>
    <row r="23" spans="1:1">
      <c r="A23" s="4" t="inlineStr">
        <is>
          <t xml:space="preserve">   Válida Hasta (días)        B4   vigencia; sólo aplica en modo cotización</t>
        </is>
      </c>
    </row>
    <row r="24" spans="1:1">
      <c r="A24" s="4" t="inlineStr">
        <is>
          <t xml:space="preserve">   Nombre Cotización/Layout   G3   OBLIGATORIO en modo cotización</t>
        </is>
      </c>
    </row>
    <row r="25" spans="1:1">
      <c r="A25" s="4" t="inlineStr">
        <is>
          <t xml:space="preserve">   Asignado                   G4   vendedor; en blanco = asignación automática</t>
        </is>
      </c>
    </row>
    <row r="26" spans="1:1">
      <c r="A26" s="4" t="inlineStr">
        <is>
          <t xml:space="preserve">   Notas Externas             J3   las ve el cliente en la cotización</t>
        </is>
      </c>
    </row>
    <row r="27" spans="1:1">
      <c r="A27" s="4" t="inlineStr">
        <is>
          <t xml:space="preserve">   Notas Internas             Q3   uso interno</t>
        </is>
      </c>
    </row>
    <row r="28" spans="1:1">
      <c r="A28" s="5" t="inlineStr">
        <is>
          <t xml:space="preserve">   La macro busca cada campo POR SU ETIQUETA, no por la celda: cambia los valores,</t>
        </is>
      </c>
    </row>
    <row r="29" spans="1:1">
      <c r="A29" s="5" t="inlineStr">
        <is>
          <t xml:space="preserve">   no los rótulos. Si renombras una etiqueta, ese campo deja de leerse.</t>
        </is>
      </c>
    </row>
    <row r="31" spans="1:1">
      <c r="A31" s="3" t="inlineStr">
        <is>
          <t xml:space="preserve">CONVENCIONES</t>
        </is>
      </c>
    </row>
    <row r="32" spans="1:1">
      <c r="A32" s="4" t="inlineStr">
        <is>
          <t xml:space="preserve">   Celda vacía   No se toca nada — conserva lo que ya tenga en Steelhead</t>
        </is>
      </c>
    </row>
    <row r="33" spans="1:1">
      <c r="A33" s="4" t="inlineStr">
        <is>
          <t xml:space="preserve">   Guión (-)     Borra el dato (se manda vacío)</t>
        </is>
      </c>
    </row>
    <row r="34" spans="1:1">
      <c r="A34" s="4" t="inlineStr">
        <is>
          <t xml:space="preserve">   V / F         En columnas de sí/no: V activa, F desactiva</t>
        </is>
      </c>
    </row>
    <row r="35" spans="1:1">
      <c r="A35" s="4" t="inlineStr">
        <is>
          <t xml:space="preserve">   Los renglones sin número de parte no se tocan ni se validan.</t>
        </is>
      </c>
    </row>
    <row r="36" spans="1:1">
      <c r="A36" s="5" t="inlineStr">
        <is>
          <t xml:space="preserve">   Vacío y guión NO son lo mismo: en blanco conserva, guión borra. Ante la duda, en blanco.</t>
        </is>
      </c>
    </row>
    <row r="38" spans="1:1">
      <c r="A38" s="3" t="inlineStr">
        <is>
          <t xml:space="preserve">PLACEHOLDERS DE LOS DESPLEGABLES</t>
        </is>
      </c>
    </row>
    <row r="39" spans="1:1">
      <c r="A39" s="4" t="inlineStr">
        <is>
          <t xml:space="preserve">   (seleccione)             campo con lista — elige del listado</t>
        </is>
      </c>
    </row>
    <row r="40" spans="1:1">
      <c r="A40" s="4" t="inlineStr">
        <is>
          <t xml:space="preserve">   (seleccione o escriba)   campo híbrido — elige o escribe un valor nuevo</t>
        </is>
      </c>
    </row>
    <row r="42" spans="1:1">
      <c r="A42" s="3" t="inlineStr">
        <is>
          <t xml:space="preserve">CÓDIGO DE COLORES</t>
        </is>
      </c>
    </row>
    <row r="43" spans="1:1">
      <c r="A43" s="4" t="inlineStr">
        <is>
          <t xml:space="preserve">   Verde claro   Editable — lo llenas tú</t>
        </is>
      </c>
    </row>
    <row r="44" spans="1:1">
      <c r="A44" s="4" t="inlineStr">
        <is>
          <t xml:space="preserve">   Gris claro    No aplica al modo elegido (lo sombrea SombrearModoSoloPN)</t>
        </is>
      </c>
    </row>
    <row r="46" spans="1:1">
      <c r="A46" s="3" t="inlineStr">
        <is>
          <t xml:space="preserve">COLUMNAS DE DATOS (fila 7 = encabezados · datos desde la fila 9)</t>
        </is>
      </c>
    </row>
    <row r="47" spans="1:1">
      <c r="A47" s="5" t="inlineStr">
        <is>
          <t xml:space="preserve">   Tipo:  Desp. = lista desplegable · Calc. = se calcula solo · # = número · Texto = libre</t>
        </is>
      </c>
    </row>
    <row r="49" spans="1:1">
      <c r="A49" s="4" t="inlineStr">
        <is>
          <t xml:space="preserve">   PARÁMETROS</t>
        </is>
      </c>
    </row>
    <row r="50" spans="1:1">
      <c r="A50" s="5" t="inlineStr">
        <is>
          <t xml:space="preserve">      A   Estatus                        Desp.    [Activo con validación]</t>
        </is>
      </c>
    </row>
    <row r="51" spans="1:1">
      <c r="A51" s="5" t="inlineStr">
        <is>
          <t xml:space="preserve">      B   Forzar duplicado               Desp.    [Sin forzar duplicado]</t>
        </is>
      </c>
    </row>
    <row r="53" spans="1:1">
      <c r="A53" s="4" t="inlineStr">
        <is>
          <t xml:space="preserve">   IDENTIFICACIÓN</t>
        </is>
      </c>
    </row>
    <row r="54" spans="1:1">
      <c r="A54" s="5" t="inlineStr">
        <is>
          <t xml:space="preserve">      C   Id SH                          Texto  </t>
        </is>
      </c>
    </row>
    <row r="55" spans="1:1">
      <c r="A55" s="5" t="inlineStr">
        <is>
          <t xml:space="preserve">      D   Cliente                        Desp.    [(seleccione)]</t>
        </is>
      </c>
    </row>
    <row r="56" spans="1:1">
      <c r="A56" s="5" t="inlineStr">
        <is>
          <t xml:space="preserve">      E   Número de parte                Texto  </t>
        </is>
      </c>
    </row>
    <row r="57" spans="1:1">
      <c r="A57" s="5" t="inlineStr">
        <is>
          <t xml:space="preserve">      F   Descripción                    Texto  </t>
        </is>
      </c>
    </row>
    <row r="58" spans="1:1">
      <c r="A58" s="5" t="inlineStr">
        <is>
          <t xml:space="preserve">      G   PN alterno                     Texto  </t>
        </is>
      </c>
    </row>
    <row r="59" spans="1:1">
      <c r="A59" s="5" t="inlineStr">
        <is>
          <t xml:space="preserve">      H   Grupo                          Texto    [(seleccione o escriba)]</t>
        </is>
      </c>
    </row>
    <row r="61" spans="1:1">
      <c r="A61" s="4" t="inlineStr">
        <is>
          <t xml:space="preserve">   PRECIO</t>
        </is>
      </c>
    </row>
    <row r="62" spans="1:1">
      <c r="A62" s="5" t="inlineStr">
        <is>
          <t xml:space="preserve">      I   Cantidad                       #        [1]</t>
        </is>
      </c>
    </row>
    <row r="63" spans="1:1">
      <c r="A63" s="5" t="inlineStr">
        <is>
          <t xml:space="preserve">      J   Precio                         $      </t>
        </is>
      </c>
    </row>
    <row r="64" spans="1:1">
      <c r="A64" s="5" t="inlineStr">
        <is>
          <t xml:space="preserve">      K   Unidad precio                  Desp.    [(seleccione)]</t>
        </is>
      </c>
    </row>
    <row r="65" spans="1:1">
      <c r="A65" s="5" t="inlineStr">
        <is>
          <t xml:space="preserve">      L   Divisa                         Desp.    [USD]</t>
        </is>
      </c>
    </row>
    <row r="66" spans="1:1">
      <c r="A66" s="5" t="inlineStr">
        <is>
          <t xml:space="preserve">      M   Precio default                 V/F      [V]</t>
        </is>
      </c>
    </row>
    <row r="68" spans="1:1">
      <c r="A68" s="4" t="inlineStr">
        <is>
          <t xml:space="preserve">   LÍNEA Y ACABADOS (ETIQUETAS - LABELS)</t>
        </is>
      </c>
    </row>
    <row r="69" spans="1:1">
      <c r="A69" s="5" t="inlineStr">
        <is>
          <t xml:space="preserve">      N   Línea                          Desp.    [(seleccione)]</t>
        </is>
      </c>
    </row>
    <row r="70" spans="1:1">
      <c r="A70" s="5" t="inlineStr">
        <is>
          <t xml:space="preserve">      O   Metal base                     Desp.    [(seleccione o escriba)]</t>
        </is>
      </c>
    </row>
    <row r="71" spans="1:1">
      <c r="A71" s="5" t="inlineStr">
        <is>
          <t xml:space="preserve">      P   Etiqueta 1                     Desp.    [(seleccione)]</t>
        </is>
      </c>
    </row>
    <row r="72" spans="1:1">
      <c r="A72" s="5" t="inlineStr">
        <is>
          <t xml:space="preserve">      Q   Etiqueta 2                     Desp.    [(seleccione)]</t>
        </is>
      </c>
    </row>
    <row r="73" spans="1:1">
      <c r="A73" s="5" t="inlineStr">
        <is>
          <t xml:space="preserve">      R   Etiqueta 3                     Desp.    [(seleccione)]</t>
        </is>
      </c>
    </row>
    <row r="74" spans="1:1">
      <c r="A74" s="5" t="inlineStr">
        <is>
          <t xml:space="preserve">      S   Etiqueta 4                     Desp.    [(seleccione)]</t>
        </is>
      </c>
    </row>
    <row r="75" spans="1:1">
      <c r="A75" s="5" t="inlineStr">
        <is>
          <t xml:space="preserve">      T   Etiqueta Planta Schneider      Calc.  </t>
        </is>
      </c>
    </row>
    <row r="77" spans="1:1">
      <c r="A77" s="4" t="inlineStr">
        <is>
          <t xml:space="preserve">   PROCESO</t>
        </is>
      </c>
    </row>
    <row r="78" spans="1:1">
      <c r="A78" s="5" t="inlineStr">
        <is>
          <t xml:space="preserve">      U   Proceso                        Desp.    [Combinación no existente]</t>
        </is>
      </c>
    </row>
    <row r="80" spans="1:1">
      <c r="A80" s="4" t="inlineStr">
        <is>
          <t xml:space="preserve">   PRODUCTOS</t>
        </is>
      </c>
    </row>
    <row r="81" spans="1:1">
      <c r="A81" s="5" t="inlineStr">
        <is>
          <t xml:space="preserve">      V   Productos                      Desp.    [(seleccione)]</t>
        </is>
      </c>
    </row>
    <row r="83" spans="1:1">
      <c r="A83" s="4" t="inlineStr">
        <is>
          <t xml:space="preserve">   ESPECIFICACIONES</t>
        </is>
      </c>
    </row>
    <row r="84" spans="1:1">
      <c r="A84" s="5" t="inlineStr">
        <is>
          <t xml:space="preserve">      W   Spec 1                         Desp.    [(seleccione)]</t>
        </is>
      </c>
    </row>
    <row r="85" spans="1:1">
      <c r="A85" s="5" t="inlineStr">
        <is>
          <t xml:space="preserve">      X   Esp. Spec 1 (µm)               Calc/# </t>
        </is>
      </c>
    </row>
    <row r="86" spans="1:1">
      <c r="A86" s="5" t="inlineStr">
        <is>
          <t xml:space="preserve">      Y   Spec 2                         Desp.    [(seleccione)]</t>
        </is>
      </c>
    </row>
    <row r="87" spans="1:1">
      <c r="A87" s="5" t="inlineStr">
        <is>
          <t xml:space="preserve">      Z   Esp. Spec 2 (µm)               Calc/# </t>
        </is>
      </c>
    </row>
    <row r="88" spans="1:1">
      <c r="A88" s="5" t="inlineStr">
        <is>
          <t xml:space="preserve">      AA  Spec 3                         Desp.    [(seleccione)]</t>
        </is>
      </c>
    </row>
    <row r="89" spans="1:1">
      <c r="A89" s="5" t="inlineStr">
        <is>
          <t xml:space="preserve">      AB  Esp. Spec 3 (µm)               Calc/# </t>
        </is>
      </c>
    </row>
    <row r="90" spans="1:1">
      <c r="A90" s="5" t="inlineStr">
        <is>
          <t xml:space="preserve">      AC  Spec 4                         Desp.    [(seleccione)]</t>
        </is>
      </c>
    </row>
    <row r="91" spans="1:1">
      <c r="A91" s="5" t="inlineStr">
        <is>
          <t xml:space="preserve">      AD  Esp. Spec 4 (µm)               Calc/# </t>
        </is>
      </c>
    </row>
    <row r="93" spans="1:1">
      <c r="A93" s="4" t="inlineStr">
        <is>
          <t xml:space="preserve">   CONVERSIÓN DE UNIDADES</t>
        </is>
      </c>
    </row>
    <row r="94" spans="1:1">
      <c r="A94" s="5" t="inlineStr">
        <is>
          <t xml:space="preserve">      AE  KGM (kg/pza)                   #      </t>
        </is>
      </c>
    </row>
    <row r="95" spans="1:1">
      <c r="A95" s="5" t="inlineStr">
        <is>
          <t xml:space="preserve">      AF  CMK (cm²/pza)                  #      </t>
        </is>
      </c>
    </row>
    <row r="96" spans="1:1">
      <c r="A96" s="5" t="inlineStr">
        <is>
          <t xml:space="preserve">      AG  LM (m/pza)                     #      </t>
        </is>
      </c>
    </row>
    <row r="97" spans="1:1">
      <c r="A97" s="5" t="inlineStr">
        <is>
          <t xml:space="preserve">      AH  Mín Pzas Lote                  #      </t>
        </is>
      </c>
    </row>
    <row r="99" spans="1:1">
      <c r="A99" s="4" t="inlineStr">
        <is>
          <t xml:space="preserve">   TIPOS DE RACK (PIEZAS POR TIPO DE RACK)</t>
        </is>
      </c>
    </row>
    <row r="100" spans="1:1">
      <c r="A100" s="5" t="inlineStr">
        <is>
          <t xml:space="preserve">      AI  Rack Flybar o Barril 1         Desp.    [(seleccione)]</t>
        </is>
      </c>
    </row>
    <row r="101" spans="1:1">
      <c r="A101" s="5" t="inlineStr">
        <is>
          <t xml:space="preserve">      AJ  Pzas/Rack Línea 1              #      </t>
        </is>
      </c>
    </row>
    <row r="102" spans="1:1">
      <c r="A102" s="5" t="inlineStr">
        <is>
          <t xml:space="preserve">      AK  Rack Flybar o Barril 2         Desp.    [(seleccione)]</t>
        </is>
      </c>
    </row>
    <row r="103" spans="1:1">
      <c r="A103" s="5" t="inlineStr">
        <is>
          <t xml:space="preserve">      AL  Pzas/Rack Línea 2              #      </t>
        </is>
      </c>
    </row>
    <row r="104" spans="1:1">
      <c r="A104" s="5" t="inlineStr">
        <is>
          <t xml:space="preserve">      AM  Rack Flybar o Barril 3         Desp.    [(seleccione)]</t>
        </is>
      </c>
    </row>
    <row r="105" spans="1:1">
      <c r="A105" s="5" t="inlineStr">
        <is>
          <t xml:space="preserve">      AN  Pzas/Rack Línea 3              #      </t>
        </is>
      </c>
    </row>
    <row r="106" spans="1:1">
      <c r="A106" s="5" t="inlineStr">
        <is>
          <t xml:space="preserve">      AO  Rack Flybar o Barril 4         Desp.    [(seleccione)]</t>
        </is>
      </c>
    </row>
    <row r="107" spans="1:1">
      <c r="A107" s="5" t="inlineStr">
        <is>
          <t xml:space="preserve">      AP  Pzas/Rack Línea 4              #      </t>
        </is>
      </c>
    </row>
    <row r="108" spans="1:1">
      <c r="A108" s="5" t="inlineStr">
        <is>
          <t xml:space="preserve">      AQ  Rack Flybar o Barril 5         Desp.    [(seleccione)]</t>
        </is>
      </c>
    </row>
    <row r="109" spans="1:1">
      <c r="A109" s="5" t="inlineStr">
        <is>
          <t xml:space="preserve">      AR  Pzas/Rack Línea 5              #      </t>
        </is>
      </c>
    </row>
    <row r="111" spans="1:1">
      <c r="A111" s="4" t="inlineStr">
        <is>
          <t xml:space="preserve">   DIMENSIONES</t>
        </is>
      </c>
    </row>
    <row r="112" spans="1:1">
      <c r="A112" s="5" t="inlineStr">
        <is>
          <t xml:space="preserve">      AS  Tipo de Geometría              Desp.    [(seleccione o escriba)]</t>
        </is>
      </c>
    </row>
    <row r="113" spans="1:1">
      <c r="A113" s="5" t="inlineStr">
        <is>
          <t xml:space="preserve">      AT  Longitud (m)                   #      </t>
        </is>
      </c>
    </row>
    <row r="114" spans="1:1">
      <c r="A114" s="5" t="inlineStr">
        <is>
          <t xml:space="preserve">      AU  Ancho (m)                      #      </t>
        </is>
      </c>
    </row>
    <row r="115" spans="1:1">
      <c r="A115" s="5" t="inlineStr">
        <is>
          <t xml:space="preserve">      AV  Alto (m)                       #      </t>
        </is>
      </c>
    </row>
    <row r="116" spans="1:1">
      <c r="A116" s="5" t="inlineStr">
        <is>
          <t xml:space="preserve">      AW  Diám.Ext (m)                   #      </t>
        </is>
      </c>
    </row>
    <row r="117" spans="1:1">
      <c r="A117" s="5" t="inlineStr">
        <is>
          <t xml:space="preserve">      AX  Diám.Int (m)                   #      </t>
        </is>
      </c>
    </row>
    <row r="119" spans="1:1">
      <c r="A119" s="4" t="inlineStr">
        <is>
          <t xml:space="preserve">   USO PREDICTIVO DE MATERIAS PRIMAS</t>
        </is>
      </c>
    </row>
    <row r="120" spans="1:1">
      <c r="A120" s="5" t="inlineStr">
        <is>
          <t xml:space="preserve">      AY  Plata (kg/pza)                 Calc.  </t>
        </is>
      </c>
    </row>
    <row r="121" spans="1:1">
      <c r="A121" s="5" t="inlineStr">
        <is>
          <t xml:space="preserve">      AZ  Estaño (kg/pza)                Calc.  </t>
        </is>
      </c>
    </row>
    <row r="122" spans="1:1">
      <c r="A122" s="5" t="inlineStr">
        <is>
          <t xml:space="preserve">      BA  Níquel (kg/pza)                Calc.  </t>
        </is>
      </c>
    </row>
    <row r="123" spans="1:1">
      <c r="A123" s="5" t="inlineStr">
        <is>
          <t xml:space="preserve">      BB  Zinc (kg/pza)                  Calc.  </t>
        </is>
      </c>
    </row>
    <row r="124" spans="1:1">
      <c r="A124" s="5" t="inlineStr">
        <is>
          <t xml:space="preserve">      BC  Cobre (kg/pza)                 Calc.  </t>
        </is>
      </c>
    </row>
    <row r="125" spans="1:1">
      <c r="A125" s="5" t="inlineStr">
        <is>
          <t xml:space="preserve">      BD  Antitarnish (L/pza)            Calc.  </t>
        </is>
      </c>
    </row>
    <row r="126" spans="1:1">
      <c r="A126" s="5" t="inlineStr">
        <is>
          <t xml:space="preserve">      BE  Epóx. MT (lb/pza)              Calc.  </t>
        </is>
      </c>
    </row>
    <row r="127" spans="1:1">
      <c r="A127" s="5" t="inlineStr">
        <is>
          <t xml:space="preserve">      BF  Epóx. BT (lb/pza)              Calc.  </t>
        </is>
      </c>
    </row>
    <row r="128" spans="1:1">
      <c r="A128" s="5" t="inlineStr">
        <is>
          <t xml:space="preserve">      BG  Epóx. MTR (lb/pza)             Calc.  </t>
        </is>
      </c>
    </row>
    <row r="130" spans="1:1">
      <c r="A130" s="4" t="inlineStr">
        <is>
          <t xml:space="preserve">   DATOS DE REFERENCIA</t>
        </is>
      </c>
    </row>
    <row r="131" spans="1:1">
      <c r="A131" s="5" t="inlineStr">
        <is>
          <t xml:space="preserve">      BH  Instrucciones de Empaque       Texto  </t>
        </is>
      </c>
    </row>
    <row r="132" spans="1:1">
      <c r="A132" s="5" t="inlineStr">
        <is>
          <t xml:space="preserve">      BI  Notas adicionales              Texto  </t>
        </is>
      </c>
    </row>
    <row r="133" spans="1:1">
      <c r="A133" s="5" t="inlineStr">
        <is>
          <t xml:space="preserve">      BJ  QuoteIBMS                      Texto  </t>
        </is>
      </c>
    </row>
    <row r="134" spans="1:1">
      <c r="A134" s="5" t="inlineStr">
        <is>
          <t xml:space="preserve">      BK  EstIBMS                        Texto  </t>
        </is>
      </c>
    </row>
    <row r="135" spans="1:1">
      <c r="A135" s="5" t="inlineStr">
        <is>
          <t xml:space="preserve">      BL  Plano                          Texto  </t>
        </is>
      </c>
    </row>
    <row r="136" spans="1:1">
      <c r="A136" s="5" t="inlineStr">
        <is>
          <t xml:space="preserve">      BM  Piezas por Carga               Texto  </t>
        </is>
      </c>
    </row>
    <row r="137" spans="1:1">
      <c r="A137" s="5" t="inlineStr">
        <is>
          <t xml:space="preserve">      BN  Cargas por Hora                Texto  </t>
        </is>
      </c>
    </row>
    <row r="138" spans="1:1">
      <c r="A138" s="5" t="inlineStr">
        <is>
          <t xml:space="preserve">      BO  Tiempo de Entrega              Texto  </t>
        </is>
      </c>
    </row>
    <row r="140" spans="1:1">
      <c r="A140" s="3" t="inlineStr">
        <is>
          <t xml:space="preserve">MACROS</t>
        </is>
      </c>
    </row>
    <row r="141" spans="1:1">
      <c r="A141" s="4" t="inlineStr">
        <is>
          <t xml:space="preserve">   ExportarCSV          Exporta la hoja Upload como CSV UTF-8, ordenado por (Cliente, PN)</t>
        </is>
      </c>
    </row>
    <row r="142" spans="1:1">
      <c r="A142" s="4" t="inlineStr">
        <is>
          <t xml:space="preserve">   RefrescarListas      Carga los catálogos del archivo bajado por la extensión</t>
        </is>
      </c>
    </row>
    <row r="143" spans="1:1">
      <c r="A143" s="4" t="inlineStr">
        <is>
          <t xml:space="preserve">   LimpiarDatos         Borra los renglones y restaura los valores iniciales (fila 9+)</t>
        </is>
      </c>
    </row>
    <row r="144" spans="1:1">
      <c r="A144" s="4" t="inlineStr">
        <is>
          <t xml:space="preserve">   SombrearModoSoloPN   Sombrea las columnas que no aplican al modo elegido</t>
        </is>
      </c>
    </row>
    <row r="145" spans="1:1">
      <c r="A145" s="5" t="inlineStr">
        <is>
          <t xml:space="preserve">   Reusar la plantilla sin LimpiarDatos re-sube datos viejos de columnas que ya no miras,</t>
        </is>
      </c>
    </row>
    <row r="146" spans="1:1">
      <c r="A146" s="5" t="inlineStr">
        <is>
          <t xml:space="preserve">   y no hay ninguna señal: la hoja se ve bien. Limpia antes de cada archivo nuevo.</t>
        </is>
      </c>
    </row>
    <row r="148" spans="1:1">
      <c r="A148" s="3" t="inlineStr">
        <is>
          <t xml:space="preserve">CATÁLOGOS (hoja Listas)</t>
        </is>
      </c>
    </row>
    <row r="149" spans="1:1">
      <c r="A149" s="4" t="inlineStr">
        <is>
          <t xml:space="preserve">   A Clientes · B Procesos · C Productos · D Etiquetas · E Specs · F Racks</t>
        </is>
      </c>
    </row>
    <row r="150" spans="1:1">
      <c r="A150" s="4" t="inlineStr">
        <is>
          <t xml:space="preserve">   I Metal base · J Líneas · L Usuarios · M Grupos de partes · N Geometrías</t>
        </is>
      </c>
    </row>
    <row r="151" spans="1:1">
      <c r="A151" s="5" t="inlineStr">
        <is>
          <t xml:space="preserve">   Sin refrescar, los desplegables traen los catálogos del día en que se armó la plantilla.</t>
        </is>
      </c>
    </row>
    <row r="153" spans="1:1">
      <c r="A153" s="3" t="inlineStr">
        <is>
          <t xml:space="preserve">QUÉ REVISA ExportarCSV ANTES DE ESCRIBIR</t>
        </is>
      </c>
    </row>
    <row r="154" spans="1:1">
      <c r="A154" s="4" t="inlineStr">
        <is>
          <t xml:space="preserve">   • Que el modo sea COTIZACIÓN+NP o SOLO_PN</t>
        </is>
      </c>
    </row>
    <row r="155" spans="1:1">
      <c r="A155" s="4" t="inlineStr">
        <is>
          <t xml:space="preserve">   • Que haya Nombre Cotización/Layout si es modo cotización</t>
        </is>
      </c>
    </row>
    <row r="156" spans="1:1">
      <c r="A156" s="4" t="inlineStr">
        <is>
          <t xml:space="preserve">   • Que ningún renglón con número de parte se quede sin cliente</t>
        </is>
      </c>
    </row>
    <row r="157" spans="1:1">
      <c r="A157" s="4" t="inlineStr">
        <is>
          <t xml:space="preserve">   • Avisa (no bloquea) si hay varios clientes, o más de 2,000 renglones en SOLO_PN</t>
        </is>
      </c>
    </row>
    <row r="159" spans="1:1">
      <c r="A159" s="3" t="inlineStr">
        <is>
          <t xml:space="preserve">SOPORTE</t>
        </is>
      </c>
    </row>
    <row r="160" spans="1:1">
      <c r="A160" s="4" t="inlineStr">
        <is>
          <t xml:space="preserve">   oviazcan@capazconsultoria.com · Capaz Consultoría</t>
        </is>
      </c>
    </row>
  </sheetData>
  <pageMargins left="0.75" right="0.75" top="1" bottom="1" header="0.511811023622047" footer="0.511811023622047"/>
  <pageSetup paperSize="9"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A3BA4-B437-E14F-9A40-2298DBE64884}">
  <sheetPr codeName="Hoja2"/>
  <dimension ref="A1:W1581"/>
  <sheetViews>
    <sheetView topLeftCell="G1" zoomScale="114" zoomScaleNormal="90" workbookViewId="0">
      <selection activeCell="L2" sqref="L2"/>
    </sheetView>
  </sheetViews>
  <sheetFormatPr baseColWidth="10" defaultRowHeight="15" outlineLevelCol="1" x14ac:dyDescent="0.2"/>
  <cols>
    <col min="1" max="1" width="20.83203125" style="69" hidden="1" customWidth="1" outlineLevel="1"/>
    <col min="2" max="2" width="23.1640625" hidden="1" customWidth="1" outlineLevel="1"/>
    <col min="3" max="3" width="9.33203125" style="69" hidden="1" customWidth="1" outlineLevel="1"/>
    <col min="4" max="4" width="31.33203125" style="69" customWidth="1" collapsed="1"/>
    <col min="5" max="5" width="19.83203125" style="69" bestFit="1" customWidth="1"/>
    <col min="6" max="6" width="60.6640625" style="69" bestFit="1" customWidth="1"/>
    <col min="7" max="7" width="77.6640625" style="69" bestFit="1" customWidth="1"/>
    <col min="8" max="8" width="5.83203125" customWidth="1"/>
    <col min="9" max="9" width="15" style="69" bestFit="1" customWidth="1"/>
    <col min="10" max="10" width="32.33203125" style="69" bestFit="1" customWidth="1"/>
    <col min="11" max="11" width="16.1640625" style="69" customWidth="1"/>
    <col min="12" max="12" width="37.1640625" style="69" bestFit="1" customWidth="1"/>
    <col min="13" max="13" width="26.5" style="69" customWidth="1"/>
    <col min="14" max="16384" width="10.83203125" style="69"/>
  </cols>
  <sheetData>
    <row r="1" spans="1:23" x14ac:dyDescent="0.2">
      <c r="A1" s="64" t="s">
        <v>21</v>
      </c>
      <c r="B1" s="67" t="s">
        <v>1353</v>
      </c>
      <c r="C1" s="65" t="s">
        <v>49</v>
      </c>
      <c r="D1" s="65" t="s">
        <v>1352</v>
      </c>
      <c r="E1" s="68" t="s">
        <v>1354</v>
      </c>
      <c r="F1" s="66" t="s">
        <v>79</v>
      </c>
      <c r="G1" s="66" t="s">
        <v>32</v>
      </c>
      <c r="H1" s="69"/>
      <c r="I1" s="70" t="s">
        <v>1355</v>
      </c>
      <c r="J1" s="71" t="s">
        <v>49</v>
      </c>
      <c r="K1" s="71" t="s">
        <v>1759</v>
      </c>
      <c r="L1" s="71" t="s">
        <v>1758</v>
      </c>
      <c r="M1" s="70" t="s">
        <v>1356</v>
      </c>
      <c r="N1" s="97" t="s">
        <v>1762</v>
      </c>
      <c r="O1" s="97" t="s">
        <v>1763</v>
      </c>
    </row>
    <row r="2" spans="1:23" ht="16" x14ac:dyDescent="0.2">
      <c r="A2" s="72"/>
      <c r="B2" s="76"/>
      <c r="C2" s="73"/>
      <c r="D2" s="73" t="s">
        <v>931</v>
      </c>
      <c r="E2" s="77" t="s">
        <v>93</v>
      </c>
      <c r="F2" s="75" t="s">
        <v>138</v>
      </c>
      <c r="G2" s="74" t="s">
        <v>178</v>
      </c>
      <c r="H2" s="69"/>
      <c r="I2" s="69">
        <v>9</v>
      </c>
      <c r="J2" s="69" t="str" cm="1">
        <f t="array" ref="J2">INDEX(Upload!$N:$N,I2)</f>
        <v>(seleccione)</v>
      </c>
      <c r="K2" s="69" t="str" cm="1">
        <f t="array" ref="K2">INDEX(Upload!$O:$O,I2)</f>
        <v>(seleccione o escriba)</v>
      </c>
      <c r="L2" s="69" t="str" cm="1">
        <f t="array" ref="L2">_xlfn.TEXTJOIN(" + ",TRUE,IF(OR(TRIM(INDEX(Upload!$P:$P,I2))="",LOWER(TRIM(INDEX(Upload!$P:$P,I2)))="(seleccione)"),"",PROPER(TRIM(INDEX(Upload!$P:$P,I2)))),IF(OR(TRIM(INDEX(Upload!$Q:$Q,I2))="",LOWER(TRIM(INDEX(Upload!$Q:$Q,I2)))="(seleccione)"),"",PROPER(TRIM(INDEX(Upload!$Q:$Q,I2)))),IF(OR(TRIM(INDEX(Upload!$R:$R,I2))="",LOWER(TRIM(INDEX(Upload!$R:$R,I2)))="(seleccione)"),"",PROPER(TRIM(INDEX(Upload!$R:$R,I2)))),IF(OR(TRIM(INDEX(Upload!$S:$S,I2))="",LOWER(TRIM(INDEX(Upload!$S:$S,I2)))="(seleccione)"),"",PROPER(TRIM(INDEX(Upload!$S:$S,I2)))))</f>
        <v/>
      </c>
      <c r="M2" s="69" t="str" cm="1">
        <f t="array" aca="1" ref="M2" ca="1">IFERROR(_xlfn.UNIQUE(_xlfn._xlws.FILTER(OFFSET($G$2,0,0,COUNTA($G:$G)-1,1),IF(TRIM(J2&amp;"")="",1,IFERROR(LEFT(OFFSET($D$2,0,0,COUNTA($D:$D)-1,1),LEN(J2))=J2,FALSE))*IF(TRIM(K2&amp;"")="",1,OFFSET($E$2,0,0,COUNTA($E:$E)-1,1)=K2)*IF(L2="",1,OFFSET($F$2,0,0,COUNTA($F:$F)-1,1)=L2))),"")</f>
        <v/>
      </c>
      <c r="N2" s="69" t="str">
        <f>_xlfn.LET(_xlpm.t,L2,_xlpm.p,IF(ISNUMBER(SEARCH("Plata",_xlpm.t)),"Plata",""),_xlpm.n,IF(ISNUMBER(SEARCH("Níquel",_xlpm.t)),"Níquel",""),_xlpm.e,IF(ISNUMBER(SEARCH("Estaño",_xlpm.t)),"Estaño",""),_xlpm.z,IF(ISNUMBER(SEARCH("Zinc",_xlpm.t)),"Zinc",""),_xlpm.x,IF(ISNUMBER(SEARCH("Epóxico",_xlpm.t)),"Epóxico",""),_xlpm.r,_xlfn.TEXTJOIN("+",TRUE,_xlpm.p,_xlpm.n,_xlpm.e,_xlpm.z,_xlpm.x),IF(_xlpm.r="","Otros",_xlpm.r))</f>
        <v>Otros</v>
      </c>
      <c r="O2" s="69" t="str" cm="1">
        <f t="array" ref="O2:O60">IFERROR(_xlfn._xlws.FILTER(CAT_Specs!$A$9:$A$197,(CAT_Specs!$B$9:$B$197&lt;&gt;"")*(ISNUMBER(SEARCH(IF(N2="Otros","Otros",IF(ISNUMBER(SEARCH("+",N2)),"|",N2)),CAT_Specs!$B$9:$B$197)))),"(sin matches)")</f>
        <v>1.28.003 (Pavonado)</v>
      </c>
      <c r="W2" s="69">
        <v>11</v>
      </c>
    </row>
    <row r="3" spans="1:23" ht="16" x14ac:dyDescent="0.2">
      <c r="A3" s="72"/>
      <c r="B3" s="76"/>
      <c r="C3" s="73"/>
      <c r="D3" s="73" t="s">
        <v>931</v>
      </c>
      <c r="E3" s="77" t="s">
        <v>93</v>
      </c>
      <c r="F3" s="75" t="s">
        <v>1357</v>
      </c>
      <c r="G3" s="74" t="s">
        <v>178</v>
      </c>
      <c r="H3" s="69"/>
      <c r="J3" s="78"/>
      <c r="K3" s="78"/>
      <c r="L3" s="78"/>
      <c r="O3" s="69" t="str">
        <v>48053-001-01 (Deshidrogenado / Endurecido) | 176 - 204 °C (375 ± 25 °F) | 302 - 329 °C (600 ± 25 °F) | &gt;= 0.5 hrs.</v>
      </c>
    </row>
    <row r="4" spans="1:23" ht="16" x14ac:dyDescent="0.2">
      <c r="A4" s="72"/>
      <c r="B4" s="76"/>
      <c r="C4" s="73"/>
      <c r="D4" s="73" t="s">
        <v>931</v>
      </c>
      <c r="E4" s="77" t="s">
        <v>93</v>
      </c>
      <c r="F4" s="75" t="s">
        <v>1358</v>
      </c>
      <c r="G4" s="74" t="s">
        <v>178</v>
      </c>
      <c r="H4" s="69"/>
      <c r="J4" s="78"/>
      <c r="K4" s="78"/>
      <c r="L4" s="78"/>
      <c r="O4" s="69" t="str">
        <v>48053-001-01 (Deshidrogenado / Endurecido) | 176 - 204 °C (375 ± 25 °F) | 302 - 329 °C (600 ± 25 °F) | &gt;= 1 hrs.</v>
      </c>
    </row>
    <row r="5" spans="1:23" x14ac:dyDescent="0.2">
      <c r="A5" s="72"/>
      <c r="B5" s="76"/>
      <c r="C5" s="73"/>
      <c r="D5" s="73" t="s">
        <v>931</v>
      </c>
      <c r="E5" s="77" t="s">
        <v>116</v>
      </c>
      <c r="F5" s="75" t="s">
        <v>138</v>
      </c>
      <c r="G5" s="75" t="s">
        <v>1002</v>
      </c>
      <c r="H5" s="69"/>
      <c r="O5" s="69" t="str">
        <v>48053-001-01 (Deshidrogenado / Endurecido) | 176 - 204 °C (375 ± 25 °F) | 302 - 329 °C (600 ± 25 °F) | &gt;= 10 hrs.</v>
      </c>
    </row>
    <row r="6" spans="1:23" x14ac:dyDescent="0.2">
      <c r="A6" s="72"/>
      <c r="B6" s="76"/>
      <c r="C6" s="73"/>
      <c r="D6" s="73" t="s">
        <v>931</v>
      </c>
      <c r="E6" s="77" t="s">
        <v>116</v>
      </c>
      <c r="F6" s="75" t="s">
        <v>1357</v>
      </c>
      <c r="G6" s="75" t="s">
        <v>1002</v>
      </c>
      <c r="H6" s="69"/>
      <c r="O6" s="69" t="str">
        <v>48053-001-01 (Deshidrogenado / Endurecido) | 176 - 204 °C (375 ± 25 °F) | 302 - 329 °C (600 ± 25 °F) | &gt;= 14 hrs.</v>
      </c>
    </row>
    <row r="7" spans="1:23" x14ac:dyDescent="0.2">
      <c r="A7" s="72"/>
      <c r="B7" s="76"/>
      <c r="C7" s="73"/>
      <c r="D7" s="73" t="s">
        <v>931</v>
      </c>
      <c r="E7" s="77" t="s">
        <v>963</v>
      </c>
      <c r="F7" s="75" t="s">
        <v>138</v>
      </c>
      <c r="G7" s="75" t="s">
        <v>1001</v>
      </c>
      <c r="H7" s="69"/>
      <c r="O7" s="69" t="str">
        <v>48053-001-01 (Deshidrogenado / Endurecido) | 176 - 204 °C (375 ± 25 °F) | 302 - 329 °C (600 ± 25 °F) | &gt;= 2 hrs.</v>
      </c>
    </row>
    <row r="8" spans="1:23" x14ac:dyDescent="0.2">
      <c r="A8" s="72"/>
      <c r="B8" s="76"/>
      <c r="C8" s="73"/>
      <c r="D8" s="73" t="s">
        <v>931</v>
      </c>
      <c r="E8" s="77" t="s">
        <v>963</v>
      </c>
      <c r="F8" s="75" t="s">
        <v>1357</v>
      </c>
      <c r="G8" s="75" t="s">
        <v>1001</v>
      </c>
      <c r="H8" s="69"/>
      <c r="O8" s="69" t="str">
        <v>48053-001-01 (Deshidrogenado / Endurecido) | 176 - 204 °C (375 ± 25 °F) | 302 - 329 °C (600 ± 25 °F) | &gt;= 20 hrs.</v>
      </c>
    </row>
    <row r="9" spans="1:23" ht="16" x14ac:dyDescent="0.2">
      <c r="A9" s="72"/>
      <c r="B9" s="76"/>
      <c r="C9" s="73"/>
      <c r="D9" s="73" t="s">
        <v>931</v>
      </c>
      <c r="E9" s="77" t="s">
        <v>93</v>
      </c>
      <c r="F9" s="75" t="s">
        <v>147</v>
      </c>
      <c r="G9" s="74" t="s">
        <v>184</v>
      </c>
      <c r="H9" s="69"/>
      <c r="O9" s="69" t="str">
        <v>48053-001-01 (Deshidrogenado / Endurecido) | 176 - 204 °C (375 ± 25 °F) | 302 - 329 °C (600 ± 25 °F) | &gt;= 24 hrs.</v>
      </c>
    </row>
    <row r="10" spans="1:23" ht="16" x14ac:dyDescent="0.2">
      <c r="A10" s="79"/>
      <c r="B10" s="82"/>
      <c r="C10" s="73"/>
      <c r="D10" s="73" t="s">
        <v>931</v>
      </c>
      <c r="E10" s="83" t="s">
        <v>102</v>
      </c>
      <c r="F10" s="81" t="s">
        <v>275</v>
      </c>
      <c r="G10" s="80" t="s">
        <v>192</v>
      </c>
      <c r="H10" s="69"/>
      <c r="O10" s="69" t="str">
        <v>48053-001-01 (Deshidrogenado / Endurecido) | 176 - 204 °C (375 ± 25 °F) | 302 - 329 °C (600 ± 25 °F) | &gt;= 3 hrs.</v>
      </c>
    </row>
    <row r="11" spans="1:23" ht="16" x14ac:dyDescent="0.2">
      <c r="A11" s="72"/>
      <c r="B11" s="76"/>
      <c r="C11" s="73"/>
      <c r="D11" s="73" t="s">
        <v>931</v>
      </c>
      <c r="E11" s="77" t="s">
        <v>116</v>
      </c>
      <c r="F11" s="75" t="s">
        <v>223</v>
      </c>
      <c r="G11" s="74" t="s">
        <v>221</v>
      </c>
      <c r="H11" s="69"/>
      <c r="O11" s="69" t="str">
        <v>48053-001-01 (Deshidrogenado / Endurecido) | 176 - 204 °C (375 ± 25 °F) | 302 - 329 °C (600 ± 25 °F) | &gt;= 4 hrs.</v>
      </c>
    </row>
    <row r="12" spans="1:23" ht="16" x14ac:dyDescent="0.2">
      <c r="A12" s="72"/>
      <c r="B12" s="76"/>
      <c r="C12" s="73"/>
      <c r="D12" s="73" t="s">
        <v>931</v>
      </c>
      <c r="E12" s="77" t="s">
        <v>109</v>
      </c>
      <c r="F12" s="75" t="s">
        <v>223</v>
      </c>
      <c r="G12" s="74" t="s">
        <v>211</v>
      </c>
      <c r="H12" s="69"/>
      <c r="O12" s="69" t="str">
        <v>48053-001-01 (Deshidrogenado / Endurecido) | 176 - 204 °C (375 ± 25 °F) | 302 - 329 °C (600 ± 25 °F) | &gt;= 5 hrs.</v>
      </c>
    </row>
    <row r="13" spans="1:23" ht="16" x14ac:dyDescent="0.2">
      <c r="A13" s="72"/>
      <c r="B13" s="76"/>
      <c r="C13" s="73"/>
      <c r="D13" s="73" t="s">
        <v>931</v>
      </c>
      <c r="E13" s="77" t="s">
        <v>93</v>
      </c>
      <c r="F13" s="75" t="s">
        <v>223</v>
      </c>
      <c r="G13" s="74" t="s">
        <v>204</v>
      </c>
      <c r="H13" s="69"/>
      <c r="O13" s="69" t="str">
        <v>48053-001-01 (Deshidrogenado / Endurecido) | 176 - 204 °C (375 ± 25 °F) | 302 - 329 °C (600 ± 25 °F) | &gt;= 6 hrs.</v>
      </c>
    </row>
    <row r="14" spans="1:23" ht="16" x14ac:dyDescent="0.2">
      <c r="A14" s="72"/>
      <c r="B14" s="76"/>
      <c r="C14" s="73"/>
      <c r="D14" s="73" t="s">
        <v>931</v>
      </c>
      <c r="E14" s="77" t="s">
        <v>102</v>
      </c>
      <c r="F14" s="75" t="s">
        <v>223</v>
      </c>
      <c r="G14" s="74" t="s">
        <v>199</v>
      </c>
      <c r="H14" s="69"/>
      <c r="O14" s="69" t="str">
        <v>48053-001-01 (Deshidrogenado / Endurecido) | 176 - 204 °C (375 ± 25 °F) | 302 - 329 °C (600 ± 25 °F) | &gt;= 8 hrs.</v>
      </c>
    </row>
    <row r="15" spans="1:23" ht="16" x14ac:dyDescent="0.2">
      <c r="A15" s="72"/>
      <c r="B15" s="76"/>
      <c r="C15" s="73"/>
      <c r="D15" s="73" t="s">
        <v>931</v>
      </c>
      <c r="E15" s="77" t="s">
        <v>125</v>
      </c>
      <c r="F15" s="75" t="s">
        <v>223</v>
      </c>
      <c r="G15" s="74" t="s">
        <v>216</v>
      </c>
      <c r="H15" s="69"/>
      <c r="O15" s="69" t="str">
        <v>48053-001-01 (Deshidrogenado / Endurecido) | 176 - 204 °C (375 ± 25 °F) | No aplica | &gt;= 0.5 hrs.</v>
      </c>
    </row>
    <row r="16" spans="1:23" x14ac:dyDescent="0.2">
      <c r="A16" s="72"/>
      <c r="B16" s="76"/>
      <c r="C16" s="73"/>
      <c r="D16" s="73" t="s">
        <v>931</v>
      </c>
      <c r="E16" s="77" t="s">
        <v>963</v>
      </c>
      <c r="F16" s="75" t="s">
        <v>223</v>
      </c>
      <c r="G16" s="75" t="s">
        <v>1003</v>
      </c>
      <c r="H16" s="69"/>
      <c r="O16" s="69" t="str">
        <v>48053-001-01 (Deshidrogenado / Endurecido) | 176 - 204 °C (375 ± 25 °F) | No aplica | &gt;= 1 hrs.</v>
      </c>
    </row>
    <row r="17" spans="1:15" x14ac:dyDescent="0.2">
      <c r="A17" s="72"/>
      <c r="B17" s="84"/>
      <c r="C17" s="73"/>
      <c r="D17" s="73" t="s">
        <v>931</v>
      </c>
      <c r="E17" s="77" t="s">
        <v>93</v>
      </c>
      <c r="F17" s="75" t="s">
        <v>223</v>
      </c>
      <c r="G17" s="75" t="s">
        <v>1004</v>
      </c>
      <c r="H17" s="69"/>
      <c r="O17" s="69" t="str">
        <v>48053-001-01 (Deshidrogenado / Endurecido) | 176 - 204 °C (375 ± 25 °F) | No aplica | &gt;= 10 hrs.</v>
      </c>
    </row>
    <row r="18" spans="1:15" ht="16" x14ac:dyDescent="0.2">
      <c r="A18" s="72"/>
      <c r="B18" s="76"/>
      <c r="C18" s="73"/>
      <c r="D18" s="73" t="s">
        <v>931</v>
      </c>
      <c r="E18" s="77" t="s">
        <v>116</v>
      </c>
      <c r="F18" s="75" t="s">
        <v>1359</v>
      </c>
      <c r="G18" s="74" t="s">
        <v>1012</v>
      </c>
      <c r="H18" s="69"/>
      <c r="O18" s="69" t="str">
        <v>48053-001-01 (Deshidrogenado / Endurecido) | 176 - 204 °C (375 ± 25 °F) | No aplica | &gt;= 14 hrs.</v>
      </c>
    </row>
    <row r="19" spans="1:15" ht="16" x14ac:dyDescent="0.2">
      <c r="A19" s="72"/>
      <c r="B19" s="76"/>
      <c r="C19" s="73"/>
      <c r="D19" s="73" t="s">
        <v>931</v>
      </c>
      <c r="E19" s="77" t="s">
        <v>109</v>
      </c>
      <c r="F19" s="75" t="s">
        <v>1359</v>
      </c>
      <c r="G19" s="74" t="s">
        <v>1010</v>
      </c>
      <c r="H19" s="69"/>
      <c r="O19" s="69" t="str">
        <v>48053-001-01 (Deshidrogenado / Endurecido) | 176 - 204 °C (375 ± 25 °F) | No aplica | &gt;= 2 hrs.</v>
      </c>
    </row>
    <row r="20" spans="1:15" ht="16" x14ac:dyDescent="0.2">
      <c r="A20" s="72"/>
      <c r="B20" s="76"/>
      <c r="C20" s="73"/>
      <c r="D20" s="73" t="s">
        <v>931</v>
      </c>
      <c r="E20" s="77" t="s">
        <v>93</v>
      </c>
      <c r="F20" s="75" t="s">
        <v>1359</v>
      </c>
      <c r="G20" s="74" t="s">
        <v>1009</v>
      </c>
      <c r="H20" s="69"/>
      <c r="O20" s="69" t="str">
        <v>48053-001-01 (Deshidrogenado / Endurecido) | 176 - 204 °C (375 ± 25 °F) | No aplica | &gt;= 20 hrs.</v>
      </c>
    </row>
    <row r="21" spans="1:15" ht="16" x14ac:dyDescent="0.2">
      <c r="A21" s="72"/>
      <c r="B21" s="76"/>
      <c r="C21" s="73"/>
      <c r="D21" s="73" t="s">
        <v>931</v>
      </c>
      <c r="E21" s="77" t="s">
        <v>102</v>
      </c>
      <c r="F21" s="75" t="s">
        <v>1359</v>
      </c>
      <c r="G21" s="74" t="s">
        <v>1008</v>
      </c>
      <c r="H21" s="69"/>
      <c r="O21" s="69" t="str">
        <v>48053-001-01 (Deshidrogenado / Endurecido) | 176 - 204 °C (375 ± 25 °F) | No aplica | &gt;= 24 hrs.</v>
      </c>
    </row>
    <row r="22" spans="1:15" ht="16" x14ac:dyDescent="0.2">
      <c r="A22" s="72"/>
      <c r="B22" s="76"/>
      <c r="C22" s="73"/>
      <c r="D22" s="73" t="s">
        <v>931</v>
      </c>
      <c r="E22" s="77" t="s">
        <v>125</v>
      </c>
      <c r="F22" s="75" t="s">
        <v>1359</v>
      </c>
      <c r="G22" s="74" t="s">
        <v>1011</v>
      </c>
      <c r="H22" s="69"/>
      <c r="O22" s="69" t="str">
        <v>48053-001-01 (Deshidrogenado / Endurecido) | 176 - 204 °C (375 ± 25 °F) | No aplica | &gt;= 3 hrs.</v>
      </c>
    </row>
    <row r="23" spans="1:15" x14ac:dyDescent="0.2">
      <c r="A23" s="72"/>
      <c r="B23" s="76"/>
      <c r="C23" s="73"/>
      <c r="D23" s="73" t="s">
        <v>931</v>
      </c>
      <c r="E23" s="77" t="s">
        <v>963</v>
      </c>
      <c r="F23" s="75" t="s">
        <v>1359</v>
      </c>
      <c r="G23" s="75" t="s">
        <v>1007</v>
      </c>
      <c r="H23" s="69"/>
      <c r="O23" s="69" t="str">
        <v>48053-001-01 (Deshidrogenado / Endurecido) | 176 - 204 °C (375 ± 25 °F) | No aplica | &gt;= 4 hrs.</v>
      </c>
    </row>
    <row r="24" spans="1:15" x14ac:dyDescent="0.2">
      <c r="A24" s="72"/>
      <c r="B24" s="76"/>
      <c r="C24" s="73"/>
      <c r="D24" s="73" t="s">
        <v>931</v>
      </c>
      <c r="E24" s="77" t="s">
        <v>109</v>
      </c>
      <c r="F24" s="75" t="s">
        <v>1360</v>
      </c>
      <c r="G24" s="75" t="s">
        <v>1005</v>
      </c>
      <c r="H24" s="69"/>
      <c r="O24" s="69" t="str">
        <v>48053-001-01 (Deshidrogenado / Endurecido) | 176 - 204 °C (375 ± 25 °F) | No aplica | &gt;= 5 hrs.</v>
      </c>
    </row>
    <row r="25" spans="1:15" x14ac:dyDescent="0.2">
      <c r="A25" s="72"/>
      <c r="B25" s="76"/>
      <c r="C25" s="73"/>
      <c r="D25" s="73" t="s">
        <v>931</v>
      </c>
      <c r="E25" s="77" t="s">
        <v>109</v>
      </c>
      <c r="F25" s="75" t="s">
        <v>1361</v>
      </c>
      <c r="G25" s="75" t="s">
        <v>1005</v>
      </c>
      <c r="H25" s="69"/>
      <c r="O25" s="69" t="str">
        <v>48053-001-01 (Deshidrogenado / Endurecido) | 176 - 204 °C (375 ± 25 °F) | No aplica | &gt;= 6 hrs.</v>
      </c>
    </row>
    <row r="26" spans="1:15" ht="16" x14ac:dyDescent="0.2">
      <c r="A26" s="72"/>
      <c r="B26" s="76"/>
      <c r="C26" s="73"/>
      <c r="D26" s="73" t="s">
        <v>931</v>
      </c>
      <c r="E26" s="77" t="s">
        <v>125</v>
      </c>
      <c r="F26" s="75" t="s">
        <v>324</v>
      </c>
      <c r="G26" s="74" t="s">
        <v>238</v>
      </c>
      <c r="H26" s="69"/>
      <c r="O26" s="69" t="str">
        <v>48053-001-01 (Deshidrogenado / Endurecido) | 176 - 204 °C (375 ± 25 °F) | No aplica | &gt;= 8 hrs.</v>
      </c>
    </row>
    <row r="27" spans="1:15" ht="16" x14ac:dyDescent="0.2">
      <c r="A27" s="72"/>
      <c r="B27" s="76"/>
      <c r="C27" s="73"/>
      <c r="D27" s="73" t="s">
        <v>931</v>
      </c>
      <c r="E27" s="77" t="s">
        <v>93</v>
      </c>
      <c r="F27" s="75" t="s">
        <v>324</v>
      </c>
      <c r="G27" s="74" t="s">
        <v>238</v>
      </c>
      <c r="H27" s="69"/>
      <c r="O27" s="69" t="str">
        <v>48053-001-01 (Deshidrogenado / Endurecido) | No aplica | 302 - 329 °C (600 ± 25 °F) | &gt;= 0.5 hrs.</v>
      </c>
    </row>
    <row r="28" spans="1:15" x14ac:dyDescent="0.2">
      <c r="A28" s="72"/>
      <c r="B28" s="76"/>
      <c r="C28" s="73"/>
      <c r="D28" s="73" t="s">
        <v>931</v>
      </c>
      <c r="E28" s="77" t="s">
        <v>1312</v>
      </c>
      <c r="F28" s="75" t="s">
        <v>324</v>
      </c>
      <c r="G28" s="75" t="s">
        <v>1017</v>
      </c>
      <c r="H28" s="69"/>
      <c r="O28" s="69" t="str">
        <v>48053-001-01 (Deshidrogenado / Endurecido) | No aplica | 302 - 329 °C (600 ± 25 °F) | &gt;= 1 hrs.</v>
      </c>
    </row>
    <row r="29" spans="1:15" x14ac:dyDescent="0.2">
      <c r="A29" s="72"/>
      <c r="B29" s="76"/>
      <c r="C29" s="73"/>
      <c r="D29" s="73" t="s">
        <v>931</v>
      </c>
      <c r="E29" s="77" t="s">
        <v>963</v>
      </c>
      <c r="F29" s="75" t="s">
        <v>324</v>
      </c>
      <c r="G29" s="75" t="s">
        <v>1016</v>
      </c>
      <c r="H29" s="69"/>
      <c r="O29" s="69" t="str">
        <v>48053-001-01 (Deshidrogenado / Endurecido) | No aplica | 302 - 329 °C (600 ± 25 °F) | &gt;= 10 hrs.</v>
      </c>
    </row>
    <row r="30" spans="1:15" ht="16" x14ac:dyDescent="0.2">
      <c r="A30" s="72"/>
      <c r="B30" s="76"/>
      <c r="C30" s="73"/>
      <c r="D30" s="73" t="s">
        <v>931</v>
      </c>
      <c r="E30" s="77" t="s">
        <v>96</v>
      </c>
      <c r="F30" s="75" t="s">
        <v>324</v>
      </c>
      <c r="G30" s="74" t="s">
        <v>1019</v>
      </c>
      <c r="H30" s="69"/>
      <c r="O30" s="69" t="str">
        <v>48053-001-01 (Deshidrogenado / Endurecido) | No aplica | 302 - 329 °C (600 ± 25 °F) | &gt;= 14 hrs.</v>
      </c>
    </row>
    <row r="31" spans="1:15" ht="16" x14ac:dyDescent="0.2">
      <c r="A31" s="72"/>
      <c r="B31" s="76"/>
      <c r="C31" s="73"/>
      <c r="D31" s="73" t="s">
        <v>931</v>
      </c>
      <c r="E31" s="77" t="s">
        <v>96</v>
      </c>
      <c r="F31" s="75" t="s">
        <v>1362</v>
      </c>
      <c r="G31" s="74" t="s">
        <v>1019</v>
      </c>
      <c r="H31" s="69"/>
      <c r="O31" s="69" t="str">
        <v>48053-001-01 (Deshidrogenado / Endurecido) | No aplica | 302 - 329 °C (600 ± 25 °F) | &gt;= 2 hrs.</v>
      </c>
    </row>
    <row r="32" spans="1:15" ht="16" x14ac:dyDescent="0.2">
      <c r="A32" s="72"/>
      <c r="B32" s="76"/>
      <c r="C32" s="73"/>
      <c r="D32" s="73" t="s">
        <v>931</v>
      </c>
      <c r="E32" s="77" t="s">
        <v>116</v>
      </c>
      <c r="F32" s="75" t="s">
        <v>324</v>
      </c>
      <c r="G32" s="74" t="s">
        <v>278</v>
      </c>
      <c r="H32" s="69"/>
      <c r="O32" s="69" t="str">
        <v>48053-001-01 (Deshidrogenado / Endurecido) | No aplica | 302 - 329 °C (600 ± 25 °F) | &gt;= 20 hrs.</v>
      </c>
    </row>
    <row r="33" spans="1:15" ht="16" x14ac:dyDescent="0.2">
      <c r="A33" s="72"/>
      <c r="B33" s="76"/>
      <c r="C33" s="73"/>
      <c r="D33" s="73" t="s">
        <v>931</v>
      </c>
      <c r="E33" s="77" t="s">
        <v>116</v>
      </c>
      <c r="F33" s="75" t="s">
        <v>1362</v>
      </c>
      <c r="G33" s="74" t="s">
        <v>278</v>
      </c>
      <c r="H33" s="69"/>
      <c r="O33" s="69" t="str">
        <v>48053-001-01 (Deshidrogenado / Endurecido) | No aplica | 302 - 329 °C (600 ± 25 °F) | &gt;= 24 hrs.</v>
      </c>
    </row>
    <row r="34" spans="1:15" ht="16" x14ac:dyDescent="0.2">
      <c r="A34" s="72"/>
      <c r="B34" s="76"/>
      <c r="C34" s="73"/>
      <c r="D34" s="73" t="s">
        <v>931</v>
      </c>
      <c r="E34" s="77" t="s">
        <v>109</v>
      </c>
      <c r="F34" s="75" t="s">
        <v>324</v>
      </c>
      <c r="G34" s="74" t="s">
        <v>270</v>
      </c>
      <c r="H34" s="69"/>
      <c r="O34" s="69" t="str">
        <v>48053-001-01 (Deshidrogenado / Endurecido) | No aplica | 302 - 329 °C (600 ± 25 °F) | &gt;= 3 hrs.</v>
      </c>
    </row>
    <row r="35" spans="1:15" ht="16" x14ac:dyDescent="0.2">
      <c r="A35" s="72"/>
      <c r="B35" s="76"/>
      <c r="C35" s="73"/>
      <c r="D35" s="73" t="s">
        <v>931</v>
      </c>
      <c r="E35" s="77" t="s">
        <v>109</v>
      </c>
      <c r="F35" s="75" t="s">
        <v>1362</v>
      </c>
      <c r="G35" s="74" t="s">
        <v>270</v>
      </c>
      <c r="H35" s="69"/>
      <c r="O35" s="69" t="str">
        <v>48053-001-01 (Deshidrogenado / Endurecido) | No aplica | 302 - 329 °C (600 ± 25 °F) | &gt;= 4 hrs.</v>
      </c>
    </row>
    <row r="36" spans="1:15" ht="16" x14ac:dyDescent="0.2">
      <c r="A36" s="72"/>
      <c r="B36" s="76"/>
      <c r="C36" s="73"/>
      <c r="D36" s="73" t="s">
        <v>931</v>
      </c>
      <c r="E36" s="77" t="s">
        <v>93</v>
      </c>
      <c r="F36" s="75" t="s">
        <v>324</v>
      </c>
      <c r="G36" s="74" t="s">
        <v>258</v>
      </c>
      <c r="H36" s="69"/>
      <c r="O36" s="69" t="str">
        <v>48053-001-01 (Deshidrogenado / Endurecido) | No aplica | 302 - 329 °C (600 ± 25 °F) | &gt;= 5 hrs.</v>
      </c>
    </row>
    <row r="37" spans="1:15" ht="16" x14ac:dyDescent="0.2">
      <c r="A37" s="72"/>
      <c r="B37" s="76"/>
      <c r="C37" s="73"/>
      <c r="D37" s="73" t="s">
        <v>931</v>
      </c>
      <c r="E37" s="77" t="s">
        <v>93</v>
      </c>
      <c r="F37" s="75" t="s">
        <v>1362</v>
      </c>
      <c r="G37" s="74" t="s">
        <v>258</v>
      </c>
      <c r="H37" s="69"/>
      <c r="O37" s="69" t="str">
        <v>48053-001-01 (Deshidrogenado / Endurecido) | No aplica | 302 - 329 °C (600 ± 25 °F) | &gt;= 6 hrs.</v>
      </c>
    </row>
    <row r="38" spans="1:15" ht="16" x14ac:dyDescent="0.2">
      <c r="A38" s="72"/>
      <c r="B38" s="76"/>
      <c r="C38" s="73"/>
      <c r="D38" s="73" t="s">
        <v>931</v>
      </c>
      <c r="E38" s="77" t="s">
        <v>102</v>
      </c>
      <c r="F38" s="75" t="s">
        <v>324</v>
      </c>
      <c r="G38" s="74" t="s">
        <v>251</v>
      </c>
      <c r="H38" s="69"/>
      <c r="O38" s="69" t="str">
        <v>48053-001-01 (Deshidrogenado / Endurecido) | No aplica | 302 - 329 °C (600 ± 25 °F) | &gt;= 8 hrs.</v>
      </c>
    </row>
    <row r="39" spans="1:15" ht="16" x14ac:dyDescent="0.2">
      <c r="A39" s="72"/>
      <c r="B39" s="76"/>
      <c r="C39" s="73"/>
      <c r="D39" s="73" t="s">
        <v>931</v>
      </c>
      <c r="E39" s="77" t="s">
        <v>102</v>
      </c>
      <c r="F39" s="75" t="s">
        <v>1362</v>
      </c>
      <c r="G39" s="74" t="s">
        <v>251</v>
      </c>
      <c r="H39" s="69"/>
      <c r="O39" s="69" t="str">
        <v>48053-001-01 (Deshidrogenado / Endurecido) | No aplica | No aplica | &gt;= 0.5 hrs.</v>
      </c>
    </row>
    <row r="40" spans="1:15" ht="16" x14ac:dyDescent="0.2">
      <c r="A40" s="72"/>
      <c r="B40" s="76"/>
      <c r="C40" s="73"/>
      <c r="D40" s="73" t="s">
        <v>931</v>
      </c>
      <c r="E40" s="77" t="s">
        <v>125</v>
      </c>
      <c r="F40" s="75" t="s">
        <v>324</v>
      </c>
      <c r="G40" s="74" t="s">
        <v>274</v>
      </c>
      <c r="H40" s="69"/>
      <c r="O40" s="69" t="str">
        <v>48053-001-01 (Deshidrogenado / Endurecido) | No aplica | No aplica | &gt;= 1 hrs.</v>
      </c>
    </row>
    <row r="41" spans="1:15" ht="16" x14ac:dyDescent="0.2">
      <c r="A41" s="72"/>
      <c r="B41" s="76"/>
      <c r="C41" s="73"/>
      <c r="D41" s="73" t="s">
        <v>931</v>
      </c>
      <c r="E41" s="77" t="s">
        <v>125</v>
      </c>
      <c r="F41" s="75" t="s">
        <v>1362</v>
      </c>
      <c r="G41" s="74" t="s">
        <v>274</v>
      </c>
      <c r="H41" s="69"/>
      <c r="O41" s="69" t="str">
        <v>48053-001-01 (Deshidrogenado / Endurecido) | No aplica | No aplica | &gt;= 10 hrs.</v>
      </c>
    </row>
    <row r="42" spans="1:15" ht="16" x14ac:dyDescent="0.2">
      <c r="A42" s="72"/>
      <c r="B42" s="76"/>
      <c r="C42" s="73"/>
      <c r="D42" s="73" t="s">
        <v>931</v>
      </c>
      <c r="E42" s="77" t="s">
        <v>1312</v>
      </c>
      <c r="F42" s="75" t="s">
        <v>1227</v>
      </c>
      <c r="G42" s="74" t="s">
        <v>1047</v>
      </c>
      <c r="H42" s="69"/>
      <c r="O42" s="69" t="str">
        <v>48053-001-01 (Deshidrogenado / Endurecido) | No aplica | No aplica | &gt;= 14 hrs.</v>
      </c>
    </row>
    <row r="43" spans="1:15" ht="16" x14ac:dyDescent="0.2">
      <c r="A43" s="72"/>
      <c r="B43" s="76"/>
      <c r="C43" s="73"/>
      <c r="D43" s="73" t="s">
        <v>931</v>
      </c>
      <c r="E43" s="77" t="s">
        <v>1312</v>
      </c>
      <c r="F43" s="75" t="s">
        <v>1363</v>
      </c>
      <c r="G43" s="74" t="s">
        <v>1047</v>
      </c>
      <c r="H43" s="69"/>
      <c r="O43" s="69" t="str">
        <v>48053-001-01 (Deshidrogenado / Endurecido) | No aplica | No aplica | &gt;= 2 hrs.</v>
      </c>
    </row>
    <row r="44" spans="1:15" ht="16" x14ac:dyDescent="0.2">
      <c r="A44" s="72"/>
      <c r="B44" s="84"/>
      <c r="C44" s="73"/>
      <c r="D44" s="73" t="s">
        <v>931</v>
      </c>
      <c r="E44" s="77" t="s">
        <v>93</v>
      </c>
      <c r="F44" s="75" t="s">
        <v>324</v>
      </c>
      <c r="G44" s="74" t="s">
        <v>265</v>
      </c>
      <c r="H44" s="69"/>
      <c r="O44" s="69" t="str">
        <v>48053-001-01 (Deshidrogenado / Endurecido) | No aplica | No aplica | &gt;= 20 hrs.</v>
      </c>
    </row>
    <row r="45" spans="1:15" ht="16" x14ac:dyDescent="0.2">
      <c r="A45" s="72"/>
      <c r="B45" s="84"/>
      <c r="C45" s="73"/>
      <c r="D45" s="73" t="s">
        <v>931</v>
      </c>
      <c r="E45" s="77" t="s">
        <v>134</v>
      </c>
      <c r="F45" s="75" t="s">
        <v>324</v>
      </c>
      <c r="G45" s="74" t="s">
        <v>265</v>
      </c>
      <c r="H45" s="69"/>
      <c r="O45" s="69" t="str">
        <v>48053-001-01 (Deshidrogenado / Endurecido) | No aplica | No aplica | &gt;= 24 hrs.</v>
      </c>
    </row>
    <row r="46" spans="1:15" ht="16" x14ac:dyDescent="0.2">
      <c r="A46" s="72"/>
      <c r="B46" s="84"/>
      <c r="C46" s="73"/>
      <c r="D46" s="73" t="s">
        <v>931</v>
      </c>
      <c r="E46" s="77" t="s">
        <v>93</v>
      </c>
      <c r="F46" s="75" t="s">
        <v>1362</v>
      </c>
      <c r="G46" s="74" t="s">
        <v>265</v>
      </c>
      <c r="H46" s="69"/>
      <c r="O46" s="69" t="str">
        <v>48053-001-01 (Deshidrogenado / Endurecido) | No aplica | No aplica | &gt;= 3 hrs.</v>
      </c>
    </row>
    <row r="47" spans="1:15" ht="16" x14ac:dyDescent="0.2">
      <c r="A47" s="72"/>
      <c r="B47" s="84"/>
      <c r="C47" s="73"/>
      <c r="D47" s="73" t="s">
        <v>931</v>
      </c>
      <c r="E47" s="77" t="s">
        <v>134</v>
      </c>
      <c r="F47" s="75" t="s">
        <v>1362</v>
      </c>
      <c r="G47" s="74" t="s">
        <v>265</v>
      </c>
      <c r="H47" s="69"/>
      <c r="O47" s="69" t="str">
        <v>48053-001-01 (Deshidrogenado / Endurecido) | No aplica | No aplica | &gt;= 4 hrs.</v>
      </c>
    </row>
    <row r="48" spans="1:15" x14ac:dyDescent="0.2">
      <c r="A48" s="72"/>
      <c r="B48" s="76"/>
      <c r="C48" s="73"/>
      <c r="D48" s="73" t="s">
        <v>931</v>
      </c>
      <c r="E48" s="77" t="s">
        <v>1312</v>
      </c>
      <c r="F48" s="75" t="s">
        <v>324</v>
      </c>
      <c r="G48" s="75" t="s">
        <v>1020</v>
      </c>
      <c r="H48" s="69"/>
      <c r="O48" s="69" t="str">
        <v>48053-001-01 (Deshidrogenado / Endurecido) | No aplica | No aplica | &gt;= 5 hrs.</v>
      </c>
    </row>
    <row r="49" spans="1:15" x14ac:dyDescent="0.2">
      <c r="A49" s="72"/>
      <c r="B49" s="76"/>
      <c r="C49" s="73"/>
      <c r="D49" s="73" t="s">
        <v>931</v>
      </c>
      <c r="E49" s="77" t="s">
        <v>1312</v>
      </c>
      <c r="F49" s="75" t="s">
        <v>1362</v>
      </c>
      <c r="G49" s="75" t="s">
        <v>1020</v>
      </c>
      <c r="H49" s="69"/>
      <c r="O49" s="69" t="str">
        <v>48053-001-01 (Deshidrogenado / Endurecido) | No aplica | No aplica | &gt;= 6 hrs.</v>
      </c>
    </row>
    <row r="50" spans="1:15" x14ac:dyDescent="0.2">
      <c r="A50" s="72"/>
      <c r="B50" s="76"/>
      <c r="C50" s="73"/>
      <c r="D50" s="73" t="s">
        <v>931</v>
      </c>
      <c r="E50" s="77" t="s">
        <v>963</v>
      </c>
      <c r="F50" s="75" t="s">
        <v>324</v>
      </c>
      <c r="G50" s="75" t="s">
        <v>1018</v>
      </c>
      <c r="H50" s="69"/>
      <c r="O50" s="69" t="str">
        <v>48053-001-01 (Deshidrogenado / Endurecido) | No aplica | No aplica | &gt;= 8 hrs.</v>
      </c>
    </row>
    <row r="51" spans="1:15" x14ac:dyDescent="0.2">
      <c r="A51" s="72"/>
      <c r="B51" s="76"/>
      <c r="C51" s="73"/>
      <c r="D51" s="73" t="s">
        <v>931</v>
      </c>
      <c r="E51" s="77" t="s">
        <v>963</v>
      </c>
      <c r="F51" s="75" t="s">
        <v>1362</v>
      </c>
      <c r="G51" s="75" t="s">
        <v>1018</v>
      </c>
      <c r="H51" s="69"/>
      <c r="O51" s="69" t="str">
        <v>48053-005-01 (Lavado - Tratamiento Térmico - Bimetales)</v>
      </c>
    </row>
    <row r="52" spans="1:15" x14ac:dyDescent="0.2">
      <c r="A52" s="72"/>
      <c r="B52" s="76"/>
      <c r="C52" s="73"/>
      <c r="D52" s="73" t="s">
        <v>931</v>
      </c>
      <c r="E52" s="77" t="s">
        <v>93</v>
      </c>
      <c r="F52" s="75" t="s">
        <v>1364</v>
      </c>
      <c r="G52" s="75" t="s">
        <v>1042</v>
      </c>
      <c r="H52" s="69"/>
      <c r="O52" s="69" t="str">
        <v>48057-004-01 (Bright Dip)</v>
      </c>
    </row>
    <row r="53" spans="1:15" x14ac:dyDescent="0.2">
      <c r="A53" s="72"/>
      <c r="B53" s="76"/>
      <c r="C53" s="73"/>
      <c r="D53" s="73" t="s">
        <v>931</v>
      </c>
      <c r="E53" s="77" t="s">
        <v>102</v>
      </c>
      <c r="F53" s="75" t="s">
        <v>1364</v>
      </c>
      <c r="G53" s="75" t="s">
        <v>1040</v>
      </c>
      <c r="H53" s="69"/>
      <c r="O53" s="69" t="str">
        <v>48860-031-01 (Lavado)</v>
      </c>
    </row>
    <row r="54" spans="1:15" x14ac:dyDescent="0.2">
      <c r="A54" s="72"/>
      <c r="B54" s="76"/>
      <c r="C54" s="73"/>
      <c r="D54" s="73" t="s">
        <v>931</v>
      </c>
      <c r="E54" s="77" t="s">
        <v>93</v>
      </c>
      <c r="F54" s="75" t="s">
        <v>1364</v>
      </c>
      <c r="G54" s="75" t="s">
        <v>1046</v>
      </c>
      <c r="H54" s="69"/>
      <c r="O54" s="69" t="str">
        <v>48951-001-01 (Rebabeo)</v>
      </c>
    </row>
    <row r="55" spans="1:15" x14ac:dyDescent="0.2">
      <c r="A55" s="72"/>
      <c r="B55" s="76"/>
      <c r="C55" s="73"/>
      <c r="D55" s="73" t="s">
        <v>931</v>
      </c>
      <c r="E55" s="77" t="s">
        <v>102</v>
      </c>
      <c r="F55" s="75" t="s">
        <v>1364</v>
      </c>
      <c r="G55" s="75" t="s">
        <v>1044</v>
      </c>
      <c r="H55" s="69"/>
      <c r="O55" s="69" t="str">
        <v>48951-001-02 (Rebabeo)</v>
      </c>
    </row>
    <row r="56" spans="1:15" x14ac:dyDescent="0.2">
      <c r="A56" s="72"/>
      <c r="B56" s="76"/>
      <c r="C56" s="73"/>
      <c r="D56" s="73" t="s">
        <v>931</v>
      </c>
      <c r="E56" s="77" t="s">
        <v>125</v>
      </c>
      <c r="F56" s="75" t="s">
        <v>1365</v>
      </c>
      <c r="G56" s="75" t="s">
        <v>1027</v>
      </c>
      <c r="H56" s="69"/>
      <c r="O56" s="69" t="str">
        <v>48951-008-01 (Desengrase)</v>
      </c>
    </row>
    <row r="57" spans="1:15" x14ac:dyDescent="0.2">
      <c r="A57" s="72"/>
      <c r="B57" s="76"/>
      <c r="C57" s="73"/>
      <c r="D57" s="73" t="s">
        <v>931</v>
      </c>
      <c r="E57" s="77" t="s">
        <v>963</v>
      </c>
      <c r="F57" s="75" t="s">
        <v>1365</v>
      </c>
      <c r="G57" s="75" t="s">
        <v>1026</v>
      </c>
      <c r="H57" s="69"/>
      <c r="O57" s="69" t="str">
        <v>7706XXX | 5.0 - 10.0 µm</v>
      </c>
    </row>
    <row r="58" spans="1:15" x14ac:dyDescent="0.2">
      <c r="A58" s="72"/>
      <c r="B58" s="76"/>
      <c r="C58" s="73"/>
      <c r="D58" s="73" t="s">
        <v>931</v>
      </c>
      <c r="E58" s="77" t="s">
        <v>93</v>
      </c>
      <c r="F58" s="75" t="s">
        <v>1366</v>
      </c>
      <c r="G58" s="75" t="s">
        <v>1029</v>
      </c>
      <c r="H58" s="69"/>
      <c r="O58" s="69" t="str">
        <v>DIN 50967 | 5 - 8 µm</v>
      </c>
    </row>
    <row r="59" spans="1:15" x14ac:dyDescent="0.2">
      <c r="A59" s="72"/>
      <c r="B59" s="76"/>
      <c r="C59" s="73"/>
      <c r="D59" s="73" t="s">
        <v>931</v>
      </c>
      <c r="E59" s="77" t="s">
        <v>134</v>
      </c>
      <c r="F59" s="75" t="s">
        <v>1366</v>
      </c>
      <c r="G59" s="75" t="s">
        <v>1029</v>
      </c>
      <c r="H59" s="69"/>
      <c r="O59" s="69" t="str">
        <v>DYM Pendiente (Deshidrogenado) | 130 - 150 °C | &gt;= 5 hrs.</v>
      </c>
    </row>
    <row r="60" spans="1:15" x14ac:dyDescent="0.2">
      <c r="A60" s="72"/>
      <c r="B60" s="76"/>
      <c r="C60" s="73"/>
      <c r="D60" s="73" t="s">
        <v>931</v>
      </c>
      <c r="E60" s="77" t="s">
        <v>963</v>
      </c>
      <c r="F60" s="75" t="s">
        <v>1366</v>
      </c>
      <c r="G60" s="75" t="s">
        <v>1028</v>
      </c>
      <c r="H60" s="69"/>
      <c r="O60" s="69" t="str">
        <v>F50HD3S (Deshidrogenado) | 115 - 121 °C | &gt;= 6 hrs.</v>
      </c>
    </row>
    <row r="61" spans="1:15" x14ac:dyDescent="0.2">
      <c r="A61" s="72"/>
      <c r="B61" s="76"/>
      <c r="C61" s="73"/>
      <c r="D61" s="73" t="s">
        <v>931</v>
      </c>
      <c r="E61" s="77" t="s">
        <v>93</v>
      </c>
      <c r="F61" s="75" t="s">
        <v>1367</v>
      </c>
      <c r="G61" s="75" t="s">
        <v>1032</v>
      </c>
      <c r="H61" s="69"/>
    </row>
    <row r="62" spans="1:15" x14ac:dyDescent="0.2">
      <c r="A62" s="72"/>
      <c r="B62" s="76"/>
      <c r="C62" s="73"/>
      <c r="D62" s="73" t="s">
        <v>931</v>
      </c>
      <c r="E62" s="77" t="s">
        <v>93</v>
      </c>
      <c r="F62" s="75" t="s">
        <v>1368</v>
      </c>
      <c r="G62" s="75" t="s">
        <v>1031</v>
      </c>
      <c r="H62" s="69"/>
    </row>
    <row r="63" spans="1:15" x14ac:dyDescent="0.2">
      <c r="A63" s="72"/>
      <c r="B63" s="76"/>
      <c r="C63" s="73"/>
      <c r="D63" s="73" t="s">
        <v>931</v>
      </c>
      <c r="E63" s="77" t="s">
        <v>93</v>
      </c>
      <c r="F63" s="75" t="s">
        <v>1369</v>
      </c>
      <c r="G63" s="75" t="s">
        <v>1031</v>
      </c>
      <c r="H63" s="69"/>
    </row>
    <row r="64" spans="1:15" x14ac:dyDescent="0.2">
      <c r="A64" s="72"/>
      <c r="B64" s="76"/>
      <c r="C64" s="73"/>
      <c r="D64" s="73" t="s">
        <v>931</v>
      </c>
      <c r="E64" s="77" t="s">
        <v>134</v>
      </c>
      <c r="F64" s="75" t="s">
        <v>1368</v>
      </c>
      <c r="G64" s="75" t="s">
        <v>1031</v>
      </c>
      <c r="H64" s="69"/>
    </row>
    <row r="65" spans="1:8" x14ac:dyDescent="0.2">
      <c r="A65" s="72"/>
      <c r="B65" s="76"/>
      <c r="C65" s="73"/>
      <c r="D65" s="73" t="s">
        <v>931</v>
      </c>
      <c r="E65" s="77" t="s">
        <v>134</v>
      </c>
      <c r="F65" s="75" t="s">
        <v>1369</v>
      </c>
      <c r="G65" s="75" t="s">
        <v>1031</v>
      </c>
      <c r="H65" s="69"/>
    </row>
    <row r="66" spans="1:8" x14ac:dyDescent="0.2">
      <c r="A66" s="72"/>
      <c r="B66" s="76"/>
      <c r="C66" s="73"/>
      <c r="D66" s="73" t="s">
        <v>931</v>
      </c>
      <c r="E66" s="77" t="s">
        <v>963</v>
      </c>
      <c r="F66" s="75" t="s">
        <v>1369</v>
      </c>
      <c r="G66" s="75" t="s">
        <v>1030</v>
      </c>
      <c r="H66" s="69"/>
    </row>
    <row r="67" spans="1:8" x14ac:dyDescent="0.2">
      <c r="A67" s="72"/>
      <c r="B67" s="76"/>
      <c r="C67" s="73"/>
      <c r="D67" s="73" t="s">
        <v>931</v>
      </c>
      <c r="E67" s="77" t="s">
        <v>963</v>
      </c>
      <c r="F67" s="75" t="s">
        <v>1368</v>
      </c>
      <c r="G67" s="75" t="s">
        <v>1030</v>
      </c>
      <c r="H67" s="69"/>
    </row>
    <row r="68" spans="1:8" x14ac:dyDescent="0.2">
      <c r="A68" s="72"/>
      <c r="B68" s="76"/>
      <c r="C68" s="73"/>
      <c r="D68" s="73" t="s">
        <v>931</v>
      </c>
      <c r="E68" s="77" t="s">
        <v>93</v>
      </c>
      <c r="F68" s="75" t="s">
        <v>1370</v>
      </c>
      <c r="G68" s="75" t="s">
        <v>1024</v>
      </c>
      <c r="H68" s="69"/>
    </row>
    <row r="69" spans="1:8" x14ac:dyDescent="0.2">
      <c r="A69" s="72"/>
      <c r="B69" s="76"/>
      <c r="C69" s="73"/>
      <c r="D69" s="73" t="s">
        <v>931</v>
      </c>
      <c r="E69" s="77" t="s">
        <v>134</v>
      </c>
      <c r="F69" s="75" t="s">
        <v>1370</v>
      </c>
      <c r="G69" s="75" t="s">
        <v>1023</v>
      </c>
      <c r="H69" s="69"/>
    </row>
    <row r="70" spans="1:8" x14ac:dyDescent="0.2">
      <c r="A70" s="72"/>
      <c r="B70" s="76"/>
      <c r="C70" s="73"/>
      <c r="D70" s="73" t="s">
        <v>931</v>
      </c>
      <c r="E70" s="77" t="s">
        <v>963</v>
      </c>
      <c r="F70" s="75" t="s">
        <v>1370</v>
      </c>
      <c r="G70" s="75" t="s">
        <v>1022</v>
      </c>
      <c r="H70" s="69"/>
    </row>
    <row r="71" spans="1:8" x14ac:dyDescent="0.2">
      <c r="A71" s="72"/>
      <c r="B71" s="76"/>
      <c r="C71" s="73"/>
      <c r="D71" s="73" t="s">
        <v>931</v>
      </c>
      <c r="E71" s="77" t="s">
        <v>963</v>
      </c>
      <c r="F71" s="75" t="s">
        <v>1371</v>
      </c>
      <c r="G71" s="75" t="s">
        <v>1021</v>
      </c>
      <c r="H71" s="69"/>
    </row>
    <row r="72" spans="1:8" x14ac:dyDescent="0.2">
      <c r="A72" s="72"/>
      <c r="B72" s="76"/>
      <c r="C72" s="73"/>
      <c r="D72" s="73" t="s">
        <v>931</v>
      </c>
      <c r="E72" s="77" t="s">
        <v>963</v>
      </c>
      <c r="F72" s="75" t="s">
        <v>1372</v>
      </c>
      <c r="G72" s="75" t="s">
        <v>1021</v>
      </c>
      <c r="H72" s="69"/>
    </row>
    <row r="73" spans="1:8" x14ac:dyDescent="0.2">
      <c r="A73" s="72"/>
      <c r="B73" s="76"/>
      <c r="C73" s="73"/>
      <c r="D73" s="73" t="s">
        <v>931</v>
      </c>
      <c r="E73" s="77" t="s">
        <v>963</v>
      </c>
      <c r="F73" s="75" t="s">
        <v>1373</v>
      </c>
      <c r="G73" s="75" t="s">
        <v>1033</v>
      </c>
      <c r="H73" s="69"/>
    </row>
    <row r="74" spans="1:8" x14ac:dyDescent="0.2">
      <c r="A74" s="72"/>
      <c r="B74" s="76"/>
      <c r="C74" s="73"/>
      <c r="D74" s="73" t="s">
        <v>931</v>
      </c>
      <c r="E74" s="77" t="s">
        <v>109</v>
      </c>
      <c r="F74" s="75" t="s">
        <v>1373</v>
      </c>
      <c r="G74" s="75" t="s">
        <v>1036</v>
      </c>
      <c r="H74" s="69"/>
    </row>
    <row r="75" spans="1:8" x14ac:dyDescent="0.2">
      <c r="A75" s="72"/>
      <c r="B75" s="76"/>
      <c r="C75" s="73"/>
      <c r="D75" s="73" t="s">
        <v>931</v>
      </c>
      <c r="E75" s="77" t="s">
        <v>125</v>
      </c>
      <c r="F75" s="75" t="s">
        <v>1373</v>
      </c>
      <c r="G75" s="75" t="s">
        <v>1037</v>
      </c>
      <c r="H75" s="69"/>
    </row>
    <row r="76" spans="1:8" x14ac:dyDescent="0.2">
      <c r="A76" s="72"/>
      <c r="B76" s="76"/>
      <c r="C76" s="73"/>
      <c r="D76" s="73" t="s">
        <v>931</v>
      </c>
      <c r="E76" s="77" t="s">
        <v>93</v>
      </c>
      <c r="F76" s="75" t="s">
        <v>1373</v>
      </c>
      <c r="G76" s="75" t="s">
        <v>1035</v>
      </c>
      <c r="H76" s="69"/>
    </row>
    <row r="77" spans="1:8" x14ac:dyDescent="0.2">
      <c r="A77" s="72"/>
      <c r="B77" s="76"/>
      <c r="C77" s="73"/>
      <c r="D77" s="73" t="s">
        <v>931</v>
      </c>
      <c r="E77" s="77" t="s">
        <v>116</v>
      </c>
      <c r="F77" s="75" t="s">
        <v>1373</v>
      </c>
      <c r="G77" s="75" t="s">
        <v>1038</v>
      </c>
      <c r="H77" s="69"/>
    </row>
    <row r="78" spans="1:8" x14ac:dyDescent="0.2">
      <c r="A78" s="72"/>
      <c r="B78" s="76"/>
      <c r="C78" s="73"/>
      <c r="D78" s="73" t="s">
        <v>931</v>
      </c>
      <c r="E78" s="77" t="s">
        <v>102</v>
      </c>
      <c r="F78" s="75" t="s">
        <v>1373</v>
      </c>
      <c r="G78" s="75" t="s">
        <v>1034</v>
      </c>
      <c r="H78" s="69"/>
    </row>
    <row r="79" spans="1:8" x14ac:dyDescent="0.2">
      <c r="A79" s="72"/>
      <c r="B79" s="76"/>
      <c r="C79" s="73"/>
      <c r="D79" s="73" t="s">
        <v>931</v>
      </c>
      <c r="E79" s="77" t="s">
        <v>125</v>
      </c>
      <c r="F79" s="75" t="s">
        <v>1374</v>
      </c>
      <c r="G79" s="75" t="s">
        <v>1025</v>
      </c>
      <c r="H79" s="69"/>
    </row>
    <row r="80" spans="1:8" x14ac:dyDescent="0.2">
      <c r="A80" s="72"/>
      <c r="B80" s="76"/>
      <c r="C80" s="73"/>
      <c r="D80" s="73" t="s">
        <v>931</v>
      </c>
      <c r="E80" s="77" t="s">
        <v>93</v>
      </c>
      <c r="F80" s="75" t="s">
        <v>341</v>
      </c>
      <c r="G80" s="75" t="s">
        <v>986</v>
      </c>
      <c r="H80" s="69"/>
    </row>
    <row r="81" spans="1:8" x14ac:dyDescent="0.2">
      <c r="A81" s="72"/>
      <c r="B81" s="76"/>
      <c r="C81" s="73"/>
      <c r="D81" s="73" t="s">
        <v>931</v>
      </c>
      <c r="E81" s="77" t="s">
        <v>134</v>
      </c>
      <c r="F81" s="75" t="s">
        <v>341</v>
      </c>
      <c r="G81" s="75" t="s">
        <v>986</v>
      </c>
      <c r="H81" s="69"/>
    </row>
    <row r="82" spans="1:8" ht="16" x14ac:dyDescent="0.2">
      <c r="A82" s="72"/>
      <c r="B82" s="76"/>
      <c r="C82" s="73"/>
      <c r="D82" s="73" t="s">
        <v>931</v>
      </c>
      <c r="E82" s="77" t="s">
        <v>102</v>
      </c>
      <c r="F82" s="75" t="s">
        <v>369</v>
      </c>
      <c r="G82" s="74" t="s">
        <v>283</v>
      </c>
      <c r="H82" s="69"/>
    </row>
    <row r="83" spans="1:8" ht="16" x14ac:dyDescent="0.2">
      <c r="A83" s="72"/>
      <c r="B83" s="76"/>
      <c r="C83" s="73"/>
      <c r="D83" s="73" t="s">
        <v>931</v>
      </c>
      <c r="E83" s="77" t="s">
        <v>109</v>
      </c>
      <c r="F83" s="75" t="s">
        <v>378</v>
      </c>
      <c r="G83" s="74" t="s">
        <v>295</v>
      </c>
      <c r="H83" s="69"/>
    </row>
    <row r="84" spans="1:8" ht="16" x14ac:dyDescent="0.2">
      <c r="A84" s="72"/>
      <c r="B84" s="76"/>
      <c r="C84" s="73"/>
      <c r="D84" s="73" t="s">
        <v>931</v>
      </c>
      <c r="E84" s="77" t="s">
        <v>93</v>
      </c>
      <c r="F84" s="75" t="s">
        <v>378</v>
      </c>
      <c r="G84" s="74" t="s">
        <v>289</v>
      </c>
      <c r="H84" s="69"/>
    </row>
    <row r="85" spans="1:8" ht="16" x14ac:dyDescent="0.2">
      <c r="A85" s="72"/>
      <c r="B85" s="76"/>
      <c r="C85" s="73"/>
      <c r="D85" s="73" t="s">
        <v>931</v>
      </c>
      <c r="E85" s="77" t="s">
        <v>125</v>
      </c>
      <c r="F85" s="75" t="s">
        <v>378</v>
      </c>
      <c r="G85" s="74" t="s">
        <v>300</v>
      </c>
      <c r="H85" s="69"/>
    </row>
    <row r="86" spans="1:8" x14ac:dyDescent="0.2">
      <c r="A86" s="72"/>
      <c r="B86" s="76"/>
      <c r="C86" s="73"/>
      <c r="D86" s="73" t="s">
        <v>931</v>
      </c>
      <c r="E86" s="77" t="s">
        <v>963</v>
      </c>
      <c r="F86" s="75" t="s">
        <v>378</v>
      </c>
      <c r="G86" s="75" t="s">
        <v>1048</v>
      </c>
      <c r="H86" s="69"/>
    </row>
    <row r="87" spans="1:8" x14ac:dyDescent="0.2">
      <c r="A87" s="72"/>
      <c r="B87" s="76"/>
      <c r="C87" s="73"/>
      <c r="D87" s="73" t="s">
        <v>931</v>
      </c>
      <c r="E87" s="77" t="s">
        <v>109</v>
      </c>
      <c r="F87" s="75" t="s">
        <v>412</v>
      </c>
      <c r="G87" s="75" t="s">
        <v>993</v>
      </c>
      <c r="H87" s="69"/>
    </row>
    <row r="88" spans="1:8" x14ac:dyDescent="0.2">
      <c r="A88" s="72"/>
      <c r="B88" s="76"/>
      <c r="C88" s="73"/>
      <c r="D88" s="73" t="s">
        <v>931</v>
      </c>
      <c r="E88" s="77" t="s">
        <v>963</v>
      </c>
      <c r="F88" s="75" t="s">
        <v>412</v>
      </c>
      <c r="G88" s="75" t="s">
        <v>993</v>
      </c>
      <c r="H88" s="69"/>
    </row>
    <row r="89" spans="1:8" x14ac:dyDescent="0.2">
      <c r="A89" s="72"/>
      <c r="B89" s="76"/>
      <c r="C89" s="73"/>
      <c r="D89" s="73" t="s">
        <v>931</v>
      </c>
      <c r="E89" s="77" t="s">
        <v>93</v>
      </c>
      <c r="F89" s="75" t="s">
        <v>412</v>
      </c>
      <c r="G89" s="75" t="s">
        <v>993</v>
      </c>
      <c r="H89" s="69"/>
    </row>
    <row r="90" spans="1:8" x14ac:dyDescent="0.2">
      <c r="A90" s="72"/>
      <c r="B90" s="76"/>
      <c r="C90" s="73"/>
      <c r="D90" s="73" t="s">
        <v>931</v>
      </c>
      <c r="E90" s="77" t="s">
        <v>125</v>
      </c>
      <c r="F90" s="75" t="s">
        <v>412</v>
      </c>
      <c r="G90" s="75" t="s">
        <v>993</v>
      </c>
      <c r="H90" s="69"/>
    </row>
    <row r="91" spans="1:8" ht="16" x14ac:dyDescent="0.2">
      <c r="A91" s="72"/>
      <c r="B91" s="76"/>
      <c r="C91" s="73"/>
      <c r="D91" s="73" t="s">
        <v>931</v>
      </c>
      <c r="E91" s="77" t="s">
        <v>102</v>
      </c>
      <c r="F91" s="75" t="s">
        <v>1375</v>
      </c>
      <c r="G91" s="74" t="s">
        <v>1006</v>
      </c>
      <c r="H91" s="69"/>
    </row>
    <row r="92" spans="1:8" ht="16" x14ac:dyDescent="0.2">
      <c r="A92" s="72"/>
      <c r="B92" s="76"/>
      <c r="C92" s="73"/>
      <c r="D92" s="73" t="s">
        <v>931</v>
      </c>
      <c r="E92" s="77" t="s">
        <v>102</v>
      </c>
      <c r="F92" s="75" t="s">
        <v>319</v>
      </c>
      <c r="G92" s="74" t="s">
        <v>245</v>
      </c>
      <c r="H92" s="69"/>
    </row>
    <row r="93" spans="1:8" ht="16" x14ac:dyDescent="0.2">
      <c r="A93" s="72"/>
      <c r="B93" s="76"/>
      <c r="C93" s="73"/>
      <c r="D93" s="73" t="s">
        <v>934</v>
      </c>
      <c r="E93" s="77" t="s">
        <v>109</v>
      </c>
      <c r="F93" s="75" t="s">
        <v>1376</v>
      </c>
      <c r="G93" s="74" t="s">
        <v>1083</v>
      </c>
      <c r="H93" s="69"/>
    </row>
    <row r="94" spans="1:8" ht="16" x14ac:dyDescent="0.2">
      <c r="A94" s="72"/>
      <c r="B94" s="76"/>
      <c r="C94" s="73"/>
      <c r="D94" s="73" t="s">
        <v>934</v>
      </c>
      <c r="E94" s="77" t="s">
        <v>963</v>
      </c>
      <c r="F94" s="75" t="s">
        <v>1376</v>
      </c>
      <c r="G94" s="74" t="s">
        <v>1083</v>
      </c>
      <c r="H94" s="69"/>
    </row>
    <row r="95" spans="1:8" ht="16" x14ac:dyDescent="0.2">
      <c r="A95" s="72"/>
      <c r="B95" s="76"/>
      <c r="C95" s="73"/>
      <c r="D95" s="73" t="s">
        <v>934</v>
      </c>
      <c r="E95" s="77" t="s">
        <v>109</v>
      </c>
      <c r="F95" s="75" t="s">
        <v>1377</v>
      </c>
      <c r="G95" s="74" t="s">
        <v>1079</v>
      </c>
      <c r="H95" s="69"/>
    </row>
    <row r="96" spans="1:8" ht="16" x14ac:dyDescent="0.2">
      <c r="A96" s="72"/>
      <c r="B96" s="76"/>
      <c r="C96" s="73"/>
      <c r="D96" s="73" t="s">
        <v>934</v>
      </c>
      <c r="E96" s="77" t="s">
        <v>963</v>
      </c>
      <c r="F96" s="75" t="s">
        <v>1377</v>
      </c>
      <c r="G96" s="74" t="s">
        <v>1079</v>
      </c>
      <c r="H96" s="69"/>
    </row>
    <row r="97" spans="1:8" ht="16" x14ac:dyDescent="0.2">
      <c r="A97" s="72"/>
      <c r="B97" s="76"/>
      <c r="C97" s="73"/>
      <c r="D97" s="73" t="s">
        <v>934</v>
      </c>
      <c r="E97" s="77" t="s">
        <v>109</v>
      </c>
      <c r="F97" s="75" t="s">
        <v>1378</v>
      </c>
      <c r="G97" s="74" t="s">
        <v>1079</v>
      </c>
      <c r="H97" s="69"/>
    </row>
    <row r="98" spans="1:8" ht="16" x14ac:dyDescent="0.2">
      <c r="A98" s="72"/>
      <c r="B98" s="76"/>
      <c r="C98" s="73"/>
      <c r="D98" s="73" t="s">
        <v>934</v>
      </c>
      <c r="E98" s="77" t="s">
        <v>963</v>
      </c>
      <c r="F98" s="75" t="s">
        <v>1378</v>
      </c>
      <c r="G98" s="74" t="s">
        <v>1079</v>
      </c>
      <c r="H98" s="69"/>
    </row>
    <row r="99" spans="1:8" ht="16" x14ac:dyDescent="0.2">
      <c r="A99" s="72"/>
      <c r="B99" s="76"/>
      <c r="C99" s="73"/>
      <c r="D99" s="73" t="s">
        <v>934</v>
      </c>
      <c r="E99" s="77" t="s">
        <v>109</v>
      </c>
      <c r="F99" s="75" t="s">
        <v>1379</v>
      </c>
      <c r="G99" s="74" t="s">
        <v>1079</v>
      </c>
      <c r="H99" s="69"/>
    </row>
    <row r="100" spans="1:8" ht="16" x14ac:dyDescent="0.2">
      <c r="A100" s="72"/>
      <c r="B100" s="76"/>
      <c r="C100" s="73"/>
      <c r="D100" s="73" t="s">
        <v>934</v>
      </c>
      <c r="E100" s="77" t="s">
        <v>963</v>
      </c>
      <c r="F100" s="75" t="s">
        <v>1379</v>
      </c>
      <c r="G100" s="74" t="s">
        <v>1079</v>
      </c>
      <c r="H100" s="69"/>
    </row>
    <row r="101" spans="1:8" ht="16" x14ac:dyDescent="0.2">
      <c r="A101" s="72"/>
      <c r="B101" s="76"/>
      <c r="C101" s="73"/>
      <c r="D101" s="73" t="s">
        <v>934</v>
      </c>
      <c r="E101" s="77" t="s">
        <v>109</v>
      </c>
      <c r="F101" s="75" t="s">
        <v>1380</v>
      </c>
      <c r="G101" s="74" t="s">
        <v>1082</v>
      </c>
      <c r="H101" s="69"/>
    </row>
    <row r="102" spans="1:8" ht="16" x14ac:dyDescent="0.2">
      <c r="A102" s="72"/>
      <c r="B102" s="76"/>
      <c r="C102" s="73"/>
      <c r="D102" s="73" t="s">
        <v>934</v>
      </c>
      <c r="E102" s="77" t="s">
        <v>963</v>
      </c>
      <c r="F102" s="75" t="s">
        <v>1380</v>
      </c>
      <c r="G102" s="74" t="s">
        <v>1082</v>
      </c>
      <c r="H102" s="69"/>
    </row>
    <row r="103" spans="1:8" x14ac:dyDescent="0.2">
      <c r="A103" s="72"/>
      <c r="B103" s="76"/>
      <c r="C103" s="73"/>
      <c r="D103" s="73" t="s">
        <v>934</v>
      </c>
      <c r="E103" s="77" t="s">
        <v>109</v>
      </c>
      <c r="F103" s="75" t="s">
        <v>1381</v>
      </c>
      <c r="G103" s="75" t="s">
        <v>1080</v>
      </c>
      <c r="H103" s="69"/>
    </row>
    <row r="104" spans="1:8" x14ac:dyDescent="0.2">
      <c r="A104" s="72"/>
      <c r="B104" s="76"/>
      <c r="C104" s="73"/>
      <c r="D104" s="73" t="s">
        <v>934</v>
      </c>
      <c r="E104" s="77" t="s">
        <v>963</v>
      </c>
      <c r="F104" s="75" t="s">
        <v>1381</v>
      </c>
      <c r="G104" s="75" t="s">
        <v>1080</v>
      </c>
      <c r="H104" s="69"/>
    </row>
    <row r="105" spans="1:8" x14ac:dyDescent="0.2">
      <c r="A105" s="72"/>
      <c r="B105" s="76"/>
      <c r="C105" s="73"/>
      <c r="D105" s="73" t="s">
        <v>934</v>
      </c>
      <c r="E105" s="77" t="s">
        <v>109</v>
      </c>
      <c r="F105" s="75" t="s">
        <v>1382</v>
      </c>
      <c r="G105" s="75" t="s">
        <v>1080</v>
      </c>
      <c r="H105" s="69"/>
    </row>
    <row r="106" spans="1:8" x14ac:dyDescent="0.2">
      <c r="A106" s="72"/>
      <c r="B106" s="76"/>
      <c r="C106" s="73"/>
      <c r="D106" s="73" t="s">
        <v>934</v>
      </c>
      <c r="E106" s="77" t="s">
        <v>963</v>
      </c>
      <c r="F106" s="75" t="s">
        <v>1382</v>
      </c>
      <c r="G106" s="75" t="s">
        <v>1080</v>
      </c>
      <c r="H106" s="69"/>
    </row>
    <row r="107" spans="1:8" x14ac:dyDescent="0.2">
      <c r="A107" s="72"/>
      <c r="B107" s="76"/>
      <c r="C107" s="73"/>
      <c r="D107" s="73" t="s">
        <v>934</v>
      </c>
      <c r="E107" s="77" t="s">
        <v>109</v>
      </c>
      <c r="F107" s="75" t="s">
        <v>1383</v>
      </c>
      <c r="G107" s="75" t="s">
        <v>1080</v>
      </c>
      <c r="H107" s="69"/>
    </row>
    <row r="108" spans="1:8" x14ac:dyDescent="0.2">
      <c r="A108" s="72"/>
      <c r="B108" s="76"/>
      <c r="C108" s="73"/>
      <c r="D108" s="73" t="s">
        <v>934</v>
      </c>
      <c r="E108" s="77" t="s">
        <v>963</v>
      </c>
      <c r="F108" s="75" t="s">
        <v>1383</v>
      </c>
      <c r="G108" s="75" t="s">
        <v>1080</v>
      </c>
      <c r="H108" s="69"/>
    </row>
    <row r="109" spans="1:8" x14ac:dyDescent="0.2">
      <c r="A109" s="72"/>
      <c r="B109" s="76"/>
      <c r="C109" s="73"/>
      <c r="D109" s="73" t="s">
        <v>934</v>
      </c>
      <c r="E109" s="77" t="s">
        <v>109</v>
      </c>
      <c r="F109" s="75" t="s">
        <v>1384</v>
      </c>
      <c r="G109" s="75" t="s">
        <v>1080</v>
      </c>
      <c r="H109" s="69"/>
    </row>
    <row r="110" spans="1:8" x14ac:dyDescent="0.2">
      <c r="A110" s="72"/>
      <c r="B110" s="76"/>
      <c r="C110" s="73"/>
      <c r="D110" s="73" t="s">
        <v>934</v>
      </c>
      <c r="E110" s="77" t="s">
        <v>963</v>
      </c>
      <c r="F110" s="75" t="s">
        <v>1384</v>
      </c>
      <c r="G110" s="75" t="s">
        <v>1080</v>
      </c>
      <c r="H110" s="69"/>
    </row>
    <row r="111" spans="1:8" x14ac:dyDescent="0.2">
      <c r="A111" s="72"/>
      <c r="B111" s="76"/>
      <c r="C111" s="73"/>
      <c r="D111" s="73" t="s">
        <v>934</v>
      </c>
      <c r="E111" s="77" t="s">
        <v>109</v>
      </c>
      <c r="F111" s="75" t="s">
        <v>1385</v>
      </c>
      <c r="G111" s="75" t="s">
        <v>1081</v>
      </c>
      <c r="H111" s="69"/>
    </row>
    <row r="112" spans="1:8" x14ac:dyDescent="0.2">
      <c r="A112" s="72"/>
      <c r="B112" s="76"/>
      <c r="C112" s="73"/>
      <c r="D112" s="73" t="s">
        <v>934</v>
      </c>
      <c r="E112" s="77" t="s">
        <v>963</v>
      </c>
      <c r="F112" s="75" t="s">
        <v>1385</v>
      </c>
      <c r="G112" s="75" t="s">
        <v>1081</v>
      </c>
      <c r="H112" s="69"/>
    </row>
    <row r="113" spans="1:8" x14ac:dyDescent="0.2">
      <c r="A113" s="72"/>
      <c r="B113" s="76"/>
      <c r="C113" s="73"/>
      <c r="D113" s="73" t="s">
        <v>934</v>
      </c>
      <c r="E113" s="77" t="s">
        <v>109</v>
      </c>
      <c r="F113" s="75" t="s">
        <v>1386</v>
      </c>
      <c r="G113" s="75" t="s">
        <v>1081</v>
      </c>
      <c r="H113" s="69"/>
    </row>
    <row r="114" spans="1:8" x14ac:dyDescent="0.2">
      <c r="A114" s="72"/>
      <c r="B114" s="76"/>
      <c r="C114" s="73"/>
      <c r="D114" s="73" t="s">
        <v>934</v>
      </c>
      <c r="E114" s="77" t="s">
        <v>963</v>
      </c>
      <c r="F114" s="75" t="s">
        <v>1386</v>
      </c>
      <c r="G114" s="75" t="s">
        <v>1081</v>
      </c>
      <c r="H114" s="69"/>
    </row>
    <row r="115" spans="1:8" ht="16" x14ac:dyDescent="0.2">
      <c r="A115" s="72"/>
      <c r="B115" s="76"/>
      <c r="C115" s="73"/>
      <c r="D115" s="73" t="s">
        <v>934</v>
      </c>
      <c r="E115" s="77" t="s">
        <v>109</v>
      </c>
      <c r="F115" s="75" t="s">
        <v>1387</v>
      </c>
      <c r="G115" s="74" t="s">
        <v>1076</v>
      </c>
      <c r="H115" s="69"/>
    </row>
    <row r="116" spans="1:8" ht="16" x14ac:dyDescent="0.2">
      <c r="A116" s="72"/>
      <c r="B116" s="76"/>
      <c r="C116" s="73"/>
      <c r="D116" s="73" t="s">
        <v>934</v>
      </c>
      <c r="E116" s="77" t="s">
        <v>963</v>
      </c>
      <c r="F116" s="75" t="s">
        <v>1387</v>
      </c>
      <c r="G116" s="74" t="s">
        <v>1076</v>
      </c>
      <c r="H116" s="69"/>
    </row>
    <row r="117" spans="1:8" ht="16" x14ac:dyDescent="0.2">
      <c r="A117" s="72"/>
      <c r="B117" s="76"/>
      <c r="C117" s="73"/>
      <c r="D117" s="73" t="s">
        <v>934</v>
      </c>
      <c r="E117" s="77" t="s">
        <v>109</v>
      </c>
      <c r="F117" s="75" t="s">
        <v>1388</v>
      </c>
      <c r="G117" s="74" t="s">
        <v>1076</v>
      </c>
      <c r="H117" s="69"/>
    </row>
    <row r="118" spans="1:8" ht="16" x14ac:dyDescent="0.2">
      <c r="A118" s="72"/>
      <c r="B118" s="76"/>
      <c r="C118" s="73"/>
      <c r="D118" s="73" t="s">
        <v>934</v>
      </c>
      <c r="E118" s="77" t="s">
        <v>963</v>
      </c>
      <c r="F118" s="75" t="s">
        <v>1388</v>
      </c>
      <c r="G118" s="74" t="s">
        <v>1076</v>
      </c>
      <c r="H118" s="69"/>
    </row>
    <row r="119" spans="1:8" ht="16" x14ac:dyDescent="0.2">
      <c r="A119" s="72"/>
      <c r="B119" s="76"/>
      <c r="C119" s="73"/>
      <c r="D119" s="73" t="s">
        <v>934</v>
      </c>
      <c r="E119" s="77" t="s">
        <v>109</v>
      </c>
      <c r="F119" s="75" t="s">
        <v>1389</v>
      </c>
      <c r="G119" s="74" t="s">
        <v>1076</v>
      </c>
      <c r="H119" s="69"/>
    </row>
    <row r="120" spans="1:8" ht="16" x14ac:dyDescent="0.2">
      <c r="A120" s="72"/>
      <c r="B120" s="76"/>
      <c r="C120" s="73"/>
      <c r="D120" s="73" t="s">
        <v>934</v>
      </c>
      <c r="E120" s="77" t="s">
        <v>963</v>
      </c>
      <c r="F120" s="75" t="s">
        <v>1389</v>
      </c>
      <c r="G120" s="74" t="s">
        <v>1076</v>
      </c>
      <c r="H120" s="69"/>
    </row>
    <row r="121" spans="1:8" ht="16" x14ac:dyDescent="0.2">
      <c r="A121" s="72"/>
      <c r="B121" s="76"/>
      <c r="C121" s="73"/>
      <c r="D121" s="73" t="s">
        <v>934</v>
      </c>
      <c r="E121" s="77" t="s">
        <v>109</v>
      </c>
      <c r="F121" s="75" t="s">
        <v>1390</v>
      </c>
      <c r="G121" s="74" t="s">
        <v>1076</v>
      </c>
      <c r="H121" s="69"/>
    </row>
    <row r="122" spans="1:8" ht="16" x14ac:dyDescent="0.2">
      <c r="A122" s="72"/>
      <c r="B122" s="76"/>
      <c r="C122" s="73"/>
      <c r="D122" s="73" t="s">
        <v>934</v>
      </c>
      <c r="E122" s="77" t="s">
        <v>963</v>
      </c>
      <c r="F122" s="75" t="s">
        <v>1390</v>
      </c>
      <c r="G122" s="74" t="s">
        <v>1076</v>
      </c>
      <c r="H122" s="69"/>
    </row>
    <row r="123" spans="1:8" ht="16" x14ac:dyDescent="0.2">
      <c r="A123" s="72"/>
      <c r="B123" s="76"/>
      <c r="C123" s="73"/>
      <c r="D123" s="73" t="s">
        <v>934</v>
      </c>
      <c r="E123" s="77" t="s">
        <v>109</v>
      </c>
      <c r="F123" s="75" t="s">
        <v>1391</v>
      </c>
      <c r="G123" s="74" t="s">
        <v>1076</v>
      </c>
      <c r="H123" s="69"/>
    </row>
    <row r="124" spans="1:8" ht="16" x14ac:dyDescent="0.2">
      <c r="A124" s="72"/>
      <c r="B124" s="76"/>
      <c r="C124" s="73"/>
      <c r="D124" s="73" t="s">
        <v>934</v>
      </c>
      <c r="E124" s="77" t="s">
        <v>963</v>
      </c>
      <c r="F124" s="75" t="s">
        <v>1391</v>
      </c>
      <c r="G124" s="74" t="s">
        <v>1076</v>
      </c>
      <c r="H124" s="69"/>
    </row>
    <row r="125" spans="1:8" ht="16" x14ac:dyDescent="0.2">
      <c r="A125" s="72"/>
      <c r="B125" s="76"/>
      <c r="C125" s="73"/>
      <c r="D125" s="73" t="s">
        <v>934</v>
      </c>
      <c r="E125" s="77" t="s">
        <v>109</v>
      </c>
      <c r="F125" s="75" t="s">
        <v>1392</v>
      </c>
      <c r="G125" s="74" t="s">
        <v>1077</v>
      </c>
      <c r="H125" s="69"/>
    </row>
    <row r="126" spans="1:8" ht="16" x14ac:dyDescent="0.2">
      <c r="A126" s="72"/>
      <c r="B126" s="76"/>
      <c r="C126" s="73"/>
      <c r="D126" s="73" t="s">
        <v>934</v>
      </c>
      <c r="E126" s="77" t="s">
        <v>963</v>
      </c>
      <c r="F126" s="75" t="s">
        <v>1392</v>
      </c>
      <c r="G126" s="74" t="s">
        <v>1077</v>
      </c>
      <c r="H126" s="69"/>
    </row>
    <row r="127" spans="1:8" ht="16" x14ac:dyDescent="0.2">
      <c r="A127" s="72"/>
      <c r="B127" s="76"/>
      <c r="C127" s="73"/>
      <c r="D127" s="73" t="s">
        <v>934</v>
      </c>
      <c r="E127" s="77" t="s">
        <v>109</v>
      </c>
      <c r="F127" s="75" t="s">
        <v>1393</v>
      </c>
      <c r="G127" s="74" t="s">
        <v>1077</v>
      </c>
      <c r="H127" s="69"/>
    </row>
    <row r="128" spans="1:8" ht="16" x14ac:dyDescent="0.2">
      <c r="A128" s="72"/>
      <c r="B128" s="76"/>
      <c r="C128" s="73"/>
      <c r="D128" s="73" t="s">
        <v>934</v>
      </c>
      <c r="E128" s="77" t="s">
        <v>963</v>
      </c>
      <c r="F128" s="75" t="s">
        <v>1393</v>
      </c>
      <c r="G128" s="74" t="s">
        <v>1077</v>
      </c>
      <c r="H128" s="69"/>
    </row>
    <row r="129" spans="1:8" ht="16" x14ac:dyDescent="0.2">
      <c r="A129" s="72"/>
      <c r="B129" s="76"/>
      <c r="C129" s="73"/>
      <c r="D129" s="73" t="s">
        <v>934</v>
      </c>
      <c r="E129" s="77" t="s">
        <v>109</v>
      </c>
      <c r="F129" s="75" t="s">
        <v>1394</v>
      </c>
      <c r="G129" s="74" t="s">
        <v>1078</v>
      </c>
      <c r="H129" s="69"/>
    </row>
    <row r="130" spans="1:8" ht="16" x14ac:dyDescent="0.2">
      <c r="A130" s="72"/>
      <c r="B130" s="76"/>
      <c r="C130" s="73"/>
      <c r="D130" s="73" t="s">
        <v>934</v>
      </c>
      <c r="E130" s="77" t="s">
        <v>963</v>
      </c>
      <c r="F130" s="75" t="s">
        <v>1394</v>
      </c>
      <c r="G130" s="74" t="s">
        <v>1078</v>
      </c>
      <c r="H130" s="69"/>
    </row>
    <row r="131" spans="1:8" ht="16" x14ac:dyDescent="0.2">
      <c r="A131" s="72"/>
      <c r="B131" s="76"/>
      <c r="C131" s="73"/>
      <c r="D131" s="73" t="s">
        <v>934</v>
      </c>
      <c r="E131" s="77" t="s">
        <v>109</v>
      </c>
      <c r="F131" s="75" t="s">
        <v>1395</v>
      </c>
      <c r="G131" s="74" t="s">
        <v>1078</v>
      </c>
      <c r="H131" s="69"/>
    </row>
    <row r="132" spans="1:8" ht="16" x14ac:dyDescent="0.2">
      <c r="A132" s="72"/>
      <c r="B132" s="76"/>
      <c r="C132" s="73"/>
      <c r="D132" s="73" t="s">
        <v>934</v>
      </c>
      <c r="E132" s="77" t="s">
        <v>963</v>
      </c>
      <c r="F132" s="75" t="s">
        <v>1395</v>
      </c>
      <c r="G132" s="74" t="s">
        <v>1078</v>
      </c>
      <c r="H132" s="69"/>
    </row>
    <row r="133" spans="1:8" x14ac:dyDescent="0.2">
      <c r="A133" s="72"/>
      <c r="B133" s="76"/>
      <c r="C133" s="73"/>
      <c r="D133" s="73" t="s">
        <v>934</v>
      </c>
      <c r="E133" s="77" t="s">
        <v>109</v>
      </c>
      <c r="F133" s="75" t="s">
        <v>1396</v>
      </c>
      <c r="G133" s="75" t="s">
        <v>995</v>
      </c>
      <c r="H133" s="69"/>
    </row>
    <row r="134" spans="1:8" x14ac:dyDescent="0.2">
      <c r="A134" s="72"/>
      <c r="B134" s="76"/>
      <c r="C134" s="73"/>
      <c r="D134" s="73" t="s">
        <v>934</v>
      </c>
      <c r="E134" s="77" t="s">
        <v>963</v>
      </c>
      <c r="F134" s="75" t="s">
        <v>1396</v>
      </c>
      <c r="G134" s="75" t="s">
        <v>995</v>
      </c>
      <c r="H134" s="69"/>
    </row>
    <row r="135" spans="1:8" x14ac:dyDescent="0.2">
      <c r="A135" s="72"/>
      <c r="B135" s="76"/>
      <c r="C135" s="73"/>
      <c r="D135" s="73" t="s">
        <v>934</v>
      </c>
      <c r="E135" s="77" t="s">
        <v>109</v>
      </c>
      <c r="F135" s="75" t="s">
        <v>1397</v>
      </c>
      <c r="G135" s="75" t="s">
        <v>996</v>
      </c>
      <c r="H135" s="69"/>
    </row>
    <row r="136" spans="1:8" x14ac:dyDescent="0.2">
      <c r="A136" s="72"/>
      <c r="B136" s="76"/>
      <c r="C136" s="73"/>
      <c r="D136" s="73" t="s">
        <v>934</v>
      </c>
      <c r="E136" s="77" t="s">
        <v>963</v>
      </c>
      <c r="F136" s="75" t="s">
        <v>1397</v>
      </c>
      <c r="G136" s="75" t="s">
        <v>996</v>
      </c>
      <c r="H136" s="69"/>
    </row>
    <row r="137" spans="1:8" x14ac:dyDescent="0.2">
      <c r="A137" s="72"/>
      <c r="B137" s="76"/>
      <c r="C137" s="73"/>
      <c r="D137" s="73" t="s">
        <v>934</v>
      </c>
      <c r="E137" s="77" t="s">
        <v>963</v>
      </c>
      <c r="F137" s="75" t="s">
        <v>1398</v>
      </c>
      <c r="G137" s="75" t="s">
        <v>994</v>
      </c>
      <c r="H137" s="69"/>
    </row>
    <row r="138" spans="1:8" x14ac:dyDescent="0.2">
      <c r="A138" s="72"/>
      <c r="B138" s="76"/>
      <c r="C138" s="73"/>
      <c r="D138" s="73" t="s">
        <v>934</v>
      </c>
      <c r="E138" s="77" t="s">
        <v>109</v>
      </c>
      <c r="F138" s="75" t="s">
        <v>1398</v>
      </c>
      <c r="G138" s="75" t="s">
        <v>994</v>
      </c>
      <c r="H138" s="69"/>
    </row>
    <row r="139" spans="1:8" x14ac:dyDescent="0.2">
      <c r="A139" s="72"/>
      <c r="B139" s="76"/>
      <c r="C139" s="73"/>
      <c r="D139" s="73" t="s">
        <v>934</v>
      </c>
      <c r="E139" s="77" t="s">
        <v>109</v>
      </c>
      <c r="F139" s="75" t="s">
        <v>1399</v>
      </c>
      <c r="G139" s="75" t="s">
        <v>1073</v>
      </c>
      <c r="H139" s="69"/>
    </row>
    <row r="140" spans="1:8" x14ac:dyDescent="0.2">
      <c r="A140" s="72"/>
      <c r="B140" s="76"/>
      <c r="C140" s="73"/>
      <c r="D140" s="73" t="s">
        <v>934</v>
      </c>
      <c r="E140" s="77" t="s">
        <v>963</v>
      </c>
      <c r="F140" s="75" t="s">
        <v>1399</v>
      </c>
      <c r="G140" s="75" t="s">
        <v>1073</v>
      </c>
      <c r="H140" s="69"/>
    </row>
    <row r="141" spans="1:8" x14ac:dyDescent="0.2">
      <c r="A141" s="72"/>
      <c r="B141" s="76"/>
      <c r="C141" s="73"/>
      <c r="D141" s="73" t="s">
        <v>934</v>
      </c>
      <c r="E141" s="77" t="s">
        <v>109</v>
      </c>
      <c r="F141" s="75" t="s">
        <v>1400</v>
      </c>
      <c r="G141" s="75" t="s">
        <v>1074</v>
      </c>
      <c r="H141" s="69"/>
    </row>
    <row r="142" spans="1:8" x14ac:dyDescent="0.2">
      <c r="A142" s="72"/>
      <c r="B142" s="76"/>
      <c r="C142" s="73"/>
      <c r="D142" s="73" t="s">
        <v>934</v>
      </c>
      <c r="E142" s="77" t="s">
        <v>963</v>
      </c>
      <c r="F142" s="75" t="s">
        <v>1400</v>
      </c>
      <c r="G142" s="75" t="s">
        <v>1074</v>
      </c>
      <c r="H142" s="69"/>
    </row>
    <row r="143" spans="1:8" x14ac:dyDescent="0.2">
      <c r="A143" s="72"/>
      <c r="B143" s="76"/>
      <c r="C143" s="73"/>
      <c r="D143" s="73" t="s">
        <v>934</v>
      </c>
      <c r="E143" s="77" t="s">
        <v>963</v>
      </c>
      <c r="F143" s="75" t="s">
        <v>1401</v>
      </c>
      <c r="G143" s="75" t="s">
        <v>1072</v>
      </c>
      <c r="H143" s="69"/>
    </row>
    <row r="144" spans="1:8" x14ac:dyDescent="0.2">
      <c r="A144" s="72"/>
      <c r="B144" s="76"/>
      <c r="C144" s="73"/>
      <c r="D144" s="73" t="s">
        <v>934</v>
      </c>
      <c r="E144" s="77" t="s">
        <v>109</v>
      </c>
      <c r="F144" s="75" t="s">
        <v>1401</v>
      </c>
      <c r="G144" s="75" t="s">
        <v>1072</v>
      </c>
      <c r="H144" s="69"/>
    </row>
    <row r="145" spans="1:8" x14ac:dyDescent="0.2">
      <c r="A145" s="72"/>
      <c r="B145" s="76"/>
      <c r="C145" s="73"/>
      <c r="D145" s="73" t="s">
        <v>934</v>
      </c>
      <c r="E145" s="77" t="s">
        <v>963</v>
      </c>
      <c r="F145" s="75" t="s">
        <v>1402</v>
      </c>
      <c r="G145" s="75" t="s">
        <v>1071</v>
      </c>
      <c r="H145" s="69"/>
    </row>
    <row r="146" spans="1:8" x14ac:dyDescent="0.2">
      <c r="A146" s="72"/>
      <c r="B146" s="76"/>
      <c r="C146" s="73"/>
      <c r="D146" s="73" t="s">
        <v>934</v>
      </c>
      <c r="E146" s="77" t="s">
        <v>109</v>
      </c>
      <c r="F146" s="75" t="s">
        <v>1402</v>
      </c>
      <c r="G146" s="75" t="s">
        <v>1071</v>
      </c>
      <c r="H146" s="69"/>
    </row>
    <row r="147" spans="1:8" x14ac:dyDescent="0.2">
      <c r="A147" s="72"/>
      <c r="B147" s="76"/>
      <c r="C147" s="73"/>
      <c r="D147" s="73" t="s">
        <v>934</v>
      </c>
      <c r="E147" s="77" t="s">
        <v>963</v>
      </c>
      <c r="F147" s="75" t="s">
        <v>1403</v>
      </c>
      <c r="G147" s="75" t="s">
        <v>1071</v>
      </c>
      <c r="H147" s="69"/>
    </row>
    <row r="148" spans="1:8" x14ac:dyDescent="0.2">
      <c r="A148" s="72"/>
      <c r="B148" s="76"/>
      <c r="C148" s="73"/>
      <c r="D148" s="73" t="s">
        <v>934</v>
      </c>
      <c r="E148" s="77" t="s">
        <v>109</v>
      </c>
      <c r="F148" s="75" t="s">
        <v>1403</v>
      </c>
      <c r="G148" s="75" t="s">
        <v>1071</v>
      </c>
      <c r="H148" s="69"/>
    </row>
    <row r="149" spans="1:8" x14ac:dyDescent="0.2">
      <c r="A149" s="72"/>
      <c r="B149" s="76"/>
      <c r="C149" s="73"/>
      <c r="D149" s="73" t="s">
        <v>934</v>
      </c>
      <c r="E149" s="77" t="s">
        <v>109</v>
      </c>
      <c r="F149" s="75" t="s">
        <v>1398</v>
      </c>
      <c r="G149" s="75" t="s">
        <v>994</v>
      </c>
      <c r="H149" s="69"/>
    </row>
    <row r="150" spans="1:8" x14ac:dyDescent="0.2">
      <c r="A150" s="72"/>
      <c r="B150" s="76"/>
      <c r="C150" s="73"/>
      <c r="D150" s="73" t="s">
        <v>934</v>
      </c>
      <c r="E150" s="77" t="s">
        <v>963</v>
      </c>
      <c r="F150" s="75" t="s">
        <v>1398</v>
      </c>
      <c r="G150" s="75" t="s">
        <v>994</v>
      </c>
      <c r="H150" s="69"/>
    </row>
    <row r="151" spans="1:8" x14ac:dyDescent="0.2">
      <c r="A151" s="72"/>
      <c r="B151" s="76"/>
      <c r="C151" s="73"/>
      <c r="D151" s="73" t="s">
        <v>934</v>
      </c>
      <c r="E151" s="77" t="s">
        <v>109</v>
      </c>
      <c r="F151" s="75" t="s">
        <v>1396</v>
      </c>
      <c r="G151" s="75" t="s">
        <v>995</v>
      </c>
      <c r="H151" s="69"/>
    </row>
    <row r="152" spans="1:8" x14ac:dyDescent="0.2">
      <c r="A152" s="72"/>
      <c r="B152" s="76"/>
      <c r="C152" s="73"/>
      <c r="D152" s="73" t="s">
        <v>934</v>
      </c>
      <c r="E152" s="77" t="s">
        <v>963</v>
      </c>
      <c r="F152" s="75" t="s">
        <v>1396</v>
      </c>
      <c r="G152" s="75" t="s">
        <v>995</v>
      </c>
      <c r="H152" s="69"/>
    </row>
    <row r="153" spans="1:8" ht="16" x14ac:dyDescent="0.2">
      <c r="A153" s="72"/>
      <c r="B153" s="76"/>
      <c r="C153" s="73"/>
      <c r="D153" s="73" t="s">
        <v>934</v>
      </c>
      <c r="E153" s="77" t="s">
        <v>93</v>
      </c>
      <c r="F153" s="75" t="s">
        <v>1997</v>
      </c>
      <c r="G153" s="74" t="s">
        <v>1075</v>
      </c>
      <c r="H153" s="69"/>
    </row>
    <row r="154" spans="1:8" ht="16" x14ac:dyDescent="0.2">
      <c r="A154" s="72"/>
      <c r="B154" s="76"/>
      <c r="C154" s="73"/>
      <c r="D154" s="73" t="s">
        <v>934</v>
      </c>
      <c r="E154" s="77" t="s">
        <v>134</v>
      </c>
      <c r="F154" s="75" t="s">
        <v>1997</v>
      </c>
      <c r="G154" s="74" t="s">
        <v>1075</v>
      </c>
      <c r="H154" s="69"/>
    </row>
    <row r="155" spans="1:8" ht="16" x14ac:dyDescent="0.2">
      <c r="A155" s="72"/>
      <c r="B155" s="76"/>
      <c r="C155" s="73"/>
      <c r="D155" s="73" t="s">
        <v>934</v>
      </c>
      <c r="E155" s="77" t="s">
        <v>93</v>
      </c>
      <c r="F155" s="75" t="s">
        <v>279</v>
      </c>
      <c r="G155" s="74" t="s">
        <v>1075</v>
      </c>
      <c r="H155" s="69"/>
    </row>
    <row r="156" spans="1:8" ht="16" x14ac:dyDescent="0.2">
      <c r="A156" s="72"/>
      <c r="B156" s="76"/>
      <c r="C156" s="73"/>
      <c r="D156" s="73" t="s">
        <v>934</v>
      </c>
      <c r="E156" s="77" t="s">
        <v>134</v>
      </c>
      <c r="F156" s="75" t="s">
        <v>279</v>
      </c>
      <c r="G156" s="74" t="s">
        <v>1075</v>
      </c>
      <c r="H156" s="69"/>
    </row>
    <row r="157" spans="1:8" ht="16" x14ac:dyDescent="0.2">
      <c r="A157" s="72"/>
      <c r="B157" s="76"/>
      <c r="C157" s="73"/>
      <c r="D157" s="73" t="s">
        <v>934</v>
      </c>
      <c r="E157" s="77" t="s">
        <v>93</v>
      </c>
      <c r="F157" s="75" t="s">
        <v>2019</v>
      </c>
      <c r="G157" s="74" t="s">
        <v>1075</v>
      </c>
      <c r="H157" s="69"/>
    </row>
    <row r="158" spans="1:8" ht="16" x14ac:dyDescent="0.2">
      <c r="A158" s="72"/>
      <c r="B158" s="76"/>
      <c r="C158" s="73"/>
      <c r="D158" s="73" t="s">
        <v>934</v>
      </c>
      <c r="E158" s="77" t="s">
        <v>134</v>
      </c>
      <c r="F158" s="75" t="s">
        <v>2019</v>
      </c>
      <c r="G158" s="74" t="s">
        <v>1075</v>
      </c>
      <c r="H158" s="69"/>
    </row>
    <row r="159" spans="1:8" ht="16" x14ac:dyDescent="0.2">
      <c r="A159" s="72"/>
      <c r="B159" s="76"/>
      <c r="C159" s="73"/>
      <c r="D159" s="73" t="s">
        <v>934</v>
      </c>
      <c r="E159" s="77" t="s">
        <v>93</v>
      </c>
      <c r="F159" s="75" t="s">
        <v>2020</v>
      </c>
      <c r="G159" s="74" t="s">
        <v>1075</v>
      </c>
      <c r="H159" s="69"/>
    </row>
    <row r="160" spans="1:8" ht="16" x14ac:dyDescent="0.2">
      <c r="A160" s="72"/>
      <c r="B160" s="76"/>
      <c r="C160" s="73"/>
      <c r="D160" s="73" t="s">
        <v>934</v>
      </c>
      <c r="E160" s="77" t="s">
        <v>134</v>
      </c>
      <c r="F160" s="75" t="s">
        <v>2020</v>
      </c>
      <c r="G160" s="74" t="s">
        <v>1075</v>
      </c>
      <c r="H160" s="69"/>
    </row>
    <row r="161" spans="1:8" ht="16" x14ac:dyDescent="0.2">
      <c r="A161" s="72"/>
      <c r="B161" s="76"/>
      <c r="C161" s="73"/>
      <c r="D161" s="73" t="s">
        <v>934</v>
      </c>
      <c r="E161" s="77" t="s">
        <v>93</v>
      </c>
      <c r="F161" s="75" t="s">
        <v>2021</v>
      </c>
      <c r="G161" s="74" t="s">
        <v>1075</v>
      </c>
      <c r="H161" s="69"/>
    </row>
    <row r="162" spans="1:8" ht="16" x14ac:dyDescent="0.2">
      <c r="A162" s="72"/>
      <c r="B162" s="76"/>
      <c r="C162" s="73"/>
      <c r="D162" s="73" t="s">
        <v>934</v>
      </c>
      <c r="E162" s="77" t="s">
        <v>134</v>
      </c>
      <c r="F162" s="75" t="s">
        <v>2021</v>
      </c>
      <c r="G162" s="74" t="s">
        <v>1075</v>
      </c>
      <c r="H162" s="69"/>
    </row>
    <row r="163" spans="1:8" x14ac:dyDescent="0.2">
      <c r="A163" s="72"/>
      <c r="B163" s="76"/>
      <c r="C163" s="73"/>
      <c r="D163" s="73" t="s">
        <v>934</v>
      </c>
      <c r="E163" s="77" t="s">
        <v>93</v>
      </c>
      <c r="F163" s="75" t="s">
        <v>2022</v>
      </c>
      <c r="G163" s="75" t="s">
        <v>1013</v>
      </c>
      <c r="H163" s="69"/>
    </row>
    <row r="164" spans="1:8" x14ac:dyDescent="0.2">
      <c r="A164" s="72"/>
      <c r="B164" s="76"/>
      <c r="C164" s="73"/>
      <c r="D164" s="73" t="s">
        <v>934</v>
      </c>
      <c r="E164" s="77" t="s">
        <v>134</v>
      </c>
      <c r="F164" s="75" t="s">
        <v>2022</v>
      </c>
      <c r="G164" s="75" t="s">
        <v>1013</v>
      </c>
      <c r="H164" s="69"/>
    </row>
    <row r="165" spans="1:8" x14ac:dyDescent="0.2">
      <c r="A165" s="72"/>
      <c r="B165" s="76"/>
      <c r="C165" s="73"/>
      <c r="D165" s="73" t="s">
        <v>934</v>
      </c>
      <c r="E165" s="77" t="s">
        <v>93</v>
      </c>
      <c r="F165" s="75" t="s">
        <v>2023</v>
      </c>
      <c r="G165" s="75" t="s">
        <v>1013</v>
      </c>
      <c r="H165" s="69"/>
    </row>
    <row r="166" spans="1:8" x14ac:dyDescent="0.2">
      <c r="A166" s="72"/>
      <c r="B166" s="76"/>
      <c r="C166" s="73"/>
      <c r="D166" s="73" t="s">
        <v>934</v>
      </c>
      <c r="E166" s="77" t="s">
        <v>134</v>
      </c>
      <c r="F166" s="75" t="s">
        <v>2023</v>
      </c>
      <c r="G166" s="75" t="s">
        <v>1013</v>
      </c>
      <c r="H166" s="69"/>
    </row>
    <row r="167" spans="1:8" ht="16" x14ac:dyDescent="0.2">
      <c r="A167" s="72"/>
      <c r="B167" s="84"/>
      <c r="C167" s="73"/>
      <c r="D167" s="73" t="s">
        <v>934</v>
      </c>
      <c r="E167" s="77" t="s">
        <v>93</v>
      </c>
      <c r="F167" s="75" t="s">
        <v>2024</v>
      </c>
      <c r="G167" s="74" t="s">
        <v>989</v>
      </c>
      <c r="H167" s="69"/>
    </row>
    <row r="168" spans="1:8" ht="16" x14ac:dyDescent="0.2">
      <c r="A168" s="72"/>
      <c r="B168" s="84"/>
      <c r="C168" s="73"/>
      <c r="D168" s="73" t="s">
        <v>934</v>
      </c>
      <c r="E168" s="77" t="s">
        <v>134</v>
      </c>
      <c r="F168" s="75" t="s">
        <v>2024</v>
      </c>
      <c r="G168" s="74" t="s">
        <v>989</v>
      </c>
      <c r="H168" s="69"/>
    </row>
    <row r="169" spans="1:8" x14ac:dyDescent="0.2">
      <c r="A169" s="72"/>
      <c r="B169" s="84"/>
      <c r="C169" s="73"/>
      <c r="D169" s="73" t="s">
        <v>934</v>
      </c>
      <c r="E169" s="77" t="s">
        <v>93</v>
      </c>
      <c r="F169" s="75" t="s">
        <v>2025</v>
      </c>
      <c r="G169" s="75" t="s">
        <v>987</v>
      </c>
      <c r="H169" s="69"/>
    </row>
    <row r="170" spans="1:8" x14ac:dyDescent="0.2">
      <c r="A170" s="72"/>
      <c r="B170" s="84"/>
      <c r="C170" s="73"/>
      <c r="D170" s="73" t="s">
        <v>934</v>
      </c>
      <c r="E170" s="77" t="s">
        <v>134</v>
      </c>
      <c r="F170" s="75" t="s">
        <v>2025</v>
      </c>
      <c r="G170" s="75" t="s">
        <v>987</v>
      </c>
      <c r="H170" s="69"/>
    </row>
    <row r="171" spans="1:8" x14ac:dyDescent="0.2">
      <c r="A171" s="72"/>
      <c r="B171" s="84"/>
      <c r="C171" s="73"/>
      <c r="D171" s="73" t="s">
        <v>934</v>
      </c>
      <c r="E171" s="77" t="s">
        <v>93</v>
      </c>
      <c r="F171" s="75" t="s">
        <v>2026</v>
      </c>
      <c r="G171" s="75" t="s">
        <v>987</v>
      </c>
      <c r="H171" s="69"/>
    </row>
    <row r="172" spans="1:8" x14ac:dyDescent="0.2">
      <c r="A172" s="72"/>
      <c r="B172" s="84"/>
      <c r="C172" s="73"/>
      <c r="D172" s="73" t="s">
        <v>934</v>
      </c>
      <c r="E172" s="77" t="s">
        <v>134</v>
      </c>
      <c r="F172" s="75" t="s">
        <v>2026</v>
      </c>
      <c r="G172" s="75" t="s">
        <v>987</v>
      </c>
      <c r="H172" s="69"/>
    </row>
    <row r="173" spans="1:8" x14ac:dyDescent="0.2">
      <c r="A173" s="72"/>
      <c r="B173" s="76"/>
      <c r="C173" s="73"/>
      <c r="D173" s="73" t="s">
        <v>935</v>
      </c>
      <c r="E173" s="77" t="s">
        <v>109</v>
      </c>
      <c r="F173" s="75" t="s">
        <v>1377</v>
      </c>
      <c r="G173" s="85" t="s">
        <v>1088</v>
      </c>
      <c r="H173" s="69"/>
    </row>
    <row r="174" spans="1:8" x14ac:dyDescent="0.2">
      <c r="A174" s="72"/>
      <c r="B174" s="76"/>
      <c r="C174" s="73"/>
      <c r="D174" s="73" t="s">
        <v>935</v>
      </c>
      <c r="E174" s="77" t="s">
        <v>963</v>
      </c>
      <c r="F174" s="75" t="s">
        <v>1377</v>
      </c>
      <c r="G174" s="85" t="s">
        <v>1088</v>
      </c>
      <c r="H174" s="69"/>
    </row>
    <row r="175" spans="1:8" x14ac:dyDescent="0.2">
      <c r="A175" s="72"/>
      <c r="B175" s="76"/>
      <c r="C175" s="73"/>
      <c r="D175" s="73" t="s">
        <v>935</v>
      </c>
      <c r="E175" s="77" t="s">
        <v>116</v>
      </c>
      <c r="F175" s="75" t="s">
        <v>1377</v>
      </c>
      <c r="G175" s="85" t="s">
        <v>1088</v>
      </c>
      <c r="H175" s="69"/>
    </row>
    <row r="176" spans="1:8" x14ac:dyDescent="0.2">
      <c r="A176" s="72"/>
      <c r="B176" s="76"/>
      <c r="C176" s="73"/>
      <c r="D176" s="73" t="s">
        <v>935</v>
      </c>
      <c r="E176" s="77" t="s">
        <v>109</v>
      </c>
      <c r="F176" s="75" t="s">
        <v>1379</v>
      </c>
      <c r="G176" s="85" t="s">
        <v>1088</v>
      </c>
      <c r="H176" s="69"/>
    </row>
    <row r="177" spans="1:8" x14ac:dyDescent="0.2">
      <c r="A177" s="72"/>
      <c r="B177" s="76"/>
      <c r="C177" s="73"/>
      <c r="D177" s="73" t="s">
        <v>935</v>
      </c>
      <c r="E177" s="77" t="s">
        <v>963</v>
      </c>
      <c r="F177" s="75" t="s">
        <v>1379</v>
      </c>
      <c r="G177" s="85" t="s">
        <v>1088</v>
      </c>
      <c r="H177" s="69"/>
    </row>
    <row r="178" spans="1:8" x14ac:dyDescent="0.2">
      <c r="A178" s="72"/>
      <c r="B178" s="76"/>
      <c r="C178" s="73"/>
      <c r="D178" s="73" t="s">
        <v>935</v>
      </c>
      <c r="E178" s="77" t="s">
        <v>116</v>
      </c>
      <c r="F178" s="75" t="s">
        <v>1379</v>
      </c>
      <c r="G178" s="85" t="s">
        <v>1088</v>
      </c>
      <c r="H178" s="69"/>
    </row>
    <row r="179" spans="1:8" x14ac:dyDescent="0.2">
      <c r="A179" s="72"/>
      <c r="B179" s="76"/>
      <c r="C179" s="73"/>
      <c r="D179" s="73" t="s">
        <v>935</v>
      </c>
      <c r="E179" s="77" t="s">
        <v>109</v>
      </c>
      <c r="F179" s="75" t="s">
        <v>1380</v>
      </c>
      <c r="G179" s="85" t="s">
        <v>1089</v>
      </c>
      <c r="H179" s="69"/>
    </row>
    <row r="180" spans="1:8" x14ac:dyDescent="0.2">
      <c r="A180" s="72"/>
      <c r="B180" s="76"/>
      <c r="C180" s="73"/>
      <c r="D180" s="73" t="s">
        <v>935</v>
      </c>
      <c r="E180" s="77" t="s">
        <v>963</v>
      </c>
      <c r="F180" s="75" t="s">
        <v>1380</v>
      </c>
      <c r="G180" s="85" t="s">
        <v>1089</v>
      </c>
      <c r="H180" s="69"/>
    </row>
    <row r="181" spans="1:8" x14ac:dyDescent="0.2">
      <c r="A181" s="72"/>
      <c r="B181" s="76"/>
      <c r="C181" s="73"/>
      <c r="D181" s="73" t="s">
        <v>935</v>
      </c>
      <c r="E181" s="77" t="s">
        <v>116</v>
      </c>
      <c r="F181" s="75" t="s">
        <v>1380</v>
      </c>
      <c r="G181" s="85" t="s">
        <v>1089</v>
      </c>
      <c r="H181" s="69"/>
    </row>
    <row r="182" spans="1:8" x14ac:dyDescent="0.2">
      <c r="A182" s="72"/>
      <c r="B182" s="76"/>
      <c r="C182" s="73"/>
      <c r="D182" s="73" t="s">
        <v>935</v>
      </c>
      <c r="E182" s="77" t="s">
        <v>109</v>
      </c>
      <c r="F182" s="75" t="s">
        <v>1376</v>
      </c>
      <c r="G182" s="85" t="s">
        <v>1090</v>
      </c>
      <c r="H182" s="69"/>
    </row>
    <row r="183" spans="1:8" x14ac:dyDescent="0.2">
      <c r="A183" s="72"/>
      <c r="B183" s="76"/>
      <c r="C183" s="73"/>
      <c r="D183" s="73" t="s">
        <v>935</v>
      </c>
      <c r="E183" s="77" t="s">
        <v>963</v>
      </c>
      <c r="F183" s="75" t="s">
        <v>1376</v>
      </c>
      <c r="G183" s="85" t="s">
        <v>1090</v>
      </c>
      <c r="H183" s="69"/>
    </row>
    <row r="184" spans="1:8" x14ac:dyDescent="0.2">
      <c r="A184" s="72"/>
      <c r="B184" s="76"/>
      <c r="C184" s="73"/>
      <c r="D184" s="73" t="s">
        <v>935</v>
      </c>
      <c r="E184" s="77" t="s">
        <v>116</v>
      </c>
      <c r="F184" s="75" t="s">
        <v>1376</v>
      </c>
      <c r="G184" s="85" t="s">
        <v>1090</v>
      </c>
      <c r="H184" s="69"/>
    </row>
    <row r="185" spans="1:8" x14ac:dyDescent="0.2">
      <c r="A185" s="72"/>
      <c r="B185" s="76"/>
      <c r="C185" s="73"/>
      <c r="D185" s="73" t="s">
        <v>935</v>
      </c>
      <c r="E185" s="77" t="s">
        <v>109</v>
      </c>
      <c r="F185" s="75" t="s">
        <v>1401</v>
      </c>
      <c r="G185" s="85" t="s">
        <v>1084</v>
      </c>
      <c r="H185" s="69"/>
    </row>
    <row r="186" spans="1:8" x14ac:dyDescent="0.2">
      <c r="A186" s="72"/>
      <c r="B186" s="76"/>
      <c r="C186" s="73"/>
      <c r="D186" s="73" t="s">
        <v>935</v>
      </c>
      <c r="E186" s="77" t="s">
        <v>963</v>
      </c>
      <c r="F186" s="75" t="s">
        <v>1401</v>
      </c>
      <c r="G186" s="85" t="s">
        <v>1084</v>
      </c>
      <c r="H186" s="69"/>
    </row>
    <row r="187" spans="1:8" x14ac:dyDescent="0.2">
      <c r="A187" s="72"/>
      <c r="B187" s="76"/>
      <c r="C187" s="73"/>
      <c r="D187" s="73" t="s">
        <v>935</v>
      </c>
      <c r="E187" s="77" t="s">
        <v>109</v>
      </c>
      <c r="F187" s="75" t="s">
        <v>1399</v>
      </c>
      <c r="G187" s="85" t="s">
        <v>1085</v>
      </c>
      <c r="H187" s="69"/>
    </row>
    <row r="188" spans="1:8" x14ac:dyDescent="0.2">
      <c r="A188" s="72"/>
      <c r="B188" s="76"/>
      <c r="C188" s="73"/>
      <c r="D188" s="73" t="s">
        <v>935</v>
      </c>
      <c r="E188" s="77" t="s">
        <v>963</v>
      </c>
      <c r="F188" s="75" t="s">
        <v>1399</v>
      </c>
      <c r="G188" s="85" t="s">
        <v>1085</v>
      </c>
      <c r="H188" s="69"/>
    </row>
    <row r="189" spans="1:8" x14ac:dyDescent="0.2">
      <c r="A189" s="72"/>
      <c r="B189" s="76"/>
      <c r="C189" s="73"/>
      <c r="D189" s="73" t="s">
        <v>935</v>
      </c>
      <c r="E189" s="77" t="s">
        <v>109</v>
      </c>
      <c r="F189" s="75" t="s">
        <v>1400</v>
      </c>
      <c r="G189" s="85" t="s">
        <v>1086</v>
      </c>
      <c r="H189" s="69"/>
    </row>
    <row r="190" spans="1:8" x14ac:dyDescent="0.2">
      <c r="A190" s="72"/>
      <c r="B190" s="76"/>
      <c r="C190" s="73"/>
      <c r="D190" s="73" t="s">
        <v>935</v>
      </c>
      <c r="E190" s="77" t="s">
        <v>963</v>
      </c>
      <c r="F190" s="75" t="s">
        <v>1400</v>
      </c>
      <c r="G190" s="85" t="s">
        <v>1086</v>
      </c>
      <c r="H190" s="69"/>
    </row>
    <row r="191" spans="1:8" ht="16" x14ac:dyDescent="0.2">
      <c r="A191" s="72"/>
      <c r="B191" s="76"/>
      <c r="C191" s="73"/>
      <c r="D191" s="73" t="s">
        <v>935</v>
      </c>
      <c r="E191" s="77" t="s">
        <v>109</v>
      </c>
      <c r="F191" s="75" t="s">
        <v>1387</v>
      </c>
      <c r="G191" s="74" t="s">
        <v>1087</v>
      </c>
      <c r="H191" s="69"/>
    </row>
    <row r="192" spans="1:8" ht="16" x14ac:dyDescent="0.2">
      <c r="A192" s="72"/>
      <c r="B192" s="76"/>
      <c r="C192" s="73"/>
      <c r="D192" s="73" t="s">
        <v>935</v>
      </c>
      <c r="E192" s="77" t="s">
        <v>963</v>
      </c>
      <c r="F192" s="75" t="s">
        <v>1387</v>
      </c>
      <c r="G192" s="74" t="s">
        <v>1087</v>
      </c>
      <c r="H192" s="69"/>
    </row>
    <row r="193" spans="1:8" ht="16" x14ac:dyDescent="0.2">
      <c r="A193" s="72"/>
      <c r="B193" s="76"/>
      <c r="C193" s="73"/>
      <c r="D193" s="73" t="s">
        <v>935</v>
      </c>
      <c r="E193" s="77" t="s">
        <v>116</v>
      </c>
      <c r="F193" s="75" t="s">
        <v>1387</v>
      </c>
      <c r="G193" s="74" t="s">
        <v>1087</v>
      </c>
      <c r="H193" s="69"/>
    </row>
    <row r="194" spans="1:8" ht="16" x14ac:dyDescent="0.2">
      <c r="A194" s="72"/>
      <c r="B194" s="76"/>
      <c r="C194" s="73"/>
      <c r="D194" s="73" t="s">
        <v>935</v>
      </c>
      <c r="E194" s="77" t="s">
        <v>109</v>
      </c>
      <c r="F194" s="75" t="s">
        <v>1388</v>
      </c>
      <c r="G194" s="74" t="s">
        <v>1087</v>
      </c>
      <c r="H194" s="69"/>
    </row>
    <row r="195" spans="1:8" ht="16" x14ac:dyDescent="0.2">
      <c r="A195" s="72"/>
      <c r="B195" s="76"/>
      <c r="C195" s="73"/>
      <c r="D195" s="73" t="s">
        <v>935</v>
      </c>
      <c r="E195" s="77" t="s">
        <v>963</v>
      </c>
      <c r="F195" s="75" t="s">
        <v>1388</v>
      </c>
      <c r="G195" s="74" t="s">
        <v>1087</v>
      </c>
      <c r="H195" s="69"/>
    </row>
    <row r="196" spans="1:8" ht="16" x14ac:dyDescent="0.2">
      <c r="A196" s="72"/>
      <c r="B196" s="76"/>
      <c r="C196" s="73"/>
      <c r="D196" s="73" t="s">
        <v>935</v>
      </c>
      <c r="E196" s="77" t="s">
        <v>116</v>
      </c>
      <c r="F196" s="75" t="s">
        <v>1388</v>
      </c>
      <c r="G196" s="74" t="s">
        <v>1087</v>
      </c>
      <c r="H196" s="69"/>
    </row>
    <row r="197" spans="1:8" ht="16" x14ac:dyDescent="0.2">
      <c r="A197" s="72"/>
      <c r="B197" s="76"/>
      <c r="C197" s="73"/>
      <c r="D197" s="73" t="s">
        <v>935</v>
      </c>
      <c r="E197" s="77" t="s">
        <v>109</v>
      </c>
      <c r="F197" s="75" t="s">
        <v>1389</v>
      </c>
      <c r="G197" s="74" t="s">
        <v>1087</v>
      </c>
      <c r="H197" s="69"/>
    </row>
    <row r="198" spans="1:8" ht="16" x14ac:dyDescent="0.2">
      <c r="A198" s="72"/>
      <c r="B198" s="76"/>
      <c r="C198" s="73"/>
      <c r="D198" s="73" t="s">
        <v>935</v>
      </c>
      <c r="E198" s="77" t="s">
        <v>963</v>
      </c>
      <c r="F198" s="75" t="s">
        <v>1389</v>
      </c>
      <c r="G198" s="74" t="s">
        <v>1087</v>
      </c>
      <c r="H198" s="69"/>
    </row>
    <row r="199" spans="1:8" ht="16" x14ac:dyDescent="0.2">
      <c r="A199" s="72"/>
      <c r="B199" s="76"/>
      <c r="C199" s="73"/>
      <c r="D199" s="73" t="s">
        <v>935</v>
      </c>
      <c r="E199" s="77" t="s">
        <v>116</v>
      </c>
      <c r="F199" s="75" t="s">
        <v>1389</v>
      </c>
      <c r="G199" s="74" t="s">
        <v>1087</v>
      </c>
      <c r="H199" s="69"/>
    </row>
    <row r="200" spans="1:8" ht="16" x14ac:dyDescent="0.2">
      <c r="A200" s="72"/>
      <c r="B200" s="76"/>
      <c r="C200" s="73"/>
      <c r="D200" s="73" t="s">
        <v>935</v>
      </c>
      <c r="E200" s="77" t="s">
        <v>109</v>
      </c>
      <c r="F200" s="75" t="s">
        <v>1391</v>
      </c>
      <c r="G200" s="74" t="s">
        <v>1087</v>
      </c>
      <c r="H200" s="69"/>
    </row>
    <row r="201" spans="1:8" ht="16" x14ac:dyDescent="0.2">
      <c r="A201" s="72"/>
      <c r="B201" s="76"/>
      <c r="C201" s="73"/>
      <c r="D201" s="73" t="s">
        <v>935</v>
      </c>
      <c r="E201" s="77" t="s">
        <v>963</v>
      </c>
      <c r="F201" s="75" t="s">
        <v>1391</v>
      </c>
      <c r="G201" s="74" t="s">
        <v>1087</v>
      </c>
      <c r="H201" s="69"/>
    </row>
    <row r="202" spans="1:8" ht="16" x14ac:dyDescent="0.2">
      <c r="A202" s="72"/>
      <c r="B202" s="76"/>
      <c r="C202" s="73"/>
      <c r="D202" s="73" t="s">
        <v>935</v>
      </c>
      <c r="E202" s="77" t="s">
        <v>116</v>
      </c>
      <c r="F202" s="75" t="s">
        <v>1391</v>
      </c>
      <c r="G202" s="74" t="s">
        <v>1087</v>
      </c>
      <c r="H202" s="69"/>
    </row>
    <row r="203" spans="1:8" ht="16" x14ac:dyDescent="0.2">
      <c r="A203" s="72"/>
      <c r="B203" s="84"/>
      <c r="C203" s="73"/>
      <c r="D203" s="73" t="s">
        <v>944</v>
      </c>
      <c r="E203" s="77" t="s">
        <v>109</v>
      </c>
      <c r="F203" s="75" t="s">
        <v>306</v>
      </c>
      <c r="G203" s="74" t="s">
        <v>518</v>
      </c>
      <c r="H203" s="69"/>
    </row>
    <row r="204" spans="1:8" ht="16" x14ac:dyDescent="0.2">
      <c r="A204" s="72"/>
      <c r="B204" s="84"/>
      <c r="C204" s="73"/>
      <c r="D204" s="73" t="s">
        <v>944</v>
      </c>
      <c r="E204" s="77" t="s">
        <v>109</v>
      </c>
      <c r="F204" s="75" t="s">
        <v>306</v>
      </c>
      <c r="G204" s="74" t="s">
        <v>520</v>
      </c>
      <c r="H204" s="69"/>
    </row>
    <row r="205" spans="1:8" ht="16" x14ac:dyDescent="0.2">
      <c r="A205" s="72"/>
      <c r="B205" s="84"/>
      <c r="C205" s="73"/>
      <c r="D205" s="73" t="s">
        <v>944</v>
      </c>
      <c r="E205" s="77" t="s">
        <v>109</v>
      </c>
      <c r="F205" s="75" t="s">
        <v>306</v>
      </c>
      <c r="G205" s="74" t="s">
        <v>522</v>
      </c>
      <c r="H205" s="69"/>
    </row>
    <row r="206" spans="1:8" ht="16" x14ac:dyDescent="0.2">
      <c r="A206" s="72"/>
      <c r="B206" s="84"/>
      <c r="C206" s="73"/>
      <c r="D206" s="73" t="s">
        <v>944</v>
      </c>
      <c r="E206" s="77" t="s">
        <v>109</v>
      </c>
      <c r="F206" s="75" t="s">
        <v>1404</v>
      </c>
      <c r="G206" s="74" t="s">
        <v>524</v>
      </c>
      <c r="H206" s="69"/>
    </row>
    <row r="207" spans="1:8" ht="16" x14ac:dyDescent="0.2">
      <c r="A207" s="72"/>
      <c r="B207" s="84"/>
      <c r="C207" s="73"/>
      <c r="D207" s="73" t="s">
        <v>944</v>
      </c>
      <c r="E207" s="77" t="s">
        <v>109</v>
      </c>
      <c r="F207" s="75" t="s">
        <v>1404</v>
      </c>
      <c r="G207" s="74" t="s">
        <v>526</v>
      </c>
      <c r="H207" s="69"/>
    </row>
    <row r="208" spans="1:8" ht="16" x14ac:dyDescent="0.2">
      <c r="A208" s="72"/>
      <c r="B208" s="76"/>
      <c r="C208" s="73"/>
      <c r="D208" s="73" t="s">
        <v>946</v>
      </c>
      <c r="E208" s="77" t="s">
        <v>109</v>
      </c>
      <c r="F208" s="75" t="s">
        <v>310</v>
      </c>
      <c r="G208" s="74" t="s">
        <v>1135</v>
      </c>
      <c r="H208" s="69"/>
    </row>
    <row r="209" spans="1:8" ht="16" x14ac:dyDescent="0.2">
      <c r="A209" s="72"/>
      <c r="B209" s="76"/>
      <c r="C209" s="73"/>
      <c r="D209" s="73" t="s">
        <v>946</v>
      </c>
      <c r="E209" s="77" t="s">
        <v>963</v>
      </c>
      <c r="F209" s="75" t="s">
        <v>310</v>
      </c>
      <c r="G209" s="74" t="s">
        <v>1135</v>
      </c>
      <c r="H209" s="69"/>
    </row>
    <row r="210" spans="1:8" ht="16" x14ac:dyDescent="0.2">
      <c r="A210" s="72"/>
      <c r="B210" s="76"/>
      <c r="C210" s="73"/>
      <c r="D210" s="73" t="s">
        <v>946</v>
      </c>
      <c r="E210" s="77" t="s">
        <v>109</v>
      </c>
      <c r="F210" s="75" t="s">
        <v>1405</v>
      </c>
      <c r="G210" s="74" t="s">
        <v>1138</v>
      </c>
      <c r="H210" s="69"/>
    </row>
    <row r="211" spans="1:8" ht="16" x14ac:dyDescent="0.2">
      <c r="A211" s="72"/>
      <c r="B211" s="76"/>
      <c r="C211" s="73"/>
      <c r="D211" s="73" t="s">
        <v>946</v>
      </c>
      <c r="E211" s="77" t="s">
        <v>963</v>
      </c>
      <c r="F211" s="75" t="s">
        <v>1405</v>
      </c>
      <c r="G211" s="74" t="s">
        <v>1138</v>
      </c>
      <c r="H211" s="69"/>
    </row>
    <row r="212" spans="1:8" x14ac:dyDescent="0.2">
      <c r="A212" s="72"/>
      <c r="B212" s="76"/>
      <c r="C212" s="73"/>
      <c r="D212" s="73" t="s">
        <v>946</v>
      </c>
      <c r="E212" s="77" t="s">
        <v>109</v>
      </c>
      <c r="F212" s="75" t="s">
        <v>1406</v>
      </c>
      <c r="G212" s="75" t="s">
        <v>1137</v>
      </c>
      <c r="H212" s="69"/>
    </row>
    <row r="213" spans="1:8" x14ac:dyDescent="0.2">
      <c r="A213" s="72"/>
      <c r="B213" s="76"/>
      <c r="C213" s="73"/>
      <c r="D213" s="73" t="s">
        <v>946</v>
      </c>
      <c r="E213" s="77" t="s">
        <v>963</v>
      </c>
      <c r="F213" s="75" t="s">
        <v>1406</v>
      </c>
      <c r="G213" s="75" t="s">
        <v>1137</v>
      </c>
      <c r="H213" s="69"/>
    </row>
    <row r="214" spans="1:8" x14ac:dyDescent="0.2">
      <c r="A214" s="72"/>
      <c r="B214" s="76"/>
      <c r="C214" s="73"/>
      <c r="D214" s="73" t="s">
        <v>946</v>
      </c>
      <c r="E214" s="77" t="s">
        <v>109</v>
      </c>
      <c r="F214" s="75" t="s">
        <v>1407</v>
      </c>
      <c r="G214" s="75" t="s">
        <v>1137</v>
      </c>
      <c r="H214" s="69"/>
    </row>
    <row r="215" spans="1:8" x14ac:dyDescent="0.2">
      <c r="A215" s="72"/>
      <c r="B215" s="76"/>
      <c r="C215" s="73"/>
      <c r="D215" s="73" t="s">
        <v>946</v>
      </c>
      <c r="E215" s="77" t="s">
        <v>963</v>
      </c>
      <c r="F215" s="75" t="s">
        <v>1407</v>
      </c>
      <c r="G215" s="75" t="s">
        <v>1137</v>
      </c>
      <c r="H215" s="69"/>
    </row>
    <row r="216" spans="1:8" x14ac:dyDescent="0.2">
      <c r="A216" s="72"/>
      <c r="B216" s="76"/>
      <c r="C216" s="73"/>
      <c r="D216" s="73" t="s">
        <v>946</v>
      </c>
      <c r="E216" s="77" t="s">
        <v>109</v>
      </c>
      <c r="F216" s="75" t="s">
        <v>1408</v>
      </c>
      <c r="G216" s="75" t="s">
        <v>1137</v>
      </c>
      <c r="H216" s="69"/>
    </row>
    <row r="217" spans="1:8" x14ac:dyDescent="0.2">
      <c r="A217" s="72"/>
      <c r="B217" s="76"/>
      <c r="C217" s="73"/>
      <c r="D217" s="73" t="s">
        <v>946</v>
      </c>
      <c r="E217" s="77" t="s">
        <v>963</v>
      </c>
      <c r="F217" s="75" t="s">
        <v>1408</v>
      </c>
      <c r="G217" s="75" t="s">
        <v>1137</v>
      </c>
      <c r="H217" s="69"/>
    </row>
    <row r="218" spans="1:8" ht="16" x14ac:dyDescent="0.2">
      <c r="A218" s="72"/>
      <c r="B218" s="76"/>
      <c r="C218" s="73"/>
      <c r="D218" s="73" t="s">
        <v>946</v>
      </c>
      <c r="E218" s="77" t="s">
        <v>109</v>
      </c>
      <c r="F218" s="75" t="s">
        <v>1409</v>
      </c>
      <c r="G218" s="74" t="s">
        <v>1136</v>
      </c>
      <c r="H218" s="69"/>
    </row>
    <row r="219" spans="1:8" ht="16" x14ac:dyDescent="0.2">
      <c r="A219" s="72"/>
      <c r="B219" s="76"/>
      <c r="C219" s="73"/>
      <c r="D219" s="73" t="s">
        <v>946</v>
      </c>
      <c r="E219" s="77" t="s">
        <v>963</v>
      </c>
      <c r="F219" s="75" t="s">
        <v>1409</v>
      </c>
      <c r="G219" s="74" t="s">
        <v>1136</v>
      </c>
      <c r="H219" s="69"/>
    </row>
    <row r="220" spans="1:8" ht="16" x14ac:dyDescent="0.2">
      <c r="A220" s="72"/>
      <c r="B220" s="76"/>
      <c r="C220" s="73"/>
      <c r="D220" s="73" t="s">
        <v>946</v>
      </c>
      <c r="E220" s="77" t="s">
        <v>109</v>
      </c>
      <c r="F220" s="75" t="s">
        <v>1410</v>
      </c>
      <c r="G220" s="74" t="s">
        <v>1136</v>
      </c>
      <c r="H220" s="69"/>
    </row>
    <row r="221" spans="1:8" ht="16" x14ac:dyDescent="0.2">
      <c r="A221" s="72"/>
      <c r="B221" s="76"/>
      <c r="C221" s="73"/>
      <c r="D221" s="73" t="s">
        <v>946</v>
      </c>
      <c r="E221" s="77" t="s">
        <v>963</v>
      </c>
      <c r="F221" s="75" t="s">
        <v>1410</v>
      </c>
      <c r="G221" s="74" t="s">
        <v>1136</v>
      </c>
      <c r="H221" s="69"/>
    </row>
    <row r="222" spans="1:8" x14ac:dyDescent="0.2">
      <c r="A222" s="72"/>
      <c r="B222" s="76"/>
      <c r="C222" s="73"/>
      <c r="D222" s="73" t="s">
        <v>946</v>
      </c>
      <c r="E222" s="77" t="s">
        <v>109</v>
      </c>
      <c r="F222" s="75" t="s">
        <v>1411</v>
      </c>
      <c r="G222" s="75" t="s">
        <v>1000</v>
      </c>
      <c r="H222" s="69"/>
    </row>
    <row r="223" spans="1:8" x14ac:dyDescent="0.2">
      <c r="A223" s="72"/>
      <c r="B223" s="76"/>
      <c r="C223" s="73"/>
      <c r="D223" s="73" t="s">
        <v>946</v>
      </c>
      <c r="E223" s="77" t="s">
        <v>963</v>
      </c>
      <c r="F223" s="75" t="s">
        <v>1411</v>
      </c>
      <c r="G223" s="75" t="s">
        <v>1000</v>
      </c>
      <c r="H223" s="69"/>
    </row>
    <row r="224" spans="1:8" ht="16" x14ac:dyDescent="0.2">
      <c r="A224" s="72"/>
      <c r="B224" s="76"/>
      <c r="C224" s="73"/>
      <c r="D224" s="73" t="s">
        <v>946</v>
      </c>
      <c r="E224" s="77" t="s">
        <v>109</v>
      </c>
      <c r="F224" s="75" t="s">
        <v>383</v>
      </c>
      <c r="G224" s="74" t="s">
        <v>1139</v>
      </c>
      <c r="H224" s="69"/>
    </row>
    <row r="225" spans="1:8" ht="16" x14ac:dyDescent="0.2">
      <c r="A225" s="72"/>
      <c r="B225" s="76"/>
      <c r="C225" s="73"/>
      <c r="D225" s="73" t="s">
        <v>946</v>
      </c>
      <c r="E225" s="77" t="s">
        <v>963</v>
      </c>
      <c r="F225" s="75" t="s">
        <v>383</v>
      </c>
      <c r="G225" s="74" t="s">
        <v>1139</v>
      </c>
      <c r="H225" s="69"/>
    </row>
    <row r="226" spans="1:8" ht="16" x14ac:dyDescent="0.2">
      <c r="A226" s="72"/>
      <c r="B226" s="76"/>
      <c r="C226" s="73"/>
      <c r="D226" s="73" t="s">
        <v>946</v>
      </c>
      <c r="E226" s="77" t="s">
        <v>109</v>
      </c>
      <c r="F226" s="75" t="s">
        <v>1412</v>
      </c>
      <c r="G226" s="74" t="s">
        <v>1140</v>
      </c>
      <c r="H226" s="69"/>
    </row>
    <row r="227" spans="1:8" ht="16" x14ac:dyDescent="0.2">
      <c r="A227" s="72"/>
      <c r="B227" s="76"/>
      <c r="C227" s="73"/>
      <c r="D227" s="73" t="s">
        <v>946</v>
      </c>
      <c r="E227" s="77" t="s">
        <v>963</v>
      </c>
      <c r="F227" s="75" t="s">
        <v>1412</v>
      </c>
      <c r="G227" s="74" t="s">
        <v>1140</v>
      </c>
      <c r="H227" s="69"/>
    </row>
    <row r="228" spans="1:8" ht="16" x14ac:dyDescent="0.2">
      <c r="A228" s="72"/>
      <c r="B228" s="76"/>
      <c r="C228" s="73"/>
      <c r="D228" s="73" t="s">
        <v>936</v>
      </c>
      <c r="E228" s="77" t="s">
        <v>109</v>
      </c>
      <c r="F228" s="75" t="s">
        <v>1413</v>
      </c>
      <c r="G228" s="74" t="s">
        <v>1105</v>
      </c>
      <c r="H228" s="69"/>
    </row>
    <row r="229" spans="1:8" ht="16" x14ac:dyDescent="0.2">
      <c r="A229" s="72"/>
      <c r="B229" s="76"/>
      <c r="C229" s="73"/>
      <c r="D229" s="73" t="s">
        <v>936</v>
      </c>
      <c r="E229" s="77" t="s">
        <v>963</v>
      </c>
      <c r="F229" s="75" t="s">
        <v>1413</v>
      </c>
      <c r="G229" s="74" t="s">
        <v>1105</v>
      </c>
      <c r="H229" s="69"/>
    </row>
    <row r="230" spans="1:8" ht="16" x14ac:dyDescent="0.2">
      <c r="A230" s="72"/>
      <c r="B230" s="76"/>
      <c r="C230" s="73"/>
      <c r="D230" s="73" t="s">
        <v>936</v>
      </c>
      <c r="E230" s="77" t="s">
        <v>109</v>
      </c>
      <c r="F230" s="75" t="s">
        <v>1414</v>
      </c>
      <c r="G230" s="74" t="s">
        <v>1106</v>
      </c>
      <c r="H230" s="69"/>
    </row>
    <row r="231" spans="1:8" ht="16" x14ac:dyDescent="0.2">
      <c r="A231" s="72"/>
      <c r="B231" s="76"/>
      <c r="C231" s="73"/>
      <c r="D231" s="73" t="s">
        <v>936</v>
      </c>
      <c r="E231" s="77" t="s">
        <v>963</v>
      </c>
      <c r="F231" s="75" t="s">
        <v>1414</v>
      </c>
      <c r="G231" s="74" t="s">
        <v>1106</v>
      </c>
      <c r="H231" s="69"/>
    </row>
    <row r="232" spans="1:8" ht="16" x14ac:dyDescent="0.2">
      <c r="A232" s="72"/>
      <c r="B232" s="76"/>
      <c r="C232" s="73"/>
      <c r="D232" s="73" t="s">
        <v>936</v>
      </c>
      <c r="E232" s="77" t="s">
        <v>109</v>
      </c>
      <c r="F232" s="75" t="s">
        <v>1377</v>
      </c>
      <c r="G232" s="74" t="s">
        <v>1108</v>
      </c>
      <c r="H232" s="69"/>
    </row>
    <row r="233" spans="1:8" ht="16" x14ac:dyDescent="0.2">
      <c r="A233" s="72"/>
      <c r="B233" s="76"/>
      <c r="C233" s="73"/>
      <c r="D233" s="73" t="s">
        <v>936</v>
      </c>
      <c r="E233" s="77" t="s">
        <v>963</v>
      </c>
      <c r="F233" s="75" t="s">
        <v>1377</v>
      </c>
      <c r="G233" s="74" t="s">
        <v>1108</v>
      </c>
      <c r="H233" s="69"/>
    </row>
    <row r="234" spans="1:8" ht="16" x14ac:dyDescent="0.2">
      <c r="A234" s="72"/>
      <c r="B234" s="76"/>
      <c r="C234" s="73"/>
      <c r="D234" s="73" t="s">
        <v>936</v>
      </c>
      <c r="E234" s="77" t="s">
        <v>109</v>
      </c>
      <c r="F234" s="75" t="s">
        <v>1378</v>
      </c>
      <c r="G234" s="74" t="s">
        <v>1108</v>
      </c>
      <c r="H234" s="69"/>
    </row>
    <row r="235" spans="1:8" ht="16" x14ac:dyDescent="0.2">
      <c r="A235" s="72"/>
      <c r="B235" s="76"/>
      <c r="C235" s="73"/>
      <c r="D235" s="73" t="s">
        <v>936</v>
      </c>
      <c r="E235" s="77" t="s">
        <v>963</v>
      </c>
      <c r="F235" s="75" t="s">
        <v>1378</v>
      </c>
      <c r="G235" s="74" t="s">
        <v>1108</v>
      </c>
      <c r="H235" s="69"/>
    </row>
    <row r="236" spans="1:8" ht="16" x14ac:dyDescent="0.2">
      <c r="A236" s="72"/>
      <c r="B236" s="76"/>
      <c r="C236" s="73"/>
      <c r="D236" s="73" t="s">
        <v>936</v>
      </c>
      <c r="E236" s="77" t="s">
        <v>109</v>
      </c>
      <c r="F236" s="75" t="s">
        <v>1379</v>
      </c>
      <c r="G236" s="74" t="s">
        <v>1108</v>
      </c>
      <c r="H236" s="69"/>
    </row>
    <row r="237" spans="1:8" ht="16" x14ac:dyDescent="0.2">
      <c r="A237" s="72"/>
      <c r="B237" s="76"/>
      <c r="C237" s="73"/>
      <c r="D237" s="73" t="s">
        <v>936</v>
      </c>
      <c r="E237" s="77" t="s">
        <v>963</v>
      </c>
      <c r="F237" s="75" t="s">
        <v>1379</v>
      </c>
      <c r="G237" s="74" t="s">
        <v>1108</v>
      </c>
      <c r="H237" s="69"/>
    </row>
    <row r="238" spans="1:8" ht="16" x14ac:dyDescent="0.2">
      <c r="A238" s="72"/>
      <c r="B238" s="76"/>
      <c r="C238" s="73"/>
      <c r="D238" s="73" t="s">
        <v>936</v>
      </c>
      <c r="E238" s="77" t="s">
        <v>109</v>
      </c>
      <c r="F238" s="75" t="s">
        <v>1415</v>
      </c>
      <c r="G238" s="74" t="s">
        <v>1108</v>
      </c>
      <c r="H238" s="69"/>
    </row>
    <row r="239" spans="1:8" ht="16" x14ac:dyDescent="0.2">
      <c r="A239" s="72"/>
      <c r="B239" s="76"/>
      <c r="C239" s="73"/>
      <c r="D239" s="73" t="s">
        <v>936</v>
      </c>
      <c r="E239" s="77" t="s">
        <v>963</v>
      </c>
      <c r="F239" s="75" t="s">
        <v>1415</v>
      </c>
      <c r="G239" s="74" t="s">
        <v>1108</v>
      </c>
      <c r="H239" s="69"/>
    </row>
    <row r="240" spans="1:8" ht="16" x14ac:dyDescent="0.2">
      <c r="A240" s="79"/>
      <c r="B240" s="82"/>
      <c r="C240" s="73"/>
      <c r="D240" s="73" t="s">
        <v>936</v>
      </c>
      <c r="E240" s="83" t="s">
        <v>109</v>
      </c>
      <c r="F240" s="81" t="s">
        <v>1416</v>
      </c>
      <c r="G240" s="80" t="s">
        <v>1112</v>
      </c>
      <c r="H240" s="69"/>
    </row>
    <row r="241" spans="1:8" ht="16" x14ac:dyDescent="0.2">
      <c r="A241" s="79"/>
      <c r="B241" s="82"/>
      <c r="C241" s="73"/>
      <c r="D241" s="73" t="s">
        <v>936</v>
      </c>
      <c r="E241" s="83" t="s">
        <v>963</v>
      </c>
      <c r="F241" s="81" t="s">
        <v>1416</v>
      </c>
      <c r="G241" s="80" t="s">
        <v>1112</v>
      </c>
      <c r="H241" s="69"/>
    </row>
    <row r="242" spans="1:8" ht="16" x14ac:dyDescent="0.2">
      <c r="A242" s="72"/>
      <c r="B242" s="76"/>
      <c r="C242" s="73"/>
      <c r="D242" s="73" t="s">
        <v>936</v>
      </c>
      <c r="E242" s="77" t="s">
        <v>109</v>
      </c>
      <c r="F242" s="75" t="s">
        <v>1417</v>
      </c>
      <c r="G242" s="74" t="s">
        <v>1110</v>
      </c>
      <c r="H242" s="69"/>
    </row>
    <row r="243" spans="1:8" ht="16" x14ac:dyDescent="0.2">
      <c r="A243" s="72"/>
      <c r="B243" s="76"/>
      <c r="C243" s="73"/>
      <c r="D243" s="73" t="s">
        <v>936</v>
      </c>
      <c r="E243" s="77" t="s">
        <v>963</v>
      </c>
      <c r="F243" s="75" t="s">
        <v>1417</v>
      </c>
      <c r="G243" s="74" t="s">
        <v>1110</v>
      </c>
      <c r="H243" s="69"/>
    </row>
    <row r="244" spans="1:8" ht="16" x14ac:dyDescent="0.2">
      <c r="A244" s="72"/>
      <c r="B244" s="76"/>
      <c r="C244" s="73"/>
      <c r="D244" s="73" t="s">
        <v>936</v>
      </c>
      <c r="E244" s="77" t="s">
        <v>109</v>
      </c>
      <c r="F244" s="75" t="s">
        <v>1380</v>
      </c>
      <c r="G244" s="74" t="s">
        <v>1114</v>
      </c>
      <c r="H244" s="69"/>
    </row>
    <row r="245" spans="1:8" ht="16" x14ac:dyDescent="0.2">
      <c r="A245" s="72"/>
      <c r="B245" s="76"/>
      <c r="C245" s="73"/>
      <c r="D245" s="73" t="s">
        <v>936</v>
      </c>
      <c r="E245" s="77" t="s">
        <v>963</v>
      </c>
      <c r="F245" s="75" t="s">
        <v>1380</v>
      </c>
      <c r="G245" s="74" t="s">
        <v>1114</v>
      </c>
      <c r="H245" s="69"/>
    </row>
    <row r="246" spans="1:8" ht="16" x14ac:dyDescent="0.2">
      <c r="A246" s="72"/>
      <c r="B246" s="76"/>
      <c r="C246" s="73"/>
      <c r="D246" s="73" t="s">
        <v>936</v>
      </c>
      <c r="E246" s="77" t="s">
        <v>109</v>
      </c>
      <c r="F246" s="75" t="s">
        <v>1376</v>
      </c>
      <c r="G246" s="74" t="s">
        <v>1116</v>
      </c>
      <c r="H246" s="69"/>
    </row>
    <row r="247" spans="1:8" ht="16" x14ac:dyDescent="0.2">
      <c r="A247" s="72"/>
      <c r="B247" s="76"/>
      <c r="C247" s="73"/>
      <c r="D247" s="73" t="s">
        <v>936</v>
      </c>
      <c r="E247" s="77" t="s">
        <v>963</v>
      </c>
      <c r="F247" s="75" t="s">
        <v>1376</v>
      </c>
      <c r="G247" s="74" t="s">
        <v>1116</v>
      </c>
      <c r="H247" s="69"/>
    </row>
    <row r="248" spans="1:8" ht="16" x14ac:dyDescent="0.2">
      <c r="A248" s="72"/>
      <c r="B248" s="76"/>
      <c r="C248" s="73"/>
      <c r="D248" s="73" t="s">
        <v>936</v>
      </c>
      <c r="E248" s="77" t="s">
        <v>109</v>
      </c>
      <c r="F248" s="75" t="s">
        <v>1418</v>
      </c>
      <c r="G248" s="74" t="s">
        <v>1113</v>
      </c>
      <c r="H248" s="69"/>
    </row>
    <row r="249" spans="1:8" ht="16" x14ac:dyDescent="0.2">
      <c r="A249" s="72"/>
      <c r="B249" s="76"/>
      <c r="C249" s="73"/>
      <c r="D249" s="73" t="s">
        <v>936</v>
      </c>
      <c r="E249" s="77" t="s">
        <v>963</v>
      </c>
      <c r="F249" s="75" t="s">
        <v>1418</v>
      </c>
      <c r="G249" s="74" t="s">
        <v>1113</v>
      </c>
      <c r="H249" s="69"/>
    </row>
    <row r="250" spans="1:8" ht="16" x14ac:dyDescent="0.2">
      <c r="A250" s="72"/>
      <c r="B250" s="76"/>
      <c r="C250" s="73"/>
      <c r="D250" s="73" t="s">
        <v>936</v>
      </c>
      <c r="E250" s="77" t="s">
        <v>109</v>
      </c>
      <c r="F250" s="75" t="s">
        <v>1419</v>
      </c>
      <c r="G250" s="74" t="s">
        <v>1115</v>
      </c>
      <c r="H250" s="69"/>
    </row>
    <row r="251" spans="1:8" ht="16" x14ac:dyDescent="0.2">
      <c r="A251" s="72"/>
      <c r="B251" s="76"/>
      <c r="C251" s="73"/>
      <c r="D251" s="73" t="s">
        <v>936</v>
      </c>
      <c r="E251" s="77" t="s">
        <v>963</v>
      </c>
      <c r="F251" s="75" t="s">
        <v>1419</v>
      </c>
      <c r="G251" s="74" t="s">
        <v>1115</v>
      </c>
      <c r="H251" s="69"/>
    </row>
    <row r="252" spans="1:8" x14ac:dyDescent="0.2">
      <c r="A252" s="72"/>
      <c r="B252" s="76"/>
      <c r="C252" s="73"/>
      <c r="D252" s="73" t="s">
        <v>936</v>
      </c>
      <c r="E252" s="77" t="s">
        <v>116</v>
      </c>
      <c r="F252" s="75" t="s">
        <v>1414</v>
      </c>
      <c r="G252" s="75" t="s">
        <v>1107</v>
      </c>
      <c r="H252" s="69"/>
    </row>
    <row r="253" spans="1:8" x14ac:dyDescent="0.2">
      <c r="A253" s="72"/>
      <c r="B253" s="76"/>
      <c r="C253" s="73"/>
      <c r="D253" s="73" t="s">
        <v>936</v>
      </c>
      <c r="E253" s="77" t="s">
        <v>109</v>
      </c>
      <c r="F253" s="75" t="s">
        <v>1381</v>
      </c>
      <c r="G253" s="75" t="s">
        <v>1109</v>
      </c>
      <c r="H253" s="69"/>
    </row>
    <row r="254" spans="1:8" x14ac:dyDescent="0.2">
      <c r="A254" s="72"/>
      <c r="B254" s="76"/>
      <c r="C254" s="73"/>
      <c r="D254" s="73" t="s">
        <v>936</v>
      </c>
      <c r="E254" s="77" t="s">
        <v>963</v>
      </c>
      <c r="F254" s="75" t="s">
        <v>1381</v>
      </c>
      <c r="G254" s="75" t="s">
        <v>1109</v>
      </c>
      <c r="H254" s="69"/>
    </row>
    <row r="255" spans="1:8" x14ac:dyDescent="0.2">
      <c r="A255" s="72"/>
      <c r="B255" s="76"/>
      <c r="C255" s="73"/>
      <c r="D255" s="73" t="s">
        <v>936</v>
      </c>
      <c r="E255" s="77" t="s">
        <v>109</v>
      </c>
      <c r="F255" s="75" t="s">
        <v>1382</v>
      </c>
      <c r="G255" s="75" t="s">
        <v>1109</v>
      </c>
      <c r="H255" s="69"/>
    </row>
    <row r="256" spans="1:8" x14ac:dyDescent="0.2">
      <c r="A256" s="72"/>
      <c r="B256" s="76"/>
      <c r="C256" s="73"/>
      <c r="D256" s="73" t="s">
        <v>936</v>
      </c>
      <c r="E256" s="77" t="s">
        <v>963</v>
      </c>
      <c r="F256" s="75" t="s">
        <v>1382</v>
      </c>
      <c r="G256" s="75" t="s">
        <v>1109</v>
      </c>
      <c r="H256" s="69"/>
    </row>
    <row r="257" spans="1:8" x14ac:dyDescent="0.2">
      <c r="A257" s="72"/>
      <c r="B257" s="76"/>
      <c r="C257" s="73"/>
      <c r="D257" s="73" t="s">
        <v>936</v>
      </c>
      <c r="E257" s="77" t="s">
        <v>109</v>
      </c>
      <c r="F257" s="75" t="s">
        <v>1420</v>
      </c>
      <c r="G257" s="75" t="s">
        <v>1109</v>
      </c>
      <c r="H257" s="69"/>
    </row>
    <row r="258" spans="1:8" x14ac:dyDescent="0.2">
      <c r="A258" s="72"/>
      <c r="B258" s="76"/>
      <c r="C258" s="73"/>
      <c r="D258" s="73" t="s">
        <v>936</v>
      </c>
      <c r="E258" s="77" t="s">
        <v>963</v>
      </c>
      <c r="F258" s="75" t="s">
        <v>1420</v>
      </c>
      <c r="G258" s="75" t="s">
        <v>1109</v>
      </c>
      <c r="H258" s="69"/>
    </row>
    <row r="259" spans="1:8" x14ac:dyDescent="0.2">
      <c r="A259" s="72"/>
      <c r="B259" s="76"/>
      <c r="C259" s="73"/>
      <c r="D259" s="73" t="s">
        <v>936</v>
      </c>
      <c r="E259" s="77" t="s">
        <v>109</v>
      </c>
      <c r="F259" s="75" t="s">
        <v>1421</v>
      </c>
      <c r="G259" s="75" t="s">
        <v>1109</v>
      </c>
      <c r="H259" s="69"/>
    </row>
    <row r="260" spans="1:8" x14ac:dyDescent="0.2">
      <c r="A260" s="72"/>
      <c r="B260" s="76"/>
      <c r="C260" s="73"/>
      <c r="D260" s="73" t="s">
        <v>936</v>
      </c>
      <c r="E260" s="77" t="s">
        <v>963</v>
      </c>
      <c r="F260" s="75" t="s">
        <v>1421</v>
      </c>
      <c r="G260" s="75" t="s">
        <v>1109</v>
      </c>
      <c r="H260" s="69"/>
    </row>
    <row r="261" spans="1:8" x14ac:dyDescent="0.2">
      <c r="A261" s="72"/>
      <c r="B261" s="76"/>
      <c r="C261" s="73"/>
      <c r="D261" s="73" t="s">
        <v>936</v>
      </c>
      <c r="E261" s="77" t="s">
        <v>109</v>
      </c>
      <c r="F261" s="75" t="s">
        <v>1422</v>
      </c>
      <c r="G261" s="75" t="s">
        <v>1109</v>
      </c>
      <c r="H261" s="69"/>
    </row>
    <row r="262" spans="1:8" x14ac:dyDescent="0.2">
      <c r="A262" s="72"/>
      <c r="B262" s="76"/>
      <c r="C262" s="73"/>
      <c r="D262" s="73" t="s">
        <v>936</v>
      </c>
      <c r="E262" s="77" t="s">
        <v>963</v>
      </c>
      <c r="F262" s="75" t="s">
        <v>1422</v>
      </c>
      <c r="G262" s="75" t="s">
        <v>1109</v>
      </c>
      <c r="H262" s="69"/>
    </row>
    <row r="263" spans="1:8" x14ac:dyDescent="0.2">
      <c r="A263" s="72"/>
      <c r="B263" s="76"/>
      <c r="C263" s="73"/>
      <c r="D263" s="73" t="s">
        <v>936</v>
      </c>
      <c r="E263" s="77" t="s">
        <v>109</v>
      </c>
      <c r="F263" s="75" t="s">
        <v>1423</v>
      </c>
      <c r="G263" s="75" t="s">
        <v>1109</v>
      </c>
      <c r="H263" s="69"/>
    </row>
    <row r="264" spans="1:8" x14ac:dyDescent="0.2">
      <c r="A264" s="72"/>
      <c r="B264" s="76"/>
      <c r="C264" s="73"/>
      <c r="D264" s="73" t="s">
        <v>936</v>
      </c>
      <c r="E264" s="77" t="s">
        <v>963</v>
      </c>
      <c r="F264" s="75" t="s">
        <v>1423</v>
      </c>
      <c r="G264" s="75" t="s">
        <v>1109</v>
      </c>
      <c r="H264" s="69"/>
    </row>
    <row r="265" spans="1:8" x14ac:dyDescent="0.2">
      <c r="A265" s="72"/>
      <c r="B265" s="76"/>
      <c r="C265" s="73"/>
      <c r="D265" s="73" t="s">
        <v>936</v>
      </c>
      <c r="E265" s="77" t="s">
        <v>109</v>
      </c>
      <c r="F265" s="75" t="s">
        <v>1424</v>
      </c>
      <c r="G265" s="75" t="s">
        <v>997</v>
      </c>
      <c r="H265" s="69"/>
    </row>
    <row r="266" spans="1:8" x14ac:dyDescent="0.2">
      <c r="A266" s="72"/>
      <c r="B266" s="76"/>
      <c r="C266" s="73"/>
      <c r="D266" s="73" t="s">
        <v>936</v>
      </c>
      <c r="E266" s="77" t="s">
        <v>963</v>
      </c>
      <c r="F266" s="75" t="s">
        <v>1424</v>
      </c>
      <c r="G266" s="75" t="s">
        <v>997</v>
      </c>
      <c r="H266" s="69"/>
    </row>
    <row r="267" spans="1:8" x14ac:dyDescent="0.2">
      <c r="A267" s="72"/>
      <c r="B267" s="76"/>
      <c r="C267" s="73"/>
      <c r="D267" s="73" t="s">
        <v>936</v>
      </c>
      <c r="E267" s="77" t="s">
        <v>109</v>
      </c>
      <c r="F267" s="75" t="s">
        <v>1425</v>
      </c>
      <c r="G267" s="75" t="s">
        <v>1093</v>
      </c>
      <c r="H267" s="69"/>
    </row>
    <row r="268" spans="1:8" x14ac:dyDescent="0.2">
      <c r="A268" s="72"/>
      <c r="B268" s="76"/>
      <c r="C268" s="73"/>
      <c r="D268" s="73" t="s">
        <v>936</v>
      </c>
      <c r="E268" s="77" t="s">
        <v>963</v>
      </c>
      <c r="F268" s="75" t="s">
        <v>1425</v>
      </c>
      <c r="G268" s="75" t="s">
        <v>1093</v>
      </c>
      <c r="H268" s="69"/>
    </row>
    <row r="269" spans="1:8" x14ac:dyDescent="0.2">
      <c r="A269" s="72"/>
      <c r="B269" s="76"/>
      <c r="C269" s="73"/>
      <c r="D269" s="73" t="s">
        <v>936</v>
      </c>
      <c r="E269" s="77" t="s">
        <v>109</v>
      </c>
      <c r="F269" s="75" t="s">
        <v>1399</v>
      </c>
      <c r="G269" s="75" t="s">
        <v>1096</v>
      </c>
      <c r="H269" s="69"/>
    </row>
    <row r="270" spans="1:8" x14ac:dyDescent="0.2">
      <c r="A270" s="72"/>
      <c r="B270" s="76"/>
      <c r="C270" s="73"/>
      <c r="D270" s="73" t="s">
        <v>936</v>
      </c>
      <c r="E270" s="77" t="s">
        <v>963</v>
      </c>
      <c r="F270" s="75" t="s">
        <v>1399</v>
      </c>
      <c r="G270" s="75" t="s">
        <v>1096</v>
      </c>
      <c r="H270" s="69"/>
    </row>
    <row r="271" spans="1:8" x14ac:dyDescent="0.2">
      <c r="A271" s="72"/>
      <c r="B271" s="76"/>
      <c r="C271" s="73"/>
      <c r="D271" s="73" t="s">
        <v>936</v>
      </c>
      <c r="E271" s="77" t="s">
        <v>963</v>
      </c>
      <c r="F271" s="75" t="s">
        <v>1400</v>
      </c>
      <c r="G271" s="75" t="s">
        <v>1098</v>
      </c>
      <c r="H271" s="69"/>
    </row>
    <row r="272" spans="1:8" x14ac:dyDescent="0.2">
      <c r="A272" s="72"/>
      <c r="B272" s="76"/>
      <c r="C272" s="73"/>
      <c r="D272" s="73" t="s">
        <v>936</v>
      </c>
      <c r="E272" s="77" t="s">
        <v>109</v>
      </c>
      <c r="F272" s="75" t="s">
        <v>1401</v>
      </c>
      <c r="G272" s="75" t="s">
        <v>1095</v>
      </c>
      <c r="H272" s="69"/>
    </row>
    <row r="273" spans="1:8" x14ac:dyDescent="0.2">
      <c r="A273" s="72"/>
      <c r="B273" s="76"/>
      <c r="C273" s="73"/>
      <c r="D273" s="73" t="s">
        <v>936</v>
      </c>
      <c r="E273" s="77" t="s">
        <v>963</v>
      </c>
      <c r="F273" s="75" t="s">
        <v>1401</v>
      </c>
      <c r="G273" s="75" t="s">
        <v>1095</v>
      </c>
      <c r="H273" s="69"/>
    </row>
    <row r="274" spans="1:8" x14ac:dyDescent="0.2">
      <c r="A274" s="72"/>
      <c r="B274" s="76"/>
      <c r="C274" s="73"/>
      <c r="D274" s="73" t="s">
        <v>936</v>
      </c>
      <c r="E274" s="77" t="s">
        <v>109</v>
      </c>
      <c r="F274" s="75" t="s">
        <v>1426</v>
      </c>
      <c r="G274" s="75" t="s">
        <v>1095</v>
      </c>
      <c r="H274" s="69"/>
    </row>
    <row r="275" spans="1:8" x14ac:dyDescent="0.2">
      <c r="A275" s="72"/>
      <c r="B275" s="76"/>
      <c r="C275" s="73"/>
      <c r="D275" s="73" t="s">
        <v>936</v>
      </c>
      <c r="E275" s="77" t="s">
        <v>963</v>
      </c>
      <c r="F275" s="75" t="s">
        <v>1426</v>
      </c>
      <c r="G275" s="75" t="s">
        <v>1095</v>
      </c>
      <c r="H275" s="69"/>
    </row>
    <row r="276" spans="1:8" x14ac:dyDescent="0.2">
      <c r="A276" s="72"/>
      <c r="B276" s="76"/>
      <c r="C276" s="73"/>
      <c r="D276" s="73" t="s">
        <v>936</v>
      </c>
      <c r="E276" s="77" t="s">
        <v>109</v>
      </c>
      <c r="F276" s="75" t="s">
        <v>1427</v>
      </c>
      <c r="G276" s="75" t="s">
        <v>1095</v>
      </c>
      <c r="H276" s="69"/>
    </row>
    <row r="277" spans="1:8" x14ac:dyDescent="0.2">
      <c r="A277" s="72"/>
      <c r="B277" s="76"/>
      <c r="C277" s="73"/>
      <c r="D277" s="73" t="s">
        <v>936</v>
      </c>
      <c r="E277" s="77" t="s">
        <v>963</v>
      </c>
      <c r="F277" s="75" t="s">
        <v>1427</v>
      </c>
      <c r="G277" s="75" t="s">
        <v>1095</v>
      </c>
      <c r="H277" s="69"/>
    </row>
    <row r="278" spans="1:8" x14ac:dyDescent="0.2">
      <c r="A278" s="72"/>
      <c r="B278" s="76"/>
      <c r="C278" s="73"/>
      <c r="D278" s="73" t="s">
        <v>936</v>
      </c>
      <c r="E278" s="77" t="s">
        <v>963</v>
      </c>
      <c r="F278" s="75" t="s">
        <v>1402</v>
      </c>
      <c r="G278" s="75" t="s">
        <v>1092</v>
      </c>
      <c r="H278" s="69"/>
    </row>
    <row r="279" spans="1:8" x14ac:dyDescent="0.2">
      <c r="A279" s="72"/>
      <c r="B279" s="76"/>
      <c r="C279" s="73"/>
      <c r="D279" s="73" t="s">
        <v>936</v>
      </c>
      <c r="E279" s="77" t="s">
        <v>109</v>
      </c>
      <c r="F279" s="75" t="s">
        <v>1402</v>
      </c>
      <c r="G279" s="75" t="s">
        <v>1092</v>
      </c>
      <c r="H279" s="69"/>
    </row>
    <row r="280" spans="1:8" x14ac:dyDescent="0.2">
      <c r="A280" s="72"/>
      <c r="B280" s="76"/>
      <c r="C280" s="73"/>
      <c r="D280" s="73" t="s">
        <v>936</v>
      </c>
      <c r="E280" s="77" t="s">
        <v>963</v>
      </c>
      <c r="F280" s="75" t="s">
        <v>1403</v>
      </c>
      <c r="G280" s="75" t="s">
        <v>1092</v>
      </c>
      <c r="H280" s="69"/>
    </row>
    <row r="281" spans="1:8" x14ac:dyDescent="0.2">
      <c r="A281" s="72"/>
      <c r="B281" s="76"/>
      <c r="C281" s="73"/>
      <c r="D281" s="73" t="s">
        <v>936</v>
      </c>
      <c r="E281" s="77" t="s">
        <v>109</v>
      </c>
      <c r="F281" s="75" t="s">
        <v>1403</v>
      </c>
      <c r="G281" s="75" t="s">
        <v>1092</v>
      </c>
      <c r="H281" s="69"/>
    </row>
    <row r="282" spans="1:8" x14ac:dyDescent="0.2">
      <c r="A282" s="72"/>
      <c r="B282" s="76"/>
      <c r="C282" s="73"/>
      <c r="D282" s="73" t="s">
        <v>936</v>
      </c>
      <c r="E282" s="77" t="s">
        <v>109</v>
      </c>
      <c r="F282" s="75" t="s">
        <v>1428</v>
      </c>
      <c r="G282" s="75" t="s">
        <v>1094</v>
      </c>
      <c r="H282" s="69"/>
    </row>
    <row r="283" spans="1:8" x14ac:dyDescent="0.2">
      <c r="A283" s="72"/>
      <c r="B283" s="76"/>
      <c r="C283" s="73"/>
      <c r="D283" s="73" t="s">
        <v>936</v>
      </c>
      <c r="E283" s="77" t="s">
        <v>963</v>
      </c>
      <c r="F283" s="75" t="s">
        <v>1428</v>
      </c>
      <c r="G283" s="75" t="s">
        <v>1094</v>
      </c>
      <c r="H283" s="69"/>
    </row>
    <row r="284" spans="1:8" x14ac:dyDescent="0.2">
      <c r="A284" s="72"/>
      <c r="B284" s="76"/>
      <c r="C284" s="73"/>
      <c r="D284" s="73" t="s">
        <v>936</v>
      </c>
      <c r="E284" s="77" t="s">
        <v>109</v>
      </c>
      <c r="F284" s="75" t="s">
        <v>1429</v>
      </c>
      <c r="G284" s="75" t="s">
        <v>1097</v>
      </c>
      <c r="H284" s="69"/>
    </row>
    <row r="285" spans="1:8" x14ac:dyDescent="0.2">
      <c r="A285" s="72"/>
      <c r="B285" s="76"/>
      <c r="C285" s="73"/>
      <c r="D285" s="73" t="s">
        <v>936</v>
      </c>
      <c r="E285" s="77" t="s">
        <v>963</v>
      </c>
      <c r="F285" s="75" t="s">
        <v>1429</v>
      </c>
      <c r="G285" s="75" t="s">
        <v>1097</v>
      </c>
      <c r="H285" s="69"/>
    </row>
    <row r="286" spans="1:8" ht="16" x14ac:dyDescent="0.2">
      <c r="A286" s="72"/>
      <c r="B286" s="76"/>
      <c r="C286" s="73"/>
      <c r="D286" s="73" t="s">
        <v>936</v>
      </c>
      <c r="E286" s="77" t="s">
        <v>109</v>
      </c>
      <c r="F286" s="75" t="s">
        <v>1387</v>
      </c>
      <c r="G286" s="74" t="s">
        <v>1102</v>
      </c>
      <c r="H286" s="69"/>
    </row>
    <row r="287" spans="1:8" ht="16" x14ac:dyDescent="0.2">
      <c r="A287" s="72"/>
      <c r="B287" s="76"/>
      <c r="C287" s="73"/>
      <c r="D287" s="73" t="s">
        <v>936</v>
      </c>
      <c r="E287" s="77" t="s">
        <v>963</v>
      </c>
      <c r="F287" s="75" t="s">
        <v>1387</v>
      </c>
      <c r="G287" s="74" t="s">
        <v>1102</v>
      </c>
      <c r="H287" s="69"/>
    </row>
    <row r="288" spans="1:8" ht="16" x14ac:dyDescent="0.2">
      <c r="A288" s="72"/>
      <c r="B288" s="76"/>
      <c r="C288" s="73"/>
      <c r="D288" s="73" t="s">
        <v>936</v>
      </c>
      <c r="E288" s="77" t="s">
        <v>109</v>
      </c>
      <c r="F288" s="75" t="s">
        <v>1388</v>
      </c>
      <c r="G288" s="74" t="s">
        <v>1102</v>
      </c>
      <c r="H288" s="69"/>
    </row>
    <row r="289" spans="1:8" ht="16" x14ac:dyDescent="0.2">
      <c r="A289" s="72"/>
      <c r="B289" s="76"/>
      <c r="C289" s="73"/>
      <c r="D289" s="73" t="s">
        <v>936</v>
      </c>
      <c r="E289" s="77" t="s">
        <v>963</v>
      </c>
      <c r="F289" s="75" t="s">
        <v>1388</v>
      </c>
      <c r="G289" s="74" t="s">
        <v>1102</v>
      </c>
      <c r="H289" s="69"/>
    </row>
    <row r="290" spans="1:8" ht="16" x14ac:dyDescent="0.2">
      <c r="A290" s="72"/>
      <c r="B290" s="76"/>
      <c r="C290" s="73"/>
      <c r="D290" s="73" t="s">
        <v>936</v>
      </c>
      <c r="E290" s="77" t="s">
        <v>109</v>
      </c>
      <c r="F290" s="75" t="s">
        <v>1430</v>
      </c>
      <c r="G290" s="74" t="s">
        <v>1102</v>
      </c>
      <c r="H290" s="69"/>
    </row>
    <row r="291" spans="1:8" ht="16" x14ac:dyDescent="0.2">
      <c r="A291" s="72"/>
      <c r="B291" s="76"/>
      <c r="C291" s="73"/>
      <c r="D291" s="73" t="s">
        <v>936</v>
      </c>
      <c r="E291" s="77" t="s">
        <v>963</v>
      </c>
      <c r="F291" s="75" t="s">
        <v>1430</v>
      </c>
      <c r="G291" s="74" t="s">
        <v>1102</v>
      </c>
      <c r="H291" s="69"/>
    </row>
    <row r="292" spans="1:8" ht="16" x14ac:dyDescent="0.2">
      <c r="A292" s="72"/>
      <c r="B292" s="76"/>
      <c r="C292" s="73"/>
      <c r="D292" s="73" t="s">
        <v>936</v>
      </c>
      <c r="E292" s="77" t="s">
        <v>109</v>
      </c>
      <c r="F292" s="75" t="s">
        <v>1389</v>
      </c>
      <c r="G292" s="74" t="s">
        <v>1102</v>
      </c>
      <c r="H292" s="69"/>
    </row>
    <row r="293" spans="1:8" ht="16" x14ac:dyDescent="0.2">
      <c r="A293" s="72"/>
      <c r="B293" s="76"/>
      <c r="C293" s="73"/>
      <c r="D293" s="73" t="s">
        <v>936</v>
      </c>
      <c r="E293" s="77" t="s">
        <v>963</v>
      </c>
      <c r="F293" s="75" t="s">
        <v>1389</v>
      </c>
      <c r="G293" s="74" t="s">
        <v>1102</v>
      </c>
      <c r="H293" s="69"/>
    </row>
    <row r="294" spans="1:8" ht="16" x14ac:dyDescent="0.2">
      <c r="A294" s="72"/>
      <c r="B294" s="76"/>
      <c r="C294" s="73"/>
      <c r="D294" s="73" t="s">
        <v>936</v>
      </c>
      <c r="E294" s="77" t="s">
        <v>109</v>
      </c>
      <c r="F294" s="75" t="s">
        <v>1390</v>
      </c>
      <c r="G294" s="74" t="s">
        <v>1102</v>
      </c>
      <c r="H294" s="69"/>
    </row>
    <row r="295" spans="1:8" ht="16" x14ac:dyDescent="0.2">
      <c r="A295" s="72"/>
      <c r="B295" s="76"/>
      <c r="C295" s="73"/>
      <c r="D295" s="73" t="s">
        <v>936</v>
      </c>
      <c r="E295" s="77" t="s">
        <v>963</v>
      </c>
      <c r="F295" s="75" t="s">
        <v>1390</v>
      </c>
      <c r="G295" s="74" t="s">
        <v>1102</v>
      </c>
      <c r="H295" s="69"/>
    </row>
    <row r="296" spans="1:8" ht="16" x14ac:dyDescent="0.2">
      <c r="A296" s="72"/>
      <c r="B296" s="76"/>
      <c r="C296" s="73"/>
      <c r="D296" s="73" t="s">
        <v>936</v>
      </c>
      <c r="E296" s="77" t="s">
        <v>109</v>
      </c>
      <c r="F296" s="75" t="s">
        <v>1391</v>
      </c>
      <c r="G296" s="74" t="s">
        <v>1102</v>
      </c>
      <c r="H296" s="69"/>
    </row>
    <row r="297" spans="1:8" ht="16" x14ac:dyDescent="0.2">
      <c r="A297" s="72"/>
      <c r="B297" s="76"/>
      <c r="C297" s="73"/>
      <c r="D297" s="73" t="s">
        <v>936</v>
      </c>
      <c r="E297" s="77" t="s">
        <v>963</v>
      </c>
      <c r="F297" s="75" t="s">
        <v>1391</v>
      </c>
      <c r="G297" s="74" t="s">
        <v>1102</v>
      </c>
      <c r="H297" s="69"/>
    </row>
    <row r="298" spans="1:8" ht="16" x14ac:dyDescent="0.2">
      <c r="A298" s="72"/>
      <c r="B298" s="76"/>
      <c r="C298" s="73"/>
      <c r="D298" s="73" t="s">
        <v>936</v>
      </c>
      <c r="E298" s="77" t="s">
        <v>109</v>
      </c>
      <c r="F298" s="75" t="s">
        <v>1431</v>
      </c>
      <c r="G298" s="74" t="s">
        <v>1102</v>
      </c>
      <c r="H298" s="69"/>
    </row>
    <row r="299" spans="1:8" ht="16" x14ac:dyDescent="0.2">
      <c r="A299" s="72"/>
      <c r="B299" s="76"/>
      <c r="C299" s="73"/>
      <c r="D299" s="73" t="s">
        <v>936</v>
      </c>
      <c r="E299" s="77" t="s">
        <v>963</v>
      </c>
      <c r="F299" s="75" t="s">
        <v>1431</v>
      </c>
      <c r="G299" s="74" t="s">
        <v>1102</v>
      </c>
      <c r="H299" s="69"/>
    </row>
    <row r="300" spans="1:8" ht="16" x14ac:dyDescent="0.2">
      <c r="A300" s="72"/>
      <c r="B300" s="76"/>
      <c r="C300" s="73"/>
      <c r="D300" s="73" t="s">
        <v>936</v>
      </c>
      <c r="E300" s="77" t="s">
        <v>109</v>
      </c>
      <c r="F300" s="75" t="s">
        <v>1432</v>
      </c>
      <c r="G300" s="74" t="s">
        <v>1099</v>
      </c>
      <c r="H300" s="69"/>
    </row>
    <row r="301" spans="1:8" ht="16" x14ac:dyDescent="0.2">
      <c r="A301" s="72"/>
      <c r="B301" s="76"/>
      <c r="C301" s="73"/>
      <c r="D301" s="73" t="s">
        <v>936</v>
      </c>
      <c r="E301" s="77" t="s">
        <v>963</v>
      </c>
      <c r="F301" s="75" t="s">
        <v>1432</v>
      </c>
      <c r="G301" s="74" t="s">
        <v>1099</v>
      </c>
      <c r="H301" s="69"/>
    </row>
    <row r="302" spans="1:8" ht="16" x14ac:dyDescent="0.2">
      <c r="A302" s="72"/>
      <c r="B302" s="76"/>
      <c r="C302" s="73"/>
      <c r="D302" s="73" t="s">
        <v>936</v>
      </c>
      <c r="E302" s="77" t="s">
        <v>109</v>
      </c>
      <c r="F302" s="75" t="s">
        <v>1433</v>
      </c>
      <c r="G302" s="74" t="s">
        <v>1099</v>
      </c>
      <c r="H302" s="69"/>
    </row>
    <row r="303" spans="1:8" ht="16" x14ac:dyDescent="0.2">
      <c r="A303" s="72"/>
      <c r="B303" s="76"/>
      <c r="C303" s="73"/>
      <c r="D303" s="73" t="s">
        <v>936</v>
      </c>
      <c r="E303" s="77" t="s">
        <v>963</v>
      </c>
      <c r="F303" s="75" t="s">
        <v>1433</v>
      </c>
      <c r="G303" s="74" t="s">
        <v>1099</v>
      </c>
      <c r="H303" s="69"/>
    </row>
    <row r="304" spans="1:8" ht="16" x14ac:dyDescent="0.2">
      <c r="A304" s="72"/>
      <c r="B304" s="76"/>
      <c r="C304" s="73"/>
      <c r="D304" s="73" t="s">
        <v>936</v>
      </c>
      <c r="E304" s="77" t="s">
        <v>109</v>
      </c>
      <c r="F304" s="75" t="s">
        <v>1434</v>
      </c>
      <c r="G304" s="74" t="s">
        <v>1100</v>
      </c>
      <c r="H304" s="69"/>
    </row>
    <row r="305" spans="1:8" ht="16" x14ac:dyDescent="0.2">
      <c r="A305" s="72"/>
      <c r="B305" s="76"/>
      <c r="C305" s="73"/>
      <c r="D305" s="73" t="s">
        <v>936</v>
      </c>
      <c r="E305" s="77" t="s">
        <v>109</v>
      </c>
      <c r="F305" s="75" t="s">
        <v>1435</v>
      </c>
      <c r="G305" s="74" t="s">
        <v>1100</v>
      </c>
      <c r="H305" s="69"/>
    </row>
    <row r="306" spans="1:8" ht="16" x14ac:dyDescent="0.2">
      <c r="A306" s="72"/>
      <c r="B306" s="76"/>
      <c r="C306" s="73"/>
      <c r="D306" s="73" t="s">
        <v>936</v>
      </c>
      <c r="E306" s="77" t="s">
        <v>109</v>
      </c>
      <c r="F306" s="75" t="s">
        <v>1436</v>
      </c>
      <c r="G306" s="74" t="s">
        <v>1100</v>
      </c>
      <c r="H306" s="69"/>
    </row>
    <row r="307" spans="1:8" ht="16" x14ac:dyDescent="0.2">
      <c r="A307" s="72"/>
      <c r="B307" s="76"/>
      <c r="C307" s="73"/>
      <c r="D307" s="73" t="s">
        <v>936</v>
      </c>
      <c r="E307" s="77" t="s">
        <v>109</v>
      </c>
      <c r="F307" s="75" t="s">
        <v>1437</v>
      </c>
      <c r="G307" s="74" t="s">
        <v>1100</v>
      </c>
      <c r="H307" s="69"/>
    </row>
    <row r="308" spans="1:8" x14ac:dyDescent="0.2">
      <c r="A308" s="72"/>
      <c r="B308" s="76"/>
      <c r="C308" s="73"/>
      <c r="D308" s="73" t="s">
        <v>936</v>
      </c>
      <c r="E308" s="77" t="s">
        <v>109</v>
      </c>
      <c r="F308" s="75" t="s">
        <v>1392</v>
      </c>
      <c r="G308" s="75" t="s">
        <v>1104</v>
      </c>
      <c r="H308" s="69"/>
    </row>
    <row r="309" spans="1:8" x14ac:dyDescent="0.2">
      <c r="A309" s="72"/>
      <c r="B309" s="76"/>
      <c r="C309" s="73"/>
      <c r="D309" s="73" t="s">
        <v>936</v>
      </c>
      <c r="E309" s="77" t="s">
        <v>963</v>
      </c>
      <c r="F309" s="75" t="s">
        <v>1392</v>
      </c>
      <c r="G309" s="75" t="s">
        <v>1104</v>
      </c>
      <c r="H309" s="69"/>
    </row>
    <row r="310" spans="1:8" x14ac:dyDescent="0.2">
      <c r="A310" s="72"/>
      <c r="B310" s="76"/>
      <c r="C310" s="73"/>
      <c r="D310" s="73" t="s">
        <v>936</v>
      </c>
      <c r="E310" s="77" t="s">
        <v>109</v>
      </c>
      <c r="F310" s="75" t="s">
        <v>1393</v>
      </c>
      <c r="G310" s="75" t="s">
        <v>1104</v>
      </c>
      <c r="H310" s="69"/>
    </row>
    <row r="311" spans="1:8" x14ac:dyDescent="0.2">
      <c r="A311" s="72"/>
      <c r="B311" s="76"/>
      <c r="C311" s="73"/>
      <c r="D311" s="73" t="s">
        <v>936</v>
      </c>
      <c r="E311" s="77" t="s">
        <v>963</v>
      </c>
      <c r="F311" s="75" t="s">
        <v>1393</v>
      </c>
      <c r="G311" s="75" t="s">
        <v>1104</v>
      </c>
      <c r="H311" s="69"/>
    </row>
    <row r="312" spans="1:8" x14ac:dyDescent="0.2">
      <c r="A312" s="72"/>
      <c r="B312" s="76"/>
      <c r="C312" s="73"/>
      <c r="D312" s="73" t="s">
        <v>936</v>
      </c>
      <c r="E312" s="77" t="s">
        <v>109</v>
      </c>
      <c r="F312" s="75" t="s">
        <v>1438</v>
      </c>
      <c r="G312" s="75" t="s">
        <v>1103</v>
      </c>
      <c r="H312" s="69"/>
    </row>
    <row r="313" spans="1:8" ht="15" customHeight="1" x14ac:dyDescent="0.2">
      <c r="A313" s="72"/>
      <c r="B313" s="76"/>
      <c r="C313" s="73"/>
      <c r="D313" s="73" t="s">
        <v>936</v>
      </c>
      <c r="E313" s="77" t="s">
        <v>963</v>
      </c>
      <c r="F313" s="75" t="s">
        <v>1438</v>
      </c>
      <c r="G313" s="75" t="s">
        <v>1103</v>
      </c>
      <c r="H313" s="69"/>
    </row>
    <row r="314" spans="1:8" x14ac:dyDescent="0.2">
      <c r="A314" s="72"/>
      <c r="B314" s="76"/>
      <c r="C314" s="73"/>
      <c r="D314" s="73" t="s">
        <v>936</v>
      </c>
      <c r="E314" s="77" t="s">
        <v>109</v>
      </c>
      <c r="F314" s="75" t="s">
        <v>1439</v>
      </c>
      <c r="G314" s="75" t="s">
        <v>1103</v>
      </c>
      <c r="H314" s="69"/>
    </row>
    <row r="315" spans="1:8" x14ac:dyDescent="0.2">
      <c r="A315" s="72"/>
      <c r="B315" s="76"/>
      <c r="C315" s="73"/>
      <c r="D315" s="73" t="s">
        <v>936</v>
      </c>
      <c r="E315" s="77" t="s">
        <v>963</v>
      </c>
      <c r="F315" s="75" t="s">
        <v>1439</v>
      </c>
      <c r="G315" s="75" t="s">
        <v>1103</v>
      </c>
      <c r="H315" s="69"/>
    </row>
    <row r="316" spans="1:8" x14ac:dyDescent="0.2">
      <c r="A316" s="72"/>
      <c r="B316" s="76"/>
      <c r="C316" s="73"/>
      <c r="D316" s="73" t="s">
        <v>936</v>
      </c>
      <c r="E316" s="77" t="s">
        <v>109</v>
      </c>
      <c r="F316" s="75" t="s">
        <v>1386</v>
      </c>
      <c r="G316" s="75" t="s">
        <v>1111</v>
      </c>
      <c r="H316" s="69"/>
    </row>
    <row r="317" spans="1:8" ht="15" customHeight="1" x14ac:dyDescent="0.2">
      <c r="A317" s="72"/>
      <c r="B317" s="76"/>
      <c r="C317" s="73"/>
      <c r="D317" s="73" t="s">
        <v>936</v>
      </c>
      <c r="E317" s="77" t="s">
        <v>963</v>
      </c>
      <c r="F317" s="75" t="s">
        <v>1386</v>
      </c>
      <c r="G317" s="75" t="s">
        <v>1111</v>
      </c>
      <c r="H317" s="69"/>
    </row>
    <row r="318" spans="1:8" x14ac:dyDescent="0.2">
      <c r="A318" s="72"/>
      <c r="B318" s="76"/>
      <c r="C318" s="73"/>
      <c r="D318" s="73" t="s">
        <v>936</v>
      </c>
      <c r="E318" s="77" t="s">
        <v>109</v>
      </c>
      <c r="F318" s="75" t="s">
        <v>1385</v>
      </c>
      <c r="G318" s="75" t="s">
        <v>1111</v>
      </c>
      <c r="H318" s="69"/>
    </row>
    <row r="319" spans="1:8" ht="15" customHeight="1" x14ac:dyDescent="0.2">
      <c r="A319" s="72"/>
      <c r="B319" s="76"/>
      <c r="C319" s="73"/>
      <c r="D319" s="73" t="s">
        <v>936</v>
      </c>
      <c r="E319" s="77" t="s">
        <v>963</v>
      </c>
      <c r="F319" s="75" t="s">
        <v>1385</v>
      </c>
      <c r="G319" s="75" t="s">
        <v>1111</v>
      </c>
      <c r="H319" s="69"/>
    </row>
    <row r="320" spans="1:8" x14ac:dyDescent="0.2">
      <c r="A320" s="72"/>
      <c r="B320" s="76"/>
      <c r="C320" s="73"/>
      <c r="D320" s="73" t="s">
        <v>936</v>
      </c>
      <c r="E320" s="77" t="s">
        <v>109</v>
      </c>
      <c r="F320" s="75" t="s">
        <v>1440</v>
      </c>
      <c r="G320" s="75" t="s">
        <v>1101</v>
      </c>
      <c r="H320" s="69"/>
    </row>
    <row r="321" spans="1:8" x14ac:dyDescent="0.2">
      <c r="A321" s="72"/>
      <c r="B321" s="76"/>
      <c r="C321" s="73"/>
      <c r="D321" s="73" t="s">
        <v>936</v>
      </c>
      <c r="E321" s="77" t="s">
        <v>963</v>
      </c>
      <c r="F321" s="75" t="s">
        <v>1440</v>
      </c>
      <c r="G321" s="75" t="s">
        <v>1101</v>
      </c>
      <c r="H321" s="69"/>
    </row>
    <row r="322" spans="1:8" x14ac:dyDescent="0.2">
      <c r="A322" s="72"/>
      <c r="B322" s="76"/>
      <c r="C322" s="73"/>
      <c r="D322" s="73" t="s">
        <v>936</v>
      </c>
      <c r="E322" s="77" t="s">
        <v>109</v>
      </c>
      <c r="F322" s="75" t="s">
        <v>1441</v>
      </c>
      <c r="G322" s="75" t="s">
        <v>1101</v>
      </c>
      <c r="H322" s="69"/>
    </row>
    <row r="323" spans="1:8" x14ac:dyDescent="0.2">
      <c r="A323" s="72"/>
      <c r="B323" s="76"/>
      <c r="C323" s="73"/>
      <c r="D323" s="73" t="s">
        <v>936</v>
      </c>
      <c r="E323" s="77" t="s">
        <v>963</v>
      </c>
      <c r="F323" s="75" t="s">
        <v>1441</v>
      </c>
      <c r="G323" s="75" t="s">
        <v>1101</v>
      </c>
      <c r="H323" s="69"/>
    </row>
    <row r="324" spans="1:8" x14ac:dyDescent="0.2">
      <c r="A324" s="72"/>
      <c r="B324" s="76"/>
      <c r="C324" s="73"/>
      <c r="D324" s="73" t="s">
        <v>936</v>
      </c>
      <c r="E324" s="77" t="s">
        <v>109</v>
      </c>
      <c r="F324" s="75" t="s">
        <v>1442</v>
      </c>
      <c r="G324" s="75" t="s">
        <v>1091</v>
      </c>
      <c r="H324" s="69"/>
    </row>
    <row r="325" spans="1:8" x14ac:dyDescent="0.2">
      <c r="A325" s="72"/>
      <c r="B325" s="76"/>
      <c r="C325" s="73"/>
      <c r="D325" s="73" t="s">
        <v>936</v>
      </c>
      <c r="E325" s="77" t="s">
        <v>963</v>
      </c>
      <c r="F325" s="75" t="s">
        <v>1442</v>
      </c>
      <c r="G325" s="75" t="s">
        <v>1091</v>
      </c>
      <c r="H325" s="69"/>
    </row>
    <row r="326" spans="1:8" x14ac:dyDescent="0.2">
      <c r="A326" s="72"/>
      <c r="B326" s="76"/>
      <c r="C326" s="73"/>
      <c r="D326" s="73" t="s">
        <v>936</v>
      </c>
      <c r="E326" s="77" t="s">
        <v>109</v>
      </c>
      <c r="F326" s="75" t="s">
        <v>1443</v>
      </c>
      <c r="G326" s="75" t="s">
        <v>1091</v>
      </c>
      <c r="H326" s="69"/>
    </row>
    <row r="327" spans="1:8" x14ac:dyDescent="0.2">
      <c r="A327" s="72"/>
      <c r="B327" s="76"/>
      <c r="C327" s="73"/>
      <c r="D327" s="73" t="s">
        <v>936</v>
      </c>
      <c r="E327" s="77" t="s">
        <v>963</v>
      </c>
      <c r="F327" s="75" t="s">
        <v>1443</v>
      </c>
      <c r="G327" s="75" t="s">
        <v>1091</v>
      </c>
      <c r="H327" s="69"/>
    </row>
    <row r="328" spans="1:8" ht="16" x14ac:dyDescent="0.2">
      <c r="A328" s="72"/>
      <c r="B328" s="84"/>
      <c r="C328" s="73"/>
      <c r="D328" s="73" t="s">
        <v>933</v>
      </c>
      <c r="E328" s="77" t="s">
        <v>963</v>
      </c>
      <c r="F328" s="75" t="s">
        <v>218</v>
      </c>
      <c r="G328" s="74" t="s">
        <v>1064</v>
      </c>
      <c r="H328" s="69"/>
    </row>
    <row r="329" spans="1:8" ht="16" x14ac:dyDescent="0.2">
      <c r="A329" s="72"/>
      <c r="B329" s="84"/>
      <c r="C329" s="73"/>
      <c r="D329" s="73" t="s">
        <v>933</v>
      </c>
      <c r="E329" s="77" t="s">
        <v>963</v>
      </c>
      <c r="F329" s="75" t="s">
        <v>1444</v>
      </c>
      <c r="G329" s="74" t="s">
        <v>1064</v>
      </c>
      <c r="H329" s="69"/>
    </row>
    <row r="330" spans="1:8" ht="16" x14ac:dyDescent="0.2">
      <c r="A330" s="72"/>
      <c r="B330" s="84"/>
      <c r="C330" s="73"/>
      <c r="D330" s="73" t="s">
        <v>933</v>
      </c>
      <c r="E330" s="77" t="s">
        <v>963</v>
      </c>
      <c r="F330" s="75" t="s">
        <v>1445</v>
      </c>
      <c r="G330" s="74" t="s">
        <v>1064</v>
      </c>
      <c r="H330" s="69"/>
    </row>
    <row r="331" spans="1:8" x14ac:dyDescent="0.2">
      <c r="A331" s="72"/>
      <c r="B331" s="76"/>
      <c r="C331" s="73"/>
      <c r="D331" s="73" t="s">
        <v>933</v>
      </c>
      <c r="E331" s="77" t="s">
        <v>109</v>
      </c>
      <c r="F331" s="75" t="s">
        <v>218</v>
      </c>
      <c r="G331" s="75" t="s">
        <v>1065</v>
      </c>
      <c r="H331" s="69"/>
    </row>
    <row r="332" spans="1:8" x14ac:dyDescent="0.2">
      <c r="A332" s="72"/>
      <c r="B332" s="76"/>
      <c r="C332" s="73"/>
      <c r="D332" s="73" t="s">
        <v>933</v>
      </c>
      <c r="E332" s="77" t="s">
        <v>963</v>
      </c>
      <c r="F332" s="75" t="s">
        <v>218</v>
      </c>
      <c r="G332" s="75" t="s">
        <v>1065</v>
      </c>
      <c r="H332" s="69"/>
    </row>
    <row r="333" spans="1:8" x14ac:dyDescent="0.2">
      <c r="A333" s="72"/>
      <c r="B333" s="76"/>
      <c r="C333" s="73"/>
      <c r="D333" s="73" t="s">
        <v>933</v>
      </c>
      <c r="E333" s="77" t="s">
        <v>125</v>
      </c>
      <c r="F333" s="75" t="s">
        <v>218</v>
      </c>
      <c r="G333" s="75" t="s">
        <v>1065</v>
      </c>
      <c r="H333" s="69"/>
    </row>
    <row r="334" spans="1:8" x14ac:dyDescent="0.2">
      <c r="A334" s="72"/>
      <c r="B334" s="76"/>
      <c r="C334" s="73"/>
      <c r="D334" s="73" t="s">
        <v>933</v>
      </c>
      <c r="E334" s="77" t="s">
        <v>109</v>
      </c>
      <c r="F334" s="75" t="s">
        <v>1444</v>
      </c>
      <c r="G334" s="75" t="s">
        <v>1065</v>
      </c>
      <c r="H334" s="69"/>
    </row>
    <row r="335" spans="1:8" x14ac:dyDescent="0.2">
      <c r="A335" s="72"/>
      <c r="B335" s="76"/>
      <c r="C335" s="73"/>
      <c r="D335" s="73" t="s">
        <v>933</v>
      </c>
      <c r="E335" s="77" t="s">
        <v>963</v>
      </c>
      <c r="F335" s="75" t="s">
        <v>1444</v>
      </c>
      <c r="G335" s="75" t="s">
        <v>1065</v>
      </c>
      <c r="H335" s="69"/>
    </row>
    <row r="336" spans="1:8" x14ac:dyDescent="0.2">
      <c r="A336" s="72"/>
      <c r="B336" s="76"/>
      <c r="C336" s="73"/>
      <c r="D336" s="73" t="s">
        <v>933</v>
      </c>
      <c r="E336" s="77" t="s">
        <v>125</v>
      </c>
      <c r="F336" s="75" t="s">
        <v>1444</v>
      </c>
      <c r="G336" s="75" t="s">
        <v>1065</v>
      </c>
      <c r="H336" s="69"/>
    </row>
    <row r="337" spans="1:8" x14ac:dyDescent="0.2">
      <c r="A337" s="72"/>
      <c r="B337" s="76"/>
      <c r="C337" s="73"/>
      <c r="D337" s="73" t="s">
        <v>933</v>
      </c>
      <c r="E337" s="77" t="s">
        <v>109</v>
      </c>
      <c r="F337" s="75" t="s">
        <v>223</v>
      </c>
      <c r="G337" s="75" t="s">
        <v>1067</v>
      </c>
      <c r="H337" s="69"/>
    </row>
    <row r="338" spans="1:8" x14ac:dyDescent="0.2">
      <c r="A338" s="72"/>
      <c r="B338" s="76"/>
      <c r="C338" s="73"/>
      <c r="D338" s="73" t="s">
        <v>933</v>
      </c>
      <c r="E338" s="77" t="s">
        <v>963</v>
      </c>
      <c r="F338" s="75" t="s">
        <v>223</v>
      </c>
      <c r="G338" s="75" t="s">
        <v>1067</v>
      </c>
      <c r="H338" s="69"/>
    </row>
    <row r="339" spans="1:8" x14ac:dyDescent="0.2">
      <c r="A339" s="72"/>
      <c r="B339" s="76"/>
      <c r="C339" s="73"/>
      <c r="D339" s="73" t="s">
        <v>933</v>
      </c>
      <c r="E339" s="77" t="s">
        <v>125</v>
      </c>
      <c r="F339" s="75" t="s">
        <v>223</v>
      </c>
      <c r="G339" s="75" t="s">
        <v>1067</v>
      </c>
      <c r="H339" s="69"/>
    </row>
    <row r="340" spans="1:8" x14ac:dyDescent="0.2">
      <c r="A340" s="72"/>
      <c r="B340" s="76"/>
      <c r="C340" s="73"/>
      <c r="D340" s="73" t="s">
        <v>933</v>
      </c>
      <c r="E340" s="77" t="s">
        <v>109</v>
      </c>
      <c r="F340" s="75" t="s">
        <v>1446</v>
      </c>
      <c r="G340" s="75" t="s">
        <v>1068</v>
      </c>
      <c r="H340" s="69"/>
    </row>
    <row r="341" spans="1:8" x14ac:dyDescent="0.2">
      <c r="A341" s="72"/>
      <c r="B341" s="76"/>
      <c r="C341" s="73"/>
      <c r="D341" s="73" t="s">
        <v>933</v>
      </c>
      <c r="E341" s="77" t="s">
        <v>963</v>
      </c>
      <c r="F341" s="75" t="s">
        <v>1446</v>
      </c>
      <c r="G341" s="75" t="s">
        <v>1068</v>
      </c>
      <c r="H341" s="69"/>
    </row>
    <row r="342" spans="1:8" x14ac:dyDescent="0.2">
      <c r="A342" s="72"/>
      <c r="B342" s="76"/>
      <c r="C342" s="73"/>
      <c r="D342" s="73" t="s">
        <v>933</v>
      </c>
      <c r="E342" s="77" t="s">
        <v>125</v>
      </c>
      <c r="F342" s="75" t="s">
        <v>1446</v>
      </c>
      <c r="G342" s="75" t="s">
        <v>1068</v>
      </c>
      <c r="H342" s="69"/>
    </row>
    <row r="343" spans="1:8" x14ac:dyDescent="0.2">
      <c r="A343" s="72"/>
      <c r="B343" s="76"/>
      <c r="C343" s="73"/>
      <c r="D343" s="73" t="s">
        <v>933</v>
      </c>
      <c r="E343" s="77" t="s">
        <v>109</v>
      </c>
      <c r="F343" s="75" t="s">
        <v>1447</v>
      </c>
      <c r="G343" s="75" t="s">
        <v>1070</v>
      </c>
      <c r="H343" s="69"/>
    </row>
    <row r="344" spans="1:8" x14ac:dyDescent="0.2">
      <c r="A344" s="72"/>
      <c r="B344" s="76"/>
      <c r="C344" s="73"/>
      <c r="D344" s="73" t="s">
        <v>933</v>
      </c>
      <c r="E344" s="77" t="s">
        <v>963</v>
      </c>
      <c r="F344" s="75" t="s">
        <v>1447</v>
      </c>
      <c r="G344" s="75" t="s">
        <v>1070</v>
      </c>
      <c r="H344" s="69"/>
    </row>
    <row r="345" spans="1:8" x14ac:dyDescent="0.2">
      <c r="A345" s="72"/>
      <c r="B345" s="76"/>
      <c r="C345" s="73"/>
      <c r="D345" s="73" t="s">
        <v>933</v>
      </c>
      <c r="E345" s="77" t="s">
        <v>125</v>
      </c>
      <c r="F345" s="75" t="s">
        <v>1447</v>
      </c>
      <c r="G345" s="75" t="s">
        <v>1070</v>
      </c>
      <c r="H345" s="69"/>
    </row>
    <row r="346" spans="1:8" x14ac:dyDescent="0.2">
      <c r="A346" s="72"/>
      <c r="B346" s="76"/>
      <c r="C346" s="73"/>
      <c r="D346" s="73" t="s">
        <v>933</v>
      </c>
      <c r="E346" s="77" t="s">
        <v>109</v>
      </c>
      <c r="F346" s="75" t="s">
        <v>1448</v>
      </c>
      <c r="G346" s="75" t="s">
        <v>1070</v>
      </c>
      <c r="H346" s="69"/>
    </row>
    <row r="347" spans="1:8" x14ac:dyDescent="0.2">
      <c r="A347" s="72"/>
      <c r="B347" s="76"/>
      <c r="C347" s="73"/>
      <c r="D347" s="73" t="s">
        <v>933</v>
      </c>
      <c r="E347" s="77" t="s">
        <v>963</v>
      </c>
      <c r="F347" s="75" t="s">
        <v>1448</v>
      </c>
      <c r="G347" s="75" t="s">
        <v>1070</v>
      </c>
      <c r="H347" s="69"/>
    </row>
    <row r="348" spans="1:8" x14ac:dyDescent="0.2">
      <c r="A348" s="72"/>
      <c r="B348" s="76"/>
      <c r="C348" s="73"/>
      <c r="D348" s="73" t="s">
        <v>933</v>
      </c>
      <c r="E348" s="77" t="s">
        <v>125</v>
      </c>
      <c r="F348" s="75" t="s">
        <v>1448</v>
      </c>
      <c r="G348" s="75" t="s">
        <v>1070</v>
      </c>
      <c r="H348" s="69"/>
    </row>
    <row r="349" spans="1:8" x14ac:dyDescent="0.2">
      <c r="A349" s="72"/>
      <c r="B349" s="76"/>
      <c r="C349" s="73"/>
      <c r="D349" s="73" t="s">
        <v>933</v>
      </c>
      <c r="E349" s="77" t="s">
        <v>109</v>
      </c>
      <c r="F349" s="75" t="s">
        <v>1449</v>
      </c>
      <c r="G349" s="75" t="s">
        <v>1070</v>
      </c>
      <c r="H349" s="69"/>
    </row>
    <row r="350" spans="1:8" x14ac:dyDescent="0.2">
      <c r="A350" s="72"/>
      <c r="B350" s="76"/>
      <c r="C350" s="73"/>
      <c r="D350" s="73" t="s">
        <v>933</v>
      </c>
      <c r="E350" s="77" t="s">
        <v>963</v>
      </c>
      <c r="F350" s="75" t="s">
        <v>1449</v>
      </c>
      <c r="G350" s="75" t="s">
        <v>1070</v>
      </c>
      <c r="H350" s="69"/>
    </row>
    <row r="351" spans="1:8" x14ac:dyDescent="0.2">
      <c r="A351" s="72"/>
      <c r="B351" s="76"/>
      <c r="C351" s="73"/>
      <c r="D351" s="73" t="s">
        <v>933</v>
      </c>
      <c r="E351" s="77" t="s">
        <v>125</v>
      </c>
      <c r="F351" s="75" t="s">
        <v>1449</v>
      </c>
      <c r="G351" s="75" t="s">
        <v>1070</v>
      </c>
      <c r="H351" s="69"/>
    </row>
    <row r="352" spans="1:8" x14ac:dyDescent="0.2">
      <c r="A352" s="72"/>
      <c r="B352" s="76"/>
      <c r="C352" s="73"/>
      <c r="D352" s="73" t="s">
        <v>933</v>
      </c>
      <c r="E352" s="77" t="s">
        <v>109</v>
      </c>
      <c r="F352" s="75" t="s">
        <v>1450</v>
      </c>
      <c r="G352" s="75" t="s">
        <v>1069</v>
      </c>
      <c r="H352" s="69"/>
    </row>
    <row r="353" spans="1:8" x14ac:dyDescent="0.2">
      <c r="A353" s="72"/>
      <c r="B353" s="76"/>
      <c r="C353" s="73"/>
      <c r="D353" s="73" t="s">
        <v>933</v>
      </c>
      <c r="E353" s="77" t="s">
        <v>963</v>
      </c>
      <c r="F353" s="75" t="s">
        <v>1450</v>
      </c>
      <c r="G353" s="75" t="s">
        <v>1069</v>
      </c>
      <c r="H353" s="69"/>
    </row>
    <row r="354" spans="1:8" x14ac:dyDescent="0.2">
      <c r="A354" s="72"/>
      <c r="B354" s="76"/>
      <c r="C354" s="73"/>
      <c r="D354" s="73" t="s">
        <v>933</v>
      </c>
      <c r="E354" s="77" t="s">
        <v>125</v>
      </c>
      <c r="F354" s="75" t="s">
        <v>1450</v>
      </c>
      <c r="G354" s="75" t="s">
        <v>1069</v>
      </c>
      <c r="H354" s="69"/>
    </row>
    <row r="355" spans="1:8" x14ac:dyDescent="0.2">
      <c r="A355" s="72"/>
      <c r="B355" s="76"/>
      <c r="C355" s="73"/>
      <c r="D355" s="73" t="s">
        <v>933</v>
      </c>
      <c r="E355" s="77" t="s">
        <v>109</v>
      </c>
      <c r="F355" s="75" t="s">
        <v>1451</v>
      </c>
      <c r="G355" s="75" t="s">
        <v>1069</v>
      </c>
      <c r="H355" s="69"/>
    </row>
    <row r="356" spans="1:8" x14ac:dyDescent="0.2">
      <c r="A356" s="72"/>
      <c r="B356" s="76"/>
      <c r="C356" s="73"/>
      <c r="D356" s="73" t="s">
        <v>933</v>
      </c>
      <c r="E356" s="77" t="s">
        <v>963</v>
      </c>
      <c r="F356" s="75" t="s">
        <v>1451</v>
      </c>
      <c r="G356" s="75" t="s">
        <v>1069</v>
      </c>
      <c r="H356" s="69"/>
    </row>
    <row r="357" spans="1:8" x14ac:dyDescent="0.2">
      <c r="A357" s="72"/>
      <c r="B357" s="76"/>
      <c r="C357" s="73"/>
      <c r="D357" s="73" t="s">
        <v>933</v>
      </c>
      <c r="E357" s="77" t="s">
        <v>125</v>
      </c>
      <c r="F357" s="75" t="s">
        <v>1451</v>
      </c>
      <c r="G357" s="75" t="s">
        <v>1069</v>
      </c>
      <c r="H357" s="69"/>
    </row>
    <row r="358" spans="1:8" x14ac:dyDescent="0.2">
      <c r="A358" s="72"/>
      <c r="B358" s="76"/>
      <c r="C358" s="73"/>
      <c r="D358" s="73" t="s">
        <v>933</v>
      </c>
      <c r="E358" s="77" t="s">
        <v>109</v>
      </c>
      <c r="F358" s="75" t="s">
        <v>1452</v>
      </c>
      <c r="G358" s="75" t="s">
        <v>1069</v>
      </c>
      <c r="H358" s="69"/>
    </row>
    <row r="359" spans="1:8" x14ac:dyDescent="0.2">
      <c r="A359" s="72"/>
      <c r="B359" s="76"/>
      <c r="C359" s="73"/>
      <c r="D359" s="73" t="s">
        <v>933</v>
      </c>
      <c r="E359" s="77" t="s">
        <v>963</v>
      </c>
      <c r="F359" s="75" t="s">
        <v>1452</v>
      </c>
      <c r="G359" s="75" t="s">
        <v>1069</v>
      </c>
      <c r="H359" s="69"/>
    </row>
    <row r="360" spans="1:8" x14ac:dyDescent="0.2">
      <c r="A360" s="72"/>
      <c r="B360" s="76"/>
      <c r="C360" s="73"/>
      <c r="D360" s="73" t="s">
        <v>933</v>
      </c>
      <c r="E360" s="77" t="s">
        <v>125</v>
      </c>
      <c r="F360" s="75" t="s">
        <v>1452</v>
      </c>
      <c r="G360" s="75" t="s">
        <v>1069</v>
      </c>
      <c r="H360" s="69"/>
    </row>
    <row r="361" spans="1:8" x14ac:dyDescent="0.2">
      <c r="A361" s="72"/>
      <c r="B361" s="76"/>
      <c r="C361" s="73"/>
      <c r="D361" s="73" t="s">
        <v>933</v>
      </c>
      <c r="E361" s="77" t="s">
        <v>109</v>
      </c>
      <c r="F361" s="75" t="s">
        <v>1453</v>
      </c>
      <c r="G361" s="75" t="s">
        <v>1069</v>
      </c>
      <c r="H361" s="69"/>
    </row>
    <row r="362" spans="1:8" x14ac:dyDescent="0.2">
      <c r="A362" s="72"/>
      <c r="B362" s="76"/>
      <c r="C362" s="73"/>
      <c r="D362" s="73" t="s">
        <v>933</v>
      </c>
      <c r="E362" s="77" t="s">
        <v>963</v>
      </c>
      <c r="F362" s="75" t="s">
        <v>1453</v>
      </c>
      <c r="G362" s="75" t="s">
        <v>1069</v>
      </c>
      <c r="H362" s="69"/>
    </row>
    <row r="363" spans="1:8" x14ac:dyDescent="0.2">
      <c r="A363" s="72"/>
      <c r="B363" s="76"/>
      <c r="C363" s="73"/>
      <c r="D363" s="73" t="s">
        <v>933</v>
      </c>
      <c r="E363" s="77" t="s">
        <v>125</v>
      </c>
      <c r="F363" s="75" t="s">
        <v>1453</v>
      </c>
      <c r="G363" s="75" t="s">
        <v>1069</v>
      </c>
      <c r="H363" s="69"/>
    </row>
    <row r="364" spans="1:8" ht="16" x14ac:dyDescent="0.2">
      <c r="A364" s="72"/>
      <c r="B364" s="84"/>
      <c r="C364" s="73"/>
      <c r="D364" s="73" t="s">
        <v>933</v>
      </c>
      <c r="E364" s="77" t="s">
        <v>109</v>
      </c>
      <c r="F364" s="75" t="s">
        <v>1454</v>
      </c>
      <c r="G364" s="74" t="s">
        <v>992</v>
      </c>
      <c r="H364" s="69"/>
    </row>
    <row r="365" spans="1:8" ht="16" x14ac:dyDescent="0.2">
      <c r="A365" s="72"/>
      <c r="B365" s="84"/>
      <c r="C365" s="73"/>
      <c r="D365" s="73" t="s">
        <v>933</v>
      </c>
      <c r="E365" s="77" t="s">
        <v>963</v>
      </c>
      <c r="F365" s="75" t="s">
        <v>1454</v>
      </c>
      <c r="G365" s="74" t="s">
        <v>992</v>
      </c>
      <c r="H365" s="69"/>
    </row>
    <row r="366" spans="1:8" ht="16" x14ac:dyDescent="0.2">
      <c r="A366" s="72"/>
      <c r="B366" s="84"/>
      <c r="C366" s="73"/>
      <c r="D366" s="73" t="s">
        <v>933</v>
      </c>
      <c r="E366" s="77" t="s">
        <v>125</v>
      </c>
      <c r="F366" s="75" t="s">
        <v>1454</v>
      </c>
      <c r="G366" s="74" t="s">
        <v>992</v>
      </c>
      <c r="H366" s="69"/>
    </row>
    <row r="367" spans="1:8" ht="16" x14ac:dyDescent="0.2">
      <c r="A367" s="72"/>
      <c r="B367" s="84"/>
      <c r="C367" s="73"/>
      <c r="D367" s="73" t="s">
        <v>933</v>
      </c>
      <c r="E367" s="77" t="s">
        <v>109</v>
      </c>
      <c r="F367" s="75" t="s">
        <v>1456</v>
      </c>
      <c r="G367" s="74" t="s">
        <v>992</v>
      </c>
      <c r="H367" s="69"/>
    </row>
    <row r="368" spans="1:8" ht="16" x14ac:dyDescent="0.2">
      <c r="A368" s="72"/>
      <c r="B368" s="84"/>
      <c r="C368" s="73"/>
      <c r="D368" s="73" t="s">
        <v>933</v>
      </c>
      <c r="E368" s="77" t="s">
        <v>963</v>
      </c>
      <c r="F368" s="75" t="s">
        <v>1456</v>
      </c>
      <c r="G368" s="74" t="s">
        <v>992</v>
      </c>
      <c r="H368" s="69"/>
    </row>
    <row r="369" spans="1:8" ht="16" x14ac:dyDescent="0.2">
      <c r="A369" s="72"/>
      <c r="B369" s="84"/>
      <c r="C369" s="73"/>
      <c r="D369" s="73" t="s">
        <v>933</v>
      </c>
      <c r="E369" s="77" t="s">
        <v>125</v>
      </c>
      <c r="F369" s="75" t="s">
        <v>1456</v>
      </c>
      <c r="G369" s="74" t="s">
        <v>992</v>
      </c>
      <c r="H369" s="69"/>
    </row>
    <row r="370" spans="1:8" ht="16" x14ac:dyDescent="0.2">
      <c r="A370" s="72"/>
      <c r="B370" s="84"/>
      <c r="C370" s="73"/>
      <c r="D370" s="73" t="s">
        <v>933</v>
      </c>
      <c r="E370" s="77" t="s">
        <v>109</v>
      </c>
      <c r="F370" s="75" t="s">
        <v>1457</v>
      </c>
      <c r="G370" s="74" t="s">
        <v>1066</v>
      </c>
      <c r="H370" s="69"/>
    </row>
    <row r="371" spans="1:8" ht="16" x14ac:dyDescent="0.2">
      <c r="A371" s="72"/>
      <c r="B371" s="84"/>
      <c r="C371" s="73"/>
      <c r="D371" s="73" t="s">
        <v>933</v>
      </c>
      <c r="E371" s="77" t="s">
        <v>963</v>
      </c>
      <c r="F371" s="75" t="s">
        <v>1457</v>
      </c>
      <c r="G371" s="74" t="s">
        <v>1066</v>
      </c>
      <c r="H371" s="69"/>
    </row>
    <row r="372" spans="1:8" ht="16" x14ac:dyDescent="0.2">
      <c r="A372" s="72"/>
      <c r="B372" s="84"/>
      <c r="C372" s="73"/>
      <c r="D372" s="73" t="s">
        <v>933</v>
      </c>
      <c r="E372" s="77" t="s">
        <v>125</v>
      </c>
      <c r="F372" s="75" t="s">
        <v>1457</v>
      </c>
      <c r="G372" s="74" t="s">
        <v>1066</v>
      </c>
      <c r="H372" s="69"/>
    </row>
    <row r="373" spans="1:8" ht="16" x14ac:dyDescent="0.2">
      <c r="A373" s="72"/>
      <c r="B373" s="84"/>
      <c r="C373" s="73"/>
      <c r="D373" s="73" t="s">
        <v>933</v>
      </c>
      <c r="E373" s="77" t="s">
        <v>109</v>
      </c>
      <c r="F373" s="75" t="s">
        <v>1458</v>
      </c>
      <c r="G373" s="74" t="s">
        <v>1066</v>
      </c>
      <c r="H373" s="69"/>
    </row>
    <row r="374" spans="1:8" ht="16" x14ac:dyDescent="0.2">
      <c r="A374" s="72"/>
      <c r="B374" s="84"/>
      <c r="C374" s="73"/>
      <c r="D374" s="73" t="s">
        <v>933</v>
      </c>
      <c r="E374" s="77" t="s">
        <v>963</v>
      </c>
      <c r="F374" s="75" t="s">
        <v>1458</v>
      </c>
      <c r="G374" s="74" t="s">
        <v>1066</v>
      </c>
      <c r="H374" s="69"/>
    </row>
    <row r="375" spans="1:8" ht="16" x14ac:dyDescent="0.2">
      <c r="A375" s="72"/>
      <c r="B375" s="84"/>
      <c r="C375" s="73"/>
      <c r="D375" s="73" t="s">
        <v>933</v>
      </c>
      <c r="E375" s="77" t="s">
        <v>125</v>
      </c>
      <c r="F375" s="75" t="s">
        <v>1458</v>
      </c>
      <c r="G375" s="74" t="s">
        <v>1066</v>
      </c>
      <c r="H375" s="69"/>
    </row>
    <row r="376" spans="1:8" ht="16" x14ac:dyDescent="0.2">
      <c r="A376" s="72"/>
      <c r="B376" s="84"/>
      <c r="C376" s="73"/>
      <c r="D376" s="73" t="s">
        <v>933</v>
      </c>
      <c r="E376" s="77" t="s">
        <v>125</v>
      </c>
      <c r="F376" s="75" t="s">
        <v>1459</v>
      </c>
      <c r="G376" s="74" t="s">
        <v>991</v>
      </c>
      <c r="H376" s="69"/>
    </row>
    <row r="377" spans="1:8" ht="16" x14ac:dyDescent="0.2">
      <c r="A377" s="72"/>
      <c r="B377" s="84"/>
      <c r="C377" s="73"/>
      <c r="D377" s="73" t="s">
        <v>933</v>
      </c>
      <c r="E377" s="77" t="s">
        <v>109</v>
      </c>
      <c r="F377" s="75" t="s">
        <v>1459</v>
      </c>
      <c r="G377" s="74" t="s">
        <v>991</v>
      </c>
      <c r="H377" s="69"/>
    </row>
    <row r="378" spans="1:8" ht="16" x14ac:dyDescent="0.2">
      <c r="A378" s="72"/>
      <c r="B378" s="84"/>
      <c r="C378" s="73"/>
      <c r="D378" s="73" t="s">
        <v>933</v>
      </c>
      <c r="E378" s="77" t="s">
        <v>963</v>
      </c>
      <c r="F378" s="75" t="s">
        <v>1459</v>
      </c>
      <c r="G378" s="74" t="s">
        <v>991</v>
      </c>
      <c r="H378" s="69"/>
    </row>
    <row r="379" spans="1:8" ht="16" x14ac:dyDescent="0.2">
      <c r="A379" s="72"/>
      <c r="B379" s="76"/>
      <c r="C379" s="73"/>
      <c r="D379" s="73" t="s">
        <v>932</v>
      </c>
      <c r="E379" s="77" t="s">
        <v>93</v>
      </c>
      <c r="F379" s="75" t="s">
        <v>1997</v>
      </c>
      <c r="G379" s="74" t="s">
        <v>1062</v>
      </c>
      <c r="H379" s="69"/>
    </row>
    <row r="380" spans="1:8" ht="16" x14ac:dyDescent="0.2">
      <c r="A380" s="72"/>
      <c r="B380" s="76"/>
      <c r="C380" s="73"/>
      <c r="D380" s="73" t="s">
        <v>932</v>
      </c>
      <c r="E380" s="77" t="s">
        <v>134</v>
      </c>
      <c r="F380" s="75" t="s">
        <v>1997</v>
      </c>
      <c r="G380" s="74" t="s">
        <v>1062</v>
      </c>
      <c r="H380" s="69"/>
    </row>
    <row r="381" spans="1:8" ht="16" x14ac:dyDescent="0.2">
      <c r="A381" s="72"/>
      <c r="B381" s="76"/>
      <c r="C381" s="73"/>
      <c r="D381" s="73" t="s">
        <v>932</v>
      </c>
      <c r="E381" s="77" t="s">
        <v>93</v>
      </c>
      <c r="F381" s="75" t="s">
        <v>279</v>
      </c>
      <c r="G381" s="74" t="s">
        <v>1062</v>
      </c>
      <c r="H381" s="69"/>
    </row>
    <row r="382" spans="1:8" ht="16" x14ac:dyDescent="0.2">
      <c r="A382" s="72"/>
      <c r="B382" s="76"/>
      <c r="C382" s="73"/>
      <c r="D382" s="73" t="s">
        <v>932</v>
      </c>
      <c r="E382" s="77" t="s">
        <v>134</v>
      </c>
      <c r="F382" s="75" t="s">
        <v>279</v>
      </c>
      <c r="G382" s="74" t="s">
        <v>1062</v>
      </c>
      <c r="H382" s="69"/>
    </row>
    <row r="383" spans="1:8" ht="16" x14ac:dyDescent="0.2">
      <c r="A383" s="72"/>
      <c r="B383" s="76"/>
      <c r="C383" s="73"/>
      <c r="D383" s="73" t="s">
        <v>932</v>
      </c>
      <c r="E383" s="77" t="s">
        <v>93</v>
      </c>
      <c r="F383" s="75" t="s">
        <v>2019</v>
      </c>
      <c r="G383" s="74" t="s">
        <v>1062</v>
      </c>
      <c r="H383" s="69"/>
    </row>
    <row r="384" spans="1:8" ht="16" x14ac:dyDescent="0.2">
      <c r="A384" s="72"/>
      <c r="B384" s="76"/>
      <c r="C384" s="73"/>
      <c r="D384" s="73" t="s">
        <v>932</v>
      </c>
      <c r="E384" s="77" t="s">
        <v>134</v>
      </c>
      <c r="F384" s="75" t="s">
        <v>2019</v>
      </c>
      <c r="G384" s="74" t="s">
        <v>1062</v>
      </c>
      <c r="H384" s="69"/>
    </row>
    <row r="385" spans="1:8" ht="16" x14ac:dyDescent="0.2">
      <c r="A385" s="72"/>
      <c r="B385" s="76"/>
      <c r="C385" s="73"/>
      <c r="D385" s="73" t="s">
        <v>932</v>
      </c>
      <c r="E385" s="77" t="s">
        <v>93</v>
      </c>
      <c r="F385" s="75" t="s">
        <v>2020</v>
      </c>
      <c r="G385" s="74" t="s">
        <v>1062</v>
      </c>
      <c r="H385" s="69"/>
    </row>
    <row r="386" spans="1:8" ht="16" x14ac:dyDescent="0.2">
      <c r="A386" s="72"/>
      <c r="B386" s="76"/>
      <c r="C386" s="73"/>
      <c r="D386" s="73" t="s">
        <v>932</v>
      </c>
      <c r="E386" s="77" t="s">
        <v>134</v>
      </c>
      <c r="F386" s="75" t="s">
        <v>2020</v>
      </c>
      <c r="G386" s="74" t="s">
        <v>1062</v>
      </c>
      <c r="H386" s="69"/>
    </row>
    <row r="387" spans="1:8" ht="16" x14ac:dyDescent="0.2">
      <c r="A387" s="72"/>
      <c r="B387" s="76"/>
      <c r="C387" s="73"/>
      <c r="D387" s="73" t="s">
        <v>932</v>
      </c>
      <c r="E387" s="77" t="s">
        <v>93</v>
      </c>
      <c r="F387" s="75" t="s">
        <v>2021</v>
      </c>
      <c r="G387" s="74" t="s">
        <v>1062</v>
      </c>
      <c r="H387" s="69"/>
    </row>
    <row r="388" spans="1:8" ht="16" x14ac:dyDescent="0.2">
      <c r="A388" s="72"/>
      <c r="B388" s="76"/>
      <c r="C388" s="73"/>
      <c r="D388" s="73" t="s">
        <v>932</v>
      </c>
      <c r="E388" s="77" t="s">
        <v>134</v>
      </c>
      <c r="F388" s="75" t="s">
        <v>2021</v>
      </c>
      <c r="G388" s="74" t="s">
        <v>1062</v>
      </c>
      <c r="H388" s="69"/>
    </row>
    <row r="389" spans="1:8" ht="16" x14ac:dyDescent="0.2">
      <c r="A389" s="72"/>
      <c r="B389" s="84"/>
      <c r="C389" s="73"/>
      <c r="D389" s="73" t="s">
        <v>932</v>
      </c>
      <c r="E389" s="77" t="s">
        <v>93</v>
      </c>
      <c r="F389" s="75" t="s">
        <v>2024</v>
      </c>
      <c r="G389" s="74" t="s">
        <v>988</v>
      </c>
      <c r="H389" s="69"/>
    </row>
    <row r="390" spans="1:8" ht="16" x14ac:dyDescent="0.2">
      <c r="A390" s="72"/>
      <c r="B390" s="84"/>
      <c r="C390" s="73"/>
      <c r="D390" s="73" t="s">
        <v>932</v>
      </c>
      <c r="E390" s="77" t="s">
        <v>134</v>
      </c>
      <c r="F390" s="75" t="s">
        <v>2024</v>
      </c>
      <c r="G390" s="74" t="s">
        <v>988</v>
      </c>
      <c r="H390" s="69"/>
    </row>
    <row r="391" spans="1:8" ht="16" x14ac:dyDescent="0.2">
      <c r="A391" s="72"/>
      <c r="B391" s="76"/>
      <c r="C391" s="73"/>
      <c r="D391" s="73" t="s">
        <v>932</v>
      </c>
      <c r="E391" s="77" t="s">
        <v>102</v>
      </c>
      <c r="F391" s="75" t="s">
        <v>1997</v>
      </c>
      <c r="G391" s="74" t="s">
        <v>373</v>
      </c>
      <c r="H391" s="69"/>
    </row>
    <row r="392" spans="1:8" ht="16" x14ac:dyDescent="0.2">
      <c r="A392" s="72"/>
      <c r="B392" s="76"/>
      <c r="C392" s="73"/>
      <c r="D392" s="73" t="s">
        <v>932</v>
      </c>
      <c r="E392" s="77" t="s">
        <v>102</v>
      </c>
      <c r="F392" s="75" t="s">
        <v>279</v>
      </c>
      <c r="G392" s="74" t="s">
        <v>373</v>
      </c>
      <c r="H392" s="69"/>
    </row>
    <row r="393" spans="1:8" ht="16" x14ac:dyDescent="0.2">
      <c r="A393" s="72"/>
      <c r="B393" s="76"/>
      <c r="C393" s="73"/>
      <c r="D393" s="73" t="s">
        <v>932</v>
      </c>
      <c r="E393" s="77" t="s">
        <v>102</v>
      </c>
      <c r="F393" s="75" t="s">
        <v>2019</v>
      </c>
      <c r="G393" s="74" t="s">
        <v>373</v>
      </c>
      <c r="H393" s="69"/>
    </row>
    <row r="394" spans="1:8" ht="16" x14ac:dyDescent="0.2">
      <c r="A394" s="72"/>
      <c r="B394" s="76"/>
      <c r="C394" s="73"/>
      <c r="D394" s="73" t="s">
        <v>932</v>
      </c>
      <c r="E394" s="77" t="s">
        <v>102</v>
      </c>
      <c r="F394" s="75" t="s">
        <v>2020</v>
      </c>
      <c r="G394" s="74" t="s">
        <v>373</v>
      </c>
      <c r="H394" s="69"/>
    </row>
    <row r="395" spans="1:8" ht="16" x14ac:dyDescent="0.2">
      <c r="A395" s="72"/>
      <c r="B395" s="76"/>
      <c r="C395" s="73"/>
      <c r="D395" s="73" t="s">
        <v>932</v>
      </c>
      <c r="E395" s="77" t="s">
        <v>102</v>
      </c>
      <c r="F395" s="75" t="s">
        <v>2021</v>
      </c>
      <c r="G395" s="74" t="s">
        <v>373</v>
      </c>
      <c r="H395" s="69"/>
    </row>
    <row r="396" spans="1:8" ht="16" x14ac:dyDescent="0.2">
      <c r="A396" s="72"/>
      <c r="B396" s="76"/>
      <c r="C396" s="73"/>
      <c r="D396" s="73" t="s">
        <v>932</v>
      </c>
      <c r="E396" s="77" t="s">
        <v>102</v>
      </c>
      <c r="F396" s="75" t="s">
        <v>2027</v>
      </c>
      <c r="G396" s="74" t="s">
        <v>373</v>
      </c>
      <c r="H396" s="69"/>
    </row>
    <row r="397" spans="1:8" ht="16" x14ac:dyDescent="0.2">
      <c r="A397" s="72"/>
      <c r="B397" s="76"/>
      <c r="C397" s="73"/>
      <c r="D397" s="73" t="s">
        <v>932</v>
      </c>
      <c r="E397" s="77" t="s">
        <v>102</v>
      </c>
      <c r="F397" s="75" t="s">
        <v>2028</v>
      </c>
      <c r="G397" s="74" t="s">
        <v>373</v>
      </c>
      <c r="H397" s="69"/>
    </row>
    <row r="398" spans="1:8" ht="16" x14ac:dyDescent="0.2">
      <c r="A398" s="72"/>
      <c r="B398" s="76"/>
      <c r="C398" s="73"/>
      <c r="D398" s="73" t="s">
        <v>932</v>
      </c>
      <c r="E398" s="77" t="s">
        <v>102</v>
      </c>
      <c r="F398" s="75" t="s">
        <v>2029</v>
      </c>
      <c r="G398" s="74" t="s">
        <v>373</v>
      </c>
      <c r="H398" s="69"/>
    </row>
    <row r="399" spans="1:8" ht="16" x14ac:dyDescent="0.2">
      <c r="A399" s="72"/>
      <c r="B399" s="76"/>
      <c r="C399" s="73"/>
      <c r="D399" s="73" t="s">
        <v>932</v>
      </c>
      <c r="E399" s="77" t="s">
        <v>102</v>
      </c>
      <c r="F399" s="75" t="s">
        <v>2030</v>
      </c>
      <c r="G399" s="74" t="s">
        <v>373</v>
      </c>
      <c r="H399" s="69"/>
    </row>
    <row r="400" spans="1:8" x14ac:dyDescent="0.2">
      <c r="A400" s="72"/>
      <c r="B400" s="76"/>
      <c r="C400" s="73"/>
      <c r="D400" s="73" t="s">
        <v>932</v>
      </c>
      <c r="E400" s="77" t="s">
        <v>109</v>
      </c>
      <c r="F400" s="75" t="s">
        <v>1997</v>
      </c>
      <c r="G400" s="75" t="s">
        <v>1063</v>
      </c>
      <c r="H400" s="69"/>
    </row>
    <row r="401" spans="1:8" x14ac:dyDescent="0.2">
      <c r="A401" s="72"/>
      <c r="B401" s="76"/>
      <c r="C401" s="73"/>
      <c r="D401" s="73" t="s">
        <v>932</v>
      </c>
      <c r="E401" s="77" t="s">
        <v>963</v>
      </c>
      <c r="F401" s="75" t="s">
        <v>1997</v>
      </c>
      <c r="G401" s="75" t="s">
        <v>1063</v>
      </c>
      <c r="H401" s="69"/>
    </row>
    <row r="402" spans="1:8" x14ac:dyDescent="0.2">
      <c r="A402" s="72"/>
      <c r="B402" s="76"/>
      <c r="C402" s="73"/>
      <c r="D402" s="73" t="s">
        <v>932</v>
      </c>
      <c r="E402" s="77" t="s">
        <v>116</v>
      </c>
      <c r="F402" s="75" t="s">
        <v>1997</v>
      </c>
      <c r="G402" s="75" t="s">
        <v>1063</v>
      </c>
      <c r="H402" s="69"/>
    </row>
    <row r="403" spans="1:8" x14ac:dyDescent="0.2">
      <c r="A403" s="72"/>
      <c r="B403" s="76"/>
      <c r="C403" s="73"/>
      <c r="D403" s="73" t="s">
        <v>932</v>
      </c>
      <c r="E403" s="77" t="s">
        <v>109</v>
      </c>
      <c r="F403" s="75" t="s">
        <v>2019</v>
      </c>
      <c r="G403" s="75" t="s">
        <v>1063</v>
      </c>
      <c r="H403" s="69"/>
    </row>
    <row r="404" spans="1:8" x14ac:dyDescent="0.2">
      <c r="A404" s="72"/>
      <c r="B404" s="76"/>
      <c r="C404" s="73"/>
      <c r="D404" s="73" t="s">
        <v>932</v>
      </c>
      <c r="E404" s="77" t="s">
        <v>963</v>
      </c>
      <c r="F404" s="75" t="s">
        <v>2019</v>
      </c>
      <c r="G404" s="75" t="s">
        <v>1063</v>
      </c>
      <c r="H404" s="69"/>
    </row>
    <row r="405" spans="1:8" x14ac:dyDescent="0.2">
      <c r="A405" s="72"/>
      <c r="B405" s="76"/>
      <c r="C405" s="73"/>
      <c r="D405" s="73" t="s">
        <v>932</v>
      </c>
      <c r="E405" s="77" t="s">
        <v>116</v>
      </c>
      <c r="F405" s="75" t="s">
        <v>2019</v>
      </c>
      <c r="G405" s="75" t="s">
        <v>1063</v>
      </c>
      <c r="H405" s="69"/>
    </row>
    <row r="406" spans="1:8" x14ac:dyDescent="0.2">
      <c r="A406" s="72"/>
      <c r="B406" s="76"/>
      <c r="C406" s="73"/>
      <c r="D406" s="73" t="s">
        <v>932</v>
      </c>
      <c r="E406" s="77" t="s">
        <v>109</v>
      </c>
      <c r="F406" s="75" t="s">
        <v>2020</v>
      </c>
      <c r="G406" s="75" t="s">
        <v>1063</v>
      </c>
      <c r="H406" s="69"/>
    </row>
    <row r="407" spans="1:8" x14ac:dyDescent="0.2">
      <c r="A407" s="72"/>
      <c r="B407" s="76"/>
      <c r="C407" s="73"/>
      <c r="D407" s="73" t="s">
        <v>932</v>
      </c>
      <c r="E407" s="77" t="s">
        <v>963</v>
      </c>
      <c r="F407" s="75" t="s">
        <v>2020</v>
      </c>
      <c r="G407" s="75" t="s">
        <v>1063</v>
      </c>
      <c r="H407" s="69"/>
    </row>
    <row r="408" spans="1:8" x14ac:dyDescent="0.2">
      <c r="A408" s="72"/>
      <c r="B408" s="76"/>
      <c r="C408" s="73"/>
      <c r="D408" s="73" t="s">
        <v>932</v>
      </c>
      <c r="E408" s="77" t="s">
        <v>116</v>
      </c>
      <c r="F408" s="75" t="s">
        <v>2020</v>
      </c>
      <c r="G408" s="75" t="s">
        <v>1063</v>
      </c>
      <c r="H408" s="69"/>
    </row>
    <row r="409" spans="1:8" x14ac:dyDescent="0.2">
      <c r="A409" s="72"/>
      <c r="B409" s="76"/>
      <c r="C409" s="73"/>
      <c r="D409" s="73" t="s">
        <v>932</v>
      </c>
      <c r="E409" s="77" t="s">
        <v>109</v>
      </c>
      <c r="F409" s="75" t="s">
        <v>2021</v>
      </c>
      <c r="G409" s="75" t="s">
        <v>1063</v>
      </c>
      <c r="H409" s="69"/>
    </row>
    <row r="410" spans="1:8" x14ac:dyDescent="0.2">
      <c r="A410" s="72"/>
      <c r="B410" s="76"/>
      <c r="C410" s="73"/>
      <c r="D410" s="73" t="s">
        <v>932</v>
      </c>
      <c r="E410" s="77" t="s">
        <v>963</v>
      </c>
      <c r="F410" s="75" t="s">
        <v>2021</v>
      </c>
      <c r="G410" s="75" t="s">
        <v>1063</v>
      </c>
      <c r="H410" s="69"/>
    </row>
    <row r="411" spans="1:8" x14ac:dyDescent="0.2">
      <c r="A411" s="72"/>
      <c r="B411" s="76"/>
      <c r="C411" s="73"/>
      <c r="D411" s="73" t="s">
        <v>932</v>
      </c>
      <c r="E411" s="77" t="s">
        <v>116</v>
      </c>
      <c r="F411" s="75" t="s">
        <v>2021</v>
      </c>
      <c r="G411" s="75" t="s">
        <v>1063</v>
      </c>
      <c r="H411" s="69"/>
    </row>
    <row r="412" spans="1:8" x14ac:dyDescent="0.2">
      <c r="A412" s="72"/>
      <c r="B412" s="76"/>
      <c r="C412" s="73"/>
      <c r="D412" s="73" t="s">
        <v>932</v>
      </c>
      <c r="E412" s="77" t="s">
        <v>109</v>
      </c>
      <c r="F412" s="75" t="s">
        <v>2027</v>
      </c>
      <c r="G412" s="75" t="s">
        <v>1056</v>
      </c>
      <c r="H412" s="69"/>
    </row>
    <row r="413" spans="1:8" x14ac:dyDescent="0.2">
      <c r="A413" s="72"/>
      <c r="B413" s="76"/>
      <c r="C413" s="73"/>
      <c r="D413" s="73" t="s">
        <v>932</v>
      </c>
      <c r="E413" s="77" t="s">
        <v>963</v>
      </c>
      <c r="F413" s="75" t="s">
        <v>2027</v>
      </c>
      <c r="G413" s="75" t="s">
        <v>1056</v>
      </c>
      <c r="H413" s="69"/>
    </row>
    <row r="414" spans="1:8" x14ac:dyDescent="0.2">
      <c r="A414" s="72"/>
      <c r="B414" s="76"/>
      <c r="C414" s="73"/>
      <c r="D414" s="73" t="s">
        <v>932</v>
      </c>
      <c r="E414" s="77" t="s">
        <v>109</v>
      </c>
      <c r="F414" s="75" t="s">
        <v>1460</v>
      </c>
      <c r="G414" s="75" t="s">
        <v>1056</v>
      </c>
      <c r="H414" s="69"/>
    </row>
    <row r="415" spans="1:8" x14ac:dyDescent="0.2">
      <c r="A415" s="72"/>
      <c r="B415" s="76"/>
      <c r="C415" s="73"/>
      <c r="D415" s="73" t="s">
        <v>932</v>
      </c>
      <c r="E415" s="77" t="s">
        <v>963</v>
      </c>
      <c r="F415" s="75" t="s">
        <v>1460</v>
      </c>
      <c r="G415" s="75" t="s">
        <v>1056</v>
      </c>
      <c r="H415" s="69"/>
    </row>
    <row r="416" spans="1:8" x14ac:dyDescent="0.2">
      <c r="A416" s="72"/>
      <c r="B416" s="76"/>
      <c r="C416" s="73"/>
      <c r="D416" s="73" t="s">
        <v>932</v>
      </c>
      <c r="E416" s="77" t="s">
        <v>109</v>
      </c>
      <c r="F416" s="75" t="s">
        <v>2027</v>
      </c>
      <c r="G416" s="75" t="s">
        <v>1056</v>
      </c>
      <c r="H416" s="69"/>
    </row>
    <row r="417" spans="1:8" x14ac:dyDescent="0.2">
      <c r="A417" s="72"/>
      <c r="B417" s="76"/>
      <c r="C417" s="73"/>
      <c r="D417" s="73" t="s">
        <v>932</v>
      </c>
      <c r="E417" s="77" t="s">
        <v>963</v>
      </c>
      <c r="F417" s="75" t="s">
        <v>2027</v>
      </c>
      <c r="G417" s="75" t="s">
        <v>1056</v>
      </c>
      <c r="H417" s="69"/>
    </row>
    <row r="418" spans="1:8" x14ac:dyDescent="0.2">
      <c r="A418" s="72"/>
      <c r="B418" s="76"/>
      <c r="C418" s="73"/>
      <c r="D418" s="73" t="s">
        <v>932</v>
      </c>
      <c r="E418" s="77" t="s">
        <v>109</v>
      </c>
      <c r="F418" s="75" t="s">
        <v>1460</v>
      </c>
      <c r="G418" s="75" t="s">
        <v>1056</v>
      </c>
      <c r="H418" s="69"/>
    </row>
    <row r="419" spans="1:8" x14ac:dyDescent="0.2">
      <c r="A419" s="72"/>
      <c r="B419" s="76"/>
      <c r="C419" s="73"/>
      <c r="D419" s="73" t="s">
        <v>932</v>
      </c>
      <c r="E419" s="77" t="s">
        <v>963</v>
      </c>
      <c r="F419" s="75" t="s">
        <v>1460</v>
      </c>
      <c r="G419" s="75" t="s">
        <v>1056</v>
      </c>
      <c r="H419" s="69"/>
    </row>
    <row r="420" spans="1:8" x14ac:dyDescent="0.2">
      <c r="A420" s="72"/>
      <c r="B420" s="76"/>
      <c r="C420" s="73"/>
      <c r="D420" s="73" t="s">
        <v>932</v>
      </c>
      <c r="E420" s="77" t="s">
        <v>102</v>
      </c>
      <c r="F420" s="75" t="s">
        <v>2022</v>
      </c>
      <c r="G420" s="75" t="s">
        <v>1059</v>
      </c>
      <c r="H420" s="69"/>
    </row>
    <row r="421" spans="1:8" x14ac:dyDescent="0.2">
      <c r="A421" s="72"/>
      <c r="B421" s="76"/>
      <c r="C421" s="73"/>
      <c r="D421" s="73" t="s">
        <v>932</v>
      </c>
      <c r="E421" s="77" t="s">
        <v>102</v>
      </c>
      <c r="F421" s="75" t="s">
        <v>2031</v>
      </c>
      <c r="G421" s="75" t="s">
        <v>1059</v>
      </c>
      <c r="H421" s="69"/>
    </row>
    <row r="422" spans="1:8" x14ac:dyDescent="0.2">
      <c r="A422" s="72"/>
      <c r="B422" s="76"/>
      <c r="C422" s="73"/>
      <c r="D422" s="73" t="s">
        <v>932</v>
      </c>
      <c r="E422" s="77" t="s">
        <v>102</v>
      </c>
      <c r="F422" s="75" t="s">
        <v>2032</v>
      </c>
      <c r="G422" s="75" t="s">
        <v>1059</v>
      </c>
      <c r="H422" s="69"/>
    </row>
    <row r="423" spans="1:8" x14ac:dyDescent="0.2">
      <c r="A423" s="72"/>
      <c r="B423" s="76"/>
      <c r="C423" s="73"/>
      <c r="D423" s="73" t="s">
        <v>932</v>
      </c>
      <c r="E423" s="77" t="s">
        <v>93</v>
      </c>
      <c r="F423" s="75" t="s">
        <v>2022</v>
      </c>
      <c r="G423" s="75" t="s">
        <v>1060</v>
      </c>
      <c r="H423" s="69"/>
    </row>
    <row r="424" spans="1:8" x14ac:dyDescent="0.2">
      <c r="A424" s="72"/>
      <c r="B424" s="76"/>
      <c r="C424" s="73"/>
      <c r="D424" s="73" t="s">
        <v>932</v>
      </c>
      <c r="E424" s="77" t="s">
        <v>93</v>
      </c>
      <c r="F424" s="75" t="s">
        <v>2023</v>
      </c>
      <c r="G424" s="75" t="s">
        <v>1060</v>
      </c>
      <c r="H424" s="69"/>
    </row>
    <row r="425" spans="1:8" x14ac:dyDescent="0.2">
      <c r="A425" s="72"/>
      <c r="B425" s="76"/>
      <c r="C425" s="73"/>
      <c r="D425" s="73" t="s">
        <v>932</v>
      </c>
      <c r="E425" s="77" t="s">
        <v>93</v>
      </c>
      <c r="F425" s="75" t="s">
        <v>2033</v>
      </c>
      <c r="G425" s="75" t="s">
        <v>1060</v>
      </c>
      <c r="H425" s="69"/>
    </row>
    <row r="426" spans="1:8" x14ac:dyDescent="0.2">
      <c r="A426" s="72"/>
      <c r="B426" s="76"/>
      <c r="C426" s="73"/>
      <c r="D426" s="73" t="s">
        <v>932</v>
      </c>
      <c r="E426" s="77" t="s">
        <v>134</v>
      </c>
      <c r="F426" s="75" t="s">
        <v>2022</v>
      </c>
      <c r="G426" s="75" t="s">
        <v>1060</v>
      </c>
      <c r="H426" s="69"/>
    </row>
    <row r="427" spans="1:8" x14ac:dyDescent="0.2">
      <c r="A427" s="72"/>
      <c r="B427" s="76"/>
      <c r="C427" s="73"/>
      <c r="D427" s="73" t="s">
        <v>932</v>
      </c>
      <c r="E427" s="77" t="s">
        <v>134</v>
      </c>
      <c r="F427" s="75" t="s">
        <v>2023</v>
      </c>
      <c r="G427" s="75" t="s">
        <v>1060</v>
      </c>
      <c r="H427" s="69"/>
    </row>
    <row r="428" spans="1:8" x14ac:dyDescent="0.2">
      <c r="A428" s="72"/>
      <c r="B428" s="76"/>
      <c r="C428" s="73"/>
      <c r="D428" s="73" t="s">
        <v>932</v>
      </c>
      <c r="E428" s="77" t="s">
        <v>134</v>
      </c>
      <c r="F428" s="75" t="s">
        <v>2033</v>
      </c>
      <c r="G428" s="75" t="s">
        <v>1060</v>
      </c>
      <c r="H428" s="69"/>
    </row>
    <row r="429" spans="1:8" ht="16" x14ac:dyDescent="0.2">
      <c r="A429" s="72"/>
      <c r="B429" s="76"/>
      <c r="C429" s="73"/>
      <c r="D429" s="73" t="s">
        <v>932</v>
      </c>
      <c r="E429" s="77" t="s">
        <v>109</v>
      </c>
      <c r="F429" s="75" t="s">
        <v>2027</v>
      </c>
      <c r="G429" s="74" t="s">
        <v>1056</v>
      </c>
      <c r="H429" s="69"/>
    </row>
    <row r="430" spans="1:8" ht="16" x14ac:dyDescent="0.2">
      <c r="A430" s="72"/>
      <c r="B430" s="76"/>
      <c r="C430" s="73"/>
      <c r="D430" s="73" t="s">
        <v>932</v>
      </c>
      <c r="E430" s="77" t="s">
        <v>963</v>
      </c>
      <c r="F430" s="75" t="s">
        <v>2027</v>
      </c>
      <c r="G430" s="74" t="s">
        <v>1056</v>
      </c>
      <c r="H430" s="69"/>
    </row>
    <row r="431" spans="1:8" ht="16" x14ac:dyDescent="0.2">
      <c r="A431" s="72"/>
      <c r="B431" s="76"/>
      <c r="C431" s="73"/>
      <c r="D431" s="73" t="s">
        <v>932</v>
      </c>
      <c r="E431" s="77" t="s">
        <v>109</v>
      </c>
      <c r="F431" s="75" t="s">
        <v>2028</v>
      </c>
      <c r="G431" s="74" t="s">
        <v>1056</v>
      </c>
      <c r="H431" s="69"/>
    </row>
    <row r="432" spans="1:8" ht="16" x14ac:dyDescent="0.2">
      <c r="A432" s="72"/>
      <c r="B432" s="76"/>
      <c r="C432" s="73"/>
      <c r="D432" s="73" t="s">
        <v>932</v>
      </c>
      <c r="E432" s="77" t="s">
        <v>963</v>
      </c>
      <c r="F432" s="75" t="s">
        <v>2028</v>
      </c>
      <c r="G432" s="74" t="s">
        <v>1056</v>
      </c>
      <c r="H432" s="69"/>
    </row>
    <row r="433" spans="1:8" ht="16" x14ac:dyDescent="0.2">
      <c r="A433" s="72"/>
      <c r="B433" s="76"/>
      <c r="C433" s="73"/>
      <c r="D433" s="73" t="s">
        <v>932</v>
      </c>
      <c r="E433" s="77" t="s">
        <v>109</v>
      </c>
      <c r="F433" s="75" t="s">
        <v>2030</v>
      </c>
      <c r="G433" s="74" t="s">
        <v>1056</v>
      </c>
      <c r="H433" s="69"/>
    </row>
    <row r="434" spans="1:8" ht="16" x14ac:dyDescent="0.2">
      <c r="A434" s="72"/>
      <c r="B434" s="76"/>
      <c r="C434" s="73"/>
      <c r="D434" s="73" t="s">
        <v>932</v>
      </c>
      <c r="E434" s="77" t="s">
        <v>963</v>
      </c>
      <c r="F434" s="75" t="s">
        <v>2030</v>
      </c>
      <c r="G434" s="74" t="s">
        <v>1056</v>
      </c>
      <c r="H434" s="69"/>
    </row>
    <row r="435" spans="1:8" ht="16" x14ac:dyDescent="0.2">
      <c r="A435" s="72"/>
      <c r="B435" s="76"/>
      <c r="C435" s="73"/>
      <c r="D435" s="73" t="s">
        <v>932</v>
      </c>
      <c r="E435" s="77" t="s">
        <v>102</v>
      </c>
      <c r="F435" s="75" t="s">
        <v>93</v>
      </c>
      <c r="G435" s="74" t="s">
        <v>367</v>
      </c>
      <c r="H435" s="69"/>
    </row>
    <row r="436" spans="1:8" x14ac:dyDescent="0.2">
      <c r="A436" s="72"/>
      <c r="B436" s="76"/>
      <c r="C436" s="73"/>
      <c r="D436" s="73" t="s">
        <v>932</v>
      </c>
      <c r="E436" s="77" t="s">
        <v>109</v>
      </c>
      <c r="F436" s="75" t="s">
        <v>93</v>
      </c>
      <c r="G436" s="75" t="s">
        <v>1055</v>
      </c>
      <c r="H436" s="69"/>
    </row>
    <row r="437" spans="1:8" ht="16" x14ac:dyDescent="0.2">
      <c r="A437" s="72"/>
      <c r="B437" s="76"/>
      <c r="C437" s="73"/>
      <c r="D437" s="73" t="s">
        <v>932</v>
      </c>
      <c r="E437" s="77" t="s">
        <v>102</v>
      </c>
      <c r="F437" s="75" t="s">
        <v>93</v>
      </c>
      <c r="G437" s="74" t="s">
        <v>367</v>
      </c>
      <c r="H437" s="69"/>
    </row>
    <row r="438" spans="1:8" x14ac:dyDescent="0.2">
      <c r="A438" s="72"/>
      <c r="B438" s="76"/>
      <c r="C438" s="73"/>
      <c r="D438" s="73" t="s">
        <v>932</v>
      </c>
      <c r="E438" s="77" t="s">
        <v>109</v>
      </c>
      <c r="F438" s="75" t="s">
        <v>93</v>
      </c>
      <c r="G438" s="75" t="s">
        <v>1055</v>
      </c>
      <c r="H438" s="69"/>
    </row>
    <row r="439" spans="1:8" ht="16" x14ac:dyDescent="0.2">
      <c r="A439" s="72"/>
      <c r="B439" s="84"/>
      <c r="C439" s="73"/>
      <c r="D439" s="73" t="s">
        <v>932</v>
      </c>
      <c r="E439" s="77" t="s">
        <v>102</v>
      </c>
      <c r="F439" s="75" t="s">
        <v>319</v>
      </c>
      <c r="G439" s="74" t="s">
        <v>381</v>
      </c>
      <c r="H439" s="69"/>
    </row>
    <row r="440" spans="1:8" x14ac:dyDescent="0.2">
      <c r="A440" s="72"/>
      <c r="B440" s="84"/>
      <c r="C440" s="73"/>
      <c r="D440" s="73" t="s">
        <v>932</v>
      </c>
      <c r="E440" s="77" t="s">
        <v>102</v>
      </c>
      <c r="F440" s="75" t="s">
        <v>1375</v>
      </c>
      <c r="G440" s="75" t="s">
        <v>1061</v>
      </c>
      <c r="H440" s="69"/>
    </row>
    <row r="441" spans="1:8" ht="16" x14ac:dyDescent="0.2">
      <c r="A441" s="72"/>
      <c r="B441" s="86"/>
      <c r="C441" s="73"/>
      <c r="D441" s="73" t="s">
        <v>938</v>
      </c>
      <c r="E441" s="77" t="s">
        <v>125</v>
      </c>
      <c r="F441" s="75" t="s">
        <v>223</v>
      </c>
      <c r="G441" s="74" t="s">
        <v>1120</v>
      </c>
      <c r="H441" s="69"/>
    </row>
    <row r="442" spans="1:8" ht="16" x14ac:dyDescent="0.2">
      <c r="A442" s="72"/>
      <c r="B442" s="86"/>
      <c r="C442" s="73"/>
      <c r="D442" s="73" t="s">
        <v>938</v>
      </c>
      <c r="E442" s="77" t="s">
        <v>109</v>
      </c>
      <c r="F442" s="75" t="s">
        <v>223</v>
      </c>
      <c r="G442" s="74" t="s">
        <v>1119</v>
      </c>
      <c r="H442" s="69"/>
    </row>
    <row r="443" spans="1:8" ht="16" x14ac:dyDescent="0.2">
      <c r="A443" s="72"/>
      <c r="B443" s="86"/>
      <c r="C443" s="73"/>
      <c r="D443" s="73" t="s">
        <v>938</v>
      </c>
      <c r="E443" s="77" t="s">
        <v>963</v>
      </c>
      <c r="F443" s="75" t="s">
        <v>223</v>
      </c>
      <c r="G443" s="74" t="s">
        <v>1119</v>
      </c>
      <c r="H443" s="69"/>
    </row>
    <row r="444" spans="1:8" ht="16" x14ac:dyDescent="0.2">
      <c r="A444" s="72"/>
      <c r="B444" s="86"/>
      <c r="C444" s="73"/>
      <c r="D444" s="73" t="s">
        <v>938</v>
      </c>
      <c r="E444" s="77" t="s">
        <v>93</v>
      </c>
      <c r="F444" s="75" t="s">
        <v>223</v>
      </c>
      <c r="G444" s="74" t="s">
        <v>1118</v>
      </c>
      <c r="H444" s="69"/>
    </row>
    <row r="445" spans="1:8" ht="16" x14ac:dyDescent="0.2">
      <c r="A445" s="72"/>
      <c r="B445" s="86"/>
      <c r="C445" s="73"/>
      <c r="D445" s="73" t="s">
        <v>938</v>
      </c>
      <c r="E445" s="77" t="s">
        <v>134</v>
      </c>
      <c r="F445" s="75" t="s">
        <v>223</v>
      </c>
      <c r="G445" s="74" t="s">
        <v>1118</v>
      </c>
      <c r="H445" s="69"/>
    </row>
    <row r="446" spans="1:8" ht="16" x14ac:dyDescent="0.2">
      <c r="A446" s="72"/>
      <c r="B446" s="86"/>
      <c r="C446" s="73"/>
      <c r="D446" s="73" t="s">
        <v>938</v>
      </c>
      <c r="E446" s="77" t="s">
        <v>93</v>
      </c>
      <c r="F446" s="75" t="s">
        <v>1461</v>
      </c>
      <c r="G446" s="74" t="s">
        <v>1122</v>
      </c>
      <c r="H446" s="69"/>
    </row>
    <row r="447" spans="1:8" ht="16" x14ac:dyDescent="0.2">
      <c r="A447" s="72"/>
      <c r="B447" s="86"/>
      <c r="C447" s="73"/>
      <c r="D447" s="73" t="s">
        <v>938</v>
      </c>
      <c r="E447" s="77" t="s">
        <v>93</v>
      </c>
      <c r="F447" s="75" t="s">
        <v>1462</v>
      </c>
      <c r="G447" s="74" t="s">
        <v>1122</v>
      </c>
      <c r="H447" s="69"/>
    </row>
    <row r="448" spans="1:8" ht="16" x14ac:dyDescent="0.2">
      <c r="A448" s="72"/>
      <c r="B448" s="86"/>
      <c r="C448" s="73"/>
      <c r="D448" s="73" t="s">
        <v>938</v>
      </c>
      <c r="E448" s="77" t="s">
        <v>93</v>
      </c>
      <c r="F448" s="75" t="s">
        <v>1463</v>
      </c>
      <c r="G448" s="74" t="s">
        <v>1122</v>
      </c>
      <c r="H448" s="69"/>
    </row>
    <row r="449" spans="1:8" ht="16" x14ac:dyDescent="0.2">
      <c r="A449" s="72"/>
      <c r="B449" s="86"/>
      <c r="C449" s="73"/>
      <c r="D449" s="73" t="s">
        <v>938</v>
      </c>
      <c r="E449" s="77" t="s">
        <v>93</v>
      </c>
      <c r="F449" s="75" t="s">
        <v>1464</v>
      </c>
      <c r="G449" s="74" t="s">
        <v>1121</v>
      </c>
      <c r="H449" s="69"/>
    </row>
    <row r="450" spans="1:8" ht="16" x14ac:dyDescent="0.2">
      <c r="A450" s="72"/>
      <c r="B450" s="86"/>
      <c r="C450" s="73"/>
      <c r="D450" s="73" t="s">
        <v>938</v>
      </c>
      <c r="E450" s="77" t="s">
        <v>93</v>
      </c>
      <c r="F450" s="75" t="s">
        <v>1465</v>
      </c>
      <c r="G450" s="74" t="s">
        <v>1121</v>
      </c>
      <c r="H450" s="69"/>
    </row>
    <row r="451" spans="1:8" ht="16" x14ac:dyDescent="0.2">
      <c r="A451" s="72"/>
      <c r="B451" s="86"/>
      <c r="C451" s="73"/>
      <c r="D451" s="73" t="s">
        <v>938</v>
      </c>
      <c r="E451" s="77" t="s">
        <v>93</v>
      </c>
      <c r="F451" s="75" t="s">
        <v>1466</v>
      </c>
      <c r="G451" s="74" t="s">
        <v>1121</v>
      </c>
      <c r="H451" s="69"/>
    </row>
    <row r="452" spans="1:8" ht="16" x14ac:dyDescent="0.2">
      <c r="A452" s="72"/>
      <c r="B452" s="84"/>
      <c r="C452" s="73"/>
      <c r="D452" s="73" t="s">
        <v>938</v>
      </c>
      <c r="E452" s="77" t="s">
        <v>109</v>
      </c>
      <c r="F452" s="75" t="s">
        <v>1467</v>
      </c>
      <c r="G452" s="74" t="s">
        <v>922</v>
      </c>
      <c r="H452" s="69"/>
    </row>
    <row r="453" spans="1:8" ht="16" x14ac:dyDescent="0.2">
      <c r="A453" s="72"/>
      <c r="B453" s="84"/>
      <c r="C453" s="73"/>
      <c r="D453" s="73" t="s">
        <v>938</v>
      </c>
      <c r="E453" s="77" t="s">
        <v>109</v>
      </c>
      <c r="F453" s="75" t="s">
        <v>1468</v>
      </c>
      <c r="G453" s="74" t="s">
        <v>922</v>
      </c>
      <c r="H453" s="69"/>
    </row>
    <row r="454" spans="1:8" ht="16" x14ac:dyDescent="0.2">
      <c r="A454" s="72"/>
      <c r="B454" s="84"/>
      <c r="C454" s="73"/>
      <c r="D454" s="73" t="s">
        <v>938</v>
      </c>
      <c r="E454" s="77" t="s">
        <v>109</v>
      </c>
      <c r="F454" s="75" t="s">
        <v>1469</v>
      </c>
      <c r="G454" s="74" t="s">
        <v>922</v>
      </c>
      <c r="H454" s="69"/>
    </row>
    <row r="455" spans="1:8" ht="16" x14ac:dyDescent="0.2">
      <c r="A455" s="72"/>
      <c r="B455" s="84"/>
      <c r="C455" s="73"/>
      <c r="D455" s="73" t="s">
        <v>938</v>
      </c>
      <c r="E455" s="77" t="s">
        <v>109</v>
      </c>
      <c r="F455" s="75" t="s">
        <v>358</v>
      </c>
      <c r="G455" s="74" t="s">
        <v>922</v>
      </c>
      <c r="H455" s="69"/>
    </row>
    <row r="456" spans="1:8" ht="16" x14ac:dyDescent="0.2">
      <c r="A456" s="72"/>
      <c r="B456" s="84"/>
      <c r="C456" s="73"/>
      <c r="D456" s="73" t="s">
        <v>938</v>
      </c>
      <c r="E456" s="77" t="s">
        <v>109</v>
      </c>
      <c r="F456" s="75" t="s">
        <v>1470</v>
      </c>
      <c r="G456" s="74" t="s">
        <v>1123</v>
      </c>
      <c r="H456" s="69"/>
    </row>
    <row r="457" spans="1:8" ht="16" x14ac:dyDescent="0.2">
      <c r="A457" s="72"/>
      <c r="B457" s="84"/>
      <c r="C457" s="73"/>
      <c r="D457" s="73" t="s">
        <v>938</v>
      </c>
      <c r="E457" s="77" t="s">
        <v>109</v>
      </c>
      <c r="F457" s="75" t="s">
        <v>1471</v>
      </c>
      <c r="G457" s="74" t="s">
        <v>1123</v>
      </c>
      <c r="H457" s="69"/>
    </row>
    <row r="458" spans="1:8" ht="16" x14ac:dyDescent="0.2">
      <c r="A458" s="72"/>
      <c r="B458" s="84"/>
      <c r="C458" s="73"/>
      <c r="D458" s="73" t="s">
        <v>938</v>
      </c>
      <c r="E458" s="77" t="s">
        <v>109</v>
      </c>
      <c r="F458" s="75" t="s">
        <v>1472</v>
      </c>
      <c r="G458" s="74" t="s">
        <v>1123</v>
      </c>
      <c r="H458" s="69"/>
    </row>
    <row r="459" spans="1:8" ht="16" x14ac:dyDescent="0.2">
      <c r="A459" s="72"/>
      <c r="B459" s="84"/>
      <c r="C459" s="73"/>
      <c r="D459" s="73" t="s">
        <v>938</v>
      </c>
      <c r="E459" s="77" t="s">
        <v>109</v>
      </c>
      <c r="F459" s="75" t="s">
        <v>1473</v>
      </c>
      <c r="G459" s="74" t="s">
        <v>1123</v>
      </c>
      <c r="H459" s="69"/>
    </row>
    <row r="460" spans="1:8" ht="16" x14ac:dyDescent="0.2">
      <c r="A460" s="72"/>
      <c r="B460" s="84"/>
      <c r="C460" s="73"/>
      <c r="D460" s="73" t="s">
        <v>938</v>
      </c>
      <c r="E460" s="77" t="s">
        <v>963</v>
      </c>
      <c r="F460" s="75" t="s">
        <v>1470</v>
      </c>
      <c r="G460" s="74" t="s">
        <v>1123</v>
      </c>
      <c r="H460" s="69"/>
    </row>
    <row r="461" spans="1:8" ht="16" x14ac:dyDescent="0.2">
      <c r="A461" s="72"/>
      <c r="B461" s="84"/>
      <c r="C461" s="73"/>
      <c r="D461" s="73" t="s">
        <v>938</v>
      </c>
      <c r="E461" s="77" t="s">
        <v>963</v>
      </c>
      <c r="F461" s="75" t="s">
        <v>1471</v>
      </c>
      <c r="G461" s="74" t="s">
        <v>1123</v>
      </c>
      <c r="H461" s="69"/>
    </row>
    <row r="462" spans="1:8" ht="16" x14ac:dyDescent="0.2">
      <c r="A462" s="72"/>
      <c r="B462" s="84"/>
      <c r="C462" s="73"/>
      <c r="D462" s="73" t="s">
        <v>938</v>
      </c>
      <c r="E462" s="77" t="s">
        <v>963</v>
      </c>
      <c r="F462" s="75" t="s">
        <v>1472</v>
      </c>
      <c r="G462" s="74" t="s">
        <v>1123</v>
      </c>
      <c r="H462" s="69"/>
    </row>
    <row r="463" spans="1:8" ht="16" x14ac:dyDescent="0.2">
      <c r="A463" s="72"/>
      <c r="B463" s="84"/>
      <c r="C463" s="73"/>
      <c r="D463" s="73" t="s">
        <v>938</v>
      </c>
      <c r="E463" s="77" t="s">
        <v>963</v>
      </c>
      <c r="F463" s="75" t="s">
        <v>1473</v>
      </c>
      <c r="G463" s="74" t="s">
        <v>1123</v>
      </c>
      <c r="H463" s="69"/>
    </row>
    <row r="464" spans="1:8" ht="16" x14ac:dyDescent="0.2">
      <c r="A464" s="72"/>
      <c r="B464" s="84"/>
      <c r="C464" s="73"/>
      <c r="D464" s="73" t="s">
        <v>938</v>
      </c>
      <c r="E464" s="77" t="s">
        <v>109</v>
      </c>
      <c r="F464" s="75" t="s">
        <v>1474</v>
      </c>
      <c r="G464" s="74" t="s">
        <v>1125</v>
      </c>
      <c r="H464" s="69"/>
    </row>
    <row r="465" spans="1:8" ht="16" x14ac:dyDescent="0.2">
      <c r="A465" s="72"/>
      <c r="B465" s="84"/>
      <c r="C465" s="73"/>
      <c r="D465" s="73" t="s">
        <v>938</v>
      </c>
      <c r="E465" s="77" t="s">
        <v>109</v>
      </c>
      <c r="F465" s="75" t="s">
        <v>1475</v>
      </c>
      <c r="G465" s="74" t="s">
        <v>1125</v>
      </c>
      <c r="H465" s="69"/>
    </row>
    <row r="466" spans="1:8" ht="16" x14ac:dyDescent="0.2">
      <c r="A466" s="72"/>
      <c r="B466" s="84"/>
      <c r="C466" s="73"/>
      <c r="D466" s="73" t="s">
        <v>938</v>
      </c>
      <c r="E466" s="77" t="s">
        <v>109</v>
      </c>
      <c r="F466" s="75" t="s">
        <v>1476</v>
      </c>
      <c r="G466" s="74" t="s">
        <v>1125</v>
      </c>
      <c r="H466" s="69"/>
    </row>
    <row r="467" spans="1:8" ht="16" x14ac:dyDescent="0.2">
      <c r="A467" s="72"/>
      <c r="B467" s="84"/>
      <c r="C467" s="73"/>
      <c r="D467" s="73" t="s">
        <v>938</v>
      </c>
      <c r="E467" s="77" t="s">
        <v>109</v>
      </c>
      <c r="F467" s="75" t="s">
        <v>1477</v>
      </c>
      <c r="G467" s="74" t="s">
        <v>1125</v>
      </c>
      <c r="H467" s="69"/>
    </row>
    <row r="468" spans="1:8" ht="16" x14ac:dyDescent="0.2">
      <c r="A468" s="72"/>
      <c r="B468" s="84"/>
      <c r="C468" s="73"/>
      <c r="D468" s="73" t="s">
        <v>938</v>
      </c>
      <c r="E468" s="77" t="s">
        <v>963</v>
      </c>
      <c r="F468" s="75" t="s">
        <v>1474</v>
      </c>
      <c r="G468" s="74" t="s">
        <v>1125</v>
      </c>
      <c r="H468" s="69"/>
    </row>
    <row r="469" spans="1:8" ht="16" x14ac:dyDescent="0.2">
      <c r="A469" s="72"/>
      <c r="B469" s="84"/>
      <c r="C469" s="73"/>
      <c r="D469" s="73" t="s">
        <v>938</v>
      </c>
      <c r="E469" s="77" t="s">
        <v>963</v>
      </c>
      <c r="F469" s="75" t="s">
        <v>1475</v>
      </c>
      <c r="G469" s="74" t="s">
        <v>1125</v>
      </c>
      <c r="H469" s="69"/>
    </row>
    <row r="470" spans="1:8" ht="16" x14ac:dyDescent="0.2">
      <c r="A470" s="72"/>
      <c r="B470" s="84"/>
      <c r="C470" s="73"/>
      <c r="D470" s="73" t="s">
        <v>938</v>
      </c>
      <c r="E470" s="77" t="s">
        <v>963</v>
      </c>
      <c r="F470" s="75" t="s">
        <v>1476</v>
      </c>
      <c r="G470" s="74" t="s">
        <v>1125</v>
      </c>
      <c r="H470" s="69"/>
    </row>
    <row r="471" spans="1:8" ht="16" x14ac:dyDescent="0.2">
      <c r="A471" s="72"/>
      <c r="B471" s="84"/>
      <c r="C471" s="73"/>
      <c r="D471" s="73" t="s">
        <v>938</v>
      </c>
      <c r="E471" s="77" t="s">
        <v>963</v>
      </c>
      <c r="F471" s="75" t="s">
        <v>1477</v>
      </c>
      <c r="G471" s="74" t="s">
        <v>1125</v>
      </c>
      <c r="H471" s="69"/>
    </row>
    <row r="472" spans="1:8" ht="16" x14ac:dyDescent="0.2">
      <c r="A472" s="72"/>
      <c r="B472" s="84"/>
      <c r="C472" s="73"/>
      <c r="D472" s="73" t="s">
        <v>938</v>
      </c>
      <c r="E472" s="77" t="s">
        <v>964</v>
      </c>
      <c r="F472" s="75" t="s">
        <v>1478</v>
      </c>
      <c r="G472" s="74" t="s">
        <v>1117</v>
      </c>
      <c r="H472" s="69"/>
    </row>
    <row r="473" spans="1:8" ht="16" x14ac:dyDescent="0.2">
      <c r="A473" s="72"/>
      <c r="B473" s="84"/>
      <c r="C473" s="73"/>
      <c r="D473" s="73" t="s">
        <v>938</v>
      </c>
      <c r="E473" s="77" t="s">
        <v>964</v>
      </c>
      <c r="F473" s="75" t="s">
        <v>355</v>
      </c>
      <c r="G473" s="74" t="s">
        <v>1117</v>
      </c>
      <c r="H473" s="69"/>
    </row>
    <row r="474" spans="1:8" ht="16" x14ac:dyDescent="0.2">
      <c r="A474" s="72"/>
      <c r="B474" s="84"/>
      <c r="C474" s="73"/>
      <c r="D474" s="73" t="s">
        <v>938</v>
      </c>
      <c r="E474" s="77" t="s">
        <v>109</v>
      </c>
      <c r="F474" s="75" t="s">
        <v>355</v>
      </c>
      <c r="G474" s="74" t="s">
        <v>1117</v>
      </c>
      <c r="H474" s="69"/>
    </row>
    <row r="475" spans="1:8" ht="16" x14ac:dyDescent="0.2">
      <c r="A475" s="72"/>
      <c r="B475" s="84"/>
      <c r="C475" s="73"/>
      <c r="D475" s="73" t="s">
        <v>942</v>
      </c>
      <c r="E475" s="77" t="s">
        <v>125</v>
      </c>
      <c r="F475" s="75" t="s">
        <v>1479</v>
      </c>
      <c r="G475" s="74" t="s">
        <v>363</v>
      </c>
      <c r="H475" s="69"/>
    </row>
    <row r="476" spans="1:8" ht="16" x14ac:dyDescent="0.2">
      <c r="A476" s="72"/>
      <c r="B476" s="84"/>
      <c r="C476" s="73"/>
      <c r="D476" s="73" t="s">
        <v>942</v>
      </c>
      <c r="E476" s="77" t="s">
        <v>125</v>
      </c>
      <c r="F476" s="75" t="s">
        <v>1480</v>
      </c>
      <c r="G476" s="74" t="s">
        <v>363</v>
      </c>
      <c r="H476" s="69"/>
    </row>
    <row r="477" spans="1:8" ht="16" x14ac:dyDescent="0.2">
      <c r="A477" s="72"/>
      <c r="B477" s="84"/>
      <c r="C477" s="73"/>
      <c r="D477" s="73" t="s">
        <v>942</v>
      </c>
      <c r="E477" s="77" t="s">
        <v>125</v>
      </c>
      <c r="F477" s="75" t="s">
        <v>1469</v>
      </c>
      <c r="G477" s="74" t="s">
        <v>363</v>
      </c>
      <c r="H477" s="69"/>
    </row>
    <row r="478" spans="1:8" x14ac:dyDescent="0.2">
      <c r="A478" s="72"/>
      <c r="B478" s="76"/>
      <c r="C478" s="73"/>
      <c r="D478" s="73" t="s">
        <v>938</v>
      </c>
      <c r="E478" s="77" t="s">
        <v>109</v>
      </c>
      <c r="F478" s="75" t="s">
        <v>1481</v>
      </c>
      <c r="G478" s="75" t="s">
        <v>998</v>
      </c>
      <c r="H478" s="69"/>
    </row>
    <row r="479" spans="1:8" x14ac:dyDescent="0.2">
      <c r="A479" s="72"/>
      <c r="B479" s="76"/>
      <c r="C479" s="73"/>
      <c r="D479" s="73" t="s">
        <v>938</v>
      </c>
      <c r="E479" s="77" t="s">
        <v>109</v>
      </c>
      <c r="F479" s="75" t="s">
        <v>1482</v>
      </c>
      <c r="G479" s="75" t="s">
        <v>998</v>
      </c>
      <c r="H479" s="69"/>
    </row>
    <row r="480" spans="1:8" x14ac:dyDescent="0.2">
      <c r="A480" s="72"/>
      <c r="B480" s="76"/>
      <c r="C480" s="73"/>
      <c r="D480" s="73" t="s">
        <v>938</v>
      </c>
      <c r="E480" s="77" t="s">
        <v>109</v>
      </c>
      <c r="F480" s="75" t="s">
        <v>1483</v>
      </c>
      <c r="G480" s="75" t="s">
        <v>998</v>
      </c>
      <c r="H480" s="69"/>
    </row>
    <row r="481" spans="1:8" x14ac:dyDescent="0.2">
      <c r="A481" s="72"/>
      <c r="B481" s="76"/>
      <c r="C481" s="73"/>
      <c r="D481" s="73" t="s">
        <v>938</v>
      </c>
      <c r="E481" s="77" t="s">
        <v>109</v>
      </c>
      <c r="F481" s="75" t="s">
        <v>1484</v>
      </c>
      <c r="G481" s="75" t="s">
        <v>998</v>
      </c>
      <c r="H481" s="69"/>
    </row>
    <row r="482" spans="1:8" x14ac:dyDescent="0.2">
      <c r="A482" s="72"/>
      <c r="B482" s="76"/>
      <c r="C482" s="73"/>
      <c r="D482" s="73" t="s">
        <v>938</v>
      </c>
      <c r="E482" s="77" t="s">
        <v>963</v>
      </c>
      <c r="F482" s="75" t="s">
        <v>1481</v>
      </c>
      <c r="G482" s="75" t="s">
        <v>998</v>
      </c>
      <c r="H482" s="69"/>
    </row>
    <row r="483" spans="1:8" x14ac:dyDescent="0.2">
      <c r="A483" s="72"/>
      <c r="B483" s="76"/>
      <c r="C483" s="73"/>
      <c r="D483" s="73" t="s">
        <v>938</v>
      </c>
      <c r="E483" s="77" t="s">
        <v>963</v>
      </c>
      <c r="F483" s="75" t="s">
        <v>1482</v>
      </c>
      <c r="G483" s="75" t="s">
        <v>998</v>
      </c>
      <c r="H483" s="69"/>
    </row>
    <row r="484" spans="1:8" x14ac:dyDescent="0.2">
      <c r="A484" s="72"/>
      <c r="B484" s="76"/>
      <c r="C484" s="73"/>
      <c r="D484" s="73" t="s">
        <v>938</v>
      </c>
      <c r="E484" s="77" t="s">
        <v>963</v>
      </c>
      <c r="F484" s="75" t="s">
        <v>1483</v>
      </c>
      <c r="G484" s="75" t="s">
        <v>998</v>
      </c>
      <c r="H484" s="69"/>
    </row>
    <row r="485" spans="1:8" x14ac:dyDescent="0.2">
      <c r="A485" s="72"/>
      <c r="B485" s="76"/>
      <c r="C485" s="73"/>
      <c r="D485" s="73" t="s">
        <v>938</v>
      </c>
      <c r="E485" s="77" t="s">
        <v>963</v>
      </c>
      <c r="F485" s="75" t="s">
        <v>1484</v>
      </c>
      <c r="G485" s="75" t="s">
        <v>998</v>
      </c>
      <c r="H485" s="69"/>
    </row>
    <row r="486" spans="1:8" x14ac:dyDescent="0.2">
      <c r="A486" s="72"/>
      <c r="B486" s="76"/>
      <c r="C486" s="73"/>
      <c r="D486" s="73" t="s">
        <v>942</v>
      </c>
      <c r="E486" s="77" t="s">
        <v>109</v>
      </c>
      <c r="F486" s="75" t="s">
        <v>1485</v>
      </c>
      <c r="G486" s="75" t="s">
        <v>999</v>
      </c>
      <c r="H486" s="69"/>
    </row>
    <row r="487" spans="1:8" x14ac:dyDescent="0.2">
      <c r="A487" s="72"/>
      <c r="B487" s="76"/>
      <c r="C487" s="73"/>
      <c r="D487" s="73" t="s">
        <v>942</v>
      </c>
      <c r="E487" s="77" t="s">
        <v>109</v>
      </c>
      <c r="F487" s="75" t="s">
        <v>1482</v>
      </c>
      <c r="G487" s="75" t="s">
        <v>999</v>
      </c>
      <c r="H487" s="69"/>
    </row>
    <row r="488" spans="1:8" x14ac:dyDescent="0.2">
      <c r="A488" s="72"/>
      <c r="B488" s="76"/>
      <c r="C488" s="73"/>
      <c r="D488" s="73" t="s">
        <v>942</v>
      </c>
      <c r="E488" s="77" t="s">
        <v>109</v>
      </c>
      <c r="F488" s="75" t="s">
        <v>1486</v>
      </c>
      <c r="G488" s="75" t="s">
        <v>999</v>
      </c>
      <c r="H488" s="69"/>
    </row>
    <row r="489" spans="1:8" x14ac:dyDescent="0.2">
      <c r="A489" s="72"/>
      <c r="B489" s="76"/>
      <c r="C489" s="73"/>
      <c r="D489" s="73" t="s">
        <v>942</v>
      </c>
      <c r="E489" s="77" t="s">
        <v>109</v>
      </c>
      <c r="F489" s="75" t="s">
        <v>1484</v>
      </c>
      <c r="G489" s="75" t="s">
        <v>999</v>
      </c>
      <c r="H489" s="69"/>
    </row>
    <row r="490" spans="1:8" x14ac:dyDescent="0.2">
      <c r="A490" s="72"/>
      <c r="B490" s="76"/>
      <c r="C490" s="73"/>
      <c r="D490" s="73" t="s">
        <v>942</v>
      </c>
      <c r="E490" s="77" t="s">
        <v>963</v>
      </c>
      <c r="F490" s="75" t="s">
        <v>1485</v>
      </c>
      <c r="G490" s="75" t="s">
        <v>999</v>
      </c>
      <c r="H490" s="69"/>
    </row>
    <row r="491" spans="1:8" x14ac:dyDescent="0.2">
      <c r="A491" s="72"/>
      <c r="B491" s="76"/>
      <c r="C491" s="73"/>
      <c r="D491" s="73" t="s">
        <v>942</v>
      </c>
      <c r="E491" s="77" t="s">
        <v>963</v>
      </c>
      <c r="F491" s="75" t="s">
        <v>1482</v>
      </c>
      <c r="G491" s="75" t="s">
        <v>999</v>
      </c>
      <c r="H491" s="69"/>
    </row>
    <row r="492" spans="1:8" x14ac:dyDescent="0.2">
      <c r="A492" s="72"/>
      <c r="B492" s="76"/>
      <c r="C492" s="73"/>
      <c r="D492" s="73" t="s">
        <v>942</v>
      </c>
      <c r="E492" s="77" t="s">
        <v>963</v>
      </c>
      <c r="F492" s="75" t="s">
        <v>1486</v>
      </c>
      <c r="G492" s="75" t="s">
        <v>999</v>
      </c>
      <c r="H492" s="69"/>
    </row>
    <row r="493" spans="1:8" x14ac:dyDescent="0.2">
      <c r="A493" s="72"/>
      <c r="B493" s="76"/>
      <c r="C493" s="73"/>
      <c r="D493" s="73" t="s">
        <v>942</v>
      </c>
      <c r="E493" s="77" t="s">
        <v>963</v>
      </c>
      <c r="F493" s="75" t="s">
        <v>1484</v>
      </c>
      <c r="G493" s="75" t="s">
        <v>999</v>
      </c>
      <c r="H493" s="69"/>
    </row>
    <row r="494" spans="1:8" ht="16" x14ac:dyDescent="0.2">
      <c r="A494" s="72"/>
      <c r="B494" s="76"/>
      <c r="C494" s="73"/>
      <c r="D494" s="73" t="s">
        <v>942</v>
      </c>
      <c r="E494" s="77" t="s">
        <v>109</v>
      </c>
      <c r="F494" s="75" t="s">
        <v>1487</v>
      </c>
      <c r="G494" s="74" t="s">
        <v>1053</v>
      </c>
      <c r="H494" s="69"/>
    </row>
    <row r="495" spans="1:8" ht="16" x14ac:dyDescent="0.2">
      <c r="A495" s="72"/>
      <c r="B495" s="76"/>
      <c r="C495" s="73"/>
      <c r="D495" s="73" t="s">
        <v>942</v>
      </c>
      <c r="E495" s="77" t="s">
        <v>109</v>
      </c>
      <c r="F495" s="75" t="s">
        <v>1488</v>
      </c>
      <c r="G495" s="74" t="s">
        <v>1053</v>
      </c>
      <c r="H495" s="69"/>
    </row>
    <row r="496" spans="1:8" ht="16" x14ac:dyDescent="0.2">
      <c r="A496" s="72"/>
      <c r="B496" s="76"/>
      <c r="C496" s="73"/>
      <c r="D496" s="73" t="s">
        <v>942</v>
      </c>
      <c r="E496" s="77" t="s">
        <v>109</v>
      </c>
      <c r="F496" s="75" t="s">
        <v>1489</v>
      </c>
      <c r="G496" s="74" t="s">
        <v>1053</v>
      </c>
      <c r="H496" s="69"/>
    </row>
    <row r="497" spans="1:8" ht="16" x14ac:dyDescent="0.2">
      <c r="A497" s="72"/>
      <c r="B497" s="76"/>
      <c r="C497" s="73"/>
      <c r="D497" s="73" t="s">
        <v>942</v>
      </c>
      <c r="E497" s="77" t="s">
        <v>109</v>
      </c>
      <c r="F497" s="75" t="s">
        <v>1469</v>
      </c>
      <c r="G497" s="74" t="s">
        <v>1053</v>
      </c>
      <c r="H497" s="69"/>
    </row>
    <row r="498" spans="1:8" ht="16" x14ac:dyDescent="0.2">
      <c r="A498" s="72"/>
      <c r="B498" s="76"/>
      <c r="C498" s="73"/>
      <c r="D498" s="73" t="s">
        <v>942</v>
      </c>
      <c r="E498" s="77" t="s">
        <v>109</v>
      </c>
      <c r="F498" s="75" t="s">
        <v>358</v>
      </c>
      <c r="G498" s="74" t="s">
        <v>1053</v>
      </c>
      <c r="H498" s="69"/>
    </row>
    <row r="499" spans="1:8" ht="16" x14ac:dyDescent="0.2">
      <c r="A499" s="72"/>
      <c r="B499" s="76"/>
      <c r="C499" s="73"/>
      <c r="D499" s="73" t="s">
        <v>942</v>
      </c>
      <c r="E499" s="77" t="s">
        <v>109</v>
      </c>
      <c r="F499" s="75" t="s">
        <v>1490</v>
      </c>
      <c r="G499" s="74" t="s">
        <v>1053</v>
      </c>
      <c r="H499" s="69"/>
    </row>
    <row r="500" spans="1:8" ht="16" x14ac:dyDescent="0.2">
      <c r="A500" s="72"/>
      <c r="B500" s="76"/>
      <c r="C500" s="73"/>
      <c r="D500" s="73" t="s">
        <v>942</v>
      </c>
      <c r="E500" s="77" t="s">
        <v>963</v>
      </c>
      <c r="F500" s="75" t="s">
        <v>1487</v>
      </c>
      <c r="G500" s="74" t="s">
        <v>1053</v>
      </c>
      <c r="H500" s="69"/>
    </row>
    <row r="501" spans="1:8" ht="16" x14ac:dyDescent="0.2">
      <c r="A501" s="72"/>
      <c r="B501" s="76"/>
      <c r="C501" s="73"/>
      <c r="D501" s="73" t="s">
        <v>942</v>
      </c>
      <c r="E501" s="77" t="s">
        <v>963</v>
      </c>
      <c r="F501" s="75" t="s">
        <v>1488</v>
      </c>
      <c r="G501" s="74" t="s">
        <v>1053</v>
      </c>
      <c r="H501" s="69"/>
    </row>
    <row r="502" spans="1:8" ht="16" x14ac:dyDescent="0.2">
      <c r="A502" s="72"/>
      <c r="B502" s="76"/>
      <c r="C502" s="73"/>
      <c r="D502" s="73" t="s">
        <v>942</v>
      </c>
      <c r="E502" s="77" t="s">
        <v>963</v>
      </c>
      <c r="F502" s="75" t="s">
        <v>1489</v>
      </c>
      <c r="G502" s="74" t="s">
        <v>1053</v>
      </c>
      <c r="H502" s="69"/>
    </row>
    <row r="503" spans="1:8" ht="16" x14ac:dyDescent="0.2">
      <c r="A503" s="72"/>
      <c r="B503" s="76"/>
      <c r="C503" s="73"/>
      <c r="D503" s="73" t="s">
        <v>942</v>
      </c>
      <c r="E503" s="77" t="s">
        <v>963</v>
      </c>
      <c r="F503" s="75" t="s">
        <v>1469</v>
      </c>
      <c r="G503" s="74" t="s">
        <v>1053</v>
      </c>
      <c r="H503" s="69"/>
    </row>
    <row r="504" spans="1:8" ht="16" x14ac:dyDescent="0.2">
      <c r="A504" s="72"/>
      <c r="B504" s="76"/>
      <c r="C504" s="73"/>
      <c r="D504" s="73" t="s">
        <v>942</v>
      </c>
      <c r="E504" s="77" t="s">
        <v>963</v>
      </c>
      <c r="F504" s="75" t="s">
        <v>358</v>
      </c>
      <c r="G504" s="74" t="s">
        <v>1053</v>
      </c>
      <c r="H504" s="69"/>
    </row>
    <row r="505" spans="1:8" ht="16" x14ac:dyDescent="0.2">
      <c r="A505" s="72"/>
      <c r="B505" s="76"/>
      <c r="C505" s="73"/>
      <c r="D505" s="73" t="s">
        <v>942</v>
      </c>
      <c r="E505" s="77" t="s">
        <v>963</v>
      </c>
      <c r="F505" s="75" t="s">
        <v>1490</v>
      </c>
      <c r="G505" s="74" t="s">
        <v>1053</v>
      </c>
      <c r="H505" s="69"/>
    </row>
    <row r="506" spans="1:8" ht="16" x14ac:dyDescent="0.2">
      <c r="A506" s="72"/>
      <c r="B506" s="76"/>
      <c r="C506" s="73"/>
      <c r="D506" s="73" t="s">
        <v>942</v>
      </c>
      <c r="E506" s="77" t="s">
        <v>93</v>
      </c>
      <c r="F506" s="75" t="s">
        <v>1487</v>
      </c>
      <c r="G506" s="74" t="s">
        <v>1052</v>
      </c>
      <c r="H506" s="69"/>
    </row>
    <row r="507" spans="1:8" ht="16" x14ac:dyDescent="0.2">
      <c r="A507" s="72"/>
      <c r="B507" s="76"/>
      <c r="C507" s="73"/>
      <c r="D507" s="73" t="s">
        <v>942</v>
      </c>
      <c r="E507" s="77" t="s">
        <v>93</v>
      </c>
      <c r="F507" s="75" t="s">
        <v>1488</v>
      </c>
      <c r="G507" s="74" t="s">
        <v>1052</v>
      </c>
      <c r="H507" s="69"/>
    </row>
    <row r="508" spans="1:8" ht="16" x14ac:dyDescent="0.2">
      <c r="A508" s="72"/>
      <c r="B508" s="76"/>
      <c r="C508" s="73"/>
      <c r="D508" s="73" t="s">
        <v>942</v>
      </c>
      <c r="E508" s="77" t="s">
        <v>93</v>
      </c>
      <c r="F508" s="75" t="s">
        <v>1489</v>
      </c>
      <c r="G508" s="74" t="s">
        <v>1052</v>
      </c>
      <c r="H508" s="69"/>
    </row>
    <row r="509" spans="1:8" ht="16" x14ac:dyDescent="0.2">
      <c r="A509" s="72"/>
      <c r="B509" s="76"/>
      <c r="C509" s="73"/>
      <c r="D509" s="73" t="s">
        <v>942</v>
      </c>
      <c r="E509" s="77" t="s">
        <v>93</v>
      </c>
      <c r="F509" s="75" t="s">
        <v>1469</v>
      </c>
      <c r="G509" s="74" t="s">
        <v>1052</v>
      </c>
      <c r="H509" s="69"/>
    </row>
    <row r="510" spans="1:8" ht="16" x14ac:dyDescent="0.2">
      <c r="A510" s="72"/>
      <c r="B510" s="76"/>
      <c r="C510" s="73"/>
      <c r="D510" s="73" t="s">
        <v>942</v>
      </c>
      <c r="E510" s="77" t="s">
        <v>93</v>
      </c>
      <c r="F510" s="75" t="s">
        <v>358</v>
      </c>
      <c r="G510" s="74" t="s">
        <v>1052</v>
      </c>
      <c r="H510" s="69"/>
    </row>
    <row r="511" spans="1:8" ht="16" x14ac:dyDescent="0.2">
      <c r="A511" s="72"/>
      <c r="B511" s="76"/>
      <c r="C511" s="73"/>
      <c r="D511" s="73" t="s">
        <v>942</v>
      </c>
      <c r="E511" s="77" t="s">
        <v>93</v>
      </c>
      <c r="F511" s="75" t="s">
        <v>1490</v>
      </c>
      <c r="G511" s="74" t="s">
        <v>1052</v>
      </c>
      <c r="H511" s="69"/>
    </row>
    <row r="512" spans="1:8" ht="16" x14ac:dyDescent="0.2">
      <c r="A512" s="72"/>
      <c r="B512" s="76"/>
      <c r="C512" s="73"/>
      <c r="D512" s="73" t="s">
        <v>938</v>
      </c>
      <c r="E512" s="77" t="s">
        <v>93</v>
      </c>
      <c r="F512" s="75" t="s">
        <v>1487</v>
      </c>
      <c r="G512" s="74" t="s">
        <v>1050</v>
      </c>
      <c r="H512" s="69"/>
    </row>
    <row r="513" spans="1:8" ht="16" x14ac:dyDescent="0.2">
      <c r="A513" s="72"/>
      <c r="B513" s="76"/>
      <c r="C513" s="73"/>
      <c r="D513" s="73" t="s">
        <v>938</v>
      </c>
      <c r="E513" s="77" t="s">
        <v>93</v>
      </c>
      <c r="F513" s="75" t="s">
        <v>1488</v>
      </c>
      <c r="G513" s="74" t="s">
        <v>1050</v>
      </c>
      <c r="H513" s="69"/>
    </row>
    <row r="514" spans="1:8" ht="16" x14ac:dyDescent="0.2">
      <c r="A514" s="72"/>
      <c r="B514" s="76"/>
      <c r="C514" s="73"/>
      <c r="D514" s="73" t="s">
        <v>938</v>
      </c>
      <c r="E514" s="77" t="s">
        <v>93</v>
      </c>
      <c r="F514" s="75" t="s">
        <v>1489</v>
      </c>
      <c r="G514" s="74" t="s">
        <v>1050</v>
      </c>
      <c r="H514" s="69"/>
    </row>
    <row r="515" spans="1:8" ht="16" x14ac:dyDescent="0.2">
      <c r="A515" s="72"/>
      <c r="B515" s="76"/>
      <c r="C515" s="73"/>
      <c r="D515" s="73" t="s">
        <v>938</v>
      </c>
      <c r="E515" s="77" t="s">
        <v>93</v>
      </c>
      <c r="F515" s="75" t="s">
        <v>1469</v>
      </c>
      <c r="G515" s="74" t="s">
        <v>1050</v>
      </c>
      <c r="H515" s="69"/>
    </row>
    <row r="516" spans="1:8" ht="16" x14ac:dyDescent="0.2">
      <c r="A516" s="72"/>
      <c r="B516" s="76"/>
      <c r="C516" s="73"/>
      <c r="D516" s="73" t="s">
        <v>938</v>
      </c>
      <c r="E516" s="77" t="s">
        <v>93</v>
      </c>
      <c r="F516" s="75" t="s">
        <v>358</v>
      </c>
      <c r="G516" s="74" t="s">
        <v>1050</v>
      </c>
      <c r="H516" s="69"/>
    </row>
    <row r="517" spans="1:8" ht="16" x14ac:dyDescent="0.2">
      <c r="A517" s="72"/>
      <c r="B517" s="76"/>
      <c r="C517" s="73"/>
      <c r="D517" s="73" t="s">
        <v>938</v>
      </c>
      <c r="E517" s="77" t="s">
        <v>93</v>
      </c>
      <c r="F517" s="75" t="s">
        <v>1490</v>
      </c>
      <c r="G517" s="74" t="s">
        <v>1050</v>
      </c>
      <c r="H517" s="69"/>
    </row>
    <row r="518" spans="1:8" ht="16" x14ac:dyDescent="0.2">
      <c r="A518" s="72"/>
      <c r="B518" s="76"/>
      <c r="C518" s="73"/>
      <c r="D518" s="73" t="s">
        <v>938</v>
      </c>
      <c r="E518" s="77" t="s">
        <v>109</v>
      </c>
      <c r="F518" s="75" t="s">
        <v>1491</v>
      </c>
      <c r="G518" s="74" t="s">
        <v>339</v>
      </c>
      <c r="H518" s="69"/>
    </row>
    <row r="519" spans="1:8" ht="16" x14ac:dyDescent="0.2">
      <c r="A519" s="72"/>
      <c r="B519" s="76"/>
      <c r="C519" s="73"/>
      <c r="D519" s="73" t="s">
        <v>938</v>
      </c>
      <c r="E519" s="77" t="s">
        <v>125</v>
      </c>
      <c r="F519" s="75" t="s">
        <v>1491</v>
      </c>
      <c r="G519" s="74" t="s">
        <v>339</v>
      </c>
      <c r="H519" s="69"/>
    </row>
    <row r="520" spans="1:8" ht="16" x14ac:dyDescent="0.2">
      <c r="A520" s="72"/>
      <c r="B520" s="76"/>
      <c r="C520" s="73"/>
      <c r="D520" s="73" t="s">
        <v>938</v>
      </c>
      <c r="E520" s="77" t="s">
        <v>109</v>
      </c>
      <c r="F520" s="75" t="s">
        <v>1492</v>
      </c>
      <c r="G520" s="74" t="s">
        <v>339</v>
      </c>
      <c r="H520" s="69"/>
    </row>
    <row r="521" spans="1:8" ht="16" x14ac:dyDescent="0.2">
      <c r="A521" s="72"/>
      <c r="B521" s="76"/>
      <c r="C521" s="73"/>
      <c r="D521" s="73" t="s">
        <v>938</v>
      </c>
      <c r="E521" s="77" t="s">
        <v>125</v>
      </c>
      <c r="F521" s="75" t="s">
        <v>1492</v>
      </c>
      <c r="G521" s="74" t="s">
        <v>339</v>
      </c>
      <c r="H521" s="69"/>
    </row>
    <row r="522" spans="1:8" ht="16" x14ac:dyDescent="0.2">
      <c r="A522" s="72"/>
      <c r="B522" s="76"/>
      <c r="C522" s="73"/>
      <c r="D522" s="73" t="s">
        <v>938</v>
      </c>
      <c r="E522" s="77" t="s">
        <v>109</v>
      </c>
      <c r="F522" s="75" t="s">
        <v>1469</v>
      </c>
      <c r="G522" s="74" t="s">
        <v>339</v>
      </c>
      <c r="H522" s="69"/>
    </row>
    <row r="523" spans="1:8" ht="16" x14ac:dyDescent="0.2">
      <c r="A523" s="72"/>
      <c r="B523" s="76"/>
      <c r="C523" s="73"/>
      <c r="D523" s="73" t="s">
        <v>938</v>
      </c>
      <c r="E523" s="77" t="s">
        <v>125</v>
      </c>
      <c r="F523" s="75" t="s">
        <v>1469</v>
      </c>
      <c r="G523" s="74" t="s">
        <v>339</v>
      </c>
      <c r="H523" s="69"/>
    </row>
    <row r="524" spans="1:8" ht="16" x14ac:dyDescent="0.2">
      <c r="A524" s="72"/>
      <c r="B524" s="76"/>
      <c r="C524" s="73"/>
      <c r="D524" s="73" t="s">
        <v>938</v>
      </c>
      <c r="E524" s="77" t="s">
        <v>109</v>
      </c>
      <c r="F524" s="75" t="s">
        <v>358</v>
      </c>
      <c r="G524" s="74" t="s">
        <v>339</v>
      </c>
      <c r="H524" s="69"/>
    </row>
    <row r="525" spans="1:8" ht="16" x14ac:dyDescent="0.2">
      <c r="A525" s="72"/>
      <c r="B525" s="76"/>
      <c r="C525" s="73"/>
      <c r="D525" s="73" t="s">
        <v>938</v>
      </c>
      <c r="E525" s="77" t="s">
        <v>125</v>
      </c>
      <c r="F525" s="75" t="s">
        <v>358</v>
      </c>
      <c r="G525" s="74" t="s">
        <v>339</v>
      </c>
      <c r="H525" s="69"/>
    </row>
    <row r="526" spans="1:8" ht="16" x14ac:dyDescent="0.2">
      <c r="A526" s="72"/>
      <c r="B526" s="76"/>
      <c r="C526" s="73"/>
      <c r="D526" s="73" t="s">
        <v>938</v>
      </c>
      <c r="E526" s="77" t="s">
        <v>109</v>
      </c>
      <c r="F526" s="75" t="s">
        <v>1490</v>
      </c>
      <c r="G526" s="74" t="s">
        <v>339</v>
      </c>
      <c r="H526" s="69"/>
    </row>
    <row r="527" spans="1:8" ht="16" x14ac:dyDescent="0.2">
      <c r="A527" s="72"/>
      <c r="B527" s="76"/>
      <c r="C527" s="73"/>
      <c r="D527" s="73" t="s">
        <v>938</v>
      </c>
      <c r="E527" s="77" t="s">
        <v>125</v>
      </c>
      <c r="F527" s="75" t="s">
        <v>1490</v>
      </c>
      <c r="G527" s="74" t="s">
        <v>339</v>
      </c>
      <c r="H527" s="69"/>
    </row>
    <row r="528" spans="1:8" ht="16" x14ac:dyDescent="0.2">
      <c r="A528" s="72"/>
      <c r="B528" s="76"/>
      <c r="C528" s="73"/>
      <c r="D528" s="73" t="s">
        <v>942</v>
      </c>
      <c r="E528" s="77" t="s">
        <v>116</v>
      </c>
      <c r="F528" s="75" t="s">
        <v>1467</v>
      </c>
      <c r="G528" s="74" t="s">
        <v>322</v>
      </c>
      <c r="H528" s="69"/>
    </row>
    <row r="529" spans="1:8" ht="16" x14ac:dyDescent="0.2">
      <c r="A529" s="72"/>
      <c r="B529" s="76"/>
      <c r="C529" s="73"/>
      <c r="D529" s="73" t="s">
        <v>942</v>
      </c>
      <c r="E529" s="77" t="s">
        <v>116</v>
      </c>
      <c r="F529" s="75" t="s">
        <v>1493</v>
      </c>
      <c r="G529" s="74" t="s">
        <v>322</v>
      </c>
      <c r="H529" s="69"/>
    </row>
    <row r="530" spans="1:8" ht="16" x14ac:dyDescent="0.2">
      <c r="A530" s="72"/>
      <c r="B530" s="76"/>
      <c r="C530" s="73"/>
      <c r="D530" s="73" t="s">
        <v>942</v>
      </c>
      <c r="E530" s="77" t="s">
        <v>116</v>
      </c>
      <c r="F530" s="75" t="s">
        <v>1469</v>
      </c>
      <c r="G530" s="74" t="s">
        <v>322</v>
      </c>
      <c r="H530" s="69"/>
    </row>
    <row r="531" spans="1:8" ht="16" x14ac:dyDescent="0.2">
      <c r="A531" s="72"/>
      <c r="B531" s="76"/>
      <c r="C531" s="73"/>
      <c r="D531" s="73" t="s">
        <v>942</v>
      </c>
      <c r="E531" s="77" t="s">
        <v>116</v>
      </c>
      <c r="F531" s="75" t="s">
        <v>358</v>
      </c>
      <c r="G531" s="74" t="s">
        <v>322</v>
      </c>
      <c r="H531" s="69"/>
    </row>
    <row r="532" spans="1:8" ht="16" x14ac:dyDescent="0.2">
      <c r="A532" s="72"/>
      <c r="B532" s="76"/>
      <c r="C532" s="73"/>
      <c r="D532" s="73" t="s">
        <v>942</v>
      </c>
      <c r="E532" s="77" t="s">
        <v>116</v>
      </c>
      <c r="F532" s="75" t="s">
        <v>1490</v>
      </c>
      <c r="G532" s="74" t="s">
        <v>322</v>
      </c>
      <c r="H532" s="69"/>
    </row>
    <row r="533" spans="1:8" x14ac:dyDescent="0.2">
      <c r="A533" s="72"/>
      <c r="B533" s="76"/>
      <c r="C533" s="73"/>
      <c r="D533" s="73" t="s">
        <v>942</v>
      </c>
      <c r="E533" s="77" t="s">
        <v>109</v>
      </c>
      <c r="F533" s="75" t="s">
        <v>1494</v>
      </c>
      <c r="G533" s="75" t="s">
        <v>1054</v>
      </c>
      <c r="H533" s="69"/>
    </row>
    <row r="534" spans="1:8" x14ac:dyDescent="0.2">
      <c r="A534" s="72"/>
      <c r="B534" s="76"/>
      <c r="C534" s="73"/>
      <c r="D534" s="73" t="s">
        <v>942</v>
      </c>
      <c r="E534" s="77" t="s">
        <v>109</v>
      </c>
      <c r="F534" s="75" t="s">
        <v>1495</v>
      </c>
      <c r="G534" s="75" t="s">
        <v>1054</v>
      </c>
      <c r="H534" s="69"/>
    </row>
    <row r="535" spans="1:8" x14ac:dyDescent="0.2">
      <c r="A535" s="72"/>
      <c r="B535" s="76"/>
      <c r="C535" s="73"/>
      <c r="D535" s="73" t="s">
        <v>942</v>
      </c>
      <c r="E535" s="77" t="s">
        <v>109</v>
      </c>
      <c r="F535" s="75" t="s">
        <v>1496</v>
      </c>
      <c r="G535" s="75" t="s">
        <v>1054</v>
      </c>
      <c r="H535" s="69"/>
    </row>
    <row r="536" spans="1:8" x14ac:dyDescent="0.2">
      <c r="A536" s="72"/>
      <c r="B536" s="76"/>
      <c r="C536" s="73"/>
      <c r="D536" s="73" t="s">
        <v>942</v>
      </c>
      <c r="E536" s="77" t="s">
        <v>109</v>
      </c>
      <c r="F536" s="75" t="s">
        <v>1497</v>
      </c>
      <c r="G536" s="75" t="s">
        <v>1054</v>
      </c>
      <c r="H536" s="69"/>
    </row>
    <row r="537" spans="1:8" x14ac:dyDescent="0.2">
      <c r="A537" s="72"/>
      <c r="B537" s="76"/>
      <c r="C537" s="73"/>
      <c r="D537" s="73" t="s">
        <v>942</v>
      </c>
      <c r="E537" s="77" t="s">
        <v>109</v>
      </c>
      <c r="F537" s="75" t="s">
        <v>1473</v>
      </c>
      <c r="G537" s="75" t="s">
        <v>1054</v>
      </c>
      <c r="H537" s="69"/>
    </row>
    <row r="538" spans="1:8" x14ac:dyDescent="0.2">
      <c r="A538" s="72"/>
      <c r="B538" s="76"/>
      <c r="C538" s="73"/>
      <c r="D538" s="73" t="s">
        <v>942</v>
      </c>
      <c r="E538" s="77" t="s">
        <v>109</v>
      </c>
      <c r="F538" s="75" t="s">
        <v>1471</v>
      </c>
      <c r="G538" s="75" t="s">
        <v>1054</v>
      </c>
      <c r="H538" s="69"/>
    </row>
    <row r="539" spans="1:8" x14ac:dyDescent="0.2">
      <c r="A539" s="72"/>
      <c r="B539" s="76"/>
      <c r="C539" s="73"/>
      <c r="D539" s="73" t="s">
        <v>942</v>
      </c>
      <c r="E539" s="77" t="s">
        <v>963</v>
      </c>
      <c r="F539" s="75" t="s">
        <v>1471</v>
      </c>
      <c r="G539" s="75" t="s">
        <v>1054</v>
      </c>
      <c r="H539" s="69"/>
    </row>
    <row r="540" spans="1:8" x14ac:dyDescent="0.2">
      <c r="A540" s="72"/>
      <c r="B540" s="76"/>
      <c r="C540" s="73"/>
      <c r="D540" s="73" t="s">
        <v>942</v>
      </c>
      <c r="E540" s="77" t="s">
        <v>963</v>
      </c>
      <c r="F540" s="75" t="s">
        <v>1494</v>
      </c>
      <c r="G540" s="75" t="s">
        <v>1054</v>
      </c>
      <c r="H540" s="69"/>
    </row>
    <row r="541" spans="1:8" x14ac:dyDescent="0.2">
      <c r="A541" s="72"/>
      <c r="B541" s="76"/>
      <c r="C541" s="73"/>
      <c r="D541" s="73" t="s">
        <v>942</v>
      </c>
      <c r="E541" s="77" t="s">
        <v>963</v>
      </c>
      <c r="F541" s="75" t="s">
        <v>1495</v>
      </c>
      <c r="G541" s="75" t="s">
        <v>1054</v>
      </c>
      <c r="H541" s="69"/>
    </row>
    <row r="542" spans="1:8" x14ac:dyDescent="0.2">
      <c r="A542" s="72"/>
      <c r="B542" s="76"/>
      <c r="C542" s="73"/>
      <c r="D542" s="73" t="s">
        <v>942</v>
      </c>
      <c r="E542" s="77" t="s">
        <v>963</v>
      </c>
      <c r="F542" s="75" t="s">
        <v>1496</v>
      </c>
      <c r="G542" s="75" t="s">
        <v>1054</v>
      </c>
      <c r="H542" s="69"/>
    </row>
    <row r="543" spans="1:8" x14ac:dyDescent="0.2">
      <c r="A543" s="72"/>
      <c r="B543" s="76"/>
      <c r="C543" s="73"/>
      <c r="D543" s="73" t="s">
        <v>942</v>
      </c>
      <c r="E543" s="77" t="s">
        <v>963</v>
      </c>
      <c r="F543" s="75" t="s">
        <v>1497</v>
      </c>
      <c r="G543" s="75" t="s">
        <v>1054</v>
      </c>
      <c r="H543" s="69"/>
    </row>
    <row r="544" spans="1:8" x14ac:dyDescent="0.2">
      <c r="A544" s="72"/>
      <c r="B544" s="76"/>
      <c r="C544" s="73"/>
      <c r="D544" s="73" t="s">
        <v>942</v>
      </c>
      <c r="E544" s="77" t="s">
        <v>963</v>
      </c>
      <c r="F544" s="75" t="s">
        <v>1473</v>
      </c>
      <c r="G544" s="75" t="s">
        <v>1054</v>
      </c>
      <c r="H544" s="69"/>
    </row>
    <row r="545" spans="1:8" x14ac:dyDescent="0.2">
      <c r="A545" s="72"/>
      <c r="B545" s="76"/>
      <c r="C545" s="73"/>
      <c r="D545" s="73" t="s">
        <v>938</v>
      </c>
      <c r="E545" s="77" t="s">
        <v>109</v>
      </c>
      <c r="F545" s="75" t="s">
        <v>1498</v>
      </c>
      <c r="G545" s="75" t="s">
        <v>1051</v>
      </c>
      <c r="H545" s="69"/>
    </row>
    <row r="546" spans="1:8" x14ac:dyDescent="0.2">
      <c r="A546" s="72"/>
      <c r="B546" s="76"/>
      <c r="C546" s="73"/>
      <c r="D546" s="73" t="s">
        <v>938</v>
      </c>
      <c r="E546" s="77" t="s">
        <v>109</v>
      </c>
      <c r="F546" s="75" t="s">
        <v>1499</v>
      </c>
      <c r="G546" s="75" t="s">
        <v>1051</v>
      </c>
      <c r="H546" s="69"/>
    </row>
    <row r="547" spans="1:8" x14ac:dyDescent="0.2">
      <c r="A547" s="72"/>
      <c r="B547" s="76"/>
      <c r="C547" s="73"/>
      <c r="D547" s="73" t="s">
        <v>938</v>
      </c>
      <c r="E547" s="77" t="s">
        <v>109</v>
      </c>
      <c r="F547" s="75" t="s">
        <v>1473</v>
      </c>
      <c r="G547" s="75" t="s">
        <v>1051</v>
      </c>
      <c r="H547" s="69"/>
    </row>
    <row r="548" spans="1:8" x14ac:dyDescent="0.2">
      <c r="A548" s="72"/>
      <c r="B548" s="76"/>
      <c r="C548" s="73"/>
      <c r="D548" s="73" t="s">
        <v>938</v>
      </c>
      <c r="E548" s="77" t="s">
        <v>109</v>
      </c>
      <c r="F548" s="75" t="s">
        <v>1497</v>
      </c>
      <c r="G548" s="75" t="s">
        <v>1051</v>
      </c>
      <c r="H548" s="69"/>
    </row>
    <row r="549" spans="1:8" x14ac:dyDescent="0.2">
      <c r="A549" s="72"/>
      <c r="B549" s="76"/>
      <c r="C549" s="73"/>
      <c r="D549" s="73" t="s">
        <v>938</v>
      </c>
      <c r="E549" s="77" t="s">
        <v>109</v>
      </c>
      <c r="F549" s="75" t="s">
        <v>1500</v>
      </c>
      <c r="G549" s="75" t="s">
        <v>1051</v>
      </c>
      <c r="H549" s="69"/>
    </row>
    <row r="550" spans="1:8" x14ac:dyDescent="0.2">
      <c r="A550" s="72"/>
      <c r="B550" s="76"/>
      <c r="C550" s="73"/>
      <c r="D550" s="73" t="s">
        <v>938</v>
      </c>
      <c r="E550" s="77" t="s">
        <v>109</v>
      </c>
      <c r="F550" s="75" t="s">
        <v>1471</v>
      </c>
      <c r="G550" s="75" t="s">
        <v>1051</v>
      </c>
      <c r="H550" s="69"/>
    </row>
    <row r="551" spans="1:8" x14ac:dyDescent="0.2">
      <c r="A551" s="72"/>
      <c r="B551" s="76"/>
      <c r="C551" s="73"/>
      <c r="D551" s="73" t="s">
        <v>938</v>
      </c>
      <c r="E551" s="77" t="s">
        <v>109</v>
      </c>
      <c r="F551" s="75" t="s">
        <v>1496</v>
      </c>
      <c r="G551" s="75" t="s">
        <v>1051</v>
      </c>
      <c r="H551" s="69"/>
    </row>
    <row r="552" spans="1:8" x14ac:dyDescent="0.2">
      <c r="A552" s="72"/>
      <c r="B552" s="76"/>
      <c r="C552" s="73"/>
      <c r="D552" s="73" t="s">
        <v>938</v>
      </c>
      <c r="E552" s="77" t="s">
        <v>109</v>
      </c>
      <c r="F552" s="75" t="s">
        <v>1501</v>
      </c>
      <c r="G552" s="75" t="s">
        <v>1051</v>
      </c>
      <c r="H552" s="69"/>
    </row>
    <row r="553" spans="1:8" ht="16" x14ac:dyDescent="0.2">
      <c r="A553" s="72"/>
      <c r="B553" s="76"/>
      <c r="C553" s="73"/>
      <c r="D553" s="73" t="s">
        <v>938</v>
      </c>
      <c r="E553" s="77" t="s">
        <v>109</v>
      </c>
      <c r="F553" s="75" t="s">
        <v>1502</v>
      </c>
      <c r="G553" s="74" t="s">
        <v>1124</v>
      </c>
      <c r="H553" s="69"/>
    </row>
    <row r="554" spans="1:8" ht="16" x14ac:dyDescent="0.2">
      <c r="A554" s="72"/>
      <c r="B554" s="76"/>
      <c r="C554" s="73"/>
      <c r="D554" s="73" t="s">
        <v>938</v>
      </c>
      <c r="E554" s="77" t="s">
        <v>964</v>
      </c>
      <c r="F554" s="75" t="s">
        <v>1502</v>
      </c>
      <c r="G554" s="74" t="s">
        <v>1124</v>
      </c>
      <c r="H554" s="69"/>
    </row>
    <row r="555" spans="1:8" ht="16" x14ac:dyDescent="0.2">
      <c r="A555" s="72"/>
      <c r="B555" s="76"/>
      <c r="C555" s="73"/>
      <c r="D555" s="73" t="s">
        <v>938</v>
      </c>
      <c r="E555" s="77" t="s">
        <v>109</v>
      </c>
      <c r="F555" s="75" t="s">
        <v>1503</v>
      </c>
      <c r="G555" s="74" t="s">
        <v>1124</v>
      </c>
      <c r="H555" s="69"/>
    </row>
    <row r="556" spans="1:8" ht="16" x14ac:dyDescent="0.2">
      <c r="A556" s="72"/>
      <c r="B556" s="76"/>
      <c r="C556" s="73"/>
      <c r="D556" s="73" t="s">
        <v>938</v>
      </c>
      <c r="E556" s="77" t="s">
        <v>964</v>
      </c>
      <c r="F556" s="75" t="s">
        <v>1503</v>
      </c>
      <c r="G556" s="74" t="s">
        <v>1124</v>
      </c>
      <c r="H556" s="69"/>
    </row>
    <row r="557" spans="1:8" ht="16" x14ac:dyDescent="0.2">
      <c r="A557" s="72"/>
      <c r="B557" s="76"/>
      <c r="C557" s="73"/>
      <c r="D557" s="73" t="s">
        <v>938</v>
      </c>
      <c r="E557" s="77" t="s">
        <v>109</v>
      </c>
      <c r="F557" s="75" t="s">
        <v>1504</v>
      </c>
      <c r="G557" s="74" t="s">
        <v>1124</v>
      </c>
      <c r="H557" s="69"/>
    </row>
    <row r="558" spans="1:8" ht="16" x14ac:dyDescent="0.2">
      <c r="A558" s="72"/>
      <c r="B558" s="76"/>
      <c r="C558" s="73"/>
      <c r="D558" s="73" t="s">
        <v>938</v>
      </c>
      <c r="E558" s="77" t="s">
        <v>964</v>
      </c>
      <c r="F558" s="75" t="s">
        <v>1504</v>
      </c>
      <c r="G558" s="74" t="s">
        <v>1124</v>
      </c>
      <c r="H558" s="69"/>
    </row>
    <row r="559" spans="1:8" ht="16" x14ac:dyDescent="0.2">
      <c r="A559" s="72"/>
      <c r="B559" s="76"/>
      <c r="C559" s="73"/>
      <c r="D559" s="73" t="s">
        <v>938</v>
      </c>
      <c r="E559" s="77" t="s">
        <v>963</v>
      </c>
      <c r="F559" s="75" t="s">
        <v>1504</v>
      </c>
      <c r="G559" s="74" t="s">
        <v>1124</v>
      </c>
      <c r="H559" s="69"/>
    </row>
    <row r="560" spans="1:8" ht="16" x14ac:dyDescent="0.2">
      <c r="A560" s="72"/>
      <c r="B560" s="76"/>
      <c r="C560" s="73"/>
      <c r="D560" s="73" t="s">
        <v>938</v>
      </c>
      <c r="E560" s="77" t="s">
        <v>116</v>
      </c>
      <c r="F560" s="75" t="s">
        <v>1505</v>
      </c>
      <c r="G560" s="74" t="s">
        <v>304</v>
      </c>
      <c r="H560" s="69"/>
    </row>
    <row r="561" spans="1:8" ht="16" x14ac:dyDescent="0.2">
      <c r="A561" s="72"/>
      <c r="B561" s="76"/>
      <c r="C561" s="73"/>
      <c r="D561" s="73" t="s">
        <v>938</v>
      </c>
      <c r="E561" s="77" t="s">
        <v>116</v>
      </c>
      <c r="F561" s="75" t="s">
        <v>1506</v>
      </c>
      <c r="G561" s="74" t="s">
        <v>304</v>
      </c>
      <c r="H561" s="69"/>
    </row>
    <row r="562" spans="1:8" ht="16" x14ac:dyDescent="0.2">
      <c r="A562" s="72"/>
      <c r="B562" s="76"/>
      <c r="C562" s="73"/>
      <c r="D562" s="73" t="s">
        <v>938</v>
      </c>
      <c r="E562" s="77" t="s">
        <v>116</v>
      </c>
      <c r="F562" s="75" t="s">
        <v>361</v>
      </c>
      <c r="G562" s="74" t="s">
        <v>304</v>
      </c>
      <c r="H562" s="69"/>
    </row>
    <row r="563" spans="1:8" ht="16" x14ac:dyDescent="0.2">
      <c r="A563" s="72"/>
      <c r="B563" s="76"/>
      <c r="C563" s="73"/>
      <c r="D563" s="73" t="s">
        <v>942</v>
      </c>
      <c r="E563" s="77" t="s">
        <v>93</v>
      </c>
      <c r="F563" s="75" t="s">
        <v>1507</v>
      </c>
      <c r="G563" s="74" t="s">
        <v>313</v>
      </c>
      <c r="H563" s="69"/>
    </row>
    <row r="564" spans="1:8" ht="16" x14ac:dyDescent="0.2">
      <c r="A564" s="72"/>
      <c r="B564" s="76"/>
      <c r="C564" s="73"/>
      <c r="D564" s="73" t="s">
        <v>942</v>
      </c>
      <c r="E564" s="77" t="s">
        <v>116</v>
      </c>
      <c r="F564" s="75" t="s">
        <v>1507</v>
      </c>
      <c r="G564" s="74" t="s">
        <v>313</v>
      </c>
      <c r="H564" s="69"/>
    </row>
    <row r="565" spans="1:8" ht="16" x14ac:dyDescent="0.2">
      <c r="A565" s="72"/>
      <c r="B565" s="76"/>
      <c r="C565" s="73"/>
      <c r="D565" s="73" t="s">
        <v>942</v>
      </c>
      <c r="E565" s="77" t="s">
        <v>109</v>
      </c>
      <c r="F565" s="75" t="s">
        <v>1507</v>
      </c>
      <c r="G565" s="74" t="s">
        <v>313</v>
      </c>
      <c r="H565" s="69"/>
    </row>
    <row r="566" spans="1:8" ht="16" x14ac:dyDescent="0.2">
      <c r="A566" s="72"/>
      <c r="B566" s="76"/>
      <c r="C566" s="73"/>
      <c r="D566" s="73" t="s">
        <v>942</v>
      </c>
      <c r="E566" s="77" t="s">
        <v>125</v>
      </c>
      <c r="F566" s="75" t="s">
        <v>1507</v>
      </c>
      <c r="G566" s="74" t="s">
        <v>313</v>
      </c>
      <c r="H566" s="69"/>
    </row>
    <row r="567" spans="1:8" ht="16" x14ac:dyDescent="0.2">
      <c r="A567" s="72"/>
      <c r="B567" s="76"/>
      <c r="C567" s="73"/>
      <c r="D567" s="73" t="s">
        <v>942</v>
      </c>
      <c r="E567" s="77" t="s">
        <v>93</v>
      </c>
      <c r="F567" s="75" t="s">
        <v>1508</v>
      </c>
      <c r="G567" s="74" t="s">
        <v>313</v>
      </c>
      <c r="H567" s="69"/>
    </row>
    <row r="568" spans="1:8" ht="16" x14ac:dyDescent="0.2">
      <c r="A568" s="72"/>
      <c r="B568" s="76"/>
      <c r="C568" s="73"/>
      <c r="D568" s="73" t="s">
        <v>942</v>
      </c>
      <c r="E568" s="77" t="s">
        <v>116</v>
      </c>
      <c r="F568" s="75" t="s">
        <v>1508</v>
      </c>
      <c r="G568" s="74" t="s">
        <v>313</v>
      </c>
      <c r="H568" s="69"/>
    </row>
    <row r="569" spans="1:8" ht="16" x14ac:dyDescent="0.2">
      <c r="A569" s="72"/>
      <c r="B569" s="76"/>
      <c r="C569" s="73"/>
      <c r="D569" s="73" t="s">
        <v>942</v>
      </c>
      <c r="E569" s="77" t="s">
        <v>109</v>
      </c>
      <c r="F569" s="75" t="s">
        <v>1508</v>
      </c>
      <c r="G569" s="74" t="s">
        <v>313</v>
      </c>
      <c r="H569" s="69"/>
    </row>
    <row r="570" spans="1:8" ht="16" x14ac:dyDescent="0.2">
      <c r="A570" s="72"/>
      <c r="B570" s="76"/>
      <c r="C570" s="73"/>
      <c r="D570" s="73" t="s">
        <v>942</v>
      </c>
      <c r="E570" s="77" t="s">
        <v>125</v>
      </c>
      <c r="F570" s="75" t="s">
        <v>1508</v>
      </c>
      <c r="G570" s="74" t="s">
        <v>313</v>
      </c>
      <c r="H570" s="69"/>
    </row>
    <row r="571" spans="1:8" ht="16" x14ac:dyDescent="0.2">
      <c r="A571" s="72"/>
      <c r="B571" s="76"/>
      <c r="C571" s="73"/>
      <c r="D571" s="73" t="s">
        <v>942</v>
      </c>
      <c r="E571" s="77" t="s">
        <v>93</v>
      </c>
      <c r="F571" s="75" t="s">
        <v>1509</v>
      </c>
      <c r="G571" s="74" t="s">
        <v>313</v>
      </c>
      <c r="H571" s="69"/>
    </row>
    <row r="572" spans="1:8" ht="16" x14ac:dyDescent="0.2">
      <c r="A572" s="72"/>
      <c r="B572" s="76"/>
      <c r="C572" s="73"/>
      <c r="D572" s="73" t="s">
        <v>942</v>
      </c>
      <c r="E572" s="77" t="s">
        <v>116</v>
      </c>
      <c r="F572" s="75" t="s">
        <v>1509</v>
      </c>
      <c r="G572" s="74" t="s">
        <v>313</v>
      </c>
      <c r="H572" s="69"/>
    </row>
    <row r="573" spans="1:8" ht="16" x14ac:dyDescent="0.2">
      <c r="A573" s="72"/>
      <c r="B573" s="76"/>
      <c r="C573" s="73"/>
      <c r="D573" s="73" t="s">
        <v>942</v>
      </c>
      <c r="E573" s="77" t="s">
        <v>109</v>
      </c>
      <c r="F573" s="75" t="s">
        <v>1509</v>
      </c>
      <c r="G573" s="74" t="s">
        <v>313</v>
      </c>
      <c r="H573" s="69"/>
    </row>
    <row r="574" spans="1:8" ht="16" x14ac:dyDescent="0.2">
      <c r="A574" s="72"/>
      <c r="B574" s="76"/>
      <c r="C574" s="73"/>
      <c r="D574" s="73" t="s">
        <v>942</v>
      </c>
      <c r="E574" s="77" t="s">
        <v>125</v>
      </c>
      <c r="F574" s="75" t="s">
        <v>1509</v>
      </c>
      <c r="G574" s="74" t="s">
        <v>313</v>
      </c>
      <c r="H574" s="69"/>
    </row>
    <row r="575" spans="1:8" ht="16" x14ac:dyDescent="0.2">
      <c r="A575" s="72"/>
      <c r="B575" s="76"/>
      <c r="C575" s="73"/>
      <c r="D575" s="73" t="s">
        <v>942</v>
      </c>
      <c r="E575" s="77" t="s">
        <v>93</v>
      </c>
      <c r="F575" s="75" t="s">
        <v>361</v>
      </c>
      <c r="G575" s="74" t="s">
        <v>313</v>
      </c>
      <c r="H575" s="69"/>
    </row>
    <row r="576" spans="1:8" ht="16" x14ac:dyDescent="0.2">
      <c r="A576" s="72"/>
      <c r="B576" s="76"/>
      <c r="C576" s="73"/>
      <c r="D576" s="73" t="s">
        <v>942</v>
      </c>
      <c r="E576" s="77" t="s">
        <v>116</v>
      </c>
      <c r="F576" s="75" t="s">
        <v>361</v>
      </c>
      <c r="G576" s="74" t="s">
        <v>313</v>
      </c>
      <c r="H576" s="69"/>
    </row>
    <row r="577" spans="1:8" ht="16" x14ac:dyDescent="0.2">
      <c r="A577" s="72"/>
      <c r="B577" s="76"/>
      <c r="C577" s="73"/>
      <c r="D577" s="73" t="s">
        <v>942</v>
      </c>
      <c r="E577" s="77" t="s">
        <v>109</v>
      </c>
      <c r="F577" s="75" t="s">
        <v>361</v>
      </c>
      <c r="G577" s="74" t="s">
        <v>313</v>
      </c>
      <c r="H577" s="69"/>
    </row>
    <row r="578" spans="1:8" ht="16" x14ac:dyDescent="0.2">
      <c r="A578" s="72"/>
      <c r="B578" s="76"/>
      <c r="C578" s="73"/>
      <c r="D578" s="73" t="s">
        <v>942</v>
      </c>
      <c r="E578" s="77" t="s">
        <v>125</v>
      </c>
      <c r="F578" s="75" t="s">
        <v>361</v>
      </c>
      <c r="G578" s="74" t="s">
        <v>313</v>
      </c>
      <c r="H578" s="69"/>
    </row>
    <row r="579" spans="1:8" ht="16" x14ac:dyDescent="0.2">
      <c r="A579" s="72"/>
      <c r="B579" s="76"/>
      <c r="C579" s="73"/>
      <c r="D579" s="73" t="s">
        <v>942</v>
      </c>
      <c r="E579" s="77" t="s">
        <v>963</v>
      </c>
      <c r="F579" s="75" t="s">
        <v>361</v>
      </c>
      <c r="G579" s="74" t="s">
        <v>313</v>
      </c>
      <c r="H579" s="69"/>
    </row>
    <row r="580" spans="1:8" ht="16" x14ac:dyDescent="0.2">
      <c r="A580" s="72"/>
      <c r="B580" s="76"/>
      <c r="C580" s="73"/>
      <c r="D580" s="73" t="s">
        <v>942</v>
      </c>
      <c r="E580" s="77" t="s">
        <v>93</v>
      </c>
      <c r="F580" s="75" t="s">
        <v>1506</v>
      </c>
      <c r="G580" s="74" t="s">
        <v>313</v>
      </c>
      <c r="H580" s="69"/>
    </row>
    <row r="581" spans="1:8" ht="16" x14ac:dyDescent="0.2">
      <c r="A581" s="72"/>
      <c r="B581" s="76"/>
      <c r="C581" s="73"/>
      <c r="D581" s="73" t="s">
        <v>942</v>
      </c>
      <c r="E581" s="77" t="s">
        <v>116</v>
      </c>
      <c r="F581" s="75" t="s">
        <v>1506</v>
      </c>
      <c r="G581" s="74" t="s">
        <v>313</v>
      </c>
      <c r="H581" s="69"/>
    </row>
    <row r="582" spans="1:8" ht="16" x14ac:dyDescent="0.2">
      <c r="A582" s="72"/>
      <c r="B582" s="76"/>
      <c r="C582" s="73"/>
      <c r="D582" s="73" t="s">
        <v>942</v>
      </c>
      <c r="E582" s="77" t="s">
        <v>109</v>
      </c>
      <c r="F582" s="75" t="s">
        <v>1506</v>
      </c>
      <c r="G582" s="74" t="s">
        <v>313</v>
      </c>
      <c r="H582" s="69"/>
    </row>
    <row r="583" spans="1:8" ht="16" x14ac:dyDescent="0.2">
      <c r="A583" s="72"/>
      <c r="B583" s="76"/>
      <c r="C583" s="73"/>
      <c r="D583" s="73" t="s">
        <v>942</v>
      </c>
      <c r="E583" s="77" t="s">
        <v>125</v>
      </c>
      <c r="F583" s="75" t="s">
        <v>1506</v>
      </c>
      <c r="G583" s="74" t="s">
        <v>313</v>
      </c>
      <c r="H583" s="69"/>
    </row>
    <row r="584" spans="1:8" x14ac:dyDescent="0.2">
      <c r="A584" s="72"/>
      <c r="B584" s="76"/>
      <c r="C584" s="73"/>
      <c r="D584" s="73" t="s">
        <v>941</v>
      </c>
      <c r="E584" s="77" t="s">
        <v>102</v>
      </c>
      <c r="F584" s="75" t="s">
        <v>2022</v>
      </c>
      <c r="G584" s="75" t="s">
        <v>1133</v>
      </c>
      <c r="H584" s="69"/>
    </row>
    <row r="585" spans="1:8" x14ac:dyDescent="0.2">
      <c r="A585" s="72"/>
      <c r="B585" s="76"/>
      <c r="C585" s="73"/>
      <c r="D585" s="73" t="s">
        <v>941</v>
      </c>
      <c r="E585" s="77" t="s">
        <v>102</v>
      </c>
      <c r="F585" s="75" t="s">
        <v>2023</v>
      </c>
      <c r="G585" s="75" t="s">
        <v>1133</v>
      </c>
      <c r="H585" s="69"/>
    </row>
    <row r="586" spans="1:8" x14ac:dyDescent="0.2">
      <c r="A586" s="72"/>
      <c r="B586" s="76"/>
      <c r="C586" s="73"/>
      <c r="D586" s="73" t="s">
        <v>941</v>
      </c>
      <c r="E586" s="77" t="s">
        <v>102</v>
      </c>
      <c r="F586" s="75" t="s">
        <v>2031</v>
      </c>
      <c r="G586" s="75" t="s">
        <v>1133</v>
      </c>
      <c r="H586" s="69"/>
    </row>
    <row r="587" spans="1:8" x14ac:dyDescent="0.2">
      <c r="A587" s="72"/>
      <c r="B587" s="76"/>
      <c r="C587" s="73"/>
      <c r="D587" s="73" t="s">
        <v>941</v>
      </c>
      <c r="E587" s="77" t="s">
        <v>102</v>
      </c>
      <c r="F587" s="75" t="s">
        <v>2032</v>
      </c>
      <c r="G587" s="75" t="s">
        <v>1133</v>
      </c>
      <c r="H587" s="69"/>
    </row>
    <row r="588" spans="1:8" x14ac:dyDescent="0.2">
      <c r="A588" s="72"/>
      <c r="B588" s="76"/>
      <c r="C588" s="73"/>
      <c r="D588" s="73" t="s">
        <v>941</v>
      </c>
      <c r="E588" s="77" t="s">
        <v>102</v>
      </c>
      <c r="F588" s="75" t="s">
        <v>1510</v>
      </c>
      <c r="G588" s="75" t="s">
        <v>1132</v>
      </c>
      <c r="H588" s="69"/>
    </row>
    <row r="589" spans="1:8" x14ac:dyDescent="0.2">
      <c r="A589" s="72"/>
      <c r="B589" s="76"/>
      <c r="C589" s="73"/>
      <c r="D589" s="73" t="s">
        <v>941</v>
      </c>
      <c r="E589" s="77" t="s">
        <v>102</v>
      </c>
      <c r="F589" s="75" t="s">
        <v>1511</v>
      </c>
      <c r="G589" s="75" t="s">
        <v>1132</v>
      </c>
      <c r="H589" s="69"/>
    </row>
    <row r="590" spans="1:8" x14ac:dyDescent="0.2">
      <c r="A590" s="72"/>
      <c r="B590" s="76"/>
      <c r="C590" s="73"/>
      <c r="D590" s="73" t="s">
        <v>941</v>
      </c>
      <c r="E590" s="77" t="s">
        <v>102</v>
      </c>
      <c r="F590" s="75" t="s">
        <v>1512</v>
      </c>
      <c r="G590" s="75" t="s">
        <v>1132</v>
      </c>
      <c r="H590" s="69"/>
    </row>
    <row r="591" spans="1:8" x14ac:dyDescent="0.2">
      <c r="A591" s="72"/>
      <c r="B591" s="76"/>
      <c r="C591" s="73"/>
      <c r="D591" s="73" t="s">
        <v>941</v>
      </c>
      <c r="E591" s="77" t="s">
        <v>102</v>
      </c>
      <c r="F591" s="75" t="s">
        <v>1513</v>
      </c>
      <c r="G591" s="75" t="s">
        <v>1132</v>
      </c>
      <c r="H591" s="69"/>
    </row>
    <row r="592" spans="1:8" ht="16" x14ac:dyDescent="0.2">
      <c r="A592" s="72"/>
      <c r="B592" s="76"/>
      <c r="C592" s="73"/>
      <c r="D592" s="73" t="s">
        <v>941</v>
      </c>
      <c r="E592" s="77" t="s">
        <v>93</v>
      </c>
      <c r="F592" s="75" t="s">
        <v>1997</v>
      </c>
      <c r="G592" s="74" t="s">
        <v>507</v>
      </c>
      <c r="H592" s="69"/>
    </row>
    <row r="593" spans="1:8" ht="16" x14ac:dyDescent="0.2">
      <c r="A593" s="72"/>
      <c r="B593" s="76"/>
      <c r="C593" s="73"/>
      <c r="D593" s="73" t="s">
        <v>941</v>
      </c>
      <c r="E593" s="77" t="s">
        <v>93</v>
      </c>
      <c r="F593" s="75" t="s">
        <v>2019</v>
      </c>
      <c r="G593" s="74" t="s">
        <v>507</v>
      </c>
      <c r="H593" s="69"/>
    </row>
    <row r="594" spans="1:8" ht="16" x14ac:dyDescent="0.2">
      <c r="A594" s="72"/>
      <c r="B594" s="76"/>
      <c r="C594" s="73"/>
      <c r="D594" s="73" t="s">
        <v>941</v>
      </c>
      <c r="E594" s="77" t="s">
        <v>93</v>
      </c>
      <c r="F594" s="75" t="s">
        <v>2020</v>
      </c>
      <c r="G594" s="74" t="s">
        <v>507</v>
      </c>
      <c r="H594" s="69"/>
    </row>
    <row r="595" spans="1:8" ht="16" x14ac:dyDescent="0.2">
      <c r="A595" s="72"/>
      <c r="B595" s="76"/>
      <c r="C595" s="73"/>
      <c r="D595" s="73" t="s">
        <v>941</v>
      </c>
      <c r="E595" s="77" t="s">
        <v>93</v>
      </c>
      <c r="F595" s="75" t="s">
        <v>2021</v>
      </c>
      <c r="G595" s="74" t="s">
        <v>507</v>
      </c>
      <c r="H595" s="69"/>
    </row>
    <row r="596" spans="1:8" ht="16" x14ac:dyDescent="0.2">
      <c r="A596" s="72"/>
      <c r="B596" s="76"/>
      <c r="C596" s="73"/>
      <c r="D596" s="73" t="s">
        <v>941</v>
      </c>
      <c r="E596" s="77" t="s">
        <v>102</v>
      </c>
      <c r="F596" s="75" t="s">
        <v>1997</v>
      </c>
      <c r="G596" s="74" t="s">
        <v>505</v>
      </c>
      <c r="H596" s="69"/>
    </row>
    <row r="597" spans="1:8" ht="16" x14ac:dyDescent="0.2">
      <c r="A597" s="72"/>
      <c r="B597" s="76"/>
      <c r="C597" s="73"/>
      <c r="D597" s="73" t="s">
        <v>941</v>
      </c>
      <c r="E597" s="77" t="s">
        <v>102</v>
      </c>
      <c r="F597" s="75" t="s">
        <v>2019</v>
      </c>
      <c r="G597" s="74" t="s">
        <v>505</v>
      </c>
      <c r="H597" s="69"/>
    </row>
    <row r="598" spans="1:8" ht="16" x14ac:dyDescent="0.2">
      <c r="A598" s="72"/>
      <c r="B598" s="76"/>
      <c r="C598" s="73"/>
      <c r="D598" s="73" t="s">
        <v>941</v>
      </c>
      <c r="E598" s="77" t="s">
        <v>102</v>
      </c>
      <c r="F598" s="75" t="s">
        <v>2020</v>
      </c>
      <c r="G598" s="74" t="s">
        <v>505</v>
      </c>
      <c r="H598" s="69"/>
    </row>
    <row r="599" spans="1:8" ht="16" x14ac:dyDescent="0.2">
      <c r="A599" s="72"/>
      <c r="B599" s="76"/>
      <c r="C599" s="73"/>
      <c r="D599" s="73" t="s">
        <v>941</v>
      </c>
      <c r="E599" s="77" t="s">
        <v>102</v>
      </c>
      <c r="F599" s="75" t="s">
        <v>2021</v>
      </c>
      <c r="G599" s="74" t="s">
        <v>505</v>
      </c>
      <c r="H599" s="69"/>
    </row>
    <row r="600" spans="1:8" ht="16" x14ac:dyDescent="0.2">
      <c r="A600" s="72"/>
      <c r="B600" s="76"/>
      <c r="C600" s="73"/>
      <c r="D600" s="73" t="s">
        <v>941</v>
      </c>
      <c r="E600" s="77" t="s">
        <v>102</v>
      </c>
      <c r="F600" s="75" t="s">
        <v>2027</v>
      </c>
      <c r="G600" s="74" t="s">
        <v>505</v>
      </c>
      <c r="H600" s="69"/>
    </row>
    <row r="601" spans="1:8" ht="16" x14ac:dyDescent="0.2">
      <c r="A601" s="72"/>
      <c r="B601" s="76"/>
      <c r="C601" s="73"/>
      <c r="D601" s="73" t="s">
        <v>941</v>
      </c>
      <c r="E601" s="77" t="s">
        <v>102</v>
      </c>
      <c r="F601" s="75" t="s">
        <v>2028</v>
      </c>
      <c r="G601" s="74" t="s">
        <v>505</v>
      </c>
      <c r="H601" s="69"/>
    </row>
    <row r="602" spans="1:8" ht="16" x14ac:dyDescent="0.2">
      <c r="A602" s="72"/>
      <c r="B602" s="76"/>
      <c r="C602" s="73"/>
      <c r="D602" s="73" t="s">
        <v>941</v>
      </c>
      <c r="E602" s="77" t="s">
        <v>102</v>
      </c>
      <c r="F602" s="75" t="s">
        <v>2029</v>
      </c>
      <c r="G602" s="74" t="s">
        <v>505</v>
      </c>
      <c r="H602" s="69"/>
    </row>
    <row r="603" spans="1:8" ht="16" x14ac:dyDescent="0.2">
      <c r="A603" s="72"/>
      <c r="B603" s="76"/>
      <c r="C603" s="73"/>
      <c r="D603" s="73" t="s">
        <v>941</v>
      </c>
      <c r="E603" s="77" t="s">
        <v>102</v>
      </c>
      <c r="F603" s="75" t="s">
        <v>2030</v>
      </c>
      <c r="G603" s="74" t="s">
        <v>505</v>
      </c>
      <c r="H603" s="69"/>
    </row>
    <row r="604" spans="1:8" ht="16" x14ac:dyDescent="0.2">
      <c r="A604" s="72"/>
      <c r="B604" s="76"/>
      <c r="C604" s="73"/>
      <c r="D604" s="73" t="s">
        <v>941</v>
      </c>
      <c r="E604" s="77" t="s">
        <v>93</v>
      </c>
      <c r="F604" s="75" t="s">
        <v>279</v>
      </c>
      <c r="G604" s="74" t="s">
        <v>504</v>
      </c>
      <c r="H604" s="69"/>
    </row>
    <row r="605" spans="1:8" ht="16" x14ac:dyDescent="0.2">
      <c r="A605" s="72"/>
      <c r="B605" s="76"/>
      <c r="C605" s="73"/>
      <c r="D605" s="73" t="s">
        <v>941</v>
      </c>
      <c r="E605" s="77" t="s">
        <v>93</v>
      </c>
      <c r="F605" s="75" t="s">
        <v>1514</v>
      </c>
      <c r="G605" s="74" t="s">
        <v>504</v>
      </c>
      <c r="H605" s="69"/>
    </row>
    <row r="606" spans="1:8" ht="16" x14ac:dyDescent="0.2">
      <c r="A606" s="72"/>
      <c r="B606" s="76"/>
      <c r="C606" s="73"/>
      <c r="D606" s="73" t="s">
        <v>941</v>
      </c>
      <c r="E606" s="77" t="s">
        <v>93</v>
      </c>
      <c r="F606" s="75" t="s">
        <v>1515</v>
      </c>
      <c r="G606" s="74" t="s">
        <v>504</v>
      </c>
      <c r="H606" s="69"/>
    </row>
    <row r="607" spans="1:8" ht="16" x14ac:dyDescent="0.2">
      <c r="A607" s="72"/>
      <c r="B607" s="76"/>
      <c r="C607" s="73"/>
      <c r="D607" s="73" t="s">
        <v>941</v>
      </c>
      <c r="E607" s="77" t="s">
        <v>93</v>
      </c>
      <c r="F607" s="75" t="s">
        <v>1516</v>
      </c>
      <c r="G607" s="74" t="s">
        <v>504</v>
      </c>
      <c r="H607" s="69"/>
    </row>
    <row r="608" spans="1:8" ht="16" x14ac:dyDescent="0.2">
      <c r="A608" s="72"/>
      <c r="B608" s="76"/>
      <c r="C608" s="73"/>
      <c r="D608" s="73" t="s">
        <v>941</v>
      </c>
      <c r="E608" s="77" t="s">
        <v>102</v>
      </c>
      <c r="F608" s="75" t="s">
        <v>279</v>
      </c>
      <c r="G608" s="74" t="s">
        <v>503</v>
      </c>
      <c r="H608" s="69"/>
    </row>
    <row r="609" spans="1:8" ht="16" x14ac:dyDescent="0.2">
      <c r="A609" s="72"/>
      <c r="B609" s="76"/>
      <c r="C609" s="73"/>
      <c r="D609" s="73" t="s">
        <v>941</v>
      </c>
      <c r="E609" s="77" t="s">
        <v>102</v>
      </c>
      <c r="F609" s="75" t="s">
        <v>1514</v>
      </c>
      <c r="G609" s="74" t="s">
        <v>503</v>
      </c>
      <c r="H609" s="69"/>
    </row>
    <row r="610" spans="1:8" ht="16" x14ac:dyDescent="0.2">
      <c r="A610" s="72"/>
      <c r="B610" s="76"/>
      <c r="C610" s="73"/>
      <c r="D610" s="73" t="s">
        <v>941</v>
      </c>
      <c r="E610" s="77" t="s">
        <v>102</v>
      </c>
      <c r="F610" s="75" t="s">
        <v>1515</v>
      </c>
      <c r="G610" s="74" t="s">
        <v>503</v>
      </c>
      <c r="H610" s="69"/>
    </row>
    <row r="611" spans="1:8" ht="16" x14ac:dyDescent="0.2">
      <c r="A611" s="72"/>
      <c r="B611" s="76"/>
      <c r="C611" s="73"/>
      <c r="D611" s="73" t="s">
        <v>941</v>
      </c>
      <c r="E611" s="77" t="s">
        <v>102</v>
      </c>
      <c r="F611" s="75" t="s">
        <v>1516</v>
      </c>
      <c r="G611" s="74" t="s">
        <v>503</v>
      </c>
      <c r="H611" s="69"/>
    </row>
    <row r="612" spans="1:8" ht="16" x14ac:dyDescent="0.2">
      <c r="A612" s="72"/>
      <c r="B612" s="76"/>
      <c r="C612" s="73"/>
      <c r="D612" s="73" t="s">
        <v>941</v>
      </c>
      <c r="E612" s="77" t="s">
        <v>102</v>
      </c>
      <c r="F612" s="75" t="s">
        <v>1460</v>
      </c>
      <c r="G612" s="74" t="s">
        <v>503</v>
      </c>
      <c r="H612" s="69"/>
    </row>
    <row r="613" spans="1:8" ht="16" x14ac:dyDescent="0.2">
      <c r="A613" s="72"/>
      <c r="B613" s="76"/>
      <c r="C613" s="73"/>
      <c r="D613" s="73" t="s">
        <v>941</v>
      </c>
      <c r="E613" s="77" t="s">
        <v>102</v>
      </c>
      <c r="F613" s="75" t="s">
        <v>1517</v>
      </c>
      <c r="G613" s="74" t="s">
        <v>503</v>
      </c>
      <c r="H613" s="69"/>
    </row>
    <row r="614" spans="1:8" ht="16" x14ac:dyDescent="0.2">
      <c r="A614" s="72"/>
      <c r="B614" s="76"/>
      <c r="C614" s="73"/>
      <c r="D614" s="73" t="s">
        <v>941</v>
      </c>
      <c r="E614" s="77" t="s">
        <v>102</v>
      </c>
      <c r="F614" s="75" t="s">
        <v>1518</v>
      </c>
      <c r="G614" s="74" t="s">
        <v>503</v>
      </c>
      <c r="H614" s="69"/>
    </row>
    <row r="615" spans="1:8" ht="16" x14ac:dyDescent="0.2">
      <c r="A615" s="72"/>
      <c r="B615" s="76"/>
      <c r="C615" s="73"/>
      <c r="D615" s="73" t="s">
        <v>941</v>
      </c>
      <c r="E615" s="77" t="s">
        <v>102</v>
      </c>
      <c r="F615" s="75" t="s">
        <v>1519</v>
      </c>
      <c r="G615" s="74" t="s">
        <v>503</v>
      </c>
      <c r="H615" s="69"/>
    </row>
    <row r="616" spans="1:8" x14ac:dyDescent="0.2">
      <c r="A616" s="72"/>
      <c r="B616" s="76"/>
      <c r="C616" s="73"/>
      <c r="D616" s="73" t="s">
        <v>941</v>
      </c>
      <c r="E616" s="77" t="s">
        <v>102</v>
      </c>
      <c r="F616" s="75" t="s">
        <v>1222</v>
      </c>
      <c r="G616" s="85" t="s">
        <v>1520</v>
      </c>
      <c r="H616" s="69"/>
    </row>
    <row r="617" spans="1:8" x14ac:dyDescent="0.2">
      <c r="A617" s="72"/>
      <c r="B617" s="76"/>
      <c r="C617" s="73"/>
      <c r="D617" s="73" t="s">
        <v>941</v>
      </c>
      <c r="E617" s="77" t="s">
        <v>102</v>
      </c>
      <c r="F617" s="75" t="s">
        <v>1222</v>
      </c>
      <c r="G617" s="85" t="s">
        <v>1520</v>
      </c>
      <c r="H617" s="69"/>
    </row>
    <row r="618" spans="1:8" ht="16" x14ac:dyDescent="0.2">
      <c r="A618" s="72"/>
      <c r="B618" s="84"/>
      <c r="C618" s="73"/>
      <c r="D618" s="73" t="s">
        <v>939</v>
      </c>
      <c r="E618" s="77" t="s">
        <v>96</v>
      </c>
      <c r="F618" s="75" t="s">
        <v>1521</v>
      </c>
      <c r="G618" s="74" t="s">
        <v>923</v>
      </c>
      <c r="H618" s="69"/>
    </row>
    <row r="619" spans="1:8" x14ac:dyDescent="0.2">
      <c r="A619" s="72"/>
      <c r="B619" s="76"/>
      <c r="C619" s="73"/>
      <c r="D619" s="73" t="s">
        <v>939</v>
      </c>
      <c r="E619" s="77" t="s">
        <v>109</v>
      </c>
      <c r="F619" s="75" t="s">
        <v>350</v>
      </c>
      <c r="G619" s="85" t="s">
        <v>477</v>
      </c>
      <c r="H619" s="69"/>
    </row>
    <row r="620" spans="1:8" x14ac:dyDescent="0.2">
      <c r="A620" s="72"/>
      <c r="B620" s="76"/>
      <c r="C620" s="73"/>
      <c r="D620" s="73" t="s">
        <v>939</v>
      </c>
      <c r="E620" s="77" t="s">
        <v>963</v>
      </c>
      <c r="F620" s="75" t="s">
        <v>350</v>
      </c>
      <c r="G620" s="85" t="s">
        <v>477</v>
      </c>
      <c r="H620" s="69"/>
    </row>
    <row r="621" spans="1:8" x14ac:dyDescent="0.2">
      <c r="A621" s="72"/>
      <c r="B621" s="76"/>
      <c r="C621" s="73"/>
      <c r="D621" s="73" t="s">
        <v>939</v>
      </c>
      <c r="E621" s="77" t="s">
        <v>109</v>
      </c>
      <c r="F621" s="75" t="s">
        <v>1522</v>
      </c>
      <c r="G621" s="85" t="s">
        <v>477</v>
      </c>
      <c r="H621" s="69"/>
    </row>
    <row r="622" spans="1:8" x14ac:dyDescent="0.2">
      <c r="A622" s="72"/>
      <c r="B622" s="76"/>
      <c r="C622" s="73"/>
      <c r="D622" s="73" t="s">
        <v>939</v>
      </c>
      <c r="E622" s="77" t="s">
        <v>963</v>
      </c>
      <c r="F622" s="75" t="s">
        <v>1522</v>
      </c>
      <c r="G622" s="85" t="s">
        <v>477</v>
      </c>
      <c r="H622" s="69"/>
    </row>
    <row r="623" spans="1:8" ht="16" x14ac:dyDescent="0.2">
      <c r="A623" s="72"/>
      <c r="B623" s="76"/>
      <c r="C623" s="73"/>
      <c r="D623" s="73" t="s">
        <v>939</v>
      </c>
      <c r="E623" s="77" t="s">
        <v>109</v>
      </c>
      <c r="F623" s="75" t="s">
        <v>1523</v>
      </c>
      <c r="G623" s="74" t="s">
        <v>480</v>
      </c>
      <c r="H623" s="69"/>
    </row>
    <row r="624" spans="1:8" ht="16" x14ac:dyDescent="0.2">
      <c r="A624" s="72"/>
      <c r="B624" s="76"/>
      <c r="C624" s="73"/>
      <c r="D624" s="73" t="s">
        <v>939</v>
      </c>
      <c r="E624" s="77" t="s">
        <v>963</v>
      </c>
      <c r="F624" s="75" t="s">
        <v>1523</v>
      </c>
      <c r="G624" s="74" t="s">
        <v>480</v>
      </c>
      <c r="H624" s="69"/>
    </row>
    <row r="625" spans="1:8" ht="16" x14ac:dyDescent="0.2">
      <c r="A625" s="72"/>
      <c r="B625" s="76"/>
      <c r="C625" s="73"/>
      <c r="D625" s="73" t="s">
        <v>939</v>
      </c>
      <c r="E625" s="77" t="s">
        <v>109</v>
      </c>
      <c r="F625" s="75" t="s">
        <v>1524</v>
      </c>
      <c r="G625" s="74" t="s">
        <v>480</v>
      </c>
      <c r="H625" s="69"/>
    </row>
    <row r="626" spans="1:8" ht="16" x14ac:dyDescent="0.2">
      <c r="A626" s="72"/>
      <c r="B626" s="76"/>
      <c r="C626" s="73"/>
      <c r="D626" s="73" t="s">
        <v>939</v>
      </c>
      <c r="E626" s="77" t="s">
        <v>963</v>
      </c>
      <c r="F626" s="75" t="s">
        <v>1524</v>
      </c>
      <c r="G626" s="74" t="s">
        <v>480</v>
      </c>
      <c r="H626" s="69"/>
    </row>
    <row r="627" spans="1:8" ht="16" x14ac:dyDescent="0.2">
      <c r="A627" s="72"/>
      <c r="B627" s="76"/>
      <c r="C627" s="73"/>
      <c r="D627" s="73" t="s">
        <v>939</v>
      </c>
      <c r="E627" s="77" t="s">
        <v>109</v>
      </c>
      <c r="F627" s="75" t="s">
        <v>1525</v>
      </c>
      <c r="G627" s="74" t="s">
        <v>480</v>
      </c>
      <c r="H627" s="69"/>
    </row>
    <row r="628" spans="1:8" ht="16" x14ac:dyDescent="0.2">
      <c r="A628" s="72"/>
      <c r="B628" s="76"/>
      <c r="C628" s="73"/>
      <c r="D628" s="73" t="s">
        <v>939</v>
      </c>
      <c r="E628" s="77" t="s">
        <v>963</v>
      </c>
      <c r="F628" s="75" t="s">
        <v>1525</v>
      </c>
      <c r="G628" s="74" t="s">
        <v>480</v>
      </c>
      <c r="H628" s="69"/>
    </row>
    <row r="629" spans="1:8" ht="16" x14ac:dyDescent="0.2">
      <c r="A629" s="72"/>
      <c r="B629" s="76"/>
      <c r="C629" s="73"/>
      <c r="D629" s="73" t="s">
        <v>939</v>
      </c>
      <c r="E629" s="77" t="s">
        <v>109</v>
      </c>
      <c r="F629" s="75" t="s">
        <v>1526</v>
      </c>
      <c r="G629" s="74" t="s">
        <v>480</v>
      </c>
      <c r="H629" s="69"/>
    </row>
    <row r="630" spans="1:8" ht="16" x14ac:dyDescent="0.2">
      <c r="A630" s="72"/>
      <c r="B630" s="76"/>
      <c r="C630" s="73"/>
      <c r="D630" s="73" t="s">
        <v>939</v>
      </c>
      <c r="E630" s="77" t="s">
        <v>963</v>
      </c>
      <c r="F630" s="75" t="s">
        <v>1526</v>
      </c>
      <c r="G630" s="74" t="s">
        <v>480</v>
      </c>
      <c r="H630" s="69"/>
    </row>
    <row r="631" spans="1:8" ht="16" x14ac:dyDescent="0.2">
      <c r="A631" s="72"/>
      <c r="B631" s="76"/>
      <c r="C631" s="73"/>
      <c r="D631" s="73" t="s">
        <v>939</v>
      </c>
      <c r="E631" s="77" t="s">
        <v>109</v>
      </c>
      <c r="F631" s="75" t="s">
        <v>1527</v>
      </c>
      <c r="G631" s="74" t="s">
        <v>534</v>
      </c>
      <c r="H631" s="69"/>
    </row>
    <row r="632" spans="1:8" ht="16" x14ac:dyDescent="0.2">
      <c r="A632" s="72"/>
      <c r="B632" s="76"/>
      <c r="C632" s="73"/>
      <c r="D632" s="73" t="s">
        <v>939</v>
      </c>
      <c r="E632" s="77" t="s">
        <v>963</v>
      </c>
      <c r="F632" s="75" t="s">
        <v>1527</v>
      </c>
      <c r="G632" s="74" t="s">
        <v>534</v>
      </c>
      <c r="H632" s="69"/>
    </row>
    <row r="633" spans="1:8" ht="16" x14ac:dyDescent="0.2">
      <c r="A633" s="72"/>
      <c r="B633" s="76"/>
      <c r="C633" s="73"/>
      <c r="D633" s="73" t="s">
        <v>939</v>
      </c>
      <c r="E633" s="77" t="s">
        <v>109</v>
      </c>
      <c r="F633" s="75" t="s">
        <v>1528</v>
      </c>
      <c r="G633" s="74" t="s">
        <v>536</v>
      </c>
      <c r="H633" s="69"/>
    </row>
    <row r="634" spans="1:8" ht="16" x14ac:dyDescent="0.2">
      <c r="A634" s="72"/>
      <c r="B634" s="76"/>
      <c r="C634" s="73"/>
      <c r="D634" s="73" t="s">
        <v>939</v>
      </c>
      <c r="E634" s="77" t="s">
        <v>963</v>
      </c>
      <c r="F634" s="75" t="s">
        <v>1528</v>
      </c>
      <c r="G634" s="74" t="s">
        <v>536</v>
      </c>
      <c r="H634" s="69"/>
    </row>
    <row r="635" spans="1:8" ht="16" x14ac:dyDescent="0.2">
      <c r="A635" s="72"/>
      <c r="B635" s="76"/>
      <c r="C635" s="73"/>
      <c r="D635" s="73" t="s">
        <v>939</v>
      </c>
      <c r="E635" s="77" t="s">
        <v>109</v>
      </c>
      <c r="F635" s="75" t="s">
        <v>1529</v>
      </c>
      <c r="G635" s="74" t="s">
        <v>536</v>
      </c>
      <c r="H635" s="69"/>
    </row>
    <row r="636" spans="1:8" ht="16" x14ac:dyDescent="0.2">
      <c r="A636" s="72"/>
      <c r="B636" s="76"/>
      <c r="C636" s="73"/>
      <c r="D636" s="73" t="s">
        <v>939</v>
      </c>
      <c r="E636" s="77" t="s">
        <v>963</v>
      </c>
      <c r="F636" s="75" t="s">
        <v>1529</v>
      </c>
      <c r="G636" s="74" t="s">
        <v>536</v>
      </c>
      <c r="H636" s="69"/>
    </row>
    <row r="637" spans="1:8" ht="16" x14ac:dyDescent="0.2">
      <c r="A637" s="72"/>
      <c r="B637" s="76"/>
      <c r="C637" s="73"/>
      <c r="D637" s="73" t="s">
        <v>939</v>
      </c>
      <c r="E637" s="77" t="s">
        <v>109</v>
      </c>
      <c r="F637" s="75" t="s">
        <v>1530</v>
      </c>
      <c r="G637" s="74" t="s">
        <v>344</v>
      </c>
      <c r="H637" s="69"/>
    </row>
    <row r="638" spans="1:8" ht="16" x14ac:dyDescent="0.2">
      <c r="A638" s="72"/>
      <c r="B638" s="76"/>
      <c r="C638" s="73"/>
      <c r="D638" s="73" t="s">
        <v>939</v>
      </c>
      <c r="E638" s="77" t="s">
        <v>963</v>
      </c>
      <c r="F638" s="75" t="s">
        <v>1530</v>
      </c>
      <c r="G638" s="74" t="s">
        <v>344</v>
      </c>
      <c r="H638" s="69"/>
    </row>
    <row r="639" spans="1:8" ht="16" x14ac:dyDescent="0.2">
      <c r="A639" s="72"/>
      <c r="B639" s="76"/>
      <c r="C639" s="73"/>
      <c r="D639" s="73" t="s">
        <v>939</v>
      </c>
      <c r="E639" s="77" t="s">
        <v>109</v>
      </c>
      <c r="F639" s="75" t="s">
        <v>350</v>
      </c>
      <c r="G639" s="74" t="s">
        <v>344</v>
      </c>
      <c r="H639" s="69"/>
    </row>
    <row r="640" spans="1:8" ht="16" x14ac:dyDescent="0.2">
      <c r="A640" s="72"/>
      <c r="B640" s="76"/>
      <c r="C640" s="73"/>
      <c r="D640" s="73" t="s">
        <v>939</v>
      </c>
      <c r="E640" s="77" t="s">
        <v>963</v>
      </c>
      <c r="F640" s="75" t="s">
        <v>350</v>
      </c>
      <c r="G640" s="74" t="s">
        <v>344</v>
      </c>
      <c r="H640" s="69"/>
    </row>
    <row r="641" spans="1:8" ht="16" x14ac:dyDescent="0.2">
      <c r="A641" s="72"/>
      <c r="B641" s="76"/>
      <c r="C641" s="73"/>
      <c r="D641" s="73" t="s">
        <v>939</v>
      </c>
      <c r="E641" s="77" t="s">
        <v>109</v>
      </c>
      <c r="F641" s="75" t="s">
        <v>1531</v>
      </c>
      <c r="G641" s="74" t="s">
        <v>348</v>
      </c>
      <c r="H641" s="69"/>
    </row>
    <row r="642" spans="1:8" ht="16" x14ac:dyDescent="0.2">
      <c r="A642" s="72"/>
      <c r="B642" s="76"/>
      <c r="C642" s="73"/>
      <c r="D642" s="73" t="s">
        <v>939</v>
      </c>
      <c r="E642" s="77" t="s">
        <v>963</v>
      </c>
      <c r="F642" s="75" t="s">
        <v>1531</v>
      </c>
      <c r="G642" s="74" t="s">
        <v>348</v>
      </c>
      <c r="H642" s="69"/>
    </row>
    <row r="643" spans="1:8" ht="16" x14ac:dyDescent="0.2">
      <c r="A643" s="72"/>
      <c r="B643" s="76"/>
      <c r="C643" s="73"/>
      <c r="D643" s="73" t="s">
        <v>939</v>
      </c>
      <c r="E643" s="77" t="s">
        <v>109</v>
      </c>
      <c r="F643" s="75" t="s">
        <v>1523</v>
      </c>
      <c r="G643" s="74" t="s">
        <v>348</v>
      </c>
      <c r="H643" s="69"/>
    </row>
    <row r="644" spans="1:8" ht="16" x14ac:dyDescent="0.2">
      <c r="A644" s="72"/>
      <c r="B644" s="76"/>
      <c r="C644" s="73"/>
      <c r="D644" s="73" t="s">
        <v>939</v>
      </c>
      <c r="E644" s="77" t="s">
        <v>963</v>
      </c>
      <c r="F644" s="75" t="s">
        <v>1523</v>
      </c>
      <c r="G644" s="74" t="s">
        <v>348</v>
      </c>
      <c r="H644" s="69"/>
    </row>
    <row r="645" spans="1:8" ht="16" x14ac:dyDescent="0.2">
      <c r="A645" s="72"/>
      <c r="B645" s="76"/>
      <c r="C645" s="73"/>
      <c r="D645" s="73" t="s">
        <v>939</v>
      </c>
      <c r="E645" s="77" t="s">
        <v>109</v>
      </c>
      <c r="F645" s="75" t="s">
        <v>1532</v>
      </c>
      <c r="G645" s="74" t="s">
        <v>348</v>
      </c>
      <c r="H645" s="69"/>
    </row>
    <row r="646" spans="1:8" ht="16" x14ac:dyDescent="0.2">
      <c r="A646" s="72"/>
      <c r="B646" s="76"/>
      <c r="C646" s="73"/>
      <c r="D646" s="73" t="s">
        <v>939</v>
      </c>
      <c r="E646" s="77" t="s">
        <v>963</v>
      </c>
      <c r="F646" s="75" t="s">
        <v>1532</v>
      </c>
      <c r="G646" s="74" t="s">
        <v>348</v>
      </c>
      <c r="H646" s="69"/>
    </row>
    <row r="647" spans="1:8" ht="16" x14ac:dyDescent="0.2">
      <c r="A647" s="72"/>
      <c r="B647" s="76"/>
      <c r="C647" s="73"/>
      <c r="D647" s="73" t="s">
        <v>939</v>
      </c>
      <c r="E647" s="77" t="s">
        <v>109</v>
      </c>
      <c r="F647" s="75" t="s">
        <v>1525</v>
      </c>
      <c r="G647" s="74" t="s">
        <v>348</v>
      </c>
      <c r="H647" s="69"/>
    </row>
    <row r="648" spans="1:8" ht="16" x14ac:dyDescent="0.2">
      <c r="A648" s="72"/>
      <c r="B648" s="76"/>
      <c r="C648" s="73"/>
      <c r="D648" s="73" t="s">
        <v>939</v>
      </c>
      <c r="E648" s="77" t="s">
        <v>963</v>
      </c>
      <c r="F648" s="75" t="s">
        <v>1525</v>
      </c>
      <c r="G648" s="74" t="s">
        <v>348</v>
      </c>
      <c r="H648" s="69"/>
    </row>
    <row r="649" spans="1:8" x14ac:dyDescent="0.2">
      <c r="A649" s="72"/>
      <c r="B649" s="76"/>
      <c r="C649" s="73"/>
      <c r="D649" s="73" t="s">
        <v>939</v>
      </c>
      <c r="E649" s="77" t="s">
        <v>109</v>
      </c>
      <c r="F649" s="75" t="s">
        <v>1533</v>
      </c>
      <c r="G649" s="75" t="s">
        <v>228</v>
      </c>
      <c r="H649" s="69"/>
    </row>
    <row r="650" spans="1:8" x14ac:dyDescent="0.2">
      <c r="A650" s="72"/>
      <c r="B650" s="76"/>
      <c r="C650" s="73"/>
      <c r="D650" s="73" t="s">
        <v>939</v>
      </c>
      <c r="E650" s="77" t="s">
        <v>963</v>
      </c>
      <c r="F650" s="75" t="s">
        <v>1533</v>
      </c>
      <c r="G650" s="75" t="s">
        <v>228</v>
      </c>
      <c r="H650" s="69"/>
    </row>
    <row r="651" spans="1:8" x14ac:dyDescent="0.2">
      <c r="A651" s="72"/>
      <c r="B651" s="76"/>
      <c r="C651" s="73"/>
      <c r="D651" s="73" t="s">
        <v>939</v>
      </c>
      <c r="E651" s="77" t="s">
        <v>109</v>
      </c>
      <c r="F651" s="75" t="s">
        <v>1534</v>
      </c>
      <c r="G651" s="75" t="s">
        <v>1014</v>
      </c>
      <c r="H651" s="69"/>
    </row>
    <row r="652" spans="1:8" x14ac:dyDescent="0.2">
      <c r="A652" s="72"/>
      <c r="B652" s="76"/>
      <c r="C652" s="73"/>
      <c r="D652" s="73" t="s">
        <v>939</v>
      </c>
      <c r="E652" s="77" t="s">
        <v>963</v>
      </c>
      <c r="F652" s="75" t="s">
        <v>1534</v>
      </c>
      <c r="G652" s="75" t="s">
        <v>1014</v>
      </c>
      <c r="H652" s="69"/>
    </row>
    <row r="653" spans="1:8" x14ac:dyDescent="0.2">
      <c r="A653" s="72"/>
      <c r="B653" s="76"/>
      <c r="C653" s="73"/>
      <c r="D653" s="73" t="s">
        <v>939</v>
      </c>
      <c r="E653" s="77" t="s">
        <v>109</v>
      </c>
      <c r="F653" s="75" t="s">
        <v>1535</v>
      </c>
      <c r="G653" s="75" t="s">
        <v>1014</v>
      </c>
      <c r="H653" s="69"/>
    </row>
    <row r="654" spans="1:8" x14ac:dyDescent="0.2">
      <c r="A654" s="72"/>
      <c r="B654" s="76"/>
      <c r="C654" s="73"/>
      <c r="D654" s="73" t="s">
        <v>939</v>
      </c>
      <c r="E654" s="77" t="s">
        <v>963</v>
      </c>
      <c r="F654" s="75" t="s">
        <v>1535</v>
      </c>
      <c r="G654" s="75" t="s">
        <v>1014</v>
      </c>
      <c r="H654" s="69"/>
    </row>
    <row r="655" spans="1:8" x14ac:dyDescent="0.2">
      <c r="A655" s="72"/>
      <c r="B655" s="84"/>
      <c r="C655" s="73"/>
      <c r="D655" s="73" t="s">
        <v>939</v>
      </c>
      <c r="E655" s="77" t="s">
        <v>109</v>
      </c>
      <c r="F655" s="75" t="s">
        <v>361</v>
      </c>
      <c r="G655" s="85" t="s">
        <v>486</v>
      </c>
      <c r="H655" s="69"/>
    </row>
    <row r="656" spans="1:8" x14ac:dyDescent="0.2">
      <c r="A656" s="72"/>
      <c r="B656" s="84"/>
      <c r="C656" s="73"/>
      <c r="D656" s="73" t="s">
        <v>939</v>
      </c>
      <c r="E656" s="77" t="s">
        <v>109</v>
      </c>
      <c r="F656" s="75" t="s">
        <v>361</v>
      </c>
      <c r="G656" s="85" t="s">
        <v>483</v>
      </c>
      <c r="H656" s="69"/>
    </row>
    <row r="657" spans="1:8" ht="16" x14ac:dyDescent="0.2">
      <c r="A657" s="72"/>
      <c r="B657" s="84"/>
      <c r="C657" s="73"/>
      <c r="D657" s="73" t="s">
        <v>939</v>
      </c>
      <c r="E657" s="77" t="s">
        <v>125</v>
      </c>
      <c r="F657" s="75" t="s">
        <v>1507</v>
      </c>
      <c r="G657" s="74" t="s">
        <v>318</v>
      </c>
      <c r="H657" s="69"/>
    </row>
    <row r="658" spans="1:8" ht="16" x14ac:dyDescent="0.2">
      <c r="A658" s="72"/>
      <c r="B658" s="84"/>
      <c r="C658" s="73"/>
      <c r="D658" s="73" t="s">
        <v>939</v>
      </c>
      <c r="E658" s="77" t="s">
        <v>125</v>
      </c>
      <c r="F658" s="75" t="s">
        <v>361</v>
      </c>
      <c r="G658" s="74" t="s">
        <v>318</v>
      </c>
      <c r="H658" s="69"/>
    </row>
    <row r="659" spans="1:8" x14ac:dyDescent="0.2">
      <c r="A659" s="72"/>
      <c r="B659" s="76"/>
      <c r="C659" s="73"/>
      <c r="D659" s="73" t="s">
        <v>939</v>
      </c>
      <c r="E659" s="77" t="s">
        <v>109</v>
      </c>
      <c r="F659" s="75" t="s">
        <v>361</v>
      </c>
      <c r="G659" s="85" t="s">
        <v>489</v>
      </c>
      <c r="H659" s="69"/>
    </row>
    <row r="660" spans="1:8" x14ac:dyDescent="0.2">
      <c r="A660" s="72"/>
      <c r="B660" s="76"/>
      <c r="C660" s="73"/>
      <c r="D660" s="73" t="s">
        <v>939</v>
      </c>
      <c r="E660" s="77" t="s">
        <v>963</v>
      </c>
      <c r="F660" s="75" t="s">
        <v>361</v>
      </c>
      <c r="G660" s="85" t="s">
        <v>489</v>
      </c>
      <c r="H660" s="69"/>
    </row>
    <row r="661" spans="1:8" x14ac:dyDescent="0.2">
      <c r="A661" s="72"/>
      <c r="B661" s="76"/>
      <c r="C661" s="73"/>
      <c r="D661" s="73" t="s">
        <v>939</v>
      </c>
      <c r="E661" s="77" t="s">
        <v>109</v>
      </c>
      <c r="F661" s="75" t="s">
        <v>1536</v>
      </c>
      <c r="G661" s="85" t="s">
        <v>489</v>
      </c>
      <c r="H661" s="69"/>
    </row>
    <row r="662" spans="1:8" x14ac:dyDescent="0.2">
      <c r="A662" s="72"/>
      <c r="B662" s="76"/>
      <c r="C662" s="73"/>
      <c r="D662" s="73" t="s">
        <v>939</v>
      </c>
      <c r="E662" s="77" t="s">
        <v>963</v>
      </c>
      <c r="F662" s="75" t="s">
        <v>1536</v>
      </c>
      <c r="G662" s="85" t="s">
        <v>489</v>
      </c>
      <c r="H662" s="69"/>
    </row>
    <row r="663" spans="1:8" x14ac:dyDescent="0.2">
      <c r="A663" s="72"/>
      <c r="B663" s="76"/>
      <c r="C663" s="73"/>
      <c r="D663" s="73" t="s">
        <v>939</v>
      </c>
      <c r="E663" s="77" t="s">
        <v>93</v>
      </c>
      <c r="F663" s="75" t="s">
        <v>361</v>
      </c>
      <c r="G663" s="85" t="s">
        <v>1126</v>
      </c>
      <c r="H663" s="69"/>
    </row>
    <row r="664" spans="1:8" x14ac:dyDescent="0.2">
      <c r="A664" s="72"/>
      <c r="B664" s="76"/>
      <c r="C664" s="73"/>
      <c r="D664" s="73" t="s">
        <v>939</v>
      </c>
      <c r="E664" s="77" t="s">
        <v>93</v>
      </c>
      <c r="F664" s="75" t="s">
        <v>1536</v>
      </c>
      <c r="G664" s="85" t="s">
        <v>1126</v>
      </c>
      <c r="H664" s="69"/>
    </row>
    <row r="665" spans="1:8" x14ac:dyDescent="0.2">
      <c r="A665" s="72"/>
      <c r="B665" s="76"/>
      <c r="C665" s="73"/>
      <c r="D665" s="73" t="s">
        <v>939</v>
      </c>
      <c r="E665" s="77" t="s">
        <v>134</v>
      </c>
      <c r="F665" s="75" t="s">
        <v>361</v>
      </c>
      <c r="G665" s="85" t="s">
        <v>1126</v>
      </c>
      <c r="H665" s="69"/>
    </row>
    <row r="666" spans="1:8" x14ac:dyDescent="0.2">
      <c r="A666" s="72"/>
      <c r="B666" s="76"/>
      <c r="C666" s="73"/>
      <c r="D666" s="73" t="s">
        <v>939</v>
      </c>
      <c r="E666" s="77" t="s">
        <v>134</v>
      </c>
      <c r="F666" s="75" t="s">
        <v>1536</v>
      </c>
      <c r="G666" s="85" t="s">
        <v>1126</v>
      </c>
      <c r="H666" s="69"/>
    </row>
    <row r="667" spans="1:8" x14ac:dyDescent="0.2">
      <c r="A667" s="72"/>
      <c r="B667" s="76"/>
      <c r="C667" s="73"/>
      <c r="D667" s="73" t="s">
        <v>939</v>
      </c>
      <c r="E667" s="77" t="s">
        <v>116</v>
      </c>
      <c r="F667" s="75" t="s">
        <v>361</v>
      </c>
      <c r="G667" s="85" t="s">
        <v>1127</v>
      </c>
      <c r="H667" s="69"/>
    </row>
    <row r="668" spans="1:8" x14ac:dyDescent="0.2">
      <c r="A668" s="72"/>
      <c r="B668" s="76"/>
      <c r="C668" s="73"/>
      <c r="D668" s="73" t="s">
        <v>939</v>
      </c>
      <c r="E668" s="77" t="s">
        <v>116</v>
      </c>
      <c r="F668" s="75" t="s">
        <v>1536</v>
      </c>
      <c r="G668" s="85" t="s">
        <v>1127</v>
      </c>
      <c r="H668" s="69"/>
    </row>
    <row r="669" spans="1:8" ht="16" x14ac:dyDescent="0.2">
      <c r="A669" s="72"/>
      <c r="B669" s="76"/>
      <c r="C669" s="73"/>
      <c r="D669" s="73" t="s">
        <v>939</v>
      </c>
      <c r="E669" s="77" t="s">
        <v>109</v>
      </c>
      <c r="F669" s="75" t="s">
        <v>1537</v>
      </c>
      <c r="G669" s="74" t="s">
        <v>492</v>
      </c>
      <c r="H669" s="69"/>
    </row>
    <row r="670" spans="1:8" ht="16" x14ac:dyDescent="0.2">
      <c r="A670" s="72"/>
      <c r="B670" s="76"/>
      <c r="C670" s="73"/>
      <c r="D670" s="73" t="s">
        <v>939</v>
      </c>
      <c r="E670" s="77" t="s">
        <v>963</v>
      </c>
      <c r="F670" s="75" t="s">
        <v>1537</v>
      </c>
      <c r="G670" s="74" t="s">
        <v>492</v>
      </c>
      <c r="H670" s="69"/>
    </row>
    <row r="671" spans="1:8" ht="16" x14ac:dyDescent="0.2">
      <c r="A671" s="72"/>
      <c r="B671" s="76"/>
      <c r="C671" s="73"/>
      <c r="D671" s="73" t="s">
        <v>939</v>
      </c>
      <c r="E671" s="77" t="s">
        <v>109</v>
      </c>
      <c r="F671" s="75" t="s">
        <v>1538</v>
      </c>
      <c r="G671" s="74" t="s">
        <v>492</v>
      </c>
      <c r="H671" s="69"/>
    </row>
    <row r="672" spans="1:8" ht="16" x14ac:dyDescent="0.2">
      <c r="A672" s="72"/>
      <c r="B672" s="76"/>
      <c r="C672" s="73"/>
      <c r="D672" s="73" t="s">
        <v>939</v>
      </c>
      <c r="E672" s="77" t="s">
        <v>963</v>
      </c>
      <c r="F672" s="75" t="s">
        <v>1538</v>
      </c>
      <c r="G672" s="74" t="s">
        <v>492</v>
      </c>
      <c r="H672" s="69"/>
    </row>
    <row r="673" spans="1:8" ht="16" x14ac:dyDescent="0.2">
      <c r="A673" s="72"/>
      <c r="B673" s="76"/>
      <c r="C673" s="73"/>
      <c r="D673" s="73" t="s">
        <v>939</v>
      </c>
      <c r="E673" s="77" t="s">
        <v>109</v>
      </c>
      <c r="F673" s="75" t="s">
        <v>1539</v>
      </c>
      <c r="G673" s="74" t="s">
        <v>492</v>
      </c>
      <c r="H673" s="69"/>
    </row>
    <row r="674" spans="1:8" ht="16" x14ac:dyDescent="0.2">
      <c r="A674" s="72"/>
      <c r="B674" s="76"/>
      <c r="C674" s="73"/>
      <c r="D674" s="73" t="s">
        <v>939</v>
      </c>
      <c r="E674" s="77" t="s">
        <v>963</v>
      </c>
      <c r="F674" s="75" t="s">
        <v>1539</v>
      </c>
      <c r="G674" s="74" t="s">
        <v>492</v>
      </c>
      <c r="H674" s="69"/>
    </row>
    <row r="675" spans="1:8" ht="16" x14ac:dyDescent="0.2">
      <c r="A675" s="72"/>
      <c r="B675" s="76"/>
      <c r="C675" s="73"/>
      <c r="D675" s="73" t="s">
        <v>939</v>
      </c>
      <c r="E675" s="77" t="s">
        <v>109</v>
      </c>
      <c r="F675" s="75" t="s">
        <v>1540</v>
      </c>
      <c r="G675" s="74" t="s">
        <v>492</v>
      </c>
      <c r="H675" s="69"/>
    </row>
    <row r="676" spans="1:8" ht="16" x14ac:dyDescent="0.2">
      <c r="A676" s="72"/>
      <c r="B676" s="76"/>
      <c r="C676" s="73"/>
      <c r="D676" s="73" t="s">
        <v>939</v>
      </c>
      <c r="E676" s="77" t="s">
        <v>963</v>
      </c>
      <c r="F676" s="75" t="s">
        <v>1540</v>
      </c>
      <c r="G676" s="74" t="s">
        <v>492</v>
      </c>
      <c r="H676" s="69"/>
    </row>
    <row r="677" spans="1:8" x14ac:dyDescent="0.2">
      <c r="A677" s="72"/>
      <c r="B677" s="76"/>
      <c r="C677" s="73"/>
      <c r="D677" s="73" t="s">
        <v>939</v>
      </c>
      <c r="E677" s="77" t="s">
        <v>109</v>
      </c>
      <c r="F677" s="75" t="s">
        <v>1541</v>
      </c>
      <c r="G677" s="85" t="s">
        <v>1057</v>
      </c>
      <c r="H677" s="69"/>
    </row>
    <row r="678" spans="1:8" x14ac:dyDescent="0.2">
      <c r="A678" s="72"/>
      <c r="B678" s="76"/>
      <c r="C678" s="73"/>
      <c r="D678" s="73" t="s">
        <v>939</v>
      </c>
      <c r="E678" s="77" t="s">
        <v>963</v>
      </c>
      <c r="F678" s="75" t="s">
        <v>1541</v>
      </c>
      <c r="G678" s="85" t="s">
        <v>1057</v>
      </c>
      <c r="H678" s="69"/>
    </row>
    <row r="679" spans="1:8" ht="16" x14ac:dyDescent="0.2">
      <c r="A679" s="72"/>
      <c r="B679" s="76"/>
      <c r="C679" s="73"/>
      <c r="D679" s="73" t="s">
        <v>939</v>
      </c>
      <c r="E679" s="77" t="s">
        <v>109</v>
      </c>
      <c r="F679" s="75" t="s">
        <v>1542</v>
      </c>
      <c r="G679" s="74" t="s">
        <v>538</v>
      </c>
      <c r="H679" s="69"/>
    </row>
    <row r="680" spans="1:8" ht="16" x14ac:dyDescent="0.2">
      <c r="A680" s="72"/>
      <c r="B680" s="76"/>
      <c r="C680" s="73"/>
      <c r="D680" s="73" t="s">
        <v>939</v>
      </c>
      <c r="E680" s="77" t="s">
        <v>963</v>
      </c>
      <c r="F680" s="75" t="s">
        <v>1542</v>
      </c>
      <c r="G680" s="74" t="s">
        <v>538</v>
      </c>
      <c r="H680" s="69"/>
    </row>
    <row r="681" spans="1:8" ht="16" x14ac:dyDescent="0.2">
      <c r="A681" s="72"/>
      <c r="B681" s="76"/>
      <c r="C681" s="73"/>
      <c r="D681" s="73" t="s">
        <v>939</v>
      </c>
      <c r="E681" s="77" t="s">
        <v>109</v>
      </c>
      <c r="F681" s="75" t="s">
        <v>1543</v>
      </c>
      <c r="G681" s="74" t="s">
        <v>540</v>
      </c>
      <c r="H681" s="69"/>
    </row>
    <row r="682" spans="1:8" ht="16" x14ac:dyDescent="0.2">
      <c r="A682" s="72"/>
      <c r="B682" s="76"/>
      <c r="C682" s="73"/>
      <c r="D682" s="73" t="s">
        <v>939</v>
      </c>
      <c r="E682" s="77" t="s">
        <v>963</v>
      </c>
      <c r="F682" s="75" t="s">
        <v>1543</v>
      </c>
      <c r="G682" s="74" t="s">
        <v>540</v>
      </c>
      <c r="H682" s="69"/>
    </row>
    <row r="683" spans="1:8" ht="16" x14ac:dyDescent="0.2">
      <c r="A683" s="72"/>
      <c r="B683" s="76"/>
      <c r="C683" s="73"/>
      <c r="D683" s="73" t="s">
        <v>939</v>
      </c>
      <c r="E683" s="77" t="s">
        <v>109</v>
      </c>
      <c r="F683" s="75" t="s">
        <v>1544</v>
      </c>
      <c r="G683" s="74" t="s">
        <v>540</v>
      </c>
      <c r="H683" s="69"/>
    </row>
    <row r="684" spans="1:8" ht="16" x14ac:dyDescent="0.2">
      <c r="A684" s="72"/>
      <c r="B684" s="76"/>
      <c r="C684" s="73"/>
      <c r="D684" s="73" t="s">
        <v>939</v>
      </c>
      <c r="E684" s="77" t="s">
        <v>963</v>
      </c>
      <c r="F684" s="75" t="s">
        <v>1544</v>
      </c>
      <c r="G684" s="74" t="s">
        <v>540</v>
      </c>
      <c r="H684" s="69"/>
    </row>
    <row r="685" spans="1:8" ht="16" x14ac:dyDescent="0.2">
      <c r="A685" s="72"/>
      <c r="B685" s="76"/>
      <c r="C685" s="73"/>
      <c r="D685" s="73" t="s">
        <v>939</v>
      </c>
      <c r="E685" s="77" t="s">
        <v>109</v>
      </c>
      <c r="F685" s="75" t="s">
        <v>1545</v>
      </c>
      <c r="G685" s="74" t="s">
        <v>353</v>
      </c>
      <c r="H685" s="69"/>
    </row>
    <row r="686" spans="1:8" ht="16" x14ac:dyDescent="0.2">
      <c r="A686" s="72"/>
      <c r="B686" s="76"/>
      <c r="C686" s="73"/>
      <c r="D686" s="73" t="s">
        <v>939</v>
      </c>
      <c r="E686" s="77" t="s">
        <v>963</v>
      </c>
      <c r="F686" s="75" t="s">
        <v>1545</v>
      </c>
      <c r="G686" s="74" t="s">
        <v>353</v>
      </c>
      <c r="H686" s="69"/>
    </row>
    <row r="687" spans="1:8" ht="16" x14ac:dyDescent="0.2">
      <c r="A687" s="72"/>
      <c r="B687" s="76"/>
      <c r="C687" s="73"/>
      <c r="D687" s="73" t="s">
        <v>939</v>
      </c>
      <c r="E687" s="77" t="s">
        <v>109</v>
      </c>
      <c r="F687" s="75" t="s">
        <v>1546</v>
      </c>
      <c r="G687" s="74" t="s">
        <v>356</v>
      </c>
      <c r="H687" s="69"/>
    </row>
    <row r="688" spans="1:8" ht="16" x14ac:dyDescent="0.2">
      <c r="A688" s="72"/>
      <c r="B688" s="76"/>
      <c r="C688" s="73"/>
      <c r="D688" s="73" t="s">
        <v>939</v>
      </c>
      <c r="E688" s="77" t="s">
        <v>963</v>
      </c>
      <c r="F688" s="75" t="s">
        <v>1546</v>
      </c>
      <c r="G688" s="74" t="s">
        <v>356</v>
      </c>
      <c r="H688" s="69"/>
    </row>
    <row r="689" spans="1:8" ht="16" x14ac:dyDescent="0.2">
      <c r="A689" s="72"/>
      <c r="B689" s="76"/>
      <c r="C689" s="73"/>
      <c r="D689" s="73" t="s">
        <v>939</v>
      </c>
      <c r="E689" s="77" t="s">
        <v>109</v>
      </c>
      <c r="F689" s="75" t="s">
        <v>1547</v>
      </c>
      <c r="G689" s="74" t="s">
        <v>356</v>
      </c>
      <c r="H689" s="69"/>
    </row>
    <row r="690" spans="1:8" ht="16" x14ac:dyDescent="0.2">
      <c r="A690" s="72"/>
      <c r="B690" s="76"/>
      <c r="C690" s="73"/>
      <c r="D690" s="73" t="s">
        <v>939</v>
      </c>
      <c r="E690" s="77" t="s">
        <v>963</v>
      </c>
      <c r="F690" s="75" t="s">
        <v>1547</v>
      </c>
      <c r="G690" s="74" t="s">
        <v>356</v>
      </c>
      <c r="H690" s="69"/>
    </row>
    <row r="691" spans="1:8" ht="16" x14ac:dyDescent="0.2">
      <c r="A691" s="72"/>
      <c r="B691" s="76"/>
      <c r="C691" s="73"/>
      <c r="D691" s="73" t="s">
        <v>939</v>
      </c>
      <c r="E691" s="77" t="s">
        <v>109</v>
      </c>
      <c r="F691" s="75" t="s">
        <v>1548</v>
      </c>
      <c r="G691" s="74" t="s">
        <v>233</v>
      </c>
      <c r="H691" s="69"/>
    </row>
    <row r="692" spans="1:8" ht="16" x14ac:dyDescent="0.2">
      <c r="A692" s="72"/>
      <c r="B692" s="76"/>
      <c r="C692" s="73"/>
      <c r="D692" s="73" t="s">
        <v>939</v>
      </c>
      <c r="E692" s="77" t="s">
        <v>963</v>
      </c>
      <c r="F692" s="75" t="s">
        <v>1548</v>
      </c>
      <c r="G692" s="74" t="s">
        <v>233</v>
      </c>
      <c r="H692" s="69"/>
    </row>
    <row r="693" spans="1:8" ht="16" x14ac:dyDescent="0.2">
      <c r="A693" s="72"/>
      <c r="B693" s="76"/>
      <c r="C693" s="73"/>
      <c r="D693" s="73" t="s">
        <v>950</v>
      </c>
      <c r="E693" s="77" t="s">
        <v>102</v>
      </c>
      <c r="F693" s="75" t="s">
        <v>1549</v>
      </c>
      <c r="G693" s="87" t="s">
        <v>501</v>
      </c>
      <c r="H693" s="69"/>
    </row>
    <row r="694" spans="1:8" ht="16" x14ac:dyDescent="0.2">
      <c r="A694" s="72"/>
      <c r="B694" s="76"/>
      <c r="C694" s="73"/>
      <c r="D694" s="73" t="s">
        <v>950</v>
      </c>
      <c r="E694" s="77" t="s">
        <v>102</v>
      </c>
      <c r="F694" s="75" t="s">
        <v>1549</v>
      </c>
      <c r="G694" s="87" t="s">
        <v>501</v>
      </c>
      <c r="H694" s="69"/>
    </row>
    <row r="695" spans="1:8" ht="16" x14ac:dyDescent="0.2">
      <c r="A695" s="72"/>
      <c r="B695" s="76"/>
      <c r="C695" s="73"/>
      <c r="D695" s="73" t="s">
        <v>950</v>
      </c>
      <c r="E695" s="77" t="s">
        <v>102</v>
      </c>
      <c r="F695" s="75" t="s">
        <v>1550</v>
      </c>
      <c r="G695" s="87" t="s">
        <v>501</v>
      </c>
      <c r="H695" s="69"/>
    </row>
    <row r="696" spans="1:8" ht="16" x14ac:dyDescent="0.2">
      <c r="A696" s="72"/>
      <c r="B696" s="76"/>
      <c r="C696" s="73"/>
      <c r="D696" s="73" t="s">
        <v>950</v>
      </c>
      <c r="E696" s="77" t="s">
        <v>102</v>
      </c>
      <c r="F696" s="75" t="s">
        <v>1550</v>
      </c>
      <c r="G696" s="87" t="s">
        <v>501</v>
      </c>
      <c r="H696" s="69"/>
    </row>
    <row r="697" spans="1:8" ht="16" x14ac:dyDescent="0.2">
      <c r="A697" s="72"/>
      <c r="B697" s="76"/>
      <c r="C697" s="73"/>
      <c r="D697" s="73" t="s">
        <v>950</v>
      </c>
      <c r="E697" s="77" t="s">
        <v>102</v>
      </c>
      <c r="F697" s="75" t="s">
        <v>1551</v>
      </c>
      <c r="G697" s="87" t="s">
        <v>501</v>
      </c>
      <c r="H697" s="69"/>
    </row>
    <row r="698" spans="1:8" ht="16" x14ac:dyDescent="0.2">
      <c r="A698" s="72"/>
      <c r="B698" s="76"/>
      <c r="C698" s="73"/>
      <c r="D698" s="73" t="s">
        <v>950</v>
      </c>
      <c r="E698" s="77" t="s">
        <v>102</v>
      </c>
      <c r="F698" s="75" t="s">
        <v>1551</v>
      </c>
      <c r="G698" s="87" t="s">
        <v>501</v>
      </c>
      <c r="H698" s="69"/>
    </row>
    <row r="699" spans="1:8" ht="16" x14ac:dyDescent="0.2">
      <c r="A699" s="72"/>
      <c r="B699" s="76"/>
      <c r="C699" s="73"/>
      <c r="D699" s="73" t="s">
        <v>950</v>
      </c>
      <c r="E699" s="77" t="s">
        <v>102</v>
      </c>
      <c r="F699" s="75" t="s">
        <v>1552</v>
      </c>
      <c r="G699" s="87" t="s">
        <v>501</v>
      </c>
      <c r="H699" s="69"/>
    </row>
    <row r="700" spans="1:8" ht="16" x14ac:dyDescent="0.2">
      <c r="A700" s="72"/>
      <c r="B700" s="76"/>
      <c r="C700" s="73"/>
      <c r="D700" s="73" t="s">
        <v>950</v>
      </c>
      <c r="E700" s="77" t="s">
        <v>102</v>
      </c>
      <c r="F700" s="75" t="s">
        <v>1552</v>
      </c>
      <c r="G700" s="87" t="s">
        <v>501</v>
      </c>
      <c r="H700" s="69"/>
    </row>
    <row r="701" spans="1:8" ht="16" x14ac:dyDescent="0.2">
      <c r="A701" s="72"/>
      <c r="B701" s="76"/>
      <c r="C701" s="73"/>
      <c r="D701" s="73" t="s">
        <v>950</v>
      </c>
      <c r="E701" s="77" t="s">
        <v>102</v>
      </c>
      <c r="F701" s="75" t="s">
        <v>1553</v>
      </c>
      <c r="G701" s="87" t="s">
        <v>501</v>
      </c>
      <c r="H701" s="69"/>
    </row>
    <row r="702" spans="1:8" ht="16" x14ac:dyDescent="0.2">
      <c r="A702" s="72"/>
      <c r="B702" s="76"/>
      <c r="C702" s="73"/>
      <c r="D702" s="73" t="s">
        <v>950</v>
      </c>
      <c r="E702" s="77" t="s">
        <v>102</v>
      </c>
      <c r="F702" s="75" t="s">
        <v>1553</v>
      </c>
      <c r="G702" s="87" t="s">
        <v>501</v>
      </c>
      <c r="H702" s="69"/>
    </row>
    <row r="703" spans="1:8" ht="16" x14ac:dyDescent="0.2">
      <c r="A703" s="72"/>
      <c r="B703" s="76"/>
      <c r="C703" s="73"/>
      <c r="D703" s="73" t="s">
        <v>950</v>
      </c>
      <c r="E703" s="77" t="s">
        <v>102</v>
      </c>
      <c r="F703" s="75" t="s">
        <v>1554</v>
      </c>
      <c r="G703" s="87" t="s">
        <v>501</v>
      </c>
      <c r="H703" s="69"/>
    </row>
    <row r="704" spans="1:8" ht="16" x14ac:dyDescent="0.2">
      <c r="A704" s="72"/>
      <c r="B704" s="76"/>
      <c r="C704" s="73"/>
      <c r="D704" s="73" t="s">
        <v>950</v>
      </c>
      <c r="E704" s="77" t="s">
        <v>102</v>
      </c>
      <c r="F704" s="75" t="s">
        <v>1554</v>
      </c>
      <c r="G704" s="87" t="s">
        <v>501</v>
      </c>
      <c r="H704" s="69"/>
    </row>
    <row r="705" spans="1:8" ht="16" x14ac:dyDescent="0.2">
      <c r="A705" s="72"/>
      <c r="B705" s="76"/>
      <c r="C705" s="73"/>
      <c r="D705" s="73" t="s">
        <v>950</v>
      </c>
      <c r="E705" s="77" t="s">
        <v>102</v>
      </c>
      <c r="F705" s="75" t="s">
        <v>1555</v>
      </c>
      <c r="G705" s="87" t="s">
        <v>501</v>
      </c>
      <c r="H705" s="69"/>
    </row>
    <row r="706" spans="1:8" ht="16" x14ac:dyDescent="0.2">
      <c r="A706" s="72"/>
      <c r="B706" s="76"/>
      <c r="C706" s="73"/>
      <c r="D706" s="73" t="s">
        <v>950</v>
      </c>
      <c r="E706" s="77" t="s">
        <v>963</v>
      </c>
      <c r="F706" s="75" t="s">
        <v>387</v>
      </c>
      <c r="G706" s="74" t="s">
        <v>1149</v>
      </c>
      <c r="H706" s="69"/>
    </row>
    <row r="707" spans="1:8" ht="16" x14ac:dyDescent="0.2">
      <c r="A707" s="72"/>
      <c r="B707" s="76"/>
      <c r="C707" s="73"/>
      <c r="D707" s="73" t="s">
        <v>950</v>
      </c>
      <c r="E707" s="77" t="s">
        <v>963</v>
      </c>
      <c r="F707" s="75" t="s">
        <v>1556</v>
      </c>
      <c r="G707" s="74" t="s">
        <v>1149</v>
      </c>
      <c r="H707" s="69"/>
    </row>
    <row r="708" spans="1:8" ht="16" x14ac:dyDescent="0.2">
      <c r="A708" s="72"/>
      <c r="B708" s="76"/>
      <c r="C708" s="73"/>
      <c r="D708" s="73" t="s">
        <v>950</v>
      </c>
      <c r="E708" s="77" t="s">
        <v>963</v>
      </c>
      <c r="F708" s="75" t="s">
        <v>1557</v>
      </c>
      <c r="G708" s="74" t="s">
        <v>1149</v>
      </c>
      <c r="H708" s="69"/>
    </row>
    <row r="709" spans="1:8" ht="16" x14ac:dyDescent="0.2">
      <c r="A709" s="72"/>
      <c r="B709" s="76"/>
      <c r="C709" s="73"/>
      <c r="D709" s="73" t="s">
        <v>950</v>
      </c>
      <c r="E709" s="77" t="s">
        <v>963</v>
      </c>
      <c r="F709" s="75" t="s">
        <v>1558</v>
      </c>
      <c r="G709" s="74" t="s">
        <v>1149</v>
      </c>
      <c r="H709" s="69"/>
    </row>
    <row r="710" spans="1:8" ht="16" x14ac:dyDescent="0.2">
      <c r="A710" s="72"/>
      <c r="B710" s="76"/>
      <c r="C710" s="73"/>
      <c r="D710" s="73" t="s">
        <v>950</v>
      </c>
      <c r="E710" s="77" t="s">
        <v>963</v>
      </c>
      <c r="F710" s="75" t="s">
        <v>1559</v>
      </c>
      <c r="G710" s="74" t="s">
        <v>1149</v>
      </c>
      <c r="H710" s="69"/>
    </row>
    <row r="711" spans="1:8" ht="16" x14ac:dyDescent="0.2">
      <c r="A711" s="72"/>
      <c r="B711" s="76"/>
      <c r="C711" s="73"/>
      <c r="D711" s="73" t="s">
        <v>950</v>
      </c>
      <c r="E711" s="77" t="s">
        <v>963</v>
      </c>
      <c r="F711" s="75" t="s">
        <v>1560</v>
      </c>
      <c r="G711" s="74" t="s">
        <v>1149</v>
      </c>
      <c r="H711" s="69"/>
    </row>
    <row r="712" spans="1:8" ht="16" x14ac:dyDescent="0.2">
      <c r="A712" s="72"/>
      <c r="B712" s="76"/>
      <c r="C712" s="73"/>
      <c r="D712" s="73" t="s">
        <v>950</v>
      </c>
      <c r="E712" s="77" t="s">
        <v>93</v>
      </c>
      <c r="F712" s="75" t="s">
        <v>387</v>
      </c>
      <c r="G712" s="74" t="s">
        <v>1150</v>
      </c>
      <c r="H712" s="69"/>
    </row>
    <row r="713" spans="1:8" ht="16" x14ac:dyDescent="0.2">
      <c r="A713" s="72"/>
      <c r="B713" s="76"/>
      <c r="C713" s="73"/>
      <c r="D713" s="73" t="s">
        <v>950</v>
      </c>
      <c r="E713" s="77" t="s">
        <v>93</v>
      </c>
      <c r="F713" s="75" t="s">
        <v>1556</v>
      </c>
      <c r="G713" s="74" t="s">
        <v>1150</v>
      </c>
      <c r="H713" s="69"/>
    </row>
    <row r="714" spans="1:8" ht="16" x14ac:dyDescent="0.2">
      <c r="A714" s="72"/>
      <c r="B714" s="76"/>
      <c r="C714" s="73"/>
      <c r="D714" s="73" t="s">
        <v>950</v>
      </c>
      <c r="E714" s="77" t="s">
        <v>93</v>
      </c>
      <c r="F714" s="75" t="s">
        <v>1557</v>
      </c>
      <c r="G714" s="74" t="s">
        <v>1150</v>
      </c>
      <c r="H714" s="69"/>
    </row>
    <row r="715" spans="1:8" ht="16" x14ac:dyDescent="0.2">
      <c r="A715" s="72"/>
      <c r="B715" s="76"/>
      <c r="C715" s="73"/>
      <c r="D715" s="73" t="s">
        <v>950</v>
      </c>
      <c r="E715" s="77" t="s">
        <v>93</v>
      </c>
      <c r="F715" s="75" t="s">
        <v>1558</v>
      </c>
      <c r="G715" s="74" t="s">
        <v>1150</v>
      </c>
      <c r="H715" s="69"/>
    </row>
    <row r="716" spans="1:8" ht="16" x14ac:dyDescent="0.2">
      <c r="A716" s="72"/>
      <c r="B716" s="76"/>
      <c r="C716" s="73"/>
      <c r="D716" s="73" t="s">
        <v>950</v>
      </c>
      <c r="E716" s="77" t="s">
        <v>93</v>
      </c>
      <c r="F716" s="75" t="s">
        <v>1559</v>
      </c>
      <c r="G716" s="74" t="s">
        <v>1150</v>
      </c>
      <c r="H716" s="69"/>
    </row>
    <row r="717" spans="1:8" ht="16" x14ac:dyDescent="0.2">
      <c r="A717" s="72"/>
      <c r="B717" s="76"/>
      <c r="C717" s="73"/>
      <c r="D717" s="73" t="s">
        <v>950</v>
      </c>
      <c r="E717" s="77" t="s">
        <v>93</v>
      </c>
      <c r="F717" s="75" t="s">
        <v>1560</v>
      </c>
      <c r="G717" s="74" t="s">
        <v>1150</v>
      </c>
      <c r="H717" s="69"/>
    </row>
    <row r="718" spans="1:8" ht="16" x14ac:dyDescent="0.2">
      <c r="A718" s="72"/>
      <c r="B718" s="76"/>
      <c r="C718" s="73"/>
      <c r="D718" s="73" t="s">
        <v>950</v>
      </c>
      <c r="E718" s="77" t="s">
        <v>134</v>
      </c>
      <c r="F718" s="75" t="s">
        <v>387</v>
      </c>
      <c r="G718" s="74" t="s">
        <v>1150</v>
      </c>
      <c r="H718" s="69"/>
    </row>
    <row r="719" spans="1:8" ht="16" x14ac:dyDescent="0.2">
      <c r="A719" s="72"/>
      <c r="B719" s="76"/>
      <c r="C719" s="73"/>
      <c r="D719" s="73" t="s">
        <v>950</v>
      </c>
      <c r="E719" s="77" t="s">
        <v>134</v>
      </c>
      <c r="F719" s="75" t="s">
        <v>1556</v>
      </c>
      <c r="G719" s="74" t="s">
        <v>1150</v>
      </c>
      <c r="H719" s="69"/>
    </row>
    <row r="720" spans="1:8" ht="16" x14ac:dyDescent="0.2">
      <c r="A720" s="72"/>
      <c r="B720" s="76"/>
      <c r="C720" s="73"/>
      <c r="D720" s="73" t="s">
        <v>950</v>
      </c>
      <c r="E720" s="77" t="s">
        <v>134</v>
      </c>
      <c r="F720" s="75" t="s">
        <v>1557</v>
      </c>
      <c r="G720" s="74" t="s">
        <v>1150</v>
      </c>
      <c r="H720" s="69"/>
    </row>
    <row r="721" spans="1:8" ht="16" x14ac:dyDescent="0.2">
      <c r="A721" s="72"/>
      <c r="B721" s="76"/>
      <c r="C721" s="73"/>
      <c r="D721" s="73" t="s">
        <v>950</v>
      </c>
      <c r="E721" s="77" t="s">
        <v>134</v>
      </c>
      <c r="F721" s="75" t="s">
        <v>1558</v>
      </c>
      <c r="G721" s="74" t="s">
        <v>1150</v>
      </c>
      <c r="H721" s="69"/>
    </row>
    <row r="722" spans="1:8" ht="16" x14ac:dyDescent="0.2">
      <c r="A722" s="72"/>
      <c r="B722" s="76"/>
      <c r="C722" s="73"/>
      <c r="D722" s="73" t="s">
        <v>950</v>
      </c>
      <c r="E722" s="77" t="s">
        <v>134</v>
      </c>
      <c r="F722" s="75" t="s">
        <v>1559</v>
      </c>
      <c r="G722" s="74" t="s">
        <v>1150</v>
      </c>
      <c r="H722" s="69"/>
    </row>
    <row r="723" spans="1:8" ht="16" x14ac:dyDescent="0.2">
      <c r="A723" s="72"/>
      <c r="B723" s="76"/>
      <c r="C723" s="73"/>
      <c r="D723" s="73" t="s">
        <v>950</v>
      </c>
      <c r="E723" s="77" t="s">
        <v>134</v>
      </c>
      <c r="F723" s="75" t="s">
        <v>1560</v>
      </c>
      <c r="G723" s="74" t="s">
        <v>1150</v>
      </c>
      <c r="H723" s="69"/>
    </row>
    <row r="724" spans="1:8" x14ac:dyDescent="0.2">
      <c r="A724" s="72"/>
      <c r="B724" s="76"/>
      <c r="C724" s="73"/>
      <c r="D724" s="73" t="s">
        <v>950</v>
      </c>
      <c r="E724" s="77" t="s">
        <v>93</v>
      </c>
      <c r="F724" s="75" t="s">
        <v>1561</v>
      </c>
      <c r="G724" s="75" t="s">
        <v>1151</v>
      </c>
      <c r="H724" s="69"/>
    </row>
    <row r="725" spans="1:8" x14ac:dyDescent="0.2">
      <c r="A725" s="72"/>
      <c r="B725" s="76"/>
      <c r="C725" s="73"/>
      <c r="D725" s="73" t="s">
        <v>950</v>
      </c>
      <c r="E725" s="77" t="s">
        <v>93</v>
      </c>
      <c r="F725" s="75" t="s">
        <v>1562</v>
      </c>
      <c r="G725" s="75" t="s">
        <v>1151</v>
      </c>
      <c r="H725" s="69"/>
    </row>
    <row r="726" spans="1:8" x14ac:dyDescent="0.2">
      <c r="A726" s="72"/>
      <c r="B726" s="76"/>
      <c r="C726" s="73"/>
      <c r="D726" s="73" t="s">
        <v>950</v>
      </c>
      <c r="E726" s="77" t="s">
        <v>93</v>
      </c>
      <c r="F726" s="75" t="s">
        <v>1563</v>
      </c>
      <c r="G726" s="75" t="s">
        <v>1151</v>
      </c>
      <c r="H726" s="69"/>
    </row>
    <row r="727" spans="1:8" x14ac:dyDescent="0.2">
      <c r="A727" s="72"/>
      <c r="B727" s="76"/>
      <c r="C727" s="73"/>
      <c r="D727" s="73" t="s">
        <v>950</v>
      </c>
      <c r="E727" s="77" t="s">
        <v>93</v>
      </c>
      <c r="F727" s="75" t="s">
        <v>1564</v>
      </c>
      <c r="G727" s="75" t="s">
        <v>1151</v>
      </c>
      <c r="H727" s="69"/>
    </row>
    <row r="728" spans="1:8" x14ac:dyDescent="0.2">
      <c r="A728" s="72"/>
      <c r="B728" s="76"/>
      <c r="C728" s="73"/>
      <c r="D728" s="73" t="s">
        <v>950</v>
      </c>
      <c r="E728" s="77" t="s">
        <v>93</v>
      </c>
      <c r="F728" s="75" t="s">
        <v>1565</v>
      </c>
      <c r="G728" s="75" t="s">
        <v>1151</v>
      </c>
      <c r="H728" s="69"/>
    </row>
    <row r="729" spans="1:8" x14ac:dyDescent="0.2">
      <c r="A729" s="72"/>
      <c r="B729" s="76"/>
      <c r="C729" s="73"/>
      <c r="D729" s="73" t="s">
        <v>950</v>
      </c>
      <c r="E729" s="77" t="s">
        <v>93</v>
      </c>
      <c r="F729" s="75" t="s">
        <v>1566</v>
      </c>
      <c r="G729" s="75" t="s">
        <v>1151</v>
      </c>
      <c r="H729" s="69"/>
    </row>
    <row r="730" spans="1:8" x14ac:dyDescent="0.2">
      <c r="A730" s="72"/>
      <c r="B730" s="76"/>
      <c r="C730" s="73"/>
      <c r="D730" s="73" t="s">
        <v>950</v>
      </c>
      <c r="E730" s="77" t="s">
        <v>93</v>
      </c>
      <c r="F730" s="75" t="s">
        <v>1610</v>
      </c>
      <c r="G730" s="75" t="s">
        <v>1151</v>
      </c>
      <c r="H730" s="69"/>
    </row>
    <row r="731" spans="1:8" x14ac:dyDescent="0.2">
      <c r="A731" s="72"/>
      <c r="B731" s="76"/>
      <c r="C731" s="73"/>
      <c r="D731" s="73" t="s">
        <v>950</v>
      </c>
      <c r="E731" s="77" t="s">
        <v>93</v>
      </c>
      <c r="F731" s="75" t="s">
        <v>391</v>
      </c>
      <c r="G731" s="75" t="s">
        <v>1152</v>
      </c>
      <c r="H731" s="69"/>
    </row>
    <row r="732" spans="1:8" x14ac:dyDescent="0.2">
      <c r="A732" s="72"/>
      <c r="B732" s="76"/>
      <c r="C732" s="73"/>
      <c r="D732" s="73" t="s">
        <v>950</v>
      </c>
      <c r="E732" s="77" t="s">
        <v>93</v>
      </c>
      <c r="F732" s="75" t="s">
        <v>1567</v>
      </c>
      <c r="G732" s="75" t="s">
        <v>1152</v>
      </c>
      <c r="H732" s="69"/>
    </row>
    <row r="733" spans="1:8" x14ac:dyDescent="0.2">
      <c r="A733" s="72"/>
      <c r="B733" s="76"/>
      <c r="C733" s="73"/>
      <c r="D733" s="73" t="s">
        <v>950</v>
      </c>
      <c r="E733" s="77" t="s">
        <v>93</v>
      </c>
      <c r="F733" s="75" t="s">
        <v>1568</v>
      </c>
      <c r="G733" s="75" t="s">
        <v>1152</v>
      </c>
      <c r="H733" s="69"/>
    </row>
    <row r="734" spans="1:8" x14ac:dyDescent="0.2">
      <c r="A734" s="72"/>
      <c r="B734" s="76"/>
      <c r="C734" s="73"/>
      <c r="D734" s="73" t="s">
        <v>950</v>
      </c>
      <c r="E734" s="77" t="s">
        <v>93</v>
      </c>
      <c r="F734" s="75" t="s">
        <v>1569</v>
      </c>
      <c r="G734" s="75" t="s">
        <v>1152</v>
      </c>
      <c r="H734" s="69"/>
    </row>
    <row r="735" spans="1:8" x14ac:dyDescent="0.2">
      <c r="A735" s="72"/>
      <c r="B735" s="76"/>
      <c r="C735" s="73"/>
      <c r="D735" s="73" t="s">
        <v>950</v>
      </c>
      <c r="E735" s="77" t="s">
        <v>93</v>
      </c>
      <c r="F735" s="75" t="s">
        <v>1570</v>
      </c>
      <c r="G735" s="75" t="s">
        <v>1152</v>
      </c>
      <c r="H735" s="69"/>
    </row>
    <row r="736" spans="1:8" x14ac:dyDescent="0.2">
      <c r="A736" s="72"/>
      <c r="B736" s="76"/>
      <c r="C736" s="73"/>
      <c r="D736" s="73" t="s">
        <v>950</v>
      </c>
      <c r="E736" s="77" t="s">
        <v>93</v>
      </c>
      <c r="F736" s="75" t="s">
        <v>1571</v>
      </c>
      <c r="G736" s="75" t="s">
        <v>1152</v>
      </c>
      <c r="H736" s="69"/>
    </row>
    <row r="737" spans="1:8" x14ac:dyDescent="0.2">
      <c r="A737" s="72"/>
      <c r="B737" s="76"/>
      <c r="C737" s="73"/>
      <c r="D737" s="73" t="s">
        <v>950</v>
      </c>
      <c r="E737" s="77" t="s">
        <v>93</v>
      </c>
      <c r="F737" s="75" t="s">
        <v>1572</v>
      </c>
      <c r="G737" s="75" t="s">
        <v>1152</v>
      </c>
      <c r="H737" s="69"/>
    </row>
    <row r="738" spans="1:8" x14ac:dyDescent="0.2">
      <c r="A738" s="72"/>
      <c r="B738" s="76"/>
      <c r="C738" s="73"/>
      <c r="D738" s="73" t="s">
        <v>950</v>
      </c>
      <c r="E738" s="77" t="s">
        <v>93</v>
      </c>
      <c r="F738" s="75" t="s">
        <v>1573</v>
      </c>
      <c r="G738" s="75" t="s">
        <v>1152</v>
      </c>
      <c r="H738" s="69"/>
    </row>
    <row r="739" spans="1:8" x14ac:dyDescent="0.2">
      <c r="A739" s="72"/>
      <c r="B739" s="76"/>
      <c r="C739" s="73"/>
      <c r="D739" s="73" t="s">
        <v>950</v>
      </c>
      <c r="E739" s="77" t="s">
        <v>93</v>
      </c>
      <c r="F739" s="75" t="s">
        <v>1574</v>
      </c>
      <c r="G739" s="75" t="s">
        <v>1153</v>
      </c>
      <c r="H739" s="69"/>
    </row>
    <row r="740" spans="1:8" x14ac:dyDescent="0.2">
      <c r="A740" s="72"/>
      <c r="B740" s="76"/>
      <c r="C740" s="73"/>
      <c r="D740" s="73" t="s">
        <v>950</v>
      </c>
      <c r="E740" s="77" t="s">
        <v>93</v>
      </c>
      <c r="F740" s="75" t="s">
        <v>1575</v>
      </c>
      <c r="G740" s="75" t="s">
        <v>1153</v>
      </c>
      <c r="H740" s="69"/>
    </row>
    <row r="741" spans="1:8" x14ac:dyDescent="0.2">
      <c r="A741" s="72"/>
      <c r="B741" s="76"/>
      <c r="C741" s="73"/>
      <c r="D741" s="73" t="s">
        <v>950</v>
      </c>
      <c r="E741" s="77" t="s">
        <v>93</v>
      </c>
      <c r="F741" s="75" t="s">
        <v>1576</v>
      </c>
      <c r="G741" s="75" t="s">
        <v>1153</v>
      </c>
      <c r="H741" s="69"/>
    </row>
    <row r="742" spans="1:8" x14ac:dyDescent="0.2">
      <c r="A742" s="72"/>
      <c r="B742" s="76"/>
      <c r="C742" s="73"/>
      <c r="D742" s="73" t="s">
        <v>950</v>
      </c>
      <c r="E742" s="77" t="s">
        <v>93</v>
      </c>
      <c r="F742" s="75" t="s">
        <v>1577</v>
      </c>
      <c r="G742" s="75" t="s">
        <v>1153</v>
      </c>
      <c r="H742" s="69"/>
    </row>
    <row r="743" spans="1:8" x14ac:dyDescent="0.2">
      <c r="A743" s="72"/>
      <c r="B743" s="76"/>
      <c r="C743" s="73"/>
      <c r="D743" s="73" t="s">
        <v>950</v>
      </c>
      <c r="E743" s="77" t="s">
        <v>93</v>
      </c>
      <c r="F743" s="75" t="s">
        <v>1578</v>
      </c>
      <c r="G743" s="75" t="s">
        <v>1153</v>
      </c>
      <c r="H743" s="69"/>
    </row>
    <row r="744" spans="1:8" x14ac:dyDescent="0.2">
      <c r="A744" s="72"/>
      <c r="B744" s="76"/>
      <c r="C744" s="73"/>
      <c r="D744" s="73" t="s">
        <v>950</v>
      </c>
      <c r="E744" s="77" t="s">
        <v>93</v>
      </c>
      <c r="F744" s="75" t="s">
        <v>1579</v>
      </c>
      <c r="G744" s="75" t="s">
        <v>1153</v>
      </c>
      <c r="H744" s="69"/>
    </row>
    <row r="745" spans="1:8" x14ac:dyDescent="0.2">
      <c r="A745" s="72"/>
      <c r="B745" s="76"/>
      <c r="C745" s="73"/>
      <c r="D745" s="73" t="s">
        <v>950</v>
      </c>
      <c r="E745" s="77" t="s">
        <v>93</v>
      </c>
      <c r="F745" s="75" t="s">
        <v>1580</v>
      </c>
      <c r="G745" s="75" t="s">
        <v>1153</v>
      </c>
      <c r="H745" s="69"/>
    </row>
    <row r="746" spans="1:8" ht="16" x14ac:dyDescent="0.2">
      <c r="A746" s="72"/>
      <c r="B746" s="76"/>
      <c r="C746" s="73"/>
      <c r="D746" s="73" t="s">
        <v>950</v>
      </c>
      <c r="E746" s="77" t="s">
        <v>116</v>
      </c>
      <c r="F746" s="75" t="s">
        <v>1581</v>
      </c>
      <c r="G746" s="74" t="s">
        <v>335</v>
      </c>
      <c r="H746" s="69"/>
    </row>
    <row r="747" spans="1:8" ht="16" x14ac:dyDescent="0.2">
      <c r="A747" s="72"/>
      <c r="B747" s="76"/>
      <c r="C747" s="73"/>
      <c r="D747" s="73" t="s">
        <v>950</v>
      </c>
      <c r="E747" s="77" t="s">
        <v>116</v>
      </c>
      <c r="F747" s="75" t="s">
        <v>387</v>
      </c>
      <c r="G747" s="74" t="s">
        <v>335</v>
      </c>
      <c r="H747" s="69"/>
    </row>
    <row r="748" spans="1:8" ht="16" x14ac:dyDescent="0.2">
      <c r="A748" s="72"/>
      <c r="B748" s="76"/>
      <c r="C748" s="73"/>
      <c r="D748" s="73" t="s">
        <v>950</v>
      </c>
      <c r="E748" s="77" t="s">
        <v>116</v>
      </c>
      <c r="F748" s="75" t="s">
        <v>1556</v>
      </c>
      <c r="G748" s="74" t="s">
        <v>335</v>
      </c>
      <c r="H748" s="69"/>
    </row>
    <row r="749" spans="1:8" ht="16" x14ac:dyDescent="0.2">
      <c r="A749" s="72"/>
      <c r="B749" s="76"/>
      <c r="C749" s="73"/>
      <c r="D749" s="73" t="s">
        <v>950</v>
      </c>
      <c r="E749" s="77" t="s">
        <v>116</v>
      </c>
      <c r="F749" s="75" t="s">
        <v>1582</v>
      </c>
      <c r="G749" s="87" t="s">
        <v>327</v>
      </c>
      <c r="H749" s="69"/>
    </row>
    <row r="750" spans="1:8" ht="16" x14ac:dyDescent="0.2">
      <c r="A750" s="72"/>
      <c r="B750" s="76"/>
      <c r="C750" s="73"/>
      <c r="D750" s="73" t="s">
        <v>950</v>
      </c>
      <c r="E750" s="77" t="s">
        <v>116</v>
      </c>
      <c r="F750" s="75" t="s">
        <v>1583</v>
      </c>
      <c r="G750" s="87" t="s">
        <v>327</v>
      </c>
      <c r="H750" s="69"/>
    </row>
    <row r="751" spans="1:8" x14ac:dyDescent="0.2">
      <c r="A751" s="72"/>
      <c r="B751" s="76"/>
      <c r="C751" s="73"/>
      <c r="D751" s="73" t="s">
        <v>950</v>
      </c>
      <c r="E751" s="77" t="s">
        <v>93</v>
      </c>
      <c r="F751" s="75" t="s">
        <v>1584</v>
      </c>
      <c r="G751" s="75" t="s">
        <v>1142</v>
      </c>
      <c r="H751" s="69"/>
    </row>
    <row r="752" spans="1:8" ht="16" x14ac:dyDescent="0.2">
      <c r="A752" s="72"/>
      <c r="B752" s="76"/>
      <c r="C752" s="73"/>
      <c r="D752" s="73" t="s">
        <v>950</v>
      </c>
      <c r="E752" s="77" t="s">
        <v>109</v>
      </c>
      <c r="F752" s="75" t="s">
        <v>1583</v>
      </c>
      <c r="G752" s="87" t="s">
        <v>509</v>
      </c>
      <c r="H752" s="69"/>
    </row>
    <row r="753" spans="1:8" ht="16" x14ac:dyDescent="0.2">
      <c r="A753" s="72"/>
      <c r="B753" s="76"/>
      <c r="C753" s="73"/>
      <c r="D753" s="73" t="s">
        <v>951</v>
      </c>
      <c r="E753" s="77" t="s">
        <v>93</v>
      </c>
      <c r="F753" s="75" t="s">
        <v>1229</v>
      </c>
      <c r="G753" s="74" t="s">
        <v>1159</v>
      </c>
      <c r="H753" s="69"/>
    </row>
    <row r="754" spans="1:8" x14ac:dyDescent="0.2">
      <c r="A754" s="72"/>
      <c r="B754" s="76"/>
      <c r="C754" s="73"/>
      <c r="D754" s="73" t="s">
        <v>951</v>
      </c>
      <c r="E754" s="77" t="s">
        <v>93</v>
      </c>
      <c r="F754" s="75" t="s">
        <v>2034</v>
      </c>
      <c r="G754" s="69" t="s">
        <v>1160</v>
      </c>
      <c r="H754" s="69"/>
    </row>
    <row r="755" spans="1:8" x14ac:dyDescent="0.2">
      <c r="A755" s="72"/>
      <c r="B755" s="76"/>
      <c r="C755" s="73"/>
      <c r="D755" s="73" t="s">
        <v>951</v>
      </c>
      <c r="E755" s="77" t="s">
        <v>93</v>
      </c>
      <c r="F755" s="75" t="s">
        <v>2035</v>
      </c>
      <c r="G755" s="69" t="s">
        <v>1160</v>
      </c>
      <c r="H755" s="69"/>
    </row>
    <row r="756" spans="1:8" x14ac:dyDescent="0.2">
      <c r="A756" s="72"/>
      <c r="B756" s="76"/>
      <c r="C756" s="73"/>
      <c r="D756" s="73" t="s">
        <v>951</v>
      </c>
      <c r="E756" s="77" t="s">
        <v>134</v>
      </c>
      <c r="F756" s="75" t="s">
        <v>2034</v>
      </c>
      <c r="G756" s="69" t="s">
        <v>1160</v>
      </c>
      <c r="H756" s="69"/>
    </row>
    <row r="757" spans="1:8" x14ac:dyDescent="0.2">
      <c r="A757" s="72"/>
      <c r="B757" s="76"/>
      <c r="C757" s="73"/>
      <c r="D757" s="73" t="s">
        <v>951</v>
      </c>
      <c r="E757" s="77" t="s">
        <v>134</v>
      </c>
      <c r="F757" s="75" t="s">
        <v>2035</v>
      </c>
      <c r="G757" s="69" t="s">
        <v>1160</v>
      </c>
      <c r="H757" s="69"/>
    </row>
    <row r="758" spans="1:8" x14ac:dyDescent="0.2">
      <c r="A758" s="72"/>
      <c r="B758" s="76"/>
      <c r="C758" s="73"/>
      <c r="D758" s="73" t="s">
        <v>951</v>
      </c>
      <c r="E758" s="77" t="s">
        <v>93</v>
      </c>
      <c r="F758" s="75" t="s">
        <v>1585</v>
      </c>
      <c r="G758" s="69" t="s">
        <v>1160</v>
      </c>
      <c r="H758" s="69"/>
    </row>
    <row r="759" spans="1:8" x14ac:dyDescent="0.2">
      <c r="A759" s="72"/>
      <c r="B759" s="76"/>
      <c r="C759" s="73"/>
      <c r="D759" s="73" t="s">
        <v>951</v>
      </c>
      <c r="E759" s="77" t="s">
        <v>93</v>
      </c>
      <c r="F759" s="75" t="s">
        <v>1586</v>
      </c>
      <c r="G759" s="69" t="s">
        <v>1160</v>
      </c>
      <c r="H759" s="69"/>
    </row>
    <row r="760" spans="1:8" x14ac:dyDescent="0.2">
      <c r="A760" s="72"/>
      <c r="B760" s="76"/>
      <c r="C760" s="73"/>
      <c r="D760" s="73" t="s">
        <v>951</v>
      </c>
      <c r="E760" s="77" t="s">
        <v>134</v>
      </c>
      <c r="F760" s="75" t="s">
        <v>1585</v>
      </c>
      <c r="G760" s="69" t="s">
        <v>1160</v>
      </c>
      <c r="H760" s="69"/>
    </row>
    <row r="761" spans="1:8" x14ac:dyDescent="0.2">
      <c r="A761" s="72"/>
      <c r="B761" s="76"/>
      <c r="C761" s="73"/>
      <c r="D761" s="73" t="s">
        <v>951</v>
      </c>
      <c r="E761" s="77" t="s">
        <v>134</v>
      </c>
      <c r="F761" s="75" t="s">
        <v>1586</v>
      </c>
      <c r="G761" s="69" t="s">
        <v>1160</v>
      </c>
      <c r="H761" s="69"/>
    </row>
    <row r="762" spans="1:8" x14ac:dyDescent="0.2">
      <c r="A762" s="72"/>
      <c r="B762" s="76"/>
      <c r="C762" s="73"/>
      <c r="D762" s="73" t="s">
        <v>951</v>
      </c>
      <c r="E762" s="77" t="s">
        <v>93</v>
      </c>
      <c r="F762" s="75" t="s">
        <v>2036</v>
      </c>
      <c r="G762" s="69" t="s">
        <v>1156</v>
      </c>
      <c r="H762" s="69"/>
    </row>
    <row r="763" spans="1:8" x14ac:dyDescent="0.2">
      <c r="A763" s="72"/>
      <c r="B763" s="76"/>
      <c r="C763" s="73"/>
      <c r="D763" s="73" t="s">
        <v>951</v>
      </c>
      <c r="E763" s="77" t="s">
        <v>93</v>
      </c>
      <c r="F763" s="75" t="s">
        <v>2037</v>
      </c>
      <c r="G763" s="69" t="s">
        <v>1156</v>
      </c>
      <c r="H763" s="69"/>
    </row>
    <row r="764" spans="1:8" x14ac:dyDescent="0.2">
      <c r="A764" s="72"/>
      <c r="B764" s="76"/>
      <c r="C764" s="73"/>
      <c r="D764" s="73" t="s">
        <v>951</v>
      </c>
      <c r="E764" s="77" t="s">
        <v>134</v>
      </c>
      <c r="F764" s="75" t="s">
        <v>2036</v>
      </c>
      <c r="G764" s="69" t="s">
        <v>1156</v>
      </c>
      <c r="H764" s="69"/>
    </row>
    <row r="765" spans="1:8" x14ac:dyDescent="0.2">
      <c r="A765" s="72"/>
      <c r="B765" s="76"/>
      <c r="C765" s="73"/>
      <c r="D765" s="73" t="s">
        <v>951</v>
      </c>
      <c r="E765" s="77" t="s">
        <v>134</v>
      </c>
      <c r="F765" s="75" t="s">
        <v>2037</v>
      </c>
      <c r="G765" s="69" t="s">
        <v>1156</v>
      </c>
      <c r="H765" s="69"/>
    </row>
    <row r="766" spans="1:8" x14ac:dyDescent="0.2">
      <c r="A766" s="72"/>
      <c r="B766" s="76"/>
      <c r="C766" s="73"/>
      <c r="D766" s="73" t="s">
        <v>951</v>
      </c>
      <c r="E766" s="77" t="s">
        <v>93</v>
      </c>
      <c r="F766" s="75" t="s">
        <v>1587</v>
      </c>
      <c r="G766" s="69" t="s">
        <v>1156</v>
      </c>
      <c r="H766" s="69"/>
    </row>
    <row r="767" spans="1:8" x14ac:dyDescent="0.2">
      <c r="A767" s="72"/>
      <c r="B767" s="76"/>
      <c r="C767" s="73"/>
      <c r="D767" s="73" t="s">
        <v>951</v>
      </c>
      <c r="E767" s="77" t="s">
        <v>93</v>
      </c>
      <c r="F767" s="75" t="s">
        <v>1588</v>
      </c>
      <c r="G767" s="69" t="s">
        <v>1156</v>
      </c>
      <c r="H767" s="69"/>
    </row>
    <row r="768" spans="1:8" x14ac:dyDescent="0.2">
      <c r="A768" s="72"/>
      <c r="B768" s="76"/>
      <c r="C768" s="73"/>
      <c r="D768" s="73" t="s">
        <v>951</v>
      </c>
      <c r="E768" s="77" t="s">
        <v>134</v>
      </c>
      <c r="F768" s="75" t="s">
        <v>1587</v>
      </c>
      <c r="G768" s="69" t="s">
        <v>1156</v>
      </c>
      <c r="H768" s="69"/>
    </row>
    <row r="769" spans="1:8" x14ac:dyDescent="0.2">
      <c r="A769" s="72"/>
      <c r="B769" s="76"/>
      <c r="C769" s="73"/>
      <c r="D769" s="73" t="s">
        <v>951</v>
      </c>
      <c r="E769" s="77" t="s">
        <v>134</v>
      </c>
      <c r="F769" s="75" t="s">
        <v>1588</v>
      </c>
      <c r="G769" s="69" t="s">
        <v>1156</v>
      </c>
      <c r="H769" s="69"/>
    </row>
    <row r="770" spans="1:8" x14ac:dyDescent="0.2">
      <c r="A770" s="72"/>
      <c r="B770" s="76"/>
      <c r="C770" s="73"/>
      <c r="D770" s="73" t="s">
        <v>951</v>
      </c>
      <c r="E770" s="77" t="s">
        <v>116</v>
      </c>
      <c r="F770" s="75" t="s">
        <v>2035</v>
      </c>
      <c r="G770" s="69" t="s">
        <v>1161</v>
      </c>
      <c r="H770" s="69"/>
    </row>
    <row r="771" spans="1:8" x14ac:dyDescent="0.2">
      <c r="A771" s="72"/>
      <c r="B771" s="76"/>
      <c r="C771" s="73"/>
      <c r="D771" s="73" t="s">
        <v>951</v>
      </c>
      <c r="E771" s="77" t="s">
        <v>116</v>
      </c>
      <c r="F771" s="75" t="s">
        <v>2034</v>
      </c>
      <c r="G771" s="69" t="s">
        <v>1161</v>
      </c>
      <c r="H771" s="69"/>
    </row>
    <row r="772" spans="1:8" x14ac:dyDescent="0.2">
      <c r="A772" s="72"/>
      <c r="B772" s="76"/>
      <c r="C772" s="73"/>
      <c r="D772" s="73" t="s">
        <v>951</v>
      </c>
      <c r="E772" s="77" t="s">
        <v>116</v>
      </c>
      <c r="F772" s="75" t="s">
        <v>1586</v>
      </c>
      <c r="G772" s="69" t="s">
        <v>1161</v>
      </c>
      <c r="H772" s="69"/>
    </row>
    <row r="773" spans="1:8" x14ac:dyDescent="0.2">
      <c r="A773" s="72"/>
      <c r="B773" s="76"/>
      <c r="C773" s="73"/>
      <c r="D773" s="73" t="s">
        <v>951</v>
      </c>
      <c r="E773" s="77" t="s">
        <v>116</v>
      </c>
      <c r="F773" s="75" t="s">
        <v>1585</v>
      </c>
      <c r="G773" s="69" t="s">
        <v>1161</v>
      </c>
      <c r="H773" s="69"/>
    </row>
    <row r="774" spans="1:8" ht="16" x14ac:dyDescent="0.2">
      <c r="A774" s="72"/>
      <c r="B774" s="84"/>
      <c r="C774" s="73"/>
      <c r="D774" s="73" t="s">
        <v>951</v>
      </c>
      <c r="E774" s="77" t="s">
        <v>93</v>
      </c>
      <c r="F774" s="75" t="s">
        <v>223</v>
      </c>
      <c r="G774" s="87" t="s">
        <v>558</v>
      </c>
      <c r="H774" s="69"/>
    </row>
    <row r="775" spans="1:8" x14ac:dyDescent="0.2">
      <c r="A775" s="72"/>
      <c r="B775" s="76"/>
      <c r="C775" s="73"/>
      <c r="D775" s="73" t="s">
        <v>951</v>
      </c>
      <c r="E775" s="77" t="s">
        <v>93</v>
      </c>
      <c r="F775" s="75" t="s">
        <v>2022</v>
      </c>
      <c r="G775" s="75" t="s">
        <v>1154</v>
      </c>
      <c r="H775" s="69"/>
    </row>
    <row r="776" spans="1:8" x14ac:dyDescent="0.2">
      <c r="A776" s="72"/>
      <c r="B776" s="76"/>
      <c r="C776" s="73"/>
      <c r="D776" s="73" t="s">
        <v>951</v>
      </c>
      <c r="E776" s="77" t="s">
        <v>134</v>
      </c>
      <c r="F776" s="75" t="s">
        <v>2022</v>
      </c>
      <c r="G776" s="75" t="s">
        <v>1154</v>
      </c>
      <c r="H776" s="69"/>
    </row>
    <row r="777" spans="1:8" x14ac:dyDescent="0.2">
      <c r="A777" s="72"/>
      <c r="B777" s="76"/>
      <c r="C777" s="73"/>
      <c r="D777" s="73" t="s">
        <v>951</v>
      </c>
      <c r="E777" s="77" t="s">
        <v>93</v>
      </c>
      <c r="F777" s="75" t="s">
        <v>2023</v>
      </c>
      <c r="G777" s="75" t="s">
        <v>1154</v>
      </c>
      <c r="H777" s="69"/>
    </row>
    <row r="778" spans="1:8" x14ac:dyDescent="0.2">
      <c r="A778" s="72"/>
      <c r="B778" s="76"/>
      <c r="C778" s="73"/>
      <c r="D778" s="73" t="s">
        <v>951</v>
      </c>
      <c r="E778" s="77" t="s">
        <v>134</v>
      </c>
      <c r="F778" s="75" t="s">
        <v>2023</v>
      </c>
      <c r="G778" s="75" t="s">
        <v>1154</v>
      </c>
      <c r="H778" s="69"/>
    </row>
    <row r="779" spans="1:8" x14ac:dyDescent="0.2">
      <c r="A779" s="72"/>
      <c r="B779" s="76"/>
      <c r="C779" s="73"/>
      <c r="D779" s="73" t="s">
        <v>951</v>
      </c>
      <c r="E779" s="77" t="s">
        <v>116</v>
      </c>
      <c r="F779" s="75" t="s">
        <v>2022</v>
      </c>
      <c r="G779" s="75" t="s">
        <v>1155</v>
      </c>
      <c r="H779" s="69"/>
    </row>
    <row r="780" spans="1:8" x14ac:dyDescent="0.2">
      <c r="A780" s="72"/>
      <c r="B780" s="76"/>
      <c r="C780" s="73"/>
      <c r="D780" s="73" t="s">
        <v>951</v>
      </c>
      <c r="E780" s="77" t="s">
        <v>116</v>
      </c>
      <c r="F780" s="75" t="s">
        <v>2023</v>
      </c>
      <c r="G780" s="75" t="s">
        <v>1155</v>
      </c>
      <c r="H780" s="69"/>
    </row>
    <row r="781" spans="1:8" ht="16" x14ac:dyDescent="0.2">
      <c r="A781" s="72"/>
      <c r="B781" s="76"/>
      <c r="C781" s="73"/>
      <c r="D781" s="73" t="s">
        <v>951</v>
      </c>
      <c r="E781" s="77" t="s">
        <v>93</v>
      </c>
      <c r="F781" s="75" t="s">
        <v>2038</v>
      </c>
      <c r="G781" s="87" t="s">
        <v>1158</v>
      </c>
      <c r="H781" s="69"/>
    </row>
    <row r="782" spans="1:8" ht="16" x14ac:dyDescent="0.2">
      <c r="A782" s="72"/>
      <c r="B782" s="76"/>
      <c r="C782" s="73"/>
      <c r="D782" s="73" t="s">
        <v>951</v>
      </c>
      <c r="E782" s="77" t="s">
        <v>93</v>
      </c>
      <c r="F782" s="75" t="s">
        <v>2039</v>
      </c>
      <c r="G782" s="87" t="s">
        <v>1158</v>
      </c>
      <c r="H782" s="69"/>
    </row>
    <row r="783" spans="1:8" ht="16" x14ac:dyDescent="0.2">
      <c r="A783" s="72"/>
      <c r="B783" s="76"/>
      <c r="C783" s="73"/>
      <c r="D783" s="73" t="s">
        <v>951</v>
      </c>
      <c r="E783" s="77" t="s">
        <v>93</v>
      </c>
      <c r="F783" s="75" t="s">
        <v>2040</v>
      </c>
      <c r="G783" s="87" t="s">
        <v>1215</v>
      </c>
      <c r="H783" s="69"/>
    </row>
    <row r="784" spans="1:8" ht="16" x14ac:dyDescent="0.2">
      <c r="A784" s="72"/>
      <c r="B784" s="76"/>
      <c r="C784" s="73"/>
      <c r="D784" s="73" t="s">
        <v>951</v>
      </c>
      <c r="E784" s="77" t="s">
        <v>93</v>
      </c>
      <c r="F784" s="75" t="s">
        <v>2041</v>
      </c>
      <c r="G784" s="87" t="s">
        <v>1215</v>
      </c>
      <c r="H784" s="69"/>
    </row>
    <row r="785" spans="1:8" ht="16" x14ac:dyDescent="0.2">
      <c r="A785" s="72"/>
      <c r="B785" s="76"/>
      <c r="C785" s="73"/>
      <c r="D785" s="73" t="s">
        <v>951</v>
      </c>
      <c r="E785" s="77" t="s">
        <v>93</v>
      </c>
      <c r="F785" s="75" t="s">
        <v>1997</v>
      </c>
      <c r="G785" s="87" t="s">
        <v>1157</v>
      </c>
      <c r="H785" s="69"/>
    </row>
    <row r="786" spans="1:8" ht="16" x14ac:dyDescent="0.2">
      <c r="A786" s="72"/>
      <c r="B786" s="76"/>
      <c r="C786" s="73"/>
      <c r="D786" s="73" t="s">
        <v>951</v>
      </c>
      <c r="E786" s="77" t="s">
        <v>134</v>
      </c>
      <c r="F786" s="75" t="s">
        <v>1997</v>
      </c>
      <c r="G786" s="87" t="s">
        <v>1157</v>
      </c>
      <c r="H786" s="69"/>
    </row>
    <row r="787" spans="1:8" ht="16" x14ac:dyDescent="0.2">
      <c r="A787" s="72"/>
      <c r="B787" s="76"/>
      <c r="C787" s="73"/>
      <c r="D787" s="73" t="s">
        <v>951</v>
      </c>
      <c r="E787" s="77" t="s">
        <v>93</v>
      </c>
      <c r="F787" s="75" t="s">
        <v>279</v>
      </c>
      <c r="G787" s="87" t="s">
        <v>1157</v>
      </c>
      <c r="H787" s="69"/>
    </row>
    <row r="788" spans="1:8" ht="16" x14ac:dyDescent="0.2">
      <c r="A788" s="72"/>
      <c r="B788" s="76"/>
      <c r="C788" s="73"/>
      <c r="D788" s="73" t="s">
        <v>951</v>
      </c>
      <c r="E788" s="77" t="s">
        <v>134</v>
      </c>
      <c r="F788" s="75" t="s">
        <v>279</v>
      </c>
      <c r="G788" s="87" t="s">
        <v>1157</v>
      </c>
      <c r="H788" s="69"/>
    </row>
    <row r="789" spans="1:8" ht="16" x14ac:dyDescent="0.2">
      <c r="A789" s="72"/>
      <c r="B789" s="76"/>
      <c r="C789" s="73"/>
      <c r="D789" s="73" t="s">
        <v>951</v>
      </c>
      <c r="E789" s="77" t="s">
        <v>93</v>
      </c>
      <c r="F789" s="75" t="s">
        <v>2019</v>
      </c>
      <c r="G789" s="87" t="s">
        <v>1157</v>
      </c>
      <c r="H789" s="69"/>
    </row>
    <row r="790" spans="1:8" ht="16" x14ac:dyDescent="0.2">
      <c r="A790" s="72"/>
      <c r="B790" s="76"/>
      <c r="C790" s="73"/>
      <c r="D790" s="73" t="s">
        <v>951</v>
      </c>
      <c r="E790" s="77" t="s">
        <v>134</v>
      </c>
      <c r="F790" s="75" t="s">
        <v>2019</v>
      </c>
      <c r="G790" s="87" t="s">
        <v>1157</v>
      </c>
      <c r="H790" s="69"/>
    </row>
    <row r="791" spans="1:8" ht="16" x14ac:dyDescent="0.2">
      <c r="A791" s="72"/>
      <c r="B791" s="76"/>
      <c r="C791" s="73"/>
      <c r="D791" s="73" t="s">
        <v>951</v>
      </c>
      <c r="E791" s="77" t="s">
        <v>93</v>
      </c>
      <c r="F791" s="75" t="s">
        <v>2020</v>
      </c>
      <c r="G791" s="87" t="s">
        <v>1157</v>
      </c>
      <c r="H791" s="69"/>
    </row>
    <row r="792" spans="1:8" ht="16" x14ac:dyDescent="0.2">
      <c r="A792" s="72"/>
      <c r="B792" s="76"/>
      <c r="C792" s="73"/>
      <c r="D792" s="73" t="s">
        <v>951</v>
      </c>
      <c r="E792" s="77" t="s">
        <v>134</v>
      </c>
      <c r="F792" s="75" t="s">
        <v>2020</v>
      </c>
      <c r="G792" s="87" t="s">
        <v>1157</v>
      </c>
      <c r="H792" s="69"/>
    </row>
    <row r="793" spans="1:8" ht="16" x14ac:dyDescent="0.2">
      <c r="A793" s="72"/>
      <c r="B793" s="76"/>
      <c r="C793" s="73"/>
      <c r="D793" s="73" t="s">
        <v>951</v>
      </c>
      <c r="E793" s="77" t="s">
        <v>93</v>
      </c>
      <c r="F793" s="75" t="s">
        <v>2042</v>
      </c>
      <c r="G793" s="87" t="s">
        <v>1157</v>
      </c>
      <c r="H793" s="69"/>
    </row>
    <row r="794" spans="1:8" ht="16" x14ac:dyDescent="0.2">
      <c r="A794" s="72"/>
      <c r="B794" s="76"/>
      <c r="C794" s="73"/>
      <c r="D794" s="73" t="s">
        <v>951</v>
      </c>
      <c r="E794" s="77" t="s">
        <v>134</v>
      </c>
      <c r="F794" s="75" t="s">
        <v>2042</v>
      </c>
      <c r="G794" s="87" t="s">
        <v>1157</v>
      </c>
      <c r="H794" s="69"/>
    </row>
    <row r="795" spans="1:8" ht="16" x14ac:dyDescent="0.2">
      <c r="A795" s="72"/>
      <c r="B795" s="76"/>
      <c r="C795" s="73"/>
      <c r="D795" s="73" t="s">
        <v>951</v>
      </c>
      <c r="E795" s="77" t="s">
        <v>93</v>
      </c>
      <c r="F795" s="75" t="s">
        <v>2021</v>
      </c>
      <c r="G795" s="87" t="s">
        <v>1157</v>
      </c>
      <c r="H795" s="69"/>
    </row>
    <row r="796" spans="1:8" ht="16" x14ac:dyDescent="0.2">
      <c r="A796" s="72"/>
      <c r="B796" s="76"/>
      <c r="C796" s="73"/>
      <c r="D796" s="73" t="s">
        <v>951</v>
      </c>
      <c r="E796" s="77" t="s">
        <v>134</v>
      </c>
      <c r="F796" s="75" t="s">
        <v>2021</v>
      </c>
      <c r="G796" s="87" t="s">
        <v>1157</v>
      </c>
      <c r="H796" s="69"/>
    </row>
    <row r="797" spans="1:8" ht="16" x14ac:dyDescent="0.2">
      <c r="A797" s="72"/>
      <c r="B797" s="84"/>
      <c r="C797" s="73"/>
      <c r="D797" s="73" t="s">
        <v>951</v>
      </c>
      <c r="E797" s="77" t="s">
        <v>93</v>
      </c>
      <c r="F797" s="75" t="s">
        <v>1997</v>
      </c>
      <c r="G797" s="87" t="s">
        <v>1189</v>
      </c>
      <c r="H797" s="69"/>
    </row>
    <row r="798" spans="1:8" ht="16" x14ac:dyDescent="0.2">
      <c r="A798" s="72"/>
      <c r="B798" s="84"/>
      <c r="C798" s="73"/>
      <c r="D798" s="73" t="s">
        <v>951</v>
      </c>
      <c r="E798" s="77" t="s">
        <v>134</v>
      </c>
      <c r="F798" s="75" t="s">
        <v>1997</v>
      </c>
      <c r="G798" s="87" t="s">
        <v>1189</v>
      </c>
      <c r="H798" s="69"/>
    </row>
    <row r="799" spans="1:8" ht="16" x14ac:dyDescent="0.2">
      <c r="A799" s="72"/>
      <c r="B799" s="84"/>
      <c r="C799" s="73"/>
      <c r="D799" s="73" t="s">
        <v>951</v>
      </c>
      <c r="E799" s="77" t="s">
        <v>93</v>
      </c>
      <c r="F799" s="75" t="s">
        <v>279</v>
      </c>
      <c r="G799" s="87" t="s">
        <v>1189</v>
      </c>
      <c r="H799" s="69"/>
    </row>
    <row r="800" spans="1:8" ht="16" x14ac:dyDescent="0.2">
      <c r="A800" s="72"/>
      <c r="B800" s="84"/>
      <c r="C800" s="73"/>
      <c r="D800" s="73" t="s">
        <v>951</v>
      </c>
      <c r="E800" s="77" t="s">
        <v>134</v>
      </c>
      <c r="F800" s="75" t="s">
        <v>279</v>
      </c>
      <c r="G800" s="87" t="s">
        <v>1189</v>
      </c>
      <c r="H800" s="69"/>
    </row>
    <row r="801" spans="1:8" ht="16" x14ac:dyDescent="0.2">
      <c r="A801" s="72"/>
      <c r="B801" s="84"/>
      <c r="C801" s="73"/>
      <c r="D801" s="73" t="s">
        <v>951</v>
      </c>
      <c r="E801" s="77" t="s">
        <v>93</v>
      </c>
      <c r="F801" s="75" t="s">
        <v>2019</v>
      </c>
      <c r="G801" s="87" t="s">
        <v>1189</v>
      </c>
      <c r="H801" s="69"/>
    </row>
    <row r="802" spans="1:8" ht="16" x14ac:dyDescent="0.2">
      <c r="A802" s="72"/>
      <c r="B802" s="84"/>
      <c r="C802" s="73"/>
      <c r="D802" s="73" t="s">
        <v>951</v>
      </c>
      <c r="E802" s="77" t="s">
        <v>134</v>
      </c>
      <c r="F802" s="75" t="s">
        <v>2019</v>
      </c>
      <c r="G802" s="87" t="s">
        <v>1189</v>
      </c>
      <c r="H802" s="69"/>
    </row>
    <row r="803" spans="1:8" ht="16" x14ac:dyDescent="0.2">
      <c r="A803" s="72"/>
      <c r="B803" s="84"/>
      <c r="C803" s="73"/>
      <c r="D803" s="73" t="s">
        <v>951</v>
      </c>
      <c r="E803" s="77" t="s">
        <v>93</v>
      </c>
      <c r="F803" s="75" t="s">
        <v>2020</v>
      </c>
      <c r="G803" s="87" t="s">
        <v>1189</v>
      </c>
      <c r="H803" s="69"/>
    </row>
    <row r="804" spans="1:8" ht="16" x14ac:dyDescent="0.2">
      <c r="A804" s="72"/>
      <c r="B804" s="84"/>
      <c r="C804" s="73"/>
      <c r="D804" s="73" t="s">
        <v>951</v>
      </c>
      <c r="E804" s="77" t="s">
        <v>134</v>
      </c>
      <c r="F804" s="75" t="s">
        <v>2020</v>
      </c>
      <c r="G804" s="87" t="s">
        <v>1189</v>
      </c>
      <c r="H804" s="69"/>
    </row>
    <row r="805" spans="1:8" ht="16" x14ac:dyDescent="0.2">
      <c r="A805" s="72"/>
      <c r="B805" s="84"/>
      <c r="C805" s="73"/>
      <c r="D805" s="73" t="s">
        <v>951</v>
      </c>
      <c r="E805" s="77" t="s">
        <v>93</v>
      </c>
      <c r="F805" s="75" t="s">
        <v>2042</v>
      </c>
      <c r="G805" s="87" t="s">
        <v>1189</v>
      </c>
      <c r="H805" s="69"/>
    </row>
    <row r="806" spans="1:8" ht="16" x14ac:dyDescent="0.2">
      <c r="A806" s="72"/>
      <c r="B806" s="84"/>
      <c r="C806" s="73"/>
      <c r="D806" s="73" t="s">
        <v>951</v>
      </c>
      <c r="E806" s="77" t="s">
        <v>134</v>
      </c>
      <c r="F806" s="75" t="s">
        <v>2042</v>
      </c>
      <c r="G806" s="87" t="s">
        <v>1189</v>
      </c>
      <c r="H806" s="69"/>
    </row>
    <row r="807" spans="1:8" ht="16" x14ac:dyDescent="0.2">
      <c r="A807" s="72"/>
      <c r="B807" s="84"/>
      <c r="C807" s="73"/>
      <c r="D807" s="73" t="s">
        <v>951</v>
      </c>
      <c r="E807" s="77" t="s">
        <v>93</v>
      </c>
      <c r="F807" s="75" t="s">
        <v>2021</v>
      </c>
      <c r="G807" s="87" t="s">
        <v>1189</v>
      </c>
      <c r="H807" s="69"/>
    </row>
    <row r="808" spans="1:8" ht="16" x14ac:dyDescent="0.2">
      <c r="A808" s="72"/>
      <c r="B808" s="84"/>
      <c r="C808" s="73"/>
      <c r="D808" s="73" t="s">
        <v>951</v>
      </c>
      <c r="E808" s="77" t="s">
        <v>134</v>
      </c>
      <c r="F808" s="75" t="s">
        <v>2021</v>
      </c>
      <c r="G808" s="87" t="s">
        <v>1189</v>
      </c>
      <c r="H808" s="69"/>
    </row>
    <row r="809" spans="1:8" ht="16" x14ac:dyDescent="0.2">
      <c r="A809" s="72"/>
      <c r="B809" s="76"/>
      <c r="C809" s="73"/>
      <c r="D809" s="73" t="s">
        <v>951</v>
      </c>
      <c r="E809" s="77" t="s">
        <v>93</v>
      </c>
      <c r="F809" s="75" t="s">
        <v>1589</v>
      </c>
      <c r="G809" s="87" t="s">
        <v>1208</v>
      </c>
      <c r="H809" s="69"/>
    </row>
    <row r="810" spans="1:8" ht="16" x14ac:dyDescent="0.2">
      <c r="A810" s="72"/>
      <c r="B810" s="76"/>
      <c r="C810" s="73"/>
      <c r="D810" s="73" t="s">
        <v>951</v>
      </c>
      <c r="E810" s="77" t="s">
        <v>93</v>
      </c>
      <c r="F810" s="75" t="s">
        <v>1590</v>
      </c>
      <c r="G810" s="87" t="s">
        <v>1208</v>
      </c>
      <c r="H810" s="69"/>
    </row>
    <row r="811" spans="1:8" ht="16" x14ac:dyDescent="0.2">
      <c r="A811" s="72"/>
      <c r="B811" s="76"/>
      <c r="C811" s="73"/>
      <c r="D811" s="73" t="s">
        <v>951</v>
      </c>
      <c r="E811" s="77" t="s">
        <v>93</v>
      </c>
      <c r="F811" s="75" t="s">
        <v>1591</v>
      </c>
      <c r="G811" s="87" t="s">
        <v>1208</v>
      </c>
      <c r="H811" s="69"/>
    </row>
    <row r="812" spans="1:8" ht="16" x14ac:dyDescent="0.2">
      <c r="A812" s="72"/>
      <c r="B812" s="76"/>
      <c r="C812" s="73"/>
      <c r="D812" s="73" t="s">
        <v>951</v>
      </c>
      <c r="E812" s="77" t="s">
        <v>93</v>
      </c>
      <c r="F812" s="75" t="s">
        <v>1592</v>
      </c>
      <c r="G812" s="87" t="s">
        <v>1208</v>
      </c>
      <c r="H812" s="69"/>
    </row>
    <row r="813" spans="1:8" x14ac:dyDescent="0.2">
      <c r="A813" s="72"/>
      <c r="B813" s="76"/>
      <c r="C813" s="73"/>
      <c r="D813" s="73" t="s">
        <v>951</v>
      </c>
      <c r="E813" s="77" t="s">
        <v>93</v>
      </c>
      <c r="F813" s="75" t="s">
        <v>1593</v>
      </c>
      <c r="G813" s="75" t="s">
        <v>1209</v>
      </c>
      <c r="H813" s="69"/>
    </row>
    <row r="814" spans="1:8" x14ac:dyDescent="0.2">
      <c r="A814" s="72"/>
      <c r="B814" s="76"/>
      <c r="C814" s="73"/>
      <c r="D814" s="73" t="s">
        <v>951</v>
      </c>
      <c r="E814" s="77" t="s">
        <v>93</v>
      </c>
      <c r="F814" s="75" t="s">
        <v>1594</v>
      </c>
      <c r="G814" s="75" t="s">
        <v>1209</v>
      </c>
      <c r="H814" s="69"/>
    </row>
    <row r="815" spans="1:8" x14ac:dyDescent="0.2">
      <c r="A815" s="72"/>
      <c r="B815" s="76"/>
      <c r="C815" s="73"/>
      <c r="D815" s="73" t="s">
        <v>951</v>
      </c>
      <c r="E815" s="77" t="s">
        <v>93</v>
      </c>
      <c r="F815" s="75" t="s">
        <v>1595</v>
      </c>
      <c r="G815" s="75" t="s">
        <v>1209</v>
      </c>
      <c r="H815" s="69"/>
    </row>
    <row r="816" spans="1:8" x14ac:dyDescent="0.2">
      <c r="A816" s="72"/>
      <c r="B816" s="76"/>
      <c r="C816" s="73"/>
      <c r="D816" s="73" t="s">
        <v>951</v>
      </c>
      <c r="E816" s="77" t="s">
        <v>93</v>
      </c>
      <c r="F816" s="75" t="s">
        <v>1596</v>
      </c>
      <c r="G816" s="75" t="s">
        <v>1209</v>
      </c>
      <c r="H816" s="69"/>
    </row>
    <row r="817" spans="1:8" ht="16" x14ac:dyDescent="0.2">
      <c r="A817" s="72"/>
      <c r="B817" s="76"/>
      <c r="C817" s="73"/>
      <c r="D817" s="73" t="s">
        <v>951</v>
      </c>
      <c r="E817" s="77" t="s">
        <v>93</v>
      </c>
      <c r="F817" s="75" t="s">
        <v>1597</v>
      </c>
      <c r="G817" s="87" t="s">
        <v>1216</v>
      </c>
      <c r="H817" s="69"/>
    </row>
    <row r="818" spans="1:8" ht="16" x14ac:dyDescent="0.2">
      <c r="A818" s="72"/>
      <c r="B818" s="76"/>
      <c r="C818" s="73"/>
      <c r="D818" s="73" t="s">
        <v>951</v>
      </c>
      <c r="E818" s="77" t="s">
        <v>93</v>
      </c>
      <c r="F818" s="75" t="s">
        <v>1598</v>
      </c>
      <c r="G818" s="87" t="s">
        <v>1216</v>
      </c>
      <c r="H818" s="69"/>
    </row>
    <row r="819" spans="1:8" ht="16" x14ac:dyDescent="0.2">
      <c r="A819" s="72"/>
      <c r="B819" s="76"/>
      <c r="C819" s="73"/>
      <c r="D819" s="73" t="s">
        <v>951</v>
      </c>
      <c r="E819" s="77" t="s">
        <v>93</v>
      </c>
      <c r="F819" s="75" t="s">
        <v>1599</v>
      </c>
      <c r="G819" s="87" t="s">
        <v>1216</v>
      </c>
      <c r="H819" s="69"/>
    </row>
    <row r="820" spans="1:8" ht="16" x14ac:dyDescent="0.2">
      <c r="A820" s="72"/>
      <c r="B820" s="76"/>
      <c r="C820" s="73"/>
      <c r="D820" s="73" t="s">
        <v>951</v>
      </c>
      <c r="E820" s="77" t="s">
        <v>93</v>
      </c>
      <c r="F820" s="75" t="s">
        <v>1600</v>
      </c>
      <c r="G820" s="87" t="s">
        <v>1216</v>
      </c>
      <c r="H820" s="69"/>
    </row>
    <row r="821" spans="1:8" x14ac:dyDescent="0.2">
      <c r="A821" s="72"/>
      <c r="B821" s="76"/>
      <c r="C821" s="73"/>
      <c r="D821" s="73" t="s">
        <v>951</v>
      </c>
      <c r="E821" s="77" t="s">
        <v>93</v>
      </c>
      <c r="F821" s="75" t="s">
        <v>1601</v>
      </c>
      <c r="G821" s="75" t="s">
        <v>1217</v>
      </c>
      <c r="H821" s="69"/>
    </row>
    <row r="822" spans="1:8" x14ac:dyDescent="0.2">
      <c r="A822" s="72"/>
      <c r="B822" s="76"/>
      <c r="C822" s="73"/>
      <c r="D822" s="73" t="s">
        <v>951</v>
      </c>
      <c r="E822" s="77" t="s">
        <v>93</v>
      </c>
      <c r="F822" s="75" t="s">
        <v>1602</v>
      </c>
      <c r="G822" s="75" t="s">
        <v>1217</v>
      </c>
      <c r="H822" s="69"/>
    </row>
    <row r="823" spans="1:8" x14ac:dyDescent="0.2">
      <c r="A823" s="72"/>
      <c r="B823" s="76"/>
      <c r="C823" s="73"/>
      <c r="D823" s="73" t="s">
        <v>951</v>
      </c>
      <c r="E823" s="77" t="s">
        <v>93</v>
      </c>
      <c r="F823" s="75" t="s">
        <v>1603</v>
      </c>
      <c r="G823" s="75" t="s">
        <v>1217</v>
      </c>
      <c r="H823" s="69"/>
    </row>
    <row r="824" spans="1:8" x14ac:dyDescent="0.2">
      <c r="A824" s="72"/>
      <c r="B824" s="76"/>
      <c r="C824" s="73"/>
      <c r="D824" s="73" t="s">
        <v>951</v>
      </c>
      <c r="E824" s="77" t="s">
        <v>93</v>
      </c>
      <c r="F824" s="75" t="s">
        <v>1604</v>
      </c>
      <c r="G824" s="75" t="s">
        <v>1217</v>
      </c>
      <c r="H824" s="69"/>
    </row>
    <row r="825" spans="1:8" ht="16" x14ac:dyDescent="0.2">
      <c r="A825" s="72"/>
      <c r="B825" s="84"/>
      <c r="C825" s="73"/>
      <c r="D825" s="73" t="s">
        <v>951</v>
      </c>
      <c r="E825" s="77" t="s">
        <v>93</v>
      </c>
      <c r="F825" s="75" t="s">
        <v>387</v>
      </c>
      <c r="G825" s="87" t="s">
        <v>1190</v>
      </c>
      <c r="H825" s="69"/>
    </row>
    <row r="826" spans="1:8" ht="16" x14ac:dyDescent="0.2">
      <c r="A826" s="72"/>
      <c r="B826" s="84"/>
      <c r="C826" s="73"/>
      <c r="D826" s="73" t="s">
        <v>951</v>
      </c>
      <c r="E826" s="77" t="s">
        <v>134</v>
      </c>
      <c r="F826" s="75" t="s">
        <v>387</v>
      </c>
      <c r="G826" s="87" t="s">
        <v>1190</v>
      </c>
      <c r="H826" s="69"/>
    </row>
    <row r="827" spans="1:8" ht="16" x14ac:dyDescent="0.2">
      <c r="A827" s="72"/>
      <c r="B827" s="84"/>
      <c r="C827" s="73"/>
      <c r="D827" s="73" t="s">
        <v>951</v>
      </c>
      <c r="E827" s="77" t="s">
        <v>93</v>
      </c>
      <c r="F827" s="75" t="s">
        <v>1556</v>
      </c>
      <c r="G827" s="87" t="s">
        <v>1190</v>
      </c>
      <c r="H827" s="69"/>
    </row>
    <row r="828" spans="1:8" ht="16" x14ac:dyDescent="0.2">
      <c r="A828" s="72"/>
      <c r="B828" s="84"/>
      <c r="C828" s="73"/>
      <c r="D828" s="73" t="s">
        <v>951</v>
      </c>
      <c r="E828" s="77" t="s">
        <v>134</v>
      </c>
      <c r="F828" s="75" t="s">
        <v>1556</v>
      </c>
      <c r="G828" s="87" t="s">
        <v>1190</v>
      </c>
      <c r="H828" s="69"/>
    </row>
    <row r="829" spans="1:8" ht="16" x14ac:dyDescent="0.2">
      <c r="A829" s="72"/>
      <c r="B829" s="84"/>
      <c r="C829" s="73"/>
      <c r="D829" s="73" t="s">
        <v>951</v>
      </c>
      <c r="E829" s="77" t="s">
        <v>93</v>
      </c>
      <c r="F829" s="75" t="s">
        <v>1557</v>
      </c>
      <c r="G829" s="87" t="s">
        <v>1190</v>
      </c>
      <c r="H829" s="69"/>
    </row>
    <row r="830" spans="1:8" ht="16" x14ac:dyDescent="0.2">
      <c r="A830" s="72"/>
      <c r="B830" s="84"/>
      <c r="C830" s="73"/>
      <c r="D830" s="73" t="s">
        <v>951</v>
      </c>
      <c r="E830" s="77" t="s">
        <v>134</v>
      </c>
      <c r="F830" s="75" t="s">
        <v>1557</v>
      </c>
      <c r="G830" s="87" t="s">
        <v>1190</v>
      </c>
      <c r="H830" s="69"/>
    </row>
    <row r="831" spans="1:8" ht="16" x14ac:dyDescent="0.2">
      <c r="A831" s="72"/>
      <c r="B831" s="84"/>
      <c r="C831" s="73"/>
      <c r="D831" s="73" t="s">
        <v>951</v>
      </c>
      <c r="E831" s="77" t="s">
        <v>93</v>
      </c>
      <c r="F831" s="75" t="s">
        <v>1605</v>
      </c>
      <c r="G831" s="87" t="s">
        <v>1190</v>
      </c>
      <c r="H831" s="69"/>
    </row>
    <row r="832" spans="1:8" ht="16" x14ac:dyDescent="0.2">
      <c r="A832" s="72"/>
      <c r="B832" s="84"/>
      <c r="C832" s="73"/>
      <c r="D832" s="73" t="s">
        <v>951</v>
      </c>
      <c r="E832" s="77" t="s">
        <v>134</v>
      </c>
      <c r="F832" s="75" t="s">
        <v>1605</v>
      </c>
      <c r="G832" s="87" t="s">
        <v>1190</v>
      </c>
      <c r="H832" s="69"/>
    </row>
    <row r="833" spans="1:8" ht="16" x14ac:dyDescent="0.2">
      <c r="A833" s="72"/>
      <c r="B833" s="84"/>
      <c r="C833" s="73"/>
      <c r="D833" s="73" t="s">
        <v>951</v>
      </c>
      <c r="E833" s="77" t="s">
        <v>93</v>
      </c>
      <c r="F833" s="75" t="s">
        <v>1606</v>
      </c>
      <c r="G833" s="87" t="s">
        <v>1190</v>
      </c>
      <c r="H833" s="69"/>
    </row>
    <row r="834" spans="1:8" ht="16" x14ac:dyDescent="0.2">
      <c r="A834" s="72"/>
      <c r="B834" s="84"/>
      <c r="C834" s="73"/>
      <c r="D834" s="73" t="s">
        <v>951</v>
      </c>
      <c r="E834" s="77" t="s">
        <v>134</v>
      </c>
      <c r="F834" s="75" t="s">
        <v>1606</v>
      </c>
      <c r="G834" s="87" t="s">
        <v>1190</v>
      </c>
      <c r="H834" s="69"/>
    </row>
    <row r="835" spans="1:8" ht="16" x14ac:dyDescent="0.2">
      <c r="A835" s="72"/>
      <c r="B835" s="84"/>
      <c r="C835" s="73"/>
      <c r="D835" s="73" t="s">
        <v>951</v>
      </c>
      <c r="E835" s="77" t="s">
        <v>93</v>
      </c>
      <c r="F835" s="75" t="s">
        <v>1558</v>
      </c>
      <c r="G835" s="87" t="s">
        <v>1190</v>
      </c>
      <c r="H835" s="69"/>
    </row>
    <row r="836" spans="1:8" ht="16" x14ac:dyDescent="0.2">
      <c r="A836" s="72"/>
      <c r="B836" s="84"/>
      <c r="C836" s="73"/>
      <c r="D836" s="73" t="s">
        <v>951</v>
      </c>
      <c r="E836" s="77" t="s">
        <v>134</v>
      </c>
      <c r="F836" s="75" t="s">
        <v>1558</v>
      </c>
      <c r="G836" s="87" t="s">
        <v>1190</v>
      </c>
      <c r="H836" s="69"/>
    </row>
    <row r="837" spans="1:8" ht="16" x14ac:dyDescent="0.2">
      <c r="A837" s="72"/>
      <c r="B837" s="84"/>
      <c r="C837" s="73"/>
      <c r="D837" s="73" t="s">
        <v>951</v>
      </c>
      <c r="E837" s="77" t="s">
        <v>93</v>
      </c>
      <c r="F837" s="75" t="s">
        <v>1559</v>
      </c>
      <c r="G837" s="87" t="s">
        <v>1190</v>
      </c>
      <c r="H837" s="69"/>
    </row>
    <row r="838" spans="1:8" ht="16" x14ac:dyDescent="0.2">
      <c r="A838" s="72"/>
      <c r="B838" s="84"/>
      <c r="C838" s="73"/>
      <c r="D838" s="73" t="s">
        <v>951</v>
      </c>
      <c r="E838" s="77" t="s">
        <v>134</v>
      </c>
      <c r="F838" s="75" t="s">
        <v>1559</v>
      </c>
      <c r="G838" s="87" t="s">
        <v>1190</v>
      </c>
      <c r="H838" s="69"/>
    </row>
    <row r="839" spans="1:8" ht="16" x14ac:dyDescent="0.2">
      <c r="A839" s="72"/>
      <c r="B839" s="84"/>
      <c r="C839" s="73"/>
      <c r="D839" s="73" t="s">
        <v>951</v>
      </c>
      <c r="E839" s="77" t="s">
        <v>93</v>
      </c>
      <c r="F839" s="75" t="s">
        <v>1607</v>
      </c>
      <c r="G839" s="87" t="s">
        <v>1190</v>
      </c>
      <c r="H839" s="69"/>
    </row>
    <row r="840" spans="1:8" ht="16" x14ac:dyDescent="0.2">
      <c r="A840" s="72"/>
      <c r="B840" s="84"/>
      <c r="C840" s="73"/>
      <c r="D840" s="73" t="s">
        <v>951</v>
      </c>
      <c r="E840" s="77" t="s">
        <v>134</v>
      </c>
      <c r="F840" s="75" t="s">
        <v>1607</v>
      </c>
      <c r="G840" s="87" t="s">
        <v>1190</v>
      </c>
      <c r="H840" s="69"/>
    </row>
    <row r="841" spans="1:8" ht="16" x14ac:dyDescent="0.2">
      <c r="A841" s="72"/>
      <c r="B841" s="84"/>
      <c r="C841" s="73"/>
      <c r="D841" s="73" t="s">
        <v>951</v>
      </c>
      <c r="E841" s="77" t="s">
        <v>93</v>
      </c>
      <c r="F841" s="75" t="s">
        <v>1560</v>
      </c>
      <c r="G841" s="87" t="s">
        <v>1190</v>
      </c>
      <c r="H841" s="69"/>
    </row>
    <row r="842" spans="1:8" ht="16" x14ac:dyDescent="0.2">
      <c r="A842" s="72"/>
      <c r="B842" s="84"/>
      <c r="C842" s="73"/>
      <c r="D842" s="73" t="s">
        <v>951</v>
      </c>
      <c r="E842" s="77" t="s">
        <v>134</v>
      </c>
      <c r="F842" s="75" t="s">
        <v>1560</v>
      </c>
      <c r="G842" s="87" t="s">
        <v>1190</v>
      </c>
      <c r="H842" s="69"/>
    </row>
    <row r="843" spans="1:8" ht="16" x14ac:dyDescent="0.2">
      <c r="A843" s="72"/>
      <c r="B843" s="84"/>
      <c r="C843" s="73"/>
      <c r="D843" s="73" t="s">
        <v>951</v>
      </c>
      <c r="E843" s="77" t="s">
        <v>93</v>
      </c>
      <c r="F843" s="75" t="s">
        <v>395</v>
      </c>
      <c r="G843" s="87" t="s">
        <v>1190</v>
      </c>
      <c r="H843" s="69"/>
    </row>
    <row r="844" spans="1:8" ht="16" x14ac:dyDescent="0.2">
      <c r="A844" s="72"/>
      <c r="B844" s="84"/>
      <c r="C844" s="73"/>
      <c r="D844" s="73" t="s">
        <v>951</v>
      </c>
      <c r="E844" s="77" t="s">
        <v>134</v>
      </c>
      <c r="F844" s="75" t="s">
        <v>395</v>
      </c>
      <c r="G844" s="87" t="s">
        <v>1190</v>
      </c>
      <c r="H844" s="69"/>
    </row>
    <row r="845" spans="1:8" ht="16" x14ac:dyDescent="0.2">
      <c r="A845" s="72"/>
      <c r="B845" s="84"/>
      <c r="C845" s="73"/>
      <c r="D845" s="73" t="s">
        <v>951</v>
      </c>
      <c r="E845" s="77" t="s">
        <v>93</v>
      </c>
      <c r="F845" s="75" t="s">
        <v>1608</v>
      </c>
      <c r="G845" s="87" t="s">
        <v>1190</v>
      </c>
      <c r="H845" s="69"/>
    </row>
    <row r="846" spans="1:8" ht="16" x14ac:dyDescent="0.2">
      <c r="A846" s="72"/>
      <c r="B846" s="84"/>
      <c r="C846" s="73"/>
      <c r="D846" s="73" t="s">
        <v>951</v>
      </c>
      <c r="E846" s="77" t="s">
        <v>134</v>
      </c>
      <c r="F846" s="75" t="s">
        <v>1608</v>
      </c>
      <c r="G846" s="87" t="s">
        <v>1190</v>
      </c>
      <c r="H846" s="69"/>
    </row>
    <row r="847" spans="1:8" ht="16" x14ac:dyDescent="0.2">
      <c r="A847" s="72"/>
      <c r="B847" s="84"/>
      <c r="C847" s="73"/>
      <c r="D847" s="73" t="s">
        <v>951</v>
      </c>
      <c r="E847" s="77" t="s">
        <v>93</v>
      </c>
      <c r="F847" s="75" t="s">
        <v>399</v>
      </c>
      <c r="G847" s="87" t="s">
        <v>1190</v>
      </c>
      <c r="H847" s="69"/>
    </row>
    <row r="848" spans="1:8" ht="16" x14ac:dyDescent="0.2">
      <c r="A848" s="72"/>
      <c r="B848" s="84"/>
      <c r="C848" s="73"/>
      <c r="D848" s="73" t="s">
        <v>951</v>
      </c>
      <c r="E848" s="77" t="s">
        <v>134</v>
      </c>
      <c r="F848" s="75" t="s">
        <v>399</v>
      </c>
      <c r="G848" s="87" t="s">
        <v>1190</v>
      </c>
      <c r="H848" s="69"/>
    </row>
    <row r="849" spans="1:8" ht="16" x14ac:dyDescent="0.2">
      <c r="A849" s="72"/>
      <c r="B849" s="84"/>
      <c r="C849" s="73"/>
      <c r="D849" s="73" t="s">
        <v>951</v>
      </c>
      <c r="E849" s="77" t="s">
        <v>93</v>
      </c>
      <c r="F849" s="75" t="s">
        <v>1609</v>
      </c>
      <c r="G849" s="87" t="s">
        <v>1190</v>
      </c>
      <c r="H849" s="69"/>
    </row>
    <row r="850" spans="1:8" ht="16" x14ac:dyDescent="0.2">
      <c r="A850" s="72"/>
      <c r="B850" s="84"/>
      <c r="C850" s="73"/>
      <c r="D850" s="73" t="s">
        <v>951</v>
      </c>
      <c r="E850" s="77" t="s">
        <v>134</v>
      </c>
      <c r="F850" s="75" t="s">
        <v>1609</v>
      </c>
      <c r="G850" s="87" t="s">
        <v>1190</v>
      </c>
      <c r="H850" s="69"/>
    </row>
    <row r="851" spans="1:8" x14ac:dyDescent="0.2">
      <c r="A851" s="72"/>
      <c r="B851" s="76"/>
      <c r="C851" s="73"/>
      <c r="D851" s="73" t="s">
        <v>951</v>
      </c>
      <c r="E851" s="77" t="s">
        <v>93</v>
      </c>
      <c r="F851" s="75" t="s">
        <v>387</v>
      </c>
      <c r="G851" s="75" t="s">
        <v>1164</v>
      </c>
      <c r="H851" s="69"/>
    </row>
    <row r="852" spans="1:8" x14ac:dyDescent="0.2">
      <c r="A852" s="72"/>
      <c r="B852" s="76"/>
      <c r="C852" s="73"/>
      <c r="D852" s="73" t="s">
        <v>951</v>
      </c>
      <c r="E852" s="77" t="s">
        <v>134</v>
      </c>
      <c r="F852" s="75" t="s">
        <v>387</v>
      </c>
      <c r="G852" s="75" t="s">
        <v>1164</v>
      </c>
      <c r="H852" s="69"/>
    </row>
    <row r="853" spans="1:8" x14ac:dyDescent="0.2">
      <c r="A853" s="72"/>
      <c r="B853" s="76"/>
      <c r="C853" s="73"/>
      <c r="D853" s="73" t="s">
        <v>951</v>
      </c>
      <c r="E853" s="77" t="s">
        <v>93</v>
      </c>
      <c r="F853" s="75" t="s">
        <v>1556</v>
      </c>
      <c r="G853" s="75" t="s">
        <v>1164</v>
      </c>
      <c r="H853" s="69"/>
    </row>
    <row r="854" spans="1:8" x14ac:dyDescent="0.2">
      <c r="A854" s="72"/>
      <c r="B854" s="76"/>
      <c r="C854" s="73"/>
      <c r="D854" s="73" t="s">
        <v>951</v>
      </c>
      <c r="E854" s="77" t="s">
        <v>134</v>
      </c>
      <c r="F854" s="75" t="s">
        <v>1556</v>
      </c>
      <c r="G854" s="75" t="s">
        <v>1164</v>
      </c>
      <c r="H854" s="69"/>
    </row>
    <row r="855" spans="1:8" x14ac:dyDescent="0.2">
      <c r="A855" s="72"/>
      <c r="B855" s="76"/>
      <c r="C855" s="73"/>
      <c r="D855" s="73" t="s">
        <v>951</v>
      </c>
      <c r="E855" s="77" t="s">
        <v>93</v>
      </c>
      <c r="F855" s="75" t="s">
        <v>1557</v>
      </c>
      <c r="G855" s="75" t="s">
        <v>1164</v>
      </c>
      <c r="H855" s="69"/>
    </row>
    <row r="856" spans="1:8" x14ac:dyDescent="0.2">
      <c r="A856" s="72"/>
      <c r="B856" s="76"/>
      <c r="C856" s="73"/>
      <c r="D856" s="73" t="s">
        <v>951</v>
      </c>
      <c r="E856" s="77" t="s">
        <v>134</v>
      </c>
      <c r="F856" s="75" t="s">
        <v>1557</v>
      </c>
      <c r="G856" s="75" t="s">
        <v>1164</v>
      </c>
      <c r="H856" s="69"/>
    </row>
    <row r="857" spans="1:8" x14ac:dyDescent="0.2">
      <c r="A857" s="72"/>
      <c r="B857" s="76"/>
      <c r="C857" s="73"/>
      <c r="D857" s="73" t="s">
        <v>951</v>
      </c>
      <c r="E857" s="77" t="s">
        <v>93</v>
      </c>
      <c r="F857" s="75" t="s">
        <v>1605</v>
      </c>
      <c r="G857" s="75" t="s">
        <v>1164</v>
      </c>
      <c r="H857" s="69"/>
    </row>
    <row r="858" spans="1:8" x14ac:dyDescent="0.2">
      <c r="A858" s="72"/>
      <c r="B858" s="76"/>
      <c r="C858" s="73"/>
      <c r="D858" s="73" t="s">
        <v>951</v>
      </c>
      <c r="E858" s="77" t="s">
        <v>134</v>
      </c>
      <c r="F858" s="75" t="s">
        <v>1605</v>
      </c>
      <c r="G858" s="75" t="s">
        <v>1164</v>
      </c>
      <c r="H858" s="69"/>
    </row>
    <row r="859" spans="1:8" x14ac:dyDescent="0.2">
      <c r="A859" s="72"/>
      <c r="B859" s="76"/>
      <c r="C859" s="73"/>
      <c r="D859" s="73" t="s">
        <v>951</v>
      </c>
      <c r="E859" s="77" t="s">
        <v>93</v>
      </c>
      <c r="F859" s="75" t="s">
        <v>1606</v>
      </c>
      <c r="G859" s="75" t="s">
        <v>1164</v>
      </c>
      <c r="H859" s="69"/>
    </row>
    <row r="860" spans="1:8" x14ac:dyDescent="0.2">
      <c r="A860" s="72"/>
      <c r="B860" s="76"/>
      <c r="C860" s="73"/>
      <c r="D860" s="73" t="s">
        <v>951</v>
      </c>
      <c r="E860" s="77" t="s">
        <v>134</v>
      </c>
      <c r="F860" s="75" t="s">
        <v>1606</v>
      </c>
      <c r="G860" s="75" t="s">
        <v>1164</v>
      </c>
      <c r="H860" s="69"/>
    </row>
    <row r="861" spans="1:8" x14ac:dyDescent="0.2">
      <c r="A861" s="72"/>
      <c r="B861" s="76"/>
      <c r="C861" s="73"/>
      <c r="D861" s="73" t="s">
        <v>951</v>
      </c>
      <c r="E861" s="77" t="s">
        <v>93</v>
      </c>
      <c r="F861" s="75" t="s">
        <v>1559</v>
      </c>
      <c r="G861" s="75" t="s">
        <v>1164</v>
      </c>
      <c r="H861" s="69"/>
    </row>
    <row r="862" spans="1:8" x14ac:dyDescent="0.2">
      <c r="A862" s="72"/>
      <c r="B862" s="76"/>
      <c r="C862" s="73"/>
      <c r="D862" s="73" t="s">
        <v>951</v>
      </c>
      <c r="E862" s="77" t="s">
        <v>134</v>
      </c>
      <c r="F862" s="75" t="s">
        <v>1559</v>
      </c>
      <c r="G862" s="75" t="s">
        <v>1164</v>
      </c>
      <c r="H862" s="69"/>
    </row>
    <row r="863" spans="1:8" x14ac:dyDescent="0.2">
      <c r="A863" s="72"/>
      <c r="B863" s="76"/>
      <c r="C863" s="73"/>
      <c r="D863" s="73" t="s">
        <v>951</v>
      </c>
      <c r="E863" s="77" t="s">
        <v>93</v>
      </c>
      <c r="F863" s="75" t="s">
        <v>1607</v>
      </c>
      <c r="G863" s="75" t="s">
        <v>1164</v>
      </c>
      <c r="H863" s="69"/>
    </row>
    <row r="864" spans="1:8" x14ac:dyDescent="0.2">
      <c r="A864" s="72"/>
      <c r="B864" s="76"/>
      <c r="C864" s="73"/>
      <c r="D864" s="73" t="s">
        <v>951</v>
      </c>
      <c r="E864" s="77" t="s">
        <v>134</v>
      </c>
      <c r="F864" s="75" t="s">
        <v>1607</v>
      </c>
      <c r="G864" s="75" t="s">
        <v>1164</v>
      </c>
      <c r="H864" s="69"/>
    </row>
    <row r="865" spans="1:8" x14ac:dyDescent="0.2">
      <c r="A865" s="72"/>
      <c r="B865" s="76"/>
      <c r="C865" s="73"/>
      <c r="D865" s="73" t="s">
        <v>951</v>
      </c>
      <c r="E865" s="77" t="s">
        <v>93</v>
      </c>
      <c r="F865" s="75" t="s">
        <v>1560</v>
      </c>
      <c r="G865" s="75" t="s">
        <v>1164</v>
      </c>
      <c r="H865" s="69"/>
    </row>
    <row r="866" spans="1:8" x14ac:dyDescent="0.2">
      <c r="A866" s="72"/>
      <c r="B866" s="76"/>
      <c r="C866" s="73"/>
      <c r="D866" s="73" t="s">
        <v>951</v>
      </c>
      <c r="E866" s="77" t="s">
        <v>134</v>
      </c>
      <c r="F866" s="75" t="s">
        <v>1560</v>
      </c>
      <c r="G866" s="75" t="s">
        <v>1164</v>
      </c>
      <c r="H866" s="69"/>
    </row>
    <row r="867" spans="1:8" x14ac:dyDescent="0.2">
      <c r="A867" s="72"/>
      <c r="B867" s="76"/>
      <c r="C867" s="73"/>
      <c r="D867" s="73" t="s">
        <v>951</v>
      </c>
      <c r="E867" s="77" t="s">
        <v>93</v>
      </c>
      <c r="F867" s="75" t="s">
        <v>395</v>
      </c>
      <c r="G867" s="75" t="s">
        <v>1164</v>
      </c>
      <c r="H867" s="69"/>
    </row>
    <row r="868" spans="1:8" x14ac:dyDescent="0.2">
      <c r="A868" s="72"/>
      <c r="B868" s="76"/>
      <c r="C868" s="73"/>
      <c r="D868" s="73" t="s">
        <v>951</v>
      </c>
      <c r="E868" s="77" t="s">
        <v>134</v>
      </c>
      <c r="F868" s="75" t="s">
        <v>395</v>
      </c>
      <c r="G868" s="75" t="s">
        <v>1164</v>
      </c>
      <c r="H868" s="69"/>
    </row>
    <row r="869" spans="1:8" x14ac:dyDescent="0.2">
      <c r="A869" s="72"/>
      <c r="B869" s="76"/>
      <c r="C869" s="73"/>
      <c r="D869" s="73" t="s">
        <v>951</v>
      </c>
      <c r="E869" s="77" t="s">
        <v>93</v>
      </c>
      <c r="F869" s="75" t="s">
        <v>1608</v>
      </c>
      <c r="G869" s="75" t="s">
        <v>1164</v>
      </c>
      <c r="H869" s="69"/>
    </row>
    <row r="870" spans="1:8" x14ac:dyDescent="0.2">
      <c r="A870" s="72"/>
      <c r="B870" s="76"/>
      <c r="C870" s="73"/>
      <c r="D870" s="73" t="s">
        <v>951</v>
      </c>
      <c r="E870" s="77" t="s">
        <v>134</v>
      </c>
      <c r="F870" s="75" t="s">
        <v>1608</v>
      </c>
      <c r="G870" s="75" t="s">
        <v>1164</v>
      </c>
      <c r="H870" s="69"/>
    </row>
    <row r="871" spans="1:8" x14ac:dyDescent="0.2">
      <c r="A871" s="72"/>
      <c r="B871" s="76"/>
      <c r="C871" s="73"/>
      <c r="D871" s="73" t="s">
        <v>951</v>
      </c>
      <c r="E871" s="77" t="s">
        <v>93</v>
      </c>
      <c r="F871" s="75" t="s">
        <v>399</v>
      </c>
      <c r="G871" s="75" t="s">
        <v>1164</v>
      </c>
      <c r="H871" s="69"/>
    </row>
    <row r="872" spans="1:8" x14ac:dyDescent="0.2">
      <c r="A872" s="72"/>
      <c r="B872" s="76"/>
      <c r="C872" s="73"/>
      <c r="D872" s="73" t="s">
        <v>951</v>
      </c>
      <c r="E872" s="77" t="s">
        <v>134</v>
      </c>
      <c r="F872" s="75" t="s">
        <v>399</v>
      </c>
      <c r="G872" s="75" t="s">
        <v>1164</v>
      </c>
      <c r="H872" s="69"/>
    </row>
    <row r="873" spans="1:8" x14ac:dyDescent="0.2">
      <c r="A873" s="72"/>
      <c r="B873" s="76"/>
      <c r="C873" s="73"/>
      <c r="D873" s="73" t="s">
        <v>951</v>
      </c>
      <c r="E873" s="77" t="s">
        <v>93</v>
      </c>
      <c r="F873" s="75" t="s">
        <v>1609</v>
      </c>
      <c r="G873" s="75" t="s">
        <v>1164</v>
      </c>
      <c r="H873" s="69"/>
    </row>
    <row r="874" spans="1:8" x14ac:dyDescent="0.2">
      <c r="A874" s="72"/>
      <c r="B874" s="76"/>
      <c r="C874" s="73"/>
      <c r="D874" s="73" t="s">
        <v>951</v>
      </c>
      <c r="E874" s="77" t="s">
        <v>134</v>
      </c>
      <c r="F874" s="75" t="s">
        <v>1609</v>
      </c>
      <c r="G874" s="75" t="s">
        <v>1164</v>
      </c>
      <c r="H874" s="69"/>
    </row>
    <row r="875" spans="1:8" x14ac:dyDescent="0.2">
      <c r="A875" s="72"/>
      <c r="B875" s="76"/>
      <c r="C875" s="73"/>
      <c r="D875" s="73" t="s">
        <v>951</v>
      </c>
      <c r="E875" s="77" t="s">
        <v>116</v>
      </c>
      <c r="F875" s="75" t="s">
        <v>387</v>
      </c>
      <c r="G875" s="75" t="s">
        <v>1165</v>
      </c>
      <c r="H875" s="69"/>
    </row>
    <row r="876" spans="1:8" x14ac:dyDescent="0.2">
      <c r="A876" s="72"/>
      <c r="B876" s="76"/>
      <c r="C876" s="73"/>
      <c r="D876" s="73" t="s">
        <v>951</v>
      </c>
      <c r="E876" s="77" t="s">
        <v>116</v>
      </c>
      <c r="F876" s="75" t="s">
        <v>1556</v>
      </c>
      <c r="G876" s="75" t="s">
        <v>1165</v>
      </c>
      <c r="H876" s="69"/>
    </row>
    <row r="877" spans="1:8" x14ac:dyDescent="0.2">
      <c r="A877" s="72"/>
      <c r="B877" s="76"/>
      <c r="C877" s="73"/>
      <c r="D877" s="73" t="s">
        <v>951</v>
      </c>
      <c r="E877" s="77" t="s">
        <v>116</v>
      </c>
      <c r="F877" s="75" t="s">
        <v>1557</v>
      </c>
      <c r="G877" s="75" t="s">
        <v>1165</v>
      </c>
      <c r="H877" s="69"/>
    </row>
    <row r="878" spans="1:8" x14ac:dyDescent="0.2">
      <c r="A878" s="72"/>
      <c r="B878" s="76"/>
      <c r="C878" s="73"/>
      <c r="D878" s="73" t="s">
        <v>951</v>
      </c>
      <c r="E878" s="77" t="s">
        <v>116</v>
      </c>
      <c r="F878" s="75" t="s">
        <v>1605</v>
      </c>
      <c r="G878" s="75" t="s">
        <v>1165</v>
      </c>
      <c r="H878" s="69"/>
    </row>
    <row r="879" spans="1:8" x14ac:dyDescent="0.2">
      <c r="A879" s="72"/>
      <c r="B879" s="76"/>
      <c r="C879" s="73"/>
      <c r="D879" s="73" t="s">
        <v>951</v>
      </c>
      <c r="E879" s="77" t="s">
        <v>116</v>
      </c>
      <c r="F879" s="75" t="s">
        <v>1606</v>
      </c>
      <c r="G879" s="75" t="s">
        <v>1165</v>
      </c>
      <c r="H879" s="69"/>
    </row>
    <row r="880" spans="1:8" x14ac:dyDescent="0.2">
      <c r="A880" s="72"/>
      <c r="B880" s="76"/>
      <c r="C880" s="73"/>
      <c r="D880" s="73" t="s">
        <v>951</v>
      </c>
      <c r="E880" s="77" t="s">
        <v>116</v>
      </c>
      <c r="F880" s="75" t="s">
        <v>1559</v>
      </c>
      <c r="G880" s="75" t="s">
        <v>1165</v>
      </c>
      <c r="H880" s="69"/>
    </row>
    <row r="881" spans="1:8" x14ac:dyDescent="0.2">
      <c r="A881" s="72"/>
      <c r="B881" s="76"/>
      <c r="C881" s="73"/>
      <c r="D881" s="73" t="s">
        <v>951</v>
      </c>
      <c r="E881" s="77" t="s">
        <v>116</v>
      </c>
      <c r="F881" s="75" t="s">
        <v>1607</v>
      </c>
      <c r="G881" s="75" t="s">
        <v>1165</v>
      </c>
      <c r="H881" s="69"/>
    </row>
    <row r="882" spans="1:8" x14ac:dyDescent="0.2">
      <c r="A882" s="72"/>
      <c r="B882" s="76"/>
      <c r="C882" s="73"/>
      <c r="D882" s="73" t="s">
        <v>951</v>
      </c>
      <c r="E882" s="77" t="s">
        <v>116</v>
      </c>
      <c r="F882" s="75" t="s">
        <v>1560</v>
      </c>
      <c r="G882" s="75" t="s">
        <v>1165</v>
      </c>
      <c r="H882" s="69"/>
    </row>
    <row r="883" spans="1:8" x14ac:dyDescent="0.2">
      <c r="A883" s="72"/>
      <c r="B883" s="76"/>
      <c r="C883" s="73"/>
      <c r="D883" s="73" t="s">
        <v>951</v>
      </c>
      <c r="E883" s="77" t="s">
        <v>116</v>
      </c>
      <c r="F883" s="75" t="s">
        <v>395</v>
      </c>
      <c r="G883" s="75" t="s">
        <v>1165</v>
      </c>
      <c r="H883" s="69"/>
    </row>
    <row r="884" spans="1:8" x14ac:dyDescent="0.2">
      <c r="A884" s="72"/>
      <c r="B884" s="76"/>
      <c r="C884" s="73"/>
      <c r="D884" s="73" t="s">
        <v>951</v>
      </c>
      <c r="E884" s="77" t="s">
        <v>116</v>
      </c>
      <c r="F884" s="75" t="s">
        <v>1608</v>
      </c>
      <c r="G884" s="75" t="s">
        <v>1165</v>
      </c>
      <c r="H884" s="69"/>
    </row>
    <row r="885" spans="1:8" x14ac:dyDescent="0.2">
      <c r="A885" s="72"/>
      <c r="B885" s="76"/>
      <c r="C885" s="73"/>
      <c r="D885" s="73" t="s">
        <v>951</v>
      </c>
      <c r="E885" s="77" t="s">
        <v>116</v>
      </c>
      <c r="F885" s="75" t="s">
        <v>399</v>
      </c>
      <c r="G885" s="75" t="s">
        <v>1165</v>
      </c>
      <c r="H885" s="69"/>
    </row>
    <row r="886" spans="1:8" x14ac:dyDescent="0.2">
      <c r="A886" s="72"/>
      <c r="B886" s="76"/>
      <c r="C886" s="73"/>
      <c r="D886" s="73" t="s">
        <v>951</v>
      </c>
      <c r="E886" s="77" t="s">
        <v>116</v>
      </c>
      <c r="F886" s="75" t="s">
        <v>1609</v>
      </c>
      <c r="G886" s="75" t="s">
        <v>1165</v>
      </c>
      <c r="H886" s="69"/>
    </row>
    <row r="887" spans="1:8" ht="16" x14ac:dyDescent="0.2">
      <c r="A887" s="72"/>
      <c r="B887" s="84"/>
      <c r="C887" s="73"/>
      <c r="D887" s="73" t="s">
        <v>951</v>
      </c>
      <c r="E887" s="77" t="s">
        <v>93</v>
      </c>
      <c r="F887" s="75" t="s">
        <v>1561</v>
      </c>
      <c r="G887" s="87" t="s">
        <v>589</v>
      </c>
      <c r="H887" s="69"/>
    </row>
    <row r="888" spans="1:8" ht="16" x14ac:dyDescent="0.2">
      <c r="A888" s="72"/>
      <c r="B888" s="84"/>
      <c r="C888" s="73"/>
      <c r="D888" s="73" t="s">
        <v>951</v>
      </c>
      <c r="E888" s="77" t="s">
        <v>93</v>
      </c>
      <c r="F888" s="75" t="s">
        <v>1562</v>
      </c>
      <c r="G888" s="87" t="s">
        <v>589</v>
      </c>
      <c r="H888" s="69"/>
    </row>
    <row r="889" spans="1:8" ht="16" x14ac:dyDescent="0.2">
      <c r="A889" s="72"/>
      <c r="B889" s="84"/>
      <c r="C889" s="73"/>
      <c r="D889" s="73" t="s">
        <v>951</v>
      </c>
      <c r="E889" s="77" t="s">
        <v>93</v>
      </c>
      <c r="F889" s="75" t="s">
        <v>1563</v>
      </c>
      <c r="G889" s="87" t="s">
        <v>589</v>
      </c>
      <c r="H889" s="69"/>
    </row>
    <row r="890" spans="1:8" ht="16" x14ac:dyDescent="0.2">
      <c r="A890" s="72"/>
      <c r="B890" s="84"/>
      <c r="C890" s="73"/>
      <c r="D890" s="73" t="s">
        <v>951</v>
      </c>
      <c r="E890" s="77" t="s">
        <v>93</v>
      </c>
      <c r="F890" s="75" t="s">
        <v>1564</v>
      </c>
      <c r="G890" s="87" t="s">
        <v>589</v>
      </c>
      <c r="H890" s="69"/>
    </row>
    <row r="891" spans="1:8" ht="16" x14ac:dyDescent="0.2">
      <c r="A891" s="72"/>
      <c r="B891" s="84"/>
      <c r="C891" s="73"/>
      <c r="D891" s="73" t="s">
        <v>951</v>
      </c>
      <c r="E891" s="77" t="s">
        <v>93</v>
      </c>
      <c r="F891" s="75" t="s">
        <v>1565</v>
      </c>
      <c r="G891" s="87" t="s">
        <v>589</v>
      </c>
      <c r="H891" s="69"/>
    </row>
    <row r="892" spans="1:8" ht="16" x14ac:dyDescent="0.2">
      <c r="A892" s="72"/>
      <c r="B892" s="84"/>
      <c r="C892" s="73"/>
      <c r="D892" s="73" t="s">
        <v>951</v>
      </c>
      <c r="E892" s="77" t="s">
        <v>93</v>
      </c>
      <c r="F892" s="75" t="s">
        <v>1566</v>
      </c>
      <c r="G892" s="87" t="s">
        <v>589</v>
      </c>
      <c r="H892" s="69"/>
    </row>
    <row r="893" spans="1:8" ht="16" x14ac:dyDescent="0.2">
      <c r="A893" s="72"/>
      <c r="B893" s="84"/>
      <c r="C893" s="73"/>
      <c r="D893" s="73" t="s">
        <v>951</v>
      </c>
      <c r="E893" s="77" t="s">
        <v>93</v>
      </c>
      <c r="F893" s="75" t="s">
        <v>1610</v>
      </c>
      <c r="G893" s="87" t="s">
        <v>589</v>
      </c>
      <c r="H893" s="69"/>
    </row>
    <row r="894" spans="1:8" ht="16" x14ac:dyDescent="0.2">
      <c r="A894" s="72"/>
      <c r="B894" s="84"/>
      <c r="C894" s="73"/>
      <c r="D894" s="73" t="s">
        <v>951</v>
      </c>
      <c r="E894" s="77" t="s">
        <v>93</v>
      </c>
      <c r="F894" s="75" t="s">
        <v>1611</v>
      </c>
      <c r="G894" s="87" t="s">
        <v>589</v>
      </c>
      <c r="H894" s="69"/>
    </row>
    <row r="895" spans="1:8" ht="16" x14ac:dyDescent="0.2">
      <c r="A895" s="72"/>
      <c r="B895" s="84"/>
      <c r="C895" s="73"/>
      <c r="D895" s="73" t="s">
        <v>951</v>
      </c>
      <c r="E895" s="77" t="s">
        <v>93</v>
      </c>
      <c r="F895" s="75" t="s">
        <v>1612</v>
      </c>
      <c r="G895" s="87" t="s">
        <v>589</v>
      </c>
      <c r="H895" s="69"/>
    </row>
    <row r="896" spans="1:8" ht="16" x14ac:dyDescent="0.2">
      <c r="A896" s="72"/>
      <c r="B896" s="84"/>
      <c r="C896" s="73"/>
      <c r="D896" s="73" t="s">
        <v>951</v>
      </c>
      <c r="E896" s="77" t="s">
        <v>93</v>
      </c>
      <c r="F896" s="75" t="s">
        <v>1613</v>
      </c>
      <c r="G896" s="87" t="s">
        <v>589</v>
      </c>
      <c r="H896" s="69"/>
    </row>
    <row r="897" spans="1:8" ht="16" x14ac:dyDescent="0.2">
      <c r="A897" s="72"/>
      <c r="B897" s="84"/>
      <c r="C897" s="73"/>
      <c r="D897" s="73" t="s">
        <v>951</v>
      </c>
      <c r="E897" s="77" t="s">
        <v>93</v>
      </c>
      <c r="F897" s="75" t="s">
        <v>1614</v>
      </c>
      <c r="G897" s="87" t="s">
        <v>589</v>
      </c>
      <c r="H897" s="69"/>
    </row>
    <row r="898" spans="1:8" ht="16" x14ac:dyDescent="0.2">
      <c r="A898" s="72"/>
      <c r="B898" s="84"/>
      <c r="C898" s="73"/>
      <c r="D898" s="73" t="s">
        <v>951</v>
      </c>
      <c r="E898" s="77" t="s">
        <v>93</v>
      </c>
      <c r="F898" s="75" t="s">
        <v>1615</v>
      </c>
      <c r="G898" s="87" t="s">
        <v>589</v>
      </c>
      <c r="H898" s="69"/>
    </row>
    <row r="899" spans="1:8" x14ac:dyDescent="0.2">
      <c r="A899" s="72"/>
      <c r="B899" s="76"/>
      <c r="C899" s="73"/>
      <c r="D899" s="73" t="s">
        <v>951</v>
      </c>
      <c r="E899" s="77" t="s">
        <v>93</v>
      </c>
      <c r="F899" s="75" t="s">
        <v>1561</v>
      </c>
      <c r="G899" s="75" t="s">
        <v>1167</v>
      </c>
      <c r="H899" s="69"/>
    </row>
    <row r="900" spans="1:8" x14ac:dyDescent="0.2">
      <c r="A900" s="72"/>
      <c r="B900" s="76"/>
      <c r="C900" s="73"/>
      <c r="D900" s="73" t="s">
        <v>951</v>
      </c>
      <c r="E900" s="77" t="s">
        <v>93</v>
      </c>
      <c r="F900" s="75" t="s">
        <v>1562</v>
      </c>
      <c r="G900" s="75" t="s">
        <v>1167</v>
      </c>
      <c r="H900" s="69"/>
    </row>
    <row r="901" spans="1:8" x14ac:dyDescent="0.2">
      <c r="A901" s="72"/>
      <c r="B901" s="76"/>
      <c r="C901" s="73"/>
      <c r="D901" s="73" t="s">
        <v>951</v>
      </c>
      <c r="E901" s="77" t="s">
        <v>93</v>
      </c>
      <c r="F901" s="75" t="s">
        <v>1563</v>
      </c>
      <c r="G901" s="75" t="s">
        <v>1167</v>
      </c>
      <c r="H901" s="69"/>
    </row>
    <row r="902" spans="1:8" x14ac:dyDescent="0.2">
      <c r="A902" s="72"/>
      <c r="B902" s="76"/>
      <c r="C902" s="73"/>
      <c r="D902" s="73" t="s">
        <v>951</v>
      </c>
      <c r="E902" s="77" t="s">
        <v>93</v>
      </c>
      <c r="F902" s="75" t="s">
        <v>1564</v>
      </c>
      <c r="G902" s="75" t="s">
        <v>1167</v>
      </c>
      <c r="H902" s="69"/>
    </row>
    <row r="903" spans="1:8" x14ac:dyDescent="0.2">
      <c r="A903" s="72"/>
      <c r="B903" s="76"/>
      <c r="C903" s="73"/>
      <c r="D903" s="73" t="s">
        <v>951</v>
      </c>
      <c r="E903" s="77" t="s">
        <v>93</v>
      </c>
      <c r="F903" s="75" t="s">
        <v>1565</v>
      </c>
      <c r="G903" s="75" t="s">
        <v>1167</v>
      </c>
      <c r="H903" s="69"/>
    </row>
    <row r="904" spans="1:8" x14ac:dyDescent="0.2">
      <c r="A904" s="72"/>
      <c r="B904" s="76"/>
      <c r="C904" s="73"/>
      <c r="D904" s="73" t="s">
        <v>951</v>
      </c>
      <c r="E904" s="77" t="s">
        <v>93</v>
      </c>
      <c r="F904" s="75" t="s">
        <v>1566</v>
      </c>
      <c r="G904" s="75" t="s">
        <v>1167</v>
      </c>
      <c r="H904" s="69"/>
    </row>
    <row r="905" spans="1:8" x14ac:dyDescent="0.2">
      <c r="A905" s="72"/>
      <c r="B905" s="76"/>
      <c r="C905" s="73"/>
      <c r="D905" s="73" t="s">
        <v>951</v>
      </c>
      <c r="E905" s="77" t="s">
        <v>93</v>
      </c>
      <c r="F905" s="75" t="s">
        <v>1611</v>
      </c>
      <c r="G905" s="75" t="s">
        <v>1167</v>
      </c>
      <c r="H905" s="69"/>
    </row>
    <row r="906" spans="1:8" x14ac:dyDescent="0.2">
      <c r="A906" s="72"/>
      <c r="B906" s="76"/>
      <c r="C906" s="73"/>
      <c r="D906" s="73" t="s">
        <v>951</v>
      </c>
      <c r="E906" s="77" t="s">
        <v>93</v>
      </c>
      <c r="F906" s="75" t="s">
        <v>1612</v>
      </c>
      <c r="G906" s="75" t="s">
        <v>1167</v>
      </c>
      <c r="H906" s="69"/>
    </row>
    <row r="907" spans="1:8" x14ac:dyDescent="0.2">
      <c r="A907" s="72"/>
      <c r="B907" s="76"/>
      <c r="C907" s="73"/>
      <c r="D907" s="73" t="s">
        <v>951</v>
      </c>
      <c r="E907" s="77" t="s">
        <v>93</v>
      </c>
      <c r="F907" s="75" t="s">
        <v>1613</v>
      </c>
      <c r="G907" s="75" t="s">
        <v>1167</v>
      </c>
      <c r="H907" s="69"/>
    </row>
    <row r="908" spans="1:8" x14ac:dyDescent="0.2">
      <c r="A908" s="72"/>
      <c r="B908" s="76"/>
      <c r="C908" s="73"/>
      <c r="D908" s="73" t="s">
        <v>951</v>
      </c>
      <c r="E908" s="77" t="s">
        <v>93</v>
      </c>
      <c r="F908" s="75" t="s">
        <v>1614</v>
      </c>
      <c r="G908" s="75" t="s">
        <v>1167</v>
      </c>
      <c r="H908" s="69"/>
    </row>
    <row r="909" spans="1:8" x14ac:dyDescent="0.2">
      <c r="A909" s="72"/>
      <c r="B909" s="76"/>
      <c r="C909" s="73"/>
      <c r="D909" s="73" t="s">
        <v>951</v>
      </c>
      <c r="E909" s="77" t="s">
        <v>93</v>
      </c>
      <c r="F909" s="75" t="s">
        <v>1615</v>
      </c>
      <c r="G909" s="75" t="s">
        <v>1167</v>
      </c>
      <c r="H909" s="69"/>
    </row>
    <row r="910" spans="1:8" x14ac:dyDescent="0.2">
      <c r="A910" s="72"/>
      <c r="B910" s="76"/>
      <c r="C910" s="73"/>
      <c r="D910" s="73" t="s">
        <v>951</v>
      </c>
      <c r="E910" s="77" t="s">
        <v>109</v>
      </c>
      <c r="F910" s="75" t="s">
        <v>1561</v>
      </c>
      <c r="G910" s="75" t="s">
        <v>1166</v>
      </c>
      <c r="H910" s="69"/>
    </row>
    <row r="911" spans="1:8" x14ac:dyDescent="0.2">
      <c r="A911" s="72"/>
      <c r="B911" s="76"/>
      <c r="C911" s="73"/>
      <c r="D911" s="73" t="s">
        <v>951</v>
      </c>
      <c r="E911" s="77" t="s">
        <v>109</v>
      </c>
      <c r="F911" s="75" t="s">
        <v>1562</v>
      </c>
      <c r="G911" s="75" t="s">
        <v>1166</v>
      </c>
      <c r="H911" s="69"/>
    </row>
    <row r="912" spans="1:8" x14ac:dyDescent="0.2">
      <c r="A912" s="72"/>
      <c r="B912" s="76"/>
      <c r="C912" s="73"/>
      <c r="D912" s="73" t="s">
        <v>951</v>
      </c>
      <c r="E912" s="77" t="s">
        <v>109</v>
      </c>
      <c r="F912" s="75" t="s">
        <v>1563</v>
      </c>
      <c r="G912" s="75" t="s">
        <v>1166</v>
      </c>
      <c r="H912" s="69"/>
    </row>
    <row r="913" spans="1:8" x14ac:dyDescent="0.2">
      <c r="A913" s="72"/>
      <c r="B913" s="76"/>
      <c r="C913" s="73"/>
      <c r="D913" s="73" t="s">
        <v>951</v>
      </c>
      <c r="E913" s="77" t="s">
        <v>109</v>
      </c>
      <c r="F913" s="75" t="s">
        <v>1564</v>
      </c>
      <c r="G913" s="75" t="s">
        <v>1166</v>
      </c>
      <c r="H913" s="69"/>
    </row>
    <row r="914" spans="1:8" x14ac:dyDescent="0.2">
      <c r="A914" s="72"/>
      <c r="B914" s="76"/>
      <c r="C914" s="73"/>
      <c r="D914" s="73" t="s">
        <v>951</v>
      </c>
      <c r="E914" s="77" t="s">
        <v>109</v>
      </c>
      <c r="F914" s="75" t="s">
        <v>1565</v>
      </c>
      <c r="G914" s="75" t="s">
        <v>1166</v>
      </c>
      <c r="H914" s="69"/>
    </row>
    <row r="915" spans="1:8" x14ac:dyDescent="0.2">
      <c r="A915" s="72"/>
      <c r="B915" s="76"/>
      <c r="C915" s="73"/>
      <c r="D915" s="73" t="s">
        <v>951</v>
      </c>
      <c r="E915" s="77" t="s">
        <v>109</v>
      </c>
      <c r="F915" s="75" t="s">
        <v>1566</v>
      </c>
      <c r="G915" s="75" t="s">
        <v>1166</v>
      </c>
      <c r="H915" s="69"/>
    </row>
    <row r="916" spans="1:8" x14ac:dyDescent="0.2">
      <c r="A916" s="72"/>
      <c r="B916" s="76"/>
      <c r="C916" s="73"/>
      <c r="D916" s="73" t="s">
        <v>951</v>
      </c>
      <c r="E916" s="77" t="s">
        <v>109</v>
      </c>
      <c r="F916" s="75" t="s">
        <v>1611</v>
      </c>
      <c r="G916" s="75" t="s">
        <v>1166</v>
      </c>
      <c r="H916" s="69"/>
    </row>
    <row r="917" spans="1:8" x14ac:dyDescent="0.2">
      <c r="A917" s="72"/>
      <c r="B917" s="76"/>
      <c r="C917" s="73"/>
      <c r="D917" s="73" t="s">
        <v>951</v>
      </c>
      <c r="E917" s="77" t="s">
        <v>109</v>
      </c>
      <c r="F917" s="75" t="s">
        <v>1612</v>
      </c>
      <c r="G917" s="75" t="s">
        <v>1166</v>
      </c>
      <c r="H917" s="69"/>
    </row>
    <row r="918" spans="1:8" x14ac:dyDescent="0.2">
      <c r="A918" s="72"/>
      <c r="B918" s="76"/>
      <c r="C918" s="73"/>
      <c r="D918" s="73" t="s">
        <v>951</v>
      </c>
      <c r="E918" s="77" t="s">
        <v>109</v>
      </c>
      <c r="F918" s="75" t="s">
        <v>1613</v>
      </c>
      <c r="G918" s="75" t="s">
        <v>1166</v>
      </c>
      <c r="H918" s="69"/>
    </row>
    <row r="919" spans="1:8" x14ac:dyDescent="0.2">
      <c r="A919" s="72"/>
      <c r="B919" s="76"/>
      <c r="C919" s="73"/>
      <c r="D919" s="73" t="s">
        <v>951</v>
      </c>
      <c r="E919" s="77" t="s">
        <v>109</v>
      </c>
      <c r="F919" s="75" t="s">
        <v>1614</v>
      </c>
      <c r="G919" s="75" t="s">
        <v>1166</v>
      </c>
      <c r="H919" s="69"/>
    </row>
    <row r="920" spans="1:8" x14ac:dyDescent="0.2">
      <c r="A920" s="72"/>
      <c r="B920" s="76"/>
      <c r="C920" s="73"/>
      <c r="D920" s="73" t="s">
        <v>951</v>
      </c>
      <c r="E920" s="77" t="s">
        <v>109</v>
      </c>
      <c r="F920" s="75" t="s">
        <v>1615</v>
      </c>
      <c r="G920" s="75" t="s">
        <v>1166</v>
      </c>
      <c r="H920" s="69"/>
    </row>
    <row r="921" spans="1:8" x14ac:dyDescent="0.2">
      <c r="A921" s="72"/>
      <c r="B921" s="76"/>
      <c r="C921" s="73"/>
      <c r="D921" s="73" t="s">
        <v>951</v>
      </c>
      <c r="E921" s="77" t="s">
        <v>93</v>
      </c>
      <c r="F921" s="75" t="s">
        <v>391</v>
      </c>
      <c r="G921" s="75" t="s">
        <v>1168</v>
      </c>
      <c r="H921" s="69"/>
    </row>
    <row r="922" spans="1:8" x14ac:dyDescent="0.2">
      <c r="A922" s="72"/>
      <c r="B922" s="76"/>
      <c r="C922" s="73"/>
      <c r="D922" s="73" t="s">
        <v>951</v>
      </c>
      <c r="E922" s="77" t="s">
        <v>93</v>
      </c>
      <c r="F922" s="75" t="s">
        <v>1567</v>
      </c>
      <c r="G922" s="75" t="s">
        <v>1168</v>
      </c>
      <c r="H922" s="69"/>
    </row>
    <row r="923" spans="1:8" x14ac:dyDescent="0.2">
      <c r="A923" s="72"/>
      <c r="B923" s="76"/>
      <c r="C923" s="73"/>
      <c r="D923" s="73" t="s">
        <v>951</v>
      </c>
      <c r="E923" s="77" t="s">
        <v>93</v>
      </c>
      <c r="F923" s="75" t="s">
        <v>1568</v>
      </c>
      <c r="G923" s="75" t="s">
        <v>1168</v>
      </c>
      <c r="H923" s="69"/>
    </row>
    <row r="924" spans="1:8" x14ac:dyDescent="0.2">
      <c r="A924" s="72"/>
      <c r="B924" s="76"/>
      <c r="C924" s="73"/>
      <c r="D924" s="73" t="s">
        <v>951</v>
      </c>
      <c r="E924" s="77" t="s">
        <v>93</v>
      </c>
      <c r="F924" s="75" t="s">
        <v>1569</v>
      </c>
      <c r="G924" s="75" t="s">
        <v>1168</v>
      </c>
      <c r="H924" s="69"/>
    </row>
    <row r="925" spans="1:8" x14ac:dyDescent="0.2">
      <c r="A925" s="72"/>
      <c r="B925" s="76"/>
      <c r="C925" s="73"/>
      <c r="D925" s="73" t="s">
        <v>951</v>
      </c>
      <c r="E925" s="77" t="s">
        <v>93</v>
      </c>
      <c r="F925" s="75" t="s">
        <v>1570</v>
      </c>
      <c r="G925" s="75" t="s">
        <v>1168</v>
      </c>
      <c r="H925" s="69"/>
    </row>
    <row r="926" spans="1:8" x14ac:dyDescent="0.2">
      <c r="A926" s="72"/>
      <c r="B926" s="76"/>
      <c r="C926" s="73"/>
      <c r="D926" s="73" t="s">
        <v>951</v>
      </c>
      <c r="E926" s="77" t="s">
        <v>93</v>
      </c>
      <c r="F926" s="75" t="s">
        <v>1572</v>
      </c>
      <c r="G926" s="75" t="s">
        <v>1168</v>
      </c>
      <c r="H926" s="69"/>
    </row>
    <row r="927" spans="1:8" x14ac:dyDescent="0.2">
      <c r="A927" s="72"/>
      <c r="B927" s="76"/>
      <c r="C927" s="73"/>
      <c r="D927" s="73" t="s">
        <v>951</v>
      </c>
      <c r="E927" s="77" t="s">
        <v>93</v>
      </c>
      <c r="F927" s="75" t="s">
        <v>1573</v>
      </c>
      <c r="G927" s="75" t="s">
        <v>1168</v>
      </c>
      <c r="H927" s="69"/>
    </row>
    <row r="928" spans="1:8" x14ac:dyDescent="0.2">
      <c r="A928" s="72"/>
      <c r="B928" s="76"/>
      <c r="C928" s="73"/>
      <c r="D928" s="73" t="s">
        <v>951</v>
      </c>
      <c r="E928" s="77" t="s">
        <v>93</v>
      </c>
      <c r="F928" s="75" t="s">
        <v>1616</v>
      </c>
      <c r="G928" s="75" t="s">
        <v>1168</v>
      </c>
      <c r="H928" s="69"/>
    </row>
    <row r="929" spans="1:8" x14ac:dyDescent="0.2">
      <c r="A929" s="72"/>
      <c r="B929" s="76"/>
      <c r="C929" s="73"/>
      <c r="D929" s="73" t="s">
        <v>951</v>
      </c>
      <c r="E929" s="77" t="s">
        <v>93</v>
      </c>
      <c r="F929" s="75" t="s">
        <v>1617</v>
      </c>
      <c r="G929" s="75" t="s">
        <v>1168</v>
      </c>
      <c r="H929" s="69"/>
    </row>
    <row r="930" spans="1:8" x14ac:dyDescent="0.2">
      <c r="A930" s="72"/>
      <c r="B930" s="76"/>
      <c r="C930" s="73"/>
      <c r="D930" s="73" t="s">
        <v>951</v>
      </c>
      <c r="E930" s="77" t="s">
        <v>93</v>
      </c>
      <c r="F930" s="75" t="s">
        <v>1618</v>
      </c>
      <c r="G930" s="75" t="s">
        <v>1168</v>
      </c>
      <c r="H930" s="69"/>
    </row>
    <row r="931" spans="1:8" x14ac:dyDescent="0.2">
      <c r="A931" s="72"/>
      <c r="B931" s="76"/>
      <c r="C931" s="73"/>
      <c r="D931" s="73" t="s">
        <v>951</v>
      </c>
      <c r="E931" s="77" t="s">
        <v>93</v>
      </c>
      <c r="F931" s="75" t="s">
        <v>1619</v>
      </c>
      <c r="G931" s="75" t="s">
        <v>1168</v>
      </c>
      <c r="H931" s="69"/>
    </row>
    <row r="932" spans="1:8" x14ac:dyDescent="0.2">
      <c r="A932" s="72"/>
      <c r="B932" s="76"/>
      <c r="C932" s="73"/>
      <c r="D932" s="73" t="s">
        <v>951</v>
      </c>
      <c r="E932" s="77" t="s">
        <v>93</v>
      </c>
      <c r="F932" s="75" t="s">
        <v>1620</v>
      </c>
      <c r="G932" s="75" t="s">
        <v>1168</v>
      </c>
      <c r="H932" s="69"/>
    </row>
    <row r="933" spans="1:8" x14ac:dyDescent="0.2">
      <c r="A933" s="72"/>
      <c r="B933" s="84"/>
      <c r="C933" s="73"/>
      <c r="D933" s="73" t="s">
        <v>951</v>
      </c>
      <c r="E933" s="77" t="s">
        <v>93</v>
      </c>
      <c r="F933" s="75" t="s">
        <v>391</v>
      </c>
      <c r="G933" s="75" t="s">
        <v>1191</v>
      </c>
      <c r="H933" s="69"/>
    </row>
    <row r="934" spans="1:8" x14ac:dyDescent="0.2">
      <c r="A934" s="72"/>
      <c r="B934" s="84"/>
      <c r="C934" s="73"/>
      <c r="D934" s="73" t="s">
        <v>951</v>
      </c>
      <c r="E934" s="77" t="s">
        <v>93</v>
      </c>
      <c r="F934" s="75" t="s">
        <v>1567</v>
      </c>
      <c r="G934" s="75" t="s">
        <v>1191</v>
      </c>
      <c r="H934" s="69"/>
    </row>
    <row r="935" spans="1:8" x14ac:dyDescent="0.2">
      <c r="A935" s="72"/>
      <c r="B935" s="84"/>
      <c r="C935" s="73"/>
      <c r="D935" s="73" t="s">
        <v>951</v>
      </c>
      <c r="E935" s="77" t="s">
        <v>93</v>
      </c>
      <c r="F935" s="75" t="s">
        <v>1568</v>
      </c>
      <c r="G935" s="75" t="s">
        <v>1191</v>
      </c>
      <c r="H935" s="69"/>
    </row>
    <row r="936" spans="1:8" x14ac:dyDescent="0.2">
      <c r="A936" s="72"/>
      <c r="B936" s="84"/>
      <c r="C936" s="73"/>
      <c r="D936" s="73" t="s">
        <v>951</v>
      </c>
      <c r="E936" s="77" t="s">
        <v>93</v>
      </c>
      <c r="F936" s="75" t="s">
        <v>1569</v>
      </c>
      <c r="G936" s="75" t="s">
        <v>1191</v>
      </c>
      <c r="H936" s="69"/>
    </row>
    <row r="937" spans="1:8" x14ac:dyDescent="0.2">
      <c r="A937" s="72"/>
      <c r="B937" s="84"/>
      <c r="C937" s="73"/>
      <c r="D937" s="73" t="s">
        <v>951</v>
      </c>
      <c r="E937" s="77" t="s">
        <v>93</v>
      </c>
      <c r="F937" s="75" t="s">
        <v>1570</v>
      </c>
      <c r="G937" s="75" t="s">
        <v>1191</v>
      </c>
      <c r="H937" s="69"/>
    </row>
    <row r="938" spans="1:8" x14ac:dyDescent="0.2">
      <c r="A938" s="72"/>
      <c r="B938" s="84"/>
      <c r="C938" s="73"/>
      <c r="D938" s="73" t="s">
        <v>951</v>
      </c>
      <c r="E938" s="77" t="s">
        <v>93</v>
      </c>
      <c r="F938" s="75" t="s">
        <v>1571</v>
      </c>
      <c r="G938" s="75" t="s">
        <v>1191</v>
      </c>
      <c r="H938" s="69"/>
    </row>
    <row r="939" spans="1:8" x14ac:dyDescent="0.2">
      <c r="A939" s="72"/>
      <c r="B939" s="84"/>
      <c r="C939" s="73"/>
      <c r="D939" s="73" t="s">
        <v>951</v>
      </c>
      <c r="E939" s="77" t="s">
        <v>93</v>
      </c>
      <c r="F939" s="75" t="s">
        <v>1572</v>
      </c>
      <c r="G939" s="75" t="s">
        <v>1191</v>
      </c>
      <c r="H939" s="69"/>
    </row>
    <row r="940" spans="1:8" x14ac:dyDescent="0.2">
      <c r="A940" s="72"/>
      <c r="B940" s="84"/>
      <c r="C940" s="73"/>
      <c r="D940" s="73" t="s">
        <v>951</v>
      </c>
      <c r="E940" s="77" t="s">
        <v>93</v>
      </c>
      <c r="F940" s="75" t="s">
        <v>1573</v>
      </c>
      <c r="G940" s="75" t="s">
        <v>1191</v>
      </c>
      <c r="H940" s="69"/>
    </row>
    <row r="941" spans="1:8" x14ac:dyDescent="0.2">
      <c r="A941" s="72"/>
      <c r="B941" s="84"/>
      <c r="C941" s="73"/>
      <c r="D941" s="73" t="s">
        <v>951</v>
      </c>
      <c r="E941" s="77" t="s">
        <v>93</v>
      </c>
      <c r="F941" s="75" t="s">
        <v>1616</v>
      </c>
      <c r="G941" s="75" t="s">
        <v>1191</v>
      </c>
      <c r="H941" s="69"/>
    </row>
    <row r="942" spans="1:8" x14ac:dyDescent="0.2">
      <c r="A942" s="72"/>
      <c r="B942" s="84"/>
      <c r="C942" s="73"/>
      <c r="D942" s="73" t="s">
        <v>951</v>
      </c>
      <c r="E942" s="77" t="s">
        <v>93</v>
      </c>
      <c r="F942" s="75" t="s">
        <v>1617</v>
      </c>
      <c r="G942" s="75" t="s">
        <v>1191</v>
      </c>
      <c r="H942" s="69"/>
    </row>
    <row r="943" spans="1:8" x14ac:dyDescent="0.2">
      <c r="A943" s="72"/>
      <c r="B943" s="84"/>
      <c r="C943" s="73"/>
      <c r="D943" s="73" t="s">
        <v>951</v>
      </c>
      <c r="E943" s="77" t="s">
        <v>93</v>
      </c>
      <c r="F943" s="75" t="s">
        <v>1618</v>
      </c>
      <c r="G943" s="75" t="s">
        <v>1191</v>
      </c>
      <c r="H943" s="69"/>
    </row>
    <row r="944" spans="1:8" x14ac:dyDescent="0.2">
      <c r="A944" s="72"/>
      <c r="B944" s="84"/>
      <c r="C944" s="73"/>
      <c r="D944" s="73" t="s">
        <v>951</v>
      </c>
      <c r="E944" s="77" t="s">
        <v>93</v>
      </c>
      <c r="F944" s="75" t="s">
        <v>1619</v>
      </c>
      <c r="G944" s="75" t="s">
        <v>1191</v>
      </c>
      <c r="H944" s="69"/>
    </row>
    <row r="945" spans="1:8" x14ac:dyDescent="0.2">
      <c r="A945" s="72"/>
      <c r="B945" s="84"/>
      <c r="C945" s="73"/>
      <c r="D945" s="73" t="s">
        <v>951</v>
      </c>
      <c r="E945" s="77" t="s">
        <v>93</v>
      </c>
      <c r="F945" s="75" t="s">
        <v>1620</v>
      </c>
      <c r="G945" s="75" t="s">
        <v>1191</v>
      </c>
      <c r="H945" s="69"/>
    </row>
    <row r="946" spans="1:8" x14ac:dyDescent="0.2">
      <c r="A946" s="72"/>
      <c r="B946" s="76"/>
      <c r="C946" s="73"/>
      <c r="D946" s="73" t="s">
        <v>951</v>
      </c>
      <c r="E946" s="77" t="s">
        <v>93</v>
      </c>
      <c r="F946" s="75" t="s">
        <v>1574</v>
      </c>
      <c r="G946" s="75" t="s">
        <v>1169</v>
      </c>
      <c r="H946" s="69"/>
    </row>
    <row r="947" spans="1:8" x14ac:dyDescent="0.2">
      <c r="A947" s="72"/>
      <c r="B947" s="76"/>
      <c r="C947" s="73"/>
      <c r="D947" s="73" t="s">
        <v>951</v>
      </c>
      <c r="E947" s="77" t="s">
        <v>93</v>
      </c>
      <c r="F947" s="75" t="s">
        <v>1575</v>
      </c>
      <c r="G947" s="75" t="s">
        <v>1169</v>
      </c>
      <c r="H947" s="69"/>
    </row>
    <row r="948" spans="1:8" x14ac:dyDescent="0.2">
      <c r="A948" s="72"/>
      <c r="B948" s="76"/>
      <c r="C948" s="73"/>
      <c r="D948" s="73" t="s">
        <v>951</v>
      </c>
      <c r="E948" s="77" t="s">
        <v>93</v>
      </c>
      <c r="F948" s="75" t="s">
        <v>1576</v>
      </c>
      <c r="G948" s="75" t="s">
        <v>1169</v>
      </c>
      <c r="H948" s="69"/>
    </row>
    <row r="949" spans="1:8" x14ac:dyDescent="0.2">
      <c r="A949" s="72"/>
      <c r="B949" s="76"/>
      <c r="C949" s="73"/>
      <c r="D949" s="73" t="s">
        <v>951</v>
      </c>
      <c r="E949" s="77" t="s">
        <v>93</v>
      </c>
      <c r="F949" s="75" t="s">
        <v>1577</v>
      </c>
      <c r="G949" s="75" t="s">
        <v>1169</v>
      </c>
      <c r="H949" s="69"/>
    </row>
    <row r="950" spans="1:8" x14ac:dyDescent="0.2">
      <c r="A950" s="72"/>
      <c r="B950" s="76"/>
      <c r="C950" s="73"/>
      <c r="D950" s="73" t="s">
        <v>951</v>
      </c>
      <c r="E950" s="77" t="s">
        <v>93</v>
      </c>
      <c r="F950" s="75" t="s">
        <v>1578</v>
      </c>
      <c r="G950" s="75" t="s">
        <v>1169</v>
      </c>
      <c r="H950" s="69"/>
    </row>
    <row r="951" spans="1:8" x14ac:dyDescent="0.2">
      <c r="A951" s="72"/>
      <c r="B951" s="76"/>
      <c r="C951" s="73"/>
      <c r="D951" s="73" t="s">
        <v>951</v>
      </c>
      <c r="E951" s="77" t="s">
        <v>93</v>
      </c>
      <c r="F951" s="75" t="s">
        <v>1579</v>
      </c>
      <c r="G951" s="75" t="s">
        <v>1169</v>
      </c>
      <c r="H951" s="69"/>
    </row>
    <row r="952" spans="1:8" x14ac:dyDescent="0.2">
      <c r="A952" s="72"/>
      <c r="B952" s="76"/>
      <c r="C952" s="73"/>
      <c r="D952" s="73" t="s">
        <v>951</v>
      </c>
      <c r="E952" s="77" t="s">
        <v>93</v>
      </c>
      <c r="F952" s="75" t="s">
        <v>1621</v>
      </c>
      <c r="G952" s="75" t="s">
        <v>1169</v>
      </c>
      <c r="H952" s="69"/>
    </row>
    <row r="953" spans="1:8" x14ac:dyDescent="0.2">
      <c r="A953" s="72"/>
      <c r="B953" s="76"/>
      <c r="C953" s="73"/>
      <c r="D953" s="73" t="s">
        <v>951</v>
      </c>
      <c r="E953" s="77" t="s">
        <v>93</v>
      </c>
      <c r="F953" s="75" t="s">
        <v>1622</v>
      </c>
      <c r="G953" s="75" t="s">
        <v>1169</v>
      </c>
      <c r="H953" s="69"/>
    </row>
    <row r="954" spans="1:8" x14ac:dyDescent="0.2">
      <c r="A954" s="72"/>
      <c r="B954" s="76"/>
      <c r="C954" s="73"/>
      <c r="D954" s="73" t="s">
        <v>951</v>
      </c>
      <c r="E954" s="77" t="s">
        <v>93</v>
      </c>
      <c r="F954" s="75" t="s">
        <v>1623</v>
      </c>
      <c r="G954" s="75" t="s">
        <v>1169</v>
      </c>
      <c r="H954" s="69"/>
    </row>
    <row r="955" spans="1:8" x14ac:dyDescent="0.2">
      <c r="A955" s="72"/>
      <c r="B955" s="76"/>
      <c r="C955" s="73"/>
      <c r="D955" s="73" t="s">
        <v>951</v>
      </c>
      <c r="E955" s="77" t="s">
        <v>93</v>
      </c>
      <c r="F955" s="75" t="s">
        <v>1624</v>
      </c>
      <c r="G955" s="75" t="s">
        <v>1169</v>
      </c>
      <c r="H955" s="69"/>
    </row>
    <row r="956" spans="1:8" x14ac:dyDescent="0.2">
      <c r="A956" s="72"/>
      <c r="B956" s="76"/>
      <c r="C956" s="73"/>
      <c r="D956" s="73" t="s">
        <v>951</v>
      </c>
      <c r="E956" s="77" t="s">
        <v>93</v>
      </c>
      <c r="F956" s="75" t="s">
        <v>1625</v>
      </c>
      <c r="G956" s="75" t="s">
        <v>1169</v>
      </c>
      <c r="H956" s="69"/>
    </row>
    <row r="957" spans="1:8" x14ac:dyDescent="0.2">
      <c r="A957" s="72"/>
      <c r="B957" s="84"/>
      <c r="C957" s="73"/>
      <c r="D957" s="73" t="s">
        <v>951</v>
      </c>
      <c r="E957" s="77" t="s">
        <v>93</v>
      </c>
      <c r="F957" s="75" t="s">
        <v>1574</v>
      </c>
      <c r="G957" s="75" t="s">
        <v>1192</v>
      </c>
      <c r="H957" s="69"/>
    </row>
    <row r="958" spans="1:8" x14ac:dyDescent="0.2">
      <c r="A958" s="72"/>
      <c r="B958" s="84"/>
      <c r="C958" s="73"/>
      <c r="D958" s="73" t="s">
        <v>951</v>
      </c>
      <c r="E958" s="77" t="s">
        <v>93</v>
      </c>
      <c r="F958" s="75" t="s">
        <v>1575</v>
      </c>
      <c r="G958" s="75" t="s">
        <v>1192</v>
      </c>
      <c r="H958" s="69"/>
    </row>
    <row r="959" spans="1:8" x14ac:dyDescent="0.2">
      <c r="A959" s="72"/>
      <c r="B959" s="84"/>
      <c r="C959" s="73"/>
      <c r="D959" s="73" t="s">
        <v>951</v>
      </c>
      <c r="E959" s="77" t="s">
        <v>93</v>
      </c>
      <c r="F959" s="75" t="s">
        <v>1576</v>
      </c>
      <c r="G959" s="75" t="s">
        <v>1192</v>
      </c>
      <c r="H959" s="69"/>
    </row>
    <row r="960" spans="1:8" x14ac:dyDescent="0.2">
      <c r="A960" s="72"/>
      <c r="B960" s="84"/>
      <c r="C960" s="73"/>
      <c r="D960" s="73" t="s">
        <v>951</v>
      </c>
      <c r="E960" s="77" t="s">
        <v>93</v>
      </c>
      <c r="F960" s="75" t="s">
        <v>1577</v>
      </c>
      <c r="G960" s="75" t="s">
        <v>1192</v>
      </c>
      <c r="H960" s="69"/>
    </row>
    <row r="961" spans="1:8" x14ac:dyDescent="0.2">
      <c r="A961" s="72"/>
      <c r="B961" s="84"/>
      <c r="C961" s="73"/>
      <c r="D961" s="73" t="s">
        <v>951</v>
      </c>
      <c r="E961" s="77" t="s">
        <v>93</v>
      </c>
      <c r="F961" s="75" t="s">
        <v>1578</v>
      </c>
      <c r="G961" s="75" t="s">
        <v>1192</v>
      </c>
      <c r="H961" s="69"/>
    </row>
    <row r="962" spans="1:8" x14ac:dyDescent="0.2">
      <c r="A962" s="72"/>
      <c r="B962" s="84"/>
      <c r="C962" s="73"/>
      <c r="D962" s="73" t="s">
        <v>951</v>
      </c>
      <c r="E962" s="77" t="s">
        <v>93</v>
      </c>
      <c r="F962" s="75" t="s">
        <v>1579</v>
      </c>
      <c r="G962" s="75" t="s">
        <v>1192</v>
      </c>
      <c r="H962" s="69"/>
    </row>
    <row r="963" spans="1:8" x14ac:dyDescent="0.2">
      <c r="A963" s="72"/>
      <c r="B963" s="84"/>
      <c r="C963" s="73"/>
      <c r="D963" s="73" t="s">
        <v>951</v>
      </c>
      <c r="E963" s="77" t="s">
        <v>93</v>
      </c>
      <c r="F963" s="75" t="s">
        <v>1580</v>
      </c>
      <c r="G963" s="75" t="s">
        <v>1192</v>
      </c>
      <c r="H963" s="69"/>
    </row>
    <row r="964" spans="1:8" x14ac:dyDescent="0.2">
      <c r="A964" s="72"/>
      <c r="B964" s="84"/>
      <c r="C964" s="73"/>
      <c r="D964" s="73" t="s">
        <v>951</v>
      </c>
      <c r="E964" s="77" t="s">
        <v>93</v>
      </c>
      <c r="F964" s="75" t="s">
        <v>1621</v>
      </c>
      <c r="G964" s="75" t="s">
        <v>1192</v>
      </c>
      <c r="H964" s="69"/>
    </row>
    <row r="965" spans="1:8" x14ac:dyDescent="0.2">
      <c r="A965" s="72"/>
      <c r="B965" s="84"/>
      <c r="C965" s="73"/>
      <c r="D965" s="73" t="s">
        <v>951</v>
      </c>
      <c r="E965" s="77" t="s">
        <v>93</v>
      </c>
      <c r="F965" s="75" t="s">
        <v>1622</v>
      </c>
      <c r="G965" s="75" t="s">
        <v>1192</v>
      </c>
      <c r="H965" s="69"/>
    </row>
    <row r="966" spans="1:8" x14ac:dyDescent="0.2">
      <c r="A966" s="72"/>
      <c r="B966" s="84"/>
      <c r="C966" s="73"/>
      <c r="D966" s="73" t="s">
        <v>951</v>
      </c>
      <c r="E966" s="77" t="s">
        <v>93</v>
      </c>
      <c r="F966" s="75" t="s">
        <v>1623</v>
      </c>
      <c r="G966" s="75" t="s">
        <v>1192</v>
      </c>
      <c r="H966" s="69"/>
    </row>
    <row r="967" spans="1:8" x14ac:dyDescent="0.2">
      <c r="A967" s="72"/>
      <c r="B967" s="84"/>
      <c r="C967" s="73"/>
      <c r="D967" s="73" t="s">
        <v>951</v>
      </c>
      <c r="E967" s="77" t="s">
        <v>93</v>
      </c>
      <c r="F967" s="75" t="s">
        <v>1624</v>
      </c>
      <c r="G967" s="75" t="s">
        <v>1192</v>
      </c>
      <c r="H967" s="69"/>
    </row>
    <row r="968" spans="1:8" x14ac:dyDescent="0.2">
      <c r="A968" s="72"/>
      <c r="B968" s="84"/>
      <c r="C968" s="73"/>
      <c r="D968" s="73" t="s">
        <v>951</v>
      </c>
      <c r="E968" s="77" t="s">
        <v>93</v>
      </c>
      <c r="F968" s="75" t="s">
        <v>1625</v>
      </c>
      <c r="G968" s="75" t="s">
        <v>1192</v>
      </c>
      <c r="H968" s="69"/>
    </row>
    <row r="969" spans="1:8" ht="16" x14ac:dyDescent="0.2">
      <c r="A969" s="72"/>
      <c r="B969" s="76"/>
      <c r="C969" s="73"/>
      <c r="D969" s="73" t="s">
        <v>951</v>
      </c>
      <c r="E969" s="77" t="s">
        <v>116</v>
      </c>
      <c r="F969" s="75" t="s">
        <v>1582</v>
      </c>
      <c r="G969" s="87" t="s">
        <v>1049</v>
      </c>
      <c r="H969" s="69"/>
    </row>
    <row r="970" spans="1:8" ht="16" x14ac:dyDescent="0.2">
      <c r="A970" s="72"/>
      <c r="B970" s="76"/>
      <c r="C970" s="73"/>
      <c r="D970" s="73" t="s">
        <v>951</v>
      </c>
      <c r="E970" s="77" t="s">
        <v>116</v>
      </c>
      <c r="F970" s="75" t="s">
        <v>1583</v>
      </c>
      <c r="G970" s="87" t="s">
        <v>1049</v>
      </c>
      <c r="H970" s="69"/>
    </row>
    <row r="971" spans="1:8" ht="16" x14ac:dyDescent="0.2">
      <c r="A971" s="72"/>
      <c r="B971" s="76"/>
      <c r="C971" s="73"/>
      <c r="D971" s="73" t="s">
        <v>951</v>
      </c>
      <c r="E971" s="77" t="s">
        <v>116</v>
      </c>
      <c r="F971" s="75" t="s">
        <v>1626</v>
      </c>
      <c r="G971" s="87" t="s">
        <v>1049</v>
      </c>
      <c r="H971" s="69"/>
    </row>
    <row r="972" spans="1:8" ht="16" x14ac:dyDescent="0.2">
      <c r="A972" s="72"/>
      <c r="B972" s="84"/>
      <c r="C972" s="73"/>
      <c r="D972" s="73" t="s">
        <v>951</v>
      </c>
      <c r="E972" s="77" t="s">
        <v>93</v>
      </c>
      <c r="F972" s="75" t="s">
        <v>1626</v>
      </c>
      <c r="G972" s="87" t="s">
        <v>586</v>
      </c>
      <c r="H972" s="69"/>
    </row>
    <row r="973" spans="1:8" ht="16" x14ac:dyDescent="0.2">
      <c r="A973" s="72"/>
      <c r="B973" s="84"/>
      <c r="C973" s="73"/>
      <c r="D973" s="73" t="s">
        <v>951</v>
      </c>
      <c r="E973" s="77" t="s">
        <v>93</v>
      </c>
      <c r="F973" s="75" t="s">
        <v>1583</v>
      </c>
      <c r="G973" s="87" t="s">
        <v>586</v>
      </c>
      <c r="H973" s="69"/>
    </row>
    <row r="974" spans="1:8" ht="16" x14ac:dyDescent="0.2">
      <c r="A974" s="72"/>
      <c r="B974" s="84"/>
      <c r="C974" s="73"/>
      <c r="D974" s="73" t="s">
        <v>951</v>
      </c>
      <c r="E974" s="77" t="s">
        <v>93</v>
      </c>
      <c r="F974" s="75" t="s">
        <v>1627</v>
      </c>
      <c r="G974" s="87" t="s">
        <v>586</v>
      </c>
      <c r="H974" s="69"/>
    </row>
    <row r="975" spans="1:8" ht="16" x14ac:dyDescent="0.2">
      <c r="A975" s="72"/>
      <c r="B975" s="76"/>
      <c r="C975" s="73"/>
      <c r="D975" s="73" t="s">
        <v>951</v>
      </c>
      <c r="E975" s="77" t="s">
        <v>109</v>
      </c>
      <c r="F975" s="75" t="s">
        <v>1583</v>
      </c>
      <c r="G975" s="87" t="s">
        <v>1163</v>
      </c>
      <c r="H975" s="69"/>
    </row>
    <row r="976" spans="1:8" ht="16" x14ac:dyDescent="0.2">
      <c r="A976" s="72"/>
      <c r="B976" s="76"/>
      <c r="C976" s="73"/>
      <c r="D976" s="73" t="s">
        <v>951</v>
      </c>
      <c r="E976" s="77" t="s">
        <v>109</v>
      </c>
      <c r="F976" s="75" t="s">
        <v>1626</v>
      </c>
      <c r="G976" s="87" t="s">
        <v>1163</v>
      </c>
      <c r="H976" s="69"/>
    </row>
    <row r="977" spans="1:8" ht="16" x14ac:dyDescent="0.2">
      <c r="A977" s="72"/>
      <c r="B977" s="76"/>
      <c r="C977" s="73"/>
      <c r="D977" s="73" t="s">
        <v>951</v>
      </c>
      <c r="E977" s="77" t="s">
        <v>93</v>
      </c>
      <c r="F977" s="75" t="s">
        <v>1583</v>
      </c>
      <c r="G977" s="87" t="s">
        <v>1162</v>
      </c>
      <c r="H977" s="69"/>
    </row>
    <row r="978" spans="1:8" ht="16" x14ac:dyDescent="0.2">
      <c r="A978" s="72"/>
      <c r="B978" s="76"/>
      <c r="C978" s="73"/>
      <c r="D978" s="73" t="s">
        <v>951</v>
      </c>
      <c r="E978" s="77" t="s">
        <v>93</v>
      </c>
      <c r="F978" s="75" t="s">
        <v>1626</v>
      </c>
      <c r="G978" s="87" t="s">
        <v>1162</v>
      </c>
      <c r="H978" s="69"/>
    </row>
    <row r="979" spans="1:8" ht="16" x14ac:dyDescent="0.2">
      <c r="A979" s="72"/>
      <c r="B979" s="76"/>
      <c r="C979" s="73"/>
      <c r="D979" s="73" t="s">
        <v>951</v>
      </c>
      <c r="E979" s="77" t="s">
        <v>134</v>
      </c>
      <c r="F979" s="75" t="s">
        <v>1583</v>
      </c>
      <c r="G979" s="87" t="s">
        <v>1162</v>
      </c>
      <c r="H979" s="69"/>
    </row>
    <row r="980" spans="1:8" ht="16" x14ac:dyDescent="0.2">
      <c r="A980" s="72"/>
      <c r="B980" s="76"/>
      <c r="C980" s="73"/>
      <c r="D980" s="73" t="s">
        <v>951</v>
      </c>
      <c r="E980" s="77" t="s">
        <v>134</v>
      </c>
      <c r="F980" s="75" t="s">
        <v>1626</v>
      </c>
      <c r="G980" s="87" t="s">
        <v>1162</v>
      </c>
      <c r="H980" s="69"/>
    </row>
    <row r="981" spans="1:8" ht="16" x14ac:dyDescent="0.2">
      <c r="A981" s="72"/>
      <c r="B981" s="84"/>
      <c r="C981" s="73"/>
      <c r="D981" s="73" t="s">
        <v>949</v>
      </c>
      <c r="E981" s="77" t="s">
        <v>93</v>
      </c>
      <c r="F981" s="75" t="s">
        <v>223</v>
      </c>
      <c r="G981" s="74" t="s">
        <v>554</v>
      </c>
      <c r="H981" s="69"/>
    </row>
    <row r="982" spans="1:8" ht="16" x14ac:dyDescent="0.2">
      <c r="A982" s="72"/>
      <c r="B982" s="76"/>
      <c r="C982" s="73"/>
      <c r="D982" s="73" t="s">
        <v>949</v>
      </c>
      <c r="E982" s="77" t="s">
        <v>93</v>
      </c>
      <c r="F982" s="75" t="s">
        <v>387</v>
      </c>
      <c r="G982" s="74" t="s">
        <v>1145</v>
      </c>
      <c r="H982" s="69"/>
    </row>
    <row r="983" spans="1:8" ht="16" x14ac:dyDescent="0.2">
      <c r="A983" s="72"/>
      <c r="B983" s="76"/>
      <c r="C983" s="73"/>
      <c r="D983" s="73" t="s">
        <v>949</v>
      </c>
      <c r="E983" s="77" t="s">
        <v>93</v>
      </c>
      <c r="F983" s="75" t="s">
        <v>1556</v>
      </c>
      <c r="G983" s="74" t="s">
        <v>1145</v>
      </c>
      <c r="H983" s="69"/>
    </row>
    <row r="984" spans="1:8" ht="16" x14ac:dyDescent="0.2">
      <c r="A984" s="72"/>
      <c r="B984" s="76"/>
      <c r="C984" s="73"/>
      <c r="D984" s="73" t="s">
        <v>949</v>
      </c>
      <c r="E984" s="77" t="s">
        <v>93</v>
      </c>
      <c r="F984" s="75" t="s">
        <v>1557</v>
      </c>
      <c r="G984" s="74" t="s">
        <v>1145</v>
      </c>
      <c r="H984" s="69"/>
    </row>
    <row r="985" spans="1:8" ht="16" x14ac:dyDescent="0.2">
      <c r="A985" s="72"/>
      <c r="B985" s="76"/>
      <c r="C985" s="73"/>
      <c r="D985" s="73" t="s">
        <v>949</v>
      </c>
      <c r="E985" s="77" t="s">
        <v>93</v>
      </c>
      <c r="F985" s="75" t="s">
        <v>1605</v>
      </c>
      <c r="G985" s="74" t="s">
        <v>1145</v>
      </c>
      <c r="H985" s="69"/>
    </row>
    <row r="986" spans="1:8" ht="16" x14ac:dyDescent="0.2">
      <c r="A986" s="72"/>
      <c r="B986" s="76"/>
      <c r="C986" s="73"/>
      <c r="D986" s="73" t="s">
        <v>949</v>
      </c>
      <c r="E986" s="77" t="s">
        <v>93</v>
      </c>
      <c r="F986" s="75" t="s">
        <v>1606</v>
      </c>
      <c r="G986" s="74" t="s">
        <v>1145</v>
      </c>
      <c r="H986" s="69"/>
    </row>
    <row r="987" spans="1:8" ht="16" x14ac:dyDescent="0.2">
      <c r="A987" s="72"/>
      <c r="B987" s="76"/>
      <c r="C987" s="73"/>
      <c r="D987" s="73" t="s">
        <v>949</v>
      </c>
      <c r="E987" s="77" t="s">
        <v>93</v>
      </c>
      <c r="F987" s="75" t="s">
        <v>1559</v>
      </c>
      <c r="G987" s="74" t="s">
        <v>1145</v>
      </c>
      <c r="H987" s="69"/>
    </row>
    <row r="988" spans="1:8" ht="16" x14ac:dyDescent="0.2">
      <c r="A988" s="72"/>
      <c r="B988" s="76"/>
      <c r="C988" s="73"/>
      <c r="D988" s="73" t="s">
        <v>949</v>
      </c>
      <c r="E988" s="77" t="s">
        <v>93</v>
      </c>
      <c r="F988" s="75" t="s">
        <v>1607</v>
      </c>
      <c r="G988" s="74" t="s">
        <v>1145</v>
      </c>
      <c r="H988" s="69"/>
    </row>
    <row r="989" spans="1:8" x14ac:dyDescent="0.2">
      <c r="A989" s="72"/>
      <c r="B989" s="76"/>
      <c r="C989" s="73"/>
      <c r="D989" s="73" t="s">
        <v>949</v>
      </c>
      <c r="E989" s="77" t="s">
        <v>93</v>
      </c>
      <c r="F989" s="75" t="s">
        <v>1561</v>
      </c>
      <c r="G989" s="75" t="s">
        <v>1146</v>
      </c>
      <c r="H989" s="69"/>
    </row>
    <row r="990" spans="1:8" x14ac:dyDescent="0.2">
      <c r="A990" s="72"/>
      <c r="B990" s="76"/>
      <c r="C990" s="73"/>
      <c r="D990" s="73" t="s">
        <v>949</v>
      </c>
      <c r="E990" s="77" t="s">
        <v>93</v>
      </c>
      <c r="F990" s="75" t="s">
        <v>1611</v>
      </c>
      <c r="G990" s="75" t="s">
        <v>1146</v>
      </c>
      <c r="H990" s="69"/>
    </row>
    <row r="991" spans="1:8" x14ac:dyDescent="0.2">
      <c r="A991" s="72"/>
      <c r="B991" s="76"/>
      <c r="C991" s="73"/>
      <c r="D991" s="73" t="s">
        <v>949</v>
      </c>
      <c r="E991" s="77" t="s">
        <v>93</v>
      </c>
      <c r="F991" s="75" t="s">
        <v>1562</v>
      </c>
      <c r="G991" s="75" t="s">
        <v>1146</v>
      </c>
      <c r="H991" s="69"/>
    </row>
    <row r="992" spans="1:8" x14ac:dyDescent="0.2">
      <c r="A992" s="72"/>
      <c r="B992" s="76"/>
      <c r="C992" s="73"/>
      <c r="D992" s="73" t="s">
        <v>949</v>
      </c>
      <c r="E992" s="77" t="s">
        <v>93</v>
      </c>
      <c r="F992" s="75" t="s">
        <v>1563</v>
      </c>
      <c r="G992" s="75" t="s">
        <v>1146</v>
      </c>
      <c r="H992" s="69"/>
    </row>
    <row r="993" spans="1:8" x14ac:dyDescent="0.2">
      <c r="A993" s="72"/>
      <c r="B993" s="76"/>
      <c r="C993" s="73"/>
      <c r="D993" s="73" t="s">
        <v>949</v>
      </c>
      <c r="E993" s="77" t="s">
        <v>93</v>
      </c>
      <c r="F993" s="75" t="s">
        <v>1564</v>
      </c>
      <c r="G993" s="75" t="s">
        <v>1146</v>
      </c>
      <c r="H993" s="69"/>
    </row>
    <row r="994" spans="1:8" x14ac:dyDescent="0.2">
      <c r="A994" s="72"/>
      <c r="B994" s="76"/>
      <c r="C994" s="73"/>
      <c r="D994" s="73" t="s">
        <v>949</v>
      </c>
      <c r="E994" s="77" t="s">
        <v>93</v>
      </c>
      <c r="F994" s="75" t="s">
        <v>1565</v>
      </c>
      <c r="G994" s="75" t="s">
        <v>1146</v>
      </c>
      <c r="H994" s="69"/>
    </row>
    <row r="995" spans="1:8" x14ac:dyDescent="0.2">
      <c r="A995" s="72"/>
      <c r="B995" s="76"/>
      <c r="C995" s="73"/>
      <c r="D995" s="73" t="s">
        <v>949</v>
      </c>
      <c r="E995" s="77" t="s">
        <v>93</v>
      </c>
      <c r="F995" s="75" t="s">
        <v>1566</v>
      </c>
      <c r="G995" s="75" t="s">
        <v>1146</v>
      </c>
      <c r="H995" s="69"/>
    </row>
    <row r="996" spans="1:8" x14ac:dyDescent="0.2">
      <c r="A996" s="72"/>
      <c r="B996" s="76"/>
      <c r="C996" s="73"/>
      <c r="D996" s="73" t="s">
        <v>949</v>
      </c>
      <c r="E996" s="77" t="s">
        <v>93</v>
      </c>
      <c r="F996" s="75" t="s">
        <v>391</v>
      </c>
      <c r="G996" s="75" t="s">
        <v>1147</v>
      </c>
      <c r="H996" s="69"/>
    </row>
    <row r="997" spans="1:8" x14ac:dyDescent="0.2">
      <c r="A997" s="72"/>
      <c r="B997" s="76"/>
      <c r="C997" s="73"/>
      <c r="D997" s="73" t="s">
        <v>949</v>
      </c>
      <c r="E997" s="77" t="s">
        <v>93</v>
      </c>
      <c r="F997" s="75" t="s">
        <v>1567</v>
      </c>
      <c r="G997" s="75" t="s">
        <v>1147</v>
      </c>
      <c r="H997" s="69"/>
    </row>
    <row r="998" spans="1:8" x14ac:dyDescent="0.2">
      <c r="A998" s="72"/>
      <c r="B998" s="76"/>
      <c r="C998" s="73"/>
      <c r="D998" s="73" t="s">
        <v>949</v>
      </c>
      <c r="E998" s="77" t="s">
        <v>93</v>
      </c>
      <c r="F998" s="75" t="s">
        <v>1568</v>
      </c>
      <c r="G998" s="75" t="s">
        <v>1147</v>
      </c>
      <c r="H998" s="69"/>
    </row>
    <row r="999" spans="1:8" x14ac:dyDescent="0.2">
      <c r="A999" s="72"/>
      <c r="B999" s="76"/>
      <c r="C999" s="73"/>
      <c r="D999" s="73" t="s">
        <v>949</v>
      </c>
      <c r="E999" s="77" t="s">
        <v>93</v>
      </c>
      <c r="F999" s="75" t="s">
        <v>1569</v>
      </c>
      <c r="G999" s="75" t="s">
        <v>1147</v>
      </c>
      <c r="H999" s="69"/>
    </row>
    <row r="1000" spans="1:8" x14ac:dyDescent="0.2">
      <c r="A1000" s="72"/>
      <c r="B1000" s="76"/>
      <c r="C1000" s="73"/>
      <c r="D1000" s="73" t="s">
        <v>949</v>
      </c>
      <c r="E1000" s="77" t="s">
        <v>93</v>
      </c>
      <c r="F1000" s="75" t="s">
        <v>1570</v>
      </c>
      <c r="G1000" s="75" t="s">
        <v>1147</v>
      </c>
      <c r="H1000" s="69"/>
    </row>
    <row r="1001" spans="1:8" x14ac:dyDescent="0.2">
      <c r="A1001" s="72"/>
      <c r="B1001" s="76"/>
      <c r="C1001" s="73"/>
      <c r="D1001" s="73" t="s">
        <v>949</v>
      </c>
      <c r="E1001" s="77" t="s">
        <v>93</v>
      </c>
      <c r="F1001" s="75" t="s">
        <v>1572</v>
      </c>
      <c r="G1001" s="75" t="s">
        <v>1147</v>
      </c>
      <c r="H1001" s="69"/>
    </row>
    <row r="1002" spans="1:8" x14ac:dyDescent="0.2">
      <c r="A1002" s="72"/>
      <c r="B1002" s="76"/>
      <c r="C1002" s="73"/>
      <c r="D1002" s="73" t="s">
        <v>949</v>
      </c>
      <c r="E1002" s="77" t="s">
        <v>93</v>
      </c>
      <c r="F1002" s="75" t="s">
        <v>1616</v>
      </c>
      <c r="G1002" s="75" t="s">
        <v>1147</v>
      </c>
      <c r="H1002" s="69"/>
    </row>
    <row r="1003" spans="1:8" x14ac:dyDescent="0.2">
      <c r="A1003" s="72"/>
      <c r="B1003" s="76"/>
      <c r="C1003" s="73"/>
      <c r="D1003" s="73" t="s">
        <v>949</v>
      </c>
      <c r="E1003" s="77" t="s">
        <v>93</v>
      </c>
      <c r="F1003" s="75" t="s">
        <v>1573</v>
      </c>
      <c r="G1003" s="75" t="s">
        <v>1147</v>
      </c>
      <c r="H1003" s="69"/>
    </row>
    <row r="1004" spans="1:8" x14ac:dyDescent="0.2">
      <c r="A1004" s="72"/>
      <c r="B1004" s="76"/>
      <c r="C1004" s="73"/>
      <c r="D1004" s="73" t="s">
        <v>949</v>
      </c>
      <c r="E1004" s="77" t="s">
        <v>93</v>
      </c>
      <c r="F1004" s="75" t="s">
        <v>1574</v>
      </c>
      <c r="G1004" s="75" t="s">
        <v>1148</v>
      </c>
      <c r="H1004" s="69"/>
    </row>
    <row r="1005" spans="1:8" x14ac:dyDescent="0.2">
      <c r="A1005" s="72"/>
      <c r="B1005" s="76"/>
      <c r="C1005" s="73"/>
      <c r="D1005" s="73" t="s">
        <v>949</v>
      </c>
      <c r="E1005" s="77" t="s">
        <v>93</v>
      </c>
      <c r="F1005" s="75" t="s">
        <v>1575</v>
      </c>
      <c r="G1005" s="75" t="s">
        <v>1148</v>
      </c>
      <c r="H1005" s="69"/>
    </row>
    <row r="1006" spans="1:8" x14ac:dyDescent="0.2">
      <c r="A1006" s="72"/>
      <c r="B1006" s="76"/>
      <c r="C1006" s="73"/>
      <c r="D1006" s="73" t="s">
        <v>949</v>
      </c>
      <c r="E1006" s="77" t="s">
        <v>93</v>
      </c>
      <c r="F1006" s="75" t="s">
        <v>1576</v>
      </c>
      <c r="G1006" s="75" t="s">
        <v>1148</v>
      </c>
      <c r="H1006" s="69"/>
    </row>
    <row r="1007" spans="1:8" x14ac:dyDescent="0.2">
      <c r="A1007" s="72"/>
      <c r="B1007" s="76"/>
      <c r="C1007" s="73"/>
      <c r="D1007" s="73" t="s">
        <v>949</v>
      </c>
      <c r="E1007" s="77" t="s">
        <v>93</v>
      </c>
      <c r="F1007" s="75" t="s">
        <v>1621</v>
      </c>
      <c r="G1007" s="75" t="s">
        <v>1148</v>
      </c>
      <c r="H1007" s="69"/>
    </row>
    <row r="1008" spans="1:8" x14ac:dyDescent="0.2">
      <c r="A1008" s="72"/>
      <c r="B1008" s="76"/>
      <c r="C1008" s="73"/>
      <c r="D1008" s="73" t="s">
        <v>949</v>
      </c>
      <c r="E1008" s="77" t="s">
        <v>93</v>
      </c>
      <c r="F1008" s="75" t="s">
        <v>1577</v>
      </c>
      <c r="G1008" s="75" t="s">
        <v>1148</v>
      </c>
      <c r="H1008" s="69"/>
    </row>
    <row r="1009" spans="1:8" x14ac:dyDescent="0.2">
      <c r="A1009" s="72"/>
      <c r="B1009" s="76"/>
      <c r="C1009" s="73"/>
      <c r="D1009" s="73" t="s">
        <v>949</v>
      </c>
      <c r="E1009" s="77" t="s">
        <v>93</v>
      </c>
      <c r="F1009" s="75" t="s">
        <v>1578</v>
      </c>
      <c r="G1009" s="75" t="s">
        <v>1148</v>
      </c>
      <c r="H1009" s="69"/>
    </row>
    <row r="1010" spans="1:8" x14ac:dyDescent="0.2">
      <c r="A1010" s="72"/>
      <c r="B1010" s="76"/>
      <c r="C1010" s="73"/>
      <c r="D1010" s="73" t="s">
        <v>949</v>
      </c>
      <c r="E1010" s="77" t="s">
        <v>93</v>
      </c>
      <c r="F1010" s="75" t="s">
        <v>1579</v>
      </c>
      <c r="G1010" s="75" t="s">
        <v>1148</v>
      </c>
      <c r="H1010" s="69"/>
    </row>
    <row r="1011" spans="1:8" x14ac:dyDescent="0.2">
      <c r="A1011" s="72"/>
      <c r="B1011" s="84"/>
      <c r="C1011" s="73"/>
      <c r="D1011" s="73" t="s">
        <v>952</v>
      </c>
      <c r="E1011" s="77" t="s">
        <v>93</v>
      </c>
      <c r="F1011" s="75" t="s">
        <v>223</v>
      </c>
      <c r="G1011" s="88" t="s">
        <v>560</v>
      </c>
      <c r="H1011" s="69"/>
    </row>
    <row r="1012" spans="1:8" ht="16" x14ac:dyDescent="0.2">
      <c r="A1012" s="72"/>
      <c r="B1012" s="76"/>
      <c r="C1012" s="73"/>
      <c r="D1012" s="73" t="s">
        <v>952</v>
      </c>
      <c r="E1012" s="77" t="s">
        <v>102</v>
      </c>
      <c r="F1012" s="75" t="s">
        <v>1997</v>
      </c>
      <c r="G1012" s="74" t="s">
        <v>562</v>
      </c>
      <c r="H1012" s="69"/>
    </row>
    <row r="1013" spans="1:8" ht="16" x14ac:dyDescent="0.2">
      <c r="A1013" s="72"/>
      <c r="B1013" s="76"/>
      <c r="C1013" s="73"/>
      <c r="D1013" s="73" t="s">
        <v>952</v>
      </c>
      <c r="E1013" s="77" t="s">
        <v>102</v>
      </c>
      <c r="F1013" s="75" t="s">
        <v>279</v>
      </c>
      <c r="G1013" s="74" t="s">
        <v>562</v>
      </c>
      <c r="H1013" s="69"/>
    </row>
    <row r="1014" spans="1:8" ht="16" x14ac:dyDescent="0.2">
      <c r="A1014" s="72"/>
      <c r="B1014" s="76"/>
      <c r="C1014" s="73"/>
      <c r="D1014" s="73" t="s">
        <v>952</v>
      </c>
      <c r="E1014" s="77" t="s">
        <v>102</v>
      </c>
      <c r="F1014" s="75" t="s">
        <v>2019</v>
      </c>
      <c r="G1014" s="74" t="s">
        <v>562</v>
      </c>
      <c r="H1014" s="69"/>
    </row>
    <row r="1015" spans="1:8" ht="16" x14ac:dyDescent="0.2">
      <c r="A1015" s="72"/>
      <c r="B1015" s="76"/>
      <c r="C1015" s="73"/>
      <c r="D1015" s="73" t="s">
        <v>952</v>
      </c>
      <c r="E1015" s="77" t="s">
        <v>102</v>
      </c>
      <c r="F1015" s="75" t="s">
        <v>2020</v>
      </c>
      <c r="G1015" s="74" t="s">
        <v>562</v>
      </c>
      <c r="H1015" s="69"/>
    </row>
    <row r="1016" spans="1:8" ht="16" x14ac:dyDescent="0.2">
      <c r="A1016" s="72"/>
      <c r="B1016" s="76"/>
      <c r="C1016" s="73"/>
      <c r="D1016" s="73" t="s">
        <v>952</v>
      </c>
      <c r="E1016" s="77" t="s">
        <v>102</v>
      </c>
      <c r="F1016" s="75" t="s">
        <v>2021</v>
      </c>
      <c r="G1016" s="74" t="s">
        <v>562</v>
      </c>
      <c r="H1016" s="69"/>
    </row>
    <row r="1017" spans="1:8" ht="16" x14ac:dyDescent="0.2">
      <c r="A1017" s="72"/>
      <c r="B1017" s="76"/>
      <c r="C1017" s="73"/>
      <c r="D1017" s="73" t="s">
        <v>952</v>
      </c>
      <c r="E1017" s="77" t="s">
        <v>102</v>
      </c>
      <c r="F1017" s="75" t="s">
        <v>2027</v>
      </c>
      <c r="G1017" s="74" t="s">
        <v>562</v>
      </c>
      <c r="H1017" s="69"/>
    </row>
    <row r="1018" spans="1:8" ht="16" x14ac:dyDescent="0.2">
      <c r="A1018" s="72"/>
      <c r="B1018" s="76"/>
      <c r="C1018" s="73"/>
      <c r="D1018" s="73" t="s">
        <v>952</v>
      </c>
      <c r="E1018" s="77" t="s">
        <v>102</v>
      </c>
      <c r="F1018" s="75" t="s">
        <v>2028</v>
      </c>
      <c r="G1018" s="74" t="s">
        <v>562</v>
      </c>
      <c r="H1018" s="69"/>
    </row>
    <row r="1019" spans="1:8" ht="16" x14ac:dyDescent="0.2">
      <c r="A1019" s="72"/>
      <c r="B1019" s="76"/>
      <c r="C1019" s="73"/>
      <c r="D1019" s="73" t="s">
        <v>952</v>
      </c>
      <c r="E1019" s="77" t="s">
        <v>102</v>
      </c>
      <c r="F1019" s="75" t="s">
        <v>2029</v>
      </c>
      <c r="G1019" s="74" t="s">
        <v>562</v>
      </c>
      <c r="H1019" s="69"/>
    </row>
    <row r="1020" spans="1:8" ht="16" x14ac:dyDescent="0.2">
      <c r="A1020" s="72"/>
      <c r="B1020" s="76"/>
      <c r="C1020" s="73"/>
      <c r="D1020" s="73" t="s">
        <v>952</v>
      </c>
      <c r="E1020" s="77" t="s">
        <v>102</v>
      </c>
      <c r="F1020" s="75" t="s">
        <v>2030</v>
      </c>
      <c r="G1020" s="74" t="s">
        <v>562</v>
      </c>
      <c r="H1020" s="69"/>
    </row>
    <row r="1021" spans="1:8" ht="16" x14ac:dyDescent="0.2">
      <c r="A1021" s="72"/>
      <c r="B1021" s="76"/>
      <c r="C1021" s="73"/>
      <c r="D1021" s="73" t="s">
        <v>952</v>
      </c>
      <c r="E1021" s="77" t="s">
        <v>102</v>
      </c>
      <c r="F1021" s="75" t="s">
        <v>2022</v>
      </c>
      <c r="G1021" s="74" t="s">
        <v>1171</v>
      </c>
      <c r="H1021" s="69"/>
    </row>
    <row r="1022" spans="1:8" ht="16" x14ac:dyDescent="0.2">
      <c r="A1022" s="72"/>
      <c r="B1022" s="76"/>
      <c r="C1022" s="73"/>
      <c r="D1022" s="73" t="s">
        <v>952</v>
      </c>
      <c r="E1022" s="77" t="s">
        <v>102</v>
      </c>
      <c r="F1022" s="75" t="s">
        <v>2023</v>
      </c>
      <c r="G1022" s="74" t="s">
        <v>1171</v>
      </c>
      <c r="H1022" s="69"/>
    </row>
    <row r="1023" spans="1:8" ht="16" x14ac:dyDescent="0.2">
      <c r="A1023" s="72"/>
      <c r="B1023" s="76"/>
      <c r="C1023" s="73"/>
      <c r="D1023" s="73" t="s">
        <v>952</v>
      </c>
      <c r="E1023" s="77" t="s">
        <v>102</v>
      </c>
      <c r="F1023" s="75" t="s">
        <v>2033</v>
      </c>
      <c r="G1023" s="74" t="s">
        <v>1171</v>
      </c>
      <c r="H1023" s="69"/>
    </row>
    <row r="1024" spans="1:8" ht="16" x14ac:dyDescent="0.2">
      <c r="A1024" s="72"/>
      <c r="B1024" s="76"/>
      <c r="C1024" s="73"/>
      <c r="D1024" s="73" t="s">
        <v>952</v>
      </c>
      <c r="E1024" s="77" t="s">
        <v>102</v>
      </c>
      <c r="F1024" s="75" t="s">
        <v>2031</v>
      </c>
      <c r="G1024" s="74" t="s">
        <v>1171</v>
      </c>
      <c r="H1024" s="69"/>
    </row>
    <row r="1025" spans="1:8" ht="16" x14ac:dyDescent="0.2">
      <c r="A1025" s="72"/>
      <c r="B1025" s="76"/>
      <c r="C1025" s="73"/>
      <c r="D1025" s="73" t="s">
        <v>952</v>
      </c>
      <c r="E1025" s="77" t="s">
        <v>102</v>
      </c>
      <c r="F1025" s="75" t="s">
        <v>2032</v>
      </c>
      <c r="G1025" s="74" t="s">
        <v>1171</v>
      </c>
      <c r="H1025" s="69"/>
    </row>
    <row r="1026" spans="1:8" ht="16" x14ac:dyDescent="0.2">
      <c r="A1026" s="72"/>
      <c r="B1026" s="76"/>
      <c r="C1026" s="73"/>
      <c r="D1026" s="73" t="s">
        <v>952</v>
      </c>
      <c r="E1026" s="77" t="s">
        <v>102</v>
      </c>
      <c r="F1026" s="75" t="s">
        <v>2043</v>
      </c>
      <c r="G1026" s="74" t="s">
        <v>1171</v>
      </c>
      <c r="H1026" s="69"/>
    </row>
    <row r="1027" spans="1:8" ht="16" x14ac:dyDescent="0.2">
      <c r="A1027" s="72"/>
      <c r="B1027" s="76"/>
      <c r="C1027" s="73"/>
      <c r="D1027" s="73" t="s">
        <v>952</v>
      </c>
      <c r="E1027" s="77" t="s">
        <v>93</v>
      </c>
      <c r="F1027" s="75" t="s">
        <v>1997</v>
      </c>
      <c r="G1027" s="74" t="s">
        <v>1173</v>
      </c>
      <c r="H1027" s="69"/>
    </row>
    <row r="1028" spans="1:8" ht="16" x14ac:dyDescent="0.2">
      <c r="A1028" s="72"/>
      <c r="B1028" s="76"/>
      <c r="C1028" s="73"/>
      <c r="D1028" s="73" t="s">
        <v>952</v>
      </c>
      <c r="E1028" s="77" t="s">
        <v>93</v>
      </c>
      <c r="F1028" s="75" t="s">
        <v>279</v>
      </c>
      <c r="G1028" s="74" t="s">
        <v>1173</v>
      </c>
      <c r="H1028" s="69"/>
    </row>
    <row r="1029" spans="1:8" ht="16" x14ac:dyDescent="0.2">
      <c r="A1029" s="72"/>
      <c r="B1029" s="76"/>
      <c r="C1029" s="73"/>
      <c r="D1029" s="73" t="s">
        <v>952</v>
      </c>
      <c r="E1029" s="77" t="s">
        <v>93</v>
      </c>
      <c r="F1029" s="75" t="s">
        <v>2019</v>
      </c>
      <c r="G1029" s="74" t="s">
        <v>1173</v>
      </c>
      <c r="H1029" s="69"/>
    </row>
    <row r="1030" spans="1:8" ht="16" x14ac:dyDescent="0.2">
      <c r="A1030" s="72"/>
      <c r="B1030" s="76"/>
      <c r="C1030" s="73"/>
      <c r="D1030" s="73" t="s">
        <v>952</v>
      </c>
      <c r="E1030" s="77" t="s">
        <v>93</v>
      </c>
      <c r="F1030" s="75" t="s">
        <v>2020</v>
      </c>
      <c r="G1030" s="74" t="s">
        <v>1173</v>
      </c>
      <c r="H1030" s="69"/>
    </row>
    <row r="1031" spans="1:8" ht="16" x14ac:dyDescent="0.2">
      <c r="A1031" s="72"/>
      <c r="B1031" s="76"/>
      <c r="C1031" s="73"/>
      <c r="D1031" s="73" t="s">
        <v>952</v>
      </c>
      <c r="E1031" s="77" t="s">
        <v>93</v>
      </c>
      <c r="F1031" s="75" t="s">
        <v>2021</v>
      </c>
      <c r="G1031" s="74" t="s">
        <v>1173</v>
      </c>
      <c r="H1031" s="69"/>
    </row>
    <row r="1032" spans="1:8" ht="16" x14ac:dyDescent="0.2">
      <c r="A1032" s="72"/>
      <c r="B1032" s="76"/>
      <c r="C1032" s="73"/>
      <c r="D1032" s="73" t="s">
        <v>952</v>
      </c>
      <c r="E1032" s="77" t="s">
        <v>134</v>
      </c>
      <c r="F1032" s="75" t="s">
        <v>1997</v>
      </c>
      <c r="G1032" s="74" t="s">
        <v>1173</v>
      </c>
      <c r="H1032" s="69"/>
    </row>
    <row r="1033" spans="1:8" ht="16" x14ac:dyDescent="0.2">
      <c r="A1033" s="72"/>
      <c r="B1033" s="76"/>
      <c r="C1033" s="73"/>
      <c r="D1033" s="73" t="s">
        <v>952</v>
      </c>
      <c r="E1033" s="77" t="s">
        <v>134</v>
      </c>
      <c r="F1033" s="75" t="s">
        <v>279</v>
      </c>
      <c r="G1033" s="74" t="s">
        <v>1173</v>
      </c>
      <c r="H1033" s="69"/>
    </row>
    <row r="1034" spans="1:8" ht="16" x14ac:dyDescent="0.2">
      <c r="A1034" s="72"/>
      <c r="B1034" s="76"/>
      <c r="C1034" s="73"/>
      <c r="D1034" s="73" t="s">
        <v>952</v>
      </c>
      <c r="E1034" s="77" t="s">
        <v>134</v>
      </c>
      <c r="F1034" s="75" t="s">
        <v>2019</v>
      </c>
      <c r="G1034" s="74" t="s">
        <v>1173</v>
      </c>
      <c r="H1034" s="69"/>
    </row>
    <row r="1035" spans="1:8" ht="16" x14ac:dyDescent="0.2">
      <c r="A1035" s="72"/>
      <c r="B1035" s="76"/>
      <c r="C1035" s="73"/>
      <c r="D1035" s="73" t="s">
        <v>952</v>
      </c>
      <c r="E1035" s="77" t="s">
        <v>134</v>
      </c>
      <c r="F1035" s="75" t="s">
        <v>2020</v>
      </c>
      <c r="G1035" s="74" t="s">
        <v>1173</v>
      </c>
      <c r="H1035" s="69"/>
    </row>
    <row r="1036" spans="1:8" ht="16" x14ac:dyDescent="0.2">
      <c r="A1036" s="72"/>
      <c r="B1036" s="76"/>
      <c r="C1036" s="73"/>
      <c r="D1036" s="73" t="s">
        <v>952</v>
      </c>
      <c r="E1036" s="77" t="s">
        <v>134</v>
      </c>
      <c r="F1036" s="75" t="s">
        <v>2021</v>
      </c>
      <c r="G1036" s="74" t="s">
        <v>1173</v>
      </c>
      <c r="H1036" s="69"/>
    </row>
    <row r="1037" spans="1:8" ht="16" x14ac:dyDescent="0.2">
      <c r="A1037" s="72"/>
      <c r="B1037" s="84"/>
      <c r="C1037" s="73"/>
      <c r="D1037" s="73" t="s">
        <v>952</v>
      </c>
      <c r="E1037" s="77" t="s">
        <v>93</v>
      </c>
      <c r="F1037" s="75" t="s">
        <v>1997</v>
      </c>
      <c r="G1037" s="74" t="s">
        <v>1193</v>
      </c>
      <c r="H1037" s="69"/>
    </row>
    <row r="1038" spans="1:8" ht="16" x14ac:dyDescent="0.2">
      <c r="A1038" s="72"/>
      <c r="B1038" s="84"/>
      <c r="C1038" s="73"/>
      <c r="D1038" s="73" t="s">
        <v>952</v>
      </c>
      <c r="E1038" s="77" t="s">
        <v>93</v>
      </c>
      <c r="F1038" s="75" t="s">
        <v>279</v>
      </c>
      <c r="G1038" s="74" t="s">
        <v>1193</v>
      </c>
      <c r="H1038" s="69"/>
    </row>
    <row r="1039" spans="1:8" ht="16" x14ac:dyDescent="0.2">
      <c r="A1039" s="72"/>
      <c r="B1039" s="84"/>
      <c r="C1039" s="73"/>
      <c r="D1039" s="73" t="s">
        <v>952</v>
      </c>
      <c r="E1039" s="77" t="s">
        <v>93</v>
      </c>
      <c r="F1039" s="75" t="s">
        <v>2042</v>
      </c>
      <c r="G1039" s="74" t="s">
        <v>1193</v>
      </c>
      <c r="H1039" s="69"/>
    </row>
    <row r="1040" spans="1:8" ht="16" x14ac:dyDescent="0.2">
      <c r="A1040" s="72"/>
      <c r="B1040" s="84"/>
      <c r="C1040" s="73"/>
      <c r="D1040" s="73" t="s">
        <v>952</v>
      </c>
      <c r="E1040" s="77" t="s">
        <v>93</v>
      </c>
      <c r="F1040" s="75" t="s">
        <v>2044</v>
      </c>
      <c r="G1040" s="74" t="s">
        <v>1193</v>
      </c>
      <c r="H1040" s="69"/>
    </row>
    <row r="1041" spans="1:8" ht="16" x14ac:dyDescent="0.2">
      <c r="A1041" s="72"/>
      <c r="B1041" s="84"/>
      <c r="C1041" s="73"/>
      <c r="D1041" s="73" t="s">
        <v>952</v>
      </c>
      <c r="E1041" s="77" t="s">
        <v>93</v>
      </c>
      <c r="F1041" s="75" t="s">
        <v>2021</v>
      </c>
      <c r="G1041" s="74" t="s">
        <v>1193</v>
      </c>
      <c r="H1041" s="69"/>
    </row>
    <row r="1042" spans="1:8" ht="16" x14ac:dyDescent="0.2">
      <c r="A1042" s="72"/>
      <c r="B1042" s="84"/>
      <c r="C1042" s="73"/>
      <c r="D1042" s="73" t="s">
        <v>952</v>
      </c>
      <c r="E1042" s="77" t="s">
        <v>134</v>
      </c>
      <c r="F1042" s="75" t="s">
        <v>1997</v>
      </c>
      <c r="G1042" s="74" t="s">
        <v>1193</v>
      </c>
      <c r="H1042" s="69"/>
    </row>
    <row r="1043" spans="1:8" ht="16" x14ac:dyDescent="0.2">
      <c r="A1043" s="72"/>
      <c r="B1043" s="84"/>
      <c r="C1043" s="73"/>
      <c r="D1043" s="73" t="s">
        <v>952</v>
      </c>
      <c r="E1043" s="77" t="s">
        <v>134</v>
      </c>
      <c r="F1043" s="75" t="s">
        <v>279</v>
      </c>
      <c r="G1043" s="74" t="s">
        <v>1193</v>
      </c>
      <c r="H1043" s="69"/>
    </row>
    <row r="1044" spans="1:8" ht="16" x14ac:dyDescent="0.2">
      <c r="A1044" s="72"/>
      <c r="B1044" s="84"/>
      <c r="C1044" s="73"/>
      <c r="D1044" s="73" t="s">
        <v>952</v>
      </c>
      <c r="E1044" s="77" t="s">
        <v>134</v>
      </c>
      <c r="F1044" s="75" t="s">
        <v>2042</v>
      </c>
      <c r="G1044" s="74" t="s">
        <v>1193</v>
      </c>
      <c r="H1044" s="69"/>
    </row>
    <row r="1045" spans="1:8" ht="16" x14ac:dyDescent="0.2">
      <c r="A1045" s="72"/>
      <c r="B1045" s="84"/>
      <c r="C1045" s="73"/>
      <c r="D1045" s="73" t="s">
        <v>952</v>
      </c>
      <c r="E1045" s="77" t="s">
        <v>134</v>
      </c>
      <c r="F1045" s="75" t="s">
        <v>2044</v>
      </c>
      <c r="G1045" s="74" t="s">
        <v>1193</v>
      </c>
      <c r="H1045" s="69"/>
    </row>
    <row r="1046" spans="1:8" ht="16" x14ac:dyDescent="0.2">
      <c r="A1046" s="72"/>
      <c r="B1046" s="84"/>
      <c r="C1046" s="73"/>
      <c r="D1046" s="73" t="s">
        <v>952</v>
      </c>
      <c r="E1046" s="77" t="s">
        <v>134</v>
      </c>
      <c r="F1046" s="75" t="s">
        <v>2021</v>
      </c>
      <c r="G1046" s="74" t="s">
        <v>1193</v>
      </c>
      <c r="H1046" s="69"/>
    </row>
    <row r="1047" spans="1:8" ht="16" x14ac:dyDescent="0.2">
      <c r="A1047" s="72"/>
      <c r="B1047" s="76"/>
      <c r="C1047" s="73"/>
      <c r="D1047" s="73" t="s">
        <v>952</v>
      </c>
      <c r="E1047" s="77" t="s">
        <v>93</v>
      </c>
      <c r="F1047" s="75" t="s">
        <v>2022</v>
      </c>
      <c r="G1047" s="74" t="s">
        <v>1172</v>
      </c>
      <c r="H1047" s="69"/>
    </row>
    <row r="1048" spans="1:8" ht="16" x14ac:dyDescent="0.2">
      <c r="A1048" s="72"/>
      <c r="B1048" s="76"/>
      <c r="C1048" s="73"/>
      <c r="D1048" s="73" t="s">
        <v>952</v>
      </c>
      <c r="E1048" s="77" t="s">
        <v>93</v>
      </c>
      <c r="F1048" s="75" t="s">
        <v>2033</v>
      </c>
      <c r="G1048" s="74" t="s">
        <v>1172</v>
      </c>
      <c r="H1048" s="69"/>
    </row>
    <row r="1049" spans="1:8" ht="16" x14ac:dyDescent="0.2">
      <c r="A1049" s="72"/>
      <c r="B1049" s="76"/>
      <c r="C1049" s="73"/>
      <c r="D1049" s="73" t="s">
        <v>952</v>
      </c>
      <c r="E1049" s="77" t="s">
        <v>93</v>
      </c>
      <c r="F1049" s="75" t="s">
        <v>2023</v>
      </c>
      <c r="G1049" s="74" t="s">
        <v>1172</v>
      </c>
      <c r="H1049" s="69"/>
    </row>
    <row r="1050" spans="1:8" ht="16" x14ac:dyDescent="0.2">
      <c r="A1050" s="72"/>
      <c r="B1050" s="76"/>
      <c r="C1050" s="73"/>
      <c r="D1050" s="73" t="s">
        <v>952</v>
      </c>
      <c r="E1050" s="77" t="s">
        <v>93</v>
      </c>
      <c r="F1050" s="75" t="s">
        <v>2022</v>
      </c>
      <c r="G1050" s="74" t="s">
        <v>1172</v>
      </c>
      <c r="H1050" s="69"/>
    </row>
    <row r="1051" spans="1:8" ht="16" x14ac:dyDescent="0.2">
      <c r="A1051" s="72"/>
      <c r="B1051" s="76"/>
      <c r="C1051" s="73"/>
      <c r="D1051" s="73" t="s">
        <v>952</v>
      </c>
      <c r="E1051" s="77" t="s">
        <v>93</v>
      </c>
      <c r="F1051" s="75" t="s">
        <v>2033</v>
      </c>
      <c r="G1051" s="74" t="s">
        <v>1172</v>
      </c>
      <c r="H1051" s="69"/>
    </row>
    <row r="1052" spans="1:8" ht="16" x14ac:dyDescent="0.2">
      <c r="A1052" s="72"/>
      <c r="B1052" s="76"/>
      <c r="C1052" s="73"/>
      <c r="D1052" s="73" t="s">
        <v>952</v>
      </c>
      <c r="E1052" s="77" t="s">
        <v>93</v>
      </c>
      <c r="F1052" s="75" t="s">
        <v>2023</v>
      </c>
      <c r="G1052" s="74" t="s">
        <v>1172</v>
      </c>
      <c r="H1052" s="69"/>
    </row>
    <row r="1053" spans="1:8" ht="16" x14ac:dyDescent="0.2">
      <c r="A1053" s="72"/>
      <c r="B1053" s="76"/>
      <c r="C1053" s="73"/>
      <c r="D1053" s="73" t="s">
        <v>952</v>
      </c>
      <c r="E1053" s="77" t="s">
        <v>93</v>
      </c>
      <c r="F1053" s="75" t="s">
        <v>2038</v>
      </c>
      <c r="G1053" s="74" t="s">
        <v>1174</v>
      </c>
      <c r="H1053" s="69"/>
    </row>
    <row r="1054" spans="1:8" ht="16" x14ac:dyDescent="0.2">
      <c r="A1054" s="72"/>
      <c r="B1054" s="76"/>
      <c r="C1054" s="73"/>
      <c r="D1054" s="73" t="s">
        <v>952</v>
      </c>
      <c r="E1054" s="77" t="s">
        <v>93</v>
      </c>
      <c r="F1054" s="75" t="s">
        <v>2039</v>
      </c>
      <c r="G1054" s="74" t="s">
        <v>1174</v>
      </c>
      <c r="H1054" s="69"/>
    </row>
    <row r="1055" spans="1:8" ht="16" x14ac:dyDescent="0.2">
      <c r="A1055" s="72"/>
      <c r="B1055" s="76"/>
      <c r="C1055" s="73"/>
      <c r="D1055" s="73" t="s">
        <v>952</v>
      </c>
      <c r="E1055" s="77" t="s">
        <v>93</v>
      </c>
      <c r="F1055" s="75" t="s">
        <v>2040</v>
      </c>
      <c r="G1055" s="74" t="s">
        <v>1218</v>
      </c>
      <c r="H1055" s="69"/>
    </row>
    <row r="1056" spans="1:8" ht="16" x14ac:dyDescent="0.2">
      <c r="A1056" s="72"/>
      <c r="B1056" s="76"/>
      <c r="C1056" s="73"/>
      <c r="D1056" s="73" t="s">
        <v>952</v>
      </c>
      <c r="E1056" s="77" t="s">
        <v>93</v>
      </c>
      <c r="F1056" s="75" t="s">
        <v>2041</v>
      </c>
      <c r="G1056" s="74" t="s">
        <v>1218</v>
      </c>
      <c r="H1056" s="69"/>
    </row>
    <row r="1057" spans="1:8" ht="16" x14ac:dyDescent="0.2">
      <c r="A1057" s="72"/>
      <c r="B1057" s="76"/>
      <c r="C1057" s="73"/>
      <c r="D1057" s="73" t="s">
        <v>952</v>
      </c>
      <c r="E1057" s="77" t="s">
        <v>102</v>
      </c>
      <c r="F1057" s="75" t="s">
        <v>1549</v>
      </c>
      <c r="G1057" s="74" t="s">
        <v>1170</v>
      </c>
      <c r="H1057" s="69"/>
    </row>
    <row r="1058" spans="1:8" ht="16" x14ac:dyDescent="0.2">
      <c r="A1058" s="72"/>
      <c r="B1058" s="76"/>
      <c r="C1058" s="73"/>
      <c r="D1058" s="73" t="s">
        <v>952</v>
      </c>
      <c r="E1058" s="77" t="s">
        <v>102</v>
      </c>
      <c r="F1058" s="75" t="s">
        <v>1551</v>
      </c>
      <c r="G1058" s="74" t="s">
        <v>1170</v>
      </c>
      <c r="H1058" s="69"/>
    </row>
    <row r="1059" spans="1:8" ht="16" x14ac:dyDescent="0.2">
      <c r="A1059" s="72"/>
      <c r="B1059" s="76"/>
      <c r="C1059" s="73"/>
      <c r="D1059" s="73" t="s">
        <v>952</v>
      </c>
      <c r="E1059" s="77" t="s">
        <v>102</v>
      </c>
      <c r="F1059" s="75" t="s">
        <v>1550</v>
      </c>
      <c r="G1059" s="74" t="s">
        <v>1170</v>
      </c>
      <c r="H1059" s="69"/>
    </row>
    <row r="1060" spans="1:8" ht="16" x14ac:dyDescent="0.2">
      <c r="A1060" s="72"/>
      <c r="B1060" s="76"/>
      <c r="C1060" s="73"/>
      <c r="D1060" s="73" t="s">
        <v>952</v>
      </c>
      <c r="E1060" s="77" t="s">
        <v>102</v>
      </c>
      <c r="F1060" s="75" t="s">
        <v>1628</v>
      </c>
      <c r="G1060" s="74" t="s">
        <v>1170</v>
      </c>
      <c r="H1060" s="69"/>
    </row>
    <row r="1061" spans="1:8" ht="16" x14ac:dyDescent="0.2">
      <c r="A1061" s="72"/>
      <c r="B1061" s="76"/>
      <c r="C1061" s="73"/>
      <c r="D1061" s="73" t="s">
        <v>952</v>
      </c>
      <c r="E1061" s="77" t="s">
        <v>102</v>
      </c>
      <c r="F1061" s="75" t="s">
        <v>1552</v>
      </c>
      <c r="G1061" s="74" t="s">
        <v>1170</v>
      </c>
      <c r="H1061" s="69"/>
    </row>
    <row r="1062" spans="1:8" ht="16" x14ac:dyDescent="0.2">
      <c r="A1062" s="72"/>
      <c r="B1062" s="76"/>
      <c r="C1062" s="73"/>
      <c r="D1062" s="73" t="s">
        <v>952</v>
      </c>
      <c r="E1062" s="77" t="s">
        <v>102</v>
      </c>
      <c r="F1062" s="75" t="s">
        <v>1553</v>
      </c>
      <c r="G1062" s="74" t="s">
        <v>1170</v>
      </c>
      <c r="H1062" s="69"/>
    </row>
    <row r="1063" spans="1:8" ht="16" x14ac:dyDescent="0.2">
      <c r="A1063" s="72"/>
      <c r="B1063" s="76"/>
      <c r="C1063" s="73"/>
      <c r="D1063" s="73" t="s">
        <v>952</v>
      </c>
      <c r="E1063" s="77" t="s">
        <v>102</v>
      </c>
      <c r="F1063" s="75" t="s">
        <v>1554</v>
      </c>
      <c r="G1063" s="74" t="s">
        <v>1170</v>
      </c>
      <c r="H1063" s="69"/>
    </row>
    <row r="1064" spans="1:8" ht="16" x14ac:dyDescent="0.2">
      <c r="A1064" s="72"/>
      <c r="B1064" s="76"/>
      <c r="C1064" s="73"/>
      <c r="D1064" s="73" t="s">
        <v>952</v>
      </c>
      <c r="E1064" s="77" t="s">
        <v>102</v>
      </c>
      <c r="F1064" s="75" t="s">
        <v>1555</v>
      </c>
      <c r="G1064" s="74" t="s">
        <v>1170</v>
      </c>
      <c r="H1064" s="69"/>
    </row>
    <row r="1065" spans="1:8" ht="16" x14ac:dyDescent="0.2">
      <c r="A1065" s="72"/>
      <c r="B1065" s="76"/>
      <c r="C1065" s="73"/>
      <c r="D1065" s="73" t="s">
        <v>952</v>
      </c>
      <c r="E1065" s="77" t="s">
        <v>102</v>
      </c>
      <c r="F1065" s="75" t="s">
        <v>1549</v>
      </c>
      <c r="G1065" s="74" t="s">
        <v>1170</v>
      </c>
      <c r="H1065" s="69"/>
    </row>
    <row r="1066" spans="1:8" ht="16" x14ac:dyDescent="0.2">
      <c r="A1066" s="72"/>
      <c r="B1066" s="76"/>
      <c r="C1066" s="73"/>
      <c r="D1066" s="73" t="s">
        <v>952</v>
      </c>
      <c r="E1066" s="77" t="s">
        <v>102</v>
      </c>
      <c r="F1066" s="75" t="s">
        <v>1551</v>
      </c>
      <c r="G1066" s="74" t="s">
        <v>1170</v>
      </c>
      <c r="H1066" s="69"/>
    </row>
    <row r="1067" spans="1:8" ht="16" x14ac:dyDescent="0.2">
      <c r="A1067" s="72"/>
      <c r="B1067" s="76"/>
      <c r="C1067" s="73"/>
      <c r="D1067" s="73" t="s">
        <v>952</v>
      </c>
      <c r="E1067" s="77" t="s">
        <v>102</v>
      </c>
      <c r="F1067" s="75" t="s">
        <v>1550</v>
      </c>
      <c r="G1067" s="74" t="s">
        <v>1170</v>
      </c>
      <c r="H1067" s="69"/>
    </row>
    <row r="1068" spans="1:8" ht="16" x14ac:dyDescent="0.2">
      <c r="A1068" s="72"/>
      <c r="B1068" s="76"/>
      <c r="C1068" s="73"/>
      <c r="D1068" s="73" t="s">
        <v>952</v>
      </c>
      <c r="E1068" s="77" t="s">
        <v>102</v>
      </c>
      <c r="F1068" s="75" t="s">
        <v>1628</v>
      </c>
      <c r="G1068" s="74" t="s">
        <v>1170</v>
      </c>
      <c r="H1068" s="69"/>
    </row>
    <row r="1069" spans="1:8" ht="16" x14ac:dyDescent="0.2">
      <c r="A1069" s="72"/>
      <c r="B1069" s="76"/>
      <c r="C1069" s="73"/>
      <c r="D1069" s="73" t="s">
        <v>952</v>
      </c>
      <c r="E1069" s="77" t="s">
        <v>102</v>
      </c>
      <c r="F1069" s="75" t="s">
        <v>1552</v>
      </c>
      <c r="G1069" s="74" t="s">
        <v>1170</v>
      </c>
      <c r="H1069" s="69"/>
    </row>
    <row r="1070" spans="1:8" ht="16" x14ac:dyDescent="0.2">
      <c r="A1070" s="72"/>
      <c r="B1070" s="76"/>
      <c r="C1070" s="73"/>
      <c r="D1070" s="73" t="s">
        <v>952</v>
      </c>
      <c r="E1070" s="77" t="s">
        <v>102</v>
      </c>
      <c r="F1070" s="75" t="s">
        <v>1553</v>
      </c>
      <c r="G1070" s="74" t="s">
        <v>1170</v>
      </c>
      <c r="H1070" s="69"/>
    </row>
    <row r="1071" spans="1:8" ht="16" x14ac:dyDescent="0.2">
      <c r="A1071" s="72"/>
      <c r="B1071" s="76"/>
      <c r="C1071" s="73"/>
      <c r="D1071" s="73" t="s">
        <v>952</v>
      </c>
      <c r="E1071" s="77" t="s">
        <v>102</v>
      </c>
      <c r="F1071" s="75" t="s">
        <v>1554</v>
      </c>
      <c r="G1071" s="74" t="s">
        <v>1170</v>
      </c>
      <c r="H1071" s="69"/>
    </row>
    <row r="1072" spans="1:8" ht="16" x14ac:dyDescent="0.2">
      <c r="A1072" s="72"/>
      <c r="B1072" s="76"/>
      <c r="C1072" s="73"/>
      <c r="D1072" s="73" t="s">
        <v>952</v>
      </c>
      <c r="E1072" s="77" t="s">
        <v>102</v>
      </c>
      <c r="F1072" s="75" t="s">
        <v>1555</v>
      </c>
      <c r="G1072" s="74" t="s">
        <v>1170</v>
      </c>
      <c r="H1072" s="69"/>
    </row>
    <row r="1073" spans="1:8" ht="16" x14ac:dyDescent="0.2">
      <c r="A1073" s="72"/>
      <c r="B1073" s="76"/>
      <c r="C1073" s="73"/>
      <c r="D1073" s="73" t="s">
        <v>952</v>
      </c>
      <c r="E1073" s="77" t="s">
        <v>93</v>
      </c>
      <c r="F1073" s="75" t="s">
        <v>1589</v>
      </c>
      <c r="G1073" s="74" t="s">
        <v>1210</v>
      </c>
      <c r="H1073" s="69"/>
    </row>
    <row r="1074" spans="1:8" ht="16" x14ac:dyDescent="0.2">
      <c r="A1074" s="72"/>
      <c r="B1074" s="76"/>
      <c r="C1074" s="73"/>
      <c r="D1074" s="73" t="s">
        <v>952</v>
      </c>
      <c r="E1074" s="77" t="s">
        <v>93</v>
      </c>
      <c r="F1074" s="75" t="s">
        <v>1597</v>
      </c>
      <c r="G1074" s="74" t="s">
        <v>1219</v>
      </c>
      <c r="H1074" s="69"/>
    </row>
    <row r="1075" spans="1:8" ht="16" x14ac:dyDescent="0.2">
      <c r="A1075" s="72"/>
      <c r="B1075" s="76"/>
      <c r="C1075" s="73"/>
      <c r="D1075" s="73" t="s">
        <v>952</v>
      </c>
      <c r="E1075" s="77" t="s">
        <v>93</v>
      </c>
      <c r="F1075" s="75" t="s">
        <v>1590</v>
      </c>
      <c r="G1075" s="74" t="s">
        <v>1210</v>
      </c>
      <c r="H1075" s="69"/>
    </row>
    <row r="1076" spans="1:8" ht="16" x14ac:dyDescent="0.2">
      <c r="A1076" s="72"/>
      <c r="B1076" s="76"/>
      <c r="C1076" s="73"/>
      <c r="D1076" s="73" t="s">
        <v>952</v>
      </c>
      <c r="E1076" s="77" t="s">
        <v>93</v>
      </c>
      <c r="F1076" s="75" t="s">
        <v>1598</v>
      </c>
      <c r="G1076" s="74" t="s">
        <v>1219</v>
      </c>
      <c r="H1076" s="69"/>
    </row>
    <row r="1077" spans="1:8" ht="16" x14ac:dyDescent="0.2">
      <c r="A1077" s="72"/>
      <c r="B1077" s="76"/>
      <c r="C1077" s="73"/>
      <c r="D1077" s="73" t="s">
        <v>952</v>
      </c>
      <c r="E1077" s="77" t="s">
        <v>93</v>
      </c>
      <c r="F1077" s="75" t="s">
        <v>1593</v>
      </c>
      <c r="G1077" s="74" t="s">
        <v>1211</v>
      </c>
      <c r="H1077" s="69"/>
    </row>
    <row r="1078" spans="1:8" ht="16" x14ac:dyDescent="0.2">
      <c r="A1078" s="72"/>
      <c r="B1078" s="76"/>
      <c r="C1078" s="73"/>
      <c r="D1078" s="73" t="s">
        <v>952</v>
      </c>
      <c r="E1078" s="77" t="s">
        <v>93</v>
      </c>
      <c r="F1078" s="75" t="s">
        <v>1601</v>
      </c>
      <c r="G1078" s="74" t="s">
        <v>1220</v>
      </c>
      <c r="H1078" s="69"/>
    </row>
    <row r="1079" spans="1:8" ht="16" x14ac:dyDescent="0.2">
      <c r="A1079" s="72"/>
      <c r="B1079" s="76"/>
      <c r="C1079" s="73"/>
      <c r="D1079" s="73" t="s">
        <v>952</v>
      </c>
      <c r="E1079" s="77" t="s">
        <v>93</v>
      </c>
      <c r="F1079" s="75" t="s">
        <v>1594</v>
      </c>
      <c r="G1079" s="74" t="s">
        <v>1211</v>
      </c>
      <c r="H1079" s="69"/>
    </row>
    <row r="1080" spans="1:8" ht="16" x14ac:dyDescent="0.2">
      <c r="A1080" s="72"/>
      <c r="B1080" s="76"/>
      <c r="C1080" s="73"/>
      <c r="D1080" s="73" t="s">
        <v>952</v>
      </c>
      <c r="E1080" s="77" t="s">
        <v>93</v>
      </c>
      <c r="F1080" s="75" t="s">
        <v>1602</v>
      </c>
      <c r="G1080" s="74" t="s">
        <v>1220</v>
      </c>
      <c r="H1080" s="69"/>
    </row>
    <row r="1081" spans="1:8" ht="16" x14ac:dyDescent="0.2">
      <c r="A1081" s="72"/>
      <c r="B1081" s="76"/>
      <c r="C1081" s="73"/>
      <c r="D1081" s="73" t="s">
        <v>952</v>
      </c>
      <c r="E1081" s="77" t="s">
        <v>93</v>
      </c>
      <c r="F1081" s="75" t="s">
        <v>1595</v>
      </c>
      <c r="G1081" s="74" t="s">
        <v>1211</v>
      </c>
      <c r="H1081" s="69"/>
    </row>
    <row r="1082" spans="1:8" ht="16" x14ac:dyDescent="0.2">
      <c r="A1082" s="72"/>
      <c r="B1082" s="76"/>
      <c r="C1082" s="73"/>
      <c r="D1082" s="73" t="s">
        <v>952</v>
      </c>
      <c r="E1082" s="77" t="s">
        <v>93</v>
      </c>
      <c r="F1082" s="75" t="s">
        <v>1603</v>
      </c>
      <c r="G1082" s="74" t="s">
        <v>1220</v>
      </c>
      <c r="H1082" s="69"/>
    </row>
    <row r="1083" spans="1:8" ht="16" x14ac:dyDescent="0.2">
      <c r="A1083" s="72"/>
      <c r="B1083" s="76"/>
      <c r="C1083" s="73"/>
      <c r="D1083" s="73" t="s">
        <v>952</v>
      </c>
      <c r="E1083" s="77" t="s">
        <v>93</v>
      </c>
      <c r="F1083" s="75" t="s">
        <v>1592</v>
      </c>
      <c r="G1083" s="74" t="s">
        <v>1210</v>
      </c>
      <c r="H1083" s="69"/>
    </row>
    <row r="1084" spans="1:8" ht="16" x14ac:dyDescent="0.2">
      <c r="A1084" s="72"/>
      <c r="B1084" s="76"/>
      <c r="C1084" s="73"/>
      <c r="D1084" s="73" t="s">
        <v>952</v>
      </c>
      <c r="E1084" s="77" t="s">
        <v>93</v>
      </c>
      <c r="F1084" s="75" t="s">
        <v>1600</v>
      </c>
      <c r="G1084" s="74" t="s">
        <v>1219</v>
      </c>
      <c r="H1084" s="69"/>
    </row>
    <row r="1085" spans="1:8" ht="16" x14ac:dyDescent="0.2">
      <c r="A1085" s="72"/>
      <c r="B1085" s="76"/>
      <c r="C1085" s="73"/>
      <c r="D1085" s="73" t="s">
        <v>952</v>
      </c>
      <c r="E1085" s="77" t="s">
        <v>93</v>
      </c>
      <c r="F1085" s="75" t="s">
        <v>1596</v>
      </c>
      <c r="G1085" s="74" t="s">
        <v>1211</v>
      </c>
      <c r="H1085" s="69"/>
    </row>
    <row r="1086" spans="1:8" ht="16" x14ac:dyDescent="0.2">
      <c r="A1086" s="72"/>
      <c r="B1086" s="76"/>
      <c r="C1086" s="73"/>
      <c r="D1086" s="73" t="s">
        <v>952</v>
      </c>
      <c r="E1086" s="77" t="s">
        <v>93</v>
      </c>
      <c r="F1086" s="75" t="s">
        <v>1604</v>
      </c>
      <c r="G1086" s="74" t="s">
        <v>1220</v>
      </c>
      <c r="H1086" s="69"/>
    </row>
    <row r="1087" spans="1:8" ht="16" x14ac:dyDescent="0.2">
      <c r="A1087" s="72"/>
      <c r="B1087" s="76"/>
      <c r="C1087" s="73"/>
      <c r="D1087" s="73" t="s">
        <v>952</v>
      </c>
      <c r="E1087" s="77" t="s">
        <v>93</v>
      </c>
      <c r="F1087" s="75" t="s">
        <v>1591</v>
      </c>
      <c r="G1087" s="74" t="s">
        <v>1210</v>
      </c>
      <c r="H1087" s="69"/>
    </row>
    <row r="1088" spans="1:8" ht="16" x14ac:dyDescent="0.2">
      <c r="A1088" s="72"/>
      <c r="B1088" s="76"/>
      <c r="C1088" s="73"/>
      <c r="D1088" s="73" t="s">
        <v>952</v>
      </c>
      <c r="E1088" s="77" t="s">
        <v>93</v>
      </c>
      <c r="F1088" s="75" t="s">
        <v>1599</v>
      </c>
      <c r="G1088" s="74" t="s">
        <v>1219</v>
      </c>
      <c r="H1088" s="69"/>
    </row>
    <row r="1089" spans="1:8" ht="16" x14ac:dyDescent="0.2">
      <c r="A1089" s="72"/>
      <c r="B1089" s="84"/>
      <c r="C1089" s="73"/>
      <c r="D1089" s="73" t="s">
        <v>952</v>
      </c>
      <c r="E1089" s="77" t="s">
        <v>93</v>
      </c>
      <c r="F1089" s="75" t="s">
        <v>387</v>
      </c>
      <c r="G1089" s="74" t="s">
        <v>576</v>
      </c>
      <c r="H1089" s="69"/>
    </row>
    <row r="1090" spans="1:8" ht="16" x14ac:dyDescent="0.2">
      <c r="A1090" s="72"/>
      <c r="B1090" s="84"/>
      <c r="C1090" s="73"/>
      <c r="D1090" s="73" t="s">
        <v>952</v>
      </c>
      <c r="E1090" s="77" t="s">
        <v>93</v>
      </c>
      <c r="F1090" s="75" t="s">
        <v>1556</v>
      </c>
      <c r="G1090" s="74" t="s">
        <v>576</v>
      </c>
      <c r="H1090" s="69"/>
    </row>
    <row r="1091" spans="1:8" ht="16" x14ac:dyDescent="0.2">
      <c r="A1091" s="72"/>
      <c r="B1091" s="84"/>
      <c r="C1091" s="73"/>
      <c r="D1091" s="73" t="s">
        <v>952</v>
      </c>
      <c r="E1091" s="77" t="s">
        <v>93</v>
      </c>
      <c r="F1091" s="75" t="s">
        <v>1630</v>
      </c>
      <c r="G1091" s="74" t="s">
        <v>576</v>
      </c>
      <c r="H1091" s="69"/>
    </row>
    <row r="1092" spans="1:8" ht="16" x14ac:dyDescent="0.2">
      <c r="A1092" s="72"/>
      <c r="B1092" s="84"/>
      <c r="C1092" s="73"/>
      <c r="D1092" s="73" t="s">
        <v>952</v>
      </c>
      <c r="E1092" s="77" t="s">
        <v>93</v>
      </c>
      <c r="F1092" s="75" t="s">
        <v>1557</v>
      </c>
      <c r="G1092" s="74" t="s">
        <v>576</v>
      </c>
      <c r="H1092" s="69"/>
    </row>
    <row r="1093" spans="1:8" ht="16" x14ac:dyDescent="0.2">
      <c r="A1093" s="72"/>
      <c r="B1093" s="84"/>
      <c r="C1093" s="73"/>
      <c r="D1093" s="73" t="s">
        <v>952</v>
      </c>
      <c r="E1093" s="77" t="s">
        <v>93</v>
      </c>
      <c r="F1093" s="75" t="s">
        <v>1605</v>
      </c>
      <c r="G1093" s="74" t="s">
        <v>576</v>
      </c>
      <c r="H1093" s="69"/>
    </row>
    <row r="1094" spans="1:8" ht="16" x14ac:dyDescent="0.2">
      <c r="A1094" s="72"/>
      <c r="B1094" s="84"/>
      <c r="C1094" s="73"/>
      <c r="D1094" s="73" t="s">
        <v>952</v>
      </c>
      <c r="E1094" s="77" t="s">
        <v>93</v>
      </c>
      <c r="F1094" s="75" t="s">
        <v>1606</v>
      </c>
      <c r="G1094" s="74" t="s">
        <v>576</v>
      </c>
      <c r="H1094" s="69"/>
    </row>
    <row r="1095" spans="1:8" ht="16" x14ac:dyDescent="0.2">
      <c r="A1095" s="72"/>
      <c r="B1095" s="84"/>
      <c r="C1095" s="73"/>
      <c r="D1095" s="73" t="s">
        <v>952</v>
      </c>
      <c r="E1095" s="77" t="s">
        <v>93</v>
      </c>
      <c r="F1095" s="75" t="s">
        <v>1559</v>
      </c>
      <c r="G1095" s="74" t="s">
        <v>576</v>
      </c>
      <c r="H1095" s="69"/>
    </row>
    <row r="1096" spans="1:8" ht="16" x14ac:dyDescent="0.2">
      <c r="A1096" s="72"/>
      <c r="B1096" s="84"/>
      <c r="C1096" s="73"/>
      <c r="D1096" s="73" t="s">
        <v>952</v>
      </c>
      <c r="E1096" s="77" t="s">
        <v>93</v>
      </c>
      <c r="F1096" s="75" t="s">
        <v>1607</v>
      </c>
      <c r="G1096" s="74" t="s">
        <v>576</v>
      </c>
      <c r="H1096" s="69"/>
    </row>
    <row r="1097" spans="1:8" ht="16" x14ac:dyDescent="0.2">
      <c r="A1097" s="72"/>
      <c r="B1097" s="84"/>
      <c r="C1097" s="73"/>
      <c r="D1097" s="73" t="s">
        <v>952</v>
      </c>
      <c r="E1097" s="77" t="s">
        <v>93</v>
      </c>
      <c r="F1097" s="75" t="s">
        <v>1560</v>
      </c>
      <c r="G1097" s="74" t="s">
        <v>576</v>
      </c>
      <c r="H1097" s="69"/>
    </row>
    <row r="1098" spans="1:8" ht="16" x14ac:dyDescent="0.2">
      <c r="A1098" s="72"/>
      <c r="B1098" s="84"/>
      <c r="C1098" s="73"/>
      <c r="D1098" s="73" t="s">
        <v>952</v>
      </c>
      <c r="E1098" s="77" t="s">
        <v>93</v>
      </c>
      <c r="F1098" s="75" t="s">
        <v>395</v>
      </c>
      <c r="G1098" s="74" t="s">
        <v>576</v>
      </c>
      <c r="H1098" s="69"/>
    </row>
    <row r="1099" spans="1:8" ht="16" x14ac:dyDescent="0.2">
      <c r="A1099" s="72"/>
      <c r="B1099" s="84"/>
      <c r="C1099" s="73"/>
      <c r="D1099" s="73" t="s">
        <v>952</v>
      </c>
      <c r="E1099" s="77" t="s">
        <v>93</v>
      </c>
      <c r="F1099" s="75" t="s">
        <v>1608</v>
      </c>
      <c r="G1099" s="74" t="s">
        <v>576</v>
      </c>
      <c r="H1099" s="69"/>
    </row>
    <row r="1100" spans="1:8" ht="16" x14ac:dyDescent="0.2">
      <c r="A1100" s="72"/>
      <c r="B1100" s="84"/>
      <c r="C1100" s="73"/>
      <c r="D1100" s="73" t="s">
        <v>952</v>
      </c>
      <c r="E1100" s="77" t="s">
        <v>93</v>
      </c>
      <c r="F1100" s="75" t="s">
        <v>399</v>
      </c>
      <c r="G1100" s="74" t="s">
        <v>576</v>
      </c>
      <c r="H1100" s="69"/>
    </row>
    <row r="1101" spans="1:8" ht="16" x14ac:dyDescent="0.2">
      <c r="A1101" s="72"/>
      <c r="B1101" s="84"/>
      <c r="C1101" s="73"/>
      <c r="D1101" s="73" t="s">
        <v>952</v>
      </c>
      <c r="E1101" s="77" t="s">
        <v>93</v>
      </c>
      <c r="F1101" s="75" t="s">
        <v>1609</v>
      </c>
      <c r="G1101" s="74" t="s">
        <v>576</v>
      </c>
      <c r="H1101" s="69"/>
    </row>
    <row r="1102" spans="1:8" x14ac:dyDescent="0.2">
      <c r="A1102" s="72"/>
      <c r="B1102" s="84"/>
      <c r="C1102" s="73"/>
      <c r="D1102" s="73" t="s">
        <v>952</v>
      </c>
      <c r="E1102" s="77" t="s">
        <v>93</v>
      </c>
      <c r="F1102" s="75" t="s">
        <v>387</v>
      </c>
      <c r="G1102" s="75" t="s">
        <v>1183</v>
      </c>
      <c r="H1102" s="69"/>
    </row>
    <row r="1103" spans="1:8" x14ac:dyDescent="0.2">
      <c r="A1103" s="72"/>
      <c r="B1103" s="84"/>
      <c r="C1103" s="73"/>
      <c r="D1103" s="73" t="s">
        <v>952</v>
      </c>
      <c r="E1103" s="77" t="s">
        <v>93</v>
      </c>
      <c r="F1103" s="75" t="s">
        <v>1556</v>
      </c>
      <c r="G1103" s="75" t="s">
        <v>1183</v>
      </c>
      <c r="H1103" s="69"/>
    </row>
    <row r="1104" spans="1:8" x14ac:dyDescent="0.2">
      <c r="A1104" s="72"/>
      <c r="B1104" s="84"/>
      <c r="C1104" s="73"/>
      <c r="D1104" s="73" t="s">
        <v>952</v>
      </c>
      <c r="E1104" s="77" t="s">
        <v>93</v>
      </c>
      <c r="F1104" s="75" t="s">
        <v>1630</v>
      </c>
      <c r="G1104" s="75" t="s">
        <v>1183</v>
      </c>
      <c r="H1104" s="69"/>
    </row>
    <row r="1105" spans="1:8" x14ac:dyDescent="0.2">
      <c r="A1105" s="72"/>
      <c r="B1105" s="84"/>
      <c r="C1105" s="73"/>
      <c r="D1105" s="73" t="s">
        <v>952</v>
      </c>
      <c r="E1105" s="77" t="s">
        <v>93</v>
      </c>
      <c r="F1105" s="75" t="s">
        <v>1557</v>
      </c>
      <c r="G1105" s="75" t="s">
        <v>1183</v>
      </c>
      <c r="H1105" s="69"/>
    </row>
    <row r="1106" spans="1:8" x14ac:dyDescent="0.2">
      <c r="A1106" s="72"/>
      <c r="B1106" s="84"/>
      <c r="C1106" s="73"/>
      <c r="D1106" s="73" t="s">
        <v>952</v>
      </c>
      <c r="E1106" s="77" t="s">
        <v>93</v>
      </c>
      <c r="F1106" s="75" t="s">
        <v>1605</v>
      </c>
      <c r="G1106" s="75" t="s">
        <v>1183</v>
      </c>
      <c r="H1106" s="69"/>
    </row>
    <row r="1107" spans="1:8" x14ac:dyDescent="0.2">
      <c r="A1107" s="72"/>
      <c r="B1107" s="84"/>
      <c r="C1107" s="73"/>
      <c r="D1107" s="73" t="s">
        <v>952</v>
      </c>
      <c r="E1107" s="77" t="s">
        <v>93</v>
      </c>
      <c r="F1107" s="75" t="s">
        <v>1606</v>
      </c>
      <c r="G1107" s="75" t="s">
        <v>1183</v>
      </c>
      <c r="H1107" s="69"/>
    </row>
    <row r="1108" spans="1:8" x14ac:dyDescent="0.2">
      <c r="A1108" s="72"/>
      <c r="B1108" s="84"/>
      <c r="C1108" s="73"/>
      <c r="D1108" s="73" t="s">
        <v>952</v>
      </c>
      <c r="E1108" s="77" t="s">
        <v>93</v>
      </c>
      <c r="F1108" s="75" t="s">
        <v>1559</v>
      </c>
      <c r="G1108" s="75" t="s">
        <v>1183</v>
      </c>
      <c r="H1108" s="69"/>
    </row>
    <row r="1109" spans="1:8" x14ac:dyDescent="0.2">
      <c r="A1109" s="72"/>
      <c r="B1109" s="84"/>
      <c r="C1109" s="73"/>
      <c r="D1109" s="73" t="s">
        <v>952</v>
      </c>
      <c r="E1109" s="77" t="s">
        <v>93</v>
      </c>
      <c r="F1109" s="75" t="s">
        <v>1607</v>
      </c>
      <c r="G1109" s="75" t="s">
        <v>1183</v>
      </c>
      <c r="H1109" s="69"/>
    </row>
    <row r="1110" spans="1:8" x14ac:dyDescent="0.2">
      <c r="A1110" s="72"/>
      <c r="B1110" s="84"/>
      <c r="C1110" s="73"/>
      <c r="D1110" s="73" t="s">
        <v>952</v>
      </c>
      <c r="E1110" s="77" t="s">
        <v>93</v>
      </c>
      <c r="F1110" s="75" t="s">
        <v>1560</v>
      </c>
      <c r="G1110" s="75" t="s">
        <v>1183</v>
      </c>
      <c r="H1110" s="69"/>
    </row>
    <row r="1111" spans="1:8" x14ac:dyDescent="0.2">
      <c r="A1111" s="72"/>
      <c r="B1111" s="84"/>
      <c r="C1111" s="73"/>
      <c r="D1111" s="73" t="s">
        <v>952</v>
      </c>
      <c r="E1111" s="77" t="s">
        <v>93</v>
      </c>
      <c r="F1111" s="75" t="s">
        <v>395</v>
      </c>
      <c r="G1111" s="75" t="s">
        <v>1183</v>
      </c>
      <c r="H1111" s="69"/>
    </row>
    <row r="1112" spans="1:8" x14ac:dyDescent="0.2">
      <c r="A1112" s="72"/>
      <c r="B1112" s="84"/>
      <c r="C1112" s="73"/>
      <c r="D1112" s="73" t="s">
        <v>952</v>
      </c>
      <c r="E1112" s="77" t="s">
        <v>93</v>
      </c>
      <c r="F1112" s="75" t="s">
        <v>1608</v>
      </c>
      <c r="G1112" s="75" t="s">
        <v>1183</v>
      </c>
      <c r="H1112" s="69"/>
    </row>
    <row r="1113" spans="1:8" x14ac:dyDescent="0.2">
      <c r="A1113" s="72"/>
      <c r="B1113" s="84"/>
      <c r="C1113" s="73"/>
      <c r="D1113" s="73" t="s">
        <v>952</v>
      </c>
      <c r="E1113" s="77" t="s">
        <v>93</v>
      </c>
      <c r="F1113" s="75" t="s">
        <v>399</v>
      </c>
      <c r="G1113" s="75" t="s">
        <v>1183</v>
      </c>
      <c r="H1113" s="69"/>
    </row>
    <row r="1114" spans="1:8" x14ac:dyDescent="0.2">
      <c r="A1114" s="72"/>
      <c r="B1114" s="84"/>
      <c r="C1114" s="73"/>
      <c r="D1114" s="73" t="s">
        <v>952</v>
      </c>
      <c r="E1114" s="77" t="s">
        <v>93</v>
      </c>
      <c r="F1114" s="75" t="s">
        <v>1609</v>
      </c>
      <c r="G1114" s="75" t="s">
        <v>1183</v>
      </c>
      <c r="H1114" s="69"/>
    </row>
    <row r="1115" spans="1:8" ht="16" x14ac:dyDescent="0.2">
      <c r="A1115" s="72"/>
      <c r="B1115" s="84"/>
      <c r="C1115" s="73"/>
      <c r="D1115" s="73" t="s">
        <v>952</v>
      </c>
      <c r="E1115" s="77" t="s">
        <v>93</v>
      </c>
      <c r="F1115" s="75" t="s">
        <v>1561</v>
      </c>
      <c r="G1115" s="74" t="s">
        <v>578</v>
      </c>
      <c r="H1115" s="69"/>
    </row>
    <row r="1116" spans="1:8" ht="16" x14ac:dyDescent="0.2">
      <c r="A1116" s="72"/>
      <c r="B1116" s="84"/>
      <c r="C1116" s="73"/>
      <c r="D1116" s="73" t="s">
        <v>952</v>
      </c>
      <c r="E1116" s="77" t="s">
        <v>93</v>
      </c>
      <c r="F1116" s="75" t="s">
        <v>1632</v>
      </c>
      <c r="G1116" s="74" t="s">
        <v>578</v>
      </c>
      <c r="H1116" s="69"/>
    </row>
    <row r="1117" spans="1:8" ht="16" x14ac:dyDescent="0.2">
      <c r="A1117" s="72"/>
      <c r="B1117" s="84"/>
      <c r="C1117" s="73"/>
      <c r="D1117" s="73" t="s">
        <v>952</v>
      </c>
      <c r="E1117" s="77" t="s">
        <v>93</v>
      </c>
      <c r="F1117" s="75" t="s">
        <v>1564</v>
      </c>
      <c r="G1117" s="74" t="s">
        <v>578</v>
      </c>
      <c r="H1117" s="69"/>
    </row>
    <row r="1118" spans="1:8" ht="16" x14ac:dyDescent="0.2">
      <c r="A1118" s="72"/>
      <c r="B1118" s="84"/>
      <c r="C1118" s="73"/>
      <c r="D1118" s="73" t="s">
        <v>952</v>
      </c>
      <c r="E1118" s="77" t="s">
        <v>93</v>
      </c>
      <c r="F1118" s="75" t="s">
        <v>1565</v>
      </c>
      <c r="G1118" s="74" t="s">
        <v>578</v>
      </c>
      <c r="H1118" s="69"/>
    </row>
    <row r="1119" spans="1:8" ht="16" x14ac:dyDescent="0.2">
      <c r="A1119" s="72"/>
      <c r="B1119" s="84"/>
      <c r="C1119" s="73"/>
      <c r="D1119" s="73" t="s">
        <v>952</v>
      </c>
      <c r="E1119" s="77" t="s">
        <v>93</v>
      </c>
      <c r="F1119" s="75" t="s">
        <v>1566</v>
      </c>
      <c r="G1119" s="74" t="s">
        <v>578</v>
      </c>
      <c r="H1119" s="69"/>
    </row>
    <row r="1120" spans="1:8" ht="16" x14ac:dyDescent="0.2">
      <c r="A1120" s="72"/>
      <c r="B1120" s="84"/>
      <c r="C1120" s="73"/>
      <c r="D1120" s="73" t="s">
        <v>952</v>
      </c>
      <c r="E1120" s="77" t="s">
        <v>93</v>
      </c>
      <c r="F1120" s="75" t="s">
        <v>1611</v>
      </c>
      <c r="G1120" s="74" t="s">
        <v>578</v>
      </c>
      <c r="H1120" s="69"/>
    </row>
    <row r="1121" spans="1:8" ht="16" x14ac:dyDescent="0.2">
      <c r="A1121" s="72"/>
      <c r="B1121" s="84"/>
      <c r="C1121" s="73"/>
      <c r="D1121" s="73" t="s">
        <v>952</v>
      </c>
      <c r="E1121" s="77" t="s">
        <v>93</v>
      </c>
      <c r="F1121" s="75" t="s">
        <v>1562</v>
      </c>
      <c r="G1121" s="74" t="s">
        <v>578</v>
      </c>
      <c r="H1121" s="69"/>
    </row>
    <row r="1122" spans="1:8" ht="16" x14ac:dyDescent="0.2">
      <c r="A1122" s="72"/>
      <c r="B1122" s="84"/>
      <c r="C1122" s="73"/>
      <c r="D1122" s="73" t="s">
        <v>952</v>
      </c>
      <c r="E1122" s="77" t="s">
        <v>93</v>
      </c>
      <c r="F1122" s="75" t="s">
        <v>1563</v>
      </c>
      <c r="G1122" s="74" t="s">
        <v>578</v>
      </c>
      <c r="H1122" s="69"/>
    </row>
    <row r="1123" spans="1:8" ht="16" x14ac:dyDescent="0.2">
      <c r="A1123" s="72"/>
      <c r="B1123" s="84"/>
      <c r="C1123" s="73"/>
      <c r="D1123" s="73" t="s">
        <v>952</v>
      </c>
      <c r="E1123" s="77" t="s">
        <v>93</v>
      </c>
      <c r="F1123" s="75" t="s">
        <v>1612</v>
      </c>
      <c r="G1123" s="74" t="s">
        <v>578</v>
      </c>
      <c r="H1123" s="69"/>
    </row>
    <row r="1124" spans="1:8" ht="16" x14ac:dyDescent="0.2">
      <c r="A1124" s="72"/>
      <c r="B1124" s="84"/>
      <c r="C1124" s="73"/>
      <c r="D1124" s="73" t="s">
        <v>952</v>
      </c>
      <c r="E1124" s="77" t="s">
        <v>93</v>
      </c>
      <c r="F1124" s="75" t="s">
        <v>1613</v>
      </c>
      <c r="G1124" s="74" t="s">
        <v>578</v>
      </c>
      <c r="H1124" s="69"/>
    </row>
    <row r="1125" spans="1:8" ht="16" x14ac:dyDescent="0.2">
      <c r="A1125" s="72"/>
      <c r="B1125" s="84"/>
      <c r="C1125" s="73"/>
      <c r="D1125" s="73" t="s">
        <v>952</v>
      </c>
      <c r="E1125" s="77" t="s">
        <v>93</v>
      </c>
      <c r="F1125" s="75" t="s">
        <v>1614</v>
      </c>
      <c r="G1125" s="74" t="s">
        <v>578</v>
      </c>
      <c r="H1125" s="69"/>
    </row>
    <row r="1126" spans="1:8" ht="16" x14ac:dyDescent="0.2">
      <c r="A1126" s="72"/>
      <c r="B1126" s="84"/>
      <c r="C1126" s="73"/>
      <c r="D1126" s="73" t="s">
        <v>952</v>
      </c>
      <c r="E1126" s="77" t="s">
        <v>93</v>
      </c>
      <c r="F1126" s="75" t="s">
        <v>1615</v>
      </c>
      <c r="G1126" s="74" t="s">
        <v>578</v>
      </c>
      <c r="H1126" s="69"/>
    </row>
    <row r="1127" spans="1:8" x14ac:dyDescent="0.2">
      <c r="A1127" s="72"/>
      <c r="B1127" s="84"/>
      <c r="C1127" s="73"/>
      <c r="D1127" s="73" t="s">
        <v>952</v>
      </c>
      <c r="E1127" s="77" t="s">
        <v>93</v>
      </c>
      <c r="F1127" s="75" t="s">
        <v>391</v>
      </c>
      <c r="G1127" s="75" t="s">
        <v>1185</v>
      </c>
      <c r="H1127" s="69"/>
    </row>
    <row r="1128" spans="1:8" x14ac:dyDescent="0.2">
      <c r="A1128" s="72"/>
      <c r="B1128" s="84"/>
      <c r="C1128" s="73"/>
      <c r="D1128" s="73" t="s">
        <v>952</v>
      </c>
      <c r="E1128" s="77" t="s">
        <v>93</v>
      </c>
      <c r="F1128" s="75" t="s">
        <v>1567</v>
      </c>
      <c r="G1128" s="75" t="s">
        <v>1185</v>
      </c>
      <c r="H1128" s="69"/>
    </row>
    <row r="1129" spans="1:8" x14ac:dyDescent="0.2">
      <c r="A1129" s="72"/>
      <c r="B1129" s="84"/>
      <c r="C1129" s="73"/>
      <c r="D1129" s="73" t="s">
        <v>952</v>
      </c>
      <c r="E1129" s="77" t="s">
        <v>93</v>
      </c>
      <c r="F1129" s="75" t="s">
        <v>1633</v>
      </c>
      <c r="G1129" s="75" t="s">
        <v>1185</v>
      </c>
      <c r="H1129" s="69"/>
    </row>
    <row r="1130" spans="1:8" x14ac:dyDescent="0.2">
      <c r="A1130" s="72"/>
      <c r="B1130" s="84"/>
      <c r="C1130" s="73"/>
      <c r="D1130" s="73" t="s">
        <v>952</v>
      </c>
      <c r="E1130" s="77" t="s">
        <v>93</v>
      </c>
      <c r="F1130" s="75" t="s">
        <v>1568</v>
      </c>
      <c r="G1130" s="75" t="s">
        <v>1185</v>
      </c>
      <c r="H1130" s="69"/>
    </row>
    <row r="1131" spans="1:8" x14ac:dyDescent="0.2">
      <c r="A1131" s="72"/>
      <c r="B1131" s="84"/>
      <c r="C1131" s="73"/>
      <c r="D1131" s="73" t="s">
        <v>952</v>
      </c>
      <c r="E1131" s="77" t="s">
        <v>93</v>
      </c>
      <c r="F1131" s="75" t="s">
        <v>1569</v>
      </c>
      <c r="G1131" s="75" t="s">
        <v>1185</v>
      </c>
      <c r="H1131" s="69"/>
    </row>
    <row r="1132" spans="1:8" x14ac:dyDescent="0.2">
      <c r="A1132" s="72"/>
      <c r="B1132" s="84"/>
      <c r="C1132" s="73"/>
      <c r="D1132" s="73" t="s">
        <v>952</v>
      </c>
      <c r="E1132" s="77" t="s">
        <v>93</v>
      </c>
      <c r="F1132" s="75" t="s">
        <v>1570</v>
      </c>
      <c r="G1132" s="75" t="s">
        <v>1185</v>
      </c>
      <c r="H1132" s="69"/>
    </row>
    <row r="1133" spans="1:8" x14ac:dyDescent="0.2">
      <c r="A1133" s="72"/>
      <c r="B1133" s="84"/>
      <c r="C1133" s="73"/>
      <c r="D1133" s="73" t="s">
        <v>952</v>
      </c>
      <c r="E1133" s="77" t="s">
        <v>93</v>
      </c>
      <c r="F1133" s="75" t="s">
        <v>1572</v>
      </c>
      <c r="G1133" s="75" t="s">
        <v>1185</v>
      </c>
      <c r="H1133" s="69"/>
    </row>
    <row r="1134" spans="1:8" x14ac:dyDescent="0.2">
      <c r="A1134" s="72"/>
      <c r="B1134" s="84"/>
      <c r="C1134" s="73"/>
      <c r="D1134" s="73" t="s">
        <v>952</v>
      </c>
      <c r="E1134" s="77" t="s">
        <v>93</v>
      </c>
      <c r="F1134" s="75" t="s">
        <v>1616</v>
      </c>
      <c r="G1134" s="75" t="s">
        <v>1185</v>
      </c>
      <c r="H1134" s="69"/>
    </row>
    <row r="1135" spans="1:8" x14ac:dyDescent="0.2">
      <c r="A1135" s="72"/>
      <c r="B1135" s="84"/>
      <c r="C1135" s="73"/>
      <c r="D1135" s="73" t="s">
        <v>952</v>
      </c>
      <c r="E1135" s="77" t="s">
        <v>93</v>
      </c>
      <c r="F1135" s="75" t="s">
        <v>1573</v>
      </c>
      <c r="G1135" s="75" t="s">
        <v>1185</v>
      </c>
      <c r="H1135" s="69"/>
    </row>
    <row r="1136" spans="1:8" x14ac:dyDescent="0.2">
      <c r="A1136" s="72"/>
      <c r="B1136" s="84"/>
      <c r="C1136" s="73"/>
      <c r="D1136" s="73" t="s">
        <v>952</v>
      </c>
      <c r="E1136" s="77" t="s">
        <v>93</v>
      </c>
      <c r="F1136" s="75" t="s">
        <v>1617</v>
      </c>
      <c r="G1136" s="75" t="s">
        <v>1185</v>
      </c>
      <c r="H1136" s="69"/>
    </row>
    <row r="1137" spans="1:8" x14ac:dyDescent="0.2">
      <c r="A1137" s="72"/>
      <c r="B1137" s="84"/>
      <c r="C1137" s="73"/>
      <c r="D1137" s="73" t="s">
        <v>952</v>
      </c>
      <c r="E1137" s="77" t="s">
        <v>93</v>
      </c>
      <c r="F1137" s="75" t="s">
        <v>1618</v>
      </c>
      <c r="G1137" s="75" t="s">
        <v>1185</v>
      </c>
      <c r="H1137" s="69"/>
    </row>
    <row r="1138" spans="1:8" x14ac:dyDescent="0.2">
      <c r="A1138" s="72"/>
      <c r="B1138" s="84"/>
      <c r="C1138" s="73"/>
      <c r="D1138" s="73" t="s">
        <v>952</v>
      </c>
      <c r="E1138" s="77" t="s">
        <v>93</v>
      </c>
      <c r="F1138" s="75" t="s">
        <v>1619</v>
      </c>
      <c r="G1138" s="75" t="s">
        <v>1185</v>
      </c>
      <c r="H1138" s="69"/>
    </row>
    <row r="1139" spans="1:8" x14ac:dyDescent="0.2">
      <c r="A1139" s="72"/>
      <c r="B1139" s="84"/>
      <c r="C1139" s="73"/>
      <c r="D1139" s="73" t="s">
        <v>952</v>
      </c>
      <c r="E1139" s="77" t="s">
        <v>93</v>
      </c>
      <c r="F1139" s="75" t="s">
        <v>1620</v>
      </c>
      <c r="G1139" s="75" t="s">
        <v>1185</v>
      </c>
      <c r="H1139" s="69"/>
    </row>
    <row r="1140" spans="1:8" x14ac:dyDescent="0.2">
      <c r="A1140" s="72"/>
      <c r="B1140" s="84"/>
      <c r="C1140" s="73"/>
      <c r="D1140" s="73" t="s">
        <v>952</v>
      </c>
      <c r="E1140" s="77" t="s">
        <v>93</v>
      </c>
      <c r="F1140" s="75" t="s">
        <v>391</v>
      </c>
      <c r="G1140" s="75" t="s">
        <v>1184</v>
      </c>
      <c r="H1140" s="69"/>
    </row>
    <row r="1141" spans="1:8" x14ac:dyDescent="0.2">
      <c r="A1141" s="72"/>
      <c r="B1141" s="84"/>
      <c r="C1141" s="73"/>
      <c r="D1141" s="73" t="s">
        <v>952</v>
      </c>
      <c r="E1141" s="77" t="s">
        <v>93</v>
      </c>
      <c r="F1141" s="75" t="s">
        <v>1567</v>
      </c>
      <c r="G1141" s="75" t="s">
        <v>1184</v>
      </c>
      <c r="H1141" s="69"/>
    </row>
    <row r="1142" spans="1:8" x14ac:dyDescent="0.2">
      <c r="A1142" s="72"/>
      <c r="B1142" s="84"/>
      <c r="C1142" s="73"/>
      <c r="D1142" s="73" t="s">
        <v>952</v>
      </c>
      <c r="E1142" s="77" t="s">
        <v>93</v>
      </c>
      <c r="F1142" s="75" t="s">
        <v>1633</v>
      </c>
      <c r="G1142" s="75" t="s">
        <v>1184</v>
      </c>
      <c r="H1142" s="69"/>
    </row>
    <row r="1143" spans="1:8" x14ac:dyDescent="0.2">
      <c r="A1143" s="72"/>
      <c r="B1143" s="84"/>
      <c r="C1143" s="73"/>
      <c r="D1143" s="73" t="s">
        <v>952</v>
      </c>
      <c r="E1143" s="77" t="s">
        <v>93</v>
      </c>
      <c r="F1143" s="75" t="s">
        <v>1568</v>
      </c>
      <c r="G1143" s="75" t="s">
        <v>1184</v>
      </c>
      <c r="H1143" s="69"/>
    </row>
    <row r="1144" spans="1:8" x14ac:dyDescent="0.2">
      <c r="A1144" s="72"/>
      <c r="B1144" s="84"/>
      <c r="C1144" s="73"/>
      <c r="D1144" s="73" t="s">
        <v>952</v>
      </c>
      <c r="E1144" s="77" t="s">
        <v>93</v>
      </c>
      <c r="F1144" s="75" t="s">
        <v>1569</v>
      </c>
      <c r="G1144" s="75" t="s">
        <v>1184</v>
      </c>
      <c r="H1144" s="69"/>
    </row>
    <row r="1145" spans="1:8" x14ac:dyDescent="0.2">
      <c r="A1145" s="72"/>
      <c r="B1145" s="84"/>
      <c r="C1145" s="73"/>
      <c r="D1145" s="73" t="s">
        <v>952</v>
      </c>
      <c r="E1145" s="77" t="s">
        <v>93</v>
      </c>
      <c r="F1145" s="75" t="s">
        <v>1570</v>
      </c>
      <c r="G1145" s="75" t="s">
        <v>1184</v>
      </c>
      <c r="H1145" s="69"/>
    </row>
    <row r="1146" spans="1:8" x14ac:dyDescent="0.2">
      <c r="A1146" s="72"/>
      <c r="B1146" s="84"/>
      <c r="C1146" s="73"/>
      <c r="D1146" s="73" t="s">
        <v>952</v>
      </c>
      <c r="E1146" s="77" t="s">
        <v>93</v>
      </c>
      <c r="F1146" s="75" t="s">
        <v>1572</v>
      </c>
      <c r="G1146" s="75" t="s">
        <v>1184</v>
      </c>
      <c r="H1146" s="69"/>
    </row>
    <row r="1147" spans="1:8" x14ac:dyDescent="0.2">
      <c r="A1147" s="72"/>
      <c r="B1147" s="84"/>
      <c r="C1147" s="73"/>
      <c r="D1147" s="73" t="s">
        <v>952</v>
      </c>
      <c r="E1147" s="77" t="s">
        <v>93</v>
      </c>
      <c r="F1147" s="75" t="s">
        <v>1616</v>
      </c>
      <c r="G1147" s="75" t="s">
        <v>1184</v>
      </c>
      <c r="H1147" s="69"/>
    </row>
    <row r="1148" spans="1:8" x14ac:dyDescent="0.2">
      <c r="A1148" s="72"/>
      <c r="B1148" s="84"/>
      <c r="C1148" s="73"/>
      <c r="D1148" s="73" t="s">
        <v>952</v>
      </c>
      <c r="E1148" s="77" t="s">
        <v>93</v>
      </c>
      <c r="F1148" s="75" t="s">
        <v>1573</v>
      </c>
      <c r="G1148" s="75" t="s">
        <v>1184</v>
      </c>
      <c r="H1148" s="69"/>
    </row>
    <row r="1149" spans="1:8" x14ac:dyDescent="0.2">
      <c r="A1149" s="72"/>
      <c r="B1149" s="84"/>
      <c r="C1149" s="73"/>
      <c r="D1149" s="73" t="s">
        <v>952</v>
      </c>
      <c r="E1149" s="77" t="s">
        <v>93</v>
      </c>
      <c r="F1149" s="75" t="s">
        <v>1617</v>
      </c>
      <c r="G1149" s="75" t="s">
        <v>1184</v>
      </c>
      <c r="H1149" s="69"/>
    </row>
    <row r="1150" spans="1:8" x14ac:dyDescent="0.2">
      <c r="A1150" s="72"/>
      <c r="B1150" s="84"/>
      <c r="C1150" s="73"/>
      <c r="D1150" s="73" t="s">
        <v>952</v>
      </c>
      <c r="E1150" s="77" t="s">
        <v>93</v>
      </c>
      <c r="F1150" s="75" t="s">
        <v>1618</v>
      </c>
      <c r="G1150" s="75" t="s">
        <v>1184</v>
      </c>
      <c r="H1150" s="69"/>
    </row>
    <row r="1151" spans="1:8" x14ac:dyDescent="0.2">
      <c r="A1151" s="72"/>
      <c r="B1151" s="84"/>
      <c r="C1151" s="73"/>
      <c r="D1151" s="73" t="s">
        <v>952</v>
      </c>
      <c r="E1151" s="77" t="s">
        <v>93</v>
      </c>
      <c r="F1151" s="75" t="s">
        <v>1619</v>
      </c>
      <c r="G1151" s="75" t="s">
        <v>1184</v>
      </c>
      <c r="H1151" s="69"/>
    </row>
    <row r="1152" spans="1:8" x14ac:dyDescent="0.2">
      <c r="A1152" s="72"/>
      <c r="B1152" s="84"/>
      <c r="C1152" s="73"/>
      <c r="D1152" s="73" t="s">
        <v>952</v>
      </c>
      <c r="E1152" s="77" t="s">
        <v>93</v>
      </c>
      <c r="F1152" s="75" t="s">
        <v>1620</v>
      </c>
      <c r="G1152" s="75" t="s">
        <v>1184</v>
      </c>
      <c r="H1152" s="69"/>
    </row>
    <row r="1153" spans="1:8" x14ac:dyDescent="0.2">
      <c r="A1153" s="72"/>
      <c r="B1153" s="84"/>
      <c r="C1153" s="73"/>
      <c r="D1153" s="73" t="s">
        <v>952</v>
      </c>
      <c r="E1153" s="77" t="s">
        <v>93</v>
      </c>
      <c r="F1153" s="75" t="s">
        <v>1574</v>
      </c>
      <c r="G1153" s="75" t="s">
        <v>1186</v>
      </c>
      <c r="H1153" s="69"/>
    </row>
    <row r="1154" spans="1:8" x14ac:dyDescent="0.2">
      <c r="A1154" s="72"/>
      <c r="B1154" s="84"/>
      <c r="C1154" s="73"/>
      <c r="D1154" s="73" t="s">
        <v>952</v>
      </c>
      <c r="E1154" s="77" t="s">
        <v>93</v>
      </c>
      <c r="F1154" s="75" t="s">
        <v>1634</v>
      </c>
      <c r="G1154" s="75" t="s">
        <v>1186</v>
      </c>
      <c r="H1154" s="69"/>
    </row>
    <row r="1155" spans="1:8" x14ac:dyDescent="0.2">
      <c r="A1155" s="72"/>
      <c r="B1155" s="84"/>
      <c r="C1155" s="73"/>
      <c r="D1155" s="73" t="s">
        <v>952</v>
      </c>
      <c r="E1155" s="77" t="s">
        <v>93</v>
      </c>
      <c r="F1155" s="75" t="s">
        <v>1577</v>
      </c>
      <c r="G1155" s="75" t="s">
        <v>1186</v>
      </c>
      <c r="H1155" s="69"/>
    </row>
    <row r="1156" spans="1:8" x14ac:dyDescent="0.2">
      <c r="A1156" s="72"/>
      <c r="B1156" s="84"/>
      <c r="C1156" s="73"/>
      <c r="D1156" s="73" t="s">
        <v>952</v>
      </c>
      <c r="E1156" s="77" t="s">
        <v>93</v>
      </c>
      <c r="F1156" s="75" t="s">
        <v>1578</v>
      </c>
      <c r="G1156" s="75" t="s">
        <v>1186</v>
      </c>
      <c r="H1156" s="69"/>
    </row>
    <row r="1157" spans="1:8" x14ac:dyDescent="0.2">
      <c r="A1157" s="72"/>
      <c r="B1157" s="84"/>
      <c r="C1157" s="73"/>
      <c r="D1157" s="73" t="s">
        <v>952</v>
      </c>
      <c r="E1157" s="77" t="s">
        <v>93</v>
      </c>
      <c r="F1157" s="75" t="s">
        <v>1579</v>
      </c>
      <c r="G1157" s="75" t="s">
        <v>1186</v>
      </c>
      <c r="H1157" s="69"/>
    </row>
    <row r="1158" spans="1:8" x14ac:dyDescent="0.2">
      <c r="A1158" s="72"/>
      <c r="B1158" s="84"/>
      <c r="C1158" s="73"/>
      <c r="D1158" s="73" t="s">
        <v>952</v>
      </c>
      <c r="E1158" s="77" t="s">
        <v>93</v>
      </c>
      <c r="F1158" s="75" t="s">
        <v>1621</v>
      </c>
      <c r="G1158" s="75" t="s">
        <v>1186</v>
      </c>
      <c r="H1158" s="69"/>
    </row>
    <row r="1159" spans="1:8" x14ac:dyDescent="0.2">
      <c r="A1159" s="72"/>
      <c r="B1159" s="84"/>
      <c r="C1159" s="73"/>
      <c r="D1159" s="73" t="s">
        <v>952</v>
      </c>
      <c r="E1159" s="77" t="s">
        <v>93</v>
      </c>
      <c r="F1159" s="75" t="s">
        <v>1575</v>
      </c>
      <c r="G1159" s="75" t="s">
        <v>1186</v>
      </c>
      <c r="H1159" s="69"/>
    </row>
    <row r="1160" spans="1:8" x14ac:dyDescent="0.2">
      <c r="A1160" s="72"/>
      <c r="B1160" s="84"/>
      <c r="C1160" s="73"/>
      <c r="D1160" s="73" t="s">
        <v>952</v>
      </c>
      <c r="E1160" s="77" t="s">
        <v>93</v>
      </c>
      <c r="F1160" s="75" t="s">
        <v>1576</v>
      </c>
      <c r="G1160" s="75" t="s">
        <v>1186</v>
      </c>
      <c r="H1160" s="69"/>
    </row>
    <row r="1161" spans="1:8" x14ac:dyDescent="0.2">
      <c r="A1161" s="72"/>
      <c r="B1161" s="84"/>
      <c r="C1161" s="73"/>
      <c r="D1161" s="73" t="s">
        <v>952</v>
      </c>
      <c r="E1161" s="77" t="s">
        <v>93</v>
      </c>
      <c r="F1161" s="75" t="s">
        <v>1622</v>
      </c>
      <c r="G1161" s="75" t="s">
        <v>1186</v>
      </c>
      <c r="H1161" s="69"/>
    </row>
    <row r="1162" spans="1:8" x14ac:dyDescent="0.2">
      <c r="A1162" s="72"/>
      <c r="B1162" s="84"/>
      <c r="C1162" s="73"/>
      <c r="D1162" s="73" t="s">
        <v>952</v>
      </c>
      <c r="E1162" s="77" t="s">
        <v>93</v>
      </c>
      <c r="F1162" s="75" t="s">
        <v>1623</v>
      </c>
      <c r="G1162" s="75" t="s">
        <v>1186</v>
      </c>
      <c r="H1162" s="69"/>
    </row>
    <row r="1163" spans="1:8" x14ac:dyDescent="0.2">
      <c r="A1163" s="72"/>
      <c r="B1163" s="84"/>
      <c r="C1163" s="73"/>
      <c r="D1163" s="73" t="s">
        <v>952</v>
      </c>
      <c r="E1163" s="77" t="s">
        <v>93</v>
      </c>
      <c r="F1163" s="75" t="s">
        <v>1624</v>
      </c>
      <c r="G1163" s="75" t="s">
        <v>1186</v>
      </c>
      <c r="H1163" s="69"/>
    </row>
    <row r="1164" spans="1:8" x14ac:dyDescent="0.2">
      <c r="A1164" s="72"/>
      <c r="B1164" s="84"/>
      <c r="C1164" s="73"/>
      <c r="D1164" s="73" t="s">
        <v>952</v>
      </c>
      <c r="E1164" s="77" t="s">
        <v>93</v>
      </c>
      <c r="F1164" s="75" t="s">
        <v>1625</v>
      </c>
      <c r="G1164" s="75" t="s">
        <v>1186</v>
      </c>
      <c r="H1164" s="69"/>
    </row>
    <row r="1165" spans="1:8" ht="16" x14ac:dyDescent="0.2">
      <c r="A1165" s="72"/>
      <c r="B1165" s="84"/>
      <c r="C1165" s="73"/>
      <c r="D1165" s="73" t="s">
        <v>952</v>
      </c>
      <c r="E1165" s="77" t="s">
        <v>93</v>
      </c>
      <c r="F1165" s="75" t="s">
        <v>387</v>
      </c>
      <c r="G1165" s="74" t="s">
        <v>1194</v>
      </c>
      <c r="H1165" s="69"/>
    </row>
    <row r="1166" spans="1:8" ht="16" x14ac:dyDescent="0.2">
      <c r="A1166" s="72"/>
      <c r="B1166" s="84"/>
      <c r="C1166" s="73"/>
      <c r="D1166" s="73" t="s">
        <v>952</v>
      </c>
      <c r="E1166" s="77" t="s">
        <v>93</v>
      </c>
      <c r="F1166" s="75" t="s">
        <v>1556</v>
      </c>
      <c r="G1166" s="74" t="s">
        <v>1194</v>
      </c>
      <c r="H1166" s="69"/>
    </row>
    <row r="1167" spans="1:8" ht="16" x14ac:dyDescent="0.2">
      <c r="A1167" s="72"/>
      <c r="B1167" s="84"/>
      <c r="C1167" s="73"/>
      <c r="D1167" s="73" t="s">
        <v>952</v>
      </c>
      <c r="E1167" s="77" t="s">
        <v>93</v>
      </c>
      <c r="F1167" s="75" t="s">
        <v>1557</v>
      </c>
      <c r="G1167" s="74" t="s">
        <v>1194</v>
      </c>
      <c r="H1167" s="69"/>
    </row>
    <row r="1168" spans="1:8" ht="16" x14ac:dyDescent="0.2">
      <c r="A1168" s="72"/>
      <c r="B1168" s="84"/>
      <c r="C1168" s="73"/>
      <c r="D1168" s="73" t="s">
        <v>952</v>
      </c>
      <c r="E1168" s="77" t="s">
        <v>93</v>
      </c>
      <c r="F1168" s="75" t="s">
        <v>1605</v>
      </c>
      <c r="G1168" s="74" t="s">
        <v>1194</v>
      </c>
      <c r="H1168" s="69"/>
    </row>
    <row r="1169" spans="1:8" ht="16" x14ac:dyDescent="0.2">
      <c r="A1169" s="72"/>
      <c r="B1169" s="84"/>
      <c r="C1169" s="73"/>
      <c r="D1169" s="73" t="s">
        <v>952</v>
      </c>
      <c r="E1169" s="77" t="s">
        <v>93</v>
      </c>
      <c r="F1169" s="75" t="s">
        <v>1606</v>
      </c>
      <c r="G1169" s="74" t="s">
        <v>1194</v>
      </c>
      <c r="H1169" s="69"/>
    </row>
    <row r="1170" spans="1:8" ht="16" x14ac:dyDescent="0.2">
      <c r="A1170" s="72"/>
      <c r="B1170" s="84"/>
      <c r="C1170" s="73"/>
      <c r="D1170" s="73" t="s">
        <v>952</v>
      </c>
      <c r="E1170" s="77" t="s">
        <v>93</v>
      </c>
      <c r="F1170" s="75" t="s">
        <v>1558</v>
      </c>
      <c r="G1170" s="74" t="s">
        <v>1194</v>
      </c>
      <c r="H1170" s="69"/>
    </row>
    <row r="1171" spans="1:8" ht="16" x14ac:dyDescent="0.2">
      <c r="A1171" s="72"/>
      <c r="B1171" s="84"/>
      <c r="C1171" s="73"/>
      <c r="D1171" s="73" t="s">
        <v>952</v>
      </c>
      <c r="E1171" s="77" t="s">
        <v>93</v>
      </c>
      <c r="F1171" s="75" t="s">
        <v>1559</v>
      </c>
      <c r="G1171" s="74" t="s">
        <v>1194</v>
      </c>
      <c r="H1171" s="69"/>
    </row>
    <row r="1172" spans="1:8" ht="16" x14ac:dyDescent="0.2">
      <c r="A1172" s="72"/>
      <c r="B1172" s="84"/>
      <c r="C1172" s="73"/>
      <c r="D1172" s="73" t="s">
        <v>952</v>
      </c>
      <c r="E1172" s="77" t="s">
        <v>93</v>
      </c>
      <c r="F1172" s="75" t="s">
        <v>1607</v>
      </c>
      <c r="G1172" s="74" t="s">
        <v>1194</v>
      </c>
      <c r="H1172" s="69"/>
    </row>
    <row r="1173" spans="1:8" ht="16" x14ac:dyDescent="0.2">
      <c r="A1173" s="72"/>
      <c r="B1173" s="84"/>
      <c r="C1173" s="73"/>
      <c r="D1173" s="73" t="s">
        <v>952</v>
      </c>
      <c r="E1173" s="77" t="s">
        <v>93</v>
      </c>
      <c r="F1173" s="75" t="s">
        <v>1560</v>
      </c>
      <c r="G1173" s="74" t="s">
        <v>1194</v>
      </c>
      <c r="H1173" s="69"/>
    </row>
    <row r="1174" spans="1:8" ht="16" x14ac:dyDescent="0.2">
      <c r="A1174" s="72"/>
      <c r="B1174" s="84"/>
      <c r="C1174" s="73"/>
      <c r="D1174" s="73" t="s">
        <v>952</v>
      </c>
      <c r="E1174" s="77" t="s">
        <v>93</v>
      </c>
      <c r="F1174" s="75" t="s">
        <v>395</v>
      </c>
      <c r="G1174" s="74" t="s">
        <v>1194</v>
      </c>
      <c r="H1174" s="69"/>
    </row>
    <row r="1175" spans="1:8" ht="16" x14ac:dyDescent="0.2">
      <c r="A1175" s="72"/>
      <c r="B1175" s="84"/>
      <c r="C1175" s="73"/>
      <c r="D1175" s="73" t="s">
        <v>952</v>
      </c>
      <c r="E1175" s="77" t="s">
        <v>93</v>
      </c>
      <c r="F1175" s="75" t="s">
        <v>1608</v>
      </c>
      <c r="G1175" s="74" t="s">
        <v>1194</v>
      </c>
      <c r="H1175" s="69"/>
    </row>
    <row r="1176" spans="1:8" ht="16" x14ac:dyDescent="0.2">
      <c r="A1176" s="72"/>
      <c r="B1176" s="84"/>
      <c r="C1176" s="73"/>
      <c r="D1176" s="73" t="s">
        <v>952</v>
      </c>
      <c r="E1176" s="77" t="s">
        <v>93</v>
      </c>
      <c r="F1176" s="75" t="s">
        <v>399</v>
      </c>
      <c r="G1176" s="74" t="s">
        <v>1194</v>
      </c>
      <c r="H1176" s="69"/>
    </row>
    <row r="1177" spans="1:8" ht="16" x14ac:dyDescent="0.2">
      <c r="A1177" s="72"/>
      <c r="B1177" s="84"/>
      <c r="C1177" s="73"/>
      <c r="D1177" s="73" t="s">
        <v>952</v>
      </c>
      <c r="E1177" s="77" t="s">
        <v>93</v>
      </c>
      <c r="F1177" s="75" t="s">
        <v>1609</v>
      </c>
      <c r="G1177" s="74" t="s">
        <v>1194</v>
      </c>
      <c r="H1177" s="69"/>
    </row>
    <row r="1178" spans="1:8" x14ac:dyDescent="0.2">
      <c r="A1178" s="72"/>
      <c r="B1178" s="76"/>
      <c r="C1178" s="73"/>
      <c r="D1178" s="73" t="s">
        <v>952</v>
      </c>
      <c r="E1178" s="77" t="s">
        <v>93</v>
      </c>
      <c r="F1178" s="75" t="s">
        <v>387</v>
      </c>
      <c r="G1178" s="75" t="s">
        <v>1175</v>
      </c>
      <c r="H1178" s="69"/>
    </row>
    <row r="1179" spans="1:8" x14ac:dyDescent="0.2">
      <c r="A1179" s="72"/>
      <c r="B1179" s="76"/>
      <c r="C1179" s="73"/>
      <c r="D1179" s="73" t="s">
        <v>952</v>
      </c>
      <c r="E1179" s="77" t="s">
        <v>93</v>
      </c>
      <c r="F1179" s="75" t="s">
        <v>1556</v>
      </c>
      <c r="G1179" s="75" t="s">
        <v>1175</v>
      </c>
      <c r="H1179" s="69"/>
    </row>
    <row r="1180" spans="1:8" x14ac:dyDescent="0.2">
      <c r="A1180" s="72"/>
      <c r="B1180" s="76"/>
      <c r="C1180" s="73"/>
      <c r="D1180" s="73" t="s">
        <v>952</v>
      </c>
      <c r="E1180" s="77" t="s">
        <v>93</v>
      </c>
      <c r="F1180" s="75" t="s">
        <v>1557</v>
      </c>
      <c r="G1180" s="75" t="s">
        <v>1175</v>
      </c>
      <c r="H1180" s="69"/>
    </row>
    <row r="1181" spans="1:8" x14ac:dyDescent="0.2">
      <c r="A1181" s="72"/>
      <c r="B1181" s="76"/>
      <c r="C1181" s="73"/>
      <c r="D1181" s="73" t="s">
        <v>952</v>
      </c>
      <c r="E1181" s="77" t="s">
        <v>93</v>
      </c>
      <c r="F1181" s="75" t="s">
        <v>1605</v>
      </c>
      <c r="G1181" s="75" t="s">
        <v>1175</v>
      </c>
      <c r="H1181" s="69"/>
    </row>
    <row r="1182" spans="1:8" x14ac:dyDescent="0.2">
      <c r="A1182" s="72"/>
      <c r="B1182" s="76"/>
      <c r="C1182" s="73"/>
      <c r="D1182" s="73" t="s">
        <v>952</v>
      </c>
      <c r="E1182" s="77" t="s">
        <v>93</v>
      </c>
      <c r="F1182" s="75" t="s">
        <v>1606</v>
      </c>
      <c r="G1182" s="75" t="s">
        <v>1175</v>
      </c>
      <c r="H1182" s="69"/>
    </row>
    <row r="1183" spans="1:8" x14ac:dyDescent="0.2">
      <c r="A1183" s="72"/>
      <c r="B1183" s="76"/>
      <c r="C1183" s="73"/>
      <c r="D1183" s="73" t="s">
        <v>952</v>
      </c>
      <c r="E1183" s="77" t="s">
        <v>93</v>
      </c>
      <c r="F1183" s="75" t="s">
        <v>1559</v>
      </c>
      <c r="G1183" s="75" t="s">
        <v>1175</v>
      </c>
      <c r="H1183" s="69"/>
    </row>
    <row r="1184" spans="1:8" x14ac:dyDescent="0.2">
      <c r="A1184" s="72"/>
      <c r="B1184" s="76"/>
      <c r="C1184" s="73"/>
      <c r="D1184" s="73" t="s">
        <v>952</v>
      </c>
      <c r="E1184" s="77" t="s">
        <v>93</v>
      </c>
      <c r="F1184" s="75" t="s">
        <v>1607</v>
      </c>
      <c r="G1184" s="75" t="s">
        <v>1175</v>
      </c>
      <c r="H1184" s="69"/>
    </row>
    <row r="1185" spans="1:8" x14ac:dyDescent="0.2">
      <c r="A1185" s="72"/>
      <c r="B1185" s="76"/>
      <c r="C1185" s="73"/>
      <c r="D1185" s="73" t="s">
        <v>952</v>
      </c>
      <c r="E1185" s="77" t="s">
        <v>93</v>
      </c>
      <c r="F1185" s="75" t="s">
        <v>1560</v>
      </c>
      <c r="G1185" s="75" t="s">
        <v>1175</v>
      </c>
      <c r="H1185" s="69"/>
    </row>
    <row r="1186" spans="1:8" x14ac:dyDescent="0.2">
      <c r="A1186" s="72"/>
      <c r="B1186" s="76"/>
      <c r="C1186" s="73"/>
      <c r="D1186" s="73" t="s">
        <v>952</v>
      </c>
      <c r="E1186" s="77" t="s">
        <v>93</v>
      </c>
      <c r="F1186" s="75" t="s">
        <v>395</v>
      </c>
      <c r="G1186" s="75" t="s">
        <v>1175</v>
      </c>
      <c r="H1186" s="69"/>
    </row>
    <row r="1187" spans="1:8" x14ac:dyDescent="0.2">
      <c r="A1187" s="72"/>
      <c r="B1187" s="76"/>
      <c r="C1187" s="73"/>
      <c r="D1187" s="73" t="s">
        <v>952</v>
      </c>
      <c r="E1187" s="77" t="s">
        <v>93</v>
      </c>
      <c r="F1187" s="75" t="s">
        <v>1608</v>
      </c>
      <c r="G1187" s="75" t="s">
        <v>1175</v>
      </c>
      <c r="H1187" s="69"/>
    </row>
    <row r="1188" spans="1:8" x14ac:dyDescent="0.2">
      <c r="A1188" s="72"/>
      <c r="B1188" s="76"/>
      <c r="C1188" s="73"/>
      <c r="D1188" s="73" t="s">
        <v>952</v>
      </c>
      <c r="E1188" s="77" t="s">
        <v>93</v>
      </c>
      <c r="F1188" s="75" t="s">
        <v>399</v>
      </c>
      <c r="G1188" s="75" t="s">
        <v>1175</v>
      </c>
      <c r="H1188" s="69"/>
    </row>
    <row r="1189" spans="1:8" x14ac:dyDescent="0.2">
      <c r="A1189" s="72"/>
      <c r="B1189" s="76"/>
      <c r="C1189" s="73"/>
      <c r="D1189" s="73" t="s">
        <v>952</v>
      </c>
      <c r="E1189" s="77" t="s">
        <v>93</v>
      </c>
      <c r="F1189" s="75" t="s">
        <v>1609</v>
      </c>
      <c r="G1189" s="75" t="s">
        <v>1175</v>
      </c>
      <c r="H1189" s="69"/>
    </row>
    <row r="1190" spans="1:8" ht="16" x14ac:dyDescent="0.2">
      <c r="A1190" s="72"/>
      <c r="B1190" s="84"/>
      <c r="C1190" s="73"/>
      <c r="D1190" s="73" t="s">
        <v>952</v>
      </c>
      <c r="E1190" s="77" t="s">
        <v>93</v>
      </c>
      <c r="F1190" s="75" t="s">
        <v>1561</v>
      </c>
      <c r="G1190" s="74" t="s">
        <v>567</v>
      </c>
      <c r="H1190" s="69"/>
    </row>
    <row r="1191" spans="1:8" ht="16" x14ac:dyDescent="0.2">
      <c r="A1191" s="72"/>
      <c r="B1191" s="84"/>
      <c r="C1191" s="73"/>
      <c r="D1191" s="73" t="s">
        <v>952</v>
      </c>
      <c r="E1191" s="77" t="s">
        <v>93</v>
      </c>
      <c r="F1191" s="75" t="s">
        <v>1564</v>
      </c>
      <c r="G1191" s="74" t="s">
        <v>567</v>
      </c>
      <c r="H1191" s="69"/>
    </row>
    <row r="1192" spans="1:8" ht="16" x14ac:dyDescent="0.2">
      <c r="A1192" s="72"/>
      <c r="B1192" s="84"/>
      <c r="C1192" s="73"/>
      <c r="D1192" s="73" t="s">
        <v>952</v>
      </c>
      <c r="E1192" s="77" t="s">
        <v>93</v>
      </c>
      <c r="F1192" s="75" t="s">
        <v>1565</v>
      </c>
      <c r="G1192" s="74" t="s">
        <v>567</v>
      </c>
      <c r="H1192" s="69"/>
    </row>
    <row r="1193" spans="1:8" ht="16" x14ac:dyDescent="0.2">
      <c r="A1193" s="72"/>
      <c r="B1193" s="84"/>
      <c r="C1193" s="73"/>
      <c r="D1193" s="73" t="s">
        <v>952</v>
      </c>
      <c r="E1193" s="77" t="s">
        <v>93</v>
      </c>
      <c r="F1193" s="75" t="s">
        <v>1566</v>
      </c>
      <c r="G1193" s="74" t="s">
        <v>567</v>
      </c>
      <c r="H1193" s="69"/>
    </row>
    <row r="1194" spans="1:8" ht="16" x14ac:dyDescent="0.2">
      <c r="A1194" s="72"/>
      <c r="B1194" s="84"/>
      <c r="C1194" s="73"/>
      <c r="D1194" s="73" t="s">
        <v>952</v>
      </c>
      <c r="E1194" s="77" t="s">
        <v>93</v>
      </c>
      <c r="F1194" s="75" t="s">
        <v>1611</v>
      </c>
      <c r="G1194" s="74" t="s">
        <v>567</v>
      </c>
      <c r="H1194" s="69"/>
    </row>
    <row r="1195" spans="1:8" ht="16" x14ac:dyDescent="0.2">
      <c r="A1195" s="72"/>
      <c r="B1195" s="84"/>
      <c r="C1195" s="73"/>
      <c r="D1195" s="73" t="s">
        <v>952</v>
      </c>
      <c r="E1195" s="77" t="s">
        <v>93</v>
      </c>
      <c r="F1195" s="75" t="s">
        <v>1562</v>
      </c>
      <c r="G1195" s="74" t="s">
        <v>567</v>
      </c>
      <c r="H1195" s="69"/>
    </row>
    <row r="1196" spans="1:8" ht="16" x14ac:dyDescent="0.2">
      <c r="A1196" s="72"/>
      <c r="B1196" s="84"/>
      <c r="C1196" s="73"/>
      <c r="D1196" s="73" t="s">
        <v>952</v>
      </c>
      <c r="E1196" s="77" t="s">
        <v>93</v>
      </c>
      <c r="F1196" s="75" t="s">
        <v>1563</v>
      </c>
      <c r="G1196" s="74" t="s">
        <v>567</v>
      </c>
      <c r="H1196" s="69"/>
    </row>
    <row r="1197" spans="1:8" ht="16" x14ac:dyDescent="0.2">
      <c r="A1197" s="72"/>
      <c r="B1197" s="84"/>
      <c r="C1197" s="73"/>
      <c r="D1197" s="73" t="s">
        <v>952</v>
      </c>
      <c r="E1197" s="77" t="s">
        <v>93</v>
      </c>
      <c r="F1197" s="75" t="s">
        <v>1612</v>
      </c>
      <c r="G1197" s="74" t="s">
        <v>567</v>
      </c>
      <c r="H1197" s="69"/>
    </row>
    <row r="1198" spans="1:8" ht="16" x14ac:dyDescent="0.2">
      <c r="A1198" s="72"/>
      <c r="B1198" s="84"/>
      <c r="C1198" s="73"/>
      <c r="D1198" s="73" t="s">
        <v>952</v>
      </c>
      <c r="E1198" s="77" t="s">
        <v>93</v>
      </c>
      <c r="F1198" s="75" t="s">
        <v>1613</v>
      </c>
      <c r="G1198" s="74" t="s">
        <v>567</v>
      </c>
      <c r="H1198" s="69"/>
    </row>
    <row r="1199" spans="1:8" ht="16" x14ac:dyDescent="0.2">
      <c r="A1199" s="72"/>
      <c r="B1199" s="84"/>
      <c r="C1199" s="73"/>
      <c r="D1199" s="73" t="s">
        <v>952</v>
      </c>
      <c r="E1199" s="77" t="s">
        <v>93</v>
      </c>
      <c r="F1199" s="75" t="s">
        <v>1614</v>
      </c>
      <c r="G1199" s="74" t="s">
        <v>567</v>
      </c>
      <c r="H1199" s="69"/>
    </row>
    <row r="1200" spans="1:8" ht="16" x14ac:dyDescent="0.2">
      <c r="A1200" s="72"/>
      <c r="B1200" s="84"/>
      <c r="C1200" s="73"/>
      <c r="D1200" s="73" t="s">
        <v>952</v>
      </c>
      <c r="E1200" s="77" t="s">
        <v>93</v>
      </c>
      <c r="F1200" s="75" t="s">
        <v>1615</v>
      </c>
      <c r="G1200" s="74" t="s">
        <v>567</v>
      </c>
      <c r="H1200" s="69"/>
    </row>
    <row r="1201" spans="1:8" ht="16" x14ac:dyDescent="0.2">
      <c r="A1201" s="72"/>
      <c r="B1201" s="84"/>
      <c r="C1201" s="73"/>
      <c r="D1201" s="73" t="s">
        <v>952</v>
      </c>
      <c r="E1201" s="77" t="s">
        <v>93</v>
      </c>
      <c r="F1201" s="75" t="s">
        <v>1561</v>
      </c>
      <c r="G1201" s="74" t="s">
        <v>1195</v>
      </c>
      <c r="H1201" s="69"/>
    </row>
    <row r="1202" spans="1:8" ht="16" x14ac:dyDescent="0.2">
      <c r="A1202" s="72"/>
      <c r="B1202" s="84"/>
      <c r="C1202" s="73"/>
      <c r="D1202" s="73" t="s">
        <v>952</v>
      </c>
      <c r="E1202" s="77" t="s">
        <v>93</v>
      </c>
      <c r="F1202" s="75" t="s">
        <v>1564</v>
      </c>
      <c r="G1202" s="74" t="s">
        <v>1195</v>
      </c>
      <c r="H1202" s="69"/>
    </row>
    <row r="1203" spans="1:8" ht="16" x14ac:dyDescent="0.2">
      <c r="A1203" s="72"/>
      <c r="B1203" s="84"/>
      <c r="C1203" s="73"/>
      <c r="D1203" s="73" t="s">
        <v>952</v>
      </c>
      <c r="E1203" s="77" t="s">
        <v>93</v>
      </c>
      <c r="F1203" s="75" t="s">
        <v>1565</v>
      </c>
      <c r="G1203" s="74" t="s">
        <v>1195</v>
      </c>
      <c r="H1203" s="69"/>
    </row>
    <row r="1204" spans="1:8" ht="16" x14ac:dyDescent="0.2">
      <c r="A1204" s="72"/>
      <c r="B1204" s="84"/>
      <c r="C1204" s="73"/>
      <c r="D1204" s="73" t="s">
        <v>952</v>
      </c>
      <c r="E1204" s="77" t="s">
        <v>93</v>
      </c>
      <c r="F1204" s="75" t="s">
        <v>1566</v>
      </c>
      <c r="G1204" s="74" t="s">
        <v>1195</v>
      </c>
      <c r="H1204" s="69"/>
    </row>
    <row r="1205" spans="1:8" ht="16" x14ac:dyDescent="0.2">
      <c r="A1205" s="72"/>
      <c r="B1205" s="84"/>
      <c r="C1205" s="73"/>
      <c r="D1205" s="73" t="s">
        <v>952</v>
      </c>
      <c r="E1205" s="77" t="s">
        <v>93</v>
      </c>
      <c r="F1205" s="75" t="s">
        <v>1610</v>
      </c>
      <c r="G1205" s="74" t="s">
        <v>1195</v>
      </c>
      <c r="H1205" s="69"/>
    </row>
    <row r="1206" spans="1:8" ht="16" x14ac:dyDescent="0.2">
      <c r="A1206" s="72"/>
      <c r="B1206" s="84"/>
      <c r="C1206" s="73"/>
      <c r="D1206" s="73" t="s">
        <v>952</v>
      </c>
      <c r="E1206" s="77" t="s">
        <v>93</v>
      </c>
      <c r="F1206" s="75" t="s">
        <v>1611</v>
      </c>
      <c r="G1206" s="74" t="s">
        <v>1195</v>
      </c>
      <c r="H1206" s="69"/>
    </row>
    <row r="1207" spans="1:8" ht="16" x14ac:dyDescent="0.2">
      <c r="A1207" s="72"/>
      <c r="B1207" s="84"/>
      <c r="C1207" s="73"/>
      <c r="D1207" s="73" t="s">
        <v>952</v>
      </c>
      <c r="E1207" s="77" t="s">
        <v>93</v>
      </c>
      <c r="F1207" s="75" t="s">
        <v>1562</v>
      </c>
      <c r="G1207" s="74" t="s">
        <v>1195</v>
      </c>
      <c r="H1207" s="69"/>
    </row>
    <row r="1208" spans="1:8" ht="16" x14ac:dyDescent="0.2">
      <c r="A1208" s="72"/>
      <c r="B1208" s="84"/>
      <c r="C1208" s="73"/>
      <c r="D1208" s="73" t="s">
        <v>952</v>
      </c>
      <c r="E1208" s="77" t="s">
        <v>93</v>
      </c>
      <c r="F1208" s="75" t="s">
        <v>1563</v>
      </c>
      <c r="G1208" s="74" t="s">
        <v>1195</v>
      </c>
      <c r="H1208" s="69"/>
    </row>
    <row r="1209" spans="1:8" ht="16" x14ac:dyDescent="0.2">
      <c r="A1209" s="72"/>
      <c r="B1209" s="84"/>
      <c r="C1209" s="73"/>
      <c r="D1209" s="73" t="s">
        <v>952</v>
      </c>
      <c r="E1209" s="77" t="s">
        <v>93</v>
      </c>
      <c r="F1209" s="75" t="s">
        <v>1612</v>
      </c>
      <c r="G1209" s="74" t="s">
        <v>1195</v>
      </c>
      <c r="H1209" s="69"/>
    </row>
    <row r="1210" spans="1:8" ht="16" x14ac:dyDescent="0.2">
      <c r="A1210" s="72"/>
      <c r="B1210" s="84"/>
      <c r="C1210" s="73"/>
      <c r="D1210" s="73" t="s">
        <v>952</v>
      </c>
      <c r="E1210" s="77" t="s">
        <v>93</v>
      </c>
      <c r="F1210" s="75" t="s">
        <v>1613</v>
      </c>
      <c r="G1210" s="74" t="s">
        <v>1195</v>
      </c>
      <c r="H1210" s="69"/>
    </row>
    <row r="1211" spans="1:8" ht="16" x14ac:dyDescent="0.2">
      <c r="A1211" s="72"/>
      <c r="B1211" s="84"/>
      <c r="C1211" s="73"/>
      <c r="D1211" s="73" t="s">
        <v>952</v>
      </c>
      <c r="E1211" s="77" t="s">
        <v>93</v>
      </c>
      <c r="F1211" s="75" t="s">
        <v>1614</v>
      </c>
      <c r="G1211" s="74" t="s">
        <v>1195</v>
      </c>
      <c r="H1211" s="69"/>
    </row>
    <row r="1212" spans="1:8" ht="16" x14ac:dyDescent="0.2">
      <c r="A1212" s="72"/>
      <c r="B1212" s="84"/>
      <c r="C1212" s="73"/>
      <c r="D1212" s="73" t="s">
        <v>952</v>
      </c>
      <c r="E1212" s="77" t="s">
        <v>93</v>
      </c>
      <c r="F1212" s="75" t="s">
        <v>1615</v>
      </c>
      <c r="G1212" s="74" t="s">
        <v>1195</v>
      </c>
      <c r="H1212" s="69"/>
    </row>
    <row r="1213" spans="1:8" x14ac:dyDescent="0.2">
      <c r="A1213" s="72"/>
      <c r="B1213" s="76"/>
      <c r="C1213" s="73"/>
      <c r="D1213" s="73" t="s">
        <v>952</v>
      </c>
      <c r="E1213" s="77" t="s">
        <v>93</v>
      </c>
      <c r="F1213" s="75" t="s">
        <v>1561</v>
      </c>
      <c r="G1213" s="75" t="s">
        <v>1176</v>
      </c>
      <c r="H1213" s="69"/>
    </row>
    <row r="1214" spans="1:8" x14ac:dyDescent="0.2">
      <c r="A1214" s="72"/>
      <c r="B1214" s="76"/>
      <c r="C1214" s="73"/>
      <c r="D1214" s="73" t="s">
        <v>952</v>
      </c>
      <c r="E1214" s="77" t="s">
        <v>93</v>
      </c>
      <c r="F1214" s="75" t="s">
        <v>1564</v>
      </c>
      <c r="G1214" s="75" t="s">
        <v>1176</v>
      </c>
      <c r="H1214" s="69"/>
    </row>
    <row r="1215" spans="1:8" x14ac:dyDescent="0.2">
      <c r="A1215" s="72"/>
      <c r="B1215" s="76"/>
      <c r="C1215" s="73"/>
      <c r="D1215" s="73" t="s">
        <v>952</v>
      </c>
      <c r="E1215" s="77" t="s">
        <v>93</v>
      </c>
      <c r="F1215" s="75" t="s">
        <v>1565</v>
      </c>
      <c r="G1215" s="75" t="s">
        <v>1176</v>
      </c>
      <c r="H1215" s="69"/>
    </row>
    <row r="1216" spans="1:8" x14ac:dyDescent="0.2">
      <c r="A1216" s="72"/>
      <c r="B1216" s="76"/>
      <c r="C1216" s="73"/>
      <c r="D1216" s="73" t="s">
        <v>952</v>
      </c>
      <c r="E1216" s="77" t="s">
        <v>93</v>
      </c>
      <c r="F1216" s="75" t="s">
        <v>1566</v>
      </c>
      <c r="G1216" s="75" t="s">
        <v>1176</v>
      </c>
      <c r="H1216" s="69"/>
    </row>
    <row r="1217" spans="1:8" x14ac:dyDescent="0.2">
      <c r="A1217" s="72"/>
      <c r="B1217" s="76"/>
      <c r="C1217" s="73"/>
      <c r="D1217" s="73" t="s">
        <v>952</v>
      </c>
      <c r="E1217" s="77" t="s">
        <v>93</v>
      </c>
      <c r="F1217" s="75" t="s">
        <v>1611</v>
      </c>
      <c r="G1217" s="75" t="s">
        <v>1176</v>
      </c>
      <c r="H1217" s="69"/>
    </row>
    <row r="1218" spans="1:8" x14ac:dyDescent="0.2">
      <c r="A1218" s="72"/>
      <c r="B1218" s="76"/>
      <c r="C1218" s="73"/>
      <c r="D1218" s="73" t="s">
        <v>952</v>
      </c>
      <c r="E1218" s="77" t="s">
        <v>93</v>
      </c>
      <c r="F1218" s="75" t="s">
        <v>1562</v>
      </c>
      <c r="G1218" s="75" t="s">
        <v>1176</v>
      </c>
      <c r="H1218" s="69"/>
    </row>
    <row r="1219" spans="1:8" x14ac:dyDescent="0.2">
      <c r="A1219" s="72"/>
      <c r="B1219" s="76"/>
      <c r="C1219" s="73"/>
      <c r="D1219" s="73" t="s">
        <v>952</v>
      </c>
      <c r="E1219" s="77" t="s">
        <v>93</v>
      </c>
      <c r="F1219" s="75" t="s">
        <v>1563</v>
      </c>
      <c r="G1219" s="75" t="s">
        <v>1176</v>
      </c>
      <c r="H1219" s="69"/>
    </row>
    <row r="1220" spans="1:8" x14ac:dyDescent="0.2">
      <c r="A1220" s="72"/>
      <c r="B1220" s="76"/>
      <c r="C1220" s="73"/>
      <c r="D1220" s="73" t="s">
        <v>952</v>
      </c>
      <c r="E1220" s="77" t="s">
        <v>93</v>
      </c>
      <c r="F1220" s="75" t="s">
        <v>1612</v>
      </c>
      <c r="G1220" s="75" t="s">
        <v>1176</v>
      </c>
      <c r="H1220" s="69"/>
    </row>
    <row r="1221" spans="1:8" x14ac:dyDescent="0.2">
      <c r="A1221" s="72"/>
      <c r="B1221" s="76"/>
      <c r="C1221" s="73"/>
      <c r="D1221" s="73" t="s">
        <v>952</v>
      </c>
      <c r="E1221" s="77" t="s">
        <v>93</v>
      </c>
      <c r="F1221" s="75" t="s">
        <v>1613</v>
      </c>
      <c r="G1221" s="75" t="s">
        <v>1176</v>
      </c>
      <c r="H1221" s="69"/>
    </row>
    <row r="1222" spans="1:8" x14ac:dyDescent="0.2">
      <c r="A1222" s="72"/>
      <c r="B1222" s="76"/>
      <c r="C1222" s="73"/>
      <c r="D1222" s="73" t="s">
        <v>952</v>
      </c>
      <c r="E1222" s="77" t="s">
        <v>93</v>
      </c>
      <c r="F1222" s="75" t="s">
        <v>1614</v>
      </c>
      <c r="G1222" s="75" t="s">
        <v>1176</v>
      </c>
      <c r="H1222" s="69"/>
    </row>
    <row r="1223" spans="1:8" x14ac:dyDescent="0.2">
      <c r="A1223" s="72"/>
      <c r="B1223" s="76"/>
      <c r="C1223" s="73"/>
      <c r="D1223" s="73" t="s">
        <v>952</v>
      </c>
      <c r="E1223" s="77" t="s">
        <v>93</v>
      </c>
      <c r="F1223" s="75" t="s">
        <v>1615</v>
      </c>
      <c r="G1223" s="75" t="s">
        <v>1176</v>
      </c>
      <c r="H1223" s="69"/>
    </row>
    <row r="1224" spans="1:8" x14ac:dyDescent="0.2">
      <c r="A1224" s="72"/>
      <c r="B1224" s="76"/>
      <c r="C1224" s="73"/>
      <c r="D1224" s="73" t="s">
        <v>952</v>
      </c>
      <c r="E1224" s="77" t="s">
        <v>93</v>
      </c>
      <c r="F1224" s="75" t="s">
        <v>391</v>
      </c>
      <c r="G1224" s="75" t="s">
        <v>1177</v>
      </c>
      <c r="H1224" s="69"/>
    </row>
    <row r="1225" spans="1:8" x14ac:dyDescent="0.2">
      <c r="A1225" s="72"/>
      <c r="B1225" s="76"/>
      <c r="C1225" s="73"/>
      <c r="D1225" s="73" t="s">
        <v>952</v>
      </c>
      <c r="E1225" s="77" t="s">
        <v>93</v>
      </c>
      <c r="F1225" s="75" t="s">
        <v>1567</v>
      </c>
      <c r="G1225" s="75" t="s">
        <v>1177</v>
      </c>
      <c r="H1225" s="69"/>
    </row>
    <row r="1226" spans="1:8" x14ac:dyDescent="0.2">
      <c r="A1226" s="72"/>
      <c r="B1226" s="76"/>
      <c r="C1226" s="73"/>
      <c r="D1226" s="73" t="s">
        <v>952</v>
      </c>
      <c r="E1226" s="77" t="s">
        <v>93</v>
      </c>
      <c r="F1226" s="75" t="s">
        <v>1568</v>
      </c>
      <c r="G1226" s="75" t="s">
        <v>1177</v>
      </c>
      <c r="H1226" s="69"/>
    </row>
    <row r="1227" spans="1:8" x14ac:dyDescent="0.2">
      <c r="A1227" s="72"/>
      <c r="B1227" s="76"/>
      <c r="C1227" s="73"/>
      <c r="D1227" s="73" t="s">
        <v>952</v>
      </c>
      <c r="E1227" s="77" t="s">
        <v>93</v>
      </c>
      <c r="F1227" s="75" t="s">
        <v>1569</v>
      </c>
      <c r="G1227" s="75" t="s">
        <v>1177</v>
      </c>
      <c r="H1227" s="69"/>
    </row>
    <row r="1228" spans="1:8" x14ac:dyDescent="0.2">
      <c r="A1228" s="72"/>
      <c r="B1228" s="76"/>
      <c r="C1228" s="73"/>
      <c r="D1228" s="73" t="s">
        <v>952</v>
      </c>
      <c r="E1228" s="77" t="s">
        <v>93</v>
      </c>
      <c r="F1228" s="75" t="s">
        <v>1570</v>
      </c>
      <c r="G1228" s="75" t="s">
        <v>1177</v>
      </c>
      <c r="H1228" s="69"/>
    </row>
    <row r="1229" spans="1:8" x14ac:dyDescent="0.2">
      <c r="A1229" s="72"/>
      <c r="B1229" s="76"/>
      <c r="C1229" s="73"/>
      <c r="D1229" s="73" t="s">
        <v>952</v>
      </c>
      <c r="E1229" s="77" t="s">
        <v>93</v>
      </c>
      <c r="F1229" s="75" t="s">
        <v>1572</v>
      </c>
      <c r="G1229" s="75" t="s">
        <v>1177</v>
      </c>
      <c r="H1229" s="69"/>
    </row>
    <row r="1230" spans="1:8" x14ac:dyDescent="0.2">
      <c r="A1230" s="72"/>
      <c r="B1230" s="76"/>
      <c r="C1230" s="73"/>
      <c r="D1230" s="73" t="s">
        <v>952</v>
      </c>
      <c r="E1230" s="77" t="s">
        <v>93</v>
      </c>
      <c r="F1230" s="75" t="s">
        <v>1616</v>
      </c>
      <c r="G1230" s="75" t="s">
        <v>1177</v>
      </c>
      <c r="H1230" s="69"/>
    </row>
    <row r="1231" spans="1:8" x14ac:dyDescent="0.2">
      <c r="A1231" s="72"/>
      <c r="B1231" s="76"/>
      <c r="C1231" s="73"/>
      <c r="D1231" s="73" t="s">
        <v>952</v>
      </c>
      <c r="E1231" s="77" t="s">
        <v>93</v>
      </c>
      <c r="F1231" s="75" t="s">
        <v>1573</v>
      </c>
      <c r="G1231" s="75" t="s">
        <v>1177</v>
      </c>
      <c r="H1231" s="69"/>
    </row>
    <row r="1232" spans="1:8" x14ac:dyDescent="0.2">
      <c r="A1232" s="72"/>
      <c r="B1232" s="76"/>
      <c r="C1232" s="73"/>
      <c r="D1232" s="73" t="s">
        <v>952</v>
      </c>
      <c r="E1232" s="77" t="s">
        <v>93</v>
      </c>
      <c r="F1232" s="75" t="s">
        <v>1617</v>
      </c>
      <c r="G1232" s="75" t="s">
        <v>1177</v>
      </c>
      <c r="H1232" s="69"/>
    </row>
    <row r="1233" spans="1:8" x14ac:dyDescent="0.2">
      <c r="A1233" s="72"/>
      <c r="B1233" s="76"/>
      <c r="C1233" s="73"/>
      <c r="D1233" s="73" t="s">
        <v>952</v>
      </c>
      <c r="E1233" s="77" t="s">
        <v>93</v>
      </c>
      <c r="F1233" s="75" t="s">
        <v>1618</v>
      </c>
      <c r="G1233" s="75" t="s">
        <v>1177</v>
      </c>
      <c r="H1233" s="69"/>
    </row>
    <row r="1234" spans="1:8" x14ac:dyDescent="0.2">
      <c r="A1234" s="72"/>
      <c r="B1234" s="76"/>
      <c r="C1234" s="73"/>
      <c r="D1234" s="73" t="s">
        <v>952</v>
      </c>
      <c r="E1234" s="77" t="s">
        <v>93</v>
      </c>
      <c r="F1234" s="75" t="s">
        <v>1619</v>
      </c>
      <c r="G1234" s="75" t="s">
        <v>1177</v>
      </c>
      <c r="H1234" s="69"/>
    </row>
    <row r="1235" spans="1:8" x14ac:dyDescent="0.2">
      <c r="A1235" s="72"/>
      <c r="B1235" s="76"/>
      <c r="C1235" s="73"/>
      <c r="D1235" s="73" t="s">
        <v>952</v>
      </c>
      <c r="E1235" s="77" t="s">
        <v>93</v>
      </c>
      <c r="F1235" s="75" t="s">
        <v>1620</v>
      </c>
      <c r="G1235" s="75" t="s">
        <v>1177</v>
      </c>
      <c r="H1235" s="69"/>
    </row>
    <row r="1236" spans="1:8" x14ac:dyDescent="0.2">
      <c r="A1236" s="72"/>
      <c r="B1236" s="76"/>
      <c r="C1236" s="73"/>
      <c r="D1236" s="73" t="s">
        <v>952</v>
      </c>
      <c r="E1236" s="77" t="s">
        <v>93</v>
      </c>
      <c r="F1236" s="75" t="s">
        <v>1574</v>
      </c>
      <c r="G1236" s="75" t="s">
        <v>1179</v>
      </c>
      <c r="H1236" s="69"/>
    </row>
    <row r="1237" spans="1:8" x14ac:dyDescent="0.2">
      <c r="A1237" s="72"/>
      <c r="B1237" s="76"/>
      <c r="C1237" s="73"/>
      <c r="D1237" s="73" t="s">
        <v>952</v>
      </c>
      <c r="E1237" s="77" t="s">
        <v>93</v>
      </c>
      <c r="F1237" s="75" t="s">
        <v>1577</v>
      </c>
      <c r="G1237" s="75" t="s">
        <v>1179</v>
      </c>
      <c r="H1237" s="69"/>
    </row>
    <row r="1238" spans="1:8" x14ac:dyDescent="0.2">
      <c r="A1238" s="72"/>
      <c r="B1238" s="76"/>
      <c r="C1238" s="73"/>
      <c r="D1238" s="73" t="s">
        <v>952</v>
      </c>
      <c r="E1238" s="77" t="s">
        <v>93</v>
      </c>
      <c r="F1238" s="75" t="s">
        <v>1578</v>
      </c>
      <c r="G1238" s="75" t="s">
        <v>1179</v>
      </c>
      <c r="H1238" s="69"/>
    </row>
    <row r="1239" spans="1:8" x14ac:dyDescent="0.2">
      <c r="A1239" s="72"/>
      <c r="B1239" s="76"/>
      <c r="C1239" s="73"/>
      <c r="D1239" s="73" t="s">
        <v>952</v>
      </c>
      <c r="E1239" s="77" t="s">
        <v>93</v>
      </c>
      <c r="F1239" s="75" t="s">
        <v>1579</v>
      </c>
      <c r="G1239" s="75" t="s">
        <v>1179</v>
      </c>
      <c r="H1239" s="69"/>
    </row>
    <row r="1240" spans="1:8" x14ac:dyDescent="0.2">
      <c r="A1240" s="72"/>
      <c r="B1240" s="76"/>
      <c r="C1240" s="73"/>
      <c r="D1240" s="73" t="s">
        <v>952</v>
      </c>
      <c r="E1240" s="77" t="s">
        <v>93</v>
      </c>
      <c r="F1240" s="75" t="s">
        <v>1621</v>
      </c>
      <c r="G1240" s="75" t="s">
        <v>1179</v>
      </c>
      <c r="H1240" s="69"/>
    </row>
    <row r="1241" spans="1:8" x14ac:dyDescent="0.2">
      <c r="A1241" s="72"/>
      <c r="B1241" s="76"/>
      <c r="C1241" s="73"/>
      <c r="D1241" s="73" t="s">
        <v>952</v>
      </c>
      <c r="E1241" s="77" t="s">
        <v>93</v>
      </c>
      <c r="F1241" s="75" t="s">
        <v>1575</v>
      </c>
      <c r="G1241" s="75" t="s">
        <v>1179</v>
      </c>
      <c r="H1241" s="69"/>
    </row>
    <row r="1242" spans="1:8" x14ac:dyDescent="0.2">
      <c r="A1242" s="72"/>
      <c r="B1242" s="76"/>
      <c r="C1242" s="73"/>
      <c r="D1242" s="73" t="s">
        <v>952</v>
      </c>
      <c r="E1242" s="77" t="s">
        <v>93</v>
      </c>
      <c r="F1242" s="75" t="s">
        <v>1576</v>
      </c>
      <c r="G1242" s="75" t="s">
        <v>1179</v>
      </c>
      <c r="H1242" s="69"/>
    </row>
    <row r="1243" spans="1:8" x14ac:dyDescent="0.2">
      <c r="A1243" s="72"/>
      <c r="B1243" s="76"/>
      <c r="C1243" s="73"/>
      <c r="D1243" s="73" t="s">
        <v>952</v>
      </c>
      <c r="E1243" s="77" t="s">
        <v>93</v>
      </c>
      <c r="F1243" s="75" t="s">
        <v>1622</v>
      </c>
      <c r="G1243" s="75" t="s">
        <v>1179</v>
      </c>
      <c r="H1243" s="69"/>
    </row>
    <row r="1244" spans="1:8" x14ac:dyDescent="0.2">
      <c r="A1244" s="72"/>
      <c r="B1244" s="76"/>
      <c r="C1244" s="73"/>
      <c r="D1244" s="73" t="s">
        <v>952</v>
      </c>
      <c r="E1244" s="77" t="s">
        <v>93</v>
      </c>
      <c r="F1244" s="75" t="s">
        <v>1623</v>
      </c>
      <c r="G1244" s="75" t="s">
        <v>1179</v>
      </c>
      <c r="H1244" s="69"/>
    </row>
    <row r="1245" spans="1:8" x14ac:dyDescent="0.2">
      <c r="A1245" s="72"/>
      <c r="B1245" s="76"/>
      <c r="C1245" s="73"/>
      <c r="D1245" s="73" t="s">
        <v>952</v>
      </c>
      <c r="E1245" s="77" t="s">
        <v>93</v>
      </c>
      <c r="F1245" s="75" t="s">
        <v>1624</v>
      </c>
      <c r="G1245" s="75" t="s">
        <v>1179</v>
      </c>
      <c r="H1245" s="69"/>
    </row>
    <row r="1246" spans="1:8" x14ac:dyDescent="0.2">
      <c r="A1246" s="72"/>
      <c r="B1246" s="76"/>
      <c r="C1246" s="73"/>
      <c r="D1246" s="73" t="s">
        <v>952</v>
      </c>
      <c r="E1246" s="77" t="s">
        <v>93</v>
      </c>
      <c r="F1246" s="75" t="s">
        <v>1625</v>
      </c>
      <c r="G1246" s="75" t="s">
        <v>1179</v>
      </c>
      <c r="H1246" s="69"/>
    </row>
    <row r="1247" spans="1:8" x14ac:dyDescent="0.2">
      <c r="A1247" s="72"/>
      <c r="B1247" s="84"/>
      <c r="C1247" s="73"/>
      <c r="D1247" s="73" t="s">
        <v>952</v>
      </c>
      <c r="E1247" s="77" t="s">
        <v>93</v>
      </c>
      <c r="F1247" s="75" t="s">
        <v>1574</v>
      </c>
      <c r="G1247" s="75" t="s">
        <v>1178</v>
      </c>
      <c r="H1247" s="69"/>
    </row>
    <row r="1248" spans="1:8" x14ac:dyDescent="0.2">
      <c r="A1248" s="72"/>
      <c r="B1248" s="84"/>
      <c r="C1248" s="73"/>
      <c r="D1248" s="73" t="s">
        <v>952</v>
      </c>
      <c r="E1248" s="77" t="s">
        <v>93</v>
      </c>
      <c r="F1248" s="75" t="s">
        <v>1577</v>
      </c>
      <c r="G1248" s="75" t="s">
        <v>1178</v>
      </c>
      <c r="H1248" s="69"/>
    </row>
    <row r="1249" spans="1:8" x14ac:dyDescent="0.2">
      <c r="A1249" s="72"/>
      <c r="B1249" s="84"/>
      <c r="C1249" s="73"/>
      <c r="D1249" s="73" t="s">
        <v>952</v>
      </c>
      <c r="E1249" s="77" t="s">
        <v>93</v>
      </c>
      <c r="F1249" s="75" t="s">
        <v>1578</v>
      </c>
      <c r="G1249" s="75" t="s">
        <v>1178</v>
      </c>
      <c r="H1249" s="69"/>
    </row>
    <row r="1250" spans="1:8" x14ac:dyDescent="0.2">
      <c r="A1250" s="72"/>
      <c r="B1250" s="84"/>
      <c r="C1250" s="73"/>
      <c r="D1250" s="73" t="s">
        <v>952</v>
      </c>
      <c r="E1250" s="77" t="s">
        <v>93</v>
      </c>
      <c r="F1250" s="75" t="s">
        <v>1579</v>
      </c>
      <c r="G1250" s="75" t="s">
        <v>1178</v>
      </c>
      <c r="H1250" s="69"/>
    </row>
    <row r="1251" spans="1:8" x14ac:dyDescent="0.2">
      <c r="A1251" s="72"/>
      <c r="B1251" s="84"/>
      <c r="C1251" s="73"/>
      <c r="D1251" s="73" t="s">
        <v>952</v>
      </c>
      <c r="E1251" s="77" t="s">
        <v>93</v>
      </c>
      <c r="F1251" s="75" t="s">
        <v>1621</v>
      </c>
      <c r="G1251" s="75" t="s">
        <v>1178</v>
      </c>
      <c r="H1251" s="69"/>
    </row>
    <row r="1252" spans="1:8" x14ac:dyDescent="0.2">
      <c r="A1252" s="72"/>
      <c r="B1252" s="84"/>
      <c r="C1252" s="73"/>
      <c r="D1252" s="73" t="s">
        <v>952</v>
      </c>
      <c r="E1252" s="77" t="s">
        <v>93</v>
      </c>
      <c r="F1252" s="75" t="s">
        <v>1575</v>
      </c>
      <c r="G1252" s="75" t="s">
        <v>1178</v>
      </c>
      <c r="H1252" s="69"/>
    </row>
    <row r="1253" spans="1:8" x14ac:dyDescent="0.2">
      <c r="A1253" s="72"/>
      <c r="B1253" s="84"/>
      <c r="C1253" s="73"/>
      <c r="D1253" s="73" t="s">
        <v>952</v>
      </c>
      <c r="E1253" s="77" t="s">
        <v>93</v>
      </c>
      <c r="F1253" s="75" t="s">
        <v>1576</v>
      </c>
      <c r="G1253" s="75" t="s">
        <v>1178</v>
      </c>
      <c r="H1253" s="69"/>
    </row>
    <row r="1254" spans="1:8" x14ac:dyDescent="0.2">
      <c r="A1254" s="72"/>
      <c r="B1254" s="84"/>
      <c r="C1254" s="73"/>
      <c r="D1254" s="73" t="s">
        <v>952</v>
      </c>
      <c r="E1254" s="77" t="s">
        <v>93</v>
      </c>
      <c r="F1254" s="75" t="s">
        <v>1622</v>
      </c>
      <c r="G1254" s="75" t="s">
        <v>1178</v>
      </c>
      <c r="H1254" s="69"/>
    </row>
    <row r="1255" spans="1:8" x14ac:dyDescent="0.2">
      <c r="A1255" s="72"/>
      <c r="B1255" s="84"/>
      <c r="C1255" s="73"/>
      <c r="D1255" s="73" t="s">
        <v>952</v>
      </c>
      <c r="E1255" s="77" t="s">
        <v>93</v>
      </c>
      <c r="F1255" s="75" t="s">
        <v>1623</v>
      </c>
      <c r="G1255" s="75" t="s">
        <v>1178</v>
      </c>
      <c r="H1255" s="69"/>
    </row>
    <row r="1256" spans="1:8" x14ac:dyDescent="0.2">
      <c r="A1256" s="72"/>
      <c r="B1256" s="84"/>
      <c r="C1256" s="73"/>
      <c r="D1256" s="73" t="s">
        <v>952</v>
      </c>
      <c r="E1256" s="77" t="s">
        <v>93</v>
      </c>
      <c r="F1256" s="75" t="s">
        <v>1624</v>
      </c>
      <c r="G1256" s="75" t="s">
        <v>1178</v>
      </c>
      <c r="H1256" s="69"/>
    </row>
    <row r="1257" spans="1:8" x14ac:dyDescent="0.2">
      <c r="A1257" s="72"/>
      <c r="B1257" s="84"/>
      <c r="C1257" s="73"/>
      <c r="D1257" s="73" t="s">
        <v>952</v>
      </c>
      <c r="E1257" s="77" t="s">
        <v>93</v>
      </c>
      <c r="F1257" s="75" t="s">
        <v>1625</v>
      </c>
      <c r="G1257" s="75" t="s">
        <v>1178</v>
      </c>
      <c r="H1257" s="69"/>
    </row>
    <row r="1258" spans="1:8" x14ac:dyDescent="0.2">
      <c r="A1258" s="72"/>
      <c r="B1258" s="84"/>
      <c r="C1258" s="73"/>
      <c r="D1258" s="73" t="s">
        <v>952</v>
      </c>
      <c r="E1258" s="77" t="s">
        <v>93</v>
      </c>
      <c r="F1258" s="75" t="s">
        <v>1574</v>
      </c>
      <c r="G1258" s="75" t="s">
        <v>1197</v>
      </c>
      <c r="H1258" s="69"/>
    </row>
    <row r="1259" spans="1:8" x14ac:dyDescent="0.2">
      <c r="A1259" s="72"/>
      <c r="B1259" s="84"/>
      <c r="C1259" s="73"/>
      <c r="D1259" s="73" t="s">
        <v>952</v>
      </c>
      <c r="E1259" s="77" t="s">
        <v>93</v>
      </c>
      <c r="F1259" s="75" t="s">
        <v>1577</v>
      </c>
      <c r="G1259" s="75" t="s">
        <v>1197</v>
      </c>
      <c r="H1259" s="69"/>
    </row>
    <row r="1260" spans="1:8" x14ac:dyDescent="0.2">
      <c r="A1260" s="72"/>
      <c r="B1260" s="84"/>
      <c r="C1260" s="73"/>
      <c r="D1260" s="73" t="s">
        <v>952</v>
      </c>
      <c r="E1260" s="77" t="s">
        <v>93</v>
      </c>
      <c r="F1260" s="75" t="s">
        <v>1578</v>
      </c>
      <c r="G1260" s="75" t="s">
        <v>1197</v>
      </c>
      <c r="H1260" s="69"/>
    </row>
    <row r="1261" spans="1:8" x14ac:dyDescent="0.2">
      <c r="A1261" s="72"/>
      <c r="B1261" s="84"/>
      <c r="C1261" s="73"/>
      <c r="D1261" s="73" t="s">
        <v>952</v>
      </c>
      <c r="E1261" s="77" t="s">
        <v>93</v>
      </c>
      <c r="F1261" s="75" t="s">
        <v>1579</v>
      </c>
      <c r="G1261" s="75" t="s">
        <v>1197</v>
      </c>
      <c r="H1261" s="69"/>
    </row>
    <row r="1262" spans="1:8" x14ac:dyDescent="0.2">
      <c r="A1262" s="72"/>
      <c r="B1262" s="84"/>
      <c r="C1262" s="73"/>
      <c r="D1262" s="73" t="s">
        <v>952</v>
      </c>
      <c r="E1262" s="77" t="s">
        <v>93</v>
      </c>
      <c r="F1262" s="75" t="s">
        <v>1580</v>
      </c>
      <c r="G1262" s="75" t="s">
        <v>1197</v>
      </c>
      <c r="H1262" s="69"/>
    </row>
    <row r="1263" spans="1:8" x14ac:dyDescent="0.2">
      <c r="A1263" s="72"/>
      <c r="B1263" s="84"/>
      <c r="C1263" s="73"/>
      <c r="D1263" s="73" t="s">
        <v>952</v>
      </c>
      <c r="E1263" s="77" t="s">
        <v>93</v>
      </c>
      <c r="F1263" s="75" t="s">
        <v>1621</v>
      </c>
      <c r="G1263" s="75" t="s">
        <v>1197</v>
      </c>
      <c r="H1263" s="69"/>
    </row>
    <row r="1264" spans="1:8" x14ac:dyDescent="0.2">
      <c r="A1264" s="72"/>
      <c r="B1264" s="84"/>
      <c r="C1264" s="73"/>
      <c r="D1264" s="73" t="s">
        <v>952</v>
      </c>
      <c r="E1264" s="77" t="s">
        <v>93</v>
      </c>
      <c r="F1264" s="75" t="s">
        <v>1575</v>
      </c>
      <c r="G1264" s="75" t="s">
        <v>1197</v>
      </c>
      <c r="H1264" s="69"/>
    </row>
    <row r="1265" spans="1:8" x14ac:dyDescent="0.2">
      <c r="A1265" s="72"/>
      <c r="B1265" s="84"/>
      <c r="C1265" s="73"/>
      <c r="D1265" s="73" t="s">
        <v>952</v>
      </c>
      <c r="E1265" s="77" t="s">
        <v>93</v>
      </c>
      <c r="F1265" s="75" t="s">
        <v>1576</v>
      </c>
      <c r="G1265" s="75" t="s">
        <v>1197</v>
      </c>
      <c r="H1265" s="69"/>
    </row>
    <row r="1266" spans="1:8" x14ac:dyDescent="0.2">
      <c r="A1266" s="72"/>
      <c r="B1266" s="84"/>
      <c r="C1266" s="73"/>
      <c r="D1266" s="73" t="s">
        <v>952</v>
      </c>
      <c r="E1266" s="77" t="s">
        <v>93</v>
      </c>
      <c r="F1266" s="75" t="s">
        <v>1622</v>
      </c>
      <c r="G1266" s="75" t="s">
        <v>1197</v>
      </c>
      <c r="H1266" s="69"/>
    </row>
    <row r="1267" spans="1:8" x14ac:dyDescent="0.2">
      <c r="A1267" s="72"/>
      <c r="B1267" s="84"/>
      <c r="C1267" s="73"/>
      <c r="D1267" s="73" t="s">
        <v>952</v>
      </c>
      <c r="E1267" s="77" t="s">
        <v>93</v>
      </c>
      <c r="F1267" s="75" t="s">
        <v>1623</v>
      </c>
      <c r="G1267" s="75" t="s">
        <v>1197</v>
      </c>
      <c r="H1267" s="69"/>
    </row>
    <row r="1268" spans="1:8" x14ac:dyDescent="0.2">
      <c r="A1268" s="72"/>
      <c r="B1268" s="84"/>
      <c r="C1268" s="73"/>
      <c r="D1268" s="73" t="s">
        <v>952</v>
      </c>
      <c r="E1268" s="77" t="s">
        <v>93</v>
      </c>
      <c r="F1268" s="75" t="s">
        <v>1624</v>
      </c>
      <c r="G1268" s="75" t="s">
        <v>1197</v>
      </c>
      <c r="H1268" s="69"/>
    </row>
    <row r="1269" spans="1:8" x14ac:dyDescent="0.2">
      <c r="A1269" s="72"/>
      <c r="B1269" s="84"/>
      <c r="C1269" s="73"/>
      <c r="D1269" s="73" t="s">
        <v>952</v>
      </c>
      <c r="E1269" s="77" t="s">
        <v>93</v>
      </c>
      <c r="F1269" s="75" t="s">
        <v>1625</v>
      </c>
      <c r="G1269" s="75" t="s">
        <v>1197</v>
      </c>
      <c r="H1269" s="69"/>
    </row>
    <row r="1270" spans="1:8" x14ac:dyDescent="0.2">
      <c r="A1270" s="72"/>
      <c r="B1270" s="84"/>
      <c r="C1270" s="73"/>
      <c r="D1270" s="73" t="s">
        <v>952</v>
      </c>
      <c r="E1270" s="77" t="s">
        <v>93</v>
      </c>
      <c r="F1270" s="75" t="s">
        <v>391</v>
      </c>
      <c r="G1270" s="75" t="s">
        <v>1196</v>
      </c>
      <c r="H1270" s="69"/>
    </row>
    <row r="1271" spans="1:8" x14ac:dyDescent="0.2">
      <c r="A1271" s="72"/>
      <c r="B1271" s="84"/>
      <c r="C1271" s="73"/>
      <c r="D1271" s="73" t="s">
        <v>952</v>
      </c>
      <c r="E1271" s="77" t="s">
        <v>93</v>
      </c>
      <c r="F1271" s="75" t="s">
        <v>1567</v>
      </c>
      <c r="G1271" s="75" t="s">
        <v>1196</v>
      </c>
      <c r="H1271" s="69"/>
    </row>
    <row r="1272" spans="1:8" x14ac:dyDescent="0.2">
      <c r="A1272" s="72"/>
      <c r="B1272" s="84"/>
      <c r="C1272" s="73"/>
      <c r="D1272" s="73" t="s">
        <v>952</v>
      </c>
      <c r="E1272" s="77" t="s">
        <v>93</v>
      </c>
      <c r="F1272" s="75" t="s">
        <v>1568</v>
      </c>
      <c r="G1272" s="75" t="s">
        <v>1196</v>
      </c>
      <c r="H1272" s="69"/>
    </row>
    <row r="1273" spans="1:8" x14ac:dyDescent="0.2">
      <c r="A1273" s="72"/>
      <c r="B1273" s="84"/>
      <c r="C1273" s="73"/>
      <c r="D1273" s="73" t="s">
        <v>952</v>
      </c>
      <c r="E1273" s="77" t="s">
        <v>93</v>
      </c>
      <c r="F1273" s="75" t="s">
        <v>1569</v>
      </c>
      <c r="G1273" s="75" t="s">
        <v>1196</v>
      </c>
      <c r="H1273" s="69"/>
    </row>
    <row r="1274" spans="1:8" x14ac:dyDescent="0.2">
      <c r="A1274" s="72"/>
      <c r="B1274" s="84"/>
      <c r="C1274" s="73"/>
      <c r="D1274" s="73" t="s">
        <v>952</v>
      </c>
      <c r="E1274" s="77" t="s">
        <v>93</v>
      </c>
      <c r="F1274" s="75" t="s">
        <v>1570</v>
      </c>
      <c r="G1274" s="75" t="s">
        <v>1196</v>
      </c>
      <c r="H1274" s="69"/>
    </row>
    <row r="1275" spans="1:8" x14ac:dyDescent="0.2">
      <c r="A1275" s="72"/>
      <c r="B1275" s="84"/>
      <c r="C1275" s="73"/>
      <c r="D1275" s="73" t="s">
        <v>952</v>
      </c>
      <c r="E1275" s="77" t="s">
        <v>93</v>
      </c>
      <c r="F1275" s="75" t="s">
        <v>1571</v>
      </c>
      <c r="G1275" s="75" t="s">
        <v>1196</v>
      </c>
      <c r="H1275" s="69"/>
    </row>
    <row r="1276" spans="1:8" x14ac:dyDescent="0.2">
      <c r="A1276" s="72"/>
      <c r="B1276" s="84"/>
      <c r="C1276" s="73"/>
      <c r="D1276" s="73" t="s">
        <v>952</v>
      </c>
      <c r="E1276" s="77" t="s">
        <v>93</v>
      </c>
      <c r="F1276" s="75" t="s">
        <v>1572</v>
      </c>
      <c r="G1276" s="75" t="s">
        <v>1196</v>
      </c>
      <c r="H1276" s="69"/>
    </row>
    <row r="1277" spans="1:8" x14ac:dyDescent="0.2">
      <c r="A1277" s="72"/>
      <c r="B1277" s="84"/>
      <c r="C1277" s="73"/>
      <c r="D1277" s="73" t="s">
        <v>952</v>
      </c>
      <c r="E1277" s="77" t="s">
        <v>93</v>
      </c>
      <c r="F1277" s="75" t="s">
        <v>1616</v>
      </c>
      <c r="G1277" s="75" t="s">
        <v>1196</v>
      </c>
      <c r="H1277" s="69"/>
    </row>
    <row r="1278" spans="1:8" x14ac:dyDescent="0.2">
      <c r="A1278" s="72"/>
      <c r="B1278" s="84"/>
      <c r="C1278" s="73"/>
      <c r="D1278" s="73" t="s">
        <v>952</v>
      </c>
      <c r="E1278" s="77" t="s">
        <v>93</v>
      </c>
      <c r="F1278" s="75" t="s">
        <v>1573</v>
      </c>
      <c r="G1278" s="75" t="s">
        <v>1196</v>
      </c>
      <c r="H1278" s="69"/>
    </row>
    <row r="1279" spans="1:8" x14ac:dyDescent="0.2">
      <c r="A1279" s="72"/>
      <c r="B1279" s="84"/>
      <c r="C1279" s="73"/>
      <c r="D1279" s="73" t="s">
        <v>952</v>
      </c>
      <c r="E1279" s="77" t="s">
        <v>93</v>
      </c>
      <c r="F1279" s="75" t="s">
        <v>1617</v>
      </c>
      <c r="G1279" s="75" t="s">
        <v>1196</v>
      </c>
      <c r="H1279" s="69"/>
    </row>
    <row r="1280" spans="1:8" x14ac:dyDescent="0.2">
      <c r="A1280" s="72"/>
      <c r="B1280" s="84"/>
      <c r="C1280" s="73"/>
      <c r="D1280" s="73" t="s">
        <v>952</v>
      </c>
      <c r="E1280" s="77" t="s">
        <v>93</v>
      </c>
      <c r="F1280" s="75" t="s">
        <v>1618</v>
      </c>
      <c r="G1280" s="75" t="s">
        <v>1196</v>
      </c>
      <c r="H1280" s="69"/>
    </row>
    <row r="1281" spans="1:8" x14ac:dyDescent="0.2">
      <c r="A1281" s="72"/>
      <c r="B1281" s="84"/>
      <c r="C1281" s="73"/>
      <c r="D1281" s="73" t="s">
        <v>952</v>
      </c>
      <c r="E1281" s="77" t="s">
        <v>93</v>
      </c>
      <c r="F1281" s="75" t="s">
        <v>1619</v>
      </c>
      <c r="G1281" s="75" t="s">
        <v>1196</v>
      </c>
      <c r="H1281" s="69"/>
    </row>
    <row r="1282" spans="1:8" x14ac:dyDescent="0.2">
      <c r="A1282" s="72"/>
      <c r="B1282" s="84"/>
      <c r="C1282" s="73"/>
      <c r="D1282" s="73" t="s">
        <v>952</v>
      </c>
      <c r="E1282" s="77" t="s">
        <v>93</v>
      </c>
      <c r="F1282" s="75" t="s">
        <v>1620</v>
      </c>
      <c r="G1282" s="75" t="s">
        <v>1196</v>
      </c>
      <c r="H1282" s="69"/>
    </row>
    <row r="1283" spans="1:8" x14ac:dyDescent="0.2">
      <c r="A1283" s="72"/>
      <c r="B1283" s="76"/>
      <c r="C1283" s="73"/>
      <c r="D1283" s="73" t="s">
        <v>954</v>
      </c>
      <c r="E1283" s="77" t="s">
        <v>102</v>
      </c>
      <c r="F1283" s="75" t="s">
        <v>1635</v>
      </c>
      <c r="G1283" s="75" t="s">
        <v>1180</v>
      </c>
      <c r="H1283" s="69"/>
    </row>
    <row r="1284" spans="1:8" x14ac:dyDescent="0.2">
      <c r="A1284" s="72"/>
      <c r="B1284" s="76"/>
      <c r="C1284" s="73"/>
      <c r="D1284" s="73" t="s">
        <v>954</v>
      </c>
      <c r="E1284" s="77" t="s">
        <v>102</v>
      </c>
      <c r="F1284" s="75" t="s">
        <v>1636</v>
      </c>
      <c r="G1284" s="75" t="s">
        <v>1180</v>
      </c>
      <c r="H1284" s="69"/>
    </row>
    <row r="1285" spans="1:8" ht="16" x14ac:dyDescent="0.2">
      <c r="A1285" s="72"/>
      <c r="B1285" s="76"/>
      <c r="C1285" s="73"/>
      <c r="D1285" s="73" t="s">
        <v>954</v>
      </c>
      <c r="E1285" s="77" t="s">
        <v>102</v>
      </c>
      <c r="F1285" s="75" t="s">
        <v>1637</v>
      </c>
      <c r="G1285" s="74" t="s">
        <v>572</v>
      </c>
      <c r="H1285" s="69"/>
    </row>
    <row r="1286" spans="1:8" ht="16" x14ac:dyDescent="0.2">
      <c r="A1286" s="72"/>
      <c r="B1286" s="76"/>
      <c r="C1286" s="73"/>
      <c r="D1286" s="73" t="s">
        <v>954</v>
      </c>
      <c r="E1286" s="77" t="s">
        <v>102</v>
      </c>
      <c r="F1286" s="75" t="s">
        <v>113</v>
      </c>
      <c r="G1286" s="74" t="s">
        <v>572</v>
      </c>
      <c r="H1286" s="69"/>
    </row>
    <row r="1287" spans="1:8" ht="16" x14ac:dyDescent="0.2">
      <c r="A1287" s="72"/>
      <c r="B1287" s="76"/>
      <c r="C1287" s="73"/>
      <c r="D1287" s="73" t="s">
        <v>954</v>
      </c>
      <c r="E1287" s="77" t="s">
        <v>102</v>
      </c>
      <c r="F1287" s="75" t="s">
        <v>1222</v>
      </c>
      <c r="G1287" s="74" t="s">
        <v>570</v>
      </c>
      <c r="H1287" s="69"/>
    </row>
    <row r="1288" spans="1:8" ht="16" x14ac:dyDescent="0.2">
      <c r="A1288" s="72"/>
      <c r="B1288" s="76"/>
      <c r="C1288" s="73"/>
      <c r="D1288" s="73" t="s">
        <v>954</v>
      </c>
      <c r="E1288" s="77" t="s">
        <v>102</v>
      </c>
      <c r="F1288" s="75" t="s">
        <v>1222</v>
      </c>
      <c r="G1288" s="74" t="s">
        <v>570</v>
      </c>
      <c r="H1288" s="69"/>
    </row>
    <row r="1289" spans="1:8" ht="16" x14ac:dyDescent="0.2">
      <c r="A1289" s="72"/>
      <c r="B1289" s="84"/>
      <c r="C1289" s="73"/>
      <c r="D1289" s="73" t="s">
        <v>954</v>
      </c>
      <c r="E1289" s="77" t="s">
        <v>109</v>
      </c>
      <c r="F1289" s="75" t="s">
        <v>240</v>
      </c>
      <c r="G1289" s="74" t="s">
        <v>1181</v>
      </c>
      <c r="H1289" s="69"/>
    </row>
    <row r="1290" spans="1:8" ht="16" x14ac:dyDescent="0.2">
      <c r="A1290" s="72"/>
      <c r="B1290" s="84"/>
      <c r="C1290" s="73"/>
      <c r="D1290" s="73" t="s">
        <v>954</v>
      </c>
      <c r="E1290" s="77" t="s">
        <v>963</v>
      </c>
      <c r="F1290" s="75" t="s">
        <v>240</v>
      </c>
      <c r="G1290" s="74" t="s">
        <v>1181</v>
      </c>
      <c r="H1290" s="69"/>
    </row>
    <row r="1291" spans="1:8" ht="16" x14ac:dyDescent="0.2">
      <c r="A1291" s="72"/>
      <c r="B1291" s="84"/>
      <c r="C1291" s="73"/>
      <c r="D1291" s="73" t="s">
        <v>954</v>
      </c>
      <c r="E1291" s="77" t="s">
        <v>125</v>
      </c>
      <c r="F1291" s="75" t="s">
        <v>240</v>
      </c>
      <c r="G1291" s="74" t="s">
        <v>1181</v>
      </c>
      <c r="H1291" s="69"/>
    </row>
    <row r="1292" spans="1:8" ht="16" x14ac:dyDescent="0.2">
      <c r="A1292" s="79"/>
      <c r="B1292" s="82"/>
      <c r="C1292" s="73"/>
      <c r="D1292" s="73" t="s">
        <v>943</v>
      </c>
      <c r="E1292" s="83" t="s">
        <v>109</v>
      </c>
      <c r="F1292" s="81" t="s">
        <v>1377</v>
      </c>
      <c r="G1292" s="80" t="s">
        <v>516</v>
      </c>
      <c r="H1292" s="69"/>
    </row>
    <row r="1293" spans="1:8" ht="16" x14ac:dyDescent="0.2">
      <c r="A1293" s="79"/>
      <c r="B1293" s="82"/>
      <c r="C1293" s="73"/>
      <c r="D1293" s="73" t="s">
        <v>943</v>
      </c>
      <c r="E1293" s="83" t="s">
        <v>109</v>
      </c>
      <c r="F1293" s="81" t="s">
        <v>1387</v>
      </c>
      <c r="G1293" s="80" t="s">
        <v>514</v>
      </c>
      <c r="H1293" s="69"/>
    </row>
    <row r="1294" spans="1:8" ht="16" x14ac:dyDescent="0.2">
      <c r="A1294" s="79"/>
      <c r="B1294" s="82"/>
      <c r="C1294" s="73"/>
      <c r="D1294" s="73" t="s">
        <v>943</v>
      </c>
      <c r="E1294" s="83" t="s">
        <v>109</v>
      </c>
      <c r="F1294" s="81" t="s">
        <v>1389</v>
      </c>
      <c r="G1294" s="80" t="s">
        <v>514</v>
      </c>
      <c r="H1294" s="69"/>
    </row>
    <row r="1295" spans="1:8" ht="16" x14ac:dyDescent="0.2">
      <c r="A1295" s="72"/>
      <c r="B1295" s="84"/>
      <c r="C1295" s="73"/>
      <c r="D1295" s="73" t="s">
        <v>953</v>
      </c>
      <c r="E1295" s="77" t="s">
        <v>96</v>
      </c>
      <c r="F1295" s="75" t="s">
        <v>2045</v>
      </c>
      <c r="G1295" s="74" t="s">
        <v>927</v>
      </c>
      <c r="H1295" s="69"/>
    </row>
    <row r="1296" spans="1:8" ht="16" x14ac:dyDescent="0.2">
      <c r="A1296" s="72"/>
      <c r="B1296" s="76"/>
      <c r="C1296" s="73"/>
      <c r="D1296" s="73" t="s">
        <v>1313</v>
      </c>
      <c r="E1296" s="77" t="s">
        <v>93</v>
      </c>
      <c r="F1296" s="75" t="s">
        <v>121</v>
      </c>
      <c r="G1296" s="74" t="s">
        <v>1182</v>
      </c>
      <c r="H1296" s="69"/>
    </row>
    <row r="1297" spans="1:8" ht="16" x14ac:dyDescent="0.2">
      <c r="A1297" s="72"/>
      <c r="B1297" s="76"/>
      <c r="C1297" s="73"/>
      <c r="D1297" s="73" t="s">
        <v>1313</v>
      </c>
      <c r="E1297" s="77" t="s">
        <v>93</v>
      </c>
      <c r="F1297" s="75" t="s">
        <v>121</v>
      </c>
      <c r="G1297" s="74" t="s">
        <v>1204</v>
      </c>
      <c r="H1297" s="69"/>
    </row>
    <row r="1298" spans="1:8" x14ac:dyDescent="0.2">
      <c r="A1298" s="72"/>
      <c r="B1298" s="76"/>
      <c r="C1298" s="73"/>
      <c r="D1298" s="73" t="s">
        <v>1313</v>
      </c>
      <c r="E1298" s="77" t="s">
        <v>93</v>
      </c>
      <c r="F1298" s="75" t="s">
        <v>1364</v>
      </c>
      <c r="G1298" s="75" t="s">
        <v>1041</v>
      </c>
      <c r="H1298" s="69"/>
    </row>
    <row r="1299" spans="1:8" x14ac:dyDescent="0.2">
      <c r="A1299" s="72"/>
      <c r="B1299" s="76"/>
      <c r="C1299" s="73"/>
      <c r="D1299" s="73" t="s">
        <v>1313</v>
      </c>
      <c r="E1299" s="77" t="s">
        <v>93</v>
      </c>
      <c r="F1299" s="75" t="s">
        <v>121</v>
      </c>
      <c r="G1299" s="75" t="s">
        <v>1041</v>
      </c>
      <c r="H1299" s="69"/>
    </row>
    <row r="1300" spans="1:8" x14ac:dyDescent="0.2">
      <c r="A1300" s="72"/>
      <c r="B1300" s="76"/>
      <c r="C1300" s="73"/>
      <c r="D1300" s="73" t="s">
        <v>1313</v>
      </c>
      <c r="E1300" s="77" t="s">
        <v>93</v>
      </c>
      <c r="F1300" s="75" t="s">
        <v>1364</v>
      </c>
      <c r="G1300" s="75" t="s">
        <v>1045</v>
      </c>
      <c r="H1300" s="69"/>
    </row>
    <row r="1301" spans="1:8" x14ac:dyDescent="0.2">
      <c r="A1301" s="72"/>
      <c r="B1301" s="76"/>
      <c r="C1301" s="73"/>
      <c r="D1301" s="73" t="s">
        <v>1313</v>
      </c>
      <c r="E1301" s="77" t="s">
        <v>93</v>
      </c>
      <c r="F1301" s="75" t="s">
        <v>121</v>
      </c>
      <c r="G1301" s="75" t="s">
        <v>1045</v>
      </c>
      <c r="H1301" s="69"/>
    </row>
    <row r="1302" spans="1:8" x14ac:dyDescent="0.2">
      <c r="A1302" s="72"/>
      <c r="B1302" s="76"/>
      <c r="C1302" s="73"/>
      <c r="D1302" s="73" t="s">
        <v>1313</v>
      </c>
      <c r="E1302" s="77" t="s">
        <v>102</v>
      </c>
      <c r="F1302" s="75" t="s">
        <v>1364</v>
      </c>
      <c r="G1302" s="75" t="s">
        <v>1039</v>
      </c>
      <c r="H1302" s="69"/>
    </row>
    <row r="1303" spans="1:8" x14ac:dyDescent="0.2">
      <c r="A1303" s="72"/>
      <c r="B1303" s="76"/>
      <c r="C1303" s="73"/>
      <c r="D1303" s="73" t="s">
        <v>1313</v>
      </c>
      <c r="E1303" s="77" t="s">
        <v>102</v>
      </c>
      <c r="F1303" s="75" t="s">
        <v>121</v>
      </c>
      <c r="G1303" s="75" t="s">
        <v>1039</v>
      </c>
      <c r="H1303" s="69"/>
    </row>
    <row r="1304" spans="1:8" x14ac:dyDescent="0.2">
      <c r="A1304" s="72"/>
      <c r="B1304" s="76"/>
      <c r="C1304" s="73"/>
      <c r="D1304" s="73" t="s">
        <v>1313</v>
      </c>
      <c r="E1304" s="77" t="s">
        <v>102</v>
      </c>
      <c r="F1304" s="75" t="s">
        <v>1364</v>
      </c>
      <c r="G1304" s="75" t="s">
        <v>1043</v>
      </c>
      <c r="H1304" s="69"/>
    </row>
    <row r="1305" spans="1:8" x14ac:dyDescent="0.2">
      <c r="A1305" s="72"/>
      <c r="B1305" s="76"/>
      <c r="C1305" s="73"/>
      <c r="D1305" s="73" t="s">
        <v>1313</v>
      </c>
      <c r="E1305" s="77" t="s">
        <v>102</v>
      </c>
      <c r="F1305" s="75" t="s">
        <v>121</v>
      </c>
      <c r="G1305" s="75" t="s">
        <v>1043</v>
      </c>
      <c r="H1305" s="69"/>
    </row>
    <row r="1306" spans="1:8" x14ac:dyDescent="0.2">
      <c r="A1306" s="72"/>
      <c r="B1306" s="76"/>
      <c r="C1306" s="73"/>
      <c r="D1306" s="73" t="s">
        <v>1313</v>
      </c>
      <c r="E1306" s="77" t="s">
        <v>109</v>
      </c>
      <c r="F1306" s="75" t="s">
        <v>1638</v>
      </c>
      <c r="G1306" s="75" t="s">
        <v>1198</v>
      </c>
      <c r="H1306" s="69"/>
    </row>
    <row r="1307" spans="1:8" x14ac:dyDescent="0.2">
      <c r="A1307" s="72"/>
      <c r="B1307" s="76"/>
      <c r="C1307" s="73"/>
      <c r="D1307" s="73" t="s">
        <v>1313</v>
      </c>
      <c r="E1307" s="77" t="s">
        <v>109</v>
      </c>
      <c r="F1307" s="75" t="s">
        <v>121</v>
      </c>
      <c r="G1307" s="75" t="s">
        <v>1198</v>
      </c>
      <c r="H1307" s="69"/>
    </row>
    <row r="1308" spans="1:8" x14ac:dyDescent="0.2">
      <c r="A1308" s="72"/>
      <c r="B1308" s="76"/>
      <c r="C1308" s="73"/>
      <c r="D1308" s="73" t="s">
        <v>1313</v>
      </c>
      <c r="E1308" s="77" t="s">
        <v>109</v>
      </c>
      <c r="F1308" s="75" t="s">
        <v>1638</v>
      </c>
      <c r="G1308" s="75" t="s">
        <v>1199</v>
      </c>
      <c r="H1308" s="69"/>
    </row>
    <row r="1309" spans="1:8" x14ac:dyDescent="0.2">
      <c r="A1309" s="72"/>
      <c r="B1309" s="76"/>
      <c r="C1309" s="73"/>
      <c r="D1309" s="73" t="s">
        <v>1313</v>
      </c>
      <c r="E1309" s="77" t="s">
        <v>109</v>
      </c>
      <c r="F1309" s="75" t="s">
        <v>121</v>
      </c>
      <c r="G1309" s="75" t="s">
        <v>1199</v>
      </c>
      <c r="H1309" s="69"/>
    </row>
    <row r="1310" spans="1:8" x14ac:dyDescent="0.2">
      <c r="A1310" s="79"/>
      <c r="B1310" s="82"/>
      <c r="C1310" s="73"/>
      <c r="D1310" s="73" t="s">
        <v>945</v>
      </c>
      <c r="E1310" s="83" t="s">
        <v>109</v>
      </c>
      <c r="F1310" s="81" t="s">
        <v>1230</v>
      </c>
      <c r="G1310" s="89" t="s">
        <v>1134</v>
      </c>
      <c r="H1310" s="69"/>
    </row>
    <row r="1311" spans="1:8" x14ac:dyDescent="0.2">
      <c r="A1311" s="79"/>
      <c r="B1311" s="82"/>
      <c r="C1311" s="73"/>
      <c r="D1311" s="73" t="s">
        <v>945</v>
      </c>
      <c r="E1311" s="83" t="s">
        <v>963</v>
      </c>
      <c r="F1311" s="81" t="s">
        <v>1230</v>
      </c>
      <c r="G1311" s="89" t="s">
        <v>1134</v>
      </c>
      <c r="H1311" s="69"/>
    </row>
    <row r="1312" spans="1:8" ht="16" x14ac:dyDescent="0.2">
      <c r="A1312" s="72"/>
      <c r="B1312" s="76"/>
      <c r="C1312" s="73"/>
      <c r="D1312" s="73" t="s">
        <v>955</v>
      </c>
      <c r="E1312" s="77" t="s">
        <v>93</v>
      </c>
      <c r="F1312" s="75" t="s">
        <v>2034</v>
      </c>
      <c r="G1312" s="74" t="s">
        <v>512</v>
      </c>
      <c r="H1312" s="69"/>
    </row>
    <row r="1313" spans="1:8" ht="16" x14ac:dyDescent="0.2">
      <c r="A1313" s="72"/>
      <c r="B1313" s="76"/>
      <c r="C1313" s="73"/>
      <c r="D1313" s="73" t="s">
        <v>955</v>
      </c>
      <c r="E1313" s="77" t="s">
        <v>109</v>
      </c>
      <c r="F1313" s="75" t="s">
        <v>2034</v>
      </c>
      <c r="G1313" s="74" t="s">
        <v>512</v>
      </c>
      <c r="H1313" s="69"/>
    </row>
    <row r="1314" spans="1:8" ht="16" x14ac:dyDescent="0.2">
      <c r="A1314" s="72"/>
      <c r="B1314" s="76"/>
      <c r="C1314" s="73"/>
      <c r="D1314" s="73" t="s">
        <v>955</v>
      </c>
      <c r="E1314" s="77" t="s">
        <v>116</v>
      </c>
      <c r="F1314" s="75" t="s">
        <v>2034</v>
      </c>
      <c r="G1314" s="74" t="s">
        <v>512</v>
      </c>
      <c r="H1314" s="69"/>
    </row>
    <row r="1315" spans="1:8" ht="16" x14ac:dyDescent="0.2">
      <c r="A1315" s="72"/>
      <c r="B1315" s="76"/>
      <c r="C1315" s="73"/>
      <c r="D1315" s="73" t="s">
        <v>955</v>
      </c>
      <c r="E1315" s="77" t="s">
        <v>93</v>
      </c>
      <c r="F1315" s="75" t="s">
        <v>2035</v>
      </c>
      <c r="G1315" s="74" t="s">
        <v>512</v>
      </c>
      <c r="H1315" s="69"/>
    </row>
    <row r="1316" spans="1:8" ht="16" x14ac:dyDescent="0.2">
      <c r="A1316" s="72"/>
      <c r="B1316" s="76"/>
      <c r="C1316" s="73"/>
      <c r="D1316" s="73" t="s">
        <v>955</v>
      </c>
      <c r="E1316" s="77" t="s">
        <v>109</v>
      </c>
      <c r="F1316" s="75" t="s">
        <v>2035</v>
      </c>
      <c r="G1316" s="74" t="s">
        <v>512</v>
      </c>
      <c r="H1316" s="69"/>
    </row>
    <row r="1317" spans="1:8" ht="16" x14ac:dyDescent="0.2">
      <c r="A1317" s="72"/>
      <c r="B1317" s="76"/>
      <c r="C1317" s="73"/>
      <c r="D1317" s="73" t="s">
        <v>955</v>
      </c>
      <c r="E1317" s="77" t="s">
        <v>116</v>
      </c>
      <c r="F1317" s="75" t="s">
        <v>2035</v>
      </c>
      <c r="G1317" s="74" t="s">
        <v>512</v>
      </c>
      <c r="H1317" s="69"/>
    </row>
    <row r="1318" spans="1:8" ht="16" x14ac:dyDescent="0.2">
      <c r="A1318" s="72"/>
      <c r="B1318" s="76"/>
      <c r="C1318" s="73"/>
      <c r="D1318" s="73" t="s">
        <v>955</v>
      </c>
      <c r="E1318" s="77" t="s">
        <v>102</v>
      </c>
      <c r="F1318" s="75" t="s">
        <v>2035</v>
      </c>
      <c r="G1318" s="74" t="s">
        <v>512</v>
      </c>
      <c r="H1318" s="69"/>
    </row>
    <row r="1319" spans="1:8" ht="16" x14ac:dyDescent="0.2">
      <c r="A1319" s="72"/>
      <c r="B1319" s="76"/>
      <c r="C1319" s="73"/>
      <c r="D1319" s="73" t="s">
        <v>955</v>
      </c>
      <c r="E1319" s="77" t="s">
        <v>93</v>
      </c>
      <c r="F1319" s="75" t="s">
        <v>2036</v>
      </c>
      <c r="G1319" s="74" t="s">
        <v>1015</v>
      </c>
      <c r="H1319" s="69"/>
    </row>
    <row r="1320" spans="1:8" ht="16" x14ac:dyDescent="0.2">
      <c r="A1320" s="72"/>
      <c r="B1320" s="76"/>
      <c r="C1320" s="73"/>
      <c r="D1320" s="73" t="s">
        <v>955</v>
      </c>
      <c r="E1320" s="77" t="s">
        <v>109</v>
      </c>
      <c r="F1320" s="75" t="s">
        <v>2036</v>
      </c>
      <c r="G1320" s="74" t="s">
        <v>1015</v>
      </c>
      <c r="H1320" s="69"/>
    </row>
    <row r="1321" spans="1:8" ht="16" x14ac:dyDescent="0.2">
      <c r="A1321" s="72"/>
      <c r="B1321" s="76"/>
      <c r="C1321" s="73"/>
      <c r="D1321" s="73" t="s">
        <v>955</v>
      </c>
      <c r="E1321" s="77" t="s">
        <v>116</v>
      </c>
      <c r="F1321" s="75" t="s">
        <v>2036</v>
      </c>
      <c r="G1321" s="74" t="s">
        <v>1015</v>
      </c>
      <c r="H1321" s="69"/>
    </row>
    <row r="1322" spans="1:8" ht="16" x14ac:dyDescent="0.2">
      <c r="A1322" s="72"/>
      <c r="B1322" s="76"/>
      <c r="C1322" s="73"/>
      <c r="D1322" s="73" t="s">
        <v>955</v>
      </c>
      <c r="E1322" s="77" t="s">
        <v>93</v>
      </c>
      <c r="F1322" s="75" t="s">
        <v>2037</v>
      </c>
      <c r="G1322" s="74" t="s">
        <v>1015</v>
      </c>
      <c r="H1322" s="69"/>
    </row>
    <row r="1323" spans="1:8" ht="16" x14ac:dyDescent="0.2">
      <c r="A1323" s="72"/>
      <c r="B1323" s="76"/>
      <c r="C1323" s="73"/>
      <c r="D1323" s="73" t="s">
        <v>955</v>
      </c>
      <c r="E1323" s="77" t="s">
        <v>109</v>
      </c>
      <c r="F1323" s="75" t="s">
        <v>2037</v>
      </c>
      <c r="G1323" s="74" t="s">
        <v>1015</v>
      </c>
      <c r="H1323" s="69"/>
    </row>
    <row r="1324" spans="1:8" ht="16" x14ac:dyDescent="0.2">
      <c r="A1324" s="72"/>
      <c r="B1324" s="76"/>
      <c r="C1324" s="73"/>
      <c r="D1324" s="73" t="s">
        <v>955</v>
      </c>
      <c r="E1324" s="77" t="s">
        <v>116</v>
      </c>
      <c r="F1324" s="75" t="s">
        <v>2037</v>
      </c>
      <c r="G1324" s="74" t="s">
        <v>1015</v>
      </c>
      <c r="H1324" s="69"/>
    </row>
    <row r="1325" spans="1:8" ht="16" x14ac:dyDescent="0.2">
      <c r="A1325" s="72"/>
      <c r="B1325" s="76"/>
      <c r="C1325" s="73"/>
      <c r="D1325" s="73" t="s">
        <v>955</v>
      </c>
      <c r="E1325" s="77" t="s">
        <v>93</v>
      </c>
      <c r="F1325" s="75" t="s">
        <v>1997</v>
      </c>
      <c r="G1325" s="74" t="s">
        <v>1202</v>
      </c>
      <c r="H1325" s="69"/>
    </row>
    <row r="1326" spans="1:8" ht="16" x14ac:dyDescent="0.2">
      <c r="A1326" s="72"/>
      <c r="B1326" s="76"/>
      <c r="C1326" s="73"/>
      <c r="D1326" s="73" t="s">
        <v>955</v>
      </c>
      <c r="E1326" s="77" t="s">
        <v>109</v>
      </c>
      <c r="F1326" s="75" t="s">
        <v>1997</v>
      </c>
      <c r="G1326" s="74" t="s">
        <v>1202</v>
      </c>
      <c r="H1326" s="69"/>
    </row>
    <row r="1327" spans="1:8" ht="16" x14ac:dyDescent="0.2">
      <c r="A1327" s="72"/>
      <c r="B1327" s="76"/>
      <c r="C1327" s="73"/>
      <c r="D1327" s="73" t="s">
        <v>955</v>
      </c>
      <c r="E1327" s="77" t="s">
        <v>134</v>
      </c>
      <c r="F1327" s="75" t="s">
        <v>1997</v>
      </c>
      <c r="G1327" s="74" t="s">
        <v>1202</v>
      </c>
      <c r="H1327" s="69"/>
    </row>
    <row r="1328" spans="1:8" ht="16" x14ac:dyDescent="0.2">
      <c r="A1328" s="72"/>
      <c r="B1328" s="76"/>
      <c r="C1328" s="73"/>
      <c r="D1328" s="73" t="s">
        <v>955</v>
      </c>
      <c r="E1328" s="77" t="s">
        <v>93</v>
      </c>
      <c r="F1328" s="75" t="s">
        <v>279</v>
      </c>
      <c r="G1328" s="74" t="s">
        <v>1202</v>
      </c>
      <c r="H1328" s="69"/>
    </row>
    <row r="1329" spans="1:8" ht="16" x14ac:dyDescent="0.2">
      <c r="A1329" s="72"/>
      <c r="B1329" s="76"/>
      <c r="C1329" s="73"/>
      <c r="D1329" s="73" t="s">
        <v>955</v>
      </c>
      <c r="E1329" s="77" t="s">
        <v>109</v>
      </c>
      <c r="F1329" s="75" t="s">
        <v>279</v>
      </c>
      <c r="G1329" s="74" t="s">
        <v>1202</v>
      </c>
      <c r="H1329" s="69"/>
    </row>
    <row r="1330" spans="1:8" ht="16" x14ac:dyDescent="0.2">
      <c r="A1330" s="72"/>
      <c r="B1330" s="76"/>
      <c r="C1330" s="73"/>
      <c r="D1330" s="73" t="s">
        <v>955</v>
      </c>
      <c r="E1330" s="77" t="s">
        <v>134</v>
      </c>
      <c r="F1330" s="75" t="s">
        <v>279</v>
      </c>
      <c r="G1330" s="74" t="s">
        <v>1202</v>
      </c>
      <c r="H1330" s="69"/>
    </row>
    <row r="1331" spans="1:8" ht="16" x14ac:dyDescent="0.2">
      <c r="A1331" s="72"/>
      <c r="B1331" s="76"/>
      <c r="C1331" s="73"/>
      <c r="D1331" s="73" t="s">
        <v>955</v>
      </c>
      <c r="E1331" s="77" t="s">
        <v>93</v>
      </c>
      <c r="F1331" s="75" t="s">
        <v>2021</v>
      </c>
      <c r="G1331" s="74" t="s">
        <v>1202</v>
      </c>
      <c r="H1331" s="69"/>
    </row>
    <row r="1332" spans="1:8" ht="16" x14ac:dyDescent="0.2">
      <c r="A1332" s="72"/>
      <c r="B1332" s="76"/>
      <c r="C1332" s="73"/>
      <c r="D1332" s="73" t="s">
        <v>955</v>
      </c>
      <c r="E1332" s="77" t="s">
        <v>109</v>
      </c>
      <c r="F1332" s="75" t="s">
        <v>2021</v>
      </c>
      <c r="G1332" s="74" t="s">
        <v>1202</v>
      </c>
      <c r="H1332" s="69"/>
    </row>
    <row r="1333" spans="1:8" ht="16" x14ac:dyDescent="0.2">
      <c r="A1333" s="72"/>
      <c r="B1333" s="76"/>
      <c r="C1333" s="73"/>
      <c r="D1333" s="73" t="s">
        <v>955</v>
      </c>
      <c r="E1333" s="77" t="s">
        <v>134</v>
      </c>
      <c r="F1333" s="75" t="s">
        <v>2021</v>
      </c>
      <c r="G1333" s="74" t="s">
        <v>1202</v>
      </c>
      <c r="H1333" s="69"/>
    </row>
    <row r="1334" spans="1:8" ht="16" x14ac:dyDescent="0.2">
      <c r="A1334" s="72"/>
      <c r="B1334" s="76"/>
      <c r="C1334" s="73"/>
      <c r="D1334" s="73" t="s">
        <v>955</v>
      </c>
      <c r="E1334" s="77" t="s">
        <v>93</v>
      </c>
      <c r="F1334" s="75" t="s">
        <v>2019</v>
      </c>
      <c r="G1334" s="74" t="s">
        <v>1202</v>
      </c>
      <c r="H1334" s="69"/>
    </row>
    <row r="1335" spans="1:8" ht="16" x14ac:dyDescent="0.2">
      <c r="A1335" s="72"/>
      <c r="B1335" s="76"/>
      <c r="C1335" s="73"/>
      <c r="D1335" s="73" t="s">
        <v>955</v>
      </c>
      <c r="E1335" s="77" t="s">
        <v>109</v>
      </c>
      <c r="F1335" s="75" t="s">
        <v>2019</v>
      </c>
      <c r="G1335" s="74" t="s">
        <v>1202</v>
      </c>
      <c r="H1335" s="69"/>
    </row>
    <row r="1336" spans="1:8" ht="16" x14ac:dyDescent="0.2">
      <c r="A1336" s="72"/>
      <c r="B1336" s="76"/>
      <c r="C1336" s="73"/>
      <c r="D1336" s="73" t="s">
        <v>955</v>
      </c>
      <c r="E1336" s="77" t="s">
        <v>134</v>
      </c>
      <c r="F1336" s="75" t="s">
        <v>2019</v>
      </c>
      <c r="G1336" s="74" t="s">
        <v>1202</v>
      </c>
      <c r="H1336" s="69"/>
    </row>
    <row r="1337" spans="1:8" ht="16" x14ac:dyDescent="0.2">
      <c r="A1337" s="72"/>
      <c r="B1337" s="76"/>
      <c r="C1337" s="73"/>
      <c r="D1337" s="73" t="s">
        <v>955</v>
      </c>
      <c r="E1337" s="77" t="s">
        <v>93</v>
      </c>
      <c r="F1337" s="75" t="s">
        <v>2020</v>
      </c>
      <c r="G1337" s="74" t="s">
        <v>1202</v>
      </c>
      <c r="H1337" s="69"/>
    </row>
    <row r="1338" spans="1:8" ht="16" x14ac:dyDescent="0.2">
      <c r="A1338" s="72"/>
      <c r="B1338" s="76"/>
      <c r="C1338" s="73"/>
      <c r="D1338" s="73" t="s">
        <v>955</v>
      </c>
      <c r="E1338" s="77" t="s">
        <v>109</v>
      </c>
      <c r="F1338" s="75" t="s">
        <v>2020</v>
      </c>
      <c r="G1338" s="74" t="s">
        <v>1202</v>
      </c>
      <c r="H1338" s="69"/>
    </row>
    <row r="1339" spans="1:8" ht="16" x14ac:dyDescent="0.2">
      <c r="A1339" s="72"/>
      <c r="B1339" s="76"/>
      <c r="C1339" s="73"/>
      <c r="D1339" s="73" t="s">
        <v>955</v>
      </c>
      <c r="E1339" s="77" t="s">
        <v>134</v>
      </c>
      <c r="F1339" s="75" t="s">
        <v>2020</v>
      </c>
      <c r="G1339" s="74" t="s">
        <v>1202</v>
      </c>
      <c r="H1339" s="69"/>
    </row>
    <row r="1340" spans="1:8" ht="16" x14ac:dyDescent="0.2">
      <c r="A1340" s="72"/>
      <c r="B1340" s="76"/>
      <c r="C1340" s="73"/>
      <c r="D1340" s="73" t="s">
        <v>955</v>
      </c>
      <c r="E1340" s="77" t="s">
        <v>93</v>
      </c>
      <c r="F1340" s="75" t="s">
        <v>2022</v>
      </c>
      <c r="G1340" s="74" t="s">
        <v>1200</v>
      </c>
      <c r="H1340" s="69"/>
    </row>
    <row r="1341" spans="1:8" ht="16" x14ac:dyDescent="0.2">
      <c r="A1341" s="72"/>
      <c r="B1341" s="76"/>
      <c r="C1341" s="73"/>
      <c r="D1341" s="73" t="s">
        <v>955</v>
      </c>
      <c r="E1341" s="77" t="s">
        <v>109</v>
      </c>
      <c r="F1341" s="75" t="s">
        <v>2022</v>
      </c>
      <c r="G1341" s="74" t="s">
        <v>1200</v>
      </c>
      <c r="H1341" s="69"/>
    </row>
    <row r="1342" spans="1:8" ht="16" x14ac:dyDescent="0.2">
      <c r="A1342" s="72"/>
      <c r="B1342" s="76"/>
      <c r="C1342" s="73"/>
      <c r="D1342" s="73" t="s">
        <v>955</v>
      </c>
      <c r="E1342" s="77" t="s">
        <v>134</v>
      </c>
      <c r="F1342" s="75" t="s">
        <v>2022</v>
      </c>
      <c r="G1342" s="74" t="s">
        <v>1200</v>
      </c>
      <c r="H1342" s="69"/>
    </row>
    <row r="1343" spans="1:8" ht="16" x14ac:dyDescent="0.2">
      <c r="A1343" s="72"/>
      <c r="B1343" s="76"/>
      <c r="C1343" s="73"/>
      <c r="D1343" s="73" t="s">
        <v>955</v>
      </c>
      <c r="E1343" s="77" t="s">
        <v>93</v>
      </c>
      <c r="F1343" s="75" t="s">
        <v>1510</v>
      </c>
      <c r="G1343" s="74" t="s">
        <v>1200</v>
      </c>
      <c r="H1343" s="69"/>
    </row>
    <row r="1344" spans="1:8" ht="16" x14ac:dyDescent="0.2">
      <c r="A1344" s="72"/>
      <c r="B1344" s="76"/>
      <c r="C1344" s="73"/>
      <c r="D1344" s="73" t="s">
        <v>955</v>
      </c>
      <c r="E1344" s="77" t="s">
        <v>109</v>
      </c>
      <c r="F1344" s="75" t="s">
        <v>1510</v>
      </c>
      <c r="G1344" s="74" t="s">
        <v>1200</v>
      </c>
      <c r="H1344" s="69"/>
    </row>
    <row r="1345" spans="1:8" ht="16" x14ac:dyDescent="0.2">
      <c r="A1345" s="72"/>
      <c r="B1345" s="76"/>
      <c r="C1345" s="73"/>
      <c r="D1345" s="73" t="s">
        <v>955</v>
      </c>
      <c r="E1345" s="77" t="s">
        <v>134</v>
      </c>
      <c r="F1345" s="75" t="s">
        <v>1510</v>
      </c>
      <c r="G1345" s="74" t="s">
        <v>1200</v>
      </c>
      <c r="H1345" s="69"/>
    </row>
    <row r="1346" spans="1:8" ht="16" x14ac:dyDescent="0.2">
      <c r="A1346" s="72"/>
      <c r="B1346" s="76"/>
      <c r="C1346" s="73"/>
      <c r="D1346" s="73" t="s">
        <v>955</v>
      </c>
      <c r="E1346" s="77" t="s">
        <v>93</v>
      </c>
      <c r="F1346" s="75" t="s">
        <v>2033</v>
      </c>
      <c r="G1346" s="74" t="s">
        <v>1200</v>
      </c>
      <c r="H1346" s="69"/>
    </row>
    <row r="1347" spans="1:8" ht="16" x14ac:dyDescent="0.2">
      <c r="A1347" s="72"/>
      <c r="B1347" s="76"/>
      <c r="C1347" s="73"/>
      <c r="D1347" s="73" t="s">
        <v>955</v>
      </c>
      <c r="E1347" s="77" t="s">
        <v>109</v>
      </c>
      <c r="F1347" s="75" t="s">
        <v>2033</v>
      </c>
      <c r="G1347" s="74" t="s">
        <v>1200</v>
      </c>
      <c r="H1347" s="69"/>
    </row>
    <row r="1348" spans="1:8" ht="16" x14ac:dyDescent="0.2">
      <c r="A1348" s="72"/>
      <c r="B1348" s="76"/>
      <c r="C1348" s="73"/>
      <c r="D1348" s="73" t="s">
        <v>955</v>
      </c>
      <c r="E1348" s="77" t="s">
        <v>134</v>
      </c>
      <c r="F1348" s="75" t="s">
        <v>2033</v>
      </c>
      <c r="G1348" s="74" t="s">
        <v>1200</v>
      </c>
      <c r="H1348" s="69"/>
    </row>
    <row r="1349" spans="1:8" ht="16" x14ac:dyDescent="0.2">
      <c r="A1349" s="72"/>
      <c r="B1349" s="76"/>
      <c r="C1349" s="73"/>
      <c r="D1349" s="73" t="s">
        <v>955</v>
      </c>
      <c r="E1349" s="77" t="s">
        <v>93</v>
      </c>
      <c r="F1349" s="75" t="s">
        <v>2023</v>
      </c>
      <c r="G1349" s="74" t="s">
        <v>1200</v>
      </c>
      <c r="H1349" s="69"/>
    </row>
    <row r="1350" spans="1:8" ht="16" x14ac:dyDescent="0.2">
      <c r="A1350" s="72"/>
      <c r="B1350" s="76"/>
      <c r="C1350" s="73"/>
      <c r="D1350" s="73" t="s">
        <v>955</v>
      </c>
      <c r="E1350" s="77" t="s">
        <v>109</v>
      </c>
      <c r="F1350" s="75" t="s">
        <v>2023</v>
      </c>
      <c r="G1350" s="74" t="s">
        <v>1200</v>
      </c>
      <c r="H1350" s="69"/>
    </row>
    <row r="1351" spans="1:8" ht="16" x14ac:dyDescent="0.2">
      <c r="A1351" s="72"/>
      <c r="B1351" s="76"/>
      <c r="C1351" s="73"/>
      <c r="D1351" s="73" t="s">
        <v>955</v>
      </c>
      <c r="E1351" s="77" t="s">
        <v>134</v>
      </c>
      <c r="F1351" s="75" t="s">
        <v>2023</v>
      </c>
      <c r="G1351" s="74" t="s">
        <v>1200</v>
      </c>
      <c r="H1351" s="69"/>
    </row>
    <row r="1352" spans="1:8" ht="16" x14ac:dyDescent="0.2">
      <c r="A1352" s="72"/>
      <c r="B1352" s="76"/>
      <c r="C1352" s="73"/>
      <c r="D1352" s="73" t="s">
        <v>955</v>
      </c>
      <c r="E1352" s="77" t="s">
        <v>93</v>
      </c>
      <c r="F1352" s="75" t="s">
        <v>2046</v>
      </c>
      <c r="G1352" s="74" t="s">
        <v>1200</v>
      </c>
      <c r="H1352" s="69"/>
    </row>
    <row r="1353" spans="1:8" ht="16" x14ac:dyDescent="0.2">
      <c r="A1353" s="72"/>
      <c r="B1353" s="76"/>
      <c r="C1353" s="73"/>
      <c r="D1353" s="73" t="s">
        <v>955</v>
      </c>
      <c r="E1353" s="77" t="s">
        <v>109</v>
      </c>
      <c r="F1353" s="75" t="s">
        <v>2046</v>
      </c>
      <c r="G1353" s="74" t="s">
        <v>1200</v>
      </c>
      <c r="H1353" s="69"/>
    </row>
    <row r="1354" spans="1:8" ht="16" x14ac:dyDescent="0.2">
      <c r="A1354" s="72"/>
      <c r="B1354" s="76"/>
      <c r="C1354" s="73"/>
      <c r="D1354" s="73" t="s">
        <v>955</v>
      </c>
      <c r="E1354" s="77" t="s">
        <v>134</v>
      </c>
      <c r="F1354" s="75" t="s">
        <v>2046</v>
      </c>
      <c r="G1354" s="74" t="s">
        <v>1200</v>
      </c>
      <c r="H1354" s="69"/>
    </row>
    <row r="1355" spans="1:8" x14ac:dyDescent="0.2">
      <c r="A1355" s="72"/>
      <c r="B1355" s="76"/>
      <c r="C1355" s="73"/>
      <c r="D1355" s="73" t="s">
        <v>955</v>
      </c>
      <c r="E1355" s="77" t="s">
        <v>116</v>
      </c>
      <c r="F1355" s="75" t="s">
        <v>1997</v>
      </c>
      <c r="G1355" s="75" t="s">
        <v>1203</v>
      </c>
      <c r="H1355" s="69"/>
    </row>
    <row r="1356" spans="1:8" x14ac:dyDescent="0.2">
      <c r="A1356" s="72"/>
      <c r="B1356" s="76"/>
      <c r="C1356" s="73"/>
      <c r="D1356" s="73" t="s">
        <v>955</v>
      </c>
      <c r="E1356" s="77" t="s">
        <v>963</v>
      </c>
      <c r="F1356" s="75" t="s">
        <v>1997</v>
      </c>
      <c r="G1356" s="75" t="s">
        <v>1203</v>
      </c>
      <c r="H1356" s="69"/>
    </row>
    <row r="1357" spans="1:8" x14ac:dyDescent="0.2">
      <c r="A1357" s="72"/>
      <c r="B1357" s="76"/>
      <c r="C1357" s="73"/>
      <c r="D1357" s="73" t="s">
        <v>955</v>
      </c>
      <c r="E1357" s="77" t="s">
        <v>116</v>
      </c>
      <c r="F1357" s="75" t="s">
        <v>279</v>
      </c>
      <c r="G1357" s="75" t="s">
        <v>1203</v>
      </c>
      <c r="H1357" s="69"/>
    </row>
    <row r="1358" spans="1:8" x14ac:dyDescent="0.2">
      <c r="A1358" s="72"/>
      <c r="B1358" s="76"/>
      <c r="C1358" s="73"/>
      <c r="D1358" s="73" t="s">
        <v>955</v>
      </c>
      <c r="E1358" s="77" t="s">
        <v>963</v>
      </c>
      <c r="F1358" s="75" t="s">
        <v>279</v>
      </c>
      <c r="G1358" s="75" t="s">
        <v>1203</v>
      </c>
      <c r="H1358" s="69"/>
    </row>
    <row r="1359" spans="1:8" x14ac:dyDescent="0.2">
      <c r="A1359" s="72"/>
      <c r="B1359" s="76"/>
      <c r="C1359" s="73"/>
      <c r="D1359" s="73" t="s">
        <v>955</v>
      </c>
      <c r="E1359" s="77" t="s">
        <v>116</v>
      </c>
      <c r="F1359" s="75" t="s">
        <v>2021</v>
      </c>
      <c r="G1359" s="75" t="s">
        <v>1203</v>
      </c>
      <c r="H1359" s="69"/>
    </row>
    <row r="1360" spans="1:8" x14ac:dyDescent="0.2">
      <c r="A1360" s="72"/>
      <c r="B1360" s="76"/>
      <c r="C1360" s="73"/>
      <c r="D1360" s="73" t="s">
        <v>955</v>
      </c>
      <c r="E1360" s="77" t="s">
        <v>963</v>
      </c>
      <c r="F1360" s="75" t="s">
        <v>2021</v>
      </c>
      <c r="G1360" s="75" t="s">
        <v>1203</v>
      </c>
      <c r="H1360" s="69"/>
    </row>
    <row r="1361" spans="1:8" x14ac:dyDescent="0.2">
      <c r="A1361" s="72"/>
      <c r="B1361" s="76"/>
      <c r="C1361" s="73"/>
      <c r="D1361" s="73" t="s">
        <v>955</v>
      </c>
      <c r="E1361" s="77" t="s">
        <v>116</v>
      </c>
      <c r="F1361" s="75" t="s">
        <v>2019</v>
      </c>
      <c r="G1361" s="75" t="s">
        <v>1203</v>
      </c>
      <c r="H1361" s="69"/>
    </row>
    <row r="1362" spans="1:8" x14ac:dyDescent="0.2">
      <c r="A1362" s="72"/>
      <c r="B1362" s="76"/>
      <c r="C1362" s="73"/>
      <c r="D1362" s="73" t="s">
        <v>955</v>
      </c>
      <c r="E1362" s="77" t="s">
        <v>963</v>
      </c>
      <c r="F1362" s="75" t="s">
        <v>2019</v>
      </c>
      <c r="G1362" s="75" t="s">
        <v>1203</v>
      </c>
      <c r="H1362" s="69"/>
    </row>
    <row r="1363" spans="1:8" x14ac:dyDescent="0.2">
      <c r="A1363" s="72"/>
      <c r="B1363" s="76"/>
      <c r="C1363" s="73"/>
      <c r="D1363" s="73" t="s">
        <v>955</v>
      </c>
      <c r="E1363" s="77" t="s">
        <v>116</v>
      </c>
      <c r="F1363" s="75" t="s">
        <v>2020</v>
      </c>
      <c r="G1363" s="75" t="s">
        <v>1203</v>
      </c>
      <c r="H1363" s="69"/>
    </row>
    <row r="1364" spans="1:8" x14ac:dyDescent="0.2">
      <c r="A1364" s="72"/>
      <c r="B1364" s="76"/>
      <c r="C1364" s="73"/>
      <c r="D1364" s="73" t="s">
        <v>955</v>
      </c>
      <c r="E1364" s="77" t="s">
        <v>963</v>
      </c>
      <c r="F1364" s="75" t="s">
        <v>2020</v>
      </c>
      <c r="G1364" s="75" t="s">
        <v>1203</v>
      </c>
      <c r="H1364" s="69"/>
    </row>
    <row r="1365" spans="1:8" x14ac:dyDescent="0.2">
      <c r="A1365" s="72"/>
      <c r="B1365" s="76"/>
      <c r="C1365" s="73"/>
      <c r="D1365" s="73" t="s">
        <v>955</v>
      </c>
      <c r="E1365" s="77" t="s">
        <v>116</v>
      </c>
      <c r="F1365" s="75" t="s">
        <v>2022</v>
      </c>
      <c r="G1365" s="75" t="s">
        <v>1201</v>
      </c>
      <c r="H1365" s="69"/>
    </row>
    <row r="1366" spans="1:8" x14ac:dyDescent="0.2">
      <c r="A1366" s="72"/>
      <c r="B1366" s="76"/>
      <c r="C1366" s="73"/>
      <c r="D1366" s="73" t="s">
        <v>955</v>
      </c>
      <c r="E1366" s="77" t="s">
        <v>963</v>
      </c>
      <c r="F1366" s="75" t="s">
        <v>2022</v>
      </c>
      <c r="G1366" s="75" t="s">
        <v>1201</v>
      </c>
      <c r="H1366" s="69"/>
    </row>
    <row r="1367" spans="1:8" x14ac:dyDescent="0.2">
      <c r="A1367" s="72"/>
      <c r="B1367" s="76"/>
      <c r="C1367" s="73"/>
      <c r="D1367" s="73" t="s">
        <v>955</v>
      </c>
      <c r="E1367" s="77" t="s">
        <v>116</v>
      </c>
      <c r="F1367" s="75" t="s">
        <v>1510</v>
      </c>
      <c r="G1367" s="75" t="s">
        <v>1201</v>
      </c>
      <c r="H1367" s="69"/>
    </row>
    <row r="1368" spans="1:8" x14ac:dyDescent="0.2">
      <c r="A1368" s="72"/>
      <c r="B1368" s="76"/>
      <c r="C1368" s="73"/>
      <c r="D1368" s="73" t="s">
        <v>955</v>
      </c>
      <c r="E1368" s="77" t="s">
        <v>963</v>
      </c>
      <c r="F1368" s="75" t="s">
        <v>1510</v>
      </c>
      <c r="G1368" s="75" t="s">
        <v>1201</v>
      </c>
      <c r="H1368" s="69"/>
    </row>
    <row r="1369" spans="1:8" x14ac:dyDescent="0.2">
      <c r="A1369" s="72"/>
      <c r="B1369" s="76"/>
      <c r="C1369" s="73"/>
      <c r="D1369" s="73" t="s">
        <v>955</v>
      </c>
      <c r="E1369" s="77" t="s">
        <v>116</v>
      </c>
      <c r="F1369" s="75" t="s">
        <v>2033</v>
      </c>
      <c r="G1369" s="75" t="s">
        <v>1201</v>
      </c>
      <c r="H1369" s="69"/>
    </row>
    <row r="1370" spans="1:8" x14ac:dyDescent="0.2">
      <c r="A1370" s="72"/>
      <c r="B1370" s="76"/>
      <c r="C1370" s="73"/>
      <c r="D1370" s="73" t="s">
        <v>955</v>
      </c>
      <c r="E1370" s="77" t="s">
        <v>963</v>
      </c>
      <c r="F1370" s="75" t="s">
        <v>2033</v>
      </c>
      <c r="G1370" s="75" t="s">
        <v>1201</v>
      </c>
      <c r="H1370" s="69"/>
    </row>
    <row r="1371" spans="1:8" x14ac:dyDescent="0.2">
      <c r="A1371" s="72"/>
      <c r="B1371" s="76"/>
      <c r="C1371" s="73"/>
      <c r="D1371" s="73" t="s">
        <v>955</v>
      </c>
      <c r="E1371" s="77" t="s">
        <v>116</v>
      </c>
      <c r="F1371" s="75" t="s">
        <v>2023</v>
      </c>
      <c r="G1371" s="75" t="s">
        <v>1201</v>
      </c>
      <c r="H1371" s="69"/>
    </row>
    <row r="1372" spans="1:8" x14ac:dyDescent="0.2">
      <c r="A1372" s="72"/>
      <c r="B1372" s="76"/>
      <c r="C1372" s="73"/>
      <c r="D1372" s="73" t="s">
        <v>955</v>
      </c>
      <c r="E1372" s="77" t="s">
        <v>963</v>
      </c>
      <c r="F1372" s="75" t="s">
        <v>2023</v>
      </c>
      <c r="G1372" s="75" t="s">
        <v>1201</v>
      </c>
      <c r="H1372" s="69"/>
    </row>
    <row r="1373" spans="1:8" x14ac:dyDescent="0.2">
      <c r="A1373" s="72"/>
      <c r="B1373" s="76"/>
      <c r="C1373" s="73"/>
      <c r="D1373" s="73" t="s">
        <v>955</v>
      </c>
      <c r="E1373" s="77" t="s">
        <v>116</v>
      </c>
      <c r="F1373" s="75" t="s">
        <v>2046</v>
      </c>
      <c r="G1373" s="75" t="s">
        <v>1201</v>
      </c>
      <c r="H1373" s="69"/>
    </row>
    <row r="1374" spans="1:8" x14ac:dyDescent="0.2">
      <c r="A1374" s="72"/>
      <c r="B1374" s="76"/>
      <c r="C1374" s="73"/>
      <c r="D1374" s="73" t="s">
        <v>955</v>
      </c>
      <c r="E1374" s="77" t="s">
        <v>963</v>
      </c>
      <c r="F1374" s="75" t="s">
        <v>2046</v>
      </c>
      <c r="G1374" s="75" t="s">
        <v>1201</v>
      </c>
      <c r="H1374" s="69"/>
    </row>
    <row r="1375" spans="1:8" ht="16" x14ac:dyDescent="0.2">
      <c r="A1375" s="72"/>
      <c r="B1375" s="84"/>
      <c r="C1375" s="73"/>
      <c r="D1375" s="73" t="s">
        <v>955</v>
      </c>
      <c r="E1375" s="77" t="s">
        <v>93</v>
      </c>
      <c r="F1375" s="75" t="s">
        <v>2042</v>
      </c>
      <c r="G1375" s="74" t="s">
        <v>592</v>
      </c>
      <c r="H1375" s="69"/>
    </row>
    <row r="1376" spans="1:8" ht="16" x14ac:dyDescent="0.2">
      <c r="A1376" s="72"/>
      <c r="B1376" s="84"/>
      <c r="C1376" s="73"/>
      <c r="D1376" s="73" t="s">
        <v>955</v>
      </c>
      <c r="E1376" s="77" t="s">
        <v>93</v>
      </c>
      <c r="F1376" s="75" t="s">
        <v>1997</v>
      </c>
      <c r="G1376" s="74" t="s">
        <v>592</v>
      </c>
      <c r="H1376" s="69"/>
    </row>
    <row r="1377" spans="1:8" ht="16" x14ac:dyDescent="0.2">
      <c r="A1377" s="72"/>
      <c r="B1377" s="84"/>
      <c r="C1377" s="73"/>
      <c r="D1377" s="73" t="s">
        <v>955</v>
      </c>
      <c r="E1377" s="77" t="s">
        <v>93</v>
      </c>
      <c r="F1377" s="75" t="s">
        <v>2021</v>
      </c>
      <c r="G1377" s="74" t="s">
        <v>592</v>
      </c>
      <c r="H1377" s="69"/>
    </row>
    <row r="1378" spans="1:8" ht="16" x14ac:dyDescent="0.2">
      <c r="A1378" s="72"/>
      <c r="B1378" s="84"/>
      <c r="C1378" s="73"/>
      <c r="D1378" s="73" t="s">
        <v>955</v>
      </c>
      <c r="E1378" s="77" t="s">
        <v>93</v>
      </c>
      <c r="F1378" s="75" t="s">
        <v>2019</v>
      </c>
      <c r="G1378" s="74" t="s">
        <v>592</v>
      </c>
      <c r="H1378" s="69"/>
    </row>
    <row r="1379" spans="1:8" ht="16" x14ac:dyDescent="0.2">
      <c r="A1379" s="72"/>
      <c r="B1379" s="84"/>
      <c r="C1379" s="73"/>
      <c r="D1379" s="73" t="s">
        <v>955</v>
      </c>
      <c r="E1379" s="77" t="s">
        <v>93</v>
      </c>
      <c r="F1379" s="75" t="s">
        <v>2020</v>
      </c>
      <c r="G1379" s="74" t="s">
        <v>592</v>
      </c>
      <c r="H1379" s="69"/>
    </row>
    <row r="1380" spans="1:8" x14ac:dyDescent="0.2">
      <c r="A1380" s="72"/>
      <c r="B1380" s="76"/>
      <c r="C1380" s="73"/>
      <c r="D1380" s="73" t="s">
        <v>955</v>
      </c>
      <c r="E1380" s="77" t="s">
        <v>109</v>
      </c>
      <c r="F1380" s="75" t="s">
        <v>2027</v>
      </c>
      <c r="G1380" s="75" t="s">
        <v>1058</v>
      </c>
      <c r="H1380" s="69"/>
    </row>
    <row r="1381" spans="1:8" x14ac:dyDescent="0.2">
      <c r="A1381" s="72"/>
      <c r="B1381" s="76"/>
      <c r="C1381" s="73"/>
      <c r="D1381" s="73" t="s">
        <v>955</v>
      </c>
      <c r="E1381" s="77" t="s">
        <v>963</v>
      </c>
      <c r="F1381" s="75" t="s">
        <v>2027</v>
      </c>
      <c r="G1381" s="75" t="s">
        <v>1058</v>
      </c>
      <c r="H1381" s="69"/>
    </row>
    <row r="1382" spans="1:8" x14ac:dyDescent="0.2">
      <c r="A1382" s="72"/>
      <c r="B1382" s="76"/>
      <c r="C1382" s="73"/>
      <c r="D1382" s="73" t="s">
        <v>955</v>
      </c>
      <c r="E1382" s="77" t="s">
        <v>109</v>
      </c>
      <c r="F1382" s="75" t="s">
        <v>1460</v>
      </c>
      <c r="G1382" s="75" t="s">
        <v>1058</v>
      </c>
      <c r="H1382" s="69"/>
    </row>
    <row r="1383" spans="1:8" x14ac:dyDescent="0.2">
      <c r="A1383" s="72"/>
      <c r="B1383" s="76"/>
      <c r="C1383" s="73"/>
      <c r="D1383" s="73" t="s">
        <v>955</v>
      </c>
      <c r="E1383" s="77" t="s">
        <v>963</v>
      </c>
      <c r="F1383" s="75" t="s">
        <v>1460</v>
      </c>
      <c r="G1383" s="75" t="s">
        <v>1058</v>
      </c>
      <c r="H1383" s="69"/>
    </row>
    <row r="1384" spans="1:8" x14ac:dyDescent="0.2">
      <c r="A1384" s="72"/>
      <c r="B1384" s="76"/>
      <c r="C1384" s="73"/>
      <c r="D1384" s="73" t="s">
        <v>955</v>
      </c>
      <c r="E1384" s="77" t="s">
        <v>109</v>
      </c>
      <c r="F1384" s="75" t="s">
        <v>2027</v>
      </c>
      <c r="G1384" s="75" t="s">
        <v>1058</v>
      </c>
      <c r="H1384" s="69"/>
    </row>
    <row r="1385" spans="1:8" x14ac:dyDescent="0.2">
      <c r="A1385" s="72"/>
      <c r="B1385" s="76"/>
      <c r="C1385" s="73"/>
      <c r="D1385" s="73" t="s">
        <v>955</v>
      </c>
      <c r="E1385" s="77" t="s">
        <v>963</v>
      </c>
      <c r="F1385" s="75" t="s">
        <v>2027</v>
      </c>
      <c r="G1385" s="75" t="s">
        <v>1058</v>
      </c>
      <c r="H1385" s="69"/>
    </row>
    <row r="1386" spans="1:8" x14ac:dyDescent="0.2">
      <c r="A1386" s="72"/>
      <c r="B1386" s="76"/>
      <c r="C1386" s="73"/>
      <c r="D1386" s="73" t="s">
        <v>955</v>
      </c>
      <c r="E1386" s="77" t="s">
        <v>109</v>
      </c>
      <c r="F1386" s="75" t="s">
        <v>1460</v>
      </c>
      <c r="G1386" s="75" t="s">
        <v>1058</v>
      </c>
      <c r="H1386" s="69"/>
    </row>
    <row r="1387" spans="1:8" x14ac:dyDescent="0.2">
      <c r="A1387" s="72"/>
      <c r="B1387" s="76"/>
      <c r="C1387" s="73"/>
      <c r="D1387" s="73" t="s">
        <v>955</v>
      </c>
      <c r="E1387" s="77" t="s">
        <v>963</v>
      </c>
      <c r="F1387" s="75" t="s">
        <v>1460</v>
      </c>
      <c r="G1387" s="75" t="s">
        <v>1058</v>
      </c>
      <c r="H1387" s="69"/>
    </row>
    <row r="1388" spans="1:8" x14ac:dyDescent="0.2">
      <c r="A1388" s="72"/>
      <c r="B1388" s="76"/>
      <c r="C1388" s="73"/>
      <c r="D1388" s="73" t="s">
        <v>955</v>
      </c>
      <c r="E1388" s="77" t="s">
        <v>93</v>
      </c>
      <c r="F1388" s="75" t="s">
        <v>2024</v>
      </c>
      <c r="G1388" s="75" t="s">
        <v>990</v>
      </c>
      <c r="H1388" s="69"/>
    </row>
    <row r="1389" spans="1:8" x14ac:dyDescent="0.2">
      <c r="A1389" s="72"/>
      <c r="B1389" s="76"/>
      <c r="C1389" s="73"/>
      <c r="D1389" s="73" t="s">
        <v>955</v>
      </c>
      <c r="E1389" s="77" t="s">
        <v>134</v>
      </c>
      <c r="F1389" s="75" t="s">
        <v>2024</v>
      </c>
      <c r="G1389" s="75" t="s">
        <v>990</v>
      </c>
      <c r="H1389" s="69"/>
    </row>
    <row r="1390" spans="1:8" ht="16" x14ac:dyDescent="0.2">
      <c r="A1390" s="72"/>
      <c r="B1390" s="76"/>
      <c r="C1390" s="73"/>
      <c r="D1390" s="73" t="s">
        <v>948</v>
      </c>
      <c r="E1390" s="77" t="s">
        <v>102</v>
      </c>
      <c r="F1390" s="75" t="s">
        <v>93</v>
      </c>
      <c r="G1390" s="74" t="s">
        <v>542</v>
      </c>
      <c r="H1390" s="69"/>
    </row>
    <row r="1391" spans="1:8" ht="16" x14ac:dyDescent="0.2">
      <c r="A1391" s="72"/>
      <c r="B1391" s="76"/>
      <c r="C1391" s="73"/>
      <c r="D1391" s="73" t="s">
        <v>948</v>
      </c>
      <c r="E1391" s="77" t="s">
        <v>102</v>
      </c>
      <c r="F1391" s="75" t="s">
        <v>93</v>
      </c>
      <c r="G1391" s="74" t="s">
        <v>542</v>
      </c>
      <c r="H1391" s="69"/>
    </row>
    <row r="1392" spans="1:8" ht="16" x14ac:dyDescent="0.2">
      <c r="A1392" s="72"/>
      <c r="B1392" s="76"/>
      <c r="C1392" s="73"/>
      <c r="D1392" s="73" t="s">
        <v>948</v>
      </c>
      <c r="E1392" s="77" t="s">
        <v>93</v>
      </c>
      <c r="F1392" s="75" t="s">
        <v>361</v>
      </c>
      <c r="G1392" s="74" t="s">
        <v>552</v>
      </c>
      <c r="H1392" s="69"/>
    </row>
    <row r="1393" spans="1:8" ht="16" x14ac:dyDescent="0.2">
      <c r="A1393" s="72"/>
      <c r="B1393" s="76"/>
      <c r="C1393" s="73"/>
      <c r="D1393" s="73" t="s">
        <v>948</v>
      </c>
      <c r="E1393" s="77" t="s">
        <v>93</v>
      </c>
      <c r="F1393" s="75" t="s">
        <v>1548</v>
      </c>
      <c r="G1393" s="74" t="s">
        <v>926</v>
      </c>
      <c r="H1393" s="69"/>
    </row>
    <row r="1394" spans="1:8" ht="16" x14ac:dyDescent="0.2">
      <c r="A1394" s="72"/>
      <c r="B1394" s="76"/>
      <c r="C1394" s="73"/>
      <c r="D1394" s="73" t="s">
        <v>948</v>
      </c>
      <c r="E1394" s="77" t="s">
        <v>93</v>
      </c>
      <c r="F1394" s="75" t="s">
        <v>279</v>
      </c>
      <c r="G1394" s="74" t="s">
        <v>546</v>
      </c>
      <c r="H1394" s="69"/>
    </row>
    <row r="1395" spans="1:8" ht="16" x14ac:dyDescent="0.2">
      <c r="A1395" s="72"/>
      <c r="B1395" s="76"/>
      <c r="C1395" s="73"/>
      <c r="D1395" s="73" t="s">
        <v>948</v>
      </c>
      <c r="E1395" s="77" t="s">
        <v>93</v>
      </c>
      <c r="F1395" s="75" t="s">
        <v>1516</v>
      </c>
      <c r="G1395" s="74" t="s">
        <v>546</v>
      </c>
      <c r="H1395" s="69"/>
    </row>
    <row r="1396" spans="1:8" ht="16" x14ac:dyDescent="0.2">
      <c r="A1396" s="72"/>
      <c r="B1396" s="76"/>
      <c r="C1396" s="73"/>
      <c r="D1396" s="73" t="s">
        <v>948</v>
      </c>
      <c r="E1396" s="77" t="s">
        <v>93</v>
      </c>
      <c r="F1396" s="75" t="s">
        <v>1514</v>
      </c>
      <c r="G1396" s="74" t="s">
        <v>546</v>
      </c>
      <c r="H1396" s="69"/>
    </row>
    <row r="1397" spans="1:8" ht="16" x14ac:dyDescent="0.2">
      <c r="A1397" s="72"/>
      <c r="B1397" s="76"/>
      <c r="C1397" s="73"/>
      <c r="D1397" s="73" t="s">
        <v>948</v>
      </c>
      <c r="E1397" s="77" t="s">
        <v>93</v>
      </c>
      <c r="F1397" s="75" t="s">
        <v>1515</v>
      </c>
      <c r="G1397" s="74" t="s">
        <v>546</v>
      </c>
      <c r="H1397" s="69"/>
    </row>
    <row r="1398" spans="1:8" ht="16" x14ac:dyDescent="0.2">
      <c r="A1398" s="72"/>
      <c r="B1398" s="76"/>
      <c r="C1398" s="73"/>
      <c r="D1398" s="73" t="s">
        <v>948</v>
      </c>
      <c r="E1398" s="77" t="s">
        <v>102</v>
      </c>
      <c r="F1398" s="75" t="s">
        <v>279</v>
      </c>
      <c r="G1398" s="74" t="s">
        <v>545</v>
      </c>
      <c r="H1398" s="69"/>
    </row>
    <row r="1399" spans="1:8" ht="16" x14ac:dyDescent="0.2">
      <c r="A1399" s="72"/>
      <c r="B1399" s="76"/>
      <c r="C1399" s="73"/>
      <c r="D1399" s="73" t="s">
        <v>948</v>
      </c>
      <c r="E1399" s="77" t="s">
        <v>102</v>
      </c>
      <c r="F1399" s="75" t="s">
        <v>1514</v>
      </c>
      <c r="G1399" s="74" t="s">
        <v>545</v>
      </c>
      <c r="H1399" s="69"/>
    </row>
    <row r="1400" spans="1:8" ht="16" x14ac:dyDescent="0.2">
      <c r="A1400" s="72"/>
      <c r="B1400" s="76"/>
      <c r="C1400" s="73"/>
      <c r="D1400" s="73" t="s">
        <v>948</v>
      </c>
      <c r="E1400" s="77" t="s">
        <v>102</v>
      </c>
      <c r="F1400" s="75" t="s">
        <v>1515</v>
      </c>
      <c r="G1400" s="74" t="s">
        <v>545</v>
      </c>
      <c r="H1400" s="69"/>
    </row>
    <row r="1401" spans="1:8" ht="16" x14ac:dyDescent="0.2">
      <c r="A1401" s="72"/>
      <c r="B1401" s="76"/>
      <c r="C1401" s="73"/>
      <c r="D1401" s="73" t="s">
        <v>948</v>
      </c>
      <c r="E1401" s="77" t="s">
        <v>102</v>
      </c>
      <c r="F1401" s="75" t="s">
        <v>1516</v>
      </c>
      <c r="G1401" s="74" t="s">
        <v>545</v>
      </c>
      <c r="H1401" s="69"/>
    </row>
    <row r="1402" spans="1:8" ht="16" x14ac:dyDescent="0.2">
      <c r="A1402" s="72"/>
      <c r="B1402" s="76"/>
      <c r="C1402" s="73"/>
      <c r="D1402" s="73" t="s">
        <v>948</v>
      </c>
      <c r="E1402" s="77" t="s">
        <v>102</v>
      </c>
      <c r="F1402" s="75" t="s">
        <v>1460</v>
      </c>
      <c r="G1402" s="74" t="s">
        <v>545</v>
      </c>
      <c r="H1402" s="69"/>
    </row>
    <row r="1403" spans="1:8" ht="16" x14ac:dyDescent="0.2">
      <c r="A1403" s="72"/>
      <c r="B1403" s="76"/>
      <c r="C1403" s="73"/>
      <c r="D1403" s="73" t="s">
        <v>948</v>
      </c>
      <c r="E1403" s="77" t="s">
        <v>102</v>
      </c>
      <c r="F1403" s="75" t="s">
        <v>1517</v>
      </c>
      <c r="G1403" s="74" t="s">
        <v>545</v>
      </c>
      <c r="H1403" s="69"/>
    </row>
    <row r="1404" spans="1:8" ht="16" x14ac:dyDescent="0.2">
      <c r="A1404" s="72"/>
      <c r="B1404" s="76"/>
      <c r="C1404" s="73"/>
      <c r="D1404" s="73" t="s">
        <v>948</v>
      </c>
      <c r="E1404" s="77" t="s">
        <v>102</v>
      </c>
      <c r="F1404" s="75" t="s">
        <v>1518</v>
      </c>
      <c r="G1404" s="74" t="s">
        <v>545</v>
      </c>
      <c r="H1404" s="69"/>
    </row>
    <row r="1405" spans="1:8" ht="16" x14ac:dyDescent="0.2">
      <c r="A1405" s="72"/>
      <c r="B1405" s="76"/>
      <c r="C1405" s="73"/>
      <c r="D1405" s="73" t="s">
        <v>948</v>
      </c>
      <c r="E1405" s="77" t="s">
        <v>102</v>
      </c>
      <c r="F1405" s="75" t="s">
        <v>1519</v>
      </c>
      <c r="G1405" s="74" t="s">
        <v>545</v>
      </c>
      <c r="H1405" s="69"/>
    </row>
    <row r="1406" spans="1:8" ht="16" x14ac:dyDescent="0.2">
      <c r="A1406" s="72"/>
      <c r="B1406" s="76"/>
      <c r="C1406" s="73"/>
      <c r="D1406" s="73" t="s">
        <v>948</v>
      </c>
      <c r="E1406" s="77" t="s">
        <v>102</v>
      </c>
      <c r="F1406" s="75" t="s">
        <v>1997</v>
      </c>
      <c r="G1406" s="74" t="s">
        <v>548</v>
      </c>
      <c r="H1406" s="69"/>
    </row>
    <row r="1407" spans="1:8" ht="16" x14ac:dyDescent="0.2">
      <c r="A1407" s="72"/>
      <c r="B1407" s="76"/>
      <c r="C1407" s="73"/>
      <c r="D1407" s="73" t="s">
        <v>948</v>
      </c>
      <c r="E1407" s="77" t="s">
        <v>102</v>
      </c>
      <c r="F1407" s="75" t="s">
        <v>2019</v>
      </c>
      <c r="G1407" s="74" t="s">
        <v>548</v>
      </c>
      <c r="H1407" s="69"/>
    </row>
    <row r="1408" spans="1:8" ht="16" x14ac:dyDescent="0.2">
      <c r="A1408" s="72"/>
      <c r="B1408" s="76"/>
      <c r="C1408" s="73"/>
      <c r="D1408" s="73" t="s">
        <v>948</v>
      </c>
      <c r="E1408" s="77" t="s">
        <v>102</v>
      </c>
      <c r="F1408" s="75" t="s">
        <v>2020</v>
      </c>
      <c r="G1408" s="74" t="s">
        <v>548</v>
      </c>
      <c r="H1408" s="69"/>
    </row>
    <row r="1409" spans="1:8" ht="16" x14ac:dyDescent="0.2">
      <c r="A1409" s="72"/>
      <c r="B1409" s="76"/>
      <c r="C1409" s="73"/>
      <c r="D1409" s="73" t="s">
        <v>948</v>
      </c>
      <c r="E1409" s="77" t="s">
        <v>102</v>
      </c>
      <c r="F1409" s="75" t="s">
        <v>2021</v>
      </c>
      <c r="G1409" s="74" t="s">
        <v>548</v>
      </c>
      <c r="H1409" s="69"/>
    </row>
    <row r="1410" spans="1:8" ht="16" x14ac:dyDescent="0.2">
      <c r="A1410" s="72"/>
      <c r="B1410" s="76"/>
      <c r="C1410" s="73"/>
      <c r="D1410" s="73" t="s">
        <v>948</v>
      </c>
      <c r="E1410" s="77" t="s">
        <v>102</v>
      </c>
      <c r="F1410" s="75" t="s">
        <v>2027</v>
      </c>
      <c r="G1410" s="74" t="s">
        <v>548</v>
      </c>
      <c r="H1410" s="69"/>
    </row>
    <row r="1411" spans="1:8" ht="16" x14ac:dyDescent="0.2">
      <c r="A1411" s="72"/>
      <c r="B1411" s="76"/>
      <c r="C1411" s="73"/>
      <c r="D1411" s="73" t="s">
        <v>948</v>
      </c>
      <c r="E1411" s="77" t="s">
        <v>102</v>
      </c>
      <c r="F1411" s="75" t="s">
        <v>2028</v>
      </c>
      <c r="G1411" s="74" t="s">
        <v>548</v>
      </c>
      <c r="H1411" s="69"/>
    </row>
    <row r="1412" spans="1:8" ht="16" x14ac:dyDescent="0.2">
      <c r="A1412" s="72"/>
      <c r="B1412" s="76"/>
      <c r="C1412" s="73"/>
      <c r="D1412" s="73" t="s">
        <v>948</v>
      </c>
      <c r="E1412" s="77" t="s">
        <v>102</v>
      </c>
      <c r="F1412" s="75" t="s">
        <v>2029</v>
      </c>
      <c r="G1412" s="74" t="s">
        <v>548</v>
      </c>
      <c r="H1412" s="69"/>
    </row>
    <row r="1413" spans="1:8" ht="16" x14ac:dyDescent="0.2">
      <c r="A1413" s="72"/>
      <c r="B1413" s="76"/>
      <c r="C1413" s="73"/>
      <c r="D1413" s="73" t="s">
        <v>948</v>
      </c>
      <c r="E1413" s="77" t="s">
        <v>102</v>
      </c>
      <c r="F1413" s="75" t="s">
        <v>2030</v>
      </c>
      <c r="G1413" s="74" t="s">
        <v>548</v>
      </c>
      <c r="H1413" s="69"/>
    </row>
    <row r="1414" spans="1:8" ht="16" x14ac:dyDescent="0.2">
      <c r="A1414" s="72"/>
      <c r="B1414" s="76"/>
      <c r="C1414" s="73"/>
      <c r="D1414" s="73" t="s">
        <v>948</v>
      </c>
      <c r="E1414" s="77" t="s">
        <v>93</v>
      </c>
      <c r="F1414" s="75" t="s">
        <v>1997</v>
      </c>
      <c r="G1414" s="74" t="s">
        <v>550</v>
      </c>
      <c r="H1414" s="69"/>
    </row>
    <row r="1415" spans="1:8" ht="16" x14ac:dyDescent="0.2">
      <c r="A1415" s="72"/>
      <c r="B1415" s="76"/>
      <c r="C1415" s="73"/>
      <c r="D1415" s="73" t="s">
        <v>948</v>
      </c>
      <c r="E1415" s="77" t="s">
        <v>93</v>
      </c>
      <c r="F1415" s="75" t="s">
        <v>2021</v>
      </c>
      <c r="G1415" s="74" t="s">
        <v>550</v>
      </c>
      <c r="H1415" s="69"/>
    </row>
    <row r="1416" spans="1:8" ht="16" x14ac:dyDescent="0.2">
      <c r="A1416" s="72"/>
      <c r="B1416" s="76"/>
      <c r="C1416" s="73"/>
      <c r="D1416" s="73" t="s">
        <v>948</v>
      </c>
      <c r="E1416" s="77" t="s">
        <v>93</v>
      </c>
      <c r="F1416" s="75" t="s">
        <v>2019</v>
      </c>
      <c r="G1416" s="74" t="s">
        <v>550</v>
      </c>
      <c r="H1416" s="69"/>
    </row>
    <row r="1417" spans="1:8" ht="16" x14ac:dyDescent="0.2">
      <c r="A1417" s="72"/>
      <c r="B1417" s="76"/>
      <c r="C1417" s="73"/>
      <c r="D1417" s="73" t="s">
        <v>948</v>
      </c>
      <c r="E1417" s="77" t="s">
        <v>93</v>
      </c>
      <c r="F1417" s="75" t="s">
        <v>2020</v>
      </c>
      <c r="G1417" s="74" t="s">
        <v>550</v>
      </c>
      <c r="H1417" s="69"/>
    </row>
    <row r="1418" spans="1:8" ht="16" x14ac:dyDescent="0.2">
      <c r="A1418" s="72"/>
      <c r="B1418" s="76"/>
      <c r="C1418" s="73"/>
      <c r="D1418" s="73" t="s">
        <v>948</v>
      </c>
      <c r="E1418" s="77" t="s">
        <v>93</v>
      </c>
      <c r="F1418" s="75" t="s">
        <v>2038</v>
      </c>
      <c r="G1418" s="74" t="s">
        <v>1144</v>
      </c>
      <c r="H1418" s="69"/>
    </row>
    <row r="1419" spans="1:8" ht="16" x14ac:dyDescent="0.2">
      <c r="A1419" s="72"/>
      <c r="B1419" s="76"/>
      <c r="C1419" s="73"/>
      <c r="D1419" s="73" t="s">
        <v>948</v>
      </c>
      <c r="E1419" s="77" t="s">
        <v>93</v>
      </c>
      <c r="F1419" s="75" t="s">
        <v>2039</v>
      </c>
      <c r="G1419" s="74" t="s">
        <v>1144</v>
      </c>
      <c r="H1419" s="69"/>
    </row>
    <row r="1420" spans="1:8" ht="16" x14ac:dyDescent="0.2">
      <c r="A1420" s="72"/>
      <c r="B1420" s="76"/>
      <c r="C1420" s="73"/>
      <c r="D1420" s="73" t="s">
        <v>948</v>
      </c>
      <c r="E1420" s="77" t="s">
        <v>93</v>
      </c>
      <c r="F1420" s="75" t="s">
        <v>2040</v>
      </c>
      <c r="G1420" s="74" t="s">
        <v>1214</v>
      </c>
      <c r="H1420" s="69"/>
    </row>
    <row r="1421" spans="1:8" ht="16" x14ac:dyDescent="0.2">
      <c r="A1421" s="72"/>
      <c r="B1421" s="76"/>
      <c r="C1421" s="73"/>
      <c r="D1421" s="73" t="s">
        <v>948</v>
      </c>
      <c r="E1421" s="77" t="s">
        <v>93</v>
      </c>
      <c r="F1421" s="75" t="s">
        <v>2041</v>
      </c>
      <c r="G1421" s="74" t="s">
        <v>1214</v>
      </c>
      <c r="H1421" s="69"/>
    </row>
    <row r="1422" spans="1:8" ht="16" x14ac:dyDescent="0.2">
      <c r="A1422" s="72"/>
      <c r="B1422" s="76"/>
      <c r="C1422" s="73"/>
      <c r="D1422" s="73" t="s">
        <v>948</v>
      </c>
      <c r="E1422" s="77" t="s">
        <v>93</v>
      </c>
      <c r="F1422" s="75" t="s">
        <v>2022</v>
      </c>
      <c r="G1422" s="74" t="s">
        <v>925</v>
      </c>
      <c r="H1422" s="69"/>
    </row>
    <row r="1423" spans="1:8" ht="16" x14ac:dyDescent="0.2">
      <c r="A1423" s="72"/>
      <c r="B1423" s="76"/>
      <c r="C1423" s="73"/>
      <c r="D1423" s="73" t="s">
        <v>948</v>
      </c>
      <c r="E1423" s="77" t="s">
        <v>93</v>
      </c>
      <c r="F1423" s="75" t="s">
        <v>1510</v>
      </c>
      <c r="G1423" s="74" t="s">
        <v>924</v>
      </c>
      <c r="H1423" s="69"/>
    </row>
    <row r="1424" spans="1:8" ht="16" x14ac:dyDescent="0.2">
      <c r="A1424" s="72"/>
      <c r="B1424" s="76"/>
      <c r="C1424" s="73"/>
      <c r="D1424" s="73" t="s">
        <v>948</v>
      </c>
      <c r="E1424" s="77" t="s">
        <v>93</v>
      </c>
      <c r="F1424" s="75" t="s">
        <v>2023</v>
      </c>
      <c r="G1424" s="74" t="s">
        <v>925</v>
      </c>
      <c r="H1424" s="69"/>
    </row>
    <row r="1425" spans="1:8" ht="16" x14ac:dyDescent="0.2">
      <c r="A1425" s="72"/>
      <c r="B1425" s="76"/>
      <c r="C1425" s="73"/>
      <c r="D1425" s="73" t="s">
        <v>948</v>
      </c>
      <c r="E1425" s="77" t="s">
        <v>93</v>
      </c>
      <c r="F1425" s="75" t="s">
        <v>1511</v>
      </c>
      <c r="G1425" s="74" t="s">
        <v>924</v>
      </c>
      <c r="H1425" s="69"/>
    </row>
    <row r="1426" spans="1:8" x14ac:dyDescent="0.2">
      <c r="A1426" s="72"/>
      <c r="B1426" s="84"/>
      <c r="C1426" s="73"/>
      <c r="D1426" s="73" t="s">
        <v>948</v>
      </c>
      <c r="E1426" s="77" t="s">
        <v>93</v>
      </c>
      <c r="F1426" s="75" t="s">
        <v>223</v>
      </c>
      <c r="G1426" s="75" t="s">
        <v>1143</v>
      </c>
      <c r="H1426" s="69"/>
    </row>
    <row r="1427" spans="1:8" ht="16" x14ac:dyDescent="0.2">
      <c r="A1427" s="72"/>
      <c r="B1427" s="84"/>
      <c r="C1427" s="73"/>
      <c r="D1427" s="73" t="s">
        <v>940</v>
      </c>
      <c r="E1427" s="77" t="s">
        <v>93</v>
      </c>
      <c r="F1427" s="75" t="s">
        <v>387</v>
      </c>
      <c r="G1427" s="74" t="s">
        <v>580</v>
      </c>
      <c r="H1427" s="69"/>
    </row>
    <row r="1428" spans="1:8" ht="16" x14ac:dyDescent="0.2">
      <c r="A1428" s="72"/>
      <c r="B1428" s="84"/>
      <c r="C1428" s="73"/>
      <c r="D1428" s="73" t="s">
        <v>940</v>
      </c>
      <c r="E1428" s="77" t="s">
        <v>93</v>
      </c>
      <c r="F1428" s="75" t="s">
        <v>1556</v>
      </c>
      <c r="G1428" s="74" t="s">
        <v>580</v>
      </c>
      <c r="H1428" s="69"/>
    </row>
    <row r="1429" spans="1:8" ht="16" x14ac:dyDescent="0.2">
      <c r="A1429" s="72"/>
      <c r="B1429" s="84"/>
      <c r="C1429" s="73"/>
      <c r="D1429" s="73" t="s">
        <v>940</v>
      </c>
      <c r="E1429" s="77" t="s">
        <v>93</v>
      </c>
      <c r="F1429" s="75" t="s">
        <v>1557</v>
      </c>
      <c r="G1429" s="74" t="s">
        <v>580</v>
      </c>
      <c r="H1429" s="69"/>
    </row>
    <row r="1430" spans="1:8" ht="16" x14ac:dyDescent="0.2">
      <c r="A1430" s="72"/>
      <c r="B1430" s="84"/>
      <c r="C1430" s="73"/>
      <c r="D1430" s="73" t="s">
        <v>940</v>
      </c>
      <c r="E1430" s="77" t="s">
        <v>93</v>
      </c>
      <c r="F1430" s="75" t="s">
        <v>1605</v>
      </c>
      <c r="G1430" s="74" t="s">
        <v>580</v>
      </c>
      <c r="H1430" s="69"/>
    </row>
    <row r="1431" spans="1:8" ht="16" x14ac:dyDescent="0.2">
      <c r="A1431" s="72"/>
      <c r="B1431" s="84"/>
      <c r="C1431" s="73"/>
      <c r="D1431" s="73" t="s">
        <v>940</v>
      </c>
      <c r="E1431" s="77" t="s">
        <v>93</v>
      </c>
      <c r="F1431" s="75" t="s">
        <v>1606</v>
      </c>
      <c r="G1431" s="74" t="s">
        <v>580</v>
      </c>
      <c r="H1431" s="69"/>
    </row>
    <row r="1432" spans="1:8" ht="16" x14ac:dyDescent="0.2">
      <c r="A1432" s="72"/>
      <c r="B1432" s="84"/>
      <c r="C1432" s="73"/>
      <c r="D1432" s="73" t="s">
        <v>940</v>
      </c>
      <c r="E1432" s="77" t="s">
        <v>93</v>
      </c>
      <c r="F1432" s="75" t="s">
        <v>1558</v>
      </c>
      <c r="G1432" s="74" t="s">
        <v>580</v>
      </c>
      <c r="H1432" s="69"/>
    </row>
    <row r="1433" spans="1:8" ht="16" x14ac:dyDescent="0.2">
      <c r="A1433" s="72"/>
      <c r="B1433" s="84"/>
      <c r="C1433" s="73"/>
      <c r="D1433" s="73" t="s">
        <v>940</v>
      </c>
      <c r="E1433" s="77" t="s">
        <v>93</v>
      </c>
      <c r="F1433" s="75" t="s">
        <v>1559</v>
      </c>
      <c r="G1433" s="74" t="s">
        <v>580</v>
      </c>
      <c r="H1433" s="69"/>
    </row>
    <row r="1434" spans="1:8" ht="16" x14ac:dyDescent="0.2">
      <c r="A1434" s="72"/>
      <c r="B1434" s="84"/>
      <c r="C1434" s="73"/>
      <c r="D1434" s="73" t="s">
        <v>940</v>
      </c>
      <c r="E1434" s="77" t="s">
        <v>93</v>
      </c>
      <c r="F1434" s="75" t="s">
        <v>1607</v>
      </c>
      <c r="G1434" s="74" t="s">
        <v>580</v>
      </c>
      <c r="H1434" s="69"/>
    </row>
    <row r="1435" spans="1:8" ht="16" x14ac:dyDescent="0.2">
      <c r="A1435" s="72"/>
      <c r="B1435" s="84"/>
      <c r="C1435" s="73"/>
      <c r="D1435" s="73" t="s">
        <v>940</v>
      </c>
      <c r="E1435" s="77" t="s">
        <v>93</v>
      </c>
      <c r="F1435" s="75" t="s">
        <v>1560</v>
      </c>
      <c r="G1435" s="74" t="s">
        <v>580</v>
      </c>
      <c r="H1435" s="69"/>
    </row>
    <row r="1436" spans="1:8" ht="16" x14ac:dyDescent="0.2">
      <c r="A1436" s="72"/>
      <c r="B1436" s="84"/>
      <c r="C1436" s="73"/>
      <c r="D1436" s="73" t="s">
        <v>940</v>
      </c>
      <c r="E1436" s="77" t="s">
        <v>93</v>
      </c>
      <c r="F1436" s="75" t="s">
        <v>395</v>
      </c>
      <c r="G1436" s="74" t="s">
        <v>580</v>
      </c>
      <c r="H1436" s="69"/>
    </row>
    <row r="1437" spans="1:8" ht="16" x14ac:dyDescent="0.2">
      <c r="A1437" s="72"/>
      <c r="B1437" s="84"/>
      <c r="C1437" s="73"/>
      <c r="D1437" s="73" t="s">
        <v>940</v>
      </c>
      <c r="E1437" s="77" t="s">
        <v>93</v>
      </c>
      <c r="F1437" s="75" t="s">
        <v>1608</v>
      </c>
      <c r="G1437" s="74" t="s">
        <v>580</v>
      </c>
      <c r="H1437" s="69"/>
    </row>
    <row r="1438" spans="1:8" ht="16" x14ac:dyDescent="0.2">
      <c r="A1438" s="72"/>
      <c r="B1438" s="84"/>
      <c r="C1438" s="73"/>
      <c r="D1438" s="73" t="s">
        <v>940</v>
      </c>
      <c r="E1438" s="77" t="s">
        <v>93</v>
      </c>
      <c r="F1438" s="75" t="s">
        <v>399</v>
      </c>
      <c r="G1438" s="74" t="s">
        <v>580</v>
      </c>
      <c r="H1438" s="69"/>
    </row>
    <row r="1439" spans="1:8" ht="16" x14ac:dyDescent="0.2">
      <c r="A1439" s="72"/>
      <c r="B1439" s="84"/>
      <c r="C1439" s="73"/>
      <c r="D1439" s="73" t="s">
        <v>940</v>
      </c>
      <c r="E1439" s="77" t="s">
        <v>93</v>
      </c>
      <c r="F1439" s="75" t="s">
        <v>1609</v>
      </c>
      <c r="G1439" s="74" t="s">
        <v>580</v>
      </c>
      <c r="H1439" s="69"/>
    </row>
    <row r="1440" spans="1:8" ht="16" x14ac:dyDescent="0.2">
      <c r="A1440" s="72"/>
      <c r="B1440" s="84"/>
      <c r="C1440" s="73"/>
      <c r="D1440" s="73" t="s">
        <v>940</v>
      </c>
      <c r="E1440" s="77" t="s">
        <v>93</v>
      </c>
      <c r="F1440" s="75" t="s">
        <v>1561</v>
      </c>
      <c r="G1440" s="74" t="s">
        <v>582</v>
      </c>
      <c r="H1440" s="69"/>
    </row>
    <row r="1441" spans="1:8" ht="16" x14ac:dyDescent="0.2">
      <c r="A1441" s="72"/>
      <c r="B1441" s="84"/>
      <c r="C1441" s="73"/>
      <c r="D1441" s="73" t="s">
        <v>940</v>
      </c>
      <c r="E1441" s="77" t="s">
        <v>93</v>
      </c>
      <c r="F1441" s="75" t="s">
        <v>1564</v>
      </c>
      <c r="G1441" s="74" t="s">
        <v>582</v>
      </c>
      <c r="H1441" s="69"/>
    </row>
    <row r="1442" spans="1:8" ht="16" x14ac:dyDescent="0.2">
      <c r="A1442" s="72"/>
      <c r="B1442" s="84"/>
      <c r="C1442" s="73"/>
      <c r="D1442" s="73" t="s">
        <v>940</v>
      </c>
      <c r="E1442" s="77" t="s">
        <v>93</v>
      </c>
      <c r="F1442" s="75" t="s">
        <v>1565</v>
      </c>
      <c r="G1442" s="74" t="s">
        <v>582</v>
      </c>
      <c r="H1442" s="69"/>
    </row>
    <row r="1443" spans="1:8" ht="16" x14ac:dyDescent="0.2">
      <c r="A1443" s="72"/>
      <c r="B1443" s="84"/>
      <c r="C1443" s="73"/>
      <c r="D1443" s="73" t="s">
        <v>940</v>
      </c>
      <c r="E1443" s="77" t="s">
        <v>93</v>
      </c>
      <c r="F1443" s="75" t="s">
        <v>1566</v>
      </c>
      <c r="G1443" s="74" t="s">
        <v>582</v>
      </c>
      <c r="H1443" s="69"/>
    </row>
    <row r="1444" spans="1:8" ht="16" x14ac:dyDescent="0.2">
      <c r="A1444" s="72"/>
      <c r="B1444" s="84"/>
      <c r="C1444" s="73"/>
      <c r="D1444" s="73" t="s">
        <v>940</v>
      </c>
      <c r="E1444" s="77" t="s">
        <v>93</v>
      </c>
      <c r="F1444" s="75" t="s">
        <v>1610</v>
      </c>
      <c r="G1444" s="74" t="s">
        <v>582</v>
      </c>
      <c r="H1444" s="69"/>
    </row>
    <row r="1445" spans="1:8" ht="16" x14ac:dyDescent="0.2">
      <c r="A1445" s="72"/>
      <c r="B1445" s="84"/>
      <c r="C1445" s="73"/>
      <c r="D1445" s="73" t="s">
        <v>940</v>
      </c>
      <c r="E1445" s="77" t="s">
        <v>93</v>
      </c>
      <c r="F1445" s="75" t="s">
        <v>1611</v>
      </c>
      <c r="G1445" s="74" t="s">
        <v>582</v>
      </c>
      <c r="H1445" s="69"/>
    </row>
    <row r="1446" spans="1:8" ht="16" x14ac:dyDescent="0.2">
      <c r="A1446" s="72"/>
      <c r="B1446" s="84"/>
      <c r="C1446" s="73"/>
      <c r="D1446" s="73" t="s">
        <v>940</v>
      </c>
      <c r="E1446" s="77" t="s">
        <v>93</v>
      </c>
      <c r="F1446" s="75" t="s">
        <v>1562</v>
      </c>
      <c r="G1446" s="74" t="s">
        <v>582</v>
      </c>
      <c r="H1446" s="69"/>
    </row>
    <row r="1447" spans="1:8" ht="16" x14ac:dyDescent="0.2">
      <c r="A1447" s="72"/>
      <c r="B1447" s="84"/>
      <c r="C1447" s="73"/>
      <c r="D1447" s="73" t="s">
        <v>940</v>
      </c>
      <c r="E1447" s="77" t="s">
        <v>93</v>
      </c>
      <c r="F1447" s="75" t="s">
        <v>1563</v>
      </c>
      <c r="G1447" s="74" t="s">
        <v>582</v>
      </c>
      <c r="H1447" s="69"/>
    </row>
    <row r="1448" spans="1:8" ht="16" x14ac:dyDescent="0.2">
      <c r="A1448" s="72"/>
      <c r="B1448" s="84"/>
      <c r="C1448" s="73"/>
      <c r="D1448" s="73" t="s">
        <v>940</v>
      </c>
      <c r="E1448" s="77" t="s">
        <v>93</v>
      </c>
      <c r="F1448" s="75" t="s">
        <v>1612</v>
      </c>
      <c r="G1448" s="74" t="s">
        <v>582</v>
      </c>
      <c r="H1448" s="69"/>
    </row>
    <row r="1449" spans="1:8" ht="16" x14ac:dyDescent="0.2">
      <c r="A1449" s="72"/>
      <c r="B1449" s="84"/>
      <c r="C1449" s="73"/>
      <c r="D1449" s="73" t="s">
        <v>940</v>
      </c>
      <c r="E1449" s="77" t="s">
        <v>93</v>
      </c>
      <c r="F1449" s="75" t="s">
        <v>1613</v>
      </c>
      <c r="G1449" s="74" t="s">
        <v>582</v>
      </c>
      <c r="H1449" s="69"/>
    </row>
    <row r="1450" spans="1:8" ht="16" x14ac:dyDescent="0.2">
      <c r="A1450" s="72"/>
      <c r="B1450" s="84"/>
      <c r="C1450" s="73"/>
      <c r="D1450" s="73" t="s">
        <v>940</v>
      </c>
      <c r="E1450" s="77" t="s">
        <v>93</v>
      </c>
      <c r="F1450" s="75" t="s">
        <v>1614</v>
      </c>
      <c r="G1450" s="74" t="s">
        <v>582</v>
      </c>
      <c r="H1450" s="69"/>
    </row>
    <row r="1451" spans="1:8" ht="16" x14ac:dyDescent="0.2">
      <c r="A1451" s="72"/>
      <c r="B1451" s="84"/>
      <c r="C1451" s="73"/>
      <c r="D1451" s="73" t="s">
        <v>940</v>
      </c>
      <c r="E1451" s="77" t="s">
        <v>93</v>
      </c>
      <c r="F1451" s="75" t="s">
        <v>1615</v>
      </c>
      <c r="G1451" s="74" t="s">
        <v>582</v>
      </c>
      <c r="H1451" s="69"/>
    </row>
    <row r="1452" spans="1:8" x14ac:dyDescent="0.2">
      <c r="A1452" s="72"/>
      <c r="B1452" s="76"/>
      <c r="C1452" s="73"/>
      <c r="D1452" s="73" t="s">
        <v>940</v>
      </c>
      <c r="E1452" s="77" t="s">
        <v>93</v>
      </c>
      <c r="F1452" s="75" t="s">
        <v>223</v>
      </c>
      <c r="G1452" s="85" t="s">
        <v>495</v>
      </c>
      <c r="H1452" s="69"/>
    </row>
    <row r="1453" spans="1:8" ht="16" x14ac:dyDescent="0.2">
      <c r="A1453" s="72"/>
      <c r="B1453" s="76"/>
      <c r="C1453" s="73"/>
      <c r="D1453" s="73" t="s">
        <v>940</v>
      </c>
      <c r="E1453" s="77" t="s">
        <v>102</v>
      </c>
      <c r="F1453" s="75" t="s">
        <v>1549</v>
      </c>
      <c r="G1453" s="74" t="s">
        <v>499</v>
      </c>
      <c r="H1453" s="69"/>
    </row>
    <row r="1454" spans="1:8" ht="16" x14ac:dyDescent="0.2">
      <c r="A1454" s="72"/>
      <c r="B1454" s="76"/>
      <c r="C1454" s="73"/>
      <c r="D1454" s="73" t="s">
        <v>940</v>
      </c>
      <c r="E1454" s="77" t="s">
        <v>102</v>
      </c>
      <c r="F1454" s="75" t="s">
        <v>1551</v>
      </c>
      <c r="G1454" s="74" t="s">
        <v>499</v>
      </c>
      <c r="H1454" s="69"/>
    </row>
    <row r="1455" spans="1:8" ht="16" x14ac:dyDescent="0.2">
      <c r="A1455" s="72"/>
      <c r="B1455" s="76"/>
      <c r="C1455" s="73"/>
      <c r="D1455" s="73" t="s">
        <v>940</v>
      </c>
      <c r="E1455" s="77" t="s">
        <v>102</v>
      </c>
      <c r="F1455" s="75" t="s">
        <v>1550</v>
      </c>
      <c r="G1455" s="74" t="s">
        <v>499</v>
      </c>
      <c r="H1455" s="69"/>
    </row>
    <row r="1456" spans="1:8" ht="16" x14ac:dyDescent="0.2">
      <c r="A1456" s="72"/>
      <c r="B1456" s="76"/>
      <c r="C1456" s="73"/>
      <c r="D1456" s="73" t="s">
        <v>940</v>
      </c>
      <c r="E1456" s="77" t="s">
        <v>102</v>
      </c>
      <c r="F1456" s="75" t="s">
        <v>1628</v>
      </c>
      <c r="G1456" s="74" t="s">
        <v>499</v>
      </c>
      <c r="H1456" s="69"/>
    </row>
    <row r="1457" spans="1:8" ht="16" x14ac:dyDescent="0.2">
      <c r="A1457" s="72"/>
      <c r="B1457" s="76"/>
      <c r="C1457" s="73"/>
      <c r="D1457" s="73" t="s">
        <v>940</v>
      </c>
      <c r="E1457" s="77" t="s">
        <v>102</v>
      </c>
      <c r="F1457" s="75" t="s">
        <v>1552</v>
      </c>
      <c r="G1457" s="74" t="s">
        <v>499</v>
      </c>
      <c r="H1457" s="69"/>
    </row>
    <row r="1458" spans="1:8" ht="16" x14ac:dyDescent="0.2">
      <c r="A1458" s="72"/>
      <c r="B1458" s="76"/>
      <c r="C1458" s="73"/>
      <c r="D1458" s="73" t="s">
        <v>940</v>
      </c>
      <c r="E1458" s="77" t="s">
        <v>102</v>
      </c>
      <c r="F1458" s="75" t="s">
        <v>1553</v>
      </c>
      <c r="G1458" s="74" t="s">
        <v>499</v>
      </c>
      <c r="H1458" s="69"/>
    </row>
    <row r="1459" spans="1:8" ht="16" x14ac:dyDescent="0.2">
      <c r="A1459" s="72"/>
      <c r="B1459" s="76"/>
      <c r="C1459" s="73"/>
      <c r="D1459" s="73" t="s">
        <v>940</v>
      </c>
      <c r="E1459" s="77" t="s">
        <v>102</v>
      </c>
      <c r="F1459" s="75" t="s">
        <v>1554</v>
      </c>
      <c r="G1459" s="74" t="s">
        <v>499</v>
      </c>
      <c r="H1459" s="69"/>
    </row>
    <row r="1460" spans="1:8" ht="16" x14ac:dyDescent="0.2">
      <c r="A1460" s="72"/>
      <c r="B1460" s="76"/>
      <c r="C1460" s="73"/>
      <c r="D1460" s="73" t="s">
        <v>940</v>
      </c>
      <c r="E1460" s="77" t="s">
        <v>102</v>
      </c>
      <c r="F1460" s="75" t="s">
        <v>1555</v>
      </c>
      <c r="G1460" s="74" t="s">
        <v>499</v>
      </c>
      <c r="H1460" s="69"/>
    </row>
    <row r="1461" spans="1:8" ht="16" x14ac:dyDescent="0.2">
      <c r="A1461" s="72"/>
      <c r="B1461" s="76"/>
      <c r="C1461" s="73"/>
      <c r="D1461" s="73" t="s">
        <v>940</v>
      </c>
      <c r="E1461" s="77" t="s">
        <v>102</v>
      </c>
      <c r="F1461" s="75" t="s">
        <v>1549</v>
      </c>
      <c r="G1461" s="74" t="s">
        <v>499</v>
      </c>
      <c r="H1461" s="69"/>
    </row>
    <row r="1462" spans="1:8" ht="16" x14ac:dyDescent="0.2">
      <c r="A1462" s="72"/>
      <c r="B1462" s="76"/>
      <c r="C1462" s="73"/>
      <c r="D1462" s="73" t="s">
        <v>940</v>
      </c>
      <c r="E1462" s="77" t="s">
        <v>102</v>
      </c>
      <c r="F1462" s="75" t="s">
        <v>1551</v>
      </c>
      <c r="G1462" s="74" t="s">
        <v>499</v>
      </c>
      <c r="H1462" s="69"/>
    </row>
    <row r="1463" spans="1:8" ht="16" x14ac:dyDescent="0.2">
      <c r="A1463" s="72"/>
      <c r="B1463" s="76"/>
      <c r="C1463" s="73"/>
      <c r="D1463" s="73" t="s">
        <v>940</v>
      </c>
      <c r="E1463" s="77" t="s">
        <v>102</v>
      </c>
      <c r="F1463" s="75" t="s">
        <v>1550</v>
      </c>
      <c r="G1463" s="74" t="s">
        <v>499</v>
      </c>
      <c r="H1463" s="69"/>
    </row>
    <row r="1464" spans="1:8" ht="16" x14ac:dyDescent="0.2">
      <c r="A1464" s="72"/>
      <c r="B1464" s="76"/>
      <c r="C1464" s="73"/>
      <c r="D1464" s="73" t="s">
        <v>940</v>
      </c>
      <c r="E1464" s="77" t="s">
        <v>102</v>
      </c>
      <c r="F1464" s="75" t="s">
        <v>1628</v>
      </c>
      <c r="G1464" s="74" t="s">
        <v>499</v>
      </c>
      <c r="H1464" s="69"/>
    </row>
    <row r="1465" spans="1:8" ht="16" x14ac:dyDescent="0.2">
      <c r="A1465" s="72"/>
      <c r="B1465" s="76"/>
      <c r="C1465" s="73"/>
      <c r="D1465" s="73" t="s">
        <v>940</v>
      </c>
      <c r="E1465" s="77" t="s">
        <v>102</v>
      </c>
      <c r="F1465" s="75" t="s">
        <v>1552</v>
      </c>
      <c r="G1465" s="74" t="s">
        <v>499</v>
      </c>
      <c r="H1465" s="69"/>
    </row>
    <row r="1466" spans="1:8" ht="16" x14ac:dyDescent="0.2">
      <c r="A1466" s="72"/>
      <c r="B1466" s="76"/>
      <c r="C1466" s="73"/>
      <c r="D1466" s="73" t="s">
        <v>940</v>
      </c>
      <c r="E1466" s="77" t="s">
        <v>102</v>
      </c>
      <c r="F1466" s="75" t="s">
        <v>1553</v>
      </c>
      <c r="G1466" s="74" t="s">
        <v>499</v>
      </c>
      <c r="H1466" s="69"/>
    </row>
    <row r="1467" spans="1:8" ht="16" x14ac:dyDescent="0.2">
      <c r="A1467" s="72"/>
      <c r="B1467" s="76"/>
      <c r="C1467" s="73"/>
      <c r="D1467" s="73" t="s">
        <v>940</v>
      </c>
      <c r="E1467" s="77" t="s">
        <v>102</v>
      </c>
      <c r="F1467" s="75" t="s">
        <v>1554</v>
      </c>
      <c r="G1467" s="74" t="s">
        <v>499</v>
      </c>
      <c r="H1467" s="69"/>
    </row>
    <row r="1468" spans="1:8" ht="16" x14ac:dyDescent="0.2">
      <c r="A1468" s="72"/>
      <c r="B1468" s="76"/>
      <c r="C1468" s="73"/>
      <c r="D1468" s="73" t="s">
        <v>940</v>
      </c>
      <c r="E1468" s="77" t="s">
        <v>102</v>
      </c>
      <c r="F1468" s="75" t="s">
        <v>1555</v>
      </c>
      <c r="G1468" s="74" t="s">
        <v>499</v>
      </c>
      <c r="H1468" s="69"/>
    </row>
    <row r="1469" spans="1:8" ht="16" x14ac:dyDescent="0.2">
      <c r="A1469" s="72"/>
      <c r="B1469" s="76"/>
      <c r="C1469" s="73"/>
      <c r="D1469" s="73" t="s">
        <v>940</v>
      </c>
      <c r="E1469" s="77" t="s">
        <v>93</v>
      </c>
      <c r="F1469" s="75" t="s">
        <v>1589</v>
      </c>
      <c r="G1469" s="74" t="s">
        <v>1206</v>
      </c>
      <c r="H1469" s="69"/>
    </row>
    <row r="1470" spans="1:8" ht="16" x14ac:dyDescent="0.2">
      <c r="A1470" s="72"/>
      <c r="B1470" s="76"/>
      <c r="C1470" s="73"/>
      <c r="D1470" s="73" t="s">
        <v>940</v>
      </c>
      <c r="E1470" s="77" t="s">
        <v>93</v>
      </c>
      <c r="F1470" s="75" t="s">
        <v>1591</v>
      </c>
      <c r="G1470" s="74" t="s">
        <v>1206</v>
      </c>
      <c r="H1470" s="69"/>
    </row>
    <row r="1471" spans="1:8" ht="16" x14ac:dyDescent="0.2">
      <c r="A1471" s="72"/>
      <c r="B1471" s="76"/>
      <c r="C1471" s="73"/>
      <c r="D1471" s="73" t="s">
        <v>940</v>
      </c>
      <c r="E1471" s="77" t="s">
        <v>93</v>
      </c>
      <c r="F1471" s="75" t="s">
        <v>1590</v>
      </c>
      <c r="G1471" s="74" t="s">
        <v>1206</v>
      </c>
      <c r="H1471" s="69"/>
    </row>
    <row r="1472" spans="1:8" ht="16" x14ac:dyDescent="0.2">
      <c r="A1472" s="72"/>
      <c r="B1472" s="76"/>
      <c r="C1472" s="73"/>
      <c r="D1472" s="73" t="s">
        <v>940</v>
      </c>
      <c r="E1472" s="77" t="s">
        <v>93</v>
      </c>
      <c r="F1472" s="75" t="s">
        <v>1593</v>
      </c>
      <c r="G1472" s="74" t="s">
        <v>1207</v>
      </c>
      <c r="H1472" s="69"/>
    </row>
    <row r="1473" spans="1:8" ht="16" x14ac:dyDescent="0.2">
      <c r="A1473" s="72"/>
      <c r="B1473" s="76"/>
      <c r="C1473" s="73"/>
      <c r="D1473" s="73" t="s">
        <v>940</v>
      </c>
      <c r="E1473" s="77" t="s">
        <v>93</v>
      </c>
      <c r="F1473" s="75" t="s">
        <v>1594</v>
      </c>
      <c r="G1473" s="74" t="s">
        <v>1207</v>
      </c>
      <c r="H1473" s="69"/>
    </row>
    <row r="1474" spans="1:8" ht="16" x14ac:dyDescent="0.2">
      <c r="A1474" s="72"/>
      <c r="B1474" s="76"/>
      <c r="C1474" s="73"/>
      <c r="D1474" s="73" t="s">
        <v>940</v>
      </c>
      <c r="E1474" s="77" t="s">
        <v>93</v>
      </c>
      <c r="F1474" s="75" t="s">
        <v>1595</v>
      </c>
      <c r="G1474" s="74" t="s">
        <v>1207</v>
      </c>
      <c r="H1474" s="69"/>
    </row>
    <row r="1475" spans="1:8" ht="16" x14ac:dyDescent="0.2">
      <c r="A1475" s="72"/>
      <c r="B1475" s="76"/>
      <c r="C1475" s="73"/>
      <c r="D1475" s="73" t="s">
        <v>940</v>
      </c>
      <c r="E1475" s="77" t="s">
        <v>93</v>
      </c>
      <c r="F1475" s="75" t="s">
        <v>1592</v>
      </c>
      <c r="G1475" s="74" t="s">
        <v>1206</v>
      </c>
      <c r="H1475" s="69"/>
    </row>
    <row r="1476" spans="1:8" ht="16" x14ac:dyDescent="0.2">
      <c r="A1476" s="72"/>
      <c r="B1476" s="76"/>
      <c r="C1476" s="73"/>
      <c r="D1476" s="73" t="s">
        <v>940</v>
      </c>
      <c r="E1476" s="77" t="s">
        <v>93</v>
      </c>
      <c r="F1476" s="75" t="s">
        <v>1597</v>
      </c>
      <c r="G1476" s="74" t="s">
        <v>1212</v>
      </c>
      <c r="H1476" s="69"/>
    </row>
    <row r="1477" spans="1:8" ht="16" x14ac:dyDescent="0.2">
      <c r="A1477" s="72"/>
      <c r="B1477" s="76"/>
      <c r="C1477" s="73"/>
      <c r="D1477" s="73" t="s">
        <v>940</v>
      </c>
      <c r="E1477" s="77" t="s">
        <v>93</v>
      </c>
      <c r="F1477" s="75" t="s">
        <v>1599</v>
      </c>
      <c r="G1477" s="74" t="s">
        <v>1212</v>
      </c>
      <c r="H1477" s="69"/>
    </row>
    <row r="1478" spans="1:8" ht="16" x14ac:dyDescent="0.2">
      <c r="A1478" s="72"/>
      <c r="B1478" s="76"/>
      <c r="C1478" s="73"/>
      <c r="D1478" s="73" t="s">
        <v>940</v>
      </c>
      <c r="E1478" s="77" t="s">
        <v>93</v>
      </c>
      <c r="F1478" s="75" t="s">
        <v>1598</v>
      </c>
      <c r="G1478" s="74" t="s">
        <v>1212</v>
      </c>
      <c r="H1478" s="69"/>
    </row>
    <row r="1479" spans="1:8" ht="16" x14ac:dyDescent="0.2">
      <c r="A1479" s="72"/>
      <c r="B1479" s="76"/>
      <c r="C1479" s="73"/>
      <c r="D1479" s="73" t="s">
        <v>940</v>
      </c>
      <c r="E1479" s="77" t="s">
        <v>93</v>
      </c>
      <c r="F1479" s="75" t="s">
        <v>1601</v>
      </c>
      <c r="G1479" s="74" t="s">
        <v>1213</v>
      </c>
      <c r="H1479" s="69"/>
    </row>
    <row r="1480" spans="1:8" ht="16" x14ac:dyDescent="0.2">
      <c r="A1480" s="72"/>
      <c r="B1480" s="76"/>
      <c r="C1480" s="73"/>
      <c r="D1480" s="73" t="s">
        <v>940</v>
      </c>
      <c r="E1480" s="77" t="s">
        <v>93</v>
      </c>
      <c r="F1480" s="75" t="s">
        <v>1602</v>
      </c>
      <c r="G1480" s="74" t="s">
        <v>1213</v>
      </c>
      <c r="H1480" s="69"/>
    </row>
    <row r="1481" spans="1:8" ht="16" x14ac:dyDescent="0.2">
      <c r="A1481" s="72"/>
      <c r="B1481" s="76"/>
      <c r="C1481" s="73"/>
      <c r="D1481" s="73" t="s">
        <v>940</v>
      </c>
      <c r="E1481" s="77" t="s">
        <v>93</v>
      </c>
      <c r="F1481" s="75" t="s">
        <v>1603</v>
      </c>
      <c r="G1481" s="74" t="s">
        <v>1213</v>
      </c>
      <c r="H1481" s="69"/>
    </row>
    <row r="1482" spans="1:8" ht="16" x14ac:dyDescent="0.2">
      <c r="A1482" s="72"/>
      <c r="B1482" s="76"/>
      <c r="C1482" s="73"/>
      <c r="D1482" s="73" t="s">
        <v>940</v>
      </c>
      <c r="E1482" s="77" t="s">
        <v>93</v>
      </c>
      <c r="F1482" s="75" t="s">
        <v>1600</v>
      </c>
      <c r="G1482" s="74" t="s">
        <v>1212</v>
      </c>
      <c r="H1482" s="69"/>
    </row>
    <row r="1483" spans="1:8" x14ac:dyDescent="0.2">
      <c r="A1483" s="72"/>
      <c r="B1483" s="84"/>
      <c r="C1483" s="73"/>
      <c r="D1483" s="73" t="s">
        <v>940</v>
      </c>
      <c r="E1483" s="77" t="s">
        <v>93</v>
      </c>
      <c r="F1483" s="75" t="s">
        <v>391</v>
      </c>
      <c r="G1483" s="75" t="s">
        <v>1187</v>
      </c>
      <c r="H1483" s="69"/>
    </row>
    <row r="1484" spans="1:8" x14ac:dyDescent="0.2">
      <c r="A1484" s="72"/>
      <c r="B1484" s="84"/>
      <c r="C1484" s="73"/>
      <c r="D1484" s="73" t="s">
        <v>940</v>
      </c>
      <c r="E1484" s="77" t="s">
        <v>93</v>
      </c>
      <c r="F1484" s="75" t="s">
        <v>1567</v>
      </c>
      <c r="G1484" s="75" t="s">
        <v>1187</v>
      </c>
      <c r="H1484" s="69"/>
    </row>
    <row r="1485" spans="1:8" x14ac:dyDescent="0.2">
      <c r="A1485" s="72"/>
      <c r="B1485" s="84"/>
      <c r="C1485" s="73"/>
      <c r="D1485" s="73" t="s">
        <v>940</v>
      </c>
      <c r="E1485" s="77" t="s">
        <v>93</v>
      </c>
      <c r="F1485" s="75" t="s">
        <v>1568</v>
      </c>
      <c r="G1485" s="75" t="s">
        <v>1187</v>
      </c>
      <c r="H1485" s="69"/>
    </row>
    <row r="1486" spans="1:8" x14ac:dyDescent="0.2">
      <c r="A1486" s="72"/>
      <c r="B1486" s="84"/>
      <c r="C1486" s="73"/>
      <c r="D1486" s="73" t="s">
        <v>940</v>
      </c>
      <c r="E1486" s="77" t="s">
        <v>93</v>
      </c>
      <c r="F1486" s="75" t="s">
        <v>1569</v>
      </c>
      <c r="G1486" s="75" t="s">
        <v>1187</v>
      </c>
      <c r="H1486" s="69"/>
    </row>
    <row r="1487" spans="1:8" x14ac:dyDescent="0.2">
      <c r="A1487" s="72"/>
      <c r="B1487" s="84"/>
      <c r="C1487" s="73"/>
      <c r="D1487" s="73" t="s">
        <v>940</v>
      </c>
      <c r="E1487" s="77" t="s">
        <v>93</v>
      </c>
      <c r="F1487" s="75" t="s">
        <v>1570</v>
      </c>
      <c r="G1487" s="75" t="s">
        <v>1187</v>
      </c>
      <c r="H1487" s="69"/>
    </row>
    <row r="1488" spans="1:8" x14ac:dyDescent="0.2">
      <c r="A1488" s="72"/>
      <c r="B1488" s="84"/>
      <c r="C1488" s="73"/>
      <c r="D1488" s="73" t="s">
        <v>940</v>
      </c>
      <c r="E1488" s="77" t="s">
        <v>93</v>
      </c>
      <c r="F1488" s="75" t="s">
        <v>1571</v>
      </c>
      <c r="G1488" s="75" t="s">
        <v>1187</v>
      </c>
      <c r="H1488" s="69"/>
    </row>
    <row r="1489" spans="1:8" x14ac:dyDescent="0.2">
      <c r="A1489" s="72"/>
      <c r="B1489" s="84"/>
      <c r="C1489" s="73"/>
      <c r="D1489" s="73" t="s">
        <v>940</v>
      </c>
      <c r="E1489" s="77" t="s">
        <v>93</v>
      </c>
      <c r="F1489" s="75" t="s">
        <v>1572</v>
      </c>
      <c r="G1489" s="75" t="s">
        <v>1187</v>
      </c>
      <c r="H1489" s="69"/>
    </row>
    <row r="1490" spans="1:8" x14ac:dyDescent="0.2">
      <c r="A1490" s="72"/>
      <c r="B1490" s="84"/>
      <c r="C1490" s="73"/>
      <c r="D1490" s="73" t="s">
        <v>940</v>
      </c>
      <c r="E1490" s="77" t="s">
        <v>93</v>
      </c>
      <c r="F1490" s="75" t="s">
        <v>1616</v>
      </c>
      <c r="G1490" s="75" t="s">
        <v>1187</v>
      </c>
      <c r="H1490" s="69"/>
    </row>
    <row r="1491" spans="1:8" x14ac:dyDescent="0.2">
      <c r="A1491" s="72"/>
      <c r="B1491" s="84"/>
      <c r="C1491" s="73"/>
      <c r="D1491" s="73" t="s">
        <v>940</v>
      </c>
      <c r="E1491" s="77" t="s">
        <v>93</v>
      </c>
      <c r="F1491" s="75" t="s">
        <v>1573</v>
      </c>
      <c r="G1491" s="75" t="s">
        <v>1187</v>
      </c>
      <c r="H1491" s="69"/>
    </row>
    <row r="1492" spans="1:8" x14ac:dyDescent="0.2">
      <c r="A1492" s="72"/>
      <c r="B1492" s="84"/>
      <c r="C1492" s="73"/>
      <c r="D1492" s="73" t="s">
        <v>940</v>
      </c>
      <c r="E1492" s="77" t="s">
        <v>93</v>
      </c>
      <c r="F1492" s="75" t="s">
        <v>1617</v>
      </c>
      <c r="G1492" s="75" t="s">
        <v>1187</v>
      </c>
      <c r="H1492" s="69"/>
    </row>
    <row r="1493" spans="1:8" x14ac:dyDescent="0.2">
      <c r="A1493" s="72"/>
      <c r="B1493" s="84"/>
      <c r="C1493" s="73"/>
      <c r="D1493" s="73" t="s">
        <v>940</v>
      </c>
      <c r="E1493" s="77" t="s">
        <v>93</v>
      </c>
      <c r="F1493" s="75" t="s">
        <v>1618</v>
      </c>
      <c r="G1493" s="75" t="s">
        <v>1187</v>
      </c>
      <c r="H1493" s="69"/>
    </row>
    <row r="1494" spans="1:8" x14ac:dyDescent="0.2">
      <c r="A1494" s="72"/>
      <c r="B1494" s="84"/>
      <c r="C1494" s="73"/>
      <c r="D1494" s="73" t="s">
        <v>940</v>
      </c>
      <c r="E1494" s="77" t="s">
        <v>93</v>
      </c>
      <c r="F1494" s="75" t="s">
        <v>1619</v>
      </c>
      <c r="G1494" s="75" t="s">
        <v>1187</v>
      </c>
      <c r="H1494" s="69"/>
    </row>
    <row r="1495" spans="1:8" x14ac:dyDescent="0.2">
      <c r="A1495" s="72"/>
      <c r="B1495" s="84"/>
      <c r="C1495" s="73"/>
      <c r="D1495" s="73" t="s">
        <v>940</v>
      </c>
      <c r="E1495" s="77" t="s">
        <v>93</v>
      </c>
      <c r="F1495" s="75" t="s">
        <v>1620</v>
      </c>
      <c r="G1495" s="75" t="s">
        <v>1187</v>
      </c>
      <c r="H1495" s="69"/>
    </row>
    <row r="1496" spans="1:8" x14ac:dyDescent="0.2">
      <c r="A1496" s="72"/>
      <c r="B1496" s="84"/>
      <c r="C1496" s="73"/>
      <c r="D1496" s="73" t="s">
        <v>940</v>
      </c>
      <c r="E1496" s="77" t="s">
        <v>93</v>
      </c>
      <c r="F1496" s="75" t="s">
        <v>1574</v>
      </c>
      <c r="G1496" s="75" t="s">
        <v>1188</v>
      </c>
      <c r="H1496" s="69"/>
    </row>
    <row r="1497" spans="1:8" x14ac:dyDescent="0.2">
      <c r="A1497" s="72"/>
      <c r="B1497" s="84"/>
      <c r="C1497" s="73"/>
      <c r="D1497" s="73" t="s">
        <v>940</v>
      </c>
      <c r="E1497" s="77" t="s">
        <v>93</v>
      </c>
      <c r="F1497" s="75" t="s">
        <v>1577</v>
      </c>
      <c r="G1497" s="75" t="s">
        <v>1188</v>
      </c>
      <c r="H1497" s="69"/>
    </row>
    <row r="1498" spans="1:8" x14ac:dyDescent="0.2">
      <c r="A1498" s="72"/>
      <c r="B1498" s="84"/>
      <c r="C1498" s="73"/>
      <c r="D1498" s="73" t="s">
        <v>940</v>
      </c>
      <c r="E1498" s="77" t="s">
        <v>93</v>
      </c>
      <c r="F1498" s="75" t="s">
        <v>1578</v>
      </c>
      <c r="G1498" s="75" t="s">
        <v>1188</v>
      </c>
      <c r="H1498" s="69"/>
    </row>
    <row r="1499" spans="1:8" x14ac:dyDescent="0.2">
      <c r="A1499" s="72"/>
      <c r="B1499" s="84"/>
      <c r="C1499" s="73"/>
      <c r="D1499" s="73" t="s">
        <v>940</v>
      </c>
      <c r="E1499" s="77" t="s">
        <v>93</v>
      </c>
      <c r="F1499" s="75" t="s">
        <v>1579</v>
      </c>
      <c r="G1499" s="75" t="s">
        <v>1188</v>
      </c>
      <c r="H1499" s="69"/>
    </row>
    <row r="1500" spans="1:8" x14ac:dyDescent="0.2">
      <c r="A1500" s="72"/>
      <c r="B1500" s="84"/>
      <c r="C1500" s="73"/>
      <c r="D1500" s="73" t="s">
        <v>940</v>
      </c>
      <c r="E1500" s="77" t="s">
        <v>93</v>
      </c>
      <c r="F1500" s="75" t="s">
        <v>1580</v>
      </c>
      <c r="G1500" s="75" t="s">
        <v>1188</v>
      </c>
      <c r="H1500" s="69"/>
    </row>
    <row r="1501" spans="1:8" x14ac:dyDescent="0.2">
      <c r="A1501" s="72"/>
      <c r="B1501" s="84"/>
      <c r="C1501" s="73"/>
      <c r="D1501" s="73" t="s">
        <v>940</v>
      </c>
      <c r="E1501" s="77" t="s">
        <v>93</v>
      </c>
      <c r="F1501" s="75" t="s">
        <v>1621</v>
      </c>
      <c r="G1501" s="75" t="s">
        <v>1188</v>
      </c>
      <c r="H1501" s="69"/>
    </row>
    <row r="1502" spans="1:8" x14ac:dyDescent="0.2">
      <c r="A1502" s="72"/>
      <c r="B1502" s="84"/>
      <c r="C1502" s="73"/>
      <c r="D1502" s="73" t="s">
        <v>940</v>
      </c>
      <c r="E1502" s="77" t="s">
        <v>93</v>
      </c>
      <c r="F1502" s="75" t="s">
        <v>1575</v>
      </c>
      <c r="G1502" s="75" t="s">
        <v>1188</v>
      </c>
      <c r="H1502" s="69"/>
    </row>
    <row r="1503" spans="1:8" x14ac:dyDescent="0.2">
      <c r="A1503" s="72"/>
      <c r="B1503" s="84"/>
      <c r="C1503" s="73"/>
      <c r="D1503" s="73" t="s">
        <v>940</v>
      </c>
      <c r="E1503" s="77" t="s">
        <v>93</v>
      </c>
      <c r="F1503" s="75" t="s">
        <v>1576</v>
      </c>
      <c r="G1503" s="75" t="s">
        <v>1188</v>
      </c>
      <c r="H1503" s="69"/>
    </row>
    <row r="1504" spans="1:8" x14ac:dyDescent="0.2">
      <c r="A1504" s="72"/>
      <c r="B1504" s="84"/>
      <c r="C1504" s="73"/>
      <c r="D1504" s="73" t="s">
        <v>940</v>
      </c>
      <c r="E1504" s="77" t="s">
        <v>93</v>
      </c>
      <c r="F1504" s="75" t="s">
        <v>1622</v>
      </c>
      <c r="G1504" s="75" t="s">
        <v>1188</v>
      </c>
      <c r="H1504" s="69"/>
    </row>
    <row r="1505" spans="1:8" x14ac:dyDescent="0.2">
      <c r="A1505" s="72"/>
      <c r="B1505" s="84"/>
      <c r="C1505" s="73"/>
      <c r="D1505" s="73" t="s">
        <v>940</v>
      </c>
      <c r="E1505" s="77" t="s">
        <v>93</v>
      </c>
      <c r="F1505" s="75" t="s">
        <v>1623</v>
      </c>
      <c r="G1505" s="75" t="s">
        <v>1188</v>
      </c>
      <c r="H1505" s="69"/>
    </row>
    <row r="1506" spans="1:8" x14ac:dyDescent="0.2">
      <c r="A1506" s="72"/>
      <c r="B1506" s="84"/>
      <c r="C1506" s="73"/>
      <c r="D1506" s="73" t="s">
        <v>940</v>
      </c>
      <c r="E1506" s="77" t="s">
        <v>93</v>
      </c>
      <c r="F1506" s="75" t="s">
        <v>1624</v>
      </c>
      <c r="G1506" s="75" t="s">
        <v>1188</v>
      </c>
      <c r="H1506" s="69"/>
    </row>
    <row r="1507" spans="1:8" x14ac:dyDescent="0.2">
      <c r="A1507" s="72"/>
      <c r="B1507" s="84"/>
      <c r="C1507" s="73"/>
      <c r="D1507" s="73" t="s">
        <v>940</v>
      </c>
      <c r="E1507" s="77" t="s">
        <v>93</v>
      </c>
      <c r="F1507" s="75" t="s">
        <v>1625</v>
      </c>
      <c r="G1507" s="75" t="s">
        <v>1188</v>
      </c>
      <c r="H1507" s="69"/>
    </row>
    <row r="1508" spans="1:8" x14ac:dyDescent="0.2">
      <c r="A1508" s="72"/>
      <c r="B1508" s="76"/>
      <c r="C1508" s="73"/>
      <c r="D1508" s="73" t="s">
        <v>940</v>
      </c>
      <c r="E1508" s="77" t="s">
        <v>93</v>
      </c>
      <c r="F1508" s="75" t="s">
        <v>387</v>
      </c>
      <c r="G1508" s="75" t="s">
        <v>1128</v>
      </c>
      <c r="H1508" s="69"/>
    </row>
    <row r="1509" spans="1:8" x14ac:dyDescent="0.2">
      <c r="A1509" s="72"/>
      <c r="B1509" s="76"/>
      <c r="C1509" s="73"/>
      <c r="D1509" s="73" t="s">
        <v>940</v>
      </c>
      <c r="E1509" s="77" t="s">
        <v>93</v>
      </c>
      <c r="F1509" s="75" t="s">
        <v>1556</v>
      </c>
      <c r="G1509" s="75" t="s">
        <v>1128</v>
      </c>
      <c r="H1509" s="69"/>
    </row>
    <row r="1510" spans="1:8" x14ac:dyDescent="0.2">
      <c r="A1510" s="72"/>
      <c r="B1510" s="76"/>
      <c r="C1510" s="73"/>
      <c r="D1510" s="73" t="s">
        <v>940</v>
      </c>
      <c r="E1510" s="77" t="s">
        <v>93</v>
      </c>
      <c r="F1510" s="75" t="s">
        <v>1557</v>
      </c>
      <c r="G1510" s="75" t="s">
        <v>1128</v>
      </c>
      <c r="H1510" s="69"/>
    </row>
    <row r="1511" spans="1:8" x14ac:dyDescent="0.2">
      <c r="A1511" s="72"/>
      <c r="B1511" s="76"/>
      <c r="C1511" s="73"/>
      <c r="D1511" s="73" t="s">
        <v>940</v>
      </c>
      <c r="E1511" s="77" t="s">
        <v>93</v>
      </c>
      <c r="F1511" s="75" t="s">
        <v>1605</v>
      </c>
      <c r="G1511" s="75" t="s">
        <v>1128</v>
      </c>
      <c r="H1511" s="69"/>
    </row>
    <row r="1512" spans="1:8" x14ac:dyDescent="0.2">
      <c r="A1512" s="72"/>
      <c r="B1512" s="76"/>
      <c r="C1512" s="73"/>
      <c r="D1512" s="73" t="s">
        <v>940</v>
      </c>
      <c r="E1512" s="77" t="s">
        <v>93</v>
      </c>
      <c r="F1512" s="75" t="s">
        <v>1606</v>
      </c>
      <c r="G1512" s="75" t="s">
        <v>1128</v>
      </c>
      <c r="H1512" s="69"/>
    </row>
    <row r="1513" spans="1:8" x14ac:dyDescent="0.2">
      <c r="A1513" s="72"/>
      <c r="B1513" s="76"/>
      <c r="C1513" s="73"/>
      <c r="D1513" s="73" t="s">
        <v>940</v>
      </c>
      <c r="E1513" s="77" t="s">
        <v>93</v>
      </c>
      <c r="F1513" s="75" t="s">
        <v>1559</v>
      </c>
      <c r="G1513" s="75" t="s">
        <v>1128</v>
      </c>
      <c r="H1513" s="69"/>
    </row>
    <row r="1514" spans="1:8" x14ac:dyDescent="0.2">
      <c r="A1514" s="72"/>
      <c r="B1514" s="76"/>
      <c r="C1514" s="73"/>
      <c r="D1514" s="73" t="s">
        <v>940</v>
      </c>
      <c r="E1514" s="77" t="s">
        <v>93</v>
      </c>
      <c r="F1514" s="75" t="s">
        <v>1607</v>
      </c>
      <c r="G1514" s="75" t="s">
        <v>1128</v>
      </c>
      <c r="H1514" s="69"/>
    </row>
    <row r="1515" spans="1:8" x14ac:dyDescent="0.2">
      <c r="A1515" s="72"/>
      <c r="B1515" s="76"/>
      <c r="C1515" s="73"/>
      <c r="D1515" s="73" t="s">
        <v>940</v>
      </c>
      <c r="E1515" s="77" t="s">
        <v>93</v>
      </c>
      <c r="F1515" s="75" t="s">
        <v>1560</v>
      </c>
      <c r="G1515" s="75" t="s">
        <v>1128</v>
      </c>
      <c r="H1515" s="69"/>
    </row>
    <row r="1516" spans="1:8" x14ac:dyDescent="0.2">
      <c r="A1516" s="72"/>
      <c r="B1516" s="76"/>
      <c r="C1516" s="73"/>
      <c r="D1516" s="73" t="s">
        <v>940</v>
      </c>
      <c r="E1516" s="77" t="s">
        <v>93</v>
      </c>
      <c r="F1516" s="75" t="s">
        <v>395</v>
      </c>
      <c r="G1516" s="75" t="s">
        <v>1128</v>
      </c>
      <c r="H1516" s="69"/>
    </row>
    <row r="1517" spans="1:8" x14ac:dyDescent="0.2">
      <c r="A1517" s="72"/>
      <c r="B1517" s="76"/>
      <c r="C1517" s="73"/>
      <c r="D1517" s="73" t="s">
        <v>940</v>
      </c>
      <c r="E1517" s="77" t="s">
        <v>93</v>
      </c>
      <c r="F1517" s="75" t="s">
        <v>1608</v>
      </c>
      <c r="G1517" s="75" t="s">
        <v>1128</v>
      </c>
      <c r="H1517" s="69"/>
    </row>
    <row r="1518" spans="1:8" x14ac:dyDescent="0.2">
      <c r="A1518" s="72"/>
      <c r="B1518" s="76"/>
      <c r="C1518" s="73"/>
      <c r="D1518" s="73" t="s">
        <v>940</v>
      </c>
      <c r="E1518" s="77" t="s">
        <v>93</v>
      </c>
      <c r="F1518" s="75" t="s">
        <v>399</v>
      </c>
      <c r="G1518" s="75" t="s">
        <v>1128</v>
      </c>
      <c r="H1518" s="69"/>
    </row>
    <row r="1519" spans="1:8" x14ac:dyDescent="0.2">
      <c r="A1519" s="72"/>
      <c r="B1519" s="76"/>
      <c r="C1519" s="73"/>
      <c r="D1519" s="73" t="s">
        <v>940</v>
      </c>
      <c r="E1519" s="77" t="s">
        <v>93</v>
      </c>
      <c r="F1519" s="75" t="s">
        <v>1609</v>
      </c>
      <c r="G1519" s="75" t="s">
        <v>1128</v>
      </c>
      <c r="H1519" s="69"/>
    </row>
    <row r="1520" spans="1:8" x14ac:dyDescent="0.2">
      <c r="A1520" s="72"/>
      <c r="B1520" s="76"/>
      <c r="C1520" s="73"/>
      <c r="D1520" s="73" t="s">
        <v>940</v>
      </c>
      <c r="E1520" s="77" t="s">
        <v>93</v>
      </c>
      <c r="F1520" s="75" t="s">
        <v>1561</v>
      </c>
      <c r="G1520" s="75" t="s">
        <v>1129</v>
      </c>
      <c r="H1520" s="69"/>
    </row>
    <row r="1521" spans="1:8" x14ac:dyDescent="0.2">
      <c r="A1521" s="72"/>
      <c r="B1521" s="76"/>
      <c r="C1521" s="73"/>
      <c r="D1521" s="73" t="s">
        <v>940</v>
      </c>
      <c r="E1521" s="77" t="s">
        <v>93</v>
      </c>
      <c r="F1521" s="75" t="s">
        <v>1564</v>
      </c>
      <c r="G1521" s="75" t="s">
        <v>1129</v>
      </c>
      <c r="H1521" s="69"/>
    </row>
    <row r="1522" spans="1:8" x14ac:dyDescent="0.2">
      <c r="A1522" s="72"/>
      <c r="B1522" s="76"/>
      <c r="C1522" s="73"/>
      <c r="D1522" s="73" t="s">
        <v>940</v>
      </c>
      <c r="E1522" s="77" t="s">
        <v>93</v>
      </c>
      <c r="F1522" s="75" t="s">
        <v>1565</v>
      </c>
      <c r="G1522" s="75" t="s">
        <v>1129</v>
      </c>
      <c r="H1522" s="69"/>
    </row>
    <row r="1523" spans="1:8" x14ac:dyDescent="0.2">
      <c r="A1523" s="72"/>
      <c r="B1523" s="76"/>
      <c r="C1523" s="73"/>
      <c r="D1523" s="73" t="s">
        <v>940</v>
      </c>
      <c r="E1523" s="77" t="s">
        <v>93</v>
      </c>
      <c r="F1523" s="75" t="s">
        <v>1566</v>
      </c>
      <c r="G1523" s="75" t="s">
        <v>1129</v>
      </c>
      <c r="H1523" s="69"/>
    </row>
    <row r="1524" spans="1:8" x14ac:dyDescent="0.2">
      <c r="A1524" s="72"/>
      <c r="B1524" s="76"/>
      <c r="C1524" s="73"/>
      <c r="D1524" s="73" t="s">
        <v>940</v>
      </c>
      <c r="E1524" s="77" t="s">
        <v>93</v>
      </c>
      <c r="F1524" s="75" t="s">
        <v>1611</v>
      </c>
      <c r="G1524" s="75" t="s">
        <v>1129</v>
      </c>
      <c r="H1524" s="69"/>
    </row>
    <row r="1525" spans="1:8" x14ac:dyDescent="0.2">
      <c r="A1525" s="72"/>
      <c r="B1525" s="76"/>
      <c r="C1525" s="73"/>
      <c r="D1525" s="73" t="s">
        <v>940</v>
      </c>
      <c r="E1525" s="77" t="s">
        <v>93</v>
      </c>
      <c r="F1525" s="75" t="s">
        <v>1562</v>
      </c>
      <c r="G1525" s="75" t="s">
        <v>1129</v>
      </c>
      <c r="H1525" s="69"/>
    </row>
    <row r="1526" spans="1:8" x14ac:dyDescent="0.2">
      <c r="A1526" s="72"/>
      <c r="B1526" s="76"/>
      <c r="C1526" s="73"/>
      <c r="D1526" s="73" t="s">
        <v>940</v>
      </c>
      <c r="E1526" s="77" t="s">
        <v>93</v>
      </c>
      <c r="F1526" s="75" t="s">
        <v>1563</v>
      </c>
      <c r="G1526" s="75" t="s">
        <v>1129</v>
      </c>
      <c r="H1526" s="69"/>
    </row>
    <row r="1527" spans="1:8" x14ac:dyDescent="0.2">
      <c r="A1527" s="72"/>
      <c r="B1527" s="76"/>
      <c r="C1527" s="73"/>
      <c r="D1527" s="73" t="s">
        <v>940</v>
      </c>
      <c r="E1527" s="77" t="s">
        <v>93</v>
      </c>
      <c r="F1527" s="75" t="s">
        <v>1612</v>
      </c>
      <c r="G1527" s="75" t="s">
        <v>1129</v>
      </c>
      <c r="H1527" s="69"/>
    </row>
    <row r="1528" spans="1:8" x14ac:dyDescent="0.2">
      <c r="A1528" s="72"/>
      <c r="B1528" s="76"/>
      <c r="C1528" s="73"/>
      <c r="D1528" s="73" t="s">
        <v>940</v>
      </c>
      <c r="E1528" s="77" t="s">
        <v>93</v>
      </c>
      <c r="F1528" s="75" t="s">
        <v>1613</v>
      </c>
      <c r="G1528" s="75" t="s">
        <v>1129</v>
      </c>
      <c r="H1528" s="69"/>
    </row>
    <row r="1529" spans="1:8" x14ac:dyDescent="0.2">
      <c r="A1529" s="72"/>
      <c r="B1529" s="76"/>
      <c r="C1529" s="73"/>
      <c r="D1529" s="73" t="s">
        <v>940</v>
      </c>
      <c r="E1529" s="77" t="s">
        <v>93</v>
      </c>
      <c r="F1529" s="75" t="s">
        <v>1614</v>
      </c>
      <c r="G1529" s="75" t="s">
        <v>1129</v>
      </c>
      <c r="H1529" s="69"/>
    </row>
    <row r="1530" spans="1:8" x14ac:dyDescent="0.2">
      <c r="A1530" s="72"/>
      <c r="B1530" s="76"/>
      <c r="C1530" s="73"/>
      <c r="D1530" s="73" t="s">
        <v>940</v>
      </c>
      <c r="E1530" s="77" t="s">
        <v>93</v>
      </c>
      <c r="F1530" s="75" t="s">
        <v>1615</v>
      </c>
      <c r="G1530" s="75" t="s">
        <v>1129</v>
      </c>
      <c r="H1530" s="69"/>
    </row>
    <row r="1531" spans="1:8" x14ac:dyDescent="0.2">
      <c r="A1531" s="72"/>
      <c r="B1531" s="76"/>
      <c r="C1531" s="73"/>
      <c r="D1531" s="73" t="s">
        <v>940</v>
      </c>
      <c r="E1531" s="77" t="s">
        <v>93</v>
      </c>
      <c r="F1531" s="75" t="s">
        <v>391</v>
      </c>
      <c r="G1531" s="75" t="s">
        <v>1130</v>
      </c>
      <c r="H1531" s="69"/>
    </row>
    <row r="1532" spans="1:8" x14ac:dyDescent="0.2">
      <c r="A1532" s="72"/>
      <c r="B1532" s="76"/>
      <c r="C1532" s="73"/>
      <c r="D1532" s="73" t="s">
        <v>940</v>
      </c>
      <c r="E1532" s="77" t="s">
        <v>93</v>
      </c>
      <c r="F1532" s="75" t="s">
        <v>1567</v>
      </c>
      <c r="G1532" s="75" t="s">
        <v>1130</v>
      </c>
      <c r="H1532" s="69"/>
    </row>
    <row r="1533" spans="1:8" x14ac:dyDescent="0.2">
      <c r="A1533" s="72"/>
      <c r="B1533" s="76"/>
      <c r="C1533" s="73"/>
      <c r="D1533" s="73" t="s">
        <v>940</v>
      </c>
      <c r="E1533" s="77" t="s">
        <v>93</v>
      </c>
      <c r="F1533" s="75" t="s">
        <v>1568</v>
      </c>
      <c r="G1533" s="75" t="s">
        <v>1130</v>
      </c>
      <c r="H1533" s="69"/>
    </row>
    <row r="1534" spans="1:8" x14ac:dyDescent="0.2">
      <c r="A1534" s="72"/>
      <c r="B1534" s="76"/>
      <c r="C1534" s="73"/>
      <c r="D1534" s="73" t="s">
        <v>940</v>
      </c>
      <c r="E1534" s="77" t="s">
        <v>93</v>
      </c>
      <c r="F1534" s="75" t="s">
        <v>1569</v>
      </c>
      <c r="G1534" s="75" t="s">
        <v>1130</v>
      </c>
      <c r="H1534" s="69"/>
    </row>
    <row r="1535" spans="1:8" x14ac:dyDescent="0.2">
      <c r="A1535" s="72"/>
      <c r="B1535" s="76"/>
      <c r="C1535" s="73"/>
      <c r="D1535" s="73" t="s">
        <v>940</v>
      </c>
      <c r="E1535" s="77" t="s">
        <v>93</v>
      </c>
      <c r="F1535" s="75" t="s">
        <v>1570</v>
      </c>
      <c r="G1535" s="75" t="s">
        <v>1130</v>
      </c>
      <c r="H1535" s="69"/>
    </row>
    <row r="1536" spans="1:8" x14ac:dyDescent="0.2">
      <c r="A1536" s="72"/>
      <c r="B1536" s="76"/>
      <c r="C1536" s="73"/>
      <c r="D1536" s="73" t="s">
        <v>940</v>
      </c>
      <c r="E1536" s="77" t="s">
        <v>93</v>
      </c>
      <c r="F1536" s="75" t="s">
        <v>1572</v>
      </c>
      <c r="G1536" s="75" t="s">
        <v>1130</v>
      </c>
      <c r="H1536" s="69"/>
    </row>
    <row r="1537" spans="1:8" x14ac:dyDescent="0.2">
      <c r="A1537" s="72"/>
      <c r="B1537" s="76"/>
      <c r="C1537" s="73"/>
      <c r="D1537" s="73" t="s">
        <v>940</v>
      </c>
      <c r="E1537" s="77" t="s">
        <v>93</v>
      </c>
      <c r="F1537" s="75" t="s">
        <v>1616</v>
      </c>
      <c r="G1537" s="75" t="s">
        <v>1130</v>
      </c>
      <c r="H1537" s="69"/>
    </row>
    <row r="1538" spans="1:8" x14ac:dyDescent="0.2">
      <c r="A1538" s="72"/>
      <c r="B1538" s="76"/>
      <c r="C1538" s="73"/>
      <c r="D1538" s="73" t="s">
        <v>940</v>
      </c>
      <c r="E1538" s="77" t="s">
        <v>93</v>
      </c>
      <c r="F1538" s="75" t="s">
        <v>1573</v>
      </c>
      <c r="G1538" s="75" t="s">
        <v>1130</v>
      </c>
      <c r="H1538" s="69"/>
    </row>
    <row r="1539" spans="1:8" x14ac:dyDescent="0.2">
      <c r="A1539" s="72"/>
      <c r="B1539" s="76"/>
      <c r="C1539" s="73"/>
      <c r="D1539" s="73" t="s">
        <v>940</v>
      </c>
      <c r="E1539" s="77" t="s">
        <v>93</v>
      </c>
      <c r="F1539" s="75" t="s">
        <v>1617</v>
      </c>
      <c r="G1539" s="75" t="s">
        <v>1130</v>
      </c>
      <c r="H1539" s="69"/>
    </row>
    <row r="1540" spans="1:8" x14ac:dyDescent="0.2">
      <c r="A1540" s="72"/>
      <c r="B1540" s="76"/>
      <c r="C1540" s="73"/>
      <c r="D1540" s="73" t="s">
        <v>940</v>
      </c>
      <c r="E1540" s="77" t="s">
        <v>93</v>
      </c>
      <c r="F1540" s="75" t="s">
        <v>1618</v>
      </c>
      <c r="G1540" s="75" t="s">
        <v>1130</v>
      </c>
      <c r="H1540" s="69"/>
    </row>
    <row r="1541" spans="1:8" x14ac:dyDescent="0.2">
      <c r="A1541" s="72"/>
      <c r="B1541" s="76"/>
      <c r="C1541" s="73"/>
      <c r="D1541" s="73" t="s">
        <v>940</v>
      </c>
      <c r="E1541" s="77" t="s">
        <v>93</v>
      </c>
      <c r="F1541" s="75" t="s">
        <v>1619</v>
      </c>
      <c r="G1541" s="75" t="s">
        <v>1130</v>
      </c>
      <c r="H1541" s="69"/>
    </row>
    <row r="1542" spans="1:8" x14ac:dyDescent="0.2">
      <c r="A1542" s="72"/>
      <c r="B1542" s="76"/>
      <c r="C1542" s="73"/>
      <c r="D1542" s="73" t="s">
        <v>940</v>
      </c>
      <c r="E1542" s="77" t="s">
        <v>93</v>
      </c>
      <c r="F1542" s="75" t="s">
        <v>1620</v>
      </c>
      <c r="G1542" s="75" t="s">
        <v>1130</v>
      </c>
      <c r="H1542" s="69"/>
    </row>
    <row r="1543" spans="1:8" x14ac:dyDescent="0.2">
      <c r="A1543" s="72"/>
      <c r="B1543" s="76"/>
      <c r="C1543" s="73"/>
      <c r="D1543" s="73" t="s">
        <v>940</v>
      </c>
      <c r="E1543" s="77" t="s">
        <v>93</v>
      </c>
      <c r="F1543" s="75" t="s">
        <v>1574</v>
      </c>
      <c r="G1543" s="75" t="s">
        <v>1131</v>
      </c>
      <c r="H1543" s="69"/>
    </row>
    <row r="1544" spans="1:8" x14ac:dyDescent="0.2">
      <c r="A1544" s="72"/>
      <c r="B1544" s="76"/>
      <c r="C1544" s="73"/>
      <c r="D1544" s="73" t="s">
        <v>940</v>
      </c>
      <c r="E1544" s="77" t="s">
        <v>93</v>
      </c>
      <c r="F1544" s="75" t="s">
        <v>1577</v>
      </c>
      <c r="G1544" s="75" t="s">
        <v>1131</v>
      </c>
      <c r="H1544" s="69"/>
    </row>
    <row r="1545" spans="1:8" x14ac:dyDescent="0.2">
      <c r="A1545" s="72"/>
      <c r="B1545" s="76"/>
      <c r="C1545" s="73"/>
      <c r="D1545" s="73" t="s">
        <v>940</v>
      </c>
      <c r="E1545" s="77" t="s">
        <v>93</v>
      </c>
      <c r="F1545" s="75" t="s">
        <v>1578</v>
      </c>
      <c r="G1545" s="75" t="s">
        <v>1131</v>
      </c>
      <c r="H1545" s="69"/>
    </row>
    <row r="1546" spans="1:8" x14ac:dyDescent="0.2">
      <c r="A1546" s="72"/>
      <c r="B1546" s="76"/>
      <c r="C1546" s="73"/>
      <c r="D1546" s="73" t="s">
        <v>940</v>
      </c>
      <c r="E1546" s="77" t="s">
        <v>93</v>
      </c>
      <c r="F1546" s="75" t="s">
        <v>1579</v>
      </c>
      <c r="G1546" s="75" t="s">
        <v>1131</v>
      </c>
      <c r="H1546" s="69"/>
    </row>
    <row r="1547" spans="1:8" x14ac:dyDescent="0.2">
      <c r="A1547" s="72"/>
      <c r="B1547" s="76"/>
      <c r="C1547" s="73"/>
      <c r="D1547" s="73" t="s">
        <v>940</v>
      </c>
      <c r="E1547" s="77" t="s">
        <v>93</v>
      </c>
      <c r="F1547" s="75" t="s">
        <v>1621</v>
      </c>
      <c r="G1547" s="75" t="s">
        <v>1131</v>
      </c>
      <c r="H1547" s="69"/>
    </row>
    <row r="1548" spans="1:8" x14ac:dyDescent="0.2">
      <c r="A1548" s="72"/>
      <c r="B1548" s="76"/>
      <c r="C1548" s="73"/>
      <c r="D1548" s="73" t="s">
        <v>940</v>
      </c>
      <c r="E1548" s="77" t="s">
        <v>93</v>
      </c>
      <c r="F1548" s="75" t="s">
        <v>1575</v>
      </c>
      <c r="G1548" s="75" t="s">
        <v>1131</v>
      </c>
      <c r="H1548" s="69"/>
    </row>
    <row r="1549" spans="1:8" x14ac:dyDescent="0.2">
      <c r="A1549" s="72"/>
      <c r="B1549" s="76"/>
      <c r="C1549" s="73"/>
      <c r="D1549" s="73" t="s">
        <v>940</v>
      </c>
      <c r="E1549" s="77" t="s">
        <v>93</v>
      </c>
      <c r="F1549" s="75" t="s">
        <v>1576</v>
      </c>
      <c r="G1549" s="75" t="s">
        <v>1131</v>
      </c>
      <c r="H1549" s="69"/>
    </row>
    <row r="1550" spans="1:8" x14ac:dyDescent="0.2">
      <c r="A1550" s="72"/>
      <c r="B1550" s="76"/>
      <c r="C1550" s="73"/>
      <c r="D1550" s="73" t="s">
        <v>940</v>
      </c>
      <c r="E1550" s="77" t="s">
        <v>93</v>
      </c>
      <c r="F1550" s="75" t="s">
        <v>1622</v>
      </c>
      <c r="G1550" s="75" t="s">
        <v>1131</v>
      </c>
      <c r="H1550" s="69"/>
    </row>
    <row r="1551" spans="1:8" x14ac:dyDescent="0.2">
      <c r="A1551" s="72"/>
      <c r="B1551" s="76"/>
      <c r="C1551" s="73"/>
      <c r="D1551" s="73" t="s">
        <v>940</v>
      </c>
      <c r="E1551" s="77" t="s">
        <v>93</v>
      </c>
      <c r="F1551" s="75" t="s">
        <v>1623</v>
      </c>
      <c r="G1551" s="75" t="s">
        <v>1131</v>
      </c>
      <c r="H1551" s="69"/>
    </row>
    <row r="1552" spans="1:8" x14ac:dyDescent="0.2">
      <c r="A1552" s="72"/>
      <c r="B1552" s="76"/>
      <c r="C1552" s="73"/>
      <c r="D1552" s="73" t="s">
        <v>940</v>
      </c>
      <c r="E1552" s="77" t="s">
        <v>93</v>
      </c>
      <c r="F1552" s="75" t="s">
        <v>1624</v>
      </c>
      <c r="G1552" s="75" t="s">
        <v>1131</v>
      </c>
      <c r="H1552" s="69"/>
    </row>
    <row r="1553" spans="1:8" x14ac:dyDescent="0.2">
      <c r="A1553" s="72"/>
      <c r="B1553" s="76"/>
      <c r="C1553" s="73"/>
      <c r="D1553" s="73" t="s">
        <v>940</v>
      </c>
      <c r="E1553" s="77" t="s">
        <v>93</v>
      </c>
      <c r="F1553" s="75" t="s">
        <v>1625</v>
      </c>
      <c r="G1553" s="75" t="s">
        <v>1131</v>
      </c>
      <c r="H1553" s="69"/>
    </row>
    <row r="1554" spans="1:8" ht="16" x14ac:dyDescent="0.2">
      <c r="A1554" s="72"/>
      <c r="B1554" s="84"/>
      <c r="C1554" s="73"/>
      <c r="D1554" s="73" t="s">
        <v>947</v>
      </c>
      <c r="E1554" s="77" t="s">
        <v>109</v>
      </c>
      <c r="F1554" s="75" t="s">
        <v>1639</v>
      </c>
      <c r="G1554" s="74" t="s">
        <v>1141</v>
      </c>
      <c r="H1554" s="69"/>
    </row>
    <row r="1555" spans="1:8" ht="16" x14ac:dyDescent="0.2">
      <c r="A1555" s="72"/>
      <c r="B1555" s="84"/>
      <c r="C1555" s="73"/>
      <c r="D1555" s="73" t="s">
        <v>947</v>
      </c>
      <c r="E1555" s="77" t="s">
        <v>963</v>
      </c>
      <c r="F1555" s="75" t="s">
        <v>1639</v>
      </c>
      <c r="G1555" s="74" t="s">
        <v>1141</v>
      </c>
      <c r="H1555" s="69"/>
    </row>
    <row r="1556" spans="1:8" ht="16" x14ac:dyDescent="0.2">
      <c r="A1556" s="72"/>
      <c r="B1556" s="84"/>
      <c r="C1556" s="73"/>
      <c r="D1556" s="73" t="s">
        <v>947</v>
      </c>
      <c r="E1556" s="77" t="s">
        <v>109</v>
      </c>
      <c r="F1556" s="75" t="s">
        <v>464</v>
      </c>
      <c r="G1556" s="74" t="s">
        <v>1141</v>
      </c>
      <c r="H1556" s="69"/>
    </row>
    <row r="1557" spans="1:8" ht="16" x14ac:dyDescent="0.2">
      <c r="A1557" s="72"/>
      <c r="B1557" s="84"/>
      <c r="C1557" s="73"/>
      <c r="D1557" s="73" t="s">
        <v>947</v>
      </c>
      <c r="E1557" s="77" t="s">
        <v>963</v>
      </c>
      <c r="F1557" s="75" t="s">
        <v>464</v>
      </c>
      <c r="G1557" s="74" t="s">
        <v>1141</v>
      </c>
      <c r="H1557" s="69"/>
    </row>
    <row r="1558" spans="1:8" ht="16" x14ac:dyDescent="0.2">
      <c r="A1558" s="72"/>
      <c r="B1558" s="76"/>
      <c r="C1558" s="73"/>
      <c r="D1558" s="73" t="s">
        <v>956</v>
      </c>
      <c r="E1558" s="77" t="s">
        <v>93</v>
      </c>
      <c r="F1558" s="75" t="s">
        <v>267</v>
      </c>
      <c r="G1558" s="74" t="s">
        <v>601</v>
      </c>
      <c r="H1558" s="69"/>
    </row>
    <row r="1559" spans="1:8" ht="16" x14ac:dyDescent="0.2">
      <c r="A1559" s="72"/>
      <c r="B1559" s="76"/>
      <c r="C1559" s="73"/>
      <c r="D1559" s="73" t="s">
        <v>956</v>
      </c>
      <c r="E1559" s="77" t="s">
        <v>93</v>
      </c>
      <c r="F1559" s="75" t="s">
        <v>260</v>
      </c>
      <c r="G1559" s="74" t="s">
        <v>595</v>
      </c>
      <c r="H1559" s="69"/>
    </row>
    <row r="1560" spans="1:8" ht="16" x14ac:dyDescent="0.2">
      <c r="A1560" s="72"/>
      <c r="B1560" s="76"/>
      <c r="C1560" s="73"/>
      <c r="D1560" s="73" t="s">
        <v>956</v>
      </c>
      <c r="E1560" s="77" t="s">
        <v>93</v>
      </c>
      <c r="F1560" s="75" t="s">
        <v>1225</v>
      </c>
      <c r="G1560" s="74" t="s">
        <v>599</v>
      </c>
      <c r="H1560" s="69"/>
    </row>
    <row r="1561" spans="1:8" ht="16" x14ac:dyDescent="0.2">
      <c r="A1561" s="72"/>
      <c r="B1561" s="76"/>
      <c r="C1561" s="73"/>
      <c r="D1561" s="73" t="s">
        <v>956</v>
      </c>
      <c r="E1561" s="77" t="s">
        <v>93</v>
      </c>
      <c r="F1561" s="75" t="s">
        <v>1225</v>
      </c>
      <c r="G1561" s="74" t="s">
        <v>599</v>
      </c>
      <c r="H1561" s="69"/>
    </row>
    <row r="1562" spans="1:8" ht="16" x14ac:dyDescent="0.2">
      <c r="A1562" s="72"/>
      <c r="B1562" s="84"/>
      <c r="C1562" s="73"/>
      <c r="D1562" s="73" t="s">
        <v>937</v>
      </c>
      <c r="E1562" s="77" t="s">
        <v>93</v>
      </c>
      <c r="F1562" s="75" t="s">
        <v>387</v>
      </c>
      <c r="G1562" s="74" t="s">
        <v>463</v>
      </c>
      <c r="H1562" s="69"/>
    </row>
    <row r="1563" spans="1:8" ht="16" x14ac:dyDescent="0.2">
      <c r="A1563" s="72"/>
      <c r="B1563" s="84"/>
      <c r="C1563" s="73"/>
      <c r="D1563" s="73" t="s">
        <v>937</v>
      </c>
      <c r="E1563" s="77" t="s">
        <v>93</v>
      </c>
      <c r="F1563" s="75" t="s">
        <v>1556</v>
      </c>
      <c r="G1563" s="74" t="s">
        <v>463</v>
      </c>
      <c r="H1563" s="69"/>
    </row>
    <row r="1564" spans="1:8" ht="16" x14ac:dyDescent="0.2">
      <c r="A1564" s="72"/>
      <c r="B1564" s="84"/>
      <c r="C1564" s="73"/>
      <c r="D1564" s="73" t="s">
        <v>937</v>
      </c>
      <c r="E1564" s="77" t="s">
        <v>93</v>
      </c>
      <c r="F1564" s="75" t="s">
        <v>1607</v>
      </c>
      <c r="G1564" s="74" t="s">
        <v>463</v>
      </c>
      <c r="H1564" s="69"/>
    </row>
    <row r="1565" spans="1:8" ht="16" x14ac:dyDescent="0.2">
      <c r="A1565" s="72"/>
      <c r="B1565" s="84"/>
      <c r="C1565" s="73"/>
      <c r="D1565" s="73" t="s">
        <v>937</v>
      </c>
      <c r="E1565" s="77" t="s">
        <v>93</v>
      </c>
      <c r="F1565" s="75" t="s">
        <v>1557</v>
      </c>
      <c r="G1565" s="74" t="s">
        <v>463</v>
      </c>
      <c r="H1565" s="69"/>
    </row>
    <row r="1566" spans="1:8" ht="16" x14ac:dyDescent="0.2">
      <c r="A1566" s="72"/>
      <c r="B1566" s="84"/>
      <c r="C1566" s="73"/>
      <c r="D1566" s="73" t="s">
        <v>937</v>
      </c>
      <c r="E1566" s="77" t="s">
        <v>93</v>
      </c>
      <c r="F1566" s="75" t="s">
        <v>1559</v>
      </c>
      <c r="G1566" s="74" t="s">
        <v>463</v>
      </c>
      <c r="H1566" s="69"/>
    </row>
    <row r="1567" spans="1:8" ht="16" x14ac:dyDescent="0.2">
      <c r="A1567" s="72"/>
      <c r="B1567" s="84"/>
      <c r="C1567" s="73"/>
      <c r="D1567" s="73" t="s">
        <v>937</v>
      </c>
      <c r="E1567" s="77" t="s">
        <v>93</v>
      </c>
      <c r="F1567" s="75" t="s">
        <v>1560</v>
      </c>
      <c r="G1567" s="74" t="s">
        <v>463</v>
      </c>
      <c r="H1567" s="69"/>
    </row>
    <row r="1568" spans="1:8" ht="16" x14ac:dyDescent="0.2">
      <c r="A1568" s="72"/>
      <c r="B1568" s="84"/>
      <c r="C1568" s="73"/>
      <c r="D1568" s="73" t="s">
        <v>937</v>
      </c>
      <c r="E1568" s="77" t="s">
        <v>93</v>
      </c>
      <c r="F1568" s="75" t="s">
        <v>1605</v>
      </c>
      <c r="G1568" s="74" t="s">
        <v>463</v>
      </c>
      <c r="H1568" s="69"/>
    </row>
    <row r="1569" spans="1:8" ht="16" x14ac:dyDescent="0.2">
      <c r="A1569" s="72"/>
      <c r="B1569" s="84"/>
      <c r="C1569" s="73"/>
      <c r="D1569" s="73" t="s">
        <v>937</v>
      </c>
      <c r="E1569" s="77" t="s">
        <v>93</v>
      </c>
      <c r="F1569" s="75" t="s">
        <v>1606</v>
      </c>
      <c r="G1569" s="74" t="s">
        <v>463</v>
      </c>
      <c r="H1569" s="69"/>
    </row>
    <row r="1570" spans="1:8" ht="16" x14ac:dyDescent="0.2">
      <c r="A1570" s="72"/>
      <c r="B1570" s="84"/>
      <c r="C1570" s="73"/>
      <c r="D1570" s="73" t="s">
        <v>937</v>
      </c>
      <c r="E1570" s="77" t="s">
        <v>93</v>
      </c>
      <c r="F1570" s="75" t="s">
        <v>1641</v>
      </c>
      <c r="G1570" s="74" t="s">
        <v>463</v>
      </c>
      <c r="H1570" s="69"/>
    </row>
    <row r="1571" spans="1:8" ht="16" x14ac:dyDescent="0.2">
      <c r="A1571" s="72"/>
      <c r="B1571" s="84"/>
      <c r="C1571" s="73"/>
      <c r="D1571" s="73" t="s">
        <v>937</v>
      </c>
      <c r="E1571" s="77" t="s">
        <v>93</v>
      </c>
      <c r="F1571" s="75" t="s">
        <v>1642</v>
      </c>
      <c r="G1571" s="74" t="s">
        <v>172</v>
      </c>
      <c r="H1571" s="69"/>
    </row>
    <row r="1572" spans="1:8" ht="16" x14ac:dyDescent="0.2">
      <c r="A1572" s="72"/>
      <c r="B1572" s="84"/>
      <c r="C1572" s="90"/>
      <c r="D1572" s="90" t="s">
        <v>937</v>
      </c>
      <c r="E1572" s="77" t="s">
        <v>93</v>
      </c>
      <c r="F1572" s="75" t="s">
        <v>1643</v>
      </c>
      <c r="G1572" s="74" t="s">
        <v>172</v>
      </c>
      <c r="H1572" s="69"/>
    </row>
    <row r="1573" spans="1:8" ht="16" x14ac:dyDescent="0.2">
      <c r="A1573" s="72"/>
      <c r="B1573" s="84"/>
      <c r="C1573" s="73"/>
      <c r="D1573" s="73" t="s">
        <v>937</v>
      </c>
      <c r="E1573" s="77" t="s">
        <v>93</v>
      </c>
      <c r="F1573" s="75" t="s">
        <v>1644</v>
      </c>
      <c r="G1573" s="74" t="s">
        <v>172</v>
      </c>
      <c r="H1573" s="69"/>
    </row>
    <row r="1574" spans="1:8" ht="16" x14ac:dyDescent="0.2">
      <c r="A1574" s="72"/>
      <c r="B1574" s="84"/>
      <c r="C1574" s="90"/>
      <c r="D1574" s="90" t="s">
        <v>937</v>
      </c>
      <c r="E1574" s="77" t="s">
        <v>93</v>
      </c>
      <c r="F1574" s="75" t="s">
        <v>1645</v>
      </c>
      <c r="G1574" s="74" t="s">
        <v>172</v>
      </c>
      <c r="H1574" s="69"/>
    </row>
    <row r="1575" spans="1:8" ht="16" x14ac:dyDescent="0.2">
      <c r="A1575" s="72"/>
      <c r="B1575" s="76"/>
      <c r="C1575" s="90"/>
      <c r="D1575" s="90" t="s">
        <v>1646</v>
      </c>
      <c r="E1575" s="77" t="s">
        <v>93</v>
      </c>
      <c r="F1575" s="75" t="s">
        <v>130</v>
      </c>
      <c r="G1575" s="74" t="s">
        <v>1205</v>
      </c>
      <c r="H1575" s="69"/>
    </row>
    <row r="1576" spans="1:8" ht="16" x14ac:dyDescent="0.2">
      <c r="A1576" s="72"/>
      <c r="B1576" s="76"/>
      <c r="C1576" s="90"/>
      <c r="D1576" s="90" t="s">
        <v>1647</v>
      </c>
      <c r="E1576" s="77" t="s">
        <v>109</v>
      </c>
      <c r="F1576" s="75" t="s">
        <v>328</v>
      </c>
      <c r="G1576" s="74" t="s">
        <v>1221</v>
      </c>
      <c r="H1576" s="69"/>
    </row>
    <row r="1577" spans="1:8" ht="16" x14ac:dyDescent="0.2">
      <c r="A1577" s="72"/>
      <c r="B1577" s="76"/>
      <c r="C1577" s="90"/>
      <c r="D1577" s="90" t="s">
        <v>1647</v>
      </c>
      <c r="E1577" s="77" t="s">
        <v>963</v>
      </c>
      <c r="F1577" s="75" t="s">
        <v>328</v>
      </c>
      <c r="G1577" s="74" t="s">
        <v>1221</v>
      </c>
      <c r="H1577" s="69"/>
    </row>
    <row r="1578" spans="1:8" ht="16" x14ac:dyDescent="0.2">
      <c r="A1578" s="72"/>
      <c r="B1578" s="76"/>
      <c r="C1578" s="90"/>
      <c r="D1578" s="90" t="s">
        <v>1647</v>
      </c>
      <c r="E1578" s="77" t="s">
        <v>93</v>
      </c>
      <c r="F1578" s="75" t="s">
        <v>328</v>
      </c>
      <c r="G1578" s="74" t="s">
        <v>1221</v>
      </c>
      <c r="H1578" s="69"/>
    </row>
    <row r="1579" spans="1:8" ht="16" x14ac:dyDescent="0.2">
      <c r="A1579" s="72"/>
      <c r="B1579" s="76"/>
      <c r="C1579" s="90"/>
      <c r="D1579" s="90" t="s">
        <v>1647</v>
      </c>
      <c r="E1579" s="77" t="s">
        <v>109</v>
      </c>
      <c r="F1579" s="75" t="s">
        <v>247</v>
      </c>
      <c r="G1579" s="74" t="s">
        <v>1221</v>
      </c>
      <c r="H1579" s="69"/>
    </row>
    <row r="1580" spans="1:8" ht="16" x14ac:dyDescent="0.2">
      <c r="A1580" s="72"/>
      <c r="B1580" s="76"/>
      <c r="C1580" s="90"/>
      <c r="D1580" s="90" t="s">
        <v>1647</v>
      </c>
      <c r="E1580" s="77" t="s">
        <v>963</v>
      </c>
      <c r="F1580" s="75" t="s">
        <v>247</v>
      </c>
      <c r="G1580" s="74" t="s">
        <v>1221</v>
      </c>
      <c r="H1580" s="69"/>
    </row>
    <row r="1581" spans="1:8" ht="16" x14ac:dyDescent="0.2">
      <c r="A1581" s="91"/>
      <c r="B1581" s="94"/>
      <c r="C1581" s="73"/>
      <c r="D1581" s="73" t="s">
        <v>1647</v>
      </c>
      <c r="E1581" s="95" t="s">
        <v>93</v>
      </c>
      <c r="F1581" s="93" t="s">
        <v>247</v>
      </c>
      <c r="G1581" s="92" t="s">
        <v>1221</v>
      </c>
      <c r="H1581" s="69"/>
    </row>
  </sheetData>
  <dataValidations disablePrompts="1" count="1">
    <dataValidation type="list" allowBlank="1" showInputMessage="1" showErrorMessage="1" sqref="A1:B1" xr:uid="{8475E18A-5035-8248-8B3E-EB1DA588A80F}">
      <formula1>$G:$G</formula1>
    </dataValidation>
  </dataValidation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AA398-8A39-3A4D-884C-3DC5EC6AB479}">
  <sheetPr codeName="Hoja9"/>
  <dimension ref="A1:G700"/>
  <sheetViews>
    <sheetView workbookViewId="0">
      <selection activeCell="B700" sqref="B700"/>
    </sheetView>
  </sheetViews>
  <sheetFormatPr baseColWidth="10" defaultRowHeight="15" x14ac:dyDescent="0.2"/>
  <cols>
    <col min="1" max="1" width="43.5" style="69" bestFit="1" customWidth="1"/>
    <col min="2" max="2" width="22" style="69" bestFit="1" customWidth="1"/>
    <col min="3" max="16384" width="10.83203125" style="69"/>
  </cols>
  <sheetData>
    <row r="1" spans="1:7" x14ac:dyDescent="0.2">
      <c r="A1" s="96" t="s">
        <v>1648</v>
      </c>
      <c r="B1" s="96" t="s">
        <v>1649</v>
      </c>
      <c r="D1" s="107" t="s">
        <v>1355</v>
      </c>
      <c r="E1" s="97" t="s">
        <v>1764</v>
      </c>
      <c r="F1" s="97" t="s">
        <v>1765</v>
      </c>
      <c r="G1" s="97" t="s">
        <v>1766</v>
      </c>
    </row>
    <row r="2" spans="1:7" x14ac:dyDescent="0.2">
      <c r="A2" s="111" t="s">
        <v>966</v>
      </c>
      <c r="B2" s="69" t="s">
        <v>461</v>
      </c>
      <c r="D2" s="108">
        <v>7</v>
      </c>
      <c r="E2" s="69" t="str" cm="1">
        <f t="array" ref="E2">_xlfn.TEXTJOIN(" + ",TRUE,IF(OR(TRIM(INDEX(Upload!$P:$P,$D$2))="",LOWER(TRIM(INDEX(Upload!$P:$P,$D$2)))="(seleccione)"),"",PROPER(TRIM(INDEX(Upload!$P:$P,$D$2)))),IF(OR(TRIM(INDEX(Upload!$Q:$Q,$D$2))="",LOWER(TRIM(INDEX(Upload!$Q:$Q,$D$2)))="(seleccione)"),"",PROPER(TRIM(INDEX(Upload!$Q:$Q,$D$2)))),IF(OR(TRIM(INDEX(Upload!$R:$R,$D$2))="",LOWER(TRIM(INDEX(Upload!$R:$R,$D$2)))="(seleccione)"),"",PROPER(TRIM(INDEX(Upload!$R:$R,$D$2)))),IF(OR(TRIM(INDEX(Upload!$S:$S,$D$2))="",LOWER(TRIM(INDEX(Upload!$S:$S,$D$2)))="(seleccione)"),"",PROPER(TRIM(INDEX(Upload!$S:$S,$D$2)))))</f>
        <v>Etiqueta 1 + Etiqueta 2 + Etiqueta 3 + Etiqueta 4</v>
      </c>
      <c r="F2" s="69" t="str">
        <f>_xlfn.LET(_xlpm.t,E2,_xlpm.p,IF(ISNUMBER(SEARCH("Plata",_xlpm.t)),"Plata",""),_xlpm.n,IF(ISNUMBER(SEARCH("Níquel",_xlpm.t)),"Níquel",""),_xlpm.e,IF(ISNUMBER(SEARCH("Estaño",_xlpm.t)),"Estaño",""),_xlpm.z,IF(ISNUMBER(SEARCH("Zinc",_xlpm.t)),"Zinc",""),_xlpm.x,IF(ISNUMBER(SEARCH("Epóxico",_xlpm.t)),"Epóxico",""),_xlpm.r,_xlfn.TEXTJOIN("+",TRUE,_xlpm.p,_xlpm.n,_xlpm.e,_xlpm.z,_xlpm.x),IF(_xlpm.r="","Otros",_xlpm.r))</f>
        <v>Otros</v>
      </c>
      <c r="G2" s="69" t="str" cm="1">
        <f t="array" ref="G2:G61">IFERROR(_xlfn._xlws.FILTER($A$2:$A$197,($B$2:$B$197&lt;&gt;"")*(IF(F2="Otros",$B$2:$B$197="Otros",ISNUMBER(SEARCH($B$2:$B$197,F2))))),"(sin matches)")</f>
        <v>-</v>
      </c>
    </row>
    <row r="3" spans="1:7" x14ac:dyDescent="0.2">
      <c r="A3" s="111" t="s">
        <v>966</v>
      </c>
      <c r="B3" s="69" t="s">
        <v>1785</v>
      </c>
      <c r="G3" s="69" t="str">
        <v>1.28.003 (Pavonado)</v>
      </c>
    </row>
    <row r="4" spans="1:7" x14ac:dyDescent="0.2">
      <c r="A4" s="111" t="s">
        <v>966</v>
      </c>
      <c r="B4" s="69" t="s">
        <v>732</v>
      </c>
      <c r="G4" s="69" t="str">
        <v>48053-001-01 (Deshidrogenado / Endurecido) | 176 - 204 °C (375 ± 25 °F) | 302 - 329 °C (600 ± 25 °F) | &gt;= 0.5 hrs.</v>
      </c>
    </row>
    <row r="5" spans="1:7" x14ac:dyDescent="0.2">
      <c r="A5" s="111" t="s">
        <v>966</v>
      </c>
      <c r="B5" s="69" t="s">
        <v>387</v>
      </c>
      <c r="G5" s="69" t="str">
        <v>48053-001-01 (Deshidrogenado / Endurecido) | 176 - 204 °C (375 ± 25 °F) | 302 - 329 °C (600 ± 25 °F) | &gt;= 1 hrs.</v>
      </c>
    </row>
    <row r="6" spans="1:7" x14ac:dyDescent="0.2">
      <c r="A6" s="111" t="s">
        <v>966</v>
      </c>
      <c r="B6" s="69" t="s">
        <v>276</v>
      </c>
      <c r="G6" s="69" t="str">
        <v>48053-001-01 (Deshidrogenado / Endurecido) | 176 - 204 °C (375 ± 25 °F) | 302 - 329 °C (600 ± 25 °F) | &gt;= 10 hrs.</v>
      </c>
    </row>
    <row r="7" spans="1:7" x14ac:dyDescent="0.2">
      <c r="A7" s="111" t="s">
        <v>966</v>
      </c>
      <c r="B7" s="69" t="s">
        <v>1640</v>
      </c>
      <c r="G7" s="69" t="str">
        <v>48053-001-01 (Deshidrogenado / Endurecido) | 176 - 204 °C (375 ± 25 °F) | 302 - 329 °C (600 ± 25 °F) | &gt;= 14 hrs.</v>
      </c>
    </row>
    <row r="8" spans="1:7" x14ac:dyDescent="0.2">
      <c r="A8" s="111" t="s">
        <v>966</v>
      </c>
      <c r="B8" s="69" t="s">
        <v>1786</v>
      </c>
      <c r="G8" s="69" t="str">
        <v>48053-001-01 (Deshidrogenado / Endurecido) | 176 - 204 °C (375 ± 25 °F) | 302 - 329 °C (600 ± 25 °F) | &gt;= 2 hrs.</v>
      </c>
    </row>
    <row r="9" spans="1:7" x14ac:dyDescent="0.2">
      <c r="A9" s="69" t="str">
        <f>Listas!E4</f>
        <v>1.28.001 (Zinc Negro Azul) | 3.81 - 11.43 µm</v>
      </c>
      <c r="B9" s="69" t="str">
        <f>IF(OR(A9="",A9=0),"",_xlfn.LET(_xlpm.t,A9&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Zinc</v>
      </c>
      <c r="G9" s="69" t="str">
        <v>48053-001-01 (Deshidrogenado / Endurecido) | 176 - 204 °C (375 ± 25 °F) | 302 - 329 °C (600 ± 25 °F) | &gt;= 20 hrs.</v>
      </c>
    </row>
    <row r="10" spans="1:7" x14ac:dyDescent="0.2">
      <c r="A10" s="69" t="str">
        <f>Listas!E5</f>
        <v>1.28.003 (Pavonado)</v>
      </c>
      <c r="B10" s="69" t="str">
        <f t="shared" ref="B10:B73" si="0">IF(OR(A10="",A10=0),"",_xlfn.LET(_xlpm.t,A10&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Otros</v>
      </c>
      <c r="G10" s="69" t="str">
        <v>48053-001-01 (Deshidrogenado / Endurecido) | 176 - 204 °C (375 ± 25 °F) | 302 - 329 °C (600 ± 25 °F) | &gt;= 24 hrs.</v>
      </c>
    </row>
    <row r="11" spans="1:7" x14ac:dyDescent="0.2">
      <c r="A11" s="69" t="str">
        <f>Listas!E6</f>
        <v>1.28.031 (Zinc) | 3.81 - 11.43 µm</v>
      </c>
      <c r="B11" s="69" t="str">
        <f t="shared" si="0"/>
        <v>Zinc</v>
      </c>
      <c r="G11" s="69" t="str">
        <v>48053-001-01 (Deshidrogenado / Endurecido) | 176 - 204 °C (375 ± 25 °F) | 302 - 329 °C (600 ± 25 °F) | &gt;= 3 hrs.</v>
      </c>
    </row>
    <row r="12" spans="1:7" x14ac:dyDescent="0.2">
      <c r="A12" s="69" t="str">
        <f>Listas!E7</f>
        <v>1.28.032 (Níquel) | 2.54 - 7.62 µm</v>
      </c>
      <c r="B12" s="69" t="str">
        <f t="shared" si="0"/>
        <v>Níquel</v>
      </c>
      <c r="G12" s="69" t="str">
        <v>48053-001-01 (Deshidrogenado / Endurecido) | 176 - 204 °C (375 ± 25 °F) | 302 - 329 °C (600 ± 25 °F) | &gt;= 4 hrs.</v>
      </c>
    </row>
    <row r="13" spans="1:7" x14ac:dyDescent="0.2">
      <c r="A13" s="69" t="str">
        <f>Listas!E8</f>
        <v>1.28.032 (Níquel) | 5.08 - 8.89 µm</v>
      </c>
      <c r="B13" s="69" t="str">
        <f t="shared" si="0"/>
        <v>Níquel</v>
      </c>
      <c r="G13" s="69" t="str">
        <v>48053-001-01 (Deshidrogenado / Endurecido) | 176 - 204 °C (375 ± 25 °F) | 302 - 329 °C (600 ± 25 °F) | &gt;= 5 hrs.</v>
      </c>
    </row>
    <row r="14" spans="1:7" x14ac:dyDescent="0.2">
      <c r="A14" s="69" t="str">
        <f>Listas!E9</f>
        <v>1.28.032 (Níquel) | 7.62 - 15.24 µm</v>
      </c>
      <c r="B14" s="69" t="str">
        <f t="shared" si="0"/>
        <v>Níquel</v>
      </c>
      <c r="G14" s="69" t="str">
        <v>48053-001-01 (Deshidrogenado / Endurecido) | 176 - 204 °C (375 ± 25 °F) | 302 - 329 °C (600 ± 25 °F) | &gt;= 6 hrs.</v>
      </c>
    </row>
    <row r="15" spans="1:7" x14ac:dyDescent="0.2">
      <c r="A15" s="69" t="str">
        <f>Listas!E10</f>
        <v>1.28.037 (Zinc Cromato Tropicalizado) | 3.81 - 5.08 µm</v>
      </c>
      <c r="B15" s="69" t="str">
        <f t="shared" si="0"/>
        <v>Zinc</v>
      </c>
      <c r="G15" s="69" t="str">
        <v>48053-001-01 (Deshidrogenado / Endurecido) | 176 - 204 °C (375 ± 25 °F) | 302 - 329 °C (600 ± 25 °F) | &gt;= 8 hrs.</v>
      </c>
    </row>
    <row r="16" spans="1:7" x14ac:dyDescent="0.2">
      <c r="A16" s="69" t="str">
        <f>Listas!E11</f>
        <v>1.28.037 (Zinc Cromato Tropicalizado) | 5.08 - 10.16 µm</v>
      </c>
      <c r="B16" s="69" t="str">
        <f t="shared" si="0"/>
        <v>Zinc</v>
      </c>
      <c r="G16" s="69" t="str">
        <v>48053-001-01 (Deshidrogenado / Endurecido) | 176 - 204 °C (375 ± 25 °F) | No aplica | &gt;= 0.5 hrs.</v>
      </c>
    </row>
    <row r="17" spans="1:7" x14ac:dyDescent="0.2">
      <c r="A17" s="69" t="str">
        <f>Listas!E12</f>
        <v>1.28.037 (Zinc Cromato Tropicalizado) | 5.08 - 8.89 µm</v>
      </c>
      <c r="B17" s="69" t="str">
        <f t="shared" si="0"/>
        <v>Zinc</v>
      </c>
      <c r="G17" s="69" t="str">
        <v>48053-001-01 (Deshidrogenado / Endurecido) | 176 - 204 °C (375 ± 25 °F) | No aplica | &gt;= 1 hrs.</v>
      </c>
    </row>
    <row r="18" spans="1:7" x14ac:dyDescent="0.2">
      <c r="A18" s="69" t="str">
        <f>Listas!E13</f>
        <v>1.28.041 (Níquel Electroless) | 5 - 10 µm</v>
      </c>
      <c r="B18" s="69" t="str">
        <f t="shared" si="0"/>
        <v>Níquel</v>
      </c>
      <c r="G18" s="69" t="str">
        <v>48053-001-01 (Deshidrogenado / Endurecido) | 176 - 204 °C (375 ± 25 °F) | No aplica | &gt;= 10 hrs.</v>
      </c>
    </row>
    <row r="19" spans="1:7" x14ac:dyDescent="0.2">
      <c r="A19" s="69" t="str">
        <f>Listas!E14</f>
        <v>40001-050-01 (Plata Flash) | 0.508 - 0.762 µm</v>
      </c>
      <c r="B19" s="69" t="str">
        <f t="shared" si="0"/>
        <v>Plata</v>
      </c>
      <c r="G19" s="69" t="str">
        <v>48053-001-01 (Deshidrogenado / Endurecido) | 176 - 204 °C (375 ± 25 °F) | No aplica | &gt;= 14 hrs.</v>
      </c>
    </row>
    <row r="20" spans="1:7" x14ac:dyDescent="0.2">
      <c r="A20" s="69" t="str">
        <f>Listas!E15</f>
        <v>40001-050-01 (Plata Flash) | 0.508 - 1.016 µm</v>
      </c>
      <c r="B20" s="69" t="str">
        <f t="shared" si="0"/>
        <v>Plata</v>
      </c>
      <c r="G20" s="69" t="str">
        <v>48053-001-01 (Deshidrogenado / Endurecido) | 176 - 204 °C (375 ± 25 °F) | No aplica | &gt;= 2 hrs.</v>
      </c>
    </row>
    <row r="21" spans="1:7" x14ac:dyDescent="0.2">
      <c r="A21" s="69" t="str">
        <f>Listas!E16</f>
        <v>40001-053-02 (Estaño) | 5.08 - 10.16 µm</v>
      </c>
      <c r="B21" s="69" t="str">
        <f t="shared" si="0"/>
        <v>Estaño</v>
      </c>
      <c r="G21" s="69" t="str">
        <v>48053-001-01 (Deshidrogenado / Endurecido) | 176 - 204 °C (375 ± 25 °F) | No aplica | &gt;= 20 hrs.</v>
      </c>
    </row>
    <row r="22" spans="1:7" x14ac:dyDescent="0.2">
      <c r="A22" s="69" t="str">
        <f>Listas!E17</f>
        <v>40004-014-01 (Estaño) | 5 - 10 µm | 0.5 - 1.0 µm</v>
      </c>
      <c r="B22" s="69" t="str">
        <f t="shared" si="0"/>
        <v>Estaño</v>
      </c>
      <c r="G22" s="69" t="str">
        <v>48053-001-01 (Deshidrogenado / Endurecido) | 176 - 204 °C (375 ± 25 °F) | No aplica | &gt;= 24 hrs.</v>
      </c>
    </row>
    <row r="23" spans="1:7" x14ac:dyDescent="0.2">
      <c r="A23" s="69" t="str">
        <f>Listas!E18</f>
        <v>40004-014-01 (Estaño) | 5 - 10 µm | No aplica</v>
      </c>
      <c r="B23" s="69" t="str">
        <f t="shared" si="0"/>
        <v>Estaño</v>
      </c>
      <c r="G23" s="69" t="str">
        <v>48053-001-01 (Deshidrogenado / Endurecido) | 176 - 204 °C (375 ± 25 °F) | No aplica | &gt;= 3 hrs.</v>
      </c>
    </row>
    <row r="24" spans="1:7" x14ac:dyDescent="0.2">
      <c r="A24" s="69" t="str">
        <f>Listas!E19</f>
        <v>40004-014-01 (Estaño) | 5 - 8 µm | 0.5 - 1.0 µm</v>
      </c>
      <c r="B24" s="69" t="str">
        <f t="shared" si="0"/>
        <v>Estaño</v>
      </c>
      <c r="G24" s="69" t="str">
        <v>48053-001-01 (Deshidrogenado / Endurecido) | 176 - 204 °C (375 ± 25 °F) | No aplica | &gt;= 4 hrs.</v>
      </c>
    </row>
    <row r="25" spans="1:7" x14ac:dyDescent="0.2">
      <c r="A25" s="69" t="str">
        <f>Listas!E20</f>
        <v>40004-014-01 (Estaño) | 5 - 8 µm | No aplica</v>
      </c>
      <c r="B25" s="69" t="str">
        <f t="shared" si="0"/>
        <v>Estaño</v>
      </c>
      <c r="G25" s="69" t="str">
        <v>48053-001-01 (Deshidrogenado / Endurecido) | 176 - 204 °C (375 ± 25 °F) | No aplica | &gt;= 5 hrs.</v>
      </c>
    </row>
    <row r="26" spans="1:7" x14ac:dyDescent="0.2">
      <c r="A26" s="69" t="str">
        <f>Listas!E21</f>
        <v>40004-015-01 (Estaño) | 5 - 10 µm | 0.5 - 1.0 µm</v>
      </c>
      <c r="B26" s="69" t="str">
        <f t="shared" si="0"/>
        <v>Estaño</v>
      </c>
      <c r="G26" s="69" t="str">
        <v>48053-001-01 (Deshidrogenado / Endurecido) | 176 - 204 °C (375 ± 25 °F) | No aplica | &gt;= 6 hrs.</v>
      </c>
    </row>
    <row r="27" spans="1:7" x14ac:dyDescent="0.2">
      <c r="A27" s="69" t="str">
        <f>Listas!E22</f>
        <v>40004-015-01 (Estaño) | 5 - 10 µm | No aplica</v>
      </c>
      <c r="B27" s="69" t="str">
        <f t="shared" si="0"/>
        <v>Estaño</v>
      </c>
      <c r="G27" s="69" t="str">
        <v>48053-001-01 (Deshidrogenado / Endurecido) | 176 - 204 °C (375 ± 25 °F) | No aplica | &gt;= 8 hrs.</v>
      </c>
    </row>
    <row r="28" spans="1:7" x14ac:dyDescent="0.2">
      <c r="A28" s="69" t="str">
        <f>Listas!E23</f>
        <v>40004-015-01 (Estaño) | 5 - 8 µm | 0.5 - 1.0 µm</v>
      </c>
      <c r="B28" s="69" t="str">
        <f t="shared" si="0"/>
        <v>Estaño</v>
      </c>
      <c r="G28" s="69" t="str">
        <v>48053-001-01 (Deshidrogenado / Endurecido) | No aplica | 302 - 329 °C (600 ± 25 °F) | &gt;= 0.5 hrs.</v>
      </c>
    </row>
    <row r="29" spans="1:7" x14ac:dyDescent="0.2">
      <c r="A29" s="69" t="str">
        <f>Listas!E24</f>
        <v>40004-015-01 (Estaño) | 5 - 8 µm | No aplica</v>
      </c>
      <c r="B29" s="69" t="str">
        <f t="shared" si="0"/>
        <v>Estaño</v>
      </c>
      <c r="G29" s="69" t="str">
        <v>48053-001-01 (Deshidrogenado / Endurecido) | No aplica | 302 - 329 °C (600 ± 25 °F) | &gt;= 1 hrs.</v>
      </c>
    </row>
    <row r="30" spans="1:7" x14ac:dyDescent="0.2">
      <c r="A30" s="69" t="str">
        <f>Listas!E25</f>
        <v>40004-017-01 (Zinc) | 12.19 - 15.49 µm</v>
      </c>
      <c r="B30" s="69" t="str">
        <f t="shared" si="0"/>
        <v>Zinc</v>
      </c>
      <c r="G30" s="69" t="str">
        <v>48053-001-01 (Deshidrogenado / Endurecido) | No aplica | 302 - 329 °C (600 ± 25 °F) | &gt;= 10 hrs.</v>
      </c>
    </row>
    <row r="31" spans="1:7" x14ac:dyDescent="0.2">
      <c r="A31" s="69" t="str">
        <f>Listas!E26</f>
        <v>40004-017-01 (Zinc) | 15.49 - 20 µm</v>
      </c>
      <c r="B31" s="69" t="str">
        <f t="shared" si="0"/>
        <v>Zinc</v>
      </c>
      <c r="G31" s="69" t="str">
        <v>48053-001-01 (Deshidrogenado / Endurecido) | No aplica | 302 - 329 °C (600 ± 25 °F) | &gt;= 14 hrs.</v>
      </c>
    </row>
    <row r="32" spans="1:7" x14ac:dyDescent="0.2">
      <c r="A32" s="69" t="str">
        <f>Listas!E27</f>
        <v>40004-017-01 (Zinc) | 2.54 - 4.44 µm</v>
      </c>
      <c r="B32" s="69" t="str">
        <f t="shared" si="0"/>
        <v>Zinc</v>
      </c>
      <c r="G32" s="69" t="str">
        <v>48053-001-01 (Deshidrogenado / Endurecido) | No aplica | 302 - 329 °C (600 ± 25 °F) | &gt;= 2 hrs.</v>
      </c>
    </row>
    <row r="33" spans="1:7" x14ac:dyDescent="0.2">
      <c r="A33" s="69" t="str">
        <f>Listas!E28</f>
        <v>40004-017-01 (Zinc) | 2.54 - 6.35 µm</v>
      </c>
      <c r="B33" s="69" t="str">
        <f t="shared" si="0"/>
        <v>Zinc</v>
      </c>
      <c r="G33" s="69" t="str">
        <v>48053-001-01 (Deshidrogenado / Endurecido) | No aplica | 302 - 329 °C (600 ± 25 °F) | &gt;= 20 hrs.</v>
      </c>
    </row>
    <row r="34" spans="1:7" x14ac:dyDescent="0.2">
      <c r="A34" s="69" t="str">
        <f>Listas!E29</f>
        <v>40004-017-01 (Zinc) | 4.44 - 6.35 µm</v>
      </c>
      <c r="B34" s="69" t="str">
        <f t="shared" si="0"/>
        <v>Zinc</v>
      </c>
      <c r="G34" s="69" t="str">
        <v>48053-001-01 (Deshidrogenado / Endurecido) | No aplica | 302 - 329 °C (600 ± 25 °F) | &gt;= 24 hrs.</v>
      </c>
    </row>
    <row r="35" spans="1:7" x14ac:dyDescent="0.2">
      <c r="A35" s="69" t="str">
        <f>Listas!E30</f>
        <v>40004-017-01 (Zinc) | 5 - 8 µm</v>
      </c>
      <c r="B35" s="69" t="str">
        <f t="shared" si="0"/>
        <v>Zinc</v>
      </c>
      <c r="G35" s="69" t="str">
        <v>48053-001-01 (Deshidrogenado / Endurecido) | No aplica | 302 - 329 °C (600 ± 25 °F) | &gt;= 3 hrs.</v>
      </c>
    </row>
    <row r="36" spans="1:7" x14ac:dyDescent="0.2">
      <c r="A36" s="69" t="str">
        <f>Listas!E31</f>
        <v>40004-017-01 (Zinc) | 6.35 - 10.16 µm</v>
      </c>
      <c r="B36" s="69" t="str">
        <f t="shared" si="0"/>
        <v>Zinc</v>
      </c>
      <c r="G36" s="69" t="str">
        <v>48053-001-01 (Deshidrogenado / Endurecido) | No aplica | 302 - 329 °C (600 ± 25 °F) | &gt;= 4 hrs.</v>
      </c>
    </row>
    <row r="37" spans="1:7" x14ac:dyDescent="0.2">
      <c r="A37" s="69" t="str">
        <f>Listas!E32</f>
        <v>40004-017-01 (Zinc) | 8- 12.19 µm</v>
      </c>
      <c r="B37" s="69" t="str">
        <f t="shared" si="0"/>
        <v>Zinc</v>
      </c>
      <c r="G37" s="69" t="str">
        <v>48053-001-01 (Deshidrogenado / Endurecido) | No aplica | 302 - 329 °C (600 ± 25 °F) | &gt;= 5 hrs.</v>
      </c>
    </row>
    <row r="38" spans="1:7" x14ac:dyDescent="0.2">
      <c r="A38" s="69" t="str">
        <f>Listas!E33</f>
        <v>40004-022-01 (Estaño) | 5 - 10 µm | 0.5 - 1.0 µm</v>
      </c>
      <c r="B38" s="69" t="str">
        <f t="shared" si="0"/>
        <v>Estaño</v>
      </c>
      <c r="G38" s="69" t="str">
        <v>48053-001-01 (Deshidrogenado / Endurecido) | No aplica | 302 - 329 °C (600 ± 25 °F) | &gt;= 6 hrs.</v>
      </c>
    </row>
    <row r="39" spans="1:7" x14ac:dyDescent="0.2">
      <c r="A39" s="69" t="str">
        <f>Listas!E34</f>
        <v>40004-022-01 (Estaño) | 5 - 10 µm | No aplica</v>
      </c>
      <c r="B39" s="69" t="str">
        <f t="shared" si="0"/>
        <v>Estaño</v>
      </c>
      <c r="G39" s="69" t="str">
        <v>48053-001-01 (Deshidrogenado / Endurecido) | No aplica | 302 - 329 °C (600 ± 25 °F) | &gt;= 8 hrs.</v>
      </c>
    </row>
    <row r="40" spans="1:7" x14ac:dyDescent="0.2">
      <c r="A40" s="69" t="str">
        <f>Listas!E35</f>
        <v>40004-022-01 (Estaño) | 5 - 8 µm | 0.5 - 1.0 µm</v>
      </c>
      <c r="B40" s="69" t="str">
        <f t="shared" si="0"/>
        <v>Estaño</v>
      </c>
      <c r="G40" s="69" t="str">
        <v>48053-001-01 (Deshidrogenado / Endurecido) | No aplica | No aplica | &gt;= 0.5 hrs.</v>
      </c>
    </row>
    <row r="41" spans="1:7" x14ac:dyDescent="0.2">
      <c r="A41" s="69" t="str">
        <f>Listas!E36</f>
        <v>40004-022-01 (Estaño) | 5 - 8 µm | No aplica</v>
      </c>
      <c r="B41" s="69" t="str">
        <f t="shared" si="0"/>
        <v>Estaño</v>
      </c>
      <c r="G41" s="69" t="str">
        <v>48053-001-01 (Deshidrogenado / Endurecido) | No aplica | No aplica | &gt;= 1 hrs.</v>
      </c>
    </row>
    <row r="42" spans="1:7" x14ac:dyDescent="0.2">
      <c r="A42" s="69" t="str">
        <f>Listas!E37</f>
        <v>40004-055-01 (Plata) | 5 - 8 µm</v>
      </c>
      <c r="B42" s="69" t="str">
        <f t="shared" si="0"/>
        <v>Plata</v>
      </c>
      <c r="G42" s="69" t="str">
        <v>48053-001-01 (Deshidrogenado / Endurecido) | No aplica | No aplica | &gt;= 10 hrs.</v>
      </c>
    </row>
    <row r="43" spans="1:7" x14ac:dyDescent="0.2">
      <c r="A43" s="69" t="str">
        <f>Listas!E38</f>
        <v>40004-086-01 (Plata Flash) | 1.27 - 2.54 µm</v>
      </c>
      <c r="B43" s="69" t="str">
        <f t="shared" si="0"/>
        <v>Plata</v>
      </c>
      <c r="G43" s="69" t="str">
        <v>48053-001-01 (Deshidrogenado / Endurecido) | No aplica | No aplica | &gt;= 14 hrs.</v>
      </c>
    </row>
    <row r="44" spans="1:7" x14ac:dyDescent="0.2">
      <c r="A44" s="69" t="str">
        <f>Listas!E39</f>
        <v>40004-086-01 (Plata Flash) | 1.27 - 3 µm</v>
      </c>
      <c r="B44" s="69" t="str">
        <f t="shared" si="0"/>
        <v>Plata</v>
      </c>
      <c r="G44" s="69" t="str">
        <v>48053-001-01 (Deshidrogenado / Endurecido) | No aplica | No aplica | &gt;= 2 hrs.</v>
      </c>
    </row>
    <row r="45" spans="1:7" x14ac:dyDescent="0.2">
      <c r="A45" s="69" t="str">
        <f>Listas!E40</f>
        <v>40004-086-01 (Plata Flash) | 1.27 - 3.5 µm</v>
      </c>
      <c r="B45" s="69" t="str">
        <f t="shared" si="0"/>
        <v>Plata</v>
      </c>
      <c r="G45" s="69" t="str">
        <v>48053-001-01 (Deshidrogenado / Endurecido) | No aplica | No aplica | &gt;= 20 hrs.</v>
      </c>
    </row>
    <row r="46" spans="1:7" x14ac:dyDescent="0.2">
      <c r="A46" s="69" t="str">
        <f>Listas!E41</f>
        <v>48053-001-01 (Deshidrogenado / Endurecido) | 176 - 204 °C (375 ± 25 °F) | 302 - 329 °C (600 ± 25 °F) | &gt;= 0.5 hrs.</v>
      </c>
      <c r="B46" s="69" t="str">
        <f t="shared" si="0"/>
        <v>Otros</v>
      </c>
      <c r="G46" s="69" t="str">
        <v>48053-001-01 (Deshidrogenado / Endurecido) | No aplica | No aplica | &gt;= 24 hrs.</v>
      </c>
    </row>
    <row r="47" spans="1:7" x14ac:dyDescent="0.2">
      <c r="A47" s="69" t="str">
        <f>Listas!E42</f>
        <v>48053-001-01 (Deshidrogenado / Endurecido) | 176 - 204 °C (375 ± 25 °F) | 302 - 329 °C (600 ± 25 °F) | &gt;= 1 hrs.</v>
      </c>
      <c r="B47" s="69" t="str">
        <f t="shared" si="0"/>
        <v>Otros</v>
      </c>
      <c r="G47" s="69" t="str">
        <v>48053-001-01 (Deshidrogenado / Endurecido) | No aplica | No aplica | &gt;= 3 hrs.</v>
      </c>
    </row>
    <row r="48" spans="1:7" x14ac:dyDescent="0.2">
      <c r="A48" s="69" t="str">
        <f>Listas!E43</f>
        <v>48053-001-01 (Deshidrogenado / Endurecido) | 176 - 204 °C (375 ± 25 °F) | 302 - 329 °C (600 ± 25 °F) | &gt;= 10 hrs.</v>
      </c>
      <c r="B48" s="69" t="str">
        <f t="shared" si="0"/>
        <v>Otros</v>
      </c>
      <c r="G48" s="69" t="str">
        <v>48053-001-01 (Deshidrogenado / Endurecido) | No aplica | No aplica | &gt;= 4 hrs.</v>
      </c>
    </row>
    <row r="49" spans="1:7" x14ac:dyDescent="0.2">
      <c r="A49" s="69" t="str">
        <f>Listas!E44</f>
        <v>48053-001-01 (Deshidrogenado / Endurecido) | 176 - 204 °C (375 ± 25 °F) | 302 - 329 °C (600 ± 25 °F) | &gt;= 14 hrs.</v>
      </c>
      <c r="B49" s="69" t="str">
        <f t="shared" si="0"/>
        <v>Otros</v>
      </c>
      <c r="G49" s="69" t="str">
        <v>48053-001-01 (Deshidrogenado / Endurecido) | No aplica | No aplica | &gt;= 5 hrs.</v>
      </c>
    </row>
    <row r="50" spans="1:7" x14ac:dyDescent="0.2">
      <c r="A50" s="69" t="str">
        <f>Listas!E45</f>
        <v>48053-001-01 (Deshidrogenado / Endurecido) | 176 - 204 °C (375 ± 25 °F) | 302 - 329 °C (600 ± 25 °F) | &gt;= 2 hrs.</v>
      </c>
      <c r="B50" s="69" t="str">
        <f t="shared" si="0"/>
        <v>Otros</v>
      </c>
      <c r="G50" s="69" t="str">
        <v>48053-001-01 (Deshidrogenado / Endurecido) | No aplica | No aplica | &gt;= 6 hrs.</v>
      </c>
    </row>
    <row r="51" spans="1:7" x14ac:dyDescent="0.2">
      <c r="A51" s="69" t="str">
        <f>Listas!E46</f>
        <v>48053-001-01 (Deshidrogenado / Endurecido) | 176 - 204 °C (375 ± 25 °F) | 302 - 329 °C (600 ± 25 °F) | &gt;= 20 hrs.</v>
      </c>
      <c r="B51" s="69" t="str">
        <f t="shared" si="0"/>
        <v>Otros</v>
      </c>
      <c r="G51" s="69" t="str">
        <v>48053-001-01 (Deshidrogenado / Endurecido) | No aplica | No aplica | &gt;= 8 hrs.</v>
      </c>
    </row>
    <row r="52" spans="1:7" x14ac:dyDescent="0.2">
      <c r="A52" s="69" t="str">
        <f>Listas!E47</f>
        <v>48053-001-01 (Deshidrogenado / Endurecido) | 176 - 204 °C (375 ± 25 °F) | 302 - 329 °C (600 ± 25 °F) | &gt;= 24 hrs.</v>
      </c>
      <c r="B52" s="69" t="str">
        <f t="shared" si="0"/>
        <v>Otros</v>
      </c>
      <c r="G52" s="69" t="str">
        <v>48053-005-01 (Lavado - Tratamiento Térmico - Bimetales)</v>
      </c>
    </row>
    <row r="53" spans="1:7" x14ac:dyDescent="0.2">
      <c r="A53" s="69" t="str">
        <f>Listas!E48</f>
        <v>48053-001-01 (Deshidrogenado / Endurecido) | 176 - 204 °C (375 ± 25 °F) | 302 - 329 °C (600 ± 25 °F) | &gt;= 3 hrs.</v>
      </c>
      <c r="B53" s="69" t="str">
        <f t="shared" si="0"/>
        <v>Otros</v>
      </c>
      <c r="G53" s="69" t="str">
        <v>48057-004-01 (Bright Dip)</v>
      </c>
    </row>
    <row r="54" spans="1:7" x14ac:dyDescent="0.2">
      <c r="A54" s="69" t="str">
        <f>Listas!E49</f>
        <v>48053-001-01 (Deshidrogenado / Endurecido) | 176 - 204 °C (375 ± 25 °F) | 302 - 329 °C (600 ± 25 °F) | &gt;= 4 hrs.</v>
      </c>
      <c r="B54" s="69" t="str">
        <f t="shared" si="0"/>
        <v>Otros</v>
      </c>
      <c r="G54" s="69" t="str">
        <v>48860-031-01 (Lavado)</v>
      </c>
    </row>
    <row r="55" spans="1:7" x14ac:dyDescent="0.2">
      <c r="A55" s="69" t="str">
        <f>Listas!E50</f>
        <v>48053-001-01 (Deshidrogenado / Endurecido) | 176 - 204 °C (375 ± 25 °F) | 302 - 329 °C (600 ± 25 °F) | &gt;= 5 hrs.</v>
      </c>
      <c r="B55" s="69" t="str">
        <f t="shared" si="0"/>
        <v>Otros</v>
      </c>
      <c r="G55" s="69" t="str">
        <v>48951-001-01 (Rebabeo)</v>
      </c>
    </row>
    <row r="56" spans="1:7" x14ac:dyDescent="0.2">
      <c r="A56" s="69" t="str">
        <f>Listas!E51</f>
        <v>48053-001-01 (Deshidrogenado / Endurecido) | 176 - 204 °C (375 ± 25 °F) | 302 - 329 °C (600 ± 25 °F) | &gt;= 6 hrs.</v>
      </c>
      <c r="B56" s="69" t="str">
        <f t="shared" si="0"/>
        <v>Otros</v>
      </c>
      <c r="G56" s="69" t="str">
        <v>48951-001-02 (Rebabeo)</v>
      </c>
    </row>
    <row r="57" spans="1:7" x14ac:dyDescent="0.2">
      <c r="A57" s="69" t="str">
        <f>Listas!E52</f>
        <v>48053-001-01 (Deshidrogenado / Endurecido) | 176 - 204 °C (375 ± 25 °F) | 302 - 329 °C (600 ± 25 °F) | &gt;= 8 hrs.</v>
      </c>
      <c r="B57" s="69" t="str">
        <f t="shared" si="0"/>
        <v>Otros</v>
      </c>
      <c r="G57" s="69" t="str">
        <v>48951-008-01 (Desengrase)</v>
      </c>
    </row>
    <row r="58" spans="1:7" x14ac:dyDescent="0.2">
      <c r="A58" s="69" t="str">
        <f>Listas!E53</f>
        <v>48053-001-01 (Deshidrogenado / Endurecido) | 176 - 204 °C (375 ± 25 °F) | No aplica | &gt;= 0.5 hrs.</v>
      </c>
      <c r="B58" s="69" t="str">
        <f t="shared" si="0"/>
        <v>Otros</v>
      </c>
      <c r="G58" s="69" t="str">
        <v>7706XXX | 5.0 - 10.0 µm</v>
      </c>
    </row>
    <row r="59" spans="1:7" x14ac:dyDescent="0.2">
      <c r="A59" s="69" t="str">
        <f>Listas!E54</f>
        <v>48053-001-01 (Deshidrogenado / Endurecido) | 176 - 204 °C (375 ± 25 °F) | No aplica | &gt;= 1 hrs.</v>
      </c>
      <c r="B59" s="69" t="str">
        <f t="shared" si="0"/>
        <v>Otros</v>
      </c>
      <c r="G59" s="69" t="str">
        <v>DIN 50967 | 5 - 8 µm</v>
      </c>
    </row>
    <row r="60" spans="1:7" x14ac:dyDescent="0.2">
      <c r="A60" s="69" t="str">
        <f>Listas!E55</f>
        <v>48053-001-01 (Deshidrogenado / Endurecido) | 176 - 204 °C (375 ± 25 °F) | No aplica | &gt;= 10 hrs.</v>
      </c>
      <c r="B60" s="69" t="str">
        <f t="shared" si="0"/>
        <v>Otros</v>
      </c>
      <c r="G60" s="69" t="str">
        <v>DYM Pendiente (Deshidrogenado) | 130 - 150 °C | &gt;= 5 hrs.</v>
      </c>
    </row>
    <row r="61" spans="1:7" x14ac:dyDescent="0.2">
      <c r="A61" s="69" t="str">
        <f>Listas!E56</f>
        <v>48053-001-01 (Deshidrogenado / Endurecido) | 176 - 204 °C (375 ± 25 °F) | No aplica | &gt;= 14 hrs.</v>
      </c>
      <c r="B61" s="69" t="str">
        <f t="shared" si="0"/>
        <v>Otros</v>
      </c>
      <c r="G61" s="69" t="str">
        <v>F50HD3S (Deshidrogenado) | 115 - 121 °C | &gt;= 6 hrs.</v>
      </c>
    </row>
    <row r="62" spans="1:7" x14ac:dyDescent="0.2">
      <c r="A62" s="69" t="str">
        <f>Listas!E57</f>
        <v>48053-001-01 (Deshidrogenado / Endurecido) | 176 - 204 °C (375 ± 25 °F) | No aplica | &gt;= 2 hrs.</v>
      </c>
      <c r="B62" s="69" t="str">
        <f t="shared" si="0"/>
        <v>Otros</v>
      </c>
    </row>
    <row r="63" spans="1:7" x14ac:dyDescent="0.2">
      <c r="A63" s="69" t="str">
        <f>Listas!E58</f>
        <v>48053-001-01 (Deshidrogenado / Endurecido) | 176 - 204 °C (375 ± 25 °F) | No aplica | &gt;= 20 hrs.</v>
      </c>
      <c r="B63" s="69" t="str">
        <f t="shared" si="0"/>
        <v>Otros</v>
      </c>
    </row>
    <row r="64" spans="1:7" x14ac:dyDescent="0.2">
      <c r="A64" s="69" t="str">
        <f>Listas!E59</f>
        <v>48053-001-01 (Deshidrogenado / Endurecido) | 176 - 204 °C (375 ± 25 °F) | No aplica | &gt;= 24 hrs.</v>
      </c>
      <c r="B64" s="69" t="str">
        <f t="shared" si="0"/>
        <v>Otros</v>
      </c>
    </row>
    <row r="65" spans="1:2" x14ac:dyDescent="0.2">
      <c r="A65" s="69" t="str">
        <f>Listas!E60</f>
        <v>48053-001-01 (Deshidrogenado / Endurecido) | 176 - 204 °C (375 ± 25 °F) | No aplica | &gt;= 3 hrs.</v>
      </c>
      <c r="B65" s="69" t="str">
        <f t="shared" si="0"/>
        <v>Otros</v>
      </c>
    </row>
    <row r="66" spans="1:2" x14ac:dyDescent="0.2">
      <c r="A66" s="69" t="str">
        <f>Listas!E61</f>
        <v>48053-001-01 (Deshidrogenado / Endurecido) | 176 - 204 °C (375 ± 25 °F) | No aplica | &gt;= 4 hrs.</v>
      </c>
      <c r="B66" s="69" t="str">
        <f t="shared" si="0"/>
        <v>Otros</v>
      </c>
    </row>
    <row r="67" spans="1:2" x14ac:dyDescent="0.2">
      <c r="A67" s="69" t="str">
        <f>Listas!E62</f>
        <v>48053-001-01 (Deshidrogenado / Endurecido) | 176 - 204 °C (375 ± 25 °F) | No aplica | &gt;= 5 hrs.</v>
      </c>
      <c r="B67" s="69" t="str">
        <f t="shared" si="0"/>
        <v>Otros</v>
      </c>
    </row>
    <row r="68" spans="1:2" x14ac:dyDescent="0.2">
      <c r="A68" s="69" t="str">
        <f>Listas!E63</f>
        <v>48053-001-01 (Deshidrogenado / Endurecido) | 176 - 204 °C (375 ± 25 °F) | No aplica | &gt;= 6 hrs.</v>
      </c>
      <c r="B68" s="69" t="str">
        <f t="shared" si="0"/>
        <v>Otros</v>
      </c>
    </row>
    <row r="69" spans="1:2" x14ac:dyDescent="0.2">
      <c r="A69" s="69" t="str">
        <f>Listas!E64</f>
        <v>48053-001-01 (Deshidrogenado / Endurecido) | 176 - 204 °C (375 ± 25 °F) | No aplica | &gt;= 8 hrs.</v>
      </c>
      <c r="B69" s="69" t="str">
        <f t="shared" si="0"/>
        <v>Otros</v>
      </c>
    </row>
    <row r="70" spans="1:2" x14ac:dyDescent="0.2">
      <c r="A70" s="69" t="str">
        <f>Listas!E65</f>
        <v>48053-001-01 (Deshidrogenado / Endurecido) | No aplica | 302 - 329 °C (600 ± 25 °F) | &gt;= 0.5 hrs.</v>
      </c>
      <c r="B70" s="69" t="str">
        <f t="shared" si="0"/>
        <v>Otros</v>
      </c>
    </row>
    <row r="71" spans="1:2" x14ac:dyDescent="0.2">
      <c r="A71" s="69" t="str">
        <f>Listas!E66</f>
        <v>48053-001-01 (Deshidrogenado / Endurecido) | No aplica | 302 - 329 °C (600 ± 25 °F) | &gt;= 1 hrs.</v>
      </c>
      <c r="B71" s="69" t="str">
        <f t="shared" si="0"/>
        <v>Otros</v>
      </c>
    </row>
    <row r="72" spans="1:2" x14ac:dyDescent="0.2">
      <c r="A72" s="69" t="str">
        <f>Listas!E67</f>
        <v>48053-001-01 (Deshidrogenado / Endurecido) | No aplica | 302 - 329 °C (600 ± 25 °F) | &gt;= 10 hrs.</v>
      </c>
      <c r="B72" s="69" t="str">
        <f t="shared" si="0"/>
        <v>Otros</v>
      </c>
    </row>
    <row r="73" spans="1:2" x14ac:dyDescent="0.2">
      <c r="A73" s="69" t="str">
        <f>Listas!E68</f>
        <v>48053-001-01 (Deshidrogenado / Endurecido) | No aplica | 302 - 329 °C (600 ± 25 °F) | &gt;= 14 hrs.</v>
      </c>
      <c r="B73" s="69" t="str">
        <f t="shared" si="0"/>
        <v>Otros</v>
      </c>
    </row>
    <row r="74" spans="1:2" x14ac:dyDescent="0.2">
      <c r="A74" s="69" t="str">
        <f>Listas!E69</f>
        <v>48053-001-01 (Deshidrogenado / Endurecido) | No aplica | 302 - 329 °C (600 ± 25 °F) | &gt;= 2 hrs.</v>
      </c>
      <c r="B74" s="69" t="str">
        <f t="shared" ref="B74:B137" si="1">IF(OR(A74="",A74=0),"",_xlfn.LET(_xlpm.t,A74&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Otros</v>
      </c>
    </row>
    <row r="75" spans="1:2" x14ac:dyDescent="0.2">
      <c r="A75" s="69" t="str">
        <f>Listas!E70</f>
        <v>48053-001-01 (Deshidrogenado / Endurecido) | No aplica | 302 - 329 °C (600 ± 25 °F) | &gt;= 20 hrs.</v>
      </c>
      <c r="B75" s="69" t="str">
        <f t="shared" si="1"/>
        <v>Otros</v>
      </c>
    </row>
    <row r="76" spans="1:2" x14ac:dyDescent="0.2">
      <c r="A76" s="69" t="str">
        <f>Listas!E71</f>
        <v>48053-001-01 (Deshidrogenado / Endurecido) | No aplica | 302 - 329 °C (600 ± 25 °F) | &gt;= 24 hrs.</v>
      </c>
      <c r="B76" s="69" t="str">
        <f t="shared" si="1"/>
        <v>Otros</v>
      </c>
    </row>
    <row r="77" spans="1:2" x14ac:dyDescent="0.2">
      <c r="A77" s="69" t="str">
        <f>Listas!E72</f>
        <v>48053-001-01 (Deshidrogenado / Endurecido) | No aplica | 302 - 329 °C (600 ± 25 °F) | &gt;= 3 hrs.</v>
      </c>
      <c r="B77" s="69" t="str">
        <f t="shared" si="1"/>
        <v>Otros</v>
      </c>
    </row>
    <row r="78" spans="1:2" x14ac:dyDescent="0.2">
      <c r="A78" s="69" t="str">
        <f>Listas!E73</f>
        <v>48053-001-01 (Deshidrogenado / Endurecido) | No aplica | 302 - 329 °C (600 ± 25 °F) | &gt;= 4 hrs.</v>
      </c>
      <c r="B78" s="69" t="str">
        <f t="shared" si="1"/>
        <v>Otros</v>
      </c>
    </row>
    <row r="79" spans="1:2" x14ac:dyDescent="0.2">
      <c r="A79" s="69" t="str">
        <f>Listas!E74</f>
        <v>48053-001-01 (Deshidrogenado / Endurecido) | No aplica | 302 - 329 °C (600 ± 25 °F) | &gt;= 5 hrs.</v>
      </c>
      <c r="B79" s="69" t="str">
        <f t="shared" si="1"/>
        <v>Otros</v>
      </c>
    </row>
    <row r="80" spans="1:2" x14ac:dyDescent="0.2">
      <c r="A80" s="69" t="str">
        <f>Listas!E75</f>
        <v>48053-001-01 (Deshidrogenado / Endurecido) | No aplica | 302 - 329 °C (600 ± 25 °F) | &gt;= 6 hrs.</v>
      </c>
      <c r="B80" s="69" t="str">
        <f t="shared" si="1"/>
        <v>Otros</v>
      </c>
    </row>
    <row r="81" spans="1:2" x14ac:dyDescent="0.2">
      <c r="A81" s="69" t="str">
        <f>Listas!E76</f>
        <v>48053-001-01 (Deshidrogenado / Endurecido) | No aplica | 302 - 329 °C (600 ± 25 °F) | &gt;= 8 hrs.</v>
      </c>
      <c r="B81" s="69" t="str">
        <f t="shared" si="1"/>
        <v>Otros</v>
      </c>
    </row>
    <row r="82" spans="1:2" x14ac:dyDescent="0.2">
      <c r="A82" s="69" t="str">
        <f>Listas!E77</f>
        <v>48053-001-01 (Deshidrogenado / Endurecido) | No aplica | No aplica | &gt;= 0.5 hrs.</v>
      </c>
      <c r="B82" s="69" t="str">
        <f t="shared" si="1"/>
        <v>Otros</v>
      </c>
    </row>
    <row r="83" spans="1:2" x14ac:dyDescent="0.2">
      <c r="A83" s="69" t="str">
        <f>Listas!E78</f>
        <v>48053-001-01 (Deshidrogenado / Endurecido) | No aplica | No aplica | &gt;= 1 hrs.</v>
      </c>
      <c r="B83" s="69" t="str">
        <f t="shared" si="1"/>
        <v>Otros</v>
      </c>
    </row>
    <row r="84" spans="1:2" x14ac:dyDescent="0.2">
      <c r="A84" s="69" t="str">
        <f>Listas!E79</f>
        <v>48053-001-01 (Deshidrogenado / Endurecido) | No aplica | No aplica | &gt;= 10 hrs.</v>
      </c>
      <c r="B84" s="69" t="str">
        <f t="shared" si="1"/>
        <v>Otros</v>
      </c>
    </row>
    <row r="85" spans="1:2" x14ac:dyDescent="0.2">
      <c r="A85" s="69" t="str">
        <f>Listas!E80</f>
        <v>48053-001-01 (Deshidrogenado / Endurecido) | No aplica | No aplica | &gt;= 14 hrs.</v>
      </c>
      <c r="B85" s="69" t="str">
        <f t="shared" si="1"/>
        <v>Otros</v>
      </c>
    </row>
    <row r="86" spans="1:2" x14ac:dyDescent="0.2">
      <c r="A86" s="69" t="str">
        <f>Listas!E81</f>
        <v>48053-001-01 (Deshidrogenado / Endurecido) | No aplica | No aplica | &gt;= 2 hrs.</v>
      </c>
      <c r="B86" s="69" t="str">
        <f t="shared" si="1"/>
        <v>Otros</v>
      </c>
    </row>
    <row r="87" spans="1:2" x14ac:dyDescent="0.2">
      <c r="A87" s="69" t="str">
        <f>Listas!E82</f>
        <v>48053-001-01 (Deshidrogenado / Endurecido) | No aplica | No aplica | &gt;= 20 hrs.</v>
      </c>
      <c r="B87" s="69" t="str">
        <f t="shared" si="1"/>
        <v>Otros</v>
      </c>
    </row>
    <row r="88" spans="1:2" x14ac:dyDescent="0.2">
      <c r="A88" s="69" t="str">
        <f>Listas!E83</f>
        <v>48053-001-01 (Deshidrogenado / Endurecido) | No aplica | No aplica | &gt;= 24 hrs.</v>
      </c>
      <c r="B88" s="69" t="str">
        <f t="shared" si="1"/>
        <v>Otros</v>
      </c>
    </row>
    <row r="89" spans="1:2" x14ac:dyDescent="0.2">
      <c r="A89" s="69" t="str">
        <f>Listas!E84</f>
        <v>48053-001-01 (Deshidrogenado / Endurecido) | No aplica | No aplica | &gt;= 3 hrs.</v>
      </c>
      <c r="B89" s="69" t="str">
        <f t="shared" si="1"/>
        <v>Otros</v>
      </c>
    </row>
    <row r="90" spans="1:2" x14ac:dyDescent="0.2">
      <c r="A90" s="69" t="str">
        <f>Listas!E85</f>
        <v>48053-001-01 (Deshidrogenado / Endurecido) | No aplica | No aplica | &gt;= 4 hrs.</v>
      </c>
      <c r="B90" s="69" t="str">
        <f t="shared" si="1"/>
        <v>Otros</v>
      </c>
    </row>
    <row r="91" spans="1:2" x14ac:dyDescent="0.2">
      <c r="A91" s="69" t="str">
        <f>Listas!E86</f>
        <v>48053-001-01 (Deshidrogenado / Endurecido) | No aplica | No aplica | &gt;= 5 hrs.</v>
      </c>
      <c r="B91" s="69" t="str">
        <f t="shared" si="1"/>
        <v>Otros</v>
      </c>
    </row>
    <row r="92" spans="1:2" x14ac:dyDescent="0.2">
      <c r="A92" s="69" t="str">
        <f>Listas!E87</f>
        <v>48053-001-01 (Deshidrogenado / Endurecido) | No aplica | No aplica | &gt;= 6 hrs.</v>
      </c>
      <c r="B92" s="69" t="str">
        <f t="shared" si="1"/>
        <v>Otros</v>
      </c>
    </row>
    <row r="93" spans="1:2" x14ac:dyDescent="0.2">
      <c r="A93" s="69" t="str">
        <f>Listas!E88</f>
        <v>48053-001-01 (Deshidrogenado / Endurecido) | No aplica | No aplica | &gt;= 8 hrs.</v>
      </c>
      <c r="B93" s="69" t="str">
        <f t="shared" si="1"/>
        <v>Otros</v>
      </c>
    </row>
    <row r="94" spans="1:2" x14ac:dyDescent="0.2">
      <c r="A94" s="69" t="str">
        <f>Listas!E89</f>
        <v>48053-005-01 (Lavado - Tratamiento Térmico - Bimetales)</v>
      </c>
      <c r="B94" s="69" t="str">
        <f t="shared" si="1"/>
        <v>Otros</v>
      </c>
    </row>
    <row r="95" spans="1:2" x14ac:dyDescent="0.2">
      <c r="A95" s="69" t="str">
        <f>Listas!E90</f>
        <v>48057-002-01 (Níquel) | 2.54 - 5.08 µm</v>
      </c>
      <c r="B95" s="69" t="str">
        <f t="shared" si="1"/>
        <v>Níquel</v>
      </c>
    </row>
    <row r="96" spans="1:2" x14ac:dyDescent="0.2">
      <c r="A96" s="69" t="str">
        <f>Listas!E91</f>
        <v>48057-002-02 (Níquel Bimetales) | 0.5 - 2.0 µm</v>
      </c>
      <c r="B96" s="69" t="str">
        <f t="shared" si="1"/>
        <v>Níquel</v>
      </c>
    </row>
    <row r="97" spans="1:2" x14ac:dyDescent="0.2">
      <c r="A97" s="69" t="str">
        <f>Listas!E92</f>
        <v>48057-002-02 (Níquel Bimetales) | 2.5- 5.0 µm</v>
      </c>
      <c r="B97" s="69" t="str">
        <f t="shared" si="1"/>
        <v>Níquel</v>
      </c>
    </row>
    <row r="98" spans="1:2" x14ac:dyDescent="0.2">
      <c r="A98" s="69" t="str">
        <f>Listas!E93</f>
        <v>48057-003-01 (Zinc) | 3.8 - 6.0 µm</v>
      </c>
      <c r="B98" s="69" t="str">
        <f t="shared" si="1"/>
        <v>Zinc</v>
      </c>
    </row>
    <row r="99" spans="1:2" x14ac:dyDescent="0.2">
      <c r="A99" s="69" t="str">
        <f>Listas!E94</f>
        <v>48057-003-01 (Zinc) | 6.0 - 10.0 µm</v>
      </c>
      <c r="B99" s="69" t="str">
        <f t="shared" si="1"/>
        <v>Zinc</v>
      </c>
    </row>
    <row r="100" spans="1:2" x14ac:dyDescent="0.2">
      <c r="A100" s="69" t="str">
        <f>Listas!E95</f>
        <v>48057-004-01 (Bright Dip)</v>
      </c>
      <c r="B100" s="69" t="str">
        <f t="shared" si="1"/>
        <v>Otros</v>
      </c>
    </row>
    <row r="101" spans="1:2" x14ac:dyDescent="0.2">
      <c r="A101" s="69" t="str">
        <f>Listas!E96</f>
        <v>48057-006-01 (Plata) | 1.88- 2.56 µm</v>
      </c>
      <c r="B101" s="69" t="str">
        <f t="shared" si="1"/>
        <v>Plata</v>
      </c>
    </row>
    <row r="102" spans="1:2" x14ac:dyDescent="0.2">
      <c r="A102" s="69" t="str">
        <f>Listas!E97</f>
        <v>48057-006-01 (Plata) | 2.54 - 3.81 µm</v>
      </c>
      <c r="B102" s="69" t="str">
        <f t="shared" si="1"/>
        <v>Plata</v>
      </c>
    </row>
    <row r="103" spans="1:2" x14ac:dyDescent="0.2">
      <c r="A103" s="69" t="str">
        <f>Listas!E98</f>
        <v>48057-007-01 (Estaño Bimetales) | 1.9 - 5.0 µm</v>
      </c>
      <c r="B103" s="69" t="str">
        <f t="shared" si="1"/>
        <v>Estaño</v>
      </c>
    </row>
    <row r="104" spans="1:2" x14ac:dyDescent="0.2">
      <c r="A104" s="69" t="str">
        <f>Listas!E99</f>
        <v>48057-007-03 (Estaño Bimetales) | 0.6 - 2.0 µm</v>
      </c>
      <c r="B104" s="69" t="str">
        <f t="shared" si="1"/>
        <v>Estaño</v>
      </c>
    </row>
    <row r="105" spans="1:2" x14ac:dyDescent="0.2">
      <c r="A105" s="69" t="str">
        <f>Listas!E100</f>
        <v>48121-140-03 (Estaño) | 5 - 12 µm | No aplica</v>
      </c>
      <c r="B105" s="69" t="str">
        <f t="shared" si="1"/>
        <v>Estaño</v>
      </c>
    </row>
    <row r="106" spans="1:2" x14ac:dyDescent="0.2">
      <c r="A106" s="69" t="str">
        <f>Listas!E101</f>
        <v>48860-031-01 (Lavado)</v>
      </c>
      <c r="B106" s="69" t="str">
        <f t="shared" si="1"/>
        <v>Otros</v>
      </c>
    </row>
    <row r="107" spans="1:2" x14ac:dyDescent="0.2">
      <c r="A107" s="69" t="str">
        <f>Listas!E102</f>
        <v>48951-001-01 (Rebabeo)</v>
      </c>
      <c r="B107" s="69" t="str">
        <f t="shared" si="1"/>
        <v>Otros</v>
      </c>
    </row>
    <row r="108" spans="1:2" x14ac:dyDescent="0.2">
      <c r="A108" s="69" t="str">
        <f>Listas!E103</f>
        <v>48951-001-02 (Rebabeo)</v>
      </c>
      <c r="B108" s="69" t="str">
        <f t="shared" si="1"/>
        <v>Otros</v>
      </c>
    </row>
    <row r="109" spans="1:2" x14ac:dyDescent="0.2">
      <c r="A109" s="69" t="str">
        <f>Listas!E104</f>
        <v>48951-008-01 (Desengrase)</v>
      </c>
      <c r="B109" s="69" t="str">
        <f t="shared" si="1"/>
        <v>Otros</v>
      </c>
    </row>
    <row r="110" spans="1:2" x14ac:dyDescent="0.2">
      <c r="A110" s="69" t="str">
        <f>Listas!E105</f>
        <v>48957-014-01 (Níquel Electroless) | 2.54 - 7.62 µm</v>
      </c>
      <c r="B110" s="69" t="str">
        <f t="shared" si="1"/>
        <v>Níquel</v>
      </c>
    </row>
    <row r="111" spans="1:2" x14ac:dyDescent="0.2">
      <c r="A111" s="69" t="str">
        <f>Listas!E106</f>
        <v>48957-014-01 (Níquel Electroless) | 7.62 - 15.24 µm</v>
      </c>
      <c r="B111" s="69" t="str">
        <f t="shared" si="1"/>
        <v>Níquel</v>
      </c>
    </row>
    <row r="112" spans="1:2" x14ac:dyDescent="0.2">
      <c r="A112" s="69" t="str">
        <f>Listas!E107</f>
        <v>7706XXX | 5.0 - 10.0 µm</v>
      </c>
      <c r="B112" s="69" t="str">
        <f t="shared" si="1"/>
        <v>Otros</v>
      </c>
    </row>
    <row r="113" spans="1:2" x14ac:dyDescent="0.2">
      <c r="A113" s="69" t="str">
        <f>Listas!E108</f>
        <v>80040-DS-018 (Epóxico BT) | 14 - 22 mils</v>
      </c>
      <c r="B113" s="69" t="str">
        <f t="shared" si="1"/>
        <v>Epóxico</v>
      </c>
    </row>
    <row r="114" spans="1:2" x14ac:dyDescent="0.2">
      <c r="A114" s="69" t="str">
        <f>Listas!E109</f>
        <v>80065-DS-001 (Estaño) | 5 - 10 µm | 0.5 - 1.0 µm</v>
      </c>
      <c r="B114" s="69" t="str">
        <f t="shared" si="1"/>
        <v>Estaño</v>
      </c>
    </row>
    <row r="115" spans="1:2" x14ac:dyDescent="0.2">
      <c r="A115" s="69" t="str">
        <f>Listas!E110</f>
        <v>80065-DS-001 (Estaño) | 5 - 10 µm | No aplica</v>
      </c>
      <c r="B115" s="69" t="str">
        <f t="shared" si="1"/>
        <v>Estaño</v>
      </c>
    </row>
    <row r="116" spans="1:2" x14ac:dyDescent="0.2">
      <c r="A116" s="69" t="str">
        <f>Listas!E111</f>
        <v>80065-DS-001 (Estaño) | 5 - 8 µm | 0.5 - 1.0 µm</v>
      </c>
      <c r="B116" s="69" t="str">
        <f t="shared" si="1"/>
        <v>Estaño</v>
      </c>
    </row>
    <row r="117" spans="1:2" x14ac:dyDescent="0.2">
      <c r="A117" s="69" t="str">
        <f>Listas!E112</f>
        <v>80065-DS-001 (Estaño) | 5 - 8 µm | No aplica</v>
      </c>
      <c r="B117" s="69" t="str">
        <f t="shared" si="1"/>
        <v>Estaño</v>
      </c>
    </row>
    <row r="118" spans="1:2" x14ac:dyDescent="0.2">
      <c r="A118" s="69" t="str">
        <f>Listas!E113</f>
        <v>80065-DS-002 (Estaño) | 5 - 10 µm | 0.5 - 1.0 µm</v>
      </c>
      <c r="B118" s="69" t="str">
        <f t="shared" si="1"/>
        <v>Estaño</v>
      </c>
    </row>
    <row r="119" spans="1:2" x14ac:dyDescent="0.2">
      <c r="A119" s="69" t="str">
        <f>Listas!E114</f>
        <v>80065-DS-002 (Estaño) | 5 - 10 µm | No aplica</v>
      </c>
      <c r="B119" s="69" t="str">
        <f t="shared" si="1"/>
        <v>Estaño</v>
      </c>
    </row>
    <row r="120" spans="1:2" x14ac:dyDescent="0.2">
      <c r="A120" s="69" t="str">
        <f>Listas!E115</f>
        <v>80065-DS-002 (Estaño) | 5 - 8 µm | 0.5 - 1.0 µm</v>
      </c>
      <c r="B120" s="69" t="str">
        <f t="shared" si="1"/>
        <v>Estaño</v>
      </c>
    </row>
    <row r="121" spans="1:2" x14ac:dyDescent="0.2">
      <c r="A121" s="69" t="str">
        <f>Listas!E116</f>
        <v>80065-DS-002 (Estaño) | 5 - 8 µm | No aplica</v>
      </c>
      <c r="B121" s="69" t="str">
        <f t="shared" si="1"/>
        <v>Estaño</v>
      </c>
    </row>
    <row r="122" spans="1:2" x14ac:dyDescent="0.2">
      <c r="A122" s="69" t="str">
        <f>Listas!E117</f>
        <v>80065-DS-004 (Plata) | 1.27 - 2.54 µm</v>
      </c>
      <c r="B122" s="69" t="str">
        <f t="shared" si="1"/>
        <v>Plata</v>
      </c>
    </row>
    <row r="123" spans="1:2" x14ac:dyDescent="0.2">
      <c r="A123" s="69" t="str">
        <f>Listas!E118</f>
        <v>80065-DS-004 (Plata) | 1.27 - 3 µm</v>
      </c>
      <c r="B123" s="69" t="str">
        <f t="shared" si="1"/>
        <v>Plata</v>
      </c>
    </row>
    <row r="124" spans="1:2" x14ac:dyDescent="0.2">
      <c r="A124" s="69" t="str">
        <f>Listas!E119</f>
        <v>80065-DS-005 (Plata Flash) | 0.076 - 0.203 µm</v>
      </c>
      <c r="B124" s="69" t="str">
        <f t="shared" si="1"/>
        <v>Plata</v>
      </c>
    </row>
    <row r="125" spans="1:2" x14ac:dyDescent="0.2">
      <c r="A125" s="69" t="str">
        <f>Listas!E120</f>
        <v>80065-DS-008 (Plata) | 7.62 - 9.52 µm</v>
      </c>
      <c r="B125" s="69" t="str">
        <f t="shared" si="1"/>
        <v>Plata</v>
      </c>
    </row>
    <row r="126" spans="1:2" x14ac:dyDescent="0.2">
      <c r="A126" s="69" t="str">
        <f>Listas!E121</f>
        <v>80282-DS-005 (Epóxico BT) | 4 - 11 mils</v>
      </c>
      <c r="B126" s="69" t="str">
        <f t="shared" si="1"/>
        <v>Epóxico</v>
      </c>
    </row>
    <row r="127" spans="1:2" x14ac:dyDescent="0.2">
      <c r="A127" s="69" t="str">
        <f>Listas!E122</f>
        <v>A48057-030-02 (Níquel Electroless) | 7 - 12 µm</v>
      </c>
      <c r="B127" s="69" t="str">
        <f t="shared" si="1"/>
        <v>Níquel</v>
      </c>
    </row>
    <row r="128" spans="1:2" x14ac:dyDescent="0.2">
      <c r="A128" s="69" t="str">
        <f>Listas!E123</f>
        <v>ABD01030 (Plata Semibrillante) | 2 - 5 µm</v>
      </c>
      <c r="B128" s="69" t="str">
        <f t="shared" si="1"/>
        <v>Plata</v>
      </c>
    </row>
    <row r="129" spans="1:2" x14ac:dyDescent="0.2">
      <c r="A129" s="69" t="str">
        <f>Listas!E124</f>
        <v>ACP5-618 (Plata) | 0.076 - 2.54 µm</v>
      </c>
      <c r="B129" s="69" t="str">
        <f t="shared" si="1"/>
        <v>Plata</v>
      </c>
    </row>
    <row r="130" spans="1:2" x14ac:dyDescent="0.2">
      <c r="A130" s="69" t="str">
        <f>Listas!E125</f>
        <v>ACP5-618 (Plata) | 2.54 - 5.08 µm</v>
      </c>
      <c r="B130" s="69" t="str">
        <f t="shared" si="1"/>
        <v>Plata</v>
      </c>
    </row>
    <row r="131" spans="1:2" x14ac:dyDescent="0.2">
      <c r="A131" s="69" t="str">
        <f>Listas!E126</f>
        <v>ACP5-618 (Plata) | 5.08 - 12.7 µm</v>
      </c>
      <c r="B131" s="69" t="str">
        <f t="shared" si="1"/>
        <v>Plata</v>
      </c>
    </row>
    <row r="132" spans="1:2" x14ac:dyDescent="0.2">
      <c r="A132" s="69" t="str">
        <f>Listas!E127</f>
        <v>ASTM B545 (Estaño) | 1.5 - 2.5 µm | 0.5 - 1.0 µm</v>
      </c>
      <c r="B132" s="69" t="str">
        <f t="shared" si="1"/>
        <v>Estaño</v>
      </c>
    </row>
    <row r="133" spans="1:2" x14ac:dyDescent="0.2">
      <c r="A133" s="69" t="str">
        <f>Listas!E128</f>
        <v>ASTM B545 (Estaño) | 1.5 - 2.5 µm | 1.0 - 2.54 µm</v>
      </c>
      <c r="B133" s="69" t="str">
        <f t="shared" si="1"/>
        <v>Estaño</v>
      </c>
    </row>
    <row r="134" spans="1:2" x14ac:dyDescent="0.2">
      <c r="A134" s="69" t="str">
        <f>Listas!E129</f>
        <v>ASTM B545 (Estaño) | 1.5 - 2.5 µm | 2.54 - 5.08 µm</v>
      </c>
      <c r="B134" s="69" t="str">
        <f t="shared" si="1"/>
        <v>Estaño</v>
      </c>
    </row>
    <row r="135" spans="1:2" x14ac:dyDescent="0.2">
      <c r="A135" s="69" t="str">
        <f>Listas!E130</f>
        <v>ASTM B545 (Estaño) | 1.5 - 2.5 µm | 5.08 - 10.16 µm</v>
      </c>
      <c r="B135" s="69" t="str">
        <f t="shared" si="1"/>
        <v>Estaño</v>
      </c>
    </row>
    <row r="136" spans="1:2" x14ac:dyDescent="0.2">
      <c r="A136" s="69" t="str">
        <f>Listas!E131</f>
        <v>ASTM B545 (Estaño) | 1.5 - 2.5 µm | No aplica</v>
      </c>
      <c r="B136" s="69" t="str">
        <f t="shared" si="1"/>
        <v>Estaño</v>
      </c>
    </row>
    <row r="137" spans="1:2" x14ac:dyDescent="0.2">
      <c r="A137" s="69" t="str">
        <f>Listas!E132</f>
        <v>ASTM B545 (Estaño) | 15 - 30 µm | 0.5 - 1.0 µm</v>
      </c>
      <c r="B137" s="69" t="str">
        <f t="shared" si="1"/>
        <v>Estaño</v>
      </c>
    </row>
    <row r="138" spans="1:2" x14ac:dyDescent="0.2">
      <c r="A138" s="69" t="str">
        <f>Listas!E133</f>
        <v>ASTM B545 (Estaño) | 15 - 30 µm | 1.0 - 2.54 µm</v>
      </c>
      <c r="B138" s="69" t="str">
        <f t="shared" ref="B138:B201" si="2">IF(OR(A138="",A138=0),"",_xlfn.LET(_xlpm.t,A138&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Estaño</v>
      </c>
    </row>
    <row r="139" spans="1:2" x14ac:dyDescent="0.2">
      <c r="A139" s="69" t="str">
        <f>Listas!E134</f>
        <v>ASTM B545 (Estaño) | 15 - 30 µm | 2.54 - 5.08 µm</v>
      </c>
      <c r="B139" s="69" t="str">
        <f t="shared" si="2"/>
        <v>Estaño</v>
      </c>
    </row>
    <row r="140" spans="1:2" x14ac:dyDescent="0.2">
      <c r="A140" s="69" t="str">
        <f>Listas!E135</f>
        <v>ASTM B545 (Estaño) | 15 - 30 µm | 5.08 - 10.16 µm</v>
      </c>
      <c r="B140" s="69" t="str">
        <f t="shared" si="2"/>
        <v>Estaño</v>
      </c>
    </row>
    <row r="141" spans="1:2" x14ac:dyDescent="0.2">
      <c r="A141" s="69" t="str">
        <f>Listas!E136</f>
        <v>ASTM B545 (Estaño) | 15 - 30 µm | No aplica</v>
      </c>
      <c r="B141" s="69" t="str">
        <f t="shared" si="2"/>
        <v>Estaño</v>
      </c>
    </row>
    <row r="142" spans="1:2" x14ac:dyDescent="0.2">
      <c r="A142" s="69" t="str">
        <f>Listas!E137</f>
        <v>ASTM B545 (Estaño) | 2.5 - 5 µm | 0.5 - 1.0 µm</v>
      </c>
      <c r="B142" s="69" t="str">
        <f t="shared" si="2"/>
        <v>Estaño</v>
      </c>
    </row>
    <row r="143" spans="1:2" x14ac:dyDescent="0.2">
      <c r="A143" s="69" t="str">
        <f>Listas!E138</f>
        <v>ASTM B545 (Estaño) | 2.5 - 5 µm | 1.0 - 2.54 µm</v>
      </c>
      <c r="B143" s="69" t="str">
        <f t="shared" si="2"/>
        <v>Estaño</v>
      </c>
    </row>
    <row r="144" spans="1:2" x14ac:dyDescent="0.2">
      <c r="A144" s="69" t="str">
        <f>Listas!E139</f>
        <v>ASTM B545 (Estaño) | 2.5 - 5 µm | 2.54 - 5.08 µm</v>
      </c>
      <c r="B144" s="69" t="str">
        <f t="shared" si="2"/>
        <v>Estaño</v>
      </c>
    </row>
    <row r="145" spans="1:2" x14ac:dyDescent="0.2">
      <c r="A145" s="69" t="str">
        <f>Listas!E140</f>
        <v>ASTM B545 (Estaño) | 2.5 - 5 µm | 5.08 - 10.16 µm</v>
      </c>
      <c r="B145" s="69" t="str">
        <f t="shared" si="2"/>
        <v>Estaño</v>
      </c>
    </row>
    <row r="146" spans="1:2" x14ac:dyDescent="0.2">
      <c r="A146" s="69" t="str">
        <f>Listas!E141</f>
        <v>ASTM B545 (Estaño) | 2.5 - 5 µm | No aplica</v>
      </c>
      <c r="B146" s="69" t="str">
        <f t="shared" si="2"/>
        <v>Estaño</v>
      </c>
    </row>
    <row r="147" spans="1:2" x14ac:dyDescent="0.2">
      <c r="A147" s="69" t="str">
        <f>Listas!E142</f>
        <v>ASTM B545 (Estaño) | 30 - 50 µm | 0.5 - 1.0 µm</v>
      </c>
      <c r="B147" s="69" t="str">
        <f t="shared" si="2"/>
        <v>Estaño</v>
      </c>
    </row>
    <row r="148" spans="1:2" x14ac:dyDescent="0.2">
      <c r="A148" s="69" t="str">
        <f>Listas!E143</f>
        <v>ASTM B545 (Estaño) | 30 - 50 µm | 1.0 - 2.54 µm</v>
      </c>
      <c r="B148" s="69" t="str">
        <f t="shared" si="2"/>
        <v>Estaño</v>
      </c>
    </row>
    <row r="149" spans="1:2" x14ac:dyDescent="0.2">
      <c r="A149" s="69" t="str">
        <f>Listas!E144</f>
        <v>ASTM B545 (Estaño) | 30 - 50 µm | 2.54 - 5.08 µm</v>
      </c>
      <c r="B149" s="69" t="str">
        <f t="shared" si="2"/>
        <v>Estaño</v>
      </c>
    </row>
    <row r="150" spans="1:2" x14ac:dyDescent="0.2">
      <c r="A150" s="69" t="str">
        <f>Listas!E145</f>
        <v>ASTM B545 (Estaño) | 30 - 50 µm | 5.08 - 10.16 µm</v>
      </c>
      <c r="B150" s="69" t="str">
        <f t="shared" si="2"/>
        <v>Estaño</v>
      </c>
    </row>
    <row r="151" spans="1:2" x14ac:dyDescent="0.2">
      <c r="A151" s="69" t="str">
        <f>Listas!E146</f>
        <v>ASTM B545 (Estaño) | 30 - 50 µm | No aplica</v>
      </c>
      <c r="B151" s="69" t="str">
        <f t="shared" si="2"/>
        <v>Estaño</v>
      </c>
    </row>
    <row r="152" spans="1:2" x14ac:dyDescent="0.2">
      <c r="A152" s="69" t="str">
        <f>Listas!E147</f>
        <v>ASTM B545 (Estaño) | 5 - 8 µm | 0.5 - 1.0 µm</v>
      </c>
      <c r="B152" s="69" t="str">
        <f t="shared" si="2"/>
        <v>Estaño</v>
      </c>
    </row>
    <row r="153" spans="1:2" x14ac:dyDescent="0.2">
      <c r="A153" s="69" t="str">
        <f>Listas!E148</f>
        <v>ASTM B545 (Estaño) | 5 - 8 µm | 1.0 - 2.54 µm</v>
      </c>
      <c r="B153" s="69" t="str">
        <f t="shared" si="2"/>
        <v>Estaño</v>
      </c>
    </row>
    <row r="154" spans="1:2" x14ac:dyDescent="0.2">
      <c r="A154" s="69" t="str">
        <f>Listas!E149</f>
        <v>ASTM B545 (Estaño) | 5 - 8 µm | 2.54 - 5.08 µm</v>
      </c>
      <c r="B154" s="69" t="str">
        <f t="shared" si="2"/>
        <v>Estaño</v>
      </c>
    </row>
    <row r="155" spans="1:2" x14ac:dyDescent="0.2">
      <c r="A155" s="69" t="str">
        <f>Listas!E150</f>
        <v>ASTM B545 (Estaño) | 5 - 8 µm | 5.08 - 10.16 µm</v>
      </c>
      <c r="B155" s="69" t="str">
        <f t="shared" si="2"/>
        <v>Estaño</v>
      </c>
    </row>
    <row r="156" spans="1:2" x14ac:dyDescent="0.2">
      <c r="A156" s="69" t="str">
        <f>Listas!E151</f>
        <v>ASTM B545 (Estaño) | 5 - 8 µm | No aplica</v>
      </c>
      <c r="B156" s="69" t="str">
        <f t="shared" si="2"/>
        <v>Estaño</v>
      </c>
    </row>
    <row r="157" spans="1:2" x14ac:dyDescent="0.2">
      <c r="A157" s="69" t="str">
        <f>Listas!E152</f>
        <v>ASTM B545 (Estaño) | 8 - 15 µm | 0.5 - 1.0 µm</v>
      </c>
      <c r="B157" s="69" t="str">
        <f t="shared" si="2"/>
        <v>Estaño</v>
      </c>
    </row>
    <row r="158" spans="1:2" x14ac:dyDescent="0.2">
      <c r="A158" s="69" t="str">
        <f>Listas!E153</f>
        <v>ASTM B545 (Estaño) | 8 - 15 µm | 1.0 - 2.54 µm</v>
      </c>
      <c r="B158" s="69" t="str">
        <f t="shared" si="2"/>
        <v>Estaño</v>
      </c>
    </row>
    <row r="159" spans="1:2" x14ac:dyDescent="0.2">
      <c r="A159" s="69" t="str">
        <f>Listas!E154</f>
        <v>ASTM B545 (Estaño) | 8 - 15 µm | 2.54 - 5.08 µm</v>
      </c>
      <c r="B159" s="69" t="str">
        <f t="shared" si="2"/>
        <v>Estaño</v>
      </c>
    </row>
    <row r="160" spans="1:2" x14ac:dyDescent="0.2">
      <c r="A160" s="69" t="str">
        <f>Listas!E155</f>
        <v>ASTM B545 (Estaño) | 8 - 15 µm | 5.08 - 10.16 µm</v>
      </c>
      <c r="B160" s="69" t="str">
        <f t="shared" si="2"/>
        <v>Estaño</v>
      </c>
    </row>
    <row r="161" spans="1:2" x14ac:dyDescent="0.2">
      <c r="A161" s="69" t="str">
        <f>Listas!E156</f>
        <v>ASTM B545 (Estaño) | 8 - 15 µm | No aplica</v>
      </c>
      <c r="B161" s="69" t="str">
        <f t="shared" si="2"/>
        <v>Estaño</v>
      </c>
    </row>
    <row r="162" spans="1:2" x14ac:dyDescent="0.2">
      <c r="A162" s="69" t="str">
        <f>Listas!E157</f>
        <v>ASTM B633 (Zinc) | 12 - 25 µm</v>
      </c>
      <c r="B162" s="69" t="str">
        <f t="shared" si="2"/>
        <v>Zinc</v>
      </c>
    </row>
    <row r="163" spans="1:2" x14ac:dyDescent="0.2">
      <c r="A163" s="69" t="str">
        <f>Listas!E158</f>
        <v>ASTM B633 (Zinc) | 25 - 40 µm</v>
      </c>
      <c r="B163" s="69" t="str">
        <f t="shared" si="2"/>
        <v>Zinc</v>
      </c>
    </row>
    <row r="164" spans="1:2" x14ac:dyDescent="0.2">
      <c r="A164" s="69" t="str">
        <f>Listas!E159</f>
        <v>ASTM B633 (Zinc) | 5 - 8 µm</v>
      </c>
      <c r="B164" s="69" t="str">
        <f t="shared" si="2"/>
        <v>Zinc</v>
      </c>
    </row>
    <row r="165" spans="1:2" x14ac:dyDescent="0.2">
      <c r="A165" s="69" t="str">
        <f>Listas!E160</f>
        <v>ASTM B633 (Zinc) | 8 - 12 µm</v>
      </c>
      <c r="B165" s="69" t="str">
        <f t="shared" si="2"/>
        <v>Zinc</v>
      </c>
    </row>
    <row r="166" spans="1:2" x14ac:dyDescent="0.2">
      <c r="A166" s="69" t="str">
        <f>Listas!E161</f>
        <v>ASTM B689 (Níquel) | 100 - 150 µm</v>
      </c>
      <c r="B166" s="69" t="str">
        <f t="shared" si="2"/>
        <v>Níquel</v>
      </c>
    </row>
    <row r="167" spans="1:2" x14ac:dyDescent="0.2">
      <c r="A167" s="69" t="str">
        <f>Listas!E162</f>
        <v>ASTM B689 (Níquel) | 200 - 225 µm</v>
      </c>
      <c r="B167" s="69" t="str">
        <f t="shared" si="2"/>
        <v>Níquel</v>
      </c>
    </row>
    <row r="168" spans="1:2" x14ac:dyDescent="0.2">
      <c r="A168" s="69" t="str">
        <f>Listas!E163</f>
        <v>ASTM B689 (Níquel) | 25 - 30 µm</v>
      </c>
      <c r="B168" s="69" t="str">
        <f t="shared" si="2"/>
        <v>Níquel</v>
      </c>
    </row>
    <row r="169" spans="1:2" x14ac:dyDescent="0.2">
      <c r="A169" s="69" t="str">
        <f>Listas!E164</f>
        <v>ASTM B689 (Níquel) | 5 - 12 µm</v>
      </c>
      <c r="B169" s="69" t="str">
        <f t="shared" si="2"/>
        <v>Níquel</v>
      </c>
    </row>
    <row r="170" spans="1:2" x14ac:dyDescent="0.2">
      <c r="A170" s="69" t="str">
        <f>Listas!E165</f>
        <v>ASTM B689 (Níquel) | 50 - 60 µm</v>
      </c>
      <c r="B170" s="69" t="str">
        <f t="shared" si="2"/>
        <v>Níquel</v>
      </c>
    </row>
    <row r="171" spans="1:2" x14ac:dyDescent="0.2">
      <c r="A171" s="69" t="str">
        <f>Listas!E166</f>
        <v>ASTM B700 (Plata) | .41 - 2.5 µm</v>
      </c>
      <c r="B171" s="69" t="str">
        <f t="shared" si="2"/>
        <v>Plata</v>
      </c>
    </row>
    <row r="172" spans="1:2" x14ac:dyDescent="0.2">
      <c r="A172" s="69" t="str">
        <f>Listas!E167</f>
        <v>ASTM B700 (Plata) | 10 - 20 µm</v>
      </c>
      <c r="B172" s="69" t="str">
        <f t="shared" si="2"/>
        <v>Plata</v>
      </c>
    </row>
    <row r="173" spans="1:2" x14ac:dyDescent="0.2">
      <c r="A173" s="69" t="str">
        <f>Listas!E168</f>
        <v>ASTM B700 (Plata) | 2.5 - 5 µm</v>
      </c>
      <c r="B173" s="69" t="str">
        <f t="shared" si="2"/>
        <v>Plata</v>
      </c>
    </row>
    <row r="174" spans="1:2" x14ac:dyDescent="0.2">
      <c r="A174" s="69" t="str">
        <f>Listas!E169</f>
        <v>ASTM B700 (Plata) | 20 - 30 µm</v>
      </c>
      <c r="B174" s="69" t="str">
        <f t="shared" si="2"/>
        <v>Plata</v>
      </c>
    </row>
    <row r="175" spans="1:2" x14ac:dyDescent="0.2">
      <c r="A175" s="69" t="str">
        <f>Listas!E170</f>
        <v>ASTM B700 (Plata) | 40 - 50 µm</v>
      </c>
      <c r="B175" s="69" t="str">
        <f t="shared" si="2"/>
        <v>Plata</v>
      </c>
    </row>
    <row r="176" spans="1:2" x14ac:dyDescent="0.2">
      <c r="A176" s="69" t="str">
        <f>Listas!E171</f>
        <v>ASTM B700 (Plata) | 5 - 10 µm</v>
      </c>
      <c r="B176" s="69" t="str">
        <f t="shared" si="2"/>
        <v>Plata</v>
      </c>
    </row>
    <row r="177" spans="1:2" x14ac:dyDescent="0.2">
      <c r="A177" s="69" t="str">
        <f>Listas!E172</f>
        <v>BURNDY DI-EI-01/81 (Estaño) | 5 - 12 µm | No aplica</v>
      </c>
      <c r="B177" s="69" t="str">
        <f t="shared" si="2"/>
        <v>Estaño</v>
      </c>
    </row>
    <row r="178" spans="1:2" x14ac:dyDescent="0.2">
      <c r="A178" s="69" t="str">
        <f>Listas!E173</f>
        <v>BURNDY DI-EI-01/81 (Estaño) | 5 - 8 µm | No aplica</v>
      </c>
      <c r="B178" s="69" t="str">
        <f t="shared" si="2"/>
        <v>Estaño</v>
      </c>
    </row>
    <row r="179" spans="1:2" x14ac:dyDescent="0.2">
      <c r="A179" s="69" t="str">
        <f>Listas!E174</f>
        <v>BURNDY DI-EI-01/81 (Estaño) | 8 - 12 µm | No aplica</v>
      </c>
      <c r="B179" s="69" t="str">
        <f t="shared" si="2"/>
        <v>Estaño</v>
      </c>
    </row>
    <row r="180" spans="1:2" x14ac:dyDescent="0.2">
      <c r="A180" s="69" t="str">
        <f>Listas!E175</f>
        <v>DIN 50967 | 5 - 8 µm</v>
      </c>
      <c r="B180" s="69" t="str">
        <f t="shared" si="2"/>
        <v>Otros</v>
      </c>
    </row>
    <row r="181" spans="1:2" x14ac:dyDescent="0.2">
      <c r="A181" s="69" t="str">
        <f>Listas!E176</f>
        <v>DS258-103-00 (Estaño) | 5.08 - 10.16 µm | No aplica</v>
      </c>
      <c r="B181" s="69" t="str">
        <f t="shared" si="2"/>
        <v>Estaño</v>
      </c>
    </row>
    <row r="182" spans="1:2" x14ac:dyDescent="0.2">
      <c r="A182" s="69" t="str">
        <f>Listas!E177</f>
        <v>DYM Pendiente (Deshidrogenado) | 130 - 150 °C | &gt;= 5 hrs.</v>
      </c>
      <c r="B182" s="69" t="str">
        <f t="shared" si="2"/>
        <v>Otros</v>
      </c>
    </row>
    <row r="183" spans="1:2" x14ac:dyDescent="0.2">
      <c r="A183" s="69" t="str">
        <f>Listas!E178</f>
        <v>E27550 (Plata) | 1.27 - 2.54 µm</v>
      </c>
      <c r="B183" s="69" t="str">
        <f t="shared" si="2"/>
        <v>Plata</v>
      </c>
    </row>
    <row r="184" spans="1:2" x14ac:dyDescent="0.2">
      <c r="A184" s="69" t="str">
        <f>Listas!E179</f>
        <v>E27550 (Plata) | 1.27 - 3 µm</v>
      </c>
      <c r="B184" s="69" t="str">
        <f t="shared" si="2"/>
        <v>Plata</v>
      </c>
    </row>
    <row r="185" spans="1:2" x14ac:dyDescent="0.2">
      <c r="A185" s="69" t="str">
        <f>Listas!E180</f>
        <v>E27550 (Plata) | 1.27 - 3.81 µm</v>
      </c>
      <c r="B185" s="69" t="str">
        <f t="shared" si="2"/>
        <v>Plata</v>
      </c>
    </row>
    <row r="186" spans="1:2" x14ac:dyDescent="0.2">
      <c r="A186" s="69" t="str">
        <f>Listas!E181</f>
        <v>E27551 (Plata) | 5 - 12 µm</v>
      </c>
      <c r="B186" s="69" t="str">
        <f t="shared" si="2"/>
        <v>Plata</v>
      </c>
    </row>
    <row r="187" spans="1:2" x14ac:dyDescent="0.2">
      <c r="A187" s="69" t="str">
        <f>Listas!E182</f>
        <v>E27551 (Plata) | 5 - 8 µm</v>
      </c>
      <c r="B187" s="69" t="str">
        <f t="shared" si="2"/>
        <v>Plata</v>
      </c>
    </row>
    <row r="188" spans="1:2" x14ac:dyDescent="0.2">
      <c r="A188" s="69" t="str">
        <f>Listas!E183</f>
        <v>E27551 (Plata) | 8 - 12 µm</v>
      </c>
      <c r="B188" s="69" t="str">
        <f t="shared" si="2"/>
        <v>Plata</v>
      </c>
    </row>
    <row r="189" spans="1:2" x14ac:dyDescent="0.2">
      <c r="A189" s="69" t="str">
        <f>Listas!E184</f>
        <v>E27600 (Zinc) | 8 - 12 µm</v>
      </c>
      <c r="B189" s="69" t="str">
        <f t="shared" si="2"/>
        <v>Zinc</v>
      </c>
    </row>
    <row r="190" spans="1:2" x14ac:dyDescent="0.2">
      <c r="A190" s="69" t="str">
        <f>Listas!E185</f>
        <v>E27780 (Epóxico MT) | 50 - 100 mils</v>
      </c>
      <c r="B190" s="69" t="str">
        <f t="shared" si="2"/>
        <v>Epóxico</v>
      </c>
    </row>
    <row r="191" spans="1:2" x14ac:dyDescent="0.2">
      <c r="A191" s="69" t="str">
        <f>Listas!E186</f>
        <v>E27780 (Epóxico MT) | 80 - 100 mils</v>
      </c>
      <c r="B191" s="69" t="str">
        <f t="shared" si="2"/>
        <v>Epóxico</v>
      </c>
    </row>
    <row r="192" spans="1:2" x14ac:dyDescent="0.2">
      <c r="A192" s="69" t="str">
        <f>Listas!E187</f>
        <v>EIPS (Zinc - Niquel) | 8 - 12 µm</v>
      </c>
      <c r="B192" s="69" t="str">
        <f t="shared" si="2"/>
        <v>Zinc</v>
      </c>
    </row>
    <row r="193" spans="1:2" x14ac:dyDescent="0.2">
      <c r="A193" s="69" t="str">
        <f>Listas!E188</f>
        <v>ES-000101 (Epóxico MT Rojo) | 20 - 60 mils</v>
      </c>
      <c r="B193" s="69" t="str">
        <f t="shared" si="2"/>
        <v>Epóxico</v>
      </c>
    </row>
    <row r="194" spans="1:2" x14ac:dyDescent="0.2">
      <c r="A194" s="69" t="str">
        <f>Listas!E189</f>
        <v>ES-000101 (Epóxico MT Rojo) | 30 - 40 mils</v>
      </c>
      <c r="B194" s="69" t="str">
        <f t="shared" si="2"/>
        <v>Epóxico</v>
      </c>
    </row>
    <row r="195" spans="1:2" x14ac:dyDescent="0.2">
      <c r="A195" s="69" t="str">
        <f>Listas!E190</f>
        <v>F4383 (Estaño) | 7.62 - 25.4 µm</v>
      </c>
      <c r="B195" s="69" t="str">
        <f t="shared" si="2"/>
        <v>Estaño</v>
      </c>
    </row>
    <row r="196" spans="1:2" x14ac:dyDescent="0.2">
      <c r="A196" s="69" t="str">
        <f>Listas!E191</f>
        <v>F50HD3S (Deshidrogenado) | 115 - 121 °C | &gt;= 6 hrs.</v>
      </c>
      <c r="B196" s="69" t="str">
        <f t="shared" si="2"/>
        <v>Otros</v>
      </c>
    </row>
    <row r="197" spans="1:2" x14ac:dyDescent="0.2">
      <c r="A197" s="69" t="str">
        <f>Listas!E192</f>
        <v>F50KD12 (Estaño) | 0.254 - 1.5 µm | No aplica</v>
      </c>
      <c r="B197" s="69" t="str">
        <f t="shared" si="2"/>
        <v>Estaño</v>
      </c>
    </row>
    <row r="198" spans="1:2" x14ac:dyDescent="0.2">
      <c r="A198" s="69" t="str">
        <f>Listas!E193</f>
        <v>F70F2 (Estaño Mate) | 0.508 - 1.016 µm | 0.762 - 1.27 µm</v>
      </c>
      <c r="B198" s="69" t="str">
        <f t="shared" si="2"/>
        <v>Estaño</v>
      </c>
    </row>
    <row r="199" spans="1:2" x14ac:dyDescent="0.2">
      <c r="A199" s="69" t="str">
        <f>Listas!E194</f>
        <v>F70F2 (Estaño Mate) | 0.508 - 1.016 µm | 2.54 - 5.08 µm</v>
      </c>
      <c r="B199" s="69" t="str">
        <f t="shared" si="2"/>
        <v>Estaño</v>
      </c>
    </row>
    <row r="200" spans="1:2" x14ac:dyDescent="0.2">
      <c r="A200" s="69" t="str">
        <f>Listas!E195</f>
        <v>F70F2 (Estaño Mate) | 0.508 - 1.016 µm | 5.08 - 10.16 µm</v>
      </c>
      <c r="B200" s="69" t="str">
        <f t="shared" si="2"/>
        <v>Estaño</v>
      </c>
    </row>
    <row r="201" spans="1:2" x14ac:dyDescent="0.2">
      <c r="A201" s="69" t="str">
        <f>Listas!E196</f>
        <v>F70F2 (Estaño Mate) | 0.508 - 1.016 µm | No aplica</v>
      </c>
      <c r="B201" s="69" t="str">
        <f t="shared" si="2"/>
        <v>Estaño</v>
      </c>
    </row>
    <row r="202" spans="1:2" x14ac:dyDescent="0.2">
      <c r="A202" s="69" t="str">
        <f>Listas!E197</f>
        <v>F70F2 (Estaño Mate) | 12.7 - 19.05 µm | 0.762 - 1.27 µm</v>
      </c>
      <c r="B202" s="69" t="str">
        <f t="shared" ref="B202:B265" si="3">IF(OR(A202="",A202=0),"",_xlfn.LET(_xlpm.t,A202&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Estaño</v>
      </c>
    </row>
    <row r="203" spans="1:2" x14ac:dyDescent="0.2">
      <c r="A203" s="69" t="str">
        <f>Listas!E198</f>
        <v>F70F2 (Estaño Mate) | 12.7 - 19.05 µm | 2.54 - 5.08 µm</v>
      </c>
      <c r="B203" s="69" t="str">
        <f t="shared" si="3"/>
        <v>Estaño</v>
      </c>
    </row>
    <row r="204" spans="1:2" x14ac:dyDescent="0.2">
      <c r="A204" s="69" t="str">
        <f>Listas!E199</f>
        <v>F70F2 (Estaño Mate) | 12.7 - 19.05 µm | 5.08 - 10.16 µm</v>
      </c>
      <c r="B204" s="69" t="str">
        <f t="shared" si="3"/>
        <v>Estaño</v>
      </c>
    </row>
    <row r="205" spans="1:2" x14ac:dyDescent="0.2">
      <c r="A205" s="69" t="str">
        <f>Listas!E200</f>
        <v>F70F2 (Estaño Mate) | 12.7 - 19.05 µm | No aplica</v>
      </c>
      <c r="B205" s="69" t="str">
        <f t="shared" si="3"/>
        <v>Estaño</v>
      </c>
    </row>
    <row r="206" spans="1:2" x14ac:dyDescent="0.2">
      <c r="A206" s="69" t="str">
        <f>Listas!E201</f>
        <v>F70F2 (Estaño Mate) | 2.54 - 5.08 µm | 0.762 - 1.27 µm</v>
      </c>
      <c r="B206" s="69" t="str">
        <f t="shared" si="3"/>
        <v>Estaño</v>
      </c>
    </row>
    <row r="207" spans="1:2" x14ac:dyDescent="0.2">
      <c r="A207" s="69" t="str">
        <f>Listas!E202</f>
        <v>F70F2 (Estaño Mate) | 2.54 - 5.08 µm | 2.54 - 5.08 µm</v>
      </c>
      <c r="B207" s="69" t="str">
        <f t="shared" si="3"/>
        <v>Estaño</v>
      </c>
    </row>
    <row r="208" spans="1:2" x14ac:dyDescent="0.2">
      <c r="A208" s="69" t="str">
        <f>Listas!E203</f>
        <v>F70F2 (Estaño Mate) | 2.54 - 5.08 µm | 5.08 - 10.16 µm</v>
      </c>
      <c r="B208" s="69" t="str">
        <f t="shared" si="3"/>
        <v>Estaño</v>
      </c>
    </row>
    <row r="209" spans="1:2" x14ac:dyDescent="0.2">
      <c r="A209" s="69" t="str">
        <f>Listas!E204</f>
        <v>F70F2 (Estaño Mate) | 2.54 - 5.08 µm | No aplica</v>
      </c>
      <c r="B209" s="69" t="str">
        <f t="shared" si="3"/>
        <v>Estaño</v>
      </c>
    </row>
    <row r="210" spans="1:2" x14ac:dyDescent="0.2">
      <c r="A210" s="69" t="str">
        <f>Listas!E205</f>
        <v>F70F2 (Estaño Mate) | 25.4 - 38.1 µm | 0.762 - 1.27 µm</v>
      </c>
      <c r="B210" s="69" t="str">
        <f t="shared" si="3"/>
        <v>Estaño</v>
      </c>
    </row>
    <row r="211" spans="1:2" x14ac:dyDescent="0.2">
      <c r="A211" s="69" t="str">
        <f>Listas!E206</f>
        <v>F70F2 (Estaño Mate) | 25.4 - 38.1 µm | 2.54 - 5.08 µm</v>
      </c>
      <c r="B211" s="69" t="str">
        <f t="shared" si="3"/>
        <v>Estaño</v>
      </c>
    </row>
    <row r="212" spans="1:2" x14ac:dyDescent="0.2">
      <c r="A212" s="69" t="str">
        <f>Listas!E207</f>
        <v>F70F2 (Estaño Mate) | 25.4 - 38.1 µm | 5.08 - 10.16 µm</v>
      </c>
      <c r="B212" s="69" t="str">
        <f t="shared" si="3"/>
        <v>Estaño</v>
      </c>
    </row>
    <row r="213" spans="1:2" x14ac:dyDescent="0.2">
      <c r="A213" s="69" t="str">
        <f>Listas!E208</f>
        <v>F70F2 (Estaño Mate) | 25.4 - 38.1 µm | No aplica</v>
      </c>
      <c r="B213" s="69" t="str">
        <f t="shared" si="3"/>
        <v>Estaño</v>
      </c>
    </row>
    <row r="214" spans="1:2" x14ac:dyDescent="0.2">
      <c r="A214" s="69" t="str">
        <f>Listas!E209</f>
        <v>F70F2 (Estaño Mate) | 3.81 - 7.62 µm | 0.762 - 1.27 µm</v>
      </c>
      <c r="B214" s="69" t="str">
        <f t="shared" si="3"/>
        <v>Estaño</v>
      </c>
    </row>
    <row r="215" spans="1:2" x14ac:dyDescent="0.2">
      <c r="A215" s="69" t="str">
        <f>Listas!E210</f>
        <v>F70F2 (Estaño Mate) | 3.81 - 7.62 µm | 2.54 - 5.08 µm</v>
      </c>
      <c r="B215" s="69" t="str">
        <f t="shared" si="3"/>
        <v>Estaño</v>
      </c>
    </row>
    <row r="216" spans="1:2" x14ac:dyDescent="0.2">
      <c r="A216" s="69" t="str">
        <f>Listas!E211</f>
        <v>F70F2 (Estaño Mate) | 3.81 - 7.62 µm | 5.08 - 10.16 µm</v>
      </c>
      <c r="B216" s="69" t="str">
        <f t="shared" si="3"/>
        <v>Estaño</v>
      </c>
    </row>
    <row r="217" spans="1:2" x14ac:dyDescent="0.2">
      <c r="A217" s="69" t="str">
        <f>Listas!E212</f>
        <v>F70F2 (Estaño Mate) | 3.81 - 7.62 µm | No aplica</v>
      </c>
      <c r="B217" s="69" t="str">
        <f t="shared" si="3"/>
        <v>Estaño</v>
      </c>
    </row>
    <row r="218" spans="1:2" x14ac:dyDescent="0.2">
      <c r="A218" s="69" t="str">
        <f>Listas!E213</f>
        <v>F70F2 (Estaño Mate) | 5.08 - 10.16 µm | 0.762 - 1.27 µm</v>
      </c>
      <c r="B218" s="69" t="str">
        <f t="shared" si="3"/>
        <v>Estaño</v>
      </c>
    </row>
    <row r="219" spans="1:2" x14ac:dyDescent="0.2">
      <c r="A219" s="69" t="str">
        <f>Listas!E214</f>
        <v>F70F2 (Estaño Mate) | 5.08 - 10.16 µm | 2.54 - 5.08 µm</v>
      </c>
      <c r="B219" s="69" t="str">
        <f t="shared" si="3"/>
        <v>Estaño</v>
      </c>
    </row>
    <row r="220" spans="1:2" x14ac:dyDescent="0.2">
      <c r="A220" s="69" t="str">
        <f>Listas!E215</f>
        <v>F70F2 (Estaño Mate) | 5.08 - 10.16 µm | 5.08 - 10.16 µm</v>
      </c>
      <c r="B220" s="69" t="str">
        <f t="shared" si="3"/>
        <v>Estaño</v>
      </c>
    </row>
    <row r="221" spans="1:2" x14ac:dyDescent="0.2">
      <c r="A221" s="69" t="str">
        <f>Listas!E216</f>
        <v>F70F2 (Estaño Mate) | 5.08 - 10.16 µm | No aplica</v>
      </c>
      <c r="B221" s="69" t="str">
        <f t="shared" si="3"/>
        <v>Estaño</v>
      </c>
    </row>
    <row r="222" spans="1:2" x14ac:dyDescent="0.2">
      <c r="A222" s="69" t="str">
        <f>Listas!E217</f>
        <v>F70H2 (Plata Mate) | 0.3 - 0.6 µm</v>
      </c>
      <c r="B222" s="69" t="str">
        <f t="shared" si="3"/>
        <v>Plata</v>
      </c>
    </row>
    <row r="223" spans="1:2" x14ac:dyDescent="0.2">
      <c r="A223" s="69" t="str">
        <f>Listas!E218</f>
        <v>F70H2 (Plata Mate) | 0.508 - 1.016 µm</v>
      </c>
      <c r="B223" s="69" t="str">
        <f t="shared" si="3"/>
        <v>Plata</v>
      </c>
    </row>
    <row r="224" spans="1:2" x14ac:dyDescent="0.2">
      <c r="A224" s="69" t="str">
        <f>Listas!E219</f>
        <v>F70H2 (Plata Mate) | 10.16 - 15.24 µm</v>
      </c>
      <c r="B224" s="69" t="str">
        <f t="shared" si="3"/>
        <v>Plata</v>
      </c>
    </row>
    <row r="225" spans="1:2" x14ac:dyDescent="0.2">
      <c r="A225" s="69" t="str">
        <f>Listas!E220</f>
        <v>F70H2 (Plata Mate) | 12.7 - 19.05 µm</v>
      </c>
      <c r="B225" s="69" t="str">
        <f t="shared" si="3"/>
        <v>Plata</v>
      </c>
    </row>
    <row r="226" spans="1:2" x14ac:dyDescent="0.2">
      <c r="A226" s="69" t="str">
        <f>Listas!E221</f>
        <v>F70H2 (Plata Mate) | 2.54 - 7.62 µm</v>
      </c>
      <c r="B226" s="69" t="str">
        <f t="shared" si="3"/>
        <v>Plata</v>
      </c>
    </row>
    <row r="227" spans="1:2" x14ac:dyDescent="0.2">
      <c r="A227" s="69" t="str">
        <f>Listas!E222</f>
        <v>F70H2 (Plata Mate) | 25.4 - 38.1 µm</v>
      </c>
      <c r="B227" s="69" t="str">
        <f t="shared" si="3"/>
        <v>Plata</v>
      </c>
    </row>
    <row r="228" spans="1:2" x14ac:dyDescent="0.2">
      <c r="A228" s="69" t="str">
        <f>Listas!E223</f>
        <v>F70H2 (Plata Mate) | 5.08 - 10.16 µm</v>
      </c>
      <c r="B228" s="69" t="str">
        <f t="shared" si="3"/>
        <v>Plata</v>
      </c>
    </row>
    <row r="229" spans="1:2" x14ac:dyDescent="0.2">
      <c r="A229" s="69" t="str">
        <f>Listas!E224</f>
        <v>F70H3 (Plata Semibrillante) | 12.7 - 19.05 µm</v>
      </c>
      <c r="B229" s="69" t="str">
        <f t="shared" si="3"/>
        <v>Plata</v>
      </c>
    </row>
    <row r="230" spans="1:2" x14ac:dyDescent="0.2">
      <c r="A230" s="69" t="str">
        <f>Listas!E225</f>
        <v>F70H3 (Plata Semibrillante) | 2.54 - 5.08 µm</v>
      </c>
      <c r="B230" s="69" t="str">
        <f t="shared" si="3"/>
        <v>Plata</v>
      </c>
    </row>
    <row r="231" spans="1:2" x14ac:dyDescent="0.2">
      <c r="A231" s="69" t="str">
        <f>Listas!E226</f>
        <v>F70H3 (Plata Semibrillante) | 5.08 - 10.16 µm</v>
      </c>
      <c r="B231" s="69" t="str">
        <f t="shared" si="3"/>
        <v>Plata</v>
      </c>
    </row>
    <row r="232" spans="1:2" x14ac:dyDescent="0.2">
      <c r="A232" s="69" t="str">
        <f>Listas!E227</f>
        <v>F71B1 (Estaño) | 0.762 - 1.27 µm | 0.5 - 1.0 µm</v>
      </c>
      <c r="B232" s="69" t="str">
        <f t="shared" si="3"/>
        <v>Estaño</v>
      </c>
    </row>
    <row r="233" spans="1:2" x14ac:dyDescent="0.2">
      <c r="A233" s="69" t="str">
        <f>Listas!E228</f>
        <v>F71B1 (Estaño) | 0.762 - 1.27 µm | No aplica</v>
      </c>
      <c r="B233" s="69" t="str">
        <f t="shared" si="3"/>
        <v>Estaño</v>
      </c>
    </row>
    <row r="234" spans="1:2" x14ac:dyDescent="0.2">
      <c r="A234" s="69" t="str">
        <f>Listas!E229</f>
        <v>F71D1 (Plata) | 0.076 - 0.152 µm</v>
      </c>
      <c r="B234" s="69" t="str">
        <f t="shared" si="3"/>
        <v>Plata</v>
      </c>
    </row>
    <row r="235" spans="1:2" x14ac:dyDescent="0.2">
      <c r="A235" s="69" t="str">
        <f>Listas!E230</f>
        <v>F71D1 (Plata) | 0.508 - 1.016 µm</v>
      </c>
      <c r="B235" s="69" t="str">
        <f t="shared" si="3"/>
        <v>Plata</v>
      </c>
    </row>
    <row r="236" spans="1:2" x14ac:dyDescent="0.2">
      <c r="A236" s="69" t="str">
        <f>Listas!E231</f>
        <v>FC-F01 | 8.0 - 12.5 µm</v>
      </c>
      <c r="B236" s="69" t="str">
        <f t="shared" si="3"/>
        <v>Otros</v>
      </c>
    </row>
    <row r="237" spans="1:2" x14ac:dyDescent="0.2">
      <c r="A237" s="69" t="str">
        <f>Listas!E232</f>
        <v>FFS 3A9 (Zinc) | 5 - 12 µm</v>
      </c>
      <c r="B237" s="69" t="str">
        <f t="shared" si="3"/>
        <v>Zinc</v>
      </c>
    </row>
    <row r="238" spans="1:2" x14ac:dyDescent="0.2">
      <c r="A238" s="69" t="str">
        <f>Listas!E233</f>
        <v>FFS-1A1 (Fosfato de Zinc) | 10 - 35 µm</v>
      </c>
      <c r="B238" s="69" t="str">
        <f t="shared" si="3"/>
        <v>Zinc</v>
      </c>
    </row>
    <row r="239" spans="1:2" x14ac:dyDescent="0.2">
      <c r="A239" s="69" t="str">
        <f>Listas!E234</f>
        <v>FFS-1A1 (Fosfato de Zinc) | 8 - 12 µm</v>
      </c>
      <c r="B239" s="69" t="str">
        <f t="shared" si="3"/>
        <v>Zinc</v>
      </c>
    </row>
    <row r="240" spans="1:2" x14ac:dyDescent="0.2">
      <c r="A240" s="69" t="str">
        <f>Listas!E235</f>
        <v>FFS-1C1 (Fosfato de Zinc c/Aceite) | 15 - 45 µm</v>
      </c>
      <c r="B240" s="69" t="str">
        <f t="shared" si="3"/>
        <v>Zinc</v>
      </c>
    </row>
    <row r="241" spans="1:2" x14ac:dyDescent="0.2">
      <c r="A241" s="69" t="str">
        <f>Listas!E236</f>
        <v>FFS-2B4 (Zinc Cromato Verde - Amarillo - Claro) | 12.7 - 17.78 µm</v>
      </c>
      <c r="B241" s="69" t="str">
        <f t="shared" si="3"/>
        <v>Zinc</v>
      </c>
    </row>
    <row r="242" spans="1:2" x14ac:dyDescent="0.2">
      <c r="A242" s="69" t="str">
        <f>Listas!E237</f>
        <v>FFS-2B4 (Zinc Cromato Verde - Amarillo - Claro) | 3.81 - 6.35 µm</v>
      </c>
      <c r="B242" s="69" t="str">
        <f t="shared" si="3"/>
        <v>Zinc</v>
      </c>
    </row>
    <row r="243" spans="1:2" x14ac:dyDescent="0.2">
      <c r="A243" s="69" t="str">
        <f>Listas!E238</f>
        <v>FFS-2B4 (Zinc Cromato Verde - Amarillo - Claro) | 6.35 - 8.89 µm</v>
      </c>
      <c r="B243" s="69" t="str">
        <f t="shared" si="3"/>
        <v>Zinc</v>
      </c>
    </row>
    <row r="244" spans="1:2" x14ac:dyDescent="0.2">
      <c r="A244" s="69" t="str">
        <f>Listas!E239</f>
        <v>FFS-2E3 (Cromo Duro) | 12.7 - 17.78 µm</v>
      </c>
      <c r="B244" s="69" t="str">
        <f t="shared" si="3"/>
        <v>Otros</v>
      </c>
    </row>
    <row r="245" spans="1:2" x14ac:dyDescent="0.2">
      <c r="A245" s="69" t="str">
        <f>Listas!E240</f>
        <v>FFS-2E3 (Cromo Duro) | 19.05 - 31.75 µm</v>
      </c>
      <c r="B245" s="69" t="str">
        <f t="shared" si="3"/>
        <v>Otros</v>
      </c>
    </row>
    <row r="246" spans="1:2" x14ac:dyDescent="0.2">
      <c r="A246" s="69" t="str">
        <f>Listas!E241</f>
        <v>FFS-2E3 (Cromo Duro) | 25 - 38 µm</v>
      </c>
      <c r="B246" s="69" t="str">
        <f t="shared" si="3"/>
        <v>Otros</v>
      </c>
    </row>
    <row r="247" spans="1:2" x14ac:dyDescent="0.2">
      <c r="A247" s="69" t="str">
        <f>Listas!E242</f>
        <v>FFS-2E3 (Cromo Duro) | 38.5 - 63.5 µm</v>
      </c>
      <c r="B247" s="69" t="str">
        <f t="shared" si="3"/>
        <v>Otros</v>
      </c>
    </row>
    <row r="248" spans="1:2" x14ac:dyDescent="0.2">
      <c r="A248" s="69" t="str">
        <f>Listas!E243</f>
        <v>FFS-2E3 (Cromo Duro) | 5.08 - 7.62 µm</v>
      </c>
      <c r="B248" s="69" t="str">
        <f t="shared" si="3"/>
        <v>Otros</v>
      </c>
    </row>
    <row r="249" spans="1:2" x14ac:dyDescent="0.2">
      <c r="A249" s="69" t="str">
        <f>Listas!E244</f>
        <v>FFS-2E3 (Cromo Duro) | 50.8 - 63.5 µm</v>
      </c>
      <c r="B249" s="69" t="str">
        <f t="shared" si="3"/>
        <v>Otros</v>
      </c>
    </row>
    <row r="250" spans="1:2" x14ac:dyDescent="0.2">
      <c r="A250" s="69" t="str">
        <f>Listas!E245</f>
        <v>FFS-2E3 (Cromo Duro) | 63.5 - 88.9 µm</v>
      </c>
      <c r="B250" s="69" t="str">
        <f t="shared" si="3"/>
        <v>Otros</v>
      </c>
    </row>
    <row r="251" spans="1:2" x14ac:dyDescent="0.2">
      <c r="A251" s="69" t="str">
        <f>Listas!E246</f>
        <v>FFS-2E3 (Cromo Duro) | 7.62 - 12.7 µm</v>
      </c>
      <c r="B251" s="69" t="str">
        <f t="shared" si="3"/>
        <v>Otros</v>
      </c>
    </row>
    <row r="252" spans="1:2" x14ac:dyDescent="0.2">
      <c r="A252" s="69" t="str">
        <f>Listas!E247</f>
        <v>FFS-3A9 (Iridizado)</v>
      </c>
      <c r="B252" s="69" t="str">
        <f t="shared" si="3"/>
        <v>Otros</v>
      </c>
    </row>
    <row r="253" spans="1:2" x14ac:dyDescent="0.2">
      <c r="A253" s="69" t="str">
        <f>Listas!E248</f>
        <v>FGS-8B7 (Deshidrogenado / Horneado) | 190 - 204 °C (375 - 400 °F) | 337 - 349 (650 ± 10 °F) | &gt;= 0.5 hrs.</v>
      </c>
      <c r="B253" s="69" t="str">
        <f t="shared" si="3"/>
        <v>Otros</v>
      </c>
    </row>
    <row r="254" spans="1:2" x14ac:dyDescent="0.2">
      <c r="A254" s="69" t="str">
        <f>Listas!E249</f>
        <v>FGS-8B7 (Deshidrogenado / Horneado) | 190 - 204 °C (375 - 400 °F) | 337 - 349 (650 ± 10 °F) | &gt;= 1 hrs.</v>
      </c>
      <c r="B254" s="69" t="str">
        <f t="shared" si="3"/>
        <v>Otros</v>
      </c>
    </row>
    <row r="255" spans="1:2" x14ac:dyDescent="0.2">
      <c r="A255" s="69" t="str">
        <f>Listas!E250</f>
        <v>FGS-8B7 (Deshidrogenado / Horneado) | 190 - 204 °C (375 - 400 °F) | 337 - 349 (650 ± 10 °F) | &gt;= 10 hrs.</v>
      </c>
      <c r="B255" s="69" t="str">
        <f t="shared" si="3"/>
        <v>Otros</v>
      </c>
    </row>
    <row r="256" spans="1:2" x14ac:dyDescent="0.2">
      <c r="A256" s="69" t="str">
        <f>Listas!E251</f>
        <v>FGS-8B7 (Deshidrogenado / Horneado) | 190 - 204 °C (375 - 400 °F) | 337 - 349 (650 ± 10 °F) | &gt;= 14 hrs.</v>
      </c>
      <c r="B256" s="69" t="str">
        <f t="shared" si="3"/>
        <v>Otros</v>
      </c>
    </row>
    <row r="257" spans="1:2" x14ac:dyDescent="0.2">
      <c r="A257" s="69" t="str">
        <f>Listas!E252</f>
        <v>FGS-8B7 (Deshidrogenado / Horneado) | 190 - 204 °C (375 - 400 °F) | 337 - 349 (650 ± 10 °F) | &gt;= 2 hrs.</v>
      </c>
      <c r="B257" s="69" t="str">
        <f t="shared" si="3"/>
        <v>Otros</v>
      </c>
    </row>
    <row r="258" spans="1:2" x14ac:dyDescent="0.2">
      <c r="A258" s="69" t="str">
        <f>Listas!E253</f>
        <v>FGS-8B7 (Deshidrogenado / Horneado) | 190 - 204 °C (375 - 400 °F) | 337 - 349 (650 ± 10 °F) | &gt;= 24 hrs.</v>
      </c>
      <c r="B258" s="69" t="str">
        <f t="shared" si="3"/>
        <v>Otros</v>
      </c>
    </row>
    <row r="259" spans="1:2" x14ac:dyDescent="0.2">
      <c r="A259" s="69" t="str">
        <f>Listas!E254</f>
        <v>FGS-8B7 (Deshidrogenado / Horneado) | 190 - 204 °C (375 - 400 °F) | 337 - 349 (650 ± 10 °F) | &gt;= 3 hrs.</v>
      </c>
      <c r="B259" s="69" t="str">
        <f t="shared" si="3"/>
        <v>Otros</v>
      </c>
    </row>
    <row r="260" spans="1:2" x14ac:dyDescent="0.2">
      <c r="A260" s="69" t="str">
        <f>Listas!E255</f>
        <v>FGS-8B7 (Deshidrogenado / Horneado) | 190 - 204 °C (375 - 400 °F) | 337 - 349 (650 ± 10 °F) | &gt;= 4 hrs.</v>
      </c>
      <c r="B260" s="69" t="str">
        <f t="shared" si="3"/>
        <v>Otros</v>
      </c>
    </row>
    <row r="261" spans="1:2" x14ac:dyDescent="0.2">
      <c r="A261" s="69" t="str">
        <f>Listas!E256</f>
        <v>FGS-8B7 (Deshidrogenado / Horneado) | 190 - 204 °C (375 - 400 °F) | 337 - 349 (650 ± 10 °F) | &gt;= 5 hrs.</v>
      </c>
      <c r="B261" s="69" t="str">
        <f t="shared" si="3"/>
        <v>Otros</v>
      </c>
    </row>
    <row r="262" spans="1:2" x14ac:dyDescent="0.2">
      <c r="A262" s="69" t="str">
        <f>Listas!E257</f>
        <v>FGS-8B7 (Deshidrogenado / Horneado) | 190 - 204 °C (375 - 400 °F) | 337 - 349 (650 ± 10 °F) | &gt;= 6 hrs.</v>
      </c>
      <c r="B262" s="69" t="str">
        <f t="shared" si="3"/>
        <v>Otros</v>
      </c>
    </row>
    <row r="263" spans="1:2" x14ac:dyDescent="0.2">
      <c r="A263" s="69" t="str">
        <f>Listas!E258</f>
        <v>FGS-8B7 (Deshidrogenado / Horneado) | 190 - 204 °C (375 - 400 °F) | 337 - 349 (650 ± 10 °F) | &gt;= 8 hrs.</v>
      </c>
      <c r="B263" s="69" t="str">
        <f t="shared" si="3"/>
        <v>Otros</v>
      </c>
    </row>
    <row r="264" spans="1:2" x14ac:dyDescent="0.2">
      <c r="A264" s="69" t="str">
        <f>Listas!E259</f>
        <v>FGS-8B7 (Deshidrogenado / Horneado) | 190 - 204 °C (375 - 400 °F) | No aplica | &gt;= 0.5 hrs.</v>
      </c>
      <c r="B264" s="69" t="str">
        <f t="shared" si="3"/>
        <v>Otros</v>
      </c>
    </row>
    <row r="265" spans="1:2" x14ac:dyDescent="0.2">
      <c r="A265" s="69" t="str">
        <f>Listas!E260</f>
        <v>FGS-8B7 (Deshidrogenado / Horneado) | 190 - 204 °C (375 - 400 °F) | No aplica | &gt;= 1 hrs.</v>
      </c>
      <c r="B265" s="69" t="str">
        <f t="shared" si="3"/>
        <v>Otros</v>
      </c>
    </row>
    <row r="266" spans="1:2" x14ac:dyDescent="0.2">
      <c r="A266" s="69" t="str">
        <f>Listas!E261</f>
        <v>FGS-8B7 (Deshidrogenado / Horneado) | 190 - 204 °C (375 - 400 °F) | No aplica | &gt;= 10 hrs.</v>
      </c>
      <c r="B266" s="69" t="str">
        <f t="shared" ref="B266:B329" si="4">IF(OR(A266="",A266=0),"",_xlfn.LET(_xlpm.t,A266&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Otros</v>
      </c>
    </row>
    <row r="267" spans="1:2" x14ac:dyDescent="0.2">
      <c r="A267" s="69" t="str">
        <f>Listas!E262</f>
        <v>FGS-8B7 (Deshidrogenado / Horneado) | 190 - 204 °C (375 - 400 °F) | No aplica | &gt;= 14 hrs.</v>
      </c>
      <c r="B267" s="69" t="str">
        <f t="shared" si="4"/>
        <v>Otros</v>
      </c>
    </row>
    <row r="268" spans="1:2" x14ac:dyDescent="0.2">
      <c r="A268" s="69" t="str">
        <f>Listas!E263</f>
        <v>FGS-8B7 (Deshidrogenado / Horneado) | 190 - 204 °C (375 - 400 °F) | No aplica | &gt;= 2 hrs.</v>
      </c>
      <c r="B268" s="69" t="str">
        <f t="shared" si="4"/>
        <v>Otros</v>
      </c>
    </row>
    <row r="269" spans="1:2" x14ac:dyDescent="0.2">
      <c r="A269" s="69" t="str">
        <f>Listas!E264</f>
        <v>FGS-8B7 (Deshidrogenado / Horneado) | 190 - 204 °C (375 - 400 °F) | No aplica | &gt;= 24 hrs.</v>
      </c>
      <c r="B269" s="69" t="str">
        <f t="shared" si="4"/>
        <v>Otros</v>
      </c>
    </row>
    <row r="270" spans="1:2" x14ac:dyDescent="0.2">
      <c r="A270" s="69" t="str">
        <f>Listas!E265</f>
        <v>FGS-8B7 (Deshidrogenado / Horneado) | 190 - 204 °C (375 - 400 °F) | No aplica | &gt;= 3 hrs.</v>
      </c>
      <c r="B270" s="69" t="str">
        <f t="shared" si="4"/>
        <v>Otros</v>
      </c>
    </row>
    <row r="271" spans="1:2" x14ac:dyDescent="0.2">
      <c r="A271" s="69" t="str">
        <f>Listas!E266</f>
        <v>FGS-8B7 (Deshidrogenado / Horneado) | 190 - 204 °C (375 - 400 °F) | No aplica | &gt;= 4 hrs.</v>
      </c>
      <c r="B271" s="69" t="str">
        <f t="shared" si="4"/>
        <v>Otros</v>
      </c>
    </row>
    <row r="272" spans="1:2" x14ac:dyDescent="0.2">
      <c r="A272" s="69" t="str">
        <f>Listas!E267</f>
        <v>FGS-8B7 (Deshidrogenado / Horneado) | 190 - 204 °C (375 - 400 °F) | No aplica | &gt;= 5 hrs.</v>
      </c>
      <c r="B272" s="69" t="str">
        <f t="shared" si="4"/>
        <v>Otros</v>
      </c>
    </row>
    <row r="273" spans="1:2" x14ac:dyDescent="0.2">
      <c r="A273" s="69" t="str">
        <f>Listas!E268</f>
        <v>FGS-8B7 (Deshidrogenado / Horneado) | 190 - 204 °C (375 - 400 °F) | No aplica | &gt;= 6 hrs.</v>
      </c>
      <c r="B273" s="69" t="str">
        <f t="shared" si="4"/>
        <v>Otros</v>
      </c>
    </row>
    <row r="274" spans="1:2" x14ac:dyDescent="0.2">
      <c r="A274" s="69" t="str">
        <f>Listas!E269</f>
        <v>FGS-8B7 (Deshidrogenado / Horneado) | 190 - 204 °C (375 - 400 °F) | No aplica | &gt;= 8 hrs.</v>
      </c>
      <c r="B274" s="69" t="str">
        <f t="shared" si="4"/>
        <v>Otros</v>
      </c>
    </row>
    <row r="275" spans="1:2" x14ac:dyDescent="0.2">
      <c r="A275" s="69" t="str">
        <f>Listas!E270</f>
        <v>FGS-8B7 (Deshidrogenado / Horneado) | No aplica | 337 - 349 (650 ± 10 °F) | &gt;= 0.5 hrs.</v>
      </c>
      <c r="B275" s="69" t="str">
        <f t="shared" si="4"/>
        <v>Otros</v>
      </c>
    </row>
    <row r="276" spans="1:2" x14ac:dyDescent="0.2">
      <c r="A276" s="69" t="str">
        <f>Listas!E271</f>
        <v>FGS-8B7 (Deshidrogenado / Horneado) | No aplica | 337 - 349 (650 ± 10 °F) | &gt;= 1 hrs.</v>
      </c>
      <c r="B276" s="69" t="str">
        <f t="shared" si="4"/>
        <v>Otros</v>
      </c>
    </row>
    <row r="277" spans="1:2" x14ac:dyDescent="0.2">
      <c r="A277" s="69" t="str">
        <f>Listas!E272</f>
        <v>FGS-8B7 (Deshidrogenado / Horneado) | No aplica | 337 - 349 (650 ± 10 °F) | &gt;= 10 hrs.</v>
      </c>
      <c r="B277" s="69" t="str">
        <f t="shared" si="4"/>
        <v>Otros</v>
      </c>
    </row>
    <row r="278" spans="1:2" x14ac:dyDescent="0.2">
      <c r="A278" s="69" t="str">
        <f>Listas!E273</f>
        <v>FGS-8B7 (Deshidrogenado / Horneado) | No aplica | 337 - 349 (650 ± 10 °F) | &gt;= 14 hrs.</v>
      </c>
      <c r="B278" s="69" t="str">
        <f t="shared" si="4"/>
        <v>Otros</v>
      </c>
    </row>
    <row r="279" spans="1:2" x14ac:dyDescent="0.2">
      <c r="A279" s="69" t="str">
        <f>Listas!E274</f>
        <v>FGS-8B7 (Deshidrogenado / Horneado) | No aplica | 337 - 349 (650 ± 10 °F) | &gt;= 2 hrs.</v>
      </c>
      <c r="B279" s="69" t="str">
        <f t="shared" si="4"/>
        <v>Otros</v>
      </c>
    </row>
    <row r="280" spans="1:2" x14ac:dyDescent="0.2">
      <c r="A280" s="69" t="str">
        <f>Listas!E275</f>
        <v>FGS-8B7 (Deshidrogenado / Horneado) | No aplica | 337 - 349 (650 ± 10 °F) | &gt;= 24 hrs.</v>
      </c>
      <c r="B280" s="69" t="str">
        <f t="shared" si="4"/>
        <v>Otros</v>
      </c>
    </row>
    <row r="281" spans="1:2" x14ac:dyDescent="0.2">
      <c r="A281" s="69" t="str">
        <f>Listas!E276</f>
        <v>FGS-8B7 (Deshidrogenado / Horneado) | No aplica | 337 - 349 (650 ± 10 °F) | &gt;= 3 hrs.</v>
      </c>
      <c r="B281" s="69" t="str">
        <f t="shared" si="4"/>
        <v>Otros</v>
      </c>
    </row>
    <row r="282" spans="1:2" x14ac:dyDescent="0.2">
      <c r="A282" s="69" t="str">
        <f>Listas!E277</f>
        <v>FGS-8B7 (Deshidrogenado / Horneado) | No aplica | 337 - 349 (650 ± 10 °F) | &gt;= 4 hrs.</v>
      </c>
      <c r="B282" s="69" t="str">
        <f t="shared" si="4"/>
        <v>Otros</v>
      </c>
    </row>
    <row r="283" spans="1:2" x14ac:dyDescent="0.2">
      <c r="A283" s="69" t="str">
        <f>Listas!E278</f>
        <v>FGS-8B7 (Deshidrogenado / Horneado) | No aplica | 337 - 349 (650 ± 10 °F) | &gt;= 5 hrs.</v>
      </c>
      <c r="B283" s="69" t="str">
        <f t="shared" si="4"/>
        <v>Otros</v>
      </c>
    </row>
    <row r="284" spans="1:2" x14ac:dyDescent="0.2">
      <c r="A284" s="69" t="str">
        <f>Listas!E279</f>
        <v>FGS-8B7 (Deshidrogenado / Horneado) | No aplica | 337 - 349 (650 ± 10 °F) | &gt;= 6 hrs.</v>
      </c>
      <c r="B284" s="69" t="str">
        <f t="shared" si="4"/>
        <v>Otros</v>
      </c>
    </row>
    <row r="285" spans="1:2" x14ac:dyDescent="0.2">
      <c r="A285" s="69" t="str">
        <f>Listas!E280</f>
        <v>FGS-8B7 (Deshidrogenado / Horneado) | No aplica | 337 - 349 (650 ± 10 °F) | &gt;= 8 hrs.</v>
      </c>
      <c r="B285" s="69" t="str">
        <f t="shared" si="4"/>
        <v>Otros</v>
      </c>
    </row>
    <row r="286" spans="1:2" x14ac:dyDescent="0.2">
      <c r="A286" s="69" t="str">
        <f>Listas!E281</f>
        <v>FGS-8B7 (Deshidrogenado / Horneado) | No aplica | No aplica | &gt;= 0.5 hrs.</v>
      </c>
      <c r="B286" s="69" t="str">
        <f t="shared" si="4"/>
        <v>Otros</v>
      </c>
    </row>
    <row r="287" spans="1:2" x14ac:dyDescent="0.2">
      <c r="A287" s="69" t="str">
        <f>Listas!E282</f>
        <v>FGS-8B7 (Deshidrogenado / Horneado) | No aplica | No aplica | &gt;= 1 hrs.</v>
      </c>
      <c r="B287" s="69" t="str">
        <f t="shared" si="4"/>
        <v>Otros</v>
      </c>
    </row>
    <row r="288" spans="1:2" x14ac:dyDescent="0.2">
      <c r="A288" s="69" t="str">
        <f>Listas!E283</f>
        <v>FGS-8B7 (Deshidrogenado / Horneado) | No aplica | No aplica | &gt;= 10 hrs.</v>
      </c>
      <c r="B288" s="69" t="str">
        <f t="shared" si="4"/>
        <v>Otros</v>
      </c>
    </row>
    <row r="289" spans="1:2" x14ac:dyDescent="0.2">
      <c r="A289" s="69" t="str">
        <f>Listas!E284</f>
        <v>FGS-8B7 (Deshidrogenado / Horneado) | No aplica | No aplica | &gt;= 14 hrs.</v>
      </c>
      <c r="B289" s="69" t="str">
        <f t="shared" si="4"/>
        <v>Otros</v>
      </c>
    </row>
    <row r="290" spans="1:2" x14ac:dyDescent="0.2">
      <c r="A290" s="69" t="str">
        <f>Listas!E285</f>
        <v>FGS-8B7 (Deshidrogenado / Horneado) | No aplica | No aplica | &gt;= 2 hrs.</v>
      </c>
      <c r="B290" s="69" t="str">
        <f t="shared" si="4"/>
        <v>Otros</v>
      </c>
    </row>
    <row r="291" spans="1:2" x14ac:dyDescent="0.2">
      <c r="A291" s="69" t="str">
        <f>Listas!E286</f>
        <v>FGS-8B7 (Deshidrogenado / Horneado) | No aplica | No aplica | &gt;= 24 hrs.</v>
      </c>
      <c r="B291" s="69" t="str">
        <f t="shared" si="4"/>
        <v>Otros</v>
      </c>
    </row>
    <row r="292" spans="1:2" x14ac:dyDescent="0.2">
      <c r="A292" s="69" t="str">
        <f>Listas!E287</f>
        <v>FGS-8B7 (Deshidrogenado / Horneado) | No aplica | No aplica | &gt;= 3 hrs.</v>
      </c>
      <c r="B292" s="69" t="str">
        <f t="shared" si="4"/>
        <v>Otros</v>
      </c>
    </row>
    <row r="293" spans="1:2" x14ac:dyDescent="0.2">
      <c r="A293" s="69" t="str">
        <f>Listas!E288</f>
        <v>FGS-8B7 (Deshidrogenado / Horneado) | No aplica | No aplica | &gt;= 4 hrs.</v>
      </c>
      <c r="B293" s="69" t="str">
        <f t="shared" si="4"/>
        <v>Otros</v>
      </c>
    </row>
    <row r="294" spans="1:2" x14ac:dyDescent="0.2">
      <c r="A294" s="69" t="str">
        <f>Listas!E289</f>
        <v>FGS-8B7 (Deshidrogenado / Horneado) | No aplica | No aplica | &gt;= 5 hrs.</v>
      </c>
      <c r="B294" s="69" t="str">
        <f t="shared" si="4"/>
        <v>Otros</v>
      </c>
    </row>
    <row r="295" spans="1:2" x14ac:dyDescent="0.2">
      <c r="A295" s="69" t="str">
        <f>Listas!E290</f>
        <v>FGS-8B7 (Deshidrogenado / Horneado) | No aplica | No aplica | &gt;= 6 hrs.</v>
      </c>
      <c r="B295" s="69" t="str">
        <f t="shared" si="4"/>
        <v>Otros</v>
      </c>
    </row>
    <row r="296" spans="1:2" x14ac:dyDescent="0.2">
      <c r="A296" s="69" t="str">
        <f>Listas!E291</f>
        <v>FGS-8B7 (Deshidrogenado / Horneado) | No aplica | No aplica | &gt;= 8 hrs.</v>
      </c>
      <c r="B296" s="69" t="str">
        <f t="shared" si="4"/>
        <v>Otros</v>
      </c>
    </row>
    <row r="297" spans="1:2" x14ac:dyDescent="0.2">
      <c r="A297" s="69" t="str">
        <f>Listas!E292</f>
        <v>FGS-8B7 (Níquel Electroless) | 50.8 - 63.5 µm</v>
      </c>
      <c r="B297" s="69" t="str">
        <f t="shared" si="4"/>
        <v>Níquel</v>
      </c>
    </row>
    <row r="298" spans="1:2" x14ac:dyDescent="0.2">
      <c r="A298" s="69" t="str">
        <f>Listas!E293</f>
        <v>FTR00025 (Zinc) | 12 - 25 µm</v>
      </c>
      <c r="B298" s="69" t="str">
        <f t="shared" si="4"/>
        <v>Zinc</v>
      </c>
    </row>
    <row r="299" spans="1:2" x14ac:dyDescent="0.2">
      <c r="A299" s="69" t="str">
        <f>Listas!E294</f>
        <v>FTR00025 (Zinc) | 25 - 40 µm</v>
      </c>
      <c r="B299" s="69" t="str">
        <f t="shared" si="4"/>
        <v>Zinc</v>
      </c>
    </row>
    <row r="300" spans="1:2" x14ac:dyDescent="0.2">
      <c r="A300" s="69" t="str">
        <f>Listas!E295</f>
        <v>FTR00025 (Zinc) | 40 - 50 µm</v>
      </c>
      <c r="B300" s="69" t="str">
        <f t="shared" si="4"/>
        <v>Zinc</v>
      </c>
    </row>
    <row r="301" spans="1:2" x14ac:dyDescent="0.2">
      <c r="A301" s="69" t="str">
        <f>Listas!E296</f>
        <v>FTR00025 (Zinc) | 5 - 8 µm</v>
      </c>
      <c r="B301" s="69" t="str">
        <f t="shared" si="4"/>
        <v>Zinc</v>
      </c>
    </row>
    <row r="302" spans="1:2" x14ac:dyDescent="0.2">
      <c r="A302" s="69" t="str">
        <f>Listas!E297</f>
        <v>FTR00025 (Zinc) | 8 - 12 µm</v>
      </c>
      <c r="B302" s="69" t="str">
        <f t="shared" si="4"/>
        <v>Zinc</v>
      </c>
    </row>
    <row r="303" spans="1:2" x14ac:dyDescent="0.2">
      <c r="A303" s="69" t="str">
        <f>Listas!E298</f>
        <v>FTR00047 (Plata) | 2 - 5 µm</v>
      </c>
      <c r="B303" s="69" t="str">
        <f t="shared" si="4"/>
        <v>Plata</v>
      </c>
    </row>
    <row r="304" spans="1:2" x14ac:dyDescent="0.2">
      <c r="A304" s="69" t="str">
        <f>Listas!E299</f>
        <v>FTR00047 (Plata) | 5 - 8 µm</v>
      </c>
      <c r="B304" s="69" t="str">
        <f t="shared" si="4"/>
        <v>Plata</v>
      </c>
    </row>
    <row r="305" spans="1:2" x14ac:dyDescent="0.2">
      <c r="A305" s="69" t="str">
        <f>Listas!E300</f>
        <v>FTR00055 (Níquel) | 2 - 4 µm</v>
      </c>
      <c r="B305" s="69" t="str">
        <f t="shared" si="4"/>
        <v>Níquel</v>
      </c>
    </row>
    <row r="306" spans="1:2" x14ac:dyDescent="0.2">
      <c r="A306" s="69" t="str">
        <f>Listas!E301</f>
        <v>GDE1214700 (Antitarnish)</v>
      </c>
      <c r="B306" s="69" t="str">
        <f t="shared" si="4"/>
        <v>Otros</v>
      </c>
    </row>
    <row r="307" spans="1:2" x14ac:dyDescent="0.2">
      <c r="A307" s="69" t="str">
        <f>Listas!E302</f>
        <v>GG QTLV 5115 (Níquel Sulfamato) | 5 - 15 µm</v>
      </c>
      <c r="B307" s="69" t="str">
        <f t="shared" si="4"/>
        <v>Níquel</v>
      </c>
    </row>
    <row r="308" spans="1:2" x14ac:dyDescent="0.2">
      <c r="A308" s="69" t="str">
        <f>Listas!E303</f>
        <v>GG QTLV 5115 (Níquel Sulfamato) | 5 - 8 µm</v>
      </c>
      <c r="B308" s="69" t="str">
        <f t="shared" si="4"/>
        <v>Níquel</v>
      </c>
    </row>
    <row r="309" spans="1:2" x14ac:dyDescent="0.2">
      <c r="A309" s="69" t="str">
        <f>Listas!E304</f>
        <v>GG QTLV 5120.06 (Níquel Sulfamato - Estaño) | 1 - 5 µm | 1 - 3 µm</v>
      </c>
      <c r="B309" s="69" t="str">
        <f t="shared" si="4"/>
        <v>Níquel+Estaño</v>
      </c>
    </row>
    <row r="310" spans="1:2" x14ac:dyDescent="0.2">
      <c r="A310" s="69" t="str">
        <f>Listas!E305</f>
        <v>GG QTLV 5120.06 (Níquel Sulfamato - Estaño) | 1 - 5 µm | No aplica</v>
      </c>
      <c r="B310" s="69" t="str">
        <f t="shared" si="4"/>
        <v>Níquel+Estaño</v>
      </c>
    </row>
    <row r="311" spans="1:2" x14ac:dyDescent="0.2">
      <c r="A311" s="69" t="str">
        <f>Listas!E306</f>
        <v>GG QTLV 5120.06 (Níquel Sulfamato - Estaño) | 2.5 - 7.6 µm | 1 - 3 µm</v>
      </c>
      <c r="B311" s="69" t="str">
        <f t="shared" si="4"/>
        <v>Níquel+Estaño</v>
      </c>
    </row>
    <row r="312" spans="1:2" x14ac:dyDescent="0.2">
      <c r="A312" s="69" t="str">
        <f>Listas!E307</f>
        <v>GG QTLV 5120.06 (Níquel Sulfamato - Estaño) | 2.5 - 7.6 µm | No aplica</v>
      </c>
      <c r="B312" s="69" t="str">
        <f t="shared" si="4"/>
        <v>Níquel+Estaño</v>
      </c>
    </row>
    <row r="313" spans="1:2" x14ac:dyDescent="0.2">
      <c r="A313" s="69" t="str">
        <f>Listas!E308</f>
        <v>GG QTLV 5120.06 (Níquel Sulfamato - Estaño) | 8 - 15 µm | 1 - 3 µm</v>
      </c>
      <c r="B313" s="69" t="str">
        <f t="shared" si="4"/>
        <v>Níquel+Estaño</v>
      </c>
    </row>
    <row r="314" spans="1:2" x14ac:dyDescent="0.2">
      <c r="A314" s="69" t="str">
        <f>Listas!E309</f>
        <v>GG QTLV 5120.06 (Níquel Sulfamato - Estaño) | 8 - 15 µm | No aplica</v>
      </c>
      <c r="B314" s="69" t="str">
        <f t="shared" si="4"/>
        <v>Níquel+Estaño</v>
      </c>
    </row>
    <row r="315" spans="1:2" x14ac:dyDescent="0.2">
      <c r="A315" s="69" t="str">
        <f>Listas!E310</f>
        <v>Hirschvogel (Cromo Duro) | 21 - 25 µm</v>
      </c>
      <c r="B315" s="69" t="str">
        <f t="shared" si="4"/>
        <v>Otros</v>
      </c>
    </row>
    <row r="316" spans="1:2" x14ac:dyDescent="0.2">
      <c r="A316" s="69" t="str">
        <f>Listas!E311</f>
        <v>Hubbell 250µm (Estaño) | 250 - 255 µm | No aplica</v>
      </c>
      <c r="B316" s="69" t="str">
        <f t="shared" si="4"/>
        <v>Estaño</v>
      </c>
    </row>
    <row r="317" spans="1:2" x14ac:dyDescent="0.2">
      <c r="A317" s="69" t="str">
        <f>Listas!E312</f>
        <v>KDS-258-107 (Estaño) | 2.5 - 5 µm | No aplica</v>
      </c>
      <c r="B317" s="69" t="str">
        <f t="shared" si="4"/>
        <v>Estaño</v>
      </c>
    </row>
    <row r="318" spans="1:2" x14ac:dyDescent="0.2">
      <c r="A318" s="69" t="str">
        <f>Listas!E313</f>
        <v>MIL-DTL-16232G (Deshidrogenado) | 98 - 107 °C | &gt;= 8 hrs.</v>
      </c>
      <c r="B318" s="69" t="str">
        <f t="shared" si="4"/>
        <v>Otros</v>
      </c>
    </row>
    <row r="319" spans="1:2" x14ac:dyDescent="0.2">
      <c r="A319" s="69" t="str">
        <f>Listas!E314</f>
        <v>MS-S1053 (Fosfato de Manganeso - Medición de Grano) | 5 - 11 µm</v>
      </c>
      <c r="B319" s="69" t="str">
        <f t="shared" si="4"/>
        <v>Otros</v>
      </c>
    </row>
    <row r="320" spans="1:2" x14ac:dyDescent="0.2">
      <c r="A320" s="69" t="str">
        <f>Listas!E315</f>
        <v>NNZ3703201 (Epóxico MT) | 80 - 100 mils</v>
      </c>
      <c r="B320" s="69" t="str">
        <f t="shared" si="4"/>
        <v>Epóxico</v>
      </c>
    </row>
    <row r="321" spans="1:2" x14ac:dyDescent="0.2">
      <c r="A321" s="69" t="str">
        <f>Listas!E316</f>
        <v>P 1029 P003 E 131 (Níquel Electroless) (Moneda) | 45 - 70 µm</v>
      </c>
      <c r="B321" s="69" t="str">
        <f t="shared" si="4"/>
        <v>Níquel</v>
      </c>
    </row>
    <row r="322" spans="1:2" x14ac:dyDescent="0.2">
      <c r="A322" s="69" t="str">
        <f>Listas!E317</f>
        <v>PL 112-16-2 (Estaño) | 3.8 - 12.7 µm</v>
      </c>
      <c r="B322" s="69" t="str">
        <f t="shared" si="4"/>
        <v>Estaño</v>
      </c>
    </row>
    <row r="323" spans="1:2" x14ac:dyDescent="0.2">
      <c r="A323" s="69" t="str">
        <f>Listas!E318</f>
        <v>RC Ag (Plata) | 0.0762 - 0.127 µm</v>
      </c>
      <c r="B323" s="69" t="str">
        <f t="shared" si="4"/>
        <v>Plata</v>
      </c>
    </row>
    <row r="324" spans="1:2" x14ac:dyDescent="0.2">
      <c r="A324" s="69" t="str">
        <f>Listas!E319</f>
        <v>RC Ag (Plata) | 0.127 - 0.254 µm</v>
      </c>
      <c r="B324" s="69" t="str">
        <f t="shared" si="4"/>
        <v>Plata</v>
      </c>
    </row>
    <row r="325" spans="1:2" x14ac:dyDescent="0.2">
      <c r="A325" s="69" t="str">
        <f>Listas!E320</f>
        <v>RC Ag (Plata) | 0.127 - 0.762 µm</v>
      </c>
      <c r="B325" s="69" t="str">
        <f t="shared" si="4"/>
        <v>Plata</v>
      </c>
    </row>
    <row r="326" spans="1:2" x14ac:dyDescent="0.2">
      <c r="A326" s="69" t="str">
        <f>Listas!E321</f>
        <v>RC Ag (Plata) | 0.254 - 0.762 µm</v>
      </c>
      <c r="B326" s="69" t="str">
        <f t="shared" si="4"/>
        <v>Plata</v>
      </c>
    </row>
    <row r="327" spans="1:2" x14ac:dyDescent="0.2">
      <c r="A327" s="69" t="str">
        <f>Listas!E322</f>
        <v>RC Ag (Plata) | 0.254 - 1.27 µm</v>
      </c>
      <c r="B327" s="69" t="str">
        <f t="shared" si="4"/>
        <v>Plata</v>
      </c>
    </row>
    <row r="328" spans="1:2" x14ac:dyDescent="0.2">
      <c r="A328" s="69" t="str">
        <f>Listas!E323</f>
        <v>RC Ag (Plata) | 0.4 - 1.27 µm</v>
      </c>
      <c r="B328" s="69" t="str">
        <f t="shared" si="4"/>
        <v>Plata</v>
      </c>
    </row>
    <row r="329" spans="1:2" x14ac:dyDescent="0.2">
      <c r="A329" s="69" t="str">
        <f>Listas!E324</f>
        <v>RC Ag (Plata) | 0.4 - 2.54 µm</v>
      </c>
      <c r="B329" s="69" t="str">
        <f t="shared" si="4"/>
        <v>Plata</v>
      </c>
    </row>
    <row r="330" spans="1:2" x14ac:dyDescent="0.2">
      <c r="A330" s="69" t="str">
        <f>Listas!E325</f>
        <v>RC Ag (Plata) | 0.508 - 1.27 µm</v>
      </c>
      <c r="B330" s="69" t="str">
        <f t="shared" ref="B330:B393" si="5">IF(OR(A330="",A330=0),"",_xlfn.LET(_xlpm.t,A330&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Plata</v>
      </c>
    </row>
    <row r="331" spans="1:2" x14ac:dyDescent="0.2">
      <c r="A331" s="69" t="str">
        <f>Listas!E326</f>
        <v>RC Ag (Plata) | 0.762 - 1.27 µm</v>
      </c>
      <c r="B331" s="69" t="str">
        <f t="shared" si="5"/>
        <v>Plata</v>
      </c>
    </row>
    <row r="332" spans="1:2" x14ac:dyDescent="0.2">
      <c r="A332" s="69" t="str">
        <f>Listas!E327</f>
        <v>RC Ag (Plata) | 1.27 - 2.54 µm</v>
      </c>
      <c r="B332" s="69" t="str">
        <f t="shared" si="5"/>
        <v>Plata</v>
      </c>
    </row>
    <row r="333" spans="1:2" x14ac:dyDescent="0.2">
      <c r="A333" s="69" t="str">
        <f>Listas!E328</f>
        <v>RC Ag (Plata) | 12.7 - 15.24 µm</v>
      </c>
      <c r="B333" s="69" t="str">
        <f t="shared" si="5"/>
        <v>Plata</v>
      </c>
    </row>
    <row r="334" spans="1:2" x14ac:dyDescent="0.2">
      <c r="A334" s="69" t="str">
        <f>Listas!E329</f>
        <v>RC Ag (Plata) | 2 - 4 µm</v>
      </c>
      <c r="B334" s="69" t="str">
        <f t="shared" si="5"/>
        <v>Plata</v>
      </c>
    </row>
    <row r="335" spans="1:2" x14ac:dyDescent="0.2">
      <c r="A335" s="69" t="str">
        <f>Listas!E330</f>
        <v>RC Ag (Plata) | 2.54 - 5.08 µm</v>
      </c>
      <c r="B335" s="69" t="str">
        <f t="shared" si="5"/>
        <v>Plata</v>
      </c>
    </row>
    <row r="336" spans="1:2" x14ac:dyDescent="0.2">
      <c r="A336" s="69" t="str">
        <f>Listas!E331</f>
        <v>RC Ag (Plata) | 3.8 - 5.5 µm</v>
      </c>
      <c r="B336" s="69" t="str">
        <f t="shared" si="5"/>
        <v>Plata</v>
      </c>
    </row>
    <row r="337" spans="1:2" x14ac:dyDescent="0.2">
      <c r="A337" s="69" t="str">
        <f>Listas!E332</f>
        <v>RC Ag (Plata) | 5.08 - 10.16 µm</v>
      </c>
      <c r="B337" s="69" t="str">
        <f t="shared" si="5"/>
        <v>Plata</v>
      </c>
    </row>
    <row r="338" spans="1:2" x14ac:dyDescent="0.2">
      <c r="A338" s="69" t="str">
        <f>Listas!E333</f>
        <v>RC Ag (Plata) | 7.62 - 12.7 µm</v>
      </c>
      <c r="B338" s="69" t="str">
        <f t="shared" si="5"/>
        <v>Plata</v>
      </c>
    </row>
    <row r="339" spans="1:2" x14ac:dyDescent="0.2">
      <c r="A339" s="69" t="str">
        <f>Listas!E334</f>
        <v>RC Anodizado Natural | 12 - 18 µm</v>
      </c>
      <c r="B339" s="69" t="str">
        <f t="shared" si="5"/>
        <v>Otros</v>
      </c>
    </row>
    <row r="340" spans="1:2" x14ac:dyDescent="0.2">
      <c r="A340" s="69" t="str">
        <f>Listas!E335</f>
        <v>RC Anodizado Natural | 2 - 3 µm</v>
      </c>
      <c r="B340" s="69" t="str">
        <f t="shared" si="5"/>
        <v>Otros</v>
      </c>
    </row>
    <row r="341" spans="1:2" x14ac:dyDescent="0.2">
      <c r="A341" s="69" t="str">
        <f>Listas!E336</f>
        <v>RC Anodizado Natural | 8 - 13 µm</v>
      </c>
      <c r="B341" s="69" t="str">
        <f t="shared" si="5"/>
        <v>Otros</v>
      </c>
    </row>
    <row r="342" spans="1:2" x14ac:dyDescent="0.2">
      <c r="A342" s="69" t="str">
        <f>Listas!E337</f>
        <v>RC Anodizado Negro | 12 - 18 µm</v>
      </c>
      <c r="B342" s="69" t="str">
        <f t="shared" si="5"/>
        <v>Otros</v>
      </c>
    </row>
    <row r="343" spans="1:2" x14ac:dyDescent="0.2">
      <c r="A343" s="69" t="str">
        <f>Listas!E338</f>
        <v>RC Anodizado Negro | 8 - 13 µm</v>
      </c>
      <c r="B343" s="69" t="str">
        <f t="shared" si="5"/>
        <v>Otros</v>
      </c>
    </row>
    <row r="344" spans="1:2" x14ac:dyDescent="0.2">
      <c r="A344" s="69" t="str">
        <f>Listas!E339</f>
        <v>RC Brill 61</v>
      </c>
      <c r="B344" s="69" t="str">
        <f t="shared" si="5"/>
        <v>Otros</v>
      </c>
    </row>
    <row r="345" spans="1:2" x14ac:dyDescent="0.2">
      <c r="A345" s="69" t="str">
        <f>Listas!E340</f>
        <v>RC Cámara Salina | 12 hrs. | 12 hrs.</v>
      </c>
      <c r="B345" s="69" t="str">
        <f t="shared" si="5"/>
        <v>Otros</v>
      </c>
    </row>
    <row r="346" spans="1:2" x14ac:dyDescent="0.2">
      <c r="A346" s="69" t="str">
        <f>Listas!E341</f>
        <v>RC Cámara Salina | 12 hrs. | 120 hrs.</v>
      </c>
      <c r="B346" s="69" t="str">
        <f t="shared" si="5"/>
        <v>Otros</v>
      </c>
    </row>
    <row r="347" spans="1:2" x14ac:dyDescent="0.2">
      <c r="A347" s="69" t="str">
        <f>Listas!E342</f>
        <v>RC Cámara Salina | 12 hrs. | 144 hrs.</v>
      </c>
      <c r="B347" s="69" t="str">
        <f t="shared" si="5"/>
        <v>Otros</v>
      </c>
    </row>
    <row r="348" spans="1:2" x14ac:dyDescent="0.2">
      <c r="A348" s="69" t="str">
        <f>Listas!E343</f>
        <v>RC Cámara Salina | 12 hrs. | 16 hrs.</v>
      </c>
      <c r="B348" s="69" t="str">
        <f t="shared" si="5"/>
        <v>Otros</v>
      </c>
    </row>
    <row r="349" spans="1:2" x14ac:dyDescent="0.2">
      <c r="A349" s="69" t="str">
        <f>Listas!E344</f>
        <v>RC Cámara Salina | 12 hrs. | 172 hrs.</v>
      </c>
      <c r="B349" s="69" t="str">
        <f t="shared" si="5"/>
        <v>Otros</v>
      </c>
    </row>
    <row r="350" spans="1:2" x14ac:dyDescent="0.2">
      <c r="A350" s="69" t="str">
        <f>Listas!E345</f>
        <v>RC Cámara Salina | 12 hrs. | 200 hrs.</v>
      </c>
      <c r="B350" s="69" t="str">
        <f t="shared" si="5"/>
        <v>Otros</v>
      </c>
    </row>
    <row r="351" spans="1:2" x14ac:dyDescent="0.2">
      <c r="A351" s="69" t="str">
        <f>Listas!E346</f>
        <v>RC Cámara Salina | 12 hrs. | 24 hrs.</v>
      </c>
      <c r="B351" s="69" t="str">
        <f t="shared" si="5"/>
        <v>Otros</v>
      </c>
    </row>
    <row r="352" spans="1:2" x14ac:dyDescent="0.2">
      <c r="A352" s="69" t="str">
        <f>Listas!E347</f>
        <v>RC Cámara Salina | 12 hrs. | 240 hrs.</v>
      </c>
      <c r="B352" s="69" t="str">
        <f t="shared" si="5"/>
        <v>Otros</v>
      </c>
    </row>
    <row r="353" spans="1:2" x14ac:dyDescent="0.2">
      <c r="A353" s="69" t="str">
        <f>Listas!E348</f>
        <v>RC Cámara Salina | 12 hrs. | 36 hrs.</v>
      </c>
      <c r="B353" s="69" t="str">
        <f t="shared" si="5"/>
        <v>Otros</v>
      </c>
    </row>
    <row r="354" spans="1:2" x14ac:dyDescent="0.2">
      <c r="A354" s="69" t="str">
        <f>Listas!E349</f>
        <v>RC Cámara Salina | 12 hrs. | 360 hrs.</v>
      </c>
      <c r="B354" s="69" t="str">
        <f t="shared" si="5"/>
        <v>Otros</v>
      </c>
    </row>
    <row r="355" spans="1:2" x14ac:dyDescent="0.2">
      <c r="A355" s="69" t="str">
        <f>Listas!E350</f>
        <v>RC Cámara Salina | 12 hrs. | 48 hrs.</v>
      </c>
      <c r="B355" s="69" t="str">
        <f t="shared" si="5"/>
        <v>Otros</v>
      </c>
    </row>
    <row r="356" spans="1:2" x14ac:dyDescent="0.2">
      <c r="A356" s="69" t="str">
        <f>Listas!E351</f>
        <v>RC Cámara Salina | 12 hrs. | 480 hrs.</v>
      </c>
      <c r="B356" s="69" t="str">
        <f t="shared" si="5"/>
        <v>Otros</v>
      </c>
    </row>
    <row r="357" spans="1:2" x14ac:dyDescent="0.2">
      <c r="A357" s="69" t="str">
        <f>Listas!E352</f>
        <v>RC Cámara Salina | 12 hrs. | 500 hrs.</v>
      </c>
      <c r="B357" s="69" t="str">
        <f t="shared" si="5"/>
        <v>Otros</v>
      </c>
    </row>
    <row r="358" spans="1:2" x14ac:dyDescent="0.2">
      <c r="A358" s="69" t="str">
        <f>Listas!E353</f>
        <v>RC Cámara Salina | 12 hrs. | 72 hrs.</v>
      </c>
      <c r="B358" s="69" t="str">
        <f t="shared" si="5"/>
        <v>Otros</v>
      </c>
    </row>
    <row r="359" spans="1:2" x14ac:dyDescent="0.2">
      <c r="A359" s="69" t="str">
        <f>Listas!E354</f>
        <v>RC Cámara Salina | 12 hrs. | 720 hrs.</v>
      </c>
      <c r="B359" s="69" t="str">
        <f t="shared" si="5"/>
        <v>Otros</v>
      </c>
    </row>
    <row r="360" spans="1:2" x14ac:dyDescent="0.2">
      <c r="A360" s="69" t="str">
        <f>Listas!E355</f>
        <v>RC Cámara Salina | 12 hrs. | 96 hrs.</v>
      </c>
      <c r="B360" s="69" t="str">
        <f t="shared" si="5"/>
        <v>Otros</v>
      </c>
    </row>
    <row r="361" spans="1:2" x14ac:dyDescent="0.2">
      <c r="A361" s="69" t="str">
        <f>Listas!E356</f>
        <v>RC Cámara Salina | 12 hrs. | 960 hrs.</v>
      </c>
      <c r="B361" s="69" t="str">
        <f t="shared" si="5"/>
        <v>Otros</v>
      </c>
    </row>
    <row r="362" spans="1:2" x14ac:dyDescent="0.2">
      <c r="A362" s="69" t="str">
        <f>Listas!E357</f>
        <v>RC Cámara Salina | 12 hrs. | No aplica</v>
      </c>
      <c r="B362" s="69" t="str">
        <f t="shared" si="5"/>
        <v>Otros</v>
      </c>
    </row>
    <row r="363" spans="1:2" x14ac:dyDescent="0.2">
      <c r="A363" s="69" t="str">
        <f>Listas!E358</f>
        <v>RC Cámara Salina | 120 hrs. | 12 hrs.</v>
      </c>
      <c r="B363" s="69" t="str">
        <f t="shared" si="5"/>
        <v>Otros</v>
      </c>
    </row>
    <row r="364" spans="1:2" x14ac:dyDescent="0.2">
      <c r="A364" s="69" t="str">
        <f>Listas!E359</f>
        <v>RC Cámara Salina | 120 hrs. | 120 hrs.</v>
      </c>
      <c r="B364" s="69" t="str">
        <f t="shared" si="5"/>
        <v>Otros</v>
      </c>
    </row>
    <row r="365" spans="1:2" x14ac:dyDescent="0.2">
      <c r="A365" s="69" t="str">
        <f>Listas!E360</f>
        <v>RC Cámara Salina | 120 hrs. | 144 hrs.</v>
      </c>
      <c r="B365" s="69" t="str">
        <f t="shared" si="5"/>
        <v>Otros</v>
      </c>
    </row>
    <row r="366" spans="1:2" x14ac:dyDescent="0.2">
      <c r="A366" s="69" t="str">
        <f>Listas!E361</f>
        <v>RC Cámara Salina | 120 hrs. | 16 hrs.</v>
      </c>
      <c r="B366" s="69" t="str">
        <f t="shared" si="5"/>
        <v>Otros</v>
      </c>
    </row>
    <row r="367" spans="1:2" x14ac:dyDescent="0.2">
      <c r="A367" s="69" t="str">
        <f>Listas!E362</f>
        <v>RC Cámara Salina | 120 hrs. | 172 hrs.</v>
      </c>
      <c r="B367" s="69" t="str">
        <f t="shared" si="5"/>
        <v>Otros</v>
      </c>
    </row>
    <row r="368" spans="1:2" x14ac:dyDescent="0.2">
      <c r="A368" s="69" t="str">
        <f>Listas!E363</f>
        <v>RC Cámara Salina | 120 hrs. | 200 hrs.</v>
      </c>
      <c r="B368" s="69" t="str">
        <f t="shared" si="5"/>
        <v>Otros</v>
      </c>
    </row>
    <row r="369" spans="1:2" x14ac:dyDescent="0.2">
      <c r="A369" s="69" t="str">
        <f>Listas!E364</f>
        <v>RC Cámara Salina | 120 hrs. | 24 hrs.</v>
      </c>
      <c r="B369" s="69" t="str">
        <f t="shared" si="5"/>
        <v>Otros</v>
      </c>
    </row>
    <row r="370" spans="1:2" x14ac:dyDescent="0.2">
      <c r="A370" s="69" t="str">
        <f>Listas!E365</f>
        <v>RC Cámara Salina | 120 hrs. | 240 hrs.</v>
      </c>
      <c r="B370" s="69" t="str">
        <f t="shared" si="5"/>
        <v>Otros</v>
      </c>
    </row>
    <row r="371" spans="1:2" x14ac:dyDescent="0.2">
      <c r="A371" s="69" t="str">
        <f>Listas!E366</f>
        <v>RC Cámara Salina | 120 hrs. | 36 hrs.</v>
      </c>
      <c r="B371" s="69" t="str">
        <f t="shared" si="5"/>
        <v>Otros</v>
      </c>
    </row>
    <row r="372" spans="1:2" x14ac:dyDescent="0.2">
      <c r="A372" s="69" t="str">
        <f>Listas!E367</f>
        <v>RC Cámara Salina | 120 hrs. | 360 hrs.</v>
      </c>
      <c r="B372" s="69" t="str">
        <f t="shared" si="5"/>
        <v>Otros</v>
      </c>
    </row>
    <row r="373" spans="1:2" x14ac:dyDescent="0.2">
      <c r="A373" s="69" t="str">
        <f>Listas!E368</f>
        <v>RC Cámara Salina | 120 hrs. | 48 hrs.</v>
      </c>
      <c r="B373" s="69" t="str">
        <f t="shared" si="5"/>
        <v>Otros</v>
      </c>
    </row>
    <row r="374" spans="1:2" x14ac:dyDescent="0.2">
      <c r="A374" s="69" t="str">
        <f>Listas!E369</f>
        <v>RC Cámara Salina | 120 hrs. | 480 hrs.</v>
      </c>
      <c r="B374" s="69" t="str">
        <f t="shared" si="5"/>
        <v>Otros</v>
      </c>
    </row>
    <row r="375" spans="1:2" x14ac:dyDescent="0.2">
      <c r="A375" s="69" t="str">
        <f>Listas!E370</f>
        <v>RC Cámara Salina | 120 hrs. | 500 hrs.</v>
      </c>
      <c r="B375" s="69" t="str">
        <f t="shared" si="5"/>
        <v>Otros</v>
      </c>
    </row>
    <row r="376" spans="1:2" x14ac:dyDescent="0.2">
      <c r="A376" s="69" t="str">
        <f>Listas!E371</f>
        <v>RC Cámara Salina | 120 hrs. | 72 hrs.</v>
      </c>
      <c r="B376" s="69" t="str">
        <f t="shared" si="5"/>
        <v>Otros</v>
      </c>
    </row>
    <row r="377" spans="1:2" x14ac:dyDescent="0.2">
      <c r="A377" s="69" t="str">
        <f>Listas!E372</f>
        <v>RC Cámara Salina | 120 hrs. | 720 hrs.</v>
      </c>
      <c r="B377" s="69" t="str">
        <f t="shared" si="5"/>
        <v>Otros</v>
      </c>
    </row>
    <row r="378" spans="1:2" x14ac:dyDescent="0.2">
      <c r="A378" s="69" t="str">
        <f>Listas!E373</f>
        <v>RC Cámara Salina | 120 hrs. | 96 hrs.</v>
      </c>
      <c r="B378" s="69" t="str">
        <f t="shared" si="5"/>
        <v>Otros</v>
      </c>
    </row>
    <row r="379" spans="1:2" x14ac:dyDescent="0.2">
      <c r="A379" s="69" t="str">
        <f>Listas!E374</f>
        <v>RC Cámara Salina | 120 hrs. | 960 hrs.</v>
      </c>
      <c r="B379" s="69" t="str">
        <f t="shared" si="5"/>
        <v>Otros</v>
      </c>
    </row>
    <row r="380" spans="1:2" x14ac:dyDescent="0.2">
      <c r="A380" s="69" t="str">
        <f>Listas!E375</f>
        <v>RC Cámara Salina | 120 hrs. | No aplica</v>
      </c>
      <c r="B380" s="69" t="str">
        <f t="shared" si="5"/>
        <v>Otros</v>
      </c>
    </row>
    <row r="381" spans="1:2" x14ac:dyDescent="0.2">
      <c r="A381" s="69" t="str">
        <f>Listas!E376</f>
        <v>RC Cámara Salina | 144 hrs. | 12 hrs.</v>
      </c>
      <c r="B381" s="69" t="str">
        <f t="shared" si="5"/>
        <v>Otros</v>
      </c>
    </row>
    <row r="382" spans="1:2" x14ac:dyDescent="0.2">
      <c r="A382" s="69" t="str">
        <f>Listas!E377</f>
        <v>RC Cámara Salina | 144 hrs. | 120 hrs.</v>
      </c>
      <c r="B382" s="69" t="str">
        <f t="shared" si="5"/>
        <v>Otros</v>
      </c>
    </row>
    <row r="383" spans="1:2" x14ac:dyDescent="0.2">
      <c r="A383" s="69" t="str">
        <f>Listas!E378</f>
        <v>RC Cámara Salina | 144 hrs. | 144 hrs.</v>
      </c>
      <c r="B383" s="69" t="str">
        <f t="shared" si="5"/>
        <v>Otros</v>
      </c>
    </row>
    <row r="384" spans="1:2" x14ac:dyDescent="0.2">
      <c r="A384" s="69" t="str">
        <f>Listas!E379</f>
        <v>RC Cámara Salina | 144 hrs. | 16 hrs.</v>
      </c>
      <c r="B384" s="69" t="str">
        <f t="shared" si="5"/>
        <v>Otros</v>
      </c>
    </row>
    <row r="385" spans="1:2" x14ac:dyDescent="0.2">
      <c r="A385" s="69" t="str">
        <f>Listas!E380</f>
        <v>RC Cámara Salina | 144 hrs. | 172 hrs.</v>
      </c>
      <c r="B385" s="69" t="str">
        <f t="shared" si="5"/>
        <v>Otros</v>
      </c>
    </row>
    <row r="386" spans="1:2" x14ac:dyDescent="0.2">
      <c r="A386" s="69" t="str">
        <f>Listas!E381</f>
        <v>RC Cámara Salina | 144 hrs. | 200 hrs.</v>
      </c>
      <c r="B386" s="69" t="str">
        <f t="shared" si="5"/>
        <v>Otros</v>
      </c>
    </row>
    <row r="387" spans="1:2" x14ac:dyDescent="0.2">
      <c r="A387" s="69" t="str">
        <f>Listas!E382</f>
        <v>RC Cámara Salina | 144 hrs. | 24 hrs.</v>
      </c>
      <c r="B387" s="69" t="str">
        <f t="shared" si="5"/>
        <v>Otros</v>
      </c>
    </row>
    <row r="388" spans="1:2" x14ac:dyDescent="0.2">
      <c r="A388" s="69" t="str">
        <f>Listas!E383</f>
        <v>RC Cámara Salina | 144 hrs. | 240 hrs.</v>
      </c>
      <c r="B388" s="69" t="str">
        <f t="shared" si="5"/>
        <v>Otros</v>
      </c>
    </row>
    <row r="389" spans="1:2" x14ac:dyDescent="0.2">
      <c r="A389" s="69" t="str">
        <f>Listas!E384</f>
        <v>RC Cámara Salina | 144 hrs. | 36 hrs.</v>
      </c>
      <c r="B389" s="69" t="str">
        <f t="shared" si="5"/>
        <v>Otros</v>
      </c>
    </row>
    <row r="390" spans="1:2" x14ac:dyDescent="0.2">
      <c r="A390" s="69" t="str">
        <f>Listas!E385</f>
        <v>RC Cámara Salina | 144 hrs. | 360 hrs.</v>
      </c>
      <c r="B390" s="69" t="str">
        <f t="shared" si="5"/>
        <v>Otros</v>
      </c>
    </row>
    <row r="391" spans="1:2" x14ac:dyDescent="0.2">
      <c r="A391" s="69" t="str">
        <f>Listas!E386</f>
        <v>RC Cámara Salina | 144 hrs. | 48 hrs.</v>
      </c>
      <c r="B391" s="69" t="str">
        <f t="shared" si="5"/>
        <v>Otros</v>
      </c>
    </row>
    <row r="392" spans="1:2" x14ac:dyDescent="0.2">
      <c r="A392" s="69" t="str">
        <f>Listas!E387</f>
        <v>RC Cámara Salina | 144 hrs. | 480 hrs.</v>
      </c>
      <c r="B392" s="69" t="str">
        <f t="shared" si="5"/>
        <v>Otros</v>
      </c>
    </row>
    <row r="393" spans="1:2" x14ac:dyDescent="0.2">
      <c r="A393" s="69" t="str">
        <f>Listas!E388</f>
        <v>RC Cámara Salina | 144 hrs. | 500 hrs.</v>
      </c>
      <c r="B393" s="69" t="str">
        <f t="shared" si="5"/>
        <v>Otros</v>
      </c>
    </row>
    <row r="394" spans="1:2" x14ac:dyDescent="0.2">
      <c r="A394" s="69" t="str">
        <f>Listas!E389</f>
        <v>RC Cámara Salina | 144 hrs. | 72 hrs.</v>
      </c>
      <c r="B394" s="69" t="str">
        <f t="shared" ref="B394:B457" si="6">IF(OR(A394="",A394=0),"",_xlfn.LET(_xlpm.t,A394&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Otros</v>
      </c>
    </row>
    <row r="395" spans="1:2" x14ac:dyDescent="0.2">
      <c r="A395" s="69" t="str">
        <f>Listas!E390</f>
        <v>RC Cámara Salina | 144 hrs. | 720 hrs.</v>
      </c>
      <c r="B395" s="69" t="str">
        <f t="shared" si="6"/>
        <v>Otros</v>
      </c>
    </row>
    <row r="396" spans="1:2" x14ac:dyDescent="0.2">
      <c r="A396" s="69" t="str">
        <f>Listas!E391</f>
        <v>RC Cámara Salina | 144 hrs. | 96 hrs.</v>
      </c>
      <c r="B396" s="69" t="str">
        <f t="shared" si="6"/>
        <v>Otros</v>
      </c>
    </row>
    <row r="397" spans="1:2" x14ac:dyDescent="0.2">
      <c r="A397" s="69" t="str">
        <f>Listas!E392</f>
        <v>RC Cámara Salina | 144 hrs. | 960 hrs.</v>
      </c>
      <c r="B397" s="69" t="str">
        <f t="shared" si="6"/>
        <v>Otros</v>
      </c>
    </row>
    <row r="398" spans="1:2" x14ac:dyDescent="0.2">
      <c r="A398" s="69" t="str">
        <f>Listas!E393</f>
        <v>RC Cámara Salina | 144 hrs. | No aplica</v>
      </c>
      <c r="B398" s="69" t="str">
        <f t="shared" si="6"/>
        <v>Otros</v>
      </c>
    </row>
    <row r="399" spans="1:2" x14ac:dyDescent="0.2">
      <c r="A399" s="69" t="str">
        <f>Listas!E394</f>
        <v>RC Cámara Salina | 200 hrs. | 12 hrs.</v>
      </c>
      <c r="B399" s="69" t="str">
        <f t="shared" si="6"/>
        <v>Otros</v>
      </c>
    </row>
    <row r="400" spans="1:2" x14ac:dyDescent="0.2">
      <c r="A400" s="69" t="str">
        <f>Listas!E395</f>
        <v>RC Cámara Salina | 200 hrs. | 120 hrs.</v>
      </c>
      <c r="B400" s="69" t="str">
        <f t="shared" si="6"/>
        <v>Otros</v>
      </c>
    </row>
    <row r="401" spans="1:2" x14ac:dyDescent="0.2">
      <c r="A401" s="69" t="str">
        <f>Listas!E396</f>
        <v>RC Cámara Salina | 200 hrs. | 144 hrs.</v>
      </c>
      <c r="B401" s="69" t="str">
        <f t="shared" si="6"/>
        <v>Otros</v>
      </c>
    </row>
    <row r="402" spans="1:2" x14ac:dyDescent="0.2">
      <c r="A402" s="69" t="str">
        <f>Listas!E397</f>
        <v>RC Cámara Salina | 200 hrs. | 16 hrs.</v>
      </c>
      <c r="B402" s="69" t="str">
        <f t="shared" si="6"/>
        <v>Otros</v>
      </c>
    </row>
    <row r="403" spans="1:2" x14ac:dyDescent="0.2">
      <c r="A403" s="69" t="str">
        <f>Listas!E398</f>
        <v>RC Cámara Salina | 200 hrs. | 172 hrs.</v>
      </c>
      <c r="B403" s="69" t="str">
        <f t="shared" si="6"/>
        <v>Otros</v>
      </c>
    </row>
    <row r="404" spans="1:2" x14ac:dyDescent="0.2">
      <c r="A404" s="69" t="str">
        <f>Listas!E399</f>
        <v>RC Cámara Salina | 200 hrs. | 200 hrs.</v>
      </c>
      <c r="B404" s="69" t="str">
        <f t="shared" si="6"/>
        <v>Otros</v>
      </c>
    </row>
    <row r="405" spans="1:2" x14ac:dyDescent="0.2">
      <c r="A405" s="69" t="str">
        <f>Listas!E400</f>
        <v>RC Cámara Salina | 200 hrs. | 24 hrs.</v>
      </c>
      <c r="B405" s="69" t="str">
        <f t="shared" si="6"/>
        <v>Otros</v>
      </c>
    </row>
    <row r="406" spans="1:2" x14ac:dyDescent="0.2">
      <c r="A406" s="69" t="str">
        <f>Listas!E401</f>
        <v>RC Cámara Salina | 200 hrs. | 240 hrs.</v>
      </c>
      <c r="B406" s="69" t="str">
        <f t="shared" si="6"/>
        <v>Otros</v>
      </c>
    </row>
    <row r="407" spans="1:2" x14ac:dyDescent="0.2">
      <c r="A407" s="69" t="str">
        <f>Listas!E402</f>
        <v>RC Cámara Salina | 200 hrs. | 36 hrs.</v>
      </c>
      <c r="B407" s="69" t="str">
        <f t="shared" si="6"/>
        <v>Otros</v>
      </c>
    </row>
    <row r="408" spans="1:2" x14ac:dyDescent="0.2">
      <c r="A408" s="69" t="str">
        <f>Listas!E403</f>
        <v>RC Cámara Salina | 200 hrs. | 360 hrs.</v>
      </c>
      <c r="B408" s="69" t="str">
        <f t="shared" si="6"/>
        <v>Otros</v>
      </c>
    </row>
    <row r="409" spans="1:2" x14ac:dyDescent="0.2">
      <c r="A409" s="69" t="str">
        <f>Listas!E404</f>
        <v>RC Cámara Salina | 200 hrs. | 48 hrs.</v>
      </c>
      <c r="B409" s="69" t="str">
        <f t="shared" si="6"/>
        <v>Otros</v>
      </c>
    </row>
    <row r="410" spans="1:2" x14ac:dyDescent="0.2">
      <c r="A410" s="69" t="str">
        <f>Listas!E405</f>
        <v>RC Cámara Salina | 200 hrs. | 480 hrs.</v>
      </c>
      <c r="B410" s="69" t="str">
        <f t="shared" si="6"/>
        <v>Otros</v>
      </c>
    </row>
    <row r="411" spans="1:2" x14ac:dyDescent="0.2">
      <c r="A411" s="69" t="str">
        <f>Listas!E406</f>
        <v>RC Cámara Salina | 200 hrs. | 500 hrs.</v>
      </c>
      <c r="B411" s="69" t="str">
        <f t="shared" si="6"/>
        <v>Otros</v>
      </c>
    </row>
    <row r="412" spans="1:2" x14ac:dyDescent="0.2">
      <c r="A412" s="69" t="str">
        <f>Listas!E407</f>
        <v>RC Cámara Salina | 200 hrs. | 72 hrs.</v>
      </c>
      <c r="B412" s="69" t="str">
        <f t="shared" si="6"/>
        <v>Otros</v>
      </c>
    </row>
    <row r="413" spans="1:2" x14ac:dyDescent="0.2">
      <c r="A413" s="69" t="str">
        <f>Listas!E408</f>
        <v>RC Cámara Salina | 200 hrs. | 720 hrs.</v>
      </c>
      <c r="B413" s="69" t="str">
        <f t="shared" si="6"/>
        <v>Otros</v>
      </c>
    </row>
    <row r="414" spans="1:2" x14ac:dyDescent="0.2">
      <c r="A414" s="69" t="str">
        <f>Listas!E409</f>
        <v>RC Cámara Salina | 200 hrs. | 96 hrs.</v>
      </c>
      <c r="B414" s="69" t="str">
        <f t="shared" si="6"/>
        <v>Otros</v>
      </c>
    </row>
    <row r="415" spans="1:2" x14ac:dyDescent="0.2">
      <c r="A415" s="69" t="str">
        <f>Listas!E410</f>
        <v>RC Cámara Salina | 200 hrs. | 960 hrs.</v>
      </c>
      <c r="B415" s="69" t="str">
        <f t="shared" si="6"/>
        <v>Otros</v>
      </c>
    </row>
    <row r="416" spans="1:2" x14ac:dyDescent="0.2">
      <c r="A416" s="69" t="str">
        <f>Listas!E411</f>
        <v>RC Cámara Salina | 200 hrs. | No aplica</v>
      </c>
      <c r="B416" s="69" t="str">
        <f t="shared" si="6"/>
        <v>Otros</v>
      </c>
    </row>
    <row r="417" spans="1:2" x14ac:dyDescent="0.2">
      <c r="A417" s="69" t="str">
        <f>Listas!E412</f>
        <v>RC Cámara Salina | 24 hrs. | 12 hrs.</v>
      </c>
      <c r="B417" s="69" t="str">
        <f t="shared" si="6"/>
        <v>Otros</v>
      </c>
    </row>
    <row r="418" spans="1:2" x14ac:dyDescent="0.2">
      <c r="A418" s="69" t="str">
        <f>Listas!E413</f>
        <v>RC Cámara Salina | 24 hrs. | 120 hrs.</v>
      </c>
      <c r="B418" s="69" t="str">
        <f t="shared" si="6"/>
        <v>Otros</v>
      </c>
    </row>
    <row r="419" spans="1:2" x14ac:dyDescent="0.2">
      <c r="A419" s="69" t="str">
        <f>Listas!E414</f>
        <v>RC Cámara Salina | 24 hrs. | 144 hrs.</v>
      </c>
      <c r="B419" s="69" t="str">
        <f t="shared" si="6"/>
        <v>Otros</v>
      </c>
    </row>
    <row r="420" spans="1:2" x14ac:dyDescent="0.2">
      <c r="A420" s="69" t="str">
        <f>Listas!E415</f>
        <v>RC Cámara Salina | 24 hrs. | 16 hrs.</v>
      </c>
      <c r="B420" s="69" t="str">
        <f t="shared" si="6"/>
        <v>Otros</v>
      </c>
    </row>
    <row r="421" spans="1:2" x14ac:dyDescent="0.2">
      <c r="A421" s="69" t="str">
        <f>Listas!E416</f>
        <v>RC Cámara Salina | 24 hrs. | 172 hrs.</v>
      </c>
      <c r="B421" s="69" t="str">
        <f t="shared" si="6"/>
        <v>Otros</v>
      </c>
    </row>
    <row r="422" spans="1:2" x14ac:dyDescent="0.2">
      <c r="A422" s="69" t="str">
        <f>Listas!E417</f>
        <v>RC Cámara Salina | 24 hrs. | 200 hrs.</v>
      </c>
      <c r="B422" s="69" t="str">
        <f t="shared" si="6"/>
        <v>Otros</v>
      </c>
    </row>
    <row r="423" spans="1:2" x14ac:dyDescent="0.2">
      <c r="A423" s="69" t="str">
        <f>Listas!E418</f>
        <v>RC Cámara Salina | 24 hrs. | 24 hrs.</v>
      </c>
      <c r="B423" s="69" t="str">
        <f t="shared" si="6"/>
        <v>Otros</v>
      </c>
    </row>
    <row r="424" spans="1:2" x14ac:dyDescent="0.2">
      <c r="A424" s="69" t="str">
        <f>Listas!E419</f>
        <v>RC Cámara Salina | 24 hrs. | 240 hrs.</v>
      </c>
      <c r="B424" s="69" t="str">
        <f t="shared" si="6"/>
        <v>Otros</v>
      </c>
    </row>
    <row r="425" spans="1:2" x14ac:dyDescent="0.2">
      <c r="A425" s="69" t="str">
        <f>Listas!E420</f>
        <v>RC Cámara Salina | 24 hrs. | 36 hrs.</v>
      </c>
      <c r="B425" s="69" t="str">
        <f t="shared" si="6"/>
        <v>Otros</v>
      </c>
    </row>
    <row r="426" spans="1:2" x14ac:dyDescent="0.2">
      <c r="A426" s="69" t="str">
        <f>Listas!E421</f>
        <v>RC Cámara Salina | 24 hrs. | 360 hrs.</v>
      </c>
      <c r="B426" s="69" t="str">
        <f t="shared" si="6"/>
        <v>Otros</v>
      </c>
    </row>
    <row r="427" spans="1:2" x14ac:dyDescent="0.2">
      <c r="A427" s="69" t="str">
        <f>Listas!E422</f>
        <v>RC Cámara Salina | 24 hrs. | 48 hrs.</v>
      </c>
      <c r="B427" s="69" t="str">
        <f t="shared" si="6"/>
        <v>Otros</v>
      </c>
    </row>
    <row r="428" spans="1:2" x14ac:dyDescent="0.2">
      <c r="A428" s="69" t="str">
        <f>Listas!E423</f>
        <v>RC Cámara Salina | 24 hrs. | 480 hrs.</v>
      </c>
      <c r="B428" s="69" t="str">
        <f t="shared" si="6"/>
        <v>Otros</v>
      </c>
    </row>
    <row r="429" spans="1:2" x14ac:dyDescent="0.2">
      <c r="A429" s="69" t="str">
        <f>Listas!E424</f>
        <v>RC Cámara Salina | 24 hrs. | 500 hrs.</v>
      </c>
      <c r="B429" s="69" t="str">
        <f t="shared" si="6"/>
        <v>Otros</v>
      </c>
    </row>
    <row r="430" spans="1:2" x14ac:dyDescent="0.2">
      <c r="A430" s="69" t="str">
        <f>Listas!E425</f>
        <v>RC Cámara Salina | 24 hrs. | 72 hrs.</v>
      </c>
      <c r="B430" s="69" t="str">
        <f t="shared" si="6"/>
        <v>Otros</v>
      </c>
    </row>
    <row r="431" spans="1:2" x14ac:dyDescent="0.2">
      <c r="A431" s="69" t="str">
        <f>Listas!E426</f>
        <v>RC Cámara Salina | 24 hrs. | 720 hrs.</v>
      </c>
      <c r="B431" s="69" t="str">
        <f t="shared" si="6"/>
        <v>Otros</v>
      </c>
    </row>
    <row r="432" spans="1:2" x14ac:dyDescent="0.2">
      <c r="A432" s="69" t="str">
        <f>Listas!E427</f>
        <v>RC Cámara Salina | 24 hrs. | 96 hrs.</v>
      </c>
      <c r="B432" s="69" t="str">
        <f t="shared" si="6"/>
        <v>Otros</v>
      </c>
    </row>
    <row r="433" spans="1:2" x14ac:dyDescent="0.2">
      <c r="A433" s="69" t="str">
        <f>Listas!E428</f>
        <v>RC Cámara Salina | 24 hrs. | 960 hrs.</v>
      </c>
      <c r="B433" s="69" t="str">
        <f t="shared" si="6"/>
        <v>Otros</v>
      </c>
    </row>
    <row r="434" spans="1:2" x14ac:dyDescent="0.2">
      <c r="A434" s="69" t="str">
        <f>Listas!E429</f>
        <v>RC Cámara Salina | 24 hrs. | No aplica</v>
      </c>
      <c r="B434" s="69" t="str">
        <f t="shared" si="6"/>
        <v>Otros</v>
      </c>
    </row>
    <row r="435" spans="1:2" x14ac:dyDescent="0.2">
      <c r="A435" s="69" t="str">
        <f>Listas!E430</f>
        <v>RC Cámara Salina | 240 hrs. | 12 hrs.</v>
      </c>
      <c r="B435" s="69" t="str">
        <f t="shared" si="6"/>
        <v>Otros</v>
      </c>
    </row>
    <row r="436" spans="1:2" x14ac:dyDescent="0.2">
      <c r="A436" s="69" t="str">
        <f>Listas!E431</f>
        <v>RC Cámara Salina | 240 hrs. | 120 hrs.</v>
      </c>
      <c r="B436" s="69" t="str">
        <f t="shared" si="6"/>
        <v>Otros</v>
      </c>
    </row>
    <row r="437" spans="1:2" x14ac:dyDescent="0.2">
      <c r="A437" s="69" t="str">
        <f>Listas!E432</f>
        <v>RC Cámara Salina | 240 hrs. | 144 hrs.</v>
      </c>
      <c r="B437" s="69" t="str">
        <f t="shared" si="6"/>
        <v>Otros</v>
      </c>
    </row>
    <row r="438" spans="1:2" x14ac:dyDescent="0.2">
      <c r="A438" s="69" t="str">
        <f>Listas!E433</f>
        <v>RC Cámara Salina | 240 hrs. | 16 hrs.</v>
      </c>
      <c r="B438" s="69" t="str">
        <f t="shared" si="6"/>
        <v>Otros</v>
      </c>
    </row>
    <row r="439" spans="1:2" x14ac:dyDescent="0.2">
      <c r="A439" s="69" t="str">
        <f>Listas!E434</f>
        <v>RC Cámara Salina | 240 hrs. | 172 hrs.</v>
      </c>
      <c r="B439" s="69" t="str">
        <f t="shared" si="6"/>
        <v>Otros</v>
      </c>
    </row>
    <row r="440" spans="1:2" x14ac:dyDescent="0.2">
      <c r="A440" s="69" t="str">
        <f>Listas!E435</f>
        <v>RC Cámara Salina | 240 hrs. | 200 hrs.</v>
      </c>
      <c r="B440" s="69" t="str">
        <f t="shared" si="6"/>
        <v>Otros</v>
      </c>
    </row>
    <row r="441" spans="1:2" x14ac:dyDescent="0.2">
      <c r="A441" s="69" t="str">
        <f>Listas!E436</f>
        <v>RC Cámara Salina | 240 hrs. | 24 hrs.</v>
      </c>
      <c r="B441" s="69" t="str">
        <f t="shared" si="6"/>
        <v>Otros</v>
      </c>
    </row>
    <row r="442" spans="1:2" x14ac:dyDescent="0.2">
      <c r="A442" s="69" t="str">
        <f>Listas!E437</f>
        <v>RC Cámara Salina | 240 hrs. | 240 hrs.</v>
      </c>
      <c r="B442" s="69" t="str">
        <f t="shared" si="6"/>
        <v>Otros</v>
      </c>
    </row>
    <row r="443" spans="1:2" x14ac:dyDescent="0.2">
      <c r="A443" s="69" t="str">
        <f>Listas!E438</f>
        <v>RC Cámara Salina | 240 hrs. | 36 hrs.</v>
      </c>
      <c r="B443" s="69" t="str">
        <f t="shared" si="6"/>
        <v>Otros</v>
      </c>
    </row>
    <row r="444" spans="1:2" x14ac:dyDescent="0.2">
      <c r="A444" s="69" t="str">
        <f>Listas!E439</f>
        <v>RC Cámara Salina | 240 hrs. | 360 hrs.</v>
      </c>
      <c r="B444" s="69" t="str">
        <f t="shared" si="6"/>
        <v>Otros</v>
      </c>
    </row>
    <row r="445" spans="1:2" x14ac:dyDescent="0.2">
      <c r="A445" s="69" t="str">
        <f>Listas!E440</f>
        <v>RC Cámara Salina | 240 hrs. | 48 hrs.</v>
      </c>
      <c r="B445" s="69" t="str">
        <f t="shared" si="6"/>
        <v>Otros</v>
      </c>
    </row>
    <row r="446" spans="1:2" x14ac:dyDescent="0.2">
      <c r="A446" s="69" t="str">
        <f>Listas!E441</f>
        <v>RC Cámara Salina | 240 hrs. | 480 hrs.</v>
      </c>
      <c r="B446" s="69" t="str">
        <f t="shared" si="6"/>
        <v>Otros</v>
      </c>
    </row>
    <row r="447" spans="1:2" x14ac:dyDescent="0.2">
      <c r="A447" s="69" t="str">
        <f>Listas!E442</f>
        <v>RC Cámara Salina | 240 hrs. | 500 hrs.</v>
      </c>
      <c r="B447" s="69" t="str">
        <f t="shared" si="6"/>
        <v>Otros</v>
      </c>
    </row>
    <row r="448" spans="1:2" x14ac:dyDescent="0.2">
      <c r="A448" s="69" t="str">
        <f>Listas!E443</f>
        <v>RC Cámara Salina | 240 hrs. | 72 hrs.</v>
      </c>
      <c r="B448" s="69" t="str">
        <f t="shared" si="6"/>
        <v>Otros</v>
      </c>
    </row>
    <row r="449" spans="1:2" x14ac:dyDescent="0.2">
      <c r="A449" s="69" t="str">
        <f>Listas!E444</f>
        <v>RC Cámara Salina | 240 hrs. | 720 hrs.</v>
      </c>
      <c r="B449" s="69" t="str">
        <f t="shared" si="6"/>
        <v>Otros</v>
      </c>
    </row>
    <row r="450" spans="1:2" x14ac:dyDescent="0.2">
      <c r="A450" s="69" t="str">
        <f>Listas!E445</f>
        <v>RC Cámara Salina | 240 hrs. | 96 hrs.</v>
      </c>
      <c r="B450" s="69" t="str">
        <f t="shared" si="6"/>
        <v>Otros</v>
      </c>
    </row>
    <row r="451" spans="1:2" x14ac:dyDescent="0.2">
      <c r="A451" s="69" t="str">
        <f>Listas!E446</f>
        <v>RC Cámara Salina | 240 hrs. | 960 hrs.</v>
      </c>
      <c r="B451" s="69" t="str">
        <f t="shared" si="6"/>
        <v>Otros</v>
      </c>
    </row>
    <row r="452" spans="1:2" x14ac:dyDescent="0.2">
      <c r="A452" s="69" t="str">
        <f>Listas!E447</f>
        <v>RC Cámara Salina | 240 hrs. | No aplica</v>
      </c>
      <c r="B452" s="69" t="str">
        <f t="shared" si="6"/>
        <v>Otros</v>
      </c>
    </row>
    <row r="453" spans="1:2" x14ac:dyDescent="0.2">
      <c r="A453" s="69" t="str">
        <f>Listas!E448</f>
        <v>RC Cámara Salina | 3 hrs. | 12 hrs.</v>
      </c>
      <c r="B453" s="69" t="str">
        <f t="shared" si="6"/>
        <v>Otros</v>
      </c>
    </row>
    <row r="454" spans="1:2" x14ac:dyDescent="0.2">
      <c r="A454" s="69" t="str">
        <f>Listas!E449</f>
        <v>RC Cámara Salina | 3 hrs. | 120 hrs.</v>
      </c>
      <c r="B454" s="69" t="str">
        <f t="shared" si="6"/>
        <v>Otros</v>
      </c>
    </row>
    <row r="455" spans="1:2" x14ac:dyDescent="0.2">
      <c r="A455" s="69" t="str">
        <f>Listas!E450</f>
        <v>RC Cámara Salina | 3 hrs. | 144 hrs.</v>
      </c>
      <c r="B455" s="69" t="str">
        <f t="shared" si="6"/>
        <v>Otros</v>
      </c>
    </row>
    <row r="456" spans="1:2" x14ac:dyDescent="0.2">
      <c r="A456" s="69" t="str">
        <f>Listas!E451</f>
        <v>RC Cámara Salina | 3 hrs. | 16 hrs.</v>
      </c>
      <c r="B456" s="69" t="str">
        <f t="shared" si="6"/>
        <v>Otros</v>
      </c>
    </row>
    <row r="457" spans="1:2" x14ac:dyDescent="0.2">
      <c r="A457" s="69" t="str">
        <f>Listas!E452</f>
        <v>RC Cámara Salina | 3 hrs. | 172 hrs.</v>
      </c>
      <c r="B457" s="69" t="str">
        <f t="shared" si="6"/>
        <v>Otros</v>
      </c>
    </row>
    <row r="458" spans="1:2" x14ac:dyDescent="0.2">
      <c r="A458" s="69" t="str">
        <f>Listas!E453</f>
        <v>RC Cámara Salina | 3 hrs. | 200 hrs.</v>
      </c>
      <c r="B458" s="69" t="str">
        <f t="shared" ref="B458:B521" si="7">IF(OR(A458="",A458=0),"",_xlfn.LET(_xlpm.t,A458&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Otros</v>
      </c>
    </row>
    <row r="459" spans="1:2" x14ac:dyDescent="0.2">
      <c r="A459" s="69" t="str">
        <f>Listas!E454</f>
        <v>RC Cámara Salina | 3 hrs. | 24 hrs.</v>
      </c>
      <c r="B459" s="69" t="str">
        <f t="shared" si="7"/>
        <v>Otros</v>
      </c>
    </row>
    <row r="460" spans="1:2" x14ac:dyDescent="0.2">
      <c r="A460" s="69" t="str">
        <f>Listas!E455</f>
        <v>RC Cámara Salina | 3 hrs. | 240 hrs.</v>
      </c>
      <c r="B460" s="69" t="str">
        <f t="shared" si="7"/>
        <v>Otros</v>
      </c>
    </row>
    <row r="461" spans="1:2" x14ac:dyDescent="0.2">
      <c r="A461" s="69" t="str">
        <f>Listas!E456</f>
        <v>RC Cámara Salina | 3 hrs. | 36 hrs.</v>
      </c>
      <c r="B461" s="69" t="str">
        <f t="shared" si="7"/>
        <v>Otros</v>
      </c>
    </row>
    <row r="462" spans="1:2" x14ac:dyDescent="0.2">
      <c r="A462" s="69" t="str">
        <f>Listas!E457</f>
        <v>RC Cámara Salina | 3 hrs. | 360 hrs.</v>
      </c>
      <c r="B462" s="69" t="str">
        <f t="shared" si="7"/>
        <v>Otros</v>
      </c>
    </row>
    <row r="463" spans="1:2" x14ac:dyDescent="0.2">
      <c r="A463" s="69" t="str">
        <f>Listas!E458</f>
        <v>RC Cámara Salina | 3 hrs. | 48 hrs.</v>
      </c>
      <c r="B463" s="69" t="str">
        <f t="shared" si="7"/>
        <v>Otros</v>
      </c>
    </row>
    <row r="464" spans="1:2" x14ac:dyDescent="0.2">
      <c r="A464" s="69" t="str">
        <f>Listas!E459</f>
        <v>RC Cámara Salina | 3 hrs. | 480 hrs.</v>
      </c>
      <c r="B464" s="69" t="str">
        <f t="shared" si="7"/>
        <v>Otros</v>
      </c>
    </row>
    <row r="465" spans="1:2" x14ac:dyDescent="0.2">
      <c r="A465" s="69" t="str">
        <f>Listas!E460</f>
        <v>RC Cámara Salina | 3 hrs. | 500 hrs.</v>
      </c>
      <c r="B465" s="69" t="str">
        <f t="shared" si="7"/>
        <v>Otros</v>
      </c>
    </row>
    <row r="466" spans="1:2" x14ac:dyDescent="0.2">
      <c r="A466" s="69" t="str">
        <f>Listas!E461</f>
        <v>RC Cámara Salina | 3 hrs. | 72 hrs.</v>
      </c>
      <c r="B466" s="69" t="str">
        <f t="shared" si="7"/>
        <v>Otros</v>
      </c>
    </row>
    <row r="467" spans="1:2" x14ac:dyDescent="0.2">
      <c r="A467" s="69" t="str">
        <f>Listas!E462</f>
        <v>RC Cámara Salina | 3 hrs. | 720 hrs.</v>
      </c>
      <c r="B467" s="69" t="str">
        <f t="shared" si="7"/>
        <v>Otros</v>
      </c>
    </row>
    <row r="468" spans="1:2" x14ac:dyDescent="0.2">
      <c r="A468" s="69" t="str">
        <f>Listas!E463</f>
        <v>RC Cámara Salina | 3 hrs. | 96 hrs.</v>
      </c>
      <c r="B468" s="69" t="str">
        <f t="shared" si="7"/>
        <v>Otros</v>
      </c>
    </row>
    <row r="469" spans="1:2" x14ac:dyDescent="0.2">
      <c r="A469" s="69" t="str">
        <f>Listas!E464</f>
        <v>RC Cámara Salina | 3 hrs. | 960 hrs.</v>
      </c>
      <c r="B469" s="69" t="str">
        <f t="shared" si="7"/>
        <v>Otros</v>
      </c>
    </row>
    <row r="470" spans="1:2" x14ac:dyDescent="0.2">
      <c r="A470" s="69" t="str">
        <f>Listas!E465</f>
        <v>RC Cámara Salina | 3 hrs. | No aplica</v>
      </c>
      <c r="B470" s="69" t="str">
        <f t="shared" si="7"/>
        <v>Otros</v>
      </c>
    </row>
    <row r="471" spans="1:2" x14ac:dyDescent="0.2">
      <c r="A471" s="69" t="str">
        <f>Listas!E466</f>
        <v>RC Cámara Salina | 48 hrs. | 12 hrs.</v>
      </c>
      <c r="B471" s="69" t="str">
        <f t="shared" si="7"/>
        <v>Otros</v>
      </c>
    </row>
    <row r="472" spans="1:2" x14ac:dyDescent="0.2">
      <c r="A472" s="69" t="str">
        <f>Listas!E467</f>
        <v>RC Cámara Salina | 48 hrs. | 120 hrs.</v>
      </c>
      <c r="B472" s="69" t="str">
        <f t="shared" si="7"/>
        <v>Otros</v>
      </c>
    </row>
    <row r="473" spans="1:2" x14ac:dyDescent="0.2">
      <c r="A473" s="69" t="str">
        <f>Listas!E468</f>
        <v>RC Cámara Salina | 48 hrs. | 144 hrs.</v>
      </c>
      <c r="B473" s="69" t="str">
        <f t="shared" si="7"/>
        <v>Otros</v>
      </c>
    </row>
    <row r="474" spans="1:2" x14ac:dyDescent="0.2">
      <c r="A474" s="69" t="str">
        <f>Listas!E469</f>
        <v>RC Cámara Salina | 48 hrs. | 16 hrs.</v>
      </c>
      <c r="B474" s="69" t="str">
        <f t="shared" si="7"/>
        <v>Otros</v>
      </c>
    </row>
    <row r="475" spans="1:2" x14ac:dyDescent="0.2">
      <c r="A475" s="69" t="str">
        <f>Listas!E470</f>
        <v>RC Cámara Salina | 48 hrs. | 172 hrs.</v>
      </c>
      <c r="B475" s="69" t="str">
        <f t="shared" si="7"/>
        <v>Otros</v>
      </c>
    </row>
    <row r="476" spans="1:2" x14ac:dyDescent="0.2">
      <c r="A476" s="69" t="str">
        <f>Listas!E471</f>
        <v>RC Cámara Salina | 48 hrs. | 200 hrs.</v>
      </c>
      <c r="B476" s="69" t="str">
        <f t="shared" si="7"/>
        <v>Otros</v>
      </c>
    </row>
    <row r="477" spans="1:2" x14ac:dyDescent="0.2">
      <c r="A477" s="69" t="str">
        <f>Listas!E472</f>
        <v>RC Cámara Salina | 48 hrs. | 24 hrs.</v>
      </c>
      <c r="B477" s="69" t="str">
        <f t="shared" si="7"/>
        <v>Otros</v>
      </c>
    </row>
    <row r="478" spans="1:2" x14ac:dyDescent="0.2">
      <c r="A478" s="69" t="str">
        <f>Listas!E473</f>
        <v>RC Cámara Salina | 48 hrs. | 240 hrs.</v>
      </c>
      <c r="B478" s="69" t="str">
        <f t="shared" si="7"/>
        <v>Otros</v>
      </c>
    </row>
    <row r="479" spans="1:2" x14ac:dyDescent="0.2">
      <c r="A479" s="69" t="str">
        <f>Listas!E474</f>
        <v>RC Cámara Salina | 48 hrs. | 36 hrs.</v>
      </c>
      <c r="B479" s="69" t="str">
        <f t="shared" si="7"/>
        <v>Otros</v>
      </c>
    </row>
    <row r="480" spans="1:2" x14ac:dyDescent="0.2">
      <c r="A480" s="69" t="str">
        <f>Listas!E475</f>
        <v>RC Cámara Salina | 48 hrs. | 360 hrs.</v>
      </c>
      <c r="B480" s="69" t="str">
        <f t="shared" si="7"/>
        <v>Otros</v>
      </c>
    </row>
    <row r="481" spans="1:2" x14ac:dyDescent="0.2">
      <c r="A481" s="69" t="str">
        <f>Listas!E476</f>
        <v>RC Cámara Salina | 48 hrs. | 48 hrs.</v>
      </c>
      <c r="B481" s="69" t="str">
        <f t="shared" si="7"/>
        <v>Otros</v>
      </c>
    </row>
    <row r="482" spans="1:2" x14ac:dyDescent="0.2">
      <c r="A482" s="69" t="str">
        <f>Listas!E477</f>
        <v>RC Cámara Salina | 48 hrs. | 480 hrs.</v>
      </c>
      <c r="B482" s="69" t="str">
        <f t="shared" si="7"/>
        <v>Otros</v>
      </c>
    </row>
    <row r="483" spans="1:2" x14ac:dyDescent="0.2">
      <c r="A483" s="69" t="str">
        <f>Listas!E478</f>
        <v>RC Cámara Salina | 48 hrs. | 500 hrs.</v>
      </c>
      <c r="B483" s="69" t="str">
        <f t="shared" si="7"/>
        <v>Otros</v>
      </c>
    </row>
    <row r="484" spans="1:2" x14ac:dyDescent="0.2">
      <c r="A484" s="69" t="str">
        <f>Listas!E479</f>
        <v>RC Cámara Salina | 48 hrs. | 72 hrs.</v>
      </c>
      <c r="B484" s="69" t="str">
        <f t="shared" si="7"/>
        <v>Otros</v>
      </c>
    </row>
    <row r="485" spans="1:2" x14ac:dyDescent="0.2">
      <c r="A485" s="69" t="str">
        <f>Listas!E480</f>
        <v>RC Cámara Salina | 48 hrs. | 720 hrs.</v>
      </c>
      <c r="B485" s="69" t="str">
        <f t="shared" si="7"/>
        <v>Otros</v>
      </c>
    </row>
    <row r="486" spans="1:2" x14ac:dyDescent="0.2">
      <c r="A486" s="69" t="str">
        <f>Listas!E481</f>
        <v>RC Cámara Salina | 48 hrs. | 96 hrs.</v>
      </c>
      <c r="B486" s="69" t="str">
        <f t="shared" si="7"/>
        <v>Otros</v>
      </c>
    </row>
    <row r="487" spans="1:2" x14ac:dyDescent="0.2">
      <c r="A487" s="69" t="str">
        <f>Listas!E482</f>
        <v>RC Cámara Salina | 48 hrs. | 960 hrs.</v>
      </c>
      <c r="B487" s="69" t="str">
        <f t="shared" si="7"/>
        <v>Otros</v>
      </c>
    </row>
    <row r="488" spans="1:2" x14ac:dyDescent="0.2">
      <c r="A488" s="69" t="str">
        <f>Listas!E483</f>
        <v>RC Cámara Salina | 48 hrs. | No aplica</v>
      </c>
      <c r="B488" s="69" t="str">
        <f t="shared" si="7"/>
        <v>Otros</v>
      </c>
    </row>
    <row r="489" spans="1:2" x14ac:dyDescent="0.2">
      <c r="A489" s="69" t="str">
        <f>Listas!E484</f>
        <v>RC Cámara Salina | 72 hrs. | 12 hrs.</v>
      </c>
      <c r="B489" s="69" t="str">
        <f t="shared" si="7"/>
        <v>Otros</v>
      </c>
    </row>
    <row r="490" spans="1:2" x14ac:dyDescent="0.2">
      <c r="A490" s="69" t="str">
        <f>Listas!E485</f>
        <v>RC Cámara Salina | 72 hrs. | 120 hrs.</v>
      </c>
      <c r="B490" s="69" t="str">
        <f t="shared" si="7"/>
        <v>Otros</v>
      </c>
    </row>
    <row r="491" spans="1:2" x14ac:dyDescent="0.2">
      <c r="A491" s="69" t="str">
        <f>Listas!E486</f>
        <v>RC Cámara Salina | 72 hrs. | 144 hrs.</v>
      </c>
      <c r="B491" s="69" t="str">
        <f t="shared" si="7"/>
        <v>Otros</v>
      </c>
    </row>
    <row r="492" spans="1:2" x14ac:dyDescent="0.2">
      <c r="A492" s="69" t="str">
        <f>Listas!E487</f>
        <v>RC Cámara Salina | 72 hrs. | 16 hrs.</v>
      </c>
      <c r="B492" s="69" t="str">
        <f t="shared" si="7"/>
        <v>Otros</v>
      </c>
    </row>
    <row r="493" spans="1:2" x14ac:dyDescent="0.2">
      <c r="A493" s="69" t="str">
        <f>Listas!E488</f>
        <v>RC Cámara Salina | 72 hrs. | 172 hrs.</v>
      </c>
      <c r="B493" s="69" t="str">
        <f t="shared" si="7"/>
        <v>Otros</v>
      </c>
    </row>
    <row r="494" spans="1:2" x14ac:dyDescent="0.2">
      <c r="A494" s="69" t="str">
        <f>Listas!E489</f>
        <v>RC Cámara Salina | 72 hrs. | 200 hrs.</v>
      </c>
      <c r="B494" s="69" t="str">
        <f t="shared" si="7"/>
        <v>Otros</v>
      </c>
    </row>
    <row r="495" spans="1:2" x14ac:dyDescent="0.2">
      <c r="A495" s="69" t="str">
        <f>Listas!E490</f>
        <v>RC Cámara Salina | 72 hrs. | 24 hrs.</v>
      </c>
      <c r="B495" s="69" t="str">
        <f t="shared" si="7"/>
        <v>Otros</v>
      </c>
    </row>
    <row r="496" spans="1:2" x14ac:dyDescent="0.2">
      <c r="A496" s="69" t="str">
        <f>Listas!E491</f>
        <v>RC Cámara Salina | 72 hrs. | 240 hrs.</v>
      </c>
      <c r="B496" s="69" t="str">
        <f t="shared" si="7"/>
        <v>Otros</v>
      </c>
    </row>
    <row r="497" spans="1:2" x14ac:dyDescent="0.2">
      <c r="A497" s="69" t="str">
        <f>Listas!E492</f>
        <v>RC Cámara Salina | 72 hrs. | 36 hrs.</v>
      </c>
      <c r="B497" s="69" t="str">
        <f t="shared" si="7"/>
        <v>Otros</v>
      </c>
    </row>
    <row r="498" spans="1:2" x14ac:dyDescent="0.2">
      <c r="A498" s="69" t="str">
        <f>Listas!E493</f>
        <v>RC Cámara Salina | 72 hrs. | 360 hrs.</v>
      </c>
      <c r="B498" s="69" t="str">
        <f t="shared" si="7"/>
        <v>Otros</v>
      </c>
    </row>
    <row r="499" spans="1:2" x14ac:dyDescent="0.2">
      <c r="A499" s="69" t="str">
        <f>Listas!E494</f>
        <v>RC Cámara Salina | 72 hrs. | 48 hrs.</v>
      </c>
      <c r="B499" s="69" t="str">
        <f t="shared" si="7"/>
        <v>Otros</v>
      </c>
    </row>
    <row r="500" spans="1:2" x14ac:dyDescent="0.2">
      <c r="A500" s="69" t="str">
        <f>Listas!E495</f>
        <v>RC Cámara Salina | 72 hrs. | 480 hrs.</v>
      </c>
      <c r="B500" s="69" t="str">
        <f t="shared" si="7"/>
        <v>Otros</v>
      </c>
    </row>
    <row r="501" spans="1:2" x14ac:dyDescent="0.2">
      <c r="A501" s="69" t="str">
        <f>Listas!E496</f>
        <v>RC Cámara Salina | 72 hrs. | 500 hrs.</v>
      </c>
      <c r="B501" s="69" t="str">
        <f t="shared" si="7"/>
        <v>Otros</v>
      </c>
    </row>
    <row r="502" spans="1:2" x14ac:dyDescent="0.2">
      <c r="A502" s="69" t="str">
        <f>Listas!E497</f>
        <v>RC Cámara Salina | 72 hrs. | 72 hrs.</v>
      </c>
      <c r="B502" s="69" t="str">
        <f t="shared" si="7"/>
        <v>Otros</v>
      </c>
    </row>
    <row r="503" spans="1:2" x14ac:dyDescent="0.2">
      <c r="A503" s="69" t="str">
        <f>Listas!E498</f>
        <v>RC Cámara Salina | 72 hrs. | 720 hrs.</v>
      </c>
      <c r="B503" s="69" t="str">
        <f t="shared" si="7"/>
        <v>Otros</v>
      </c>
    </row>
    <row r="504" spans="1:2" x14ac:dyDescent="0.2">
      <c r="A504" s="69" t="str">
        <f>Listas!E499</f>
        <v>RC Cámara Salina | 72 hrs. | 96 hrs.</v>
      </c>
      <c r="B504" s="69" t="str">
        <f t="shared" si="7"/>
        <v>Otros</v>
      </c>
    </row>
    <row r="505" spans="1:2" x14ac:dyDescent="0.2">
      <c r="A505" s="69" t="str">
        <f>Listas!E500</f>
        <v>RC Cámara Salina | 72 hrs. | 960 hrs.</v>
      </c>
      <c r="B505" s="69" t="str">
        <f t="shared" si="7"/>
        <v>Otros</v>
      </c>
    </row>
    <row r="506" spans="1:2" x14ac:dyDescent="0.2">
      <c r="A506" s="69" t="str">
        <f>Listas!E501</f>
        <v>RC Cámara Salina | 72 hrs. | No aplica</v>
      </c>
      <c r="B506" s="69" t="str">
        <f t="shared" si="7"/>
        <v>Otros</v>
      </c>
    </row>
    <row r="507" spans="1:2" x14ac:dyDescent="0.2">
      <c r="A507" s="69" t="str">
        <f>Listas!E502</f>
        <v>RC Cámara Salina | 8 hrs. | 12 hrs.</v>
      </c>
      <c r="B507" s="69" t="str">
        <f t="shared" si="7"/>
        <v>Otros</v>
      </c>
    </row>
    <row r="508" spans="1:2" x14ac:dyDescent="0.2">
      <c r="A508" s="69" t="str">
        <f>Listas!E503</f>
        <v>RC Cámara Salina | 8 hrs. | 120 hrs.</v>
      </c>
      <c r="B508" s="69" t="str">
        <f t="shared" si="7"/>
        <v>Otros</v>
      </c>
    </row>
    <row r="509" spans="1:2" x14ac:dyDescent="0.2">
      <c r="A509" s="69" t="str">
        <f>Listas!E504</f>
        <v>RC Cámara Salina | 8 hrs. | 144 hrs.</v>
      </c>
      <c r="B509" s="69" t="str">
        <f t="shared" si="7"/>
        <v>Otros</v>
      </c>
    </row>
    <row r="510" spans="1:2" x14ac:dyDescent="0.2">
      <c r="A510" s="69" t="str">
        <f>Listas!E505</f>
        <v>RC Cámara Salina | 8 hrs. | 16 hrs.</v>
      </c>
      <c r="B510" s="69" t="str">
        <f t="shared" si="7"/>
        <v>Otros</v>
      </c>
    </row>
    <row r="511" spans="1:2" x14ac:dyDescent="0.2">
      <c r="A511" s="69" t="str">
        <f>Listas!E506</f>
        <v>RC Cámara Salina | 8 hrs. | 172 hrs.</v>
      </c>
      <c r="B511" s="69" t="str">
        <f t="shared" si="7"/>
        <v>Otros</v>
      </c>
    </row>
    <row r="512" spans="1:2" x14ac:dyDescent="0.2">
      <c r="A512" s="69" t="str">
        <f>Listas!E507</f>
        <v>RC Cámara Salina | 8 hrs. | 200 hrs.</v>
      </c>
      <c r="B512" s="69" t="str">
        <f t="shared" si="7"/>
        <v>Otros</v>
      </c>
    </row>
    <row r="513" spans="1:2" x14ac:dyDescent="0.2">
      <c r="A513" s="69" t="str">
        <f>Listas!E508</f>
        <v>RC Cámara Salina | 8 hrs. | 24 hrs.</v>
      </c>
      <c r="B513" s="69" t="str">
        <f t="shared" si="7"/>
        <v>Otros</v>
      </c>
    </row>
    <row r="514" spans="1:2" x14ac:dyDescent="0.2">
      <c r="A514" s="69" t="str">
        <f>Listas!E509</f>
        <v>RC Cámara Salina | 8 hrs. | 240 hrs.</v>
      </c>
      <c r="B514" s="69" t="str">
        <f t="shared" si="7"/>
        <v>Otros</v>
      </c>
    </row>
    <row r="515" spans="1:2" x14ac:dyDescent="0.2">
      <c r="A515" s="69" t="str">
        <f>Listas!E510</f>
        <v>RC Cámara Salina | 8 hrs. | 36 hrs.</v>
      </c>
      <c r="B515" s="69" t="str">
        <f t="shared" si="7"/>
        <v>Otros</v>
      </c>
    </row>
    <row r="516" spans="1:2" x14ac:dyDescent="0.2">
      <c r="A516" s="69" t="str">
        <f>Listas!E511</f>
        <v>RC Cámara Salina | 8 hrs. | 360 hrs.</v>
      </c>
      <c r="B516" s="69" t="str">
        <f t="shared" si="7"/>
        <v>Otros</v>
      </c>
    </row>
    <row r="517" spans="1:2" x14ac:dyDescent="0.2">
      <c r="A517" s="69" t="str">
        <f>Listas!E512</f>
        <v>RC Cámara Salina | 8 hrs. | 48 hrs.</v>
      </c>
      <c r="B517" s="69" t="str">
        <f t="shared" si="7"/>
        <v>Otros</v>
      </c>
    </row>
    <row r="518" spans="1:2" x14ac:dyDescent="0.2">
      <c r="A518" s="69" t="str">
        <f>Listas!E513</f>
        <v>RC Cámara Salina | 8 hrs. | 480 hrs.</v>
      </c>
      <c r="B518" s="69" t="str">
        <f t="shared" si="7"/>
        <v>Otros</v>
      </c>
    </row>
    <row r="519" spans="1:2" x14ac:dyDescent="0.2">
      <c r="A519" s="69" t="str">
        <f>Listas!E514</f>
        <v>RC Cámara Salina | 8 hrs. | 500 hrs.</v>
      </c>
      <c r="B519" s="69" t="str">
        <f t="shared" si="7"/>
        <v>Otros</v>
      </c>
    </row>
    <row r="520" spans="1:2" x14ac:dyDescent="0.2">
      <c r="A520" s="69" t="str">
        <f>Listas!E515</f>
        <v>RC Cámara Salina | 8 hrs. | 72 hrs.</v>
      </c>
      <c r="B520" s="69" t="str">
        <f t="shared" si="7"/>
        <v>Otros</v>
      </c>
    </row>
    <row r="521" spans="1:2" x14ac:dyDescent="0.2">
      <c r="A521" s="69" t="str">
        <f>Listas!E516</f>
        <v>RC Cámara Salina | 8 hrs. | 720 hrs.</v>
      </c>
      <c r="B521" s="69" t="str">
        <f t="shared" si="7"/>
        <v>Otros</v>
      </c>
    </row>
    <row r="522" spans="1:2" x14ac:dyDescent="0.2">
      <c r="A522" s="69" t="str">
        <f>Listas!E517</f>
        <v>RC Cámara Salina | 8 hrs. | 96 hrs.</v>
      </c>
      <c r="B522" s="69" t="str">
        <f t="shared" ref="B522:B585" si="8">IF(OR(A522="",A522=0),"",_xlfn.LET(_xlpm.t,A522&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Otros</v>
      </c>
    </row>
    <row r="523" spans="1:2" x14ac:dyDescent="0.2">
      <c r="A523" s="69" t="str">
        <f>Listas!E518</f>
        <v>RC Cámara Salina | 8 hrs. | 960 hrs.</v>
      </c>
      <c r="B523" s="69" t="str">
        <f t="shared" si="8"/>
        <v>Otros</v>
      </c>
    </row>
    <row r="524" spans="1:2" x14ac:dyDescent="0.2">
      <c r="A524" s="69" t="str">
        <f>Listas!E519</f>
        <v>RC Cámara Salina | 8 hrs. | No aplica</v>
      </c>
      <c r="B524" s="69" t="str">
        <f t="shared" si="8"/>
        <v>Otros</v>
      </c>
    </row>
    <row r="525" spans="1:2" x14ac:dyDescent="0.2">
      <c r="A525" s="69" t="str">
        <f>Listas!E520</f>
        <v>RC Cámara Salina | 80 hrs. | 12 hrs.</v>
      </c>
      <c r="B525" s="69" t="str">
        <f t="shared" si="8"/>
        <v>Otros</v>
      </c>
    </row>
    <row r="526" spans="1:2" x14ac:dyDescent="0.2">
      <c r="A526" s="69" t="str">
        <f>Listas!E521</f>
        <v>RC Cámara Salina | 80 hrs. | 120 hrs.</v>
      </c>
      <c r="B526" s="69" t="str">
        <f t="shared" si="8"/>
        <v>Otros</v>
      </c>
    </row>
    <row r="527" spans="1:2" x14ac:dyDescent="0.2">
      <c r="A527" s="69" t="str">
        <f>Listas!E522</f>
        <v>RC Cámara Salina | 80 hrs. | 144 hrs.</v>
      </c>
      <c r="B527" s="69" t="str">
        <f t="shared" si="8"/>
        <v>Otros</v>
      </c>
    </row>
    <row r="528" spans="1:2" x14ac:dyDescent="0.2">
      <c r="A528" s="69" t="str">
        <f>Listas!E523</f>
        <v>RC Cámara Salina | 80 hrs. | 16 hrs.</v>
      </c>
      <c r="B528" s="69" t="str">
        <f t="shared" si="8"/>
        <v>Otros</v>
      </c>
    </row>
    <row r="529" spans="1:2" x14ac:dyDescent="0.2">
      <c r="A529" s="69" t="str">
        <f>Listas!E524</f>
        <v>RC Cámara Salina | 80 hrs. | 172 hrs.</v>
      </c>
      <c r="B529" s="69" t="str">
        <f t="shared" si="8"/>
        <v>Otros</v>
      </c>
    </row>
    <row r="530" spans="1:2" x14ac:dyDescent="0.2">
      <c r="A530" s="69" t="str">
        <f>Listas!E525</f>
        <v>RC Cámara Salina | 80 hrs. | 200 hrs.</v>
      </c>
      <c r="B530" s="69" t="str">
        <f t="shared" si="8"/>
        <v>Otros</v>
      </c>
    </row>
    <row r="531" spans="1:2" x14ac:dyDescent="0.2">
      <c r="A531" s="69" t="str">
        <f>Listas!E526</f>
        <v>RC Cámara Salina | 80 hrs. | 24 hrs.</v>
      </c>
      <c r="B531" s="69" t="str">
        <f t="shared" si="8"/>
        <v>Otros</v>
      </c>
    </row>
    <row r="532" spans="1:2" x14ac:dyDescent="0.2">
      <c r="A532" s="69" t="str">
        <f>Listas!E527</f>
        <v>RC Cámara Salina | 80 hrs. | 240 hrs.</v>
      </c>
      <c r="B532" s="69" t="str">
        <f t="shared" si="8"/>
        <v>Otros</v>
      </c>
    </row>
    <row r="533" spans="1:2" x14ac:dyDescent="0.2">
      <c r="A533" s="69" t="str">
        <f>Listas!E528</f>
        <v>RC Cámara Salina | 80 hrs. | 36 hrs.</v>
      </c>
      <c r="B533" s="69" t="str">
        <f t="shared" si="8"/>
        <v>Otros</v>
      </c>
    </row>
    <row r="534" spans="1:2" x14ac:dyDescent="0.2">
      <c r="A534" s="69" t="str">
        <f>Listas!E529</f>
        <v>RC Cámara Salina | 80 hrs. | 360 hrs.</v>
      </c>
      <c r="B534" s="69" t="str">
        <f t="shared" si="8"/>
        <v>Otros</v>
      </c>
    </row>
    <row r="535" spans="1:2" x14ac:dyDescent="0.2">
      <c r="A535" s="69" t="str">
        <f>Listas!E530</f>
        <v>RC Cámara Salina | 80 hrs. | 48 hrs.</v>
      </c>
      <c r="B535" s="69" t="str">
        <f t="shared" si="8"/>
        <v>Otros</v>
      </c>
    </row>
    <row r="536" spans="1:2" x14ac:dyDescent="0.2">
      <c r="A536" s="69" t="str">
        <f>Listas!E531</f>
        <v>RC Cámara Salina | 80 hrs. | 480 hrs.</v>
      </c>
      <c r="B536" s="69" t="str">
        <f t="shared" si="8"/>
        <v>Otros</v>
      </c>
    </row>
    <row r="537" spans="1:2" x14ac:dyDescent="0.2">
      <c r="A537" s="69" t="str">
        <f>Listas!E532</f>
        <v>RC Cámara Salina | 80 hrs. | 500 hrs.</v>
      </c>
      <c r="B537" s="69" t="str">
        <f t="shared" si="8"/>
        <v>Otros</v>
      </c>
    </row>
    <row r="538" spans="1:2" x14ac:dyDescent="0.2">
      <c r="A538" s="69" t="str">
        <f>Listas!E533</f>
        <v>RC Cámara Salina | 80 hrs. | 72 hrs.</v>
      </c>
      <c r="B538" s="69" t="str">
        <f t="shared" si="8"/>
        <v>Otros</v>
      </c>
    </row>
    <row r="539" spans="1:2" x14ac:dyDescent="0.2">
      <c r="A539" s="69" t="str">
        <f>Listas!E534</f>
        <v>RC Cámara Salina | 80 hrs. | 720 hrs.</v>
      </c>
      <c r="B539" s="69" t="str">
        <f t="shared" si="8"/>
        <v>Otros</v>
      </c>
    </row>
    <row r="540" spans="1:2" x14ac:dyDescent="0.2">
      <c r="A540" s="69" t="str">
        <f>Listas!E535</f>
        <v>RC Cámara Salina | 80 hrs. | 96 hrs.</v>
      </c>
      <c r="B540" s="69" t="str">
        <f t="shared" si="8"/>
        <v>Otros</v>
      </c>
    </row>
    <row r="541" spans="1:2" x14ac:dyDescent="0.2">
      <c r="A541" s="69" t="str">
        <f>Listas!E536</f>
        <v>RC Cámara Salina | 80 hrs. | 960 hrs.</v>
      </c>
      <c r="B541" s="69" t="str">
        <f t="shared" si="8"/>
        <v>Otros</v>
      </c>
    </row>
    <row r="542" spans="1:2" x14ac:dyDescent="0.2">
      <c r="A542" s="69" t="str">
        <f>Listas!E537</f>
        <v>RC Cámara Salina | 80 hrs. | No aplica</v>
      </c>
      <c r="B542" s="69" t="str">
        <f t="shared" si="8"/>
        <v>Otros</v>
      </c>
    </row>
    <row r="543" spans="1:2" x14ac:dyDescent="0.2">
      <c r="A543" s="69" t="str">
        <f>Listas!E538</f>
        <v>RC Cámara Salina | 96 hrs. | 12 hrs.</v>
      </c>
      <c r="B543" s="69" t="str">
        <f t="shared" si="8"/>
        <v>Otros</v>
      </c>
    </row>
    <row r="544" spans="1:2" x14ac:dyDescent="0.2">
      <c r="A544" s="69" t="str">
        <f>Listas!E539</f>
        <v>RC Cámara Salina | 96 hrs. | 120 hrs.</v>
      </c>
      <c r="B544" s="69" t="str">
        <f t="shared" si="8"/>
        <v>Otros</v>
      </c>
    </row>
    <row r="545" spans="1:2" x14ac:dyDescent="0.2">
      <c r="A545" s="69" t="str">
        <f>Listas!E540</f>
        <v>RC Cámara Salina | 96 hrs. | 144 hrs.</v>
      </c>
      <c r="B545" s="69" t="str">
        <f t="shared" si="8"/>
        <v>Otros</v>
      </c>
    </row>
    <row r="546" spans="1:2" x14ac:dyDescent="0.2">
      <c r="A546" s="69" t="str">
        <f>Listas!E541</f>
        <v>RC Cámara Salina | 96 hrs. | 16 hrs.</v>
      </c>
      <c r="B546" s="69" t="str">
        <f t="shared" si="8"/>
        <v>Otros</v>
      </c>
    </row>
    <row r="547" spans="1:2" x14ac:dyDescent="0.2">
      <c r="A547" s="69" t="str">
        <f>Listas!E542</f>
        <v>RC Cámara Salina | 96 hrs. | 172 hrs.</v>
      </c>
      <c r="B547" s="69" t="str">
        <f t="shared" si="8"/>
        <v>Otros</v>
      </c>
    </row>
    <row r="548" spans="1:2" x14ac:dyDescent="0.2">
      <c r="A548" s="69" t="str">
        <f>Listas!E543</f>
        <v>RC Cámara Salina | 96 hrs. | 200 hrs.</v>
      </c>
      <c r="B548" s="69" t="str">
        <f t="shared" si="8"/>
        <v>Otros</v>
      </c>
    </row>
    <row r="549" spans="1:2" x14ac:dyDescent="0.2">
      <c r="A549" s="69" t="str">
        <f>Listas!E544</f>
        <v>RC Cámara Salina | 96 hrs. | 24 hrs.</v>
      </c>
      <c r="B549" s="69" t="str">
        <f t="shared" si="8"/>
        <v>Otros</v>
      </c>
    </row>
    <row r="550" spans="1:2" x14ac:dyDescent="0.2">
      <c r="A550" s="69" t="str">
        <f>Listas!E545</f>
        <v>RC Cámara Salina | 96 hrs. | 240 hrs.</v>
      </c>
      <c r="B550" s="69" t="str">
        <f t="shared" si="8"/>
        <v>Otros</v>
      </c>
    </row>
    <row r="551" spans="1:2" x14ac:dyDescent="0.2">
      <c r="A551" s="69" t="str">
        <f>Listas!E546</f>
        <v>RC Cámara Salina | 96 hrs. | 36 hrs.</v>
      </c>
      <c r="B551" s="69" t="str">
        <f t="shared" si="8"/>
        <v>Otros</v>
      </c>
    </row>
    <row r="552" spans="1:2" x14ac:dyDescent="0.2">
      <c r="A552" s="69" t="str">
        <f>Listas!E547</f>
        <v>RC Cámara Salina | 96 hrs. | 360 hrs.</v>
      </c>
      <c r="B552" s="69" t="str">
        <f t="shared" si="8"/>
        <v>Otros</v>
      </c>
    </row>
    <row r="553" spans="1:2" x14ac:dyDescent="0.2">
      <c r="A553" s="69" t="str">
        <f>Listas!E548</f>
        <v>RC Cámara Salina | 96 hrs. | 48 hrs.</v>
      </c>
      <c r="B553" s="69" t="str">
        <f t="shared" si="8"/>
        <v>Otros</v>
      </c>
    </row>
    <row r="554" spans="1:2" x14ac:dyDescent="0.2">
      <c r="A554" s="69" t="str">
        <f>Listas!E549</f>
        <v>RC Cámara Salina | 96 hrs. | 480 hrs.</v>
      </c>
      <c r="B554" s="69" t="str">
        <f t="shared" si="8"/>
        <v>Otros</v>
      </c>
    </row>
    <row r="555" spans="1:2" x14ac:dyDescent="0.2">
      <c r="A555" s="69" t="str">
        <f>Listas!E550</f>
        <v>RC Cámara Salina | 96 hrs. | 500 hrs.</v>
      </c>
      <c r="B555" s="69" t="str">
        <f t="shared" si="8"/>
        <v>Otros</v>
      </c>
    </row>
    <row r="556" spans="1:2" x14ac:dyDescent="0.2">
      <c r="A556" s="69" t="str">
        <f>Listas!E551</f>
        <v>RC Cámara Salina | 96 hrs. | 72 hrs.</v>
      </c>
      <c r="B556" s="69" t="str">
        <f t="shared" si="8"/>
        <v>Otros</v>
      </c>
    </row>
    <row r="557" spans="1:2" x14ac:dyDescent="0.2">
      <c r="A557" s="69" t="str">
        <f>Listas!E552</f>
        <v>RC Cámara Salina | 96 hrs. | 720 hrs.</v>
      </c>
      <c r="B557" s="69" t="str">
        <f t="shared" si="8"/>
        <v>Otros</v>
      </c>
    </row>
    <row r="558" spans="1:2" x14ac:dyDescent="0.2">
      <c r="A558" s="69" t="str">
        <f>Listas!E553</f>
        <v>RC Cámara Salina | 96 hrs. | 96 hrs.</v>
      </c>
      <c r="B558" s="69" t="str">
        <f t="shared" si="8"/>
        <v>Otros</v>
      </c>
    </row>
    <row r="559" spans="1:2" x14ac:dyDescent="0.2">
      <c r="A559" s="69" t="str">
        <f>Listas!E554</f>
        <v>RC Cámara Salina | 96 hrs. | 960 hrs.</v>
      </c>
      <c r="B559" s="69" t="str">
        <f t="shared" si="8"/>
        <v>Otros</v>
      </c>
    </row>
    <row r="560" spans="1:2" x14ac:dyDescent="0.2">
      <c r="A560" s="69" t="str">
        <f>Listas!E555</f>
        <v>RC Cámara Salina | 96 hrs. | No aplica</v>
      </c>
      <c r="B560" s="69" t="str">
        <f t="shared" si="8"/>
        <v>Otros</v>
      </c>
    </row>
    <row r="561" spans="1:2" x14ac:dyDescent="0.2">
      <c r="A561" s="69" t="str">
        <f>Listas!E556</f>
        <v>RC Cámara Salina | No aplica | 12 hrs.</v>
      </c>
      <c r="B561" s="69" t="str">
        <f t="shared" si="8"/>
        <v>Otros</v>
      </c>
    </row>
    <row r="562" spans="1:2" x14ac:dyDescent="0.2">
      <c r="A562" s="69" t="str">
        <f>Listas!E557</f>
        <v>RC Cámara Salina | No aplica | 120 hrs.</v>
      </c>
      <c r="B562" s="69" t="str">
        <f t="shared" si="8"/>
        <v>Otros</v>
      </c>
    </row>
    <row r="563" spans="1:2" x14ac:dyDescent="0.2">
      <c r="A563" s="69" t="str">
        <f>Listas!E558</f>
        <v>RC Cámara Salina | No aplica | 144 hrs.</v>
      </c>
      <c r="B563" s="69" t="str">
        <f t="shared" si="8"/>
        <v>Otros</v>
      </c>
    </row>
    <row r="564" spans="1:2" x14ac:dyDescent="0.2">
      <c r="A564" s="69" t="str">
        <f>Listas!E559</f>
        <v>RC Cámara Salina | No aplica | 16 hrs.</v>
      </c>
      <c r="B564" s="69" t="str">
        <f t="shared" si="8"/>
        <v>Otros</v>
      </c>
    </row>
    <row r="565" spans="1:2" x14ac:dyDescent="0.2">
      <c r="A565" s="69" t="str">
        <f>Listas!E560</f>
        <v>RC Cámara Salina | No aplica | 172 hrs.</v>
      </c>
      <c r="B565" s="69" t="str">
        <f t="shared" si="8"/>
        <v>Otros</v>
      </c>
    </row>
    <row r="566" spans="1:2" x14ac:dyDescent="0.2">
      <c r="A566" s="69" t="str">
        <f>Listas!E561</f>
        <v>RC Cámara Salina | No aplica | 200 hrs.</v>
      </c>
      <c r="B566" s="69" t="str">
        <f t="shared" si="8"/>
        <v>Otros</v>
      </c>
    </row>
    <row r="567" spans="1:2" x14ac:dyDescent="0.2">
      <c r="A567" s="69" t="str">
        <f>Listas!E562</f>
        <v>RC Cámara Salina | No aplica | 24 hrs.</v>
      </c>
      <c r="B567" s="69" t="str">
        <f t="shared" si="8"/>
        <v>Otros</v>
      </c>
    </row>
    <row r="568" spans="1:2" x14ac:dyDescent="0.2">
      <c r="A568" s="69" t="str">
        <f>Listas!E563</f>
        <v>RC Cámara Salina | No aplica | 240 hrs.</v>
      </c>
      <c r="B568" s="69" t="str">
        <f t="shared" si="8"/>
        <v>Otros</v>
      </c>
    </row>
    <row r="569" spans="1:2" x14ac:dyDescent="0.2">
      <c r="A569" s="69" t="str">
        <f>Listas!E564</f>
        <v>RC Cámara Salina | No aplica | 36 hrs.</v>
      </c>
      <c r="B569" s="69" t="str">
        <f t="shared" si="8"/>
        <v>Otros</v>
      </c>
    </row>
    <row r="570" spans="1:2" x14ac:dyDescent="0.2">
      <c r="A570" s="69" t="str">
        <f>Listas!E565</f>
        <v>RC Cámara Salina | No aplica | 360 hrs.</v>
      </c>
      <c r="B570" s="69" t="str">
        <f t="shared" si="8"/>
        <v>Otros</v>
      </c>
    </row>
    <row r="571" spans="1:2" x14ac:dyDescent="0.2">
      <c r="A571" s="69" t="str">
        <f>Listas!E566</f>
        <v>RC Cámara Salina | No aplica | 48 hrs.</v>
      </c>
      <c r="B571" s="69" t="str">
        <f t="shared" si="8"/>
        <v>Otros</v>
      </c>
    </row>
    <row r="572" spans="1:2" x14ac:dyDescent="0.2">
      <c r="A572" s="69" t="str">
        <f>Listas!E567</f>
        <v>RC Cámara Salina | No aplica | 480 hrs.</v>
      </c>
      <c r="B572" s="69" t="str">
        <f t="shared" si="8"/>
        <v>Otros</v>
      </c>
    </row>
    <row r="573" spans="1:2" x14ac:dyDescent="0.2">
      <c r="A573" s="69" t="str">
        <f>Listas!E568</f>
        <v>RC Cámara Salina | No aplica | 500 hrs.</v>
      </c>
      <c r="B573" s="69" t="str">
        <f t="shared" si="8"/>
        <v>Otros</v>
      </c>
    </row>
    <row r="574" spans="1:2" x14ac:dyDescent="0.2">
      <c r="A574" s="69" t="str">
        <f>Listas!E569</f>
        <v>RC Cámara Salina | No aplica | 72 hrs.</v>
      </c>
      <c r="B574" s="69" t="str">
        <f t="shared" si="8"/>
        <v>Otros</v>
      </c>
    </row>
    <row r="575" spans="1:2" x14ac:dyDescent="0.2">
      <c r="A575" s="69" t="str">
        <f>Listas!E570</f>
        <v>RC Cámara Salina | No aplica | 720 hrs.</v>
      </c>
      <c r="B575" s="69" t="str">
        <f t="shared" si="8"/>
        <v>Otros</v>
      </c>
    </row>
    <row r="576" spans="1:2" x14ac:dyDescent="0.2">
      <c r="A576" s="69" t="str">
        <f>Listas!E571</f>
        <v>RC Cámara Salina | No aplica | 96 hrs.</v>
      </c>
      <c r="B576" s="69" t="str">
        <f t="shared" si="8"/>
        <v>Otros</v>
      </c>
    </row>
    <row r="577" spans="1:2" x14ac:dyDescent="0.2">
      <c r="A577" s="69" t="str">
        <f>Listas!E572</f>
        <v>RC Cámara Salina | No aplica | 960 hrs.</v>
      </c>
      <c r="B577" s="69" t="str">
        <f t="shared" si="8"/>
        <v>Otros</v>
      </c>
    </row>
    <row r="578" spans="1:2" x14ac:dyDescent="0.2">
      <c r="A578" s="69" t="str">
        <f>Listas!E573</f>
        <v>RC Cámara Salina | No aplica | No aplica</v>
      </c>
      <c r="B578" s="69" t="str">
        <f t="shared" si="8"/>
        <v>Otros</v>
      </c>
    </row>
    <row r="579" spans="1:2" x14ac:dyDescent="0.2">
      <c r="A579" s="69" t="str">
        <f>Listas!E574</f>
        <v>RC Cu (Cobre) | 0.25 - 1 µm</v>
      </c>
      <c r="B579" s="69" t="str">
        <f t="shared" si="8"/>
        <v>Otros</v>
      </c>
    </row>
    <row r="580" spans="1:2" x14ac:dyDescent="0.2">
      <c r="A580" s="69" t="str">
        <f>Listas!E575</f>
        <v>RC Cu (Cobre) | 10 - 12 µm</v>
      </c>
      <c r="B580" s="69" t="str">
        <f t="shared" si="8"/>
        <v>Otros</v>
      </c>
    </row>
    <row r="581" spans="1:2" x14ac:dyDescent="0.2">
      <c r="A581" s="69" t="str">
        <f>Listas!E576</f>
        <v>RC Cu (Cobre) | 3 - 5 µm</v>
      </c>
      <c r="B581" s="69" t="str">
        <f t="shared" si="8"/>
        <v>Otros</v>
      </c>
    </row>
    <row r="582" spans="1:2" x14ac:dyDescent="0.2">
      <c r="A582" s="69" t="str">
        <f>Listas!E577</f>
        <v>RC Cu-Ag (Cobre - Plata) | 0.5 - 1.5 µm | 0.5 - 1.0 µm</v>
      </c>
      <c r="B582" s="69" t="str">
        <f t="shared" si="8"/>
        <v>Plata</v>
      </c>
    </row>
    <row r="583" spans="1:2" x14ac:dyDescent="0.2">
      <c r="A583" s="69" t="str">
        <f>Listas!E578</f>
        <v>RC Cu-Ag (Cobre - Plata) | 0.5 - 1.5 µm | No aplica</v>
      </c>
      <c r="B583" s="69" t="str">
        <f t="shared" si="8"/>
        <v>Plata</v>
      </c>
    </row>
    <row r="584" spans="1:2" x14ac:dyDescent="0.2">
      <c r="A584" s="69" t="str">
        <f>Listas!E579</f>
        <v>RC Cu-Ag (Cobre - Plata) | 1.5 - 2.5 µm | 0.5 - 1.0 µm</v>
      </c>
      <c r="B584" s="69" t="str">
        <f t="shared" si="8"/>
        <v>Plata</v>
      </c>
    </row>
    <row r="585" spans="1:2" x14ac:dyDescent="0.2">
      <c r="A585" s="69" t="str">
        <f>Listas!E580</f>
        <v>RC Cu-Ag (Cobre - Plata) | 1.5 - 2.5 µm | No aplica</v>
      </c>
      <c r="B585" s="69" t="str">
        <f t="shared" si="8"/>
        <v>Plata</v>
      </c>
    </row>
    <row r="586" spans="1:2" x14ac:dyDescent="0.2">
      <c r="A586" s="69" t="str">
        <f>Listas!E581</f>
        <v>RC Cu-Ni (Cobre - Níquel) | 10 - 13 µm | 0.5 - 1.0 µm</v>
      </c>
      <c r="B586" s="69" t="str">
        <f t="shared" ref="B586:B649" si="9">IF(OR(A586="",A586=0),"",_xlfn.LET(_xlpm.t,A586&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Níquel</v>
      </c>
    </row>
    <row r="587" spans="1:2" x14ac:dyDescent="0.2">
      <c r="A587" s="69" t="str">
        <f>Listas!E582</f>
        <v>RC Cu-Ni (Cobre - Níquel) | 10 - 13 µm | 18 - 22 µm</v>
      </c>
      <c r="B587" s="69" t="str">
        <f t="shared" si="9"/>
        <v>Níquel</v>
      </c>
    </row>
    <row r="588" spans="1:2" x14ac:dyDescent="0.2">
      <c r="A588" s="69" t="str">
        <f>Listas!E583</f>
        <v>RC Cu-Ni (Cobre - Níquel) | 10 - 13 µm | 20 - 25 µm</v>
      </c>
      <c r="B588" s="69" t="str">
        <f t="shared" si="9"/>
        <v>Níquel</v>
      </c>
    </row>
    <row r="589" spans="1:2" x14ac:dyDescent="0.2">
      <c r="A589" s="69" t="str">
        <f>Listas!E584</f>
        <v>RC Cu-Ni (Cobre - Níquel) | 10 - 13 µm | 7 - 9 µm</v>
      </c>
      <c r="B589" s="69" t="str">
        <f t="shared" si="9"/>
        <v>Níquel</v>
      </c>
    </row>
    <row r="590" spans="1:2" x14ac:dyDescent="0.2">
      <c r="A590" s="69" t="str">
        <f>Listas!E585</f>
        <v>RC Cu-Ni (Cobre - Níquel) | 10 - 13 µm | No aplica</v>
      </c>
      <c r="B590" s="69" t="str">
        <f t="shared" si="9"/>
        <v>Níquel</v>
      </c>
    </row>
    <row r="591" spans="1:2" x14ac:dyDescent="0.2">
      <c r="A591" s="69" t="str">
        <f>Listas!E586</f>
        <v>RC Cu-Ni (Cobre - Níquel) | 3.81 - 5.08 µm | 0.5 - 1.0 µm</v>
      </c>
      <c r="B591" s="69" t="str">
        <f t="shared" si="9"/>
        <v>Níquel</v>
      </c>
    </row>
    <row r="592" spans="1:2" x14ac:dyDescent="0.2">
      <c r="A592" s="69" t="str">
        <f>Listas!E587</f>
        <v>RC Cu-Ni (Cobre - Níquel) | 3.81 - 5.08 µm | 18 - 22 µm</v>
      </c>
      <c r="B592" s="69" t="str">
        <f t="shared" si="9"/>
        <v>Níquel</v>
      </c>
    </row>
    <row r="593" spans="1:2" x14ac:dyDescent="0.2">
      <c r="A593" s="69" t="str">
        <f>Listas!E588</f>
        <v>RC Cu-Ni (Cobre - Níquel) | 3.81 - 5.08 µm | 20 - 25 µm</v>
      </c>
      <c r="B593" s="69" t="str">
        <f t="shared" si="9"/>
        <v>Níquel</v>
      </c>
    </row>
    <row r="594" spans="1:2" x14ac:dyDescent="0.2">
      <c r="A594" s="69" t="str">
        <f>Listas!E589</f>
        <v>RC Cu-Ni (Cobre - Níquel) | 3.81 - 5.08 µm | 7 - 9 µm</v>
      </c>
      <c r="B594" s="69" t="str">
        <f t="shared" si="9"/>
        <v>Níquel</v>
      </c>
    </row>
    <row r="595" spans="1:2" x14ac:dyDescent="0.2">
      <c r="A595" s="69" t="str">
        <f>Listas!E590</f>
        <v>RC Cu-Ni (Cobre - Níquel) | 3.81 - 5.08 µm | No aplica</v>
      </c>
      <c r="B595" s="69" t="str">
        <f t="shared" si="9"/>
        <v>Níquel</v>
      </c>
    </row>
    <row r="596" spans="1:2" x14ac:dyDescent="0.2">
      <c r="A596" s="69" t="str">
        <f>Listas!E591</f>
        <v>RC Cu-Ni (Cobre - Níquel) | 7.62 - 10.16 µm | 0.5 - 1.0 µm</v>
      </c>
      <c r="B596" s="69" t="str">
        <f t="shared" si="9"/>
        <v>Níquel</v>
      </c>
    </row>
    <row r="597" spans="1:2" x14ac:dyDescent="0.2">
      <c r="A597" s="69" t="str">
        <f>Listas!E592</f>
        <v>RC Cu-Ni (Cobre - Níquel) | 7.62 - 10.16 µm | 18 - 22 µm</v>
      </c>
      <c r="B597" s="69" t="str">
        <f t="shared" si="9"/>
        <v>Níquel</v>
      </c>
    </row>
    <row r="598" spans="1:2" x14ac:dyDescent="0.2">
      <c r="A598" s="69" t="str">
        <f>Listas!E593</f>
        <v>RC Cu-Ni (Cobre - Níquel) | 7.62 - 10.16 µm | 20 - 25 µm</v>
      </c>
      <c r="B598" s="69" t="str">
        <f t="shared" si="9"/>
        <v>Níquel</v>
      </c>
    </row>
    <row r="599" spans="1:2" x14ac:dyDescent="0.2">
      <c r="A599" s="69" t="str">
        <f>Listas!E594</f>
        <v>RC Cu-Ni (Cobre - Níquel) | 7.62 - 10.16 µm | 7 - 9 µm</v>
      </c>
      <c r="B599" s="69" t="str">
        <f t="shared" si="9"/>
        <v>Níquel</v>
      </c>
    </row>
    <row r="600" spans="1:2" x14ac:dyDescent="0.2">
      <c r="A600" s="69" t="str">
        <f>Listas!E595</f>
        <v>RC Cu-Ni (Cobre - Níquel) | 7.62 - 10.16 µm | No aplica</v>
      </c>
      <c r="B600" s="69" t="str">
        <f t="shared" si="9"/>
        <v>Níquel</v>
      </c>
    </row>
    <row r="601" spans="1:2" x14ac:dyDescent="0.2">
      <c r="A601" s="69" t="str">
        <f>Listas!E596</f>
        <v>RC Decapado</v>
      </c>
      <c r="B601" s="69" t="str">
        <f t="shared" si="9"/>
        <v>Otros</v>
      </c>
    </row>
    <row r="602" spans="1:2" x14ac:dyDescent="0.2">
      <c r="A602" s="69" t="str">
        <f>Listas!E597</f>
        <v>RC Electropulido</v>
      </c>
      <c r="B602" s="69" t="str">
        <f t="shared" si="9"/>
        <v>Otros</v>
      </c>
    </row>
    <row r="603" spans="1:2" x14ac:dyDescent="0.2">
      <c r="A603" s="69" t="str">
        <f>Listas!E598</f>
        <v>RC Empaque</v>
      </c>
      <c r="B603" s="69" t="str">
        <f t="shared" si="9"/>
        <v>Otros</v>
      </c>
    </row>
    <row r="604" spans="1:2" x14ac:dyDescent="0.2">
      <c r="A604" s="69" t="str">
        <f>Listas!E599</f>
        <v>RC Ensamble de Kits</v>
      </c>
      <c r="B604" s="69" t="str">
        <f t="shared" si="9"/>
        <v>Otros</v>
      </c>
    </row>
    <row r="605" spans="1:2" x14ac:dyDescent="0.2">
      <c r="A605" s="69" t="str">
        <f>Listas!E600</f>
        <v>RC EpBT (Epóxico BT) | 10 - 15 mils</v>
      </c>
      <c r="B605" s="69" t="str">
        <f t="shared" si="9"/>
        <v>Epóxico</v>
      </c>
    </row>
    <row r="606" spans="1:2" x14ac:dyDescent="0.2">
      <c r="A606" s="69" t="str">
        <f>Listas!E601</f>
        <v>RC EpBT (Epóxico BT) | 4 - 11 mils</v>
      </c>
      <c r="B606" s="69" t="str">
        <f t="shared" si="9"/>
        <v>Epóxico</v>
      </c>
    </row>
    <row r="607" spans="1:2" x14ac:dyDescent="0.2">
      <c r="A607" s="69" t="str">
        <f>Listas!E602</f>
        <v>RC EpMT (Epóxico MT) | 94 - 140 mils</v>
      </c>
      <c r="B607" s="69" t="str">
        <f t="shared" si="9"/>
        <v>Epóxico</v>
      </c>
    </row>
    <row r="608" spans="1:2" x14ac:dyDescent="0.2">
      <c r="A608" s="69" t="str">
        <f>Listas!E603</f>
        <v>RC Lavado</v>
      </c>
      <c r="B608" s="69" t="str">
        <f t="shared" si="9"/>
        <v>Otros</v>
      </c>
    </row>
    <row r="609" spans="1:2" x14ac:dyDescent="0.2">
      <c r="A609" s="69" t="str">
        <f>Listas!E604</f>
        <v>RC Limpieza Mecánica</v>
      </c>
      <c r="B609" s="69" t="str">
        <f t="shared" si="9"/>
        <v>Otros</v>
      </c>
    </row>
    <row r="610" spans="1:2" x14ac:dyDescent="0.2">
      <c r="A610" s="69" t="str">
        <f>Listas!E605</f>
        <v>RC MnPO4 (Fosfato de Manganeso - Medición de Grano) | 2.54 - 7.62 µm</v>
      </c>
      <c r="B610" s="69" t="str">
        <f t="shared" si="9"/>
        <v>Otros</v>
      </c>
    </row>
    <row r="611" spans="1:2" x14ac:dyDescent="0.2">
      <c r="A611" s="69" t="str">
        <f>Listas!E606</f>
        <v>RC MnPO4 (Fosfato de Manganeso - Medición de Grano) | 4 - 12 µm</v>
      </c>
      <c r="B611" s="69" t="str">
        <f t="shared" si="9"/>
        <v>Otros</v>
      </c>
    </row>
    <row r="612" spans="1:2" x14ac:dyDescent="0.2">
      <c r="A612" s="69" t="str">
        <f>Listas!E607</f>
        <v>RC Ni (Níquel) | 1 - 6 µm</v>
      </c>
      <c r="B612" s="69" t="str">
        <f t="shared" si="9"/>
        <v>Níquel</v>
      </c>
    </row>
    <row r="613" spans="1:2" x14ac:dyDescent="0.2">
      <c r="A613" s="69" t="str">
        <f>Listas!E608</f>
        <v>RC Ni (Níquel) | 10 - 13 µm</v>
      </c>
      <c r="B613" s="69" t="str">
        <f t="shared" si="9"/>
        <v>Níquel</v>
      </c>
    </row>
    <row r="614" spans="1:2" x14ac:dyDescent="0.2">
      <c r="A614" s="69" t="str">
        <f>Listas!E609</f>
        <v>RC Ni (Níquel) | 2 - 5 µm</v>
      </c>
      <c r="B614" s="69" t="str">
        <f t="shared" si="9"/>
        <v>Níquel</v>
      </c>
    </row>
    <row r="615" spans="1:2" x14ac:dyDescent="0.2">
      <c r="A615" s="69" t="str">
        <f>Listas!E610</f>
        <v>RC Ni (Níquel) | 4 - 7 µm</v>
      </c>
      <c r="B615" s="69" t="str">
        <f t="shared" si="9"/>
        <v>Níquel</v>
      </c>
    </row>
    <row r="616" spans="1:2" x14ac:dyDescent="0.2">
      <c r="A616" s="69" t="str">
        <f>Listas!E611</f>
        <v>RC Ni (Níquel) | 5 - 10 µm</v>
      </c>
      <c r="B616" s="69" t="str">
        <f t="shared" si="9"/>
        <v>Níquel</v>
      </c>
    </row>
    <row r="617" spans="1:2" x14ac:dyDescent="0.2">
      <c r="A617" s="69" t="str">
        <f>Listas!E612</f>
        <v>RC Ni (Níquel) | 7.62 - 12.7 µm</v>
      </c>
      <c r="B617" s="69" t="str">
        <f t="shared" si="9"/>
        <v>Níquel</v>
      </c>
    </row>
    <row r="618" spans="1:2" x14ac:dyDescent="0.2">
      <c r="A618" s="69" t="str">
        <f>Listas!E613</f>
        <v>RC Ni-Ag (Níquel - Plata) | 2.5 - 5.0 µm | 0.5 - 0.8 µm</v>
      </c>
      <c r="B618" s="69" t="str">
        <f t="shared" si="9"/>
        <v>Plata+Níquel</v>
      </c>
    </row>
    <row r="619" spans="1:2" x14ac:dyDescent="0.2">
      <c r="A619" s="69" t="str">
        <f>Listas!E614</f>
        <v>RC Ni-Ag (Níquel - Plata) | 2.5 - 5.0 µm | 3 - 6 µm</v>
      </c>
      <c r="B619" s="69" t="str">
        <f t="shared" si="9"/>
        <v>Plata+Níquel</v>
      </c>
    </row>
    <row r="620" spans="1:2" x14ac:dyDescent="0.2">
      <c r="A620" s="69" t="str">
        <f>Listas!E615</f>
        <v>RC Ni-Ag (Níquel - Plata) | 2.5 - 5.0 µm | 5 - 8 µm</v>
      </c>
      <c r="B620" s="69" t="str">
        <f t="shared" si="9"/>
        <v>Plata+Níquel</v>
      </c>
    </row>
    <row r="621" spans="1:2" x14ac:dyDescent="0.2">
      <c r="A621" s="69" t="str">
        <f>Listas!E616</f>
        <v>RC Ni-Ag (Níquel - Plata) | 2.5 - 5.0 µm | No aplica</v>
      </c>
      <c r="B621" s="69" t="str">
        <f t="shared" si="9"/>
        <v>Plata+Níquel</v>
      </c>
    </row>
    <row r="622" spans="1:2" x14ac:dyDescent="0.2">
      <c r="A622" s="69" t="str">
        <f>Listas!E617</f>
        <v>RC Ni-Ag (Níquel - Plata) | 5.0 - 8.0 µm | 0.5 - 0.8 µm</v>
      </c>
      <c r="B622" s="69" t="str">
        <f t="shared" si="9"/>
        <v>Plata+Níquel</v>
      </c>
    </row>
    <row r="623" spans="1:2" x14ac:dyDescent="0.2">
      <c r="A623" s="69" t="str">
        <f>Listas!E618</f>
        <v>RC Ni-Ag (Níquel - Plata) | 5.0 - 8.0 µm | 3 - 6 µm</v>
      </c>
      <c r="B623" s="69" t="str">
        <f t="shared" si="9"/>
        <v>Plata+Níquel</v>
      </c>
    </row>
    <row r="624" spans="1:2" x14ac:dyDescent="0.2">
      <c r="A624" s="69" t="str">
        <f>Listas!E619</f>
        <v>RC Ni-Ag (Níquel - Plata) | 5.0 - 8.0 µm | 5 - 8 µm</v>
      </c>
      <c r="B624" s="69" t="str">
        <f t="shared" si="9"/>
        <v>Plata+Níquel</v>
      </c>
    </row>
    <row r="625" spans="1:2" x14ac:dyDescent="0.2">
      <c r="A625" s="69" t="str">
        <f>Listas!E620</f>
        <v>RC Ni-Ag (Níquel - Plata) | 5.0 - 8.0 µm | No aplica</v>
      </c>
      <c r="B625" s="69" t="str">
        <f t="shared" si="9"/>
        <v>Plata+Níquel</v>
      </c>
    </row>
    <row r="626" spans="1:2" x14ac:dyDescent="0.2">
      <c r="A626" s="69" t="str">
        <f>Listas!E621</f>
        <v>RC Ni-Sn (Níquel - Estaño) | 12 - 16 µm | 1 - 3 µm</v>
      </c>
      <c r="B626" s="69" t="str">
        <f t="shared" si="9"/>
        <v>Níquel+Estaño</v>
      </c>
    </row>
    <row r="627" spans="1:2" x14ac:dyDescent="0.2">
      <c r="A627" s="69" t="str">
        <f>Listas!E622</f>
        <v>RC Ni-Sn (Níquel - Estaño) | 12 - 16 µm | No aplica</v>
      </c>
      <c r="B627" s="69" t="str">
        <f t="shared" si="9"/>
        <v>Níquel+Estaño</v>
      </c>
    </row>
    <row r="628" spans="1:2" x14ac:dyDescent="0.2">
      <c r="A628" s="69" t="str">
        <f>Listas!E623</f>
        <v>RC Ni-Sn (Níquel - Estaño) | 3 - 5 µm | 1 - 3 µm</v>
      </c>
      <c r="B628" s="69" t="str">
        <f t="shared" si="9"/>
        <v>Níquel+Estaño</v>
      </c>
    </row>
    <row r="629" spans="1:2" x14ac:dyDescent="0.2">
      <c r="A629" s="69" t="str">
        <f>Listas!E624</f>
        <v>RC Ni-Sn (Níquel - Estaño) | 3 - 5 µm | No aplica</v>
      </c>
      <c r="B629" s="69" t="str">
        <f t="shared" si="9"/>
        <v>Níquel+Estaño</v>
      </c>
    </row>
    <row r="630" spans="1:2" x14ac:dyDescent="0.2">
      <c r="A630" s="69" t="str">
        <f>Listas!E625</f>
        <v>RC Ni-Sn (Níquel - Estaño) | 8 - 12 µm | 1 - 3 µm</v>
      </c>
      <c r="B630" s="69" t="str">
        <f t="shared" si="9"/>
        <v>Níquel+Estaño</v>
      </c>
    </row>
    <row r="631" spans="1:2" x14ac:dyDescent="0.2">
      <c r="A631" s="69" t="str">
        <f>Listas!E626</f>
        <v>RC Ni-Sn (Níquel - Estaño) | 8 - 12 µm | No aplica</v>
      </c>
      <c r="B631" s="69" t="str">
        <f t="shared" si="9"/>
        <v>Níquel+Estaño</v>
      </c>
    </row>
    <row r="632" spans="1:2" x14ac:dyDescent="0.2">
      <c r="A632" s="69" t="str">
        <f>Listas!E627</f>
        <v>RC NiCrv (Níquel Cromvet) | 0.5 - 1 µm</v>
      </c>
      <c r="B632" s="69" t="str">
        <f t="shared" si="9"/>
        <v>Níquel</v>
      </c>
    </row>
    <row r="633" spans="1:2" x14ac:dyDescent="0.2">
      <c r="A633" s="69" t="str">
        <f>Listas!E628</f>
        <v>RC NiEl (Níquel Electroless) | 10 - 13 µm</v>
      </c>
      <c r="B633" s="69" t="str">
        <f t="shared" si="9"/>
        <v>Níquel</v>
      </c>
    </row>
    <row r="634" spans="1:2" x14ac:dyDescent="0.2">
      <c r="A634" s="69" t="str">
        <f>Listas!E629</f>
        <v>RC NiEl (Níquel Electroless) | 12.7 - 17.78 µm</v>
      </c>
      <c r="B634" s="69" t="str">
        <f t="shared" si="9"/>
        <v>Níquel</v>
      </c>
    </row>
    <row r="635" spans="1:2" x14ac:dyDescent="0.2">
      <c r="A635" s="69" t="str">
        <f>Listas!E630</f>
        <v>RC NiEl (Níquel Electroless) | 12.7 - 25.4 µm</v>
      </c>
      <c r="B635" s="69" t="str">
        <f t="shared" si="9"/>
        <v>Níquel</v>
      </c>
    </row>
    <row r="636" spans="1:2" x14ac:dyDescent="0.2">
      <c r="A636" s="69" t="str">
        <f>Listas!E631</f>
        <v>RC NiEl (Níquel Electroless) | 13 - 15 µm</v>
      </c>
      <c r="B636" s="69" t="str">
        <f t="shared" si="9"/>
        <v>Níquel</v>
      </c>
    </row>
    <row r="637" spans="1:2" x14ac:dyDescent="0.2">
      <c r="A637" s="69" t="str">
        <f>Listas!E632</f>
        <v>RC NiEl (Níquel Electroless) | 25 - 38 µm</v>
      </c>
      <c r="B637" s="69" t="str">
        <f t="shared" si="9"/>
        <v>Níquel</v>
      </c>
    </row>
    <row r="638" spans="1:2" x14ac:dyDescent="0.2">
      <c r="A638" s="69" t="str">
        <f>Listas!E633</f>
        <v>RC NiEl (Níquel Electroless) | 6 - 10 µm</v>
      </c>
      <c r="B638" s="69" t="str">
        <f t="shared" si="9"/>
        <v>Níquel</v>
      </c>
    </row>
    <row r="639" spans="1:2" x14ac:dyDescent="0.2">
      <c r="A639" s="69" t="str">
        <f>Listas!E634</f>
        <v>RC NiEl (Níquel Electroless) | 6 - 8 µm</v>
      </c>
      <c r="B639" s="69" t="str">
        <f t="shared" si="9"/>
        <v>Níquel</v>
      </c>
    </row>
    <row r="640" spans="1:2" x14ac:dyDescent="0.2">
      <c r="A640" s="69" t="str">
        <f>Listas!E635</f>
        <v>RC No Oxide</v>
      </c>
      <c r="B640" s="69" t="str">
        <f t="shared" si="9"/>
        <v>Otros</v>
      </c>
    </row>
    <row r="641" spans="1:2" x14ac:dyDescent="0.2">
      <c r="A641" s="69" t="str">
        <f>Listas!E636</f>
        <v>RC Pasivado</v>
      </c>
      <c r="B641" s="69" t="str">
        <f t="shared" si="9"/>
        <v>Otros</v>
      </c>
    </row>
    <row r="642" spans="1:2" x14ac:dyDescent="0.2">
      <c r="A642" s="69" t="str">
        <f>Listas!E637</f>
        <v>RC Rebabeo</v>
      </c>
      <c r="B642" s="69" t="str">
        <f t="shared" si="9"/>
        <v>Otros</v>
      </c>
    </row>
    <row r="643" spans="1:2" x14ac:dyDescent="0.2">
      <c r="A643" s="69" t="str">
        <f>Listas!E638</f>
        <v>RC Sn (Estaño) | 0.5 - 1 µm | 0.5 - 1 µm</v>
      </c>
      <c r="B643" s="69" t="str">
        <f t="shared" si="9"/>
        <v>Estaño</v>
      </c>
    </row>
    <row r="644" spans="1:2" x14ac:dyDescent="0.2">
      <c r="A644" s="69" t="str">
        <f>Listas!E639</f>
        <v>RC Sn (Estaño) | 0.5 - 1 µm | 0.762 - 1.27 µm</v>
      </c>
      <c r="B644" s="69" t="str">
        <f t="shared" si="9"/>
        <v>Estaño</v>
      </c>
    </row>
    <row r="645" spans="1:2" x14ac:dyDescent="0.2">
      <c r="A645" s="69" t="str">
        <f>Listas!E640</f>
        <v>RC Sn (Estaño) | 0.5 - 1 µm | 1 - 3 µm</v>
      </c>
      <c r="B645" s="69" t="str">
        <f t="shared" si="9"/>
        <v>Estaño</v>
      </c>
    </row>
    <row r="646" spans="1:2" x14ac:dyDescent="0.2">
      <c r="A646" s="69" t="str">
        <f>Listas!E641</f>
        <v>RC Sn (Estaño) | 0.5 - 1 µm | 2.54 - 5.08 µm</v>
      </c>
      <c r="B646" s="69" t="str">
        <f t="shared" si="9"/>
        <v>Estaño</v>
      </c>
    </row>
    <row r="647" spans="1:2" x14ac:dyDescent="0.2">
      <c r="A647" s="69" t="str">
        <f>Listas!E642</f>
        <v>RC Sn (Estaño) | 0.5 - 1 µm | No aplica</v>
      </c>
      <c r="B647" s="69" t="str">
        <f t="shared" si="9"/>
        <v>Estaño</v>
      </c>
    </row>
    <row r="648" spans="1:2" x14ac:dyDescent="0.2">
      <c r="A648" s="69" t="str">
        <f>Listas!E643</f>
        <v>RC Sn (Estaño) | 0.6 - 2 µm | 0.5 - 1 µm</v>
      </c>
      <c r="B648" s="69" t="str">
        <f t="shared" si="9"/>
        <v>Estaño</v>
      </c>
    </row>
    <row r="649" spans="1:2" x14ac:dyDescent="0.2">
      <c r="A649" s="69" t="str">
        <f>Listas!E644</f>
        <v>RC Sn (Estaño) | 0.6 - 2 µm | 0.762 - 1.27 µm</v>
      </c>
      <c r="B649" s="69" t="str">
        <f t="shared" si="9"/>
        <v>Estaño</v>
      </c>
    </row>
    <row r="650" spans="1:2" x14ac:dyDescent="0.2">
      <c r="A650" s="69" t="str">
        <f>Listas!E645</f>
        <v>RC Sn (Estaño) | 0.6 - 2 µm | 1 - 3 µm</v>
      </c>
      <c r="B650" s="69" t="str">
        <f t="shared" ref="B650:B700" si="10">IF(OR(A650="",A650=0),"",_xlfn.LET(_xlpm.t,A650&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Estaño</v>
      </c>
    </row>
    <row r="651" spans="1:2" x14ac:dyDescent="0.2">
      <c r="A651" s="69" t="str">
        <f>Listas!E646</f>
        <v>RC Sn (Estaño) | 0.6 - 2 µm | 2.54 - 5.08 µm</v>
      </c>
      <c r="B651" s="69" t="str">
        <f t="shared" si="10"/>
        <v>Estaño</v>
      </c>
    </row>
    <row r="652" spans="1:2" x14ac:dyDescent="0.2">
      <c r="A652" s="69" t="str">
        <f>Listas!E647</f>
        <v>RC Sn (Estaño) | 0.6 - 2 µm | No aplica</v>
      </c>
      <c r="B652" s="69" t="str">
        <f t="shared" si="10"/>
        <v>Estaño</v>
      </c>
    </row>
    <row r="653" spans="1:2" x14ac:dyDescent="0.2">
      <c r="A653" s="69" t="str">
        <f>Listas!E648</f>
        <v>RC Sn (Estaño) | 1.5 - 3 µm | 0.5 - 1 µm</v>
      </c>
      <c r="B653" s="69" t="str">
        <f t="shared" si="10"/>
        <v>Estaño</v>
      </c>
    </row>
    <row r="654" spans="1:2" x14ac:dyDescent="0.2">
      <c r="A654" s="69" t="str">
        <f>Listas!E649</f>
        <v>RC Sn (Estaño) | 1.5 - 3 µm | 0.762 - 1.27 µm</v>
      </c>
      <c r="B654" s="69" t="str">
        <f t="shared" si="10"/>
        <v>Estaño</v>
      </c>
    </row>
    <row r="655" spans="1:2" x14ac:dyDescent="0.2">
      <c r="A655" s="69" t="str">
        <f>Listas!E650</f>
        <v>RC Sn (Estaño) | 1.5 - 3 µm | 1 - 3 µm</v>
      </c>
      <c r="B655" s="69" t="str">
        <f t="shared" si="10"/>
        <v>Estaño</v>
      </c>
    </row>
    <row r="656" spans="1:2" x14ac:dyDescent="0.2">
      <c r="A656" s="69" t="str">
        <f>Listas!E651</f>
        <v>RC Sn (Estaño) | 1.5 - 3 µm | 2.54 - 5.08 µm</v>
      </c>
      <c r="B656" s="69" t="str">
        <f t="shared" si="10"/>
        <v>Estaño</v>
      </c>
    </row>
    <row r="657" spans="1:2" x14ac:dyDescent="0.2">
      <c r="A657" s="69" t="str">
        <f>Listas!E652</f>
        <v>RC Sn (Estaño) | 1.5 - 3 µm | No aplica</v>
      </c>
      <c r="B657" s="69" t="str">
        <f t="shared" si="10"/>
        <v>Estaño</v>
      </c>
    </row>
    <row r="658" spans="1:2" x14ac:dyDescent="0.2">
      <c r="A658" s="69" t="str">
        <f>Listas!E653</f>
        <v>RC Sn (Estaño) | 10 - 15 µm | 0.5 - 1 µm</v>
      </c>
      <c r="B658" s="69" t="str">
        <f t="shared" si="10"/>
        <v>Estaño</v>
      </c>
    </row>
    <row r="659" spans="1:2" x14ac:dyDescent="0.2">
      <c r="A659" s="69" t="str">
        <f>Listas!E654</f>
        <v>RC Sn (Estaño) | 10 - 15 µm | 0.762 - 1.27 µm</v>
      </c>
      <c r="B659" s="69" t="str">
        <f t="shared" si="10"/>
        <v>Estaño</v>
      </c>
    </row>
    <row r="660" spans="1:2" x14ac:dyDescent="0.2">
      <c r="A660" s="69" t="str">
        <f>Listas!E655</f>
        <v>RC Sn (Estaño) | 10 - 15 µm | 1 - 3 µm</v>
      </c>
      <c r="B660" s="69" t="str">
        <f t="shared" si="10"/>
        <v>Estaño</v>
      </c>
    </row>
    <row r="661" spans="1:2" x14ac:dyDescent="0.2">
      <c r="A661" s="69" t="str">
        <f>Listas!E656</f>
        <v>RC Sn (Estaño) | 10 - 15 µm | 2.54 - 5.08 µm</v>
      </c>
      <c r="B661" s="69" t="str">
        <f t="shared" si="10"/>
        <v>Estaño</v>
      </c>
    </row>
    <row r="662" spans="1:2" x14ac:dyDescent="0.2">
      <c r="A662" s="69" t="str">
        <f>Listas!E657</f>
        <v>RC Sn (Estaño) | 10 - 15 µm | No aplica</v>
      </c>
      <c r="B662" s="69" t="str">
        <f t="shared" si="10"/>
        <v>Estaño</v>
      </c>
    </row>
    <row r="663" spans="1:2" x14ac:dyDescent="0.2">
      <c r="A663" s="69" t="str">
        <f>Listas!E658</f>
        <v>RC Sn (Estaño) | 2 - 5 µm | 0.5 - 1 µm</v>
      </c>
      <c r="B663" s="69" t="str">
        <f t="shared" si="10"/>
        <v>Estaño</v>
      </c>
    </row>
    <row r="664" spans="1:2" x14ac:dyDescent="0.2">
      <c r="A664" s="69" t="str">
        <f>Listas!E659</f>
        <v>RC Sn (Estaño) | 2 - 5 µm | 0.762 - 1.27 µm</v>
      </c>
      <c r="B664" s="69" t="str">
        <f t="shared" si="10"/>
        <v>Estaño</v>
      </c>
    </row>
    <row r="665" spans="1:2" x14ac:dyDescent="0.2">
      <c r="A665" s="69" t="str">
        <f>Listas!E660</f>
        <v>RC Sn (Estaño) | 2 - 5 µm | 1 - 3 µm</v>
      </c>
      <c r="B665" s="69" t="str">
        <f t="shared" si="10"/>
        <v>Estaño</v>
      </c>
    </row>
    <row r="666" spans="1:2" x14ac:dyDescent="0.2">
      <c r="A666" s="69" t="str">
        <f>Listas!E661</f>
        <v>RC Sn (Estaño) | 2 - 5 µm | 2.54 - 5.08 µm</v>
      </c>
      <c r="B666" s="69" t="str">
        <f t="shared" si="10"/>
        <v>Estaño</v>
      </c>
    </row>
    <row r="667" spans="1:2" x14ac:dyDescent="0.2">
      <c r="A667" s="69" t="str">
        <f>Listas!E662</f>
        <v>RC Sn (Estaño) | 2 - 5 µm | No aplica</v>
      </c>
      <c r="B667" s="69" t="str">
        <f t="shared" si="10"/>
        <v>Estaño</v>
      </c>
    </row>
    <row r="668" spans="1:2" x14ac:dyDescent="0.2">
      <c r="A668" s="69" t="str">
        <f>Listas!E663</f>
        <v>RC Sn (Estaño) | 3 - 5 µm | 0.5 - 1 µm</v>
      </c>
      <c r="B668" s="69" t="str">
        <f t="shared" si="10"/>
        <v>Estaño</v>
      </c>
    </row>
    <row r="669" spans="1:2" x14ac:dyDescent="0.2">
      <c r="A669" s="69" t="str">
        <f>Listas!E664</f>
        <v>RC Sn (Estaño) | 3 - 5 µm | 0.762 - 1.27 µm</v>
      </c>
      <c r="B669" s="69" t="str">
        <f t="shared" si="10"/>
        <v>Estaño</v>
      </c>
    </row>
    <row r="670" spans="1:2" x14ac:dyDescent="0.2">
      <c r="A670" s="69" t="str">
        <f>Listas!E665</f>
        <v>RC Sn (Estaño) | 3 - 5 µm | 1 - 3 µm</v>
      </c>
      <c r="B670" s="69" t="str">
        <f t="shared" si="10"/>
        <v>Estaño</v>
      </c>
    </row>
    <row r="671" spans="1:2" x14ac:dyDescent="0.2">
      <c r="A671" s="69" t="str">
        <f>Listas!E666</f>
        <v>RC Sn (Estaño) | 3 - 5 µm | 2.54 - 5.08 µm</v>
      </c>
      <c r="B671" s="69" t="str">
        <f t="shared" si="10"/>
        <v>Estaño</v>
      </c>
    </row>
    <row r="672" spans="1:2" x14ac:dyDescent="0.2">
      <c r="A672" s="69" t="str">
        <f>Listas!E667</f>
        <v>RC Sn (Estaño) | 3 - 5 µm | No aplica</v>
      </c>
      <c r="B672" s="69" t="str">
        <f t="shared" si="10"/>
        <v>Estaño</v>
      </c>
    </row>
    <row r="673" spans="1:2" x14ac:dyDescent="0.2">
      <c r="A673" s="69" t="str">
        <f>Listas!E668</f>
        <v>RC Sn (Estaño) | 5 - 10 µm | 0.5 - 1 µm</v>
      </c>
      <c r="B673" s="69" t="str">
        <f t="shared" si="10"/>
        <v>Estaño</v>
      </c>
    </row>
    <row r="674" spans="1:2" x14ac:dyDescent="0.2">
      <c r="A674" s="69" t="str">
        <f>Listas!E669</f>
        <v>RC Sn (Estaño) | 5 - 10 µm | 0.762 - 1.27 µm</v>
      </c>
      <c r="B674" s="69" t="str">
        <f t="shared" si="10"/>
        <v>Estaño</v>
      </c>
    </row>
    <row r="675" spans="1:2" x14ac:dyDescent="0.2">
      <c r="A675" s="69" t="str">
        <f>Listas!E670</f>
        <v>RC Sn (Estaño) | 5 - 10 µm | 1 - 3 µm</v>
      </c>
      <c r="B675" s="69" t="str">
        <f t="shared" si="10"/>
        <v>Estaño</v>
      </c>
    </row>
    <row r="676" spans="1:2" x14ac:dyDescent="0.2">
      <c r="A676" s="69" t="str">
        <f>Listas!E671</f>
        <v>RC Sn (Estaño) | 5 - 10 µm | 2.54 - 5.08 µm</v>
      </c>
      <c r="B676" s="69" t="str">
        <f t="shared" si="10"/>
        <v>Estaño</v>
      </c>
    </row>
    <row r="677" spans="1:2" x14ac:dyDescent="0.2">
      <c r="A677" s="69" t="str">
        <f>Listas!E672</f>
        <v>RC Sn (Estaño) | 5 - 10 µm | No aplica</v>
      </c>
      <c r="B677" s="69" t="str">
        <f t="shared" si="10"/>
        <v>Estaño</v>
      </c>
    </row>
    <row r="678" spans="1:2" x14ac:dyDescent="0.2">
      <c r="A678" s="69" t="str">
        <f>Listas!E673</f>
        <v>RC Sn (Estaño) | 5 - 12 µm | 0.5 - 1 µm</v>
      </c>
      <c r="B678" s="69" t="str">
        <f t="shared" si="10"/>
        <v>Estaño</v>
      </c>
    </row>
    <row r="679" spans="1:2" x14ac:dyDescent="0.2">
      <c r="A679" s="69" t="str">
        <f>Listas!E674</f>
        <v>RC Sn (Estaño) | 5 - 12 µm | 0.762 - 1.27 µm</v>
      </c>
      <c r="B679" s="69" t="str">
        <f t="shared" si="10"/>
        <v>Estaño</v>
      </c>
    </row>
    <row r="680" spans="1:2" x14ac:dyDescent="0.2">
      <c r="A680" s="69" t="str">
        <f>Listas!E675</f>
        <v>RC Sn (Estaño) | 5 - 12 µm | 1 - 3 µm</v>
      </c>
      <c r="B680" s="69" t="str">
        <f t="shared" si="10"/>
        <v>Estaño</v>
      </c>
    </row>
    <row r="681" spans="1:2" x14ac:dyDescent="0.2">
      <c r="A681" s="69" t="str">
        <f>Listas!E676</f>
        <v>RC Sn (Estaño) | 5 - 12 µm | 2.54 - 5.08 µm</v>
      </c>
      <c r="B681" s="69" t="str">
        <f t="shared" si="10"/>
        <v>Estaño</v>
      </c>
    </row>
    <row r="682" spans="1:2" x14ac:dyDescent="0.2">
      <c r="A682" s="69" t="str">
        <f>Listas!E677</f>
        <v>RC Sn (Estaño) | 5 - 12 µm | No aplica</v>
      </c>
      <c r="B682" s="69" t="str">
        <f t="shared" si="10"/>
        <v>Estaño</v>
      </c>
    </row>
    <row r="683" spans="1:2" x14ac:dyDescent="0.2">
      <c r="A683" s="69" t="str">
        <f>Listas!E678</f>
        <v>RC Sn (Estaño) | 5 - 8 µm | 0.5 - 1 µm</v>
      </c>
      <c r="B683" s="69" t="str">
        <f t="shared" si="10"/>
        <v>Estaño</v>
      </c>
    </row>
    <row r="684" spans="1:2" x14ac:dyDescent="0.2">
      <c r="A684" s="69" t="str">
        <f>Listas!E679</f>
        <v>RC Sn (Estaño) | 5 - 8 µm | 0.762 - 1.27 µm</v>
      </c>
      <c r="B684" s="69" t="str">
        <f t="shared" si="10"/>
        <v>Estaño</v>
      </c>
    </row>
    <row r="685" spans="1:2" x14ac:dyDescent="0.2">
      <c r="A685" s="69" t="str">
        <f>Listas!E680</f>
        <v>RC Sn (Estaño) | 5 - 8 µm | 1 - 3 µm</v>
      </c>
      <c r="B685" s="69" t="str">
        <f t="shared" si="10"/>
        <v>Estaño</v>
      </c>
    </row>
    <row r="686" spans="1:2" x14ac:dyDescent="0.2">
      <c r="A686" s="69" t="str">
        <f>Listas!E681</f>
        <v>RC Sn (Estaño) | 5 - 8 µm | 2.54 - 5.08 µm</v>
      </c>
      <c r="B686" s="69" t="str">
        <f t="shared" si="10"/>
        <v>Estaño</v>
      </c>
    </row>
    <row r="687" spans="1:2" x14ac:dyDescent="0.2">
      <c r="A687" s="69" t="str">
        <f>Listas!E682</f>
        <v>RC Sn (Estaño) | 5 - 8 µm | No aplica</v>
      </c>
      <c r="B687" s="69" t="str">
        <f t="shared" si="10"/>
        <v>Estaño</v>
      </c>
    </row>
    <row r="688" spans="1:2" x14ac:dyDescent="0.2">
      <c r="A688" s="69" t="str">
        <f>Listas!E683</f>
        <v>RC Sn (Estaño) | 7 - 12 µm | 0.5 - 1 µm</v>
      </c>
      <c r="B688" s="69" t="str">
        <f t="shared" si="10"/>
        <v>Estaño</v>
      </c>
    </row>
    <row r="689" spans="1:2" x14ac:dyDescent="0.2">
      <c r="A689" s="69" t="str">
        <f>Listas!E684</f>
        <v>RC Sn (Estaño) | 7 - 12 µm | 0.762 - 1.27 µm</v>
      </c>
      <c r="B689" s="69" t="str">
        <f t="shared" si="10"/>
        <v>Estaño</v>
      </c>
    </row>
    <row r="690" spans="1:2" x14ac:dyDescent="0.2">
      <c r="A690" s="69" t="str">
        <f>Listas!E685</f>
        <v>RC Sn (Estaño) | 7 - 12 µm | 1 - 3 µm</v>
      </c>
      <c r="B690" s="69" t="str">
        <f t="shared" si="10"/>
        <v>Estaño</v>
      </c>
    </row>
    <row r="691" spans="1:2" x14ac:dyDescent="0.2">
      <c r="A691" s="69" t="str">
        <f>Listas!E686</f>
        <v>RC Sn (Estaño) | 7 - 12 µm | 2.54 - 5.08 µm</v>
      </c>
      <c r="B691" s="69" t="str">
        <f t="shared" si="10"/>
        <v>Estaño</v>
      </c>
    </row>
    <row r="692" spans="1:2" x14ac:dyDescent="0.2">
      <c r="A692" s="69" t="str">
        <f>Listas!E687</f>
        <v>RC Sn (Estaño) | 7 - 12 µm | No aplica</v>
      </c>
      <c r="B692" s="69" t="str">
        <f t="shared" si="10"/>
        <v>Estaño</v>
      </c>
    </row>
    <row r="693" spans="1:2" x14ac:dyDescent="0.2">
      <c r="A693" s="69" t="str">
        <f>Listas!E688</f>
        <v>RC Sn (Estaño) | 8 - 10 µm | 0.5 - 1 µm</v>
      </c>
      <c r="B693" s="69" t="str">
        <f t="shared" si="10"/>
        <v>Estaño</v>
      </c>
    </row>
    <row r="694" spans="1:2" x14ac:dyDescent="0.2">
      <c r="A694" s="69" t="str">
        <f>Listas!E689</f>
        <v>RC Sn (Estaño) | 8 - 10 µm | 0.762 - 1.27 µm</v>
      </c>
      <c r="B694" s="69" t="str">
        <f t="shared" si="10"/>
        <v>Estaño</v>
      </c>
    </row>
    <row r="695" spans="1:2" x14ac:dyDescent="0.2">
      <c r="A695" s="69" t="str">
        <f>Listas!E690</f>
        <v>RC Sn (Estaño) | 8 - 10 µm | 1 - 3 µm</v>
      </c>
      <c r="B695" s="69" t="str">
        <f t="shared" si="10"/>
        <v>Estaño</v>
      </c>
    </row>
    <row r="696" spans="1:2" x14ac:dyDescent="0.2">
      <c r="A696" s="69" t="str">
        <f>Listas!E691</f>
        <v>RC Sn (Estaño) | 8 - 10 µm | 2.54 - 5.08 µm</v>
      </c>
      <c r="B696" s="69" t="str">
        <f t="shared" si="10"/>
        <v>Estaño</v>
      </c>
    </row>
    <row r="697" spans="1:2" x14ac:dyDescent="0.2">
      <c r="A697" s="69" t="str">
        <f>Listas!E692</f>
        <v>RC Sn (Estaño) | 8 - 10 µm | No aplica</v>
      </c>
      <c r="B697" s="69" t="str">
        <f t="shared" si="10"/>
        <v>Estaño</v>
      </c>
    </row>
    <row r="698" spans="1:2" x14ac:dyDescent="0.2">
      <c r="A698" s="69" t="str">
        <f>Listas!E693</f>
        <v>RC Sn (Estaño) | 8 - 12 µm | 0.5 - 1 µm</v>
      </c>
      <c r="B698" s="69" t="str">
        <f t="shared" si="10"/>
        <v>Estaño</v>
      </c>
    </row>
    <row r="699" spans="1:2" x14ac:dyDescent="0.2">
      <c r="A699" s="69" t="str">
        <f>Listas!E694</f>
        <v>RC Sn (Estaño) | 8 - 12 µm | 0.762 - 1.27 µm</v>
      </c>
      <c r="B699" s="69" t="str">
        <f t="shared" si="10"/>
        <v>Estaño</v>
      </c>
    </row>
    <row r="700" spans="1:2" x14ac:dyDescent="0.2">
      <c r="A700" s="69" t="str">
        <f>Listas!E695</f>
        <v>RC Sn (Estaño) | 8 - 12 µm | 1 - 3 µm</v>
      </c>
      <c r="B700" s="69" t="str">
        <f t="shared" si="10"/>
        <v>Estaño</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ACBD9-D3D2-2042-A682-71D24A3156A2}">
  <sheetPr codeName="Hoja12"/>
  <dimension ref="A1:C86"/>
  <sheetViews>
    <sheetView zoomScale="150" zoomScaleNormal="150" workbookViewId="0">
      <pane xSplit="1" ySplit="1" topLeftCell="B2" activePane="bottomRight" state="frozen"/>
      <selection pane="topRight" activeCell="B1" sqref="B1"/>
      <selection pane="bottomLeft" activeCell="A2" sqref="A2"/>
      <selection pane="bottomRight" activeCell="B2" sqref="B2"/>
    </sheetView>
  </sheetViews>
  <sheetFormatPr baseColWidth="10" defaultRowHeight="15" x14ac:dyDescent="0.2"/>
  <cols>
    <col min="1" max="1" width="7.33203125" style="69" customWidth="1"/>
    <col min="2" max="2" width="44" style="69" bestFit="1" customWidth="1"/>
    <col min="3" max="3" width="6.6640625" style="69" bestFit="1" customWidth="1"/>
    <col min="4" max="4" width="30" style="69" customWidth="1"/>
    <col min="5" max="5" width="36.6640625" style="69" customWidth="1"/>
    <col min="6" max="6" width="13.33203125" style="69" customWidth="1"/>
    <col min="7" max="7" width="58.33203125" style="69" customWidth="1"/>
    <col min="8" max="16384" width="10.83203125" style="69"/>
  </cols>
  <sheetData>
    <row r="1" spans="1:3" x14ac:dyDescent="0.2">
      <c r="A1" s="71" t="s">
        <v>1651</v>
      </c>
      <c r="B1" s="71" t="s">
        <v>1652</v>
      </c>
      <c r="C1" s="71" t="s">
        <v>1650</v>
      </c>
    </row>
    <row r="2" spans="1:3" x14ac:dyDescent="0.2">
      <c r="A2" s="98" t="s">
        <v>1653</v>
      </c>
      <c r="B2" s="69" t="s">
        <v>931</v>
      </c>
      <c r="C2" s="99" t="s">
        <v>1654</v>
      </c>
    </row>
    <row r="3" spans="1:3" x14ac:dyDescent="0.2">
      <c r="A3" s="98" t="s">
        <v>1655</v>
      </c>
      <c r="B3" s="69" t="s">
        <v>931</v>
      </c>
      <c r="C3" s="99" t="s">
        <v>1654</v>
      </c>
    </row>
    <row r="4" spans="1:3" x14ac:dyDescent="0.2">
      <c r="A4" s="98" t="s">
        <v>1656</v>
      </c>
      <c r="B4" s="69" t="s">
        <v>931</v>
      </c>
      <c r="C4" s="99" t="s">
        <v>1654</v>
      </c>
    </row>
    <row r="5" spans="1:3" x14ac:dyDescent="0.2">
      <c r="A5" s="98" t="s">
        <v>1657</v>
      </c>
      <c r="B5" s="69" t="s">
        <v>931</v>
      </c>
      <c r="C5" s="99" t="s">
        <v>1654</v>
      </c>
    </row>
    <row r="6" spans="1:3" x14ac:dyDescent="0.2">
      <c r="A6" s="98" t="s">
        <v>1658</v>
      </c>
      <c r="B6" s="69" t="s">
        <v>946</v>
      </c>
      <c r="C6" s="99" t="s">
        <v>1654</v>
      </c>
    </row>
    <row r="7" spans="1:3" x14ac:dyDescent="0.2">
      <c r="A7" s="98" t="s">
        <v>1659</v>
      </c>
      <c r="B7" s="69" t="s">
        <v>931</v>
      </c>
      <c r="C7" s="99" t="s">
        <v>1654</v>
      </c>
    </row>
    <row r="8" spans="1:3" x14ac:dyDescent="0.2">
      <c r="A8" s="98" t="s">
        <v>1660</v>
      </c>
      <c r="B8" s="69" t="s">
        <v>931</v>
      </c>
      <c r="C8" s="99" t="s">
        <v>1654</v>
      </c>
    </row>
    <row r="9" spans="1:3" x14ac:dyDescent="0.2">
      <c r="A9" s="98" t="s">
        <v>1661</v>
      </c>
      <c r="B9" s="69" t="s">
        <v>931</v>
      </c>
      <c r="C9" s="99" t="s">
        <v>1654</v>
      </c>
    </row>
    <row r="10" spans="1:3" x14ac:dyDescent="0.2">
      <c r="A10" s="98" t="s">
        <v>1662</v>
      </c>
      <c r="B10" s="69" t="s">
        <v>931</v>
      </c>
      <c r="C10" s="99" t="s">
        <v>1654</v>
      </c>
    </row>
    <row r="11" spans="1:3" x14ac:dyDescent="0.2">
      <c r="A11" s="98" t="s">
        <v>1663</v>
      </c>
      <c r="B11" s="69" t="s">
        <v>931</v>
      </c>
      <c r="C11" s="99" t="s">
        <v>1654</v>
      </c>
    </row>
    <row r="12" spans="1:3" x14ac:dyDescent="0.2">
      <c r="A12" s="98" t="s">
        <v>1664</v>
      </c>
      <c r="B12" s="69" t="s">
        <v>931</v>
      </c>
      <c r="C12" s="99" t="s">
        <v>1654</v>
      </c>
    </row>
    <row r="13" spans="1:3" x14ac:dyDescent="0.2">
      <c r="A13" s="98" t="s">
        <v>1665</v>
      </c>
      <c r="B13" s="69" t="s">
        <v>931</v>
      </c>
      <c r="C13" s="99" t="s">
        <v>1654</v>
      </c>
    </row>
    <row r="14" spans="1:3" x14ac:dyDescent="0.2">
      <c r="A14" s="98" t="s">
        <v>1666</v>
      </c>
      <c r="B14" s="69" t="s">
        <v>931</v>
      </c>
      <c r="C14" s="99" t="s">
        <v>1654</v>
      </c>
    </row>
    <row r="15" spans="1:3" x14ac:dyDescent="0.2">
      <c r="A15" s="98" t="s">
        <v>1667</v>
      </c>
      <c r="B15" s="69" t="s">
        <v>931</v>
      </c>
      <c r="C15" s="99" t="s">
        <v>1654</v>
      </c>
    </row>
    <row r="16" spans="1:3" x14ac:dyDescent="0.2">
      <c r="A16" s="98" t="s">
        <v>1668</v>
      </c>
      <c r="B16" s="69" t="s">
        <v>931</v>
      </c>
      <c r="C16" s="99" t="s">
        <v>1654</v>
      </c>
    </row>
    <row r="17" spans="1:3" x14ac:dyDescent="0.2">
      <c r="A17" s="98" t="s">
        <v>1669</v>
      </c>
      <c r="B17" s="69" t="s">
        <v>931</v>
      </c>
      <c r="C17" s="99" t="s">
        <v>1654</v>
      </c>
    </row>
    <row r="18" spans="1:3" x14ac:dyDescent="0.2">
      <c r="A18" s="98" t="s">
        <v>1670</v>
      </c>
      <c r="B18" s="69" t="s">
        <v>932</v>
      </c>
      <c r="C18" s="99" t="s">
        <v>1654</v>
      </c>
    </row>
    <row r="19" spans="1:3" x14ac:dyDescent="0.2">
      <c r="A19" s="98" t="s">
        <v>1671</v>
      </c>
      <c r="B19" s="69" t="s">
        <v>932</v>
      </c>
      <c r="C19" s="99" t="s">
        <v>1654</v>
      </c>
    </row>
    <row r="20" spans="1:3" x14ac:dyDescent="0.2">
      <c r="A20" s="98" t="s">
        <v>1672</v>
      </c>
      <c r="B20" s="69" t="s">
        <v>932</v>
      </c>
      <c r="C20" s="99" t="s">
        <v>1654</v>
      </c>
    </row>
    <row r="21" spans="1:3" x14ac:dyDescent="0.2">
      <c r="A21" s="98" t="s">
        <v>1673</v>
      </c>
      <c r="B21" s="69" t="s">
        <v>932</v>
      </c>
      <c r="C21" s="99" t="s">
        <v>1654</v>
      </c>
    </row>
    <row r="22" spans="1:3" x14ac:dyDescent="0.2">
      <c r="A22" s="98" t="s">
        <v>1674</v>
      </c>
      <c r="B22" s="69" t="s">
        <v>933</v>
      </c>
      <c r="C22" s="100" t="s">
        <v>1675</v>
      </c>
    </row>
    <row r="23" spans="1:3" x14ac:dyDescent="0.2">
      <c r="A23" s="98" t="s">
        <v>1676</v>
      </c>
      <c r="B23" s="69" t="s">
        <v>933</v>
      </c>
      <c r="C23" s="100" t="s">
        <v>1675</v>
      </c>
    </row>
    <row r="24" spans="1:3" x14ac:dyDescent="0.2">
      <c r="A24" s="98" t="s">
        <v>1677</v>
      </c>
      <c r="B24" s="69" t="s">
        <v>933</v>
      </c>
      <c r="C24" s="100" t="s">
        <v>1675</v>
      </c>
    </row>
    <row r="25" spans="1:3" x14ac:dyDescent="0.2">
      <c r="A25" s="98" t="s">
        <v>1678</v>
      </c>
      <c r="B25" s="69" t="s">
        <v>934</v>
      </c>
      <c r="C25" s="100" t="s">
        <v>1675</v>
      </c>
    </row>
    <row r="26" spans="1:3" x14ac:dyDescent="0.2">
      <c r="A26" s="98" t="s">
        <v>1679</v>
      </c>
      <c r="B26" s="69" t="s">
        <v>934</v>
      </c>
      <c r="C26" s="100" t="s">
        <v>1675</v>
      </c>
    </row>
    <row r="27" spans="1:3" x14ac:dyDescent="0.2">
      <c r="A27" s="98" t="s">
        <v>1680</v>
      </c>
      <c r="B27" s="69" t="s">
        <v>934</v>
      </c>
      <c r="C27" s="100" t="s">
        <v>1675</v>
      </c>
    </row>
    <row r="28" spans="1:3" x14ac:dyDescent="0.2">
      <c r="A28" s="98" t="s">
        <v>1681</v>
      </c>
      <c r="B28" s="69" t="s">
        <v>934</v>
      </c>
      <c r="C28" s="100" t="s">
        <v>1675</v>
      </c>
    </row>
    <row r="29" spans="1:3" x14ac:dyDescent="0.2">
      <c r="A29" s="98" t="s">
        <v>1682</v>
      </c>
      <c r="B29" s="69" t="s">
        <v>935</v>
      </c>
      <c r="C29" s="100" t="s">
        <v>1675</v>
      </c>
    </row>
    <row r="30" spans="1:3" x14ac:dyDescent="0.2">
      <c r="A30" s="98" t="s">
        <v>1683</v>
      </c>
      <c r="B30" s="69" t="s">
        <v>935</v>
      </c>
      <c r="C30" s="100" t="s">
        <v>1675</v>
      </c>
    </row>
    <row r="31" spans="1:3" x14ac:dyDescent="0.2">
      <c r="A31" s="98" t="s">
        <v>1684</v>
      </c>
      <c r="B31" s="69" t="s">
        <v>936</v>
      </c>
      <c r="C31" s="101" t="s">
        <v>1685</v>
      </c>
    </row>
    <row r="32" spans="1:3" x14ac:dyDescent="0.2">
      <c r="A32" s="98" t="s">
        <v>1686</v>
      </c>
      <c r="B32" s="69" t="s">
        <v>936</v>
      </c>
      <c r="C32" s="101" t="s">
        <v>1685</v>
      </c>
    </row>
    <row r="33" spans="1:3" x14ac:dyDescent="0.2">
      <c r="A33" s="98" t="s">
        <v>1687</v>
      </c>
      <c r="B33" s="69" t="s">
        <v>937</v>
      </c>
      <c r="C33" s="100" t="s">
        <v>1675</v>
      </c>
    </row>
    <row r="34" spans="1:3" x14ac:dyDescent="0.2">
      <c r="A34" s="98" t="s">
        <v>1688</v>
      </c>
      <c r="B34" s="69" t="s">
        <v>937</v>
      </c>
      <c r="C34" s="100" t="s">
        <v>1675</v>
      </c>
    </row>
    <row r="35" spans="1:3" x14ac:dyDescent="0.2">
      <c r="A35" s="98" t="s">
        <v>1689</v>
      </c>
      <c r="B35" s="69" t="s">
        <v>938</v>
      </c>
      <c r="C35" s="99" t="s">
        <v>1654</v>
      </c>
    </row>
    <row r="36" spans="1:3" x14ac:dyDescent="0.2">
      <c r="A36" s="98" t="s">
        <v>1690</v>
      </c>
      <c r="B36" s="69" t="s">
        <v>938</v>
      </c>
      <c r="C36" s="99" t="s">
        <v>1654</v>
      </c>
    </row>
    <row r="37" spans="1:3" x14ac:dyDescent="0.2">
      <c r="A37" s="98" t="s">
        <v>1691</v>
      </c>
      <c r="B37" s="69" t="s">
        <v>938</v>
      </c>
      <c r="C37" s="99" t="s">
        <v>1654</v>
      </c>
    </row>
    <row r="38" spans="1:3" x14ac:dyDescent="0.2">
      <c r="A38" s="98" t="s">
        <v>1692</v>
      </c>
      <c r="B38" s="69" t="s">
        <v>939</v>
      </c>
      <c r="C38" s="101" t="s">
        <v>1685</v>
      </c>
    </row>
    <row r="39" spans="1:3" x14ac:dyDescent="0.2">
      <c r="A39" s="98" t="s">
        <v>1693</v>
      </c>
      <c r="B39" s="69" t="s">
        <v>939</v>
      </c>
      <c r="C39" s="101" t="s">
        <v>1685</v>
      </c>
    </row>
    <row r="40" spans="1:3" x14ac:dyDescent="0.2">
      <c r="A40" s="98" t="s">
        <v>1694</v>
      </c>
      <c r="B40" s="69" t="s">
        <v>939</v>
      </c>
      <c r="C40" s="101" t="s">
        <v>1685</v>
      </c>
    </row>
    <row r="41" spans="1:3" x14ac:dyDescent="0.2">
      <c r="A41" s="98" t="s">
        <v>1695</v>
      </c>
      <c r="B41" s="69" t="s">
        <v>939</v>
      </c>
      <c r="C41" s="101" t="s">
        <v>1685</v>
      </c>
    </row>
    <row r="42" spans="1:3" x14ac:dyDescent="0.2">
      <c r="A42" s="98" t="s">
        <v>1696</v>
      </c>
      <c r="B42" s="69" t="s">
        <v>940</v>
      </c>
      <c r="C42" s="100" t="s">
        <v>1675</v>
      </c>
    </row>
    <row r="43" spans="1:3" x14ac:dyDescent="0.2">
      <c r="A43" s="98" t="s">
        <v>1697</v>
      </c>
      <c r="B43" s="69" t="s">
        <v>940</v>
      </c>
      <c r="C43" s="100" t="s">
        <v>1675</v>
      </c>
    </row>
    <row r="44" spans="1:3" x14ac:dyDescent="0.2">
      <c r="A44" s="98" t="s">
        <v>1698</v>
      </c>
      <c r="B44" s="69" t="s">
        <v>941</v>
      </c>
      <c r="C44" s="100" t="s">
        <v>1675</v>
      </c>
    </row>
    <row r="45" spans="1:3" x14ac:dyDescent="0.2">
      <c r="A45" s="98" t="s">
        <v>1699</v>
      </c>
      <c r="B45" s="69" t="s">
        <v>941</v>
      </c>
      <c r="C45" s="100" t="s">
        <v>1675</v>
      </c>
    </row>
    <row r="46" spans="1:3" x14ac:dyDescent="0.2">
      <c r="A46" s="98" t="s">
        <v>1700</v>
      </c>
      <c r="B46" s="69" t="s">
        <v>942</v>
      </c>
      <c r="C46" s="101" t="s">
        <v>1685</v>
      </c>
    </row>
    <row r="47" spans="1:3" x14ac:dyDescent="0.2">
      <c r="A47" s="98" t="s">
        <v>1701</v>
      </c>
      <c r="B47" s="69" t="s">
        <v>943</v>
      </c>
      <c r="C47" s="101" t="s">
        <v>1685</v>
      </c>
    </row>
    <row r="48" spans="1:3" x14ac:dyDescent="0.2">
      <c r="A48" s="98" t="s">
        <v>1702</v>
      </c>
      <c r="B48" s="69" t="s">
        <v>943</v>
      </c>
      <c r="C48" s="101" t="s">
        <v>1685</v>
      </c>
    </row>
    <row r="49" spans="1:3" x14ac:dyDescent="0.2">
      <c r="A49" s="98" t="s">
        <v>1703</v>
      </c>
      <c r="B49" s="69" t="s">
        <v>944</v>
      </c>
      <c r="C49" s="100" t="s">
        <v>1675</v>
      </c>
    </row>
    <row r="50" spans="1:3" x14ac:dyDescent="0.2">
      <c r="A50" s="98" t="s">
        <v>1704</v>
      </c>
      <c r="B50" s="69" t="s">
        <v>945</v>
      </c>
      <c r="C50" s="101" t="s">
        <v>1675</v>
      </c>
    </row>
    <row r="51" spans="1:3" x14ac:dyDescent="0.2">
      <c r="A51" s="98" t="s">
        <v>1705</v>
      </c>
      <c r="B51" s="69" t="s">
        <v>945</v>
      </c>
      <c r="C51" s="101" t="s">
        <v>1675</v>
      </c>
    </row>
    <row r="52" spans="1:3" x14ac:dyDescent="0.2">
      <c r="A52" s="98" t="s">
        <v>1706</v>
      </c>
      <c r="B52" s="69" t="s">
        <v>945</v>
      </c>
      <c r="C52" s="101" t="s">
        <v>1675</v>
      </c>
    </row>
    <row r="53" spans="1:3" x14ac:dyDescent="0.2">
      <c r="A53" s="98" t="s">
        <v>1707</v>
      </c>
      <c r="B53" s="69" t="s">
        <v>946</v>
      </c>
      <c r="C53" s="100" t="s">
        <v>1675</v>
      </c>
    </row>
    <row r="54" spans="1:3" x14ac:dyDescent="0.2">
      <c r="A54" s="98" t="s">
        <v>1708</v>
      </c>
      <c r="B54" s="69" t="s">
        <v>946</v>
      </c>
      <c r="C54" s="100" t="s">
        <v>1675</v>
      </c>
    </row>
    <row r="55" spans="1:3" x14ac:dyDescent="0.2">
      <c r="A55" s="98" t="s">
        <v>1709</v>
      </c>
      <c r="B55" s="69" t="s">
        <v>947</v>
      </c>
      <c r="C55" s="101" t="s">
        <v>1675</v>
      </c>
    </row>
    <row r="56" spans="1:3" x14ac:dyDescent="0.2">
      <c r="A56" s="98" t="s">
        <v>1710</v>
      </c>
      <c r="B56" s="69" t="s">
        <v>947</v>
      </c>
      <c r="C56" s="101" t="s">
        <v>1675</v>
      </c>
    </row>
    <row r="57" spans="1:3" x14ac:dyDescent="0.2">
      <c r="A57" s="98" t="s">
        <v>1711</v>
      </c>
      <c r="B57" s="69" t="s">
        <v>948</v>
      </c>
      <c r="C57" s="100" t="s">
        <v>1675</v>
      </c>
    </row>
    <row r="58" spans="1:3" x14ac:dyDescent="0.2">
      <c r="A58" s="98" t="s">
        <v>1712</v>
      </c>
      <c r="B58" s="69" t="s">
        <v>948</v>
      </c>
      <c r="C58" s="100" t="s">
        <v>1675</v>
      </c>
    </row>
    <row r="59" spans="1:3" x14ac:dyDescent="0.2">
      <c r="A59" s="98" t="s">
        <v>1713</v>
      </c>
      <c r="B59" s="69" t="s">
        <v>948</v>
      </c>
      <c r="C59" s="100" t="s">
        <v>1675</v>
      </c>
    </row>
    <row r="60" spans="1:3" x14ac:dyDescent="0.2">
      <c r="A60" s="98" t="s">
        <v>1714</v>
      </c>
      <c r="B60" s="69" t="s">
        <v>949</v>
      </c>
      <c r="C60" s="100" t="s">
        <v>1675</v>
      </c>
    </row>
    <row r="61" spans="1:3" x14ac:dyDescent="0.2">
      <c r="A61" s="98" t="s">
        <v>1715</v>
      </c>
      <c r="B61" s="69" t="s">
        <v>950</v>
      </c>
      <c r="C61" s="101" t="s">
        <v>1685</v>
      </c>
    </row>
    <row r="62" spans="1:3" x14ac:dyDescent="0.2">
      <c r="A62" s="98" t="s">
        <v>1716</v>
      </c>
      <c r="B62" s="69" t="s">
        <v>950</v>
      </c>
      <c r="C62" s="101" t="s">
        <v>1685</v>
      </c>
    </row>
    <row r="63" spans="1:3" x14ac:dyDescent="0.2">
      <c r="A63" s="98" t="s">
        <v>1717</v>
      </c>
      <c r="B63" s="69" t="s">
        <v>951</v>
      </c>
      <c r="C63" s="100" t="s">
        <v>1675</v>
      </c>
    </row>
    <row r="64" spans="1:3" x14ac:dyDescent="0.2">
      <c r="A64" s="98" t="s">
        <v>1718</v>
      </c>
      <c r="B64" s="69" t="s">
        <v>951</v>
      </c>
      <c r="C64" s="100" t="s">
        <v>1675</v>
      </c>
    </row>
    <row r="65" spans="1:3" x14ac:dyDescent="0.2">
      <c r="A65" s="98" t="s">
        <v>1719</v>
      </c>
      <c r="B65" s="69" t="s">
        <v>951</v>
      </c>
      <c r="C65" s="100" t="s">
        <v>1675</v>
      </c>
    </row>
    <row r="66" spans="1:3" x14ac:dyDescent="0.2">
      <c r="A66" s="98" t="s">
        <v>1720</v>
      </c>
      <c r="B66" s="69" t="s">
        <v>951</v>
      </c>
      <c r="C66" s="100" t="s">
        <v>1675</v>
      </c>
    </row>
    <row r="67" spans="1:3" x14ac:dyDescent="0.2">
      <c r="A67" s="98" t="s">
        <v>1721</v>
      </c>
      <c r="B67" s="69" t="s">
        <v>951</v>
      </c>
      <c r="C67" s="100" t="s">
        <v>1675</v>
      </c>
    </row>
    <row r="68" spans="1:3" x14ac:dyDescent="0.2">
      <c r="A68" s="98" t="s">
        <v>1722</v>
      </c>
      <c r="B68" s="69" t="s">
        <v>951</v>
      </c>
      <c r="C68" s="100" t="s">
        <v>1675</v>
      </c>
    </row>
    <row r="69" spans="1:3" x14ac:dyDescent="0.2">
      <c r="A69" s="98" t="s">
        <v>1723</v>
      </c>
      <c r="B69" s="69" t="s">
        <v>951</v>
      </c>
      <c r="C69" s="100" t="s">
        <v>1675</v>
      </c>
    </row>
    <row r="70" spans="1:3" x14ac:dyDescent="0.2">
      <c r="A70" s="98" t="s">
        <v>1724</v>
      </c>
      <c r="B70" s="69" t="s">
        <v>952</v>
      </c>
      <c r="C70" s="100" t="s">
        <v>1675</v>
      </c>
    </row>
    <row r="71" spans="1:3" x14ac:dyDescent="0.2">
      <c r="A71" s="98" t="s">
        <v>1725</v>
      </c>
      <c r="B71" s="69" t="s">
        <v>953</v>
      </c>
      <c r="C71" s="101" t="s">
        <v>1685</v>
      </c>
    </row>
    <row r="72" spans="1:3" x14ac:dyDescent="0.2">
      <c r="A72" s="98" t="s">
        <v>1726</v>
      </c>
      <c r="B72" s="69" t="s">
        <v>953</v>
      </c>
      <c r="C72" s="101" t="s">
        <v>1685</v>
      </c>
    </row>
    <row r="73" spans="1:3" x14ac:dyDescent="0.2">
      <c r="A73" s="98" t="s">
        <v>1727</v>
      </c>
      <c r="B73" s="69" t="s">
        <v>954</v>
      </c>
      <c r="C73" s="100" t="s">
        <v>1675</v>
      </c>
    </row>
    <row r="74" spans="1:3" x14ac:dyDescent="0.2">
      <c r="A74" s="98" t="s">
        <v>1728</v>
      </c>
      <c r="B74" s="69" t="s">
        <v>955</v>
      </c>
      <c r="C74" s="101" t="s">
        <v>1685</v>
      </c>
    </row>
    <row r="75" spans="1:3" x14ac:dyDescent="0.2">
      <c r="A75" s="98" t="s">
        <v>1729</v>
      </c>
      <c r="B75" s="69" t="s">
        <v>955</v>
      </c>
      <c r="C75" s="101" t="s">
        <v>1685</v>
      </c>
    </row>
    <row r="76" spans="1:3" x14ac:dyDescent="0.2">
      <c r="A76" s="98" t="s">
        <v>1730</v>
      </c>
      <c r="B76" s="69" t="s">
        <v>956</v>
      </c>
      <c r="C76" s="100" t="s">
        <v>1675</v>
      </c>
    </row>
    <row r="77" spans="1:3" x14ac:dyDescent="0.2">
      <c r="A77" s="98" t="s">
        <v>6</v>
      </c>
      <c r="B77" s="69" t="s">
        <v>956</v>
      </c>
      <c r="C77" s="100" t="s">
        <v>1675</v>
      </c>
    </row>
    <row r="78" spans="1:3" x14ac:dyDescent="0.2">
      <c r="A78" s="98" t="s">
        <v>1731</v>
      </c>
      <c r="B78" s="69" t="s">
        <v>1313</v>
      </c>
      <c r="C78" s="102" t="s">
        <v>1732</v>
      </c>
    </row>
    <row r="79" spans="1:3" x14ac:dyDescent="0.2">
      <c r="A79" s="98" t="s">
        <v>1733</v>
      </c>
      <c r="B79" s="69" t="s">
        <v>1313</v>
      </c>
      <c r="C79" s="102" t="s">
        <v>1732</v>
      </c>
    </row>
    <row r="80" spans="1:3" x14ac:dyDescent="0.2">
      <c r="A80" s="98" t="s">
        <v>1734</v>
      </c>
      <c r="B80" s="69" t="s">
        <v>1315</v>
      </c>
      <c r="C80" s="102" t="s">
        <v>1732</v>
      </c>
    </row>
    <row r="81" spans="1:3" x14ac:dyDescent="0.2">
      <c r="A81" s="98" t="s">
        <v>1735</v>
      </c>
      <c r="B81" s="69" t="s">
        <v>1315</v>
      </c>
      <c r="C81" s="102" t="s">
        <v>1732</v>
      </c>
    </row>
    <row r="82" spans="1:3" x14ac:dyDescent="0.2">
      <c r="A82" s="98" t="s">
        <v>1736</v>
      </c>
      <c r="B82" s="69" t="s">
        <v>1314</v>
      </c>
      <c r="C82" s="102" t="s">
        <v>1732</v>
      </c>
    </row>
    <row r="83" spans="1:3" x14ac:dyDescent="0.2">
      <c r="A83" s="98" t="s">
        <v>1737</v>
      </c>
      <c r="B83" s="69" t="s">
        <v>1314</v>
      </c>
      <c r="C83" s="102" t="s">
        <v>1732</v>
      </c>
    </row>
    <row r="84" spans="1:3" x14ac:dyDescent="0.2">
      <c r="A84" s="98" t="s">
        <v>1738</v>
      </c>
      <c r="B84" s="69" t="s">
        <v>1314</v>
      </c>
      <c r="C84" s="102" t="s">
        <v>1732</v>
      </c>
    </row>
    <row r="85" spans="1:3" x14ac:dyDescent="0.2">
      <c r="A85" s="98" t="s">
        <v>1739</v>
      </c>
      <c r="B85" s="98" t="s">
        <v>931</v>
      </c>
      <c r="C85" s="98" t="s">
        <v>1654</v>
      </c>
    </row>
    <row r="86" spans="1:3" x14ac:dyDescent="0.2">
      <c r="A86" s="98" t="s">
        <v>1740</v>
      </c>
      <c r="B86" s="98" t="s">
        <v>931</v>
      </c>
      <c r="C86" s="98" t="s">
        <v>1654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E7ABF-856B-C545-85E9-694B644D78AF}">
  <sheetPr codeName="Hoja7"/>
  <dimension ref="A1:M25"/>
  <sheetViews>
    <sheetView workbookViewId="0">
      <pane xSplit="1" ySplit="1" topLeftCell="B2" activePane="bottomRight" state="frozen"/>
      <selection pane="topRight" activeCell="B1" sqref="B1"/>
      <selection pane="bottomLeft" activeCell="A2" sqref="A2"/>
      <selection pane="bottomRight" activeCell="J35" sqref="J35"/>
    </sheetView>
  </sheetViews>
  <sheetFormatPr baseColWidth="10" defaultRowHeight="15" x14ac:dyDescent="0.2"/>
  <cols>
    <col min="1" max="1" width="41.1640625" style="69" bestFit="1" customWidth="1"/>
    <col min="2" max="2" width="34.6640625" style="69" bestFit="1" customWidth="1"/>
    <col min="3" max="3" width="7.5" style="69" bestFit="1" customWidth="1"/>
    <col min="4" max="4" width="9.33203125" style="69" bestFit="1" customWidth="1"/>
    <col min="5" max="5" width="8" style="69" bestFit="1" customWidth="1"/>
    <col min="6" max="6" width="29.1640625" style="69" bestFit="1" customWidth="1"/>
    <col min="7" max="7" width="7.5" style="69" bestFit="1" customWidth="1"/>
    <col min="8" max="8" width="9.33203125" style="69" bestFit="1" customWidth="1"/>
    <col min="9" max="9" width="8" style="69" bestFit="1" customWidth="1"/>
    <col min="10" max="10" width="24.5" style="69" bestFit="1" customWidth="1"/>
    <col min="11" max="11" width="7.5" style="69" bestFit="1" customWidth="1"/>
    <col min="12" max="12" width="9.33203125" style="69" bestFit="1" customWidth="1"/>
    <col min="13" max="13" width="8" style="69" bestFit="1" customWidth="1"/>
    <col min="14" max="16384" width="10.83203125" style="69"/>
  </cols>
  <sheetData>
    <row r="1" spans="1:13" x14ac:dyDescent="0.2">
      <c r="A1" s="103" t="s">
        <v>1741</v>
      </c>
      <c r="B1" s="103" t="s">
        <v>33</v>
      </c>
      <c r="C1" s="103" t="s">
        <v>1752</v>
      </c>
      <c r="D1" s="103" t="s">
        <v>1753</v>
      </c>
      <c r="E1" s="103" t="s">
        <v>1742</v>
      </c>
      <c r="F1" s="103" t="s">
        <v>34</v>
      </c>
      <c r="G1" s="103" t="s">
        <v>1754</v>
      </c>
      <c r="H1" s="103" t="s">
        <v>1755</v>
      </c>
      <c r="I1" s="103" t="s">
        <v>1743</v>
      </c>
      <c r="J1" s="103" t="s">
        <v>35</v>
      </c>
      <c r="K1" s="103" t="s">
        <v>1756</v>
      </c>
      <c r="L1" s="103" t="s">
        <v>1757</v>
      </c>
      <c r="M1" s="103" t="s">
        <v>1744</v>
      </c>
    </row>
    <row r="2" spans="1:13" x14ac:dyDescent="0.2">
      <c r="A2" s="97" t="s">
        <v>73</v>
      </c>
    </row>
    <row r="3" spans="1:13" x14ac:dyDescent="0.2">
      <c r="A3" s="97" t="s">
        <v>966</v>
      </c>
    </row>
    <row r="4" spans="1:13" x14ac:dyDescent="0.2">
      <c r="A4" s="97" t="s">
        <v>1806</v>
      </c>
      <c r="B4" s="69" t="s">
        <v>185</v>
      </c>
      <c r="C4" s="69">
        <v>0</v>
      </c>
      <c r="D4" s="69">
        <v>1</v>
      </c>
      <c r="E4" s="69" t="s">
        <v>729</v>
      </c>
    </row>
    <row r="5" spans="1:13" x14ac:dyDescent="0.2">
      <c r="A5" s="97" t="s">
        <v>1807</v>
      </c>
      <c r="B5" s="69" t="s">
        <v>154</v>
      </c>
      <c r="C5" s="69">
        <v>0</v>
      </c>
      <c r="D5" s="69">
        <v>1</v>
      </c>
      <c r="E5" s="69" t="s">
        <v>1748</v>
      </c>
    </row>
    <row r="6" spans="1:13" x14ac:dyDescent="0.2">
      <c r="A6" s="97" t="s">
        <v>1810</v>
      </c>
      <c r="B6" s="69" t="s">
        <v>129</v>
      </c>
      <c r="C6" s="69">
        <v>0</v>
      </c>
      <c r="D6" s="69">
        <v>1</v>
      </c>
      <c r="E6" s="69" t="s">
        <v>729</v>
      </c>
    </row>
    <row r="7" spans="1:13" x14ac:dyDescent="0.2">
      <c r="A7" s="97" t="s">
        <v>1808</v>
      </c>
      <c r="B7" s="69" t="s">
        <v>137</v>
      </c>
      <c r="C7" s="69">
        <v>0</v>
      </c>
      <c r="D7" s="69">
        <v>1</v>
      </c>
      <c r="E7" s="69" t="s">
        <v>729</v>
      </c>
    </row>
    <row r="8" spans="1:13" x14ac:dyDescent="0.2">
      <c r="A8" s="97" t="s">
        <v>1798</v>
      </c>
      <c r="B8" s="69" t="s">
        <v>137</v>
      </c>
      <c r="C8" s="69">
        <v>0</v>
      </c>
      <c r="D8" s="69">
        <v>1</v>
      </c>
      <c r="E8" s="69" t="s">
        <v>729</v>
      </c>
      <c r="F8" s="69" t="s">
        <v>97</v>
      </c>
      <c r="G8" s="69">
        <v>0</v>
      </c>
      <c r="H8" s="69">
        <v>1</v>
      </c>
      <c r="I8" s="69" t="s">
        <v>1745</v>
      </c>
    </row>
    <row r="9" spans="1:13" x14ac:dyDescent="0.2">
      <c r="A9" s="97" t="s">
        <v>1799</v>
      </c>
      <c r="B9" s="69" t="s">
        <v>137</v>
      </c>
      <c r="C9" s="69">
        <v>0</v>
      </c>
      <c r="D9" s="69">
        <v>1</v>
      </c>
      <c r="E9" s="69" t="s">
        <v>729</v>
      </c>
      <c r="F9" s="69" t="s">
        <v>179</v>
      </c>
      <c r="G9" s="69">
        <v>0</v>
      </c>
      <c r="H9" s="69">
        <v>1</v>
      </c>
      <c r="I9" s="69" t="s">
        <v>1745</v>
      </c>
    </row>
    <row r="10" spans="1:13" x14ac:dyDescent="0.2">
      <c r="A10" s="97" t="s">
        <v>1809</v>
      </c>
      <c r="B10" s="69" t="s">
        <v>129</v>
      </c>
      <c r="C10" s="69">
        <v>0</v>
      </c>
      <c r="D10" s="69">
        <v>1</v>
      </c>
      <c r="E10" s="69" t="s">
        <v>729</v>
      </c>
    </row>
    <row r="11" spans="1:13" x14ac:dyDescent="0.2">
      <c r="A11" s="97" t="s">
        <v>1800</v>
      </c>
      <c r="B11" s="69" t="s">
        <v>129</v>
      </c>
      <c r="C11" s="69">
        <v>0</v>
      </c>
      <c r="D11" s="69">
        <v>1</v>
      </c>
      <c r="E11" s="69" t="s">
        <v>729</v>
      </c>
      <c r="F11" s="69" t="s">
        <v>185</v>
      </c>
      <c r="G11" s="69">
        <v>0</v>
      </c>
      <c r="H11" s="69">
        <v>1</v>
      </c>
      <c r="I11" s="69" t="s">
        <v>729</v>
      </c>
    </row>
    <row r="12" spans="1:13" x14ac:dyDescent="0.2">
      <c r="A12" s="97" t="s">
        <v>1801</v>
      </c>
      <c r="B12" s="69" t="s">
        <v>129</v>
      </c>
      <c r="C12" s="69">
        <v>0</v>
      </c>
      <c r="D12" s="69">
        <v>1</v>
      </c>
      <c r="E12" s="69" t="s">
        <v>729</v>
      </c>
      <c r="F12" s="69" t="s">
        <v>185</v>
      </c>
      <c r="G12" s="69">
        <v>0</v>
      </c>
      <c r="H12" s="69">
        <v>1</v>
      </c>
      <c r="I12" s="69" t="s">
        <v>729</v>
      </c>
      <c r="J12" s="69" t="s">
        <v>97</v>
      </c>
      <c r="K12" s="69">
        <v>0</v>
      </c>
      <c r="L12" s="69">
        <v>1</v>
      </c>
      <c r="M12" s="69" t="s">
        <v>1745</v>
      </c>
    </row>
    <row r="13" spans="1:13" x14ac:dyDescent="0.2">
      <c r="A13" s="97" t="s">
        <v>1802</v>
      </c>
      <c r="B13" s="69" t="s">
        <v>129</v>
      </c>
      <c r="C13" s="69">
        <v>0</v>
      </c>
      <c r="D13" s="69">
        <v>1</v>
      </c>
      <c r="E13" s="69" t="s">
        <v>729</v>
      </c>
      <c r="F13" s="69" t="s">
        <v>185</v>
      </c>
      <c r="G13" s="69">
        <v>0</v>
      </c>
      <c r="H13" s="69">
        <v>1</v>
      </c>
      <c r="I13" s="69" t="s">
        <v>729</v>
      </c>
      <c r="J13" s="69" t="s">
        <v>179</v>
      </c>
      <c r="K13" s="69">
        <v>0</v>
      </c>
      <c r="L13" s="69">
        <v>1</v>
      </c>
      <c r="M13" s="69" t="s">
        <v>1745</v>
      </c>
    </row>
    <row r="14" spans="1:13" x14ac:dyDescent="0.2">
      <c r="A14" s="97" t="s">
        <v>1803</v>
      </c>
      <c r="B14" s="69" t="s">
        <v>129</v>
      </c>
      <c r="C14" s="69">
        <v>0</v>
      </c>
      <c r="D14" s="69">
        <v>1</v>
      </c>
      <c r="E14" s="69" t="s">
        <v>729</v>
      </c>
      <c r="F14" s="69" t="s">
        <v>185</v>
      </c>
      <c r="G14" s="69">
        <v>0</v>
      </c>
      <c r="H14" s="69">
        <v>1</v>
      </c>
      <c r="I14" s="69" t="s">
        <v>729</v>
      </c>
      <c r="J14" s="69" t="s">
        <v>179</v>
      </c>
      <c r="K14" s="69">
        <v>0</v>
      </c>
      <c r="L14" s="69">
        <v>1</v>
      </c>
      <c r="M14" s="69" t="s">
        <v>1745</v>
      </c>
    </row>
    <row r="15" spans="1:13" x14ac:dyDescent="0.2">
      <c r="A15" s="97" t="s">
        <v>1746</v>
      </c>
      <c r="B15" s="69" t="s">
        <v>97</v>
      </c>
      <c r="C15" s="69">
        <v>0</v>
      </c>
      <c r="D15" s="69">
        <v>1</v>
      </c>
      <c r="E15" s="69" t="s">
        <v>1745</v>
      </c>
    </row>
    <row r="16" spans="1:13" x14ac:dyDescent="0.2">
      <c r="A16" s="97" t="s">
        <v>1747</v>
      </c>
      <c r="B16" s="69" t="s">
        <v>179</v>
      </c>
      <c r="C16" s="69">
        <v>0</v>
      </c>
      <c r="D16" s="69">
        <v>1</v>
      </c>
      <c r="E16" s="69" t="s">
        <v>1745</v>
      </c>
    </row>
    <row r="17" spans="1:13" x14ac:dyDescent="0.2">
      <c r="A17" s="97" t="s">
        <v>1811</v>
      </c>
      <c r="B17" s="69" t="s">
        <v>106</v>
      </c>
      <c r="C17" s="69">
        <v>0</v>
      </c>
      <c r="D17" s="69">
        <v>1</v>
      </c>
      <c r="E17" s="69" t="s">
        <v>1748</v>
      </c>
    </row>
    <row r="18" spans="1:13" x14ac:dyDescent="0.2">
      <c r="A18" s="97" t="s">
        <v>1814</v>
      </c>
      <c r="B18" s="69" t="s">
        <v>129</v>
      </c>
      <c r="C18" s="69">
        <v>0</v>
      </c>
      <c r="D18" s="69">
        <v>1</v>
      </c>
      <c r="E18" s="69" t="s">
        <v>729</v>
      </c>
    </row>
    <row r="19" spans="1:13" x14ac:dyDescent="0.2">
      <c r="A19" s="97" t="s">
        <v>1749</v>
      </c>
      <c r="B19" s="69" t="s">
        <v>928</v>
      </c>
      <c r="C19" s="69">
        <v>0</v>
      </c>
      <c r="D19" s="69">
        <v>1</v>
      </c>
      <c r="E19" s="69" t="s">
        <v>729</v>
      </c>
      <c r="F19" s="69" t="s">
        <v>185</v>
      </c>
      <c r="G19" s="69">
        <v>0</v>
      </c>
      <c r="H19" s="69">
        <v>1</v>
      </c>
      <c r="I19" s="69" t="s">
        <v>729</v>
      </c>
    </row>
    <row r="20" spans="1:13" x14ac:dyDescent="0.2">
      <c r="A20" s="97" t="s">
        <v>1812</v>
      </c>
      <c r="B20" s="69" t="s">
        <v>106</v>
      </c>
      <c r="C20" s="69">
        <v>0</v>
      </c>
      <c r="D20" s="69">
        <v>1</v>
      </c>
      <c r="E20" s="69" t="s">
        <v>1748</v>
      </c>
    </row>
    <row r="21" spans="1:13" x14ac:dyDescent="0.2">
      <c r="A21" s="97" t="s">
        <v>1815</v>
      </c>
      <c r="B21" s="69" t="s">
        <v>89</v>
      </c>
      <c r="C21" s="69">
        <v>0</v>
      </c>
      <c r="D21" s="69">
        <v>1</v>
      </c>
      <c r="E21" s="69" t="s">
        <v>729</v>
      </c>
    </row>
    <row r="22" spans="1:13" x14ac:dyDescent="0.2">
      <c r="A22" s="97" t="s">
        <v>1750</v>
      </c>
      <c r="B22" s="69" t="s">
        <v>89</v>
      </c>
      <c r="C22" s="69">
        <v>0</v>
      </c>
      <c r="D22" s="69">
        <v>1</v>
      </c>
      <c r="E22" s="69" t="s">
        <v>729</v>
      </c>
      <c r="F22" s="69" t="s">
        <v>185</v>
      </c>
      <c r="G22" s="69">
        <v>0</v>
      </c>
      <c r="H22" s="69">
        <v>1</v>
      </c>
      <c r="I22" s="69" t="s">
        <v>729</v>
      </c>
    </row>
    <row r="23" spans="1:13" x14ac:dyDescent="0.2">
      <c r="A23" s="97" t="s">
        <v>1804</v>
      </c>
      <c r="B23" s="69" t="s">
        <v>89</v>
      </c>
      <c r="C23" s="69">
        <v>0</v>
      </c>
      <c r="D23" s="69">
        <v>1</v>
      </c>
      <c r="E23" s="69" t="s">
        <v>729</v>
      </c>
      <c r="F23" s="69" t="s">
        <v>185</v>
      </c>
      <c r="G23" s="69">
        <v>0</v>
      </c>
      <c r="H23" s="69">
        <v>1</v>
      </c>
      <c r="I23" s="69" t="s">
        <v>729</v>
      </c>
      <c r="J23" s="69" t="s">
        <v>97</v>
      </c>
      <c r="K23" s="69">
        <v>0</v>
      </c>
      <c r="L23" s="69">
        <v>1</v>
      </c>
      <c r="M23" s="69" t="s">
        <v>1745</v>
      </c>
    </row>
    <row r="24" spans="1:13" x14ac:dyDescent="0.2">
      <c r="A24" s="97" t="s">
        <v>1805</v>
      </c>
      <c r="B24" s="69" t="s">
        <v>89</v>
      </c>
      <c r="C24" s="69">
        <v>0</v>
      </c>
      <c r="D24" s="69">
        <v>1</v>
      </c>
      <c r="E24" s="69" t="s">
        <v>729</v>
      </c>
      <c r="F24" s="69" t="s">
        <v>185</v>
      </c>
      <c r="G24" s="69">
        <v>0</v>
      </c>
      <c r="H24" s="69">
        <v>1</v>
      </c>
      <c r="I24" s="69" t="s">
        <v>729</v>
      </c>
      <c r="J24" s="69" t="s">
        <v>179</v>
      </c>
      <c r="K24" s="69">
        <v>0</v>
      </c>
      <c r="L24" s="69">
        <v>1</v>
      </c>
      <c r="M24" s="69" t="s">
        <v>1745</v>
      </c>
    </row>
    <row r="25" spans="1:13" x14ac:dyDescent="0.2">
      <c r="A25" s="97" t="s">
        <v>1813</v>
      </c>
      <c r="B25" s="69" t="s">
        <v>161</v>
      </c>
      <c r="C25" s="69">
        <v>0</v>
      </c>
      <c r="D25" s="69">
        <v>1</v>
      </c>
      <c r="E25" s="69" t="s">
        <v>1748</v>
      </c>
    </row>
  </sheetData>
  <sortState xmlns:xlrd2="http://schemas.microsoft.com/office/spreadsheetml/2017/richdata2" ref="A4:M25">
    <sortCondition ref="A4:A25"/>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Hojas de cálculo</vt:lpstr>
      </vt:variant>
      <vt:variant>
        <vt:i4>8</vt:i4>
      </vt:variant>
    </vt:vector>
  </HeadingPairs>
  <TitlesOfParts>
    <vt:vector size="8" baseType="lpstr">
      <vt:lpstr>Upload</vt:lpstr>
      <vt:lpstr>Listas</vt:lpstr>
      <vt:lpstr>Cálculo MP</vt:lpstr>
      <vt:lpstr>Ayuda</vt:lpstr>
      <vt:lpstr>CAT_Procesos</vt:lpstr>
      <vt:lpstr>CAT_Specs</vt:lpstr>
      <vt:lpstr>CAT_Líneas</vt:lpstr>
      <vt:lpstr>CAT_Productos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Omar Fidel Viazcán Gómez</cp:lastModifiedBy>
  <cp:revision>0</cp:revision>
  <dcterms:created xsi:type="dcterms:W3CDTF">2026-03-25T00:28:21Z</dcterms:created>
  <dcterms:modified xsi:type="dcterms:W3CDTF">2026-08-06T01:48:10Z</dcterms:modified>
  <dc:language>en-US</dc:language>
</cp:coreProperties>
</file>